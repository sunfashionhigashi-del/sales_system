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tani\Box\内地\実績表\"/>
    </mc:Choice>
  </mc:AlternateContent>
  <xr:revisionPtr revIDLastSave="0" documentId="13_ncr:1_{615A9F84-01F0-402F-91D0-24A63172DA29}" xr6:coauthVersionLast="47" xr6:coauthVersionMax="47" xr10:uidLastSave="{00000000-0000-0000-0000-000000000000}"/>
  <bookViews>
    <workbookView xWindow="-120" yWindow="-120" windowWidth="29040" windowHeight="15720" firstSheet="3" activeTab="4" xr2:uid="{C3C9C83A-33E3-4EDC-B720-2F7B55EF8DA4}"/>
  </bookViews>
  <sheets>
    <sheet name="月次進捗" sheetId="4" state="hidden" r:id="rId1"/>
    <sheet name="計画集計" sheetId="2" state="hidden" r:id="rId2"/>
    <sheet name="実績集計" sheetId="15" state="hidden" r:id="rId3"/>
    <sheet name="松岡" sheetId="5" r:id="rId4"/>
    <sheet name="大谷" sheetId="10" r:id="rId5"/>
    <sheet name="宮本" sheetId="9" r:id="rId6"/>
    <sheet name="深串" sheetId="6" state="hidden" r:id="rId7"/>
    <sheet name="深串INV" sheetId="16" state="hidden" r:id="rId8"/>
    <sheet name="前川" sheetId="8" state="hidden" r:id="rId9"/>
    <sheet name="前川INV" sheetId="17" state="hidden" r:id="rId10"/>
    <sheet name="千葉" sheetId="13" state="hidden" r:id="rId11"/>
    <sheet name="千葉INV" sheetId="18" state="hidden" r:id="rId12"/>
    <sheet name="中国" sheetId="12" state="hidden" r:id="rId13"/>
    <sheet name="中国INV" sheetId="20" state="hidden" r:id="rId14"/>
    <sheet name="VVR" sheetId="14" state="hidden" r:id="rId15"/>
    <sheet name="VVRINV" sheetId="19" state="hidden" r:id="rId16"/>
    <sheet name="新規1" sheetId="7" state="hidden" r:id="rId17"/>
    <sheet name="新規1INV" sheetId="23" state="hidden" r:id="rId18"/>
    <sheet name="新規2" sheetId="1" state="hidden" r:id="rId19"/>
    <sheet name="新規2INV" sheetId="24" state="hidden" r:id="rId20"/>
    <sheet name="為替" sheetId="21" state="hidden" r:id="rId21"/>
    <sheet name="Macro" sheetId="22" state="hidden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1" i="5" l="1"/>
  <c r="S11" i="5"/>
  <c r="Q7" i="5"/>
  <c r="S7" i="5"/>
  <c r="L14" i="5" l="1"/>
  <c r="S13" i="5" l="1"/>
  <c r="I14" i="5" l="1"/>
  <c r="F29" i="10"/>
  <c r="F30" i="5" l="1"/>
  <c r="E37" i="10"/>
  <c r="R41" i="9"/>
  <c r="R37" i="9"/>
  <c r="E41" i="5"/>
  <c r="P21" i="5"/>
  <c r="O21" i="5"/>
  <c r="N21" i="5"/>
  <c r="M21" i="5"/>
  <c r="L21" i="5"/>
  <c r="K21" i="5"/>
  <c r="J21" i="5"/>
  <c r="I21" i="5"/>
  <c r="H21" i="5"/>
  <c r="G21" i="5"/>
  <c r="F21" i="5"/>
  <c r="E21" i="5"/>
  <c r="E23" i="5"/>
  <c r="P31" i="5"/>
  <c r="P33" i="5" s="1"/>
  <c r="O31" i="5"/>
  <c r="N31" i="5"/>
  <c r="M31" i="5"/>
  <c r="L31" i="5"/>
  <c r="K31" i="5"/>
  <c r="K33" i="5" s="1"/>
  <c r="J31" i="5"/>
  <c r="J33" i="5" s="1"/>
  <c r="I31" i="5"/>
  <c r="I33" i="5" s="1"/>
  <c r="H31" i="5"/>
  <c r="H33" i="5" s="1"/>
  <c r="G31" i="5"/>
  <c r="F31" i="5"/>
  <c r="E31" i="5"/>
  <c r="L33" i="5"/>
  <c r="M33" i="5"/>
  <c r="N33" i="5"/>
  <c r="O33" i="5"/>
  <c r="Q27" i="5"/>
  <c r="Q11" i="5" l="1"/>
  <c r="P11" i="5"/>
  <c r="O11" i="5"/>
  <c r="N11" i="5"/>
  <c r="M11" i="5"/>
  <c r="L11" i="5"/>
  <c r="K11" i="5"/>
  <c r="J11" i="5"/>
  <c r="I11" i="5"/>
  <c r="H11" i="5"/>
  <c r="G11" i="5"/>
  <c r="F11" i="5"/>
  <c r="E11" i="5"/>
  <c r="F13" i="5"/>
  <c r="P34" i="5"/>
  <c r="P24" i="5"/>
  <c r="P14" i="5"/>
  <c r="P38" i="10"/>
  <c r="P39" i="10" s="1"/>
  <c r="O38" i="10"/>
  <c r="M38" i="10"/>
  <c r="L38" i="10"/>
  <c r="K38" i="10"/>
  <c r="J38" i="10"/>
  <c r="J39" i="10" s="1"/>
  <c r="I38" i="10"/>
  <c r="H38" i="10"/>
  <c r="G38" i="10"/>
  <c r="F38" i="10"/>
  <c r="E38" i="10"/>
  <c r="P37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P33" i="10"/>
  <c r="P29" i="10"/>
  <c r="O37" i="10"/>
  <c r="N37" i="10"/>
  <c r="M37" i="10"/>
  <c r="L37" i="10"/>
  <c r="K37" i="10"/>
  <c r="J37" i="10"/>
  <c r="I33" i="10"/>
  <c r="H33" i="10"/>
  <c r="F33" i="10"/>
  <c r="P24" i="10"/>
  <c r="P25" i="10" s="1"/>
  <c r="O24" i="10"/>
  <c r="O25" i="10" s="1"/>
  <c r="M24" i="10"/>
  <c r="L24" i="10"/>
  <c r="K24" i="10"/>
  <c r="J24" i="10"/>
  <c r="I24" i="10"/>
  <c r="H24" i="10"/>
  <c r="G24" i="10"/>
  <c r="F24" i="10"/>
  <c r="E24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P20" i="10"/>
  <c r="M20" i="10"/>
  <c r="L20" i="10"/>
  <c r="K20" i="10"/>
  <c r="J20" i="10"/>
  <c r="I20" i="10"/>
  <c r="H20" i="10"/>
  <c r="G20" i="10"/>
  <c r="F20" i="10"/>
  <c r="E20" i="10"/>
  <c r="P19" i="10"/>
  <c r="O19" i="10"/>
  <c r="M19" i="10"/>
  <c r="L19" i="10"/>
  <c r="K19" i="10"/>
  <c r="J19" i="10"/>
  <c r="I19" i="10"/>
  <c r="H19" i="10"/>
  <c r="G19" i="10"/>
  <c r="F19" i="10"/>
  <c r="E19" i="10"/>
  <c r="E16" i="10"/>
  <c r="P14" i="10"/>
  <c r="P15" i="10" s="1"/>
  <c r="O14" i="10"/>
  <c r="N14" i="10"/>
  <c r="M14" i="10"/>
  <c r="M15" i="10" s="1"/>
  <c r="L14" i="10"/>
  <c r="L15" i="10" s="1"/>
  <c r="K14" i="10"/>
  <c r="J14" i="10"/>
  <c r="I14" i="10"/>
  <c r="H14" i="10"/>
  <c r="G14" i="10"/>
  <c r="F14" i="10"/>
  <c r="E14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P9" i="10"/>
  <c r="O9" i="10"/>
  <c r="N9" i="10"/>
  <c r="M9" i="10"/>
  <c r="L9" i="10"/>
  <c r="K9" i="10"/>
  <c r="J9" i="10"/>
  <c r="I9" i="10"/>
  <c r="H9" i="10"/>
  <c r="G9" i="10"/>
  <c r="F9" i="10"/>
  <c r="E9" i="10"/>
  <c r="O34" i="5"/>
  <c r="O24" i="5"/>
  <c r="O14" i="5"/>
  <c r="N34" i="5"/>
  <c r="N24" i="5"/>
  <c r="N14" i="5"/>
  <c r="M38" i="5"/>
  <c r="M34" i="5"/>
  <c r="M24" i="5"/>
  <c r="M14" i="5"/>
  <c r="G25" i="10" l="1"/>
  <c r="F25" i="10"/>
  <c r="H41" i="10"/>
  <c r="I41" i="10"/>
  <c r="K25" i="10"/>
  <c r="L25" i="10"/>
  <c r="H25" i="10"/>
  <c r="I25" i="10"/>
  <c r="J25" i="10"/>
  <c r="E25" i="10"/>
  <c r="O39" i="10"/>
  <c r="K39" i="10"/>
  <c r="L39" i="10"/>
  <c r="M39" i="10"/>
  <c r="H35" i="10"/>
  <c r="I35" i="10"/>
  <c r="O42" i="10"/>
  <c r="E42" i="10"/>
  <c r="G42" i="10"/>
  <c r="H42" i="10"/>
  <c r="I42" i="10"/>
  <c r="J42" i="10"/>
  <c r="K42" i="10"/>
  <c r="M42" i="10"/>
  <c r="H16" i="10"/>
  <c r="F35" i="10"/>
  <c r="F41" i="10"/>
  <c r="P41" i="10"/>
  <c r="P35" i="10"/>
  <c r="F15" i="10"/>
  <c r="O30" i="10"/>
  <c r="N30" i="10"/>
  <c r="M30" i="10"/>
  <c r="J30" i="10"/>
  <c r="H30" i="10"/>
  <c r="G30" i="10"/>
  <c r="L30" i="10"/>
  <c r="K30" i="10"/>
  <c r="I30" i="10"/>
  <c r="E29" i="10"/>
  <c r="G35" i="10"/>
  <c r="G41" i="10"/>
  <c r="G15" i="10"/>
  <c r="H15" i="10"/>
  <c r="G37" i="10"/>
  <c r="G33" i="10"/>
  <c r="G29" i="10"/>
  <c r="I43" i="10"/>
  <c r="F16" i="10"/>
  <c r="E30" i="10"/>
  <c r="E39" i="10"/>
  <c r="F42" i="10"/>
  <c r="K41" i="10"/>
  <c r="G16" i="10"/>
  <c r="M26" i="10"/>
  <c r="K26" i="10"/>
  <c r="J26" i="10"/>
  <c r="L26" i="10"/>
  <c r="I26" i="10"/>
  <c r="H26" i="10"/>
  <c r="F30" i="10"/>
  <c r="F37" i="10"/>
  <c r="F39" i="10" s="1"/>
  <c r="P42" i="10"/>
  <c r="P43" i="10" s="1"/>
  <c r="P30" i="10"/>
  <c r="O20" i="10"/>
  <c r="N38" i="10"/>
  <c r="N39" i="10" s="1"/>
  <c r="N24" i="10"/>
  <c r="N25" i="10" s="1"/>
  <c r="N20" i="10"/>
  <c r="N19" i="10"/>
  <c r="E33" i="10"/>
  <c r="E26" i="10"/>
  <c r="O35" i="10"/>
  <c r="F26" i="10"/>
  <c r="G39" i="10"/>
  <c r="G26" i="10"/>
  <c r="P16" i="10"/>
  <c r="O16" i="10"/>
  <c r="N16" i="10"/>
  <c r="K16" i="10"/>
  <c r="J16" i="10"/>
  <c r="M16" i="10"/>
  <c r="L16" i="10"/>
  <c r="I16" i="10"/>
  <c r="E15" i="10"/>
  <c r="H29" i="10"/>
  <c r="H37" i="10"/>
  <c r="H39" i="10" s="1"/>
  <c r="J15" i="10"/>
  <c r="I37" i="10"/>
  <c r="I39" i="10" s="1"/>
  <c r="K15" i="10"/>
  <c r="J29" i="10"/>
  <c r="J33" i="10"/>
  <c r="J41" i="10" s="1"/>
  <c r="K29" i="10"/>
  <c r="K33" i="10"/>
  <c r="K35" i="10" s="1"/>
  <c r="L29" i="10"/>
  <c r="L33" i="10"/>
  <c r="L41" i="10" s="1"/>
  <c r="L42" i="10"/>
  <c r="I15" i="10"/>
  <c r="I29" i="10"/>
  <c r="N15" i="10"/>
  <c r="M25" i="10"/>
  <c r="M29" i="10"/>
  <c r="M33" i="10"/>
  <c r="M35" i="10" s="1"/>
  <c r="O15" i="10"/>
  <c r="N29" i="10"/>
  <c r="N33" i="10"/>
  <c r="N35" i="10" s="1"/>
  <c r="O29" i="10"/>
  <c r="O33" i="10"/>
  <c r="O41" i="10" s="1"/>
  <c r="L34" i="5"/>
  <c r="L24" i="5"/>
  <c r="K43" i="10" l="1"/>
  <c r="H43" i="10"/>
  <c r="G43" i="10"/>
  <c r="M41" i="10"/>
  <c r="F43" i="10"/>
  <c r="M36" i="10"/>
  <c r="N41" i="10"/>
  <c r="J35" i="10"/>
  <c r="H36" i="10"/>
  <c r="I36" i="10"/>
  <c r="O43" i="10"/>
  <c r="J43" i="10"/>
  <c r="N42" i="10"/>
  <c r="N43" i="10" s="1"/>
  <c r="O40" i="10"/>
  <c r="P36" i="10"/>
  <c r="F36" i="10"/>
  <c r="E36" i="10"/>
  <c r="E41" i="10"/>
  <c r="G44" i="10" s="1"/>
  <c r="L35" i="10"/>
  <c r="L43" i="10"/>
  <c r="N36" i="10"/>
  <c r="K40" i="10"/>
  <c r="F40" i="10"/>
  <c r="L40" i="10"/>
  <c r="E35" i="10"/>
  <c r="J36" i="10"/>
  <c r="I40" i="10"/>
  <c r="L36" i="10"/>
  <c r="M40" i="10"/>
  <c r="N26" i="10"/>
  <c r="P40" i="10"/>
  <c r="O36" i="10"/>
  <c r="P26" i="10"/>
  <c r="G40" i="10"/>
  <c r="E40" i="10"/>
  <c r="H40" i="10"/>
  <c r="K36" i="10"/>
  <c r="J40" i="10"/>
  <c r="G36" i="10"/>
  <c r="N40" i="10"/>
  <c r="O26" i="10"/>
  <c r="K34" i="5"/>
  <c r="K14" i="5"/>
  <c r="K24" i="5"/>
  <c r="J34" i="5"/>
  <c r="J24" i="5"/>
  <c r="J14" i="5"/>
  <c r="F34" i="5"/>
  <c r="G34" i="5"/>
  <c r="H34" i="5"/>
  <c r="I34" i="5"/>
  <c r="I24" i="5"/>
  <c r="J44" i="10" l="1"/>
  <c r="H44" i="10"/>
  <c r="P44" i="10"/>
  <c r="M43" i="10"/>
  <c r="N44" i="10"/>
  <c r="E43" i="10"/>
  <c r="M44" i="10"/>
  <c r="E44" i="10"/>
  <c r="F44" i="10"/>
  <c r="I44" i="10"/>
  <c r="L44" i="10"/>
  <c r="K44" i="10"/>
  <c r="O44" i="10"/>
  <c r="H24" i="5"/>
  <c r="H14" i="5"/>
  <c r="I36" i="15" s="1"/>
  <c r="G24" i="5"/>
  <c r="H37" i="15" s="1"/>
  <c r="G14" i="5"/>
  <c r="H36" i="15" s="1"/>
  <c r="F24" i="5"/>
  <c r="G37" i="15" s="1"/>
  <c r="F14" i="5"/>
  <c r="G36" i="15" s="1"/>
  <c r="P14" i="9"/>
  <c r="P42" i="9" s="1"/>
  <c r="O14" i="9"/>
  <c r="P44" i="15" s="1"/>
  <c r="P47" i="15" s="1"/>
  <c r="O60" i="4" s="1"/>
  <c r="O61" i="4" s="1"/>
  <c r="N14" i="9"/>
  <c r="M14" i="9"/>
  <c r="L14" i="9"/>
  <c r="M44" i="15" s="1"/>
  <c r="K14" i="9"/>
  <c r="K15" i="9" s="1"/>
  <c r="J14" i="9"/>
  <c r="K44" i="15" s="1"/>
  <c r="K47" i="15" s="1"/>
  <c r="J60" i="4" s="1"/>
  <c r="I14" i="9"/>
  <c r="I15" i="9" s="1"/>
  <c r="H14" i="9"/>
  <c r="H42" i="9" s="1"/>
  <c r="G14" i="9"/>
  <c r="G15" i="9" s="1"/>
  <c r="F14" i="9"/>
  <c r="E14" i="9"/>
  <c r="F44" i="15" s="1"/>
  <c r="F47" i="15" s="1"/>
  <c r="E60" i="4" s="1"/>
  <c r="W12" i="4"/>
  <c r="W11" i="4"/>
  <c r="W10" i="4"/>
  <c r="Q95" i="4"/>
  <c r="Q90" i="4"/>
  <c r="P88" i="4"/>
  <c r="O88" i="4"/>
  <c r="N88" i="4"/>
  <c r="M88" i="4"/>
  <c r="L88" i="4"/>
  <c r="K88" i="4"/>
  <c r="J88" i="4"/>
  <c r="I88" i="4"/>
  <c r="H88" i="4"/>
  <c r="G88" i="4"/>
  <c r="F88" i="4"/>
  <c r="E88" i="4"/>
  <c r="Q88" i="4"/>
  <c r="Q85" i="4"/>
  <c r="W7" i="4"/>
  <c r="W6" i="4"/>
  <c r="W5" i="4"/>
  <c r="Q47" i="4"/>
  <c r="Q42" i="4"/>
  <c r="Q37" i="4"/>
  <c r="Q40" i="4"/>
  <c r="P40" i="4"/>
  <c r="O40" i="4"/>
  <c r="N40" i="4"/>
  <c r="M40" i="4"/>
  <c r="L40" i="4"/>
  <c r="K40" i="4"/>
  <c r="J40" i="4"/>
  <c r="I40" i="4"/>
  <c r="H40" i="4"/>
  <c r="G40" i="4"/>
  <c r="F40" i="4"/>
  <c r="J11" i="15"/>
  <c r="J14" i="15"/>
  <c r="I12" i="4" s="1"/>
  <c r="I11" i="15"/>
  <c r="I14" i="15"/>
  <c r="H12" i="4" s="1"/>
  <c r="E40" i="4"/>
  <c r="Q66" i="15"/>
  <c r="P66" i="15"/>
  <c r="O66" i="15"/>
  <c r="N66" i="15"/>
  <c r="M66" i="15"/>
  <c r="L66" i="15"/>
  <c r="K66" i="15"/>
  <c r="J66" i="15"/>
  <c r="I66" i="15"/>
  <c r="H66" i="15"/>
  <c r="G66" i="15"/>
  <c r="P79" i="4"/>
  <c r="O79" i="4"/>
  <c r="N79" i="4"/>
  <c r="M79" i="4"/>
  <c r="L79" i="4"/>
  <c r="K79" i="4"/>
  <c r="J79" i="4"/>
  <c r="I79" i="4"/>
  <c r="H79" i="4"/>
  <c r="G79" i="4"/>
  <c r="F79" i="4"/>
  <c r="E79" i="4"/>
  <c r="P75" i="4"/>
  <c r="O75" i="4"/>
  <c r="N75" i="4"/>
  <c r="M75" i="4"/>
  <c r="L75" i="4"/>
  <c r="K75" i="4"/>
  <c r="J75" i="4"/>
  <c r="I75" i="4"/>
  <c r="H75" i="4"/>
  <c r="G75" i="4"/>
  <c r="F75" i="4"/>
  <c r="E75" i="4"/>
  <c r="P71" i="4"/>
  <c r="O71" i="4"/>
  <c r="N71" i="4"/>
  <c r="M71" i="4"/>
  <c r="L71" i="4"/>
  <c r="K71" i="4"/>
  <c r="J71" i="4"/>
  <c r="I71" i="4"/>
  <c r="H71" i="4"/>
  <c r="G71" i="4"/>
  <c r="F71" i="4"/>
  <c r="E71" i="4"/>
  <c r="P67" i="4"/>
  <c r="O67" i="4"/>
  <c r="N67" i="4"/>
  <c r="M67" i="4"/>
  <c r="L67" i="4"/>
  <c r="K67" i="4"/>
  <c r="J67" i="4"/>
  <c r="I67" i="4"/>
  <c r="H67" i="4"/>
  <c r="G67" i="4"/>
  <c r="F67" i="4"/>
  <c r="E67" i="4"/>
  <c r="P63" i="4"/>
  <c r="O63" i="4"/>
  <c r="N63" i="4"/>
  <c r="M63" i="4"/>
  <c r="L63" i="4"/>
  <c r="K63" i="4"/>
  <c r="J63" i="4"/>
  <c r="I63" i="4"/>
  <c r="H63" i="4"/>
  <c r="G63" i="4"/>
  <c r="F63" i="4"/>
  <c r="E63" i="4"/>
  <c r="P31" i="4"/>
  <c r="O31" i="4"/>
  <c r="N31" i="4"/>
  <c r="M31" i="4"/>
  <c r="L31" i="4"/>
  <c r="K31" i="4"/>
  <c r="J31" i="4"/>
  <c r="I31" i="4"/>
  <c r="H31" i="4"/>
  <c r="G31" i="4"/>
  <c r="F31" i="4"/>
  <c r="E31" i="4"/>
  <c r="P27" i="4"/>
  <c r="O27" i="4"/>
  <c r="N27" i="4"/>
  <c r="M27" i="4"/>
  <c r="L27" i="4"/>
  <c r="K27" i="4"/>
  <c r="J27" i="4"/>
  <c r="I27" i="4"/>
  <c r="H27" i="4"/>
  <c r="G27" i="4"/>
  <c r="F27" i="4"/>
  <c r="E27" i="4"/>
  <c r="P23" i="4"/>
  <c r="O23" i="4"/>
  <c r="N23" i="4"/>
  <c r="M23" i="4"/>
  <c r="L23" i="4"/>
  <c r="K23" i="4"/>
  <c r="J23" i="4"/>
  <c r="I23" i="4"/>
  <c r="H23" i="4"/>
  <c r="G23" i="4"/>
  <c r="F23" i="4"/>
  <c r="E23" i="4"/>
  <c r="P19" i="4"/>
  <c r="O19" i="4"/>
  <c r="N19" i="4"/>
  <c r="M19" i="4"/>
  <c r="L19" i="4"/>
  <c r="K19" i="4"/>
  <c r="J19" i="4"/>
  <c r="I19" i="4"/>
  <c r="H19" i="4"/>
  <c r="G19" i="4"/>
  <c r="F19" i="4"/>
  <c r="E19" i="4"/>
  <c r="P15" i="4"/>
  <c r="O15" i="4"/>
  <c r="N15" i="4"/>
  <c r="M15" i="4"/>
  <c r="L15" i="4"/>
  <c r="K15" i="4"/>
  <c r="J15" i="4"/>
  <c r="I15" i="4"/>
  <c r="H15" i="4"/>
  <c r="G15" i="4"/>
  <c r="F15" i="4"/>
  <c r="E15" i="4"/>
  <c r="N11" i="4"/>
  <c r="M11" i="4"/>
  <c r="Q23" i="4"/>
  <c r="Q15" i="4"/>
  <c r="Q19" i="4"/>
  <c r="Q75" i="4"/>
  <c r="Q31" i="4"/>
  <c r="Q27" i="4"/>
  <c r="Q71" i="4"/>
  <c r="Q63" i="4"/>
  <c r="Q67" i="4"/>
  <c r="Q79" i="4"/>
  <c r="T11" i="4"/>
  <c r="X11" i="4"/>
  <c r="T6" i="4"/>
  <c r="X6" i="4"/>
  <c r="F66" i="15"/>
  <c r="N3" i="24"/>
  <c r="M3" i="24"/>
  <c r="N3" i="23"/>
  <c r="M3" i="23"/>
  <c r="N400" i="24"/>
  <c r="L400" i="24"/>
  <c r="M400" i="24"/>
  <c r="K400" i="24"/>
  <c r="J400" i="24"/>
  <c r="I400" i="24"/>
  <c r="O399" i="24"/>
  <c r="P399" i="24"/>
  <c r="N399" i="24"/>
  <c r="M399" i="24"/>
  <c r="L399" i="24"/>
  <c r="K399" i="24"/>
  <c r="J399" i="24"/>
  <c r="I399" i="24"/>
  <c r="N398" i="24"/>
  <c r="M398" i="24"/>
  <c r="L398" i="24"/>
  <c r="K398" i="24"/>
  <c r="I398" i="24"/>
  <c r="J398" i="24"/>
  <c r="N397" i="24"/>
  <c r="M397" i="24"/>
  <c r="L397" i="24"/>
  <c r="K397" i="24"/>
  <c r="I397" i="24"/>
  <c r="J397" i="24"/>
  <c r="N396" i="24"/>
  <c r="O396" i="24"/>
  <c r="P396" i="24"/>
  <c r="M396" i="24"/>
  <c r="L396" i="24"/>
  <c r="K396" i="24"/>
  <c r="I396" i="24"/>
  <c r="J396" i="24"/>
  <c r="N395" i="24"/>
  <c r="L395" i="24"/>
  <c r="M395" i="24"/>
  <c r="K395" i="24"/>
  <c r="J395" i="24"/>
  <c r="I395" i="24"/>
  <c r="N394" i="24"/>
  <c r="L394" i="24"/>
  <c r="M394" i="24"/>
  <c r="K394" i="24"/>
  <c r="J394" i="24"/>
  <c r="I394" i="24"/>
  <c r="O393" i="24"/>
  <c r="P393" i="24"/>
  <c r="N393" i="24"/>
  <c r="M393" i="24"/>
  <c r="L393" i="24"/>
  <c r="K393" i="24"/>
  <c r="I393" i="24"/>
  <c r="J393" i="24"/>
  <c r="O392" i="24"/>
  <c r="N392" i="24"/>
  <c r="L392" i="24"/>
  <c r="M392" i="24"/>
  <c r="K392" i="24"/>
  <c r="J392" i="24"/>
  <c r="I392" i="24"/>
  <c r="N391" i="24"/>
  <c r="L391" i="24"/>
  <c r="M391" i="24"/>
  <c r="K391" i="24"/>
  <c r="J391" i="24"/>
  <c r="I391" i="24"/>
  <c r="N390" i="24"/>
  <c r="O390" i="24"/>
  <c r="P390" i="24"/>
  <c r="M390" i="24"/>
  <c r="L390" i="24"/>
  <c r="K390" i="24"/>
  <c r="J390" i="24"/>
  <c r="I390" i="24"/>
  <c r="N389" i="24"/>
  <c r="O389" i="24"/>
  <c r="P389" i="24"/>
  <c r="M389" i="24"/>
  <c r="L389" i="24"/>
  <c r="K389" i="24"/>
  <c r="I389" i="24"/>
  <c r="J389" i="24"/>
  <c r="N388" i="24"/>
  <c r="L388" i="24"/>
  <c r="M388" i="24"/>
  <c r="K388" i="24"/>
  <c r="I388" i="24"/>
  <c r="J388" i="24"/>
  <c r="O387" i="24"/>
  <c r="P387" i="24"/>
  <c r="N387" i="24"/>
  <c r="M387" i="24"/>
  <c r="L387" i="24"/>
  <c r="K387" i="24"/>
  <c r="I387" i="24"/>
  <c r="J387" i="24"/>
  <c r="P386" i="24"/>
  <c r="O386" i="24"/>
  <c r="N386" i="24"/>
  <c r="M386" i="24"/>
  <c r="L386" i="24"/>
  <c r="K386" i="24"/>
  <c r="J386" i="24"/>
  <c r="I386" i="24"/>
  <c r="N385" i="24"/>
  <c r="L385" i="24"/>
  <c r="M385" i="24"/>
  <c r="K385" i="24"/>
  <c r="J385" i="24"/>
  <c r="I385" i="24"/>
  <c r="O384" i="24"/>
  <c r="P384" i="24"/>
  <c r="N384" i="24"/>
  <c r="M384" i="24"/>
  <c r="L384" i="24"/>
  <c r="K384" i="24"/>
  <c r="I384" i="24"/>
  <c r="J384" i="24"/>
  <c r="N383" i="24"/>
  <c r="O383" i="24"/>
  <c r="P383" i="24"/>
  <c r="L383" i="24"/>
  <c r="M383" i="24"/>
  <c r="K383" i="24"/>
  <c r="J383" i="24"/>
  <c r="I383" i="24"/>
  <c r="N382" i="24"/>
  <c r="L382" i="24"/>
  <c r="M382" i="24"/>
  <c r="K382" i="24"/>
  <c r="I382" i="24"/>
  <c r="J382" i="24"/>
  <c r="N381" i="24"/>
  <c r="O381" i="24"/>
  <c r="P381" i="24"/>
  <c r="M381" i="24"/>
  <c r="L381" i="24"/>
  <c r="K381" i="24"/>
  <c r="J381" i="24"/>
  <c r="I381" i="24"/>
  <c r="N380" i="24"/>
  <c r="L380" i="24"/>
  <c r="M380" i="24"/>
  <c r="K380" i="24"/>
  <c r="I380" i="24"/>
  <c r="J380" i="24"/>
  <c r="N379" i="24"/>
  <c r="M379" i="24"/>
  <c r="L379" i="24"/>
  <c r="K379" i="24"/>
  <c r="I379" i="24"/>
  <c r="J379" i="24"/>
  <c r="O378" i="24"/>
  <c r="P378" i="24"/>
  <c r="N378" i="24"/>
  <c r="M378" i="24"/>
  <c r="L378" i="24"/>
  <c r="K378" i="24"/>
  <c r="I378" i="24"/>
  <c r="J378" i="24"/>
  <c r="N377" i="24"/>
  <c r="M377" i="24"/>
  <c r="L377" i="24"/>
  <c r="K377" i="24"/>
  <c r="I377" i="24"/>
  <c r="J377" i="24"/>
  <c r="N376" i="24"/>
  <c r="L376" i="24"/>
  <c r="M376" i="24"/>
  <c r="K376" i="24"/>
  <c r="J376" i="24"/>
  <c r="I376" i="24"/>
  <c r="N375" i="24"/>
  <c r="O375" i="24"/>
  <c r="P375" i="24"/>
  <c r="M375" i="24"/>
  <c r="L375" i="24"/>
  <c r="K375" i="24"/>
  <c r="J375" i="24"/>
  <c r="I375" i="24"/>
  <c r="P374" i="24"/>
  <c r="O374" i="24"/>
  <c r="N374" i="24"/>
  <c r="M374" i="24"/>
  <c r="L374" i="24"/>
  <c r="K374" i="24"/>
  <c r="J374" i="24"/>
  <c r="I374" i="24"/>
  <c r="N373" i="24"/>
  <c r="L373" i="24"/>
  <c r="M373" i="24"/>
  <c r="K373" i="24"/>
  <c r="I373" i="24"/>
  <c r="J373" i="24"/>
  <c r="P372" i="24"/>
  <c r="O372" i="24"/>
  <c r="N372" i="24"/>
  <c r="M372" i="24"/>
  <c r="L372" i="24"/>
  <c r="K372" i="24"/>
  <c r="J372" i="24"/>
  <c r="I372" i="24"/>
  <c r="N371" i="24"/>
  <c r="O371" i="24"/>
  <c r="P371" i="24"/>
  <c r="M371" i="24"/>
  <c r="L371" i="24"/>
  <c r="K371" i="24"/>
  <c r="I371" i="24"/>
  <c r="J371" i="24"/>
  <c r="N370" i="24"/>
  <c r="M370" i="24"/>
  <c r="L370" i="24"/>
  <c r="K370" i="24"/>
  <c r="I370" i="24"/>
  <c r="J370" i="24"/>
  <c r="O369" i="24"/>
  <c r="P369" i="24"/>
  <c r="N369" i="24"/>
  <c r="M369" i="24"/>
  <c r="L369" i="24"/>
  <c r="K369" i="24"/>
  <c r="I369" i="24"/>
  <c r="J369" i="24"/>
  <c r="N368" i="24"/>
  <c r="M368" i="24"/>
  <c r="L368" i="24"/>
  <c r="K368" i="24"/>
  <c r="J368" i="24"/>
  <c r="I368" i="24"/>
  <c r="N367" i="24"/>
  <c r="M367" i="24"/>
  <c r="L367" i="24"/>
  <c r="K367" i="24"/>
  <c r="I367" i="24"/>
  <c r="J367" i="24"/>
  <c r="O366" i="24"/>
  <c r="P366" i="24"/>
  <c r="N366" i="24"/>
  <c r="M366" i="24"/>
  <c r="L366" i="24"/>
  <c r="K366" i="24"/>
  <c r="I366" i="24"/>
  <c r="J366" i="24"/>
  <c r="N365" i="24"/>
  <c r="O365" i="24"/>
  <c r="P365" i="24"/>
  <c r="L365" i="24"/>
  <c r="M365" i="24"/>
  <c r="K365" i="24"/>
  <c r="J365" i="24"/>
  <c r="I365" i="24"/>
  <c r="N364" i="24"/>
  <c r="M364" i="24"/>
  <c r="L364" i="24"/>
  <c r="K364" i="24"/>
  <c r="J364" i="24"/>
  <c r="I364" i="24"/>
  <c r="N363" i="24"/>
  <c r="O363" i="24"/>
  <c r="P363" i="24"/>
  <c r="M363" i="24"/>
  <c r="L363" i="24"/>
  <c r="K363" i="24"/>
  <c r="J363" i="24"/>
  <c r="I363" i="24"/>
  <c r="N362" i="24"/>
  <c r="M362" i="24"/>
  <c r="L362" i="24"/>
  <c r="K362" i="24"/>
  <c r="I362" i="24"/>
  <c r="J362" i="24"/>
  <c r="N361" i="24"/>
  <c r="M361" i="24"/>
  <c r="L361" i="24"/>
  <c r="K361" i="24"/>
  <c r="I361" i="24"/>
  <c r="J361" i="24"/>
  <c r="N360" i="24"/>
  <c r="O360" i="24"/>
  <c r="P360" i="24"/>
  <c r="M360" i="24"/>
  <c r="L360" i="24"/>
  <c r="K360" i="24"/>
  <c r="J360" i="24"/>
  <c r="I360" i="24"/>
  <c r="N359" i="24"/>
  <c r="L359" i="24"/>
  <c r="M359" i="24"/>
  <c r="K359" i="24"/>
  <c r="J359" i="24"/>
  <c r="I359" i="24"/>
  <c r="N358" i="24"/>
  <c r="L358" i="24"/>
  <c r="M358" i="24"/>
  <c r="K358" i="24"/>
  <c r="J358" i="24"/>
  <c r="I358" i="24"/>
  <c r="O357" i="24"/>
  <c r="P357" i="24"/>
  <c r="N357" i="24"/>
  <c r="M357" i="24"/>
  <c r="L357" i="24"/>
  <c r="K357" i="24"/>
  <c r="J357" i="24"/>
  <c r="I357" i="24"/>
  <c r="N356" i="24"/>
  <c r="M356" i="24"/>
  <c r="L356" i="24"/>
  <c r="K356" i="24"/>
  <c r="I356" i="24"/>
  <c r="J356" i="24"/>
  <c r="N355" i="24"/>
  <c r="M355" i="24"/>
  <c r="L355" i="24"/>
  <c r="K355" i="24"/>
  <c r="I355" i="24"/>
  <c r="J355" i="24"/>
  <c r="P354" i="24"/>
  <c r="O354" i="24"/>
  <c r="N354" i="24"/>
  <c r="M354" i="24"/>
  <c r="L354" i="24"/>
  <c r="K354" i="24"/>
  <c r="I354" i="24"/>
  <c r="J354" i="24"/>
  <c r="P353" i="24"/>
  <c r="O353" i="24"/>
  <c r="N353" i="24"/>
  <c r="M353" i="24"/>
  <c r="L353" i="24"/>
  <c r="K353" i="24"/>
  <c r="I353" i="24"/>
  <c r="J353" i="24"/>
  <c r="N352" i="24"/>
  <c r="L352" i="24"/>
  <c r="M352" i="24"/>
  <c r="K352" i="24"/>
  <c r="I352" i="24"/>
  <c r="J352" i="24"/>
  <c r="P351" i="24"/>
  <c r="O351" i="24"/>
  <c r="N351" i="24"/>
  <c r="M351" i="24"/>
  <c r="L351" i="24"/>
  <c r="K351" i="24"/>
  <c r="J351" i="24"/>
  <c r="I351" i="24"/>
  <c r="N350" i="24"/>
  <c r="O350" i="24"/>
  <c r="P350" i="24"/>
  <c r="L350" i="24"/>
  <c r="M350" i="24"/>
  <c r="K350" i="24"/>
  <c r="J350" i="24"/>
  <c r="I350" i="24"/>
  <c r="N349" i="24"/>
  <c r="L349" i="24"/>
  <c r="M349" i="24"/>
  <c r="K349" i="24"/>
  <c r="I349" i="24"/>
  <c r="J349" i="24"/>
  <c r="N348" i="24"/>
  <c r="O348" i="24"/>
  <c r="P348" i="24"/>
  <c r="M348" i="24"/>
  <c r="L348" i="24"/>
  <c r="K348" i="24"/>
  <c r="I348" i="24"/>
  <c r="J348" i="24"/>
  <c r="N347" i="24"/>
  <c r="L347" i="24"/>
  <c r="M347" i="24"/>
  <c r="K347" i="24"/>
  <c r="I347" i="24"/>
  <c r="J347" i="24"/>
  <c r="N346" i="24"/>
  <c r="M346" i="24"/>
  <c r="L346" i="24"/>
  <c r="K346" i="24"/>
  <c r="I346" i="24"/>
  <c r="J346" i="24"/>
  <c r="O345" i="24"/>
  <c r="P345" i="24"/>
  <c r="N345" i="24"/>
  <c r="M345" i="24"/>
  <c r="L345" i="24"/>
  <c r="K345" i="24"/>
  <c r="J345" i="24"/>
  <c r="I345" i="24"/>
  <c r="N344" i="24"/>
  <c r="L344" i="24"/>
  <c r="M344" i="24"/>
  <c r="K344" i="24"/>
  <c r="I344" i="24"/>
  <c r="J344" i="24"/>
  <c r="N343" i="24"/>
  <c r="L343" i="24"/>
  <c r="M343" i="24"/>
  <c r="K343" i="24"/>
  <c r="I343" i="24"/>
  <c r="J343" i="24"/>
  <c r="O342" i="24"/>
  <c r="P342" i="24"/>
  <c r="N342" i="24"/>
  <c r="M342" i="24"/>
  <c r="L342" i="24"/>
  <c r="K342" i="24"/>
  <c r="I342" i="24"/>
  <c r="J342" i="24"/>
  <c r="P341" i="24"/>
  <c r="N341" i="24"/>
  <c r="L341" i="24"/>
  <c r="M341" i="24"/>
  <c r="K341" i="24"/>
  <c r="O341" i="24"/>
  <c r="J341" i="24"/>
  <c r="I341" i="24"/>
  <c r="N340" i="24"/>
  <c r="L340" i="24"/>
  <c r="M340" i="24"/>
  <c r="K340" i="24"/>
  <c r="J340" i="24"/>
  <c r="I340" i="24"/>
  <c r="O339" i="24"/>
  <c r="P339" i="24"/>
  <c r="N339" i="24"/>
  <c r="M339" i="24"/>
  <c r="L339" i="24"/>
  <c r="K339" i="24"/>
  <c r="I339" i="24"/>
  <c r="J339" i="24"/>
  <c r="N338" i="24"/>
  <c r="M338" i="24"/>
  <c r="L338" i="24"/>
  <c r="K338" i="24"/>
  <c r="I338" i="24"/>
  <c r="J338" i="24"/>
  <c r="N337" i="24"/>
  <c r="M337" i="24"/>
  <c r="L337" i="24"/>
  <c r="K337" i="24"/>
  <c r="I337" i="24"/>
  <c r="J337" i="24"/>
  <c r="P336" i="24"/>
  <c r="O336" i="24"/>
  <c r="N336" i="24"/>
  <c r="M336" i="24"/>
  <c r="L336" i="24"/>
  <c r="K336" i="24"/>
  <c r="I336" i="24"/>
  <c r="J336" i="24"/>
  <c r="O335" i="24"/>
  <c r="P335" i="24"/>
  <c r="N335" i="24"/>
  <c r="L335" i="24"/>
  <c r="M335" i="24"/>
  <c r="K335" i="24"/>
  <c r="I335" i="24"/>
  <c r="J335" i="24"/>
  <c r="N334" i="24"/>
  <c r="L334" i="24"/>
  <c r="M334" i="24"/>
  <c r="K334" i="24"/>
  <c r="J334" i="24"/>
  <c r="I334" i="24"/>
  <c r="N333" i="24"/>
  <c r="O333" i="24"/>
  <c r="P333" i="24"/>
  <c r="M333" i="24"/>
  <c r="L333" i="24"/>
  <c r="K333" i="24"/>
  <c r="J333" i="24"/>
  <c r="I333" i="24"/>
  <c r="P332" i="24"/>
  <c r="N332" i="24"/>
  <c r="L332" i="24"/>
  <c r="M332" i="24"/>
  <c r="K332" i="24"/>
  <c r="O332" i="24"/>
  <c r="J332" i="24"/>
  <c r="I332" i="24"/>
  <c r="N331" i="24"/>
  <c r="M331" i="24"/>
  <c r="L331" i="24"/>
  <c r="K331" i="24"/>
  <c r="J331" i="24"/>
  <c r="I331" i="24"/>
  <c r="N330" i="24"/>
  <c r="O330" i="24"/>
  <c r="P330" i="24"/>
  <c r="M330" i="24"/>
  <c r="L330" i="24"/>
  <c r="K330" i="24"/>
  <c r="I330" i="24"/>
  <c r="J330" i="24"/>
  <c r="O329" i="24"/>
  <c r="P329" i="24"/>
  <c r="N329" i="24"/>
  <c r="M329" i="24"/>
  <c r="L329" i="24"/>
  <c r="K329" i="24"/>
  <c r="I329" i="24"/>
  <c r="J329" i="24"/>
  <c r="N328" i="24"/>
  <c r="M328" i="24"/>
  <c r="L328" i="24"/>
  <c r="K328" i="24"/>
  <c r="J328" i="24"/>
  <c r="I328" i="24"/>
  <c r="O327" i="24"/>
  <c r="P327" i="24"/>
  <c r="N327" i="24"/>
  <c r="M327" i="24"/>
  <c r="L327" i="24"/>
  <c r="K327" i="24"/>
  <c r="J327" i="24"/>
  <c r="I327" i="24"/>
  <c r="O326" i="24"/>
  <c r="N326" i="24"/>
  <c r="L326" i="24"/>
  <c r="M326" i="24"/>
  <c r="K326" i="24"/>
  <c r="J326" i="24"/>
  <c r="I326" i="24"/>
  <c r="N325" i="24"/>
  <c r="L325" i="24"/>
  <c r="M325" i="24"/>
  <c r="K325" i="24"/>
  <c r="I325" i="24"/>
  <c r="J325" i="24"/>
  <c r="P324" i="24"/>
  <c r="O324" i="24"/>
  <c r="N324" i="24"/>
  <c r="M324" i="24"/>
  <c r="L324" i="24"/>
  <c r="K324" i="24"/>
  <c r="I324" i="24"/>
  <c r="J324" i="24"/>
  <c r="N323" i="24"/>
  <c r="L323" i="24"/>
  <c r="M323" i="24"/>
  <c r="K323" i="24"/>
  <c r="I323" i="24"/>
  <c r="J323" i="24"/>
  <c r="N322" i="24"/>
  <c r="L322" i="24"/>
  <c r="M322" i="24"/>
  <c r="K322" i="24"/>
  <c r="J322" i="24"/>
  <c r="I322" i="24"/>
  <c r="O321" i="24"/>
  <c r="P321" i="24"/>
  <c r="N321" i="24"/>
  <c r="M321" i="24"/>
  <c r="L321" i="24"/>
  <c r="K321" i="24"/>
  <c r="I321" i="24"/>
  <c r="J321" i="24"/>
  <c r="O320" i="24"/>
  <c r="N320" i="24"/>
  <c r="M320" i="24"/>
  <c r="L320" i="24"/>
  <c r="K320" i="24"/>
  <c r="I320" i="24"/>
  <c r="J320" i="24"/>
  <c r="N319" i="24"/>
  <c r="M319" i="24"/>
  <c r="L319" i="24"/>
  <c r="K319" i="24"/>
  <c r="I319" i="24"/>
  <c r="J319" i="24"/>
  <c r="P318" i="24"/>
  <c r="O318" i="24"/>
  <c r="N318" i="24"/>
  <c r="M318" i="24"/>
  <c r="L318" i="24"/>
  <c r="K318" i="24"/>
  <c r="I318" i="24"/>
  <c r="J318" i="24"/>
  <c r="P317" i="24"/>
  <c r="O317" i="24"/>
  <c r="N317" i="24"/>
  <c r="M317" i="24"/>
  <c r="L317" i="24"/>
  <c r="K317" i="24"/>
  <c r="I317" i="24"/>
  <c r="J317" i="24"/>
  <c r="N316" i="24"/>
  <c r="L316" i="24"/>
  <c r="M316" i="24"/>
  <c r="K316" i="24"/>
  <c r="I316" i="24"/>
  <c r="J316" i="24"/>
  <c r="N315" i="24"/>
  <c r="O315" i="24"/>
  <c r="P315" i="24"/>
  <c r="M315" i="24"/>
  <c r="L315" i="24"/>
  <c r="K315" i="24"/>
  <c r="J315" i="24"/>
  <c r="I315" i="24"/>
  <c r="O314" i="24"/>
  <c r="P314" i="24"/>
  <c r="N314" i="24"/>
  <c r="M314" i="24"/>
  <c r="L314" i="24"/>
  <c r="K314" i="24"/>
  <c r="J314" i="24"/>
  <c r="I314" i="24"/>
  <c r="N313" i="24"/>
  <c r="L313" i="24"/>
  <c r="M313" i="24"/>
  <c r="K313" i="24"/>
  <c r="I313" i="24"/>
  <c r="J313" i="24"/>
  <c r="N312" i="24"/>
  <c r="O312" i="24"/>
  <c r="P312" i="24"/>
  <c r="M312" i="24"/>
  <c r="L312" i="24"/>
  <c r="K312" i="24"/>
  <c r="I312" i="24"/>
  <c r="J312" i="24"/>
  <c r="N311" i="24"/>
  <c r="L311" i="24"/>
  <c r="M311" i="24"/>
  <c r="K311" i="24"/>
  <c r="J311" i="24"/>
  <c r="I311" i="24"/>
  <c r="N310" i="24"/>
  <c r="M310" i="24"/>
  <c r="L310" i="24"/>
  <c r="K310" i="24"/>
  <c r="I310" i="24"/>
  <c r="J310" i="24"/>
  <c r="N309" i="24"/>
  <c r="O309" i="24"/>
  <c r="P309" i="24"/>
  <c r="M309" i="24"/>
  <c r="L309" i="24"/>
  <c r="K309" i="24"/>
  <c r="J309" i="24"/>
  <c r="I309" i="24"/>
  <c r="N308" i="24"/>
  <c r="L308" i="24"/>
  <c r="M308" i="24"/>
  <c r="K308" i="24"/>
  <c r="I308" i="24"/>
  <c r="J308" i="24"/>
  <c r="N307" i="24"/>
  <c r="M307" i="24"/>
  <c r="L307" i="24"/>
  <c r="K307" i="24"/>
  <c r="I307" i="24"/>
  <c r="J307" i="24"/>
  <c r="O306" i="24"/>
  <c r="P306" i="24"/>
  <c r="N306" i="24"/>
  <c r="M306" i="24"/>
  <c r="L306" i="24"/>
  <c r="K306" i="24"/>
  <c r="I306" i="24"/>
  <c r="J306" i="24"/>
  <c r="O305" i="24"/>
  <c r="P305" i="24"/>
  <c r="N305" i="24"/>
  <c r="M305" i="24"/>
  <c r="L305" i="24"/>
  <c r="K305" i="24"/>
  <c r="I305" i="24"/>
  <c r="J305" i="24"/>
  <c r="N304" i="24"/>
  <c r="M304" i="24"/>
  <c r="L304" i="24"/>
  <c r="K304" i="24"/>
  <c r="I304" i="24"/>
  <c r="J304" i="24"/>
  <c r="N303" i="24"/>
  <c r="O303" i="24"/>
  <c r="P303" i="24"/>
  <c r="M303" i="24"/>
  <c r="L303" i="24"/>
  <c r="K303" i="24"/>
  <c r="J303" i="24"/>
  <c r="I303" i="24"/>
  <c r="N302" i="24"/>
  <c r="M302" i="24"/>
  <c r="L302" i="24"/>
  <c r="K302" i="24"/>
  <c r="J302" i="24"/>
  <c r="I302" i="24"/>
  <c r="N301" i="24"/>
  <c r="L301" i="24"/>
  <c r="M301" i="24"/>
  <c r="K301" i="24"/>
  <c r="J301" i="24"/>
  <c r="I301" i="24"/>
  <c r="O300" i="24"/>
  <c r="P300" i="24"/>
  <c r="N300" i="24"/>
  <c r="M300" i="24"/>
  <c r="L300" i="24"/>
  <c r="K300" i="24"/>
  <c r="J300" i="24"/>
  <c r="I300" i="24"/>
  <c r="N299" i="24"/>
  <c r="M299" i="24"/>
  <c r="L299" i="24"/>
  <c r="K299" i="24"/>
  <c r="I299" i="24"/>
  <c r="J299" i="24"/>
  <c r="N298" i="24"/>
  <c r="M298" i="24"/>
  <c r="L298" i="24"/>
  <c r="K298" i="24"/>
  <c r="I298" i="24"/>
  <c r="J298" i="24"/>
  <c r="N297" i="24"/>
  <c r="O297" i="24"/>
  <c r="P297" i="24"/>
  <c r="M297" i="24"/>
  <c r="L297" i="24"/>
  <c r="K297" i="24"/>
  <c r="I297" i="24"/>
  <c r="J297" i="24"/>
  <c r="N296" i="24"/>
  <c r="M296" i="24"/>
  <c r="L296" i="24"/>
  <c r="K296" i="24"/>
  <c r="I296" i="24"/>
  <c r="J296" i="24"/>
  <c r="N295" i="24"/>
  <c r="L295" i="24"/>
  <c r="M295" i="24"/>
  <c r="K295" i="24"/>
  <c r="I295" i="24"/>
  <c r="J295" i="24"/>
  <c r="O294" i="24"/>
  <c r="P294" i="24"/>
  <c r="N294" i="24"/>
  <c r="M294" i="24"/>
  <c r="L294" i="24"/>
  <c r="K294" i="24"/>
  <c r="I294" i="24"/>
  <c r="J294" i="24"/>
  <c r="O293" i="24"/>
  <c r="P293" i="24"/>
  <c r="N293" i="24"/>
  <c r="L293" i="24"/>
  <c r="M293" i="24"/>
  <c r="K293" i="24"/>
  <c r="J293" i="24"/>
  <c r="I293" i="24"/>
  <c r="N292" i="24"/>
  <c r="M292" i="24"/>
  <c r="L292" i="24"/>
  <c r="K292" i="24"/>
  <c r="I292" i="24"/>
  <c r="J292" i="24"/>
  <c r="P291" i="24"/>
  <c r="N291" i="24"/>
  <c r="O291" i="24"/>
  <c r="M291" i="24"/>
  <c r="L291" i="24"/>
  <c r="K291" i="24"/>
  <c r="I291" i="24"/>
  <c r="J291" i="24"/>
  <c r="N290" i="24"/>
  <c r="L290" i="24"/>
  <c r="M290" i="24"/>
  <c r="K290" i="24"/>
  <c r="I290" i="24"/>
  <c r="J290" i="24"/>
  <c r="N289" i="24"/>
  <c r="M289" i="24"/>
  <c r="L289" i="24"/>
  <c r="K289" i="24"/>
  <c r="I289" i="24"/>
  <c r="J289" i="24"/>
  <c r="N288" i="24"/>
  <c r="O288" i="24"/>
  <c r="P288" i="24"/>
  <c r="M288" i="24"/>
  <c r="L288" i="24"/>
  <c r="K288" i="24"/>
  <c r="J288" i="24"/>
  <c r="I288" i="24"/>
  <c r="N287" i="24"/>
  <c r="L287" i="24"/>
  <c r="M287" i="24"/>
  <c r="K287" i="24"/>
  <c r="O287" i="24"/>
  <c r="I287" i="24"/>
  <c r="J287" i="24"/>
  <c r="N286" i="24"/>
  <c r="L286" i="24"/>
  <c r="M286" i="24"/>
  <c r="K286" i="24"/>
  <c r="J286" i="24"/>
  <c r="I286" i="24"/>
  <c r="O285" i="24"/>
  <c r="P285" i="24"/>
  <c r="N285" i="24"/>
  <c r="M285" i="24"/>
  <c r="L285" i="24"/>
  <c r="K285" i="24"/>
  <c r="I285" i="24"/>
  <c r="J285" i="24"/>
  <c r="O284" i="24"/>
  <c r="N284" i="24"/>
  <c r="M284" i="24"/>
  <c r="L284" i="24"/>
  <c r="K284" i="24"/>
  <c r="J284" i="24"/>
  <c r="I284" i="24"/>
  <c r="N283" i="24"/>
  <c r="L283" i="24"/>
  <c r="M283" i="24"/>
  <c r="K283" i="24"/>
  <c r="I283" i="24"/>
  <c r="J283" i="24"/>
  <c r="O282" i="24"/>
  <c r="P282" i="24"/>
  <c r="N282" i="24"/>
  <c r="M282" i="24"/>
  <c r="L282" i="24"/>
  <c r="K282" i="24"/>
  <c r="J282" i="24"/>
  <c r="I282" i="24"/>
  <c r="N281" i="24"/>
  <c r="M281" i="24"/>
  <c r="L281" i="24"/>
  <c r="K281" i="24"/>
  <c r="I281" i="24"/>
  <c r="J281" i="24"/>
  <c r="N280" i="24"/>
  <c r="M280" i="24"/>
  <c r="L280" i="24"/>
  <c r="K280" i="24"/>
  <c r="J280" i="24"/>
  <c r="I280" i="24"/>
  <c r="N279" i="24"/>
  <c r="O279" i="24"/>
  <c r="P279" i="24"/>
  <c r="M279" i="24"/>
  <c r="L279" i="24"/>
  <c r="K279" i="24"/>
  <c r="I279" i="24"/>
  <c r="J279" i="24"/>
  <c r="N278" i="24"/>
  <c r="O278" i="24"/>
  <c r="P278" i="24"/>
  <c r="M278" i="24"/>
  <c r="L278" i="24"/>
  <c r="K278" i="24"/>
  <c r="J278" i="24"/>
  <c r="I278" i="24"/>
  <c r="N277" i="24"/>
  <c r="L277" i="24"/>
  <c r="M277" i="24"/>
  <c r="K277" i="24"/>
  <c r="I277" i="24"/>
  <c r="J277" i="24"/>
  <c r="O276" i="24"/>
  <c r="P276" i="24"/>
  <c r="N276" i="24"/>
  <c r="M276" i="24"/>
  <c r="L276" i="24"/>
  <c r="K276" i="24"/>
  <c r="I276" i="24"/>
  <c r="J276" i="24"/>
  <c r="N275" i="24"/>
  <c r="L275" i="24"/>
  <c r="M275" i="24"/>
  <c r="K275" i="24"/>
  <c r="I275" i="24"/>
  <c r="J275" i="24"/>
  <c r="N274" i="24"/>
  <c r="M274" i="24"/>
  <c r="L274" i="24"/>
  <c r="K274" i="24"/>
  <c r="I274" i="24"/>
  <c r="J274" i="24"/>
  <c r="O273" i="24"/>
  <c r="P273" i="24"/>
  <c r="N273" i="24"/>
  <c r="M273" i="24"/>
  <c r="L273" i="24"/>
  <c r="K273" i="24"/>
  <c r="I273" i="24"/>
  <c r="J273" i="24"/>
  <c r="N272" i="24"/>
  <c r="L272" i="24"/>
  <c r="M272" i="24"/>
  <c r="K272" i="24"/>
  <c r="I272" i="24"/>
  <c r="J272" i="24"/>
  <c r="N271" i="24"/>
  <c r="L271" i="24"/>
  <c r="M271" i="24"/>
  <c r="K271" i="24"/>
  <c r="I271" i="24"/>
  <c r="J271" i="24"/>
  <c r="O270" i="24"/>
  <c r="P270" i="24"/>
  <c r="N270" i="24"/>
  <c r="M270" i="24"/>
  <c r="L270" i="24"/>
  <c r="K270" i="24"/>
  <c r="I270" i="24"/>
  <c r="J270" i="24"/>
  <c r="P269" i="24"/>
  <c r="O269" i="24"/>
  <c r="N269" i="24"/>
  <c r="M269" i="24"/>
  <c r="L269" i="24"/>
  <c r="K269" i="24"/>
  <c r="I269" i="24"/>
  <c r="J269" i="24"/>
  <c r="N268" i="24"/>
  <c r="L268" i="24"/>
  <c r="M268" i="24"/>
  <c r="K268" i="24"/>
  <c r="I268" i="24"/>
  <c r="J268" i="24"/>
  <c r="N267" i="24"/>
  <c r="O267" i="24"/>
  <c r="P267" i="24"/>
  <c r="M267" i="24"/>
  <c r="L267" i="24"/>
  <c r="K267" i="24"/>
  <c r="I267" i="24"/>
  <c r="J267" i="24"/>
  <c r="N266" i="24"/>
  <c r="O266" i="24"/>
  <c r="P266" i="24"/>
  <c r="M266" i="24"/>
  <c r="L266" i="24"/>
  <c r="K266" i="24"/>
  <c r="J266" i="24"/>
  <c r="I266" i="24"/>
  <c r="N265" i="24"/>
  <c r="L265" i="24"/>
  <c r="M265" i="24"/>
  <c r="K265" i="24"/>
  <c r="J265" i="24"/>
  <c r="I265" i="24"/>
  <c r="O264" i="24"/>
  <c r="P264" i="24"/>
  <c r="N264" i="24"/>
  <c r="M264" i="24"/>
  <c r="L264" i="24"/>
  <c r="K264" i="24"/>
  <c r="J264" i="24"/>
  <c r="I264" i="24"/>
  <c r="N263" i="24"/>
  <c r="O263" i="24"/>
  <c r="P263" i="24"/>
  <c r="M263" i="24"/>
  <c r="L263" i="24"/>
  <c r="K263" i="24"/>
  <c r="I263" i="24"/>
  <c r="J263" i="24"/>
  <c r="N262" i="24"/>
  <c r="M262" i="24"/>
  <c r="L262" i="24"/>
  <c r="K262" i="24"/>
  <c r="I262" i="24"/>
  <c r="J262" i="24"/>
  <c r="N261" i="24"/>
  <c r="O261" i="24"/>
  <c r="P261" i="24"/>
  <c r="M261" i="24"/>
  <c r="L261" i="24"/>
  <c r="K261" i="24"/>
  <c r="I261" i="24"/>
  <c r="J261" i="24"/>
  <c r="N260" i="24"/>
  <c r="L260" i="24"/>
  <c r="M260" i="24"/>
  <c r="K260" i="24"/>
  <c r="J260" i="24"/>
  <c r="I260" i="24"/>
  <c r="N259" i="24"/>
  <c r="M259" i="24"/>
  <c r="L259" i="24"/>
  <c r="K259" i="24"/>
  <c r="I259" i="24"/>
  <c r="J259" i="24"/>
  <c r="N258" i="24"/>
  <c r="O258" i="24"/>
  <c r="P258" i="24"/>
  <c r="M258" i="24"/>
  <c r="L258" i="24"/>
  <c r="K258" i="24"/>
  <c r="I258" i="24"/>
  <c r="J258" i="24"/>
  <c r="N257" i="24"/>
  <c r="L257" i="24"/>
  <c r="M257" i="24"/>
  <c r="K257" i="24"/>
  <c r="I257" i="24"/>
  <c r="J257" i="24"/>
  <c r="N256" i="24"/>
  <c r="M256" i="24"/>
  <c r="L256" i="24"/>
  <c r="K256" i="24"/>
  <c r="J256" i="24"/>
  <c r="I256" i="24"/>
  <c r="N255" i="24"/>
  <c r="O255" i="24"/>
  <c r="P255" i="24"/>
  <c r="M255" i="24"/>
  <c r="L255" i="24"/>
  <c r="K255" i="24"/>
  <c r="I255" i="24"/>
  <c r="J255" i="24"/>
  <c r="N254" i="24"/>
  <c r="O254" i="24"/>
  <c r="M254" i="24"/>
  <c r="L254" i="24"/>
  <c r="K254" i="24"/>
  <c r="I254" i="24"/>
  <c r="J254" i="24"/>
  <c r="N253" i="24"/>
  <c r="M253" i="24"/>
  <c r="L253" i="24"/>
  <c r="K253" i="24"/>
  <c r="I253" i="24"/>
  <c r="J253" i="24"/>
  <c r="N252" i="24"/>
  <c r="O252" i="24"/>
  <c r="P252" i="24"/>
  <c r="M252" i="24"/>
  <c r="L252" i="24"/>
  <c r="K252" i="24"/>
  <c r="J252" i="24"/>
  <c r="I252" i="24"/>
  <c r="N251" i="24"/>
  <c r="L251" i="24"/>
  <c r="M251" i="24"/>
  <c r="K251" i="24"/>
  <c r="J251" i="24"/>
  <c r="I251" i="24"/>
  <c r="N250" i="24"/>
  <c r="L250" i="24"/>
  <c r="M250" i="24"/>
  <c r="K250" i="24"/>
  <c r="J250" i="24"/>
  <c r="I250" i="24"/>
  <c r="N249" i="24"/>
  <c r="O249" i="24"/>
  <c r="P249" i="24"/>
  <c r="M249" i="24"/>
  <c r="L249" i="24"/>
  <c r="K249" i="24"/>
  <c r="I249" i="24"/>
  <c r="J249" i="24"/>
  <c r="O248" i="24"/>
  <c r="N248" i="24"/>
  <c r="M248" i="24"/>
  <c r="L248" i="24"/>
  <c r="K248" i="24"/>
  <c r="J248" i="24"/>
  <c r="I248" i="24"/>
  <c r="N247" i="24"/>
  <c r="M247" i="24"/>
  <c r="L247" i="24"/>
  <c r="K247" i="24"/>
  <c r="I247" i="24"/>
  <c r="J247" i="24"/>
  <c r="O246" i="24"/>
  <c r="P246" i="24"/>
  <c r="N246" i="24"/>
  <c r="M246" i="24"/>
  <c r="L246" i="24"/>
  <c r="K246" i="24"/>
  <c r="J246" i="24"/>
  <c r="I246" i="24"/>
  <c r="N245" i="24"/>
  <c r="M245" i="24"/>
  <c r="L245" i="24"/>
  <c r="K245" i="24"/>
  <c r="I245" i="24"/>
  <c r="J245" i="24"/>
  <c r="N244" i="24"/>
  <c r="M244" i="24"/>
  <c r="L244" i="24"/>
  <c r="K244" i="24"/>
  <c r="J244" i="24"/>
  <c r="I244" i="24"/>
  <c r="N243" i="24"/>
  <c r="O243" i="24"/>
  <c r="P243" i="24"/>
  <c r="M243" i="24"/>
  <c r="L243" i="24"/>
  <c r="K243" i="24"/>
  <c r="I243" i="24"/>
  <c r="J243" i="24"/>
  <c r="N242" i="24"/>
  <c r="O242" i="24"/>
  <c r="P242" i="24"/>
  <c r="L242" i="24"/>
  <c r="M242" i="24"/>
  <c r="K242" i="24"/>
  <c r="J242" i="24"/>
  <c r="I242" i="24"/>
  <c r="N241" i="24"/>
  <c r="L241" i="24"/>
  <c r="M241" i="24"/>
  <c r="K241" i="24"/>
  <c r="I241" i="24"/>
  <c r="J241" i="24"/>
  <c r="N240" i="24"/>
  <c r="O240" i="24"/>
  <c r="P240" i="24"/>
  <c r="M240" i="24"/>
  <c r="L240" i="24"/>
  <c r="K240" i="24"/>
  <c r="I240" i="24"/>
  <c r="J240" i="24"/>
  <c r="O239" i="24"/>
  <c r="N239" i="24"/>
  <c r="L239" i="24"/>
  <c r="M239" i="24"/>
  <c r="K239" i="24"/>
  <c r="I239" i="24"/>
  <c r="J239" i="24"/>
  <c r="N238" i="24"/>
  <c r="M238" i="24"/>
  <c r="L238" i="24"/>
  <c r="K238" i="24"/>
  <c r="I238" i="24"/>
  <c r="J238" i="24"/>
  <c r="P237" i="24"/>
  <c r="O237" i="24"/>
  <c r="N237" i="24"/>
  <c r="M237" i="24"/>
  <c r="L237" i="24"/>
  <c r="K237" i="24"/>
  <c r="I237" i="24"/>
  <c r="J237" i="24"/>
  <c r="N236" i="24"/>
  <c r="L236" i="24"/>
  <c r="M236" i="24"/>
  <c r="K236" i="24"/>
  <c r="I236" i="24"/>
  <c r="J236" i="24"/>
  <c r="N235" i="24"/>
  <c r="L235" i="24"/>
  <c r="M235" i="24"/>
  <c r="K235" i="24"/>
  <c r="I235" i="24"/>
  <c r="J235" i="24"/>
  <c r="N234" i="24"/>
  <c r="O234" i="24"/>
  <c r="P234" i="24"/>
  <c r="M234" i="24"/>
  <c r="L234" i="24"/>
  <c r="K234" i="24"/>
  <c r="I234" i="24"/>
  <c r="J234" i="24"/>
  <c r="N233" i="24"/>
  <c r="M233" i="24"/>
  <c r="L233" i="24"/>
  <c r="K233" i="24"/>
  <c r="O233" i="24"/>
  <c r="I233" i="24"/>
  <c r="J233" i="24"/>
  <c r="N232" i="24"/>
  <c r="L232" i="24"/>
  <c r="M232" i="24"/>
  <c r="K232" i="24"/>
  <c r="I232" i="24"/>
  <c r="J232" i="24"/>
  <c r="N231" i="24"/>
  <c r="O231" i="24"/>
  <c r="P231" i="24"/>
  <c r="M231" i="24"/>
  <c r="L231" i="24"/>
  <c r="K231" i="24"/>
  <c r="J231" i="24"/>
  <c r="I231" i="24"/>
  <c r="P230" i="24"/>
  <c r="O230" i="24"/>
  <c r="N230" i="24"/>
  <c r="M230" i="24"/>
  <c r="L230" i="24"/>
  <c r="K230" i="24"/>
  <c r="J230" i="24"/>
  <c r="I230" i="24"/>
  <c r="N229" i="24"/>
  <c r="L229" i="24"/>
  <c r="M229" i="24"/>
  <c r="K229" i="24"/>
  <c r="J229" i="24"/>
  <c r="I229" i="24"/>
  <c r="P228" i="24"/>
  <c r="O228" i="24"/>
  <c r="N228" i="24"/>
  <c r="M228" i="24"/>
  <c r="L228" i="24"/>
  <c r="K228" i="24"/>
  <c r="I228" i="24"/>
  <c r="J228" i="24"/>
  <c r="N227" i="24"/>
  <c r="O227" i="24"/>
  <c r="P227" i="24"/>
  <c r="M227" i="24"/>
  <c r="L227" i="24"/>
  <c r="K227" i="24"/>
  <c r="I227" i="24"/>
  <c r="J227" i="24"/>
  <c r="N226" i="24"/>
  <c r="M226" i="24"/>
  <c r="L226" i="24"/>
  <c r="K226" i="24"/>
  <c r="I226" i="24"/>
  <c r="J226" i="24"/>
  <c r="O225" i="24"/>
  <c r="P225" i="24"/>
  <c r="N225" i="24"/>
  <c r="M225" i="24"/>
  <c r="L225" i="24"/>
  <c r="K225" i="24"/>
  <c r="I225" i="24"/>
  <c r="J225" i="24"/>
  <c r="N224" i="24"/>
  <c r="L224" i="24"/>
  <c r="M224" i="24"/>
  <c r="K224" i="24"/>
  <c r="I224" i="24"/>
  <c r="J224" i="24"/>
  <c r="N223" i="24"/>
  <c r="M223" i="24"/>
  <c r="L223" i="24"/>
  <c r="K223" i="24"/>
  <c r="I223" i="24"/>
  <c r="J223" i="24"/>
  <c r="O222" i="24"/>
  <c r="P222" i="24"/>
  <c r="N222" i="24"/>
  <c r="M222" i="24"/>
  <c r="L222" i="24"/>
  <c r="K222" i="24"/>
  <c r="I222" i="24"/>
  <c r="J222" i="24"/>
  <c r="N221" i="24"/>
  <c r="L221" i="24"/>
  <c r="M221" i="24"/>
  <c r="K221" i="24"/>
  <c r="O221" i="24"/>
  <c r="I221" i="24"/>
  <c r="J221" i="24"/>
  <c r="N220" i="24"/>
  <c r="M220" i="24"/>
  <c r="L220" i="24"/>
  <c r="K220" i="24"/>
  <c r="J220" i="24"/>
  <c r="I220" i="24"/>
  <c r="P219" i="24"/>
  <c r="N219" i="24"/>
  <c r="O219" i="24"/>
  <c r="M219" i="24"/>
  <c r="L219" i="24"/>
  <c r="K219" i="24"/>
  <c r="J219" i="24"/>
  <c r="I219" i="24"/>
  <c r="O218" i="24"/>
  <c r="N218" i="24"/>
  <c r="M218" i="24"/>
  <c r="L218" i="24"/>
  <c r="K218" i="24"/>
  <c r="I218" i="24"/>
  <c r="J218" i="24"/>
  <c r="N217" i="24"/>
  <c r="L217" i="24"/>
  <c r="M217" i="24"/>
  <c r="K217" i="24"/>
  <c r="I217" i="24"/>
  <c r="J217" i="24"/>
  <c r="P216" i="24"/>
  <c r="N216" i="24"/>
  <c r="O216" i="24"/>
  <c r="M216" i="24"/>
  <c r="L216" i="24"/>
  <c r="K216" i="24"/>
  <c r="J216" i="24"/>
  <c r="I216" i="24"/>
  <c r="O215" i="24"/>
  <c r="P215" i="24"/>
  <c r="N215" i="24"/>
  <c r="L215" i="24"/>
  <c r="M215" i="24"/>
  <c r="K215" i="24"/>
  <c r="J215" i="24"/>
  <c r="I215" i="24"/>
  <c r="N214" i="24"/>
  <c r="L214" i="24"/>
  <c r="M214" i="24"/>
  <c r="K214" i="24"/>
  <c r="J214" i="24"/>
  <c r="I214" i="24"/>
  <c r="N213" i="24"/>
  <c r="O213" i="24"/>
  <c r="P213" i="24"/>
  <c r="M213" i="24"/>
  <c r="L213" i="24"/>
  <c r="K213" i="24"/>
  <c r="I213" i="24"/>
  <c r="J213" i="24"/>
  <c r="O212" i="24"/>
  <c r="N212" i="24"/>
  <c r="M212" i="24"/>
  <c r="L212" i="24"/>
  <c r="K212" i="24"/>
  <c r="I212" i="24"/>
  <c r="J212" i="24"/>
  <c r="N211" i="24"/>
  <c r="M211" i="24"/>
  <c r="L211" i="24"/>
  <c r="K211" i="24"/>
  <c r="I211" i="24"/>
  <c r="J211" i="24"/>
  <c r="O210" i="24"/>
  <c r="P210" i="24"/>
  <c r="N210" i="24"/>
  <c r="M210" i="24"/>
  <c r="L210" i="24"/>
  <c r="K210" i="24"/>
  <c r="I210" i="24"/>
  <c r="J210" i="24"/>
  <c r="N209" i="24"/>
  <c r="L209" i="24"/>
  <c r="M209" i="24"/>
  <c r="K209" i="24"/>
  <c r="I209" i="24"/>
  <c r="J209" i="24"/>
  <c r="N208" i="24"/>
  <c r="L208" i="24"/>
  <c r="M208" i="24"/>
  <c r="K208" i="24"/>
  <c r="J208" i="24"/>
  <c r="I208" i="24"/>
  <c r="N207" i="24"/>
  <c r="O207" i="24"/>
  <c r="P207" i="24"/>
  <c r="M207" i="24"/>
  <c r="L207" i="24"/>
  <c r="K207" i="24"/>
  <c r="I207" i="24"/>
  <c r="J207" i="24"/>
  <c r="N206" i="24"/>
  <c r="O206" i="24"/>
  <c r="P206" i="24"/>
  <c r="L206" i="24"/>
  <c r="M206" i="24"/>
  <c r="K206" i="24"/>
  <c r="I206" i="24"/>
  <c r="J206" i="24"/>
  <c r="N205" i="24"/>
  <c r="L205" i="24"/>
  <c r="M205" i="24"/>
  <c r="K205" i="24"/>
  <c r="J205" i="24"/>
  <c r="I205" i="24"/>
  <c r="N204" i="24"/>
  <c r="O204" i="24"/>
  <c r="P204" i="24"/>
  <c r="M204" i="24"/>
  <c r="L204" i="24"/>
  <c r="K204" i="24"/>
  <c r="I204" i="24"/>
  <c r="J204" i="24"/>
  <c r="O203" i="24"/>
  <c r="N203" i="24"/>
  <c r="M203" i="24"/>
  <c r="L203" i="24"/>
  <c r="K203" i="24"/>
  <c r="I203" i="24"/>
  <c r="J203" i="24"/>
  <c r="N202" i="24"/>
  <c r="M202" i="24"/>
  <c r="L202" i="24"/>
  <c r="K202" i="24"/>
  <c r="I202" i="24"/>
  <c r="J202" i="24"/>
  <c r="P201" i="24"/>
  <c r="O201" i="24"/>
  <c r="N201" i="24"/>
  <c r="M201" i="24"/>
  <c r="L201" i="24"/>
  <c r="K201" i="24"/>
  <c r="I201" i="24"/>
  <c r="J201" i="24"/>
  <c r="N200" i="24"/>
  <c r="L200" i="24"/>
  <c r="M200" i="24"/>
  <c r="K200" i="24"/>
  <c r="J200" i="24"/>
  <c r="I200" i="24"/>
  <c r="N199" i="24"/>
  <c r="L199" i="24"/>
  <c r="M199" i="24"/>
  <c r="K199" i="24"/>
  <c r="I199" i="24"/>
  <c r="J199" i="24"/>
  <c r="P198" i="24"/>
  <c r="O198" i="24"/>
  <c r="N198" i="24"/>
  <c r="M198" i="24"/>
  <c r="L198" i="24"/>
  <c r="K198" i="24"/>
  <c r="I198" i="24"/>
  <c r="J198" i="24"/>
  <c r="O197" i="24"/>
  <c r="N197" i="24"/>
  <c r="M197" i="24"/>
  <c r="L197" i="24"/>
  <c r="K197" i="24"/>
  <c r="J197" i="24"/>
  <c r="I197" i="24"/>
  <c r="N196" i="24"/>
  <c r="M196" i="24"/>
  <c r="L196" i="24"/>
  <c r="K196" i="24"/>
  <c r="I196" i="24"/>
  <c r="J196" i="24"/>
  <c r="N195" i="24"/>
  <c r="O195" i="24"/>
  <c r="P195" i="24"/>
  <c r="M195" i="24"/>
  <c r="L195" i="24"/>
  <c r="K195" i="24"/>
  <c r="I195" i="24"/>
  <c r="J195" i="24"/>
  <c r="P194" i="24"/>
  <c r="N194" i="24"/>
  <c r="O194" i="24"/>
  <c r="M194" i="24"/>
  <c r="L194" i="24"/>
  <c r="K194" i="24"/>
  <c r="I194" i="24"/>
  <c r="J194" i="24"/>
  <c r="N193" i="24"/>
  <c r="M193" i="24"/>
  <c r="L193" i="24"/>
  <c r="K193" i="24"/>
  <c r="J193" i="24"/>
  <c r="I193" i="24"/>
  <c r="P192" i="24"/>
  <c r="O192" i="24"/>
  <c r="N192" i="24"/>
  <c r="M192" i="24"/>
  <c r="L192" i="24"/>
  <c r="K192" i="24"/>
  <c r="I192" i="24"/>
  <c r="J192" i="24"/>
  <c r="P191" i="24"/>
  <c r="N191" i="24"/>
  <c r="O191" i="24"/>
  <c r="L191" i="24"/>
  <c r="M191" i="24"/>
  <c r="K191" i="24"/>
  <c r="I191" i="24"/>
  <c r="J191" i="24"/>
  <c r="N190" i="24"/>
  <c r="L190" i="24"/>
  <c r="M190" i="24"/>
  <c r="K190" i="24"/>
  <c r="I190" i="24"/>
  <c r="J190" i="24"/>
  <c r="P189" i="24"/>
  <c r="O189" i="24"/>
  <c r="N189" i="24"/>
  <c r="M189" i="24"/>
  <c r="L189" i="24"/>
  <c r="K189" i="24"/>
  <c r="I189" i="24"/>
  <c r="J189" i="24"/>
  <c r="N188" i="24"/>
  <c r="L188" i="24"/>
  <c r="M188" i="24"/>
  <c r="K188" i="24"/>
  <c r="I188" i="24"/>
  <c r="J188" i="24"/>
  <c r="N187" i="24"/>
  <c r="M187" i="24"/>
  <c r="L187" i="24"/>
  <c r="K187" i="24"/>
  <c r="I187" i="24"/>
  <c r="J187" i="24"/>
  <c r="N186" i="24"/>
  <c r="O186" i="24"/>
  <c r="P186" i="24"/>
  <c r="M186" i="24"/>
  <c r="L186" i="24"/>
  <c r="K186" i="24"/>
  <c r="I186" i="24"/>
  <c r="J186" i="24"/>
  <c r="N185" i="24"/>
  <c r="L185" i="24"/>
  <c r="M185" i="24"/>
  <c r="K185" i="24"/>
  <c r="O185" i="24"/>
  <c r="I185" i="24"/>
  <c r="J185" i="24"/>
  <c r="N184" i="24"/>
  <c r="M184" i="24"/>
  <c r="L184" i="24"/>
  <c r="K184" i="24"/>
  <c r="J184" i="24"/>
  <c r="I184" i="24"/>
  <c r="N183" i="24"/>
  <c r="O183" i="24"/>
  <c r="P183" i="24"/>
  <c r="M183" i="24"/>
  <c r="L183" i="24"/>
  <c r="K183" i="24"/>
  <c r="J183" i="24"/>
  <c r="I183" i="24"/>
  <c r="O182" i="24"/>
  <c r="N182" i="24"/>
  <c r="M182" i="24"/>
  <c r="L182" i="24"/>
  <c r="K182" i="24"/>
  <c r="I182" i="24"/>
  <c r="J182" i="24"/>
  <c r="N181" i="24"/>
  <c r="M181" i="24"/>
  <c r="L181" i="24"/>
  <c r="K181" i="24"/>
  <c r="I181" i="24"/>
  <c r="J181" i="24"/>
  <c r="P180" i="24"/>
  <c r="N180" i="24"/>
  <c r="O180" i="24"/>
  <c r="M180" i="24"/>
  <c r="L180" i="24"/>
  <c r="K180" i="24"/>
  <c r="I180" i="24"/>
  <c r="J180" i="24"/>
  <c r="O179" i="24"/>
  <c r="P179" i="24"/>
  <c r="N179" i="24"/>
  <c r="L179" i="24"/>
  <c r="M179" i="24"/>
  <c r="K179" i="24"/>
  <c r="J179" i="24"/>
  <c r="I179" i="24"/>
  <c r="N178" i="24"/>
  <c r="M178" i="24"/>
  <c r="L178" i="24"/>
  <c r="K178" i="24"/>
  <c r="I178" i="24"/>
  <c r="J178" i="24"/>
  <c r="O177" i="24"/>
  <c r="P177" i="24"/>
  <c r="N177" i="24"/>
  <c r="M177" i="24"/>
  <c r="L177" i="24"/>
  <c r="K177" i="24"/>
  <c r="I177" i="24"/>
  <c r="J177" i="24"/>
  <c r="N176" i="24"/>
  <c r="M176" i="24"/>
  <c r="L176" i="24"/>
  <c r="K176" i="24"/>
  <c r="O176" i="24"/>
  <c r="I176" i="24"/>
  <c r="J176" i="24"/>
  <c r="N175" i="24"/>
  <c r="M175" i="24"/>
  <c r="L175" i="24"/>
  <c r="K175" i="24"/>
  <c r="I175" i="24"/>
  <c r="J175" i="24"/>
  <c r="P174" i="24"/>
  <c r="O174" i="24"/>
  <c r="N174" i="24"/>
  <c r="M174" i="24"/>
  <c r="L174" i="24"/>
  <c r="K174" i="24"/>
  <c r="I174" i="24"/>
  <c r="J174" i="24"/>
  <c r="N173" i="24"/>
  <c r="O173" i="24"/>
  <c r="M173" i="24"/>
  <c r="L173" i="24"/>
  <c r="K173" i="24"/>
  <c r="I173" i="24"/>
  <c r="J173" i="24"/>
  <c r="N172" i="24"/>
  <c r="L172" i="24"/>
  <c r="M172" i="24"/>
  <c r="K172" i="24"/>
  <c r="J172" i="24"/>
  <c r="I172" i="24"/>
  <c r="N171" i="24"/>
  <c r="O171" i="24"/>
  <c r="P171" i="24"/>
  <c r="M171" i="24"/>
  <c r="L171" i="24"/>
  <c r="K171" i="24"/>
  <c r="J171" i="24"/>
  <c r="I171" i="24"/>
  <c r="N170" i="24"/>
  <c r="L170" i="24"/>
  <c r="M170" i="24"/>
  <c r="K170" i="24"/>
  <c r="I170" i="24"/>
  <c r="J170" i="24"/>
  <c r="N169" i="24"/>
  <c r="M169" i="24"/>
  <c r="L169" i="24"/>
  <c r="K169" i="24"/>
  <c r="J169" i="24"/>
  <c r="I169" i="24"/>
  <c r="N168" i="24"/>
  <c r="O168" i="24"/>
  <c r="P168" i="24"/>
  <c r="M168" i="24"/>
  <c r="L168" i="24"/>
  <c r="K168" i="24"/>
  <c r="I168" i="24"/>
  <c r="J168" i="24"/>
  <c r="O167" i="24"/>
  <c r="P167" i="24"/>
  <c r="N167" i="24"/>
  <c r="M167" i="24"/>
  <c r="L167" i="24"/>
  <c r="K167" i="24"/>
  <c r="I167" i="24"/>
  <c r="J167" i="24"/>
  <c r="N166" i="24"/>
  <c r="M166" i="24"/>
  <c r="L166" i="24"/>
  <c r="K166" i="24"/>
  <c r="I166" i="24"/>
  <c r="J166" i="24"/>
  <c r="O165" i="24"/>
  <c r="P165" i="24"/>
  <c r="N165" i="24"/>
  <c r="M165" i="24"/>
  <c r="L165" i="24"/>
  <c r="K165" i="24"/>
  <c r="I165" i="24"/>
  <c r="J165" i="24"/>
  <c r="N164" i="24"/>
  <c r="O164" i="24"/>
  <c r="L164" i="24"/>
  <c r="M164" i="24"/>
  <c r="K164" i="24"/>
  <c r="J164" i="24"/>
  <c r="I164" i="24"/>
  <c r="N163" i="24"/>
  <c r="L163" i="24"/>
  <c r="M163" i="24"/>
  <c r="K163" i="24"/>
  <c r="I163" i="24"/>
  <c r="J163" i="24"/>
  <c r="N162" i="24"/>
  <c r="O162" i="24"/>
  <c r="P162" i="24"/>
  <c r="M162" i="24"/>
  <c r="L162" i="24"/>
  <c r="K162" i="24"/>
  <c r="I162" i="24"/>
  <c r="J162" i="24"/>
  <c r="O161" i="24"/>
  <c r="N161" i="24"/>
  <c r="M161" i="24"/>
  <c r="L161" i="24"/>
  <c r="K161" i="24"/>
  <c r="I161" i="24"/>
  <c r="J161" i="24"/>
  <c r="N160" i="24"/>
  <c r="M160" i="24"/>
  <c r="L160" i="24"/>
  <c r="K160" i="24"/>
  <c r="I160" i="24"/>
  <c r="J160" i="24"/>
  <c r="N159" i="24"/>
  <c r="O159" i="24"/>
  <c r="P159" i="24"/>
  <c r="M159" i="24"/>
  <c r="L159" i="24"/>
  <c r="K159" i="24"/>
  <c r="J159" i="24"/>
  <c r="I159" i="24"/>
  <c r="N158" i="24"/>
  <c r="M158" i="24"/>
  <c r="L158" i="24"/>
  <c r="K158" i="24"/>
  <c r="I158" i="24"/>
  <c r="J158" i="24"/>
  <c r="N157" i="24"/>
  <c r="L157" i="24"/>
  <c r="M157" i="24"/>
  <c r="K157" i="24"/>
  <c r="J157" i="24"/>
  <c r="I157" i="24"/>
  <c r="P156" i="24"/>
  <c r="O156" i="24"/>
  <c r="N156" i="24"/>
  <c r="M156" i="24"/>
  <c r="L156" i="24"/>
  <c r="K156" i="24"/>
  <c r="J156" i="24"/>
  <c r="I156" i="24"/>
  <c r="N155" i="24"/>
  <c r="O155" i="24"/>
  <c r="P155" i="24"/>
  <c r="L155" i="24"/>
  <c r="M155" i="24"/>
  <c r="K155" i="24"/>
  <c r="I155" i="24"/>
  <c r="J155" i="24"/>
  <c r="N154" i="24"/>
  <c r="L154" i="24"/>
  <c r="M154" i="24"/>
  <c r="K154" i="24"/>
  <c r="J154" i="24"/>
  <c r="I154" i="24"/>
  <c r="O153" i="24"/>
  <c r="P153" i="24"/>
  <c r="N153" i="24"/>
  <c r="M153" i="24"/>
  <c r="L153" i="24"/>
  <c r="K153" i="24"/>
  <c r="I153" i="24"/>
  <c r="J153" i="24"/>
  <c r="O152" i="24"/>
  <c r="P152" i="24"/>
  <c r="N152" i="24"/>
  <c r="M152" i="24"/>
  <c r="L152" i="24"/>
  <c r="K152" i="24"/>
  <c r="I152" i="24"/>
  <c r="J152" i="24"/>
  <c r="N151" i="24"/>
  <c r="L151" i="24"/>
  <c r="M151" i="24"/>
  <c r="K151" i="24"/>
  <c r="I151" i="24"/>
  <c r="J151" i="24"/>
  <c r="P150" i="24"/>
  <c r="O150" i="24"/>
  <c r="N150" i="24"/>
  <c r="M150" i="24"/>
  <c r="L150" i="24"/>
  <c r="K150" i="24"/>
  <c r="I150" i="24"/>
  <c r="J150" i="24"/>
  <c r="N149" i="24"/>
  <c r="L149" i="24"/>
  <c r="M149" i="24"/>
  <c r="K149" i="24"/>
  <c r="J149" i="24"/>
  <c r="I149" i="24"/>
  <c r="N148" i="24"/>
  <c r="M148" i="24"/>
  <c r="L148" i="24"/>
  <c r="K148" i="24"/>
  <c r="I148" i="24"/>
  <c r="J148" i="24"/>
  <c r="N147" i="24"/>
  <c r="O147" i="24"/>
  <c r="P147" i="24"/>
  <c r="M147" i="24"/>
  <c r="L147" i="24"/>
  <c r="K147" i="24"/>
  <c r="J147" i="24"/>
  <c r="I147" i="24"/>
  <c r="N146" i="24"/>
  <c r="L146" i="24"/>
  <c r="M146" i="24"/>
  <c r="K146" i="24"/>
  <c r="J146" i="24"/>
  <c r="I146" i="24"/>
  <c r="P145" i="24"/>
  <c r="O145" i="24"/>
  <c r="N145" i="24"/>
  <c r="M145" i="24"/>
  <c r="L145" i="24"/>
  <c r="K145" i="24"/>
  <c r="I145" i="24"/>
  <c r="J145" i="24"/>
  <c r="O144" i="24"/>
  <c r="N144" i="24"/>
  <c r="L144" i="24"/>
  <c r="M144" i="24"/>
  <c r="K144" i="24"/>
  <c r="I144" i="24"/>
  <c r="J144" i="24"/>
  <c r="N143" i="24"/>
  <c r="L143" i="24"/>
  <c r="M143" i="24"/>
  <c r="K143" i="24"/>
  <c r="I143" i="24"/>
  <c r="J143" i="24"/>
  <c r="N142" i="24"/>
  <c r="O142" i="24"/>
  <c r="P142" i="24"/>
  <c r="M142" i="24"/>
  <c r="L142" i="24"/>
  <c r="K142" i="24"/>
  <c r="J142" i="24"/>
  <c r="I142" i="24"/>
  <c r="N141" i="24"/>
  <c r="L141" i="24"/>
  <c r="M141" i="24"/>
  <c r="K141" i="24"/>
  <c r="J141" i="24"/>
  <c r="I141" i="24"/>
  <c r="O140" i="24"/>
  <c r="N140" i="24"/>
  <c r="M140" i="24"/>
  <c r="L140" i="24"/>
  <c r="K140" i="24"/>
  <c r="I140" i="24"/>
  <c r="J140" i="24"/>
  <c r="N139" i="24"/>
  <c r="M139" i="24"/>
  <c r="L139" i="24"/>
  <c r="K139" i="24"/>
  <c r="I139" i="24"/>
  <c r="J139" i="24"/>
  <c r="N138" i="24"/>
  <c r="O138" i="24"/>
  <c r="M138" i="24"/>
  <c r="L138" i="24"/>
  <c r="K138" i="24"/>
  <c r="I138" i="24"/>
  <c r="J138" i="24"/>
  <c r="N137" i="24"/>
  <c r="O137" i="24"/>
  <c r="L137" i="24"/>
  <c r="M137" i="24"/>
  <c r="K137" i="24"/>
  <c r="I137" i="24"/>
  <c r="J137" i="24"/>
  <c r="O136" i="24"/>
  <c r="P136" i="24"/>
  <c r="N136" i="24"/>
  <c r="M136" i="24"/>
  <c r="L136" i="24"/>
  <c r="K136" i="24"/>
  <c r="J136" i="24"/>
  <c r="I136" i="24"/>
  <c r="N135" i="24"/>
  <c r="L135" i="24"/>
  <c r="M135" i="24"/>
  <c r="K135" i="24"/>
  <c r="J135" i="24"/>
  <c r="I135" i="24"/>
  <c r="N134" i="24"/>
  <c r="M134" i="24"/>
  <c r="L134" i="24"/>
  <c r="K134" i="24"/>
  <c r="I134" i="24"/>
  <c r="J134" i="24"/>
  <c r="O133" i="24"/>
  <c r="P133" i="24"/>
  <c r="N133" i="24"/>
  <c r="M133" i="24"/>
  <c r="L133" i="24"/>
  <c r="K133" i="24"/>
  <c r="I133" i="24"/>
  <c r="J133" i="24"/>
  <c r="N132" i="24"/>
  <c r="L132" i="24"/>
  <c r="M132" i="24"/>
  <c r="K132" i="24"/>
  <c r="J132" i="24"/>
  <c r="I132" i="24"/>
  <c r="O131" i="24"/>
  <c r="N131" i="24"/>
  <c r="L131" i="24"/>
  <c r="M131" i="24"/>
  <c r="K131" i="24"/>
  <c r="J131" i="24"/>
  <c r="I131" i="24"/>
  <c r="N130" i="24"/>
  <c r="M130" i="24"/>
  <c r="L130" i="24"/>
  <c r="K130" i="24"/>
  <c r="J130" i="24"/>
  <c r="I130" i="24"/>
  <c r="P129" i="24"/>
  <c r="N129" i="24"/>
  <c r="L129" i="24"/>
  <c r="M129" i="24"/>
  <c r="K129" i="24"/>
  <c r="O129" i="24"/>
  <c r="I129" i="24"/>
  <c r="J129" i="24"/>
  <c r="N128" i="24"/>
  <c r="M128" i="24"/>
  <c r="L128" i="24"/>
  <c r="K128" i="24"/>
  <c r="O128" i="24"/>
  <c r="I128" i="24"/>
  <c r="J128" i="24"/>
  <c r="N127" i="24"/>
  <c r="M127" i="24"/>
  <c r="L127" i="24"/>
  <c r="K127" i="24"/>
  <c r="O127" i="24"/>
  <c r="I127" i="24"/>
  <c r="J127" i="24"/>
  <c r="O126" i="24"/>
  <c r="N126" i="24"/>
  <c r="M126" i="24"/>
  <c r="L126" i="24"/>
  <c r="K126" i="24"/>
  <c r="J126" i="24"/>
  <c r="I126" i="24"/>
  <c r="N125" i="24"/>
  <c r="O125" i="24"/>
  <c r="L125" i="24"/>
  <c r="M125" i="24"/>
  <c r="K125" i="24"/>
  <c r="J125" i="24"/>
  <c r="I125" i="24"/>
  <c r="N124" i="24"/>
  <c r="M124" i="24"/>
  <c r="L124" i="24"/>
  <c r="K124" i="24"/>
  <c r="I124" i="24"/>
  <c r="J124" i="24"/>
  <c r="N123" i="24"/>
  <c r="O123" i="24"/>
  <c r="P123" i="24"/>
  <c r="L123" i="24"/>
  <c r="M123" i="24"/>
  <c r="K123" i="24"/>
  <c r="J123" i="24"/>
  <c r="I123" i="24"/>
  <c r="O122" i="24"/>
  <c r="N122" i="24"/>
  <c r="M122" i="24"/>
  <c r="L122" i="24"/>
  <c r="K122" i="24"/>
  <c r="I122" i="24"/>
  <c r="J122" i="24"/>
  <c r="N121" i="24"/>
  <c r="M121" i="24"/>
  <c r="L121" i="24"/>
  <c r="K121" i="24"/>
  <c r="J121" i="24"/>
  <c r="I121" i="24"/>
  <c r="N120" i="24"/>
  <c r="M120" i="24"/>
  <c r="L120" i="24"/>
  <c r="K120" i="24"/>
  <c r="I120" i="24"/>
  <c r="J120" i="24"/>
  <c r="N119" i="24"/>
  <c r="O119" i="24"/>
  <c r="M119" i="24"/>
  <c r="L119" i="24"/>
  <c r="K119" i="24"/>
  <c r="J119" i="24"/>
  <c r="I119" i="24"/>
  <c r="N118" i="24"/>
  <c r="M118" i="24"/>
  <c r="L118" i="24"/>
  <c r="K118" i="24"/>
  <c r="O118" i="24"/>
  <c r="I118" i="24"/>
  <c r="J118" i="24"/>
  <c r="P117" i="24"/>
  <c r="O117" i="24"/>
  <c r="N117" i="24"/>
  <c r="L117" i="24"/>
  <c r="M117" i="24"/>
  <c r="K117" i="24"/>
  <c r="J117" i="24"/>
  <c r="I117" i="24"/>
  <c r="N116" i="24"/>
  <c r="L116" i="24"/>
  <c r="M116" i="24"/>
  <c r="K116" i="24"/>
  <c r="I116" i="24"/>
  <c r="J116" i="24"/>
  <c r="O115" i="24"/>
  <c r="N115" i="24"/>
  <c r="M115" i="24"/>
  <c r="L115" i="24"/>
  <c r="K115" i="24"/>
  <c r="I115" i="24"/>
  <c r="J115" i="24"/>
  <c r="N114" i="24"/>
  <c r="M114" i="24"/>
  <c r="L114" i="24"/>
  <c r="K114" i="24"/>
  <c r="I114" i="24"/>
  <c r="J114" i="24"/>
  <c r="N113" i="24"/>
  <c r="M113" i="24"/>
  <c r="L113" i="24"/>
  <c r="K113" i="24"/>
  <c r="I113" i="24"/>
  <c r="J113" i="24"/>
  <c r="N112" i="24"/>
  <c r="O112" i="24"/>
  <c r="P112" i="24"/>
  <c r="M112" i="24"/>
  <c r="L112" i="24"/>
  <c r="K112" i="24"/>
  <c r="I112" i="24"/>
  <c r="J112" i="24"/>
  <c r="N111" i="24"/>
  <c r="O111" i="24"/>
  <c r="P111" i="24"/>
  <c r="L111" i="24"/>
  <c r="M111" i="24"/>
  <c r="K111" i="24"/>
  <c r="J111" i="24"/>
  <c r="I111" i="24"/>
  <c r="O110" i="24"/>
  <c r="N110" i="24"/>
  <c r="L110" i="24"/>
  <c r="M110" i="24"/>
  <c r="K110" i="24"/>
  <c r="I110" i="24"/>
  <c r="J110" i="24"/>
  <c r="N109" i="24"/>
  <c r="M109" i="24"/>
  <c r="L109" i="24"/>
  <c r="K109" i="24"/>
  <c r="I109" i="24"/>
  <c r="J109" i="24"/>
  <c r="N108" i="24"/>
  <c r="L108" i="24"/>
  <c r="M108" i="24"/>
  <c r="K108" i="24"/>
  <c r="I108" i="24"/>
  <c r="J108" i="24"/>
  <c r="N107" i="24"/>
  <c r="L107" i="24"/>
  <c r="M107" i="24"/>
  <c r="K107" i="24"/>
  <c r="I107" i="24"/>
  <c r="J107" i="24"/>
  <c r="O106" i="24"/>
  <c r="P106" i="24"/>
  <c r="N106" i="24"/>
  <c r="M106" i="24"/>
  <c r="L106" i="24"/>
  <c r="K106" i="24"/>
  <c r="J106" i="24"/>
  <c r="I106" i="24"/>
  <c r="N105" i="24"/>
  <c r="O105" i="24"/>
  <c r="P105" i="24"/>
  <c r="M105" i="24"/>
  <c r="L105" i="24"/>
  <c r="K105" i="24"/>
  <c r="J105" i="24"/>
  <c r="I105" i="24"/>
  <c r="N104" i="24"/>
  <c r="M104" i="24"/>
  <c r="L104" i="24"/>
  <c r="K104" i="24"/>
  <c r="I104" i="24"/>
  <c r="J104" i="24"/>
  <c r="N103" i="24"/>
  <c r="O103" i="24"/>
  <c r="P103" i="24"/>
  <c r="M103" i="24"/>
  <c r="L103" i="24"/>
  <c r="K103" i="24"/>
  <c r="I103" i="24"/>
  <c r="J103" i="24"/>
  <c r="N102" i="24"/>
  <c r="L102" i="24"/>
  <c r="M102" i="24"/>
  <c r="K102" i="24"/>
  <c r="J102" i="24"/>
  <c r="I102" i="24"/>
  <c r="N101" i="24"/>
  <c r="M101" i="24"/>
  <c r="L101" i="24"/>
  <c r="K101" i="24"/>
  <c r="O101" i="24"/>
  <c r="I101" i="24"/>
  <c r="J101" i="24"/>
  <c r="P100" i="24"/>
  <c r="O100" i="24"/>
  <c r="N100" i="24"/>
  <c r="M100" i="24"/>
  <c r="L100" i="24"/>
  <c r="K100" i="24"/>
  <c r="I100" i="24"/>
  <c r="J100" i="24"/>
  <c r="N99" i="24"/>
  <c r="L99" i="24"/>
  <c r="M99" i="24"/>
  <c r="K99" i="24"/>
  <c r="I99" i="24"/>
  <c r="J99" i="24"/>
  <c r="O98" i="24"/>
  <c r="N98" i="24"/>
  <c r="M98" i="24"/>
  <c r="L98" i="24"/>
  <c r="K98" i="24"/>
  <c r="I98" i="24"/>
  <c r="J98" i="24"/>
  <c r="N97" i="24"/>
  <c r="M97" i="24"/>
  <c r="L97" i="24"/>
  <c r="K97" i="24"/>
  <c r="I97" i="24"/>
  <c r="J97" i="24"/>
  <c r="N96" i="24"/>
  <c r="O96" i="24"/>
  <c r="M96" i="24"/>
  <c r="L96" i="24"/>
  <c r="K96" i="24"/>
  <c r="I96" i="24"/>
  <c r="J96" i="24"/>
  <c r="N95" i="24"/>
  <c r="M95" i="24"/>
  <c r="L95" i="24"/>
  <c r="K95" i="24"/>
  <c r="I95" i="24"/>
  <c r="J95" i="24"/>
  <c r="N94" i="24"/>
  <c r="M94" i="24"/>
  <c r="L94" i="24"/>
  <c r="K94" i="24"/>
  <c r="I94" i="24"/>
  <c r="J94" i="24"/>
  <c r="O93" i="24"/>
  <c r="N93" i="24"/>
  <c r="M93" i="24"/>
  <c r="L93" i="24"/>
  <c r="K93" i="24"/>
  <c r="J93" i="24"/>
  <c r="I93" i="24"/>
  <c r="N92" i="24"/>
  <c r="M92" i="24"/>
  <c r="L92" i="24"/>
  <c r="K92" i="24"/>
  <c r="I92" i="24"/>
  <c r="J92" i="24"/>
  <c r="N91" i="24"/>
  <c r="O91" i="24"/>
  <c r="P91" i="24"/>
  <c r="M91" i="24"/>
  <c r="L91" i="24"/>
  <c r="K91" i="24"/>
  <c r="I91" i="24"/>
  <c r="J91" i="24"/>
  <c r="N90" i="24"/>
  <c r="M90" i="24"/>
  <c r="L90" i="24"/>
  <c r="K90" i="24"/>
  <c r="J90" i="24"/>
  <c r="I90" i="24"/>
  <c r="N89" i="24"/>
  <c r="M89" i="24"/>
  <c r="L89" i="24"/>
  <c r="K89" i="24"/>
  <c r="O89" i="24"/>
  <c r="I89" i="24"/>
  <c r="J89" i="24"/>
  <c r="N88" i="24"/>
  <c r="O88" i="24"/>
  <c r="P88" i="24"/>
  <c r="M88" i="24"/>
  <c r="L88" i="24"/>
  <c r="K88" i="24"/>
  <c r="I88" i="24"/>
  <c r="J88" i="24"/>
  <c r="N87" i="24"/>
  <c r="L87" i="24"/>
  <c r="M87" i="24"/>
  <c r="K87" i="24"/>
  <c r="I87" i="24"/>
  <c r="J87" i="24"/>
  <c r="O86" i="24"/>
  <c r="N86" i="24"/>
  <c r="M86" i="24"/>
  <c r="L86" i="24"/>
  <c r="K86" i="24"/>
  <c r="I86" i="24"/>
  <c r="J86" i="24"/>
  <c r="N85" i="24"/>
  <c r="M85" i="24"/>
  <c r="L85" i="24"/>
  <c r="K85" i="24"/>
  <c r="I85" i="24"/>
  <c r="J85" i="24"/>
  <c r="N84" i="24"/>
  <c r="O84" i="24"/>
  <c r="M84" i="24"/>
  <c r="L84" i="24"/>
  <c r="K84" i="24"/>
  <c r="I84" i="24"/>
  <c r="J84" i="24"/>
  <c r="N83" i="24"/>
  <c r="M83" i="24"/>
  <c r="L83" i="24"/>
  <c r="K83" i="24"/>
  <c r="O83" i="24"/>
  <c r="I83" i="24"/>
  <c r="J83" i="24"/>
  <c r="N82" i="24"/>
  <c r="M82" i="24"/>
  <c r="L82" i="24"/>
  <c r="K82" i="24"/>
  <c r="I82" i="24"/>
  <c r="J82" i="24"/>
  <c r="O81" i="24"/>
  <c r="N81" i="24"/>
  <c r="M81" i="24"/>
  <c r="L81" i="24"/>
  <c r="K81" i="24"/>
  <c r="J81" i="24"/>
  <c r="I81" i="24"/>
  <c r="N80" i="24"/>
  <c r="M80" i="24"/>
  <c r="L80" i="24"/>
  <c r="K80" i="24"/>
  <c r="J80" i="24"/>
  <c r="I80" i="24"/>
  <c r="P79" i="24"/>
  <c r="N79" i="24"/>
  <c r="O79" i="24"/>
  <c r="M79" i="24"/>
  <c r="L79" i="24"/>
  <c r="K79" i="24"/>
  <c r="I79" i="24"/>
  <c r="J79" i="24"/>
  <c r="N78" i="24"/>
  <c r="L78" i="24"/>
  <c r="M78" i="24"/>
  <c r="K78" i="24"/>
  <c r="J78" i="24"/>
  <c r="I78" i="24"/>
  <c r="N77" i="24"/>
  <c r="M77" i="24"/>
  <c r="L77" i="24"/>
  <c r="K77" i="24"/>
  <c r="O77" i="24"/>
  <c r="I77" i="24"/>
  <c r="J77" i="24"/>
  <c r="N76" i="24"/>
  <c r="O76" i="24"/>
  <c r="P76" i="24"/>
  <c r="M76" i="24"/>
  <c r="L76" i="24"/>
  <c r="K76" i="24"/>
  <c r="I76" i="24"/>
  <c r="J76" i="24"/>
  <c r="N75" i="24"/>
  <c r="L75" i="24"/>
  <c r="M75" i="24"/>
  <c r="K75" i="24"/>
  <c r="I75" i="24"/>
  <c r="J75" i="24"/>
  <c r="O74" i="24"/>
  <c r="N74" i="24"/>
  <c r="M74" i="24"/>
  <c r="L74" i="24"/>
  <c r="K74" i="24"/>
  <c r="I74" i="24"/>
  <c r="J74" i="24"/>
  <c r="N73" i="24"/>
  <c r="M73" i="24"/>
  <c r="L73" i="24"/>
  <c r="K73" i="24"/>
  <c r="I73" i="24"/>
  <c r="J73" i="24"/>
  <c r="N72" i="24"/>
  <c r="O72" i="24"/>
  <c r="M72" i="24"/>
  <c r="L72" i="24"/>
  <c r="K72" i="24"/>
  <c r="I72" i="24"/>
  <c r="J72" i="24"/>
  <c r="O71" i="24"/>
  <c r="N71" i="24"/>
  <c r="M71" i="24"/>
  <c r="L71" i="24"/>
  <c r="K71" i="24"/>
  <c r="I71" i="24"/>
  <c r="J71" i="24"/>
  <c r="N70" i="24"/>
  <c r="M70" i="24"/>
  <c r="L70" i="24"/>
  <c r="K70" i="24"/>
  <c r="I70" i="24"/>
  <c r="J70" i="24"/>
  <c r="N69" i="24"/>
  <c r="O69" i="24"/>
  <c r="M69" i="24"/>
  <c r="L69" i="24"/>
  <c r="K69" i="24"/>
  <c r="J69" i="24"/>
  <c r="I69" i="24"/>
  <c r="N68" i="24"/>
  <c r="M68" i="24"/>
  <c r="L68" i="24"/>
  <c r="K68" i="24"/>
  <c r="I68" i="24"/>
  <c r="J68" i="24"/>
  <c r="N67" i="24"/>
  <c r="O67" i="24"/>
  <c r="P67" i="24"/>
  <c r="M67" i="24"/>
  <c r="L67" i="24"/>
  <c r="K67" i="24"/>
  <c r="I67" i="24"/>
  <c r="J67" i="24"/>
  <c r="N66" i="24"/>
  <c r="L66" i="24"/>
  <c r="M66" i="24"/>
  <c r="K66" i="24"/>
  <c r="I66" i="24"/>
  <c r="J66" i="24"/>
  <c r="N65" i="24"/>
  <c r="M65" i="24"/>
  <c r="L65" i="24"/>
  <c r="K65" i="24"/>
  <c r="I65" i="24"/>
  <c r="J65" i="24"/>
  <c r="N64" i="24"/>
  <c r="O64" i="24"/>
  <c r="P64" i="24"/>
  <c r="M64" i="24"/>
  <c r="L64" i="24"/>
  <c r="K64" i="24"/>
  <c r="I64" i="24"/>
  <c r="J64" i="24"/>
  <c r="N63" i="24"/>
  <c r="M63" i="24"/>
  <c r="L63" i="24"/>
  <c r="K63" i="24"/>
  <c r="J63" i="24"/>
  <c r="I63" i="24"/>
  <c r="N62" i="24"/>
  <c r="O62" i="24"/>
  <c r="M62" i="24"/>
  <c r="L62" i="24"/>
  <c r="K62" i="24"/>
  <c r="I62" i="24"/>
  <c r="J62" i="24"/>
  <c r="O61" i="24"/>
  <c r="P61" i="24"/>
  <c r="N61" i="24"/>
  <c r="M61" i="24"/>
  <c r="L61" i="24"/>
  <c r="K61" i="24"/>
  <c r="J61" i="24"/>
  <c r="I61" i="24"/>
  <c r="N60" i="24"/>
  <c r="L60" i="24"/>
  <c r="M60" i="24"/>
  <c r="K60" i="24"/>
  <c r="I60" i="24"/>
  <c r="J60" i="24"/>
  <c r="O59" i="24"/>
  <c r="N59" i="24"/>
  <c r="L59" i="24"/>
  <c r="M59" i="24"/>
  <c r="K59" i="24"/>
  <c r="I59" i="24"/>
  <c r="J59" i="24"/>
  <c r="N58" i="24"/>
  <c r="L58" i="24"/>
  <c r="M58" i="24"/>
  <c r="K58" i="24"/>
  <c r="J58" i="24"/>
  <c r="I58" i="24"/>
  <c r="N57" i="24"/>
  <c r="L57" i="24"/>
  <c r="M57" i="24"/>
  <c r="K57" i="24"/>
  <c r="O57" i="24"/>
  <c r="J57" i="24"/>
  <c r="I57" i="24"/>
  <c r="N56" i="24"/>
  <c r="O56" i="24"/>
  <c r="P56" i="24"/>
  <c r="L56" i="24"/>
  <c r="M56" i="24"/>
  <c r="K56" i="24"/>
  <c r="I56" i="24"/>
  <c r="J56" i="24"/>
  <c r="N55" i="24"/>
  <c r="L55" i="24"/>
  <c r="M55" i="24"/>
  <c r="K55" i="24"/>
  <c r="J55" i="24"/>
  <c r="I55" i="24"/>
  <c r="N54" i="24"/>
  <c r="L54" i="24"/>
  <c r="M54" i="24"/>
  <c r="K54" i="24"/>
  <c r="O54" i="24"/>
  <c r="I54" i="24"/>
  <c r="J54" i="24"/>
  <c r="N53" i="24"/>
  <c r="O53" i="24"/>
  <c r="P53" i="24"/>
  <c r="L53" i="24"/>
  <c r="M53" i="24"/>
  <c r="K53" i="24"/>
  <c r="I53" i="24"/>
  <c r="J53" i="24"/>
  <c r="N52" i="24"/>
  <c r="M52" i="24"/>
  <c r="L52" i="24"/>
  <c r="K52" i="24"/>
  <c r="J52" i="24"/>
  <c r="I52" i="24"/>
  <c r="N51" i="24"/>
  <c r="L51" i="24"/>
  <c r="M51" i="24"/>
  <c r="K51" i="24"/>
  <c r="O51" i="24"/>
  <c r="J51" i="24"/>
  <c r="I51" i="24"/>
  <c r="N50" i="24"/>
  <c r="O50" i="24"/>
  <c r="P50" i="24"/>
  <c r="L50" i="24"/>
  <c r="M50" i="24"/>
  <c r="K50" i="24"/>
  <c r="I50" i="24"/>
  <c r="J50" i="24"/>
  <c r="N49" i="24"/>
  <c r="L49" i="24"/>
  <c r="M49" i="24"/>
  <c r="K49" i="24"/>
  <c r="J49" i="24"/>
  <c r="I49" i="24"/>
  <c r="N48" i="24"/>
  <c r="L48" i="24"/>
  <c r="M48" i="24"/>
  <c r="K48" i="24"/>
  <c r="O48" i="24"/>
  <c r="I48" i="24"/>
  <c r="J48" i="24"/>
  <c r="N47" i="24"/>
  <c r="O47" i="24"/>
  <c r="P47" i="24"/>
  <c r="L47" i="24"/>
  <c r="M47" i="24"/>
  <c r="K47" i="24"/>
  <c r="I47" i="24"/>
  <c r="J47" i="24"/>
  <c r="N46" i="24"/>
  <c r="M46" i="24"/>
  <c r="L46" i="24"/>
  <c r="K46" i="24"/>
  <c r="J46" i="24"/>
  <c r="I46" i="24"/>
  <c r="N45" i="24"/>
  <c r="L45" i="24"/>
  <c r="M45" i="24"/>
  <c r="K45" i="24"/>
  <c r="O45" i="24"/>
  <c r="I45" i="24"/>
  <c r="J45" i="24"/>
  <c r="P44" i="24"/>
  <c r="O44" i="24"/>
  <c r="N44" i="24"/>
  <c r="L44" i="24"/>
  <c r="M44" i="24"/>
  <c r="K44" i="24"/>
  <c r="I44" i="24"/>
  <c r="J44" i="24"/>
  <c r="N43" i="24"/>
  <c r="L43" i="24"/>
  <c r="M43" i="24"/>
  <c r="K43" i="24"/>
  <c r="J43" i="24"/>
  <c r="I43" i="24"/>
  <c r="N42" i="24"/>
  <c r="L42" i="24"/>
  <c r="M42" i="24"/>
  <c r="K42" i="24"/>
  <c r="O42" i="24"/>
  <c r="I42" i="24"/>
  <c r="J42" i="24"/>
  <c r="N41" i="24"/>
  <c r="O41" i="24"/>
  <c r="P41" i="24"/>
  <c r="L41" i="24"/>
  <c r="M41" i="24"/>
  <c r="K41" i="24"/>
  <c r="I41" i="24"/>
  <c r="J41" i="24"/>
  <c r="N40" i="24"/>
  <c r="M40" i="24"/>
  <c r="L40" i="24"/>
  <c r="K40" i="24"/>
  <c r="J40" i="24"/>
  <c r="I40" i="24"/>
  <c r="N39" i="24"/>
  <c r="L39" i="24"/>
  <c r="M39" i="24"/>
  <c r="K39" i="24"/>
  <c r="O39" i="24"/>
  <c r="I39" i="24"/>
  <c r="J39" i="24"/>
  <c r="N38" i="24"/>
  <c r="O38" i="24"/>
  <c r="P38" i="24"/>
  <c r="L38" i="24"/>
  <c r="M38" i="24"/>
  <c r="K38" i="24"/>
  <c r="I38" i="24"/>
  <c r="J38" i="24"/>
  <c r="N37" i="24"/>
  <c r="L37" i="24"/>
  <c r="M37" i="24"/>
  <c r="K37" i="24"/>
  <c r="J37" i="24"/>
  <c r="I37" i="24"/>
  <c r="N36" i="24"/>
  <c r="L36" i="24"/>
  <c r="M36" i="24"/>
  <c r="K36" i="24"/>
  <c r="O36" i="24"/>
  <c r="J36" i="24"/>
  <c r="I36" i="24"/>
  <c r="O35" i="24"/>
  <c r="P35" i="24"/>
  <c r="N35" i="24"/>
  <c r="L35" i="24"/>
  <c r="M35" i="24"/>
  <c r="K35" i="24"/>
  <c r="I35" i="24"/>
  <c r="J35" i="24"/>
  <c r="N34" i="24"/>
  <c r="L34" i="24"/>
  <c r="M34" i="24"/>
  <c r="K34" i="24"/>
  <c r="J34" i="24"/>
  <c r="I34" i="24"/>
  <c r="N33" i="24"/>
  <c r="L33" i="24"/>
  <c r="M33" i="24"/>
  <c r="K33" i="24"/>
  <c r="O33" i="24"/>
  <c r="I33" i="24"/>
  <c r="J33" i="24"/>
  <c r="N32" i="24"/>
  <c r="O32" i="24"/>
  <c r="P32" i="24"/>
  <c r="L32" i="24"/>
  <c r="M32" i="24"/>
  <c r="K32" i="24"/>
  <c r="I32" i="24"/>
  <c r="J32" i="24"/>
  <c r="N31" i="24"/>
  <c r="L31" i="24"/>
  <c r="M31" i="24"/>
  <c r="K31" i="24"/>
  <c r="J31" i="24"/>
  <c r="I31" i="24"/>
  <c r="N30" i="24"/>
  <c r="L30" i="24"/>
  <c r="M30" i="24"/>
  <c r="K30" i="24"/>
  <c r="O30" i="24"/>
  <c r="I30" i="24"/>
  <c r="J30" i="24"/>
  <c r="P29" i="24"/>
  <c r="O29" i="24"/>
  <c r="N29" i="24"/>
  <c r="L29" i="24"/>
  <c r="M29" i="24"/>
  <c r="K29" i="24"/>
  <c r="I29" i="24"/>
  <c r="J29" i="24"/>
  <c r="N28" i="24"/>
  <c r="L28" i="24"/>
  <c r="M28" i="24"/>
  <c r="K28" i="24"/>
  <c r="J28" i="24"/>
  <c r="I28" i="24"/>
  <c r="N27" i="24"/>
  <c r="L27" i="24"/>
  <c r="M27" i="24"/>
  <c r="K27" i="24"/>
  <c r="O27" i="24"/>
  <c r="J27" i="24"/>
  <c r="I27" i="24"/>
  <c r="N26" i="24"/>
  <c r="O26" i="24"/>
  <c r="P26" i="24"/>
  <c r="L26" i="24"/>
  <c r="M26" i="24"/>
  <c r="K26" i="24"/>
  <c r="I26" i="24"/>
  <c r="J26" i="24"/>
  <c r="N25" i="24"/>
  <c r="M25" i="24"/>
  <c r="L25" i="24"/>
  <c r="K25" i="24"/>
  <c r="J25" i="24"/>
  <c r="I25" i="24"/>
  <c r="N24" i="24"/>
  <c r="L24" i="24"/>
  <c r="M24" i="24"/>
  <c r="K24" i="24"/>
  <c r="O24" i="24"/>
  <c r="I24" i="24"/>
  <c r="J24" i="24"/>
  <c r="O23" i="24"/>
  <c r="P23" i="24"/>
  <c r="N23" i="24"/>
  <c r="L23" i="24"/>
  <c r="M23" i="24"/>
  <c r="K23" i="24"/>
  <c r="I23" i="24"/>
  <c r="J23" i="24"/>
  <c r="N22" i="24"/>
  <c r="L22" i="24"/>
  <c r="M22" i="24"/>
  <c r="K22" i="24"/>
  <c r="J22" i="24"/>
  <c r="I22" i="24"/>
  <c r="N21" i="24"/>
  <c r="L21" i="24"/>
  <c r="M21" i="24"/>
  <c r="K21" i="24"/>
  <c r="O21" i="24"/>
  <c r="J21" i="24"/>
  <c r="I21" i="24"/>
  <c r="N20" i="24"/>
  <c r="O20" i="24"/>
  <c r="P20" i="24"/>
  <c r="L20" i="24"/>
  <c r="M20" i="24"/>
  <c r="K20" i="24"/>
  <c r="I20" i="24"/>
  <c r="J20" i="24"/>
  <c r="N19" i="24"/>
  <c r="L19" i="24"/>
  <c r="M19" i="24"/>
  <c r="K19" i="24"/>
  <c r="J19" i="24"/>
  <c r="I19" i="24"/>
  <c r="N18" i="24"/>
  <c r="L18" i="24"/>
  <c r="M18" i="24"/>
  <c r="K18" i="24"/>
  <c r="O18" i="24"/>
  <c r="I18" i="24"/>
  <c r="J18" i="24"/>
  <c r="N17" i="24"/>
  <c r="O17" i="24"/>
  <c r="P17" i="24"/>
  <c r="L17" i="24"/>
  <c r="M17" i="24"/>
  <c r="K17" i="24"/>
  <c r="I17" i="24"/>
  <c r="J17" i="24"/>
  <c r="N16" i="24"/>
  <c r="M16" i="24"/>
  <c r="L16" i="24"/>
  <c r="K16" i="24"/>
  <c r="J16" i="24"/>
  <c r="I16" i="24"/>
  <c r="N15" i="24"/>
  <c r="L15" i="24"/>
  <c r="M15" i="24"/>
  <c r="K15" i="24"/>
  <c r="O15" i="24"/>
  <c r="J15" i="24"/>
  <c r="I15" i="24"/>
  <c r="N14" i="24"/>
  <c r="O14" i="24"/>
  <c r="P14" i="24"/>
  <c r="L14" i="24"/>
  <c r="M14" i="24"/>
  <c r="K14" i="24"/>
  <c r="I14" i="24"/>
  <c r="J14" i="24"/>
  <c r="N13" i="24"/>
  <c r="L13" i="24"/>
  <c r="M13" i="24"/>
  <c r="K13" i="24"/>
  <c r="J13" i="24"/>
  <c r="I13" i="24"/>
  <c r="N12" i="24"/>
  <c r="L12" i="24"/>
  <c r="M12" i="24"/>
  <c r="K12" i="24"/>
  <c r="O12" i="24"/>
  <c r="I12" i="24"/>
  <c r="J12" i="24"/>
  <c r="N11" i="24"/>
  <c r="O11" i="24"/>
  <c r="P11" i="24"/>
  <c r="L11" i="24"/>
  <c r="M11" i="24"/>
  <c r="K11" i="24"/>
  <c r="I11" i="24"/>
  <c r="J11" i="24"/>
  <c r="N10" i="24"/>
  <c r="M10" i="24"/>
  <c r="L10" i="24"/>
  <c r="K10" i="24"/>
  <c r="J10" i="24"/>
  <c r="I10" i="24"/>
  <c r="N9" i="24"/>
  <c r="L9" i="24"/>
  <c r="M9" i="24"/>
  <c r="K9" i="24"/>
  <c r="I9" i="24"/>
  <c r="J9" i="24"/>
  <c r="N8" i="24"/>
  <c r="L8" i="24"/>
  <c r="M8" i="24"/>
  <c r="K8" i="24"/>
  <c r="I8" i="24"/>
  <c r="J8" i="24"/>
  <c r="N7" i="24"/>
  <c r="L7" i="24"/>
  <c r="M7" i="24"/>
  <c r="K7" i="24"/>
  <c r="J7" i="24"/>
  <c r="I7" i="24"/>
  <c r="N6" i="24"/>
  <c r="L6" i="24"/>
  <c r="M6" i="24"/>
  <c r="K6" i="24"/>
  <c r="I6" i="24"/>
  <c r="J6" i="24"/>
  <c r="O400" i="23"/>
  <c r="N400" i="23"/>
  <c r="M400" i="23"/>
  <c r="L400" i="23"/>
  <c r="K400" i="23"/>
  <c r="I400" i="23"/>
  <c r="J400" i="23"/>
  <c r="N399" i="23"/>
  <c r="O399" i="23"/>
  <c r="P399" i="23"/>
  <c r="M399" i="23"/>
  <c r="L399" i="23"/>
  <c r="K399" i="23"/>
  <c r="I399" i="23"/>
  <c r="J399" i="23"/>
  <c r="N398" i="23"/>
  <c r="L398" i="23"/>
  <c r="M398" i="23"/>
  <c r="K398" i="23"/>
  <c r="I398" i="23"/>
  <c r="J398" i="23"/>
  <c r="N397" i="23"/>
  <c r="O397" i="23"/>
  <c r="M397" i="23"/>
  <c r="L397" i="23"/>
  <c r="K397" i="23"/>
  <c r="J397" i="23"/>
  <c r="I397" i="23"/>
  <c r="N396" i="23"/>
  <c r="M396" i="23"/>
  <c r="L396" i="23"/>
  <c r="K396" i="23"/>
  <c r="I396" i="23"/>
  <c r="J396" i="23"/>
  <c r="N395" i="23"/>
  <c r="M395" i="23"/>
  <c r="L395" i="23"/>
  <c r="K395" i="23"/>
  <c r="I395" i="23"/>
  <c r="J395" i="23"/>
  <c r="N394" i="23"/>
  <c r="M394" i="23"/>
  <c r="L394" i="23"/>
  <c r="K394" i="23"/>
  <c r="O394" i="23"/>
  <c r="I394" i="23"/>
  <c r="J394" i="23"/>
  <c r="N393" i="23"/>
  <c r="M393" i="23"/>
  <c r="L393" i="23"/>
  <c r="K393" i="23"/>
  <c r="I393" i="23"/>
  <c r="J393" i="23"/>
  <c r="N392" i="23"/>
  <c r="L392" i="23"/>
  <c r="M392" i="23"/>
  <c r="K392" i="23"/>
  <c r="I392" i="23"/>
  <c r="J392" i="23"/>
  <c r="N391" i="23"/>
  <c r="M391" i="23"/>
  <c r="L391" i="23"/>
  <c r="K391" i="23"/>
  <c r="I391" i="23"/>
  <c r="J391" i="23"/>
  <c r="N390" i="23"/>
  <c r="M390" i="23"/>
  <c r="L390" i="23"/>
  <c r="K390" i="23"/>
  <c r="J390" i="23"/>
  <c r="I390" i="23"/>
  <c r="N389" i="23"/>
  <c r="O389" i="23"/>
  <c r="L389" i="23"/>
  <c r="M389" i="23"/>
  <c r="K389" i="23"/>
  <c r="I389" i="23"/>
  <c r="J389" i="23"/>
  <c r="N388" i="23"/>
  <c r="M388" i="23"/>
  <c r="L388" i="23"/>
  <c r="K388" i="23"/>
  <c r="I388" i="23"/>
  <c r="J388" i="23"/>
  <c r="O387" i="23"/>
  <c r="P387" i="23"/>
  <c r="N387" i="23"/>
  <c r="M387" i="23"/>
  <c r="L387" i="23"/>
  <c r="K387" i="23"/>
  <c r="I387" i="23"/>
  <c r="J387" i="23"/>
  <c r="O386" i="23"/>
  <c r="N386" i="23"/>
  <c r="L386" i="23"/>
  <c r="M386" i="23"/>
  <c r="K386" i="23"/>
  <c r="J386" i="23"/>
  <c r="I386" i="23"/>
  <c r="N385" i="23"/>
  <c r="M385" i="23"/>
  <c r="L385" i="23"/>
  <c r="K385" i="23"/>
  <c r="J385" i="23"/>
  <c r="I385" i="23"/>
  <c r="N384" i="23"/>
  <c r="M384" i="23"/>
  <c r="L384" i="23"/>
  <c r="K384" i="23"/>
  <c r="J384" i="23"/>
  <c r="I384" i="23"/>
  <c r="N383" i="23"/>
  <c r="O383" i="23"/>
  <c r="M383" i="23"/>
  <c r="L383" i="23"/>
  <c r="K383" i="23"/>
  <c r="I383" i="23"/>
  <c r="J383" i="23"/>
  <c r="O382" i="23"/>
  <c r="N382" i="23"/>
  <c r="M382" i="23"/>
  <c r="L382" i="23"/>
  <c r="K382" i="23"/>
  <c r="I382" i="23"/>
  <c r="J382" i="23"/>
  <c r="N381" i="23"/>
  <c r="M381" i="23"/>
  <c r="L381" i="23"/>
  <c r="K381" i="23"/>
  <c r="I381" i="23"/>
  <c r="J381" i="23"/>
  <c r="O380" i="23"/>
  <c r="N380" i="23"/>
  <c r="L380" i="23"/>
  <c r="M380" i="23"/>
  <c r="K380" i="23"/>
  <c r="J380" i="23"/>
  <c r="I380" i="23"/>
  <c r="N379" i="23"/>
  <c r="M379" i="23"/>
  <c r="L379" i="23"/>
  <c r="K379" i="23"/>
  <c r="J379" i="23"/>
  <c r="I379" i="23"/>
  <c r="N378" i="23"/>
  <c r="O378" i="23"/>
  <c r="P378" i="23"/>
  <c r="M378" i="23"/>
  <c r="L378" i="23"/>
  <c r="K378" i="23"/>
  <c r="I378" i="23"/>
  <c r="J378" i="23"/>
  <c r="N377" i="23"/>
  <c r="M377" i="23"/>
  <c r="L377" i="23"/>
  <c r="K377" i="23"/>
  <c r="I377" i="23"/>
  <c r="J377" i="23"/>
  <c r="N376" i="23"/>
  <c r="O376" i="23"/>
  <c r="M376" i="23"/>
  <c r="L376" i="23"/>
  <c r="K376" i="23"/>
  <c r="I376" i="23"/>
  <c r="J376" i="23"/>
  <c r="N375" i="23"/>
  <c r="M375" i="23"/>
  <c r="L375" i="23"/>
  <c r="K375" i="23"/>
  <c r="I375" i="23"/>
  <c r="J375" i="23"/>
  <c r="O374" i="23"/>
  <c r="N374" i="23"/>
  <c r="L374" i="23"/>
  <c r="M374" i="23"/>
  <c r="K374" i="23"/>
  <c r="I374" i="23"/>
  <c r="J374" i="23"/>
  <c r="N373" i="23"/>
  <c r="M373" i="23"/>
  <c r="L373" i="23"/>
  <c r="K373" i="23"/>
  <c r="I373" i="23"/>
  <c r="J373" i="23"/>
  <c r="O372" i="23"/>
  <c r="N372" i="23"/>
  <c r="M372" i="23"/>
  <c r="L372" i="23"/>
  <c r="K372" i="23"/>
  <c r="I372" i="23"/>
  <c r="J372" i="23"/>
  <c r="N371" i="23"/>
  <c r="O371" i="23"/>
  <c r="L371" i="23"/>
  <c r="M371" i="23"/>
  <c r="K371" i="23"/>
  <c r="J371" i="23"/>
  <c r="I371" i="23"/>
  <c r="N370" i="23"/>
  <c r="M370" i="23"/>
  <c r="L370" i="23"/>
  <c r="K370" i="23"/>
  <c r="I370" i="23"/>
  <c r="J370" i="23"/>
  <c r="O369" i="23"/>
  <c r="P369" i="23"/>
  <c r="N369" i="23"/>
  <c r="M369" i="23"/>
  <c r="L369" i="23"/>
  <c r="K369" i="23"/>
  <c r="I369" i="23"/>
  <c r="J369" i="23"/>
  <c r="N368" i="23"/>
  <c r="L368" i="23"/>
  <c r="M368" i="23"/>
  <c r="K368" i="23"/>
  <c r="J368" i="23"/>
  <c r="I368" i="23"/>
  <c r="N367" i="23"/>
  <c r="O367" i="23"/>
  <c r="M367" i="23"/>
  <c r="L367" i="23"/>
  <c r="K367" i="23"/>
  <c r="I367" i="23"/>
  <c r="J367" i="23"/>
  <c r="O366" i="23"/>
  <c r="N366" i="23"/>
  <c r="M366" i="23"/>
  <c r="L366" i="23"/>
  <c r="K366" i="23"/>
  <c r="J366" i="23"/>
  <c r="I366" i="23"/>
  <c r="N365" i="23"/>
  <c r="L365" i="23"/>
  <c r="M365" i="23"/>
  <c r="K365" i="23"/>
  <c r="I365" i="23"/>
  <c r="J365" i="23"/>
  <c r="O364" i="23"/>
  <c r="N364" i="23"/>
  <c r="M364" i="23"/>
  <c r="L364" i="23"/>
  <c r="K364" i="23"/>
  <c r="I364" i="23"/>
  <c r="J364" i="23"/>
  <c r="N363" i="23"/>
  <c r="M363" i="23"/>
  <c r="L363" i="23"/>
  <c r="K363" i="23"/>
  <c r="I363" i="23"/>
  <c r="J363" i="23"/>
  <c r="O362" i="23"/>
  <c r="N362" i="23"/>
  <c r="M362" i="23"/>
  <c r="L362" i="23"/>
  <c r="K362" i="23"/>
  <c r="I362" i="23"/>
  <c r="J362" i="23"/>
  <c r="N361" i="23"/>
  <c r="M361" i="23"/>
  <c r="L361" i="23"/>
  <c r="K361" i="23"/>
  <c r="J361" i="23"/>
  <c r="I361" i="23"/>
  <c r="N360" i="23"/>
  <c r="M360" i="23"/>
  <c r="L360" i="23"/>
  <c r="K360" i="23"/>
  <c r="I360" i="23"/>
  <c r="J360" i="23"/>
  <c r="N359" i="23"/>
  <c r="M359" i="23"/>
  <c r="L359" i="23"/>
  <c r="K359" i="23"/>
  <c r="J359" i="23"/>
  <c r="I359" i="23"/>
  <c r="N358" i="23"/>
  <c r="M358" i="23"/>
  <c r="L358" i="23"/>
  <c r="K358" i="23"/>
  <c r="I358" i="23"/>
  <c r="J358" i="23"/>
  <c r="N357" i="23"/>
  <c r="M357" i="23"/>
  <c r="L357" i="23"/>
  <c r="K357" i="23"/>
  <c r="I357" i="23"/>
  <c r="J357" i="23"/>
  <c r="N356" i="23"/>
  <c r="L356" i="23"/>
  <c r="M356" i="23"/>
  <c r="K356" i="23"/>
  <c r="I356" i="23"/>
  <c r="J356" i="23"/>
  <c r="N355" i="23"/>
  <c r="O355" i="23"/>
  <c r="M355" i="23"/>
  <c r="L355" i="23"/>
  <c r="K355" i="23"/>
  <c r="I355" i="23"/>
  <c r="J355" i="23"/>
  <c r="N354" i="23"/>
  <c r="M354" i="23"/>
  <c r="L354" i="23"/>
  <c r="K354" i="23"/>
  <c r="O354" i="23"/>
  <c r="I354" i="23"/>
  <c r="J354" i="23"/>
  <c r="N353" i="23"/>
  <c r="O353" i="23"/>
  <c r="M353" i="23"/>
  <c r="L353" i="23"/>
  <c r="K353" i="23"/>
  <c r="J353" i="23"/>
  <c r="I353" i="23"/>
  <c r="N352" i="23"/>
  <c r="M352" i="23"/>
  <c r="L352" i="23"/>
  <c r="K352" i="23"/>
  <c r="I352" i="23"/>
  <c r="J352" i="23"/>
  <c r="P351" i="23"/>
  <c r="O351" i="23"/>
  <c r="N351" i="23"/>
  <c r="M351" i="23"/>
  <c r="L351" i="23"/>
  <c r="K351" i="23"/>
  <c r="I351" i="23"/>
  <c r="J351" i="23"/>
  <c r="O350" i="23"/>
  <c r="N350" i="23"/>
  <c r="L350" i="23"/>
  <c r="M350" i="23"/>
  <c r="K350" i="23"/>
  <c r="J350" i="23"/>
  <c r="I350" i="23"/>
  <c r="N349" i="23"/>
  <c r="M349" i="23"/>
  <c r="L349" i="23"/>
  <c r="K349" i="23"/>
  <c r="I349" i="23"/>
  <c r="J349" i="23"/>
  <c r="N348" i="23"/>
  <c r="O348" i="23"/>
  <c r="P348" i="23"/>
  <c r="M348" i="23"/>
  <c r="L348" i="23"/>
  <c r="K348" i="23"/>
  <c r="J348" i="23"/>
  <c r="I348" i="23"/>
  <c r="N347" i="23"/>
  <c r="O347" i="23"/>
  <c r="M347" i="23"/>
  <c r="L347" i="23"/>
  <c r="K347" i="23"/>
  <c r="I347" i="23"/>
  <c r="J347" i="23"/>
  <c r="O346" i="23"/>
  <c r="N346" i="23"/>
  <c r="M346" i="23"/>
  <c r="L346" i="23"/>
  <c r="K346" i="23"/>
  <c r="I346" i="23"/>
  <c r="J346" i="23"/>
  <c r="O345" i="23"/>
  <c r="P345" i="23"/>
  <c r="N345" i="23"/>
  <c r="M345" i="23"/>
  <c r="L345" i="23"/>
  <c r="K345" i="23"/>
  <c r="I345" i="23"/>
  <c r="J345" i="23"/>
  <c r="N344" i="23"/>
  <c r="L344" i="23"/>
  <c r="M344" i="23"/>
  <c r="K344" i="23"/>
  <c r="I344" i="23"/>
  <c r="J344" i="23"/>
  <c r="O343" i="23"/>
  <c r="N343" i="23"/>
  <c r="M343" i="23"/>
  <c r="L343" i="23"/>
  <c r="K343" i="23"/>
  <c r="J343" i="23"/>
  <c r="I343" i="23"/>
  <c r="N342" i="23"/>
  <c r="M342" i="23"/>
  <c r="L342" i="23"/>
  <c r="K342" i="23"/>
  <c r="O342" i="23"/>
  <c r="I342" i="23"/>
  <c r="J342" i="23"/>
  <c r="N341" i="23"/>
  <c r="M341" i="23"/>
  <c r="L341" i="23"/>
  <c r="K341" i="23"/>
  <c r="I341" i="23"/>
  <c r="J341" i="23"/>
  <c r="N340" i="23"/>
  <c r="O340" i="23"/>
  <c r="M340" i="23"/>
  <c r="L340" i="23"/>
  <c r="K340" i="23"/>
  <c r="I340" i="23"/>
  <c r="J340" i="23"/>
  <c r="N339" i="23"/>
  <c r="M339" i="23"/>
  <c r="L339" i="23"/>
  <c r="K339" i="23"/>
  <c r="I339" i="23"/>
  <c r="J339" i="23"/>
  <c r="N338" i="23"/>
  <c r="L338" i="23"/>
  <c r="M338" i="23"/>
  <c r="K338" i="23"/>
  <c r="O338" i="23"/>
  <c r="I338" i="23"/>
  <c r="J338" i="23"/>
  <c r="N337" i="23"/>
  <c r="M337" i="23"/>
  <c r="L337" i="23"/>
  <c r="K337" i="23"/>
  <c r="I337" i="23"/>
  <c r="J337" i="23"/>
  <c r="O336" i="23"/>
  <c r="N336" i="23"/>
  <c r="M336" i="23"/>
  <c r="L336" i="23"/>
  <c r="K336" i="23"/>
  <c r="J336" i="23"/>
  <c r="I336" i="23"/>
  <c r="N335" i="23"/>
  <c r="O335" i="23"/>
  <c r="L335" i="23"/>
  <c r="M335" i="23"/>
  <c r="K335" i="23"/>
  <c r="I335" i="23"/>
  <c r="J335" i="23"/>
  <c r="N334" i="23"/>
  <c r="M334" i="23"/>
  <c r="L334" i="23"/>
  <c r="K334" i="23"/>
  <c r="I334" i="23"/>
  <c r="J334" i="23"/>
  <c r="O333" i="23"/>
  <c r="P333" i="23"/>
  <c r="N333" i="23"/>
  <c r="M333" i="23"/>
  <c r="L333" i="23"/>
  <c r="K333" i="23"/>
  <c r="I333" i="23"/>
  <c r="J333" i="23"/>
  <c r="O332" i="23"/>
  <c r="N332" i="23"/>
  <c r="L332" i="23"/>
  <c r="M332" i="23"/>
  <c r="K332" i="23"/>
  <c r="J332" i="23"/>
  <c r="I332" i="23"/>
  <c r="N331" i="23"/>
  <c r="M331" i="23"/>
  <c r="L331" i="23"/>
  <c r="K331" i="23"/>
  <c r="J331" i="23"/>
  <c r="I331" i="23"/>
  <c r="N330" i="23"/>
  <c r="M330" i="23"/>
  <c r="L330" i="23"/>
  <c r="K330" i="23"/>
  <c r="J330" i="23"/>
  <c r="I330" i="23"/>
  <c r="N329" i="23"/>
  <c r="O329" i="23"/>
  <c r="M329" i="23"/>
  <c r="L329" i="23"/>
  <c r="K329" i="23"/>
  <c r="I329" i="23"/>
  <c r="J329" i="23"/>
  <c r="O328" i="23"/>
  <c r="N328" i="23"/>
  <c r="M328" i="23"/>
  <c r="L328" i="23"/>
  <c r="K328" i="23"/>
  <c r="I328" i="23"/>
  <c r="J328" i="23"/>
  <c r="P327" i="23"/>
  <c r="N327" i="23"/>
  <c r="M327" i="23"/>
  <c r="L327" i="23"/>
  <c r="K327" i="23"/>
  <c r="O327" i="23"/>
  <c r="I327" i="23"/>
  <c r="J327" i="23"/>
  <c r="O326" i="23"/>
  <c r="N326" i="23"/>
  <c r="L326" i="23"/>
  <c r="M326" i="23"/>
  <c r="K326" i="23"/>
  <c r="J326" i="23"/>
  <c r="I326" i="23"/>
  <c r="N325" i="23"/>
  <c r="M325" i="23"/>
  <c r="L325" i="23"/>
  <c r="K325" i="23"/>
  <c r="J325" i="23"/>
  <c r="I325" i="23"/>
  <c r="N324" i="23"/>
  <c r="O324" i="23"/>
  <c r="P324" i="23"/>
  <c r="M324" i="23"/>
  <c r="L324" i="23"/>
  <c r="K324" i="23"/>
  <c r="I324" i="23"/>
  <c r="J324" i="23"/>
  <c r="N323" i="23"/>
  <c r="M323" i="23"/>
  <c r="L323" i="23"/>
  <c r="K323" i="23"/>
  <c r="J323" i="23"/>
  <c r="I323" i="23"/>
  <c r="N322" i="23"/>
  <c r="O322" i="23"/>
  <c r="M322" i="23"/>
  <c r="L322" i="23"/>
  <c r="K322" i="23"/>
  <c r="I322" i="23"/>
  <c r="J322" i="23"/>
  <c r="N321" i="23"/>
  <c r="M321" i="23"/>
  <c r="L321" i="23"/>
  <c r="K321" i="23"/>
  <c r="I321" i="23"/>
  <c r="J321" i="23"/>
  <c r="O320" i="23"/>
  <c r="N320" i="23"/>
  <c r="L320" i="23"/>
  <c r="M320" i="23"/>
  <c r="K320" i="23"/>
  <c r="I320" i="23"/>
  <c r="J320" i="23"/>
  <c r="O319" i="23"/>
  <c r="N319" i="23"/>
  <c r="M319" i="23"/>
  <c r="L319" i="23"/>
  <c r="K319" i="23"/>
  <c r="I319" i="23"/>
  <c r="J319" i="23"/>
  <c r="N318" i="23"/>
  <c r="M318" i="23"/>
  <c r="L318" i="23"/>
  <c r="K318" i="23"/>
  <c r="J318" i="23"/>
  <c r="I318" i="23"/>
  <c r="O317" i="23"/>
  <c r="N317" i="23"/>
  <c r="M317" i="23"/>
  <c r="L317" i="23"/>
  <c r="K317" i="23"/>
  <c r="J317" i="23"/>
  <c r="I317" i="23"/>
  <c r="N316" i="23"/>
  <c r="M316" i="23"/>
  <c r="L316" i="23"/>
  <c r="K316" i="23"/>
  <c r="I316" i="23"/>
  <c r="J316" i="23"/>
  <c r="O315" i="23"/>
  <c r="P315" i="23"/>
  <c r="N315" i="23"/>
  <c r="M315" i="23"/>
  <c r="L315" i="23"/>
  <c r="K315" i="23"/>
  <c r="I315" i="23"/>
  <c r="J315" i="23"/>
  <c r="N314" i="23"/>
  <c r="L314" i="23"/>
  <c r="M314" i="23"/>
  <c r="K314" i="23"/>
  <c r="J314" i="23"/>
  <c r="I314" i="23"/>
  <c r="N313" i="23"/>
  <c r="O313" i="23"/>
  <c r="M313" i="23"/>
  <c r="L313" i="23"/>
  <c r="K313" i="23"/>
  <c r="I313" i="23"/>
  <c r="J313" i="23"/>
  <c r="N312" i="23"/>
  <c r="O312" i="23"/>
  <c r="P312" i="23"/>
  <c r="M312" i="23"/>
  <c r="L312" i="23"/>
  <c r="K312" i="23"/>
  <c r="J312" i="23"/>
  <c r="I312" i="23"/>
  <c r="N311" i="23"/>
  <c r="L311" i="23"/>
  <c r="M311" i="23"/>
  <c r="K311" i="23"/>
  <c r="I311" i="23"/>
  <c r="J311" i="23"/>
  <c r="O310" i="23"/>
  <c r="N310" i="23"/>
  <c r="M310" i="23"/>
  <c r="L310" i="23"/>
  <c r="K310" i="23"/>
  <c r="I310" i="23"/>
  <c r="J310" i="23"/>
  <c r="N309" i="23"/>
  <c r="M309" i="23"/>
  <c r="L309" i="23"/>
  <c r="K309" i="23"/>
  <c r="I309" i="23"/>
  <c r="J309" i="23"/>
  <c r="O308" i="23"/>
  <c r="N308" i="23"/>
  <c r="M308" i="23"/>
  <c r="L308" i="23"/>
  <c r="K308" i="23"/>
  <c r="I308" i="23"/>
  <c r="J308" i="23"/>
  <c r="O307" i="23"/>
  <c r="N307" i="23"/>
  <c r="M307" i="23"/>
  <c r="L307" i="23"/>
  <c r="K307" i="23"/>
  <c r="J307" i="23"/>
  <c r="I307" i="23"/>
  <c r="N306" i="23"/>
  <c r="M306" i="23"/>
  <c r="L306" i="23"/>
  <c r="K306" i="23"/>
  <c r="I306" i="23"/>
  <c r="J306" i="23"/>
  <c r="N305" i="23"/>
  <c r="M305" i="23"/>
  <c r="L305" i="23"/>
  <c r="K305" i="23"/>
  <c r="J305" i="23"/>
  <c r="I305" i="23"/>
  <c r="N304" i="23"/>
  <c r="M304" i="23"/>
  <c r="L304" i="23"/>
  <c r="K304" i="23"/>
  <c r="I304" i="23"/>
  <c r="J304" i="23"/>
  <c r="N303" i="23"/>
  <c r="M303" i="23"/>
  <c r="L303" i="23"/>
  <c r="K303" i="23"/>
  <c r="I303" i="23"/>
  <c r="J303" i="23"/>
  <c r="O302" i="23"/>
  <c r="N302" i="23"/>
  <c r="L302" i="23"/>
  <c r="M302" i="23"/>
  <c r="K302" i="23"/>
  <c r="I302" i="23"/>
  <c r="J302" i="23"/>
  <c r="N301" i="23"/>
  <c r="O301" i="23"/>
  <c r="M301" i="23"/>
  <c r="L301" i="23"/>
  <c r="K301" i="23"/>
  <c r="I301" i="23"/>
  <c r="J301" i="23"/>
  <c r="N300" i="23"/>
  <c r="O300" i="23"/>
  <c r="M300" i="23"/>
  <c r="L300" i="23"/>
  <c r="K300" i="23"/>
  <c r="I300" i="23"/>
  <c r="J300" i="23"/>
  <c r="N299" i="23"/>
  <c r="O299" i="23"/>
  <c r="M299" i="23"/>
  <c r="L299" i="23"/>
  <c r="K299" i="23"/>
  <c r="I299" i="23"/>
  <c r="J299" i="23"/>
  <c r="N298" i="23"/>
  <c r="M298" i="23"/>
  <c r="L298" i="23"/>
  <c r="K298" i="23"/>
  <c r="I298" i="23"/>
  <c r="J298" i="23"/>
  <c r="P297" i="23"/>
  <c r="O297" i="23"/>
  <c r="N297" i="23"/>
  <c r="M297" i="23"/>
  <c r="L297" i="23"/>
  <c r="K297" i="23"/>
  <c r="I297" i="23"/>
  <c r="J297" i="23"/>
  <c r="N296" i="23"/>
  <c r="L296" i="23"/>
  <c r="M296" i="23"/>
  <c r="K296" i="23"/>
  <c r="J296" i="23"/>
  <c r="I296" i="23"/>
  <c r="N295" i="23"/>
  <c r="M295" i="23"/>
  <c r="L295" i="23"/>
  <c r="K295" i="23"/>
  <c r="I295" i="23"/>
  <c r="J295" i="23"/>
  <c r="N294" i="23"/>
  <c r="O294" i="23"/>
  <c r="P294" i="23"/>
  <c r="M294" i="23"/>
  <c r="L294" i="23"/>
  <c r="K294" i="23"/>
  <c r="J294" i="23"/>
  <c r="I294" i="23"/>
  <c r="O293" i="23"/>
  <c r="N293" i="23"/>
  <c r="L293" i="23"/>
  <c r="M293" i="23"/>
  <c r="K293" i="23"/>
  <c r="I293" i="23"/>
  <c r="J293" i="23"/>
  <c r="O292" i="23"/>
  <c r="N292" i="23"/>
  <c r="M292" i="23"/>
  <c r="L292" i="23"/>
  <c r="K292" i="23"/>
  <c r="J292" i="23"/>
  <c r="I292" i="23"/>
  <c r="N291" i="23"/>
  <c r="O291" i="23"/>
  <c r="P291" i="23"/>
  <c r="M291" i="23"/>
  <c r="L291" i="23"/>
  <c r="K291" i="23"/>
  <c r="I291" i="23"/>
  <c r="J291" i="23"/>
  <c r="N290" i="23"/>
  <c r="L290" i="23"/>
  <c r="M290" i="23"/>
  <c r="K290" i="23"/>
  <c r="I290" i="23"/>
  <c r="J290" i="23"/>
  <c r="N289" i="23"/>
  <c r="O289" i="23"/>
  <c r="M289" i="23"/>
  <c r="L289" i="23"/>
  <c r="K289" i="23"/>
  <c r="J289" i="23"/>
  <c r="I289" i="23"/>
  <c r="P288" i="23"/>
  <c r="O288" i="23"/>
  <c r="N288" i="23"/>
  <c r="M288" i="23"/>
  <c r="L288" i="23"/>
  <c r="K288" i="23"/>
  <c r="I288" i="23"/>
  <c r="J288" i="23"/>
  <c r="N287" i="23"/>
  <c r="M287" i="23"/>
  <c r="L287" i="23"/>
  <c r="K287" i="23"/>
  <c r="I287" i="23"/>
  <c r="J287" i="23"/>
  <c r="O286" i="23"/>
  <c r="N286" i="23"/>
  <c r="M286" i="23"/>
  <c r="L286" i="23"/>
  <c r="K286" i="23"/>
  <c r="I286" i="23"/>
  <c r="J286" i="23"/>
  <c r="N285" i="23"/>
  <c r="M285" i="23"/>
  <c r="L285" i="23"/>
  <c r="K285" i="23"/>
  <c r="I285" i="23"/>
  <c r="J285" i="23"/>
  <c r="O284" i="23"/>
  <c r="N284" i="23"/>
  <c r="L284" i="23"/>
  <c r="M284" i="23"/>
  <c r="K284" i="23"/>
  <c r="I284" i="23"/>
  <c r="J284" i="23"/>
  <c r="N283" i="23"/>
  <c r="M283" i="23"/>
  <c r="L283" i="23"/>
  <c r="K283" i="23"/>
  <c r="I283" i="23"/>
  <c r="J283" i="23"/>
  <c r="O282" i="23"/>
  <c r="N282" i="23"/>
  <c r="M282" i="23"/>
  <c r="L282" i="23"/>
  <c r="K282" i="23"/>
  <c r="J282" i="23"/>
  <c r="I282" i="23"/>
  <c r="N281" i="23"/>
  <c r="O281" i="23"/>
  <c r="L281" i="23"/>
  <c r="M281" i="23"/>
  <c r="K281" i="23"/>
  <c r="I281" i="23"/>
  <c r="J281" i="23"/>
  <c r="N280" i="23"/>
  <c r="M280" i="23"/>
  <c r="L280" i="23"/>
  <c r="K280" i="23"/>
  <c r="I280" i="23"/>
  <c r="J280" i="23"/>
  <c r="O279" i="23"/>
  <c r="P279" i="23"/>
  <c r="N279" i="23"/>
  <c r="M279" i="23"/>
  <c r="L279" i="23"/>
  <c r="K279" i="23"/>
  <c r="J279" i="23"/>
  <c r="I279" i="23"/>
  <c r="N278" i="23"/>
  <c r="L278" i="23"/>
  <c r="M278" i="23"/>
  <c r="K278" i="23"/>
  <c r="J278" i="23"/>
  <c r="I278" i="23"/>
  <c r="N277" i="23"/>
  <c r="M277" i="23"/>
  <c r="L277" i="23"/>
  <c r="K277" i="23"/>
  <c r="O277" i="23"/>
  <c r="J277" i="23"/>
  <c r="I277" i="23"/>
  <c r="N276" i="23"/>
  <c r="M276" i="23"/>
  <c r="L276" i="23"/>
  <c r="K276" i="23"/>
  <c r="J276" i="23"/>
  <c r="I276" i="23"/>
  <c r="N275" i="23"/>
  <c r="O275" i="23"/>
  <c r="M275" i="23"/>
  <c r="L275" i="23"/>
  <c r="K275" i="23"/>
  <c r="I275" i="23"/>
  <c r="J275" i="23"/>
  <c r="O274" i="23"/>
  <c r="N274" i="23"/>
  <c r="M274" i="23"/>
  <c r="L274" i="23"/>
  <c r="K274" i="23"/>
  <c r="I274" i="23"/>
  <c r="J274" i="23"/>
  <c r="P273" i="23"/>
  <c r="N273" i="23"/>
  <c r="M273" i="23"/>
  <c r="L273" i="23"/>
  <c r="K273" i="23"/>
  <c r="O273" i="23"/>
  <c r="I273" i="23"/>
  <c r="J273" i="23"/>
  <c r="N272" i="23"/>
  <c r="L272" i="23"/>
  <c r="M272" i="23"/>
  <c r="K272" i="23"/>
  <c r="J272" i="23"/>
  <c r="I272" i="23"/>
  <c r="N271" i="23"/>
  <c r="M271" i="23"/>
  <c r="L271" i="23"/>
  <c r="K271" i="23"/>
  <c r="J271" i="23"/>
  <c r="I271" i="23"/>
  <c r="N270" i="23"/>
  <c r="O270" i="23"/>
  <c r="P270" i="23"/>
  <c r="M270" i="23"/>
  <c r="L270" i="23"/>
  <c r="K270" i="23"/>
  <c r="I270" i="23"/>
  <c r="J270" i="23"/>
  <c r="N269" i="23"/>
  <c r="M269" i="23"/>
  <c r="L269" i="23"/>
  <c r="K269" i="23"/>
  <c r="I269" i="23"/>
  <c r="J269" i="23"/>
  <c r="N268" i="23"/>
  <c r="O268" i="23"/>
  <c r="M268" i="23"/>
  <c r="L268" i="23"/>
  <c r="K268" i="23"/>
  <c r="I268" i="23"/>
  <c r="J268" i="23"/>
  <c r="N267" i="23"/>
  <c r="M267" i="23"/>
  <c r="L267" i="23"/>
  <c r="K267" i="23"/>
  <c r="I267" i="23"/>
  <c r="J267" i="23"/>
  <c r="O266" i="23"/>
  <c r="N266" i="23"/>
  <c r="L266" i="23"/>
  <c r="M266" i="23"/>
  <c r="K266" i="23"/>
  <c r="I266" i="23"/>
  <c r="J266" i="23"/>
  <c r="N265" i="23"/>
  <c r="O265" i="23"/>
  <c r="M265" i="23"/>
  <c r="L265" i="23"/>
  <c r="K265" i="23"/>
  <c r="I265" i="23"/>
  <c r="J265" i="23"/>
  <c r="N264" i="23"/>
  <c r="M264" i="23"/>
  <c r="L264" i="23"/>
  <c r="K264" i="23"/>
  <c r="I264" i="23"/>
  <c r="J264" i="23"/>
  <c r="N263" i="23"/>
  <c r="O263" i="23"/>
  <c r="L263" i="23"/>
  <c r="M263" i="23"/>
  <c r="K263" i="23"/>
  <c r="J263" i="23"/>
  <c r="I263" i="23"/>
  <c r="N262" i="23"/>
  <c r="M262" i="23"/>
  <c r="L262" i="23"/>
  <c r="K262" i="23"/>
  <c r="J262" i="23"/>
  <c r="I262" i="23"/>
  <c r="O261" i="23"/>
  <c r="P261" i="23"/>
  <c r="N261" i="23"/>
  <c r="M261" i="23"/>
  <c r="L261" i="23"/>
  <c r="K261" i="23"/>
  <c r="I261" i="23"/>
  <c r="J261" i="23"/>
  <c r="O260" i="23"/>
  <c r="N260" i="23"/>
  <c r="L260" i="23"/>
  <c r="M260" i="23"/>
  <c r="K260" i="23"/>
  <c r="J260" i="23"/>
  <c r="I260" i="23"/>
  <c r="N259" i="23"/>
  <c r="O259" i="23"/>
  <c r="M259" i="23"/>
  <c r="L259" i="23"/>
  <c r="K259" i="23"/>
  <c r="J259" i="23"/>
  <c r="I259" i="23"/>
  <c r="O258" i="23"/>
  <c r="P258" i="23"/>
  <c r="N258" i="23"/>
  <c r="M258" i="23"/>
  <c r="L258" i="23"/>
  <c r="K258" i="23"/>
  <c r="J258" i="23"/>
  <c r="I258" i="23"/>
  <c r="N257" i="23"/>
  <c r="L257" i="23"/>
  <c r="M257" i="23"/>
  <c r="K257" i="23"/>
  <c r="I257" i="23"/>
  <c r="J257" i="23"/>
  <c r="O256" i="23"/>
  <c r="N256" i="23"/>
  <c r="M256" i="23"/>
  <c r="L256" i="23"/>
  <c r="K256" i="23"/>
  <c r="I256" i="23"/>
  <c r="J256" i="23"/>
  <c r="O255" i="23"/>
  <c r="P255" i="23"/>
  <c r="N255" i="23"/>
  <c r="M255" i="23"/>
  <c r="L255" i="23"/>
  <c r="K255" i="23"/>
  <c r="I255" i="23"/>
  <c r="J255" i="23"/>
  <c r="O254" i="23"/>
  <c r="N254" i="23"/>
  <c r="M254" i="23"/>
  <c r="L254" i="23"/>
  <c r="K254" i="23"/>
  <c r="I254" i="23"/>
  <c r="J254" i="23"/>
  <c r="O253" i="23"/>
  <c r="N253" i="23"/>
  <c r="M253" i="23"/>
  <c r="L253" i="23"/>
  <c r="K253" i="23"/>
  <c r="J253" i="23"/>
  <c r="I253" i="23"/>
  <c r="N252" i="23"/>
  <c r="M252" i="23"/>
  <c r="L252" i="23"/>
  <c r="K252" i="23"/>
  <c r="J252" i="23"/>
  <c r="I252" i="23"/>
  <c r="N251" i="23"/>
  <c r="M251" i="23"/>
  <c r="L251" i="23"/>
  <c r="K251" i="23"/>
  <c r="J251" i="23"/>
  <c r="I251" i="23"/>
  <c r="N250" i="23"/>
  <c r="M250" i="23"/>
  <c r="L250" i="23"/>
  <c r="K250" i="23"/>
  <c r="I250" i="23"/>
  <c r="J250" i="23"/>
  <c r="N249" i="23"/>
  <c r="M249" i="23"/>
  <c r="L249" i="23"/>
  <c r="K249" i="23"/>
  <c r="I249" i="23"/>
  <c r="J249" i="23"/>
  <c r="N248" i="23"/>
  <c r="L248" i="23"/>
  <c r="M248" i="23"/>
  <c r="K248" i="23"/>
  <c r="I248" i="23"/>
  <c r="J248" i="23"/>
  <c r="N247" i="23"/>
  <c r="O247" i="23"/>
  <c r="M247" i="23"/>
  <c r="L247" i="23"/>
  <c r="K247" i="23"/>
  <c r="I247" i="23"/>
  <c r="J247" i="23"/>
  <c r="N246" i="23"/>
  <c r="M246" i="23"/>
  <c r="L246" i="23"/>
  <c r="K246" i="23"/>
  <c r="I246" i="23"/>
  <c r="J246" i="23"/>
  <c r="N245" i="23"/>
  <c r="O245" i="23"/>
  <c r="M245" i="23"/>
  <c r="L245" i="23"/>
  <c r="K245" i="23"/>
  <c r="I245" i="23"/>
  <c r="J245" i="23"/>
  <c r="N244" i="23"/>
  <c r="M244" i="23"/>
  <c r="L244" i="23"/>
  <c r="K244" i="23"/>
  <c r="I244" i="23"/>
  <c r="J244" i="23"/>
  <c r="P243" i="23"/>
  <c r="O243" i="23"/>
  <c r="N243" i="23"/>
  <c r="M243" i="23"/>
  <c r="L243" i="23"/>
  <c r="K243" i="23"/>
  <c r="I243" i="23"/>
  <c r="J243" i="23"/>
  <c r="N242" i="23"/>
  <c r="L242" i="23"/>
  <c r="M242" i="23"/>
  <c r="K242" i="23"/>
  <c r="J242" i="23"/>
  <c r="I242" i="23"/>
  <c r="N241" i="23"/>
  <c r="M241" i="23"/>
  <c r="L241" i="23"/>
  <c r="K241" i="23"/>
  <c r="I241" i="23"/>
  <c r="J241" i="23"/>
  <c r="N240" i="23"/>
  <c r="O240" i="23"/>
  <c r="P240" i="23"/>
  <c r="M240" i="23"/>
  <c r="L240" i="23"/>
  <c r="K240" i="23"/>
  <c r="J240" i="23"/>
  <c r="I240" i="23"/>
  <c r="N239" i="23"/>
  <c r="L239" i="23"/>
  <c r="M239" i="23"/>
  <c r="K239" i="23"/>
  <c r="J239" i="23"/>
  <c r="I239" i="23"/>
  <c r="N238" i="23"/>
  <c r="M238" i="23"/>
  <c r="L238" i="23"/>
  <c r="K238" i="23"/>
  <c r="I238" i="23"/>
  <c r="J238" i="23"/>
  <c r="N237" i="23"/>
  <c r="O237" i="23"/>
  <c r="P237" i="23"/>
  <c r="M237" i="23"/>
  <c r="L237" i="23"/>
  <c r="K237" i="23"/>
  <c r="I237" i="23"/>
  <c r="J237" i="23"/>
  <c r="O236" i="23"/>
  <c r="N236" i="23"/>
  <c r="L236" i="23"/>
  <c r="M236" i="23"/>
  <c r="K236" i="23"/>
  <c r="J236" i="23"/>
  <c r="I236" i="23"/>
  <c r="O235" i="23"/>
  <c r="N235" i="23"/>
  <c r="M235" i="23"/>
  <c r="L235" i="23"/>
  <c r="K235" i="23"/>
  <c r="J235" i="23"/>
  <c r="I235" i="23"/>
  <c r="N234" i="23"/>
  <c r="M234" i="23"/>
  <c r="L234" i="23"/>
  <c r="K234" i="23"/>
  <c r="I234" i="23"/>
  <c r="J234" i="23"/>
  <c r="N233" i="23"/>
  <c r="L233" i="23"/>
  <c r="M233" i="23"/>
  <c r="K233" i="23"/>
  <c r="J233" i="23"/>
  <c r="I233" i="23"/>
  <c r="N232" i="23"/>
  <c r="L232" i="23"/>
  <c r="M232" i="23"/>
  <c r="K232" i="23"/>
  <c r="I232" i="23"/>
  <c r="J232" i="23"/>
  <c r="N231" i="23"/>
  <c r="M231" i="23"/>
  <c r="L231" i="23"/>
  <c r="K231" i="23"/>
  <c r="J231" i="23"/>
  <c r="I231" i="23"/>
  <c r="O230" i="23"/>
  <c r="P230" i="23"/>
  <c r="N230" i="23"/>
  <c r="M230" i="23"/>
  <c r="L230" i="23"/>
  <c r="K230" i="23"/>
  <c r="I230" i="23"/>
  <c r="J230" i="23"/>
  <c r="N229" i="23"/>
  <c r="O229" i="23"/>
  <c r="M229" i="23"/>
  <c r="L229" i="23"/>
  <c r="K229" i="23"/>
  <c r="J229" i="23"/>
  <c r="I229" i="23"/>
  <c r="N228" i="23"/>
  <c r="M228" i="23"/>
  <c r="L228" i="23"/>
  <c r="K228" i="23"/>
  <c r="I228" i="23"/>
  <c r="J228" i="23"/>
  <c r="O227" i="23"/>
  <c r="N227" i="23"/>
  <c r="L227" i="23"/>
  <c r="M227" i="23"/>
  <c r="K227" i="23"/>
  <c r="J227" i="23"/>
  <c r="I227" i="23"/>
  <c r="N226" i="23"/>
  <c r="O226" i="23"/>
  <c r="M226" i="23"/>
  <c r="L226" i="23"/>
  <c r="K226" i="23"/>
  <c r="I226" i="23"/>
  <c r="J226" i="23"/>
  <c r="O225" i="23"/>
  <c r="N225" i="23"/>
  <c r="M225" i="23"/>
  <c r="L225" i="23"/>
  <c r="K225" i="23"/>
  <c r="I225" i="23"/>
  <c r="J225" i="23"/>
  <c r="N224" i="23"/>
  <c r="M224" i="23"/>
  <c r="L224" i="23"/>
  <c r="K224" i="23"/>
  <c r="I224" i="23"/>
  <c r="J224" i="23"/>
  <c r="O223" i="23"/>
  <c r="N223" i="23"/>
  <c r="M223" i="23"/>
  <c r="L223" i="23"/>
  <c r="K223" i="23"/>
  <c r="I223" i="23"/>
  <c r="J223" i="23"/>
  <c r="N222" i="23"/>
  <c r="O222" i="23"/>
  <c r="M222" i="23"/>
  <c r="L222" i="23"/>
  <c r="K222" i="23"/>
  <c r="J222" i="23"/>
  <c r="I222" i="23"/>
  <c r="N221" i="23"/>
  <c r="M221" i="23"/>
  <c r="L221" i="23"/>
  <c r="K221" i="23"/>
  <c r="I221" i="23"/>
  <c r="J221" i="23"/>
  <c r="N220" i="23"/>
  <c r="O220" i="23"/>
  <c r="L220" i="23"/>
  <c r="M220" i="23"/>
  <c r="K220" i="23"/>
  <c r="J220" i="23"/>
  <c r="I220" i="23"/>
  <c r="N219" i="23"/>
  <c r="M219" i="23"/>
  <c r="L219" i="23"/>
  <c r="K219" i="23"/>
  <c r="J219" i="23"/>
  <c r="I219" i="23"/>
  <c r="P218" i="23"/>
  <c r="N218" i="23"/>
  <c r="L218" i="23"/>
  <c r="M218" i="23"/>
  <c r="K218" i="23"/>
  <c r="O218" i="23"/>
  <c r="J218" i="23"/>
  <c r="I218" i="23"/>
  <c r="N217" i="23"/>
  <c r="L217" i="23"/>
  <c r="M217" i="23"/>
  <c r="K217" i="23"/>
  <c r="J217" i="23"/>
  <c r="I217" i="23"/>
  <c r="N216" i="23"/>
  <c r="M216" i="23"/>
  <c r="L216" i="23"/>
  <c r="K216" i="23"/>
  <c r="I216" i="23"/>
  <c r="J216" i="23"/>
  <c r="N215" i="23"/>
  <c r="O215" i="23"/>
  <c r="P215" i="23"/>
  <c r="M215" i="23"/>
  <c r="L215" i="23"/>
  <c r="K215" i="23"/>
  <c r="I215" i="23"/>
  <c r="J215" i="23"/>
  <c r="O214" i="23"/>
  <c r="N214" i="23"/>
  <c r="M214" i="23"/>
  <c r="L214" i="23"/>
  <c r="K214" i="23"/>
  <c r="I214" i="23"/>
  <c r="J214" i="23"/>
  <c r="N213" i="23"/>
  <c r="M213" i="23"/>
  <c r="L213" i="23"/>
  <c r="K213" i="23"/>
  <c r="J213" i="23"/>
  <c r="I213" i="23"/>
  <c r="N212" i="23"/>
  <c r="O212" i="23"/>
  <c r="P212" i="23"/>
  <c r="M212" i="23"/>
  <c r="L212" i="23"/>
  <c r="K212" i="23"/>
  <c r="J212" i="23"/>
  <c r="I212" i="23"/>
  <c r="N211" i="23"/>
  <c r="L211" i="23"/>
  <c r="M211" i="23"/>
  <c r="K211" i="23"/>
  <c r="J211" i="23"/>
  <c r="I211" i="23"/>
  <c r="O210" i="23"/>
  <c r="P210" i="23"/>
  <c r="N210" i="23"/>
  <c r="M210" i="23"/>
  <c r="L210" i="23"/>
  <c r="K210" i="23"/>
  <c r="I210" i="23"/>
  <c r="J210" i="23"/>
  <c r="N209" i="23"/>
  <c r="L209" i="23"/>
  <c r="M209" i="23"/>
  <c r="K209" i="23"/>
  <c r="I209" i="23"/>
  <c r="J209" i="23"/>
  <c r="N208" i="23"/>
  <c r="L208" i="23"/>
  <c r="M208" i="23"/>
  <c r="K208" i="23"/>
  <c r="I208" i="23"/>
  <c r="J208" i="23"/>
  <c r="N207" i="23"/>
  <c r="O207" i="23"/>
  <c r="P207" i="23"/>
  <c r="M207" i="23"/>
  <c r="L207" i="23"/>
  <c r="K207" i="23"/>
  <c r="I207" i="23"/>
  <c r="J207" i="23"/>
  <c r="N206" i="23"/>
  <c r="O206" i="23"/>
  <c r="P206" i="23"/>
  <c r="M206" i="23"/>
  <c r="L206" i="23"/>
  <c r="K206" i="23"/>
  <c r="J206" i="23"/>
  <c r="I206" i="23"/>
  <c r="N205" i="23"/>
  <c r="L205" i="23"/>
  <c r="M205" i="23"/>
  <c r="K205" i="23"/>
  <c r="I205" i="23"/>
  <c r="J205" i="23"/>
  <c r="O204" i="23"/>
  <c r="P204" i="23"/>
  <c r="N204" i="23"/>
  <c r="M204" i="23"/>
  <c r="L204" i="23"/>
  <c r="K204" i="23"/>
  <c r="J204" i="23"/>
  <c r="I204" i="23"/>
  <c r="O203" i="23"/>
  <c r="N203" i="23"/>
  <c r="L203" i="23"/>
  <c r="M203" i="23"/>
  <c r="K203" i="23"/>
  <c r="J203" i="23"/>
  <c r="I203" i="23"/>
  <c r="N202" i="23"/>
  <c r="M202" i="23"/>
  <c r="L202" i="23"/>
  <c r="K202" i="23"/>
  <c r="I202" i="23"/>
  <c r="J202" i="23"/>
  <c r="N201" i="23"/>
  <c r="O201" i="23"/>
  <c r="P201" i="23"/>
  <c r="M201" i="23"/>
  <c r="L201" i="23"/>
  <c r="K201" i="23"/>
  <c r="J201" i="23"/>
  <c r="I201" i="23"/>
  <c r="N200" i="23"/>
  <c r="M200" i="23"/>
  <c r="L200" i="23"/>
  <c r="K200" i="23"/>
  <c r="J200" i="23"/>
  <c r="I200" i="23"/>
  <c r="O199" i="23"/>
  <c r="N199" i="23"/>
  <c r="L199" i="23"/>
  <c r="M199" i="23"/>
  <c r="K199" i="23"/>
  <c r="I199" i="23"/>
  <c r="J199" i="23"/>
  <c r="N198" i="23"/>
  <c r="M198" i="23"/>
  <c r="L198" i="23"/>
  <c r="K198" i="23"/>
  <c r="I198" i="23"/>
  <c r="J198" i="23"/>
  <c r="N197" i="23"/>
  <c r="L197" i="23"/>
  <c r="M197" i="23"/>
  <c r="K197" i="23"/>
  <c r="I197" i="23"/>
  <c r="J197" i="23"/>
  <c r="N196" i="23"/>
  <c r="L196" i="23"/>
  <c r="M196" i="23"/>
  <c r="K196" i="23"/>
  <c r="I196" i="23"/>
  <c r="J196" i="23"/>
  <c r="N195" i="23"/>
  <c r="M195" i="23"/>
  <c r="L195" i="23"/>
  <c r="K195" i="23"/>
  <c r="J195" i="23"/>
  <c r="I195" i="23"/>
  <c r="N194" i="23"/>
  <c r="O194" i="23"/>
  <c r="P194" i="23"/>
  <c r="M194" i="23"/>
  <c r="L194" i="23"/>
  <c r="K194" i="23"/>
  <c r="I194" i="23"/>
  <c r="J194" i="23"/>
  <c r="N193" i="23"/>
  <c r="O193" i="23"/>
  <c r="M193" i="23"/>
  <c r="L193" i="23"/>
  <c r="K193" i="23"/>
  <c r="I193" i="23"/>
  <c r="J193" i="23"/>
  <c r="P192" i="23"/>
  <c r="N192" i="23"/>
  <c r="M192" i="23"/>
  <c r="L192" i="23"/>
  <c r="K192" i="23"/>
  <c r="O192" i="23"/>
  <c r="I192" i="23"/>
  <c r="J192" i="23"/>
  <c r="O191" i="23"/>
  <c r="N191" i="23"/>
  <c r="M191" i="23"/>
  <c r="L191" i="23"/>
  <c r="K191" i="23"/>
  <c r="J191" i="23"/>
  <c r="I191" i="23"/>
  <c r="N190" i="23"/>
  <c r="O190" i="23"/>
  <c r="L190" i="23"/>
  <c r="M190" i="23"/>
  <c r="K190" i="23"/>
  <c r="I190" i="23"/>
  <c r="J190" i="23"/>
  <c r="O189" i="23"/>
  <c r="P189" i="23"/>
  <c r="N189" i="23"/>
  <c r="M189" i="23"/>
  <c r="L189" i="23"/>
  <c r="K189" i="23"/>
  <c r="J189" i="23"/>
  <c r="I189" i="23"/>
  <c r="N188" i="23"/>
  <c r="L188" i="23"/>
  <c r="M188" i="23"/>
  <c r="K188" i="23"/>
  <c r="J188" i="23"/>
  <c r="I188" i="23"/>
  <c r="N187" i="23"/>
  <c r="L187" i="23"/>
  <c r="M187" i="23"/>
  <c r="K187" i="23"/>
  <c r="I187" i="23"/>
  <c r="J187" i="23"/>
  <c r="N186" i="23"/>
  <c r="O186" i="23"/>
  <c r="P186" i="23"/>
  <c r="M186" i="23"/>
  <c r="L186" i="23"/>
  <c r="K186" i="23"/>
  <c r="J186" i="23"/>
  <c r="I186" i="23"/>
  <c r="N185" i="23"/>
  <c r="L185" i="23"/>
  <c r="M185" i="23"/>
  <c r="K185" i="23"/>
  <c r="I185" i="23"/>
  <c r="J185" i="23"/>
  <c r="N184" i="23"/>
  <c r="O184" i="23"/>
  <c r="M184" i="23"/>
  <c r="L184" i="23"/>
  <c r="K184" i="23"/>
  <c r="J184" i="23"/>
  <c r="I184" i="23"/>
  <c r="O183" i="23"/>
  <c r="P183" i="23"/>
  <c r="N183" i="23"/>
  <c r="M183" i="23"/>
  <c r="L183" i="23"/>
  <c r="K183" i="23"/>
  <c r="J183" i="23"/>
  <c r="I183" i="23"/>
  <c r="N182" i="23"/>
  <c r="L182" i="23"/>
  <c r="M182" i="23"/>
  <c r="K182" i="23"/>
  <c r="I182" i="23"/>
  <c r="J182" i="23"/>
  <c r="O181" i="23"/>
  <c r="N181" i="23"/>
  <c r="L181" i="23"/>
  <c r="M181" i="23"/>
  <c r="K181" i="23"/>
  <c r="I181" i="23"/>
  <c r="J181" i="23"/>
  <c r="N180" i="23"/>
  <c r="M180" i="23"/>
  <c r="L180" i="23"/>
  <c r="K180" i="23"/>
  <c r="I180" i="23"/>
  <c r="J180" i="23"/>
  <c r="P179" i="23"/>
  <c r="O179" i="23"/>
  <c r="N179" i="23"/>
  <c r="M179" i="23"/>
  <c r="L179" i="23"/>
  <c r="K179" i="23"/>
  <c r="J179" i="23"/>
  <c r="I179" i="23"/>
  <c r="N178" i="23"/>
  <c r="L178" i="23"/>
  <c r="M178" i="23"/>
  <c r="K178" i="23"/>
  <c r="J178" i="23"/>
  <c r="I178" i="23"/>
  <c r="N177" i="23"/>
  <c r="M177" i="23"/>
  <c r="L177" i="23"/>
  <c r="K177" i="23"/>
  <c r="I177" i="23"/>
  <c r="J177" i="23"/>
  <c r="N176" i="23"/>
  <c r="O176" i="23"/>
  <c r="P176" i="23"/>
  <c r="M176" i="23"/>
  <c r="L176" i="23"/>
  <c r="K176" i="23"/>
  <c r="I176" i="23"/>
  <c r="J176" i="23"/>
  <c r="O175" i="23"/>
  <c r="N175" i="23"/>
  <c r="M175" i="23"/>
  <c r="L175" i="23"/>
  <c r="K175" i="23"/>
  <c r="J175" i="23"/>
  <c r="I175" i="23"/>
  <c r="P174" i="23"/>
  <c r="N174" i="23"/>
  <c r="M174" i="23"/>
  <c r="L174" i="23"/>
  <c r="K174" i="23"/>
  <c r="O174" i="23"/>
  <c r="J174" i="23"/>
  <c r="I174" i="23"/>
  <c r="N173" i="23"/>
  <c r="O173" i="23"/>
  <c r="P173" i="23"/>
  <c r="L173" i="23"/>
  <c r="M173" i="23"/>
  <c r="K173" i="23"/>
  <c r="I173" i="23"/>
  <c r="J173" i="23"/>
  <c r="N172" i="23"/>
  <c r="L172" i="23"/>
  <c r="M172" i="23"/>
  <c r="K172" i="23"/>
  <c r="I172" i="23"/>
  <c r="J172" i="23"/>
  <c r="N171" i="23"/>
  <c r="O171" i="23"/>
  <c r="P171" i="23"/>
  <c r="M171" i="23"/>
  <c r="L171" i="23"/>
  <c r="K171" i="23"/>
  <c r="I171" i="23"/>
  <c r="J171" i="23"/>
  <c r="O170" i="23"/>
  <c r="P170" i="23"/>
  <c r="N170" i="23"/>
  <c r="M170" i="23"/>
  <c r="L170" i="23"/>
  <c r="K170" i="23"/>
  <c r="J170" i="23"/>
  <c r="I170" i="23"/>
  <c r="N169" i="23"/>
  <c r="L169" i="23"/>
  <c r="M169" i="23"/>
  <c r="K169" i="23"/>
  <c r="J169" i="23"/>
  <c r="I169" i="23"/>
  <c r="O168" i="23"/>
  <c r="P168" i="23"/>
  <c r="N168" i="23"/>
  <c r="M168" i="23"/>
  <c r="L168" i="23"/>
  <c r="K168" i="23"/>
  <c r="I168" i="23"/>
  <c r="J168" i="23"/>
  <c r="N167" i="23"/>
  <c r="O167" i="23"/>
  <c r="P167" i="23"/>
  <c r="L167" i="23"/>
  <c r="M167" i="23"/>
  <c r="K167" i="23"/>
  <c r="J167" i="23"/>
  <c r="I167" i="23"/>
  <c r="N166" i="23"/>
  <c r="L166" i="23"/>
  <c r="M166" i="23"/>
  <c r="K166" i="23"/>
  <c r="I166" i="23"/>
  <c r="J166" i="23"/>
  <c r="N165" i="23"/>
  <c r="O165" i="23"/>
  <c r="P165" i="23"/>
  <c r="M165" i="23"/>
  <c r="L165" i="23"/>
  <c r="K165" i="23"/>
  <c r="J165" i="23"/>
  <c r="I165" i="23"/>
  <c r="N164" i="23"/>
  <c r="L164" i="23"/>
  <c r="M164" i="23"/>
  <c r="K164" i="23"/>
  <c r="I164" i="23"/>
  <c r="J164" i="23"/>
  <c r="O163" i="23"/>
  <c r="N163" i="23"/>
  <c r="M163" i="23"/>
  <c r="L163" i="23"/>
  <c r="K163" i="23"/>
  <c r="J163" i="23"/>
  <c r="I163" i="23"/>
  <c r="N162" i="23"/>
  <c r="M162" i="23"/>
  <c r="L162" i="23"/>
  <c r="K162" i="23"/>
  <c r="I162" i="23"/>
  <c r="J162" i="23"/>
  <c r="N161" i="23"/>
  <c r="L161" i="23"/>
  <c r="M161" i="23"/>
  <c r="K161" i="23"/>
  <c r="J161" i="23"/>
  <c r="I161" i="23"/>
  <c r="N160" i="23"/>
  <c r="L160" i="23"/>
  <c r="M160" i="23"/>
  <c r="K160" i="23"/>
  <c r="O160" i="23"/>
  <c r="J160" i="23"/>
  <c r="I160" i="23"/>
  <c r="N159" i="23"/>
  <c r="M159" i="23"/>
  <c r="L159" i="23"/>
  <c r="K159" i="23"/>
  <c r="J159" i="23"/>
  <c r="I159" i="23"/>
  <c r="O158" i="23"/>
  <c r="P158" i="23"/>
  <c r="N158" i="23"/>
  <c r="L158" i="23"/>
  <c r="M158" i="23"/>
  <c r="K158" i="23"/>
  <c r="J158" i="23"/>
  <c r="I158" i="23"/>
  <c r="N157" i="23"/>
  <c r="M157" i="23"/>
  <c r="L157" i="23"/>
  <c r="K157" i="23"/>
  <c r="J157" i="23"/>
  <c r="I157" i="23"/>
  <c r="N156" i="23"/>
  <c r="M156" i="23"/>
  <c r="L156" i="23"/>
  <c r="K156" i="23"/>
  <c r="I156" i="23"/>
  <c r="J156" i="23"/>
  <c r="N155" i="23"/>
  <c r="O155" i="23"/>
  <c r="M155" i="23"/>
  <c r="L155" i="23"/>
  <c r="K155" i="23"/>
  <c r="I155" i="23"/>
  <c r="J155" i="23"/>
  <c r="N154" i="23"/>
  <c r="O154" i="23"/>
  <c r="L154" i="23"/>
  <c r="M154" i="23"/>
  <c r="K154" i="23"/>
  <c r="I154" i="23"/>
  <c r="J154" i="23"/>
  <c r="P153" i="23"/>
  <c r="N153" i="23"/>
  <c r="M153" i="23"/>
  <c r="L153" i="23"/>
  <c r="K153" i="23"/>
  <c r="O153" i="23"/>
  <c r="J153" i="23"/>
  <c r="I153" i="23"/>
  <c r="N152" i="23"/>
  <c r="L152" i="23"/>
  <c r="M152" i="23"/>
  <c r="K152" i="23"/>
  <c r="J152" i="23"/>
  <c r="I152" i="23"/>
  <c r="N151" i="23"/>
  <c r="M151" i="23"/>
  <c r="L151" i="23"/>
  <c r="K151" i="23"/>
  <c r="I151" i="23"/>
  <c r="J151" i="23"/>
  <c r="O150" i="23"/>
  <c r="P150" i="23"/>
  <c r="N150" i="23"/>
  <c r="M150" i="23"/>
  <c r="L150" i="23"/>
  <c r="K150" i="23"/>
  <c r="I150" i="23"/>
  <c r="J150" i="23"/>
  <c r="O149" i="23"/>
  <c r="P149" i="23"/>
  <c r="N149" i="23"/>
  <c r="L149" i="23"/>
  <c r="M149" i="23"/>
  <c r="K149" i="23"/>
  <c r="J149" i="23"/>
  <c r="I149" i="23"/>
  <c r="N148" i="23"/>
  <c r="L148" i="23"/>
  <c r="M148" i="23"/>
  <c r="K148" i="23"/>
  <c r="J148" i="23"/>
  <c r="I148" i="23"/>
  <c r="O147" i="23"/>
  <c r="P147" i="23"/>
  <c r="N147" i="23"/>
  <c r="M147" i="23"/>
  <c r="L147" i="23"/>
  <c r="K147" i="23"/>
  <c r="I147" i="23"/>
  <c r="J147" i="23"/>
  <c r="N146" i="23"/>
  <c r="L146" i="23"/>
  <c r="M146" i="23"/>
  <c r="K146" i="23"/>
  <c r="O146" i="23"/>
  <c r="I146" i="23"/>
  <c r="J146" i="23"/>
  <c r="O145" i="23"/>
  <c r="P145" i="23"/>
  <c r="N145" i="23"/>
  <c r="L145" i="23"/>
  <c r="M145" i="23"/>
  <c r="K145" i="23"/>
  <c r="J145" i="23"/>
  <c r="I145" i="23"/>
  <c r="N144" i="23"/>
  <c r="L144" i="23"/>
  <c r="M144" i="23"/>
  <c r="K144" i="23"/>
  <c r="J144" i="23"/>
  <c r="I144" i="23"/>
  <c r="N143" i="23"/>
  <c r="L143" i="23"/>
  <c r="M143" i="23"/>
  <c r="K143" i="23"/>
  <c r="I143" i="23"/>
  <c r="J143" i="23"/>
  <c r="N142" i="23"/>
  <c r="O142" i="23"/>
  <c r="P142" i="23"/>
  <c r="M142" i="23"/>
  <c r="L142" i="23"/>
  <c r="K142" i="23"/>
  <c r="J142" i="23"/>
  <c r="I142" i="23"/>
  <c r="N141" i="23"/>
  <c r="L141" i="23"/>
  <c r="M141" i="23"/>
  <c r="K141" i="23"/>
  <c r="J141" i="23"/>
  <c r="I141" i="23"/>
  <c r="N140" i="23"/>
  <c r="L140" i="23"/>
  <c r="M140" i="23"/>
  <c r="K140" i="23"/>
  <c r="I140" i="23"/>
  <c r="J140" i="23"/>
  <c r="P139" i="23"/>
  <c r="O139" i="23"/>
  <c r="N139" i="23"/>
  <c r="M139" i="23"/>
  <c r="L139" i="23"/>
  <c r="K139" i="23"/>
  <c r="J139" i="23"/>
  <c r="I139" i="23"/>
  <c r="N138" i="23"/>
  <c r="L138" i="23"/>
  <c r="M138" i="23"/>
  <c r="K138" i="23"/>
  <c r="J138" i="23"/>
  <c r="I138" i="23"/>
  <c r="N137" i="23"/>
  <c r="L137" i="23"/>
  <c r="M137" i="23"/>
  <c r="K137" i="23"/>
  <c r="J137" i="23"/>
  <c r="I137" i="23"/>
  <c r="O136" i="23"/>
  <c r="P136" i="23"/>
  <c r="N136" i="23"/>
  <c r="M136" i="23"/>
  <c r="L136" i="23"/>
  <c r="K136" i="23"/>
  <c r="J136" i="23"/>
  <c r="I136" i="23"/>
  <c r="N135" i="23"/>
  <c r="L135" i="23"/>
  <c r="M135" i="23"/>
  <c r="K135" i="23"/>
  <c r="O135" i="23"/>
  <c r="J135" i="23"/>
  <c r="I135" i="23"/>
  <c r="N134" i="23"/>
  <c r="L134" i="23"/>
  <c r="M134" i="23"/>
  <c r="K134" i="23"/>
  <c r="J134" i="23"/>
  <c r="I134" i="23"/>
  <c r="N133" i="23"/>
  <c r="O133" i="23"/>
  <c r="P133" i="23"/>
  <c r="M133" i="23"/>
  <c r="L133" i="23"/>
  <c r="K133" i="23"/>
  <c r="J133" i="23"/>
  <c r="I133" i="23"/>
  <c r="N132" i="23"/>
  <c r="O132" i="23"/>
  <c r="P132" i="23"/>
  <c r="L132" i="23"/>
  <c r="M132" i="23"/>
  <c r="K132" i="23"/>
  <c r="J132" i="23"/>
  <c r="I132" i="23"/>
  <c r="N131" i="23"/>
  <c r="L131" i="23"/>
  <c r="M131" i="23"/>
  <c r="K131" i="23"/>
  <c r="J131" i="23"/>
  <c r="I131" i="23"/>
  <c r="P130" i="23"/>
  <c r="N130" i="23"/>
  <c r="O130" i="23"/>
  <c r="M130" i="23"/>
  <c r="L130" i="23"/>
  <c r="K130" i="23"/>
  <c r="I130" i="23"/>
  <c r="J130" i="23"/>
  <c r="N129" i="23"/>
  <c r="O129" i="23"/>
  <c r="P129" i="23"/>
  <c r="L129" i="23"/>
  <c r="M129" i="23"/>
  <c r="K129" i="23"/>
  <c r="J129" i="23"/>
  <c r="I129" i="23"/>
  <c r="N128" i="23"/>
  <c r="L128" i="23"/>
  <c r="M128" i="23"/>
  <c r="K128" i="23"/>
  <c r="I128" i="23"/>
  <c r="J128" i="23"/>
  <c r="N127" i="23"/>
  <c r="O127" i="23"/>
  <c r="P127" i="23"/>
  <c r="M127" i="23"/>
  <c r="L127" i="23"/>
  <c r="K127" i="23"/>
  <c r="I127" i="23"/>
  <c r="J127" i="23"/>
  <c r="N126" i="23"/>
  <c r="L126" i="23"/>
  <c r="M126" i="23"/>
  <c r="K126" i="23"/>
  <c r="J126" i="23"/>
  <c r="I126" i="23"/>
  <c r="N125" i="23"/>
  <c r="L125" i="23"/>
  <c r="M125" i="23"/>
  <c r="K125" i="23"/>
  <c r="J125" i="23"/>
  <c r="I125" i="23"/>
  <c r="N124" i="23"/>
  <c r="O124" i="23"/>
  <c r="P124" i="23"/>
  <c r="M124" i="23"/>
  <c r="L124" i="23"/>
  <c r="K124" i="23"/>
  <c r="J124" i="23"/>
  <c r="I124" i="23"/>
  <c r="N123" i="23"/>
  <c r="O123" i="23"/>
  <c r="M123" i="23"/>
  <c r="L123" i="23"/>
  <c r="K123" i="23"/>
  <c r="J123" i="23"/>
  <c r="I123" i="23"/>
  <c r="N122" i="23"/>
  <c r="L122" i="23"/>
  <c r="M122" i="23"/>
  <c r="K122" i="23"/>
  <c r="I122" i="23"/>
  <c r="J122" i="23"/>
  <c r="N121" i="23"/>
  <c r="O121" i="23"/>
  <c r="P121" i="23"/>
  <c r="M121" i="23"/>
  <c r="L121" i="23"/>
  <c r="K121" i="23"/>
  <c r="J121" i="23"/>
  <c r="I121" i="23"/>
  <c r="N120" i="23"/>
  <c r="L120" i="23"/>
  <c r="M120" i="23"/>
  <c r="K120" i="23"/>
  <c r="J120" i="23"/>
  <c r="I120" i="23"/>
  <c r="N119" i="23"/>
  <c r="M119" i="23"/>
  <c r="L119" i="23"/>
  <c r="K119" i="23"/>
  <c r="J119" i="23"/>
  <c r="I119" i="23"/>
  <c r="N118" i="23"/>
  <c r="O118" i="23"/>
  <c r="P118" i="23"/>
  <c r="M118" i="23"/>
  <c r="L118" i="23"/>
  <c r="K118" i="23"/>
  <c r="I118" i="23"/>
  <c r="J118" i="23"/>
  <c r="N117" i="23"/>
  <c r="L117" i="23"/>
  <c r="M117" i="23"/>
  <c r="K117" i="23"/>
  <c r="O117" i="23"/>
  <c r="J117" i="23"/>
  <c r="I117" i="23"/>
  <c r="N116" i="23"/>
  <c r="M116" i="23"/>
  <c r="L116" i="23"/>
  <c r="K116" i="23"/>
  <c r="J116" i="23"/>
  <c r="I116" i="23"/>
  <c r="N115" i="23"/>
  <c r="O115" i="23"/>
  <c r="P115" i="23"/>
  <c r="M115" i="23"/>
  <c r="L115" i="23"/>
  <c r="K115" i="23"/>
  <c r="I115" i="23"/>
  <c r="J115" i="23"/>
  <c r="N114" i="23"/>
  <c r="O114" i="23"/>
  <c r="P114" i="23"/>
  <c r="L114" i="23"/>
  <c r="M114" i="23"/>
  <c r="K114" i="23"/>
  <c r="J114" i="23"/>
  <c r="I114" i="23"/>
  <c r="N113" i="23"/>
  <c r="L113" i="23"/>
  <c r="M113" i="23"/>
  <c r="K113" i="23"/>
  <c r="I113" i="23"/>
  <c r="J113" i="23"/>
  <c r="N112" i="23"/>
  <c r="O112" i="23"/>
  <c r="P112" i="23"/>
  <c r="M112" i="23"/>
  <c r="L112" i="23"/>
  <c r="K112" i="23"/>
  <c r="J112" i="23"/>
  <c r="I112" i="23"/>
  <c r="N111" i="23"/>
  <c r="O111" i="23"/>
  <c r="P111" i="23"/>
  <c r="L111" i="23"/>
  <c r="M111" i="23"/>
  <c r="K111" i="23"/>
  <c r="J111" i="23"/>
  <c r="I111" i="23"/>
  <c r="N110" i="23"/>
  <c r="M110" i="23"/>
  <c r="L110" i="23"/>
  <c r="K110" i="23"/>
  <c r="I110" i="23"/>
  <c r="J110" i="23"/>
  <c r="N109" i="23"/>
  <c r="O109" i="23"/>
  <c r="P109" i="23"/>
  <c r="M109" i="23"/>
  <c r="L109" i="23"/>
  <c r="K109" i="23"/>
  <c r="I109" i="23"/>
  <c r="J109" i="23"/>
  <c r="N108" i="23"/>
  <c r="L108" i="23"/>
  <c r="M108" i="23"/>
  <c r="K108" i="23"/>
  <c r="O108" i="23"/>
  <c r="P108" i="23"/>
  <c r="J108" i="23"/>
  <c r="I108" i="23"/>
  <c r="N107" i="23"/>
  <c r="L107" i="23"/>
  <c r="M107" i="23"/>
  <c r="K107" i="23"/>
  <c r="I107" i="23"/>
  <c r="J107" i="23"/>
  <c r="N106" i="23"/>
  <c r="O106" i="23"/>
  <c r="P106" i="23"/>
  <c r="M106" i="23"/>
  <c r="L106" i="23"/>
  <c r="K106" i="23"/>
  <c r="J106" i="23"/>
  <c r="I106" i="23"/>
  <c r="O105" i="23"/>
  <c r="N105" i="23"/>
  <c r="M105" i="23"/>
  <c r="L105" i="23"/>
  <c r="K105" i="23"/>
  <c r="I105" i="23"/>
  <c r="J105" i="23"/>
  <c r="N104" i="23"/>
  <c r="L104" i="23"/>
  <c r="M104" i="23"/>
  <c r="K104" i="23"/>
  <c r="I104" i="23"/>
  <c r="J104" i="23"/>
  <c r="N103" i="23"/>
  <c r="O103" i="23"/>
  <c r="P103" i="23"/>
  <c r="M103" i="23"/>
  <c r="L103" i="23"/>
  <c r="K103" i="23"/>
  <c r="J103" i="23"/>
  <c r="I103" i="23"/>
  <c r="N102" i="23"/>
  <c r="L102" i="23"/>
  <c r="M102" i="23"/>
  <c r="K102" i="23"/>
  <c r="I102" i="23"/>
  <c r="J102" i="23"/>
  <c r="N101" i="23"/>
  <c r="M101" i="23"/>
  <c r="L101" i="23"/>
  <c r="K101" i="23"/>
  <c r="J101" i="23"/>
  <c r="I101" i="23"/>
  <c r="N100" i="23"/>
  <c r="O100" i="23"/>
  <c r="P100" i="23"/>
  <c r="M100" i="23"/>
  <c r="L100" i="23"/>
  <c r="K100" i="23"/>
  <c r="I100" i="23"/>
  <c r="J100" i="23"/>
  <c r="P99" i="23"/>
  <c r="N99" i="23"/>
  <c r="L99" i="23"/>
  <c r="M99" i="23"/>
  <c r="K99" i="23"/>
  <c r="O99" i="23"/>
  <c r="I99" i="23"/>
  <c r="J99" i="23"/>
  <c r="N98" i="23"/>
  <c r="L98" i="23"/>
  <c r="M98" i="23"/>
  <c r="K98" i="23"/>
  <c r="J98" i="23"/>
  <c r="I98" i="23"/>
  <c r="N97" i="23"/>
  <c r="O97" i="23"/>
  <c r="P97" i="23"/>
  <c r="M97" i="23"/>
  <c r="L97" i="23"/>
  <c r="K97" i="23"/>
  <c r="I97" i="23"/>
  <c r="J97" i="23"/>
  <c r="N96" i="23"/>
  <c r="O96" i="23"/>
  <c r="P96" i="23"/>
  <c r="L96" i="23"/>
  <c r="M96" i="23"/>
  <c r="K96" i="23"/>
  <c r="I96" i="23"/>
  <c r="J96" i="23"/>
  <c r="N95" i="23"/>
  <c r="M95" i="23"/>
  <c r="L95" i="23"/>
  <c r="K95" i="23"/>
  <c r="I95" i="23"/>
  <c r="J95" i="23"/>
  <c r="N94" i="23"/>
  <c r="O94" i="23"/>
  <c r="P94" i="23"/>
  <c r="M94" i="23"/>
  <c r="L94" i="23"/>
  <c r="K94" i="23"/>
  <c r="I94" i="23"/>
  <c r="J94" i="23"/>
  <c r="P93" i="23"/>
  <c r="O93" i="23"/>
  <c r="N93" i="23"/>
  <c r="L93" i="23"/>
  <c r="M93" i="23"/>
  <c r="K93" i="23"/>
  <c r="J93" i="23"/>
  <c r="I93" i="23"/>
  <c r="N92" i="23"/>
  <c r="L92" i="23"/>
  <c r="M92" i="23"/>
  <c r="K92" i="23"/>
  <c r="J92" i="23"/>
  <c r="I92" i="23"/>
  <c r="N91" i="23"/>
  <c r="O91" i="23"/>
  <c r="P91" i="23"/>
  <c r="M91" i="23"/>
  <c r="L91" i="23"/>
  <c r="K91" i="23"/>
  <c r="I91" i="23"/>
  <c r="J91" i="23"/>
  <c r="O90" i="23"/>
  <c r="P90" i="23"/>
  <c r="N90" i="23"/>
  <c r="M90" i="23"/>
  <c r="L90" i="23"/>
  <c r="K90" i="23"/>
  <c r="J90" i="23"/>
  <c r="I90" i="23"/>
  <c r="N89" i="23"/>
  <c r="L89" i="23"/>
  <c r="M89" i="23"/>
  <c r="K89" i="23"/>
  <c r="I89" i="23"/>
  <c r="J89" i="23"/>
  <c r="N88" i="23"/>
  <c r="O88" i="23"/>
  <c r="P88" i="23"/>
  <c r="M88" i="23"/>
  <c r="L88" i="23"/>
  <c r="K88" i="23"/>
  <c r="J88" i="23"/>
  <c r="I88" i="23"/>
  <c r="N87" i="23"/>
  <c r="L87" i="23"/>
  <c r="M87" i="23"/>
  <c r="K87" i="23"/>
  <c r="J87" i="23"/>
  <c r="I87" i="23"/>
  <c r="N86" i="23"/>
  <c r="L86" i="23"/>
  <c r="M86" i="23"/>
  <c r="K86" i="23"/>
  <c r="I86" i="23"/>
  <c r="J86" i="23"/>
  <c r="N85" i="23"/>
  <c r="O85" i="23"/>
  <c r="P85" i="23"/>
  <c r="M85" i="23"/>
  <c r="L85" i="23"/>
  <c r="K85" i="23"/>
  <c r="J85" i="23"/>
  <c r="I85" i="23"/>
  <c r="N84" i="23"/>
  <c r="L84" i="23"/>
  <c r="M84" i="23"/>
  <c r="K84" i="23"/>
  <c r="I84" i="23"/>
  <c r="J84" i="23"/>
  <c r="N83" i="23"/>
  <c r="L83" i="23"/>
  <c r="M83" i="23"/>
  <c r="K83" i="23"/>
  <c r="J83" i="23"/>
  <c r="I83" i="23"/>
  <c r="O82" i="23"/>
  <c r="P82" i="23"/>
  <c r="N82" i="23"/>
  <c r="M82" i="23"/>
  <c r="L82" i="23"/>
  <c r="K82" i="23"/>
  <c r="I82" i="23"/>
  <c r="J82" i="23"/>
  <c r="N81" i="23"/>
  <c r="L81" i="23"/>
  <c r="M81" i="23"/>
  <c r="K81" i="23"/>
  <c r="O81" i="23"/>
  <c r="J81" i="23"/>
  <c r="I81" i="23"/>
  <c r="N80" i="23"/>
  <c r="L80" i="23"/>
  <c r="M80" i="23"/>
  <c r="K80" i="23"/>
  <c r="J80" i="23"/>
  <c r="I80" i="23"/>
  <c r="N79" i="23"/>
  <c r="O79" i="23"/>
  <c r="P79" i="23"/>
  <c r="M79" i="23"/>
  <c r="L79" i="23"/>
  <c r="K79" i="23"/>
  <c r="J79" i="23"/>
  <c r="I79" i="23"/>
  <c r="N78" i="23"/>
  <c r="O78" i="23"/>
  <c r="P78" i="23"/>
  <c r="L78" i="23"/>
  <c r="M78" i="23"/>
  <c r="K78" i="23"/>
  <c r="I78" i="23"/>
  <c r="J78" i="23"/>
  <c r="N77" i="23"/>
  <c r="M77" i="23"/>
  <c r="L77" i="23"/>
  <c r="K77" i="23"/>
  <c r="J77" i="23"/>
  <c r="I77" i="23"/>
  <c r="N76" i="23"/>
  <c r="O76" i="23"/>
  <c r="P76" i="23"/>
  <c r="M76" i="23"/>
  <c r="L76" i="23"/>
  <c r="K76" i="23"/>
  <c r="I76" i="23"/>
  <c r="J76" i="23"/>
  <c r="O75" i="23"/>
  <c r="P75" i="23"/>
  <c r="N75" i="23"/>
  <c r="M75" i="23"/>
  <c r="L75" i="23"/>
  <c r="K75" i="23"/>
  <c r="J75" i="23"/>
  <c r="I75" i="23"/>
  <c r="N74" i="23"/>
  <c r="L74" i="23"/>
  <c r="M74" i="23"/>
  <c r="K74" i="23"/>
  <c r="J74" i="23"/>
  <c r="I74" i="23"/>
  <c r="P73" i="23"/>
  <c r="O73" i="23"/>
  <c r="N73" i="23"/>
  <c r="M73" i="23"/>
  <c r="L73" i="23"/>
  <c r="K73" i="23"/>
  <c r="I73" i="23"/>
  <c r="J73" i="23"/>
  <c r="N72" i="23"/>
  <c r="O72" i="23"/>
  <c r="L72" i="23"/>
  <c r="M72" i="23"/>
  <c r="K72" i="23"/>
  <c r="J72" i="23"/>
  <c r="I72" i="23"/>
  <c r="N71" i="23"/>
  <c r="L71" i="23"/>
  <c r="M71" i="23"/>
  <c r="K71" i="23"/>
  <c r="I71" i="23"/>
  <c r="J71" i="23"/>
  <c r="N70" i="23"/>
  <c r="O70" i="23"/>
  <c r="P70" i="23"/>
  <c r="M70" i="23"/>
  <c r="L70" i="23"/>
  <c r="K70" i="23"/>
  <c r="J70" i="23"/>
  <c r="I70" i="23"/>
  <c r="N69" i="23"/>
  <c r="L69" i="23"/>
  <c r="M69" i="23"/>
  <c r="K69" i="23"/>
  <c r="I69" i="23"/>
  <c r="J69" i="23"/>
  <c r="N68" i="23"/>
  <c r="L68" i="23"/>
  <c r="M68" i="23"/>
  <c r="K68" i="23"/>
  <c r="I68" i="23"/>
  <c r="J68" i="23"/>
  <c r="N67" i="23"/>
  <c r="O67" i="23"/>
  <c r="P67" i="23"/>
  <c r="M67" i="23"/>
  <c r="L67" i="23"/>
  <c r="K67" i="23"/>
  <c r="J67" i="23"/>
  <c r="I67" i="23"/>
  <c r="N66" i="23"/>
  <c r="L66" i="23"/>
  <c r="M66" i="23"/>
  <c r="K66" i="23"/>
  <c r="I66" i="23"/>
  <c r="J66" i="23"/>
  <c r="N65" i="23"/>
  <c r="L65" i="23"/>
  <c r="M65" i="23"/>
  <c r="K65" i="23"/>
  <c r="J65" i="23"/>
  <c r="I65" i="23"/>
  <c r="N64" i="23"/>
  <c r="O64" i="23"/>
  <c r="M64" i="23"/>
  <c r="L64" i="23"/>
  <c r="K64" i="23"/>
  <c r="I64" i="23"/>
  <c r="J64" i="23"/>
  <c r="N63" i="23"/>
  <c r="L63" i="23"/>
  <c r="M63" i="23"/>
  <c r="K63" i="23"/>
  <c r="J63" i="23"/>
  <c r="I63" i="23"/>
  <c r="N62" i="23"/>
  <c r="O62" i="23"/>
  <c r="M62" i="23"/>
  <c r="L62" i="23"/>
  <c r="K62" i="23"/>
  <c r="I62" i="23"/>
  <c r="J62" i="23"/>
  <c r="N61" i="23"/>
  <c r="M61" i="23"/>
  <c r="L61" i="23"/>
  <c r="K61" i="23"/>
  <c r="J61" i="23"/>
  <c r="I61" i="23"/>
  <c r="O60" i="23"/>
  <c r="P60" i="23"/>
  <c r="N60" i="23"/>
  <c r="M60" i="23"/>
  <c r="L60" i="23"/>
  <c r="K60" i="23"/>
  <c r="I60" i="23"/>
  <c r="J60" i="23"/>
  <c r="N59" i="23"/>
  <c r="O59" i="23"/>
  <c r="L59" i="23"/>
  <c r="M59" i="23"/>
  <c r="K59" i="23"/>
  <c r="J59" i="23"/>
  <c r="I59" i="23"/>
  <c r="N58" i="23"/>
  <c r="M58" i="23"/>
  <c r="L58" i="23"/>
  <c r="K58" i="23"/>
  <c r="I58" i="23"/>
  <c r="J58" i="23"/>
  <c r="O57" i="23"/>
  <c r="P57" i="23"/>
  <c r="N57" i="23"/>
  <c r="L57" i="23"/>
  <c r="M57" i="23"/>
  <c r="K57" i="23"/>
  <c r="I57" i="23"/>
  <c r="J57" i="23"/>
  <c r="N56" i="23"/>
  <c r="L56" i="23"/>
  <c r="M56" i="23"/>
  <c r="K56" i="23"/>
  <c r="I56" i="23"/>
  <c r="J56" i="23"/>
  <c r="N55" i="23"/>
  <c r="M55" i="23"/>
  <c r="L55" i="23"/>
  <c r="K55" i="23"/>
  <c r="J55" i="23"/>
  <c r="I55" i="23"/>
  <c r="N54" i="23"/>
  <c r="O54" i="23"/>
  <c r="P54" i="23"/>
  <c r="M54" i="23"/>
  <c r="L54" i="23"/>
  <c r="K54" i="23"/>
  <c r="I54" i="23"/>
  <c r="J54" i="23"/>
  <c r="N53" i="23"/>
  <c r="O53" i="23"/>
  <c r="M53" i="23"/>
  <c r="L53" i="23"/>
  <c r="K53" i="23"/>
  <c r="I53" i="23"/>
  <c r="J53" i="23"/>
  <c r="N52" i="23"/>
  <c r="M52" i="23"/>
  <c r="L52" i="23"/>
  <c r="K52" i="23"/>
  <c r="I52" i="23"/>
  <c r="J52" i="23"/>
  <c r="P51" i="23"/>
  <c r="O51" i="23"/>
  <c r="N51" i="23"/>
  <c r="L51" i="23"/>
  <c r="M51" i="23"/>
  <c r="K51" i="23"/>
  <c r="J51" i="23"/>
  <c r="I51" i="23"/>
  <c r="N50" i="23"/>
  <c r="L50" i="23"/>
  <c r="M50" i="23"/>
  <c r="K50" i="23"/>
  <c r="J50" i="23"/>
  <c r="I50" i="23"/>
  <c r="O49" i="23"/>
  <c r="P49" i="23"/>
  <c r="N49" i="23"/>
  <c r="M49" i="23"/>
  <c r="L49" i="23"/>
  <c r="K49" i="23"/>
  <c r="I49" i="23"/>
  <c r="J49" i="23"/>
  <c r="N48" i="23"/>
  <c r="O48" i="23"/>
  <c r="P48" i="23"/>
  <c r="M48" i="23"/>
  <c r="L48" i="23"/>
  <c r="K48" i="23"/>
  <c r="I48" i="23"/>
  <c r="J48" i="23"/>
  <c r="N47" i="23"/>
  <c r="L47" i="23"/>
  <c r="M47" i="23"/>
  <c r="K47" i="23"/>
  <c r="I47" i="23"/>
  <c r="J47" i="23"/>
  <c r="O46" i="23"/>
  <c r="P46" i="23"/>
  <c r="N46" i="23"/>
  <c r="M46" i="23"/>
  <c r="L46" i="23"/>
  <c r="K46" i="23"/>
  <c r="I46" i="23"/>
  <c r="J46" i="23"/>
  <c r="O45" i="23"/>
  <c r="N45" i="23"/>
  <c r="M45" i="23"/>
  <c r="L45" i="23"/>
  <c r="K45" i="23"/>
  <c r="J45" i="23"/>
  <c r="I45" i="23"/>
  <c r="N44" i="23"/>
  <c r="L44" i="23"/>
  <c r="M44" i="23"/>
  <c r="K44" i="23"/>
  <c r="I44" i="23"/>
  <c r="J44" i="23"/>
  <c r="O43" i="23"/>
  <c r="P43" i="23"/>
  <c r="N43" i="23"/>
  <c r="M43" i="23"/>
  <c r="L43" i="23"/>
  <c r="K43" i="23"/>
  <c r="I43" i="23"/>
  <c r="J43" i="23"/>
  <c r="N42" i="23"/>
  <c r="L42" i="23"/>
  <c r="M42" i="23"/>
  <c r="K42" i="23"/>
  <c r="I42" i="23"/>
  <c r="J42" i="23"/>
  <c r="N41" i="23"/>
  <c r="L41" i="23"/>
  <c r="M41" i="23"/>
  <c r="K41" i="23"/>
  <c r="J41" i="23"/>
  <c r="I41" i="23"/>
  <c r="N40" i="23"/>
  <c r="O40" i="23"/>
  <c r="P40" i="23"/>
  <c r="M40" i="23"/>
  <c r="L40" i="23"/>
  <c r="K40" i="23"/>
  <c r="J40" i="23"/>
  <c r="I40" i="23"/>
  <c r="N39" i="23"/>
  <c r="O39" i="23"/>
  <c r="M39" i="23"/>
  <c r="L39" i="23"/>
  <c r="K39" i="23"/>
  <c r="I39" i="23"/>
  <c r="J39" i="23"/>
  <c r="O38" i="23"/>
  <c r="N38" i="23"/>
  <c r="M38" i="23"/>
  <c r="L38" i="23"/>
  <c r="K38" i="23"/>
  <c r="I38" i="23"/>
  <c r="J38" i="23"/>
  <c r="N37" i="23"/>
  <c r="M37" i="23"/>
  <c r="L37" i="23"/>
  <c r="K37" i="23"/>
  <c r="I37" i="23"/>
  <c r="J37" i="23"/>
  <c r="N36" i="23"/>
  <c r="L36" i="23"/>
  <c r="M36" i="23"/>
  <c r="K36" i="23"/>
  <c r="J36" i="23"/>
  <c r="I36" i="23"/>
  <c r="N35" i="23"/>
  <c r="O35" i="23"/>
  <c r="L35" i="23"/>
  <c r="M35" i="23"/>
  <c r="K35" i="23"/>
  <c r="I35" i="23"/>
  <c r="J35" i="23"/>
  <c r="N34" i="23"/>
  <c r="M34" i="23"/>
  <c r="L34" i="23"/>
  <c r="K34" i="23"/>
  <c r="O34" i="23"/>
  <c r="J34" i="23"/>
  <c r="I34" i="23"/>
  <c r="N33" i="23"/>
  <c r="L33" i="23"/>
  <c r="M33" i="23"/>
  <c r="K33" i="23"/>
  <c r="I33" i="23"/>
  <c r="J33" i="23"/>
  <c r="N32" i="23"/>
  <c r="O32" i="23"/>
  <c r="M32" i="23"/>
  <c r="L32" i="23"/>
  <c r="K32" i="23"/>
  <c r="I32" i="23"/>
  <c r="J32" i="23"/>
  <c r="N31" i="23"/>
  <c r="M31" i="23"/>
  <c r="L31" i="23"/>
  <c r="K31" i="23"/>
  <c r="I31" i="23"/>
  <c r="J31" i="23"/>
  <c r="N30" i="23"/>
  <c r="L30" i="23"/>
  <c r="M30" i="23"/>
  <c r="K30" i="23"/>
  <c r="I30" i="23"/>
  <c r="J30" i="23"/>
  <c r="N29" i="23"/>
  <c r="O29" i="23"/>
  <c r="L29" i="23"/>
  <c r="M29" i="23"/>
  <c r="K29" i="23"/>
  <c r="J29" i="23"/>
  <c r="I29" i="23"/>
  <c r="O28" i="23"/>
  <c r="N28" i="23"/>
  <c r="M28" i="23"/>
  <c r="L28" i="23"/>
  <c r="K28" i="23"/>
  <c r="I28" i="23"/>
  <c r="J28" i="23"/>
  <c r="N27" i="23"/>
  <c r="L27" i="23"/>
  <c r="M27" i="23"/>
  <c r="K27" i="23"/>
  <c r="I27" i="23"/>
  <c r="J27" i="23"/>
  <c r="O26" i="23"/>
  <c r="N26" i="23"/>
  <c r="L26" i="23"/>
  <c r="M26" i="23"/>
  <c r="K26" i="23"/>
  <c r="I26" i="23"/>
  <c r="J26" i="23"/>
  <c r="N25" i="23"/>
  <c r="M25" i="23"/>
  <c r="L25" i="23"/>
  <c r="K25" i="23"/>
  <c r="I25" i="23"/>
  <c r="J25" i="23"/>
  <c r="P24" i="23"/>
  <c r="O24" i="23"/>
  <c r="N24" i="23"/>
  <c r="M24" i="23"/>
  <c r="L24" i="23"/>
  <c r="K24" i="23"/>
  <c r="I24" i="23"/>
  <c r="J24" i="23"/>
  <c r="N23" i="23"/>
  <c r="L23" i="23"/>
  <c r="M23" i="23"/>
  <c r="K23" i="23"/>
  <c r="O23" i="23"/>
  <c r="J23" i="23"/>
  <c r="I23" i="23"/>
  <c r="N22" i="23"/>
  <c r="M22" i="23"/>
  <c r="L22" i="23"/>
  <c r="K22" i="23"/>
  <c r="I22" i="23"/>
  <c r="J22" i="23"/>
  <c r="N21" i="23"/>
  <c r="O21" i="23"/>
  <c r="P21" i="23"/>
  <c r="L21" i="23"/>
  <c r="M21" i="23"/>
  <c r="K21" i="23"/>
  <c r="I21" i="23"/>
  <c r="J21" i="23"/>
  <c r="N20" i="23"/>
  <c r="L20" i="23"/>
  <c r="M20" i="23"/>
  <c r="K20" i="23"/>
  <c r="I20" i="23"/>
  <c r="J20" i="23"/>
  <c r="N19" i="23"/>
  <c r="M19" i="23"/>
  <c r="L19" i="23"/>
  <c r="K19" i="23"/>
  <c r="I19" i="23"/>
  <c r="J19" i="23"/>
  <c r="N18" i="23"/>
  <c r="O18" i="23"/>
  <c r="P18" i="23"/>
  <c r="M18" i="23"/>
  <c r="L18" i="23"/>
  <c r="K18" i="23"/>
  <c r="I18" i="23"/>
  <c r="J18" i="23"/>
  <c r="N17" i="23"/>
  <c r="O17" i="23"/>
  <c r="M17" i="23"/>
  <c r="L17" i="23"/>
  <c r="K17" i="23"/>
  <c r="I17" i="23"/>
  <c r="J17" i="23"/>
  <c r="N16" i="23"/>
  <c r="M16" i="23"/>
  <c r="L16" i="23"/>
  <c r="K16" i="23"/>
  <c r="I16" i="23"/>
  <c r="J16" i="23"/>
  <c r="N15" i="23"/>
  <c r="O15" i="23"/>
  <c r="P15" i="23"/>
  <c r="L15" i="23"/>
  <c r="M15" i="23"/>
  <c r="K15" i="23"/>
  <c r="J15" i="23"/>
  <c r="I15" i="23"/>
  <c r="N14" i="23"/>
  <c r="L14" i="23"/>
  <c r="M14" i="23"/>
  <c r="K14" i="23"/>
  <c r="J14" i="23"/>
  <c r="I14" i="23"/>
  <c r="O13" i="23"/>
  <c r="P13" i="23"/>
  <c r="N13" i="23"/>
  <c r="M13" i="23"/>
  <c r="L13" i="23"/>
  <c r="K13" i="23"/>
  <c r="I13" i="23"/>
  <c r="J13" i="23"/>
  <c r="O12" i="23"/>
  <c r="P12" i="23"/>
  <c r="N12" i="23"/>
  <c r="L12" i="23"/>
  <c r="M12" i="23"/>
  <c r="K12" i="23"/>
  <c r="I12" i="23"/>
  <c r="J12" i="23"/>
  <c r="N11" i="23"/>
  <c r="L11" i="23"/>
  <c r="M11" i="23"/>
  <c r="K11" i="23"/>
  <c r="I11" i="23"/>
  <c r="J11" i="23"/>
  <c r="P10" i="23"/>
  <c r="O10" i="23"/>
  <c r="N10" i="23"/>
  <c r="M10" i="23"/>
  <c r="L10" i="23"/>
  <c r="K10" i="23"/>
  <c r="I10" i="23"/>
  <c r="J10" i="23"/>
  <c r="N9" i="23"/>
  <c r="L9" i="23"/>
  <c r="M9" i="23"/>
  <c r="K9" i="23"/>
  <c r="I9" i="23"/>
  <c r="J9" i="23"/>
  <c r="N8" i="23"/>
  <c r="L8" i="23"/>
  <c r="M8" i="23"/>
  <c r="K8" i="23"/>
  <c r="I8" i="23"/>
  <c r="J8" i="23"/>
  <c r="N7" i="23"/>
  <c r="L7" i="23"/>
  <c r="M7" i="23"/>
  <c r="K7" i="23"/>
  <c r="I7" i="23"/>
  <c r="J7" i="23"/>
  <c r="N6" i="23"/>
  <c r="L6" i="23"/>
  <c r="M6" i="23"/>
  <c r="K6" i="23"/>
  <c r="I6" i="23"/>
  <c r="J6" i="23"/>
  <c r="G44" i="15"/>
  <c r="G47" i="15" s="1"/>
  <c r="F60" i="4" s="1"/>
  <c r="Q42" i="15"/>
  <c r="P42" i="15"/>
  <c r="O42" i="15"/>
  <c r="N42" i="15"/>
  <c r="M42" i="15"/>
  <c r="L42" i="15"/>
  <c r="K42" i="15"/>
  <c r="J42" i="15"/>
  <c r="I42" i="15"/>
  <c r="H42" i="15"/>
  <c r="G42" i="15"/>
  <c r="Q41" i="15"/>
  <c r="P41" i="15"/>
  <c r="O41" i="15"/>
  <c r="N41" i="15"/>
  <c r="L41" i="15"/>
  <c r="K41" i="15"/>
  <c r="J41" i="15"/>
  <c r="I41" i="15"/>
  <c r="H41" i="15"/>
  <c r="G41" i="15"/>
  <c r="Q40" i="15"/>
  <c r="P40" i="15"/>
  <c r="O40" i="15"/>
  <c r="N40" i="15"/>
  <c r="L40" i="15"/>
  <c r="K40" i="15"/>
  <c r="J40" i="15"/>
  <c r="I40" i="15"/>
  <c r="H40" i="15"/>
  <c r="G40" i="15"/>
  <c r="F42" i="15"/>
  <c r="F41" i="15"/>
  <c r="F40" i="15"/>
  <c r="Q38" i="15"/>
  <c r="P38" i="15"/>
  <c r="O38" i="15"/>
  <c r="N38" i="15"/>
  <c r="M38" i="15"/>
  <c r="L38" i="15"/>
  <c r="K38" i="15"/>
  <c r="J38" i="15"/>
  <c r="I38" i="15"/>
  <c r="H38" i="15"/>
  <c r="G38" i="15"/>
  <c r="Q37" i="15"/>
  <c r="P37" i="15"/>
  <c r="P39" i="15" s="1"/>
  <c r="O52" i="4" s="1"/>
  <c r="O37" i="15"/>
  <c r="N37" i="15"/>
  <c r="M37" i="15"/>
  <c r="L37" i="15"/>
  <c r="K37" i="15"/>
  <c r="J37" i="15"/>
  <c r="Q36" i="15"/>
  <c r="P36" i="15"/>
  <c r="O36" i="15"/>
  <c r="N36" i="15"/>
  <c r="M36" i="15"/>
  <c r="L36" i="15"/>
  <c r="K36" i="15"/>
  <c r="J36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Q11" i="15"/>
  <c r="Q14" i="15" s="1"/>
  <c r="P12" i="4" s="1"/>
  <c r="P11" i="15"/>
  <c r="P14" i="15" s="1"/>
  <c r="O12" i="4" s="1"/>
  <c r="O11" i="15"/>
  <c r="N11" i="15"/>
  <c r="N14" i="15" s="1"/>
  <c r="M12" i="4" s="1"/>
  <c r="M11" i="15"/>
  <c r="M14" i="15" s="1"/>
  <c r="L12" i="4" s="1"/>
  <c r="L11" i="15"/>
  <c r="L14" i="15" s="1"/>
  <c r="K12" i="4" s="1"/>
  <c r="K11" i="15"/>
  <c r="K14" i="15" s="1"/>
  <c r="J12" i="4" s="1"/>
  <c r="H11" i="15"/>
  <c r="H14" i="15" s="1"/>
  <c r="G12" i="4" s="1"/>
  <c r="G11" i="15"/>
  <c r="G14" i="15" s="1"/>
  <c r="F12" i="4" s="1"/>
  <c r="F11" i="15"/>
  <c r="F14" i="15" s="1"/>
  <c r="E12" i="4" s="1"/>
  <c r="Q9" i="15"/>
  <c r="P9" i="15"/>
  <c r="O9" i="15"/>
  <c r="N9" i="15"/>
  <c r="M9" i="15"/>
  <c r="L9" i="15"/>
  <c r="K9" i="15"/>
  <c r="J9" i="15"/>
  <c r="I9" i="15"/>
  <c r="I10" i="15" s="1"/>
  <c r="H8" i="4" s="1"/>
  <c r="H9" i="15"/>
  <c r="G9" i="15"/>
  <c r="Q8" i="15"/>
  <c r="P8" i="15"/>
  <c r="O8" i="15"/>
  <c r="N8" i="15"/>
  <c r="M8" i="15"/>
  <c r="L8" i="15"/>
  <c r="K8" i="15"/>
  <c r="J8" i="15"/>
  <c r="I8" i="15"/>
  <c r="H8" i="15"/>
  <c r="G8" i="15"/>
  <c r="Q7" i="15"/>
  <c r="P7" i="15"/>
  <c r="O7" i="15"/>
  <c r="N7" i="15"/>
  <c r="M7" i="15"/>
  <c r="L7" i="15"/>
  <c r="K7" i="15"/>
  <c r="J7" i="15"/>
  <c r="I7" i="15"/>
  <c r="H7" i="15"/>
  <c r="G7" i="15"/>
  <c r="F9" i="15"/>
  <c r="F8" i="15"/>
  <c r="F7" i="15"/>
  <c r="Q5" i="15"/>
  <c r="P5" i="15"/>
  <c r="O5" i="15"/>
  <c r="N5" i="15"/>
  <c r="M5" i="15"/>
  <c r="L5" i="15"/>
  <c r="K5" i="15"/>
  <c r="J5" i="15"/>
  <c r="I5" i="15"/>
  <c r="H5" i="15"/>
  <c r="G5" i="15"/>
  <c r="Q4" i="15"/>
  <c r="P4" i="15"/>
  <c r="O4" i="15"/>
  <c r="N4" i="15"/>
  <c r="M4" i="15"/>
  <c r="L4" i="15"/>
  <c r="K4" i="15"/>
  <c r="J4" i="15"/>
  <c r="I4" i="15"/>
  <c r="H4" i="15"/>
  <c r="G4" i="15"/>
  <c r="Q3" i="15"/>
  <c r="Q6" i="15" s="1"/>
  <c r="P4" i="4" s="1"/>
  <c r="P3" i="15"/>
  <c r="O3" i="15"/>
  <c r="N3" i="15"/>
  <c r="M3" i="15"/>
  <c r="L3" i="15"/>
  <c r="K3" i="15"/>
  <c r="J3" i="15"/>
  <c r="I3" i="15"/>
  <c r="H3" i="15"/>
  <c r="G3" i="15"/>
  <c r="F5" i="15"/>
  <c r="F4" i="15"/>
  <c r="F3" i="15"/>
  <c r="M10" i="17"/>
  <c r="N3" i="20"/>
  <c r="M3" i="20"/>
  <c r="M3" i="19"/>
  <c r="O3" i="18"/>
  <c r="N3" i="18"/>
  <c r="M3" i="18"/>
  <c r="O3" i="17"/>
  <c r="N3" i="17"/>
  <c r="M3" i="17"/>
  <c r="N400" i="20"/>
  <c r="M400" i="20"/>
  <c r="L400" i="20"/>
  <c r="K400" i="20"/>
  <c r="I400" i="20"/>
  <c r="J400" i="20"/>
  <c r="N399" i="20"/>
  <c r="O399" i="20"/>
  <c r="P399" i="20"/>
  <c r="M399" i="20"/>
  <c r="L399" i="20"/>
  <c r="K399" i="20"/>
  <c r="I399" i="20"/>
  <c r="J399" i="20"/>
  <c r="N398" i="20"/>
  <c r="L398" i="20"/>
  <c r="M398" i="20"/>
  <c r="K398" i="20"/>
  <c r="I398" i="20"/>
  <c r="J398" i="20"/>
  <c r="N397" i="20"/>
  <c r="L397" i="20"/>
  <c r="M397" i="20"/>
  <c r="K397" i="20"/>
  <c r="J397" i="20"/>
  <c r="I397" i="20"/>
  <c r="N396" i="20"/>
  <c r="O396" i="20"/>
  <c r="P396" i="20"/>
  <c r="M396" i="20"/>
  <c r="L396" i="20"/>
  <c r="K396" i="20"/>
  <c r="I396" i="20"/>
  <c r="J396" i="20"/>
  <c r="O395" i="20"/>
  <c r="P395" i="20"/>
  <c r="N395" i="20"/>
  <c r="M395" i="20"/>
  <c r="L395" i="20"/>
  <c r="K395" i="20"/>
  <c r="I395" i="20"/>
  <c r="J395" i="20"/>
  <c r="N394" i="20"/>
  <c r="L394" i="20"/>
  <c r="M394" i="20"/>
  <c r="K394" i="20"/>
  <c r="O394" i="20"/>
  <c r="J394" i="20"/>
  <c r="I394" i="20"/>
  <c r="N393" i="20"/>
  <c r="O393" i="20"/>
  <c r="P393" i="20"/>
  <c r="L393" i="20"/>
  <c r="M393" i="20"/>
  <c r="K393" i="20"/>
  <c r="I393" i="20"/>
  <c r="J393" i="20"/>
  <c r="O392" i="20"/>
  <c r="N392" i="20"/>
  <c r="M392" i="20"/>
  <c r="L392" i="20"/>
  <c r="K392" i="20"/>
  <c r="I392" i="20"/>
  <c r="J392" i="20"/>
  <c r="N391" i="20"/>
  <c r="L391" i="20"/>
  <c r="M391" i="20"/>
  <c r="K391" i="20"/>
  <c r="I391" i="20"/>
  <c r="J391" i="20"/>
  <c r="N390" i="20"/>
  <c r="O390" i="20"/>
  <c r="P390" i="20"/>
  <c r="L390" i="20"/>
  <c r="M390" i="20"/>
  <c r="K390" i="20"/>
  <c r="I390" i="20"/>
  <c r="J390" i="20"/>
  <c r="N389" i="20"/>
  <c r="L389" i="20"/>
  <c r="M389" i="20"/>
  <c r="K389" i="20"/>
  <c r="I389" i="20"/>
  <c r="J389" i="20"/>
  <c r="N388" i="20"/>
  <c r="M388" i="20"/>
  <c r="L388" i="20"/>
  <c r="K388" i="20"/>
  <c r="I388" i="20"/>
  <c r="J388" i="20"/>
  <c r="N387" i="20"/>
  <c r="O387" i="20"/>
  <c r="P387" i="20"/>
  <c r="L387" i="20"/>
  <c r="M387" i="20"/>
  <c r="K387" i="20"/>
  <c r="I387" i="20"/>
  <c r="J387" i="20"/>
  <c r="N386" i="20"/>
  <c r="O386" i="20"/>
  <c r="P386" i="20"/>
  <c r="M386" i="20"/>
  <c r="L386" i="20"/>
  <c r="K386" i="20"/>
  <c r="I386" i="20"/>
  <c r="J386" i="20"/>
  <c r="N385" i="20"/>
  <c r="L385" i="20"/>
  <c r="M385" i="20"/>
  <c r="K385" i="20"/>
  <c r="I385" i="20"/>
  <c r="J385" i="20"/>
  <c r="N384" i="20"/>
  <c r="O384" i="20"/>
  <c r="P384" i="20"/>
  <c r="L384" i="20"/>
  <c r="M384" i="20"/>
  <c r="K384" i="20"/>
  <c r="I384" i="20"/>
  <c r="J384" i="20"/>
  <c r="O383" i="20"/>
  <c r="N383" i="20"/>
  <c r="L383" i="20"/>
  <c r="M383" i="20"/>
  <c r="K383" i="20"/>
  <c r="I383" i="20"/>
  <c r="J383" i="20"/>
  <c r="P382" i="20"/>
  <c r="N382" i="20"/>
  <c r="L382" i="20"/>
  <c r="M382" i="20"/>
  <c r="K382" i="20"/>
  <c r="O382" i="20"/>
  <c r="I382" i="20"/>
  <c r="J382" i="20"/>
  <c r="N381" i="20"/>
  <c r="O381" i="20"/>
  <c r="P381" i="20"/>
  <c r="L381" i="20"/>
  <c r="M381" i="20"/>
  <c r="K381" i="20"/>
  <c r="I381" i="20"/>
  <c r="J381" i="20"/>
  <c r="N380" i="20"/>
  <c r="L380" i="20"/>
  <c r="M380" i="20"/>
  <c r="K380" i="20"/>
  <c r="J380" i="20"/>
  <c r="I380" i="20"/>
  <c r="P379" i="20"/>
  <c r="N379" i="20"/>
  <c r="M379" i="20"/>
  <c r="L379" i="20"/>
  <c r="K379" i="20"/>
  <c r="O379" i="20"/>
  <c r="J379" i="20"/>
  <c r="I379" i="20"/>
  <c r="N378" i="20"/>
  <c r="O378" i="20"/>
  <c r="P378" i="20"/>
  <c r="L378" i="20"/>
  <c r="M378" i="20"/>
  <c r="K378" i="20"/>
  <c r="I378" i="20"/>
  <c r="J378" i="20"/>
  <c r="P377" i="20"/>
  <c r="O377" i="20"/>
  <c r="N377" i="20"/>
  <c r="M377" i="20"/>
  <c r="L377" i="20"/>
  <c r="K377" i="20"/>
  <c r="I377" i="20"/>
  <c r="J377" i="20"/>
  <c r="P376" i="20"/>
  <c r="N376" i="20"/>
  <c r="L376" i="20"/>
  <c r="M376" i="20"/>
  <c r="K376" i="20"/>
  <c r="O376" i="20"/>
  <c r="J376" i="20"/>
  <c r="I376" i="20"/>
  <c r="N375" i="20"/>
  <c r="O375" i="20"/>
  <c r="P375" i="20"/>
  <c r="L375" i="20"/>
  <c r="M375" i="20"/>
  <c r="K375" i="20"/>
  <c r="I375" i="20"/>
  <c r="J375" i="20"/>
  <c r="N374" i="20"/>
  <c r="O374" i="20"/>
  <c r="P374" i="20"/>
  <c r="M374" i="20"/>
  <c r="L374" i="20"/>
  <c r="K374" i="20"/>
  <c r="I374" i="20"/>
  <c r="J374" i="20"/>
  <c r="N373" i="20"/>
  <c r="L373" i="20"/>
  <c r="M373" i="20"/>
  <c r="K373" i="20"/>
  <c r="J373" i="20"/>
  <c r="I373" i="20"/>
  <c r="N372" i="20"/>
  <c r="O372" i="20"/>
  <c r="P372" i="20"/>
  <c r="L372" i="20"/>
  <c r="M372" i="20"/>
  <c r="K372" i="20"/>
  <c r="I372" i="20"/>
  <c r="J372" i="20"/>
  <c r="N371" i="20"/>
  <c r="M371" i="20"/>
  <c r="L371" i="20"/>
  <c r="K371" i="20"/>
  <c r="I371" i="20"/>
  <c r="J371" i="20"/>
  <c r="N370" i="20"/>
  <c r="L370" i="20"/>
  <c r="M370" i="20"/>
  <c r="K370" i="20"/>
  <c r="I370" i="20"/>
  <c r="J370" i="20"/>
  <c r="N369" i="20"/>
  <c r="O369" i="20"/>
  <c r="P369" i="20"/>
  <c r="L369" i="20"/>
  <c r="M369" i="20"/>
  <c r="K369" i="20"/>
  <c r="I369" i="20"/>
  <c r="J369" i="20"/>
  <c r="N368" i="20"/>
  <c r="O368" i="20"/>
  <c r="P368" i="20"/>
  <c r="M368" i="20"/>
  <c r="L368" i="20"/>
  <c r="K368" i="20"/>
  <c r="I368" i="20"/>
  <c r="J368" i="20"/>
  <c r="N367" i="20"/>
  <c r="L367" i="20"/>
  <c r="M367" i="20"/>
  <c r="K367" i="20"/>
  <c r="I367" i="20"/>
  <c r="J367" i="20"/>
  <c r="N366" i="20"/>
  <c r="O366" i="20"/>
  <c r="P366" i="20"/>
  <c r="L366" i="20"/>
  <c r="M366" i="20"/>
  <c r="K366" i="20"/>
  <c r="I366" i="20"/>
  <c r="J366" i="20"/>
  <c r="O365" i="20"/>
  <c r="N365" i="20"/>
  <c r="L365" i="20"/>
  <c r="M365" i="20"/>
  <c r="K365" i="20"/>
  <c r="J365" i="20"/>
  <c r="I365" i="20"/>
  <c r="P364" i="20"/>
  <c r="N364" i="20"/>
  <c r="L364" i="20"/>
  <c r="M364" i="20"/>
  <c r="K364" i="20"/>
  <c r="O364" i="20"/>
  <c r="I364" i="20"/>
  <c r="J364" i="20"/>
  <c r="N363" i="20"/>
  <c r="O363" i="20"/>
  <c r="P363" i="20"/>
  <c r="M363" i="20"/>
  <c r="L363" i="20"/>
  <c r="K363" i="20"/>
  <c r="I363" i="20"/>
  <c r="J363" i="20"/>
  <c r="N362" i="20"/>
  <c r="L362" i="20"/>
  <c r="M362" i="20"/>
  <c r="K362" i="20"/>
  <c r="J362" i="20"/>
  <c r="I362" i="20"/>
  <c r="P361" i="20"/>
  <c r="N361" i="20"/>
  <c r="L361" i="20"/>
  <c r="M361" i="20"/>
  <c r="K361" i="20"/>
  <c r="O361" i="20"/>
  <c r="J361" i="20"/>
  <c r="I361" i="20"/>
  <c r="N360" i="20"/>
  <c r="O360" i="20"/>
  <c r="P360" i="20"/>
  <c r="M360" i="20"/>
  <c r="L360" i="20"/>
  <c r="K360" i="20"/>
  <c r="I360" i="20"/>
  <c r="J360" i="20"/>
  <c r="P359" i="20"/>
  <c r="O359" i="20"/>
  <c r="N359" i="20"/>
  <c r="M359" i="20"/>
  <c r="L359" i="20"/>
  <c r="K359" i="20"/>
  <c r="I359" i="20"/>
  <c r="J359" i="20"/>
  <c r="P358" i="20"/>
  <c r="N358" i="20"/>
  <c r="L358" i="20"/>
  <c r="M358" i="20"/>
  <c r="K358" i="20"/>
  <c r="O358" i="20"/>
  <c r="J358" i="20"/>
  <c r="I358" i="20"/>
  <c r="N357" i="20"/>
  <c r="O357" i="20"/>
  <c r="P357" i="20"/>
  <c r="L357" i="20"/>
  <c r="M357" i="20"/>
  <c r="K357" i="20"/>
  <c r="I357" i="20"/>
  <c r="J357" i="20"/>
  <c r="N356" i="20"/>
  <c r="O356" i="20"/>
  <c r="M356" i="20"/>
  <c r="L356" i="20"/>
  <c r="K356" i="20"/>
  <c r="I356" i="20"/>
  <c r="J356" i="20"/>
  <c r="N355" i="20"/>
  <c r="L355" i="20"/>
  <c r="M355" i="20"/>
  <c r="K355" i="20"/>
  <c r="I355" i="20"/>
  <c r="J355" i="20"/>
  <c r="N354" i="20"/>
  <c r="O354" i="20"/>
  <c r="P354" i="20"/>
  <c r="L354" i="20"/>
  <c r="M354" i="20"/>
  <c r="K354" i="20"/>
  <c r="I354" i="20"/>
  <c r="J354" i="20"/>
  <c r="N353" i="20"/>
  <c r="L353" i="20"/>
  <c r="M353" i="20"/>
  <c r="K353" i="20"/>
  <c r="I353" i="20"/>
  <c r="J353" i="20"/>
  <c r="N352" i="20"/>
  <c r="M352" i="20"/>
  <c r="L352" i="20"/>
  <c r="K352" i="20"/>
  <c r="I352" i="20"/>
  <c r="J352" i="20"/>
  <c r="N351" i="20"/>
  <c r="O351" i="20"/>
  <c r="P351" i="20"/>
  <c r="L351" i="20"/>
  <c r="M351" i="20"/>
  <c r="K351" i="20"/>
  <c r="I351" i="20"/>
  <c r="J351" i="20"/>
  <c r="P350" i="20"/>
  <c r="N350" i="20"/>
  <c r="O350" i="20"/>
  <c r="M350" i="20"/>
  <c r="L350" i="20"/>
  <c r="K350" i="20"/>
  <c r="I350" i="20"/>
  <c r="J350" i="20"/>
  <c r="N349" i="20"/>
  <c r="L349" i="20"/>
  <c r="M349" i="20"/>
  <c r="K349" i="20"/>
  <c r="I349" i="20"/>
  <c r="J349" i="20"/>
  <c r="N348" i="20"/>
  <c r="O348" i="20"/>
  <c r="P348" i="20"/>
  <c r="L348" i="20"/>
  <c r="M348" i="20"/>
  <c r="K348" i="20"/>
  <c r="I348" i="20"/>
  <c r="J348" i="20"/>
  <c r="N347" i="20"/>
  <c r="L347" i="20"/>
  <c r="M347" i="20"/>
  <c r="K347" i="20"/>
  <c r="I347" i="20"/>
  <c r="J347" i="20"/>
  <c r="P346" i="20"/>
  <c r="N346" i="20"/>
  <c r="L346" i="20"/>
  <c r="M346" i="20"/>
  <c r="K346" i="20"/>
  <c r="O346" i="20"/>
  <c r="I346" i="20"/>
  <c r="J346" i="20"/>
  <c r="N345" i="20"/>
  <c r="O345" i="20"/>
  <c r="P345" i="20"/>
  <c r="L345" i="20"/>
  <c r="M345" i="20"/>
  <c r="K345" i="20"/>
  <c r="I345" i="20"/>
  <c r="J345" i="20"/>
  <c r="N344" i="20"/>
  <c r="L344" i="20"/>
  <c r="M344" i="20"/>
  <c r="K344" i="20"/>
  <c r="J344" i="20"/>
  <c r="I344" i="20"/>
  <c r="P343" i="20"/>
  <c r="N343" i="20"/>
  <c r="L343" i="20"/>
  <c r="M343" i="20"/>
  <c r="K343" i="20"/>
  <c r="O343" i="20"/>
  <c r="J343" i="20"/>
  <c r="I343" i="20"/>
  <c r="N342" i="20"/>
  <c r="O342" i="20"/>
  <c r="P342" i="20"/>
  <c r="M342" i="20"/>
  <c r="L342" i="20"/>
  <c r="K342" i="20"/>
  <c r="I342" i="20"/>
  <c r="J342" i="20"/>
  <c r="O341" i="20"/>
  <c r="P341" i="20"/>
  <c r="N341" i="20"/>
  <c r="M341" i="20"/>
  <c r="L341" i="20"/>
  <c r="K341" i="20"/>
  <c r="I341" i="20"/>
  <c r="J341" i="20"/>
  <c r="P340" i="20"/>
  <c r="N340" i="20"/>
  <c r="L340" i="20"/>
  <c r="M340" i="20"/>
  <c r="K340" i="20"/>
  <c r="O340" i="20"/>
  <c r="J340" i="20"/>
  <c r="I340" i="20"/>
  <c r="N339" i="20"/>
  <c r="O339" i="20"/>
  <c r="P339" i="20"/>
  <c r="L339" i="20"/>
  <c r="M339" i="20"/>
  <c r="K339" i="20"/>
  <c r="I339" i="20"/>
  <c r="J339" i="20"/>
  <c r="O338" i="20"/>
  <c r="P338" i="20"/>
  <c r="N338" i="20"/>
  <c r="M338" i="20"/>
  <c r="L338" i="20"/>
  <c r="K338" i="20"/>
  <c r="I338" i="20"/>
  <c r="J338" i="20"/>
  <c r="N337" i="20"/>
  <c r="L337" i="20"/>
  <c r="M337" i="20"/>
  <c r="K337" i="20"/>
  <c r="I337" i="20"/>
  <c r="J337" i="20"/>
  <c r="P336" i="20"/>
  <c r="N336" i="20"/>
  <c r="O336" i="20"/>
  <c r="L336" i="20"/>
  <c r="M336" i="20"/>
  <c r="K336" i="20"/>
  <c r="I336" i="20"/>
  <c r="J336" i="20"/>
  <c r="N335" i="20"/>
  <c r="L335" i="20"/>
  <c r="M335" i="20"/>
  <c r="K335" i="20"/>
  <c r="I335" i="20"/>
  <c r="J335" i="20"/>
  <c r="N334" i="20"/>
  <c r="L334" i="20"/>
  <c r="M334" i="20"/>
  <c r="K334" i="20"/>
  <c r="I334" i="20"/>
  <c r="J334" i="20"/>
  <c r="O333" i="20"/>
  <c r="P333" i="20"/>
  <c r="N333" i="20"/>
  <c r="L333" i="20"/>
  <c r="M333" i="20"/>
  <c r="K333" i="20"/>
  <c r="I333" i="20"/>
  <c r="J333" i="20"/>
  <c r="N332" i="20"/>
  <c r="O332" i="20"/>
  <c r="P332" i="20"/>
  <c r="M332" i="20"/>
  <c r="L332" i="20"/>
  <c r="K332" i="20"/>
  <c r="I332" i="20"/>
  <c r="J332" i="20"/>
  <c r="N331" i="20"/>
  <c r="L331" i="20"/>
  <c r="M331" i="20"/>
  <c r="K331" i="20"/>
  <c r="I331" i="20"/>
  <c r="J331" i="20"/>
  <c r="N330" i="20"/>
  <c r="O330" i="20"/>
  <c r="P330" i="20"/>
  <c r="L330" i="20"/>
  <c r="M330" i="20"/>
  <c r="K330" i="20"/>
  <c r="I330" i="20"/>
  <c r="J330" i="20"/>
  <c r="N329" i="20"/>
  <c r="L329" i="20"/>
  <c r="M329" i="20"/>
  <c r="K329" i="20"/>
  <c r="I329" i="20"/>
  <c r="J329" i="20"/>
  <c r="P328" i="20"/>
  <c r="N328" i="20"/>
  <c r="L328" i="20"/>
  <c r="M328" i="20"/>
  <c r="K328" i="20"/>
  <c r="O328" i="20"/>
  <c r="J328" i="20"/>
  <c r="I328" i="20"/>
  <c r="N327" i="20"/>
  <c r="O327" i="20"/>
  <c r="P327" i="20"/>
  <c r="L327" i="20"/>
  <c r="M327" i="20"/>
  <c r="K327" i="20"/>
  <c r="I327" i="20"/>
  <c r="J327" i="20"/>
  <c r="N326" i="20"/>
  <c r="L326" i="20"/>
  <c r="M326" i="20"/>
  <c r="K326" i="20"/>
  <c r="J326" i="20"/>
  <c r="I326" i="20"/>
  <c r="P325" i="20"/>
  <c r="N325" i="20"/>
  <c r="M325" i="20"/>
  <c r="L325" i="20"/>
  <c r="K325" i="20"/>
  <c r="O325" i="20"/>
  <c r="J325" i="20"/>
  <c r="I325" i="20"/>
  <c r="N324" i="20"/>
  <c r="O324" i="20"/>
  <c r="P324" i="20"/>
  <c r="L324" i="20"/>
  <c r="M324" i="20"/>
  <c r="K324" i="20"/>
  <c r="I324" i="20"/>
  <c r="J324" i="20"/>
  <c r="O323" i="20"/>
  <c r="P323" i="20"/>
  <c r="N323" i="20"/>
  <c r="M323" i="20"/>
  <c r="L323" i="20"/>
  <c r="K323" i="20"/>
  <c r="J323" i="20"/>
  <c r="I323" i="20"/>
  <c r="P322" i="20"/>
  <c r="N322" i="20"/>
  <c r="L322" i="20"/>
  <c r="M322" i="20"/>
  <c r="K322" i="20"/>
  <c r="O322" i="20"/>
  <c r="J322" i="20"/>
  <c r="I322" i="20"/>
  <c r="N321" i="20"/>
  <c r="O321" i="20"/>
  <c r="P321" i="20"/>
  <c r="L321" i="20"/>
  <c r="M321" i="20"/>
  <c r="K321" i="20"/>
  <c r="I321" i="20"/>
  <c r="J321" i="20"/>
  <c r="N320" i="20"/>
  <c r="O320" i="20"/>
  <c r="P320" i="20"/>
  <c r="M320" i="20"/>
  <c r="L320" i="20"/>
  <c r="K320" i="20"/>
  <c r="I320" i="20"/>
  <c r="J320" i="20"/>
  <c r="N319" i="20"/>
  <c r="M319" i="20"/>
  <c r="L319" i="20"/>
  <c r="K319" i="20"/>
  <c r="I319" i="20"/>
  <c r="J319" i="20"/>
  <c r="P318" i="20"/>
  <c r="N318" i="20"/>
  <c r="O318" i="20"/>
  <c r="L318" i="20"/>
  <c r="M318" i="20"/>
  <c r="K318" i="20"/>
  <c r="I318" i="20"/>
  <c r="J318" i="20"/>
  <c r="N317" i="20"/>
  <c r="L317" i="20"/>
  <c r="M317" i="20"/>
  <c r="K317" i="20"/>
  <c r="I317" i="20"/>
  <c r="J317" i="20"/>
  <c r="N316" i="20"/>
  <c r="L316" i="20"/>
  <c r="M316" i="20"/>
  <c r="K316" i="20"/>
  <c r="I316" i="20"/>
  <c r="J316" i="20"/>
  <c r="O315" i="20"/>
  <c r="P315" i="20"/>
  <c r="N315" i="20"/>
  <c r="L315" i="20"/>
  <c r="M315" i="20"/>
  <c r="K315" i="20"/>
  <c r="I315" i="20"/>
  <c r="J315" i="20"/>
  <c r="N314" i="20"/>
  <c r="O314" i="20"/>
  <c r="P314" i="20"/>
  <c r="M314" i="20"/>
  <c r="L314" i="20"/>
  <c r="K314" i="20"/>
  <c r="I314" i="20"/>
  <c r="J314" i="20"/>
  <c r="N313" i="20"/>
  <c r="L313" i="20"/>
  <c r="M313" i="20"/>
  <c r="K313" i="20"/>
  <c r="I313" i="20"/>
  <c r="J313" i="20"/>
  <c r="N312" i="20"/>
  <c r="O312" i="20"/>
  <c r="P312" i="20"/>
  <c r="L312" i="20"/>
  <c r="M312" i="20"/>
  <c r="K312" i="20"/>
  <c r="I312" i="20"/>
  <c r="J312" i="20"/>
  <c r="N311" i="20"/>
  <c r="L311" i="20"/>
  <c r="M311" i="20"/>
  <c r="K311" i="20"/>
  <c r="J311" i="20"/>
  <c r="I311" i="20"/>
  <c r="P310" i="20"/>
  <c r="N310" i="20"/>
  <c r="L310" i="20"/>
  <c r="M310" i="20"/>
  <c r="K310" i="20"/>
  <c r="O310" i="20"/>
  <c r="J310" i="20"/>
  <c r="I310" i="20"/>
  <c r="N309" i="20"/>
  <c r="O309" i="20"/>
  <c r="P309" i="20"/>
  <c r="L309" i="20"/>
  <c r="M309" i="20"/>
  <c r="K309" i="20"/>
  <c r="I309" i="20"/>
  <c r="J309" i="20"/>
  <c r="N308" i="20"/>
  <c r="L308" i="20"/>
  <c r="M308" i="20"/>
  <c r="K308" i="20"/>
  <c r="J308" i="20"/>
  <c r="I308" i="20"/>
  <c r="P307" i="20"/>
  <c r="N307" i="20"/>
  <c r="L307" i="20"/>
  <c r="M307" i="20"/>
  <c r="K307" i="20"/>
  <c r="O307" i="20"/>
  <c r="I307" i="20"/>
  <c r="J307" i="20"/>
  <c r="N306" i="20"/>
  <c r="O306" i="20"/>
  <c r="P306" i="20"/>
  <c r="L306" i="20"/>
  <c r="M306" i="20"/>
  <c r="K306" i="20"/>
  <c r="I306" i="20"/>
  <c r="J306" i="20"/>
  <c r="P305" i="20"/>
  <c r="O305" i="20"/>
  <c r="N305" i="20"/>
  <c r="L305" i="20"/>
  <c r="M305" i="20"/>
  <c r="K305" i="20"/>
  <c r="J305" i="20"/>
  <c r="I305" i="20"/>
  <c r="P304" i="20"/>
  <c r="N304" i="20"/>
  <c r="L304" i="20"/>
  <c r="M304" i="20"/>
  <c r="K304" i="20"/>
  <c r="O304" i="20"/>
  <c r="J304" i="20"/>
  <c r="I304" i="20"/>
  <c r="N303" i="20"/>
  <c r="O303" i="20"/>
  <c r="P303" i="20"/>
  <c r="L303" i="20"/>
  <c r="M303" i="20"/>
  <c r="K303" i="20"/>
  <c r="I303" i="20"/>
  <c r="J303" i="20"/>
  <c r="N302" i="20"/>
  <c r="O302" i="20"/>
  <c r="P302" i="20"/>
  <c r="M302" i="20"/>
  <c r="L302" i="20"/>
  <c r="K302" i="20"/>
  <c r="I302" i="20"/>
  <c r="J302" i="20"/>
  <c r="P301" i="20"/>
  <c r="N301" i="20"/>
  <c r="L301" i="20"/>
  <c r="M301" i="20"/>
  <c r="K301" i="20"/>
  <c r="O301" i="20"/>
  <c r="J301" i="20"/>
  <c r="I301" i="20"/>
  <c r="N300" i="20"/>
  <c r="O300" i="20"/>
  <c r="P300" i="20"/>
  <c r="L300" i="20"/>
  <c r="M300" i="20"/>
  <c r="K300" i="20"/>
  <c r="I300" i="20"/>
  <c r="J300" i="20"/>
  <c r="N299" i="20"/>
  <c r="O299" i="20"/>
  <c r="P299" i="20"/>
  <c r="M299" i="20"/>
  <c r="L299" i="20"/>
  <c r="K299" i="20"/>
  <c r="I299" i="20"/>
  <c r="J299" i="20"/>
  <c r="N298" i="20"/>
  <c r="L298" i="20"/>
  <c r="M298" i="20"/>
  <c r="K298" i="20"/>
  <c r="I298" i="20"/>
  <c r="J298" i="20"/>
  <c r="O297" i="20"/>
  <c r="P297" i="20"/>
  <c r="N297" i="20"/>
  <c r="L297" i="20"/>
  <c r="M297" i="20"/>
  <c r="K297" i="20"/>
  <c r="I297" i="20"/>
  <c r="J297" i="20"/>
  <c r="N296" i="20"/>
  <c r="M296" i="20"/>
  <c r="L296" i="20"/>
  <c r="K296" i="20"/>
  <c r="I296" i="20"/>
  <c r="J296" i="20"/>
  <c r="N295" i="20"/>
  <c r="L295" i="20"/>
  <c r="M295" i="20"/>
  <c r="K295" i="20"/>
  <c r="I295" i="20"/>
  <c r="J295" i="20"/>
  <c r="N294" i="20"/>
  <c r="O294" i="20"/>
  <c r="P294" i="20"/>
  <c r="M294" i="20"/>
  <c r="L294" i="20"/>
  <c r="K294" i="20"/>
  <c r="I294" i="20"/>
  <c r="J294" i="20"/>
  <c r="N293" i="20"/>
  <c r="O293" i="20"/>
  <c r="P293" i="20"/>
  <c r="L293" i="20"/>
  <c r="M293" i="20"/>
  <c r="K293" i="20"/>
  <c r="J293" i="20"/>
  <c r="I293" i="20"/>
  <c r="P292" i="20"/>
  <c r="N292" i="20"/>
  <c r="L292" i="20"/>
  <c r="M292" i="20"/>
  <c r="K292" i="20"/>
  <c r="O292" i="20"/>
  <c r="I292" i="20"/>
  <c r="J292" i="20"/>
  <c r="N291" i="20"/>
  <c r="O291" i="20"/>
  <c r="P291" i="20"/>
  <c r="L291" i="20"/>
  <c r="M291" i="20"/>
  <c r="K291" i="20"/>
  <c r="I291" i="20"/>
  <c r="J291" i="20"/>
  <c r="O290" i="20"/>
  <c r="N290" i="20"/>
  <c r="M290" i="20"/>
  <c r="L290" i="20"/>
  <c r="K290" i="20"/>
  <c r="J290" i="20"/>
  <c r="I290" i="20"/>
  <c r="P289" i="20"/>
  <c r="N289" i="20"/>
  <c r="M289" i="20"/>
  <c r="L289" i="20"/>
  <c r="K289" i="20"/>
  <c r="O289" i="20"/>
  <c r="J289" i="20"/>
  <c r="I289" i="20"/>
  <c r="P288" i="20"/>
  <c r="N288" i="20"/>
  <c r="O288" i="20"/>
  <c r="M288" i="20"/>
  <c r="L288" i="20"/>
  <c r="K288" i="20"/>
  <c r="I288" i="20"/>
  <c r="J288" i="20"/>
  <c r="O287" i="20"/>
  <c r="P287" i="20"/>
  <c r="N287" i="20"/>
  <c r="M287" i="20"/>
  <c r="L287" i="20"/>
  <c r="K287" i="20"/>
  <c r="I287" i="20"/>
  <c r="J287" i="20"/>
  <c r="N286" i="20"/>
  <c r="L286" i="20"/>
  <c r="M286" i="20"/>
  <c r="K286" i="20"/>
  <c r="J286" i="20"/>
  <c r="I286" i="20"/>
  <c r="O285" i="20"/>
  <c r="P285" i="20"/>
  <c r="N285" i="20"/>
  <c r="M285" i="20"/>
  <c r="L285" i="20"/>
  <c r="K285" i="20"/>
  <c r="I285" i="20"/>
  <c r="J285" i="20"/>
  <c r="N284" i="20"/>
  <c r="M284" i="20"/>
  <c r="L284" i="20"/>
  <c r="K284" i="20"/>
  <c r="I284" i="20"/>
  <c r="J284" i="20"/>
  <c r="P283" i="20"/>
  <c r="N283" i="20"/>
  <c r="M283" i="20"/>
  <c r="L283" i="20"/>
  <c r="K283" i="20"/>
  <c r="O283" i="20"/>
  <c r="I283" i="20"/>
  <c r="J283" i="20"/>
  <c r="N282" i="20"/>
  <c r="O282" i="20"/>
  <c r="P282" i="20"/>
  <c r="L282" i="20"/>
  <c r="M282" i="20"/>
  <c r="K282" i="20"/>
  <c r="I282" i="20"/>
  <c r="J282" i="20"/>
  <c r="O281" i="20"/>
  <c r="P281" i="20"/>
  <c r="N281" i="20"/>
  <c r="L281" i="20"/>
  <c r="M281" i="20"/>
  <c r="K281" i="20"/>
  <c r="I281" i="20"/>
  <c r="J281" i="20"/>
  <c r="N280" i="20"/>
  <c r="L280" i="20"/>
  <c r="M280" i="20"/>
  <c r="K280" i="20"/>
  <c r="I280" i="20"/>
  <c r="J280" i="20"/>
  <c r="N279" i="20"/>
  <c r="O279" i="20"/>
  <c r="P279" i="20"/>
  <c r="L279" i="20"/>
  <c r="M279" i="20"/>
  <c r="K279" i="20"/>
  <c r="I279" i="20"/>
  <c r="J279" i="20"/>
  <c r="N278" i="20"/>
  <c r="L278" i="20"/>
  <c r="M278" i="20"/>
  <c r="K278" i="20"/>
  <c r="I278" i="20"/>
  <c r="J278" i="20"/>
  <c r="N277" i="20"/>
  <c r="L277" i="20"/>
  <c r="M277" i="20"/>
  <c r="K277" i="20"/>
  <c r="J277" i="20"/>
  <c r="I277" i="20"/>
  <c r="N276" i="20"/>
  <c r="O276" i="20"/>
  <c r="P276" i="20"/>
  <c r="M276" i="20"/>
  <c r="L276" i="20"/>
  <c r="K276" i="20"/>
  <c r="I276" i="20"/>
  <c r="J276" i="20"/>
  <c r="O275" i="20"/>
  <c r="P275" i="20"/>
  <c r="N275" i="20"/>
  <c r="M275" i="20"/>
  <c r="L275" i="20"/>
  <c r="K275" i="20"/>
  <c r="I275" i="20"/>
  <c r="J275" i="20"/>
  <c r="P274" i="20"/>
  <c r="N274" i="20"/>
  <c r="L274" i="20"/>
  <c r="M274" i="20"/>
  <c r="K274" i="20"/>
  <c r="O274" i="20"/>
  <c r="I274" i="20"/>
  <c r="J274" i="20"/>
  <c r="O273" i="20"/>
  <c r="P273" i="20"/>
  <c r="N273" i="20"/>
  <c r="L273" i="20"/>
  <c r="M273" i="20"/>
  <c r="K273" i="20"/>
  <c r="I273" i="20"/>
  <c r="J273" i="20"/>
  <c r="N272" i="20"/>
  <c r="L272" i="20"/>
  <c r="M272" i="20"/>
  <c r="K272" i="20"/>
  <c r="I272" i="20"/>
  <c r="J272" i="20"/>
  <c r="P271" i="20"/>
  <c r="N271" i="20"/>
  <c r="L271" i="20"/>
  <c r="M271" i="20"/>
  <c r="K271" i="20"/>
  <c r="O271" i="20"/>
  <c r="I271" i="20"/>
  <c r="J271" i="20"/>
  <c r="N270" i="20"/>
  <c r="O270" i="20"/>
  <c r="P270" i="20"/>
  <c r="L270" i="20"/>
  <c r="M270" i="20"/>
  <c r="K270" i="20"/>
  <c r="I270" i="20"/>
  <c r="J270" i="20"/>
  <c r="O269" i="20"/>
  <c r="P269" i="20"/>
  <c r="N269" i="20"/>
  <c r="L269" i="20"/>
  <c r="M269" i="20"/>
  <c r="K269" i="20"/>
  <c r="I269" i="20"/>
  <c r="J269" i="20"/>
  <c r="N268" i="20"/>
  <c r="L268" i="20"/>
  <c r="M268" i="20"/>
  <c r="K268" i="20"/>
  <c r="J268" i="20"/>
  <c r="I268" i="20"/>
  <c r="N267" i="20"/>
  <c r="O267" i="20"/>
  <c r="P267" i="20"/>
  <c r="L267" i="20"/>
  <c r="M267" i="20"/>
  <c r="K267" i="20"/>
  <c r="I267" i="20"/>
  <c r="J267" i="20"/>
  <c r="N266" i="20"/>
  <c r="O266" i="20"/>
  <c r="P266" i="20"/>
  <c r="M266" i="20"/>
  <c r="L266" i="20"/>
  <c r="K266" i="20"/>
  <c r="I266" i="20"/>
  <c r="J266" i="20"/>
  <c r="N265" i="20"/>
  <c r="L265" i="20"/>
  <c r="M265" i="20"/>
  <c r="K265" i="20"/>
  <c r="J265" i="20"/>
  <c r="I265" i="20"/>
  <c r="N264" i="20"/>
  <c r="O264" i="20"/>
  <c r="P264" i="20"/>
  <c r="L264" i="20"/>
  <c r="M264" i="20"/>
  <c r="K264" i="20"/>
  <c r="I264" i="20"/>
  <c r="J264" i="20"/>
  <c r="N263" i="20"/>
  <c r="O263" i="20"/>
  <c r="L263" i="20"/>
  <c r="M263" i="20"/>
  <c r="K263" i="20"/>
  <c r="I263" i="20"/>
  <c r="J263" i="20"/>
  <c r="P262" i="20"/>
  <c r="N262" i="20"/>
  <c r="L262" i="20"/>
  <c r="M262" i="20"/>
  <c r="K262" i="20"/>
  <c r="O262" i="20"/>
  <c r="J262" i="20"/>
  <c r="I262" i="20"/>
  <c r="N261" i="20"/>
  <c r="O261" i="20"/>
  <c r="P261" i="20"/>
  <c r="L261" i="20"/>
  <c r="M261" i="20"/>
  <c r="K261" i="20"/>
  <c r="I261" i="20"/>
  <c r="J261" i="20"/>
  <c r="N260" i="20"/>
  <c r="L260" i="20"/>
  <c r="M260" i="20"/>
  <c r="K260" i="20"/>
  <c r="J260" i="20"/>
  <c r="I260" i="20"/>
  <c r="N259" i="20"/>
  <c r="L259" i="20"/>
  <c r="M259" i="20"/>
  <c r="K259" i="20"/>
  <c r="I259" i="20"/>
  <c r="J259" i="20"/>
  <c r="O258" i="20"/>
  <c r="P258" i="20"/>
  <c r="N258" i="20"/>
  <c r="L258" i="20"/>
  <c r="M258" i="20"/>
  <c r="K258" i="20"/>
  <c r="I258" i="20"/>
  <c r="J258" i="20"/>
  <c r="N257" i="20"/>
  <c r="O257" i="20"/>
  <c r="P257" i="20"/>
  <c r="L257" i="20"/>
  <c r="M257" i="20"/>
  <c r="K257" i="20"/>
  <c r="J257" i="20"/>
  <c r="I257" i="20"/>
  <c r="P256" i="20"/>
  <c r="N256" i="20"/>
  <c r="L256" i="20"/>
  <c r="M256" i="20"/>
  <c r="K256" i="20"/>
  <c r="O256" i="20"/>
  <c r="J256" i="20"/>
  <c r="I256" i="20"/>
  <c r="N255" i="20"/>
  <c r="O255" i="20"/>
  <c r="P255" i="20"/>
  <c r="L255" i="20"/>
  <c r="M255" i="20"/>
  <c r="K255" i="20"/>
  <c r="I255" i="20"/>
  <c r="J255" i="20"/>
  <c r="N254" i="20"/>
  <c r="O254" i="20"/>
  <c r="L254" i="20"/>
  <c r="M254" i="20"/>
  <c r="K254" i="20"/>
  <c r="J254" i="20"/>
  <c r="I254" i="20"/>
  <c r="P253" i="20"/>
  <c r="N253" i="20"/>
  <c r="L253" i="20"/>
  <c r="M253" i="20"/>
  <c r="K253" i="20"/>
  <c r="O253" i="20"/>
  <c r="I253" i="20"/>
  <c r="J253" i="20"/>
  <c r="O252" i="20"/>
  <c r="P252" i="20"/>
  <c r="N252" i="20"/>
  <c r="M252" i="20"/>
  <c r="L252" i="20"/>
  <c r="K252" i="20"/>
  <c r="I252" i="20"/>
  <c r="J252" i="20"/>
  <c r="O251" i="20"/>
  <c r="P251" i="20"/>
  <c r="N251" i="20"/>
  <c r="L251" i="20"/>
  <c r="M251" i="20"/>
  <c r="K251" i="20"/>
  <c r="J251" i="20"/>
  <c r="I251" i="20"/>
  <c r="N250" i="20"/>
  <c r="L250" i="20"/>
  <c r="M250" i="20"/>
  <c r="K250" i="20"/>
  <c r="O250" i="20"/>
  <c r="J250" i="20"/>
  <c r="I250" i="20"/>
  <c r="P249" i="20"/>
  <c r="N249" i="20"/>
  <c r="O249" i="20"/>
  <c r="L249" i="20"/>
  <c r="M249" i="20"/>
  <c r="K249" i="20"/>
  <c r="I249" i="20"/>
  <c r="J249" i="20"/>
  <c r="N248" i="20"/>
  <c r="M248" i="20"/>
  <c r="L248" i="20"/>
  <c r="K248" i="20"/>
  <c r="I248" i="20"/>
  <c r="J248" i="20"/>
  <c r="P247" i="20"/>
  <c r="N247" i="20"/>
  <c r="M247" i="20"/>
  <c r="L247" i="20"/>
  <c r="K247" i="20"/>
  <c r="O247" i="20"/>
  <c r="I247" i="20"/>
  <c r="J247" i="20"/>
  <c r="N246" i="20"/>
  <c r="O246" i="20"/>
  <c r="P246" i="20"/>
  <c r="L246" i="20"/>
  <c r="M246" i="20"/>
  <c r="K246" i="20"/>
  <c r="I246" i="20"/>
  <c r="J246" i="20"/>
  <c r="P245" i="20"/>
  <c r="O245" i="20"/>
  <c r="N245" i="20"/>
  <c r="L245" i="20"/>
  <c r="M245" i="20"/>
  <c r="K245" i="20"/>
  <c r="I245" i="20"/>
  <c r="J245" i="20"/>
  <c r="N244" i="20"/>
  <c r="L244" i="20"/>
  <c r="M244" i="20"/>
  <c r="K244" i="20"/>
  <c r="I244" i="20"/>
  <c r="J244" i="20"/>
  <c r="N243" i="20"/>
  <c r="O243" i="20"/>
  <c r="P243" i="20"/>
  <c r="L243" i="20"/>
  <c r="M243" i="20"/>
  <c r="K243" i="20"/>
  <c r="I243" i="20"/>
  <c r="J243" i="20"/>
  <c r="N242" i="20"/>
  <c r="L242" i="20"/>
  <c r="M242" i="20"/>
  <c r="K242" i="20"/>
  <c r="I242" i="20"/>
  <c r="J242" i="20"/>
  <c r="N241" i="20"/>
  <c r="L241" i="20"/>
  <c r="M241" i="20"/>
  <c r="K241" i="20"/>
  <c r="I241" i="20"/>
  <c r="J241" i="20"/>
  <c r="N240" i="20"/>
  <c r="O240" i="20"/>
  <c r="P240" i="20"/>
  <c r="M240" i="20"/>
  <c r="L240" i="20"/>
  <c r="K240" i="20"/>
  <c r="I240" i="20"/>
  <c r="J240" i="20"/>
  <c r="N239" i="20"/>
  <c r="O239" i="20"/>
  <c r="P239" i="20"/>
  <c r="L239" i="20"/>
  <c r="M239" i="20"/>
  <c r="K239" i="20"/>
  <c r="J239" i="20"/>
  <c r="I239" i="20"/>
  <c r="P238" i="20"/>
  <c r="N238" i="20"/>
  <c r="L238" i="20"/>
  <c r="M238" i="20"/>
  <c r="K238" i="20"/>
  <c r="O238" i="20"/>
  <c r="I238" i="20"/>
  <c r="J238" i="20"/>
  <c r="N237" i="20"/>
  <c r="O237" i="20"/>
  <c r="P237" i="20"/>
  <c r="L237" i="20"/>
  <c r="M237" i="20"/>
  <c r="K237" i="20"/>
  <c r="I237" i="20"/>
  <c r="J237" i="20"/>
  <c r="N236" i="20"/>
  <c r="L236" i="20"/>
  <c r="M236" i="20"/>
  <c r="K236" i="20"/>
  <c r="I236" i="20"/>
  <c r="J236" i="20"/>
  <c r="P235" i="20"/>
  <c r="N235" i="20"/>
  <c r="M235" i="20"/>
  <c r="L235" i="20"/>
  <c r="K235" i="20"/>
  <c r="O235" i="20"/>
  <c r="I235" i="20"/>
  <c r="J235" i="20"/>
  <c r="O234" i="20"/>
  <c r="P234" i="20"/>
  <c r="N234" i="20"/>
  <c r="L234" i="20"/>
  <c r="M234" i="20"/>
  <c r="K234" i="20"/>
  <c r="I234" i="20"/>
  <c r="J234" i="20"/>
  <c r="P233" i="20"/>
  <c r="O233" i="20"/>
  <c r="N233" i="20"/>
  <c r="L233" i="20"/>
  <c r="M233" i="20"/>
  <c r="K233" i="20"/>
  <c r="I233" i="20"/>
  <c r="J233" i="20"/>
  <c r="N232" i="20"/>
  <c r="L232" i="20"/>
  <c r="M232" i="20"/>
  <c r="K232" i="20"/>
  <c r="J232" i="20"/>
  <c r="I232" i="20"/>
  <c r="N231" i="20"/>
  <c r="O231" i="20"/>
  <c r="P231" i="20"/>
  <c r="L231" i="20"/>
  <c r="M231" i="20"/>
  <c r="K231" i="20"/>
  <c r="I231" i="20"/>
  <c r="J231" i="20"/>
  <c r="N230" i="20"/>
  <c r="O230" i="20"/>
  <c r="P230" i="20"/>
  <c r="M230" i="20"/>
  <c r="L230" i="20"/>
  <c r="K230" i="20"/>
  <c r="I230" i="20"/>
  <c r="J230" i="20"/>
  <c r="P229" i="20"/>
  <c r="N229" i="20"/>
  <c r="L229" i="20"/>
  <c r="M229" i="20"/>
  <c r="K229" i="20"/>
  <c r="O229" i="20"/>
  <c r="J229" i="20"/>
  <c r="I229" i="20"/>
  <c r="N228" i="20"/>
  <c r="O228" i="20"/>
  <c r="P228" i="20"/>
  <c r="L228" i="20"/>
  <c r="M228" i="20"/>
  <c r="K228" i="20"/>
  <c r="I228" i="20"/>
  <c r="J228" i="20"/>
  <c r="N227" i="20"/>
  <c r="M227" i="20"/>
  <c r="L227" i="20"/>
  <c r="K227" i="20"/>
  <c r="I227" i="20"/>
  <c r="J227" i="20"/>
  <c r="N226" i="20"/>
  <c r="L226" i="20"/>
  <c r="M226" i="20"/>
  <c r="K226" i="20"/>
  <c r="I226" i="20"/>
  <c r="J226" i="20"/>
  <c r="N225" i="20"/>
  <c r="O225" i="20"/>
  <c r="P225" i="20"/>
  <c r="L225" i="20"/>
  <c r="M225" i="20"/>
  <c r="K225" i="20"/>
  <c r="I225" i="20"/>
  <c r="J225" i="20"/>
  <c r="N224" i="20"/>
  <c r="M224" i="20"/>
  <c r="L224" i="20"/>
  <c r="K224" i="20"/>
  <c r="I224" i="20"/>
  <c r="J224" i="20"/>
  <c r="N223" i="20"/>
  <c r="L223" i="20"/>
  <c r="M223" i="20"/>
  <c r="K223" i="20"/>
  <c r="I223" i="20"/>
  <c r="J223" i="20"/>
  <c r="N222" i="20"/>
  <c r="O222" i="20"/>
  <c r="P222" i="20"/>
  <c r="L222" i="20"/>
  <c r="M222" i="20"/>
  <c r="K222" i="20"/>
  <c r="I222" i="20"/>
  <c r="J222" i="20"/>
  <c r="N221" i="20"/>
  <c r="O221" i="20"/>
  <c r="P221" i="20"/>
  <c r="L221" i="20"/>
  <c r="M221" i="20"/>
  <c r="K221" i="20"/>
  <c r="I221" i="20"/>
  <c r="J221" i="20"/>
  <c r="P220" i="20"/>
  <c r="N220" i="20"/>
  <c r="L220" i="20"/>
  <c r="M220" i="20"/>
  <c r="K220" i="20"/>
  <c r="O220" i="20"/>
  <c r="I220" i="20"/>
  <c r="J220" i="20"/>
  <c r="N219" i="20"/>
  <c r="O219" i="20"/>
  <c r="P219" i="20"/>
  <c r="L219" i="20"/>
  <c r="M219" i="20"/>
  <c r="K219" i="20"/>
  <c r="I219" i="20"/>
  <c r="J219" i="20"/>
  <c r="N218" i="20"/>
  <c r="L218" i="20"/>
  <c r="M218" i="20"/>
  <c r="K218" i="20"/>
  <c r="J218" i="20"/>
  <c r="I218" i="20"/>
  <c r="P217" i="20"/>
  <c r="N217" i="20"/>
  <c r="L217" i="20"/>
  <c r="M217" i="20"/>
  <c r="K217" i="20"/>
  <c r="O217" i="20"/>
  <c r="I217" i="20"/>
  <c r="J217" i="20"/>
  <c r="N216" i="20"/>
  <c r="O216" i="20"/>
  <c r="P216" i="20"/>
  <c r="M216" i="20"/>
  <c r="L216" i="20"/>
  <c r="K216" i="20"/>
  <c r="I216" i="20"/>
  <c r="J216" i="20"/>
  <c r="N215" i="20"/>
  <c r="L215" i="20"/>
  <c r="M215" i="20"/>
  <c r="K215" i="20"/>
  <c r="O215" i="20"/>
  <c r="I215" i="20"/>
  <c r="J215" i="20"/>
  <c r="N214" i="20"/>
  <c r="L214" i="20"/>
  <c r="M214" i="20"/>
  <c r="K214" i="20"/>
  <c r="J214" i="20"/>
  <c r="I214" i="20"/>
  <c r="N213" i="20"/>
  <c r="O213" i="20"/>
  <c r="P213" i="20"/>
  <c r="L213" i="20"/>
  <c r="M213" i="20"/>
  <c r="K213" i="20"/>
  <c r="I213" i="20"/>
  <c r="J213" i="20"/>
  <c r="N212" i="20"/>
  <c r="M212" i="20"/>
  <c r="L212" i="20"/>
  <c r="K212" i="20"/>
  <c r="I212" i="20"/>
  <c r="J212" i="20"/>
  <c r="P211" i="20"/>
  <c r="N211" i="20"/>
  <c r="M211" i="20"/>
  <c r="L211" i="20"/>
  <c r="K211" i="20"/>
  <c r="O211" i="20"/>
  <c r="I211" i="20"/>
  <c r="J211" i="20"/>
  <c r="P210" i="20"/>
  <c r="N210" i="20"/>
  <c r="O210" i="20"/>
  <c r="L210" i="20"/>
  <c r="M210" i="20"/>
  <c r="K210" i="20"/>
  <c r="I210" i="20"/>
  <c r="J210" i="20"/>
  <c r="N209" i="20"/>
  <c r="L209" i="20"/>
  <c r="M209" i="20"/>
  <c r="K209" i="20"/>
  <c r="I209" i="20"/>
  <c r="J209" i="20"/>
  <c r="N208" i="20"/>
  <c r="L208" i="20"/>
  <c r="M208" i="20"/>
  <c r="K208" i="20"/>
  <c r="O208" i="20"/>
  <c r="J208" i="20"/>
  <c r="I208" i="20"/>
  <c r="N207" i="20"/>
  <c r="O207" i="20"/>
  <c r="P207" i="20"/>
  <c r="L207" i="20"/>
  <c r="M207" i="20"/>
  <c r="K207" i="20"/>
  <c r="I207" i="20"/>
  <c r="J207" i="20"/>
  <c r="O206" i="20"/>
  <c r="N206" i="20"/>
  <c r="M206" i="20"/>
  <c r="L206" i="20"/>
  <c r="K206" i="20"/>
  <c r="I206" i="20"/>
  <c r="J206" i="20"/>
  <c r="N205" i="20"/>
  <c r="L205" i="20"/>
  <c r="M205" i="20"/>
  <c r="K205" i="20"/>
  <c r="J205" i="20"/>
  <c r="I205" i="20"/>
  <c r="P204" i="20"/>
  <c r="N204" i="20"/>
  <c r="O204" i="20"/>
  <c r="M204" i="20"/>
  <c r="L204" i="20"/>
  <c r="K204" i="20"/>
  <c r="I204" i="20"/>
  <c r="J204" i="20"/>
  <c r="N203" i="20"/>
  <c r="M203" i="20"/>
  <c r="L203" i="20"/>
  <c r="K203" i="20"/>
  <c r="O203" i="20"/>
  <c r="P203" i="20"/>
  <c r="I203" i="20"/>
  <c r="J203" i="20"/>
  <c r="P202" i="20"/>
  <c r="N202" i="20"/>
  <c r="L202" i="20"/>
  <c r="M202" i="20"/>
  <c r="K202" i="20"/>
  <c r="O202" i="20"/>
  <c r="I202" i="20"/>
  <c r="J202" i="20"/>
  <c r="P201" i="20"/>
  <c r="O201" i="20"/>
  <c r="N201" i="20"/>
  <c r="M201" i="20"/>
  <c r="L201" i="20"/>
  <c r="K201" i="20"/>
  <c r="I201" i="20"/>
  <c r="J201" i="20"/>
  <c r="N200" i="20"/>
  <c r="L200" i="20"/>
  <c r="M200" i="20"/>
  <c r="K200" i="20"/>
  <c r="I200" i="20"/>
  <c r="J200" i="20"/>
  <c r="P199" i="20"/>
  <c r="N199" i="20"/>
  <c r="L199" i="20"/>
  <c r="M199" i="20"/>
  <c r="K199" i="20"/>
  <c r="O199" i="20"/>
  <c r="I199" i="20"/>
  <c r="J199" i="20"/>
  <c r="O198" i="20"/>
  <c r="P198" i="20"/>
  <c r="N198" i="20"/>
  <c r="M198" i="20"/>
  <c r="L198" i="20"/>
  <c r="K198" i="20"/>
  <c r="I198" i="20"/>
  <c r="J198" i="20"/>
  <c r="O197" i="20"/>
  <c r="P197" i="20"/>
  <c r="N197" i="20"/>
  <c r="L197" i="20"/>
  <c r="M197" i="20"/>
  <c r="K197" i="20"/>
  <c r="I197" i="20"/>
  <c r="J197" i="20"/>
  <c r="N196" i="20"/>
  <c r="L196" i="20"/>
  <c r="M196" i="20"/>
  <c r="K196" i="20"/>
  <c r="O196" i="20"/>
  <c r="J196" i="20"/>
  <c r="I196" i="20"/>
  <c r="N195" i="20"/>
  <c r="O195" i="20"/>
  <c r="P195" i="20"/>
  <c r="M195" i="20"/>
  <c r="L195" i="20"/>
  <c r="K195" i="20"/>
  <c r="I195" i="20"/>
  <c r="J195" i="20"/>
  <c r="O194" i="20"/>
  <c r="P194" i="20"/>
  <c r="N194" i="20"/>
  <c r="M194" i="20"/>
  <c r="L194" i="20"/>
  <c r="K194" i="20"/>
  <c r="I194" i="20"/>
  <c r="J194" i="20"/>
  <c r="N193" i="20"/>
  <c r="L193" i="20"/>
  <c r="M193" i="20"/>
  <c r="K193" i="20"/>
  <c r="J193" i="20"/>
  <c r="I193" i="20"/>
  <c r="N192" i="20"/>
  <c r="O192" i="20"/>
  <c r="P192" i="20"/>
  <c r="L192" i="20"/>
  <c r="M192" i="20"/>
  <c r="K192" i="20"/>
  <c r="I192" i="20"/>
  <c r="J192" i="20"/>
  <c r="N191" i="20"/>
  <c r="L191" i="20"/>
  <c r="M191" i="20"/>
  <c r="K191" i="20"/>
  <c r="I191" i="20"/>
  <c r="J191" i="20"/>
  <c r="P190" i="20"/>
  <c r="N190" i="20"/>
  <c r="L190" i="20"/>
  <c r="M190" i="20"/>
  <c r="K190" i="20"/>
  <c r="O190" i="20"/>
  <c r="J190" i="20"/>
  <c r="I190" i="20"/>
  <c r="N189" i="20"/>
  <c r="O189" i="20"/>
  <c r="P189" i="20"/>
  <c r="L189" i="20"/>
  <c r="M189" i="20"/>
  <c r="K189" i="20"/>
  <c r="I189" i="20"/>
  <c r="J189" i="20"/>
  <c r="N188" i="20"/>
  <c r="M188" i="20"/>
  <c r="L188" i="20"/>
  <c r="K188" i="20"/>
  <c r="J188" i="20"/>
  <c r="I188" i="20"/>
  <c r="N187" i="20"/>
  <c r="L187" i="20"/>
  <c r="M187" i="20"/>
  <c r="K187" i="20"/>
  <c r="I187" i="20"/>
  <c r="J187" i="20"/>
  <c r="N186" i="20"/>
  <c r="O186" i="20"/>
  <c r="P186" i="20"/>
  <c r="L186" i="20"/>
  <c r="M186" i="20"/>
  <c r="K186" i="20"/>
  <c r="I186" i="20"/>
  <c r="J186" i="20"/>
  <c r="O185" i="20"/>
  <c r="P185" i="20"/>
  <c r="N185" i="20"/>
  <c r="L185" i="20"/>
  <c r="M185" i="20"/>
  <c r="K185" i="20"/>
  <c r="I185" i="20"/>
  <c r="J185" i="20"/>
  <c r="N184" i="20"/>
  <c r="L184" i="20"/>
  <c r="M184" i="20"/>
  <c r="K184" i="20"/>
  <c r="O184" i="20"/>
  <c r="J184" i="20"/>
  <c r="I184" i="20"/>
  <c r="P183" i="20"/>
  <c r="N183" i="20"/>
  <c r="O183" i="20"/>
  <c r="L183" i="20"/>
  <c r="M183" i="20"/>
  <c r="K183" i="20"/>
  <c r="I183" i="20"/>
  <c r="J183" i="20"/>
  <c r="N182" i="20"/>
  <c r="L182" i="20"/>
  <c r="M182" i="20"/>
  <c r="K182" i="20"/>
  <c r="J182" i="20"/>
  <c r="I182" i="20"/>
  <c r="P181" i="20"/>
  <c r="N181" i="20"/>
  <c r="L181" i="20"/>
  <c r="M181" i="20"/>
  <c r="K181" i="20"/>
  <c r="O181" i="20"/>
  <c r="I181" i="20"/>
  <c r="J181" i="20"/>
  <c r="N180" i="20"/>
  <c r="O180" i="20"/>
  <c r="P180" i="20"/>
  <c r="M180" i="20"/>
  <c r="L180" i="20"/>
  <c r="K180" i="20"/>
  <c r="I180" i="20"/>
  <c r="J180" i="20"/>
  <c r="N179" i="20"/>
  <c r="L179" i="20"/>
  <c r="M179" i="20"/>
  <c r="K179" i="20"/>
  <c r="O179" i="20"/>
  <c r="I179" i="20"/>
  <c r="J179" i="20"/>
  <c r="P178" i="20"/>
  <c r="N178" i="20"/>
  <c r="L178" i="20"/>
  <c r="M178" i="20"/>
  <c r="K178" i="20"/>
  <c r="O178" i="20"/>
  <c r="J178" i="20"/>
  <c r="I178" i="20"/>
  <c r="N177" i="20"/>
  <c r="O177" i="20"/>
  <c r="P177" i="20"/>
  <c r="L177" i="20"/>
  <c r="M177" i="20"/>
  <c r="K177" i="20"/>
  <c r="I177" i="20"/>
  <c r="J177" i="20"/>
  <c r="N176" i="20"/>
  <c r="M176" i="20"/>
  <c r="L176" i="20"/>
  <c r="K176" i="20"/>
  <c r="I176" i="20"/>
  <c r="J176" i="20"/>
  <c r="P175" i="20"/>
  <c r="N175" i="20"/>
  <c r="M175" i="20"/>
  <c r="L175" i="20"/>
  <c r="K175" i="20"/>
  <c r="O175" i="20"/>
  <c r="I175" i="20"/>
  <c r="J175" i="20"/>
  <c r="N174" i="20"/>
  <c r="O174" i="20"/>
  <c r="P174" i="20"/>
  <c r="L174" i="20"/>
  <c r="M174" i="20"/>
  <c r="K174" i="20"/>
  <c r="I174" i="20"/>
  <c r="J174" i="20"/>
  <c r="N173" i="20"/>
  <c r="L173" i="20"/>
  <c r="M173" i="20"/>
  <c r="K173" i="20"/>
  <c r="I173" i="20"/>
  <c r="J173" i="20"/>
  <c r="N172" i="20"/>
  <c r="L172" i="20"/>
  <c r="M172" i="20"/>
  <c r="K172" i="20"/>
  <c r="I172" i="20"/>
  <c r="J172" i="20"/>
  <c r="N171" i="20"/>
  <c r="O171" i="20"/>
  <c r="P171" i="20"/>
  <c r="L171" i="20"/>
  <c r="M171" i="20"/>
  <c r="K171" i="20"/>
  <c r="I171" i="20"/>
  <c r="J171" i="20"/>
  <c r="N170" i="20"/>
  <c r="L170" i="20"/>
  <c r="M170" i="20"/>
  <c r="K170" i="20"/>
  <c r="O170" i="20"/>
  <c r="I170" i="20"/>
  <c r="J170" i="20"/>
  <c r="N169" i="20"/>
  <c r="L169" i="20"/>
  <c r="M169" i="20"/>
  <c r="K169" i="20"/>
  <c r="J169" i="20"/>
  <c r="I169" i="20"/>
  <c r="O168" i="20"/>
  <c r="P168" i="20"/>
  <c r="N168" i="20"/>
  <c r="M168" i="20"/>
  <c r="L168" i="20"/>
  <c r="K168" i="20"/>
  <c r="I168" i="20"/>
  <c r="J168" i="20"/>
  <c r="N167" i="20"/>
  <c r="O167" i="20"/>
  <c r="P167" i="20"/>
  <c r="L167" i="20"/>
  <c r="M167" i="20"/>
  <c r="K167" i="20"/>
  <c r="J167" i="20"/>
  <c r="I167" i="20"/>
  <c r="P166" i="20"/>
  <c r="N166" i="20"/>
  <c r="L166" i="20"/>
  <c r="M166" i="20"/>
  <c r="K166" i="20"/>
  <c r="O166" i="20"/>
  <c r="J166" i="20"/>
  <c r="I166" i="20"/>
  <c r="N165" i="20"/>
  <c r="O165" i="20"/>
  <c r="P165" i="20"/>
  <c r="L165" i="20"/>
  <c r="M165" i="20"/>
  <c r="K165" i="20"/>
  <c r="I165" i="20"/>
  <c r="J165" i="20"/>
  <c r="N164" i="20"/>
  <c r="L164" i="20"/>
  <c r="M164" i="20"/>
  <c r="K164" i="20"/>
  <c r="I164" i="20"/>
  <c r="J164" i="20"/>
  <c r="P163" i="20"/>
  <c r="N163" i="20"/>
  <c r="M163" i="20"/>
  <c r="L163" i="20"/>
  <c r="K163" i="20"/>
  <c r="O163" i="20"/>
  <c r="I163" i="20"/>
  <c r="J163" i="20"/>
  <c r="N162" i="20"/>
  <c r="O162" i="20"/>
  <c r="P162" i="20"/>
  <c r="L162" i="20"/>
  <c r="M162" i="20"/>
  <c r="K162" i="20"/>
  <c r="I162" i="20"/>
  <c r="J162" i="20"/>
  <c r="O161" i="20"/>
  <c r="P161" i="20"/>
  <c r="N161" i="20"/>
  <c r="L161" i="20"/>
  <c r="M161" i="20"/>
  <c r="K161" i="20"/>
  <c r="I161" i="20"/>
  <c r="J161" i="20"/>
  <c r="N160" i="20"/>
  <c r="M160" i="20"/>
  <c r="L160" i="20"/>
  <c r="K160" i="20"/>
  <c r="J160" i="20"/>
  <c r="I160" i="20"/>
  <c r="N159" i="20"/>
  <c r="O159" i="20"/>
  <c r="P159" i="20"/>
  <c r="L159" i="20"/>
  <c r="M159" i="20"/>
  <c r="K159" i="20"/>
  <c r="I159" i="20"/>
  <c r="J159" i="20"/>
  <c r="N158" i="20"/>
  <c r="O158" i="20"/>
  <c r="P158" i="20"/>
  <c r="L158" i="20"/>
  <c r="M158" i="20"/>
  <c r="K158" i="20"/>
  <c r="I158" i="20"/>
  <c r="J158" i="20"/>
  <c r="N157" i="20"/>
  <c r="M157" i="20"/>
  <c r="L157" i="20"/>
  <c r="K157" i="20"/>
  <c r="I157" i="20"/>
  <c r="J157" i="20"/>
  <c r="N156" i="20"/>
  <c r="O156" i="20"/>
  <c r="P156" i="20"/>
  <c r="L156" i="20"/>
  <c r="M156" i="20"/>
  <c r="K156" i="20"/>
  <c r="J156" i="20"/>
  <c r="I156" i="20"/>
  <c r="N155" i="20"/>
  <c r="M155" i="20"/>
  <c r="L155" i="20"/>
  <c r="K155" i="20"/>
  <c r="J155" i="20"/>
  <c r="I155" i="20"/>
  <c r="N154" i="20"/>
  <c r="M154" i="20"/>
  <c r="L154" i="20"/>
  <c r="K154" i="20"/>
  <c r="I154" i="20"/>
  <c r="J154" i="20"/>
  <c r="N153" i="20"/>
  <c r="O153" i="20"/>
  <c r="P153" i="20"/>
  <c r="L153" i="20"/>
  <c r="M153" i="20"/>
  <c r="K153" i="20"/>
  <c r="I153" i="20"/>
  <c r="J153" i="20"/>
  <c r="N152" i="20"/>
  <c r="O152" i="20"/>
  <c r="P152" i="20"/>
  <c r="M152" i="20"/>
  <c r="L152" i="20"/>
  <c r="K152" i="20"/>
  <c r="I152" i="20"/>
  <c r="J152" i="20"/>
  <c r="N151" i="20"/>
  <c r="L151" i="20"/>
  <c r="M151" i="20"/>
  <c r="K151" i="20"/>
  <c r="I151" i="20"/>
  <c r="J151" i="20"/>
  <c r="O150" i="20"/>
  <c r="P150" i="20"/>
  <c r="N150" i="20"/>
  <c r="M150" i="20"/>
  <c r="L150" i="20"/>
  <c r="K150" i="20"/>
  <c r="I150" i="20"/>
  <c r="J150" i="20"/>
  <c r="N149" i="20"/>
  <c r="L149" i="20"/>
  <c r="M149" i="20"/>
  <c r="K149" i="20"/>
  <c r="I149" i="20"/>
  <c r="J149" i="20"/>
  <c r="N148" i="20"/>
  <c r="M148" i="20"/>
  <c r="L148" i="20"/>
  <c r="K148" i="20"/>
  <c r="I148" i="20"/>
  <c r="J148" i="20"/>
  <c r="N147" i="20"/>
  <c r="L147" i="20"/>
  <c r="M147" i="20"/>
  <c r="K147" i="20"/>
  <c r="I147" i="20"/>
  <c r="J147" i="20"/>
  <c r="N146" i="20"/>
  <c r="L146" i="20"/>
  <c r="M146" i="20"/>
  <c r="K146" i="20"/>
  <c r="J146" i="20"/>
  <c r="I146" i="20"/>
  <c r="O145" i="20"/>
  <c r="P145" i="20"/>
  <c r="N145" i="20"/>
  <c r="M145" i="20"/>
  <c r="L145" i="20"/>
  <c r="K145" i="20"/>
  <c r="I145" i="20"/>
  <c r="J145" i="20"/>
  <c r="P144" i="20"/>
  <c r="N144" i="20"/>
  <c r="L144" i="20"/>
  <c r="M144" i="20"/>
  <c r="K144" i="20"/>
  <c r="O144" i="20"/>
  <c r="I144" i="20"/>
  <c r="J144" i="20"/>
  <c r="O143" i="20"/>
  <c r="P143" i="20"/>
  <c r="N143" i="20"/>
  <c r="L143" i="20"/>
  <c r="M143" i="20"/>
  <c r="K143" i="20"/>
  <c r="J143" i="20"/>
  <c r="I143" i="20"/>
  <c r="N142" i="20"/>
  <c r="L142" i="20"/>
  <c r="M142" i="20"/>
  <c r="K142" i="20"/>
  <c r="I142" i="20"/>
  <c r="J142" i="20"/>
  <c r="N141" i="20"/>
  <c r="O141" i="20"/>
  <c r="L141" i="20"/>
  <c r="M141" i="20"/>
  <c r="K141" i="20"/>
  <c r="I141" i="20"/>
  <c r="J141" i="20"/>
  <c r="O140" i="20"/>
  <c r="P140" i="20"/>
  <c r="N140" i="20"/>
  <c r="L140" i="20"/>
  <c r="M140" i="20"/>
  <c r="K140" i="20"/>
  <c r="I140" i="20"/>
  <c r="J140" i="20"/>
  <c r="N139" i="20"/>
  <c r="L139" i="20"/>
  <c r="M139" i="20"/>
  <c r="K139" i="20"/>
  <c r="O139" i="20"/>
  <c r="J139" i="20"/>
  <c r="I139" i="20"/>
  <c r="N138" i="20"/>
  <c r="L138" i="20"/>
  <c r="M138" i="20"/>
  <c r="K138" i="20"/>
  <c r="J138" i="20"/>
  <c r="I138" i="20"/>
  <c r="N137" i="20"/>
  <c r="O137" i="20"/>
  <c r="P137" i="20"/>
  <c r="L137" i="20"/>
  <c r="M137" i="20"/>
  <c r="K137" i="20"/>
  <c r="J137" i="20"/>
  <c r="I137" i="20"/>
  <c r="N136" i="20"/>
  <c r="M136" i="20"/>
  <c r="L136" i="20"/>
  <c r="K136" i="20"/>
  <c r="J136" i="20"/>
  <c r="I136" i="20"/>
  <c r="N135" i="20"/>
  <c r="L135" i="20"/>
  <c r="M135" i="20"/>
  <c r="K135" i="20"/>
  <c r="J135" i="20"/>
  <c r="I135" i="20"/>
  <c r="O134" i="20"/>
  <c r="P134" i="20"/>
  <c r="N134" i="20"/>
  <c r="L134" i="20"/>
  <c r="M134" i="20"/>
  <c r="K134" i="20"/>
  <c r="I134" i="20"/>
  <c r="J134" i="20"/>
  <c r="O133" i="20"/>
  <c r="P133" i="20"/>
  <c r="N133" i="20"/>
  <c r="M133" i="20"/>
  <c r="L133" i="20"/>
  <c r="K133" i="20"/>
  <c r="J133" i="20"/>
  <c r="I133" i="20"/>
  <c r="N132" i="20"/>
  <c r="L132" i="20"/>
  <c r="M132" i="20"/>
  <c r="K132" i="20"/>
  <c r="I132" i="20"/>
  <c r="J132" i="20"/>
  <c r="N131" i="20"/>
  <c r="O131" i="20"/>
  <c r="P131" i="20"/>
  <c r="L131" i="20"/>
  <c r="M131" i="20"/>
  <c r="K131" i="20"/>
  <c r="I131" i="20"/>
  <c r="J131" i="20"/>
  <c r="N130" i="20"/>
  <c r="L130" i="20"/>
  <c r="M130" i="20"/>
  <c r="K130" i="20"/>
  <c r="O130" i="20"/>
  <c r="J130" i="20"/>
  <c r="I130" i="20"/>
  <c r="N129" i="20"/>
  <c r="M129" i="20"/>
  <c r="L129" i="20"/>
  <c r="K129" i="20"/>
  <c r="I129" i="20"/>
  <c r="J129" i="20"/>
  <c r="N128" i="20"/>
  <c r="O128" i="20"/>
  <c r="P128" i="20"/>
  <c r="L128" i="20"/>
  <c r="M128" i="20"/>
  <c r="K128" i="20"/>
  <c r="I128" i="20"/>
  <c r="J128" i="20"/>
  <c r="N127" i="20"/>
  <c r="L127" i="20"/>
  <c r="M127" i="20"/>
  <c r="K127" i="20"/>
  <c r="J127" i="20"/>
  <c r="I127" i="20"/>
  <c r="N126" i="20"/>
  <c r="L126" i="20"/>
  <c r="M126" i="20"/>
  <c r="K126" i="20"/>
  <c r="J126" i="20"/>
  <c r="I126" i="20"/>
  <c r="N125" i="20"/>
  <c r="O125" i="20"/>
  <c r="P125" i="20"/>
  <c r="L125" i="20"/>
  <c r="M125" i="20"/>
  <c r="K125" i="20"/>
  <c r="I125" i="20"/>
  <c r="J125" i="20"/>
  <c r="N124" i="20"/>
  <c r="M124" i="20"/>
  <c r="L124" i="20"/>
  <c r="K124" i="20"/>
  <c r="O124" i="20"/>
  <c r="P124" i="20"/>
  <c r="J124" i="20"/>
  <c r="I124" i="20"/>
  <c r="N123" i="20"/>
  <c r="L123" i="20"/>
  <c r="M123" i="20"/>
  <c r="K123" i="20"/>
  <c r="I123" i="20"/>
  <c r="J123" i="20"/>
  <c r="O122" i="20"/>
  <c r="P122" i="20"/>
  <c r="N122" i="20"/>
  <c r="L122" i="20"/>
  <c r="M122" i="20"/>
  <c r="K122" i="20"/>
  <c r="J122" i="20"/>
  <c r="I122" i="20"/>
  <c r="N121" i="20"/>
  <c r="L121" i="20"/>
  <c r="M121" i="20"/>
  <c r="K121" i="20"/>
  <c r="J121" i="20"/>
  <c r="I121" i="20"/>
  <c r="N120" i="20"/>
  <c r="L120" i="20"/>
  <c r="M120" i="20"/>
  <c r="K120" i="20"/>
  <c r="I120" i="20"/>
  <c r="J120" i="20"/>
  <c r="N119" i="20"/>
  <c r="O119" i="20"/>
  <c r="P119" i="20"/>
  <c r="L119" i="20"/>
  <c r="M119" i="20"/>
  <c r="K119" i="20"/>
  <c r="I119" i="20"/>
  <c r="J119" i="20"/>
  <c r="N118" i="20"/>
  <c r="O118" i="20"/>
  <c r="L118" i="20"/>
  <c r="M118" i="20"/>
  <c r="K118" i="20"/>
  <c r="J118" i="20"/>
  <c r="I118" i="20"/>
  <c r="N117" i="20"/>
  <c r="M117" i="20"/>
  <c r="L117" i="20"/>
  <c r="K117" i="20"/>
  <c r="I117" i="20"/>
  <c r="J117" i="20"/>
  <c r="O116" i="20"/>
  <c r="P116" i="20"/>
  <c r="N116" i="20"/>
  <c r="L116" i="20"/>
  <c r="M116" i="20"/>
  <c r="K116" i="20"/>
  <c r="I116" i="20"/>
  <c r="J116" i="20"/>
  <c r="N115" i="20"/>
  <c r="L115" i="20"/>
  <c r="M115" i="20"/>
  <c r="K115" i="20"/>
  <c r="O115" i="20"/>
  <c r="J115" i="20"/>
  <c r="I115" i="20"/>
  <c r="N114" i="20"/>
  <c r="L114" i="20"/>
  <c r="M114" i="20"/>
  <c r="K114" i="20"/>
  <c r="J114" i="20"/>
  <c r="I114" i="20"/>
  <c r="N113" i="20"/>
  <c r="O113" i="20"/>
  <c r="P113" i="20"/>
  <c r="L113" i="20"/>
  <c r="M113" i="20"/>
  <c r="K113" i="20"/>
  <c r="I113" i="20"/>
  <c r="J113" i="20"/>
  <c r="P112" i="20"/>
  <c r="N112" i="20"/>
  <c r="M112" i="20"/>
  <c r="L112" i="20"/>
  <c r="K112" i="20"/>
  <c r="O112" i="20"/>
  <c r="J112" i="20"/>
  <c r="I112" i="20"/>
  <c r="N111" i="20"/>
  <c r="L111" i="20"/>
  <c r="M111" i="20"/>
  <c r="K111" i="20"/>
  <c r="J111" i="20"/>
  <c r="I111" i="20"/>
  <c r="P110" i="20"/>
  <c r="O110" i="20"/>
  <c r="N110" i="20"/>
  <c r="L110" i="20"/>
  <c r="M110" i="20"/>
  <c r="K110" i="20"/>
  <c r="I110" i="20"/>
  <c r="J110" i="20"/>
  <c r="N109" i="20"/>
  <c r="O109" i="20"/>
  <c r="P109" i="20"/>
  <c r="M109" i="20"/>
  <c r="L109" i="20"/>
  <c r="K109" i="20"/>
  <c r="J109" i="20"/>
  <c r="I109" i="20"/>
  <c r="N108" i="20"/>
  <c r="L108" i="20"/>
  <c r="M108" i="20"/>
  <c r="K108" i="20"/>
  <c r="I108" i="20"/>
  <c r="J108" i="20"/>
  <c r="N107" i="20"/>
  <c r="O107" i="20"/>
  <c r="P107" i="20"/>
  <c r="L107" i="20"/>
  <c r="M107" i="20"/>
  <c r="K107" i="20"/>
  <c r="I107" i="20"/>
  <c r="J107" i="20"/>
  <c r="N106" i="20"/>
  <c r="L106" i="20"/>
  <c r="M106" i="20"/>
  <c r="K106" i="20"/>
  <c r="J106" i="20"/>
  <c r="I106" i="20"/>
  <c r="N105" i="20"/>
  <c r="M105" i="20"/>
  <c r="L105" i="20"/>
  <c r="K105" i="20"/>
  <c r="I105" i="20"/>
  <c r="J105" i="20"/>
  <c r="N104" i="20"/>
  <c r="O104" i="20"/>
  <c r="P104" i="20"/>
  <c r="L104" i="20"/>
  <c r="M104" i="20"/>
  <c r="K104" i="20"/>
  <c r="J104" i="20"/>
  <c r="I104" i="20"/>
  <c r="N103" i="20"/>
  <c r="L103" i="20"/>
  <c r="M103" i="20"/>
  <c r="K103" i="20"/>
  <c r="J103" i="20"/>
  <c r="I103" i="20"/>
  <c r="N102" i="20"/>
  <c r="L102" i="20"/>
  <c r="M102" i="20"/>
  <c r="K102" i="20"/>
  <c r="J102" i="20"/>
  <c r="I102" i="20"/>
  <c r="N101" i="20"/>
  <c r="O101" i="20"/>
  <c r="P101" i="20"/>
  <c r="L101" i="20"/>
  <c r="M101" i="20"/>
  <c r="K101" i="20"/>
  <c r="I101" i="20"/>
  <c r="J101" i="20"/>
  <c r="N100" i="20"/>
  <c r="O100" i="20"/>
  <c r="M100" i="20"/>
  <c r="L100" i="20"/>
  <c r="K100" i="20"/>
  <c r="J100" i="20"/>
  <c r="I100" i="20"/>
  <c r="N99" i="20"/>
  <c r="M99" i="20"/>
  <c r="L99" i="20"/>
  <c r="K99" i="20"/>
  <c r="I99" i="20"/>
  <c r="J99" i="20"/>
  <c r="O98" i="20"/>
  <c r="P98" i="20"/>
  <c r="N98" i="20"/>
  <c r="L98" i="20"/>
  <c r="M98" i="20"/>
  <c r="K98" i="20"/>
  <c r="J98" i="20"/>
  <c r="I98" i="20"/>
  <c r="N97" i="20"/>
  <c r="L97" i="20"/>
  <c r="M97" i="20"/>
  <c r="K97" i="20"/>
  <c r="J97" i="20"/>
  <c r="I97" i="20"/>
  <c r="N96" i="20"/>
  <c r="L96" i="20"/>
  <c r="M96" i="20"/>
  <c r="K96" i="20"/>
  <c r="I96" i="20"/>
  <c r="J96" i="20"/>
  <c r="N95" i="20"/>
  <c r="O95" i="20"/>
  <c r="P95" i="20"/>
  <c r="L95" i="20"/>
  <c r="M95" i="20"/>
  <c r="K95" i="20"/>
  <c r="I95" i="20"/>
  <c r="J95" i="20"/>
  <c r="N94" i="20"/>
  <c r="O94" i="20"/>
  <c r="L94" i="20"/>
  <c r="M94" i="20"/>
  <c r="K94" i="20"/>
  <c r="J94" i="20"/>
  <c r="I94" i="20"/>
  <c r="N93" i="20"/>
  <c r="M93" i="20"/>
  <c r="L93" i="20"/>
  <c r="K93" i="20"/>
  <c r="I93" i="20"/>
  <c r="J93" i="20"/>
  <c r="N92" i="20"/>
  <c r="O92" i="20"/>
  <c r="P92" i="20"/>
  <c r="L92" i="20"/>
  <c r="M92" i="20"/>
  <c r="K92" i="20"/>
  <c r="J92" i="20"/>
  <c r="I92" i="20"/>
  <c r="N91" i="20"/>
  <c r="L91" i="20"/>
  <c r="M91" i="20"/>
  <c r="K91" i="20"/>
  <c r="J91" i="20"/>
  <c r="I91" i="20"/>
  <c r="N90" i="20"/>
  <c r="L90" i="20"/>
  <c r="M90" i="20"/>
  <c r="K90" i="20"/>
  <c r="J90" i="20"/>
  <c r="I90" i="20"/>
  <c r="N89" i="20"/>
  <c r="O89" i="20"/>
  <c r="P89" i="20"/>
  <c r="L89" i="20"/>
  <c r="M89" i="20"/>
  <c r="K89" i="20"/>
  <c r="J89" i="20"/>
  <c r="I89" i="20"/>
  <c r="N88" i="20"/>
  <c r="O88" i="20"/>
  <c r="P88" i="20"/>
  <c r="M88" i="20"/>
  <c r="L88" i="20"/>
  <c r="K88" i="20"/>
  <c r="J88" i="20"/>
  <c r="I88" i="20"/>
  <c r="N87" i="20"/>
  <c r="L87" i="20"/>
  <c r="M87" i="20"/>
  <c r="K87" i="20"/>
  <c r="I87" i="20"/>
  <c r="J87" i="20"/>
  <c r="P86" i="20"/>
  <c r="O86" i="20"/>
  <c r="N86" i="20"/>
  <c r="L86" i="20"/>
  <c r="M86" i="20"/>
  <c r="K86" i="20"/>
  <c r="I86" i="20"/>
  <c r="J86" i="20"/>
  <c r="N85" i="20"/>
  <c r="L85" i="20"/>
  <c r="M85" i="20"/>
  <c r="K85" i="20"/>
  <c r="O85" i="20"/>
  <c r="P85" i="20"/>
  <c r="J85" i="20"/>
  <c r="I85" i="20"/>
  <c r="N84" i="20"/>
  <c r="L84" i="20"/>
  <c r="M84" i="20"/>
  <c r="K84" i="20"/>
  <c r="I84" i="20"/>
  <c r="J84" i="20"/>
  <c r="O83" i="20"/>
  <c r="P83" i="20"/>
  <c r="N83" i="20"/>
  <c r="L83" i="20"/>
  <c r="M83" i="20"/>
  <c r="K83" i="20"/>
  <c r="I83" i="20"/>
  <c r="J83" i="20"/>
  <c r="N82" i="20"/>
  <c r="L82" i="20"/>
  <c r="M82" i="20"/>
  <c r="K82" i="20"/>
  <c r="J82" i="20"/>
  <c r="I82" i="20"/>
  <c r="N81" i="20"/>
  <c r="M81" i="20"/>
  <c r="L81" i="20"/>
  <c r="K81" i="20"/>
  <c r="I81" i="20"/>
  <c r="J81" i="20"/>
  <c r="N80" i="20"/>
  <c r="O80" i="20"/>
  <c r="P80" i="20"/>
  <c r="L80" i="20"/>
  <c r="M80" i="20"/>
  <c r="K80" i="20"/>
  <c r="I80" i="20"/>
  <c r="J80" i="20"/>
  <c r="N79" i="20"/>
  <c r="L79" i="20"/>
  <c r="M79" i="20"/>
  <c r="K79" i="20"/>
  <c r="J79" i="20"/>
  <c r="I79" i="20"/>
  <c r="N78" i="20"/>
  <c r="L78" i="20"/>
  <c r="M78" i="20"/>
  <c r="K78" i="20"/>
  <c r="J78" i="20"/>
  <c r="I78" i="20"/>
  <c r="N77" i="20"/>
  <c r="O77" i="20"/>
  <c r="P77" i="20"/>
  <c r="L77" i="20"/>
  <c r="M77" i="20"/>
  <c r="K77" i="20"/>
  <c r="I77" i="20"/>
  <c r="J77" i="20"/>
  <c r="N76" i="20"/>
  <c r="M76" i="20"/>
  <c r="L76" i="20"/>
  <c r="K76" i="20"/>
  <c r="J76" i="20"/>
  <c r="I76" i="20"/>
  <c r="N75" i="20"/>
  <c r="M75" i="20"/>
  <c r="L75" i="20"/>
  <c r="K75" i="20"/>
  <c r="I75" i="20"/>
  <c r="J75" i="20"/>
  <c r="O74" i="20"/>
  <c r="P74" i="20"/>
  <c r="N74" i="20"/>
  <c r="L74" i="20"/>
  <c r="M74" i="20"/>
  <c r="K74" i="20"/>
  <c r="I74" i="20"/>
  <c r="J74" i="20"/>
  <c r="N73" i="20"/>
  <c r="L73" i="20"/>
  <c r="M73" i="20"/>
  <c r="K73" i="20"/>
  <c r="O73" i="20"/>
  <c r="P73" i="20"/>
  <c r="J73" i="20"/>
  <c r="I73" i="20"/>
  <c r="N72" i="20"/>
  <c r="L72" i="20"/>
  <c r="M72" i="20"/>
  <c r="K72" i="20"/>
  <c r="I72" i="20"/>
  <c r="J72" i="20"/>
  <c r="O71" i="20"/>
  <c r="P71" i="20"/>
  <c r="N71" i="20"/>
  <c r="L71" i="20"/>
  <c r="M71" i="20"/>
  <c r="K71" i="20"/>
  <c r="I71" i="20"/>
  <c r="J71" i="20"/>
  <c r="N70" i="20"/>
  <c r="O70" i="20"/>
  <c r="L70" i="20"/>
  <c r="M70" i="20"/>
  <c r="K70" i="20"/>
  <c r="J70" i="20"/>
  <c r="I70" i="20"/>
  <c r="N69" i="20"/>
  <c r="M69" i="20"/>
  <c r="L69" i="20"/>
  <c r="K69" i="20"/>
  <c r="I69" i="20"/>
  <c r="J69" i="20"/>
  <c r="O68" i="20"/>
  <c r="P68" i="20"/>
  <c r="N68" i="20"/>
  <c r="L68" i="20"/>
  <c r="M68" i="20"/>
  <c r="K68" i="20"/>
  <c r="J68" i="20"/>
  <c r="I68" i="20"/>
  <c r="P67" i="20"/>
  <c r="N67" i="20"/>
  <c r="L67" i="20"/>
  <c r="M67" i="20"/>
  <c r="K67" i="20"/>
  <c r="O67" i="20"/>
  <c r="J67" i="20"/>
  <c r="I67" i="20"/>
  <c r="N66" i="20"/>
  <c r="L66" i="20"/>
  <c r="M66" i="20"/>
  <c r="K66" i="20"/>
  <c r="J66" i="20"/>
  <c r="I66" i="20"/>
  <c r="P65" i="20"/>
  <c r="N65" i="20"/>
  <c r="O65" i="20"/>
  <c r="L65" i="20"/>
  <c r="M65" i="20"/>
  <c r="K65" i="20"/>
  <c r="I65" i="20"/>
  <c r="J65" i="20"/>
  <c r="N64" i="20"/>
  <c r="O64" i="20"/>
  <c r="P64" i="20"/>
  <c r="M64" i="20"/>
  <c r="L64" i="20"/>
  <c r="K64" i="20"/>
  <c r="J64" i="20"/>
  <c r="I64" i="20"/>
  <c r="N63" i="20"/>
  <c r="L63" i="20"/>
  <c r="M63" i="20"/>
  <c r="K63" i="20"/>
  <c r="I63" i="20"/>
  <c r="J63" i="20"/>
  <c r="O62" i="20"/>
  <c r="P62" i="20"/>
  <c r="N62" i="20"/>
  <c r="L62" i="20"/>
  <c r="M62" i="20"/>
  <c r="K62" i="20"/>
  <c r="I62" i="20"/>
  <c r="J62" i="20"/>
  <c r="N61" i="20"/>
  <c r="L61" i="20"/>
  <c r="M61" i="20"/>
  <c r="K61" i="20"/>
  <c r="J61" i="20"/>
  <c r="I61" i="20"/>
  <c r="N60" i="20"/>
  <c r="L60" i="20"/>
  <c r="M60" i="20"/>
  <c r="K60" i="20"/>
  <c r="I60" i="20"/>
  <c r="J60" i="20"/>
  <c r="N59" i="20"/>
  <c r="O59" i="20"/>
  <c r="P59" i="20"/>
  <c r="L59" i="20"/>
  <c r="M59" i="20"/>
  <c r="K59" i="20"/>
  <c r="I59" i="20"/>
  <c r="J59" i="20"/>
  <c r="O58" i="20"/>
  <c r="N58" i="20"/>
  <c r="M58" i="20"/>
  <c r="L58" i="20"/>
  <c r="K58" i="20"/>
  <c r="J58" i="20"/>
  <c r="I58" i="20"/>
  <c r="N57" i="20"/>
  <c r="M57" i="20"/>
  <c r="L57" i="20"/>
  <c r="K57" i="20"/>
  <c r="I57" i="20"/>
  <c r="J57" i="20"/>
  <c r="P56" i="20"/>
  <c r="N56" i="20"/>
  <c r="O56" i="20"/>
  <c r="L56" i="20"/>
  <c r="M56" i="20"/>
  <c r="K56" i="20"/>
  <c r="I56" i="20"/>
  <c r="J56" i="20"/>
  <c r="N55" i="20"/>
  <c r="L55" i="20"/>
  <c r="M55" i="20"/>
  <c r="K55" i="20"/>
  <c r="O55" i="20"/>
  <c r="J55" i="20"/>
  <c r="I55" i="20"/>
  <c r="N54" i="20"/>
  <c r="M54" i="20"/>
  <c r="L54" i="20"/>
  <c r="K54" i="20"/>
  <c r="J54" i="20"/>
  <c r="I54" i="20"/>
  <c r="N53" i="20"/>
  <c r="O53" i="20"/>
  <c r="P53" i="20"/>
  <c r="L53" i="20"/>
  <c r="M53" i="20"/>
  <c r="K53" i="20"/>
  <c r="I53" i="20"/>
  <c r="J53" i="20"/>
  <c r="N52" i="20"/>
  <c r="M52" i="20"/>
  <c r="L52" i="20"/>
  <c r="K52" i="20"/>
  <c r="J52" i="20"/>
  <c r="I52" i="20"/>
  <c r="N51" i="20"/>
  <c r="L51" i="20"/>
  <c r="M51" i="20"/>
  <c r="K51" i="20"/>
  <c r="I51" i="20"/>
  <c r="J51" i="20"/>
  <c r="O50" i="20"/>
  <c r="P50" i="20"/>
  <c r="N50" i="20"/>
  <c r="L50" i="20"/>
  <c r="M50" i="20"/>
  <c r="K50" i="20"/>
  <c r="J50" i="20"/>
  <c r="I50" i="20"/>
  <c r="N49" i="20"/>
  <c r="O49" i="20"/>
  <c r="P49" i="20"/>
  <c r="L49" i="20"/>
  <c r="M49" i="20"/>
  <c r="K49" i="20"/>
  <c r="J49" i="20"/>
  <c r="I49" i="20"/>
  <c r="N48" i="20"/>
  <c r="L48" i="20"/>
  <c r="M48" i="20"/>
  <c r="K48" i="20"/>
  <c r="J48" i="20"/>
  <c r="I48" i="20"/>
  <c r="O47" i="20"/>
  <c r="P47" i="20"/>
  <c r="N47" i="20"/>
  <c r="L47" i="20"/>
  <c r="M47" i="20"/>
  <c r="K47" i="20"/>
  <c r="I47" i="20"/>
  <c r="J47" i="20"/>
  <c r="N46" i="20"/>
  <c r="L46" i="20"/>
  <c r="M46" i="20"/>
  <c r="K46" i="20"/>
  <c r="J46" i="20"/>
  <c r="I46" i="20"/>
  <c r="N45" i="20"/>
  <c r="M45" i="20"/>
  <c r="L45" i="20"/>
  <c r="K45" i="20"/>
  <c r="I45" i="20"/>
  <c r="J45" i="20"/>
  <c r="N44" i="20"/>
  <c r="O44" i="20"/>
  <c r="P44" i="20"/>
  <c r="L44" i="20"/>
  <c r="M44" i="20"/>
  <c r="K44" i="20"/>
  <c r="I44" i="20"/>
  <c r="J44" i="20"/>
  <c r="P43" i="20"/>
  <c r="N43" i="20"/>
  <c r="L43" i="20"/>
  <c r="M43" i="20"/>
  <c r="K43" i="20"/>
  <c r="O43" i="20"/>
  <c r="J43" i="20"/>
  <c r="I43" i="20"/>
  <c r="N42" i="20"/>
  <c r="L42" i="20"/>
  <c r="M42" i="20"/>
  <c r="K42" i="20"/>
  <c r="J42" i="20"/>
  <c r="I42" i="20"/>
  <c r="P41" i="20"/>
  <c r="N41" i="20"/>
  <c r="O41" i="20"/>
  <c r="L41" i="20"/>
  <c r="M41" i="20"/>
  <c r="K41" i="20"/>
  <c r="I41" i="20"/>
  <c r="J41" i="20"/>
  <c r="N40" i="20"/>
  <c r="O40" i="20"/>
  <c r="P40" i="20"/>
  <c r="M40" i="20"/>
  <c r="L40" i="20"/>
  <c r="K40" i="20"/>
  <c r="J40" i="20"/>
  <c r="I40" i="20"/>
  <c r="N39" i="20"/>
  <c r="L39" i="20"/>
  <c r="M39" i="20"/>
  <c r="K39" i="20"/>
  <c r="I39" i="20"/>
  <c r="J39" i="20"/>
  <c r="O38" i="20"/>
  <c r="P38" i="20"/>
  <c r="N38" i="20"/>
  <c r="L38" i="20"/>
  <c r="M38" i="20"/>
  <c r="K38" i="20"/>
  <c r="I38" i="20"/>
  <c r="J38" i="20"/>
  <c r="N37" i="20"/>
  <c r="L37" i="20"/>
  <c r="M37" i="20"/>
  <c r="K37" i="20"/>
  <c r="J37" i="20"/>
  <c r="I37" i="20"/>
  <c r="N36" i="20"/>
  <c r="M36" i="20"/>
  <c r="L36" i="20"/>
  <c r="K36" i="20"/>
  <c r="I36" i="20"/>
  <c r="J36" i="20"/>
  <c r="O35" i="20"/>
  <c r="P35" i="20"/>
  <c r="N35" i="20"/>
  <c r="L35" i="20"/>
  <c r="M35" i="20"/>
  <c r="K35" i="20"/>
  <c r="I35" i="20"/>
  <c r="J35" i="20"/>
  <c r="O34" i="20"/>
  <c r="P34" i="20"/>
  <c r="N34" i="20"/>
  <c r="M34" i="20"/>
  <c r="L34" i="20"/>
  <c r="K34" i="20"/>
  <c r="J34" i="20"/>
  <c r="I34" i="20"/>
  <c r="N33" i="20"/>
  <c r="M33" i="20"/>
  <c r="L33" i="20"/>
  <c r="K33" i="20"/>
  <c r="I33" i="20"/>
  <c r="J33" i="20"/>
  <c r="O32" i="20"/>
  <c r="P32" i="20"/>
  <c r="N32" i="20"/>
  <c r="L32" i="20"/>
  <c r="M32" i="20"/>
  <c r="K32" i="20"/>
  <c r="I32" i="20"/>
  <c r="J32" i="20"/>
  <c r="N31" i="20"/>
  <c r="L31" i="20"/>
  <c r="M31" i="20"/>
  <c r="K31" i="20"/>
  <c r="O31" i="20"/>
  <c r="J31" i="20"/>
  <c r="I31" i="20"/>
  <c r="N30" i="20"/>
  <c r="L30" i="20"/>
  <c r="M30" i="20"/>
  <c r="K30" i="20"/>
  <c r="J30" i="20"/>
  <c r="I30" i="20"/>
  <c r="N29" i="20"/>
  <c r="O29" i="20"/>
  <c r="P29" i="20"/>
  <c r="L29" i="20"/>
  <c r="M29" i="20"/>
  <c r="K29" i="20"/>
  <c r="J29" i="20"/>
  <c r="I29" i="20"/>
  <c r="N28" i="20"/>
  <c r="M28" i="20"/>
  <c r="L28" i="20"/>
  <c r="K28" i="20"/>
  <c r="J28" i="20"/>
  <c r="I28" i="20"/>
  <c r="N27" i="20"/>
  <c r="L27" i="20"/>
  <c r="M27" i="20"/>
  <c r="K27" i="20"/>
  <c r="I27" i="20"/>
  <c r="J27" i="20"/>
  <c r="O26" i="20"/>
  <c r="P26" i="20"/>
  <c r="N26" i="20"/>
  <c r="L26" i="20"/>
  <c r="M26" i="20"/>
  <c r="K26" i="20"/>
  <c r="I26" i="20"/>
  <c r="J26" i="20"/>
  <c r="N25" i="20"/>
  <c r="L25" i="20"/>
  <c r="M25" i="20"/>
  <c r="K25" i="20"/>
  <c r="J25" i="20"/>
  <c r="I25" i="20"/>
  <c r="N24" i="20"/>
  <c r="L24" i="20"/>
  <c r="M24" i="20"/>
  <c r="K24" i="20"/>
  <c r="I24" i="20"/>
  <c r="J24" i="20"/>
  <c r="N23" i="20"/>
  <c r="O23" i="20"/>
  <c r="P23" i="20"/>
  <c r="L23" i="20"/>
  <c r="M23" i="20"/>
  <c r="K23" i="20"/>
  <c r="I23" i="20"/>
  <c r="J23" i="20"/>
  <c r="N22" i="20"/>
  <c r="O22" i="20"/>
  <c r="P22" i="20"/>
  <c r="M22" i="20"/>
  <c r="L22" i="20"/>
  <c r="K22" i="20"/>
  <c r="J22" i="20"/>
  <c r="I22" i="20"/>
  <c r="N21" i="20"/>
  <c r="M21" i="20"/>
  <c r="L21" i="20"/>
  <c r="K21" i="20"/>
  <c r="I21" i="20"/>
  <c r="J21" i="20"/>
  <c r="O20" i="20"/>
  <c r="P20" i="20"/>
  <c r="N20" i="20"/>
  <c r="L20" i="20"/>
  <c r="M20" i="20"/>
  <c r="K20" i="20"/>
  <c r="I20" i="20"/>
  <c r="J20" i="20"/>
  <c r="N19" i="20"/>
  <c r="L19" i="20"/>
  <c r="M19" i="20"/>
  <c r="K19" i="20"/>
  <c r="O19" i="20"/>
  <c r="J19" i="20"/>
  <c r="I19" i="20"/>
  <c r="N18" i="20"/>
  <c r="M18" i="20"/>
  <c r="L18" i="20"/>
  <c r="K18" i="20"/>
  <c r="J18" i="20"/>
  <c r="I18" i="20"/>
  <c r="N17" i="20"/>
  <c r="O17" i="20"/>
  <c r="P17" i="20"/>
  <c r="L17" i="20"/>
  <c r="M17" i="20"/>
  <c r="K17" i="20"/>
  <c r="J17" i="20"/>
  <c r="I17" i="20"/>
  <c r="N16" i="20"/>
  <c r="M16" i="20"/>
  <c r="L16" i="20"/>
  <c r="K16" i="20"/>
  <c r="J16" i="20"/>
  <c r="I16" i="20"/>
  <c r="N15" i="20"/>
  <c r="L15" i="20"/>
  <c r="M15" i="20"/>
  <c r="K15" i="20"/>
  <c r="J15" i="20"/>
  <c r="I15" i="20"/>
  <c r="O14" i="20"/>
  <c r="P14" i="20"/>
  <c r="N14" i="20"/>
  <c r="L14" i="20"/>
  <c r="M14" i="20"/>
  <c r="K14" i="20"/>
  <c r="I14" i="20"/>
  <c r="J14" i="20"/>
  <c r="O13" i="20"/>
  <c r="P13" i="20"/>
  <c r="N13" i="20"/>
  <c r="M13" i="20"/>
  <c r="L13" i="20"/>
  <c r="K13" i="20"/>
  <c r="J13" i="20"/>
  <c r="I13" i="20"/>
  <c r="N12" i="20"/>
  <c r="M12" i="20"/>
  <c r="L12" i="20"/>
  <c r="K12" i="20"/>
  <c r="I12" i="20"/>
  <c r="J12" i="20"/>
  <c r="O11" i="20"/>
  <c r="P11" i="20"/>
  <c r="N11" i="20"/>
  <c r="L11" i="20"/>
  <c r="M11" i="20"/>
  <c r="K11" i="20"/>
  <c r="I11" i="20"/>
  <c r="J11" i="20"/>
  <c r="N10" i="20"/>
  <c r="O10" i="20"/>
  <c r="P10" i="20"/>
  <c r="L10" i="20"/>
  <c r="M10" i="20"/>
  <c r="K10" i="20"/>
  <c r="J10" i="20"/>
  <c r="I10" i="20"/>
  <c r="N9" i="20"/>
  <c r="M9" i="20"/>
  <c r="L9" i="20"/>
  <c r="K9" i="20"/>
  <c r="I9" i="20"/>
  <c r="J9" i="20"/>
  <c r="N8" i="20"/>
  <c r="O8" i="20"/>
  <c r="P8" i="20"/>
  <c r="M8" i="20"/>
  <c r="L8" i="20"/>
  <c r="K8" i="20"/>
  <c r="I8" i="20"/>
  <c r="J8" i="20"/>
  <c r="N7" i="20"/>
  <c r="L7" i="20"/>
  <c r="M7" i="20"/>
  <c r="K7" i="20"/>
  <c r="J7" i="20"/>
  <c r="I7" i="20"/>
  <c r="N6" i="20"/>
  <c r="L6" i="20"/>
  <c r="M6" i="20"/>
  <c r="K6" i="20"/>
  <c r="I6" i="20"/>
  <c r="J6" i="20"/>
  <c r="N400" i="19"/>
  <c r="L400" i="19"/>
  <c r="M400" i="19"/>
  <c r="K400" i="19"/>
  <c r="I400" i="19"/>
  <c r="J400" i="19"/>
  <c r="N399" i="19"/>
  <c r="O399" i="19"/>
  <c r="P399" i="19"/>
  <c r="M399" i="19"/>
  <c r="L399" i="19"/>
  <c r="K399" i="19"/>
  <c r="I399" i="19"/>
  <c r="J399" i="19"/>
  <c r="N398" i="19"/>
  <c r="M398" i="19"/>
  <c r="L398" i="19"/>
  <c r="K398" i="19"/>
  <c r="I398" i="19"/>
  <c r="J398" i="19"/>
  <c r="N397" i="19"/>
  <c r="L397" i="19"/>
  <c r="M397" i="19"/>
  <c r="K397" i="19"/>
  <c r="I397" i="19"/>
  <c r="J397" i="19"/>
  <c r="N396" i="19"/>
  <c r="O396" i="19"/>
  <c r="P396" i="19"/>
  <c r="M396" i="19"/>
  <c r="L396" i="19"/>
  <c r="K396" i="19"/>
  <c r="I396" i="19"/>
  <c r="J396" i="19"/>
  <c r="N395" i="19"/>
  <c r="L395" i="19"/>
  <c r="M395" i="19"/>
  <c r="K395" i="19"/>
  <c r="J395" i="19"/>
  <c r="I395" i="19"/>
  <c r="N394" i="19"/>
  <c r="L394" i="19"/>
  <c r="M394" i="19"/>
  <c r="K394" i="19"/>
  <c r="I394" i="19"/>
  <c r="J394" i="19"/>
  <c r="N393" i="19"/>
  <c r="O393" i="19"/>
  <c r="P393" i="19"/>
  <c r="M393" i="19"/>
  <c r="L393" i="19"/>
  <c r="K393" i="19"/>
  <c r="I393" i="19"/>
  <c r="J393" i="19"/>
  <c r="N392" i="19"/>
  <c r="L392" i="19"/>
  <c r="M392" i="19"/>
  <c r="K392" i="19"/>
  <c r="I392" i="19"/>
  <c r="J392" i="19"/>
  <c r="N391" i="19"/>
  <c r="L391" i="19"/>
  <c r="M391" i="19"/>
  <c r="K391" i="19"/>
  <c r="I391" i="19"/>
  <c r="J391" i="19"/>
  <c r="O390" i="19"/>
  <c r="P390" i="19"/>
  <c r="N390" i="19"/>
  <c r="M390" i="19"/>
  <c r="L390" i="19"/>
  <c r="K390" i="19"/>
  <c r="I390" i="19"/>
  <c r="J390" i="19"/>
  <c r="N389" i="19"/>
  <c r="O389" i="19"/>
  <c r="P389" i="19"/>
  <c r="L389" i="19"/>
  <c r="M389" i="19"/>
  <c r="K389" i="19"/>
  <c r="I389" i="19"/>
  <c r="J389" i="19"/>
  <c r="N388" i="19"/>
  <c r="L388" i="19"/>
  <c r="M388" i="19"/>
  <c r="K388" i="19"/>
  <c r="J388" i="19"/>
  <c r="I388" i="19"/>
  <c r="O387" i="19"/>
  <c r="P387" i="19"/>
  <c r="N387" i="19"/>
  <c r="M387" i="19"/>
  <c r="L387" i="19"/>
  <c r="K387" i="19"/>
  <c r="I387" i="19"/>
  <c r="J387" i="19"/>
  <c r="N386" i="19"/>
  <c r="L386" i="19"/>
  <c r="M386" i="19"/>
  <c r="K386" i="19"/>
  <c r="I386" i="19"/>
  <c r="J386" i="19"/>
  <c r="N385" i="19"/>
  <c r="L385" i="19"/>
  <c r="M385" i="19"/>
  <c r="K385" i="19"/>
  <c r="I385" i="19"/>
  <c r="J385" i="19"/>
  <c r="N384" i="19"/>
  <c r="O384" i="19"/>
  <c r="P384" i="19"/>
  <c r="M384" i="19"/>
  <c r="L384" i="19"/>
  <c r="K384" i="19"/>
  <c r="I384" i="19"/>
  <c r="J384" i="19"/>
  <c r="N383" i="19"/>
  <c r="L383" i="19"/>
  <c r="M383" i="19"/>
  <c r="K383" i="19"/>
  <c r="I383" i="19"/>
  <c r="J383" i="19"/>
  <c r="N382" i="19"/>
  <c r="L382" i="19"/>
  <c r="M382" i="19"/>
  <c r="K382" i="19"/>
  <c r="J382" i="19"/>
  <c r="I382" i="19"/>
  <c r="N381" i="19"/>
  <c r="O381" i="19"/>
  <c r="P381" i="19"/>
  <c r="M381" i="19"/>
  <c r="L381" i="19"/>
  <c r="K381" i="19"/>
  <c r="I381" i="19"/>
  <c r="J381" i="19"/>
  <c r="N380" i="19"/>
  <c r="L380" i="19"/>
  <c r="M380" i="19"/>
  <c r="K380" i="19"/>
  <c r="I380" i="19"/>
  <c r="J380" i="19"/>
  <c r="N379" i="19"/>
  <c r="L379" i="19"/>
  <c r="M379" i="19"/>
  <c r="K379" i="19"/>
  <c r="J379" i="19"/>
  <c r="I379" i="19"/>
  <c r="N378" i="19"/>
  <c r="O378" i="19"/>
  <c r="P378" i="19"/>
  <c r="M378" i="19"/>
  <c r="L378" i="19"/>
  <c r="K378" i="19"/>
  <c r="I378" i="19"/>
  <c r="J378" i="19"/>
  <c r="N377" i="19"/>
  <c r="L377" i="19"/>
  <c r="M377" i="19"/>
  <c r="K377" i="19"/>
  <c r="I377" i="19"/>
  <c r="J377" i="19"/>
  <c r="N376" i="19"/>
  <c r="L376" i="19"/>
  <c r="M376" i="19"/>
  <c r="K376" i="19"/>
  <c r="J376" i="19"/>
  <c r="I376" i="19"/>
  <c r="N375" i="19"/>
  <c r="O375" i="19"/>
  <c r="P375" i="19"/>
  <c r="M375" i="19"/>
  <c r="L375" i="19"/>
  <c r="K375" i="19"/>
  <c r="I375" i="19"/>
  <c r="J375" i="19"/>
  <c r="N374" i="19"/>
  <c r="M374" i="19"/>
  <c r="L374" i="19"/>
  <c r="K374" i="19"/>
  <c r="I374" i="19"/>
  <c r="J374" i="19"/>
  <c r="N373" i="19"/>
  <c r="L373" i="19"/>
  <c r="M373" i="19"/>
  <c r="K373" i="19"/>
  <c r="I373" i="19"/>
  <c r="J373" i="19"/>
  <c r="N372" i="19"/>
  <c r="O372" i="19"/>
  <c r="P372" i="19"/>
  <c r="M372" i="19"/>
  <c r="L372" i="19"/>
  <c r="K372" i="19"/>
  <c r="I372" i="19"/>
  <c r="J372" i="19"/>
  <c r="N371" i="19"/>
  <c r="L371" i="19"/>
  <c r="M371" i="19"/>
  <c r="K371" i="19"/>
  <c r="J371" i="19"/>
  <c r="I371" i="19"/>
  <c r="N370" i="19"/>
  <c r="L370" i="19"/>
  <c r="M370" i="19"/>
  <c r="K370" i="19"/>
  <c r="J370" i="19"/>
  <c r="I370" i="19"/>
  <c r="N369" i="19"/>
  <c r="O369" i="19"/>
  <c r="P369" i="19"/>
  <c r="M369" i="19"/>
  <c r="L369" i="19"/>
  <c r="K369" i="19"/>
  <c r="I369" i="19"/>
  <c r="J369" i="19"/>
  <c r="P368" i="19"/>
  <c r="N368" i="19"/>
  <c r="L368" i="19"/>
  <c r="M368" i="19"/>
  <c r="K368" i="19"/>
  <c r="O368" i="19"/>
  <c r="I368" i="19"/>
  <c r="J368" i="19"/>
  <c r="N367" i="19"/>
  <c r="L367" i="19"/>
  <c r="M367" i="19"/>
  <c r="K367" i="19"/>
  <c r="I367" i="19"/>
  <c r="J367" i="19"/>
  <c r="O366" i="19"/>
  <c r="P366" i="19"/>
  <c r="N366" i="19"/>
  <c r="M366" i="19"/>
  <c r="L366" i="19"/>
  <c r="K366" i="19"/>
  <c r="I366" i="19"/>
  <c r="J366" i="19"/>
  <c r="N365" i="19"/>
  <c r="O365" i="19"/>
  <c r="P365" i="19"/>
  <c r="L365" i="19"/>
  <c r="M365" i="19"/>
  <c r="K365" i="19"/>
  <c r="J365" i="19"/>
  <c r="I365" i="19"/>
  <c r="N364" i="19"/>
  <c r="L364" i="19"/>
  <c r="M364" i="19"/>
  <c r="K364" i="19"/>
  <c r="J364" i="19"/>
  <c r="I364" i="19"/>
  <c r="O363" i="19"/>
  <c r="P363" i="19"/>
  <c r="N363" i="19"/>
  <c r="M363" i="19"/>
  <c r="L363" i="19"/>
  <c r="K363" i="19"/>
  <c r="I363" i="19"/>
  <c r="J363" i="19"/>
  <c r="N362" i="19"/>
  <c r="L362" i="19"/>
  <c r="M362" i="19"/>
  <c r="K362" i="19"/>
  <c r="I362" i="19"/>
  <c r="J362" i="19"/>
  <c r="N361" i="19"/>
  <c r="M361" i="19"/>
  <c r="L361" i="19"/>
  <c r="K361" i="19"/>
  <c r="I361" i="19"/>
  <c r="J361" i="19"/>
  <c r="N360" i="19"/>
  <c r="O360" i="19"/>
  <c r="P360" i="19"/>
  <c r="M360" i="19"/>
  <c r="L360" i="19"/>
  <c r="K360" i="19"/>
  <c r="I360" i="19"/>
  <c r="J360" i="19"/>
  <c r="N359" i="19"/>
  <c r="O359" i="19"/>
  <c r="P359" i="19"/>
  <c r="L359" i="19"/>
  <c r="M359" i="19"/>
  <c r="K359" i="19"/>
  <c r="I359" i="19"/>
  <c r="J359" i="19"/>
  <c r="N358" i="19"/>
  <c r="L358" i="19"/>
  <c r="M358" i="19"/>
  <c r="K358" i="19"/>
  <c r="J358" i="19"/>
  <c r="I358" i="19"/>
  <c r="N357" i="19"/>
  <c r="O357" i="19"/>
  <c r="P357" i="19"/>
  <c r="M357" i="19"/>
  <c r="L357" i="19"/>
  <c r="K357" i="19"/>
  <c r="I357" i="19"/>
  <c r="J357" i="19"/>
  <c r="O356" i="19"/>
  <c r="P356" i="19"/>
  <c r="N356" i="19"/>
  <c r="L356" i="19"/>
  <c r="M356" i="19"/>
  <c r="K356" i="19"/>
  <c r="I356" i="19"/>
  <c r="J356" i="19"/>
  <c r="N355" i="19"/>
  <c r="L355" i="19"/>
  <c r="M355" i="19"/>
  <c r="K355" i="19"/>
  <c r="I355" i="19"/>
  <c r="J355" i="19"/>
  <c r="O354" i="19"/>
  <c r="P354" i="19"/>
  <c r="N354" i="19"/>
  <c r="M354" i="19"/>
  <c r="L354" i="19"/>
  <c r="K354" i="19"/>
  <c r="I354" i="19"/>
  <c r="J354" i="19"/>
  <c r="N353" i="19"/>
  <c r="L353" i="19"/>
  <c r="M353" i="19"/>
  <c r="K353" i="19"/>
  <c r="J353" i="19"/>
  <c r="I353" i="19"/>
  <c r="N352" i="19"/>
  <c r="L352" i="19"/>
  <c r="M352" i="19"/>
  <c r="K352" i="19"/>
  <c r="J352" i="19"/>
  <c r="I352" i="19"/>
  <c r="N351" i="19"/>
  <c r="O351" i="19"/>
  <c r="P351" i="19"/>
  <c r="M351" i="19"/>
  <c r="L351" i="19"/>
  <c r="K351" i="19"/>
  <c r="I351" i="19"/>
  <c r="J351" i="19"/>
  <c r="N350" i="19"/>
  <c r="L350" i="19"/>
  <c r="M350" i="19"/>
  <c r="K350" i="19"/>
  <c r="I350" i="19"/>
  <c r="J350" i="19"/>
  <c r="N349" i="19"/>
  <c r="L349" i="19"/>
  <c r="M349" i="19"/>
  <c r="K349" i="19"/>
  <c r="I349" i="19"/>
  <c r="J349" i="19"/>
  <c r="N348" i="19"/>
  <c r="O348" i="19"/>
  <c r="P348" i="19"/>
  <c r="M348" i="19"/>
  <c r="L348" i="19"/>
  <c r="K348" i="19"/>
  <c r="I348" i="19"/>
  <c r="J348" i="19"/>
  <c r="N347" i="19"/>
  <c r="L347" i="19"/>
  <c r="M347" i="19"/>
  <c r="K347" i="19"/>
  <c r="O347" i="19"/>
  <c r="J347" i="19"/>
  <c r="I347" i="19"/>
  <c r="N346" i="19"/>
  <c r="L346" i="19"/>
  <c r="M346" i="19"/>
  <c r="K346" i="19"/>
  <c r="J346" i="19"/>
  <c r="I346" i="19"/>
  <c r="P345" i="19"/>
  <c r="N345" i="19"/>
  <c r="O345" i="19"/>
  <c r="M345" i="19"/>
  <c r="L345" i="19"/>
  <c r="K345" i="19"/>
  <c r="I345" i="19"/>
  <c r="J345" i="19"/>
  <c r="N344" i="19"/>
  <c r="O344" i="19"/>
  <c r="P344" i="19"/>
  <c r="L344" i="19"/>
  <c r="M344" i="19"/>
  <c r="K344" i="19"/>
  <c r="I344" i="19"/>
  <c r="J344" i="19"/>
  <c r="N343" i="19"/>
  <c r="L343" i="19"/>
  <c r="M343" i="19"/>
  <c r="K343" i="19"/>
  <c r="I343" i="19"/>
  <c r="J343" i="19"/>
  <c r="P342" i="19"/>
  <c r="O342" i="19"/>
  <c r="N342" i="19"/>
  <c r="M342" i="19"/>
  <c r="L342" i="19"/>
  <c r="K342" i="19"/>
  <c r="I342" i="19"/>
  <c r="J342" i="19"/>
  <c r="N341" i="19"/>
  <c r="L341" i="19"/>
  <c r="M341" i="19"/>
  <c r="K341" i="19"/>
  <c r="J341" i="19"/>
  <c r="I341" i="19"/>
  <c r="N340" i="19"/>
  <c r="L340" i="19"/>
  <c r="M340" i="19"/>
  <c r="K340" i="19"/>
  <c r="J340" i="19"/>
  <c r="I340" i="19"/>
  <c r="N339" i="19"/>
  <c r="O339" i="19"/>
  <c r="P339" i="19"/>
  <c r="M339" i="19"/>
  <c r="L339" i="19"/>
  <c r="K339" i="19"/>
  <c r="I339" i="19"/>
  <c r="J339" i="19"/>
  <c r="N338" i="19"/>
  <c r="L338" i="19"/>
  <c r="M338" i="19"/>
  <c r="K338" i="19"/>
  <c r="J338" i="19"/>
  <c r="I338" i="19"/>
  <c r="N337" i="19"/>
  <c r="L337" i="19"/>
  <c r="M337" i="19"/>
  <c r="K337" i="19"/>
  <c r="I337" i="19"/>
  <c r="J337" i="19"/>
  <c r="O336" i="19"/>
  <c r="P336" i="19"/>
  <c r="N336" i="19"/>
  <c r="M336" i="19"/>
  <c r="L336" i="19"/>
  <c r="K336" i="19"/>
  <c r="I336" i="19"/>
  <c r="J336" i="19"/>
  <c r="N335" i="19"/>
  <c r="L335" i="19"/>
  <c r="M335" i="19"/>
  <c r="K335" i="19"/>
  <c r="I335" i="19"/>
  <c r="J335" i="19"/>
  <c r="N334" i="19"/>
  <c r="L334" i="19"/>
  <c r="M334" i="19"/>
  <c r="K334" i="19"/>
  <c r="I334" i="19"/>
  <c r="J334" i="19"/>
  <c r="N333" i="19"/>
  <c r="O333" i="19"/>
  <c r="P333" i="19"/>
  <c r="M333" i="19"/>
  <c r="L333" i="19"/>
  <c r="K333" i="19"/>
  <c r="I333" i="19"/>
  <c r="J333" i="19"/>
  <c r="N332" i="19"/>
  <c r="L332" i="19"/>
  <c r="M332" i="19"/>
  <c r="K332" i="19"/>
  <c r="I332" i="19"/>
  <c r="J332" i="19"/>
  <c r="N331" i="19"/>
  <c r="L331" i="19"/>
  <c r="M331" i="19"/>
  <c r="K331" i="19"/>
  <c r="J331" i="19"/>
  <c r="I331" i="19"/>
  <c r="N330" i="19"/>
  <c r="O330" i="19"/>
  <c r="P330" i="19"/>
  <c r="M330" i="19"/>
  <c r="L330" i="19"/>
  <c r="K330" i="19"/>
  <c r="I330" i="19"/>
  <c r="J330" i="19"/>
  <c r="O329" i="19"/>
  <c r="N329" i="19"/>
  <c r="M329" i="19"/>
  <c r="L329" i="19"/>
  <c r="K329" i="19"/>
  <c r="I329" i="19"/>
  <c r="J329" i="19"/>
  <c r="N328" i="19"/>
  <c r="L328" i="19"/>
  <c r="M328" i="19"/>
  <c r="K328" i="19"/>
  <c r="I328" i="19"/>
  <c r="J328" i="19"/>
  <c r="N327" i="19"/>
  <c r="O327" i="19"/>
  <c r="P327" i="19"/>
  <c r="M327" i="19"/>
  <c r="L327" i="19"/>
  <c r="K327" i="19"/>
  <c r="I327" i="19"/>
  <c r="J327" i="19"/>
  <c r="N326" i="19"/>
  <c r="L326" i="19"/>
  <c r="M326" i="19"/>
  <c r="K326" i="19"/>
  <c r="I326" i="19"/>
  <c r="J326" i="19"/>
  <c r="N325" i="19"/>
  <c r="M325" i="19"/>
  <c r="L325" i="19"/>
  <c r="K325" i="19"/>
  <c r="I325" i="19"/>
  <c r="J325" i="19"/>
  <c r="O324" i="19"/>
  <c r="P324" i="19"/>
  <c r="N324" i="19"/>
  <c r="M324" i="19"/>
  <c r="L324" i="19"/>
  <c r="K324" i="19"/>
  <c r="I324" i="19"/>
  <c r="J324" i="19"/>
  <c r="N323" i="19"/>
  <c r="L323" i="19"/>
  <c r="M323" i="19"/>
  <c r="K323" i="19"/>
  <c r="I323" i="19"/>
  <c r="J323" i="19"/>
  <c r="N322" i="19"/>
  <c r="M322" i="19"/>
  <c r="L322" i="19"/>
  <c r="K322" i="19"/>
  <c r="J322" i="19"/>
  <c r="I322" i="19"/>
  <c r="P321" i="19"/>
  <c r="N321" i="19"/>
  <c r="O321" i="19"/>
  <c r="M321" i="19"/>
  <c r="L321" i="19"/>
  <c r="K321" i="19"/>
  <c r="I321" i="19"/>
  <c r="J321" i="19"/>
  <c r="O320" i="19"/>
  <c r="P320" i="19"/>
  <c r="N320" i="19"/>
  <c r="L320" i="19"/>
  <c r="M320" i="19"/>
  <c r="K320" i="19"/>
  <c r="I320" i="19"/>
  <c r="J320" i="19"/>
  <c r="N319" i="19"/>
  <c r="M319" i="19"/>
  <c r="L319" i="19"/>
  <c r="K319" i="19"/>
  <c r="J319" i="19"/>
  <c r="I319" i="19"/>
  <c r="N318" i="19"/>
  <c r="O318" i="19"/>
  <c r="P318" i="19"/>
  <c r="M318" i="19"/>
  <c r="L318" i="19"/>
  <c r="K318" i="19"/>
  <c r="I318" i="19"/>
  <c r="J318" i="19"/>
  <c r="O317" i="19"/>
  <c r="P317" i="19"/>
  <c r="N317" i="19"/>
  <c r="M317" i="19"/>
  <c r="L317" i="19"/>
  <c r="K317" i="19"/>
  <c r="I317" i="19"/>
  <c r="J317" i="19"/>
  <c r="N316" i="19"/>
  <c r="L316" i="19"/>
  <c r="M316" i="19"/>
  <c r="K316" i="19"/>
  <c r="I316" i="19"/>
  <c r="J316" i="19"/>
  <c r="N315" i="19"/>
  <c r="O315" i="19"/>
  <c r="P315" i="19"/>
  <c r="M315" i="19"/>
  <c r="L315" i="19"/>
  <c r="K315" i="19"/>
  <c r="I315" i="19"/>
  <c r="J315" i="19"/>
  <c r="N314" i="19"/>
  <c r="L314" i="19"/>
  <c r="M314" i="19"/>
  <c r="K314" i="19"/>
  <c r="I314" i="19"/>
  <c r="J314" i="19"/>
  <c r="N313" i="19"/>
  <c r="L313" i="19"/>
  <c r="M313" i="19"/>
  <c r="K313" i="19"/>
  <c r="I313" i="19"/>
  <c r="J313" i="19"/>
  <c r="O312" i="19"/>
  <c r="P312" i="19"/>
  <c r="N312" i="19"/>
  <c r="M312" i="19"/>
  <c r="L312" i="19"/>
  <c r="K312" i="19"/>
  <c r="I312" i="19"/>
  <c r="J312" i="19"/>
  <c r="N311" i="19"/>
  <c r="L311" i="19"/>
  <c r="M311" i="19"/>
  <c r="K311" i="19"/>
  <c r="I311" i="19"/>
  <c r="J311" i="19"/>
  <c r="N310" i="19"/>
  <c r="M310" i="19"/>
  <c r="L310" i="19"/>
  <c r="K310" i="19"/>
  <c r="I310" i="19"/>
  <c r="J310" i="19"/>
  <c r="N309" i="19"/>
  <c r="O309" i="19"/>
  <c r="P309" i="19"/>
  <c r="M309" i="19"/>
  <c r="L309" i="19"/>
  <c r="K309" i="19"/>
  <c r="I309" i="19"/>
  <c r="J309" i="19"/>
  <c r="N308" i="19"/>
  <c r="M308" i="19"/>
  <c r="L308" i="19"/>
  <c r="K308" i="19"/>
  <c r="I308" i="19"/>
  <c r="J308" i="19"/>
  <c r="N307" i="19"/>
  <c r="L307" i="19"/>
  <c r="M307" i="19"/>
  <c r="K307" i="19"/>
  <c r="J307" i="19"/>
  <c r="I307" i="19"/>
  <c r="N306" i="19"/>
  <c r="O306" i="19"/>
  <c r="P306" i="19"/>
  <c r="M306" i="19"/>
  <c r="L306" i="19"/>
  <c r="K306" i="19"/>
  <c r="I306" i="19"/>
  <c r="J306" i="19"/>
  <c r="N305" i="19"/>
  <c r="O305" i="19"/>
  <c r="P305" i="19"/>
  <c r="M305" i="19"/>
  <c r="L305" i="19"/>
  <c r="K305" i="19"/>
  <c r="I305" i="19"/>
  <c r="J305" i="19"/>
  <c r="N304" i="19"/>
  <c r="L304" i="19"/>
  <c r="M304" i="19"/>
  <c r="K304" i="19"/>
  <c r="I304" i="19"/>
  <c r="J304" i="19"/>
  <c r="N303" i="19"/>
  <c r="O303" i="19"/>
  <c r="P303" i="19"/>
  <c r="M303" i="19"/>
  <c r="L303" i="19"/>
  <c r="K303" i="19"/>
  <c r="I303" i="19"/>
  <c r="J303" i="19"/>
  <c r="N302" i="19"/>
  <c r="M302" i="19"/>
  <c r="L302" i="19"/>
  <c r="K302" i="19"/>
  <c r="I302" i="19"/>
  <c r="J302" i="19"/>
  <c r="N301" i="19"/>
  <c r="M301" i="19"/>
  <c r="L301" i="19"/>
  <c r="K301" i="19"/>
  <c r="I301" i="19"/>
  <c r="J301" i="19"/>
  <c r="O300" i="19"/>
  <c r="P300" i="19"/>
  <c r="N300" i="19"/>
  <c r="M300" i="19"/>
  <c r="L300" i="19"/>
  <c r="K300" i="19"/>
  <c r="I300" i="19"/>
  <c r="J300" i="19"/>
  <c r="O299" i="19"/>
  <c r="P299" i="19"/>
  <c r="N299" i="19"/>
  <c r="L299" i="19"/>
  <c r="M299" i="19"/>
  <c r="K299" i="19"/>
  <c r="I299" i="19"/>
  <c r="J299" i="19"/>
  <c r="N298" i="19"/>
  <c r="M298" i="19"/>
  <c r="L298" i="19"/>
  <c r="K298" i="19"/>
  <c r="I298" i="19"/>
  <c r="J298" i="19"/>
  <c r="P297" i="19"/>
  <c r="N297" i="19"/>
  <c r="O297" i="19"/>
  <c r="M297" i="19"/>
  <c r="L297" i="19"/>
  <c r="K297" i="19"/>
  <c r="I297" i="19"/>
  <c r="J297" i="19"/>
  <c r="N296" i="19"/>
  <c r="L296" i="19"/>
  <c r="M296" i="19"/>
  <c r="K296" i="19"/>
  <c r="I296" i="19"/>
  <c r="J296" i="19"/>
  <c r="N295" i="19"/>
  <c r="M295" i="19"/>
  <c r="L295" i="19"/>
  <c r="K295" i="19"/>
  <c r="J295" i="19"/>
  <c r="I295" i="19"/>
  <c r="N294" i="19"/>
  <c r="O294" i="19"/>
  <c r="P294" i="19"/>
  <c r="M294" i="19"/>
  <c r="L294" i="19"/>
  <c r="K294" i="19"/>
  <c r="I294" i="19"/>
  <c r="J294" i="19"/>
  <c r="N293" i="19"/>
  <c r="L293" i="19"/>
  <c r="M293" i="19"/>
  <c r="K293" i="19"/>
  <c r="J293" i="19"/>
  <c r="I293" i="19"/>
  <c r="N292" i="19"/>
  <c r="L292" i="19"/>
  <c r="M292" i="19"/>
  <c r="K292" i="19"/>
  <c r="I292" i="19"/>
  <c r="J292" i="19"/>
  <c r="N291" i="19"/>
  <c r="O291" i="19"/>
  <c r="P291" i="19"/>
  <c r="M291" i="19"/>
  <c r="L291" i="19"/>
  <c r="K291" i="19"/>
  <c r="I291" i="19"/>
  <c r="J291" i="19"/>
  <c r="N290" i="19"/>
  <c r="M290" i="19"/>
  <c r="L290" i="19"/>
  <c r="K290" i="19"/>
  <c r="J290" i="19"/>
  <c r="I290" i="19"/>
  <c r="N289" i="19"/>
  <c r="L289" i="19"/>
  <c r="M289" i="19"/>
  <c r="K289" i="19"/>
  <c r="I289" i="19"/>
  <c r="J289" i="19"/>
  <c r="N288" i="19"/>
  <c r="O288" i="19"/>
  <c r="P288" i="19"/>
  <c r="M288" i="19"/>
  <c r="L288" i="19"/>
  <c r="K288" i="19"/>
  <c r="I288" i="19"/>
  <c r="J288" i="19"/>
  <c r="N287" i="19"/>
  <c r="L287" i="19"/>
  <c r="M287" i="19"/>
  <c r="K287" i="19"/>
  <c r="I287" i="19"/>
  <c r="J287" i="19"/>
  <c r="N286" i="19"/>
  <c r="M286" i="19"/>
  <c r="L286" i="19"/>
  <c r="K286" i="19"/>
  <c r="I286" i="19"/>
  <c r="J286" i="19"/>
  <c r="N285" i="19"/>
  <c r="O285" i="19"/>
  <c r="P285" i="19"/>
  <c r="M285" i="19"/>
  <c r="L285" i="19"/>
  <c r="K285" i="19"/>
  <c r="I285" i="19"/>
  <c r="J285" i="19"/>
  <c r="O284" i="19"/>
  <c r="P284" i="19"/>
  <c r="N284" i="19"/>
  <c r="M284" i="19"/>
  <c r="L284" i="19"/>
  <c r="K284" i="19"/>
  <c r="I284" i="19"/>
  <c r="J284" i="19"/>
  <c r="N283" i="19"/>
  <c r="L283" i="19"/>
  <c r="M283" i="19"/>
  <c r="K283" i="19"/>
  <c r="I283" i="19"/>
  <c r="J283" i="19"/>
  <c r="P282" i="19"/>
  <c r="N282" i="19"/>
  <c r="O282" i="19"/>
  <c r="M282" i="19"/>
  <c r="L282" i="19"/>
  <c r="K282" i="19"/>
  <c r="I282" i="19"/>
  <c r="J282" i="19"/>
  <c r="N281" i="19"/>
  <c r="L281" i="19"/>
  <c r="M281" i="19"/>
  <c r="K281" i="19"/>
  <c r="I281" i="19"/>
  <c r="J281" i="19"/>
  <c r="N280" i="19"/>
  <c r="L280" i="19"/>
  <c r="M280" i="19"/>
  <c r="K280" i="19"/>
  <c r="I280" i="19"/>
  <c r="J280" i="19"/>
  <c r="N279" i="19"/>
  <c r="O279" i="19"/>
  <c r="P279" i="19"/>
  <c r="M279" i="19"/>
  <c r="L279" i="19"/>
  <c r="K279" i="19"/>
  <c r="I279" i="19"/>
  <c r="J279" i="19"/>
  <c r="N278" i="19"/>
  <c r="L278" i="19"/>
  <c r="M278" i="19"/>
  <c r="K278" i="19"/>
  <c r="I278" i="19"/>
  <c r="J278" i="19"/>
  <c r="N277" i="19"/>
  <c r="L277" i="19"/>
  <c r="M277" i="19"/>
  <c r="K277" i="19"/>
  <c r="I277" i="19"/>
  <c r="J277" i="19"/>
  <c r="N276" i="19"/>
  <c r="O276" i="19"/>
  <c r="P276" i="19"/>
  <c r="M276" i="19"/>
  <c r="L276" i="19"/>
  <c r="K276" i="19"/>
  <c r="I276" i="19"/>
  <c r="J276" i="19"/>
  <c r="N275" i="19"/>
  <c r="O275" i="19"/>
  <c r="P275" i="19"/>
  <c r="L275" i="19"/>
  <c r="M275" i="19"/>
  <c r="K275" i="19"/>
  <c r="J275" i="19"/>
  <c r="I275" i="19"/>
  <c r="N274" i="19"/>
  <c r="L274" i="19"/>
  <c r="M274" i="19"/>
  <c r="K274" i="19"/>
  <c r="J274" i="19"/>
  <c r="I274" i="19"/>
  <c r="N273" i="19"/>
  <c r="O273" i="19"/>
  <c r="P273" i="19"/>
  <c r="M273" i="19"/>
  <c r="L273" i="19"/>
  <c r="K273" i="19"/>
  <c r="I273" i="19"/>
  <c r="J273" i="19"/>
  <c r="P272" i="19"/>
  <c r="N272" i="19"/>
  <c r="M272" i="19"/>
  <c r="L272" i="19"/>
  <c r="K272" i="19"/>
  <c r="O272" i="19"/>
  <c r="I272" i="19"/>
  <c r="J272" i="19"/>
  <c r="N271" i="19"/>
  <c r="M271" i="19"/>
  <c r="L271" i="19"/>
  <c r="K271" i="19"/>
  <c r="I271" i="19"/>
  <c r="J271" i="19"/>
  <c r="N270" i="19"/>
  <c r="O270" i="19"/>
  <c r="P270" i="19"/>
  <c r="M270" i="19"/>
  <c r="L270" i="19"/>
  <c r="K270" i="19"/>
  <c r="I270" i="19"/>
  <c r="J270" i="19"/>
  <c r="N269" i="19"/>
  <c r="L269" i="19"/>
  <c r="M269" i="19"/>
  <c r="K269" i="19"/>
  <c r="O269" i="19"/>
  <c r="I269" i="19"/>
  <c r="J269" i="19"/>
  <c r="N268" i="19"/>
  <c r="L268" i="19"/>
  <c r="M268" i="19"/>
  <c r="K268" i="19"/>
  <c r="J268" i="19"/>
  <c r="I268" i="19"/>
  <c r="O267" i="19"/>
  <c r="P267" i="19"/>
  <c r="N267" i="19"/>
  <c r="M267" i="19"/>
  <c r="L267" i="19"/>
  <c r="K267" i="19"/>
  <c r="I267" i="19"/>
  <c r="J267" i="19"/>
  <c r="N266" i="19"/>
  <c r="L266" i="19"/>
  <c r="M266" i="19"/>
  <c r="K266" i="19"/>
  <c r="J266" i="19"/>
  <c r="I266" i="19"/>
  <c r="N265" i="19"/>
  <c r="L265" i="19"/>
  <c r="M265" i="19"/>
  <c r="K265" i="19"/>
  <c r="I265" i="19"/>
  <c r="J265" i="19"/>
  <c r="N264" i="19"/>
  <c r="O264" i="19"/>
  <c r="P264" i="19"/>
  <c r="M264" i="19"/>
  <c r="L264" i="19"/>
  <c r="K264" i="19"/>
  <c r="I264" i="19"/>
  <c r="J264" i="19"/>
  <c r="N263" i="19"/>
  <c r="L263" i="19"/>
  <c r="M263" i="19"/>
  <c r="K263" i="19"/>
  <c r="I263" i="19"/>
  <c r="J263" i="19"/>
  <c r="N262" i="19"/>
  <c r="L262" i="19"/>
  <c r="M262" i="19"/>
  <c r="K262" i="19"/>
  <c r="I262" i="19"/>
  <c r="J262" i="19"/>
  <c r="N261" i="19"/>
  <c r="O261" i="19"/>
  <c r="P261" i="19"/>
  <c r="M261" i="19"/>
  <c r="L261" i="19"/>
  <c r="K261" i="19"/>
  <c r="I261" i="19"/>
  <c r="J261" i="19"/>
  <c r="N260" i="19"/>
  <c r="O260" i="19"/>
  <c r="P260" i="19"/>
  <c r="M260" i="19"/>
  <c r="L260" i="19"/>
  <c r="K260" i="19"/>
  <c r="I260" i="19"/>
  <c r="J260" i="19"/>
  <c r="N259" i="19"/>
  <c r="M259" i="19"/>
  <c r="L259" i="19"/>
  <c r="K259" i="19"/>
  <c r="J259" i="19"/>
  <c r="I259" i="19"/>
  <c r="N258" i="19"/>
  <c r="O258" i="19"/>
  <c r="P258" i="19"/>
  <c r="M258" i="19"/>
  <c r="L258" i="19"/>
  <c r="K258" i="19"/>
  <c r="I258" i="19"/>
  <c r="J258" i="19"/>
  <c r="O257" i="19"/>
  <c r="P257" i="19"/>
  <c r="N257" i="19"/>
  <c r="M257" i="19"/>
  <c r="L257" i="19"/>
  <c r="K257" i="19"/>
  <c r="I257" i="19"/>
  <c r="J257" i="19"/>
  <c r="N256" i="19"/>
  <c r="L256" i="19"/>
  <c r="M256" i="19"/>
  <c r="K256" i="19"/>
  <c r="I256" i="19"/>
  <c r="J256" i="19"/>
  <c r="N255" i="19"/>
  <c r="O255" i="19"/>
  <c r="P255" i="19"/>
  <c r="M255" i="19"/>
  <c r="L255" i="19"/>
  <c r="K255" i="19"/>
  <c r="I255" i="19"/>
  <c r="J255" i="19"/>
  <c r="N254" i="19"/>
  <c r="M254" i="19"/>
  <c r="L254" i="19"/>
  <c r="K254" i="19"/>
  <c r="I254" i="19"/>
  <c r="J254" i="19"/>
  <c r="N253" i="19"/>
  <c r="M253" i="19"/>
  <c r="L253" i="19"/>
  <c r="K253" i="19"/>
  <c r="I253" i="19"/>
  <c r="J253" i="19"/>
  <c r="N252" i="19"/>
  <c r="O252" i="19"/>
  <c r="P252" i="19"/>
  <c r="M252" i="19"/>
  <c r="L252" i="19"/>
  <c r="K252" i="19"/>
  <c r="I252" i="19"/>
  <c r="J252" i="19"/>
  <c r="N251" i="19"/>
  <c r="L251" i="19"/>
  <c r="M251" i="19"/>
  <c r="K251" i="19"/>
  <c r="O251" i="19"/>
  <c r="P251" i="19"/>
  <c r="J251" i="19"/>
  <c r="I251" i="19"/>
  <c r="N250" i="19"/>
  <c r="L250" i="19"/>
  <c r="M250" i="19"/>
  <c r="K250" i="19"/>
  <c r="I250" i="19"/>
  <c r="J250" i="19"/>
  <c r="P249" i="19"/>
  <c r="N249" i="19"/>
  <c r="O249" i="19"/>
  <c r="M249" i="19"/>
  <c r="L249" i="19"/>
  <c r="K249" i="19"/>
  <c r="I249" i="19"/>
  <c r="J249" i="19"/>
  <c r="N248" i="19"/>
  <c r="M248" i="19"/>
  <c r="L248" i="19"/>
  <c r="K248" i="19"/>
  <c r="I248" i="19"/>
  <c r="J248" i="19"/>
  <c r="N247" i="19"/>
  <c r="M247" i="19"/>
  <c r="L247" i="19"/>
  <c r="K247" i="19"/>
  <c r="I247" i="19"/>
  <c r="J247" i="19"/>
  <c r="N246" i="19"/>
  <c r="O246" i="19"/>
  <c r="P246" i="19"/>
  <c r="M246" i="19"/>
  <c r="L246" i="19"/>
  <c r="K246" i="19"/>
  <c r="I246" i="19"/>
  <c r="J246" i="19"/>
  <c r="N245" i="19"/>
  <c r="O245" i="19"/>
  <c r="P245" i="19"/>
  <c r="L245" i="19"/>
  <c r="M245" i="19"/>
  <c r="K245" i="19"/>
  <c r="I245" i="19"/>
  <c r="J245" i="19"/>
  <c r="N244" i="19"/>
  <c r="L244" i="19"/>
  <c r="M244" i="19"/>
  <c r="K244" i="19"/>
  <c r="I244" i="19"/>
  <c r="J244" i="19"/>
  <c r="O243" i="19"/>
  <c r="P243" i="19"/>
  <c r="N243" i="19"/>
  <c r="M243" i="19"/>
  <c r="L243" i="19"/>
  <c r="K243" i="19"/>
  <c r="I243" i="19"/>
  <c r="J243" i="19"/>
  <c r="N242" i="19"/>
  <c r="L242" i="19"/>
  <c r="M242" i="19"/>
  <c r="K242" i="19"/>
  <c r="I242" i="19"/>
  <c r="J242" i="19"/>
  <c r="N241" i="19"/>
  <c r="L241" i="19"/>
  <c r="M241" i="19"/>
  <c r="K241" i="19"/>
  <c r="I241" i="19"/>
  <c r="J241" i="19"/>
  <c r="O240" i="19"/>
  <c r="P240" i="19"/>
  <c r="N240" i="19"/>
  <c r="M240" i="19"/>
  <c r="L240" i="19"/>
  <c r="K240" i="19"/>
  <c r="I240" i="19"/>
  <c r="J240" i="19"/>
  <c r="P239" i="19"/>
  <c r="N239" i="19"/>
  <c r="L239" i="19"/>
  <c r="M239" i="19"/>
  <c r="K239" i="19"/>
  <c r="O239" i="19"/>
  <c r="J239" i="19"/>
  <c r="I239" i="19"/>
  <c r="N238" i="19"/>
  <c r="L238" i="19"/>
  <c r="M238" i="19"/>
  <c r="K238" i="19"/>
  <c r="I238" i="19"/>
  <c r="J238" i="19"/>
  <c r="N237" i="19"/>
  <c r="O237" i="19"/>
  <c r="P237" i="19"/>
  <c r="M237" i="19"/>
  <c r="L237" i="19"/>
  <c r="K237" i="19"/>
  <c r="I237" i="19"/>
  <c r="J237" i="19"/>
  <c r="N236" i="19"/>
  <c r="O236" i="19"/>
  <c r="P236" i="19"/>
  <c r="L236" i="19"/>
  <c r="M236" i="19"/>
  <c r="K236" i="19"/>
  <c r="I236" i="19"/>
  <c r="J236" i="19"/>
  <c r="N235" i="19"/>
  <c r="L235" i="19"/>
  <c r="M235" i="19"/>
  <c r="K235" i="19"/>
  <c r="I235" i="19"/>
  <c r="J235" i="19"/>
  <c r="P234" i="19"/>
  <c r="N234" i="19"/>
  <c r="O234" i="19"/>
  <c r="M234" i="19"/>
  <c r="L234" i="19"/>
  <c r="K234" i="19"/>
  <c r="I234" i="19"/>
  <c r="J234" i="19"/>
  <c r="N233" i="19"/>
  <c r="L233" i="19"/>
  <c r="M233" i="19"/>
  <c r="K233" i="19"/>
  <c r="O233" i="19"/>
  <c r="J233" i="19"/>
  <c r="I233" i="19"/>
  <c r="N232" i="19"/>
  <c r="L232" i="19"/>
  <c r="M232" i="19"/>
  <c r="K232" i="19"/>
  <c r="J232" i="19"/>
  <c r="I232" i="19"/>
  <c r="N231" i="19"/>
  <c r="O231" i="19"/>
  <c r="P231" i="19"/>
  <c r="M231" i="19"/>
  <c r="L231" i="19"/>
  <c r="K231" i="19"/>
  <c r="I231" i="19"/>
  <c r="J231" i="19"/>
  <c r="N230" i="19"/>
  <c r="M230" i="19"/>
  <c r="L230" i="19"/>
  <c r="K230" i="19"/>
  <c r="I230" i="19"/>
  <c r="J230" i="19"/>
  <c r="N229" i="19"/>
  <c r="L229" i="19"/>
  <c r="M229" i="19"/>
  <c r="K229" i="19"/>
  <c r="J229" i="19"/>
  <c r="I229" i="19"/>
  <c r="O228" i="19"/>
  <c r="P228" i="19"/>
  <c r="N228" i="19"/>
  <c r="M228" i="19"/>
  <c r="L228" i="19"/>
  <c r="K228" i="19"/>
  <c r="I228" i="19"/>
  <c r="J228" i="19"/>
  <c r="N227" i="19"/>
  <c r="O227" i="19"/>
  <c r="P227" i="19"/>
  <c r="L227" i="19"/>
  <c r="M227" i="19"/>
  <c r="K227" i="19"/>
  <c r="J227" i="19"/>
  <c r="I227" i="19"/>
  <c r="N226" i="19"/>
  <c r="L226" i="19"/>
  <c r="M226" i="19"/>
  <c r="K226" i="19"/>
  <c r="I226" i="19"/>
  <c r="J226" i="19"/>
  <c r="N225" i="19"/>
  <c r="O225" i="19"/>
  <c r="P225" i="19"/>
  <c r="M225" i="19"/>
  <c r="L225" i="19"/>
  <c r="K225" i="19"/>
  <c r="I225" i="19"/>
  <c r="J225" i="19"/>
  <c r="N224" i="19"/>
  <c r="L224" i="19"/>
  <c r="M224" i="19"/>
  <c r="K224" i="19"/>
  <c r="I224" i="19"/>
  <c r="J224" i="19"/>
  <c r="N223" i="19"/>
  <c r="M223" i="19"/>
  <c r="L223" i="19"/>
  <c r="K223" i="19"/>
  <c r="J223" i="19"/>
  <c r="I223" i="19"/>
  <c r="N222" i="19"/>
  <c r="O222" i="19"/>
  <c r="P222" i="19"/>
  <c r="M222" i="19"/>
  <c r="L222" i="19"/>
  <c r="K222" i="19"/>
  <c r="I222" i="19"/>
  <c r="J222" i="19"/>
  <c r="N221" i="19"/>
  <c r="L221" i="19"/>
  <c r="M221" i="19"/>
  <c r="K221" i="19"/>
  <c r="J221" i="19"/>
  <c r="I221" i="19"/>
  <c r="N220" i="19"/>
  <c r="L220" i="19"/>
  <c r="M220" i="19"/>
  <c r="K220" i="19"/>
  <c r="J220" i="19"/>
  <c r="I220" i="19"/>
  <c r="N219" i="19"/>
  <c r="O219" i="19"/>
  <c r="P219" i="19"/>
  <c r="M219" i="19"/>
  <c r="L219" i="19"/>
  <c r="K219" i="19"/>
  <c r="I219" i="19"/>
  <c r="J219" i="19"/>
  <c r="O218" i="19"/>
  <c r="P218" i="19"/>
  <c r="N218" i="19"/>
  <c r="M218" i="19"/>
  <c r="L218" i="19"/>
  <c r="K218" i="19"/>
  <c r="I218" i="19"/>
  <c r="J218" i="19"/>
  <c r="N217" i="19"/>
  <c r="L217" i="19"/>
  <c r="M217" i="19"/>
  <c r="K217" i="19"/>
  <c r="J217" i="19"/>
  <c r="I217" i="19"/>
  <c r="O216" i="19"/>
  <c r="P216" i="19"/>
  <c r="N216" i="19"/>
  <c r="M216" i="19"/>
  <c r="L216" i="19"/>
  <c r="K216" i="19"/>
  <c r="I216" i="19"/>
  <c r="J216" i="19"/>
  <c r="N215" i="19"/>
  <c r="O215" i="19"/>
  <c r="P215" i="19"/>
  <c r="L215" i="19"/>
  <c r="M215" i="19"/>
  <c r="K215" i="19"/>
  <c r="J215" i="19"/>
  <c r="I215" i="19"/>
  <c r="N214" i="19"/>
  <c r="M214" i="19"/>
  <c r="L214" i="19"/>
  <c r="K214" i="19"/>
  <c r="I214" i="19"/>
  <c r="J214" i="19"/>
  <c r="N213" i="19"/>
  <c r="O213" i="19"/>
  <c r="P213" i="19"/>
  <c r="M213" i="19"/>
  <c r="L213" i="19"/>
  <c r="K213" i="19"/>
  <c r="I213" i="19"/>
  <c r="J213" i="19"/>
  <c r="N212" i="19"/>
  <c r="L212" i="19"/>
  <c r="M212" i="19"/>
  <c r="K212" i="19"/>
  <c r="O212" i="19"/>
  <c r="I212" i="19"/>
  <c r="J212" i="19"/>
  <c r="N211" i="19"/>
  <c r="M211" i="19"/>
  <c r="L211" i="19"/>
  <c r="K211" i="19"/>
  <c r="J211" i="19"/>
  <c r="I211" i="19"/>
  <c r="O210" i="19"/>
  <c r="P210" i="19"/>
  <c r="N210" i="19"/>
  <c r="M210" i="19"/>
  <c r="L210" i="19"/>
  <c r="K210" i="19"/>
  <c r="I210" i="19"/>
  <c r="J210" i="19"/>
  <c r="N209" i="19"/>
  <c r="L209" i="19"/>
  <c r="M209" i="19"/>
  <c r="K209" i="19"/>
  <c r="I209" i="19"/>
  <c r="J209" i="19"/>
  <c r="N208" i="19"/>
  <c r="M208" i="19"/>
  <c r="L208" i="19"/>
  <c r="K208" i="19"/>
  <c r="J208" i="19"/>
  <c r="I208" i="19"/>
  <c r="N207" i="19"/>
  <c r="O207" i="19"/>
  <c r="P207" i="19"/>
  <c r="M207" i="19"/>
  <c r="L207" i="19"/>
  <c r="K207" i="19"/>
  <c r="I207" i="19"/>
  <c r="J207" i="19"/>
  <c r="N206" i="19"/>
  <c r="M206" i="19"/>
  <c r="L206" i="19"/>
  <c r="K206" i="19"/>
  <c r="I206" i="19"/>
  <c r="J206" i="19"/>
  <c r="N205" i="19"/>
  <c r="L205" i="19"/>
  <c r="M205" i="19"/>
  <c r="K205" i="19"/>
  <c r="I205" i="19"/>
  <c r="J205" i="19"/>
  <c r="O204" i="19"/>
  <c r="P204" i="19"/>
  <c r="N204" i="19"/>
  <c r="M204" i="19"/>
  <c r="L204" i="19"/>
  <c r="K204" i="19"/>
  <c r="I204" i="19"/>
  <c r="J204" i="19"/>
  <c r="N203" i="19"/>
  <c r="O203" i="19"/>
  <c r="P203" i="19"/>
  <c r="L203" i="19"/>
  <c r="M203" i="19"/>
  <c r="K203" i="19"/>
  <c r="J203" i="19"/>
  <c r="I203" i="19"/>
  <c r="N202" i="19"/>
  <c r="L202" i="19"/>
  <c r="M202" i="19"/>
  <c r="K202" i="19"/>
  <c r="J202" i="19"/>
  <c r="I202" i="19"/>
  <c r="N201" i="19"/>
  <c r="O201" i="19"/>
  <c r="P201" i="19"/>
  <c r="M201" i="19"/>
  <c r="L201" i="19"/>
  <c r="K201" i="19"/>
  <c r="I201" i="19"/>
  <c r="J201" i="19"/>
  <c r="N200" i="19"/>
  <c r="O200" i="19"/>
  <c r="P200" i="19"/>
  <c r="M200" i="19"/>
  <c r="L200" i="19"/>
  <c r="K200" i="19"/>
  <c r="J200" i="19"/>
  <c r="I200" i="19"/>
  <c r="N199" i="19"/>
  <c r="M199" i="19"/>
  <c r="L199" i="19"/>
  <c r="K199" i="19"/>
  <c r="I199" i="19"/>
  <c r="J199" i="19"/>
  <c r="O198" i="19"/>
  <c r="P198" i="19"/>
  <c r="N198" i="19"/>
  <c r="M198" i="19"/>
  <c r="L198" i="19"/>
  <c r="K198" i="19"/>
  <c r="I198" i="19"/>
  <c r="J198" i="19"/>
  <c r="N197" i="19"/>
  <c r="M197" i="19"/>
  <c r="L197" i="19"/>
  <c r="K197" i="19"/>
  <c r="I197" i="19"/>
  <c r="J197" i="19"/>
  <c r="N196" i="19"/>
  <c r="L196" i="19"/>
  <c r="M196" i="19"/>
  <c r="K196" i="19"/>
  <c r="J196" i="19"/>
  <c r="I196" i="19"/>
  <c r="P195" i="19"/>
  <c r="N195" i="19"/>
  <c r="O195" i="19"/>
  <c r="M195" i="19"/>
  <c r="L195" i="19"/>
  <c r="K195" i="19"/>
  <c r="I195" i="19"/>
  <c r="J195" i="19"/>
  <c r="N194" i="19"/>
  <c r="M194" i="19"/>
  <c r="L194" i="19"/>
  <c r="K194" i="19"/>
  <c r="I194" i="19"/>
  <c r="J194" i="19"/>
  <c r="N193" i="19"/>
  <c r="M193" i="19"/>
  <c r="L193" i="19"/>
  <c r="K193" i="19"/>
  <c r="I193" i="19"/>
  <c r="J193" i="19"/>
  <c r="O192" i="19"/>
  <c r="P192" i="19"/>
  <c r="N192" i="19"/>
  <c r="M192" i="19"/>
  <c r="L192" i="19"/>
  <c r="K192" i="19"/>
  <c r="I192" i="19"/>
  <c r="J192" i="19"/>
  <c r="P191" i="19"/>
  <c r="N191" i="19"/>
  <c r="O191" i="19"/>
  <c r="M191" i="19"/>
  <c r="L191" i="19"/>
  <c r="K191" i="19"/>
  <c r="J191" i="19"/>
  <c r="I191" i="19"/>
  <c r="N190" i="19"/>
  <c r="L190" i="19"/>
  <c r="M190" i="19"/>
  <c r="K190" i="19"/>
  <c r="J190" i="19"/>
  <c r="I190" i="19"/>
  <c r="P189" i="19"/>
  <c r="O189" i="19"/>
  <c r="N189" i="19"/>
  <c r="M189" i="19"/>
  <c r="L189" i="19"/>
  <c r="K189" i="19"/>
  <c r="I189" i="19"/>
  <c r="J189" i="19"/>
  <c r="N188" i="19"/>
  <c r="O188" i="19"/>
  <c r="P188" i="19"/>
  <c r="L188" i="19"/>
  <c r="M188" i="19"/>
  <c r="K188" i="19"/>
  <c r="J188" i="19"/>
  <c r="I188" i="19"/>
  <c r="N187" i="19"/>
  <c r="L187" i="19"/>
  <c r="M187" i="19"/>
  <c r="K187" i="19"/>
  <c r="I187" i="19"/>
  <c r="J187" i="19"/>
  <c r="N186" i="19"/>
  <c r="O186" i="19"/>
  <c r="P186" i="19"/>
  <c r="M186" i="19"/>
  <c r="L186" i="19"/>
  <c r="K186" i="19"/>
  <c r="I186" i="19"/>
  <c r="J186" i="19"/>
  <c r="N185" i="19"/>
  <c r="L185" i="19"/>
  <c r="M185" i="19"/>
  <c r="K185" i="19"/>
  <c r="I185" i="19"/>
  <c r="J185" i="19"/>
  <c r="N184" i="19"/>
  <c r="L184" i="19"/>
  <c r="M184" i="19"/>
  <c r="K184" i="19"/>
  <c r="I184" i="19"/>
  <c r="J184" i="19"/>
  <c r="N183" i="19"/>
  <c r="O183" i="19"/>
  <c r="P183" i="19"/>
  <c r="M183" i="19"/>
  <c r="L183" i="19"/>
  <c r="K183" i="19"/>
  <c r="J183" i="19"/>
  <c r="I183" i="19"/>
  <c r="N182" i="19"/>
  <c r="L182" i="19"/>
  <c r="M182" i="19"/>
  <c r="K182" i="19"/>
  <c r="J182" i="19"/>
  <c r="I182" i="19"/>
  <c r="O181" i="19"/>
  <c r="N181" i="19"/>
  <c r="M181" i="19"/>
  <c r="L181" i="19"/>
  <c r="K181" i="19"/>
  <c r="I181" i="19"/>
  <c r="J181" i="19"/>
  <c r="N180" i="19"/>
  <c r="M180" i="19"/>
  <c r="L180" i="19"/>
  <c r="K180" i="19"/>
  <c r="I180" i="19"/>
  <c r="J180" i="19"/>
  <c r="N179" i="19"/>
  <c r="O179" i="19"/>
  <c r="L179" i="19"/>
  <c r="M179" i="19"/>
  <c r="K179" i="19"/>
  <c r="I179" i="19"/>
  <c r="J179" i="19"/>
  <c r="N178" i="19"/>
  <c r="O178" i="19"/>
  <c r="L178" i="19"/>
  <c r="M178" i="19"/>
  <c r="K178" i="19"/>
  <c r="I178" i="19"/>
  <c r="J178" i="19"/>
  <c r="P177" i="19"/>
  <c r="N177" i="19"/>
  <c r="M177" i="19"/>
  <c r="L177" i="19"/>
  <c r="K177" i="19"/>
  <c r="O177" i="19"/>
  <c r="J177" i="19"/>
  <c r="I177" i="19"/>
  <c r="N176" i="19"/>
  <c r="L176" i="19"/>
  <c r="M176" i="19"/>
  <c r="K176" i="19"/>
  <c r="I176" i="19"/>
  <c r="J176" i="19"/>
  <c r="O175" i="19"/>
  <c r="N175" i="19"/>
  <c r="M175" i="19"/>
  <c r="L175" i="19"/>
  <c r="K175" i="19"/>
  <c r="I175" i="19"/>
  <c r="J175" i="19"/>
  <c r="N174" i="19"/>
  <c r="O174" i="19"/>
  <c r="P174" i="19"/>
  <c r="M174" i="19"/>
  <c r="L174" i="19"/>
  <c r="K174" i="19"/>
  <c r="J174" i="19"/>
  <c r="I174" i="19"/>
  <c r="N173" i="19"/>
  <c r="L173" i="19"/>
  <c r="M173" i="19"/>
  <c r="K173" i="19"/>
  <c r="I173" i="19"/>
  <c r="J173" i="19"/>
  <c r="O172" i="19"/>
  <c r="N172" i="19"/>
  <c r="L172" i="19"/>
  <c r="M172" i="19"/>
  <c r="K172" i="19"/>
  <c r="J172" i="19"/>
  <c r="I172" i="19"/>
  <c r="N171" i="19"/>
  <c r="M171" i="19"/>
  <c r="L171" i="19"/>
  <c r="K171" i="19"/>
  <c r="I171" i="19"/>
  <c r="J171" i="19"/>
  <c r="N170" i="19"/>
  <c r="L170" i="19"/>
  <c r="M170" i="19"/>
  <c r="K170" i="19"/>
  <c r="J170" i="19"/>
  <c r="I170" i="19"/>
  <c r="N169" i="19"/>
  <c r="O169" i="19"/>
  <c r="L169" i="19"/>
  <c r="M169" i="19"/>
  <c r="K169" i="19"/>
  <c r="I169" i="19"/>
  <c r="J169" i="19"/>
  <c r="N168" i="19"/>
  <c r="O168" i="19"/>
  <c r="M168" i="19"/>
  <c r="L168" i="19"/>
  <c r="K168" i="19"/>
  <c r="I168" i="19"/>
  <c r="J168" i="19"/>
  <c r="N167" i="19"/>
  <c r="M167" i="19"/>
  <c r="L167" i="19"/>
  <c r="K167" i="19"/>
  <c r="J167" i="19"/>
  <c r="I167" i="19"/>
  <c r="N166" i="19"/>
  <c r="L166" i="19"/>
  <c r="M166" i="19"/>
  <c r="K166" i="19"/>
  <c r="J166" i="19"/>
  <c r="I166" i="19"/>
  <c r="N165" i="19"/>
  <c r="M165" i="19"/>
  <c r="L165" i="19"/>
  <c r="K165" i="19"/>
  <c r="J165" i="19"/>
  <c r="I165" i="19"/>
  <c r="N164" i="19"/>
  <c r="O164" i="19"/>
  <c r="P164" i="19"/>
  <c r="L164" i="19"/>
  <c r="M164" i="19"/>
  <c r="K164" i="19"/>
  <c r="I164" i="19"/>
  <c r="J164" i="19"/>
  <c r="N163" i="19"/>
  <c r="L163" i="19"/>
  <c r="M163" i="19"/>
  <c r="K163" i="19"/>
  <c r="I163" i="19"/>
  <c r="J163" i="19"/>
  <c r="O162" i="19"/>
  <c r="N162" i="19"/>
  <c r="M162" i="19"/>
  <c r="L162" i="19"/>
  <c r="K162" i="19"/>
  <c r="I162" i="19"/>
  <c r="J162" i="19"/>
  <c r="N161" i="19"/>
  <c r="O161" i="19"/>
  <c r="P161" i="19"/>
  <c r="M161" i="19"/>
  <c r="L161" i="19"/>
  <c r="K161" i="19"/>
  <c r="I161" i="19"/>
  <c r="J161" i="19"/>
  <c r="N160" i="19"/>
  <c r="L160" i="19"/>
  <c r="M160" i="19"/>
  <c r="K160" i="19"/>
  <c r="I160" i="19"/>
  <c r="J160" i="19"/>
  <c r="N159" i="19"/>
  <c r="M159" i="19"/>
  <c r="L159" i="19"/>
  <c r="K159" i="19"/>
  <c r="J159" i="19"/>
  <c r="I159" i="19"/>
  <c r="N158" i="19"/>
  <c r="O158" i="19"/>
  <c r="P158" i="19"/>
  <c r="L158" i="19"/>
  <c r="M158" i="19"/>
  <c r="K158" i="19"/>
  <c r="J158" i="19"/>
  <c r="I158" i="19"/>
  <c r="N157" i="19"/>
  <c r="O157" i="19"/>
  <c r="M157" i="19"/>
  <c r="L157" i="19"/>
  <c r="K157" i="19"/>
  <c r="I157" i="19"/>
  <c r="J157" i="19"/>
  <c r="P156" i="19"/>
  <c r="O156" i="19"/>
  <c r="N156" i="19"/>
  <c r="M156" i="19"/>
  <c r="L156" i="19"/>
  <c r="K156" i="19"/>
  <c r="J156" i="19"/>
  <c r="I156" i="19"/>
  <c r="N155" i="19"/>
  <c r="L155" i="19"/>
  <c r="M155" i="19"/>
  <c r="K155" i="19"/>
  <c r="I155" i="19"/>
  <c r="J155" i="19"/>
  <c r="N154" i="19"/>
  <c r="L154" i="19"/>
  <c r="M154" i="19"/>
  <c r="K154" i="19"/>
  <c r="J154" i="19"/>
  <c r="I154" i="19"/>
  <c r="N153" i="19"/>
  <c r="O153" i="19"/>
  <c r="P153" i="19"/>
  <c r="M153" i="19"/>
  <c r="L153" i="19"/>
  <c r="K153" i="19"/>
  <c r="J153" i="19"/>
  <c r="I153" i="19"/>
  <c r="N152" i="19"/>
  <c r="O152" i="19"/>
  <c r="P152" i="19"/>
  <c r="L152" i="19"/>
  <c r="M152" i="19"/>
  <c r="K152" i="19"/>
  <c r="J152" i="19"/>
  <c r="I152" i="19"/>
  <c r="N151" i="19"/>
  <c r="L151" i="19"/>
  <c r="M151" i="19"/>
  <c r="K151" i="19"/>
  <c r="J151" i="19"/>
  <c r="I151" i="19"/>
  <c r="N150" i="19"/>
  <c r="M150" i="19"/>
  <c r="L150" i="19"/>
  <c r="K150" i="19"/>
  <c r="I150" i="19"/>
  <c r="J150" i="19"/>
  <c r="N149" i="19"/>
  <c r="O149" i="19"/>
  <c r="P149" i="19"/>
  <c r="L149" i="19"/>
  <c r="M149" i="19"/>
  <c r="K149" i="19"/>
  <c r="I149" i="19"/>
  <c r="J149" i="19"/>
  <c r="N148" i="19"/>
  <c r="L148" i="19"/>
  <c r="M148" i="19"/>
  <c r="K148" i="19"/>
  <c r="I148" i="19"/>
  <c r="J148" i="19"/>
  <c r="N147" i="19"/>
  <c r="O147" i="19"/>
  <c r="P147" i="19"/>
  <c r="M147" i="19"/>
  <c r="L147" i="19"/>
  <c r="K147" i="19"/>
  <c r="J147" i="19"/>
  <c r="I147" i="19"/>
  <c r="N146" i="19"/>
  <c r="L146" i="19"/>
  <c r="M146" i="19"/>
  <c r="K146" i="19"/>
  <c r="J146" i="19"/>
  <c r="I146" i="19"/>
  <c r="N145" i="19"/>
  <c r="L145" i="19"/>
  <c r="M145" i="19"/>
  <c r="K145" i="19"/>
  <c r="J145" i="19"/>
  <c r="I145" i="19"/>
  <c r="N144" i="19"/>
  <c r="O144" i="19"/>
  <c r="P144" i="19"/>
  <c r="L144" i="19"/>
  <c r="M144" i="19"/>
  <c r="K144" i="19"/>
  <c r="J144" i="19"/>
  <c r="I144" i="19"/>
  <c r="N143" i="19"/>
  <c r="O143" i="19"/>
  <c r="P143" i="19"/>
  <c r="L143" i="19"/>
  <c r="M143" i="19"/>
  <c r="K143" i="19"/>
  <c r="I143" i="19"/>
  <c r="J143" i="19"/>
  <c r="N142" i="19"/>
  <c r="L142" i="19"/>
  <c r="M142" i="19"/>
  <c r="K142" i="19"/>
  <c r="I142" i="19"/>
  <c r="J142" i="19"/>
  <c r="P141" i="19"/>
  <c r="N141" i="19"/>
  <c r="O141" i="19"/>
  <c r="L141" i="19"/>
  <c r="M141" i="19"/>
  <c r="K141" i="19"/>
  <c r="J141" i="19"/>
  <c r="I141" i="19"/>
  <c r="N140" i="19"/>
  <c r="L140" i="19"/>
  <c r="M140" i="19"/>
  <c r="K140" i="19"/>
  <c r="J140" i="19"/>
  <c r="I140" i="19"/>
  <c r="N139" i="19"/>
  <c r="O139" i="19"/>
  <c r="P139" i="19"/>
  <c r="L139" i="19"/>
  <c r="M139" i="19"/>
  <c r="K139" i="19"/>
  <c r="I139" i="19"/>
  <c r="J139" i="19"/>
  <c r="N138" i="19"/>
  <c r="O138" i="19"/>
  <c r="P138" i="19"/>
  <c r="L138" i="19"/>
  <c r="M138" i="19"/>
  <c r="K138" i="19"/>
  <c r="J138" i="19"/>
  <c r="I138" i="19"/>
  <c r="N137" i="19"/>
  <c r="L137" i="19"/>
  <c r="M137" i="19"/>
  <c r="K137" i="19"/>
  <c r="I137" i="19"/>
  <c r="J137" i="19"/>
  <c r="O136" i="19"/>
  <c r="P136" i="19"/>
  <c r="N136" i="19"/>
  <c r="L136" i="19"/>
  <c r="M136" i="19"/>
  <c r="K136" i="19"/>
  <c r="I136" i="19"/>
  <c r="J136" i="19"/>
  <c r="N135" i="19"/>
  <c r="M135" i="19"/>
  <c r="L135" i="19"/>
  <c r="K135" i="19"/>
  <c r="J135" i="19"/>
  <c r="I135" i="19"/>
  <c r="N134" i="19"/>
  <c r="L134" i="19"/>
  <c r="M134" i="19"/>
  <c r="K134" i="19"/>
  <c r="I134" i="19"/>
  <c r="J134" i="19"/>
  <c r="N133" i="19"/>
  <c r="O133" i="19"/>
  <c r="P133" i="19"/>
  <c r="L133" i="19"/>
  <c r="M133" i="19"/>
  <c r="K133" i="19"/>
  <c r="J133" i="19"/>
  <c r="I133" i="19"/>
  <c r="N132" i="19"/>
  <c r="L132" i="19"/>
  <c r="M132" i="19"/>
  <c r="K132" i="19"/>
  <c r="J132" i="19"/>
  <c r="I132" i="19"/>
  <c r="N131" i="19"/>
  <c r="O131" i="19"/>
  <c r="P131" i="19"/>
  <c r="L131" i="19"/>
  <c r="M131" i="19"/>
  <c r="K131" i="19"/>
  <c r="I131" i="19"/>
  <c r="J131" i="19"/>
  <c r="N130" i="19"/>
  <c r="L130" i="19"/>
  <c r="M130" i="19"/>
  <c r="K130" i="19"/>
  <c r="I130" i="19"/>
  <c r="J130" i="19"/>
  <c r="N129" i="19"/>
  <c r="L129" i="19"/>
  <c r="M129" i="19"/>
  <c r="K129" i="19"/>
  <c r="J129" i="19"/>
  <c r="I129" i="19"/>
  <c r="O128" i="19"/>
  <c r="P128" i="19"/>
  <c r="N128" i="19"/>
  <c r="M128" i="19"/>
  <c r="L128" i="19"/>
  <c r="K128" i="19"/>
  <c r="J128" i="19"/>
  <c r="I128" i="19"/>
  <c r="N127" i="19"/>
  <c r="L127" i="19"/>
  <c r="M127" i="19"/>
  <c r="K127" i="19"/>
  <c r="J127" i="19"/>
  <c r="I127" i="19"/>
  <c r="P126" i="19"/>
  <c r="N126" i="19"/>
  <c r="L126" i="19"/>
  <c r="M126" i="19"/>
  <c r="K126" i="19"/>
  <c r="O126" i="19"/>
  <c r="J126" i="19"/>
  <c r="I126" i="19"/>
  <c r="N125" i="19"/>
  <c r="O125" i="19"/>
  <c r="P125" i="19"/>
  <c r="L125" i="19"/>
  <c r="M125" i="19"/>
  <c r="K125" i="19"/>
  <c r="I125" i="19"/>
  <c r="J125" i="19"/>
  <c r="P124" i="19"/>
  <c r="O124" i="19"/>
  <c r="N124" i="19"/>
  <c r="L124" i="19"/>
  <c r="M124" i="19"/>
  <c r="K124" i="19"/>
  <c r="I124" i="19"/>
  <c r="J124" i="19"/>
  <c r="N123" i="19"/>
  <c r="L123" i="19"/>
  <c r="M123" i="19"/>
  <c r="K123" i="19"/>
  <c r="O123" i="19"/>
  <c r="J123" i="19"/>
  <c r="I123" i="19"/>
  <c r="N122" i="19"/>
  <c r="L122" i="19"/>
  <c r="M122" i="19"/>
  <c r="K122" i="19"/>
  <c r="I122" i="19"/>
  <c r="J122" i="19"/>
  <c r="N121" i="19"/>
  <c r="L121" i="19"/>
  <c r="M121" i="19"/>
  <c r="K121" i="19"/>
  <c r="I121" i="19"/>
  <c r="J121" i="19"/>
  <c r="N120" i="19"/>
  <c r="L120" i="19"/>
  <c r="M120" i="19"/>
  <c r="K120" i="19"/>
  <c r="J120" i="19"/>
  <c r="I120" i="19"/>
  <c r="N119" i="19"/>
  <c r="O119" i="19"/>
  <c r="P119" i="19"/>
  <c r="L119" i="19"/>
  <c r="M119" i="19"/>
  <c r="K119" i="19"/>
  <c r="J119" i="19"/>
  <c r="I119" i="19"/>
  <c r="N118" i="19"/>
  <c r="L118" i="19"/>
  <c r="M118" i="19"/>
  <c r="K118" i="19"/>
  <c r="I118" i="19"/>
  <c r="J118" i="19"/>
  <c r="N117" i="19"/>
  <c r="O117" i="19"/>
  <c r="P117" i="19"/>
  <c r="M117" i="19"/>
  <c r="L117" i="19"/>
  <c r="K117" i="19"/>
  <c r="J117" i="19"/>
  <c r="I117" i="19"/>
  <c r="P116" i="19"/>
  <c r="O116" i="19"/>
  <c r="N116" i="19"/>
  <c r="L116" i="19"/>
  <c r="M116" i="19"/>
  <c r="K116" i="19"/>
  <c r="J116" i="19"/>
  <c r="I116" i="19"/>
  <c r="N115" i="19"/>
  <c r="L115" i="19"/>
  <c r="M115" i="19"/>
  <c r="K115" i="19"/>
  <c r="I115" i="19"/>
  <c r="J115" i="19"/>
  <c r="P114" i="19"/>
  <c r="O114" i="19"/>
  <c r="N114" i="19"/>
  <c r="M114" i="19"/>
  <c r="L114" i="19"/>
  <c r="K114" i="19"/>
  <c r="J114" i="19"/>
  <c r="I114" i="19"/>
  <c r="N113" i="19"/>
  <c r="L113" i="19"/>
  <c r="M113" i="19"/>
  <c r="K113" i="19"/>
  <c r="J113" i="19"/>
  <c r="I113" i="19"/>
  <c r="N112" i="19"/>
  <c r="L112" i="19"/>
  <c r="M112" i="19"/>
  <c r="K112" i="19"/>
  <c r="O112" i="19"/>
  <c r="I112" i="19"/>
  <c r="J112" i="19"/>
  <c r="N111" i="19"/>
  <c r="L111" i="19"/>
  <c r="M111" i="19"/>
  <c r="K111" i="19"/>
  <c r="J111" i="19"/>
  <c r="I111" i="19"/>
  <c r="N110" i="19"/>
  <c r="L110" i="19"/>
  <c r="M110" i="19"/>
  <c r="K110" i="19"/>
  <c r="I110" i="19"/>
  <c r="J110" i="19"/>
  <c r="O109" i="19"/>
  <c r="P109" i="19"/>
  <c r="N109" i="19"/>
  <c r="L109" i="19"/>
  <c r="M109" i="19"/>
  <c r="K109" i="19"/>
  <c r="I109" i="19"/>
  <c r="J109" i="19"/>
  <c r="N108" i="19"/>
  <c r="L108" i="19"/>
  <c r="M108" i="19"/>
  <c r="K108" i="19"/>
  <c r="J108" i="19"/>
  <c r="I108" i="19"/>
  <c r="N107" i="19"/>
  <c r="L107" i="19"/>
  <c r="M107" i="19"/>
  <c r="K107" i="19"/>
  <c r="J107" i="19"/>
  <c r="I107" i="19"/>
  <c r="N106" i="19"/>
  <c r="O106" i="19"/>
  <c r="P106" i="19"/>
  <c r="L106" i="19"/>
  <c r="M106" i="19"/>
  <c r="K106" i="19"/>
  <c r="J106" i="19"/>
  <c r="I106" i="19"/>
  <c r="N105" i="19"/>
  <c r="L105" i="19"/>
  <c r="M105" i="19"/>
  <c r="K105" i="19"/>
  <c r="J105" i="19"/>
  <c r="I105" i="19"/>
  <c r="N104" i="19"/>
  <c r="L104" i="19"/>
  <c r="M104" i="19"/>
  <c r="K104" i="19"/>
  <c r="I104" i="19"/>
  <c r="J104" i="19"/>
  <c r="N103" i="19"/>
  <c r="O103" i="19"/>
  <c r="P103" i="19"/>
  <c r="L103" i="19"/>
  <c r="M103" i="19"/>
  <c r="K103" i="19"/>
  <c r="I103" i="19"/>
  <c r="J103" i="19"/>
  <c r="P102" i="19"/>
  <c r="N102" i="19"/>
  <c r="L102" i="19"/>
  <c r="M102" i="19"/>
  <c r="K102" i="19"/>
  <c r="O102" i="19"/>
  <c r="J102" i="19"/>
  <c r="I102" i="19"/>
  <c r="N101" i="19"/>
  <c r="L101" i="19"/>
  <c r="M101" i="19"/>
  <c r="K101" i="19"/>
  <c r="O101" i="19"/>
  <c r="I101" i="19"/>
  <c r="J101" i="19"/>
  <c r="N100" i="19"/>
  <c r="L100" i="19"/>
  <c r="M100" i="19"/>
  <c r="K100" i="19"/>
  <c r="I100" i="19"/>
  <c r="J100" i="19"/>
  <c r="N99" i="19"/>
  <c r="O99" i="19"/>
  <c r="P99" i="19"/>
  <c r="M99" i="19"/>
  <c r="L99" i="19"/>
  <c r="K99" i="19"/>
  <c r="J99" i="19"/>
  <c r="I99" i="19"/>
  <c r="N98" i="19"/>
  <c r="L98" i="19"/>
  <c r="M98" i="19"/>
  <c r="K98" i="19"/>
  <c r="I98" i="19"/>
  <c r="J98" i="19"/>
  <c r="N97" i="19"/>
  <c r="L97" i="19"/>
  <c r="M97" i="19"/>
  <c r="K97" i="19"/>
  <c r="O97" i="19"/>
  <c r="P97" i="19"/>
  <c r="J97" i="19"/>
  <c r="I97" i="19"/>
  <c r="N96" i="19"/>
  <c r="O96" i="19"/>
  <c r="M96" i="19"/>
  <c r="L96" i="19"/>
  <c r="K96" i="19"/>
  <c r="J96" i="19"/>
  <c r="I96" i="19"/>
  <c r="N95" i="19"/>
  <c r="L95" i="19"/>
  <c r="M95" i="19"/>
  <c r="K95" i="19"/>
  <c r="I95" i="19"/>
  <c r="J95" i="19"/>
  <c r="O94" i="19"/>
  <c r="P94" i="19"/>
  <c r="N94" i="19"/>
  <c r="L94" i="19"/>
  <c r="M94" i="19"/>
  <c r="K94" i="19"/>
  <c r="J94" i="19"/>
  <c r="I94" i="19"/>
  <c r="N93" i="19"/>
  <c r="L93" i="19"/>
  <c r="M93" i="19"/>
  <c r="K93" i="19"/>
  <c r="J93" i="19"/>
  <c r="I93" i="19"/>
  <c r="O92" i="19"/>
  <c r="P92" i="19"/>
  <c r="N92" i="19"/>
  <c r="M92" i="19"/>
  <c r="L92" i="19"/>
  <c r="K92" i="19"/>
  <c r="I92" i="19"/>
  <c r="J92" i="19"/>
  <c r="N91" i="19"/>
  <c r="L91" i="19"/>
  <c r="M91" i="19"/>
  <c r="K91" i="19"/>
  <c r="I91" i="19"/>
  <c r="J91" i="19"/>
  <c r="N90" i="19"/>
  <c r="L90" i="19"/>
  <c r="M90" i="19"/>
  <c r="K90" i="19"/>
  <c r="O90" i="19"/>
  <c r="J90" i="19"/>
  <c r="I90" i="19"/>
  <c r="N89" i="19"/>
  <c r="O89" i="19"/>
  <c r="P89" i="19"/>
  <c r="L89" i="19"/>
  <c r="M89" i="19"/>
  <c r="K89" i="19"/>
  <c r="I89" i="19"/>
  <c r="J89" i="19"/>
  <c r="N88" i="19"/>
  <c r="L88" i="19"/>
  <c r="M88" i="19"/>
  <c r="K88" i="19"/>
  <c r="I88" i="19"/>
  <c r="J88" i="19"/>
  <c r="O87" i="19"/>
  <c r="P87" i="19"/>
  <c r="N87" i="19"/>
  <c r="L87" i="19"/>
  <c r="M87" i="19"/>
  <c r="K87" i="19"/>
  <c r="J87" i="19"/>
  <c r="I87" i="19"/>
  <c r="N86" i="19"/>
  <c r="M86" i="19"/>
  <c r="L86" i="19"/>
  <c r="K86" i="19"/>
  <c r="I86" i="19"/>
  <c r="J86" i="19"/>
  <c r="N85" i="19"/>
  <c r="L85" i="19"/>
  <c r="M85" i="19"/>
  <c r="K85" i="19"/>
  <c r="O85" i="19"/>
  <c r="P85" i="19"/>
  <c r="I85" i="19"/>
  <c r="J85" i="19"/>
  <c r="N84" i="19"/>
  <c r="O84" i="19"/>
  <c r="P84" i="19"/>
  <c r="L84" i="19"/>
  <c r="M84" i="19"/>
  <c r="K84" i="19"/>
  <c r="J84" i="19"/>
  <c r="I84" i="19"/>
  <c r="N83" i="19"/>
  <c r="L83" i="19"/>
  <c r="M83" i="19"/>
  <c r="K83" i="19"/>
  <c r="J83" i="19"/>
  <c r="I83" i="19"/>
  <c r="N82" i="19"/>
  <c r="O82" i="19"/>
  <c r="L82" i="19"/>
  <c r="M82" i="19"/>
  <c r="K82" i="19"/>
  <c r="J82" i="19"/>
  <c r="I82" i="19"/>
  <c r="N81" i="19"/>
  <c r="O81" i="19"/>
  <c r="P81" i="19"/>
  <c r="M81" i="19"/>
  <c r="L81" i="19"/>
  <c r="K81" i="19"/>
  <c r="J81" i="19"/>
  <c r="I81" i="19"/>
  <c r="P80" i="19"/>
  <c r="N80" i="19"/>
  <c r="L80" i="19"/>
  <c r="M80" i="19"/>
  <c r="K80" i="19"/>
  <c r="O80" i="19"/>
  <c r="I80" i="19"/>
  <c r="J80" i="19"/>
  <c r="N79" i="19"/>
  <c r="L79" i="19"/>
  <c r="M79" i="19"/>
  <c r="K79" i="19"/>
  <c r="I79" i="19"/>
  <c r="J79" i="19"/>
  <c r="O78" i="19"/>
  <c r="P78" i="19"/>
  <c r="N78" i="19"/>
  <c r="L78" i="19"/>
  <c r="M78" i="19"/>
  <c r="K78" i="19"/>
  <c r="J78" i="19"/>
  <c r="I78" i="19"/>
  <c r="N77" i="19"/>
  <c r="O77" i="19"/>
  <c r="P77" i="19"/>
  <c r="M77" i="19"/>
  <c r="L77" i="19"/>
  <c r="K77" i="19"/>
  <c r="I77" i="19"/>
  <c r="J77" i="19"/>
  <c r="N76" i="19"/>
  <c r="L76" i="19"/>
  <c r="M76" i="19"/>
  <c r="K76" i="19"/>
  <c r="J76" i="19"/>
  <c r="I76" i="19"/>
  <c r="P75" i="19"/>
  <c r="O75" i="19"/>
  <c r="N75" i="19"/>
  <c r="M75" i="19"/>
  <c r="L75" i="19"/>
  <c r="K75" i="19"/>
  <c r="J75" i="19"/>
  <c r="I75" i="19"/>
  <c r="N74" i="19"/>
  <c r="O74" i="19"/>
  <c r="P74" i="19"/>
  <c r="M74" i="19"/>
  <c r="L74" i="19"/>
  <c r="K74" i="19"/>
  <c r="I74" i="19"/>
  <c r="J74" i="19"/>
  <c r="N73" i="19"/>
  <c r="L73" i="19"/>
  <c r="M73" i="19"/>
  <c r="K73" i="19"/>
  <c r="I73" i="19"/>
  <c r="J73" i="19"/>
  <c r="N72" i="19"/>
  <c r="O72" i="19"/>
  <c r="P72" i="19"/>
  <c r="L72" i="19"/>
  <c r="M72" i="19"/>
  <c r="K72" i="19"/>
  <c r="J72" i="19"/>
  <c r="I72" i="19"/>
  <c r="N71" i="19"/>
  <c r="L71" i="19"/>
  <c r="M71" i="19"/>
  <c r="K71" i="19"/>
  <c r="I71" i="19"/>
  <c r="J71" i="19"/>
  <c r="O70" i="19"/>
  <c r="P70" i="19"/>
  <c r="N70" i="19"/>
  <c r="L70" i="19"/>
  <c r="M70" i="19"/>
  <c r="K70" i="19"/>
  <c r="I70" i="19"/>
  <c r="J70" i="19"/>
  <c r="N69" i="19"/>
  <c r="O69" i="19"/>
  <c r="P69" i="19"/>
  <c r="L69" i="19"/>
  <c r="M69" i="19"/>
  <c r="K69" i="19"/>
  <c r="J69" i="19"/>
  <c r="I69" i="19"/>
  <c r="N68" i="19"/>
  <c r="L68" i="19"/>
  <c r="M68" i="19"/>
  <c r="K68" i="19"/>
  <c r="I68" i="19"/>
  <c r="J68" i="19"/>
  <c r="N67" i="19"/>
  <c r="O67" i="19"/>
  <c r="P67" i="19"/>
  <c r="L67" i="19"/>
  <c r="M67" i="19"/>
  <c r="K67" i="19"/>
  <c r="I67" i="19"/>
  <c r="J67" i="19"/>
  <c r="N66" i="19"/>
  <c r="M66" i="19"/>
  <c r="L66" i="19"/>
  <c r="K66" i="19"/>
  <c r="J66" i="19"/>
  <c r="I66" i="19"/>
  <c r="P65" i="19"/>
  <c r="N65" i="19"/>
  <c r="M65" i="19"/>
  <c r="L65" i="19"/>
  <c r="K65" i="19"/>
  <c r="O65" i="19"/>
  <c r="I65" i="19"/>
  <c r="J65" i="19"/>
  <c r="O64" i="19"/>
  <c r="P64" i="19"/>
  <c r="N64" i="19"/>
  <c r="L64" i="19"/>
  <c r="M64" i="19"/>
  <c r="K64" i="19"/>
  <c r="I64" i="19"/>
  <c r="J64" i="19"/>
  <c r="N63" i="19"/>
  <c r="L63" i="19"/>
  <c r="M63" i="19"/>
  <c r="K63" i="19"/>
  <c r="J63" i="19"/>
  <c r="I63" i="19"/>
  <c r="O62" i="19"/>
  <c r="P62" i="19"/>
  <c r="N62" i="19"/>
  <c r="L62" i="19"/>
  <c r="M62" i="19"/>
  <c r="K62" i="19"/>
  <c r="J62" i="19"/>
  <c r="I62" i="19"/>
  <c r="N61" i="19"/>
  <c r="L61" i="19"/>
  <c r="M61" i="19"/>
  <c r="K61" i="19"/>
  <c r="J61" i="19"/>
  <c r="I61" i="19"/>
  <c r="N60" i="19"/>
  <c r="O60" i="19"/>
  <c r="L60" i="19"/>
  <c r="M60" i="19"/>
  <c r="K60" i="19"/>
  <c r="J60" i="19"/>
  <c r="I60" i="19"/>
  <c r="N59" i="19"/>
  <c r="L59" i="19"/>
  <c r="M59" i="19"/>
  <c r="K59" i="19"/>
  <c r="I59" i="19"/>
  <c r="J59" i="19"/>
  <c r="N58" i="19"/>
  <c r="L58" i="19"/>
  <c r="M58" i="19"/>
  <c r="K58" i="19"/>
  <c r="I58" i="19"/>
  <c r="J58" i="19"/>
  <c r="N57" i="19"/>
  <c r="L57" i="19"/>
  <c r="M57" i="19"/>
  <c r="K57" i="19"/>
  <c r="J57" i="19"/>
  <c r="I57" i="19"/>
  <c r="N56" i="19"/>
  <c r="O56" i="19"/>
  <c r="P56" i="19"/>
  <c r="M56" i="19"/>
  <c r="L56" i="19"/>
  <c r="K56" i="19"/>
  <c r="J56" i="19"/>
  <c r="I56" i="19"/>
  <c r="N55" i="19"/>
  <c r="O55" i="19"/>
  <c r="P55" i="19"/>
  <c r="L55" i="19"/>
  <c r="M55" i="19"/>
  <c r="K55" i="19"/>
  <c r="I55" i="19"/>
  <c r="J55" i="19"/>
  <c r="N54" i="19"/>
  <c r="L54" i="19"/>
  <c r="M54" i="19"/>
  <c r="K54" i="19"/>
  <c r="J54" i="19"/>
  <c r="I54" i="19"/>
  <c r="P53" i="19"/>
  <c r="N53" i="19"/>
  <c r="O53" i="19"/>
  <c r="L53" i="19"/>
  <c r="M53" i="19"/>
  <c r="K53" i="19"/>
  <c r="I53" i="19"/>
  <c r="J53" i="19"/>
  <c r="N52" i="19"/>
  <c r="L52" i="19"/>
  <c r="M52" i="19"/>
  <c r="K52" i="19"/>
  <c r="J52" i="19"/>
  <c r="I52" i="19"/>
  <c r="N51" i="19"/>
  <c r="L51" i="19"/>
  <c r="M51" i="19"/>
  <c r="K51" i="19"/>
  <c r="J51" i="19"/>
  <c r="I51" i="19"/>
  <c r="N50" i="19"/>
  <c r="O50" i="19"/>
  <c r="P50" i="19"/>
  <c r="M50" i="19"/>
  <c r="L50" i="19"/>
  <c r="K50" i="19"/>
  <c r="I50" i="19"/>
  <c r="J50" i="19"/>
  <c r="N49" i="19"/>
  <c r="L49" i="19"/>
  <c r="M49" i="19"/>
  <c r="K49" i="19"/>
  <c r="I49" i="19"/>
  <c r="J49" i="19"/>
  <c r="O48" i="19"/>
  <c r="P48" i="19"/>
  <c r="N48" i="19"/>
  <c r="L48" i="19"/>
  <c r="M48" i="19"/>
  <c r="K48" i="19"/>
  <c r="J48" i="19"/>
  <c r="I48" i="19"/>
  <c r="N47" i="19"/>
  <c r="L47" i="19"/>
  <c r="M47" i="19"/>
  <c r="K47" i="19"/>
  <c r="J47" i="19"/>
  <c r="I47" i="19"/>
  <c r="N46" i="19"/>
  <c r="L46" i="19"/>
  <c r="M46" i="19"/>
  <c r="K46" i="19"/>
  <c r="I46" i="19"/>
  <c r="J46" i="19"/>
  <c r="P45" i="19"/>
  <c r="O45" i="19"/>
  <c r="N45" i="19"/>
  <c r="M45" i="19"/>
  <c r="L45" i="19"/>
  <c r="K45" i="19"/>
  <c r="J45" i="19"/>
  <c r="I45" i="19"/>
  <c r="N44" i="19"/>
  <c r="L44" i="19"/>
  <c r="M44" i="19"/>
  <c r="K44" i="19"/>
  <c r="J44" i="19"/>
  <c r="I44" i="19"/>
  <c r="N43" i="19"/>
  <c r="L43" i="19"/>
  <c r="M43" i="19"/>
  <c r="K43" i="19"/>
  <c r="I43" i="19"/>
  <c r="J43" i="19"/>
  <c r="N42" i="19"/>
  <c r="O42" i="19"/>
  <c r="P42" i="19"/>
  <c r="L42" i="19"/>
  <c r="M42" i="19"/>
  <c r="K42" i="19"/>
  <c r="J42" i="19"/>
  <c r="I42" i="19"/>
  <c r="N41" i="19"/>
  <c r="L41" i="19"/>
  <c r="M41" i="19"/>
  <c r="K41" i="19"/>
  <c r="I41" i="19"/>
  <c r="J41" i="19"/>
  <c r="N40" i="19"/>
  <c r="L40" i="19"/>
  <c r="M40" i="19"/>
  <c r="K40" i="19"/>
  <c r="O40" i="19"/>
  <c r="I40" i="19"/>
  <c r="J40" i="19"/>
  <c r="N39" i="19"/>
  <c r="L39" i="19"/>
  <c r="M39" i="19"/>
  <c r="K39" i="19"/>
  <c r="J39" i="19"/>
  <c r="I39" i="19"/>
  <c r="O38" i="19"/>
  <c r="P38" i="19"/>
  <c r="N38" i="19"/>
  <c r="M38" i="19"/>
  <c r="L38" i="19"/>
  <c r="K38" i="19"/>
  <c r="I38" i="19"/>
  <c r="J38" i="19"/>
  <c r="O37" i="19"/>
  <c r="P37" i="19"/>
  <c r="N37" i="19"/>
  <c r="L37" i="19"/>
  <c r="M37" i="19"/>
  <c r="K37" i="19"/>
  <c r="J37" i="19"/>
  <c r="I37" i="19"/>
  <c r="N36" i="19"/>
  <c r="L36" i="19"/>
  <c r="M36" i="19"/>
  <c r="K36" i="19"/>
  <c r="J36" i="19"/>
  <c r="I36" i="19"/>
  <c r="N35" i="19"/>
  <c r="O35" i="19"/>
  <c r="M35" i="19"/>
  <c r="L35" i="19"/>
  <c r="K35" i="19"/>
  <c r="I35" i="19"/>
  <c r="J35" i="19"/>
  <c r="N34" i="19"/>
  <c r="L34" i="19"/>
  <c r="M34" i="19"/>
  <c r="K34" i="19"/>
  <c r="I34" i="19"/>
  <c r="J34" i="19"/>
  <c r="P33" i="19"/>
  <c r="N33" i="19"/>
  <c r="L33" i="19"/>
  <c r="M33" i="19"/>
  <c r="K33" i="19"/>
  <c r="O33" i="19"/>
  <c r="J33" i="19"/>
  <c r="I33" i="19"/>
  <c r="N32" i="19"/>
  <c r="L32" i="19"/>
  <c r="M32" i="19"/>
  <c r="K32" i="19"/>
  <c r="I32" i="19"/>
  <c r="J32" i="19"/>
  <c r="N31" i="19"/>
  <c r="L31" i="19"/>
  <c r="M31" i="19"/>
  <c r="K31" i="19"/>
  <c r="J31" i="19"/>
  <c r="I31" i="19"/>
  <c r="N30" i="19"/>
  <c r="O30" i="19"/>
  <c r="P30" i="19"/>
  <c r="L30" i="19"/>
  <c r="M30" i="19"/>
  <c r="K30" i="19"/>
  <c r="J30" i="19"/>
  <c r="I30" i="19"/>
  <c r="N29" i="19"/>
  <c r="L29" i="19"/>
  <c r="M29" i="19"/>
  <c r="K29" i="19"/>
  <c r="J29" i="19"/>
  <c r="I29" i="19"/>
  <c r="N28" i="19"/>
  <c r="L28" i="19"/>
  <c r="M28" i="19"/>
  <c r="K28" i="19"/>
  <c r="I28" i="19"/>
  <c r="J28" i="19"/>
  <c r="N27" i="19"/>
  <c r="O27" i="19"/>
  <c r="P27" i="19"/>
  <c r="L27" i="19"/>
  <c r="M27" i="19"/>
  <c r="K27" i="19"/>
  <c r="J27" i="19"/>
  <c r="I27" i="19"/>
  <c r="N26" i="19"/>
  <c r="L26" i="19"/>
  <c r="M26" i="19"/>
  <c r="K26" i="19"/>
  <c r="I26" i="19"/>
  <c r="J26" i="19"/>
  <c r="O25" i="19"/>
  <c r="P25" i="19"/>
  <c r="N25" i="19"/>
  <c r="L25" i="19"/>
  <c r="M25" i="19"/>
  <c r="K25" i="19"/>
  <c r="I25" i="19"/>
  <c r="J25" i="19"/>
  <c r="N24" i="19"/>
  <c r="L24" i="19"/>
  <c r="M24" i="19"/>
  <c r="K24" i="19"/>
  <c r="J24" i="19"/>
  <c r="I24" i="19"/>
  <c r="N23" i="19"/>
  <c r="L23" i="19"/>
  <c r="M23" i="19"/>
  <c r="K23" i="19"/>
  <c r="J23" i="19"/>
  <c r="I23" i="19"/>
  <c r="N22" i="19"/>
  <c r="O22" i="19"/>
  <c r="P22" i="19"/>
  <c r="L22" i="19"/>
  <c r="M22" i="19"/>
  <c r="K22" i="19"/>
  <c r="J22" i="19"/>
  <c r="I22" i="19"/>
  <c r="N21" i="19"/>
  <c r="L21" i="19"/>
  <c r="M21" i="19"/>
  <c r="K21" i="19"/>
  <c r="J21" i="19"/>
  <c r="I21" i="19"/>
  <c r="O20" i="19"/>
  <c r="N20" i="19"/>
  <c r="M20" i="19"/>
  <c r="L20" i="19"/>
  <c r="K20" i="19"/>
  <c r="I20" i="19"/>
  <c r="J20" i="19"/>
  <c r="N19" i="19"/>
  <c r="O19" i="19"/>
  <c r="P19" i="19"/>
  <c r="L19" i="19"/>
  <c r="M19" i="19"/>
  <c r="K19" i="19"/>
  <c r="J19" i="19"/>
  <c r="I19" i="19"/>
  <c r="N18" i="19"/>
  <c r="L18" i="19"/>
  <c r="M18" i="19"/>
  <c r="K18" i="19"/>
  <c r="J18" i="19"/>
  <c r="I18" i="19"/>
  <c r="N17" i="19"/>
  <c r="O17" i="19"/>
  <c r="M17" i="19"/>
  <c r="L17" i="19"/>
  <c r="K17" i="19"/>
  <c r="I17" i="19"/>
  <c r="J17" i="19"/>
  <c r="N16" i="19"/>
  <c r="L16" i="19"/>
  <c r="M16" i="19"/>
  <c r="K16" i="19"/>
  <c r="I16" i="19"/>
  <c r="J16" i="19"/>
  <c r="N15" i="19"/>
  <c r="L15" i="19"/>
  <c r="M15" i="19"/>
  <c r="K15" i="19"/>
  <c r="O15" i="19"/>
  <c r="P15" i="19"/>
  <c r="J15" i="19"/>
  <c r="I15" i="19"/>
  <c r="N14" i="19"/>
  <c r="L14" i="19"/>
  <c r="M14" i="19"/>
  <c r="K14" i="19"/>
  <c r="I14" i="19"/>
  <c r="J14" i="19"/>
  <c r="N13" i="19"/>
  <c r="L13" i="19"/>
  <c r="M13" i="19"/>
  <c r="K13" i="19"/>
  <c r="J13" i="19"/>
  <c r="I13" i="19"/>
  <c r="N12" i="19"/>
  <c r="O12" i="19"/>
  <c r="P12" i="19"/>
  <c r="L12" i="19"/>
  <c r="M12" i="19"/>
  <c r="K12" i="19"/>
  <c r="J12" i="19"/>
  <c r="I12" i="19"/>
  <c r="N11" i="19"/>
  <c r="L11" i="19"/>
  <c r="M11" i="19"/>
  <c r="K11" i="19"/>
  <c r="J11" i="19"/>
  <c r="I11" i="19"/>
  <c r="N10" i="19"/>
  <c r="L10" i="19"/>
  <c r="M10" i="19"/>
  <c r="K10" i="19"/>
  <c r="I10" i="19"/>
  <c r="J10" i="19"/>
  <c r="N9" i="19"/>
  <c r="O9" i="19"/>
  <c r="P9" i="19"/>
  <c r="L9" i="19"/>
  <c r="M9" i="19"/>
  <c r="K9" i="19"/>
  <c r="I9" i="19"/>
  <c r="J9" i="19"/>
  <c r="N8" i="19"/>
  <c r="L8" i="19"/>
  <c r="M8" i="19"/>
  <c r="K8" i="19"/>
  <c r="I8" i="19"/>
  <c r="J8" i="19"/>
  <c r="N7" i="19"/>
  <c r="O7" i="19"/>
  <c r="P7" i="19"/>
  <c r="L7" i="19"/>
  <c r="M7" i="19"/>
  <c r="K7" i="19"/>
  <c r="I7" i="19"/>
  <c r="J7" i="19"/>
  <c r="N6" i="19"/>
  <c r="L6" i="19"/>
  <c r="M6" i="19"/>
  <c r="K6" i="19"/>
  <c r="I6" i="19"/>
  <c r="J6" i="19"/>
  <c r="N400" i="16"/>
  <c r="L400" i="16"/>
  <c r="M400" i="16"/>
  <c r="K400" i="16"/>
  <c r="J400" i="16"/>
  <c r="I400" i="16"/>
  <c r="N399" i="16"/>
  <c r="O399" i="16"/>
  <c r="P399" i="16"/>
  <c r="L399" i="16"/>
  <c r="M399" i="16"/>
  <c r="K399" i="16"/>
  <c r="I399" i="16"/>
  <c r="J399" i="16"/>
  <c r="N398" i="16"/>
  <c r="M398" i="16"/>
  <c r="L398" i="16"/>
  <c r="K398" i="16"/>
  <c r="I398" i="16"/>
  <c r="J398" i="16"/>
  <c r="P397" i="16"/>
  <c r="N397" i="16"/>
  <c r="L397" i="16"/>
  <c r="M397" i="16"/>
  <c r="K397" i="16"/>
  <c r="O397" i="16"/>
  <c r="I397" i="16"/>
  <c r="J397" i="16"/>
  <c r="P396" i="16"/>
  <c r="N396" i="16"/>
  <c r="O396" i="16"/>
  <c r="L396" i="16"/>
  <c r="M396" i="16"/>
  <c r="K396" i="16"/>
  <c r="I396" i="16"/>
  <c r="J396" i="16"/>
  <c r="N395" i="16"/>
  <c r="L395" i="16"/>
  <c r="M395" i="16"/>
  <c r="K395" i="16"/>
  <c r="I395" i="16"/>
  <c r="J395" i="16"/>
  <c r="P394" i="16"/>
  <c r="N394" i="16"/>
  <c r="L394" i="16"/>
  <c r="M394" i="16"/>
  <c r="K394" i="16"/>
  <c r="O394" i="16"/>
  <c r="J394" i="16"/>
  <c r="I394" i="16"/>
  <c r="N393" i="16"/>
  <c r="O393" i="16"/>
  <c r="P393" i="16"/>
  <c r="L393" i="16"/>
  <c r="M393" i="16"/>
  <c r="K393" i="16"/>
  <c r="I393" i="16"/>
  <c r="J393" i="16"/>
  <c r="P392" i="16"/>
  <c r="O392" i="16"/>
  <c r="N392" i="16"/>
  <c r="M392" i="16"/>
  <c r="L392" i="16"/>
  <c r="K392" i="16"/>
  <c r="I392" i="16"/>
  <c r="J392" i="16"/>
  <c r="N391" i="16"/>
  <c r="L391" i="16"/>
  <c r="M391" i="16"/>
  <c r="K391" i="16"/>
  <c r="I391" i="16"/>
  <c r="J391" i="16"/>
  <c r="P390" i="16"/>
  <c r="O390" i="16"/>
  <c r="N390" i="16"/>
  <c r="L390" i="16"/>
  <c r="M390" i="16"/>
  <c r="K390" i="16"/>
  <c r="I390" i="16"/>
  <c r="J390" i="16"/>
  <c r="N389" i="16"/>
  <c r="L389" i="16"/>
  <c r="M389" i="16"/>
  <c r="K389" i="16"/>
  <c r="J389" i="16"/>
  <c r="I389" i="16"/>
  <c r="N388" i="16"/>
  <c r="L388" i="16"/>
  <c r="M388" i="16"/>
  <c r="K388" i="16"/>
  <c r="I388" i="16"/>
  <c r="J388" i="16"/>
  <c r="N387" i="16"/>
  <c r="O387" i="16"/>
  <c r="P387" i="16"/>
  <c r="M387" i="16"/>
  <c r="L387" i="16"/>
  <c r="K387" i="16"/>
  <c r="I387" i="16"/>
  <c r="J387" i="16"/>
  <c r="N386" i="16"/>
  <c r="L386" i="16"/>
  <c r="M386" i="16"/>
  <c r="K386" i="16"/>
  <c r="I386" i="16"/>
  <c r="J386" i="16"/>
  <c r="P385" i="16"/>
  <c r="N385" i="16"/>
  <c r="L385" i="16"/>
  <c r="M385" i="16"/>
  <c r="K385" i="16"/>
  <c r="O385" i="16"/>
  <c r="I385" i="16"/>
  <c r="J385" i="16"/>
  <c r="N384" i="16"/>
  <c r="O384" i="16"/>
  <c r="P384" i="16"/>
  <c r="M384" i="16"/>
  <c r="L384" i="16"/>
  <c r="K384" i="16"/>
  <c r="I384" i="16"/>
  <c r="J384" i="16"/>
  <c r="O383" i="16"/>
  <c r="N383" i="16"/>
  <c r="M383" i="16"/>
  <c r="L383" i="16"/>
  <c r="K383" i="16"/>
  <c r="J383" i="16"/>
  <c r="I383" i="16"/>
  <c r="P382" i="16"/>
  <c r="N382" i="16"/>
  <c r="M382" i="16"/>
  <c r="L382" i="16"/>
  <c r="K382" i="16"/>
  <c r="O382" i="16"/>
  <c r="J382" i="16"/>
  <c r="I382" i="16"/>
  <c r="N381" i="16"/>
  <c r="O381" i="16"/>
  <c r="P381" i="16"/>
  <c r="M381" i="16"/>
  <c r="L381" i="16"/>
  <c r="K381" i="16"/>
  <c r="I381" i="16"/>
  <c r="J381" i="16"/>
  <c r="N380" i="16"/>
  <c r="M380" i="16"/>
  <c r="L380" i="16"/>
  <c r="K380" i="16"/>
  <c r="J380" i="16"/>
  <c r="I380" i="16"/>
  <c r="P379" i="16"/>
  <c r="N379" i="16"/>
  <c r="M379" i="16"/>
  <c r="L379" i="16"/>
  <c r="K379" i="16"/>
  <c r="O379" i="16"/>
  <c r="I379" i="16"/>
  <c r="J379" i="16"/>
  <c r="N378" i="16"/>
  <c r="O378" i="16"/>
  <c r="P378" i="16"/>
  <c r="M378" i="16"/>
  <c r="L378" i="16"/>
  <c r="K378" i="16"/>
  <c r="I378" i="16"/>
  <c r="J378" i="16"/>
  <c r="N377" i="16"/>
  <c r="L377" i="16"/>
  <c r="M377" i="16"/>
  <c r="K377" i="16"/>
  <c r="I377" i="16"/>
  <c r="J377" i="16"/>
  <c r="P376" i="16"/>
  <c r="N376" i="16"/>
  <c r="L376" i="16"/>
  <c r="M376" i="16"/>
  <c r="K376" i="16"/>
  <c r="O376" i="16"/>
  <c r="J376" i="16"/>
  <c r="I376" i="16"/>
  <c r="N375" i="16"/>
  <c r="O375" i="16"/>
  <c r="P375" i="16"/>
  <c r="L375" i="16"/>
  <c r="M375" i="16"/>
  <c r="K375" i="16"/>
  <c r="I375" i="16"/>
  <c r="J375" i="16"/>
  <c r="N374" i="16"/>
  <c r="O374" i="16"/>
  <c r="P374" i="16"/>
  <c r="M374" i="16"/>
  <c r="L374" i="16"/>
  <c r="K374" i="16"/>
  <c r="I374" i="16"/>
  <c r="J374" i="16"/>
  <c r="N373" i="16"/>
  <c r="L373" i="16"/>
  <c r="M373" i="16"/>
  <c r="K373" i="16"/>
  <c r="I373" i="16"/>
  <c r="J373" i="16"/>
  <c r="P372" i="16"/>
  <c r="O372" i="16"/>
  <c r="N372" i="16"/>
  <c r="L372" i="16"/>
  <c r="M372" i="16"/>
  <c r="K372" i="16"/>
  <c r="I372" i="16"/>
  <c r="J372" i="16"/>
  <c r="N371" i="16"/>
  <c r="L371" i="16"/>
  <c r="M371" i="16"/>
  <c r="K371" i="16"/>
  <c r="J371" i="16"/>
  <c r="I371" i="16"/>
  <c r="N370" i="16"/>
  <c r="L370" i="16"/>
  <c r="M370" i="16"/>
  <c r="K370" i="16"/>
  <c r="J370" i="16"/>
  <c r="I370" i="16"/>
  <c r="O369" i="16"/>
  <c r="P369" i="16"/>
  <c r="N369" i="16"/>
  <c r="M369" i="16"/>
  <c r="L369" i="16"/>
  <c r="K369" i="16"/>
  <c r="I369" i="16"/>
  <c r="J369" i="16"/>
  <c r="N368" i="16"/>
  <c r="O368" i="16"/>
  <c r="M368" i="16"/>
  <c r="L368" i="16"/>
  <c r="K368" i="16"/>
  <c r="I368" i="16"/>
  <c r="J368" i="16"/>
  <c r="P367" i="16"/>
  <c r="N367" i="16"/>
  <c r="L367" i="16"/>
  <c r="M367" i="16"/>
  <c r="K367" i="16"/>
  <c r="O367" i="16"/>
  <c r="J367" i="16"/>
  <c r="I367" i="16"/>
  <c r="O366" i="16"/>
  <c r="P366" i="16"/>
  <c r="N366" i="16"/>
  <c r="L366" i="16"/>
  <c r="M366" i="16"/>
  <c r="K366" i="16"/>
  <c r="I366" i="16"/>
  <c r="J366" i="16"/>
  <c r="O365" i="16"/>
  <c r="N365" i="16"/>
  <c r="L365" i="16"/>
  <c r="M365" i="16"/>
  <c r="K365" i="16"/>
  <c r="I365" i="16"/>
  <c r="J365" i="16"/>
  <c r="P364" i="16"/>
  <c r="N364" i="16"/>
  <c r="M364" i="16"/>
  <c r="L364" i="16"/>
  <c r="K364" i="16"/>
  <c r="O364" i="16"/>
  <c r="J364" i="16"/>
  <c r="I364" i="16"/>
  <c r="N363" i="16"/>
  <c r="O363" i="16"/>
  <c r="P363" i="16"/>
  <c r="L363" i="16"/>
  <c r="M363" i="16"/>
  <c r="K363" i="16"/>
  <c r="I363" i="16"/>
  <c r="J363" i="16"/>
  <c r="N362" i="16"/>
  <c r="M362" i="16"/>
  <c r="L362" i="16"/>
  <c r="K362" i="16"/>
  <c r="J362" i="16"/>
  <c r="I362" i="16"/>
  <c r="P361" i="16"/>
  <c r="N361" i="16"/>
  <c r="M361" i="16"/>
  <c r="L361" i="16"/>
  <c r="K361" i="16"/>
  <c r="O361" i="16"/>
  <c r="I361" i="16"/>
  <c r="J361" i="16"/>
  <c r="P360" i="16"/>
  <c r="N360" i="16"/>
  <c r="O360" i="16"/>
  <c r="L360" i="16"/>
  <c r="M360" i="16"/>
  <c r="K360" i="16"/>
  <c r="I360" i="16"/>
  <c r="J360" i="16"/>
  <c r="O359" i="16"/>
  <c r="P359" i="16"/>
  <c r="N359" i="16"/>
  <c r="L359" i="16"/>
  <c r="M359" i="16"/>
  <c r="K359" i="16"/>
  <c r="I359" i="16"/>
  <c r="J359" i="16"/>
  <c r="P358" i="16"/>
  <c r="N358" i="16"/>
  <c r="M358" i="16"/>
  <c r="L358" i="16"/>
  <c r="K358" i="16"/>
  <c r="O358" i="16"/>
  <c r="J358" i="16"/>
  <c r="I358" i="16"/>
  <c r="N357" i="16"/>
  <c r="O357" i="16"/>
  <c r="P357" i="16"/>
  <c r="L357" i="16"/>
  <c r="M357" i="16"/>
  <c r="K357" i="16"/>
  <c r="I357" i="16"/>
  <c r="J357" i="16"/>
  <c r="O356" i="16"/>
  <c r="P356" i="16"/>
  <c r="N356" i="16"/>
  <c r="L356" i="16"/>
  <c r="M356" i="16"/>
  <c r="K356" i="16"/>
  <c r="I356" i="16"/>
  <c r="J356" i="16"/>
  <c r="N355" i="16"/>
  <c r="L355" i="16"/>
  <c r="M355" i="16"/>
  <c r="K355" i="16"/>
  <c r="J355" i="16"/>
  <c r="I355" i="16"/>
  <c r="P354" i="16"/>
  <c r="O354" i="16"/>
  <c r="N354" i="16"/>
  <c r="L354" i="16"/>
  <c r="M354" i="16"/>
  <c r="K354" i="16"/>
  <c r="I354" i="16"/>
  <c r="J354" i="16"/>
  <c r="N353" i="16"/>
  <c r="O353" i="16"/>
  <c r="P353" i="16"/>
  <c r="M353" i="16"/>
  <c r="L353" i="16"/>
  <c r="K353" i="16"/>
  <c r="J353" i="16"/>
  <c r="I353" i="16"/>
  <c r="N352" i="16"/>
  <c r="L352" i="16"/>
  <c r="M352" i="16"/>
  <c r="K352" i="16"/>
  <c r="J352" i="16"/>
  <c r="I352" i="16"/>
  <c r="O351" i="16"/>
  <c r="P351" i="16"/>
  <c r="N351" i="16"/>
  <c r="M351" i="16"/>
  <c r="L351" i="16"/>
  <c r="K351" i="16"/>
  <c r="I351" i="16"/>
  <c r="J351" i="16"/>
  <c r="N350" i="16"/>
  <c r="O350" i="16"/>
  <c r="M350" i="16"/>
  <c r="L350" i="16"/>
  <c r="K350" i="16"/>
  <c r="I350" i="16"/>
  <c r="J350" i="16"/>
  <c r="P349" i="16"/>
  <c r="N349" i="16"/>
  <c r="L349" i="16"/>
  <c r="M349" i="16"/>
  <c r="K349" i="16"/>
  <c r="O349" i="16"/>
  <c r="I349" i="16"/>
  <c r="J349" i="16"/>
  <c r="N348" i="16"/>
  <c r="O348" i="16"/>
  <c r="P348" i="16"/>
  <c r="M348" i="16"/>
  <c r="L348" i="16"/>
  <c r="K348" i="16"/>
  <c r="I348" i="16"/>
  <c r="J348" i="16"/>
  <c r="N347" i="16"/>
  <c r="M347" i="16"/>
  <c r="L347" i="16"/>
  <c r="K347" i="16"/>
  <c r="I347" i="16"/>
  <c r="J347" i="16"/>
  <c r="P346" i="16"/>
  <c r="N346" i="16"/>
  <c r="M346" i="16"/>
  <c r="L346" i="16"/>
  <c r="K346" i="16"/>
  <c r="O346" i="16"/>
  <c r="J346" i="16"/>
  <c r="I346" i="16"/>
  <c r="N345" i="16"/>
  <c r="O345" i="16"/>
  <c r="P345" i="16"/>
  <c r="L345" i="16"/>
  <c r="M345" i="16"/>
  <c r="K345" i="16"/>
  <c r="I345" i="16"/>
  <c r="J345" i="16"/>
  <c r="P344" i="16"/>
  <c r="N344" i="16"/>
  <c r="M344" i="16"/>
  <c r="L344" i="16"/>
  <c r="K344" i="16"/>
  <c r="O344" i="16"/>
  <c r="J344" i="16"/>
  <c r="I344" i="16"/>
  <c r="N343" i="16"/>
  <c r="L343" i="16"/>
  <c r="M343" i="16"/>
  <c r="K343" i="16"/>
  <c r="I343" i="16"/>
  <c r="J343" i="16"/>
  <c r="P342" i="16"/>
  <c r="N342" i="16"/>
  <c r="O342" i="16"/>
  <c r="M342" i="16"/>
  <c r="L342" i="16"/>
  <c r="K342" i="16"/>
  <c r="I342" i="16"/>
  <c r="J342" i="16"/>
  <c r="N341" i="16"/>
  <c r="L341" i="16"/>
  <c r="M341" i="16"/>
  <c r="K341" i="16"/>
  <c r="I341" i="16"/>
  <c r="J341" i="16"/>
  <c r="P340" i="16"/>
  <c r="N340" i="16"/>
  <c r="M340" i="16"/>
  <c r="L340" i="16"/>
  <c r="K340" i="16"/>
  <c r="O340" i="16"/>
  <c r="I340" i="16"/>
  <c r="J340" i="16"/>
  <c r="N339" i="16"/>
  <c r="O339" i="16"/>
  <c r="P339" i="16"/>
  <c r="L339" i="16"/>
  <c r="M339" i="16"/>
  <c r="K339" i="16"/>
  <c r="I339" i="16"/>
  <c r="J339" i="16"/>
  <c r="O338" i="16"/>
  <c r="P338" i="16"/>
  <c r="N338" i="16"/>
  <c r="M338" i="16"/>
  <c r="L338" i="16"/>
  <c r="K338" i="16"/>
  <c r="I338" i="16"/>
  <c r="J338" i="16"/>
  <c r="N337" i="16"/>
  <c r="L337" i="16"/>
  <c r="M337" i="16"/>
  <c r="K337" i="16"/>
  <c r="J337" i="16"/>
  <c r="I337" i="16"/>
  <c r="P336" i="16"/>
  <c r="O336" i="16"/>
  <c r="N336" i="16"/>
  <c r="L336" i="16"/>
  <c r="M336" i="16"/>
  <c r="K336" i="16"/>
  <c r="I336" i="16"/>
  <c r="J336" i="16"/>
  <c r="N335" i="16"/>
  <c r="L335" i="16"/>
  <c r="M335" i="16"/>
  <c r="K335" i="16"/>
  <c r="J335" i="16"/>
  <c r="I335" i="16"/>
  <c r="N334" i="16"/>
  <c r="L334" i="16"/>
  <c r="M334" i="16"/>
  <c r="K334" i="16"/>
  <c r="I334" i="16"/>
  <c r="J334" i="16"/>
  <c r="N333" i="16"/>
  <c r="O333" i="16"/>
  <c r="P333" i="16"/>
  <c r="M333" i="16"/>
  <c r="L333" i="16"/>
  <c r="K333" i="16"/>
  <c r="I333" i="16"/>
  <c r="J333" i="16"/>
  <c r="N332" i="16"/>
  <c r="M332" i="16"/>
  <c r="L332" i="16"/>
  <c r="K332" i="16"/>
  <c r="I332" i="16"/>
  <c r="J332" i="16"/>
  <c r="P331" i="16"/>
  <c r="N331" i="16"/>
  <c r="L331" i="16"/>
  <c r="M331" i="16"/>
  <c r="K331" i="16"/>
  <c r="O331" i="16"/>
  <c r="J331" i="16"/>
  <c r="I331" i="16"/>
  <c r="O330" i="16"/>
  <c r="P330" i="16"/>
  <c r="N330" i="16"/>
  <c r="L330" i="16"/>
  <c r="M330" i="16"/>
  <c r="K330" i="16"/>
  <c r="I330" i="16"/>
  <c r="J330" i="16"/>
  <c r="O329" i="16"/>
  <c r="N329" i="16"/>
  <c r="M329" i="16"/>
  <c r="L329" i="16"/>
  <c r="K329" i="16"/>
  <c r="I329" i="16"/>
  <c r="J329" i="16"/>
  <c r="P328" i="16"/>
  <c r="N328" i="16"/>
  <c r="M328" i="16"/>
  <c r="L328" i="16"/>
  <c r="K328" i="16"/>
  <c r="O328" i="16"/>
  <c r="J328" i="16"/>
  <c r="I328" i="16"/>
  <c r="P327" i="16"/>
  <c r="O327" i="16"/>
  <c r="N327" i="16"/>
  <c r="L327" i="16"/>
  <c r="M327" i="16"/>
  <c r="K327" i="16"/>
  <c r="I327" i="16"/>
  <c r="J327" i="16"/>
  <c r="N326" i="16"/>
  <c r="M326" i="16"/>
  <c r="L326" i="16"/>
  <c r="K326" i="16"/>
  <c r="O326" i="16"/>
  <c r="J326" i="16"/>
  <c r="I326" i="16"/>
  <c r="N325" i="16"/>
  <c r="M325" i="16"/>
  <c r="L325" i="16"/>
  <c r="K325" i="16"/>
  <c r="J325" i="16"/>
  <c r="I325" i="16"/>
  <c r="N324" i="16"/>
  <c r="O324" i="16"/>
  <c r="P324" i="16"/>
  <c r="L324" i="16"/>
  <c r="M324" i="16"/>
  <c r="K324" i="16"/>
  <c r="I324" i="16"/>
  <c r="J324" i="16"/>
  <c r="O323" i="16"/>
  <c r="N323" i="16"/>
  <c r="M323" i="16"/>
  <c r="L323" i="16"/>
  <c r="K323" i="16"/>
  <c r="I323" i="16"/>
  <c r="J323" i="16"/>
  <c r="P322" i="16"/>
  <c r="N322" i="16"/>
  <c r="M322" i="16"/>
  <c r="L322" i="16"/>
  <c r="K322" i="16"/>
  <c r="O322" i="16"/>
  <c r="I322" i="16"/>
  <c r="J322" i="16"/>
  <c r="N321" i="16"/>
  <c r="O321" i="16"/>
  <c r="P321" i="16"/>
  <c r="L321" i="16"/>
  <c r="M321" i="16"/>
  <c r="K321" i="16"/>
  <c r="I321" i="16"/>
  <c r="J321" i="16"/>
  <c r="P320" i="16"/>
  <c r="O320" i="16"/>
  <c r="N320" i="16"/>
  <c r="M320" i="16"/>
  <c r="L320" i="16"/>
  <c r="K320" i="16"/>
  <c r="I320" i="16"/>
  <c r="J320" i="16"/>
  <c r="N319" i="16"/>
  <c r="L319" i="16"/>
  <c r="M319" i="16"/>
  <c r="K319" i="16"/>
  <c r="I319" i="16"/>
  <c r="J319" i="16"/>
  <c r="P318" i="16"/>
  <c r="O318" i="16"/>
  <c r="N318" i="16"/>
  <c r="L318" i="16"/>
  <c r="M318" i="16"/>
  <c r="K318" i="16"/>
  <c r="I318" i="16"/>
  <c r="J318" i="16"/>
  <c r="N317" i="16"/>
  <c r="L317" i="16"/>
  <c r="M317" i="16"/>
  <c r="K317" i="16"/>
  <c r="J317" i="16"/>
  <c r="I317" i="16"/>
  <c r="N316" i="16"/>
  <c r="L316" i="16"/>
  <c r="M316" i="16"/>
  <c r="K316" i="16"/>
  <c r="I316" i="16"/>
  <c r="J316" i="16"/>
  <c r="N315" i="16"/>
  <c r="O315" i="16"/>
  <c r="P315" i="16"/>
  <c r="M315" i="16"/>
  <c r="L315" i="16"/>
  <c r="K315" i="16"/>
  <c r="I315" i="16"/>
  <c r="J315" i="16"/>
  <c r="O314" i="16"/>
  <c r="N314" i="16"/>
  <c r="M314" i="16"/>
  <c r="L314" i="16"/>
  <c r="K314" i="16"/>
  <c r="I314" i="16"/>
  <c r="J314" i="16"/>
  <c r="P313" i="16"/>
  <c r="N313" i="16"/>
  <c r="L313" i="16"/>
  <c r="M313" i="16"/>
  <c r="K313" i="16"/>
  <c r="O313" i="16"/>
  <c r="I313" i="16"/>
  <c r="J313" i="16"/>
  <c r="P312" i="16"/>
  <c r="O312" i="16"/>
  <c r="N312" i="16"/>
  <c r="M312" i="16"/>
  <c r="L312" i="16"/>
  <c r="K312" i="16"/>
  <c r="I312" i="16"/>
  <c r="J312" i="16"/>
  <c r="N311" i="16"/>
  <c r="L311" i="16"/>
  <c r="M311" i="16"/>
  <c r="K311" i="16"/>
  <c r="J311" i="16"/>
  <c r="I311" i="16"/>
  <c r="P310" i="16"/>
  <c r="N310" i="16"/>
  <c r="M310" i="16"/>
  <c r="L310" i="16"/>
  <c r="K310" i="16"/>
  <c r="O310" i="16"/>
  <c r="J310" i="16"/>
  <c r="I310" i="16"/>
  <c r="O309" i="16"/>
  <c r="P309" i="16"/>
  <c r="N309" i="16"/>
  <c r="M309" i="16"/>
  <c r="L309" i="16"/>
  <c r="K309" i="16"/>
  <c r="I309" i="16"/>
  <c r="J309" i="16"/>
  <c r="N308" i="16"/>
  <c r="M308" i="16"/>
  <c r="L308" i="16"/>
  <c r="K308" i="16"/>
  <c r="J308" i="16"/>
  <c r="I308" i="16"/>
  <c r="P307" i="16"/>
  <c r="N307" i="16"/>
  <c r="M307" i="16"/>
  <c r="L307" i="16"/>
  <c r="K307" i="16"/>
  <c r="O307" i="16"/>
  <c r="J307" i="16"/>
  <c r="I307" i="16"/>
  <c r="N306" i="16"/>
  <c r="O306" i="16"/>
  <c r="P306" i="16"/>
  <c r="L306" i="16"/>
  <c r="M306" i="16"/>
  <c r="K306" i="16"/>
  <c r="I306" i="16"/>
  <c r="J306" i="16"/>
  <c r="P305" i="16"/>
  <c r="N305" i="16"/>
  <c r="M305" i="16"/>
  <c r="L305" i="16"/>
  <c r="K305" i="16"/>
  <c r="O305" i="16"/>
  <c r="I305" i="16"/>
  <c r="J305" i="16"/>
  <c r="N304" i="16"/>
  <c r="L304" i="16"/>
  <c r="M304" i="16"/>
  <c r="K304" i="16"/>
  <c r="J304" i="16"/>
  <c r="I304" i="16"/>
  <c r="N303" i="16"/>
  <c r="O303" i="16"/>
  <c r="P303" i="16"/>
  <c r="L303" i="16"/>
  <c r="M303" i="16"/>
  <c r="K303" i="16"/>
  <c r="I303" i="16"/>
  <c r="J303" i="16"/>
  <c r="N302" i="16"/>
  <c r="O302" i="16"/>
  <c r="P302" i="16"/>
  <c r="L302" i="16"/>
  <c r="M302" i="16"/>
  <c r="K302" i="16"/>
  <c r="I302" i="16"/>
  <c r="J302" i="16"/>
  <c r="N301" i="16"/>
  <c r="L301" i="16"/>
  <c r="M301" i="16"/>
  <c r="K301" i="16"/>
  <c r="J301" i="16"/>
  <c r="I301" i="16"/>
  <c r="P300" i="16"/>
  <c r="O300" i="16"/>
  <c r="N300" i="16"/>
  <c r="L300" i="16"/>
  <c r="M300" i="16"/>
  <c r="K300" i="16"/>
  <c r="I300" i="16"/>
  <c r="J300" i="16"/>
  <c r="N299" i="16"/>
  <c r="L299" i="16"/>
  <c r="M299" i="16"/>
  <c r="K299" i="16"/>
  <c r="J299" i="16"/>
  <c r="I299" i="16"/>
  <c r="N298" i="16"/>
  <c r="L298" i="16"/>
  <c r="M298" i="16"/>
  <c r="K298" i="16"/>
  <c r="J298" i="16"/>
  <c r="I298" i="16"/>
  <c r="O297" i="16"/>
  <c r="P297" i="16"/>
  <c r="N297" i="16"/>
  <c r="M297" i="16"/>
  <c r="L297" i="16"/>
  <c r="K297" i="16"/>
  <c r="I297" i="16"/>
  <c r="J297" i="16"/>
  <c r="O296" i="16"/>
  <c r="N296" i="16"/>
  <c r="M296" i="16"/>
  <c r="L296" i="16"/>
  <c r="K296" i="16"/>
  <c r="I296" i="16"/>
  <c r="J296" i="16"/>
  <c r="P295" i="16"/>
  <c r="N295" i="16"/>
  <c r="L295" i="16"/>
  <c r="M295" i="16"/>
  <c r="K295" i="16"/>
  <c r="O295" i="16"/>
  <c r="J295" i="16"/>
  <c r="I295" i="16"/>
  <c r="N294" i="16"/>
  <c r="O294" i="16"/>
  <c r="P294" i="16"/>
  <c r="M294" i="16"/>
  <c r="L294" i="16"/>
  <c r="K294" i="16"/>
  <c r="I294" i="16"/>
  <c r="J294" i="16"/>
  <c r="O293" i="16"/>
  <c r="N293" i="16"/>
  <c r="L293" i="16"/>
  <c r="M293" i="16"/>
  <c r="K293" i="16"/>
  <c r="J293" i="16"/>
  <c r="I293" i="16"/>
  <c r="P292" i="16"/>
  <c r="N292" i="16"/>
  <c r="M292" i="16"/>
  <c r="L292" i="16"/>
  <c r="K292" i="16"/>
  <c r="O292" i="16"/>
  <c r="J292" i="16"/>
  <c r="I292" i="16"/>
  <c r="O291" i="16"/>
  <c r="P291" i="16"/>
  <c r="N291" i="16"/>
  <c r="M291" i="16"/>
  <c r="L291" i="16"/>
  <c r="K291" i="16"/>
  <c r="I291" i="16"/>
  <c r="J291" i="16"/>
  <c r="N290" i="16"/>
  <c r="M290" i="16"/>
  <c r="L290" i="16"/>
  <c r="K290" i="16"/>
  <c r="I290" i="16"/>
  <c r="J290" i="16"/>
  <c r="P289" i="16"/>
  <c r="N289" i="16"/>
  <c r="M289" i="16"/>
  <c r="L289" i="16"/>
  <c r="K289" i="16"/>
  <c r="O289" i="16"/>
  <c r="J289" i="16"/>
  <c r="I289" i="16"/>
  <c r="N288" i="16"/>
  <c r="O288" i="16"/>
  <c r="P288" i="16"/>
  <c r="L288" i="16"/>
  <c r="M288" i="16"/>
  <c r="K288" i="16"/>
  <c r="I288" i="16"/>
  <c r="J288" i="16"/>
  <c r="P287" i="16"/>
  <c r="O287" i="16"/>
  <c r="N287" i="16"/>
  <c r="M287" i="16"/>
  <c r="L287" i="16"/>
  <c r="K287" i="16"/>
  <c r="I287" i="16"/>
  <c r="J287" i="16"/>
  <c r="N286" i="16"/>
  <c r="L286" i="16"/>
  <c r="M286" i="16"/>
  <c r="K286" i="16"/>
  <c r="J286" i="16"/>
  <c r="I286" i="16"/>
  <c r="N285" i="16"/>
  <c r="O285" i="16"/>
  <c r="P285" i="16"/>
  <c r="L285" i="16"/>
  <c r="M285" i="16"/>
  <c r="K285" i="16"/>
  <c r="I285" i="16"/>
  <c r="J285" i="16"/>
  <c r="N284" i="16"/>
  <c r="O284" i="16"/>
  <c r="P284" i="16"/>
  <c r="L284" i="16"/>
  <c r="M284" i="16"/>
  <c r="K284" i="16"/>
  <c r="I284" i="16"/>
  <c r="J284" i="16"/>
  <c r="N283" i="16"/>
  <c r="M283" i="16"/>
  <c r="L283" i="16"/>
  <c r="K283" i="16"/>
  <c r="J283" i="16"/>
  <c r="I283" i="16"/>
  <c r="O282" i="16"/>
  <c r="P282" i="16"/>
  <c r="N282" i="16"/>
  <c r="L282" i="16"/>
  <c r="M282" i="16"/>
  <c r="K282" i="16"/>
  <c r="I282" i="16"/>
  <c r="J282" i="16"/>
  <c r="P281" i="16"/>
  <c r="O281" i="16"/>
  <c r="N281" i="16"/>
  <c r="L281" i="16"/>
  <c r="M281" i="16"/>
  <c r="K281" i="16"/>
  <c r="J281" i="16"/>
  <c r="I281" i="16"/>
  <c r="N280" i="16"/>
  <c r="L280" i="16"/>
  <c r="M280" i="16"/>
  <c r="K280" i="16"/>
  <c r="J280" i="16"/>
  <c r="I280" i="16"/>
  <c r="P279" i="16"/>
  <c r="O279" i="16"/>
  <c r="N279" i="16"/>
  <c r="M279" i="16"/>
  <c r="L279" i="16"/>
  <c r="K279" i="16"/>
  <c r="I279" i="16"/>
  <c r="J279" i="16"/>
  <c r="N278" i="16"/>
  <c r="M278" i="16"/>
  <c r="L278" i="16"/>
  <c r="K278" i="16"/>
  <c r="J278" i="16"/>
  <c r="I278" i="16"/>
  <c r="P277" i="16"/>
  <c r="N277" i="16"/>
  <c r="L277" i="16"/>
  <c r="M277" i="16"/>
  <c r="K277" i="16"/>
  <c r="O277" i="16"/>
  <c r="I277" i="16"/>
  <c r="J277" i="16"/>
  <c r="N276" i="16"/>
  <c r="O276" i="16"/>
  <c r="P276" i="16"/>
  <c r="L276" i="16"/>
  <c r="M276" i="16"/>
  <c r="K276" i="16"/>
  <c r="I276" i="16"/>
  <c r="J276" i="16"/>
  <c r="N275" i="16"/>
  <c r="L275" i="16"/>
  <c r="M275" i="16"/>
  <c r="K275" i="16"/>
  <c r="I275" i="16"/>
  <c r="J275" i="16"/>
  <c r="P274" i="16"/>
  <c r="N274" i="16"/>
  <c r="M274" i="16"/>
  <c r="L274" i="16"/>
  <c r="K274" i="16"/>
  <c r="O274" i="16"/>
  <c r="J274" i="16"/>
  <c r="I274" i="16"/>
  <c r="N273" i="16"/>
  <c r="O273" i="16"/>
  <c r="P273" i="16"/>
  <c r="L273" i="16"/>
  <c r="M273" i="16"/>
  <c r="K273" i="16"/>
  <c r="I273" i="16"/>
  <c r="J273" i="16"/>
  <c r="P272" i="16"/>
  <c r="N272" i="16"/>
  <c r="M272" i="16"/>
  <c r="L272" i="16"/>
  <c r="K272" i="16"/>
  <c r="O272" i="16"/>
  <c r="I272" i="16"/>
  <c r="J272" i="16"/>
  <c r="N271" i="16"/>
  <c r="L271" i="16"/>
  <c r="M271" i="16"/>
  <c r="K271" i="16"/>
  <c r="J271" i="16"/>
  <c r="I271" i="16"/>
  <c r="N270" i="16"/>
  <c r="O270" i="16"/>
  <c r="P270" i="16"/>
  <c r="L270" i="16"/>
  <c r="M270" i="16"/>
  <c r="K270" i="16"/>
  <c r="I270" i="16"/>
  <c r="J270" i="16"/>
  <c r="N269" i="16"/>
  <c r="O269" i="16"/>
  <c r="P269" i="16"/>
  <c r="M269" i="16"/>
  <c r="L269" i="16"/>
  <c r="K269" i="16"/>
  <c r="I269" i="16"/>
  <c r="J269" i="16"/>
  <c r="P268" i="16"/>
  <c r="N268" i="16"/>
  <c r="L268" i="16"/>
  <c r="M268" i="16"/>
  <c r="K268" i="16"/>
  <c r="O268" i="16"/>
  <c r="I268" i="16"/>
  <c r="J268" i="16"/>
  <c r="N267" i="16"/>
  <c r="O267" i="16"/>
  <c r="P267" i="16"/>
  <c r="L267" i="16"/>
  <c r="M267" i="16"/>
  <c r="K267" i="16"/>
  <c r="I267" i="16"/>
  <c r="J267" i="16"/>
  <c r="O266" i="16"/>
  <c r="P266" i="16"/>
  <c r="N266" i="16"/>
  <c r="M266" i="16"/>
  <c r="L266" i="16"/>
  <c r="K266" i="16"/>
  <c r="I266" i="16"/>
  <c r="J266" i="16"/>
  <c r="N265" i="16"/>
  <c r="L265" i="16"/>
  <c r="M265" i="16"/>
  <c r="K265" i="16"/>
  <c r="J265" i="16"/>
  <c r="I265" i="16"/>
  <c r="P264" i="16"/>
  <c r="O264" i="16"/>
  <c r="N264" i="16"/>
  <c r="L264" i="16"/>
  <c r="M264" i="16"/>
  <c r="K264" i="16"/>
  <c r="I264" i="16"/>
  <c r="J264" i="16"/>
  <c r="N263" i="16"/>
  <c r="O263" i="16"/>
  <c r="P263" i="16"/>
  <c r="M263" i="16"/>
  <c r="L263" i="16"/>
  <c r="K263" i="16"/>
  <c r="J263" i="16"/>
  <c r="I263" i="16"/>
  <c r="N262" i="16"/>
  <c r="L262" i="16"/>
  <c r="M262" i="16"/>
  <c r="K262" i="16"/>
  <c r="I262" i="16"/>
  <c r="J262" i="16"/>
  <c r="N261" i="16"/>
  <c r="O261" i="16"/>
  <c r="P261" i="16"/>
  <c r="M261" i="16"/>
  <c r="L261" i="16"/>
  <c r="K261" i="16"/>
  <c r="I261" i="16"/>
  <c r="J261" i="16"/>
  <c r="N260" i="16"/>
  <c r="M260" i="16"/>
  <c r="L260" i="16"/>
  <c r="K260" i="16"/>
  <c r="I260" i="16"/>
  <c r="J260" i="16"/>
  <c r="P259" i="16"/>
  <c r="N259" i="16"/>
  <c r="L259" i="16"/>
  <c r="M259" i="16"/>
  <c r="K259" i="16"/>
  <c r="O259" i="16"/>
  <c r="I259" i="16"/>
  <c r="J259" i="16"/>
  <c r="N258" i="16"/>
  <c r="O258" i="16"/>
  <c r="P258" i="16"/>
  <c r="L258" i="16"/>
  <c r="M258" i="16"/>
  <c r="K258" i="16"/>
  <c r="I258" i="16"/>
  <c r="J258" i="16"/>
  <c r="N257" i="16"/>
  <c r="M257" i="16"/>
  <c r="L257" i="16"/>
  <c r="K257" i="16"/>
  <c r="J257" i="16"/>
  <c r="I257" i="16"/>
  <c r="P256" i="16"/>
  <c r="N256" i="16"/>
  <c r="M256" i="16"/>
  <c r="L256" i="16"/>
  <c r="K256" i="16"/>
  <c r="O256" i="16"/>
  <c r="J256" i="16"/>
  <c r="I256" i="16"/>
  <c r="N255" i="16"/>
  <c r="O255" i="16"/>
  <c r="P255" i="16"/>
  <c r="M255" i="16"/>
  <c r="L255" i="16"/>
  <c r="K255" i="16"/>
  <c r="I255" i="16"/>
  <c r="J255" i="16"/>
  <c r="P254" i="16"/>
  <c r="N254" i="16"/>
  <c r="M254" i="16"/>
  <c r="L254" i="16"/>
  <c r="K254" i="16"/>
  <c r="O254" i="16"/>
  <c r="J254" i="16"/>
  <c r="I254" i="16"/>
  <c r="P253" i="16"/>
  <c r="N253" i="16"/>
  <c r="M253" i="16"/>
  <c r="L253" i="16"/>
  <c r="K253" i="16"/>
  <c r="O253" i="16"/>
  <c r="J253" i="16"/>
  <c r="I253" i="16"/>
  <c r="P252" i="16"/>
  <c r="N252" i="16"/>
  <c r="O252" i="16"/>
  <c r="L252" i="16"/>
  <c r="M252" i="16"/>
  <c r="K252" i="16"/>
  <c r="I252" i="16"/>
  <c r="J252" i="16"/>
  <c r="O251" i="16"/>
  <c r="P251" i="16"/>
  <c r="N251" i="16"/>
  <c r="M251" i="16"/>
  <c r="L251" i="16"/>
  <c r="K251" i="16"/>
  <c r="I251" i="16"/>
  <c r="J251" i="16"/>
  <c r="N250" i="16"/>
  <c r="M250" i="16"/>
  <c r="L250" i="16"/>
  <c r="K250" i="16"/>
  <c r="I250" i="16"/>
  <c r="J250" i="16"/>
  <c r="N249" i="16"/>
  <c r="O249" i="16"/>
  <c r="P249" i="16"/>
  <c r="L249" i="16"/>
  <c r="M249" i="16"/>
  <c r="K249" i="16"/>
  <c r="I249" i="16"/>
  <c r="J249" i="16"/>
  <c r="P248" i="16"/>
  <c r="O248" i="16"/>
  <c r="N248" i="16"/>
  <c r="M248" i="16"/>
  <c r="L248" i="16"/>
  <c r="K248" i="16"/>
  <c r="I248" i="16"/>
  <c r="J248" i="16"/>
  <c r="N247" i="16"/>
  <c r="M247" i="16"/>
  <c r="L247" i="16"/>
  <c r="K247" i="16"/>
  <c r="I247" i="16"/>
  <c r="J247" i="16"/>
  <c r="P246" i="16"/>
  <c r="O246" i="16"/>
  <c r="N246" i="16"/>
  <c r="L246" i="16"/>
  <c r="M246" i="16"/>
  <c r="K246" i="16"/>
  <c r="I246" i="16"/>
  <c r="J246" i="16"/>
  <c r="O245" i="16"/>
  <c r="P245" i="16"/>
  <c r="N245" i="16"/>
  <c r="M245" i="16"/>
  <c r="L245" i="16"/>
  <c r="K245" i="16"/>
  <c r="J245" i="16"/>
  <c r="I245" i="16"/>
  <c r="N244" i="16"/>
  <c r="L244" i="16"/>
  <c r="M244" i="16"/>
  <c r="K244" i="16"/>
  <c r="I244" i="16"/>
  <c r="J244" i="16"/>
  <c r="P243" i="16"/>
  <c r="O243" i="16"/>
  <c r="N243" i="16"/>
  <c r="M243" i="16"/>
  <c r="L243" i="16"/>
  <c r="K243" i="16"/>
  <c r="I243" i="16"/>
  <c r="J243" i="16"/>
  <c r="N242" i="16"/>
  <c r="L242" i="16"/>
  <c r="M242" i="16"/>
  <c r="K242" i="16"/>
  <c r="J242" i="16"/>
  <c r="I242" i="16"/>
  <c r="P241" i="16"/>
  <c r="N241" i="16"/>
  <c r="L241" i="16"/>
  <c r="M241" i="16"/>
  <c r="K241" i="16"/>
  <c r="O241" i="16"/>
  <c r="I241" i="16"/>
  <c r="J241" i="16"/>
  <c r="N240" i="16"/>
  <c r="O240" i="16"/>
  <c r="P240" i="16"/>
  <c r="M240" i="16"/>
  <c r="L240" i="16"/>
  <c r="K240" i="16"/>
  <c r="I240" i="16"/>
  <c r="J240" i="16"/>
  <c r="O239" i="16"/>
  <c r="N239" i="16"/>
  <c r="M239" i="16"/>
  <c r="L239" i="16"/>
  <c r="K239" i="16"/>
  <c r="I239" i="16"/>
  <c r="J239" i="16"/>
  <c r="P238" i="16"/>
  <c r="N238" i="16"/>
  <c r="M238" i="16"/>
  <c r="L238" i="16"/>
  <c r="K238" i="16"/>
  <c r="O238" i="16"/>
  <c r="J238" i="16"/>
  <c r="I238" i="16"/>
  <c r="N237" i="16"/>
  <c r="O237" i="16"/>
  <c r="P237" i="16"/>
  <c r="L237" i="16"/>
  <c r="M237" i="16"/>
  <c r="K237" i="16"/>
  <c r="I237" i="16"/>
  <c r="J237" i="16"/>
  <c r="N236" i="16"/>
  <c r="M236" i="16"/>
  <c r="L236" i="16"/>
  <c r="K236" i="16"/>
  <c r="J236" i="16"/>
  <c r="I236" i="16"/>
  <c r="P235" i="16"/>
  <c r="N235" i="16"/>
  <c r="L235" i="16"/>
  <c r="M235" i="16"/>
  <c r="K235" i="16"/>
  <c r="O235" i="16"/>
  <c r="J235" i="16"/>
  <c r="I235" i="16"/>
  <c r="N234" i="16"/>
  <c r="O234" i="16"/>
  <c r="P234" i="16"/>
  <c r="M234" i="16"/>
  <c r="L234" i="16"/>
  <c r="K234" i="16"/>
  <c r="I234" i="16"/>
  <c r="J234" i="16"/>
  <c r="N233" i="16"/>
  <c r="M233" i="16"/>
  <c r="L233" i="16"/>
  <c r="K233" i="16"/>
  <c r="I233" i="16"/>
  <c r="J233" i="16"/>
  <c r="P232" i="16"/>
  <c r="N232" i="16"/>
  <c r="M232" i="16"/>
  <c r="L232" i="16"/>
  <c r="K232" i="16"/>
  <c r="O232" i="16"/>
  <c r="I232" i="16"/>
  <c r="J232" i="16"/>
  <c r="N231" i="16"/>
  <c r="O231" i="16"/>
  <c r="P231" i="16"/>
  <c r="L231" i="16"/>
  <c r="M231" i="16"/>
  <c r="K231" i="16"/>
  <c r="I231" i="16"/>
  <c r="J231" i="16"/>
  <c r="N230" i="16"/>
  <c r="O230" i="16"/>
  <c r="P230" i="16"/>
  <c r="M230" i="16"/>
  <c r="L230" i="16"/>
  <c r="K230" i="16"/>
  <c r="I230" i="16"/>
  <c r="J230" i="16"/>
  <c r="N229" i="16"/>
  <c r="M229" i="16"/>
  <c r="L229" i="16"/>
  <c r="K229" i="16"/>
  <c r="I229" i="16"/>
  <c r="J229" i="16"/>
  <c r="O228" i="16"/>
  <c r="P228" i="16"/>
  <c r="N228" i="16"/>
  <c r="L228" i="16"/>
  <c r="M228" i="16"/>
  <c r="K228" i="16"/>
  <c r="I228" i="16"/>
  <c r="J228" i="16"/>
  <c r="N227" i="16"/>
  <c r="M227" i="16"/>
  <c r="L227" i="16"/>
  <c r="K227" i="16"/>
  <c r="I227" i="16"/>
  <c r="J227" i="16"/>
  <c r="N226" i="16"/>
  <c r="L226" i="16"/>
  <c r="M226" i="16"/>
  <c r="K226" i="16"/>
  <c r="I226" i="16"/>
  <c r="J226" i="16"/>
  <c r="P225" i="16"/>
  <c r="O225" i="16"/>
  <c r="N225" i="16"/>
  <c r="M225" i="16"/>
  <c r="L225" i="16"/>
  <c r="K225" i="16"/>
  <c r="J225" i="16"/>
  <c r="I225" i="16"/>
  <c r="O224" i="16"/>
  <c r="N224" i="16"/>
  <c r="L224" i="16"/>
  <c r="M224" i="16"/>
  <c r="K224" i="16"/>
  <c r="J224" i="16"/>
  <c r="I224" i="16"/>
  <c r="P223" i="16"/>
  <c r="N223" i="16"/>
  <c r="M223" i="16"/>
  <c r="L223" i="16"/>
  <c r="K223" i="16"/>
  <c r="O223" i="16"/>
  <c r="J223" i="16"/>
  <c r="I223" i="16"/>
  <c r="O222" i="16"/>
  <c r="P222" i="16"/>
  <c r="N222" i="16"/>
  <c r="M222" i="16"/>
  <c r="L222" i="16"/>
  <c r="K222" i="16"/>
  <c r="I222" i="16"/>
  <c r="J222" i="16"/>
  <c r="O221" i="16"/>
  <c r="N221" i="16"/>
  <c r="L221" i="16"/>
  <c r="M221" i="16"/>
  <c r="K221" i="16"/>
  <c r="I221" i="16"/>
  <c r="J221" i="16"/>
  <c r="N220" i="16"/>
  <c r="L220" i="16"/>
  <c r="M220" i="16"/>
  <c r="K220" i="16"/>
  <c r="J220" i="16"/>
  <c r="I220" i="16"/>
  <c r="N219" i="16"/>
  <c r="O219" i="16"/>
  <c r="P219" i="16"/>
  <c r="L219" i="16"/>
  <c r="M219" i="16"/>
  <c r="K219" i="16"/>
  <c r="J219" i="16"/>
  <c r="I219" i="16"/>
  <c r="N218" i="16"/>
  <c r="M218" i="16"/>
  <c r="L218" i="16"/>
  <c r="K218" i="16"/>
  <c r="I218" i="16"/>
  <c r="J218" i="16"/>
  <c r="N217" i="16"/>
  <c r="M217" i="16"/>
  <c r="L217" i="16"/>
  <c r="K217" i="16"/>
  <c r="I217" i="16"/>
  <c r="J217" i="16"/>
  <c r="N216" i="16"/>
  <c r="O216" i="16"/>
  <c r="P216" i="16"/>
  <c r="M216" i="16"/>
  <c r="L216" i="16"/>
  <c r="K216" i="16"/>
  <c r="I216" i="16"/>
  <c r="J216" i="16"/>
  <c r="N215" i="16"/>
  <c r="L215" i="16"/>
  <c r="M215" i="16"/>
  <c r="K215" i="16"/>
  <c r="I215" i="16"/>
  <c r="J215" i="16"/>
  <c r="N214" i="16"/>
  <c r="M214" i="16"/>
  <c r="L214" i="16"/>
  <c r="K214" i="16"/>
  <c r="J214" i="16"/>
  <c r="I214" i="16"/>
  <c r="N213" i="16"/>
  <c r="O213" i="16"/>
  <c r="P213" i="16"/>
  <c r="M213" i="16"/>
  <c r="L213" i="16"/>
  <c r="K213" i="16"/>
  <c r="I213" i="16"/>
  <c r="J213" i="16"/>
  <c r="N212" i="16"/>
  <c r="L212" i="16"/>
  <c r="M212" i="16"/>
  <c r="K212" i="16"/>
  <c r="J212" i="16"/>
  <c r="I212" i="16"/>
  <c r="N211" i="16"/>
  <c r="M211" i="16"/>
  <c r="L211" i="16"/>
  <c r="K211" i="16"/>
  <c r="I211" i="16"/>
  <c r="J211" i="16"/>
  <c r="N210" i="16"/>
  <c r="O210" i="16"/>
  <c r="P210" i="16"/>
  <c r="M210" i="16"/>
  <c r="L210" i="16"/>
  <c r="K210" i="16"/>
  <c r="J210" i="16"/>
  <c r="I210" i="16"/>
  <c r="O209" i="16"/>
  <c r="P209" i="16"/>
  <c r="N209" i="16"/>
  <c r="M209" i="16"/>
  <c r="L209" i="16"/>
  <c r="K209" i="16"/>
  <c r="J209" i="16"/>
  <c r="I209" i="16"/>
  <c r="N208" i="16"/>
  <c r="M208" i="16"/>
  <c r="L208" i="16"/>
  <c r="K208" i="16"/>
  <c r="O208" i="16"/>
  <c r="J208" i="16"/>
  <c r="I208" i="16"/>
  <c r="N207" i="16"/>
  <c r="O207" i="16"/>
  <c r="P207" i="16"/>
  <c r="L207" i="16"/>
  <c r="M207" i="16"/>
  <c r="K207" i="16"/>
  <c r="J207" i="16"/>
  <c r="I207" i="16"/>
  <c r="N206" i="16"/>
  <c r="O206" i="16"/>
  <c r="P206" i="16"/>
  <c r="L206" i="16"/>
  <c r="M206" i="16"/>
  <c r="K206" i="16"/>
  <c r="I206" i="16"/>
  <c r="J206" i="16"/>
  <c r="N205" i="16"/>
  <c r="L205" i="16"/>
  <c r="M205" i="16"/>
  <c r="K205" i="16"/>
  <c r="J205" i="16"/>
  <c r="I205" i="16"/>
  <c r="O204" i="16"/>
  <c r="P204" i="16"/>
  <c r="N204" i="16"/>
  <c r="M204" i="16"/>
  <c r="L204" i="16"/>
  <c r="K204" i="16"/>
  <c r="I204" i="16"/>
  <c r="J204" i="16"/>
  <c r="N203" i="16"/>
  <c r="O203" i="16"/>
  <c r="P203" i="16"/>
  <c r="M203" i="16"/>
  <c r="L203" i="16"/>
  <c r="K203" i="16"/>
  <c r="I203" i="16"/>
  <c r="J203" i="16"/>
  <c r="N202" i="16"/>
  <c r="M202" i="16"/>
  <c r="L202" i="16"/>
  <c r="K202" i="16"/>
  <c r="I202" i="16"/>
  <c r="J202" i="16"/>
  <c r="N201" i="16"/>
  <c r="O201" i="16"/>
  <c r="P201" i="16"/>
  <c r="L201" i="16"/>
  <c r="M201" i="16"/>
  <c r="K201" i="16"/>
  <c r="J201" i="16"/>
  <c r="I201" i="16"/>
  <c r="O200" i="16"/>
  <c r="P200" i="16"/>
  <c r="N200" i="16"/>
  <c r="L200" i="16"/>
  <c r="M200" i="16"/>
  <c r="K200" i="16"/>
  <c r="J200" i="16"/>
  <c r="I200" i="16"/>
  <c r="N199" i="16"/>
  <c r="M199" i="16"/>
  <c r="L199" i="16"/>
  <c r="K199" i="16"/>
  <c r="J199" i="16"/>
  <c r="I199" i="16"/>
  <c r="O198" i="16"/>
  <c r="P198" i="16"/>
  <c r="N198" i="16"/>
  <c r="M198" i="16"/>
  <c r="L198" i="16"/>
  <c r="K198" i="16"/>
  <c r="I198" i="16"/>
  <c r="J198" i="16"/>
  <c r="N197" i="16"/>
  <c r="L197" i="16"/>
  <c r="M197" i="16"/>
  <c r="K197" i="16"/>
  <c r="I197" i="16"/>
  <c r="J197" i="16"/>
  <c r="N196" i="16"/>
  <c r="L196" i="16"/>
  <c r="M196" i="16"/>
  <c r="K196" i="16"/>
  <c r="J196" i="16"/>
  <c r="I196" i="16"/>
  <c r="O195" i="16"/>
  <c r="P195" i="16"/>
  <c r="N195" i="16"/>
  <c r="L195" i="16"/>
  <c r="M195" i="16"/>
  <c r="K195" i="16"/>
  <c r="I195" i="16"/>
  <c r="J195" i="16"/>
  <c r="N194" i="16"/>
  <c r="O194" i="16"/>
  <c r="P194" i="16"/>
  <c r="M194" i="16"/>
  <c r="L194" i="16"/>
  <c r="K194" i="16"/>
  <c r="J194" i="16"/>
  <c r="I194" i="16"/>
  <c r="P193" i="16"/>
  <c r="N193" i="16"/>
  <c r="L193" i="16"/>
  <c r="M193" i="16"/>
  <c r="K193" i="16"/>
  <c r="O193" i="16"/>
  <c r="I193" i="16"/>
  <c r="J193" i="16"/>
  <c r="P192" i="16"/>
  <c r="O192" i="16"/>
  <c r="N192" i="16"/>
  <c r="M192" i="16"/>
  <c r="L192" i="16"/>
  <c r="K192" i="16"/>
  <c r="I192" i="16"/>
  <c r="J192" i="16"/>
  <c r="N191" i="16"/>
  <c r="L191" i="16"/>
  <c r="M191" i="16"/>
  <c r="K191" i="16"/>
  <c r="J191" i="16"/>
  <c r="I191" i="16"/>
  <c r="N190" i="16"/>
  <c r="L190" i="16"/>
  <c r="M190" i="16"/>
  <c r="K190" i="16"/>
  <c r="J190" i="16"/>
  <c r="I190" i="16"/>
  <c r="N189" i="16"/>
  <c r="O189" i="16"/>
  <c r="P189" i="16"/>
  <c r="L189" i="16"/>
  <c r="M189" i="16"/>
  <c r="K189" i="16"/>
  <c r="J189" i="16"/>
  <c r="I189" i="16"/>
  <c r="O188" i="16"/>
  <c r="N188" i="16"/>
  <c r="M188" i="16"/>
  <c r="L188" i="16"/>
  <c r="K188" i="16"/>
  <c r="I188" i="16"/>
  <c r="J188" i="16"/>
  <c r="P187" i="16"/>
  <c r="N187" i="16"/>
  <c r="M187" i="16"/>
  <c r="L187" i="16"/>
  <c r="K187" i="16"/>
  <c r="O187" i="16"/>
  <c r="J187" i="16"/>
  <c r="I187" i="16"/>
  <c r="N186" i="16"/>
  <c r="O186" i="16"/>
  <c r="P186" i="16"/>
  <c r="L186" i="16"/>
  <c r="M186" i="16"/>
  <c r="K186" i="16"/>
  <c r="I186" i="16"/>
  <c r="J186" i="16"/>
  <c r="N185" i="16"/>
  <c r="L185" i="16"/>
  <c r="M185" i="16"/>
  <c r="K185" i="16"/>
  <c r="J185" i="16"/>
  <c r="I185" i="16"/>
  <c r="N184" i="16"/>
  <c r="L184" i="16"/>
  <c r="M184" i="16"/>
  <c r="K184" i="16"/>
  <c r="J184" i="16"/>
  <c r="I184" i="16"/>
  <c r="N183" i="16"/>
  <c r="O183" i="16"/>
  <c r="P183" i="16"/>
  <c r="M183" i="16"/>
  <c r="L183" i="16"/>
  <c r="K183" i="16"/>
  <c r="J183" i="16"/>
  <c r="I183" i="16"/>
  <c r="N182" i="16"/>
  <c r="M182" i="16"/>
  <c r="L182" i="16"/>
  <c r="K182" i="16"/>
  <c r="O182" i="16"/>
  <c r="I182" i="16"/>
  <c r="J182" i="16"/>
  <c r="N181" i="16"/>
  <c r="M181" i="16"/>
  <c r="L181" i="16"/>
  <c r="K181" i="16"/>
  <c r="I181" i="16"/>
  <c r="J181" i="16"/>
  <c r="P180" i="16"/>
  <c r="O180" i="16"/>
  <c r="N180" i="16"/>
  <c r="M180" i="16"/>
  <c r="L180" i="16"/>
  <c r="K180" i="16"/>
  <c r="I180" i="16"/>
  <c r="J180" i="16"/>
  <c r="O179" i="16"/>
  <c r="N179" i="16"/>
  <c r="M179" i="16"/>
  <c r="L179" i="16"/>
  <c r="K179" i="16"/>
  <c r="J179" i="16"/>
  <c r="I179" i="16"/>
  <c r="N178" i="16"/>
  <c r="L178" i="16"/>
  <c r="M178" i="16"/>
  <c r="K178" i="16"/>
  <c r="J178" i="16"/>
  <c r="I178" i="16"/>
  <c r="P177" i="16"/>
  <c r="O177" i="16"/>
  <c r="N177" i="16"/>
  <c r="M177" i="16"/>
  <c r="L177" i="16"/>
  <c r="K177" i="16"/>
  <c r="I177" i="16"/>
  <c r="J177" i="16"/>
  <c r="N176" i="16"/>
  <c r="L176" i="16"/>
  <c r="M176" i="16"/>
  <c r="K176" i="16"/>
  <c r="O176" i="16"/>
  <c r="J176" i="16"/>
  <c r="I176" i="16"/>
  <c r="N175" i="16"/>
  <c r="L175" i="16"/>
  <c r="M175" i="16"/>
  <c r="K175" i="16"/>
  <c r="I175" i="16"/>
  <c r="J175" i="16"/>
  <c r="N174" i="16"/>
  <c r="O174" i="16"/>
  <c r="P174" i="16"/>
  <c r="L174" i="16"/>
  <c r="M174" i="16"/>
  <c r="K174" i="16"/>
  <c r="J174" i="16"/>
  <c r="I174" i="16"/>
  <c r="N173" i="16"/>
  <c r="M173" i="16"/>
  <c r="L173" i="16"/>
  <c r="K173" i="16"/>
  <c r="I173" i="16"/>
  <c r="J173" i="16"/>
  <c r="N172" i="16"/>
  <c r="L172" i="16"/>
  <c r="M172" i="16"/>
  <c r="K172" i="16"/>
  <c r="J172" i="16"/>
  <c r="I172" i="16"/>
  <c r="N171" i="16"/>
  <c r="O171" i="16"/>
  <c r="P171" i="16"/>
  <c r="M171" i="16"/>
  <c r="L171" i="16"/>
  <c r="K171" i="16"/>
  <c r="I171" i="16"/>
  <c r="J171" i="16"/>
  <c r="O170" i="16"/>
  <c r="P170" i="16"/>
  <c r="N170" i="16"/>
  <c r="L170" i="16"/>
  <c r="M170" i="16"/>
  <c r="K170" i="16"/>
  <c r="I170" i="16"/>
  <c r="J170" i="16"/>
  <c r="N169" i="16"/>
  <c r="L169" i="16"/>
  <c r="M169" i="16"/>
  <c r="K169" i="16"/>
  <c r="O169" i="16"/>
  <c r="J169" i="16"/>
  <c r="I169" i="16"/>
  <c r="O168" i="16"/>
  <c r="P168" i="16"/>
  <c r="N168" i="16"/>
  <c r="M168" i="16"/>
  <c r="L168" i="16"/>
  <c r="K168" i="16"/>
  <c r="I168" i="16"/>
  <c r="J168" i="16"/>
  <c r="N167" i="16"/>
  <c r="O167" i="16"/>
  <c r="P167" i="16"/>
  <c r="M167" i="16"/>
  <c r="L167" i="16"/>
  <c r="K167" i="16"/>
  <c r="I167" i="16"/>
  <c r="J167" i="16"/>
  <c r="P166" i="16"/>
  <c r="N166" i="16"/>
  <c r="M166" i="16"/>
  <c r="L166" i="16"/>
  <c r="K166" i="16"/>
  <c r="O166" i="16"/>
  <c r="I166" i="16"/>
  <c r="J166" i="16"/>
  <c r="N165" i="16"/>
  <c r="O165" i="16"/>
  <c r="P165" i="16"/>
  <c r="L165" i="16"/>
  <c r="M165" i="16"/>
  <c r="K165" i="16"/>
  <c r="I165" i="16"/>
  <c r="J165" i="16"/>
  <c r="O164" i="16"/>
  <c r="P164" i="16"/>
  <c r="N164" i="16"/>
  <c r="M164" i="16"/>
  <c r="L164" i="16"/>
  <c r="K164" i="16"/>
  <c r="J164" i="16"/>
  <c r="I164" i="16"/>
  <c r="N163" i="16"/>
  <c r="L163" i="16"/>
  <c r="M163" i="16"/>
  <c r="K163" i="16"/>
  <c r="I163" i="16"/>
  <c r="J163" i="16"/>
  <c r="P162" i="16"/>
  <c r="O162" i="16"/>
  <c r="N162" i="16"/>
  <c r="M162" i="16"/>
  <c r="L162" i="16"/>
  <c r="K162" i="16"/>
  <c r="J162" i="16"/>
  <c r="I162" i="16"/>
  <c r="N161" i="16"/>
  <c r="L161" i="16"/>
  <c r="M161" i="16"/>
  <c r="K161" i="16"/>
  <c r="J161" i="16"/>
  <c r="I161" i="16"/>
  <c r="N160" i="16"/>
  <c r="M160" i="16"/>
  <c r="L160" i="16"/>
  <c r="K160" i="16"/>
  <c r="J160" i="16"/>
  <c r="I160" i="16"/>
  <c r="N159" i="16"/>
  <c r="O159" i="16"/>
  <c r="P159" i="16"/>
  <c r="M159" i="16"/>
  <c r="L159" i="16"/>
  <c r="K159" i="16"/>
  <c r="J159" i="16"/>
  <c r="I159" i="16"/>
  <c r="N158" i="16"/>
  <c r="L158" i="16"/>
  <c r="M158" i="16"/>
  <c r="K158" i="16"/>
  <c r="I158" i="16"/>
  <c r="J158" i="16"/>
  <c r="P157" i="16"/>
  <c r="N157" i="16"/>
  <c r="M157" i="16"/>
  <c r="L157" i="16"/>
  <c r="K157" i="16"/>
  <c r="O157" i="16"/>
  <c r="I157" i="16"/>
  <c r="J157" i="16"/>
  <c r="N156" i="16"/>
  <c r="O156" i="16"/>
  <c r="P156" i="16"/>
  <c r="L156" i="16"/>
  <c r="M156" i="16"/>
  <c r="K156" i="16"/>
  <c r="I156" i="16"/>
  <c r="J156" i="16"/>
  <c r="O155" i="16"/>
  <c r="P155" i="16"/>
  <c r="N155" i="16"/>
  <c r="L155" i="16"/>
  <c r="M155" i="16"/>
  <c r="K155" i="16"/>
  <c r="J155" i="16"/>
  <c r="I155" i="16"/>
  <c r="N154" i="16"/>
  <c r="L154" i="16"/>
  <c r="M154" i="16"/>
  <c r="K154" i="16"/>
  <c r="I154" i="16"/>
  <c r="J154" i="16"/>
  <c r="N153" i="16"/>
  <c r="O153" i="16"/>
  <c r="P153" i="16"/>
  <c r="L153" i="16"/>
  <c r="M153" i="16"/>
  <c r="K153" i="16"/>
  <c r="J153" i="16"/>
  <c r="I153" i="16"/>
  <c r="N152" i="16"/>
  <c r="O152" i="16"/>
  <c r="P152" i="16"/>
  <c r="M152" i="16"/>
  <c r="L152" i="16"/>
  <c r="K152" i="16"/>
  <c r="J152" i="16"/>
  <c r="I152" i="16"/>
  <c r="N151" i="16"/>
  <c r="M151" i="16"/>
  <c r="L151" i="16"/>
  <c r="K151" i="16"/>
  <c r="I151" i="16"/>
  <c r="J151" i="16"/>
  <c r="P150" i="16"/>
  <c r="O150" i="16"/>
  <c r="N150" i="16"/>
  <c r="M150" i="16"/>
  <c r="L150" i="16"/>
  <c r="K150" i="16"/>
  <c r="J150" i="16"/>
  <c r="I150" i="16"/>
  <c r="N149" i="16"/>
  <c r="L149" i="16"/>
  <c r="M149" i="16"/>
  <c r="K149" i="16"/>
  <c r="J149" i="16"/>
  <c r="I149" i="16"/>
  <c r="N148" i="16"/>
  <c r="M148" i="16"/>
  <c r="L148" i="16"/>
  <c r="K148" i="16"/>
  <c r="J148" i="16"/>
  <c r="I148" i="16"/>
  <c r="N147" i="16"/>
  <c r="M147" i="16"/>
  <c r="L147" i="16"/>
  <c r="K147" i="16"/>
  <c r="I147" i="16"/>
  <c r="J147" i="16"/>
  <c r="N146" i="16"/>
  <c r="M146" i="16"/>
  <c r="L146" i="16"/>
  <c r="K146" i="16"/>
  <c r="J146" i="16"/>
  <c r="I146" i="16"/>
  <c r="O145" i="16"/>
  <c r="N145" i="16"/>
  <c r="L145" i="16"/>
  <c r="M145" i="16"/>
  <c r="K145" i="16"/>
  <c r="J145" i="16"/>
  <c r="I145" i="16"/>
  <c r="N144" i="16"/>
  <c r="M144" i="16"/>
  <c r="L144" i="16"/>
  <c r="K144" i="16"/>
  <c r="I144" i="16"/>
  <c r="J144" i="16"/>
  <c r="O143" i="16"/>
  <c r="P143" i="16"/>
  <c r="N143" i="16"/>
  <c r="M143" i="16"/>
  <c r="L143" i="16"/>
  <c r="K143" i="16"/>
  <c r="J143" i="16"/>
  <c r="I143" i="16"/>
  <c r="N142" i="16"/>
  <c r="L142" i="16"/>
  <c r="M142" i="16"/>
  <c r="K142" i="16"/>
  <c r="J142" i="16"/>
  <c r="I142" i="16"/>
  <c r="N141" i="16"/>
  <c r="M141" i="16"/>
  <c r="L141" i="16"/>
  <c r="K141" i="16"/>
  <c r="I141" i="16"/>
  <c r="J141" i="16"/>
  <c r="O140" i="16"/>
  <c r="P140" i="16"/>
  <c r="N140" i="16"/>
  <c r="M140" i="16"/>
  <c r="L140" i="16"/>
  <c r="K140" i="16"/>
  <c r="J140" i="16"/>
  <c r="I140" i="16"/>
  <c r="N139" i="16"/>
  <c r="L139" i="16"/>
  <c r="M139" i="16"/>
  <c r="K139" i="16"/>
  <c r="J139" i="16"/>
  <c r="I139" i="16"/>
  <c r="P138" i="16"/>
  <c r="O138" i="16"/>
  <c r="N138" i="16"/>
  <c r="M138" i="16"/>
  <c r="L138" i="16"/>
  <c r="K138" i="16"/>
  <c r="I138" i="16"/>
  <c r="J138" i="16"/>
  <c r="N137" i="16"/>
  <c r="O137" i="16"/>
  <c r="L137" i="16"/>
  <c r="M137" i="16"/>
  <c r="K137" i="16"/>
  <c r="J137" i="16"/>
  <c r="I137" i="16"/>
  <c r="N136" i="16"/>
  <c r="L136" i="16"/>
  <c r="M136" i="16"/>
  <c r="K136" i="16"/>
  <c r="I136" i="16"/>
  <c r="J136" i="16"/>
  <c r="O135" i="16"/>
  <c r="P135" i="16"/>
  <c r="N135" i="16"/>
  <c r="M135" i="16"/>
  <c r="L135" i="16"/>
  <c r="K135" i="16"/>
  <c r="I135" i="16"/>
  <c r="J135" i="16"/>
  <c r="N134" i="16"/>
  <c r="L134" i="16"/>
  <c r="M134" i="16"/>
  <c r="K134" i="16"/>
  <c r="J134" i="16"/>
  <c r="I134" i="16"/>
  <c r="O133" i="16"/>
  <c r="N133" i="16"/>
  <c r="L133" i="16"/>
  <c r="M133" i="16"/>
  <c r="K133" i="16"/>
  <c r="I133" i="16"/>
  <c r="J133" i="16"/>
  <c r="N132" i="16"/>
  <c r="O132" i="16"/>
  <c r="P132" i="16"/>
  <c r="M132" i="16"/>
  <c r="L132" i="16"/>
  <c r="K132" i="16"/>
  <c r="I132" i="16"/>
  <c r="J132" i="16"/>
  <c r="N131" i="16"/>
  <c r="L131" i="16"/>
  <c r="M131" i="16"/>
  <c r="K131" i="16"/>
  <c r="I131" i="16"/>
  <c r="J131" i="16"/>
  <c r="O130" i="16"/>
  <c r="N130" i="16"/>
  <c r="M130" i="16"/>
  <c r="L130" i="16"/>
  <c r="K130" i="16"/>
  <c r="J130" i="16"/>
  <c r="I130" i="16"/>
  <c r="N129" i="16"/>
  <c r="M129" i="16"/>
  <c r="L129" i="16"/>
  <c r="K129" i="16"/>
  <c r="I129" i="16"/>
  <c r="J129" i="16"/>
  <c r="N128" i="16"/>
  <c r="M128" i="16"/>
  <c r="L128" i="16"/>
  <c r="K128" i="16"/>
  <c r="I128" i="16"/>
  <c r="J128" i="16"/>
  <c r="O127" i="16"/>
  <c r="N127" i="16"/>
  <c r="M127" i="16"/>
  <c r="L127" i="16"/>
  <c r="K127" i="16"/>
  <c r="J127" i="16"/>
  <c r="I127" i="16"/>
  <c r="N126" i="16"/>
  <c r="M126" i="16"/>
  <c r="L126" i="16"/>
  <c r="K126" i="16"/>
  <c r="I126" i="16"/>
  <c r="J126" i="16"/>
  <c r="O125" i="16"/>
  <c r="P125" i="16"/>
  <c r="N125" i="16"/>
  <c r="M125" i="16"/>
  <c r="L125" i="16"/>
  <c r="K125" i="16"/>
  <c r="I125" i="16"/>
  <c r="J125" i="16"/>
  <c r="N124" i="16"/>
  <c r="L124" i="16"/>
  <c r="M124" i="16"/>
  <c r="K124" i="16"/>
  <c r="J124" i="16"/>
  <c r="I124" i="16"/>
  <c r="N123" i="16"/>
  <c r="M123" i="16"/>
  <c r="L123" i="16"/>
  <c r="K123" i="16"/>
  <c r="I123" i="16"/>
  <c r="J123" i="16"/>
  <c r="N122" i="16"/>
  <c r="O122" i="16"/>
  <c r="P122" i="16"/>
  <c r="M122" i="16"/>
  <c r="L122" i="16"/>
  <c r="K122" i="16"/>
  <c r="I122" i="16"/>
  <c r="J122" i="16"/>
  <c r="N121" i="16"/>
  <c r="L121" i="16"/>
  <c r="M121" i="16"/>
  <c r="K121" i="16"/>
  <c r="J121" i="16"/>
  <c r="I121" i="16"/>
  <c r="P120" i="16"/>
  <c r="O120" i="16"/>
  <c r="N120" i="16"/>
  <c r="M120" i="16"/>
  <c r="L120" i="16"/>
  <c r="K120" i="16"/>
  <c r="I120" i="16"/>
  <c r="J120" i="16"/>
  <c r="N119" i="16"/>
  <c r="O119" i="16"/>
  <c r="L119" i="16"/>
  <c r="M119" i="16"/>
  <c r="K119" i="16"/>
  <c r="J119" i="16"/>
  <c r="I119" i="16"/>
  <c r="N118" i="16"/>
  <c r="L118" i="16"/>
  <c r="M118" i="16"/>
  <c r="K118" i="16"/>
  <c r="I118" i="16"/>
  <c r="J118" i="16"/>
  <c r="O117" i="16"/>
  <c r="P117" i="16"/>
  <c r="N117" i="16"/>
  <c r="M117" i="16"/>
  <c r="L117" i="16"/>
  <c r="K117" i="16"/>
  <c r="I117" i="16"/>
  <c r="J117" i="16"/>
  <c r="N116" i="16"/>
  <c r="L116" i="16"/>
  <c r="M116" i="16"/>
  <c r="K116" i="16"/>
  <c r="I116" i="16"/>
  <c r="J116" i="16"/>
  <c r="O115" i="16"/>
  <c r="N115" i="16"/>
  <c r="L115" i="16"/>
  <c r="M115" i="16"/>
  <c r="K115" i="16"/>
  <c r="I115" i="16"/>
  <c r="J115" i="16"/>
  <c r="N114" i="16"/>
  <c r="O114" i="16"/>
  <c r="P114" i="16"/>
  <c r="M114" i="16"/>
  <c r="L114" i="16"/>
  <c r="K114" i="16"/>
  <c r="I114" i="16"/>
  <c r="J114" i="16"/>
  <c r="N113" i="16"/>
  <c r="L113" i="16"/>
  <c r="M113" i="16"/>
  <c r="K113" i="16"/>
  <c r="I113" i="16"/>
  <c r="J113" i="16"/>
  <c r="O112" i="16"/>
  <c r="N112" i="16"/>
  <c r="M112" i="16"/>
  <c r="L112" i="16"/>
  <c r="K112" i="16"/>
  <c r="J112" i="16"/>
  <c r="I112" i="16"/>
  <c r="N111" i="16"/>
  <c r="M111" i="16"/>
  <c r="L111" i="16"/>
  <c r="K111" i="16"/>
  <c r="I111" i="16"/>
  <c r="J111" i="16"/>
  <c r="N110" i="16"/>
  <c r="M110" i="16"/>
  <c r="L110" i="16"/>
  <c r="K110" i="16"/>
  <c r="I110" i="16"/>
  <c r="J110" i="16"/>
  <c r="O109" i="16"/>
  <c r="N109" i="16"/>
  <c r="M109" i="16"/>
  <c r="L109" i="16"/>
  <c r="K109" i="16"/>
  <c r="J109" i="16"/>
  <c r="I109" i="16"/>
  <c r="N108" i="16"/>
  <c r="M108" i="16"/>
  <c r="L108" i="16"/>
  <c r="K108" i="16"/>
  <c r="I108" i="16"/>
  <c r="J108" i="16"/>
  <c r="O107" i="16"/>
  <c r="P107" i="16"/>
  <c r="N107" i="16"/>
  <c r="M107" i="16"/>
  <c r="L107" i="16"/>
  <c r="K107" i="16"/>
  <c r="I107" i="16"/>
  <c r="J107" i="16"/>
  <c r="N106" i="16"/>
  <c r="L106" i="16"/>
  <c r="M106" i="16"/>
  <c r="K106" i="16"/>
  <c r="J106" i="16"/>
  <c r="I106" i="16"/>
  <c r="N105" i="16"/>
  <c r="M105" i="16"/>
  <c r="L105" i="16"/>
  <c r="K105" i="16"/>
  <c r="I105" i="16"/>
  <c r="J105" i="16"/>
  <c r="N104" i="16"/>
  <c r="O104" i="16"/>
  <c r="P104" i="16"/>
  <c r="M104" i="16"/>
  <c r="L104" i="16"/>
  <c r="K104" i="16"/>
  <c r="I104" i="16"/>
  <c r="J104" i="16"/>
  <c r="N103" i="16"/>
  <c r="L103" i="16"/>
  <c r="M103" i="16"/>
  <c r="K103" i="16"/>
  <c r="J103" i="16"/>
  <c r="I103" i="16"/>
  <c r="P102" i="16"/>
  <c r="O102" i="16"/>
  <c r="N102" i="16"/>
  <c r="M102" i="16"/>
  <c r="L102" i="16"/>
  <c r="K102" i="16"/>
  <c r="I102" i="16"/>
  <c r="J102" i="16"/>
  <c r="N101" i="16"/>
  <c r="O101" i="16"/>
  <c r="L101" i="16"/>
  <c r="M101" i="16"/>
  <c r="K101" i="16"/>
  <c r="J101" i="16"/>
  <c r="I101" i="16"/>
  <c r="N100" i="16"/>
  <c r="L100" i="16"/>
  <c r="M100" i="16"/>
  <c r="K100" i="16"/>
  <c r="I100" i="16"/>
  <c r="J100" i="16"/>
  <c r="O99" i="16"/>
  <c r="P99" i="16"/>
  <c r="N99" i="16"/>
  <c r="M99" i="16"/>
  <c r="L99" i="16"/>
  <c r="K99" i="16"/>
  <c r="I99" i="16"/>
  <c r="J99" i="16"/>
  <c r="N98" i="16"/>
  <c r="L98" i="16"/>
  <c r="M98" i="16"/>
  <c r="K98" i="16"/>
  <c r="I98" i="16"/>
  <c r="J98" i="16"/>
  <c r="O97" i="16"/>
  <c r="N97" i="16"/>
  <c r="L97" i="16"/>
  <c r="M97" i="16"/>
  <c r="K97" i="16"/>
  <c r="I97" i="16"/>
  <c r="J97" i="16"/>
  <c r="N96" i="16"/>
  <c r="O96" i="16"/>
  <c r="P96" i="16"/>
  <c r="M96" i="16"/>
  <c r="L96" i="16"/>
  <c r="K96" i="16"/>
  <c r="I96" i="16"/>
  <c r="J96" i="16"/>
  <c r="N95" i="16"/>
  <c r="L95" i="16"/>
  <c r="M95" i="16"/>
  <c r="K95" i="16"/>
  <c r="I95" i="16"/>
  <c r="J95" i="16"/>
  <c r="O94" i="16"/>
  <c r="N94" i="16"/>
  <c r="M94" i="16"/>
  <c r="L94" i="16"/>
  <c r="K94" i="16"/>
  <c r="J94" i="16"/>
  <c r="I94" i="16"/>
  <c r="N93" i="16"/>
  <c r="M93" i="16"/>
  <c r="L93" i="16"/>
  <c r="K93" i="16"/>
  <c r="I93" i="16"/>
  <c r="J93" i="16"/>
  <c r="N92" i="16"/>
  <c r="M92" i="16"/>
  <c r="L92" i="16"/>
  <c r="K92" i="16"/>
  <c r="I92" i="16"/>
  <c r="J92" i="16"/>
  <c r="O91" i="16"/>
  <c r="N91" i="16"/>
  <c r="M91" i="16"/>
  <c r="L91" i="16"/>
  <c r="K91" i="16"/>
  <c r="J91" i="16"/>
  <c r="I91" i="16"/>
  <c r="N90" i="16"/>
  <c r="M90" i="16"/>
  <c r="L90" i="16"/>
  <c r="K90" i="16"/>
  <c r="I90" i="16"/>
  <c r="J90" i="16"/>
  <c r="O89" i="16"/>
  <c r="P89" i="16"/>
  <c r="N89" i="16"/>
  <c r="M89" i="16"/>
  <c r="L89" i="16"/>
  <c r="K89" i="16"/>
  <c r="I89" i="16"/>
  <c r="J89" i="16"/>
  <c r="N88" i="16"/>
  <c r="L88" i="16"/>
  <c r="M88" i="16"/>
  <c r="K88" i="16"/>
  <c r="J88" i="16"/>
  <c r="I88" i="16"/>
  <c r="N87" i="16"/>
  <c r="M87" i="16"/>
  <c r="L87" i="16"/>
  <c r="K87" i="16"/>
  <c r="I87" i="16"/>
  <c r="J87" i="16"/>
  <c r="N86" i="16"/>
  <c r="O86" i="16"/>
  <c r="P86" i="16"/>
  <c r="M86" i="16"/>
  <c r="L86" i="16"/>
  <c r="K86" i="16"/>
  <c r="I86" i="16"/>
  <c r="J86" i="16"/>
  <c r="N85" i="16"/>
  <c r="L85" i="16"/>
  <c r="M85" i="16"/>
  <c r="K85" i="16"/>
  <c r="J85" i="16"/>
  <c r="I85" i="16"/>
  <c r="P84" i="16"/>
  <c r="O84" i="16"/>
  <c r="N84" i="16"/>
  <c r="M84" i="16"/>
  <c r="L84" i="16"/>
  <c r="K84" i="16"/>
  <c r="I84" i="16"/>
  <c r="J84" i="16"/>
  <c r="N83" i="16"/>
  <c r="O83" i="16"/>
  <c r="L83" i="16"/>
  <c r="M83" i="16"/>
  <c r="K83" i="16"/>
  <c r="J83" i="16"/>
  <c r="I83" i="16"/>
  <c r="N82" i="16"/>
  <c r="L82" i="16"/>
  <c r="M82" i="16"/>
  <c r="K82" i="16"/>
  <c r="I82" i="16"/>
  <c r="J82" i="16"/>
  <c r="O81" i="16"/>
  <c r="P81" i="16"/>
  <c r="N81" i="16"/>
  <c r="M81" i="16"/>
  <c r="L81" i="16"/>
  <c r="K81" i="16"/>
  <c r="I81" i="16"/>
  <c r="J81" i="16"/>
  <c r="N80" i="16"/>
  <c r="L80" i="16"/>
  <c r="M80" i="16"/>
  <c r="K80" i="16"/>
  <c r="I80" i="16"/>
  <c r="J80" i="16"/>
  <c r="O79" i="16"/>
  <c r="N79" i="16"/>
  <c r="L79" i="16"/>
  <c r="M79" i="16"/>
  <c r="K79" i="16"/>
  <c r="I79" i="16"/>
  <c r="J79" i="16"/>
  <c r="N78" i="16"/>
  <c r="O78" i="16"/>
  <c r="P78" i="16"/>
  <c r="M78" i="16"/>
  <c r="L78" i="16"/>
  <c r="K78" i="16"/>
  <c r="I78" i="16"/>
  <c r="J78" i="16"/>
  <c r="N77" i="16"/>
  <c r="L77" i="16"/>
  <c r="M77" i="16"/>
  <c r="K77" i="16"/>
  <c r="I77" i="16"/>
  <c r="J77" i="16"/>
  <c r="O76" i="16"/>
  <c r="N76" i="16"/>
  <c r="M76" i="16"/>
  <c r="L76" i="16"/>
  <c r="K76" i="16"/>
  <c r="J76" i="16"/>
  <c r="I76" i="16"/>
  <c r="O75" i="16"/>
  <c r="N75" i="16"/>
  <c r="M75" i="16"/>
  <c r="L75" i="16"/>
  <c r="K75" i="16"/>
  <c r="I75" i="16"/>
  <c r="J75" i="16"/>
  <c r="N74" i="16"/>
  <c r="M74" i="16"/>
  <c r="L74" i="16"/>
  <c r="K74" i="16"/>
  <c r="I74" i="16"/>
  <c r="J74" i="16"/>
  <c r="O73" i="16"/>
  <c r="N73" i="16"/>
  <c r="M73" i="16"/>
  <c r="L73" i="16"/>
  <c r="K73" i="16"/>
  <c r="J73" i="16"/>
  <c r="I73" i="16"/>
  <c r="N72" i="16"/>
  <c r="M72" i="16"/>
  <c r="L72" i="16"/>
  <c r="K72" i="16"/>
  <c r="I72" i="16"/>
  <c r="J72" i="16"/>
  <c r="P71" i="16"/>
  <c r="O71" i="16"/>
  <c r="N71" i="16"/>
  <c r="M71" i="16"/>
  <c r="L71" i="16"/>
  <c r="K71" i="16"/>
  <c r="I71" i="16"/>
  <c r="J71" i="16"/>
  <c r="N70" i="16"/>
  <c r="L70" i="16"/>
  <c r="M70" i="16"/>
  <c r="K70" i="16"/>
  <c r="J70" i="16"/>
  <c r="I70" i="16"/>
  <c r="N69" i="16"/>
  <c r="M69" i="16"/>
  <c r="L69" i="16"/>
  <c r="K69" i="16"/>
  <c r="I69" i="16"/>
  <c r="J69" i="16"/>
  <c r="N68" i="16"/>
  <c r="O68" i="16"/>
  <c r="P68" i="16"/>
  <c r="M68" i="16"/>
  <c r="L68" i="16"/>
  <c r="K68" i="16"/>
  <c r="I68" i="16"/>
  <c r="J68" i="16"/>
  <c r="N67" i="16"/>
  <c r="L67" i="16"/>
  <c r="M67" i="16"/>
  <c r="K67" i="16"/>
  <c r="I67" i="16"/>
  <c r="J67" i="16"/>
  <c r="P66" i="16"/>
  <c r="O66" i="16"/>
  <c r="N66" i="16"/>
  <c r="M66" i="16"/>
  <c r="L66" i="16"/>
  <c r="K66" i="16"/>
  <c r="I66" i="16"/>
  <c r="J66" i="16"/>
  <c r="N65" i="16"/>
  <c r="L65" i="16"/>
  <c r="M65" i="16"/>
  <c r="K65" i="16"/>
  <c r="J65" i="16"/>
  <c r="I65" i="16"/>
  <c r="N64" i="16"/>
  <c r="L64" i="16"/>
  <c r="M64" i="16"/>
  <c r="K64" i="16"/>
  <c r="J64" i="16"/>
  <c r="I64" i="16"/>
  <c r="N63" i="16"/>
  <c r="O63" i="16"/>
  <c r="P63" i="16"/>
  <c r="M63" i="16"/>
  <c r="L63" i="16"/>
  <c r="K63" i="16"/>
  <c r="I63" i="16"/>
  <c r="J63" i="16"/>
  <c r="N62" i="16"/>
  <c r="M62" i="16"/>
  <c r="L62" i="16"/>
  <c r="K62" i="16"/>
  <c r="I62" i="16"/>
  <c r="J62" i="16"/>
  <c r="O61" i="16"/>
  <c r="N61" i="16"/>
  <c r="L61" i="16"/>
  <c r="M61" i="16"/>
  <c r="K61" i="16"/>
  <c r="I61" i="16"/>
  <c r="J61" i="16"/>
  <c r="N60" i="16"/>
  <c r="O60" i="16"/>
  <c r="P60" i="16"/>
  <c r="M60" i="16"/>
  <c r="L60" i="16"/>
  <c r="K60" i="16"/>
  <c r="I60" i="16"/>
  <c r="J60" i="16"/>
  <c r="N59" i="16"/>
  <c r="L59" i="16"/>
  <c r="M59" i="16"/>
  <c r="K59" i="16"/>
  <c r="I59" i="16"/>
  <c r="J59" i="16"/>
  <c r="O58" i="16"/>
  <c r="N58" i="16"/>
  <c r="M58" i="16"/>
  <c r="L58" i="16"/>
  <c r="K58" i="16"/>
  <c r="J58" i="16"/>
  <c r="I58" i="16"/>
  <c r="N57" i="16"/>
  <c r="M57" i="16"/>
  <c r="L57" i="16"/>
  <c r="K57" i="16"/>
  <c r="O57" i="16"/>
  <c r="I57" i="16"/>
  <c r="J57" i="16"/>
  <c r="N56" i="16"/>
  <c r="M56" i="16"/>
  <c r="L56" i="16"/>
  <c r="K56" i="16"/>
  <c r="I56" i="16"/>
  <c r="J56" i="16"/>
  <c r="O55" i="16"/>
  <c r="N55" i="16"/>
  <c r="L55" i="16"/>
  <c r="M55" i="16"/>
  <c r="K55" i="16"/>
  <c r="J55" i="16"/>
  <c r="I55" i="16"/>
  <c r="N54" i="16"/>
  <c r="M54" i="16"/>
  <c r="L54" i="16"/>
  <c r="K54" i="16"/>
  <c r="I54" i="16"/>
  <c r="J54" i="16"/>
  <c r="O53" i="16"/>
  <c r="P53" i="16"/>
  <c r="N53" i="16"/>
  <c r="M53" i="16"/>
  <c r="L53" i="16"/>
  <c r="K53" i="16"/>
  <c r="I53" i="16"/>
  <c r="J53" i="16"/>
  <c r="O52" i="16"/>
  <c r="N52" i="16"/>
  <c r="M52" i="16"/>
  <c r="L52" i="16"/>
  <c r="K52" i="16"/>
  <c r="J52" i="16"/>
  <c r="I52" i="16"/>
  <c r="N51" i="16"/>
  <c r="M51" i="16"/>
  <c r="L51" i="16"/>
  <c r="K51" i="16"/>
  <c r="I51" i="16"/>
  <c r="J51" i="16"/>
  <c r="N50" i="16"/>
  <c r="O50" i="16"/>
  <c r="P50" i="16"/>
  <c r="M50" i="16"/>
  <c r="L50" i="16"/>
  <c r="K50" i="16"/>
  <c r="I50" i="16"/>
  <c r="J50" i="16"/>
  <c r="N49" i="16"/>
  <c r="L49" i="16"/>
  <c r="M49" i="16"/>
  <c r="K49" i="16"/>
  <c r="I49" i="16"/>
  <c r="J49" i="16"/>
  <c r="P48" i="16"/>
  <c r="O48" i="16"/>
  <c r="N48" i="16"/>
  <c r="M48" i="16"/>
  <c r="L48" i="16"/>
  <c r="K48" i="16"/>
  <c r="I48" i="16"/>
  <c r="J48" i="16"/>
  <c r="N47" i="16"/>
  <c r="O47" i="16"/>
  <c r="P47" i="16"/>
  <c r="L47" i="16"/>
  <c r="M47" i="16"/>
  <c r="K47" i="16"/>
  <c r="J47" i="16"/>
  <c r="I47" i="16"/>
  <c r="N46" i="16"/>
  <c r="L46" i="16"/>
  <c r="M46" i="16"/>
  <c r="K46" i="16"/>
  <c r="I46" i="16"/>
  <c r="J46" i="16"/>
  <c r="N45" i="16"/>
  <c r="O45" i="16"/>
  <c r="P45" i="16"/>
  <c r="M45" i="16"/>
  <c r="L45" i="16"/>
  <c r="K45" i="16"/>
  <c r="J45" i="16"/>
  <c r="I45" i="16"/>
  <c r="N44" i="16"/>
  <c r="L44" i="16"/>
  <c r="M44" i="16"/>
  <c r="K44" i="16"/>
  <c r="O44" i="16"/>
  <c r="J44" i="16"/>
  <c r="I44" i="16"/>
  <c r="N43" i="16"/>
  <c r="M43" i="16"/>
  <c r="L43" i="16"/>
  <c r="K43" i="16"/>
  <c r="J43" i="16"/>
  <c r="I43" i="16"/>
  <c r="N42" i="16"/>
  <c r="L42" i="16"/>
  <c r="M42" i="16"/>
  <c r="K42" i="16"/>
  <c r="I42" i="16"/>
  <c r="J42" i="16"/>
  <c r="N41" i="16"/>
  <c r="M41" i="16"/>
  <c r="L41" i="16"/>
  <c r="I41" i="16"/>
  <c r="J41" i="16"/>
  <c r="K41" i="16"/>
  <c r="N40" i="16"/>
  <c r="L40" i="16"/>
  <c r="M40" i="16"/>
  <c r="K40" i="16"/>
  <c r="I40" i="16"/>
  <c r="J40" i="16"/>
  <c r="O39" i="16"/>
  <c r="P39" i="16"/>
  <c r="N39" i="16"/>
  <c r="L39" i="16"/>
  <c r="M39" i="16"/>
  <c r="K39" i="16"/>
  <c r="I39" i="16"/>
  <c r="J39" i="16"/>
  <c r="N38" i="16"/>
  <c r="L38" i="16"/>
  <c r="M38" i="16"/>
  <c r="I38" i="16"/>
  <c r="J38" i="16"/>
  <c r="K38" i="16"/>
  <c r="N37" i="16"/>
  <c r="M37" i="16"/>
  <c r="L37" i="16"/>
  <c r="K37" i="16"/>
  <c r="I37" i="16"/>
  <c r="J37" i="16"/>
  <c r="N36" i="16"/>
  <c r="L36" i="16"/>
  <c r="M36" i="16"/>
  <c r="K36" i="16"/>
  <c r="I36" i="16"/>
  <c r="J36" i="16"/>
  <c r="N35" i="16"/>
  <c r="L35" i="16"/>
  <c r="M35" i="16"/>
  <c r="K35" i="16"/>
  <c r="I35" i="16"/>
  <c r="J35" i="16"/>
  <c r="N34" i="16"/>
  <c r="M34" i="16"/>
  <c r="L34" i="16"/>
  <c r="K34" i="16"/>
  <c r="I34" i="16"/>
  <c r="J34" i="16"/>
  <c r="N33" i="16"/>
  <c r="L33" i="16"/>
  <c r="M33" i="16"/>
  <c r="I33" i="16"/>
  <c r="J33" i="16"/>
  <c r="K33" i="16"/>
  <c r="O33" i="16"/>
  <c r="P33" i="16"/>
  <c r="N32" i="16"/>
  <c r="L32" i="16"/>
  <c r="M32" i="16"/>
  <c r="I32" i="16"/>
  <c r="J32" i="16"/>
  <c r="K32" i="16"/>
  <c r="N31" i="16"/>
  <c r="L31" i="16"/>
  <c r="M31" i="16"/>
  <c r="I31" i="16"/>
  <c r="J31" i="16"/>
  <c r="K31" i="16"/>
  <c r="N30" i="16"/>
  <c r="O30" i="16"/>
  <c r="P30" i="16"/>
  <c r="M30" i="16"/>
  <c r="L30" i="16"/>
  <c r="K30" i="16"/>
  <c r="I30" i="16"/>
  <c r="J30" i="16"/>
  <c r="N29" i="16"/>
  <c r="L29" i="16"/>
  <c r="M29" i="16"/>
  <c r="K29" i="16"/>
  <c r="I29" i="16"/>
  <c r="J29" i="16"/>
  <c r="N28" i="16"/>
  <c r="L28" i="16"/>
  <c r="M28" i="16"/>
  <c r="K28" i="16"/>
  <c r="I28" i="16"/>
  <c r="J28" i="16"/>
  <c r="N27" i="16"/>
  <c r="O27" i="16"/>
  <c r="P27" i="16"/>
  <c r="L27" i="16"/>
  <c r="M27" i="16"/>
  <c r="K27" i="16"/>
  <c r="I27" i="16"/>
  <c r="J27" i="16"/>
  <c r="N26" i="16"/>
  <c r="L26" i="16"/>
  <c r="M26" i="16"/>
  <c r="I26" i="16"/>
  <c r="J26" i="16"/>
  <c r="K26" i="16"/>
  <c r="N25" i="16"/>
  <c r="M25" i="16"/>
  <c r="L25" i="16"/>
  <c r="I25" i="16"/>
  <c r="J25" i="16"/>
  <c r="K25" i="16"/>
  <c r="N24" i="16"/>
  <c r="L24" i="16"/>
  <c r="M24" i="16"/>
  <c r="K24" i="16"/>
  <c r="I24" i="16"/>
  <c r="J24" i="16"/>
  <c r="N23" i="16"/>
  <c r="L23" i="16"/>
  <c r="M23" i="16"/>
  <c r="I23" i="16"/>
  <c r="J23" i="16"/>
  <c r="K23" i="16"/>
  <c r="N22" i="16"/>
  <c r="L22" i="16"/>
  <c r="M22" i="16"/>
  <c r="K22" i="16"/>
  <c r="I22" i="16"/>
  <c r="J22" i="16"/>
  <c r="N21" i="16"/>
  <c r="L21" i="16"/>
  <c r="M21" i="16"/>
  <c r="K21" i="16"/>
  <c r="I21" i="16"/>
  <c r="J21" i="16"/>
  <c r="N20" i="16"/>
  <c r="L20" i="16"/>
  <c r="M20" i="16"/>
  <c r="K20" i="16"/>
  <c r="I20" i="16"/>
  <c r="J20" i="16"/>
  <c r="N19" i="16"/>
  <c r="L19" i="16"/>
  <c r="M19" i="16"/>
  <c r="K19" i="16"/>
  <c r="I19" i="16"/>
  <c r="J19" i="16"/>
  <c r="N18" i="16"/>
  <c r="L18" i="16"/>
  <c r="M18" i="16"/>
  <c r="K18" i="16"/>
  <c r="I18" i="16"/>
  <c r="J18" i="16"/>
  <c r="N17" i="16"/>
  <c r="L17" i="16"/>
  <c r="M17" i="16"/>
  <c r="K17" i="16"/>
  <c r="I17" i="16"/>
  <c r="J17" i="16"/>
  <c r="N16" i="16"/>
  <c r="L16" i="16"/>
  <c r="M16" i="16"/>
  <c r="K16" i="16"/>
  <c r="I16" i="16"/>
  <c r="J16" i="16"/>
  <c r="N15" i="16"/>
  <c r="M15" i="16"/>
  <c r="L15" i="16"/>
  <c r="I15" i="16"/>
  <c r="J15" i="16"/>
  <c r="K15" i="16"/>
  <c r="N14" i="16"/>
  <c r="L14" i="16"/>
  <c r="M14" i="16"/>
  <c r="I14" i="16"/>
  <c r="J14" i="16"/>
  <c r="K14" i="16"/>
  <c r="N13" i="16"/>
  <c r="L13" i="16"/>
  <c r="M13" i="16"/>
  <c r="J13" i="16"/>
  <c r="K13" i="16"/>
  <c r="I13" i="16"/>
  <c r="N12" i="16"/>
  <c r="O12" i="16"/>
  <c r="P12" i="16"/>
  <c r="M12" i="16"/>
  <c r="L12" i="16"/>
  <c r="K12" i="16"/>
  <c r="I12" i="16"/>
  <c r="J12" i="16"/>
  <c r="N11" i="16"/>
  <c r="L11" i="16"/>
  <c r="M11" i="16"/>
  <c r="K11" i="16"/>
  <c r="I11" i="16"/>
  <c r="J11" i="16"/>
  <c r="N10" i="16"/>
  <c r="L10" i="16"/>
  <c r="M10" i="16"/>
  <c r="I10" i="16"/>
  <c r="J10" i="16"/>
  <c r="K10" i="16"/>
  <c r="N9" i="16"/>
  <c r="L9" i="16"/>
  <c r="M9" i="16"/>
  <c r="I9" i="16"/>
  <c r="J9" i="16"/>
  <c r="K9" i="16"/>
  <c r="O9" i="16"/>
  <c r="P9" i="16"/>
  <c r="N8" i="16"/>
  <c r="L8" i="16"/>
  <c r="M8" i="16"/>
  <c r="I8" i="16"/>
  <c r="J8" i="16"/>
  <c r="K8" i="16"/>
  <c r="N7" i="16"/>
  <c r="L7" i="16"/>
  <c r="M7" i="16"/>
  <c r="I7" i="16"/>
  <c r="J7" i="16"/>
  <c r="K7" i="16"/>
  <c r="N6" i="16"/>
  <c r="L6" i="16"/>
  <c r="M6" i="16"/>
  <c r="K6" i="16"/>
  <c r="I6" i="16"/>
  <c r="J6" i="16"/>
  <c r="O3" i="16"/>
  <c r="N3" i="16"/>
  <c r="M3" i="16"/>
  <c r="N400" i="17"/>
  <c r="M400" i="17"/>
  <c r="L400" i="17"/>
  <c r="K400" i="17"/>
  <c r="I400" i="17"/>
  <c r="J400" i="17"/>
  <c r="N399" i="17"/>
  <c r="O399" i="17"/>
  <c r="P399" i="17"/>
  <c r="M399" i="17"/>
  <c r="L399" i="17"/>
  <c r="K399" i="17"/>
  <c r="J399" i="17"/>
  <c r="I399" i="17"/>
  <c r="N398" i="17"/>
  <c r="L398" i="17"/>
  <c r="M398" i="17"/>
  <c r="K398" i="17"/>
  <c r="I398" i="17"/>
  <c r="J398" i="17"/>
  <c r="N397" i="17"/>
  <c r="M397" i="17"/>
  <c r="L397" i="17"/>
  <c r="K397" i="17"/>
  <c r="I397" i="17"/>
  <c r="J397" i="17"/>
  <c r="O396" i="17"/>
  <c r="P396" i="17"/>
  <c r="N396" i="17"/>
  <c r="M396" i="17"/>
  <c r="L396" i="17"/>
  <c r="K396" i="17"/>
  <c r="I396" i="17"/>
  <c r="J396" i="17"/>
  <c r="O395" i="17"/>
  <c r="N395" i="17"/>
  <c r="L395" i="17"/>
  <c r="M395" i="17"/>
  <c r="K395" i="17"/>
  <c r="I395" i="17"/>
  <c r="J395" i="17"/>
  <c r="N394" i="17"/>
  <c r="M394" i="17"/>
  <c r="L394" i="17"/>
  <c r="K394" i="17"/>
  <c r="I394" i="17"/>
  <c r="J394" i="17"/>
  <c r="N393" i="17"/>
  <c r="O393" i="17"/>
  <c r="P393" i="17"/>
  <c r="M393" i="17"/>
  <c r="L393" i="17"/>
  <c r="K393" i="17"/>
  <c r="I393" i="17"/>
  <c r="J393" i="17"/>
  <c r="N392" i="17"/>
  <c r="O392" i="17"/>
  <c r="M392" i="17"/>
  <c r="L392" i="17"/>
  <c r="K392" i="17"/>
  <c r="I392" i="17"/>
  <c r="J392" i="17"/>
  <c r="N391" i="17"/>
  <c r="M391" i="17"/>
  <c r="L391" i="17"/>
  <c r="K391" i="17"/>
  <c r="I391" i="17"/>
  <c r="J391" i="17"/>
  <c r="N390" i="17"/>
  <c r="O390" i="17"/>
  <c r="P390" i="17"/>
  <c r="M390" i="17"/>
  <c r="L390" i="17"/>
  <c r="K390" i="17"/>
  <c r="J390" i="17"/>
  <c r="I390" i="17"/>
  <c r="O389" i="17"/>
  <c r="N389" i="17"/>
  <c r="L389" i="17"/>
  <c r="M389" i="17"/>
  <c r="K389" i="17"/>
  <c r="I389" i="17"/>
  <c r="J389" i="17"/>
  <c r="N388" i="17"/>
  <c r="M388" i="17"/>
  <c r="L388" i="17"/>
  <c r="K388" i="17"/>
  <c r="J388" i="17"/>
  <c r="I388" i="17"/>
  <c r="N387" i="17"/>
  <c r="O387" i="17"/>
  <c r="P387" i="17"/>
  <c r="M387" i="17"/>
  <c r="L387" i="17"/>
  <c r="K387" i="17"/>
  <c r="J387" i="17"/>
  <c r="I387" i="17"/>
  <c r="N386" i="17"/>
  <c r="M386" i="17"/>
  <c r="L386" i="17"/>
  <c r="K386" i="17"/>
  <c r="I386" i="17"/>
  <c r="J386" i="17"/>
  <c r="N385" i="17"/>
  <c r="M385" i="17"/>
  <c r="L385" i="17"/>
  <c r="K385" i="17"/>
  <c r="I385" i="17"/>
  <c r="J385" i="17"/>
  <c r="N384" i="17"/>
  <c r="O384" i="17"/>
  <c r="P384" i="17"/>
  <c r="M384" i="17"/>
  <c r="L384" i="17"/>
  <c r="K384" i="17"/>
  <c r="I384" i="17"/>
  <c r="J384" i="17"/>
  <c r="N383" i="17"/>
  <c r="L383" i="17"/>
  <c r="M383" i="17"/>
  <c r="K383" i="17"/>
  <c r="I383" i="17"/>
  <c r="J383" i="17"/>
  <c r="N382" i="17"/>
  <c r="M382" i="17"/>
  <c r="L382" i="17"/>
  <c r="K382" i="17"/>
  <c r="I382" i="17"/>
  <c r="J382" i="17"/>
  <c r="N381" i="17"/>
  <c r="O381" i="17"/>
  <c r="P381" i="17"/>
  <c r="M381" i="17"/>
  <c r="L381" i="17"/>
  <c r="K381" i="17"/>
  <c r="I381" i="17"/>
  <c r="J381" i="17"/>
  <c r="N380" i="17"/>
  <c r="O380" i="17"/>
  <c r="M380" i="17"/>
  <c r="L380" i="17"/>
  <c r="K380" i="17"/>
  <c r="I380" i="17"/>
  <c r="J380" i="17"/>
  <c r="N379" i="17"/>
  <c r="M379" i="17"/>
  <c r="L379" i="17"/>
  <c r="K379" i="17"/>
  <c r="I379" i="17"/>
  <c r="J379" i="17"/>
  <c r="N378" i="17"/>
  <c r="O378" i="17"/>
  <c r="P378" i="17"/>
  <c r="M378" i="17"/>
  <c r="L378" i="17"/>
  <c r="K378" i="17"/>
  <c r="I378" i="17"/>
  <c r="J378" i="17"/>
  <c r="N377" i="17"/>
  <c r="L377" i="17"/>
  <c r="M377" i="17"/>
  <c r="K377" i="17"/>
  <c r="I377" i="17"/>
  <c r="J377" i="17"/>
  <c r="N376" i="17"/>
  <c r="M376" i="17"/>
  <c r="L376" i="17"/>
  <c r="K376" i="17"/>
  <c r="I376" i="17"/>
  <c r="J376" i="17"/>
  <c r="N375" i="17"/>
  <c r="O375" i="17"/>
  <c r="P375" i="17"/>
  <c r="M375" i="17"/>
  <c r="L375" i="17"/>
  <c r="K375" i="17"/>
  <c r="J375" i="17"/>
  <c r="I375" i="17"/>
  <c r="N374" i="17"/>
  <c r="L374" i="17"/>
  <c r="M374" i="17"/>
  <c r="K374" i="17"/>
  <c r="J374" i="17"/>
  <c r="I374" i="17"/>
  <c r="N373" i="17"/>
  <c r="M373" i="17"/>
  <c r="L373" i="17"/>
  <c r="K373" i="17"/>
  <c r="I373" i="17"/>
  <c r="J373" i="17"/>
  <c r="O372" i="17"/>
  <c r="P372" i="17"/>
  <c r="N372" i="17"/>
  <c r="M372" i="17"/>
  <c r="L372" i="17"/>
  <c r="K372" i="17"/>
  <c r="J372" i="17"/>
  <c r="I372" i="17"/>
  <c r="O371" i="17"/>
  <c r="N371" i="17"/>
  <c r="L371" i="17"/>
  <c r="M371" i="17"/>
  <c r="K371" i="17"/>
  <c r="I371" i="17"/>
  <c r="J371" i="17"/>
  <c r="N370" i="17"/>
  <c r="M370" i="17"/>
  <c r="L370" i="17"/>
  <c r="K370" i="17"/>
  <c r="I370" i="17"/>
  <c r="J370" i="17"/>
  <c r="N369" i="17"/>
  <c r="O369" i="17"/>
  <c r="P369" i="17"/>
  <c r="M369" i="17"/>
  <c r="L369" i="17"/>
  <c r="K369" i="17"/>
  <c r="I369" i="17"/>
  <c r="J369" i="17"/>
  <c r="N368" i="17"/>
  <c r="O368" i="17"/>
  <c r="L368" i="17"/>
  <c r="M368" i="17"/>
  <c r="K368" i="17"/>
  <c r="I368" i="17"/>
  <c r="J368" i="17"/>
  <c r="N367" i="17"/>
  <c r="M367" i="17"/>
  <c r="L367" i="17"/>
  <c r="K367" i="17"/>
  <c r="I367" i="17"/>
  <c r="J367" i="17"/>
  <c r="N366" i="17"/>
  <c r="O366" i="17"/>
  <c r="P366" i="17"/>
  <c r="M366" i="17"/>
  <c r="L366" i="17"/>
  <c r="K366" i="17"/>
  <c r="J366" i="17"/>
  <c r="I366" i="17"/>
  <c r="O365" i="17"/>
  <c r="N365" i="17"/>
  <c r="L365" i="17"/>
  <c r="M365" i="17"/>
  <c r="K365" i="17"/>
  <c r="I365" i="17"/>
  <c r="J365" i="17"/>
  <c r="N364" i="17"/>
  <c r="M364" i="17"/>
  <c r="L364" i="17"/>
  <c r="K364" i="17"/>
  <c r="J364" i="17"/>
  <c r="I364" i="17"/>
  <c r="N363" i="17"/>
  <c r="O363" i="17"/>
  <c r="P363" i="17"/>
  <c r="M363" i="17"/>
  <c r="L363" i="17"/>
  <c r="K363" i="17"/>
  <c r="J363" i="17"/>
  <c r="I363" i="17"/>
  <c r="N362" i="17"/>
  <c r="O362" i="17"/>
  <c r="L362" i="17"/>
  <c r="M362" i="17"/>
  <c r="K362" i="17"/>
  <c r="I362" i="17"/>
  <c r="J362" i="17"/>
  <c r="N361" i="17"/>
  <c r="M361" i="17"/>
  <c r="L361" i="17"/>
  <c r="K361" i="17"/>
  <c r="I361" i="17"/>
  <c r="J361" i="17"/>
  <c r="N360" i="17"/>
  <c r="O360" i="17"/>
  <c r="P360" i="17"/>
  <c r="M360" i="17"/>
  <c r="L360" i="17"/>
  <c r="K360" i="17"/>
  <c r="J360" i="17"/>
  <c r="I360" i="17"/>
  <c r="N359" i="17"/>
  <c r="L359" i="17"/>
  <c r="M359" i="17"/>
  <c r="K359" i="17"/>
  <c r="I359" i="17"/>
  <c r="J359" i="17"/>
  <c r="N358" i="17"/>
  <c r="M358" i="17"/>
  <c r="L358" i="17"/>
  <c r="K358" i="17"/>
  <c r="J358" i="17"/>
  <c r="I358" i="17"/>
  <c r="N357" i="17"/>
  <c r="O357" i="17"/>
  <c r="P357" i="17"/>
  <c r="M357" i="17"/>
  <c r="L357" i="17"/>
  <c r="K357" i="17"/>
  <c r="I357" i="17"/>
  <c r="J357" i="17"/>
  <c r="N356" i="17"/>
  <c r="O356" i="17"/>
  <c r="L356" i="17"/>
  <c r="M356" i="17"/>
  <c r="K356" i="17"/>
  <c r="I356" i="17"/>
  <c r="J356" i="17"/>
  <c r="N355" i="17"/>
  <c r="M355" i="17"/>
  <c r="L355" i="17"/>
  <c r="K355" i="17"/>
  <c r="I355" i="17"/>
  <c r="J355" i="17"/>
  <c r="O354" i="17"/>
  <c r="P354" i="17"/>
  <c r="N354" i="17"/>
  <c r="M354" i="17"/>
  <c r="L354" i="17"/>
  <c r="K354" i="17"/>
  <c r="I354" i="17"/>
  <c r="J354" i="17"/>
  <c r="N353" i="17"/>
  <c r="L353" i="17"/>
  <c r="M353" i="17"/>
  <c r="K353" i="17"/>
  <c r="J353" i="17"/>
  <c r="I353" i="17"/>
  <c r="N352" i="17"/>
  <c r="M352" i="17"/>
  <c r="L352" i="17"/>
  <c r="K352" i="17"/>
  <c r="J352" i="17"/>
  <c r="I352" i="17"/>
  <c r="N351" i="17"/>
  <c r="O351" i="17"/>
  <c r="P351" i="17"/>
  <c r="M351" i="17"/>
  <c r="L351" i="17"/>
  <c r="K351" i="17"/>
  <c r="J351" i="17"/>
  <c r="I351" i="17"/>
  <c r="N350" i="17"/>
  <c r="L350" i="17"/>
  <c r="M350" i="17"/>
  <c r="K350" i="17"/>
  <c r="I350" i="17"/>
  <c r="J350" i="17"/>
  <c r="N349" i="17"/>
  <c r="M349" i="17"/>
  <c r="L349" i="17"/>
  <c r="K349" i="17"/>
  <c r="I349" i="17"/>
  <c r="J349" i="17"/>
  <c r="O348" i="17"/>
  <c r="P348" i="17"/>
  <c r="N348" i="17"/>
  <c r="M348" i="17"/>
  <c r="L348" i="17"/>
  <c r="K348" i="17"/>
  <c r="I348" i="17"/>
  <c r="J348" i="17"/>
  <c r="N347" i="17"/>
  <c r="L347" i="17"/>
  <c r="M347" i="17"/>
  <c r="K347" i="17"/>
  <c r="I347" i="17"/>
  <c r="J347" i="17"/>
  <c r="N346" i="17"/>
  <c r="M346" i="17"/>
  <c r="L346" i="17"/>
  <c r="K346" i="17"/>
  <c r="I346" i="17"/>
  <c r="J346" i="17"/>
  <c r="N345" i="17"/>
  <c r="O345" i="17"/>
  <c r="P345" i="17"/>
  <c r="M345" i="17"/>
  <c r="L345" i="17"/>
  <c r="K345" i="17"/>
  <c r="I345" i="17"/>
  <c r="J345" i="17"/>
  <c r="N344" i="17"/>
  <c r="O344" i="17"/>
  <c r="M344" i="17"/>
  <c r="L344" i="17"/>
  <c r="K344" i="17"/>
  <c r="I344" i="17"/>
  <c r="J344" i="17"/>
  <c r="N343" i="17"/>
  <c r="M343" i="17"/>
  <c r="L343" i="17"/>
  <c r="K343" i="17"/>
  <c r="I343" i="17"/>
  <c r="J343" i="17"/>
  <c r="N342" i="17"/>
  <c r="O342" i="17"/>
  <c r="P342" i="17"/>
  <c r="M342" i="17"/>
  <c r="L342" i="17"/>
  <c r="K342" i="17"/>
  <c r="J342" i="17"/>
  <c r="I342" i="17"/>
  <c r="N341" i="17"/>
  <c r="L341" i="17"/>
  <c r="M341" i="17"/>
  <c r="K341" i="17"/>
  <c r="J341" i="17"/>
  <c r="I341" i="17"/>
  <c r="N340" i="17"/>
  <c r="M340" i="17"/>
  <c r="L340" i="17"/>
  <c r="K340" i="17"/>
  <c r="I340" i="17"/>
  <c r="J340" i="17"/>
  <c r="N339" i="17"/>
  <c r="O339" i="17"/>
  <c r="P339" i="17"/>
  <c r="M339" i="17"/>
  <c r="L339" i="17"/>
  <c r="K339" i="17"/>
  <c r="J339" i="17"/>
  <c r="I339" i="17"/>
  <c r="N338" i="17"/>
  <c r="O338" i="17"/>
  <c r="L338" i="17"/>
  <c r="M338" i="17"/>
  <c r="K338" i="17"/>
  <c r="I338" i="17"/>
  <c r="J338" i="17"/>
  <c r="N337" i="17"/>
  <c r="M337" i="17"/>
  <c r="L337" i="17"/>
  <c r="K337" i="17"/>
  <c r="I337" i="17"/>
  <c r="J337" i="17"/>
  <c r="O336" i="17"/>
  <c r="P336" i="17"/>
  <c r="N336" i="17"/>
  <c r="M336" i="17"/>
  <c r="L336" i="17"/>
  <c r="K336" i="17"/>
  <c r="J336" i="17"/>
  <c r="I336" i="17"/>
  <c r="N335" i="17"/>
  <c r="L335" i="17"/>
  <c r="M335" i="17"/>
  <c r="K335" i="17"/>
  <c r="J335" i="17"/>
  <c r="I335" i="17"/>
  <c r="N334" i="17"/>
  <c r="M334" i="17"/>
  <c r="L334" i="17"/>
  <c r="K334" i="17"/>
  <c r="J334" i="17"/>
  <c r="I334" i="17"/>
  <c r="N333" i="17"/>
  <c r="O333" i="17"/>
  <c r="P333" i="17"/>
  <c r="M333" i="17"/>
  <c r="L333" i="17"/>
  <c r="K333" i="17"/>
  <c r="J333" i="17"/>
  <c r="I333" i="17"/>
  <c r="N332" i="17"/>
  <c r="O332" i="17"/>
  <c r="M332" i="17"/>
  <c r="L332" i="17"/>
  <c r="K332" i="17"/>
  <c r="I332" i="17"/>
  <c r="J332" i="17"/>
  <c r="N331" i="17"/>
  <c r="M331" i="17"/>
  <c r="L331" i="17"/>
  <c r="K331" i="17"/>
  <c r="I331" i="17"/>
  <c r="J331" i="17"/>
  <c r="N330" i="17"/>
  <c r="O330" i="17"/>
  <c r="P330" i="17"/>
  <c r="M330" i="17"/>
  <c r="L330" i="17"/>
  <c r="K330" i="17"/>
  <c r="I330" i="17"/>
  <c r="J330" i="17"/>
  <c r="N329" i="17"/>
  <c r="O329" i="17"/>
  <c r="L329" i="17"/>
  <c r="M329" i="17"/>
  <c r="K329" i="17"/>
  <c r="I329" i="17"/>
  <c r="J329" i="17"/>
  <c r="N328" i="17"/>
  <c r="M328" i="17"/>
  <c r="L328" i="17"/>
  <c r="K328" i="17"/>
  <c r="I328" i="17"/>
  <c r="J328" i="17"/>
  <c r="N327" i="17"/>
  <c r="O327" i="17"/>
  <c r="P327" i="17"/>
  <c r="M327" i="17"/>
  <c r="L327" i="17"/>
  <c r="K327" i="17"/>
  <c r="J327" i="17"/>
  <c r="I327" i="17"/>
  <c r="O326" i="17"/>
  <c r="N326" i="17"/>
  <c r="L326" i="17"/>
  <c r="M326" i="17"/>
  <c r="K326" i="17"/>
  <c r="I326" i="17"/>
  <c r="J326" i="17"/>
  <c r="N325" i="17"/>
  <c r="M325" i="17"/>
  <c r="L325" i="17"/>
  <c r="K325" i="17"/>
  <c r="I325" i="17"/>
  <c r="J325" i="17"/>
  <c r="P324" i="17"/>
  <c r="O324" i="17"/>
  <c r="N324" i="17"/>
  <c r="M324" i="17"/>
  <c r="L324" i="17"/>
  <c r="K324" i="17"/>
  <c r="J324" i="17"/>
  <c r="I324" i="17"/>
  <c r="N323" i="17"/>
  <c r="L323" i="17"/>
  <c r="M323" i="17"/>
  <c r="K323" i="17"/>
  <c r="I323" i="17"/>
  <c r="J323" i="17"/>
  <c r="N322" i="17"/>
  <c r="M322" i="17"/>
  <c r="L322" i="17"/>
  <c r="K322" i="17"/>
  <c r="J322" i="17"/>
  <c r="I322" i="17"/>
  <c r="N321" i="17"/>
  <c r="O321" i="17"/>
  <c r="P321" i="17"/>
  <c r="M321" i="17"/>
  <c r="L321" i="17"/>
  <c r="K321" i="17"/>
  <c r="I321" i="17"/>
  <c r="J321" i="17"/>
  <c r="O320" i="17"/>
  <c r="N320" i="17"/>
  <c r="M320" i="17"/>
  <c r="L320" i="17"/>
  <c r="K320" i="17"/>
  <c r="I320" i="17"/>
  <c r="J320" i="17"/>
  <c r="N319" i="17"/>
  <c r="M319" i="17"/>
  <c r="L319" i="17"/>
  <c r="K319" i="17"/>
  <c r="I319" i="17"/>
  <c r="J319" i="17"/>
  <c r="N318" i="17"/>
  <c r="O318" i="17"/>
  <c r="P318" i="17"/>
  <c r="M318" i="17"/>
  <c r="L318" i="17"/>
  <c r="K318" i="17"/>
  <c r="I318" i="17"/>
  <c r="J318" i="17"/>
  <c r="N317" i="17"/>
  <c r="M317" i="17"/>
  <c r="L317" i="17"/>
  <c r="K317" i="17"/>
  <c r="J317" i="17"/>
  <c r="I317" i="17"/>
  <c r="N316" i="17"/>
  <c r="M316" i="17"/>
  <c r="L316" i="17"/>
  <c r="K316" i="17"/>
  <c r="J316" i="17"/>
  <c r="I316" i="17"/>
  <c r="O315" i="17"/>
  <c r="P315" i="17"/>
  <c r="N315" i="17"/>
  <c r="M315" i="17"/>
  <c r="L315" i="17"/>
  <c r="K315" i="17"/>
  <c r="J315" i="17"/>
  <c r="I315" i="17"/>
  <c r="N314" i="17"/>
  <c r="M314" i="17"/>
  <c r="L314" i="17"/>
  <c r="K314" i="17"/>
  <c r="I314" i="17"/>
  <c r="J314" i="17"/>
  <c r="N313" i="17"/>
  <c r="M313" i="17"/>
  <c r="L313" i="17"/>
  <c r="K313" i="17"/>
  <c r="I313" i="17"/>
  <c r="J313" i="17"/>
  <c r="N312" i="17"/>
  <c r="O312" i="17"/>
  <c r="P312" i="17"/>
  <c r="M312" i="17"/>
  <c r="L312" i="17"/>
  <c r="K312" i="17"/>
  <c r="I312" i="17"/>
  <c r="J312" i="17"/>
  <c r="N311" i="17"/>
  <c r="L311" i="17"/>
  <c r="M311" i="17"/>
  <c r="K311" i="17"/>
  <c r="I311" i="17"/>
  <c r="J311" i="17"/>
  <c r="N310" i="17"/>
  <c r="M310" i="17"/>
  <c r="L310" i="17"/>
  <c r="K310" i="17"/>
  <c r="I310" i="17"/>
  <c r="J310" i="17"/>
  <c r="N309" i="17"/>
  <c r="O309" i="17"/>
  <c r="P309" i="17"/>
  <c r="M309" i="17"/>
  <c r="L309" i="17"/>
  <c r="K309" i="17"/>
  <c r="I309" i="17"/>
  <c r="J309" i="17"/>
  <c r="O308" i="17"/>
  <c r="N308" i="17"/>
  <c r="M308" i="17"/>
  <c r="L308" i="17"/>
  <c r="K308" i="17"/>
  <c r="I308" i="17"/>
  <c r="J308" i="17"/>
  <c r="N307" i="17"/>
  <c r="M307" i="17"/>
  <c r="L307" i="17"/>
  <c r="K307" i="17"/>
  <c r="I307" i="17"/>
  <c r="J307" i="17"/>
  <c r="P306" i="17"/>
  <c r="N306" i="17"/>
  <c r="O306" i="17"/>
  <c r="M306" i="17"/>
  <c r="L306" i="17"/>
  <c r="K306" i="17"/>
  <c r="I306" i="17"/>
  <c r="J306" i="17"/>
  <c r="N305" i="17"/>
  <c r="L305" i="17"/>
  <c r="M305" i="17"/>
  <c r="K305" i="17"/>
  <c r="I305" i="17"/>
  <c r="J305" i="17"/>
  <c r="N304" i="17"/>
  <c r="M304" i="17"/>
  <c r="L304" i="17"/>
  <c r="K304" i="17"/>
  <c r="I304" i="17"/>
  <c r="J304" i="17"/>
  <c r="N303" i="17"/>
  <c r="O303" i="17"/>
  <c r="P303" i="17"/>
  <c r="M303" i="17"/>
  <c r="L303" i="17"/>
  <c r="K303" i="17"/>
  <c r="J303" i="17"/>
  <c r="I303" i="17"/>
  <c r="N302" i="17"/>
  <c r="M302" i="17"/>
  <c r="L302" i="17"/>
  <c r="K302" i="17"/>
  <c r="I302" i="17"/>
  <c r="J302" i="17"/>
  <c r="N301" i="17"/>
  <c r="M301" i="17"/>
  <c r="L301" i="17"/>
  <c r="K301" i="17"/>
  <c r="I301" i="17"/>
  <c r="J301" i="17"/>
  <c r="P300" i="17"/>
  <c r="O300" i="17"/>
  <c r="N300" i="17"/>
  <c r="M300" i="17"/>
  <c r="L300" i="17"/>
  <c r="K300" i="17"/>
  <c r="I300" i="17"/>
  <c r="J300" i="17"/>
  <c r="N299" i="17"/>
  <c r="L299" i="17"/>
  <c r="M299" i="17"/>
  <c r="K299" i="17"/>
  <c r="I299" i="17"/>
  <c r="J299" i="17"/>
  <c r="N298" i="17"/>
  <c r="M298" i="17"/>
  <c r="L298" i="17"/>
  <c r="K298" i="17"/>
  <c r="I298" i="17"/>
  <c r="J298" i="17"/>
  <c r="N297" i="17"/>
  <c r="O297" i="17"/>
  <c r="P297" i="17"/>
  <c r="M297" i="17"/>
  <c r="L297" i="17"/>
  <c r="K297" i="17"/>
  <c r="I297" i="17"/>
  <c r="J297" i="17"/>
  <c r="N296" i="17"/>
  <c r="O296" i="17"/>
  <c r="M296" i="17"/>
  <c r="L296" i="17"/>
  <c r="K296" i="17"/>
  <c r="I296" i="17"/>
  <c r="J296" i="17"/>
  <c r="N295" i="17"/>
  <c r="M295" i="17"/>
  <c r="L295" i="17"/>
  <c r="K295" i="17"/>
  <c r="I295" i="17"/>
  <c r="J295" i="17"/>
  <c r="O294" i="17"/>
  <c r="P294" i="17"/>
  <c r="N294" i="17"/>
  <c r="M294" i="17"/>
  <c r="L294" i="17"/>
  <c r="K294" i="17"/>
  <c r="I294" i="17"/>
  <c r="J294" i="17"/>
  <c r="N293" i="17"/>
  <c r="L293" i="17"/>
  <c r="M293" i="17"/>
  <c r="K293" i="17"/>
  <c r="I293" i="17"/>
  <c r="J293" i="17"/>
  <c r="N292" i="17"/>
  <c r="M292" i="17"/>
  <c r="L292" i="17"/>
  <c r="K292" i="17"/>
  <c r="I292" i="17"/>
  <c r="J292" i="17"/>
  <c r="N291" i="17"/>
  <c r="O291" i="17"/>
  <c r="P291" i="17"/>
  <c r="M291" i="17"/>
  <c r="L291" i="17"/>
  <c r="K291" i="17"/>
  <c r="J291" i="17"/>
  <c r="I291" i="17"/>
  <c r="N290" i="17"/>
  <c r="L290" i="17"/>
  <c r="M290" i="17"/>
  <c r="K290" i="17"/>
  <c r="I290" i="17"/>
  <c r="J290" i="17"/>
  <c r="N289" i="17"/>
  <c r="M289" i="17"/>
  <c r="L289" i="17"/>
  <c r="K289" i="17"/>
  <c r="I289" i="17"/>
  <c r="J289" i="17"/>
  <c r="P288" i="17"/>
  <c r="N288" i="17"/>
  <c r="O288" i="17"/>
  <c r="M288" i="17"/>
  <c r="L288" i="17"/>
  <c r="K288" i="17"/>
  <c r="I288" i="17"/>
  <c r="J288" i="17"/>
  <c r="O287" i="17"/>
  <c r="N287" i="17"/>
  <c r="L287" i="17"/>
  <c r="M287" i="17"/>
  <c r="K287" i="17"/>
  <c r="J287" i="17"/>
  <c r="I287" i="17"/>
  <c r="N286" i="17"/>
  <c r="M286" i="17"/>
  <c r="L286" i="17"/>
  <c r="K286" i="17"/>
  <c r="J286" i="17"/>
  <c r="I286" i="17"/>
  <c r="O285" i="17"/>
  <c r="P285" i="17"/>
  <c r="N285" i="17"/>
  <c r="L285" i="17"/>
  <c r="M285" i="17"/>
  <c r="K285" i="17"/>
  <c r="J285" i="17"/>
  <c r="I285" i="17"/>
  <c r="N284" i="17"/>
  <c r="O284" i="17"/>
  <c r="M284" i="17"/>
  <c r="L284" i="17"/>
  <c r="K284" i="17"/>
  <c r="J284" i="17"/>
  <c r="I284" i="17"/>
  <c r="N283" i="17"/>
  <c r="M283" i="17"/>
  <c r="L283" i="17"/>
  <c r="K283" i="17"/>
  <c r="I283" i="17"/>
  <c r="J283" i="17"/>
  <c r="P282" i="17"/>
  <c r="O282" i="17"/>
  <c r="N282" i="17"/>
  <c r="M282" i="17"/>
  <c r="L282" i="17"/>
  <c r="K282" i="17"/>
  <c r="J282" i="17"/>
  <c r="I282" i="17"/>
  <c r="N281" i="17"/>
  <c r="L281" i="17"/>
  <c r="M281" i="17"/>
  <c r="K281" i="17"/>
  <c r="J281" i="17"/>
  <c r="I281" i="17"/>
  <c r="N280" i="17"/>
  <c r="M280" i="17"/>
  <c r="L280" i="17"/>
  <c r="K280" i="17"/>
  <c r="I280" i="17"/>
  <c r="J280" i="17"/>
  <c r="N279" i="17"/>
  <c r="O279" i="17"/>
  <c r="P279" i="17"/>
  <c r="M279" i="17"/>
  <c r="L279" i="17"/>
  <c r="K279" i="17"/>
  <c r="I279" i="17"/>
  <c r="J279" i="17"/>
  <c r="O278" i="17"/>
  <c r="N278" i="17"/>
  <c r="M278" i="17"/>
  <c r="L278" i="17"/>
  <c r="K278" i="17"/>
  <c r="I278" i="17"/>
  <c r="J278" i="17"/>
  <c r="N277" i="17"/>
  <c r="M277" i="17"/>
  <c r="L277" i="17"/>
  <c r="K277" i="17"/>
  <c r="I277" i="17"/>
  <c r="J277" i="17"/>
  <c r="N276" i="17"/>
  <c r="O276" i="17"/>
  <c r="P276" i="17"/>
  <c r="M276" i="17"/>
  <c r="L276" i="17"/>
  <c r="K276" i="17"/>
  <c r="I276" i="17"/>
  <c r="J276" i="17"/>
  <c r="N275" i="17"/>
  <c r="L275" i="17"/>
  <c r="M275" i="17"/>
  <c r="K275" i="17"/>
  <c r="I275" i="17"/>
  <c r="J275" i="17"/>
  <c r="N274" i="17"/>
  <c r="M274" i="17"/>
  <c r="L274" i="17"/>
  <c r="K274" i="17"/>
  <c r="J274" i="17"/>
  <c r="I274" i="17"/>
  <c r="N273" i="17"/>
  <c r="O273" i="17"/>
  <c r="P273" i="17"/>
  <c r="L273" i="17"/>
  <c r="M273" i="17"/>
  <c r="K273" i="17"/>
  <c r="J273" i="17"/>
  <c r="I273" i="17"/>
  <c r="N272" i="17"/>
  <c r="L272" i="17"/>
  <c r="M272" i="17"/>
  <c r="K272" i="17"/>
  <c r="I272" i="17"/>
  <c r="J272" i="17"/>
  <c r="N271" i="17"/>
  <c r="M271" i="17"/>
  <c r="L271" i="17"/>
  <c r="K271" i="17"/>
  <c r="I271" i="17"/>
  <c r="J271" i="17"/>
  <c r="N270" i="17"/>
  <c r="O270" i="17"/>
  <c r="P270" i="17"/>
  <c r="M270" i="17"/>
  <c r="L270" i="17"/>
  <c r="K270" i="17"/>
  <c r="J270" i="17"/>
  <c r="I270" i="17"/>
  <c r="N269" i="17"/>
  <c r="L269" i="17"/>
  <c r="M269" i="17"/>
  <c r="K269" i="17"/>
  <c r="J269" i="17"/>
  <c r="I269" i="17"/>
  <c r="N268" i="17"/>
  <c r="M268" i="17"/>
  <c r="L268" i="17"/>
  <c r="K268" i="17"/>
  <c r="J268" i="17"/>
  <c r="I268" i="17"/>
  <c r="N267" i="17"/>
  <c r="O267" i="17"/>
  <c r="P267" i="17"/>
  <c r="M267" i="17"/>
  <c r="L267" i="17"/>
  <c r="K267" i="17"/>
  <c r="I267" i="17"/>
  <c r="J267" i="17"/>
  <c r="N266" i="17"/>
  <c r="O266" i="17"/>
  <c r="M266" i="17"/>
  <c r="L266" i="17"/>
  <c r="K266" i="17"/>
  <c r="I266" i="17"/>
  <c r="J266" i="17"/>
  <c r="N265" i="17"/>
  <c r="M265" i="17"/>
  <c r="L265" i="17"/>
  <c r="K265" i="17"/>
  <c r="I265" i="17"/>
  <c r="J265" i="17"/>
  <c r="P264" i="17"/>
  <c r="O264" i="17"/>
  <c r="N264" i="17"/>
  <c r="L264" i="17"/>
  <c r="M264" i="17"/>
  <c r="K264" i="17"/>
  <c r="I264" i="17"/>
  <c r="J264" i="17"/>
  <c r="N263" i="17"/>
  <c r="L263" i="17"/>
  <c r="M263" i="17"/>
  <c r="K263" i="17"/>
  <c r="J263" i="17"/>
  <c r="I263" i="17"/>
  <c r="N262" i="17"/>
  <c r="M262" i="17"/>
  <c r="L262" i="17"/>
  <c r="K262" i="17"/>
  <c r="O262" i="17"/>
  <c r="I262" i="17"/>
  <c r="J262" i="17"/>
  <c r="N261" i="17"/>
  <c r="O261" i="17"/>
  <c r="P261" i="17"/>
  <c r="M261" i="17"/>
  <c r="L261" i="17"/>
  <c r="K261" i="17"/>
  <c r="I261" i="17"/>
  <c r="J261" i="17"/>
  <c r="N260" i="17"/>
  <c r="O260" i="17"/>
  <c r="L260" i="17"/>
  <c r="M260" i="17"/>
  <c r="K260" i="17"/>
  <c r="I260" i="17"/>
  <c r="J260" i="17"/>
  <c r="N259" i="17"/>
  <c r="M259" i="17"/>
  <c r="L259" i="17"/>
  <c r="K259" i="17"/>
  <c r="I259" i="17"/>
  <c r="J259" i="17"/>
  <c r="N258" i="17"/>
  <c r="O258" i="17"/>
  <c r="P258" i="17"/>
  <c r="L258" i="17"/>
  <c r="M258" i="17"/>
  <c r="K258" i="17"/>
  <c r="I258" i="17"/>
  <c r="J258" i="17"/>
  <c r="N257" i="17"/>
  <c r="O257" i="17"/>
  <c r="M257" i="17"/>
  <c r="L257" i="17"/>
  <c r="K257" i="17"/>
  <c r="J257" i="17"/>
  <c r="I257" i="17"/>
  <c r="N256" i="17"/>
  <c r="M256" i="17"/>
  <c r="L256" i="17"/>
  <c r="K256" i="17"/>
  <c r="J256" i="17"/>
  <c r="I256" i="17"/>
  <c r="P255" i="17"/>
  <c r="O255" i="17"/>
  <c r="N255" i="17"/>
  <c r="M255" i="17"/>
  <c r="L255" i="17"/>
  <c r="K255" i="17"/>
  <c r="J255" i="17"/>
  <c r="I255" i="17"/>
  <c r="N254" i="17"/>
  <c r="L254" i="17"/>
  <c r="M254" i="17"/>
  <c r="K254" i="17"/>
  <c r="I254" i="17"/>
  <c r="J254" i="17"/>
  <c r="N253" i="17"/>
  <c r="M253" i="17"/>
  <c r="L253" i="17"/>
  <c r="K253" i="17"/>
  <c r="I253" i="17"/>
  <c r="J253" i="17"/>
  <c r="N252" i="17"/>
  <c r="O252" i="17"/>
  <c r="P252" i="17"/>
  <c r="L252" i="17"/>
  <c r="M252" i="17"/>
  <c r="K252" i="17"/>
  <c r="J252" i="17"/>
  <c r="I252" i="17"/>
  <c r="N251" i="17"/>
  <c r="O251" i="17"/>
  <c r="L251" i="17"/>
  <c r="M251" i="17"/>
  <c r="K251" i="17"/>
  <c r="J251" i="17"/>
  <c r="I251" i="17"/>
  <c r="N250" i="17"/>
  <c r="M250" i="17"/>
  <c r="L250" i="17"/>
  <c r="K250" i="17"/>
  <c r="J250" i="17"/>
  <c r="I250" i="17"/>
  <c r="O249" i="17"/>
  <c r="P249" i="17"/>
  <c r="N249" i="17"/>
  <c r="L249" i="17"/>
  <c r="M249" i="17"/>
  <c r="K249" i="17"/>
  <c r="I249" i="17"/>
  <c r="J249" i="17"/>
  <c r="N248" i="17"/>
  <c r="O248" i="17"/>
  <c r="L248" i="17"/>
  <c r="M248" i="17"/>
  <c r="K248" i="17"/>
  <c r="J248" i="17"/>
  <c r="I248" i="17"/>
  <c r="N247" i="17"/>
  <c r="M247" i="17"/>
  <c r="L247" i="17"/>
  <c r="K247" i="17"/>
  <c r="I247" i="17"/>
  <c r="J247" i="17"/>
  <c r="O246" i="17"/>
  <c r="P246" i="17"/>
  <c r="N246" i="17"/>
  <c r="M246" i="17"/>
  <c r="L246" i="17"/>
  <c r="K246" i="17"/>
  <c r="J246" i="17"/>
  <c r="I246" i="17"/>
  <c r="N245" i="17"/>
  <c r="L245" i="17"/>
  <c r="M245" i="17"/>
  <c r="K245" i="17"/>
  <c r="J245" i="17"/>
  <c r="I245" i="17"/>
  <c r="N244" i="17"/>
  <c r="M244" i="17"/>
  <c r="L244" i="17"/>
  <c r="K244" i="17"/>
  <c r="I244" i="17"/>
  <c r="J244" i="17"/>
  <c r="N243" i="17"/>
  <c r="O243" i="17"/>
  <c r="P243" i="17"/>
  <c r="M243" i="17"/>
  <c r="L243" i="17"/>
  <c r="K243" i="17"/>
  <c r="I243" i="17"/>
  <c r="J243" i="17"/>
  <c r="N242" i="17"/>
  <c r="L242" i="17"/>
  <c r="M242" i="17"/>
  <c r="K242" i="17"/>
  <c r="I242" i="17"/>
  <c r="J242" i="17"/>
  <c r="P241" i="17"/>
  <c r="N241" i="17"/>
  <c r="M241" i="17"/>
  <c r="L241" i="17"/>
  <c r="K241" i="17"/>
  <c r="O241" i="17"/>
  <c r="J241" i="17"/>
  <c r="I241" i="17"/>
  <c r="N240" i="17"/>
  <c r="O240" i="17"/>
  <c r="P240" i="17"/>
  <c r="L240" i="17"/>
  <c r="M240" i="17"/>
  <c r="K240" i="17"/>
  <c r="I240" i="17"/>
  <c r="J240" i="17"/>
  <c r="O239" i="17"/>
  <c r="N239" i="17"/>
  <c r="L239" i="17"/>
  <c r="M239" i="17"/>
  <c r="K239" i="17"/>
  <c r="I239" i="17"/>
  <c r="J239" i="17"/>
  <c r="N238" i="17"/>
  <c r="M238" i="17"/>
  <c r="L238" i="17"/>
  <c r="K238" i="17"/>
  <c r="J238" i="17"/>
  <c r="I238" i="17"/>
  <c r="O237" i="17"/>
  <c r="P237" i="17"/>
  <c r="N237" i="17"/>
  <c r="L237" i="17"/>
  <c r="M237" i="17"/>
  <c r="K237" i="17"/>
  <c r="I237" i="17"/>
  <c r="J237" i="17"/>
  <c r="N236" i="17"/>
  <c r="M236" i="17"/>
  <c r="L236" i="17"/>
  <c r="K236" i="17"/>
  <c r="I236" i="17"/>
  <c r="J236" i="17"/>
  <c r="N235" i="17"/>
  <c r="M235" i="17"/>
  <c r="L235" i="17"/>
  <c r="K235" i="17"/>
  <c r="I235" i="17"/>
  <c r="J235" i="17"/>
  <c r="N234" i="17"/>
  <c r="O234" i="17"/>
  <c r="P234" i="17"/>
  <c r="L234" i="17"/>
  <c r="M234" i="17"/>
  <c r="K234" i="17"/>
  <c r="I234" i="17"/>
  <c r="J234" i="17"/>
  <c r="N233" i="17"/>
  <c r="L233" i="17"/>
  <c r="M233" i="17"/>
  <c r="K233" i="17"/>
  <c r="I233" i="17"/>
  <c r="J233" i="17"/>
  <c r="N232" i="17"/>
  <c r="M232" i="17"/>
  <c r="L232" i="17"/>
  <c r="K232" i="17"/>
  <c r="I232" i="17"/>
  <c r="J232" i="17"/>
  <c r="N231" i="17"/>
  <c r="O231" i="17"/>
  <c r="P231" i="17"/>
  <c r="L231" i="17"/>
  <c r="M231" i="17"/>
  <c r="K231" i="17"/>
  <c r="J231" i="17"/>
  <c r="I231" i="17"/>
  <c r="N230" i="17"/>
  <c r="O230" i="17"/>
  <c r="L230" i="17"/>
  <c r="M230" i="17"/>
  <c r="K230" i="17"/>
  <c r="J230" i="17"/>
  <c r="I230" i="17"/>
  <c r="N229" i="17"/>
  <c r="M229" i="17"/>
  <c r="L229" i="17"/>
  <c r="K229" i="17"/>
  <c r="I229" i="17"/>
  <c r="J229" i="17"/>
  <c r="O228" i="17"/>
  <c r="P228" i="17"/>
  <c r="N228" i="17"/>
  <c r="L228" i="17"/>
  <c r="M228" i="17"/>
  <c r="K228" i="17"/>
  <c r="I228" i="17"/>
  <c r="J228" i="17"/>
  <c r="O227" i="17"/>
  <c r="N227" i="17"/>
  <c r="M227" i="17"/>
  <c r="L227" i="17"/>
  <c r="K227" i="17"/>
  <c r="J227" i="17"/>
  <c r="I227" i="17"/>
  <c r="N226" i="17"/>
  <c r="M226" i="17"/>
  <c r="L226" i="17"/>
  <c r="K226" i="17"/>
  <c r="O226" i="17"/>
  <c r="J226" i="17"/>
  <c r="I226" i="17"/>
  <c r="O225" i="17"/>
  <c r="P225" i="17"/>
  <c r="N225" i="17"/>
  <c r="M225" i="17"/>
  <c r="L225" i="17"/>
  <c r="K225" i="17"/>
  <c r="J225" i="17"/>
  <c r="I225" i="17"/>
  <c r="N224" i="17"/>
  <c r="M224" i="17"/>
  <c r="L224" i="17"/>
  <c r="K224" i="17"/>
  <c r="J224" i="17"/>
  <c r="I224" i="17"/>
  <c r="P223" i="17"/>
  <c r="N223" i="17"/>
  <c r="M223" i="17"/>
  <c r="L223" i="17"/>
  <c r="K223" i="17"/>
  <c r="O223" i="17"/>
  <c r="I223" i="17"/>
  <c r="J223" i="17"/>
  <c r="N222" i="17"/>
  <c r="O222" i="17"/>
  <c r="P222" i="17"/>
  <c r="M222" i="17"/>
  <c r="L222" i="17"/>
  <c r="K222" i="17"/>
  <c r="I222" i="17"/>
  <c r="J222" i="17"/>
  <c r="N221" i="17"/>
  <c r="M221" i="17"/>
  <c r="L221" i="17"/>
  <c r="K221" i="17"/>
  <c r="J221" i="17"/>
  <c r="I221" i="17"/>
  <c r="N220" i="17"/>
  <c r="M220" i="17"/>
  <c r="L220" i="17"/>
  <c r="K220" i="17"/>
  <c r="J220" i="17"/>
  <c r="I220" i="17"/>
  <c r="N219" i="17"/>
  <c r="O219" i="17"/>
  <c r="P219" i="17"/>
  <c r="M219" i="17"/>
  <c r="L219" i="17"/>
  <c r="K219" i="17"/>
  <c r="J219" i="17"/>
  <c r="I219" i="17"/>
  <c r="N218" i="17"/>
  <c r="M218" i="17"/>
  <c r="L218" i="17"/>
  <c r="K218" i="17"/>
  <c r="J218" i="17"/>
  <c r="I218" i="17"/>
  <c r="N217" i="17"/>
  <c r="M217" i="17"/>
  <c r="L217" i="17"/>
  <c r="K217" i="17"/>
  <c r="I217" i="17"/>
  <c r="J217" i="17"/>
  <c r="O216" i="17"/>
  <c r="P216" i="17"/>
  <c r="N216" i="17"/>
  <c r="L216" i="17"/>
  <c r="M216" i="17"/>
  <c r="K216" i="17"/>
  <c r="I216" i="17"/>
  <c r="J216" i="17"/>
  <c r="N215" i="17"/>
  <c r="O215" i="17"/>
  <c r="L215" i="17"/>
  <c r="M215" i="17"/>
  <c r="K215" i="17"/>
  <c r="I215" i="17"/>
  <c r="J215" i="17"/>
  <c r="P214" i="17"/>
  <c r="N214" i="17"/>
  <c r="M214" i="17"/>
  <c r="L214" i="17"/>
  <c r="K214" i="17"/>
  <c r="O214" i="17"/>
  <c r="J214" i="17"/>
  <c r="I214" i="17"/>
  <c r="N213" i="17"/>
  <c r="O213" i="17"/>
  <c r="P213" i="17"/>
  <c r="L213" i="17"/>
  <c r="M213" i="17"/>
  <c r="K213" i="17"/>
  <c r="I213" i="17"/>
  <c r="J213" i="17"/>
  <c r="O212" i="17"/>
  <c r="N212" i="17"/>
  <c r="M212" i="17"/>
  <c r="L212" i="17"/>
  <c r="K212" i="17"/>
  <c r="I212" i="17"/>
  <c r="J212" i="17"/>
  <c r="N211" i="17"/>
  <c r="M211" i="17"/>
  <c r="L211" i="17"/>
  <c r="K211" i="17"/>
  <c r="J211" i="17"/>
  <c r="I211" i="17"/>
  <c r="O210" i="17"/>
  <c r="P210" i="17"/>
  <c r="N210" i="17"/>
  <c r="L210" i="17"/>
  <c r="M210" i="17"/>
  <c r="K210" i="17"/>
  <c r="I210" i="17"/>
  <c r="J210" i="17"/>
  <c r="N209" i="17"/>
  <c r="O209" i="17"/>
  <c r="M209" i="17"/>
  <c r="L209" i="17"/>
  <c r="K209" i="17"/>
  <c r="J209" i="17"/>
  <c r="I209" i="17"/>
  <c r="N208" i="17"/>
  <c r="M208" i="17"/>
  <c r="L208" i="17"/>
  <c r="K208" i="17"/>
  <c r="J208" i="17"/>
  <c r="I208" i="17"/>
  <c r="P207" i="17"/>
  <c r="O207" i="17"/>
  <c r="N207" i="17"/>
  <c r="M207" i="17"/>
  <c r="L207" i="17"/>
  <c r="K207" i="17"/>
  <c r="J207" i="17"/>
  <c r="I207" i="17"/>
  <c r="O206" i="17"/>
  <c r="N206" i="17"/>
  <c r="M206" i="17"/>
  <c r="L206" i="17"/>
  <c r="K206" i="17"/>
  <c r="J206" i="17"/>
  <c r="I206" i="17"/>
  <c r="P205" i="17"/>
  <c r="N205" i="17"/>
  <c r="M205" i="17"/>
  <c r="L205" i="17"/>
  <c r="K205" i="17"/>
  <c r="O205" i="17"/>
  <c r="J205" i="17"/>
  <c r="I205" i="17"/>
  <c r="N204" i="17"/>
  <c r="O204" i="17"/>
  <c r="P204" i="17"/>
  <c r="M204" i="17"/>
  <c r="L204" i="17"/>
  <c r="K204" i="17"/>
  <c r="I204" i="17"/>
  <c r="J204" i="17"/>
  <c r="N203" i="17"/>
  <c r="L203" i="17"/>
  <c r="M203" i="17"/>
  <c r="K203" i="17"/>
  <c r="J203" i="17"/>
  <c r="I203" i="17"/>
  <c r="N202" i="17"/>
  <c r="M202" i="17"/>
  <c r="L202" i="17"/>
  <c r="K202" i="17"/>
  <c r="I202" i="17"/>
  <c r="J202" i="17"/>
  <c r="N201" i="17"/>
  <c r="O201" i="17"/>
  <c r="P201" i="17"/>
  <c r="L201" i="17"/>
  <c r="M201" i="17"/>
  <c r="K201" i="17"/>
  <c r="J201" i="17"/>
  <c r="I201" i="17"/>
  <c r="N200" i="17"/>
  <c r="L200" i="17"/>
  <c r="M200" i="17"/>
  <c r="K200" i="17"/>
  <c r="I200" i="17"/>
  <c r="J200" i="17"/>
  <c r="N199" i="17"/>
  <c r="M199" i="17"/>
  <c r="L199" i="17"/>
  <c r="K199" i="17"/>
  <c r="I199" i="17"/>
  <c r="J199" i="17"/>
  <c r="N198" i="17"/>
  <c r="O198" i="17"/>
  <c r="P198" i="17"/>
  <c r="M198" i="17"/>
  <c r="L198" i="17"/>
  <c r="K198" i="17"/>
  <c r="I198" i="17"/>
  <c r="J198" i="17"/>
  <c r="N197" i="17"/>
  <c r="L197" i="17"/>
  <c r="M197" i="17"/>
  <c r="K197" i="17"/>
  <c r="J197" i="17"/>
  <c r="I197" i="17"/>
  <c r="P196" i="17"/>
  <c r="N196" i="17"/>
  <c r="M196" i="17"/>
  <c r="L196" i="17"/>
  <c r="K196" i="17"/>
  <c r="O196" i="17"/>
  <c r="I196" i="17"/>
  <c r="J196" i="17"/>
  <c r="N195" i="17"/>
  <c r="O195" i="17"/>
  <c r="P195" i="17"/>
  <c r="L195" i="17"/>
  <c r="M195" i="17"/>
  <c r="K195" i="17"/>
  <c r="J195" i="17"/>
  <c r="I195" i="17"/>
  <c r="N194" i="17"/>
  <c r="O194" i="17"/>
  <c r="M194" i="17"/>
  <c r="L194" i="17"/>
  <c r="K194" i="17"/>
  <c r="I194" i="17"/>
  <c r="J194" i="17"/>
  <c r="N193" i="17"/>
  <c r="M193" i="17"/>
  <c r="L193" i="17"/>
  <c r="K193" i="17"/>
  <c r="O193" i="17"/>
  <c r="I193" i="17"/>
  <c r="J193" i="17"/>
  <c r="O192" i="17"/>
  <c r="P192" i="17"/>
  <c r="N192" i="17"/>
  <c r="L192" i="17"/>
  <c r="M192" i="17"/>
  <c r="K192" i="17"/>
  <c r="J192" i="17"/>
  <c r="I192" i="17"/>
  <c r="N191" i="17"/>
  <c r="O191" i="17"/>
  <c r="L191" i="17"/>
  <c r="M191" i="17"/>
  <c r="K191" i="17"/>
  <c r="J191" i="17"/>
  <c r="I191" i="17"/>
  <c r="N190" i="17"/>
  <c r="M190" i="17"/>
  <c r="L190" i="17"/>
  <c r="K190" i="17"/>
  <c r="J190" i="17"/>
  <c r="I190" i="17"/>
  <c r="N189" i="17"/>
  <c r="O189" i="17"/>
  <c r="P189" i="17"/>
  <c r="M189" i="17"/>
  <c r="L189" i="17"/>
  <c r="K189" i="17"/>
  <c r="I189" i="17"/>
  <c r="J189" i="17"/>
  <c r="O188" i="17"/>
  <c r="N188" i="17"/>
  <c r="M188" i="17"/>
  <c r="L188" i="17"/>
  <c r="K188" i="17"/>
  <c r="I188" i="17"/>
  <c r="J188" i="17"/>
  <c r="N187" i="17"/>
  <c r="M187" i="17"/>
  <c r="L187" i="17"/>
  <c r="K187" i="17"/>
  <c r="O187" i="17"/>
  <c r="J187" i="17"/>
  <c r="I187" i="17"/>
  <c r="O186" i="17"/>
  <c r="P186" i="17"/>
  <c r="N186" i="17"/>
  <c r="M186" i="17"/>
  <c r="L186" i="17"/>
  <c r="K186" i="17"/>
  <c r="I186" i="17"/>
  <c r="J186" i="17"/>
  <c r="O185" i="17"/>
  <c r="N185" i="17"/>
  <c r="L185" i="17"/>
  <c r="M185" i="17"/>
  <c r="K185" i="17"/>
  <c r="I185" i="17"/>
  <c r="J185" i="17"/>
  <c r="N184" i="17"/>
  <c r="M184" i="17"/>
  <c r="L184" i="17"/>
  <c r="K184" i="17"/>
  <c r="I184" i="17"/>
  <c r="J184" i="17"/>
  <c r="O183" i="17"/>
  <c r="P183" i="17"/>
  <c r="N183" i="17"/>
  <c r="L183" i="17"/>
  <c r="M183" i="17"/>
  <c r="K183" i="17"/>
  <c r="I183" i="17"/>
  <c r="J183" i="17"/>
  <c r="N182" i="17"/>
  <c r="M182" i="17"/>
  <c r="L182" i="17"/>
  <c r="K182" i="17"/>
  <c r="I182" i="17"/>
  <c r="J182" i="17"/>
  <c r="N181" i="17"/>
  <c r="O181" i="17"/>
  <c r="P181" i="17"/>
  <c r="M181" i="17"/>
  <c r="L181" i="17"/>
  <c r="K181" i="17"/>
  <c r="I181" i="17"/>
  <c r="J181" i="17"/>
  <c r="N180" i="17"/>
  <c r="M180" i="17"/>
  <c r="L180" i="17"/>
  <c r="K180" i="17"/>
  <c r="J180" i="17"/>
  <c r="I180" i="17"/>
  <c r="O179" i="17"/>
  <c r="N179" i="17"/>
  <c r="L179" i="17"/>
  <c r="M179" i="17"/>
  <c r="K179" i="17"/>
  <c r="I179" i="17"/>
  <c r="J179" i="17"/>
  <c r="N178" i="17"/>
  <c r="M178" i="17"/>
  <c r="L178" i="17"/>
  <c r="K178" i="17"/>
  <c r="I178" i="17"/>
  <c r="J178" i="17"/>
  <c r="N177" i="17"/>
  <c r="O177" i="17"/>
  <c r="P177" i="17"/>
  <c r="M177" i="17"/>
  <c r="L177" i="17"/>
  <c r="K177" i="17"/>
  <c r="I177" i="17"/>
  <c r="J177" i="17"/>
  <c r="N176" i="17"/>
  <c r="L176" i="17"/>
  <c r="M176" i="17"/>
  <c r="K176" i="17"/>
  <c r="J176" i="17"/>
  <c r="I176" i="17"/>
  <c r="O175" i="17"/>
  <c r="P175" i="17"/>
  <c r="N175" i="17"/>
  <c r="M175" i="17"/>
  <c r="L175" i="17"/>
  <c r="K175" i="17"/>
  <c r="J175" i="17"/>
  <c r="I175" i="17"/>
  <c r="N174" i="17"/>
  <c r="L174" i="17"/>
  <c r="M174" i="17"/>
  <c r="K174" i="17"/>
  <c r="O174" i="17"/>
  <c r="P174" i="17"/>
  <c r="J174" i="17"/>
  <c r="I174" i="17"/>
  <c r="N173" i="17"/>
  <c r="M173" i="17"/>
  <c r="L173" i="17"/>
  <c r="K173" i="17"/>
  <c r="J173" i="17"/>
  <c r="I173" i="17"/>
  <c r="N172" i="17"/>
  <c r="O172" i="17"/>
  <c r="P172" i="17"/>
  <c r="M172" i="17"/>
  <c r="L172" i="17"/>
  <c r="K172" i="17"/>
  <c r="J172" i="17"/>
  <c r="I172" i="17"/>
  <c r="N171" i="17"/>
  <c r="L171" i="17"/>
  <c r="M171" i="17"/>
  <c r="K171" i="17"/>
  <c r="I171" i="17"/>
  <c r="J171" i="17"/>
  <c r="N170" i="17"/>
  <c r="O170" i="17"/>
  <c r="L170" i="17"/>
  <c r="M170" i="17"/>
  <c r="K170" i="17"/>
  <c r="I170" i="17"/>
  <c r="J170" i="17"/>
  <c r="N169" i="17"/>
  <c r="M169" i="17"/>
  <c r="L169" i="17"/>
  <c r="K169" i="17"/>
  <c r="J169" i="17"/>
  <c r="I169" i="17"/>
  <c r="P168" i="17"/>
  <c r="N168" i="17"/>
  <c r="L168" i="17"/>
  <c r="M168" i="17"/>
  <c r="K168" i="17"/>
  <c r="O168" i="17"/>
  <c r="I168" i="17"/>
  <c r="J168" i="17"/>
  <c r="N167" i="17"/>
  <c r="O167" i="17"/>
  <c r="L167" i="17"/>
  <c r="M167" i="17"/>
  <c r="K167" i="17"/>
  <c r="I167" i="17"/>
  <c r="J167" i="17"/>
  <c r="P166" i="17"/>
  <c r="N166" i="17"/>
  <c r="M166" i="17"/>
  <c r="L166" i="17"/>
  <c r="K166" i="17"/>
  <c r="O166" i="17"/>
  <c r="I166" i="17"/>
  <c r="J166" i="17"/>
  <c r="O165" i="17"/>
  <c r="P165" i="17"/>
  <c r="N165" i="17"/>
  <c r="L165" i="17"/>
  <c r="M165" i="17"/>
  <c r="K165" i="17"/>
  <c r="J165" i="17"/>
  <c r="I165" i="17"/>
  <c r="N164" i="17"/>
  <c r="L164" i="17"/>
  <c r="M164" i="17"/>
  <c r="K164" i="17"/>
  <c r="J164" i="17"/>
  <c r="I164" i="17"/>
  <c r="O163" i="17"/>
  <c r="P163" i="17"/>
  <c r="N163" i="17"/>
  <c r="M163" i="17"/>
  <c r="L163" i="17"/>
  <c r="K163" i="17"/>
  <c r="I163" i="17"/>
  <c r="J163" i="17"/>
  <c r="N162" i="17"/>
  <c r="L162" i="17"/>
  <c r="M162" i="17"/>
  <c r="K162" i="17"/>
  <c r="J162" i="17"/>
  <c r="I162" i="17"/>
  <c r="N161" i="17"/>
  <c r="M161" i="17"/>
  <c r="L161" i="17"/>
  <c r="K161" i="17"/>
  <c r="I161" i="17"/>
  <c r="J161" i="17"/>
  <c r="O160" i="17"/>
  <c r="N160" i="17"/>
  <c r="M160" i="17"/>
  <c r="L160" i="17"/>
  <c r="K160" i="17"/>
  <c r="J160" i="17"/>
  <c r="I160" i="17"/>
  <c r="N159" i="17"/>
  <c r="M159" i="17"/>
  <c r="L159" i="17"/>
  <c r="K159" i="17"/>
  <c r="I159" i="17"/>
  <c r="J159" i="17"/>
  <c r="O158" i="17"/>
  <c r="N158" i="17"/>
  <c r="M158" i="17"/>
  <c r="L158" i="17"/>
  <c r="K158" i="17"/>
  <c r="J158" i="17"/>
  <c r="I158" i="17"/>
  <c r="N157" i="17"/>
  <c r="M157" i="17"/>
  <c r="L157" i="17"/>
  <c r="K157" i="17"/>
  <c r="J157" i="17"/>
  <c r="I157" i="17"/>
  <c r="P156" i="17"/>
  <c r="O156" i="17"/>
  <c r="N156" i="17"/>
  <c r="M156" i="17"/>
  <c r="L156" i="17"/>
  <c r="K156" i="17"/>
  <c r="I156" i="17"/>
  <c r="J156" i="17"/>
  <c r="N155" i="17"/>
  <c r="M155" i="17"/>
  <c r="L155" i="17"/>
  <c r="K155" i="17"/>
  <c r="J155" i="17"/>
  <c r="I155" i="17"/>
  <c r="O154" i="17"/>
  <c r="P154" i="17"/>
  <c r="N154" i="17"/>
  <c r="M154" i="17"/>
  <c r="L154" i="17"/>
  <c r="K154" i="17"/>
  <c r="I154" i="17"/>
  <c r="J154" i="17"/>
  <c r="N153" i="17"/>
  <c r="O153" i="17"/>
  <c r="M153" i="17"/>
  <c r="L153" i="17"/>
  <c r="K153" i="17"/>
  <c r="I153" i="17"/>
  <c r="J153" i="17"/>
  <c r="N152" i="17"/>
  <c r="L152" i="17"/>
  <c r="M152" i="17"/>
  <c r="K152" i="17"/>
  <c r="I152" i="17"/>
  <c r="J152" i="17"/>
  <c r="N151" i="17"/>
  <c r="O151" i="17"/>
  <c r="P151" i="17"/>
  <c r="M151" i="17"/>
  <c r="L151" i="17"/>
  <c r="K151" i="17"/>
  <c r="I151" i="17"/>
  <c r="J151" i="17"/>
  <c r="N150" i="17"/>
  <c r="L150" i="17"/>
  <c r="M150" i="17"/>
  <c r="K150" i="17"/>
  <c r="J150" i="17"/>
  <c r="I150" i="17"/>
  <c r="N149" i="17"/>
  <c r="L149" i="17"/>
  <c r="M149" i="17"/>
  <c r="K149" i="17"/>
  <c r="J149" i="17"/>
  <c r="I149" i="17"/>
  <c r="N148" i="17"/>
  <c r="O148" i="17"/>
  <c r="P148" i="17"/>
  <c r="M148" i="17"/>
  <c r="L148" i="17"/>
  <c r="K148" i="17"/>
  <c r="J148" i="17"/>
  <c r="I148" i="17"/>
  <c r="N147" i="17"/>
  <c r="L147" i="17"/>
  <c r="M147" i="17"/>
  <c r="K147" i="17"/>
  <c r="J147" i="17"/>
  <c r="I147" i="17"/>
  <c r="N146" i="17"/>
  <c r="M146" i="17"/>
  <c r="L146" i="17"/>
  <c r="K146" i="17"/>
  <c r="I146" i="17"/>
  <c r="J146" i="17"/>
  <c r="N145" i="17"/>
  <c r="O145" i="17"/>
  <c r="P145" i="17"/>
  <c r="L145" i="17"/>
  <c r="M145" i="17"/>
  <c r="K145" i="17"/>
  <c r="I145" i="17"/>
  <c r="J145" i="17"/>
  <c r="N144" i="17"/>
  <c r="O144" i="17"/>
  <c r="P144" i="17"/>
  <c r="L144" i="17"/>
  <c r="M144" i="17"/>
  <c r="K144" i="17"/>
  <c r="I144" i="17"/>
  <c r="J144" i="17"/>
  <c r="N143" i="17"/>
  <c r="L143" i="17"/>
  <c r="M143" i="17"/>
  <c r="K143" i="17"/>
  <c r="I143" i="17"/>
  <c r="J143" i="17"/>
  <c r="O142" i="17"/>
  <c r="P142" i="17"/>
  <c r="N142" i="17"/>
  <c r="L142" i="17"/>
  <c r="M142" i="17"/>
  <c r="K142" i="17"/>
  <c r="I142" i="17"/>
  <c r="J142" i="17"/>
  <c r="P141" i="17"/>
  <c r="N141" i="17"/>
  <c r="M141" i="17"/>
  <c r="L141" i="17"/>
  <c r="K141" i="17"/>
  <c r="O141" i="17"/>
  <c r="I141" i="17"/>
  <c r="J141" i="17"/>
  <c r="N140" i="17"/>
  <c r="L140" i="17"/>
  <c r="M140" i="17"/>
  <c r="K140" i="17"/>
  <c r="O140" i="17"/>
  <c r="J140" i="17"/>
  <c r="I140" i="17"/>
  <c r="N139" i="17"/>
  <c r="L139" i="17"/>
  <c r="M139" i="17"/>
  <c r="K139" i="17"/>
  <c r="I139" i="17"/>
  <c r="J139" i="17"/>
  <c r="N138" i="17"/>
  <c r="O138" i="17"/>
  <c r="P138" i="17"/>
  <c r="M138" i="17"/>
  <c r="L138" i="17"/>
  <c r="K138" i="17"/>
  <c r="J138" i="17"/>
  <c r="I138" i="17"/>
  <c r="N137" i="17"/>
  <c r="M137" i="17"/>
  <c r="L137" i="17"/>
  <c r="K137" i="17"/>
  <c r="I137" i="17"/>
  <c r="J137" i="17"/>
  <c r="N136" i="17"/>
  <c r="L136" i="17"/>
  <c r="M136" i="17"/>
  <c r="K136" i="17"/>
  <c r="I136" i="17"/>
  <c r="J136" i="17"/>
  <c r="N135" i="17"/>
  <c r="O135" i="17"/>
  <c r="P135" i="17"/>
  <c r="M135" i="17"/>
  <c r="L135" i="17"/>
  <c r="K135" i="17"/>
  <c r="J135" i="17"/>
  <c r="I135" i="17"/>
  <c r="N134" i="17"/>
  <c r="L134" i="17"/>
  <c r="M134" i="17"/>
  <c r="K134" i="17"/>
  <c r="I134" i="17"/>
  <c r="J134" i="17"/>
  <c r="P133" i="17"/>
  <c r="N133" i="17"/>
  <c r="L133" i="17"/>
  <c r="M133" i="17"/>
  <c r="K133" i="17"/>
  <c r="O133" i="17"/>
  <c r="I133" i="17"/>
  <c r="J133" i="17"/>
  <c r="N132" i="17"/>
  <c r="L132" i="17"/>
  <c r="M132" i="17"/>
  <c r="K132" i="17"/>
  <c r="O132" i="17"/>
  <c r="J132" i="17"/>
  <c r="I132" i="17"/>
  <c r="N131" i="17"/>
  <c r="L131" i="17"/>
  <c r="M131" i="17"/>
  <c r="K131" i="17"/>
  <c r="I131" i="17"/>
  <c r="J131" i="17"/>
  <c r="O130" i="17"/>
  <c r="P130" i="17"/>
  <c r="N130" i="17"/>
  <c r="L130" i="17"/>
  <c r="M130" i="17"/>
  <c r="K130" i="17"/>
  <c r="I130" i="17"/>
  <c r="J130" i="17"/>
  <c r="N129" i="17"/>
  <c r="O129" i="17"/>
  <c r="L129" i="17"/>
  <c r="M129" i="17"/>
  <c r="K129" i="17"/>
  <c r="J129" i="17"/>
  <c r="I129" i="17"/>
  <c r="N128" i="17"/>
  <c r="L128" i="17"/>
  <c r="M128" i="17"/>
  <c r="K128" i="17"/>
  <c r="I128" i="17"/>
  <c r="J128" i="17"/>
  <c r="O127" i="17"/>
  <c r="P127" i="17"/>
  <c r="N127" i="17"/>
  <c r="L127" i="17"/>
  <c r="M127" i="17"/>
  <c r="K127" i="17"/>
  <c r="J127" i="17"/>
  <c r="I127" i="17"/>
  <c r="N126" i="17"/>
  <c r="L126" i="17"/>
  <c r="M126" i="17"/>
  <c r="K126" i="17"/>
  <c r="J126" i="17"/>
  <c r="I126" i="17"/>
  <c r="N125" i="17"/>
  <c r="L125" i="17"/>
  <c r="M125" i="17"/>
  <c r="K125" i="17"/>
  <c r="I125" i="17"/>
  <c r="J125" i="17"/>
  <c r="N124" i="17"/>
  <c r="O124" i="17"/>
  <c r="P124" i="17"/>
  <c r="L124" i="17"/>
  <c r="M124" i="17"/>
  <c r="K124" i="17"/>
  <c r="I124" i="17"/>
  <c r="J124" i="17"/>
  <c r="N123" i="17"/>
  <c r="M123" i="17"/>
  <c r="L123" i="17"/>
  <c r="K123" i="17"/>
  <c r="J123" i="17"/>
  <c r="I123" i="17"/>
  <c r="N122" i="17"/>
  <c r="M122" i="17"/>
  <c r="L122" i="17"/>
  <c r="K122" i="17"/>
  <c r="O122" i="17"/>
  <c r="P122" i="17"/>
  <c r="I122" i="17"/>
  <c r="J122" i="17"/>
  <c r="O121" i="17"/>
  <c r="P121" i="17"/>
  <c r="N121" i="17"/>
  <c r="L121" i="17"/>
  <c r="M121" i="17"/>
  <c r="K121" i="17"/>
  <c r="J121" i="17"/>
  <c r="I121" i="17"/>
  <c r="N120" i="17"/>
  <c r="L120" i="17"/>
  <c r="M120" i="17"/>
  <c r="K120" i="17"/>
  <c r="J120" i="17"/>
  <c r="I120" i="17"/>
  <c r="O119" i="17"/>
  <c r="P119" i="17"/>
  <c r="N119" i="17"/>
  <c r="L119" i="17"/>
  <c r="M119" i="17"/>
  <c r="K119" i="17"/>
  <c r="I119" i="17"/>
  <c r="J119" i="17"/>
  <c r="N118" i="17"/>
  <c r="L118" i="17"/>
  <c r="M118" i="17"/>
  <c r="K118" i="17"/>
  <c r="J118" i="17"/>
  <c r="I118" i="17"/>
  <c r="N117" i="17"/>
  <c r="L117" i="17"/>
  <c r="M117" i="17"/>
  <c r="K117" i="17"/>
  <c r="J117" i="17"/>
  <c r="I117" i="17"/>
  <c r="N116" i="17"/>
  <c r="O116" i="17"/>
  <c r="P116" i="17"/>
  <c r="M116" i="17"/>
  <c r="L116" i="17"/>
  <c r="K116" i="17"/>
  <c r="I116" i="17"/>
  <c r="J116" i="17"/>
  <c r="O115" i="17"/>
  <c r="N115" i="17"/>
  <c r="L115" i="17"/>
  <c r="M115" i="17"/>
  <c r="K115" i="17"/>
  <c r="I115" i="17"/>
  <c r="J115" i="17"/>
  <c r="N114" i="17"/>
  <c r="L114" i="17"/>
  <c r="M114" i="17"/>
  <c r="K114" i="17"/>
  <c r="J114" i="17"/>
  <c r="I114" i="17"/>
  <c r="O113" i="17"/>
  <c r="P113" i="17"/>
  <c r="N113" i="17"/>
  <c r="M113" i="17"/>
  <c r="L113" i="17"/>
  <c r="K113" i="17"/>
  <c r="J113" i="17"/>
  <c r="I113" i="17"/>
  <c r="N112" i="17"/>
  <c r="L112" i="17"/>
  <c r="M112" i="17"/>
  <c r="K112" i="17"/>
  <c r="I112" i="17"/>
  <c r="J112" i="17"/>
  <c r="P111" i="17"/>
  <c r="N111" i="17"/>
  <c r="M111" i="17"/>
  <c r="L111" i="17"/>
  <c r="K111" i="17"/>
  <c r="O111" i="17"/>
  <c r="J111" i="17"/>
  <c r="I111" i="17"/>
  <c r="N110" i="17"/>
  <c r="O110" i="17"/>
  <c r="P110" i="17"/>
  <c r="L110" i="17"/>
  <c r="M110" i="17"/>
  <c r="K110" i="17"/>
  <c r="I110" i="17"/>
  <c r="J110" i="17"/>
  <c r="N109" i="17"/>
  <c r="L109" i="17"/>
  <c r="M109" i="17"/>
  <c r="K109" i="17"/>
  <c r="I109" i="17"/>
  <c r="J109" i="17"/>
  <c r="O108" i="17"/>
  <c r="P108" i="17"/>
  <c r="N108" i="17"/>
  <c r="L108" i="17"/>
  <c r="M108" i="17"/>
  <c r="K108" i="17"/>
  <c r="J108" i="17"/>
  <c r="I108" i="17"/>
  <c r="N107" i="17"/>
  <c r="L107" i="17"/>
  <c r="M107" i="17"/>
  <c r="K107" i="17"/>
  <c r="J107" i="17"/>
  <c r="I107" i="17"/>
  <c r="N106" i="17"/>
  <c r="L106" i="17"/>
  <c r="M106" i="17"/>
  <c r="K106" i="17"/>
  <c r="I106" i="17"/>
  <c r="J106" i="17"/>
  <c r="N105" i="17"/>
  <c r="O105" i="17"/>
  <c r="P105" i="17"/>
  <c r="M105" i="17"/>
  <c r="L105" i="17"/>
  <c r="K105" i="17"/>
  <c r="J105" i="17"/>
  <c r="I105" i="17"/>
  <c r="N104" i="17"/>
  <c r="O104" i="17"/>
  <c r="L104" i="17"/>
  <c r="M104" i="17"/>
  <c r="K104" i="17"/>
  <c r="J104" i="17"/>
  <c r="I104" i="17"/>
  <c r="N103" i="17"/>
  <c r="L103" i="17"/>
  <c r="M103" i="17"/>
  <c r="K103" i="17"/>
  <c r="I103" i="17"/>
  <c r="J103" i="17"/>
  <c r="O102" i="17"/>
  <c r="P102" i="17"/>
  <c r="N102" i="17"/>
  <c r="M102" i="17"/>
  <c r="L102" i="17"/>
  <c r="K102" i="17"/>
  <c r="J102" i="17"/>
  <c r="I102" i="17"/>
  <c r="N101" i="17"/>
  <c r="L101" i="17"/>
  <c r="M101" i="17"/>
  <c r="K101" i="17"/>
  <c r="I101" i="17"/>
  <c r="J101" i="17"/>
  <c r="N100" i="17"/>
  <c r="L100" i="17"/>
  <c r="M100" i="17"/>
  <c r="K100" i="17"/>
  <c r="I100" i="17"/>
  <c r="J100" i="17"/>
  <c r="N99" i="17"/>
  <c r="O99" i="17"/>
  <c r="P99" i="17"/>
  <c r="L99" i="17"/>
  <c r="M99" i="17"/>
  <c r="K99" i="17"/>
  <c r="J99" i="17"/>
  <c r="I99" i="17"/>
  <c r="N98" i="17"/>
  <c r="M98" i="17"/>
  <c r="L98" i="17"/>
  <c r="K98" i="17"/>
  <c r="I98" i="17"/>
  <c r="J98" i="17"/>
  <c r="N97" i="17"/>
  <c r="L97" i="17"/>
  <c r="M97" i="17"/>
  <c r="K97" i="17"/>
  <c r="O97" i="17"/>
  <c r="P97" i="17"/>
  <c r="I97" i="17"/>
  <c r="J97" i="17"/>
  <c r="N96" i="17"/>
  <c r="L96" i="17"/>
  <c r="M96" i="17"/>
  <c r="K96" i="17"/>
  <c r="O96" i="17"/>
  <c r="P96" i="17"/>
  <c r="J96" i="17"/>
  <c r="I96" i="17"/>
  <c r="N95" i="17"/>
  <c r="L95" i="17"/>
  <c r="M95" i="17"/>
  <c r="K95" i="17"/>
  <c r="I95" i="17"/>
  <c r="J95" i="17"/>
  <c r="O94" i="17"/>
  <c r="P94" i="17"/>
  <c r="N94" i="17"/>
  <c r="L94" i="17"/>
  <c r="M94" i="17"/>
  <c r="K94" i="17"/>
  <c r="I94" i="17"/>
  <c r="J94" i="17"/>
  <c r="N93" i="17"/>
  <c r="L93" i="17"/>
  <c r="M93" i="17"/>
  <c r="K93" i="17"/>
  <c r="J93" i="17"/>
  <c r="I93" i="17"/>
  <c r="N92" i="17"/>
  <c r="L92" i="17"/>
  <c r="M92" i="17"/>
  <c r="K92" i="17"/>
  <c r="I92" i="17"/>
  <c r="J92" i="17"/>
  <c r="N91" i="17"/>
  <c r="O91" i="17"/>
  <c r="P91" i="17"/>
  <c r="L91" i="17"/>
  <c r="M91" i="17"/>
  <c r="K91" i="17"/>
  <c r="J91" i="17"/>
  <c r="I91" i="17"/>
  <c r="N90" i="17"/>
  <c r="L90" i="17"/>
  <c r="M90" i="17"/>
  <c r="K90" i="17"/>
  <c r="J90" i="17"/>
  <c r="I90" i="17"/>
  <c r="N89" i="17"/>
  <c r="L89" i="17"/>
  <c r="M89" i="17"/>
  <c r="K89" i="17"/>
  <c r="I89" i="17"/>
  <c r="J89" i="17"/>
  <c r="O88" i="17"/>
  <c r="P88" i="17"/>
  <c r="N88" i="17"/>
  <c r="L88" i="17"/>
  <c r="M88" i="17"/>
  <c r="K88" i="17"/>
  <c r="I88" i="17"/>
  <c r="J88" i="17"/>
  <c r="N87" i="17"/>
  <c r="L87" i="17"/>
  <c r="M87" i="17"/>
  <c r="K87" i="17"/>
  <c r="J87" i="17"/>
  <c r="I87" i="17"/>
  <c r="N86" i="17"/>
  <c r="M86" i="17"/>
  <c r="L86" i="17"/>
  <c r="K86" i="17"/>
  <c r="O86" i="17"/>
  <c r="P86" i="17"/>
  <c r="I86" i="17"/>
  <c r="J86" i="17"/>
  <c r="N85" i="17"/>
  <c r="L85" i="17"/>
  <c r="M85" i="17"/>
  <c r="K85" i="17"/>
  <c r="O85" i="17"/>
  <c r="J85" i="17"/>
  <c r="I85" i="17"/>
  <c r="N84" i="17"/>
  <c r="L84" i="17"/>
  <c r="M84" i="17"/>
  <c r="K84" i="17"/>
  <c r="J84" i="17"/>
  <c r="I84" i="17"/>
  <c r="O83" i="17"/>
  <c r="P83" i="17"/>
  <c r="N83" i="17"/>
  <c r="L83" i="17"/>
  <c r="M83" i="17"/>
  <c r="K83" i="17"/>
  <c r="I83" i="17"/>
  <c r="J83" i="17"/>
  <c r="N82" i="17"/>
  <c r="L82" i="17"/>
  <c r="M82" i="17"/>
  <c r="K82" i="17"/>
  <c r="J82" i="17"/>
  <c r="I82" i="17"/>
  <c r="N81" i="17"/>
  <c r="L81" i="17"/>
  <c r="M81" i="17"/>
  <c r="K81" i="17"/>
  <c r="J81" i="17"/>
  <c r="I81" i="17"/>
  <c r="O80" i="17"/>
  <c r="P80" i="17"/>
  <c r="N80" i="17"/>
  <c r="M80" i="17"/>
  <c r="L80" i="17"/>
  <c r="K80" i="17"/>
  <c r="I80" i="17"/>
  <c r="J80" i="17"/>
  <c r="N79" i="17"/>
  <c r="L79" i="17"/>
  <c r="M79" i="17"/>
  <c r="K79" i="17"/>
  <c r="J79" i="17"/>
  <c r="I79" i="17"/>
  <c r="N78" i="17"/>
  <c r="L78" i="17"/>
  <c r="M78" i="17"/>
  <c r="K78" i="17"/>
  <c r="I78" i="17"/>
  <c r="J78" i="17"/>
  <c r="N77" i="17"/>
  <c r="L77" i="17"/>
  <c r="M77" i="17"/>
  <c r="K77" i="17"/>
  <c r="I77" i="17"/>
  <c r="J77" i="17"/>
  <c r="N76" i="17"/>
  <c r="L76" i="17"/>
  <c r="M76" i="17"/>
  <c r="K76" i="17"/>
  <c r="I76" i="17"/>
  <c r="J76" i="17"/>
  <c r="N75" i="17"/>
  <c r="L75" i="17"/>
  <c r="M75" i="17"/>
  <c r="K75" i="17"/>
  <c r="I75" i="17"/>
  <c r="J75" i="17"/>
  <c r="N74" i="17"/>
  <c r="O74" i="17"/>
  <c r="P74" i="17"/>
  <c r="L74" i="17"/>
  <c r="M74" i="17"/>
  <c r="K74" i="17"/>
  <c r="I74" i="17"/>
  <c r="J74" i="17"/>
  <c r="N73" i="17"/>
  <c r="L73" i="17"/>
  <c r="M73" i="17"/>
  <c r="K73" i="17"/>
  <c r="I73" i="17"/>
  <c r="J73" i="17"/>
  <c r="L72" i="17"/>
  <c r="M72" i="17"/>
  <c r="N72" i="17"/>
  <c r="K72" i="17"/>
  <c r="O72" i="17"/>
  <c r="P72" i="17"/>
  <c r="I72" i="17"/>
  <c r="J72" i="17"/>
  <c r="L71" i="17"/>
  <c r="M71" i="17"/>
  <c r="N71" i="17"/>
  <c r="I71" i="17"/>
  <c r="J71" i="17"/>
  <c r="K71" i="17"/>
  <c r="L70" i="17"/>
  <c r="M70" i="17"/>
  <c r="N70" i="17"/>
  <c r="I70" i="17"/>
  <c r="J70" i="17"/>
  <c r="K70" i="17"/>
  <c r="L69" i="17"/>
  <c r="M69" i="17"/>
  <c r="N69" i="17"/>
  <c r="I69" i="17"/>
  <c r="J69" i="17"/>
  <c r="K69" i="17"/>
  <c r="O69" i="17"/>
  <c r="P69" i="17"/>
  <c r="L68" i="17"/>
  <c r="M68" i="17"/>
  <c r="N68" i="17"/>
  <c r="I68" i="17"/>
  <c r="J68" i="17"/>
  <c r="K68" i="17"/>
  <c r="L67" i="17"/>
  <c r="M67" i="17"/>
  <c r="N67" i="17"/>
  <c r="K67" i="17"/>
  <c r="I67" i="17"/>
  <c r="J67" i="17"/>
  <c r="L66" i="17"/>
  <c r="M66" i="17"/>
  <c r="N66" i="17"/>
  <c r="I66" i="17"/>
  <c r="J66" i="17"/>
  <c r="K66" i="17"/>
  <c r="O66" i="17"/>
  <c r="P66" i="17"/>
  <c r="L65" i="17"/>
  <c r="M65" i="17"/>
  <c r="N65" i="17"/>
  <c r="J65" i="17"/>
  <c r="K65" i="17"/>
  <c r="O65" i="17"/>
  <c r="P65" i="17"/>
  <c r="I65" i="17"/>
  <c r="N64" i="17"/>
  <c r="L64" i="17"/>
  <c r="M64" i="17"/>
  <c r="K64" i="17"/>
  <c r="I64" i="17"/>
  <c r="J64" i="17"/>
  <c r="L63" i="17"/>
  <c r="M63" i="17"/>
  <c r="N63" i="17"/>
  <c r="I63" i="17"/>
  <c r="J63" i="17"/>
  <c r="K63" i="17"/>
  <c r="N62" i="17"/>
  <c r="L62" i="17"/>
  <c r="M62" i="17"/>
  <c r="I62" i="17"/>
  <c r="J62" i="17"/>
  <c r="K62" i="17"/>
  <c r="L61" i="17"/>
  <c r="M61" i="17"/>
  <c r="N61" i="17"/>
  <c r="I61" i="17"/>
  <c r="J61" i="17"/>
  <c r="K61" i="17"/>
  <c r="L60" i="17"/>
  <c r="M60" i="17"/>
  <c r="N60" i="17"/>
  <c r="K60" i="17"/>
  <c r="I60" i="17"/>
  <c r="J60" i="17"/>
  <c r="N59" i="17"/>
  <c r="L59" i="17"/>
  <c r="M59" i="17"/>
  <c r="I59" i="17"/>
  <c r="J59" i="17"/>
  <c r="K59" i="17"/>
  <c r="L58" i="17"/>
  <c r="M58" i="17"/>
  <c r="N58" i="17"/>
  <c r="I58" i="17"/>
  <c r="J58" i="17"/>
  <c r="K58" i="17"/>
  <c r="P57" i="17"/>
  <c r="O57" i="17"/>
  <c r="N57" i="17"/>
  <c r="L57" i="17"/>
  <c r="M57" i="17"/>
  <c r="K57" i="17"/>
  <c r="I57" i="17"/>
  <c r="J57" i="17"/>
  <c r="N56" i="17"/>
  <c r="L56" i="17"/>
  <c r="M56" i="17"/>
  <c r="I56" i="17"/>
  <c r="J56" i="17"/>
  <c r="K56" i="17"/>
  <c r="L55" i="17"/>
  <c r="M55" i="17"/>
  <c r="N55" i="17"/>
  <c r="K55" i="17"/>
  <c r="I55" i="17"/>
  <c r="J55" i="17"/>
  <c r="L54" i="17"/>
  <c r="M54" i="17"/>
  <c r="N54" i="17"/>
  <c r="K54" i="17"/>
  <c r="O54" i="17"/>
  <c r="P54" i="17"/>
  <c r="I54" i="17"/>
  <c r="J54" i="17"/>
  <c r="N53" i="17"/>
  <c r="L53" i="17"/>
  <c r="M53" i="17"/>
  <c r="I53" i="17"/>
  <c r="J53" i="17"/>
  <c r="K53" i="17"/>
  <c r="N52" i="17"/>
  <c r="L52" i="17"/>
  <c r="M52" i="17"/>
  <c r="I52" i="17"/>
  <c r="J52" i="17"/>
  <c r="K52" i="17"/>
  <c r="L51" i="17"/>
  <c r="M51" i="17"/>
  <c r="N51" i="17"/>
  <c r="I51" i="17"/>
  <c r="J51" i="17"/>
  <c r="K51" i="17"/>
  <c r="O51" i="17"/>
  <c r="P51" i="17"/>
  <c r="L50" i="17"/>
  <c r="M50" i="17"/>
  <c r="N50" i="17"/>
  <c r="J50" i="17"/>
  <c r="K50" i="17"/>
  <c r="I50" i="17"/>
  <c r="L49" i="17"/>
  <c r="M49" i="17"/>
  <c r="N49" i="17"/>
  <c r="K49" i="17"/>
  <c r="I49" i="17"/>
  <c r="J49" i="17"/>
  <c r="L48" i="17"/>
  <c r="M48" i="17"/>
  <c r="N48" i="17"/>
  <c r="I48" i="17"/>
  <c r="J48" i="17"/>
  <c r="K48" i="17"/>
  <c r="O48" i="17"/>
  <c r="P48" i="17"/>
  <c r="L47" i="17"/>
  <c r="M47" i="17"/>
  <c r="N47" i="17"/>
  <c r="I47" i="17"/>
  <c r="J47" i="17"/>
  <c r="K47" i="17"/>
  <c r="N46" i="17"/>
  <c r="L46" i="17"/>
  <c r="M46" i="17"/>
  <c r="K46" i="17"/>
  <c r="I46" i="17"/>
  <c r="J46" i="17"/>
  <c r="L45" i="17"/>
  <c r="M45" i="17"/>
  <c r="N45" i="17"/>
  <c r="I45" i="17"/>
  <c r="J45" i="17"/>
  <c r="K45" i="17"/>
  <c r="O45" i="17"/>
  <c r="P45" i="17"/>
  <c r="L44" i="17"/>
  <c r="M44" i="17"/>
  <c r="N44" i="17"/>
  <c r="J44" i="17"/>
  <c r="K44" i="17"/>
  <c r="I44" i="17"/>
  <c r="N43" i="17"/>
  <c r="L43" i="17"/>
  <c r="M43" i="17"/>
  <c r="I43" i="17"/>
  <c r="J43" i="17"/>
  <c r="K43" i="17"/>
  <c r="L42" i="17"/>
  <c r="M42" i="17"/>
  <c r="N42" i="17"/>
  <c r="I42" i="17"/>
  <c r="J42" i="17"/>
  <c r="K42" i="17"/>
  <c r="O42" i="17"/>
  <c r="P42" i="17"/>
  <c r="L41" i="17"/>
  <c r="M41" i="17"/>
  <c r="N41" i="17"/>
  <c r="J41" i="17"/>
  <c r="K41" i="17"/>
  <c r="I41" i="17"/>
  <c r="L40" i="17"/>
  <c r="M40" i="17"/>
  <c r="N40" i="17"/>
  <c r="K40" i="17"/>
  <c r="I40" i="17"/>
  <c r="J40" i="17"/>
  <c r="L39" i="17"/>
  <c r="M39" i="17"/>
  <c r="N39" i="17"/>
  <c r="I39" i="17"/>
  <c r="J39" i="17"/>
  <c r="K39" i="17"/>
  <c r="O39" i="17"/>
  <c r="P39" i="17"/>
  <c r="L38" i="17"/>
  <c r="M38" i="17"/>
  <c r="N38" i="17"/>
  <c r="I38" i="17"/>
  <c r="J38" i="17"/>
  <c r="K38" i="17"/>
  <c r="N37" i="17"/>
  <c r="L37" i="17"/>
  <c r="M37" i="17"/>
  <c r="K37" i="17"/>
  <c r="I37" i="17"/>
  <c r="J37" i="17"/>
  <c r="L36" i="17"/>
  <c r="M36" i="17"/>
  <c r="N36" i="17"/>
  <c r="I36" i="17"/>
  <c r="J36" i="17"/>
  <c r="K36" i="17"/>
  <c r="O36" i="17"/>
  <c r="P36" i="17"/>
  <c r="L35" i="17"/>
  <c r="M35" i="17"/>
  <c r="N35" i="17"/>
  <c r="O35" i="17"/>
  <c r="P35" i="17"/>
  <c r="I35" i="17"/>
  <c r="J35" i="17"/>
  <c r="K35" i="17"/>
  <c r="L34" i="17"/>
  <c r="M34" i="17"/>
  <c r="N34" i="17"/>
  <c r="I34" i="17"/>
  <c r="J34" i="17"/>
  <c r="K34" i="17"/>
  <c r="N33" i="17"/>
  <c r="L33" i="17"/>
  <c r="M33" i="17"/>
  <c r="I33" i="17"/>
  <c r="J33" i="17"/>
  <c r="K33" i="17"/>
  <c r="O33" i="17"/>
  <c r="P33" i="17"/>
  <c r="N32" i="17"/>
  <c r="L32" i="17"/>
  <c r="M32" i="17"/>
  <c r="I32" i="17"/>
  <c r="J32" i="17"/>
  <c r="K32" i="17"/>
  <c r="O32" i="17"/>
  <c r="L31" i="17"/>
  <c r="M31" i="17"/>
  <c r="N31" i="17"/>
  <c r="I31" i="17"/>
  <c r="J31" i="17"/>
  <c r="K31" i="17"/>
  <c r="L30" i="17"/>
  <c r="M30" i="17"/>
  <c r="N30" i="17"/>
  <c r="K30" i="17"/>
  <c r="I30" i="17"/>
  <c r="J30" i="17"/>
  <c r="M29" i="17"/>
  <c r="N29" i="17"/>
  <c r="L29" i="17"/>
  <c r="I29" i="17"/>
  <c r="J29" i="17"/>
  <c r="K29" i="17"/>
  <c r="L28" i="17"/>
  <c r="M28" i="17"/>
  <c r="N28" i="17"/>
  <c r="I28" i="17"/>
  <c r="J28" i="17"/>
  <c r="K28" i="17"/>
  <c r="L27" i="17"/>
  <c r="M27" i="17"/>
  <c r="N27" i="17"/>
  <c r="I27" i="17"/>
  <c r="J27" i="17"/>
  <c r="K27" i="17"/>
  <c r="L26" i="17"/>
  <c r="M26" i="17"/>
  <c r="N26" i="17"/>
  <c r="I26" i="17"/>
  <c r="J26" i="17"/>
  <c r="K26" i="17"/>
  <c r="N25" i="17"/>
  <c r="L25" i="17"/>
  <c r="M25" i="17"/>
  <c r="K25" i="17"/>
  <c r="I25" i="17"/>
  <c r="J25" i="17"/>
  <c r="L24" i="17"/>
  <c r="M24" i="17"/>
  <c r="N24" i="17"/>
  <c r="I24" i="17"/>
  <c r="J24" i="17"/>
  <c r="K24" i="17"/>
  <c r="L23" i="17"/>
  <c r="M23" i="17"/>
  <c r="N23" i="17"/>
  <c r="J23" i="17"/>
  <c r="K23" i="17"/>
  <c r="I23" i="17"/>
  <c r="N22" i="17"/>
  <c r="L22" i="17"/>
  <c r="M22" i="17"/>
  <c r="I22" i="17"/>
  <c r="J22" i="17"/>
  <c r="K22" i="17"/>
  <c r="L21" i="17"/>
  <c r="M21" i="17"/>
  <c r="N21" i="17"/>
  <c r="I21" i="17"/>
  <c r="J21" i="17"/>
  <c r="K21" i="17"/>
  <c r="N20" i="17"/>
  <c r="L20" i="17"/>
  <c r="M20" i="17"/>
  <c r="J20" i="17"/>
  <c r="K20" i="17"/>
  <c r="I20" i="17"/>
  <c r="N19" i="17"/>
  <c r="L19" i="17"/>
  <c r="M19" i="17"/>
  <c r="K19" i="17"/>
  <c r="I19" i="17"/>
  <c r="J19" i="17"/>
  <c r="L18" i="17"/>
  <c r="M18" i="17"/>
  <c r="N18" i="17"/>
  <c r="I18" i="17"/>
  <c r="J18" i="17"/>
  <c r="K18" i="17"/>
  <c r="O18" i="17"/>
  <c r="P18" i="17"/>
  <c r="L17" i="17"/>
  <c r="M17" i="17"/>
  <c r="N17" i="17"/>
  <c r="J17" i="17"/>
  <c r="K17" i="17"/>
  <c r="I17" i="17"/>
  <c r="N16" i="17"/>
  <c r="L16" i="17"/>
  <c r="M16" i="17"/>
  <c r="I16" i="17"/>
  <c r="J16" i="17"/>
  <c r="K16" i="17"/>
  <c r="N15" i="17"/>
  <c r="O15" i="17"/>
  <c r="P15" i="17"/>
  <c r="L15" i="17"/>
  <c r="M15" i="17"/>
  <c r="K15" i="17"/>
  <c r="I15" i="17"/>
  <c r="J15" i="17"/>
  <c r="N14" i="17"/>
  <c r="L14" i="17"/>
  <c r="M14" i="17"/>
  <c r="I14" i="17"/>
  <c r="J14" i="17"/>
  <c r="K14" i="17"/>
  <c r="L13" i="17"/>
  <c r="M13" i="17"/>
  <c r="N13" i="17"/>
  <c r="I13" i="17"/>
  <c r="J13" i="17"/>
  <c r="K13" i="17"/>
  <c r="N12" i="17"/>
  <c r="L12" i="17"/>
  <c r="M12" i="17"/>
  <c r="K12" i="17"/>
  <c r="O12" i="17"/>
  <c r="P12" i="17"/>
  <c r="I12" i="17"/>
  <c r="J12" i="17"/>
  <c r="N11" i="17"/>
  <c r="L11" i="17"/>
  <c r="M11" i="17"/>
  <c r="I11" i="17"/>
  <c r="J11" i="17"/>
  <c r="K11" i="17"/>
  <c r="O11" i="17"/>
  <c r="L10" i="17"/>
  <c r="N10" i="17"/>
  <c r="I10" i="17"/>
  <c r="J10" i="17"/>
  <c r="K10" i="17"/>
  <c r="N9" i="17"/>
  <c r="L9" i="17"/>
  <c r="M9" i="17"/>
  <c r="K9" i="17"/>
  <c r="O9" i="17"/>
  <c r="P9" i="17"/>
  <c r="I9" i="17"/>
  <c r="J9" i="17"/>
  <c r="L8" i="17"/>
  <c r="M8" i="17"/>
  <c r="N8" i="17"/>
  <c r="I8" i="17"/>
  <c r="J8" i="17"/>
  <c r="K8" i="17"/>
  <c r="L7" i="17"/>
  <c r="M7" i="17"/>
  <c r="N7" i="17"/>
  <c r="I7" i="17"/>
  <c r="J7" i="17"/>
  <c r="K7" i="17"/>
  <c r="N6" i="17"/>
  <c r="L6" i="17"/>
  <c r="M6" i="17"/>
  <c r="I6" i="17"/>
  <c r="J6" i="17"/>
  <c r="K6" i="17"/>
  <c r="O6" i="17"/>
  <c r="P6" i="17"/>
  <c r="I139" i="18"/>
  <c r="J139" i="18"/>
  <c r="K139" i="18"/>
  <c r="P139" i="18"/>
  <c r="L139" i="18"/>
  <c r="M139" i="18"/>
  <c r="N139" i="18"/>
  <c r="O139" i="18"/>
  <c r="I140" i="18"/>
  <c r="J140" i="18"/>
  <c r="K140" i="18"/>
  <c r="L140" i="18"/>
  <c r="M140" i="18"/>
  <c r="N140" i="18"/>
  <c r="I141" i="18"/>
  <c r="J141" i="18"/>
  <c r="K141" i="18"/>
  <c r="L141" i="18"/>
  <c r="M141" i="18"/>
  <c r="N141" i="18"/>
  <c r="I142" i="18"/>
  <c r="J142" i="18"/>
  <c r="K142" i="18"/>
  <c r="L142" i="18"/>
  <c r="M142" i="18"/>
  <c r="N142" i="18"/>
  <c r="I143" i="18"/>
  <c r="J143" i="18"/>
  <c r="K143" i="18"/>
  <c r="L143" i="18"/>
  <c r="M143" i="18"/>
  <c r="N143" i="18"/>
  <c r="I144" i="18"/>
  <c r="J144" i="18"/>
  <c r="K144" i="18"/>
  <c r="L144" i="18"/>
  <c r="M144" i="18"/>
  <c r="N144" i="18"/>
  <c r="O144" i="18"/>
  <c r="P144" i="18"/>
  <c r="I145" i="18"/>
  <c r="J145" i="18"/>
  <c r="K145" i="18"/>
  <c r="L145" i="18"/>
  <c r="M145" i="18"/>
  <c r="N145" i="18"/>
  <c r="I146" i="18"/>
  <c r="J146" i="18"/>
  <c r="K146" i="18"/>
  <c r="L146" i="18"/>
  <c r="M146" i="18"/>
  <c r="N146" i="18"/>
  <c r="I147" i="18"/>
  <c r="J147" i="18"/>
  <c r="K147" i="18"/>
  <c r="L147" i="18"/>
  <c r="M147" i="18"/>
  <c r="N147" i="18"/>
  <c r="I148" i="18"/>
  <c r="J148" i="18"/>
  <c r="K148" i="18"/>
  <c r="L148" i="18"/>
  <c r="M148" i="18"/>
  <c r="N148" i="18"/>
  <c r="I149" i="18"/>
  <c r="J149" i="18"/>
  <c r="K149" i="18"/>
  <c r="L149" i="18"/>
  <c r="M149" i="18"/>
  <c r="N149" i="18"/>
  <c r="I150" i="18"/>
  <c r="J150" i="18"/>
  <c r="K150" i="18"/>
  <c r="L150" i="18"/>
  <c r="M150" i="18"/>
  <c r="N150" i="18"/>
  <c r="I151" i="18"/>
  <c r="J151" i="18"/>
  <c r="K151" i="18"/>
  <c r="L151" i="18"/>
  <c r="M151" i="18"/>
  <c r="N151" i="18"/>
  <c r="I152" i="18"/>
  <c r="J152" i="18"/>
  <c r="K152" i="18"/>
  <c r="L152" i="18"/>
  <c r="M152" i="18"/>
  <c r="N152" i="18"/>
  <c r="I153" i="18"/>
  <c r="J153" i="18"/>
  <c r="K153" i="18"/>
  <c r="O153" i="18"/>
  <c r="L153" i="18"/>
  <c r="M153" i="18"/>
  <c r="N153" i="18"/>
  <c r="I154" i="18"/>
  <c r="J154" i="18"/>
  <c r="K154" i="18"/>
  <c r="L154" i="18"/>
  <c r="M154" i="18"/>
  <c r="N154" i="18"/>
  <c r="I155" i="18"/>
  <c r="J155" i="18"/>
  <c r="K155" i="18"/>
  <c r="L155" i="18"/>
  <c r="M155" i="18"/>
  <c r="N155" i="18"/>
  <c r="I156" i="18"/>
  <c r="J156" i="18"/>
  <c r="K156" i="18"/>
  <c r="L156" i="18"/>
  <c r="M156" i="18"/>
  <c r="N156" i="18"/>
  <c r="I157" i="18"/>
  <c r="J157" i="18"/>
  <c r="K157" i="18"/>
  <c r="L157" i="18"/>
  <c r="M157" i="18"/>
  <c r="N157" i="18"/>
  <c r="I158" i="18"/>
  <c r="J158" i="18"/>
  <c r="K158" i="18"/>
  <c r="L158" i="18"/>
  <c r="M158" i="18"/>
  <c r="N158" i="18"/>
  <c r="I159" i="18"/>
  <c r="J159" i="18"/>
  <c r="K159" i="18"/>
  <c r="L159" i="18"/>
  <c r="M159" i="18"/>
  <c r="N159" i="18"/>
  <c r="I160" i="18"/>
  <c r="J160" i="18"/>
  <c r="K160" i="18"/>
  <c r="L160" i="18"/>
  <c r="M160" i="18"/>
  <c r="N160" i="18"/>
  <c r="I161" i="18"/>
  <c r="J161" i="18"/>
  <c r="K161" i="18"/>
  <c r="L161" i="18"/>
  <c r="M161" i="18"/>
  <c r="N161" i="18"/>
  <c r="I162" i="18"/>
  <c r="J162" i="18"/>
  <c r="K162" i="18"/>
  <c r="L162" i="18"/>
  <c r="M162" i="18"/>
  <c r="N162" i="18"/>
  <c r="O162" i="18"/>
  <c r="P162" i="18"/>
  <c r="I163" i="18"/>
  <c r="J163" i="18"/>
  <c r="K163" i="18"/>
  <c r="L163" i="18"/>
  <c r="M163" i="18"/>
  <c r="N163" i="18"/>
  <c r="I164" i="18"/>
  <c r="J164" i="18"/>
  <c r="K164" i="18"/>
  <c r="L164" i="18"/>
  <c r="M164" i="18"/>
  <c r="N164" i="18"/>
  <c r="O164" i="18"/>
  <c r="I165" i="18"/>
  <c r="J165" i="18"/>
  <c r="K165" i="18"/>
  <c r="L165" i="18"/>
  <c r="M165" i="18"/>
  <c r="N165" i="18"/>
  <c r="I166" i="18"/>
  <c r="J166" i="18"/>
  <c r="K166" i="18"/>
  <c r="L166" i="18"/>
  <c r="M166" i="18"/>
  <c r="N166" i="18"/>
  <c r="I167" i="18"/>
  <c r="J167" i="18"/>
  <c r="K167" i="18"/>
  <c r="L167" i="18"/>
  <c r="M167" i="18"/>
  <c r="N167" i="18"/>
  <c r="I168" i="18"/>
  <c r="J168" i="18"/>
  <c r="K168" i="18"/>
  <c r="L168" i="18"/>
  <c r="M168" i="18"/>
  <c r="N168" i="18"/>
  <c r="I169" i="18"/>
  <c r="J169" i="18"/>
  <c r="K169" i="18"/>
  <c r="L169" i="18"/>
  <c r="M169" i="18"/>
  <c r="N169" i="18"/>
  <c r="I170" i="18"/>
  <c r="J170" i="18"/>
  <c r="K170" i="18"/>
  <c r="L170" i="18"/>
  <c r="M170" i="18"/>
  <c r="N170" i="18"/>
  <c r="I171" i="18"/>
  <c r="J171" i="18"/>
  <c r="K171" i="18"/>
  <c r="O171" i="18"/>
  <c r="L171" i="18"/>
  <c r="M171" i="18"/>
  <c r="N171" i="18"/>
  <c r="I172" i="18"/>
  <c r="J172" i="18"/>
  <c r="K172" i="18"/>
  <c r="O172" i="18"/>
  <c r="P172" i="18"/>
  <c r="L172" i="18"/>
  <c r="M172" i="18"/>
  <c r="N172" i="18"/>
  <c r="I173" i="18"/>
  <c r="J173" i="18"/>
  <c r="K173" i="18"/>
  <c r="L173" i="18"/>
  <c r="M173" i="18"/>
  <c r="N173" i="18"/>
  <c r="I174" i="18"/>
  <c r="J174" i="18"/>
  <c r="K174" i="18"/>
  <c r="O174" i="18"/>
  <c r="L174" i="18"/>
  <c r="M174" i="18"/>
  <c r="N174" i="18"/>
  <c r="I175" i="18"/>
  <c r="J175" i="18"/>
  <c r="K175" i="18"/>
  <c r="L175" i="18"/>
  <c r="M175" i="18"/>
  <c r="N175" i="18"/>
  <c r="I176" i="18"/>
  <c r="J176" i="18"/>
  <c r="K176" i="18"/>
  <c r="L176" i="18"/>
  <c r="M176" i="18"/>
  <c r="N176" i="18"/>
  <c r="I177" i="18"/>
  <c r="J177" i="18"/>
  <c r="K177" i="18"/>
  <c r="O177" i="18"/>
  <c r="L177" i="18"/>
  <c r="M177" i="18"/>
  <c r="N177" i="18"/>
  <c r="I178" i="18"/>
  <c r="J178" i="18"/>
  <c r="K178" i="18"/>
  <c r="L178" i="18"/>
  <c r="M178" i="18"/>
  <c r="N178" i="18"/>
  <c r="I179" i="18"/>
  <c r="J179" i="18"/>
  <c r="K179" i="18"/>
  <c r="L179" i="18"/>
  <c r="M179" i="18"/>
  <c r="N179" i="18"/>
  <c r="I180" i="18"/>
  <c r="J180" i="18"/>
  <c r="K180" i="18"/>
  <c r="L180" i="18"/>
  <c r="M180" i="18"/>
  <c r="N180" i="18"/>
  <c r="I181" i="18"/>
  <c r="J181" i="18"/>
  <c r="K181" i="18"/>
  <c r="L181" i="18"/>
  <c r="M181" i="18"/>
  <c r="N181" i="18"/>
  <c r="I182" i="18"/>
  <c r="J182" i="18"/>
  <c r="K182" i="18"/>
  <c r="L182" i="18"/>
  <c r="M182" i="18"/>
  <c r="N182" i="18"/>
  <c r="I183" i="18"/>
  <c r="J183" i="18"/>
  <c r="K183" i="18"/>
  <c r="L183" i="18"/>
  <c r="M183" i="18"/>
  <c r="N183" i="18"/>
  <c r="I184" i="18"/>
  <c r="J184" i="18"/>
  <c r="K184" i="18"/>
  <c r="L184" i="18"/>
  <c r="M184" i="18"/>
  <c r="N184" i="18"/>
  <c r="I185" i="18"/>
  <c r="J185" i="18"/>
  <c r="K185" i="18"/>
  <c r="L185" i="18"/>
  <c r="M185" i="18"/>
  <c r="N185" i="18"/>
  <c r="I186" i="18"/>
  <c r="J186" i="18"/>
  <c r="K186" i="18"/>
  <c r="L186" i="18"/>
  <c r="M186" i="18"/>
  <c r="N186" i="18"/>
  <c r="I187" i="18"/>
  <c r="J187" i="18"/>
  <c r="K187" i="18"/>
  <c r="L187" i="18"/>
  <c r="M187" i="18"/>
  <c r="N187" i="18"/>
  <c r="I188" i="18"/>
  <c r="J188" i="18"/>
  <c r="K188" i="18"/>
  <c r="L188" i="18"/>
  <c r="M188" i="18"/>
  <c r="N188" i="18"/>
  <c r="O188" i="18"/>
  <c r="I189" i="18"/>
  <c r="J189" i="18"/>
  <c r="K189" i="18"/>
  <c r="L189" i="18"/>
  <c r="M189" i="18"/>
  <c r="N189" i="18"/>
  <c r="I190" i="18"/>
  <c r="J190" i="18"/>
  <c r="K190" i="18"/>
  <c r="O190" i="18"/>
  <c r="P190" i="18"/>
  <c r="L190" i="18"/>
  <c r="M190" i="18"/>
  <c r="N190" i="18"/>
  <c r="I191" i="18"/>
  <c r="J191" i="18"/>
  <c r="K191" i="18"/>
  <c r="L191" i="18"/>
  <c r="M191" i="18"/>
  <c r="N191" i="18"/>
  <c r="I192" i="18"/>
  <c r="J192" i="18"/>
  <c r="K192" i="18"/>
  <c r="L192" i="18"/>
  <c r="M192" i="18"/>
  <c r="N192" i="18"/>
  <c r="I193" i="18"/>
  <c r="J193" i="18"/>
  <c r="K193" i="18"/>
  <c r="L193" i="18"/>
  <c r="M193" i="18"/>
  <c r="N193" i="18"/>
  <c r="I194" i="18"/>
  <c r="J194" i="18"/>
  <c r="K194" i="18"/>
  <c r="L194" i="18"/>
  <c r="M194" i="18"/>
  <c r="N194" i="18"/>
  <c r="I195" i="18"/>
  <c r="J195" i="18"/>
  <c r="K195" i="18"/>
  <c r="L195" i="18"/>
  <c r="M195" i="18"/>
  <c r="N195" i="18"/>
  <c r="I196" i="18"/>
  <c r="J196" i="18"/>
  <c r="K196" i="18"/>
  <c r="L196" i="18"/>
  <c r="M196" i="18"/>
  <c r="N196" i="18"/>
  <c r="I197" i="18"/>
  <c r="J197" i="18"/>
  <c r="K197" i="18"/>
  <c r="L197" i="18"/>
  <c r="M197" i="18"/>
  <c r="N197" i="18"/>
  <c r="O197" i="18"/>
  <c r="I198" i="18"/>
  <c r="J198" i="18"/>
  <c r="K198" i="18"/>
  <c r="L198" i="18"/>
  <c r="M198" i="18"/>
  <c r="N198" i="18"/>
  <c r="I199" i="18"/>
  <c r="J199" i="18"/>
  <c r="K199" i="18"/>
  <c r="L199" i="18"/>
  <c r="M199" i="18"/>
  <c r="N199" i="18"/>
  <c r="I200" i="18"/>
  <c r="J200" i="18"/>
  <c r="K200" i="18"/>
  <c r="L200" i="18"/>
  <c r="M200" i="18"/>
  <c r="N200" i="18"/>
  <c r="I201" i="18"/>
  <c r="J201" i="18"/>
  <c r="K201" i="18"/>
  <c r="L201" i="18"/>
  <c r="M201" i="18"/>
  <c r="N201" i="18"/>
  <c r="I202" i="18"/>
  <c r="J202" i="18"/>
  <c r="K202" i="18"/>
  <c r="L202" i="18"/>
  <c r="M202" i="18"/>
  <c r="N202" i="18"/>
  <c r="I203" i="18"/>
  <c r="J203" i="18"/>
  <c r="K203" i="18"/>
  <c r="L203" i="18"/>
  <c r="M203" i="18"/>
  <c r="N203" i="18"/>
  <c r="O203" i="18"/>
  <c r="I204" i="18"/>
  <c r="J204" i="18"/>
  <c r="K204" i="18"/>
  <c r="L204" i="18"/>
  <c r="M204" i="18"/>
  <c r="N204" i="18"/>
  <c r="I205" i="18"/>
  <c r="J205" i="18"/>
  <c r="K205" i="18"/>
  <c r="L205" i="18"/>
  <c r="M205" i="18"/>
  <c r="N205" i="18"/>
  <c r="O205" i="18"/>
  <c r="P205" i="18"/>
  <c r="I206" i="18"/>
  <c r="J206" i="18"/>
  <c r="K206" i="18"/>
  <c r="L206" i="18"/>
  <c r="M206" i="18"/>
  <c r="N206" i="18"/>
  <c r="I207" i="18"/>
  <c r="J207" i="18"/>
  <c r="K207" i="18"/>
  <c r="L207" i="18"/>
  <c r="M207" i="18"/>
  <c r="N207" i="18"/>
  <c r="I208" i="18"/>
  <c r="J208" i="18"/>
  <c r="K208" i="18"/>
  <c r="L208" i="18"/>
  <c r="M208" i="18"/>
  <c r="N208" i="18"/>
  <c r="I209" i="18"/>
  <c r="J209" i="18"/>
  <c r="K209" i="18"/>
  <c r="L209" i="18"/>
  <c r="M209" i="18"/>
  <c r="N209" i="18"/>
  <c r="I210" i="18"/>
  <c r="J210" i="18"/>
  <c r="K210" i="18"/>
  <c r="O210" i="18"/>
  <c r="L210" i="18"/>
  <c r="M210" i="18"/>
  <c r="N210" i="18"/>
  <c r="I211" i="18"/>
  <c r="J211" i="18"/>
  <c r="K211" i="18"/>
  <c r="L211" i="18"/>
  <c r="M211" i="18"/>
  <c r="N211" i="18"/>
  <c r="I212" i="18"/>
  <c r="J212" i="18"/>
  <c r="K212" i="18"/>
  <c r="L212" i="18"/>
  <c r="M212" i="18"/>
  <c r="N212" i="18"/>
  <c r="I213" i="18"/>
  <c r="J213" i="18"/>
  <c r="K213" i="18"/>
  <c r="L213" i="18"/>
  <c r="M213" i="18"/>
  <c r="N213" i="18"/>
  <c r="I214" i="18"/>
  <c r="J214" i="18"/>
  <c r="K214" i="18"/>
  <c r="L214" i="18"/>
  <c r="M214" i="18"/>
  <c r="N214" i="18"/>
  <c r="O214" i="18"/>
  <c r="I215" i="18"/>
  <c r="J215" i="18"/>
  <c r="K215" i="18"/>
  <c r="L215" i="18"/>
  <c r="M215" i="18"/>
  <c r="N215" i="18"/>
  <c r="I216" i="18"/>
  <c r="J216" i="18"/>
  <c r="K216" i="18"/>
  <c r="L216" i="18"/>
  <c r="M216" i="18"/>
  <c r="N216" i="18"/>
  <c r="I217" i="18"/>
  <c r="J217" i="18"/>
  <c r="K217" i="18"/>
  <c r="L217" i="18"/>
  <c r="M217" i="18"/>
  <c r="N217" i="18"/>
  <c r="I218" i="18"/>
  <c r="J218" i="18"/>
  <c r="K218" i="18"/>
  <c r="L218" i="18"/>
  <c r="M218" i="18"/>
  <c r="N218" i="18"/>
  <c r="O218" i="18"/>
  <c r="I219" i="18"/>
  <c r="J219" i="18"/>
  <c r="K219" i="18"/>
  <c r="L219" i="18"/>
  <c r="M219" i="18"/>
  <c r="N219" i="18"/>
  <c r="I220" i="18"/>
  <c r="J220" i="18"/>
  <c r="K220" i="18"/>
  <c r="L220" i="18"/>
  <c r="M220" i="18"/>
  <c r="N220" i="18"/>
  <c r="O220" i="18"/>
  <c r="P220" i="18"/>
  <c r="I221" i="18"/>
  <c r="J221" i="18"/>
  <c r="K221" i="18"/>
  <c r="L221" i="18"/>
  <c r="M221" i="18"/>
  <c r="N221" i="18"/>
  <c r="I222" i="18"/>
  <c r="J222" i="18"/>
  <c r="K222" i="18"/>
  <c r="L222" i="18"/>
  <c r="M222" i="18"/>
  <c r="N222" i="18"/>
  <c r="I223" i="18"/>
  <c r="J223" i="18"/>
  <c r="K223" i="18"/>
  <c r="L223" i="18"/>
  <c r="M223" i="18"/>
  <c r="N223" i="18"/>
  <c r="I224" i="18"/>
  <c r="J224" i="18"/>
  <c r="K224" i="18"/>
  <c r="L224" i="18"/>
  <c r="M224" i="18"/>
  <c r="N224" i="18"/>
  <c r="I225" i="18"/>
  <c r="J225" i="18"/>
  <c r="K225" i="18"/>
  <c r="L225" i="18"/>
  <c r="M225" i="18"/>
  <c r="N225" i="18"/>
  <c r="I226" i="18"/>
  <c r="J226" i="18"/>
  <c r="K226" i="18"/>
  <c r="O226" i="18"/>
  <c r="L226" i="18"/>
  <c r="M226" i="18"/>
  <c r="N226" i="18"/>
  <c r="I227" i="18"/>
  <c r="J227" i="18"/>
  <c r="K227" i="18"/>
  <c r="L227" i="18"/>
  <c r="M227" i="18"/>
  <c r="N227" i="18"/>
  <c r="O227" i="18"/>
  <c r="I228" i="18"/>
  <c r="J228" i="18"/>
  <c r="K228" i="18"/>
  <c r="L228" i="18"/>
  <c r="M228" i="18"/>
  <c r="N228" i="18"/>
  <c r="I229" i="18"/>
  <c r="J229" i="18"/>
  <c r="K229" i="18"/>
  <c r="O229" i="18"/>
  <c r="L229" i="18"/>
  <c r="M229" i="18"/>
  <c r="N229" i="18"/>
  <c r="I230" i="18"/>
  <c r="J230" i="18"/>
  <c r="K230" i="18"/>
  <c r="L230" i="18"/>
  <c r="M230" i="18"/>
  <c r="N230" i="18"/>
  <c r="I231" i="18"/>
  <c r="J231" i="18"/>
  <c r="K231" i="18"/>
  <c r="L231" i="18"/>
  <c r="M231" i="18"/>
  <c r="N231" i="18"/>
  <c r="I232" i="18"/>
  <c r="J232" i="18"/>
  <c r="K232" i="18"/>
  <c r="L232" i="18"/>
  <c r="M232" i="18"/>
  <c r="N232" i="18"/>
  <c r="I233" i="18"/>
  <c r="J233" i="18"/>
  <c r="K233" i="18"/>
  <c r="L233" i="18"/>
  <c r="M233" i="18"/>
  <c r="N233" i="18"/>
  <c r="O233" i="18"/>
  <c r="I234" i="18"/>
  <c r="J234" i="18"/>
  <c r="K234" i="18"/>
  <c r="L234" i="18"/>
  <c r="M234" i="18"/>
  <c r="N234" i="18"/>
  <c r="O234" i="18"/>
  <c r="P234" i="18"/>
  <c r="I235" i="18"/>
  <c r="J235" i="18"/>
  <c r="K235" i="18"/>
  <c r="L235" i="18"/>
  <c r="M235" i="18"/>
  <c r="N235" i="18"/>
  <c r="I236" i="18"/>
  <c r="J236" i="18"/>
  <c r="K236" i="18"/>
  <c r="L236" i="18"/>
  <c r="M236" i="18"/>
  <c r="N236" i="18"/>
  <c r="I237" i="18"/>
  <c r="J237" i="18"/>
  <c r="K237" i="18"/>
  <c r="L237" i="18"/>
  <c r="M237" i="18"/>
  <c r="N237" i="18"/>
  <c r="I238" i="18"/>
  <c r="J238" i="18"/>
  <c r="K238" i="18"/>
  <c r="L238" i="18"/>
  <c r="M238" i="18"/>
  <c r="N238" i="18"/>
  <c r="I239" i="18"/>
  <c r="J239" i="18"/>
  <c r="K239" i="18"/>
  <c r="L239" i="18"/>
  <c r="M239" i="18"/>
  <c r="N239" i="18"/>
  <c r="O239" i="18"/>
  <c r="I240" i="18"/>
  <c r="J240" i="18"/>
  <c r="K240" i="18"/>
  <c r="O240" i="18"/>
  <c r="L240" i="18"/>
  <c r="M240" i="18"/>
  <c r="N240" i="18"/>
  <c r="I241" i="18"/>
  <c r="J241" i="18"/>
  <c r="K241" i="18"/>
  <c r="L241" i="18"/>
  <c r="M241" i="18"/>
  <c r="N241" i="18"/>
  <c r="I242" i="18"/>
  <c r="J242" i="18"/>
  <c r="K242" i="18"/>
  <c r="L242" i="18"/>
  <c r="M242" i="18"/>
  <c r="N242" i="18"/>
  <c r="I243" i="18"/>
  <c r="J243" i="18"/>
  <c r="K243" i="18"/>
  <c r="L243" i="18"/>
  <c r="M243" i="18"/>
  <c r="N243" i="18"/>
  <c r="I244" i="18"/>
  <c r="J244" i="18"/>
  <c r="K244" i="18"/>
  <c r="L244" i="18"/>
  <c r="M244" i="18"/>
  <c r="N244" i="18"/>
  <c r="O244" i="18"/>
  <c r="P244" i="18"/>
  <c r="I245" i="18"/>
  <c r="J245" i="18"/>
  <c r="K245" i="18"/>
  <c r="L245" i="18"/>
  <c r="M245" i="18"/>
  <c r="N245" i="18"/>
  <c r="I246" i="18"/>
  <c r="J246" i="18"/>
  <c r="K246" i="18"/>
  <c r="L246" i="18"/>
  <c r="M246" i="18"/>
  <c r="N246" i="18"/>
  <c r="I247" i="18"/>
  <c r="J247" i="18"/>
  <c r="K247" i="18"/>
  <c r="L247" i="18"/>
  <c r="M247" i="18"/>
  <c r="N247" i="18"/>
  <c r="I248" i="18"/>
  <c r="J248" i="18"/>
  <c r="K248" i="18"/>
  <c r="L248" i="18"/>
  <c r="M248" i="18"/>
  <c r="N248" i="18"/>
  <c r="O248" i="18"/>
  <c r="I249" i="18"/>
  <c r="J249" i="18"/>
  <c r="K249" i="18"/>
  <c r="L249" i="18"/>
  <c r="M249" i="18"/>
  <c r="N249" i="18"/>
  <c r="I250" i="18"/>
  <c r="J250" i="18"/>
  <c r="K250" i="18"/>
  <c r="L250" i="18"/>
  <c r="M250" i="18"/>
  <c r="N250" i="18"/>
  <c r="I251" i="18"/>
  <c r="J251" i="18"/>
  <c r="K251" i="18"/>
  <c r="O251" i="18"/>
  <c r="P251" i="18"/>
  <c r="L251" i="18"/>
  <c r="M251" i="18"/>
  <c r="N251" i="18"/>
  <c r="I252" i="18"/>
  <c r="J252" i="18"/>
  <c r="K252" i="18"/>
  <c r="L252" i="18"/>
  <c r="M252" i="18"/>
  <c r="N252" i="18"/>
  <c r="I253" i="18"/>
  <c r="J253" i="18"/>
  <c r="K253" i="18"/>
  <c r="L253" i="18"/>
  <c r="M253" i="18"/>
  <c r="N253" i="18"/>
  <c r="I254" i="18"/>
  <c r="J254" i="18"/>
  <c r="K254" i="18"/>
  <c r="L254" i="18"/>
  <c r="M254" i="18"/>
  <c r="N254" i="18"/>
  <c r="I255" i="18"/>
  <c r="J255" i="18"/>
  <c r="K255" i="18"/>
  <c r="L255" i="18"/>
  <c r="M255" i="18"/>
  <c r="N255" i="18"/>
  <c r="I256" i="18"/>
  <c r="J256" i="18"/>
  <c r="K256" i="18"/>
  <c r="L256" i="18"/>
  <c r="M256" i="18"/>
  <c r="N256" i="18"/>
  <c r="I257" i="18"/>
  <c r="J257" i="18"/>
  <c r="K257" i="18"/>
  <c r="L257" i="18"/>
  <c r="M257" i="18"/>
  <c r="N257" i="18"/>
  <c r="I258" i="18"/>
  <c r="J258" i="18"/>
  <c r="K258" i="18"/>
  <c r="L258" i="18"/>
  <c r="M258" i="18"/>
  <c r="N258" i="18"/>
  <c r="I259" i="18"/>
  <c r="J259" i="18"/>
  <c r="K259" i="18"/>
  <c r="L259" i="18"/>
  <c r="M259" i="18"/>
  <c r="N259" i="18"/>
  <c r="I260" i="18"/>
  <c r="J260" i="18"/>
  <c r="K260" i="18"/>
  <c r="L260" i="18"/>
  <c r="M260" i="18"/>
  <c r="N260" i="18"/>
  <c r="O260" i="18"/>
  <c r="P260" i="18"/>
  <c r="I261" i="18"/>
  <c r="J261" i="18"/>
  <c r="K261" i="18"/>
  <c r="O261" i="18"/>
  <c r="P261" i="18"/>
  <c r="L261" i="18"/>
  <c r="M261" i="18"/>
  <c r="N261" i="18"/>
  <c r="I262" i="18"/>
  <c r="J262" i="18"/>
  <c r="K262" i="18"/>
  <c r="L262" i="18"/>
  <c r="M262" i="18"/>
  <c r="N262" i="18"/>
  <c r="O262" i="18"/>
  <c r="I263" i="18"/>
  <c r="J263" i="18"/>
  <c r="K263" i="18"/>
  <c r="L263" i="18"/>
  <c r="M263" i="18"/>
  <c r="N263" i="18"/>
  <c r="O263" i="18"/>
  <c r="P263" i="18"/>
  <c r="I264" i="18"/>
  <c r="J264" i="18"/>
  <c r="K264" i="18"/>
  <c r="L264" i="18"/>
  <c r="M264" i="18"/>
  <c r="N264" i="18"/>
  <c r="I265" i="18"/>
  <c r="J265" i="18"/>
  <c r="K265" i="18"/>
  <c r="L265" i="18"/>
  <c r="M265" i="18"/>
  <c r="N265" i="18"/>
  <c r="I266" i="18"/>
  <c r="J266" i="18"/>
  <c r="K266" i="18"/>
  <c r="O266" i="18"/>
  <c r="L266" i="18"/>
  <c r="M266" i="18"/>
  <c r="N266" i="18"/>
  <c r="I267" i="18"/>
  <c r="J267" i="18"/>
  <c r="K267" i="18"/>
  <c r="L267" i="18"/>
  <c r="M267" i="18"/>
  <c r="N267" i="18"/>
  <c r="I268" i="18"/>
  <c r="J268" i="18"/>
  <c r="K268" i="18"/>
  <c r="L268" i="18"/>
  <c r="M268" i="18"/>
  <c r="N268" i="18"/>
  <c r="O268" i="18"/>
  <c r="P268" i="18"/>
  <c r="I269" i="18"/>
  <c r="J269" i="18"/>
  <c r="K269" i="18"/>
  <c r="L269" i="18"/>
  <c r="M269" i="18"/>
  <c r="N269" i="18"/>
  <c r="I270" i="18"/>
  <c r="J270" i="18"/>
  <c r="K270" i="18"/>
  <c r="L270" i="18"/>
  <c r="M270" i="18"/>
  <c r="N270" i="18"/>
  <c r="I271" i="18"/>
  <c r="J271" i="18"/>
  <c r="K271" i="18"/>
  <c r="L271" i="18"/>
  <c r="M271" i="18"/>
  <c r="N271" i="18"/>
  <c r="I272" i="18"/>
  <c r="J272" i="18"/>
  <c r="K272" i="18"/>
  <c r="L272" i="18"/>
  <c r="M272" i="18"/>
  <c r="N272" i="18"/>
  <c r="I273" i="18"/>
  <c r="J273" i="18"/>
  <c r="K273" i="18"/>
  <c r="L273" i="18"/>
  <c r="M273" i="18"/>
  <c r="N273" i="18"/>
  <c r="O273" i="18"/>
  <c r="I274" i="18"/>
  <c r="J274" i="18"/>
  <c r="K274" i="18"/>
  <c r="L274" i="18"/>
  <c r="M274" i="18"/>
  <c r="N274" i="18"/>
  <c r="I275" i="18"/>
  <c r="J275" i="18"/>
  <c r="K275" i="18"/>
  <c r="O275" i="18"/>
  <c r="P275" i="18"/>
  <c r="L275" i="18"/>
  <c r="M275" i="18"/>
  <c r="N275" i="18"/>
  <c r="I276" i="18"/>
  <c r="J276" i="18"/>
  <c r="K276" i="18"/>
  <c r="L276" i="18"/>
  <c r="M276" i="18"/>
  <c r="N276" i="18"/>
  <c r="I277" i="18"/>
  <c r="J277" i="18"/>
  <c r="K277" i="18"/>
  <c r="O277" i="18"/>
  <c r="L277" i="18"/>
  <c r="M277" i="18"/>
  <c r="N277" i="18"/>
  <c r="I278" i="18"/>
  <c r="J278" i="18"/>
  <c r="K278" i="18"/>
  <c r="L278" i="18"/>
  <c r="M278" i="18"/>
  <c r="N278" i="18"/>
  <c r="O278" i="18"/>
  <c r="P278" i="18"/>
  <c r="I279" i="18"/>
  <c r="J279" i="18"/>
  <c r="K279" i="18"/>
  <c r="L279" i="18"/>
  <c r="M279" i="18"/>
  <c r="N279" i="18"/>
  <c r="I280" i="18"/>
  <c r="J280" i="18"/>
  <c r="K280" i="18"/>
  <c r="L280" i="18"/>
  <c r="M280" i="18"/>
  <c r="N280" i="18"/>
  <c r="I281" i="18"/>
  <c r="J281" i="18"/>
  <c r="K281" i="18"/>
  <c r="L281" i="18"/>
  <c r="M281" i="18"/>
  <c r="N281" i="18"/>
  <c r="I282" i="18"/>
  <c r="J282" i="18"/>
  <c r="K282" i="18"/>
  <c r="L282" i="18"/>
  <c r="M282" i="18"/>
  <c r="N282" i="18"/>
  <c r="I283" i="18"/>
  <c r="J283" i="18"/>
  <c r="K283" i="18"/>
  <c r="L283" i="18"/>
  <c r="M283" i="18"/>
  <c r="N283" i="18"/>
  <c r="O283" i="18"/>
  <c r="P283" i="18"/>
  <c r="I284" i="18"/>
  <c r="J284" i="18"/>
  <c r="K284" i="18"/>
  <c r="L284" i="18"/>
  <c r="M284" i="18"/>
  <c r="N284" i="18"/>
  <c r="I285" i="18"/>
  <c r="J285" i="18"/>
  <c r="K285" i="18"/>
  <c r="L285" i="18"/>
  <c r="M285" i="18"/>
  <c r="N285" i="18"/>
  <c r="I286" i="18"/>
  <c r="J286" i="18"/>
  <c r="K286" i="18"/>
  <c r="L286" i="18"/>
  <c r="M286" i="18"/>
  <c r="N286" i="18"/>
  <c r="I287" i="18"/>
  <c r="J287" i="18"/>
  <c r="K287" i="18"/>
  <c r="L287" i="18"/>
  <c r="M287" i="18"/>
  <c r="N287" i="18"/>
  <c r="I288" i="18"/>
  <c r="J288" i="18"/>
  <c r="K288" i="18"/>
  <c r="L288" i="18"/>
  <c r="M288" i="18"/>
  <c r="N288" i="18"/>
  <c r="O288" i="18"/>
  <c r="P288" i="18"/>
  <c r="I289" i="18"/>
  <c r="J289" i="18"/>
  <c r="K289" i="18"/>
  <c r="L289" i="18"/>
  <c r="M289" i="18"/>
  <c r="N289" i="18"/>
  <c r="I290" i="18"/>
  <c r="J290" i="18"/>
  <c r="K290" i="18"/>
  <c r="L290" i="18"/>
  <c r="M290" i="18"/>
  <c r="N290" i="18"/>
  <c r="O290" i="18"/>
  <c r="I291" i="18"/>
  <c r="J291" i="18"/>
  <c r="K291" i="18"/>
  <c r="L291" i="18"/>
  <c r="M291" i="18"/>
  <c r="N291" i="18"/>
  <c r="I292" i="18"/>
  <c r="J292" i="18"/>
  <c r="K292" i="18"/>
  <c r="L292" i="18"/>
  <c r="M292" i="18"/>
  <c r="N292" i="18"/>
  <c r="I293" i="18"/>
  <c r="J293" i="18"/>
  <c r="K293" i="18"/>
  <c r="L293" i="18"/>
  <c r="M293" i="18"/>
  <c r="N293" i="18"/>
  <c r="O293" i="18"/>
  <c r="P293" i="18"/>
  <c r="I294" i="18"/>
  <c r="J294" i="18"/>
  <c r="K294" i="18"/>
  <c r="L294" i="18"/>
  <c r="M294" i="18"/>
  <c r="N294" i="18"/>
  <c r="O294" i="18"/>
  <c r="P294" i="18"/>
  <c r="I295" i="18"/>
  <c r="J295" i="18"/>
  <c r="K295" i="18"/>
  <c r="L295" i="18"/>
  <c r="M295" i="18"/>
  <c r="N295" i="18"/>
  <c r="I296" i="18"/>
  <c r="J296" i="18"/>
  <c r="K296" i="18"/>
  <c r="L296" i="18"/>
  <c r="M296" i="18"/>
  <c r="N296" i="18"/>
  <c r="I297" i="18"/>
  <c r="J297" i="18"/>
  <c r="K297" i="18"/>
  <c r="O297" i="18"/>
  <c r="L297" i="18"/>
  <c r="M297" i="18"/>
  <c r="N297" i="18"/>
  <c r="I298" i="18"/>
  <c r="J298" i="18"/>
  <c r="K298" i="18"/>
  <c r="L298" i="18"/>
  <c r="M298" i="18"/>
  <c r="N298" i="18"/>
  <c r="I299" i="18"/>
  <c r="J299" i="18"/>
  <c r="K299" i="18"/>
  <c r="L299" i="18"/>
  <c r="M299" i="18"/>
  <c r="N299" i="18"/>
  <c r="I300" i="18"/>
  <c r="J300" i="18"/>
  <c r="K300" i="18"/>
  <c r="L300" i="18"/>
  <c r="M300" i="18"/>
  <c r="N300" i="18"/>
  <c r="I301" i="18"/>
  <c r="J301" i="18"/>
  <c r="K301" i="18"/>
  <c r="O301" i="18"/>
  <c r="P301" i="18"/>
  <c r="L301" i="18"/>
  <c r="M301" i="18"/>
  <c r="N301" i="18"/>
  <c r="I302" i="18"/>
  <c r="J302" i="18"/>
  <c r="K302" i="18"/>
  <c r="L302" i="18"/>
  <c r="M302" i="18"/>
  <c r="N302" i="18"/>
  <c r="I303" i="18"/>
  <c r="J303" i="18"/>
  <c r="K303" i="18"/>
  <c r="L303" i="18"/>
  <c r="M303" i="18"/>
  <c r="N303" i="18"/>
  <c r="I304" i="18"/>
  <c r="J304" i="18"/>
  <c r="K304" i="18"/>
  <c r="L304" i="18"/>
  <c r="M304" i="18"/>
  <c r="N304" i="18"/>
  <c r="I305" i="18"/>
  <c r="J305" i="18"/>
  <c r="K305" i="18"/>
  <c r="L305" i="18"/>
  <c r="M305" i="18"/>
  <c r="N305" i="18"/>
  <c r="O305" i="18"/>
  <c r="P305" i="18"/>
  <c r="I306" i="18"/>
  <c r="J306" i="18"/>
  <c r="K306" i="18"/>
  <c r="L306" i="18"/>
  <c r="M306" i="18"/>
  <c r="N306" i="18"/>
  <c r="I307" i="18"/>
  <c r="J307" i="18"/>
  <c r="K307" i="18"/>
  <c r="L307" i="18"/>
  <c r="M307" i="18"/>
  <c r="N307" i="18"/>
  <c r="O307" i="18"/>
  <c r="P307" i="18"/>
  <c r="I308" i="18"/>
  <c r="J308" i="18"/>
  <c r="K308" i="18"/>
  <c r="L308" i="18"/>
  <c r="M308" i="18"/>
  <c r="N308" i="18"/>
  <c r="I309" i="18"/>
  <c r="J309" i="18"/>
  <c r="K309" i="18"/>
  <c r="L309" i="18"/>
  <c r="M309" i="18"/>
  <c r="N309" i="18"/>
  <c r="I310" i="18"/>
  <c r="J310" i="18"/>
  <c r="K310" i="18"/>
  <c r="L310" i="18"/>
  <c r="M310" i="18"/>
  <c r="N310" i="18"/>
  <c r="I311" i="18"/>
  <c r="J311" i="18"/>
  <c r="K311" i="18"/>
  <c r="L311" i="18"/>
  <c r="M311" i="18"/>
  <c r="N311" i="18"/>
  <c r="I312" i="18"/>
  <c r="J312" i="18"/>
  <c r="K312" i="18"/>
  <c r="L312" i="18"/>
  <c r="M312" i="18"/>
  <c r="N312" i="18"/>
  <c r="O312" i="18"/>
  <c r="I313" i="18"/>
  <c r="J313" i="18"/>
  <c r="K313" i="18"/>
  <c r="L313" i="18"/>
  <c r="M313" i="18"/>
  <c r="N313" i="18"/>
  <c r="O313" i="18"/>
  <c r="I314" i="18"/>
  <c r="J314" i="18"/>
  <c r="K314" i="18"/>
  <c r="L314" i="18"/>
  <c r="M314" i="18"/>
  <c r="N314" i="18"/>
  <c r="I315" i="18"/>
  <c r="J315" i="18"/>
  <c r="K315" i="18"/>
  <c r="L315" i="18"/>
  <c r="M315" i="18"/>
  <c r="N315" i="18"/>
  <c r="O315" i="18"/>
  <c r="I316" i="18"/>
  <c r="J316" i="18"/>
  <c r="K316" i="18"/>
  <c r="L316" i="18"/>
  <c r="M316" i="18"/>
  <c r="N316" i="18"/>
  <c r="I317" i="18"/>
  <c r="J317" i="18"/>
  <c r="K317" i="18"/>
  <c r="L317" i="18"/>
  <c r="M317" i="18"/>
  <c r="N317" i="18"/>
  <c r="I318" i="18"/>
  <c r="J318" i="18"/>
  <c r="K318" i="18"/>
  <c r="L318" i="18"/>
  <c r="M318" i="18"/>
  <c r="N318" i="18"/>
  <c r="I319" i="18"/>
  <c r="J319" i="18"/>
  <c r="K319" i="18"/>
  <c r="L319" i="18"/>
  <c r="M319" i="18"/>
  <c r="N319" i="18"/>
  <c r="I320" i="18"/>
  <c r="J320" i="18"/>
  <c r="K320" i="18"/>
  <c r="L320" i="18"/>
  <c r="M320" i="18"/>
  <c r="N320" i="18"/>
  <c r="O320" i="18"/>
  <c r="I321" i="18"/>
  <c r="J321" i="18"/>
  <c r="K321" i="18"/>
  <c r="L321" i="18"/>
  <c r="M321" i="18"/>
  <c r="N321" i="18"/>
  <c r="I322" i="18"/>
  <c r="J322" i="18"/>
  <c r="K322" i="18"/>
  <c r="L322" i="18"/>
  <c r="M322" i="18"/>
  <c r="N322" i="18"/>
  <c r="I323" i="18"/>
  <c r="J323" i="18"/>
  <c r="K323" i="18"/>
  <c r="L323" i="18"/>
  <c r="M323" i="18"/>
  <c r="N323" i="18"/>
  <c r="I324" i="18"/>
  <c r="J324" i="18"/>
  <c r="K324" i="18"/>
  <c r="L324" i="18"/>
  <c r="M324" i="18"/>
  <c r="N324" i="18"/>
  <c r="I325" i="18"/>
  <c r="J325" i="18"/>
  <c r="K325" i="18"/>
  <c r="L325" i="18"/>
  <c r="M325" i="18"/>
  <c r="N325" i="18"/>
  <c r="I326" i="18"/>
  <c r="J326" i="18"/>
  <c r="K326" i="18"/>
  <c r="L326" i="18"/>
  <c r="M326" i="18"/>
  <c r="N326" i="18"/>
  <c r="I327" i="18"/>
  <c r="J327" i="18"/>
  <c r="K327" i="18"/>
  <c r="L327" i="18"/>
  <c r="M327" i="18"/>
  <c r="N327" i="18"/>
  <c r="I328" i="18"/>
  <c r="J328" i="18"/>
  <c r="K328" i="18"/>
  <c r="L328" i="18"/>
  <c r="M328" i="18"/>
  <c r="N328" i="18"/>
  <c r="I329" i="18"/>
  <c r="J329" i="18"/>
  <c r="K329" i="18"/>
  <c r="L329" i="18"/>
  <c r="M329" i="18"/>
  <c r="N329" i="18"/>
  <c r="I330" i="18"/>
  <c r="J330" i="18"/>
  <c r="K330" i="18"/>
  <c r="L330" i="18"/>
  <c r="M330" i="18"/>
  <c r="N330" i="18"/>
  <c r="I331" i="18"/>
  <c r="J331" i="18"/>
  <c r="K331" i="18"/>
  <c r="L331" i="18"/>
  <c r="M331" i="18"/>
  <c r="N331" i="18"/>
  <c r="O331" i="18"/>
  <c r="P331" i="18"/>
  <c r="I332" i="18"/>
  <c r="J332" i="18"/>
  <c r="K332" i="18"/>
  <c r="L332" i="18"/>
  <c r="M332" i="18"/>
  <c r="N332" i="18"/>
  <c r="I333" i="18"/>
  <c r="J333" i="18"/>
  <c r="K333" i="18"/>
  <c r="L333" i="18"/>
  <c r="M333" i="18"/>
  <c r="N333" i="18"/>
  <c r="O333" i="18"/>
  <c r="P333" i="18"/>
  <c r="I334" i="18"/>
  <c r="J334" i="18"/>
  <c r="K334" i="18"/>
  <c r="L334" i="18"/>
  <c r="M334" i="18"/>
  <c r="N334" i="18"/>
  <c r="I335" i="18"/>
  <c r="J335" i="18"/>
  <c r="K335" i="18"/>
  <c r="L335" i="18"/>
  <c r="M335" i="18"/>
  <c r="N335" i="18"/>
  <c r="I336" i="18"/>
  <c r="J336" i="18"/>
  <c r="K336" i="18"/>
  <c r="L336" i="18"/>
  <c r="M336" i="18"/>
  <c r="N336" i="18"/>
  <c r="I337" i="18"/>
  <c r="J337" i="18"/>
  <c r="K337" i="18"/>
  <c r="L337" i="18"/>
  <c r="M337" i="18"/>
  <c r="N337" i="18"/>
  <c r="I338" i="18"/>
  <c r="J338" i="18"/>
  <c r="K338" i="18"/>
  <c r="L338" i="18"/>
  <c r="M338" i="18"/>
  <c r="N338" i="18"/>
  <c r="I339" i="18"/>
  <c r="J339" i="18"/>
  <c r="K339" i="18"/>
  <c r="L339" i="18"/>
  <c r="M339" i="18"/>
  <c r="N339" i="18"/>
  <c r="I340" i="18"/>
  <c r="J340" i="18"/>
  <c r="K340" i="18"/>
  <c r="L340" i="18"/>
  <c r="M340" i="18"/>
  <c r="N340" i="18"/>
  <c r="I341" i="18"/>
  <c r="J341" i="18"/>
  <c r="K341" i="18"/>
  <c r="L341" i="18"/>
  <c r="M341" i="18"/>
  <c r="N341" i="18"/>
  <c r="I342" i="18"/>
  <c r="J342" i="18"/>
  <c r="K342" i="18"/>
  <c r="L342" i="18"/>
  <c r="M342" i="18"/>
  <c r="N342" i="18"/>
  <c r="I343" i="18"/>
  <c r="J343" i="18"/>
  <c r="K343" i="18"/>
  <c r="L343" i="18"/>
  <c r="M343" i="18"/>
  <c r="N343" i="18"/>
  <c r="I344" i="18"/>
  <c r="J344" i="18"/>
  <c r="K344" i="18"/>
  <c r="L344" i="18"/>
  <c r="M344" i="18"/>
  <c r="N344" i="18"/>
  <c r="I345" i="18"/>
  <c r="J345" i="18"/>
  <c r="K345" i="18"/>
  <c r="L345" i="18"/>
  <c r="M345" i="18"/>
  <c r="N345" i="18"/>
  <c r="I346" i="18"/>
  <c r="J346" i="18"/>
  <c r="K346" i="18"/>
  <c r="L346" i="18"/>
  <c r="M346" i="18"/>
  <c r="N346" i="18"/>
  <c r="I347" i="18"/>
  <c r="J347" i="18"/>
  <c r="K347" i="18"/>
  <c r="L347" i="18"/>
  <c r="M347" i="18"/>
  <c r="N347" i="18"/>
  <c r="O347" i="18"/>
  <c r="P347" i="18"/>
  <c r="I348" i="18"/>
  <c r="J348" i="18"/>
  <c r="K348" i="18"/>
  <c r="L348" i="18"/>
  <c r="M348" i="18"/>
  <c r="N348" i="18"/>
  <c r="I349" i="18"/>
  <c r="J349" i="18"/>
  <c r="K349" i="18"/>
  <c r="L349" i="18"/>
  <c r="M349" i="18"/>
  <c r="N349" i="18"/>
  <c r="I350" i="18"/>
  <c r="J350" i="18"/>
  <c r="K350" i="18"/>
  <c r="L350" i="18"/>
  <c r="M350" i="18"/>
  <c r="N350" i="18"/>
  <c r="I351" i="18"/>
  <c r="J351" i="18"/>
  <c r="K351" i="18"/>
  <c r="L351" i="18"/>
  <c r="M351" i="18"/>
  <c r="N351" i="18"/>
  <c r="I352" i="18"/>
  <c r="J352" i="18"/>
  <c r="K352" i="18"/>
  <c r="L352" i="18"/>
  <c r="M352" i="18"/>
  <c r="N352" i="18"/>
  <c r="O352" i="18"/>
  <c r="P352" i="18"/>
  <c r="I353" i="18"/>
  <c r="J353" i="18"/>
  <c r="K353" i="18"/>
  <c r="L353" i="18"/>
  <c r="M353" i="18"/>
  <c r="N353" i="18"/>
  <c r="O353" i="18"/>
  <c r="P353" i="18"/>
  <c r="I354" i="18"/>
  <c r="J354" i="18"/>
  <c r="K354" i="18"/>
  <c r="L354" i="18"/>
  <c r="M354" i="18"/>
  <c r="N354" i="18"/>
  <c r="I355" i="18"/>
  <c r="J355" i="18"/>
  <c r="K355" i="18"/>
  <c r="L355" i="18"/>
  <c r="M355" i="18"/>
  <c r="N355" i="18"/>
  <c r="I356" i="18"/>
  <c r="J356" i="18"/>
  <c r="K356" i="18"/>
  <c r="L356" i="18"/>
  <c r="M356" i="18"/>
  <c r="N356" i="18"/>
  <c r="O356" i="18"/>
  <c r="P356" i="18"/>
  <c r="I357" i="18"/>
  <c r="J357" i="18"/>
  <c r="K357" i="18"/>
  <c r="L357" i="18"/>
  <c r="M357" i="18"/>
  <c r="N357" i="18"/>
  <c r="I358" i="18"/>
  <c r="J358" i="18"/>
  <c r="K358" i="18"/>
  <c r="L358" i="18"/>
  <c r="M358" i="18"/>
  <c r="N358" i="18"/>
  <c r="I359" i="18"/>
  <c r="J359" i="18"/>
  <c r="K359" i="18"/>
  <c r="L359" i="18"/>
  <c r="M359" i="18"/>
  <c r="N359" i="18"/>
  <c r="I360" i="18"/>
  <c r="J360" i="18"/>
  <c r="K360" i="18"/>
  <c r="L360" i="18"/>
  <c r="M360" i="18"/>
  <c r="N360" i="18"/>
  <c r="I361" i="18"/>
  <c r="J361" i="18"/>
  <c r="K361" i="18"/>
  <c r="L361" i="18"/>
  <c r="M361" i="18"/>
  <c r="N361" i="18"/>
  <c r="I362" i="18"/>
  <c r="J362" i="18"/>
  <c r="K362" i="18"/>
  <c r="L362" i="18"/>
  <c r="M362" i="18"/>
  <c r="N362" i="18"/>
  <c r="I363" i="18"/>
  <c r="J363" i="18"/>
  <c r="K363" i="18"/>
  <c r="L363" i="18"/>
  <c r="M363" i="18"/>
  <c r="N363" i="18"/>
  <c r="O363" i="18"/>
  <c r="I364" i="18"/>
  <c r="J364" i="18"/>
  <c r="K364" i="18"/>
  <c r="O364" i="18"/>
  <c r="P364" i="18"/>
  <c r="L364" i="18"/>
  <c r="M364" i="18"/>
  <c r="N364" i="18"/>
  <c r="I365" i="18"/>
  <c r="J365" i="18"/>
  <c r="K365" i="18"/>
  <c r="L365" i="18"/>
  <c r="M365" i="18"/>
  <c r="N365" i="18"/>
  <c r="I366" i="18"/>
  <c r="J366" i="18"/>
  <c r="K366" i="18"/>
  <c r="L366" i="18"/>
  <c r="M366" i="18"/>
  <c r="N366" i="18"/>
  <c r="I367" i="18"/>
  <c r="J367" i="18"/>
  <c r="K367" i="18"/>
  <c r="L367" i="18"/>
  <c r="M367" i="18"/>
  <c r="N367" i="18"/>
  <c r="O367" i="18"/>
  <c r="P367" i="18"/>
  <c r="I368" i="18"/>
  <c r="J368" i="18"/>
  <c r="K368" i="18"/>
  <c r="L368" i="18"/>
  <c r="M368" i="18"/>
  <c r="N368" i="18"/>
  <c r="I369" i="18"/>
  <c r="J369" i="18"/>
  <c r="K369" i="18"/>
  <c r="L369" i="18"/>
  <c r="M369" i="18"/>
  <c r="N369" i="18"/>
  <c r="I370" i="18"/>
  <c r="J370" i="18"/>
  <c r="K370" i="18"/>
  <c r="L370" i="18"/>
  <c r="M370" i="18"/>
  <c r="N370" i="18"/>
  <c r="O370" i="18"/>
  <c r="P370" i="18"/>
  <c r="I371" i="18"/>
  <c r="J371" i="18"/>
  <c r="K371" i="18"/>
  <c r="L371" i="18"/>
  <c r="M371" i="18"/>
  <c r="N371" i="18"/>
  <c r="I372" i="18"/>
  <c r="J372" i="18"/>
  <c r="K372" i="18"/>
  <c r="L372" i="18"/>
  <c r="M372" i="18"/>
  <c r="N372" i="18"/>
  <c r="O372" i="18"/>
  <c r="P372" i="18"/>
  <c r="I373" i="18"/>
  <c r="J373" i="18"/>
  <c r="K373" i="18"/>
  <c r="L373" i="18"/>
  <c r="M373" i="18"/>
  <c r="N373" i="18"/>
  <c r="I374" i="18"/>
  <c r="J374" i="18"/>
  <c r="K374" i="18"/>
  <c r="L374" i="18"/>
  <c r="M374" i="18"/>
  <c r="N374" i="18"/>
  <c r="O374" i="18"/>
  <c r="I375" i="18"/>
  <c r="J375" i="18"/>
  <c r="K375" i="18"/>
  <c r="L375" i="18"/>
  <c r="M375" i="18"/>
  <c r="N375" i="18"/>
  <c r="O375" i="18"/>
  <c r="P375" i="18"/>
  <c r="I376" i="18"/>
  <c r="J376" i="18"/>
  <c r="K376" i="18"/>
  <c r="L376" i="18"/>
  <c r="M376" i="18"/>
  <c r="N376" i="18"/>
  <c r="I377" i="18"/>
  <c r="J377" i="18"/>
  <c r="K377" i="18"/>
  <c r="L377" i="18"/>
  <c r="M377" i="18"/>
  <c r="N377" i="18"/>
  <c r="I378" i="18"/>
  <c r="J378" i="18"/>
  <c r="K378" i="18"/>
  <c r="L378" i="18"/>
  <c r="M378" i="18"/>
  <c r="N378" i="18"/>
  <c r="I379" i="18"/>
  <c r="J379" i="18"/>
  <c r="K379" i="18"/>
  <c r="L379" i="18"/>
  <c r="M379" i="18"/>
  <c r="N379" i="18"/>
  <c r="I380" i="18"/>
  <c r="J380" i="18"/>
  <c r="K380" i="18"/>
  <c r="L380" i="18"/>
  <c r="M380" i="18"/>
  <c r="N380" i="18"/>
  <c r="I381" i="18"/>
  <c r="J381" i="18"/>
  <c r="K381" i="18"/>
  <c r="L381" i="18"/>
  <c r="M381" i="18"/>
  <c r="N381" i="18"/>
  <c r="O381" i="18"/>
  <c r="P381" i="18"/>
  <c r="I382" i="18"/>
  <c r="J382" i="18"/>
  <c r="K382" i="18"/>
  <c r="L382" i="18"/>
  <c r="M382" i="18"/>
  <c r="N382" i="18"/>
  <c r="I383" i="18"/>
  <c r="J383" i="18"/>
  <c r="K383" i="18"/>
  <c r="L383" i="18"/>
  <c r="M383" i="18"/>
  <c r="N383" i="18"/>
  <c r="I384" i="18"/>
  <c r="J384" i="18"/>
  <c r="K384" i="18"/>
  <c r="L384" i="18"/>
  <c r="M384" i="18"/>
  <c r="N384" i="18"/>
  <c r="I385" i="18"/>
  <c r="J385" i="18"/>
  <c r="K385" i="18"/>
  <c r="L385" i="18"/>
  <c r="M385" i="18"/>
  <c r="N385" i="18"/>
  <c r="I386" i="18"/>
  <c r="J386" i="18"/>
  <c r="K386" i="18"/>
  <c r="L386" i="18"/>
  <c r="M386" i="18"/>
  <c r="N386" i="18"/>
  <c r="O386" i="18"/>
  <c r="P386" i="18"/>
  <c r="I387" i="18"/>
  <c r="J387" i="18"/>
  <c r="K387" i="18"/>
  <c r="L387" i="18"/>
  <c r="M387" i="18"/>
  <c r="N387" i="18"/>
  <c r="I388" i="18"/>
  <c r="J388" i="18"/>
  <c r="K388" i="18"/>
  <c r="L388" i="18"/>
  <c r="M388" i="18"/>
  <c r="N388" i="18"/>
  <c r="I389" i="18"/>
  <c r="J389" i="18"/>
  <c r="K389" i="18"/>
  <c r="L389" i="18"/>
  <c r="M389" i="18"/>
  <c r="N389" i="18"/>
  <c r="O389" i="18"/>
  <c r="P389" i="18"/>
  <c r="I390" i="18"/>
  <c r="J390" i="18"/>
  <c r="K390" i="18"/>
  <c r="L390" i="18"/>
  <c r="M390" i="18"/>
  <c r="N390" i="18"/>
  <c r="I391" i="18"/>
  <c r="J391" i="18"/>
  <c r="K391" i="18"/>
  <c r="L391" i="18"/>
  <c r="M391" i="18"/>
  <c r="N391" i="18"/>
  <c r="I392" i="18"/>
  <c r="J392" i="18"/>
  <c r="K392" i="18"/>
  <c r="L392" i="18"/>
  <c r="M392" i="18"/>
  <c r="N392" i="18"/>
  <c r="I393" i="18"/>
  <c r="J393" i="18"/>
  <c r="K393" i="18"/>
  <c r="L393" i="18"/>
  <c r="M393" i="18"/>
  <c r="N393" i="18"/>
  <c r="I394" i="18"/>
  <c r="J394" i="18"/>
  <c r="K394" i="18"/>
  <c r="L394" i="18"/>
  <c r="M394" i="18"/>
  <c r="N394" i="18"/>
  <c r="I395" i="18"/>
  <c r="J395" i="18"/>
  <c r="K395" i="18"/>
  <c r="L395" i="18"/>
  <c r="M395" i="18"/>
  <c r="N395" i="18"/>
  <c r="O395" i="18"/>
  <c r="I396" i="18"/>
  <c r="J396" i="18"/>
  <c r="K396" i="18"/>
  <c r="L396" i="18"/>
  <c r="M396" i="18"/>
  <c r="N396" i="18"/>
  <c r="I397" i="18"/>
  <c r="J397" i="18"/>
  <c r="K397" i="18"/>
  <c r="L397" i="18"/>
  <c r="M397" i="18"/>
  <c r="N397" i="18"/>
  <c r="I398" i="18"/>
  <c r="J398" i="18"/>
  <c r="K398" i="18"/>
  <c r="L398" i="18"/>
  <c r="M398" i="18"/>
  <c r="N398" i="18"/>
  <c r="O398" i="18"/>
  <c r="P398" i="18"/>
  <c r="I399" i="18"/>
  <c r="J399" i="18"/>
  <c r="K399" i="18"/>
  <c r="L399" i="18"/>
  <c r="M399" i="18"/>
  <c r="N399" i="18"/>
  <c r="I400" i="18"/>
  <c r="J400" i="18"/>
  <c r="K400" i="18"/>
  <c r="L400" i="18"/>
  <c r="M400" i="18"/>
  <c r="N400" i="18"/>
  <c r="O400" i="18"/>
  <c r="P400" i="18"/>
  <c r="I17" i="18"/>
  <c r="J17" i="18"/>
  <c r="K17" i="18"/>
  <c r="L17" i="18"/>
  <c r="M17" i="18"/>
  <c r="N17" i="18"/>
  <c r="I18" i="18"/>
  <c r="J18" i="18"/>
  <c r="K18" i="18"/>
  <c r="L18" i="18"/>
  <c r="M18" i="18"/>
  <c r="N18" i="18"/>
  <c r="I19" i="18"/>
  <c r="J19" i="18"/>
  <c r="K19" i="18"/>
  <c r="O19" i="18"/>
  <c r="P19" i="18"/>
  <c r="L19" i="18"/>
  <c r="M19" i="18"/>
  <c r="N19" i="18"/>
  <c r="I20" i="18"/>
  <c r="J20" i="18"/>
  <c r="K20" i="18"/>
  <c r="L20" i="18"/>
  <c r="M20" i="18"/>
  <c r="N20" i="18"/>
  <c r="I21" i="18"/>
  <c r="J21" i="18"/>
  <c r="K21" i="18"/>
  <c r="L21" i="18"/>
  <c r="M21" i="18"/>
  <c r="N21" i="18"/>
  <c r="I22" i="18"/>
  <c r="J22" i="18"/>
  <c r="K22" i="18"/>
  <c r="L22" i="18"/>
  <c r="M22" i="18"/>
  <c r="N22" i="18"/>
  <c r="I23" i="18"/>
  <c r="J23" i="18"/>
  <c r="K23" i="18"/>
  <c r="L23" i="18"/>
  <c r="M23" i="18"/>
  <c r="N23" i="18"/>
  <c r="I24" i="18"/>
  <c r="J24" i="18"/>
  <c r="K24" i="18"/>
  <c r="L24" i="18"/>
  <c r="M24" i="18"/>
  <c r="N24" i="18"/>
  <c r="I25" i="18"/>
  <c r="J25" i="18"/>
  <c r="K25" i="18"/>
  <c r="L25" i="18"/>
  <c r="M25" i="18"/>
  <c r="N25" i="18"/>
  <c r="I26" i="18"/>
  <c r="J26" i="18"/>
  <c r="K26" i="18"/>
  <c r="L26" i="18"/>
  <c r="M26" i="18"/>
  <c r="N26" i="18"/>
  <c r="I27" i="18"/>
  <c r="J27" i="18"/>
  <c r="K27" i="18"/>
  <c r="L27" i="18"/>
  <c r="M27" i="18"/>
  <c r="N27" i="18"/>
  <c r="I28" i="18"/>
  <c r="J28" i="18"/>
  <c r="K28" i="18"/>
  <c r="L28" i="18"/>
  <c r="M28" i="18"/>
  <c r="N28" i="18"/>
  <c r="I29" i="18"/>
  <c r="J29" i="18"/>
  <c r="K29" i="18"/>
  <c r="L29" i="18"/>
  <c r="M29" i="18"/>
  <c r="N29" i="18"/>
  <c r="I30" i="18"/>
  <c r="J30" i="18"/>
  <c r="K30" i="18"/>
  <c r="L30" i="18"/>
  <c r="M30" i="18"/>
  <c r="N30" i="18"/>
  <c r="I31" i="18"/>
  <c r="J31" i="18"/>
  <c r="K31" i="18"/>
  <c r="L31" i="18"/>
  <c r="M31" i="18"/>
  <c r="N31" i="18"/>
  <c r="O31" i="18"/>
  <c r="P31" i="18"/>
  <c r="I32" i="18"/>
  <c r="J32" i="18"/>
  <c r="K32" i="18"/>
  <c r="L32" i="18"/>
  <c r="M32" i="18"/>
  <c r="N32" i="18"/>
  <c r="I33" i="18"/>
  <c r="J33" i="18"/>
  <c r="K33" i="18"/>
  <c r="L33" i="18"/>
  <c r="M33" i="18"/>
  <c r="N33" i="18"/>
  <c r="I34" i="18"/>
  <c r="J34" i="18"/>
  <c r="K34" i="18"/>
  <c r="L34" i="18"/>
  <c r="M34" i="18"/>
  <c r="N34" i="18"/>
  <c r="O34" i="18"/>
  <c r="P34" i="18"/>
  <c r="I35" i="18"/>
  <c r="J35" i="18"/>
  <c r="K35" i="18"/>
  <c r="O35" i="18"/>
  <c r="L35" i="18"/>
  <c r="M35" i="18"/>
  <c r="N35" i="18"/>
  <c r="I36" i="18"/>
  <c r="J36" i="18"/>
  <c r="K36" i="18"/>
  <c r="L36" i="18"/>
  <c r="M36" i="18"/>
  <c r="N36" i="18"/>
  <c r="I37" i="18"/>
  <c r="J37" i="18"/>
  <c r="K37" i="18"/>
  <c r="L37" i="18"/>
  <c r="M37" i="18"/>
  <c r="N37" i="18"/>
  <c r="I38" i="18"/>
  <c r="J38" i="18"/>
  <c r="K38" i="18"/>
  <c r="O38" i="18"/>
  <c r="P38" i="18"/>
  <c r="L38" i="18"/>
  <c r="M38" i="18"/>
  <c r="N38" i="18"/>
  <c r="I39" i="18"/>
  <c r="J39" i="18"/>
  <c r="K39" i="18"/>
  <c r="L39" i="18"/>
  <c r="M39" i="18"/>
  <c r="N39" i="18"/>
  <c r="I40" i="18"/>
  <c r="J40" i="18"/>
  <c r="K40" i="18"/>
  <c r="L40" i="18"/>
  <c r="M40" i="18"/>
  <c r="N40" i="18"/>
  <c r="I41" i="18"/>
  <c r="J41" i="18"/>
  <c r="K41" i="18"/>
  <c r="L41" i="18"/>
  <c r="M41" i="18"/>
  <c r="N41" i="18"/>
  <c r="I42" i="18"/>
  <c r="J42" i="18"/>
  <c r="K42" i="18"/>
  <c r="L42" i="18"/>
  <c r="M42" i="18"/>
  <c r="N42" i="18"/>
  <c r="I43" i="18"/>
  <c r="J43" i="18"/>
  <c r="K43" i="18"/>
  <c r="L43" i="18"/>
  <c r="M43" i="18"/>
  <c r="N43" i="18"/>
  <c r="I44" i="18"/>
  <c r="J44" i="18"/>
  <c r="K44" i="18"/>
  <c r="L44" i="18"/>
  <c r="M44" i="18"/>
  <c r="N44" i="18"/>
  <c r="I45" i="18"/>
  <c r="J45" i="18"/>
  <c r="K45" i="18"/>
  <c r="L45" i="18"/>
  <c r="M45" i="18"/>
  <c r="N45" i="18"/>
  <c r="I46" i="18"/>
  <c r="J46" i="18"/>
  <c r="K46" i="18"/>
  <c r="O46" i="18"/>
  <c r="L46" i="18"/>
  <c r="M46" i="18"/>
  <c r="N46" i="18"/>
  <c r="I47" i="18"/>
  <c r="J47" i="18"/>
  <c r="K47" i="18"/>
  <c r="L47" i="18"/>
  <c r="M47" i="18"/>
  <c r="N47" i="18"/>
  <c r="I48" i="18"/>
  <c r="J48" i="18"/>
  <c r="K48" i="18"/>
  <c r="L48" i="18"/>
  <c r="M48" i="18"/>
  <c r="N48" i="18"/>
  <c r="I49" i="18"/>
  <c r="J49" i="18"/>
  <c r="K49" i="18"/>
  <c r="L49" i="18"/>
  <c r="M49" i="18"/>
  <c r="N49" i="18"/>
  <c r="I50" i="18"/>
  <c r="J50" i="18"/>
  <c r="K50" i="18"/>
  <c r="L50" i="18"/>
  <c r="M50" i="18"/>
  <c r="N50" i="18"/>
  <c r="I51" i="18"/>
  <c r="J51" i="18"/>
  <c r="K51" i="18"/>
  <c r="L51" i="18"/>
  <c r="M51" i="18"/>
  <c r="N51" i="18"/>
  <c r="I52" i="18"/>
  <c r="J52" i="18"/>
  <c r="K52" i="18"/>
  <c r="L52" i="18"/>
  <c r="M52" i="18"/>
  <c r="N52" i="18"/>
  <c r="I53" i="18"/>
  <c r="J53" i="18"/>
  <c r="K53" i="18"/>
  <c r="L53" i="18"/>
  <c r="M53" i="18"/>
  <c r="N53" i="18"/>
  <c r="I54" i="18"/>
  <c r="J54" i="18"/>
  <c r="K54" i="18"/>
  <c r="L54" i="18"/>
  <c r="M54" i="18"/>
  <c r="N54" i="18"/>
  <c r="I55" i="18"/>
  <c r="J55" i="18"/>
  <c r="K55" i="18"/>
  <c r="L55" i="18"/>
  <c r="M55" i="18"/>
  <c r="N55" i="18"/>
  <c r="O55" i="18"/>
  <c r="P55" i="18"/>
  <c r="I56" i="18"/>
  <c r="J56" i="18"/>
  <c r="K56" i="18"/>
  <c r="L56" i="18"/>
  <c r="M56" i="18"/>
  <c r="N56" i="18"/>
  <c r="I57" i="18"/>
  <c r="J57" i="18"/>
  <c r="K57" i="18"/>
  <c r="L57" i="18"/>
  <c r="M57" i="18"/>
  <c r="N57" i="18"/>
  <c r="I58" i="18"/>
  <c r="J58" i="18"/>
  <c r="K58" i="18"/>
  <c r="L58" i="18"/>
  <c r="M58" i="18"/>
  <c r="N58" i="18"/>
  <c r="I59" i="18"/>
  <c r="J59" i="18"/>
  <c r="K59" i="18"/>
  <c r="L59" i="18"/>
  <c r="M59" i="18"/>
  <c r="N59" i="18"/>
  <c r="I60" i="18"/>
  <c r="J60" i="18"/>
  <c r="K60" i="18"/>
  <c r="L60" i="18"/>
  <c r="M60" i="18"/>
  <c r="N60" i="18"/>
  <c r="I61" i="18"/>
  <c r="J61" i="18"/>
  <c r="K61" i="18"/>
  <c r="L61" i="18"/>
  <c r="M61" i="18"/>
  <c r="N61" i="18"/>
  <c r="I62" i="18"/>
  <c r="J62" i="18"/>
  <c r="K62" i="18"/>
  <c r="L62" i="18"/>
  <c r="M62" i="18"/>
  <c r="N62" i="18"/>
  <c r="I63" i="18"/>
  <c r="J63" i="18"/>
  <c r="K63" i="18"/>
  <c r="L63" i="18"/>
  <c r="M63" i="18"/>
  <c r="N63" i="18"/>
  <c r="I64" i="18"/>
  <c r="J64" i="18"/>
  <c r="K64" i="18"/>
  <c r="L64" i="18"/>
  <c r="M64" i="18"/>
  <c r="N64" i="18"/>
  <c r="I65" i="18"/>
  <c r="J65" i="18"/>
  <c r="K65" i="18"/>
  <c r="L65" i="18"/>
  <c r="M65" i="18"/>
  <c r="N65" i="18"/>
  <c r="I66" i="18"/>
  <c r="J66" i="18"/>
  <c r="K66" i="18"/>
  <c r="L66" i="18"/>
  <c r="M66" i="18"/>
  <c r="N66" i="18"/>
  <c r="I67" i="18"/>
  <c r="J67" i="18"/>
  <c r="K67" i="18"/>
  <c r="L67" i="18"/>
  <c r="M67" i="18"/>
  <c r="N67" i="18"/>
  <c r="O67" i="18"/>
  <c r="P67" i="18"/>
  <c r="I68" i="18"/>
  <c r="J68" i="18"/>
  <c r="K68" i="18"/>
  <c r="L68" i="18"/>
  <c r="M68" i="18"/>
  <c r="N68" i="18"/>
  <c r="I69" i="18"/>
  <c r="J69" i="18"/>
  <c r="K69" i="18"/>
  <c r="L69" i="18"/>
  <c r="M69" i="18"/>
  <c r="N69" i="18"/>
  <c r="I70" i="18"/>
  <c r="J70" i="18"/>
  <c r="K70" i="18"/>
  <c r="L70" i="18"/>
  <c r="M70" i="18"/>
  <c r="N70" i="18"/>
  <c r="O70" i="18"/>
  <c r="P70" i="18"/>
  <c r="I71" i="18"/>
  <c r="J71" i="18"/>
  <c r="K71" i="18"/>
  <c r="O71" i="18"/>
  <c r="L71" i="18"/>
  <c r="M71" i="18"/>
  <c r="N71" i="18"/>
  <c r="I72" i="18"/>
  <c r="J72" i="18"/>
  <c r="K72" i="18"/>
  <c r="L72" i="18"/>
  <c r="M72" i="18"/>
  <c r="N72" i="18"/>
  <c r="I73" i="18"/>
  <c r="J73" i="18"/>
  <c r="K73" i="18"/>
  <c r="L73" i="18"/>
  <c r="M73" i="18"/>
  <c r="N73" i="18"/>
  <c r="I74" i="18"/>
  <c r="J74" i="18"/>
  <c r="K74" i="18"/>
  <c r="O74" i="18"/>
  <c r="P74" i="18"/>
  <c r="L74" i="18"/>
  <c r="M74" i="18"/>
  <c r="N74" i="18"/>
  <c r="I75" i="18"/>
  <c r="J75" i="18"/>
  <c r="K75" i="18"/>
  <c r="L75" i="18"/>
  <c r="M75" i="18"/>
  <c r="N75" i="18"/>
  <c r="I76" i="18"/>
  <c r="J76" i="18"/>
  <c r="K76" i="18"/>
  <c r="L76" i="18"/>
  <c r="M76" i="18"/>
  <c r="N76" i="18"/>
  <c r="I77" i="18"/>
  <c r="J77" i="18"/>
  <c r="K77" i="18"/>
  <c r="L77" i="18"/>
  <c r="M77" i="18"/>
  <c r="N77" i="18"/>
  <c r="I78" i="18"/>
  <c r="J78" i="18"/>
  <c r="K78" i="18"/>
  <c r="L78" i="18"/>
  <c r="M78" i="18"/>
  <c r="N78" i="18"/>
  <c r="I79" i="18"/>
  <c r="J79" i="18"/>
  <c r="K79" i="18"/>
  <c r="L79" i="18"/>
  <c r="M79" i="18"/>
  <c r="N79" i="18"/>
  <c r="O79" i="18"/>
  <c r="P79" i="18"/>
  <c r="I80" i="18"/>
  <c r="J80" i="18"/>
  <c r="K80" i="18"/>
  <c r="L80" i="18"/>
  <c r="M80" i="18"/>
  <c r="N80" i="18"/>
  <c r="I81" i="18"/>
  <c r="J81" i="18"/>
  <c r="K81" i="18"/>
  <c r="L81" i="18"/>
  <c r="M81" i="18"/>
  <c r="N81" i="18"/>
  <c r="I82" i="18"/>
  <c r="J82" i="18"/>
  <c r="K82" i="18"/>
  <c r="L82" i="18"/>
  <c r="M82" i="18"/>
  <c r="N82" i="18"/>
  <c r="O82" i="18"/>
  <c r="P82" i="18"/>
  <c r="I83" i="18"/>
  <c r="J83" i="18"/>
  <c r="K83" i="18"/>
  <c r="O83" i="18"/>
  <c r="L83" i="18"/>
  <c r="M83" i="18"/>
  <c r="N83" i="18"/>
  <c r="I84" i="18"/>
  <c r="J84" i="18"/>
  <c r="K84" i="18"/>
  <c r="L84" i="18"/>
  <c r="M84" i="18"/>
  <c r="N84" i="18"/>
  <c r="I85" i="18"/>
  <c r="J85" i="18"/>
  <c r="K85" i="18"/>
  <c r="L85" i="18"/>
  <c r="M85" i="18"/>
  <c r="N85" i="18"/>
  <c r="O85" i="18"/>
  <c r="P85" i="18"/>
  <c r="I86" i="18"/>
  <c r="J86" i="18"/>
  <c r="K86" i="18"/>
  <c r="O86" i="18"/>
  <c r="P86" i="18"/>
  <c r="L86" i="18"/>
  <c r="M86" i="18"/>
  <c r="N86" i="18"/>
  <c r="I87" i="18"/>
  <c r="J87" i="18"/>
  <c r="K87" i="18"/>
  <c r="L87" i="18"/>
  <c r="M87" i="18"/>
  <c r="N87" i="18"/>
  <c r="I88" i="18"/>
  <c r="J88" i="18"/>
  <c r="K88" i="18"/>
  <c r="L88" i="18"/>
  <c r="M88" i="18"/>
  <c r="N88" i="18"/>
  <c r="O88" i="18"/>
  <c r="P88" i="18"/>
  <c r="I89" i="18"/>
  <c r="J89" i="18"/>
  <c r="K89" i="18"/>
  <c r="L89" i="18"/>
  <c r="M89" i="18"/>
  <c r="N89" i="18"/>
  <c r="I90" i="18"/>
  <c r="J90" i="18"/>
  <c r="K90" i="18"/>
  <c r="L90" i="18"/>
  <c r="M90" i="18"/>
  <c r="N90" i="18"/>
  <c r="I91" i="18"/>
  <c r="J91" i="18"/>
  <c r="K91" i="18"/>
  <c r="L91" i="18"/>
  <c r="M91" i="18"/>
  <c r="N91" i="18"/>
  <c r="I92" i="18"/>
  <c r="J92" i="18"/>
  <c r="K92" i="18"/>
  <c r="L92" i="18"/>
  <c r="M92" i="18"/>
  <c r="N92" i="18"/>
  <c r="I93" i="18"/>
  <c r="J93" i="18"/>
  <c r="K93" i="18"/>
  <c r="L93" i="18"/>
  <c r="M93" i="18"/>
  <c r="N93" i="18"/>
  <c r="I94" i="18"/>
  <c r="J94" i="18"/>
  <c r="K94" i="18"/>
  <c r="L94" i="18"/>
  <c r="M94" i="18"/>
  <c r="N94" i="18"/>
  <c r="I95" i="18"/>
  <c r="J95" i="18"/>
  <c r="K95" i="18"/>
  <c r="L95" i="18"/>
  <c r="M95" i="18"/>
  <c r="N95" i="18"/>
  <c r="I96" i="18"/>
  <c r="J96" i="18"/>
  <c r="K96" i="18"/>
  <c r="L96" i="18"/>
  <c r="M96" i="18"/>
  <c r="N96" i="18"/>
  <c r="I97" i="18"/>
  <c r="J97" i="18"/>
  <c r="K97" i="18"/>
  <c r="L97" i="18"/>
  <c r="M97" i="18"/>
  <c r="N97" i="18"/>
  <c r="I98" i="18"/>
  <c r="J98" i="18"/>
  <c r="K98" i="18"/>
  <c r="L98" i="18"/>
  <c r="M98" i="18"/>
  <c r="N98" i="18"/>
  <c r="I99" i="18"/>
  <c r="J99" i="18"/>
  <c r="K99" i="18"/>
  <c r="L99" i="18"/>
  <c r="M99" i="18"/>
  <c r="N99" i="18"/>
  <c r="I100" i="18"/>
  <c r="J100" i="18"/>
  <c r="K100" i="18"/>
  <c r="L100" i="18"/>
  <c r="M100" i="18"/>
  <c r="N100" i="18"/>
  <c r="I101" i="18"/>
  <c r="J101" i="18"/>
  <c r="K101" i="18"/>
  <c r="L101" i="18"/>
  <c r="M101" i="18"/>
  <c r="N101" i="18"/>
  <c r="I102" i="18"/>
  <c r="J102" i="18"/>
  <c r="K102" i="18"/>
  <c r="L102" i="18"/>
  <c r="M102" i="18"/>
  <c r="N102" i="18"/>
  <c r="I103" i="18"/>
  <c r="J103" i="18"/>
  <c r="K103" i="18"/>
  <c r="L103" i="18"/>
  <c r="M103" i="18"/>
  <c r="N103" i="18"/>
  <c r="O103" i="18"/>
  <c r="P103" i="18"/>
  <c r="I104" i="18"/>
  <c r="J104" i="18"/>
  <c r="K104" i="18"/>
  <c r="L104" i="18"/>
  <c r="M104" i="18"/>
  <c r="N104" i="18"/>
  <c r="I105" i="18"/>
  <c r="J105" i="18"/>
  <c r="K105" i="18"/>
  <c r="L105" i="18"/>
  <c r="M105" i="18"/>
  <c r="N105" i="18"/>
  <c r="I106" i="18"/>
  <c r="J106" i="18"/>
  <c r="K106" i="18"/>
  <c r="L106" i="18"/>
  <c r="M106" i="18"/>
  <c r="N106" i="18"/>
  <c r="O106" i="18"/>
  <c r="P106" i="18"/>
  <c r="I107" i="18"/>
  <c r="J107" i="18"/>
  <c r="K107" i="18"/>
  <c r="O107" i="18"/>
  <c r="L107" i="18"/>
  <c r="M107" i="18"/>
  <c r="N107" i="18"/>
  <c r="I108" i="18"/>
  <c r="J108" i="18"/>
  <c r="K108" i="18"/>
  <c r="L108" i="18"/>
  <c r="M108" i="18"/>
  <c r="N108" i="18"/>
  <c r="I109" i="18"/>
  <c r="J109" i="18"/>
  <c r="K109" i="18"/>
  <c r="L109" i="18"/>
  <c r="M109" i="18"/>
  <c r="N109" i="18"/>
  <c r="I110" i="18"/>
  <c r="J110" i="18"/>
  <c r="K110" i="18"/>
  <c r="L110" i="18"/>
  <c r="M110" i="18"/>
  <c r="N110" i="18"/>
  <c r="I111" i="18"/>
  <c r="J111" i="18"/>
  <c r="K111" i="18"/>
  <c r="L111" i="18"/>
  <c r="M111" i="18"/>
  <c r="N111" i="18"/>
  <c r="I112" i="18"/>
  <c r="J112" i="18"/>
  <c r="K112" i="18"/>
  <c r="O112" i="18"/>
  <c r="L112" i="18"/>
  <c r="M112" i="18"/>
  <c r="N112" i="18"/>
  <c r="I113" i="18"/>
  <c r="J113" i="18"/>
  <c r="K113" i="18"/>
  <c r="L113" i="18"/>
  <c r="M113" i="18"/>
  <c r="N113" i="18"/>
  <c r="I114" i="18"/>
  <c r="J114" i="18"/>
  <c r="K114" i="18"/>
  <c r="L114" i="18"/>
  <c r="M114" i="18"/>
  <c r="N114" i="18"/>
  <c r="I115" i="18"/>
  <c r="J115" i="18"/>
  <c r="K115" i="18"/>
  <c r="L115" i="18"/>
  <c r="M115" i="18"/>
  <c r="N115" i="18"/>
  <c r="I116" i="18"/>
  <c r="J116" i="18"/>
  <c r="K116" i="18"/>
  <c r="L116" i="18"/>
  <c r="M116" i="18"/>
  <c r="N116" i="18"/>
  <c r="I117" i="18"/>
  <c r="J117" i="18"/>
  <c r="K117" i="18"/>
  <c r="L117" i="18"/>
  <c r="M117" i="18"/>
  <c r="N117" i="18"/>
  <c r="I118" i="18"/>
  <c r="J118" i="18"/>
  <c r="K118" i="18"/>
  <c r="L118" i="18"/>
  <c r="M118" i="18"/>
  <c r="N118" i="18"/>
  <c r="I119" i="18"/>
  <c r="J119" i="18"/>
  <c r="K119" i="18"/>
  <c r="L119" i="18"/>
  <c r="M119" i="18"/>
  <c r="N119" i="18"/>
  <c r="I120" i="18"/>
  <c r="J120" i="18"/>
  <c r="K120" i="18"/>
  <c r="L120" i="18"/>
  <c r="M120" i="18"/>
  <c r="N120" i="18"/>
  <c r="I121" i="18"/>
  <c r="J121" i="18"/>
  <c r="K121" i="18"/>
  <c r="L121" i="18"/>
  <c r="M121" i="18"/>
  <c r="N121" i="18"/>
  <c r="O121" i="18"/>
  <c r="P121" i="18"/>
  <c r="I122" i="18"/>
  <c r="J122" i="18"/>
  <c r="K122" i="18"/>
  <c r="L122" i="18"/>
  <c r="M122" i="18"/>
  <c r="N122" i="18"/>
  <c r="I123" i="18"/>
  <c r="J123" i="18"/>
  <c r="K123" i="18"/>
  <c r="L123" i="18"/>
  <c r="M123" i="18"/>
  <c r="N123" i="18"/>
  <c r="I124" i="18"/>
  <c r="J124" i="18"/>
  <c r="K124" i="18"/>
  <c r="L124" i="18"/>
  <c r="M124" i="18"/>
  <c r="N124" i="18"/>
  <c r="O124" i="18"/>
  <c r="P124" i="18"/>
  <c r="I125" i="18"/>
  <c r="J125" i="18"/>
  <c r="K125" i="18"/>
  <c r="O125" i="18"/>
  <c r="P125" i="18"/>
  <c r="L125" i="18"/>
  <c r="M125" i="18"/>
  <c r="N125" i="18"/>
  <c r="I126" i="18"/>
  <c r="J126" i="18"/>
  <c r="K126" i="18"/>
  <c r="L126" i="18"/>
  <c r="M126" i="18"/>
  <c r="N126" i="18"/>
  <c r="I127" i="18"/>
  <c r="J127" i="18"/>
  <c r="K127" i="18"/>
  <c r="L127" i="18"/>
  <c r="M127" i="18"/>
  <c r="N127" i="18"/>
  <c r="I128" i="18"/>
  <c r="J128" i="18"/>
  <c r="K128" i="18"/>
  <c r="L128" i="18"/>
  <c r="M128" i="18"/>
  <c r="N128" i="18"/>
  <c r="I129" i="18"/>
  <c r="J129" i="18"/>
  <c r="K129" i="18"/>
  <c r="L129" i="18"/>
  <c r="M129" i="18"/>
  <c r="N129" i="18"/>
  <c r="I130" i="18"/>
  <c r="J130" i="18"/>
  <c r="K130" i="18"/>
  <c r="L130" i="18"/>
  <c r="M130" i="18"/>
  <c r="N130" i="18"/>
  <c r="O130" i="18"/>
  <c r="P130" i="18"/>
  <c r="I131" i="18"/>
  <c r="J131" i="18"/>
  <c r="K131" i="18"/>
  <c r="L131" i="18"/>
  <c r="M131" i="18"/>
  <c r="N131" i="18"/>
  <c r="I132" i="18"/>
  <c r="J132" i="18"/>
  <c r="K132" i="18"/>
  <c r="L132" i="18"/>
  <c r="M132" i="18"/>
  <c r="N132" i="18"/>
  <c r="I133" i="18"/>
  <c r="J133" i="18"/>
  <c r="K133" i="18"/>
  <c r="L133" i="18"/>
  <c r="M133" i="18"/>
  <c r="N133" i="18"/>
  <c r="O133" i="18"/>
  <c r="P133" i="18"/>
  <c r="I134" i="18"/>
  <c r="J134" i="18"/>
  <c r="K134" i="18"/>
  <c r="L134" i="18"/>
  <c r="M134" i="18"/>
  <c r="N134" i="18"/>
  <c r="I135" i="18"/>
  <c r="J135" i="18"/>
  <c r="K135" i="18"/>
  <c r="L135" i="18"/>
  <c r="M135" i="18"/>
  <c r="N135" i="18"/>
  <c r="I136" i="18"/>
  <c r="J136" i="18"/>
  <c r="K136" i="18"/>
  <c r="L136" i="18"/>
  <c r="M136" i="18"/>
  <c r="N136" i="18"/>
  <c r="O136" i="18"/>
  <c r="I137" i="18"/>
  <c r="J137" i="18"/>
  <c r="K137" i="18"/>
  <c r="L137" i="18"/>
  <c r="M137" i="18"/>
  <c r="N137" i="18"/>
  <c r="I138" i="18"/>
  <c r="J138" i="18"/>
  <c r="K138" i="18"/>
  <c r="L138" i="18"/>
  <c r="M138" i="18"/>
  <c r="N138" i="18"/>
  <c r="I7" i="18"/>
  <c r="J7" i="18"/>
  <c r="K7" i="18"/>
  <c r="L7" i="18"/>
  <c r="M7" i="18"/>
  <c r="N7" i="18"/>
  <c r="I8" i="18"/>
  <c r="J8" i="18"/>
  <c r="K8" i="18"/>
  <c r="L8" i="18"/>
  <c r="M8" i="18"/>
  <c r="N8" i="18"/>
  <c r="I9" i="18"/>
  <c r="J9" i="18"/>
  <c r="K9" i="18"/>
  <c r="L9" i="18"/>
  <c r="M9" i="18"/>
  <c r="N9" i="18"/>
  <c r="I10" i="18"/>
  <c r="J10" i="18"/>
  <c r="K10" i="18"/>
  <c r="L10" i="18"/>
  <c r="M10" i="18"/>
  <c r="N10" i="18"/>
  <c r="I11" i="18"/>
  <c r="J11" i="18"/>
  <c r="K11" i="18"/>
  <c r="L11" i="18"/>
  <c r="M11" i="18"/>
  <c r="N11" i="18"/>
  <c r="I12" i="18"/>
  <c r="J12" i="18"/>
  <c r="K12" i="18"/>
  <c r="O12" i="18"/>
  <c r="L12" i="18"/>
  <c r="M12" i="18"/>
  <c r="N12" i="18"/>
  <c r="I13" i="18"/>
  <c r="J13" i="18"/>
  <c r="K13" i="18"/>
  <c r="L13" i="18"/>
  <c r="M13" i="18"/>
  <c r="N13" i="18"/>
  <c r="I14" i="18"/>
  <c r="J14" i="18"/>
  <c r="K14" i="18"/>
  <c r="L14" i="18"/>
  <c r="M14" i="18"/>
  <c r="N14" i="18"/>
  <c r="I15" i="18"/>
  <c r="J15" i="18"/>
  <c r="K15" i="18"/>
  <c r="L15" i="18"/>
  <c r="M15" i="18"/>
  <c r="N15" i="18"/>
  <c r="I16" i="18"/>
  <c r="J16" i="18"/>
  <c r="K16" i="18"/>
  <c r="L16" i="18"/>
  <c r="M16" i="18"/>
  <c r="N16" i="18"/>
  <c r="O7" i="23"/>
  <c r="P7" i="23"/>
  <c r="P8" i="24"/>
  <c r="O8" i="24"/>
  <c r="O9" i="24"/>
  <c r="P296" i="24"/>
  <c r="O296" i="24"/>
  <c r="O226" i="24"/>
  <c r="P226" i="24"/>
  <c r="O251" i="24"/>
  <c r="P251" i="24"/>
  <c r="O260" i="24"/>
  <c r="P260" i="24"/>
  <c r="P292" i="24"/>
  <c r="O292" i="24"/>
  <c r="P311" i="24"/>
  <c r="O311" i="24"/>
  <c r="O6" i="24"/>
  <c r="P6" i="24"/>
  <c r="O40" i="24"/>
  <c r="P40" i="24"/>
  <c r="O90" i="24"/>
  <c r="P90" i="24"/>
  <c r="O92" i="24"/>
  <c r="P92" i="24"/>
  <c r="P94" i="24"/>
  <c r="O94" i="24"/>
  <c r="O158" i="24"/>
  <c r="P158" i="24"/>
  <c r="O160" i="24"/>
  <c r="P160" i="24"/>
  <c r="P181" i="24"/>
  <c r="O181" i="24"/>
  <c r="P320" i="24"/>
  <c r="O43" i="24"/>
  <c r="P43" i="24"/>
  <c r="O68" i="24"/>
  <c r="P68" i="24"/>
  <c r="P107" i="24"/>
  <c r="O107" i="24"/>
  <c r="P139" i="24"/>
  <c r="O139" i="24"/>
  <c r="P190" i="24"/>
  <c r="O190" i="24"/>
  <c r="O262" i="24"/>
  <c r="P262" i="24"/>
  <c r="O37" i="24"/>
  <c r="P37" i="24"/>
  <c r="O87" i="24"/>
  <c r="P87" i="24"/>
  <c r="P277" i="24"/>
  <c r="O277" i="24"/>
  <c r="P290" i="24"/>
  <c r="O290" i="24"/>
  <c r="P19" i="24"/>
  <c r="O19" i="24"/>
  <c r="O55" i="24"/>
  <c r="P55" i="24"/>
  <c r="O134" i="24"/>
  <c r="P134" i="24"/>
  <c r="O316" i="24"/>
  <c r="P316" i="24"/>
  <c r="P362" i="24"/>
  <c r="O362" i="24"/>
  <c r="P130" i="24"/>
  <c r="O130" i="24"/>
  <c r="P13" i="24"/>
  <c r="O13" i="24"/>
  <c r="O80" i="24"/>
  <c r="P80" i="24"/>
  <c r="O175" i="24"/>
  <c r="P175" i="24"/>
  <c r="O28" i="24"/>
  <c r="P28" i="24"/>
  <c r="P97" i="24"/>
  <c r="O97" i="24"/>
  <c r="P188" i="24"/>
  <c r="O34" i="24"/>
  <c r="P34" i="24"/>
  <c r="P109" i="24"/>
  <c r="O109" i="24"/>
  <c r="P128" i="24"/>
  <c r="O132" i="24"/>
  <c r="P132" i="24"/>
  <c r="P233" i="24"/>
  <c r="O49" i="24"/>
  <c r="P49" i="24"/>
  <c r="O78" i="24"/>
  <c r="P78" i="24"/>
  <c r="O82" i="24"/>
  <c r="P82" i="24"/>
  <c r="P99" i="24"/>
  <c r="O99" i="24"/>
  <c r="P114" i="24"/>
  <c r="O352" i="24"/>
  <c r="P352" i="24"/>
  <c r="O356" i="24"/>
  <c r="P356" i="24"/>
  <c r="P60" i="24"/>
  <c r="O60" i="24"/>
  <c r="P116" i="24"/>
  <c r="O116" i="24"/>
  <c r="P149" i="24"/>
  <c r="O209" i="24"/>
  <c r="P209" i="24"/>
  <c r="O211" i="24"/>
  <c r="P211" i="24"/>
  <c r="P302" i="24"/>
  <c r="O302" i="24"/>
  <c r="P385" i="24"/>
  <c r="O385" i="24"/>
  <c r="P16" i="24"/>
  <c r="O16" i="24"/>
  <c r="O52" i="24"/>
  <c r="P52" i="24"/>
  <c r="P83" i="24"/>
  <c r="O31" i="24"/>
  <c r="P31" i="24"/>
  <c r="O66" i="24"/>
  <c r="P66" i="24"/>
  <c r="O95" i="24"/>
  <c r="P95" i="24"/>
  <c r="O102" i="24"/>
  <c r="P102" i="24"/>
  <c r="O104" i="24"/>
  <c r="P104" i="24"/>
  <c r="P144" i="24"/>
  <c r="O149" i="24"/>
  <c r="P166" i="24"/>
  <c r="O166" i="24"/>
  <c r="O170" i="24"/>
  <c r="P170" i="24"/>
  <c r="P203" i="24"/>
  <c r="P205" i="24"/>
  <c r="O205" i="24"/>
  <c r="P239" i="24"/>
  <c r="O241" i="24"/>
  <c r="P241" i="24"/>
  <c r="P7" i="24"/>
  <c r="O7" i="24"/>
  <c r="P22" i="24"/>
  <c r="O22" i="24"/>
  <c r="O281" i="24"/>
  <c r="P281" i="24"/>
  <c r="P85" i="24"/>
  <c r="O85" i="24"/>
  <c r="P151" i="24"/>
  <c r="O151" i="24"/>
  <c r="O114" i="24"/>
  <c r="O188" i="24"/>
  <c r="P245" i="24"/>
  <c r="O245" i="24"/>
  <c r="O247" i="24"/>
  <c r="P247" i="24"/>
  <c r="O340" i="24"/>
  <c r="P340" i="24"/>
  <c r="O10" i="24"/>
  <c r="P10" i="24"/>
  <c r="O46" i="24"/>
  <c r="P46" i="24"/>
  <c r="P73" i="24"/>
  <c r="O73" i="24"/>
  <c r="P75" i="24"/>
  <c r="O75" i="24"/>
  <c r="P108" i="24"/>
  <c r="O224" i="24"/>
  <c r="P224" i="24"/>
  <c r="O275" i="24"/>
  <c r="P275" i="24"/>
  <c r="P307" i="24"/>
  <c r="O307" i="24"/>
  <c r="P58" i="24"/>
  <c r="O58" i="24"/>
  <c r="P70" i="24"/>
  <c r="O70" i="24"/>
  <c r="O141" i="24"/>
  <c r="P141" i="24"/>
  <c r="O25" i="24"/>
  <c r="P25" i="24"/>
  <c r="O63" i="24"/>
  <c r="P63" i="24"/>
  <c r="P71" i="24"/>
  <c r="P119" i="24"/>
  <c r="P121" i="24"/>
  <c r="O121" i="24"/>
  <c r="P146" i="24"/>
  <c r="O146" i="24"/>
  <c r="P254" i="24"/>
  <c r="P256" i="24"/>
  <c r="O256" i="24"/>
  <c r="O328" i="24"/>
  <c r="P328" i="24"/>
  <c r="O338" i="24"/>
  <c r="P338" i="24"/>
  <c r="P9" i="24"/>
  <c r="P12" i="24"/>
  <c r="P15" i="24"/>
  <c r="P18" i="24"/>
  <c r="P21" i="24"/>
  <c r="P24" i="24"/>
  <c r="P27" i="24"/>
  <c r="P30" i="24"/>
  <c r="P33" i="24"/>
  <c r="P36" i="24"/>
  <c r="P39" i="24"/>
  <c r="P42" i="24"/>
  <c r="P45" i="24"/>
  <c r="P48" i="24"/>
  <c r="P51" i="24"/>
  <c r="P54" i="24"/>
  <c r="P57" i="24"/>
  <c r="P69" i="24"/>
  <c r="P81" i="24"/>
  <c r="P93" i="24"/>
  <c r="O108" i="24"/>
  <c r="O120" i="24"/>
  <c r="P120" i="24"/>
  <c r="P173" i="24"/>
  <c r="P176" i="24"/>
  <c r="P214" i="24"/>
  <c r="O214" i="24"/>
  <c r="P218" i="24"/>
  <c r="O244" i="24"/>
  <c r="P244" i="24"/>
  <c r="P248" i="24"/>
  <c r="O280" i="24"/>
  <c r="P280" i="24"/>
  <c r="P287" i="24"/>
  <c r="P126" i="24"/>
  <c r="O135" i="24"/>
  <c r="P135" i="24"/>
  <c r="O154" i="24"/>
  <c r="P154" i="24"/>
  <c r="O193" i="24"/>
  <c r="P193" i="24"/>
  <c r="P197" i="24"/>
  <c r="P229" i="24"/>
  <c r="O229" i="24"/>
  <c r="O265" i="24"/>
  <c r="P265" i="24"/>
  <c r="P284" i="24"/>
  <c r="O355" i="24"/>
  <c r="P355" i="24"/>
  <c r="O359" i="24"/>
  <c r="P359" i="24"/>
  <c r="O367" i="24"/>
  <c r="P367" i="24"/>
  <c r="P347" i="24"/>
  <c r="P368" i="24"/>
  <c r="O368" i="24"/>
  <c r="P62" i="24"/>
  <c r="P72" i="24"/>
  <c r="P84" i="24"/>
  <c r="P96" i="24"/>
  <c r="O113" i="24"/>
  <c r="P113" i="24"/>
  <c r="P138" i="24"/>
  <c r="P161" i="24"/>
  <c r="O178" i="24"/>
  <c r="P178" i="24"/>
  <c r="P187" i="24"/>
  <c r="O187" i="24"/>
  <c r="P202" i="24"/>
  <c r="O202" i="24"/>
  <c r="O238" i="24"/>
  <c r="P238" i="24"/>
  <c r="O253" i="24"/>
  <c r="P253" i="24"/>
  <c r="O259" i="24"/>
  <c r="P259" i="24"/>
  <c r="O272" i="24"/>
  <c r="P272" i="24"/>
  <c r="P304" i="24"/>
  <c r="O304" i="24"/>
  <c r="P319" i="24"/>
  <c r="O319" i="24"/>
  <c r="O323" i="24"/>
  <c r="P323" i="24"/>
  <c r="O337" i="24"/>
  <c r="P337" i="24"/>
  <c r="O376" i="24"/>
  <c r="P376" i="24"/>
  <c r="P196" i="24"/>
  <c r="O196" i="24"/>
  <c r="O217" i="24"/>
  <c r="P217" i="24"/>
  <c r="O283" i="24"/>
  <c r="P283" i="24"/>
  <c r="O398" i="24"/>
  <c r="P398" i="24"/>
  <c r="P77" i="24"/>
  <c r="P89" i="24"/>
  <c r="P101" i="24"/>
  <c r="P127" i="24"/>
  <c r="P223" i="24"/>
  <c r="O223" i="24"/>
  <c r="O232" i="24"/>
  <c r="P232" i="24"/>
  <c r="O236" i="24"/>
  <c r="P236" i="24"/>
  <c r="O268" i="24"/>
  <c r="P268" i="24"/>
  <c r="P274" i="24"/>
  <c r="O274" i="24"/>
  <c r="P364" i="24"/>
  <c r="O364" i="24"/>
  <c r="P380" i="24"/>
  <c r="O380" i="24"/>
  <c r="O382" i="24"/>
  <c r="P382" i="24"/>
  <c r="P115" i="24"/>
  <c r="P122" i="24"/>
  <c r="O143" i="24"/>
  <c r="P143" i="24"/>
  <c r="P163" i="24"/>
  <c r="O163" i="24"/>
  <c r="P182" i="24"/>
  <c r="O257" i="24"/>
  <c r="P257" i="24"/>
  <c r="P289" i="24"/>
  <c r="O289" i="24"/>
  <c r="O299" i="24"/>
  <c r="P299" i="24"/>
  <c r="P392" i="24"/>
  <c r="O394" i="24"/>
  <c r="P394" i="24"/>
  <c r="P59" i="24"/>
  <c r="O65" i="24"/>
  <c r="P65" i="24"/>
  <c r="P74" i="24"/>
  <c r="P86" i="24"/>
  <c r="P98" i="24"/>
  <c r="P110" i="24"/>
  <c r="P118" i="24"/>
  <c r="O124" i="24"/>
  <c r="P124" i="24"/>
  <c r="P140" i="24"/>
  <c r="P185" i="24"/>
  <c r="O200" i="24"/>
  <c r="P200" i="24"/>
  <c r="P212" i="24"/>
  <c r="P221" i="24"/>
  <c r="O295" i="24"/>
  <c r="P295" i="24"/>
  <c r="O347" i="24"/>
  <c r="P388" i="24"/>
  <c r="O388" i="24"/>
  <c r="P326" i="24"/>
  <c r="P331" i="24"/>
  <c r="O331" i="24"/>
  <c r="P137" i="24"/>
  <c r="O148" i="24"/>
  <c r="P148" i="24"/>
  <c r="O199" i="24"/>
  <c r="P199" i="24"/>
  <c r="P250" i="24"/>
  <c r="O250" i="24"/>
  <c r="P301" i="24"/>
  <c r="O301" i="24"/>
  <c r="P313" i="24"/>
  <c r="O313" i="24"/>
  <c r="P344" i="24"/>
  <c r="O349" i="24"/>
  <c r="P349" i="24"/>
  <c r="O373" i="24"/>
  <c r="P373" i="24"/>
  <c r="P131" i="24"/>
  <c r="O172" i="24"/>
  <c r="P172" i="24"/>
  <c r="O184" i="24"/>
  <c r="P184" i="24"/>
  <c r="P235" i="24"/>
  <c r="O235" i="24"/>
  <c r="P286" i="24"/>
  <c r="O286" i="24"/>
  <c r="O391" i="24"/>
  <c r="P391" i="24"/>
  <c r="O400" i="24"/>
  <c r="P400" i="24"/>
  <c r="O298" i="24"/>
  <c r="P298" i="24"/>
  <c r="O310" i="24"/>
  <c r="P310" i="24"/>
  <c r="P346" i="24"/>
  <c r="O346" i="24"/>
  <c r="P370" i="24"/>
  <c r="O370" i="24"/>
  <c r="O377" i="24"/>
  <c r="P377" i="24"/>
  <c r="P125" i="24"/>
  <c r="P157" i="24"/>
  <c r="O157" i="24"/>
  <c r="P164" i="24"/>
  <c r="O169" i="24"/>
  <c r="P169" i="24"/>
  <c r="P208" i="24"/>
  <c r="O208" i="24"/>
  <c r="P220" i="24"/>
  <c r="O220" i="24"/>
  <c r="O271" i="24"/>
  <c r="P271" i="24"/>
  <c r="O308" i="24"/>
  <c r="P308" i="24"/>
  <c r="P322" i="24"/>
  <c r="O322" i="24"/>
  <c r="P334" i="24"/>
  <c r="O334" i="24"/>
  <c r="O344" i="24"/>
  <c r="P358" i="24"/>
  <c r="O358" i="24"/>
  <c r="P395" i="24"/>
  <c r="O395" i="24"/>
  <c r="O325" i="24"/>
  <c r="P325" i="24"/>
  <c r="O343" i="24"/>
  <c r="P343" i="24"/>
  <c r="O361" i="24"/>
  <c r="P361" i="24"/>
  <c r="O379" i="24"/>
  <c r="P379" i="24"/>
  <c r="P397" i="24"/>
  <c r="O397" i="24"/>
  <c r="P9" i="23"/>
  <c r="P20" i="23"/>
  <c r="O20" i="23"/>
  <c r="P34" i="23"/>
  <c r="O47" i="23"/>
  <c r="P47" i="23"/>
  <c r="O116" i="23"/>
  <c r="P116" i="23"/>
  <c r="P151" i="23"/>
  <c r="O151" i="23"/>
  <c r="O162" i="23"/>
  <c r="P162" i="23"/>
  <c r="O6" i="23"/>
  <c r="P6" i="23"/>
  <c r="O41" i="23"/>
  <c r="P41" i="23"/>
  <c r="O55" i="23"/>
  <c r="P55" i="23"/>
  <c r="O61" i="23"/>
  <c r="P61" i="23"/>
  <c r="O63" i="23"/>
  <c r="P63" i="23"/>
  <c r="P72" i="23"/>
  <c r="O314" i="23"/>
  <c r="P314" i="23"/>
  <c r="O9" i="23"/>
  <c r="O134" i="23"/>
  <c r="P134" i="23"/>
  <c r="O159" i="23"/>
  <c r="P159" i="23"/>
  <c r="P222" i="23"/>
  <c r="P342" i="23"/>
  <c r="P396" i="23"/>
  <c r="O396" i="23"/>
  <c r="P45" i="23"/>
  <c r="O77" i="23"/>
  <c r="P77" i="23"/>
  <c r="P81" i="23"/>
  <c r="O180" i="23"/>
  <c r="P180" i="23"/>
  <c r="O195" i="23"/>
  <c r="P195" i="23"/>
  <c r="O197" i="23"/>
  <c r="P197" i="23"/>
  <c r="O224" i="23"/>
  <c r="P224" i="23"/>
  <c r="O228" i="23"/>
  <c r="P228" i="23"/>
  <c r="O232" i="23"/>
  <c r="P232" i="23"/>
  <c r="O16" i="23"/>
  <c r="P16" i="23"/>
  <c r="O31" i="23"/>
  <c r="P31" i="23"/>
  <c r="O187" i="23"/>
  <c r="P187" i="23"/>
  <c r="P316" i="23"/>
  <c r="O316" i="23"/>
  <c r="O14" i="23"/>
  <c r="P14" i="23"/>
  <c r="O74" i="23"/>
  <c r="P74" i="23"/>
  <c r="O87" i="23"/>
  <c r="P87" i="23"/>
  <c r="O131" i="23"/>
  <c r="P131" i="23"/>
  <c r="O169" i="23"/>
  <c r="P169" i="23"/>
  <c r="P250" i="23"/>
  <c r="O250" i="23"/>
  <c r="O252" i="23"/>
  <c r="P252" i="23"/>
  <c r="P23" i="23"/>
  <c r="P89" i="23"/>
  <c r="O89" i="23"/>
  <c r="O144" i="23"/>
  <c r="P144" i="23"/>
  <c r="O242" i="23"/>
  <c r="P242" i="23"/>
  <c r="O248" i="23"/>
  <c r="P248" i="23"/>
  <c r="P356" i="23"/>
  <c r="O356" i="23"/>
  <c r="O27" i="23"/>
  <c r="P27" i="23"/>
  <c r="P42" i="23"/>
  <c r="O42" i="23"/>
  <c r="O102" i="23"/>
  <c r="P102" i="23"/>
  <c r="O125" i="23"/>
  <c r="P125" i="23"/>
  <c r="O213" i="23"/>
  <c r="P213" i="23"/>
  <c r="P244" i="23"/>
  <c r="O244" i="23"/>
  <c r="P246" i="23"/>
  <c r="O246" i="23"/>
  <c r="P277" i="23"/>
  <c r="O285" i="23"/>
  <c r="P285" i="23"/>
  <c r="O287" i="23"/>
  <c r="P287" i="23"/>
  <c r="O25" i="23"/>
  <c r="P25" i="23"/>
  <c r="P36" i="23"/>
  <c r="O36" i="23"/>
  <c r="O50" i="23"/>
  <c r="P50" i="23"/>
  <c r="O234" i="23"/>
  <c r="P234" i="23"/>
  <c r="O283" i="23"/>
  <c r="P283" i="23"/>
  <c r="P338" i="23"/>
  <c r="O344" i="23"/>
  <c r="P344" i="23"/>
  <c r="O11" i="23"/>
  <c r="P11" i="23"/>
  <c r="O52" i="23"/>
  <c r="P52" i="23"/>
  <c r="P69" i="23"/>
  <c r="O69" i="23"/>
  <c r="P98" i="23"/>
  <c r="O98" i="23"/>
  <c r="O138" i="23"/>
  <c r="P138" i="23"/>
  <c r="O161" i="23"/>
  <c r="P161" i="23"/>
  <c r="O172" i="23"/>
  <c r="P172" i="23"/>
  <c r="P178" i="23"/>
  <c r="O178" i="23"/>
  <c r="P203" i="23"/>
  <c r="O209" i="23"/>
  <c r="P209" i="23"/>
  <c r="P336" i="23"/>
  <c r="P59" i="23"/>
  <c r="O92" i="23"/>
  <c r="P92" i="23"/>
  <c r="O107" i="23"/>
  <c r="P107" i="23"/>
  <c r="P120" i="23"/>
  <c r="O120" i="23"/>
  <c r="O126" i="23"/>
  <c r="P126" i="23"/>
  <c r="O205" i="23"/>
  <c r="P205" i="23"/>
  <c r="P17" i="23"/>
  <c r="P28" i="23"/>
  <c r="P39" i="23"/>
  <c r="P62" i="23"/>
  <c r="P123" i="23"/>
  <c r="P135" i="23"/>
  <c r="P229" i="23"/>
  <c r="P305" i="23"/>
  <c r="O305" i="23"/>
  <c r="P325" i="23"/>
  <c r="O325" i="23"/>
  <c r="P390" i="23"/>
  <c r="O390" i="23"/>
  <c r="P354" i="23"/>
  <c r="O375" i="23"/>
  <c r="P375" i="23"/>
  <c r="O377" i="23"/>
  <c r="P377" i="23"/>
  <c r="P394" i="23"/>
  <c r="P22" i="23"/>
  <c r="O22" i="23"/>
  <c r="P33" i="23"/>
  <c r="O33" i="23"/>
  <c r="P146" i="23"/>
  <c r="P160" i="23"/>
  <c r="O198" i="23"/>
  <c r="P198" i="23"/>
  <c r="O217" i="23"/>
  <c r="P217" i="23"/>
  <c r="P219" i="23"/>
  <c r="O219" i="23"/>
  <c r="O272" i="23"/>
  <c r="P272" i="23"/>
  <c r="O296" i="23"/>
  <c r="P296" i="23"/>
  <c r="O318" i="23"/>
  <c r="P318" i="23"/>
  <c r="O363" i="23"/>
  <c r="P363" i="23"/>
  <c r="O373" i="23"/>
  <c r="P373" i="23"/>
  <c r="P379" i="23"/>
  <c r="O379" i="23"/>
  <c r="O381" i="23"/>
  <c r="P381" i="23"/>
  <c r="O8" i="23"/>
  <c r="P8" i="23"/>
  <c r="O58" i="23"/>
  <c r="P58" i="23"/>
  <c r="O80" i="23"/>
  <c r="P80" i="23"/>
  <c r="O113" i="23"/>
  <c r="P113" i="23"/>
  <c r="P141" i="23"/>
  <c r="P148" i="23"/>
  <c r="O148" i="23"/>
  <c r="O152" i="23"/>
  <c r="P152" i="23"/>
  <c r="O239" i="23"/>
  <c r="P239" i="23"/>
  <c r="O276" i="23"/>
  <c r="P276" i="23"/>
  <c r="O339" i="23"/>
  <c r="P339" i="23"/>
  <c r="P341" i="23"/>
  <c r="O341" i="23"/>
  <c r="P361" i="23"/>
  <c r="O361" i="23"/>
  <c r="P26" i="23"/>
  <c r="O44" i="23"/>
  <c r="P44" i="23"/>
  <c r="O71" i="23"/>
  <c r="P71" i="23"/>
  <c r="O84" i="23"/>
  <c r="P84" i="23"/>
  <c r="P128" i="23"/>
  <c r="O128" i="23"/>
  <c r="P196" i="23"/>
  <c r="O196" i="23"/>
  <c r="O233" i="23"/>
  <c r="P233" i="23"/>
  <c r="O262" i="23"/>
  <c r="P262" i="23"/>
  <c r="O290" i="23"/>
  <c r="P290" i="23"/>
  <c r="P307" i="23"/>
  <c r="P309" i="23"/>
  <c r="O309" i="23"/>
  <c r="O311" i="23"/>
  <c r="P311" i="23"/>
  <c r="O331" i="23"/>
  <c r="P331" i="23"/>
  <c r="O359" i="23"/>
  <c r="P359" i="23"/>
  <c r="O37" i="23"/>
  <c r="P37" i="23"/>
  <c r="P53" i="23"/>
  <c r="O56" i="23"/>
  <c r="P56" i="23"/>
  <c r="P64" i="23"/>
  <c r="P95" i="23"/>
  <c r="O95" i="23"/>
  <c r="O110" i="23"/>
  <c r="P110" i="23"/>
  <c r="O143" i="23"/>
  <c r="P143" i="23"/>
  <c r="O166" i="23"/>
  <c r="P166" i="23"/>
  <c r="O231" i="23"/>
  <c r="P231" i="23"/>
  <c r="O321" i="23"/>
  <c r="P321" i="23"/>
  <c r="O323" i="23"/>
  <c r="P323" i="23"/>
  <c r="P366" i="23"/>
  <c r="O392" i="23"/>
  <c r="P392" i="23"/>
  <c r="P398" i="23"/>
  <c r="O398" i="23"/>
  <c r="P19" i="23"/>
  <c r="O19" i="23"/>
  <c r="O30" i="23"/>
  <c r="P30" i="23"/>
  <c r="O66" i="23"/>
  <c r="P66" i="23"/>
  <c r="P105" i="23"/>
  <c r="P117" i="23"/>
  <c r="O141" i="23"/>
  <c r="O157" i="23"/>
  <c r="P157" i="23"/>
  <c r="O164" i="23"/>
  <c r="P164" i="23"/>
  <c r="P185" i="23"/>
  <c r="O185" i="23"/>
  <c r="O208" i="23"/>
  <c r="P208" i="23"/>
  <c r="O257" i="23"/>
  <c r="P257" i="23"/>
  <c r="O264" i="23"/>
  <c r="P264" i="23"/>
  <c r="P319" i="23"/>
  <c r="P349" i="23"/>
  <c r="O349" i="23"/>
  <c r="P368" i="23"/>
  <c r="O368" i="23"/>
  <c r="P384" i="23"/>
  <c r="O384" i="23"/>
  <c r="P386" i="23"/>
  <c r="O337" i="23"/>
  <c r="P337" i="23"/>
  <c r="O370" i="23"/>
  <c r="P370" i="23"/>
  <c r="P385" i="23"/>
  <c r="P38" i="23"/>
  <c r="P175" i="23"/>
  <c r="P182" i="23"/>
  <c r="O182" i="23"/>
  <c r="P191" i="23"/>
  <c r="O200" i="23"/>
  <c r="P200" i="23"/>
  <c r="P214" i="23"/>
  <c r="O221" i="23"/>
  <c r="P221" i="23"/>
  <c r="P236" i="23"/>
  <c r="P241" i="23"/>
  <c r="O241" i="23"/>
  <c r="P286" i="23"/>
  <c r="P293" i="23"/>
  <c r="P298" i="23"/>
  <c r="O298" i="23"/>
  <c r="O304" i="23"/>
  <c r="P304" i="23"/>
  <c r="O306" i="23"/>
  <c r="P306" i="23"/>
  <c r="P326" i="23"/>
  <c r="P350" i="23"/>
  <c r="P365" i="23"/>
  <c r="O365" i="23"/>
  <c r="P372" i="23"/>
  <c r="P35" i="23"/>
  <c r="P68" i="23"/>
  <c r="O68" i="23"/>
  <c r="O86" i="23"/>
  <c r="P86" i="23"/>
  <c r="O104" i="23"/>
  <c r="P104" i="23"/>
  <c r="O122" i="23"/>
  <c r="P122" i="23"/>
  <c r="P140" i="23"/>
  <c r="O140" i="23"/>
  <c r="P265" i="23"/>
  <c r="O267" i="23"/>
  <c r="P267" i="23"/>
  <c r="P282" i="23"/>
  <c r="P284" i="23"/>
  <c r="P300" i="23"/>
  <c r="P302" i="23"/>
  <c r="O393" i="23"/>
  <c r="P393" i="23"/>
  <c r="O395" i="23"/>
  <c r="P395" i="23"/>
  <c r="P32" i="23"/>
  <c r="O156" i="23"/>
  <c r="P156" i="23"/>
  <c r="O177" i="23"/>
  <c r="P177" i="23"/>
  <c r="P193" i="23"/>
  <c r="O216" i="23"/>
  <c r="P216" i="23"/>
  <c r="O238" i="23"/>
  <c r="P238" i="23"/>
  <c r="O269" i="23"/>
  <c r="P269" i="23"/>
  <c r="P330" i="23"/>
  <c r="O330" i="23"/>
  <c r="P391" i="23"/>
  <c r="O391" i="23"/>
  <c r="P29" i="23"/>
  <c r="O65" i="23"/>
  <c r="P65" i="23"/>
  <c r="O83" i="23"/>
  <c r="P83" i="23"/>
  <c r="O101" i="23"/>
  <c r="P101" i="23"/>
  <c r="P119" i="23"/>
  <c r="O119" i="23"/>
  <c r="O137" i="23"/>
  <c r="P137" i="23"/>
  <c r="O188" i="23"/>
  <c r="P188" i="23"/>
  <c r="P211" i="23"/>
  <c r="O211" i="23"/>
  <c r="P227" i="23"/>
  <c r="O251" i="23"/>
  <c r="P251" i="23"/>
  <c r="P253" i="23"/>
  <c r="P260" i="23"/>
  <c r="P271" i="23"/>
  <c r="O271" i="23"/>
  <c r="O278" i="23"/>
  <c r="P278" i="23"/>
  <c r="P295" i="23"/>
  <c r="O295" i="23"/>
  <c r="P332" i="23"/>
  <c r="P340" i="23"/>
  <c r="P347" i="23"/>
  <c r="O352" i="23"/>
  <c r="P352" i="23"/>
  <c r="O358" i="23"/>
  <c r="P358" i="23"/>
  <c r="P360" i="23"/>
  <c r="O360" i="23"/>
  <c r="P380" i="23"/>
  <c r="O385" i="23"/>
  <c r="P163" i="23"/>
  <c r="P184" i="23"/>
  <c r="P223" i="23"/>
  <c r="P254" i="23"/>
  <c r="P259" i="23"/>
  <c r="P266" i="23"/>
  <c r="P268" i="23"/>
  <c r="P308" i="23"/>
  <c r="P313" i="23"/>
  <c r="P320" i="23"/>
  <c r="P322" i="23"/>
  <c r="P362" i="23"/>
  <c r="P367" i="23"/>
  <c r="P374" i="23"/>
  <c r="P376" i="23"/>
  <c r="P155" i="23"/>
  <c r="O202" i="23"/>
  <c r="P202" i="23"/>
  <c r="P275" i="23"/>
  <c r="P289" i="23"/>
  <c r="P329" i="23"/>
  <c r="P343" i="23"/>
  <c r="P383" i="23"/>
  <c r="P397" i="23"/>
  <c r="P181" i="23"/>
  <c r="P199" i="23"/>
  <c r="P220" i="23"/>
  <c r="P225" i="23"/>
  <c r="P247" i="23"/>
  <c r="O249" i="23"/>
  <c r="P249" i="23"/>
  <c r="O280" i="23"/>
  <c r="P280" i="23"/>
  <c r="P301" i="23"/>
  <c r="O303" i="23"/>
  <c r="P303" i="23"/>
  <c r="O334" i="23"/>
  <c r="P334" i="23"/>
  <c r="P355" i="23"/>
  <c r="O357" i="23"/>
  <c r="P357" i="23"/>
  <c r="O388" i="23"/>
  <c r="P388" i="23"/>
  <c r="P235" i="23"/>
  <c r="P256" i="23"/>
  <c r="P274" i="23"/>
  <c r="P292" i="23"/>
  <c r="P310" i="23"/>
  <c r="P328" i="23"/>
  <c r="P346" i="23"/>
  <c r="P364" i="23"/>
  <c r="P382" i="23"/>
  <c r="P400" i="23"/>
  <c r="P154" i="23"/>
  <c r="P190" i="23"/>
  <c r="P226" i="23"/>
  <c r="P245" i="23"/>
  <c r="P263" i="23"/>
  <c r="P281" i="23"/>
  <c r="P299" i="23"/>
  <c r="P317" i="23"/>
  <c r="P335" i="23"/>
  <c r="P353" i="23"/>
  <c r="P371" i="23"/>
  <c r="P389" i="23"/>
  <c r="O9" i="18"/>
  <c r="P9" i="18"/>
  <c r="O50" i="18"/>
  <c r="P50" i="18"/>
  <c r="O15" i="18"/>
  <c r="P15" i="18"/>
  <c r="O52" i="18"/>
  <c r="P52" i="18"/>
  <c r="O47" i="18"/>
  <c r="O49" i="18"/>
  <c r="P49" i="18"/>
  <c r="P46" i="18"/>
  <c r="O43" i="18"/>
  <c r="P43" i="18"/>
  <c r="O75" i="17"/>
  <c r="P75" i="17"/>
  <c r="O77" i="17"/>
  <c r="P77" i="17"/>
  <c r="O71" i="17"/>
  <c r="P71" i="17"/>
  <c r="O27" i="17"/>
  <c r="P27" i="17"/>
  <c r="O50" i="17"/>
  <c r="P50" i="17"/>
  <c r="O63" i="17"/>
  <c r="P63" i="17"/>
  <c r="O8" i="17"/>
  <c r="P8" i="17"/>
  <c r="O24" i="17"/>
  <c r="P24" i="17"/>
  <c r="O29" i="17"/>
  <c r="P29" i="17"/>
  <c r="O47" i="17"/>
  <c r="P47" i="17"/>
  <c r="O68" i="17"/>
  <c r="O60" i="17"/>
  <c r="P60" i="17"/>
  <c r="O21" i="17"/>
  <c r="P21" i="17"/>
  <c r="O30" i="17"/>
  <c r="P30" i="17"/>
  <c r="O44" i="17"/>
  <c r="P44" i="17"/>
  <c r="O20" i="17"/>
  <c r="P20" i="17"/>
  <c r="O14" i="17"/>
  <c r="P14" i="17"/>
  <c r="O56" i="17"/>
  <c r="P56" i="17"/>
  <c r="O15" i="16"/>
  <c r="P15" i="16"/>
  <c r="O6" i="16"/>
  <c r="P6" i="16"/>
  <c r="O18" i="16"/>
  <c r="P18" i="16"/>
  <c r="O42" i="16"/>
  <c r="P42" i="16"/>
  <c r="O21" i="16"/>
  <c r="P21" i="16"/>
  <c r="O24" i="16"/>
  <c r="P24" i="16"/>
  <c r="O36" i="16"/>
  <c r="P36" i="16"/>
  <c r="P82" i="20"/>
  <c r="O82" i="20"/>
  <c r="P139" i="20"/>
  <c r="P155" i="20"/>
  <c r="O155" i="20"/>
  <c r="O33" i="20"/>
  <c r="P33" i="20"/>
  <c r="O37" i="20"/>
  <c r="P37" i="20"/>
  <c r="P25" i="20"/>
  <c r="O25" i="20"/>
  <c r="P55" i="20"/>
  <c r="O126" i="20"/>
  <c r="P126" i="20"/>
  <c r="O136" i="20"/>
  <c r="P136" i="20"/>
  <c r="O149" i="20"/>
  <c r="P149" i="20"/>
  <c r="O173" i="20"/>
  <c r="P173" i="20"/>
  <c r="O335" i="20"/>
  <c r="P335" i="20"/>
  <c r="O21" i="20"/>
  <c r="P21" i="20"/>
  <c r="P115" i="20"/>
  <c r="O151" i="20"/>
  <c r="P151" i="20"/>
  <c r="O209" i="20"/>
  <c r="P209" i="20"/>
  <c r="O391" i="20"/>
  <c r="P391" i="20"/>
  <c r="P31" i="20"/>
  <c r="O66" i="20"/>
  <c r="P66" i="20"/>
  <c r="P70" i="20"/>
  <c r="O72" i="20"/>
  <c r="P72" i="20"/>
  <c r="P81" i="20"/>
  <c r="O81" i="20"/>
  <c r="O87" i="20"/>
  <c r="P87" i="20"/>
  <c r="O93" i="20"/>
  <c r="P93" i="20"/>
  <c r="O106" i="20"/>
  <c r="P106" i="20"/>
  <c r="O108" i="20"/>
  <c r="P108" i="20"/>
  <c r="O164" i="20"/>
  <c r="P164" i="20"/>
  <c r="O205" i="20"/>
  <c r="P205" i="20"/>
  <c r="O278" i="20"/>
  <c r="P278" i="20"/>
  <c r="O295" i="20"/>
  <c r="P295" i="20"/>
  <c r="O326" i="20"/>
  <c r="P326" i="20"/>
  <c r="O16" i="20"/>
  <c r="P16" i="20"/>
  <c r="O42" i="20"/>
  <c r="P42" i="20"/>
  <c r="P9" i="20"/>
  <c r="O9" i="20"/>
  <c r="O51" i="20"/>
  <c r="P51" i="20"/>
  <c r="O12" i="20"/>
  <c r="P12" i="20"/>
  <c r="O52" i="20"/>
  <c r="P52" i="20"/>
  <c r="O91" i="20"/>
  <c r="P91" i="20"/>
  <c r="O313" i="20"/>
  <c r="P313" i="20"/>
  <c r="P356" i="20"/>
  <c r="O362" i="20"/>
  <c r="P362" i="20"/>
  <c r="O30" i="20"/>
  <c r="P30" i="20"/>
  <c r="O272" i="20"/>
  <c r="P272" i="20"/>
  <c r="O316" i="20"/>
  <c r="P316" i="20"/>
  <c r="O24" i="20"/>
  <c r="P24" i="20"/>
  <c r="O96" i="20"/>
  <c r="P96" i="20"/>
  <c r="O121" i="20"/>
  <c r="P121" i="20"/>
  <c r="O193" i="20"/>
  <c r="P193" i="20"/>
  <c r="O223" i="20"/>
  <c r="P223" i="20"/>
  <c r="O298" i="20"/>
  <c r="P298" i="20"/>
  <c r="P7" i="20"/>
  <c r="O7" i="20"/>
  <c r="O57" i="20"/>
  <c r="P57" i="20"/>
  <c r="O63" i="20"/>
  <c r="P63" i="20"/>
  <c r="O123" i="20"/>
  <c r="P123" i="20"/>
  <c r="P191" i="20"/>
  <c r="O248" i="20"/>
  <c r="P248" i="20"/>
  <c r="P296" i="20"/>
  <c r="O296" i="20"/>
  <c r="O311" i="20"/>
  <c r="P311" i="20"/>
  <c r="O349" i="20"/>
  <c r="P349" i="20"/>
  <c r="P184" i="20"/>
  <c r="O244" i="20"/>
  <c r="P244" i="20"/>
  <c r="O284" i="20"/>
  <c r="P284" i="20"/>
  <c r="O347" i="20"/>
  <c r="P347" i="20"/>
  <c r="P117" i="20"/>
  <c r="O117" i="20"/>
  <c r="O142" i="20"/>
  <c r="P142" i="20"/>
  <c r="P179" i="20"/>
  <c r="O182" i="20"/>
  <c r="P182" i="20"/>
  <c r="P215" i="20"/>
  <c r="O218" i="20"/>
  <c r="P218" i="20"/>
  <c r="O226" i="20"/>
  <c r="P226" i="20"/>
  <c r="P250" i="20"/>
  <c r="O259" i="20"/>
  <c r="P259" i="20"/>
  <c r="O61" i="20"/>
  <c r="P61" i="20"/>
  <c r="O111" i="20"/>
  <c r="P111" i="20"/>
  <c r="O157" i="20"/>
  <c r="P157" i="20"/>
  <c r="O187" i="20"/>
  <c r="P187" i="20"/>
  <c r="O242" i="20"/>
  <c r="P242" i="20"/>
  <c r="O268" i="20"/>
  <c r="P268" i="20"/>
  <c r="P371" i="20"/>
  <c r="O371" i="20"/>
  <c r="O78" i="20"/>
  <c r="P78" i="20"/>
  <c r="O97" i="20"/>
  <c r="P97" i="20"/>
  <c r="P130" i="20"/>
  <c r="O132" i="20"/>
  <c r="P132" i="20"/>
  <c r="P170" i="20"/>
  <c r="O191" i="20"/>
  <c r="O280" i="20"/>
  <c r="P280" i="20"/>
  <c r="O337" i="20"/>
  <c r="P337" i="20"/>
  <c r="P380" i="20"/>
  <c r="O380" i="20"/>
  <c r="O388" i="20"/>
  <c r="P388" i="20"/>
  <c r="O76" i="20"/>
  <c r="P76" i="20"/>
  <c r="P19" i="20"/>
  <c r="O28" i="20"/>
  <c r="P28" i="20"/>
  <c r="P46" i="20"/>
  <c r="O46" i="20"/>
  <c r="O48" i="20"/>
  <c r="P48" i="20"/>
  <c r="O79" i="20"/>
  <c r="P79" i="20"/>
  <c r="P100" i="20"/>
  <c r="O102" i="20"/>
  <c r="P102" i="20"/>
  <c r="P141" i="20"/>
  <c r="O147" i="20"/>
  <c r="P147" i="20"/>
  <c r="O232" i="20"/>
  <c r="P232" i="20"/>
  <c r="O367" i="20"/>
  <c r="P367" i="20"/>
  <c r="O389" i="20"/>
  <c r="P389" i="20"/>
  <c r="O69" i="20"/>
  <c r="P69" i="20"/>
  <c r="O138" i="20"/>
  <c r="P138" i="20"/>
  <c r="O169" i="20"/>
  <c r="P169" i="20"/>
  <c r="O331" i="20"/>
  <c r="P331" i="20"/>
  <c r="O370" i="20"/>
  <c r="P370" i="20"/>
  <c r="O18" i="20"/>
  <c r="P18" i="20"/>
  <c r="O54" i="20"/>
  <c r="P54" i="20"/>
  <c r="P58" i="20"/>
  <c r="O99" i="20"/>
  <c r="P99" i="20"/>
  <c r="O127" i="20"/>
  <c r="P127" i="20"/>
  <c r="O129" i="20"/>
  <c r="P129" i="20"/>
  <c r="P200" i="20"/>
  <c r="O200" i="20"/>
  <c r="P206" i="20"/>
  <c r="P212" i="20"/>
  <c r="O212" i="20"/>
  <c r="O224" i="20"/>
  <c r="P224" i="20"/>
  <c r="P290" i="20"/>
  <c r="O308" i="20"/>
  <c r="P308" i="20"/>
  <c r="O319" i="20"/>
  <c r="P319" i="20"/>
  <c r="P329" i="20"/>
  <c r="O329" i="20"/>
  <c r="O355" i="20"/>
  <c r="P355" i="20"/>
  <c r="P392" i="20"/>
  <c r="O398" i="20"/>
  <c r="P398" i="20"/>
  <c r="O352" i="20"/>
  <c r="P352" i="20"/>
  <c r="P39" i="20"/>
  <c r="O39" i="20"/>
  <c r="O84" i="20"/>
  <c r="P84" i="20"/>
  <c r="O176" i="20"/>
  <c r="P176" i="20"/>
  <c r="P236" i="20"/>
  <c r="O236" i="20"/>
  <c r="O286" i="20"/>
  <c r="P286" i="20"/>
  <c r="O6" i="20"/>
  <c r="P6" i="20"/>
  <c r="O27" i="20"/>
  <c r="P27" i="20"/>
  <c r="O45" i="20"/>
  <c r="P45" i="20"/>
  <c r="O60" i="20"/>
  <c r="P60" i="20"/>
  <c r="P114" i="20"/>
  <c r="O114" i="20"/>
  <c r="P118" i="20"/>
  <c r="O214" i="20"/>
  <c r="P214" i="20"/>
  <c r="O317" i="20"/>
  <c r="P317" i="20"/>
  <c r="P383" i="20"/>
  <c r="O36" i="20"/>
  <c r="P36" i="20"/>
  <c r="O75" i="20"/>
  <c r="P75" i="20"/>
  <c r="O103" i="20"/>
  <c r="P103" i="20"/>
  <c r="O105" i="20"/>
  <c r="P105" i="20"/>
  <c r="O120" i="20"/>
  <c r="P120" i="20"/>
  <c r="O146" i="20"/>
  <c r="P146" i="20"/>
  <c r="O154" i="20"/>
  <c r="P154" i="20"/>
  <c r="O172" i="20"/>
  <c r="P172" i="20"/>
  <c r="O188" i="20"/>
  <c r="P188" i="20"/>
  <c r="O385" i="20"/>
  <c r="P385" i="20"/>
  <c r="O15" i="20"/>
  <c r="P15" i="20"/>
  <c r="O90" i="20"/>
  <c r="P90" i="20"/>
  <c r="P94" i="20"/>
  <c r="O135" i="20"/>
  <c r="P135" i="20"/>
  <c r="O160" i="20"/>
  <c r="P160" i="20"/>
  <c r="P196" i="20"/>
  <c r="P208" i="20"/>
  <c r="O227" i="20"/>
  <c r="P227" i="20"/>
  <c r="O241" i="20"/>
  <c r="P241" i="20"/>
  <c r="P263" i="20"/>
  <c r="O265" i="20"/>
  <c r="P265" i="20"/>
  <c r="O334" i="20"/>
  <c r="P334" i="20"/>
  <c r="O353" i="20"/>
  <c r="P353" i="20"/>
  <c r="O373" i="20"/>
  <c r="P373" i="20"/>
  <c r="P394" i="20"/>
  <c r="P254" i="20"/>
  <c r="O260" i="20"/>
  <c r="P260" i="20"/>
  <c r="O277" i="20"/>
  <c r="P277" i="20"/>
  <c r="O344" i="20"/>
  <c r="P344" i="20"/>
  <c r="P365" i="20"/>
  <c r="O148" i="20"/>
  <c r="P148" i="20"/>
  <c r="P400" i="20"/>
  <c r="O400" i="20"/>
  <c r="O397" i="20"/>
  <c r="P397" i="20"/>
  <c r="O155" i="19"/>
  <c r="P155" i="19"/>
  <c r="O113" i="19"/>
  <c r="P113" i="19"/>
  <c r="O11" i="19"/>
  <c r="P11" i="19"/>
  <c r="O31" i="19"/>
  <c r="P31" i="19"/>
  <c r="O111" i="19"/>
  <c r="P111" i="19"/>
  <c r="O373" i="19"/>
  <c r="P373" i="19"/>
  <c r="O217" i="19"/>
  <c r="P217" i="19"/>
  <c r="O293" i="19"/>
  <c r="P293" i="19"/>
  <c r="O44" i="19"/>
  <c r="P44" i="19"/>
  <c r="P121" i="19"/>
  <c r="P313" i="19"/>
  <c r="O313" i="19"/>
  <c r="O151" i="19"/>
  <c r="P151" i="19"/>
  <c r="O165" i="19"/>
  <c r="P165" i="19"/>
  <c r="O388" i="19"/>
  <c r="P388" i="19"/>
  <c r="O105" i="19"/>
  <c r="P105" i="19"/>
  <c r="P311" i="19"/>
  <c r="O311" i="19"/>
  <c r="O383" i="19"/>
  <c r="P383" i="19"/>
  <c r="O76" i="19"/>
  <c r="P76" i="19"/>
  <c r="O176" i="19"/>
  <c r="P176" i="19"/>
  <c r="O140" i="19"/>
  <c r="P140" i="19"/>
  <c r="O190" i="19"/>
  <c r="P190" i="19"/>
  <c r="P194" i="19"/>
  <c r="O194" i="19"/>
  <c r="P235" i="19"/>
  <c r="O235" i="19"/>
  <c r="P277" i="19"/>
  <c r="O277" i="19"/>
  <c r="O364" i="19"/>
  <c r="P364" i="19"/>
  <c r="P91" i="19"/>
  <c r="O209" i="19"/>
  <c r="P209" i="19"/>
  <c r="O211" i="19"/>
  <c r="P211" i="19"/>
  <c r="O307" i="19"/>
  <c r="P307" i="19"/>
  <c r="O334" i="19"/>
  <c r="P334" i="19"/>
  <c r="O362" i="19"/>
  <c r="P362" i="19"/>
  <c r="O36" i="19"/>
  <c r="P36" i="19"/>
  <c r="O52" i="19"/>
  <c r="P52" i="19"/>
  <c r="O71" i="19"/>
  <c r="P71" i="19"/>
  <c r="O93" i="19"/>
  <c r="P93" i="19"/>
  <c r="O205" i="19"/>
  <c r="P205" i="19"/>
  <c r="O254" i="19"/>
  <c r="P254" i="19"/>
  <c r="O289" i="19"/>
  <c r="P289" i="19"/>
  <c r="P163" i="19"/>
  <c r="O386" i="19"/>
  <c r="P386" i="19"/>
  <c r="P18" i="19"/>
  <c r="O18" i="19"/>
  <c r="O34" i="19"/>
  <c r="P34" i="19"/>
  <c r="P59" i="19"/>
  <c r="O61" i="19"/>
  <c r="P61" i="19"/>
  <c r="P63" i="19"/>
  <c r="O73" i="19"/>
  <c r="P73" i="19"/>
  <c r="O83" i="19"/>
  <c r="P83" i="19"/>
  <c r="O121" i="19"/>
  <c r="O132" i="19"/>
  <c r="P132" i="19"/>
  <c r="O163" i="19"/>
  <c r="O187" i="19"/>
  <c r="P187" i="19"/>
  <c r="O268" i="19"/>
  <c r="P268" i="19"/>
  <c r="O287" i="19"/>
  <c r="P287" i="19"/>
  <c r="O332" i="19"/>
  <c r="P332" i="19"/>
  <c r="O353" i="19"/>
  <c r="P353" i="19"/>
  <c r="P6" i="19"/>
  <c r="O16" i="19"/>
  <c r="P16" i="19"/>
  <c r="O26" i="19"/>
  <c r="P26" i="19"/>
  <c r="P28" i="19"/>
  <c r="P40" i="19"/>
  <c r="P47" i="19"/>
  <c r="O91" i="19"/>
  <c r="P101" i="19"/>
  <c r="P108" i="19"/>
  <c r="O130" i="19"/>
  <c r="P130" i="19"/>
  <c r="O145" i="19"/>
  <c r="P145" i="19"/>
  <c r="O226" i="19"/>
  <c r="P226" i="19"/>
  <c r="P266" i="19"/>
  <c r="O266" i="19"/>
  <c r="P325" i="19"/>
  <c r="O325" i="19"/>
  <c r="P379" i="19"/>
  <c r="O379" i="19"/>
  <c r="O8" i="19"/>
  <c r="P8" i="19"/>
  <c r="O57" i="19"/>
  <c r="P57" i="19"/>
  <c r="O79" i="19"/>
  <c r="P79" i="19"/>
  <c r="O110" i="19"/>
  <c r="P110" i="19"/>
  <c r="O154" i="19"/>
  <c r="P154" i="19"/>
  <c r="O160" i="19"/>
  <c r="P160" i="19"/>
  <c r="O185" i="19"/>
  <c r="P185" i="19"/>
  <c r="O230" i="19"/>
  <c r="P230" i="19"/>
  <c r="O281" i="19"/>
  <c r="P281" i="19"/>
  <c r="P283" i="19"/>
  <c r="O283" i="19"/>
  <c r="P377" i="19"/>
  <c r="O377" i="19"/>
  <c r="O32" i="19"/>
  <c r="P32" i="19"/>
  <c r="O49" i="19"/>
  <c r="P49" i="19"/>
  <c r="O59" i="19"/>
  <c r="O171" i="19"/>
  <c r="P171" i="19"/>
  <c r="O224" i="19"/>
  <c r="P224" i="19"/>
  <c r="O323" i="19"/>
  <c r="P323" i="19"/>
  <c r="O340" i="19"/>
  <c r="P340" i="19"/>
  <c r="O13" i="19"/>
  <c r="P13" i="19"/>
  <c r="P123" i="19"/>
  <c r="P233" i="19"/>
  <c r="O14" i="19"/>
  <c r="P14" i="19"/>
  <c r="O24" i="19"/>
  <c r="P24" i="19"/>
  <c r="P41" i="19"/>
  <c r="O86" i="19"/>
  <c r="P86" i="19"/>
  <c r="P96" i="19"/>
  <c r="O135" i="19"/>
  <c r="P135" i="19"/>
  <c r="O137" i="19"/>
  <c r="P137" i="19"/>
  <c r="O206" i="19"/>
  <c r="P206" i="19"/>
  <c r="O319" i="19"/>
  <c r="P319" i="19"/>
  <c r="O395" i="19"/>
  <c r="P395" i="19"/>
  <c r="O397" i="19"/>
  <c r="P397" i="19"/>
  <c r="O6" i="19"/>
  <c r="O47" i="19"/>
  <c r="O66" i="19"/>
  <c r="P66" i="19"/>
  <c r="O68" i="19"/>
  <c r="P68" i="19"/>
  <c r="O88" i="19"/>
  <c r="P88" i="19"/>
  <c r="O98" i="19"/>
  <c r="P98" i="19"/>
  <c r="O100" i="19"/>
  <c r="P100" i="19"/>
  <c r="O108" i="19"/>
  <c r="P118" i="19"/>
  <c r="O118" i="19"/>
  <c r="O120" i="19"/>
  <c r="P120" i="19"/>
  <c r="O338" i="19"/>
  <c r="P338" i="19"/>
  <c r="O54" i="19"/>
  <c r="P54" i="19"/>
  <c r="P21" i="19"/>
  <c r="O21" i="19"/>
  <c r="P29" i="19"/>
  <c r="O29" i="19"/>
  <c r="O39" i="19"/>
  <c r="P39" i="19"/>
  <c r="O167" i="19"/>
  <c r="P167" i="19"/>
  <c r="O180" i="19"/>
  <c r="P180" i="19"/>
  <c r="O182" i="19"/>
  <c r="P182" i="19"/>
  <c r="O202" i="19"/>
  <c r="P202" i="19"/>
  <c r="O244" i="19"/>
  <c r="P244" i="19"/>
  <c r="O295" i="19"/>
  <c r="P295" i="19"/>
  <c r="P46" i="19"/>
  <c r="P166" i="19"/>
  <c r="O337" i="19"/>
  <c r="P337" i="19"/>
  <c r="O358" i="19"/>
  <c r="P358" i="19"/>
  <c r="P20" i="19"/>
  <c r="P175" i="19"/>
  <c r="O193" i="19"/>
  <c r="P193" i="19"/>
  <c r="O197" i="19"/>
  <c r="P197" i="19"/>
  <c r="O253" i="19"/>
  <c r="P253" i="19"/>
  <c r="O304" i="19"/>
  <c r="P304" i="19"/>
  <c r="O322" i="19"/>
  <c r="P322" i="19"/>
  <c r="O352" i="19"/>
  <c r="P352" i="19"/>
  <c r="O328" i="19"/>
  <c r="P328" i="19"/>
  <c r="O341" i="19"/>
  <c r="P341" i="19"/>
  <c r="P347" i="19"/>
  <c r="O349" i="19"/>
  <c r="P349" i="19"/>
  <c r="P371" i="19"/>
  <c r="O371" i="19"/>
  <c r="P115" i="19"/>
  <c r="O115" i="19"/>
  <c r="O221" i="19"/>
  <c r="P221" i="19"/>
  <c r="O326" i="19"/>
  <c r="P326" i="19"/>
  <c r="O343" i="19"/>
  <c r="P343" i="19"/>
  <c r="O382" i="19"/>
  <c r="P382" i="19"/>
  <c r="O391" i="19"/>
  <c r="P391" i="19"/>
  <c r="O238" i="19"/>
  <c r="P238" i="19"/>
  <c r="O51" i="19"/>
  <c r="P51" i="19"/>
  <c r="P60" i="19"/>
  <c r="O95" i="19"/>
  <c r="P95" i="19"/>
  <c r="O104" i="19"/>
  <c r="P104" i="19"/>
  <c r="O127" i="19"/>
  <c r="P127" i="19"/>
  <c r="O129" i="19"/>
  <c r="P129" i="19"/>
  <c r="O150" i="19"/>
  <c r="P150" i="19"/>
  <c r="O159" i="19"/>
  <c r="P159" i="19"/>
  <c r="O199" i="19"/>
  <c r="P199" i="19"/>
  <c r="O265" i="19"/>
  <c r="P265" i="19"/>
  <c r="P269" i="19"/>
  <c r="O278" i="19"/>
  <c r="P278" i="19"/>
  <c r="O280" i="19"/>
  <c r="P280" i="19"/>
  <c r="O292" i="19"/>
  <c r="P292" i="19"/>
  <c r="O335" i="19"/>
  <c r="P335" i="19"/>
  <c r="O350" i="19"/>
  <c r="P350" i="19"/>
  <c r="O367" i="19"/>
  <c r="P367" i="19"/>
  <c r="O380" i="19"/>
  <c r="P380" i="19"/>
  <c r="O10" i="19"/>
  <c r="P10" i="19"/>
  <c r="P17" i="19"/>
  <c r="O23" i="19"/>
  <c r="P23" i="19"/>
  <c r="O28" i="19"/>
  <c r="P35" i="19"/>
  <c r="O41" i="19"/>
  <c r="O43" i="19"/>
  <c r="P43" i="19"/>
  <c r="O46" i="19"/>
  <c r="O58" i="19"/>
  <c r="P58" i="19"/>
  <c r="O63" i="19"/>
  <c r="O107" i="19"/>
  <c r="P107" i="19"/>
  <c r="O122" i="19"/>
  <c r="P122" i="19"/>
  <c r="O134" i="19"/>
  <c r="P134" i="19"/>
  <c r="O146" i="19"/>
  <c r="P146" i="19"/>
  <c r="O148" i="19"/>
  <c r="P148" i="19"/>
  <c r="P168" i="19"/>
  <c r="O173" i="19"/>
  <c r="P173" i="19"/>
  <c r="P179" i="19"/>
  <c r="O247" i="19"/>
  <c r="P247" i="19"/>
  <c r="O263" i="19"/>
  <c r="P263" i="19"/>
  <c r="O296" i="19"/>
  <c r="P296" i="19"/>
  <c r="P329" i="19"/>
  <c r="P82" i="19"/>
  <c r="P90" i="19"/>
  <c r="P112" i="19"/>
  <c r="O166" i="19"/>
  <c r="O170" i="19"/>
  <c r="P170" i="19"/>
  <c r="P212" i="19"/>
  <c r="O229" i="19"/>
  <c r="P229" i="19"/>
  <c r="O259" i="19"/>
  <c r="P259" i="19"/>
  <c r="P274" i="19"/>
  <c r="O274" i="19"/>
  <c r="O142" i="19"/>
  <c r="P142" i="19"/>
  <c r="P157" i="19"/>
  <c r="P162" i="19"/>
  <c r="O184" i="19"/>
  <c r="P184" i="19"/>
  <c r="O214" i="19"/>
  <c r="P214" i="19"/>
  <c r="O223" i="19"/>
  <c r="P223" i="19"/>
  <c r="O248" i="19"/>
  <c r="P248" i="19"/>
  <c r="O250" i="19"/>
  <c r="P250" i="19"/>
  <c r="O298" i="19"/>
  <c r="P298" i="19"/>
  <c r="O308" i="19"/>
  <c r="P308" i="19"/>
  <c r="O310" i="19"/>
  <c r="P310" i="19"/>
  <c r="O398" i="19"/>
  <c r="P398" i="19"/>
  <c r="P169" i="19"/>
  <c r="P181" i="19"/>
  <c r="O242" i="19"/>
  <c r="P242" i="19"/>
  <c r="O262" i="19"/>
  <c r="P262" i="19"/>
  <c r="O302" i="19"/>
  <c r="P302" i="19"/>
  <c r="O392" i="19"/>
  <c r="P392" i="19"/>
  <c r="O394" i="19"/>
  <c r="P394" i="19"/>
  <c r="P178" i="19"/>
  <c r="P241" i="19"/>
  <c r="O241" i="19"/>
  <c r="P256" i="19"/>
  <c r="O256" i="19"/>
  <c r="P314" i="19"/>
  <c r="O314" i="19"/>
  <c r="P355" i="19"/>
  <c r="O355" i="19"/>
  <c r="O370" i="19"/>
  <c r="P370" i="19"/>
  <c r="O385" i="19"/>
  <c r="P385" i="19"/>
  <c r="P400" i="19"/>
  <c r="O400" i="19"/>
  <c r="P271" i="19"/>
  <c r="O271" i="19"/>
  <c r="P286" i="19"/>
  <c r="O286" i="19"/>
  <c r="O301" i="19"/>
  <c r="P301" i="19"/>
  <c r="O316" i="19"/>
  <c r="P316" i="19"/>
  <c r="O374" i="19"/>
  <c r="P374" i="19"/>
  <c r="P172" i="19"/>
  <c r="O196" i="19"/>
  <c r="P196" i="19"/>
  <c r="O208" i="19"/>
  <c r="P208" i="19"/>
  <c r="O220" i="19"/>
  <c r="P220" i="19"/>
  <c r="O232" i="19"/>
  <c r="P232" i="19"/>
  <c r="O290" i="19"/>
  <c r="P290" i="19"/>
  <c r="O331" i="19"/>
  <c r="P331" i="19"/>
  <c r="O346" i="19"/>
  <c r="P346" i="19"/>
  <c r="O361" i="19"/>
  <c r="P361" i="19"/>
  <c r="O376" i="19"/>
  <c r="P376" i="19"/>
  <c r="P65" i="16"/>
  <c r="P147" i="16"/>
  <c r="O147" i="16"/>
  <c r="O352" i="16"/>
  <c r="P352" i="16"/>
  <c r="O38" i="16"/>
  <c r="P38" i="16"/>
  <c r="O149" i="16"/>
  <c r="P149" i="16"/>
  <c r="O325" i="16"/>
  <c r="P325" i="16"/>
  <c r="P49" i="16"/>
  <c r="O49" i="16"/>
  <c r="O8" i="16"/>
  <c r="P8" i="16"/>
  <c r="O80" i="16"/>
  <c r="P80" i="16"/>
  <c r="O116" i="16"/>
  <c r="P116" i="16"/>
  <c r="O205" i="16"/>
  <c r="P205" i="16"/>
  <c r="O29" i="16"/>
  <c r="P29" i="16"/>
  <c r="P88" i="16"/>
  <c r="O88" i="16"/>
  <c r="P92" i="16"/>
  <c r="O106" i="16"/>
  <c r="P106" i="16"/>
  <c r="P110" i="16"/>
  <c r="O126" i="16"/>
  <c r="P126" i="16"/>
  <c r="O158" i="16"/>
  <c r="P158" i="16"/>
  <c r="P176" i="16"/>
  <c r="O257" i="16"/>
  <c r="P257" i="16"/>
  <c r="O370" i="16"/>
  <c r="P370" i="16"/>
  <c r="O14" i="16"/>
  <c r="P14" i="16"/>
  <c r="O59" i="16"/>
  <c r="P59" i="16"/>
  <c r="O142" i="16"/>
  <c r="P142" i="16"/>
  <c r="O319" i="16"/>
  <c r="P319" i="16"/>
  <c r="P16" i="16"/>
  <c r="P35" i="16"/>
  <c r="O35" i="16"/>
  <c r="P46" i="16"/>
  <c r="O46" i="16"/>
  <c r="O144" i="16"/>
  <c r="P144" i="16"/>
  <c r="O154" i="16"/>
  <c r="P154" i="16"/>
  <c r="O191" i="16"/>
  <c r="P191" i="16"/>
  <c r="O226" i="16"/>
  <c r="P226" i="16"/>
  <c r="O290" i="16"/>
  <c r="P290" i="16"/>
  <c r="O347" i="16"/>
  <c r="P347" i="16"/>
  <c r="O20" i="16"/>
  <c r="P20" i="16"/>
  <c r="O67" i="16"/>
  <c r="P67" i="16"/>
  <c r="P69" i="16"/>
  <c r="O69" i="16"/>
  <c r="P146" i="16"/>
  <c r="O242" i="16"/>
  <c r="P242" i="16"/>
  <c r="O250" i="16"/>
  <c r="P250" i="16"/>
  <c r="O311" i="16"/>
  <c r="P311" i="16"/>
  <c r="O395" i="16"/>
  <c r="P395" i="16"/>
  <c r="O17" i="16"/>
  <c r="P17" i="16"/>
  <c r="P34" i="16"/>
  <c r="P299" i="16"/>
  <c r="O299" i="16"/>
  <c r="O304" i="16"/>
  <c r="P304" i="16"/>
  <c r="O23" i="16"/>
  <c r="P23" i="16"/>
  <c r="O51" i="16"/>
  <c r="P51" i="16"/>
  <c r="O72" i="16"/>
  <c r="P72" i="16"/>
  <c r="P44" i="16"/>
  <c r="P57" i="16"/>
  <c r="O98" i="16"/>
  <c r="P98" i="16"/>
  <c r="O134" i="16"/>
  <c r="P134" i="16"/>
  <c r="O271" i="16"/>
  <c r="P271" i="16"/>
  <c r="P82" i="16"/>
  <c r="O82" i="16"/>
  <c r="P90" i="16"/>
  <c r="O90" i="16"/>
  <c r="P108" i="16"/>
  <c r="O108" i="16"/>
  <c r="O124" i="16"/>
  <c r="P124" i="16"/>
  <c r="P128" i="16"/>
  <c r="O70" i="16"/>
  <c r="P70" i="16"/>
  <c r="O286" i="16"/>
  <c r="P286" i="16"/>
  <c r="O317" i="16"/>
  <c r="P317" i="16"/>
  <c r="O343" i="16"/>
  <c r="P343" i="16"/>
  <c r="O41" i="16"/>
  <c r="P41" i="16"/>
  <c r="P52" i="16"/>
  <c r="O65" i="16"/>
  <c r="P75" i="16"/>
  <c r="O244" i="16"/>
  <c r="P244" i="16"/>
  <c r="O278" i="16"/>
  <c r="P278" i="16"/>
  <c r="O362" i="16"/>
  <c r="P362" i="16"/>
  <c r="O26" i="16"/>
  <c r="P26" i="16"/>
  <c r="O54" i="16"/>
  <c r="P54" i="16"/>
  <c r="P83" i="16"/>
  <c r="O93" i="16"/>
  <c r="P93" i="16"/>
  <c r="P101" i="16"/>
  <c r="P111" i="16"/>
  <c r="O111" i="16"/>
  <c r="P119" i="16"/>
  <c r="O129" i="16"/>
  <c r="P129" i="16"/>
  <c r="P137" i="16"/>
  <c r="O217" i="16"/>
  <c r="P217" i="16"/>
  <c r="O280" i="16"/>
  <c r="P280" i="16"/>
  <c r="O335" i="16"/>
  <c r="P335" i="16"/>
  <c r="O337" i="16"/>
  <c r="P337" i="16"/>
  <c r="O341" i="16"/>
  <c r="P341" i="16"/>
  <c r="O11" i="16"/>
  <c r="P11" i="16"/>
  <c r="O62" i="16"/>
  <c r="P62" i="16"/>
  <c r="O77" i="16"/>
  <c r="P77" i="16"/>
  <c r="P87" i="16"/>
  <c r="O95" i="16"/>
  <c r="P95" i="16"/>
  <c r="O113" i="16"/>
  <c r="P113" i="16"/>
  <c r="O131" i="16"/>
  <c r="P131" i="16"/>
  <c r="O185" i="16"/>
  <c r="P185" i="16"/>
  <c r="O196" i="16"/>
  <c r="P196" i="16"/>
  <c r="P215" i="16"/>
  <c r="O215" i="16"/>
  <c r="O236" i="16"/>
  <c r="P236" i="16"/>
  <c r="O265" i="16"/>
  <c r="P265" i="16"/>
  <c r="O32" i="16"/>
  <c r="P32" i="16"/>
  <c r="P64" i="16"/>
  <c r="O64" i="16"/>
  <c r="P85" i="16"/>
  <c r="O85" i="16"/>
  <c r="P103" i="16"/>
  <c r="O103" i="16"/>
  <c r="O121" i="16"/>
  <c r="P121" i="16"/>
  <c r="O139" i="16"/>
  <c r="P139" i="16"/>
  <c r="P141" i="16"/>
  <c r="O389" i="16"/>
  <c r="P389" i="16"/>
  <c r="P100" i="16"/>
  <c r="P118" i="16"/>
  <c r="O377" i="16"/>
  <c r="P377" i="16"/>
  <c r="O391" i="16"/>
  <c r="P391" i="16"/>
  <c r="O202" i="16"/>
  <c r="P202" i="16"/>
  <c r="P233" i="16"/>
  <c r="P61" i="16"/>
  <c r="P79" i="16"/>
  <c r="P97" i="16"/>
  <c r="P115" i="16"/>
  <c r="P133" i="16"/>
  <c r="O151" i="16"/>
  <c r="P151" i="16"/>
  <c r="O173" i="16"/>
  <c r="P173" i="16"/>
  <c r="P239" i="16"/>
  <c r="O298" i="16"/>
  <c r="P298" i="16"/>
  <c r="P275" i="16"/>
  <c r="O308" i="16"/>
  <c r="P308" i="16"/>
  <c r="P188" i="16"/>
  <c r="O229" i="16"/>
  <c r="P229" i="16"/>
  <c r="O262" i="16"/>
  <c r="P262" i="16"/>
  <c r="P314" i="16"/>
  <c r="O332" i="16"/>
  <c r="P332" i="16"/>
  <c r="O334" i="16"/>
  <c r="P334" i="16"/>
  <c r="P365" i="16"/>
  <c r="P371" i="16"/>
  <c r="O371" i="16"/>
  <c r="P58" i="16"/>
  <c r="P76" i="16"/>
  <c r="O87" i="16"/>
  <c r="P94" i="16"/>
  <c r="O100" i="16"/>
  <c r="O105" i="16"/>
  <c r="P105" i="16"/>
  <c r="P112" i="16"/>
  <c r="O118" i="16"/>
  <c r="O123" i="16"/>
  <c r="P123" i="16"/>
  <c r="P130" i="16"/>
  <c r="O136" i="16"/>
  <c r="P136" i="16"/>
  <c r="O141" i="16"/>
  <c r="P169" i="16"/>
  <c r="P179" i="16"/>
  <c r="P182" i="16"/>
  <c r="O197" i="16"/>
  <c r="P197" i="16"/>
  <c r="O212" i="16"/>
  <c r="P212" i="16"/>
  <c r="O275" i="16"/>
  <c r="O7" i="16"/>
  <c r="P7" i="16"/>
  <c r="O10" i="16"/>
  <c r="P10" i="16"/>
  <c r="O13" i="16"/>
  <c r="P13" i="16"/>
  <c r="O16" i="16"/>
  <c r="O19" i="16"/>
  <c r="P19" i="16"/>
  <c r="O22" i="16"/>
  <c r="P22" i="16"/>
  <c r="O25" i="16"/>
  <c r="P25" i="16"/>
  <c r="O28" i="16"/>
  <c r="P28" i="16"/>
  <c r="O31" i="16"/>
  <c r="P31" i="16"/>
  <c r="O34" i="16"/>
  <c r="O37" i="16"/>
  <c r="P37" i="16"/>
  <c r="O40" i="16"/>
  <c r="P40" i="16"/>
  <c r="O43" i="16"/>
  <c r="P43" i="16"/>
  <c r="O56" i="16"/>
  <c r="P56" i="16"/>
  <c r="O74" i="16"/>
  <c r="P74" i="16"/>
  <c r="O92" i="16"/>
  <c r="O110" i="16"/>
  <c r="O128" i="16"/>
  <c r="O146" i="16"/>
  <c r="P208" i="16"/>
  <c r="O227" i="16"/>
  <c r="P227" i="16"/>
  <c r="O233" i="16"/>
  <c r="O247" i="16"/>
  <c r="P247" i="16"/>
  <c r="O260" i="16"/>
  <c r="P260" i="16"/>
  <c r="P326" i="16"/>
  <c r="P350" i="16"/>
  <c r="O380" i="16"/>
  <c r="P380" i="16"/>
  <c r="O386" i="16"/>
  <c r="P386" i="16"/>
  <c r="O398" i="16"/>
  <c r="P398" i="16"/>
  <c r="P55" i="16"/>
  <c r="P73" i="16"/>
  <c r="P91" i="16"/>
  <c r="P109" i="16"/>
  <c r="P127" i="16"/>
  <c r="P145" i="16"/>
  <c r="O161" i="16"/>
  <c r="P161" i="16"/>
  <c r="O181" i="16"/>
  <c r="P181" i="16"/>
  <c r="O190" i="16"/>
  <c r="P190" i="16"/>
  <c r="P224" i="16"/>
  <c r="P293" i="16"/>
  <c r="P323" i="16"/>
  <c r="O163" i="16"/>
  <c r="P163" i="16"/>
  <c r="O175" i="16"/>
  <c r="P175" i="16"/>
  <c r="P221" i="16"/>
  <c r="O301" i="16"/>
  <c r="P301" i="16"/>
  <c r="O373" i="16"/>
  <c r="P373" i="16"/>
  <c r="O388" i="16"/>
  <c r="P388" i="16"/>
  <c r="O160" i="16"/>
  <c r="P160" i="16"/>
  <c r="O199" i="16"/>
  <c r="P199" i="16"/>
  <c r="O211" i="16"/>
  <c r="P211" i="16"/>
  <c r="O283" i="16"/>
  <c r="P283" i="16"/>
  <c r="P383" i="16"/>
  <c r="O172" i="16"/>
  <c r="P172" i="16"/>
  <c r="O218" i="16"/>
  <c r="P218" i="16"/>
  <c r="P296" i="16"/>
  <c r="O316" i="16"/>
  <c r="P316" i="16"/>
  <c r="P329" i="16"/>
  <c r="P368" i="16"/>
  <c r="O355" i="16"/>
  <c r="P355" i="16"/>
  <c r="O148" i="16"/>
  <c r="P148" i="16"/>
  <c r="O184" i="16"/>
  <c r="P184" i="16"/>
  <c r="O220" i="16"/>
  <c r="P220" i="16"/>
  <c r="O178" i="16"/>
  <c r="P178" i="16"/>
  <c r="O214" i="16"/>
  <c r="P214" i="16"/>
  <c r="P400" i="16"/>
  <c r="O400" i="16"/>
  <c r="P26" i="17"/>
  <c r="P17" i="17"/>
  <c r="P62" i="17"/>
  <c r="O37" i="17"/>
  <c r="P37" i="17"/>
  <c r="O73" i="17"/>
  <c r="P73" i="17"/>
  <c r="P106" i="17"/>
  <c r="O106" i="17"/>
  <c r="O155" i="17"/>
  <c r="P155" i="17"/>
  <c r="O171" i="17"/>
  <c r="P171" i="17"/>
  <c r="O224" i="17"/>
  <c r="P224" i="17"/>
  <c r="P263" i="17"/>
  <c r="O286" i="17"/>
  <c r="P286" i="17"/>
  <c r="P22" i="17"/>
  <c r="O22" i="17"/>
  <c r="O58" i="17"/>
  <c r="P58" i="17"/>
  <c r="P93" i="17"/>
  <c r="O157" i="17"/>
  <c r="P157" i="17"/>
  <c r="O159" i="17"/>
  <c r="P159" i="17"/>
  <c r="O169" i="17"/>
  <c r="P169" i="17"/>
  <c r="P203" i="17"/>
  <c r="O203" i="17"/>
  <c r="O305" i="17"/>
  <c r="P305" i="17"/>
  <c r="O335" i="17"/>
  <c r="P335" i="17"/>
  <c r="O43" i="17"/>
  <c r="P43" i="17"/>
  <c r="O81" i="17"/>
  <c r="P81" i="17"/>
  <c r="O87" i="17"/>
  <c r="P87" i="17"/>
  <c r="O95" i="17"/>
  <c r="P95" i="17"/>
  <c r="O101" i="17"/>
  <c r="P101" i="17"/>
  <c r="O28" i="17"/>
  <c r="P28" i="17"/>
  <c r="O64" i="17"/>
  <c r="P64" i="17"/>
  <c r="P112" i="17"/>
  <c r="O112" i="17"/>
  <c r="P126" i="17"/>
  <c r="O126" i="17"/>
  <c r="O199" i="17"/>
  <c r="P199" i="17"/>
  <c r="O245" i="17"/>
  <c r="P245" i="17"/>
  <c r="O263" i="17"/>
  <c r="O41" i="17"/>
  <c r="P41" i="17"/>
  <c r="O49" i="17"/>
  <c r="P49" i="17"/>
  <c r="O79" i="17"/>
  <c r="P79" i="17"/>
  <c r="P103" i="17"/>
  <c r="P114" i="17"/>
  <c r="P120" i="17"/>
  <c r="O120" i="17"/>
  <c r="O128" i="17"/>
  <c r="P128" i="17"/>
  <c r="O134" i="17"/>
  <c r="P134" i="17"/>
  <c r="P353" i="17"/>
  <c r="O353" i="17"/>
  <c r="O26" i="17"/>
  <c r="P34" i="17"/>
  <c r="O34" i="17"/>
  <c r="O62" i="17"/>
  <c r="O70" i="17"/>
  <c r="P70" i="17"/>
  <c r="P85" i="17"/>
  <c r="O93" i="17"/>
  <c r="P136" i="17"/>
  <c r="P150" i="17"/>
  <c r="P197" i="17"/>
  <c r="O197" i="17"/>
  <c r="O217" i="17"/>
  <c r="P217" i="17"/>
  <c r="O235" i="17"/>
  <c r="P235" i="17"/>
  <c r="P293" i="17"/>
  <c r="O293" i="17"/>
  <c r="O299" i="17"/>
  <c r="P299" i="17"/>
  <c r="O364" i="17"/>
  <c r="P364" i="17"/>
  <c r="O55" i="17"/>
  <c r="P55" i="17"/>
  <c r="O211" i="17"/>
  <c r="P211" i="17"/>
  <c r="P11" i="17"/>
  <c r="P162" i="17"/>
  <c r="P319" i="17"/>
  <c r="O319" i="17"/>
  <c r="O17" i="17"/>
  <c r="O25" i="17"/>
  <c r="P25" i="17"/>
  <c r="P32" i="17"/>
  <c r="O53" i="17"/>
  <c r="P53" i="17"/>
  <c r="O61" i="17"/>
  <c r="P61" i="17"/>
  <c r="P68" i="17"/>
  <c r="P84" i="17"/>
  <c r="O84" i="17"/>
  <c r="O92" i="17"/>
  <c r="P92" i="17"/>
  <c r="O98" i="17"/>
  <c r="P98" i="17"/>
  <c r="O109" i="17"/>
  <c r="P109" i="17"/>
  <c r="P132" i="17"/>
  <c r="O164" i="17"/>
  <c r="P164" i="17"/>
  <c r="P193" i="17"/>
  <c r="P206" i="17"/>
  <c r="O317" i="17"/>
  <c r="P317" i="17"/>
  <c r="O347" i="17"/>
  <c r="P347" i="17"/>
  <c r="O118" i="17"/>
  <c r="P118" i="17"/>
  <c r="P152" i="17"/>
  <c r="O152" i="17"/>
  <c r="O10" i="17"/>
  <c r="P10" i="17"/>
  <c r="O38" i="17"/>
  <c r="P38" i="17"/>
  <c r="O46" i="17"/>
  <c r="P46" i="17"/>
  <c r="P104" i="17"/>
  <c r="O107" i="17"/>
  <c r="P107" i="17"/>
  <c r="P115" i="17"/>
  <c r="P129" i="17"/>
  <c r="P140" i="17"/>
  <c r="O150" i="17"/>
  <c r="P275" i="17"/>
  <c r="O275" i="17"/>
  <c r="O13" i="17"/>
  <c r="P13" i="17"/>
  <c r="O19" i="17"/>
  <c r="P19" i="17"/>
  <c r="O23" i="17"/>
  <c r="P23" i="17"/>
  <c r="O31" i="17"/>
  <c r="P31" i="17"/>
  <c r="O59" i="17"/>
  <c r="P59" i="17"/>
  <c r="O67" i="17"/>
  <c r="P67" i="17"/>
  <c r="O82" i="17"/>
  <c r="P82" i="17"/>
  <c r="O117" i="17"/>
  <c r="P117" i="17"/>
  <c r="P123" i="17"/>
  <c r="O123" i="17"/>
  <c r="O131" i="17"/>
  <c r="P131" i="17"/>
  <c r="O137" i="17"/>
  <c r="P137" i="17"/>
  <c r="O162" i="17"/>
  <c r="O178" i="17"/>
  <c r="P178" i="17"/>
  <c r="O238" i="17"/>
  <c r="P238" i="17"/>
  <c r="P242" i="17"/>
  <c r="O242" i="17"/>
  <c r="O254" i="17"/>
  <c r="P254" i="17"/>
  <c r="O7" i="17"/>
  <c r="P7" i="17"/>
  <c r="P295" i="17"/>
  <c r="O295" i="17"/>
  <c r="O40" i="17"/>
  <c r="P40" i="17"/>
  <c r="O76" i="17"/>
  <c r="P76" i="17"/>
  <c r="P90" i="17"/>
  <c r="O90" i="17"/>
  <c r="O323" i="17"/>
  <c r="P323" i="17"/>
  <c r="O16" i="17"/>
  <c r="P16" i="17"/>
  <c r="O52" i="17"/>
  <c r="P52" i="17"/>
  <c r="O147" i="17"/>
  <c r="P147" i="17"/>
  <c r="O176" i="17"/>
  <c r="P176" i="17"/>
  <c r="O208" i="17"/>
  <c r="P208" i="17"/>
  <c r="O220" i="17"/>
  <c r="P220" i="17"/>
  <c r="O250" i="17"/>
  <c r="P250" i="17"/>
  <c r="O265" i="17"/>
  <c r="P265" i="17"/>
  <c r="P269" i="17"/>
  <c r="O269" i="17"/>
  <c r="O307" i="17"/>
  <c r="P307" i="17"/>
  <c r="O311" i="17"/>
  <c r="P311" i="17"/>
  <c r="P341" i="17"/>
  <c r="O341" i="17"/>
  <c r="O343" i="17"/>
  <c r="P343" i="17"/>
  <c r="O331" i="17"/>
  <c r="P331" i="17"/>
  <c r="P377" i="17"/>
  <c r="P149" i="17"/>
  <c r="O173" i="17"/>
  <c r="P173" i="17"/>
  <c r="P233" i="17"/>
  <c r="P359" i="17"/>
  <c r="P383" i="17"/>
  <c r="O383" i="17"/>
  <c r="P302" i="17"/>
  <c r="O310" i="17"/>
  <c r="P310" i="17"/>
  <c r="O355" i="17"/>
  <c r="P355" i="17"/>
  <c r="P379" i="17"/>
  <c r="O379" i="17"/>
  <c r="P398" i="17"/>
  <c r="O398" i="17"/>
  <c r="O247" i="17"/>
  <c r="P247" i="17"/>
  <c r="O314" i="17"/>
  <c r="P314" i="17"/>
  <c r="P322" i="17"/>
  <c r="O322" i="17"/>
  <c r="P326" i="17"/>
  <c r="P350" i="17"/>
  <c r="O350" i="17"/>
  <c r="P394" i="17"/>
  <c r="O394" i="17"/>
  <c r="O103" i="17"/>
  <c r="O139" i="17"/>
  <c r="P139" i="17"/>
  <c r="O146" i="17"/>
  <c r="P146" i="17"/>
  <c r="O233" i="17"/>
  <c r="P262" i="17"/>
  <c r="P278" i="17"/>
  <c r="O290" i="17"/>
  <c r="P290" i="17"/>
  <c r="P304" i="17"/>
  <c r="O304" i="17"/>
  <c r="P346" i="17"/>
  <c r="O346" i="17"/>
  <c r="O377" i="17"/>
  <c r="O78" i="17"/>
  <c r="P78" i="17"/>
  <c r="O89" i="17"/>
  <c r="P89" i="17"/>
  <c r="O100" i="17"/>
  <c r="P100" i="17"/>
  <c r="O114" i="17"/>
  <c r="O125" i="17"/>
  <c r="P125" i="17"/>
  <c r="O136" i="17"/>
  <c r="O149" i="17"/>
  <c r="P153" i="17"/>
  <c r="P158" i="17"/>
  <c r="O180" i="17"/>
  <c r="P180" i="17"/>
  <c r="P209" i="17"/>
  <c r="O218" i="17"/>
  <c r="P218" i="17"/>
  <c r="P226" i="17"/>
  <c r="P257" i="17"/>
  <c r="O274" i="17"/>
  <c r="P274" i="17"/>
  <c r="O281" i="17"/>
  <c r="P281" i="17"/>
  <c r="P338" i="17"/>
  <c r="O340" i="17"/>
  <c r="P340" i="17"/>
  <c r="O352" i="17"/>
  <c r="P352" i="17"/>
  <c r="P374" i="17"/>
  <c r="O374" i="17"/>
  <c r="O386" i="17"/>
  <c r="P386" i="17"/>
  <c r="O388" i="17"/>
  <c r="P388" i="17"/>
  <c r="P182" i="17"/>
  <c r="O182" i="17"/>
  <c r="O200" i="17"/>
  <c r="P200" i="17"/>
  <c r="O268" i="17"/>
  <c r="P268" i="17"/>
  <c r="O283" i="17"/>
  <c r="P283" i="17"/>
  <c r="O359" i="17"/>
  <c r="O143" i="17"/>
  <c r="P143" i="17"/>
  <c r="O161" i="17"/>
  <c r="P161" i="17"/>
  <c r="P179" i="17"/>
  <c r="O184" i="17"/>
  <c r="P184" i="17"/>
  <c r="P187" i="17"/>
  <c r="P191" i="17"/>
  <c r="O221" i="17"/>
  <c r="P221" i="17"/>
  <c r="O259" i="17"/>
  <c r="P259" i="17"/>
  <c r="P272" i="17"/>
  <c r="O272" i="17"/>
  <c r="O302" i="17"/>
  <c r="O328" i="17"/>
  <c r="P328" i="17"/>
  <c r="O370" i="17"/>
  <c r="P370" i="17"/>
  <c r="P160" i="17"/>
  <c r="P188" i="17"/>
  <c r="P215" i="17"/>
  <c r="P227" i="17"/>
  <c r="O232" i="17"/>
  <c r="P232" i="17"/>
  <c r="P239" i="17"/>
  <c r="O244" i="17"/>
  <c r="P244" i="17"/>
  <c r="O256" i="17"/>
  <c r="P256" i="17"/>
  <c r="O280" i="17"/>
  <c r="P280" i="17"/>
  <c r="O292" i="17"/>
  <c r="P292" i="17"/>
  <c r="P334" i="17"/>
  <c r="O334" i="17"/>
  <c r="P365" i="17"/>
  <c r="P376" i="17"/>
  <c r="O376" i="17"/>
  <c r="P389" i="17"/>
  <c r="P400" i="17"/>
  <c r="O400" i="17"/>
  <c r="P251" i="17"/>
  <c r="P287" i="17"/>
  <c r="O316" i="17"/>
  <c r="P316" i="17"/>
  <c r="P358" i="17"/>
  <c r="O358" i="17"/>
  <c r="P167" i="17"/>
  <c r="P185" i="17"/>
  <c r="O190" i="17"/>
  <c r="P190" i="17"/>
  <c r="O202" i="17"/>
  <c r="P202" i="17"/>
  <c r="O229" i="17"/>
  <c r="P229" i="17"/>
  <c r="O236" i="17"/>
  <c r="P236" i="17"/>
  <c r="O253" i="17"/>
  <c r="P253" i="17"/>
  <c r="P260" i="17"/>
  <c r="O277" i="17"/>
  <c r="P277" i="17"/>
  <c r="O298" i="17"/>
  <c r="P298" i="17"/>
  <c r="P329" i="17"/>
  <c r="P362" i="17"/>
  <c r="P367" i="17"/>
  <c r="O367" i="17"/>
  <c r="P371" i="17"/>
  <c r="O382" i="17"/>
  <c r="P382" i="17"/>
  <c r="O391" i="17"/>
  <c r="P391" i="17"/>
  <c r="P395" i="17"/>
  <c r="P170" i="17"/>
  <c r="P194" i="17"/>
  <c r="P212" i="17"/>
  <c r="P230" i="17"/>
  <c r="P248" i="17"/>
  <c r="P266" i="17"/>
  <c r="P284" i="17"/>
  <c r="O271" i="17"/>
  <c r="P271" i="17"/>
  <c r="O289" i="17"/>
  <c r="P289" i="17"/>
  <c r="P296" i="17"/>
  <c r="P301" i="17"/>
  <c r="O301" i="17"/>
  <c r="P308" i="17"/>
  <c r="P313" i="17"/>
  <c r="O313" i="17"/>
  <c r="P320" i="17"/>
  <c r="P325" i="17"/>
  <c r="O325" i="17"/>
  <c r="P332" i="17"/>
  <c r="O337" i="17"/>
  <c r="P337" i="17"/>
  <c r="P344" i="17"/>
  <c r="P349" i="17"/>
  <c r="O349" i="17"/>
  <c r="P356" i="17"/>
  <c r="P361" i="17"/>
  <c r="O361" i="17"/>
  <c r="P368" i="17"/>
  <c r="P373" i="17"/>
  <c r="O373" i="17"/>
  <c r="P380" i="17"/>
  <c r="O385" i="17"/>
  <c r="P385" i="17"/>
  <c r="P392" i="17"/>
  <c r="P397" i="17"/>
  <c r="O397" i="17"/>
  <c r="O91" i="18"/>
  <c r="P91" i="18"/>
  <c r="P136" i="18"/>
  <c r="O58" i="18"/>
  <c r="P58" i="18"/>
  <c r="O258" i="18"/>
  <c r="P258" i="18"/>
  <c r="O342" i="18"/>
  <c r="P342" i="18"/>
  <c r="O303" i="18"/>
  <c r="P303" i="18"/>
  <c r="O225" i="18"/>
  <c r="P225" i="18"/>
  <c r="O22" i="18"/>
  <c r="P22" i="18"/>
  <c r="O94" i="18"/>
  <c r="P94" i="18"/>
  <c r="O291" i="18"/>
  <c r="P291" i="18"/>
  <c r="O380" i="18"/>
  <c r="O118" i="18"/>
  <c r="P118" i="18"/>
  <c r="O100" i="18"/>
  <c r="P100" i="18"/>
  <c r="O98" i="18"/>
  <c r="P98" i="18"/>
  <c r="O64" i="18"/>
  <c r="P64" i="18"/>
  <c r="O62" i="18"/>
  <c r="P62" i="18"/>
  <c r="O28" i="18"/>
  <c r="P28" i="18"/>
  <c r="O26" i="18"/>
  <c r="P26" i="18"/>
  <c r="O345" i="18"/>
  <c r="P345" i="18"/>
  <c r="O286" i="18"/>
  <c r="P286" i="18"/>
  <c r="O95" i="18"/>
  <c r="O59" i="18"/>
  <c r="P59" i="18"/>
  <c r="O23" i="18"/>
  <c r="P23" i="18"/>
  <c r="O384" i="18"/>
  <c r="P384" i="18"/>
  <c r="P277" i="18"/>
  <c r="P229" i="18"/>
  <c r="O193" i="18"/>
  <c r="P193" i="18"/>
  <c r="O175" i="18"/>
  <c r="O115" i="18"/>
  <c r="P115" i="18"/>
  <c r="O97" i="18"/>
  <c r="P97" i="18"/>
  <c r="O61" i="18"/>
  <c r="P61" i="18"/>
  <c r="O25" i="18"/>
  <c r="P25" i="18"/>
  <c r="O350" i="18"/>
  <c r="P350" i="18"/>
  <c r="O308" i="18"/>
  <c r="P308" i="18"/>
  <c r="O267" i="18"/>
  <c r="P267" i="18"/>
  <c r="O147" i="18"/>
  <c r="P147" i="18"/>
  <c r="O14" i="18"/>
  <c r="P14" i="18"/>
  <c r="O134" i="18"/>
  <c r="P134" i="18"/>
  <c r="O271" i="18"/>
  <c r="P271" i="18"/>
  <c r="P12" i="18"/>
  <c r="P112" i="18"/>
  <c r="O76" i="18"/>
  <c r="P76" i="18"/>
  <c r="O40" i="18"/>
  <c r="P40" i="18"/>
  <c r="O231" i="18"/>
  <c r="P231" i="18"/>
  <c r="O216" i="18"/>
  <c r="P216" i="18"/>
  <c r="O326" i="18"/>
  <c r="O323" i="18"/>
  <c r="P323" i="18"/>
  <c r="O318" i="18"/>
  <c r="P318" i="18"/>
  <c r="O213" i="18"/>
  <c r="O127" i="18"/>
  <c r="P127" i="18"/>
  <c r="O109" i="18"/>
  <c r="P109" i="18"/>
  <c r="O73" i="18"/>
  <c r="P73" i="18"/>
  <c r="O37" i="18"/>
  <c r="P37" i="18"/>
  <c r="O321" i="18"/>
  <c r="P321" i="18"/>
  <c r="O316" i="18"/>
  <c r="P316" i="18"/>
  <c r="O104" i="18"/>
  <c r="P104" i="18"/>
  <c r="O92" i="18"/>
  <c r="P92" i="18"/>
  <c r="O80" i="18"/>
  <c r="P80" i="18"/>
  <c r="O68" i="18"/>
  <c r="P68" i="18"/>
  <c r="O56" i="18"/>
  <c r="P56" i="18"/>
  <c r="O44" i="18"/>
  <c r="P44" i="18"/>
  <c r="O32" i="18"/>
  <c r="P32" i="18"/>
  <c r="O330" i="18"/>
  <c r="P330" i="18"/>
  <c r="O272" i="18"/>
  <c r="P272" i="18"/>
  <c r="O212" i="18"/>
  <c r="P212" i="18"/>
  <c r="O157" i="18"/>
  <c r="P157" i="18"/>
  <c r="O116" i="18"/>
  <c r="P116" i="18"/>
  <c r="O383" i="18"/>
  <c r="O340" i="18"/>
  <c r="P340" i="18"/>
  <c r="O257" i="18"/>
  <c r="O198" i="18"/>
  <c r="O152" i="18"/>
  <c r="P326" i="18"/>
  <c r="P313" i="18"/>
  <c r="O298" i="18"/>
  <c r="P298" i="18"/>
  <c r="O253" i="18"/>
  <c r="O122" i="18"/>
  <c r="P122" i="18"/>
  <c r="O351" i="18"/>
  <c r="P351" i="18"/>
  <c r="O339" i="18"/>
  <c r="P339" i="18"/>
  <c r="O336" i="18"/>
  <c r="O296" i="18"/>
  <c r="O256" i="18"/>
  <c r="P256" i="18"/>
  <c r="P395" i="18"/>
  <c r="O388" i="18"/>
  <c r="O306" i="18"/>
  <c r="P306" i="18"/>
  <c r="P262" i="18"/>
  <c r="O195" i="18"/>
  <c r="P195" i="18"/>
  <c r="O369" i="18"/>
  <c r="P369" i="18"/>
  <c r="O348" i="18"/>
  <c r="P348" i="18"/>
  <c r="O287" i="18"/>
  <c r="P287" i="18"/>
  <c r="O151" i="18"/>
  <c r="P151" i="18"/>
  <c r="O137" i="18"/>
  <c r="P137" i="18"/>
  <c r="O131" i="18"/>
  <c r="P131" i="18"/>
  <c r="O119" i="18"/>
  <c r="P119" i="18"/>
  <c r="O376" i="18"/>
  <c r="P376" i="18"/>
  <c r="P315" i="18"/>
  <c r="O300" i="18"/>
  <c r="P300" i="18"/>
  <c r="O128" i="18"/>
  <c r="P128" i="18"/>
  <c r="O101" i="18"/>
  <c r="O89" i="18"/>
  <c r="P89" i="18"/>
  <c r="O77" i="18"/>
  <c r="P77" i="18"/>
  <c r="O65" i="18"/>
  <c r="P65" i="18"/>
  <c r="O53" i="18"/>
  <c r="P53" i="18"/>
  <c r="O41" i="18"/>
  <c r="O29" i="18"/>
  <c r="O186" i="18"/>
  <c r="P186" i="18"/>
  <c r="O387" i="18"/>
  <c r="P387" i="18"/>
  <c r="O165" i="18"/>
  <c r="O113" i="18"/>
  <c r="O281" i="18"/>
  <c r="P281" i="18"/>
  <c r="O349" i="18"/>
  <c r="P349" i="18"/>
  <c r="O337" i="18"/>
  <c r="P337" i="18"/>
  <c r="O254" i="18"/>
  <c r="P254" i="18"/>
  <c r="O377" i="18"/>
  <c r="P377" i="18"/>
  <c r="O344" i="18"/>
  <c r="P344" i="18"/>
  <c r="O237" i="18"/>
  <c r="P237" i="18"/>
  <c r="O359" i="18"/>
  <c r="P359" i="18"/>
  <c r="O343" i="18"/>
  <c r="P343" i="18"/>
  <c r="O265" i="18"/>
  <c r="P265" i="18"/>
  <c r="O391" i="18"/>
  <c r="P391" i="18"/>
  <c r="O361" i="18"/>
  <c r="P361" i="18"/>
  <c r="O325" i="18"/>
  <c r="P325" i="18"/>
  <c r="O282" i="18"/>
  <c r="P282" i="18"/>
  <c r="O161" i="18"/>
  <c r="P161" i="18"/>
  <c r="O378" i="18"/>
  <c r="P378" i="18"/>
  <c r="O358" i="18"/>
  <c r="P358" i="18"/>
  <c r="O241" i="18"/>
  <c r="P241" i="18"/>
  <c r="O235" i="18"/>
  <c r="P235" i="18"/>
  <c r="O194" i="18"/>
  <c r="P194" i="18"/>
  <c r="O183" i="18"/>
  <c r="P183" i="18"/>
  <c r="O392" i="18"/>
  <c r="P392" i="18"/>
  <c r="O382" i="18"/>
  <c r="P382" i="18"/>
  <c r="O311" i="18"/>
  <c r="P311" i="18"/>
  <c r="O341" i="18"/>
  <c r="P341" i="18"/>
  <c r="O280" i="18"/>
  <c r="P280" i="18"/>
  <c r="O379" i="18"/>
  <c r="P379" i="18"/>
  <c r="O310" i="18"/>
  <c r="P310" i="18"/>
  <c r="O209" i="18"/>
  <c r="P209" i="18"/>
  <c r="O366" i="18"/>
  <c r="P366" i="18"/>
  <c r="O394" i="18"/>
  <c r="P394" i="18"/>
  <c r="O390" i="18"/>
  <c r="P390" i="18"/>
  <c r="O322" i="18"/>
  <c r="P322" i="18"/>
  <c r="O295" i="18"/>
  <c r="P295" i="18"/>
  <c r="O200" i="18"/>
  <c r="P200" i="18"/>
  <c r="O163" i="18"/>
  <c r="P163" i="18"/>
  <c r="O365" i="18"/>
  <c r="P365" i="18"/>
  <c r="O355" i="18"/>
  <c r="P355" i="18"/>
  <c r="O338" i="18"/>
  <c r="P338" i="18"/>
  <c r="O284" i="18"/>
  <c r="P284" i="18"/>
  <c r="O274" i="18"/>
  <c r="P274" i="18"/>
  <c r="O211" i="18"/>
  <c r="P211" i="18"/>
  <c r="O399" i="18"/>
  <c r="P399" i="18"/>
  <c r="O368" i="18"/>
  <c r="P368" i="18"/>
  <c r="O314" i="18"/>
  <c r="P314" i="18"/>
  <c r="O299" i="18"/>
  <c r="P299" i="18"/>
  <c r="O249" i="18"/>
  <c r="P249" i="18"/>
  <c r="O196" i="18"/>
  <c r="P196" i="18"/>
  <c r="O156" i="18"/>
  <c r="P156" i="18"/>
  <c r="O396" i="18"/>
  <c r="P396" i="18"/>
  <c r="O393" i="18"/>
  <c r="P393" i="18"/>
  <c r="O329" i="18"/>
  <c r="P329" i="18"/>
  <c r="O304" i="18"/>
  <c r="P304" i="18"/>
  <c r="O276" i="18"/>
  <c r="P276" i="18"/>
  <c r="O259" i="18"/>
  <c r="P259" i="18"/>
  <c r="O224" i="18"/>
  <c r="P224" i="18"/>
  <c r="P266" i="18"/>
  <c r="O246" i="18"/>
  <c r="P246" i="18"/>
  <c r="O242" i="18"/>
  <c r="P242" i="18"/>
  <c r="O238" i="18"/>
  <c r="P238" i="18"/>
  <c r="O228" i="18"/>
  <c r="P228" i="18"/>
  <c r="O215" i="18"/>
  <c r="P215" i="18"/>
  <c r="O187" i="18"/>
  <c r="P187" i="18"/>
  <c r="P175" i="18"/>
  <c r="O141" i="18"/>
  <c r="P141" i="18"/>
  <c r="O219" i="18"/>
  <c r="P219" i="18"/>
  <c r="O154" i="18"/>
  <c r="P154" i="18"/>
  <c r="O360" i="18"/>
  <c r="P360" i="18"/>
  <c r="O292" i="18"/>
  <c r="P292" i="18"/>
  <c r="O397" i="18"/>
  <c r="P397" i="18"/>
  <c r="P388" i="18"/>
  <c r="P383" i="18"/>
  <c r="O373" i="18"/>
  <c r="P373" i="18"/>
  <c r="O362" i="18"/>
  <c r="P362" i="18"/>
  <c r="O357" i="18"/>
  <c r="P357" i="18"/>
  <c r="O334" i="18"/>
  <c r="P334" i="18"/>
  <c r="P312" i="18"/>
  <c r="P296" i="18"/>
  <c r="O289" i="18"/>
  <c r="P289" i="18"/>
  <c r="O285" i="18"/>
  <c r="P285" i="18"/>
  <c r="O192" i="18"/>
  <c r="P165" i="18"/>
  <c r="O146" i="18"/>
  <c r="P146" i="18"/>
  <c r="O180" i="18"/>
  <c r="P180" i="18"/>
  <c r="P177" i="18"/>
  <c r="O148" i="18"/>
  <c r="P148" i="18"/>
  <c r="O159" i="18"/>
  <c r="P159" i="18"/>
  <c r="O264" i="18"/>
  <c r="P264" i="18"/>
  <c r="O230" i="18"/>
  <c r="P230" i="18"/>
  <c r="O346" i="18"/>
  <c r="P346" i="18"/>
  <c r="O324" i="18"/>
  <c r="P324" i="18"/>
  <c r="O221" i="18"/>
  <c r="P221" i="18"/>
  <c r="O140" i="18"/>
  <c r="P140" i="18"/>
  <c r="O317" i="18"/>
  <c r="P317" i="18"/>
  <c r="O309" i="18"/>
  <c r="P309" i="18"/>
  <c r="O207" i="18"/>
  <c r="P207" i="18"/>
  <c r="O191" i="18"/>
  <c r="P191" i="18"/>
  <c r="P374" i="18"/>
  <c r="P290" i="18"/>
  <c r="O169" i="18"/>
  <c r="P169" i="18"/>
  <c r="P380" i="18"/>
  <c r="P336" i="18"/>
  <c r="P297" i="18"/>
  <c r="O269" i="18"/>
  <c r="P269" i="18"/>
  <c r="P253" i="18"/>
  <c r="O247" i="18"/>
  <c r="P247" i="18"/>
  <c r="O245" i="18"/>
  <c r="P245" i="18"/>
  <c r="P239" i="18"/>
  <c r="O236" i="18"/>
  <c r="P236" i="18"/>
  <c r="P226" i="18"/>
  <c r="P210" i="18"/>
  <c r="O204" i="18"/>
  <c r="P204" i="18"/>
  <c r="O199" i="18"/>
  <c r="P199" i="18"/>
  <c r="P197" i="18"/>
  <c r="P192" i="18"/>
  <c r="O185" i="18"/>
  <c r="P185" i="18"/>
  <c r="O217" i="18"/>
  <c r="P217" i="18"/>
  <c r="O189" i="18"/>
  <c r="P189" i="18"/>
  <c r="O181" i="18"/>
  <c r="P181" i="18"/>
  <c r="O178" i="18"/>
  <c r="P178" i="18"/>
  <c r="O170" i="18"/>
  <c r="P170" i="18"/>
  <c r="O371" i="18"/>
  <c r="P371" i="18"/>
  <c r="O250" i="18"/>
  <c r="P250" i="18"/>
  <c r="O184" i="18"/>
  <c r="P184" i="18"/>
  <c r="O279" i="18"/>
  <c r="P279" i="18"/>
  <c r="O252" i="18"/>
  <c r="P252" i="18"/>
  <c r="P248" i="18"/>
  <c r="O223" i="18"/>
  <c r="P223" i="18"/>
  <c r="O354" i="18"/>
  <c r="P354" i="18"/>
  <c r="O335" i="18"/>
  <c r="P335" i="18"/>
  <c r="O243" i="18"/>
  <c r="P243" i="18"/>
  <c r="O202" i="18"/>
  <c r="P202" i="18"/>
  <c r="O167" i="18"/>
  <c r="P167" i="18"/>
  <c r="O142" i="18"/>
  <c r="P142" i="18"/>
  <c r="O327" i="18"/>
  <c r="P327" i="18"/>
  <c r="P320" i="18"/>
  <c r="P257" i="18"/>
  <c r="O255" i="18"/>
  <c r="P255" i="18"/>
  <c r="P240" i="18"/>
  <c r="P213" i="18"/>
  <c r="O206" i="18"/>
  <c r="P206" i="18"/>
  <c r="O179" i="18"/>
  <c r="P179" i="18"/>
  <c r="O176" i="18"/>
  <c r="P176" i="18"/>
  <c r="O173" i="18"/>
  <c r="P173" i="18"/>
  <c r="P171" i="18"/>
  <c r="P164" i="18"/>
  <c r="O332" i="18"/>
  <c r="P332" i="18"/>
  <c r="O319" i="18"/>
  <c r="P319" i="18"/>
  <c r="O270" i="18"/>
  <c r="P270" i="18"/>
  <c r="O232" i="18"/>
  <c r="P232" i="18"/>
  <c r="P198" i="18"/>
  <c r="O149" i="18"/>
  <c r="P149" i="18"/>
  <c r="O328" i="18"/>
  <c r="P328" i="18"/>
  <c r="O143" i="18"/>
  <c r="P143" i="18"/>
  <c r="P363" i="18"/>
  <c r="P174" i="18"/>
  <c r="O145" i="18"/>
  <c r="P145" i="18"/>
  <c r="O385" i="18"/>
  <c r="P385" i="18"/>
  <c r="O302" i="18"/>
  <c r="P302" i="18"/>
  <c r="P233" i="18"/>
  <c r="O222" i="18"/>
  <c r="P222" i="18"/>
  <c r="O208" i="18"/>
  <c r="P208" i="18"/>
  <c r="O182" i="18"/>
  <c r="P182" i="18"/>
  <c r="O166" i="18"/>
  <c r="P166" i="18"/>
  <c r="O158" i="18"/>
  <c r="P158" i="18"/>
  <c r="P273" i="18"/>
  <c r="P214" i="18"/>
  <c r="O160" i="18"/>
  <c r="P160" i="18"/>
  <c r="P153" i="18"/>
  <c r="P227" i="18"/>
  <c r="P218" i="18"/>
  <c r="P188" i="18"/>
  <c r="P203" i="18"/>
  <c r="O201" i="18"/>
  <c r="P201" i="18"/>
  <c r="O155" i="18"/>
  <c r="P155" i="18"/>
  <c r="O168" i="18"/>
  <c r="P168" i="18"/>
  <c r="O150" i="18"/>
  <c r="P150" i="18"/>
  <c r="P152" i="18"/>
  <c r="O132" i="18"/>
  <c r="P132" i="18"/>
  <c r="O138" i="18"/>
  <c r="P138" i="18"/>
  <c r="O105" i="18"/>
  <c r="P105" i="18"/>
  <c r="O93" i="18"/>
  <c r="P93" i="18"/>
  <c r="O81" i="18"/>
  <c r="P81" i="18"/>
  <c r="O69" i="18"/>
  <c r="P69" i="18"/>
  <c r="O57" i="18"/>
  <c r="P57" i="18"/>
  <c r="O45" i="18"/>
  <c r="P45" i="18"/>
  <c r="O33" i="18"/>
  <c r="P33" i="18"/>
  <c r="O21" i="18"/>
  <c r="P21" i="18"/>
  <c r="O126" i="18"/>
  <c r="P126" i="18"/>
  <c r="O99" i="18"/>
  <c r="P99" i="18"/>
  <c r="O87" i="18"/>
  <c r="P87" i="18"/>
  <c r="O75" i="18"/>
  <c r="P75" i="18"/>
  <c r="O63" i="18"/>
  <c r="P63" i="18"/>
  <c r="O51" i="18"/>
  <c r="P51" i="18"/>
  <c r="O39" i="18"/>
  <c r="P39" i="18"/>
  <c r="O27" i="18"/>
  <c r="P27" i="18"/>
  <c r="O117" i="18"/>
  <c r="P117" i="18"/>
  <c r="O111" i="18"/>
  <c r="P111" i="18"/>
  <c r="O36" i="18"/>
  <c r="P36" i="18"/>
  <c r="O24" i="18"/>
  <c r="P24" i="18"/>
  <c r="O110" i="18"/>
  <c r="P110" i="18"/>
  <c r="O120" i="18"/>
  <c r="P120" i="18"/>
  <c r="O135" i="18"/>
  <c r="P135" i="18"/>
  <c r="O114" i="18"/>
  <c r="P114" i="18"/>
  <c r="O72" i="18"/>
  <c r="P72" i="18"/>
  <c r="O60" i="18"/>
  <c r="P60" i="18"/>
  <c r="O20" i="18"/>
  <c r="P20" i="18"/>
  <c r="O123" i="18"/>
  <c r="P123" i="18"/>
  <c r="P113" i="18"/>
  <c r="P107" i="18"/>
  <c r="P101" i="18"/>
  <c r="P95" i="18"/>
  <c r="P83" i="18"/>
  <c r="P71" i="18"/>
  <c r="P47" i="18"/>
  <c r="P41" i="18"/>
  <c r="P35" i="18"/>
  <c r="P29" i="18"/>
  <c r="O18" i="18"/>
  <c r="P18" i="18"/>
  <c r="O78" i="18"/>
  <c r="P78" i="18"/>
  <c r="O90" i="18"/>
  <c r="P90" i="18"/>
  <c r="O66" i="18"/>
  <c r="P66" i="18"/>
  <c r="O48" i="18"/>
  <c r="P48" i="18"/>
  <c r="O42" i="18"/>
  <c r="P42" i="18"/>
  <c r="O30" i="18"/>
  <c r="P30" i="18"/>
  <c r="O129" i="18"/>
  <c r="P129" i="18"/>
  <c r="O17" i="18"/>
  <c r="P17" i="18"/>
  <c r="O108" i="18"/>
  <c r="P108" i="18"/>
  <c r="O102" i="18"/>
  <c r="P102" i="18"/>
  <c r="O96" i="18"/>
  <c r="P96" i="18"/>
  <c r="O84" i="18"/>
  <c r="P84" i="18"/>
  <c r="O54" i="18"/>
  <c r="P54" i="18"/>
  <c r="O16" i="18"/>
  <c r="P16" i="18"/>
  <c r="O8" i="18"/>
  <c r="P8" i="18"/>
  <c r="O11" i="18"/>
  <c r="P11" i="18"/>
  <c r="O7" i="18"/>
  <c r="P7" i="18"/>
  <c r="O13" i="18"/>
  <c r="P13" i="18"/>
  <c r="O10" i="18"/>
  <c r="P10" i="18"/>
  <c r="CQ374" i="21"/>
  <c r="CP374" i="21"/>
  <c r="CO374" i="21"/>
  <c r="CN374" i="21"/>
  <c r="CM374" i="21"/>
  <c r="CL374" i="21"/>
  <c r="CK374" i="21"/>
  <c r="CJ374" i="21"/>
  <c r="CI374" i="21"/>
  <c r="CH374" i="21"/>
  <c r="CG374" i="21"/>
  <c r="CF374" i="21"/>
  <c r="CE374" i="21"/>
  <c r="CD374" i="21"/>
  <c r="CC374" i="21"/>
  <c r="CB374" i="21"/>
  <c r="CA374" i="21"/>
  <c r="BZ374" i="21"/>
  <c r="BY374" i="21"/>
  <c r="BX374" i="21"/>
  <c r="BW374" i="21"/>
  <c r="BV374" i="21"/>
  <c r="BU374" i="21"/>
  <c r="BT374" i="21"/>
  <c r="BS374" i="21"/>
  <c r="BR374" i="21"/>
  <c r="BQ374" i="21"/>
  <c r="BP374" i="21"/>
  <c r="BO374" i="21"/>
  <c r="BN374" i="21"/>
  <c r="BM374" i="21"/>
  <c r="BL374" i="21"/>
  <c r="BK374" i="21"/>
  <c r="BJ374" i="21"/>
  <c r="BI374" i="21"/>
  <c r="BH374" i="21"/>
  <c r="BG374" i="21"/>
  <c r="BF374" i="21"/>
  <c r="BE374" i="21"/>
  <c r="BD374" i="21"/>
  <c r="BC374" i="21"/>
  <c r="BB374" i="21"/>
  <c r="BA374" i="21"/>
  <c r="AZ374" i="21"/>
  <c r="AY374" i="21"/>
  <c r="AX374" i="21"/>
  <c r="AW374" i="21"/>
  <c r="AV374" i="21"/>
  <c r="AU374" i="21"/>
  <c r="AT374" i="21"/>
  <c r="AS374" i="21"/>
  <c r="AR374" i="21"/>
  <c r="AQ374" i="21"/>
  <c r="AP374" i="21"/>
  <c r="AO374" i="21"/>
  <c r="AN374" i="21"/>
  <c r="AM374" i="21"/>
  <c r="AI374" i="21"/>
  <c r="AH374" i="21"/>
  <c r="AG374" i="21"/>
  <c r="AF374" i="21"/>
  <c r="AE374" i="21"/>
  <c r="AD374" i="21"/>
  <c r="AC374" i="21"/>
  <c r="AB374" i="21"/>
  <c r="AA374" i="21"/>
  <c r="Z374" i="21"/>
  <c r="Y374" i="21"/>
  <c r="X374" i="21"/>
  <c r="W374" i="21"/>
  <c r="V374" i="21"/>
  <c r="U374" i="21"/>
  <c r="T374" i="21"/>
  <c r="S374" i="21"/>
  <c r="R374" i="21"/>
  <c r="Q374" i="21"/>
  <c r="P374" i="21"/>
  <c r="O374" i="21"/>
  <c r="N374" i="21"/>
  <c r="M374" i="21"/>
  <c r="L374" i="21"/>
  <c r="K374" i="21"/>
  <c r="J374" i="21"/>
  <c r="I374" i="21"/>
  <c r="H374" i="21"/>
  <c r="G374" i="21"/>
  <c r="F374" i="21"/>
  <c r="E374" i="21"/>
  <c r="D374" i="21"/>
  <c r="C374" i="21"/>
  <c r="CQ373" i="21"/>
  <c r="CP373" i="21"/>
  <c r="CO373" i="21"/>
  <c r="CN373" i="21"/>
  <c r="CM373" i="21"/>
  <c r="CL373" i="21"/>
  <c r="CK373" i="21"/>
  <c r="CJ373" i="21"/>
  <c r="CI373" i="21"/>
  <c r="CH373" i="21"/>
  <c r="CG373" i="21"/>
  <c r="CF373" i="21"/>
  <c r="CE373" i="21"/>
  <c r="CD373" i="21"/>
  <c r="CC373" i="21"/>
  <c r="CB373" i="21"/>
  <c r="CA373" i="21"/>
  <c r="BZ373" i="21"/>
  <c r="BY373" i="21"/>
  <c r="BX373" i="21"/>
  <c r="BW373" i="21"/>
  <c r="BV373" i="21"/>
  <c r="BU373" i="21"/>
  <c r="BT373" i="21"/>
  <c r="BS373" i="21"/>
  <c r="BR373" i="21"/>
  <c r="BQ373" i="21"/>
  <c r="BP373" i="21"/>
  <c r="BO373" i="21"/>
  <c r="BN373" i="21"/>
  <c r="BM373" i="21"/>
  <c r="BL373" i="21"/>
  <c r="BK373" i="21"/>
  <c r="BJ373" i="21"/>
  <c r="BI373" i="21"/>
  <c r="BH373" i="21"/>
  <c r="BG373" i="21"/>
  <c r="BF373" i="21"/>
  <c r="BE373" i="21"/>
  <c r="BD373" i="21"/>
  <c r="BC373" i="21"/>
  <c r="BB373" i="21"/>
  <c r="BA373" i="21"/>
  <c r="AZ373" i="21"/>
  <c r="AY373" i="21"/>
  <c r="AX373" i="21"/>
  <c r="AW373" i="21"/>
  <c r="AV373" i="21"/>
  <c r="AU373" i="21"/>
  <c r="AT373" i="21"/>
  <c r="AS373" i="21"/>
  <c r="AR373" i="21"/>
  <c r="AQ373" i="21"/>
  <c r="AP373" i="21"/>
  <c r="AO373" i="21"/>
  <c r="AN373" i="21"/>
  <c r="AM373" i="21"/>
  <c r="AI373" i="21"/>
  <c r="AH373" i="21"/>
  <c r="AG373" i="21"/>
  <c r="AF373" i="21"/>
  <c r="AE373" i="21"/>
  <c r="AD373" i="21"/>
  <c r="AC373" i="21"/>
  <c r="AB373" i="21"/>
  <c r="AA373" i="21"/>
  <c r="Z373" i="21"/>
  <c r="Y373" i="21"/>
  <c r="X373" i="21"/>
  <c r="W373" i="21"/>
  <c r="V373" i="21"/>
  <c r="U373" i="21"/>
  <c r="T373" i="21"/>
  <c r="S373" i="21"/>
  <c r="R373" i="21"/>
  <c r="Q373" i="21"/>
  <c r="P373" i="21"/>
  <c r="O373" i="21"/>
  <c r="N373" i="21"/>
  <c r="M373" i="21"/>
  <c r="L373" i="21"/>
  <c r="K373" i="21"/>
  <c r="J373" i="21"/>
  <c r="I373" i="21"/>
  <c r="H373" i="21"/>
  <c r="G373" i="21"/>
  <c r="F373" i="21"/>
  <c r="E373" i="21"/>
  <c r="D373" i="21"/>
  <c r="C373" i="21"/>
  <c r="CQ372" i="21"/>
  <c r="CP372" i="21"/>
  <c r="CO372" i="21"/>
  <c r="CN372" i="21"/>
  <c r="CM372" i="21"/>
  <c r="CL372" i="21"/>
  <c r="CK372" i="21"/>
  <c r="CJ372" i="21"/>
  <c r="CI372" i="21"/>
  <c r="CH372" i="21"/>
  <c r="CG372" i="21"/>
  <c r="CF372" i="21"/>
  <c r="CE372" i="21"/>
  <c r="CD372" i="21"/>
  <c r="CC372" i="21"/>
  <c r="CB372" i="21"/>
  <c r="CA372" i="21"/>
  <c r="BZ372" i="21"/>
  <c r="BY372" i="21"/>
  <c r="BX372" i="21"/>
  <c r="BW372" i="21"/>
  <c r="BV372" i="21"/>
  <c r="BU372" i="21"/>
  <c r="BT372" i="21"/>
  <c r="BS372" i="21"/>
  <c r="BR372" i="21"/>
  <c r="BQ372" i="21"/>
  <c r="BP372" i="21"/>
  <c r="BO372" i="21"/>
  <c r="BN372" i="21"/>
  <c r="BM372" i="21"/>
  <c r="BL372" i="21"/>
  <c r="BK372" i="21"/>
  <c r="BJ372" i="21"/>
  <c r="BI372" i="21"/>
  <c r="BH372" i="21"/>
  <c r="BG372" i="21"/>
  <c r="BF372" i="21"/>
  <c r="BE372" i="21"/>
  <c r="BD372" i="21"/>
  <c r="BC372" i="21"/>
  <c r="BB372" i="21"/>
  <c r="BA372" i="21"/>
  <c r="AZ372" i="21"/>
  <c r="AY372" i="21"/>
  <c r="AX372" i="21"/>
  <c r="AW372" i="21"/>
  <c r="AV372" i="21"/>
  <c r="AU372" i="21"/>
  <c r="AT372" i="21"/>
  <c r="AS372" i="21"/>
  <c r="AR372" i="21"/>
  <c r="AQ372" i="21"/>
  <c r="AP372" i="21"/>
  <c r="AO372" i="21"/>
  <c r="AN372" i="21"/>
  <c r="AM372" i="21"/>
  <c r="AI372" i="21"/>
  <c r="AH372" i="21"/>
  <c r="AG372" i="21"/>
  <c r="AF372" i="21"/>
  <c r="AE372" i="21"/>
  <c r="AD372" i="21"/>
  <c r="AC372" i="21"/>
  <c r="AB372" i="21"/>
  <c r="AA372" i="21"/>
  <c r="Z372" i="21"/>
  <c r="Y372" i="21"/>
  <c r="X372" i="21"/>
  <c r="W372" i="21"/>
  <c r="V372" i="21"/>
  <c r="U372" i="21"/>
  <c r="T372" i="21"/>
  <c r="S372" i="21"/>
  <c r="R372" i="21"/>
  <c r="Q372" i="21"/>
  <c r="P372" i="21"/>
  <c r="O372" i="21"/>
  <c r="N372" i="21"/>
  <c r="M372" i="21"/>
  <c r="L372" i="21"/>
  <c r="K372" i="21"/>
  <c r="J372" i="21"/>
  <c r="I372" i="21"/>
  <c r="H372" i="21"/>
  <c r="G372" i="21"/>
  <c r="F372" i="21"/>
  <c r="E372" i="21"/>
  <c r="D372" i="21"/>
  <c r="C372" i="21"/>
  <c r="B3" i="22" a="1"/>
  <c r="B3" i="22" s="1"/>
  <c r="B2" i="22" a="1"/>
  <c r="B2" i="22" s="1"/>
  <c r="B1" i="22" a="1"/>
  <c r="B1" i="22" s="1"/>
  <c r="L6" i="18"/>
  <c r="M6" i="18"/>
  <c r="I6" i="18"/>
  <c r="J6" i="18"/>
  <c r="K6" i="18"/>
  <c r="N6" i="18"/>
  <c r="O6" i="18"/>
  <c r="P6" i="18"/>
  <c r="C57" i="12"/>
  <c r="C59" i="12"/>
  <c r="P33" i="6"/>
  <c r="Q33" i="6"/>
  <c r="S31" i="6"/>
  <c r="R33" i="6"/>
  <c r="R23" i="9"/>
  <c r="C59" i="10"/>
  <c r="C59" i="9"/>
  <c r="C59" i="6"/>
  <c r="C59" i="8"/>
  <c r="C59" i="13"/>
  <c r="C59" i="14"/>
  <c r="C59" i="5"/>
  <c r="C55" i="10"/>
  <c r="C55" i="9"/>
  <c r="C55" i="6"/>
  <c r="C55" i="8"/>
  <c r="C55" i="13"/>
  <c r="C55" i="14"/>
  <c r="C55" i="12"/>
  <c r="C55" i="7"/>
  <c r="C55" i="1"/>
  <c r="C55" i="5"/>
  <c r="C51" i="10"/>
  <c r="C51" i="9"/>
  <c r="C51" i="6"/>
  <c r="C51" i="8"/>
  <c r="C51" i="13"/>
  <c r="C51" i="14"/>
  <c r="C51" i="12"/>
  <c r="C51" i="7"/>
  <c r="C51" i="1"/>
  <c r="C51" i="5"/>
  <c r="C57" i="10"/>
  <c r="C57" i="9"/>
  <c r="C57" i="6"/>
  <c r="C57" i="8"/>
  <c r="C57" i="13"/>
  <c r="C57" i="14"/>
  <c r="C57" i="5"/>
  <c r="C53" i="10"/>
  <c r="C53" i="9"/>
  <c r="C53" i="6"/>
  <c r="C53" i="8"/>
  <c r="C53" i="13"/>
  <c r="C53" i="14"/>
  <c r="C53" i="12"/>
  <c r="C53" i="7"/>
  <c r="C53" i="1"/>
  <c r="C53" i="5"/>
  <c r="C49" i="10"/>
  <c r="C49" i="9"/>
  <c r="C49" i="6"/>
  <c r="C49" i="8"/>
  <c r="C49" i="13"/>
  <c r="C49" i="14"/>
  <c r="C49" i="12"/>
  <c r="C49" i="7"/>
  <c r="C49" i="1"/>
  <c r="C49" i="5"/>
  <c r="R37" i="10"/>
  <c r="R41" i="7"/>
  <c r="R41" i="1"/>
  <c r="R37" i="6"/>
  <c r="R37" i="8"/>
  <c r="R37" i="13"/>
  <c r="R37" i="14"/>
  <c r="R37" i="12"/>
  <c r="R37" i="7"/>
  <c r="R37" i="1"/>
  <c r="R33" i="10"/>
  <c r="R33" i="9"/>
  <c r="R33" i="8"/>
  <c r="R33" i="13"/>
  <c r="R33" i="14"/>
  <c r="R33" i="12"/>
  <c r="R33" i="7"/>
  <c r="R33" i="1"/>
  <c r="R23" i="10"/>
  <c r="R23" i="6"/>
  <c r="R41" i="6"/>
  <c r="R23" i="8"/>
  <c r="R23" i="13"/>
  <c r="R41" i="13"/>
  <c r="R23" i="14"/>
  <c r="R23" i="12"/>
  <c r="R23" i="7"/>
  <c r="R23" i="1"/>
  <c r="R13" i="10"/>
  <c r="R13" i="9"/>
  <c r="R13" i="6"/>
  <c r="R13" i="8"/>
  <c r="R13" i="13"/>
  <c r="R13" i="14"/>
  <c r="R13" i="12"/>
  <c r="R41" i="12"/>
  <c r="R13" i="7"/>
  <c r="R13" i="1"/>
  <c r="S31" i="14"/>
  <c r="S27" i="14"/>
  <c r="S21" i="14"/>
  <c r="S17" i="14"/>
  <c r="R41" i="14"/>
  <c r="R41" i="8"/>
  <c r="R41" i="10"/>
  <c r="O14" i="15"/>
  <c r="N12" i="4" s="1"/>
  <c r="P27" i="7"/>
  <c r="O27" i="7"/>
  <c r="N27" i="7"/>
  <c r="M27" i="7"/>
  <c r="L27" i="7"/>
  <c r="K27" i="7"/>
  <c r="J27" i="7"/>
  <c r="I27" i="7"/>
  <c r="H27" i="7"/>
  <c r="G27" i="7"/>
  <c r="F27" i="7"/>
  <c r="P31" i="7"/>
  <c r="O31" i="7"/>
  <c r="N31" i="7"/>
  <c r="M31" i="7"/>
  <c r="L31" i="7"/>
  <c r="K31" i="7"/>
  <c r="J31" i="7"/>
  <c r="I31" i="7"/>
  <c r="H31" i="7"/>
  <c r="G31" i="7"/>
  <c r="F31" i="7"/>
  <c r="E31" i="7"/>
  <c r="E27" i="7"/>
  <c r="P33" i="9"/>
  <c r="P35" i="9"/>
  <c r="O33" i="9"/>
  <c r="O35" i="9"/>
  <c r="N33" i="9"/>
  <c r="N35" i="9"/>
  <c r="M33" i="9"/>
  <c r="M35" i="9"/>
  <c r="L33" i="9"/>
  <c r="L35" i="9"/>
  <c r="K33" i="9"/>
  <c r="J33" i="9"/>
  <c r="I33" i="9"/>
  <c r="H33" i="9"/>
  <c r="H35" i="9"/>
  <c r="G33" i="9"/>
  <c r="G35" i="9"/>
  <c r="F33" i="9"/>
  <c r="E33" i="9"/>
  <c r="P30" i="9"/>
  <c r="O30" i="9"/>
  <c r="N30" i="9"/>
  <c r="M30" i="9"/>
  <c r="L30" i="9"/>
  <c r="K30" i="9"/>
  <c r="J30" i="9"/>
  <c r="I30" i="9"/>
  <c r="H30" i="9"/>
  <c r="G30" i="9"/>
  <c r="F30" i="9"/>
  <c r="E30" i="9"/>
  <c r="P29" i="9"/>
  <c r="O29" i="9"/>
  <c r="N29" i="9"/>
  <c r="M29" i="9"/>
  <c r="L29" i="9"/>
  <c r="K29" i="9"/>
  <c r="J29" i="9"/>
  <c r="I29" i="9"/>
  <c r="H29" i="9"/>
  <c r="G29" i="9"/>
  <c r="F29" i="9"/>
  <c r="E29" i="9"/>
  <c r="P23" i="9"/>
  <c r="P25" i="9"/>
  <c r="O23" i="9"/>
  <c r="N23" i="9"/>
  <c r="M23" i="9"/>
  <c r="L23" i="9"/>
  <c r="L25" i="9"/>
  <c r="K23" i="9"/>
  <c r="K25" i="9"/>
  <c r="J23" i="9"/>
  <c r="J25" i="9"/>
  <c r="I23" i="9"/>
  <c r="H23" i="9"/>
  <c r="G23" i="9"/>
  <c r="F23" i="9"/>
  <c r="F25" i="9"/>
  <c r="E23" i="9"/>
  <c r="P20" i="9"/>
  <c r="O20" i="9"/>
  <c r="N20" i="9"/>
  <c r="M20" i="9"/>
  <c r="L20" i="9"/>
  <c r="K20" i="9"/>
  <c r="J20" i="9"/>
  <c r="I20" i="9"/>
  <c r="H20" i="9"/>
  <c r="G20" i="9"/>
  <c r="F20" i="9"/>
  <c r="E20" i="9"/>
  <c r="P19" i="9"/>
  <c r="O19" i="9"/>
  <c r="N19" i="9"/>
  <c r="M19" i="9"/>
  <c r="L19" i="9"/>
  <c r="K19" i="9"/>
  <c r="J19" i="9"/>
  <c r="I19" i="9"/>
  <c r="H19" i="9"/>
  <c r="G19" i="9"/>
  <c r="F19" i="9"/>
  <c r="E19" i="9"/>
  <c r="P13" i="9"/>
  <c r="Q44" i="2" s="1"/>
  <c r="Q47" i="2" s="1"/>
  <c r="P59" i="4" s="1"/>
  <c r="O13" i="9"/>
  <c r="P44" i="2" s="1"/>
  <c r="P47" i="2" s="1"/>
  <c r="O59" i="4" s="1"/>
  <c r="N13" i="9"/>
  <c r="O44" i="2" s="1"/>
  <c r="O47" i="2" s="1"/>
  <c r="N59" i="4" s="1"/>
  <c r="M13" i="9"/>
  <c r="N44" i="2" s="1"/>
  <c r="N47" i="2" s="1"/>
  <c r="M59" i="4" s="1"/>
  <c r="L13" i="9"/>
  <c r="K13" i="9"/>
  <c r="K41" i="9" s="1"/>
  <c r="J13" i="9"/>
  <c r="J41" i="9" s="1"/>
  <c r="J15" i="9"/>
  <c r="I13" i="9"/>
  <c r="I41" i="9" s="1"/>
  <c r="H13" i="9"/>
  <c r="H41" i="9" s="1"/>
  <c r="G13" i="9"/>
  <c r="G41" i="9" s="1"/>
  <c r="F13" i="9"/>
  <c r="F41" i="9" s="1"/>
  <c r="F15" i="9"/>
  <c r="E13" i="9"/>
  <c r="F16" i="9" s="1"/>
  <c r="P10" i="9"/>
  <c r="O10" i="9"/>
  <c r="N10" i="9"/>
  <c r="M10" i="9"/>
  <c r="L10" i="9"/>
  <c r="K10" i="9"/>
  <c r="J10" i="9"/>
  <c r="I10" i="9"/>
  <c r="H10" i="9"/>
  <c r="G10" i="9"/>
  <c r="F10" i="9"/>
  <c r="E10" i="9"/>
  <c r="P9" i="9"/>
  <c r="O9" i="9"/>
  <c r="N9" i="9"/>
  <c r="M9" i="9"/>
  <c r="L9" i="9"/>
  <c r="K9" i="9"/>
  <c r="J9" i="9"/>
  <c r="I9" i="9"/>
  <c r="H9" i="9"/>
  <c r="G9" i="9"/>
  <c r="F9" i="9"/>
  <c r="E9" i="9"/>
  <c r="G25" i="9"/>
  <c r="H25" i="9"/>
  <c r="P26" i="9"/>
  <c r="M25" i="9"/>
  <c r="I35" i="9"/>
  <c r="N25" i="9"/>
  <c r="J35" i="9"/>
  <c r="O25" i="9"/>
  <c r="K35" i="9"/>
  <c r="L26" i="9"/>
  <c r="E25" i="9"/>
  <c r="P36" i="9"/>
  <c r="F36" i="9"/>
  <c r="N36" i="9"/>
  <c r="G10" i="15"/>
  <c r="F8" i="4" s="1"/>
  <c r="J26" i="9"/>
  <c r="I25" i="9"/>
  <c r="E26" i="9"/>
  <c r="M26" i="9"/>
  <c r="E35" i="9"/>
  <c r="I36" i="9"/>
  <c r="F26" i="9"/>
  <c r="N26" i="9"/>
  <c r="F35" i="9"/>
  <c r="J36" i="9"/>
  <c r="G36" i="9"/>
  <c r="G26" i="9"/>
  <c r="O26" i="9"/>
  <c r="K36" i="9"/>
  <c r="H26" i="9"/>
  <c r="L36" i="9"/>
  <c r="I26" i="9"/>
  <c r="E36" i="9"/>
  <c r="M36" i="9"/>
  <c r="O36" i="9"/>
  <c r="K26" i="9"/>
  <c r="H36" i="9"/>
  <c r="E34" i="5"/>
  <c r="Q34" i="5" s="1"/>
  <c r="P35" i="5"/>
  <c r="P38" i="2"/>
  <c r="N38" i="2"/>
  <c r="M38" i="2"/>
  <c r="L38" i="2"/>
  <c r="K38" i="2"/>
  <c r="J38" i="2"/>
  <c r="H35" i="5"/>
  <c r="G33" i="5"/>
  <c r="H38" i="2" s="1"/>
  <c r="F33" i="5"/>
  <c r="F35" i="5" s="1"/>
  <c r="E33" i="5"/>
  <c r="P30" i="5"/>
  <c r="O30" i="5"/>
  <c r="N30" i="5"/>
  <c r="M30" i="5"/>
  <c r="L30" i="5"/>
  <c r="K30" i="5"/>
  <c r="J30" i="5"/>
  <c r="I30" i="5"/>
  <c r="H30" i="5"/>
  <c r="G30" i="5"/>
  <c r="E30" i="5"/>
  <c r="P29" i="5"/>
  <c r="O29" i="5"/>
  <c r="N29" i="5"/>
  <c r="M29" i="5"/>
  <c r="L29" i="5"/>
  <c r="K29" i="5"/>
  <c r="J29" i="5"/>
  <c r="I29" i="5"/>
  <c r="H29" i="5"/>
  <c r="G29" i="5"/>
  <c r="F29" i="5"/>
  <c r="E29" i="5"/>
  <c r="P19" i="5"/>
  <c r="O19" i="5"/>
  <c r="H19" i="5"/>
  <c r="G19" i="5"/>
  <c r="F19" i="5"/>
  <c r="E13" i="5"/>
  <c r="I9" i="5"/>
  <c r="E10" i="5"/>
  <c r="N13" i="5"/>
  <c r="N15" i="5" s="1"/>
  <c r="L9" i="5"/>
  <c r="I23" i="5"/>
  <c r="I25" i="5" s="1"/>
  <c r="N19" i="5"/>
  <c r="K9" i="5"/>
  <c r="M9" i="5"/>
  <c r="M13" i="5"/>
  <c r="N36" i="2" s="1"/>
  <c r="L23" i="5"/>
  <c r="M37" i="2" s="1"/>
  <c r="H9" i="5"/>
  <c r="P9" i="5"/>
  <c r="M23" i="5"/>
  <c r="N37" i="2" s="1"/>
  <c r="L19" i="5"/>
  <c r="F10" i="5"/>
  <c r="I13" i="5"/>
  <c r="I15" i="5" s="1"/>
  <c r="F23" i="5"/>
  <c r="F25" i="5" s="1"/>
  <c r="M19" i="5"/>
  <c r="N9" i="5"/>
  <c r="K19" i="5"/>
  <c r="G23" i="5"/>
  <c r="J9" i="5"/>
  <c r="H23" i="5"/>
  <c r="I37" i="2" s="1"/>
  <c r="P23" i="5"/>
  <c r="Q37" i="2" s="1"/>
  <c r="M35" i="5"/>
  <c r="O23" i="5"/>
  <c r="P6" i="15"/>
  <c r="O4" i="4" s="1"/>
  <c r="L13" i="5"/>
  <c r="I19" i="5"/>
  <c r="N35" i="5"/>
  <c r="J19" i="5"/>
  <c r="G13" i="5"/>
  <c r="G9" i="5"/>
  <c r="O9" i="5"/>
  <c r="O13" i="5"/>
  <c r="L10" i="5"/>
  <c r="M10" i="5"/>
  <c r="E19" i="5"/>
  <c r="O20" i="5"/>
  <c r="G20" i="5"/>
  <c r="N20" i="5"/>
  <c r="F20" i="5"/>
  <c r="M20" i="5"/>
  <c r="E20" i="5"/>
  <c r="L20" i="5"/>
  <c r="K20" i="5"/>
  <c r="J20" i="5"/>
  <c r="I20" i="5"/>
  <c r="E24" i="5"/>
  <c r="F37" i="15" s="1"/>
  <c r="J13" i="5"/>
  <c r="N10" i="5"/>
  <c r="H20" i="5"/>
  <c r="K13" i="5"/>
  <c r="P20" i="5"/>
  <c r="L35" i="5"/>
  <c r="F9" i="5"/>
  <c r="G10" i="5"/>
  <c r="O10" i="5"/>
  <c r="N23" i="5"/>
  <c r="O37" i="2" s="1"/>
  <c r="J23" i="5"/>
  <c r="J25" i="5" s="1"/>
  <c r="H10" i="5"/>
  <c r="P13" i="5"/>
  <c r="Q36" i="2" s="1"/>
  <c r="K23" i="5"/>
  <c r="K25" i="5" s="1"/>
  <c r="P10" i="5"/>
  <c r="H13" i="5"/>
  <c r="E9" i="5"/>
  <c r="I10" i="5"/>
  <c r="E14" i="5"/>
  <c r="J10" i="5"/>
  <c r="K10" i="5"/>
  <c r="O15" i="5"/>
  <c r="J15" i="5"/>
  <c r="Q29" i="2"/>
  <c r="P29" i="2"/>
  <c r="O29" i="2"/>
  <c r="N29" i="2"/>
  <c r="M29" i="2"/>
  <c r="L29" i="2"/>
  <c r="K29" i="2"/>
  <c r="J29" i="2"/>
  <c r="I29" i="2"/>
  <c r="H29" i="2"/>
  <c r="G29" i="2"/>
  <c r="F29" i="2"/>
  <c r="Q25" i="2"/>
  <c r="P25" i="2"/>
  <c r="O25" i="2"/>
  <c r="N25" i="2"/>
  <c r="M25" i="2"/>
  <c r="L25" i="2"/>
  <c r="K25" i="2"/>
  <c r="J25" i="2"/>
  <c r="I25" i="2"/>
  <c r="H25" i="2"/>
  <c r="G25" i="2"/>
  <c r="Q24" i="2"/>
  <c r="P24" i="2"/>
  <c r="O24" i="2"/>
  <c r="N24" i="2"/>
  <c r="M24" i="2"/>
  <c r="L24" i="2"/>
  <c r="K24" i="2"/>
  <c r="J24" i="2"/>
  <c r="I24" i="2"/>
  <c r="H24" i="2"/>
  <c r="G24" i="2"/>
  <c r="Q23" i="2"/>
  <c r="P23" i="2"/>
  <c r="O23" i="2"/>
  <c r="N23" i="2"/>
  <c r="M23" i="2"/>
  <c r="L23" i="2"/>
  <c r="K23" i="2"/>
  <c r="J23" i="2"/>
  <c r="I23" i="2"/>
  <c r="H23" i="2"/>
  <c r="G23" i="2"/>
  <c r="F25" i="2"/>
  <c r="F24" i="2"/>
  <c r="F23" i="2"/>
  <c r="P37" i="14"/>
  <c r="O37" i="14"/>
  <c r="N37" i="14"/>
  <c r="M37" i="14"/>
  <c r="L37" i="14"/>
  <c r="K37" i="14"/>
  <c r="J37" i="14"/>
  <c r="I37" i="14"/>
  <c r="H37" i="14"/>
  <c r="G37" i="14"/>
  <c r="F37" i="14"/>
  <c r="E37" i="14"/>
  <c r="Q34" i="14"/>
  <c r="S34" i="14"/>
  <c r="P35" i="14"/>
  <c r="O35" i="14"/>
  <c r="N35" i="14"/>
  <c r="L35" i="14"/>
  <c r="K35" i="14"/>
  <c r="J35" i="14"/>
  <c r="I35" i="14"/>
  <c r="H35" i="14"/>
  <c r="G35" i="14"/>
  <c r="Q32" i="14"/>
  <c r="S32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Q28" i="14"/>
  <c r="S28" i="14"/>
  <c r="Q24" i="14"/>
  <c r="S24" i="14"/>
  <c r="P25" i="14"/>
  <c r="O25" i="14"/>
  <c r="N25" i="14"/>
  <c r="M25" i="14"/>
  <c r="L25" i="14"/>
  <c r="K25" i="14"/>
  <c r="J25" i="14"/>
  <c r="F25" i="14"/>
  <c r="E25" i="14"/>
  <c r="Q22" i="14"/>
  <c r="S22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Q18" i="14"/>
  <c r="S18" i="14"/>
  <c r="P13" i="14"/>
  <c r="Q62" i="2"/>
  <c r="O13" i="14"/>
  <c r="N13" i="14"/>
  <c r="O62" i="2"/>
  <c r="M13" i="14"/>
  <c r="L13" i="14"/>
  <c r="K13" i="14"/>
  <c r="J13" i="14"/>
  <c r="I13" i="14"/>
  <c r="H13" i="14"/>
  <c r="G13" i="14"/>
  <c r="F13" i="14"/>
  <c r="G62" i="2"/>
  <c r="E13" i="14"/>
  <c r="Q11" i="14"/>
  <c r="S11" i="14"/>
  <c r="Q7" i="14"/>
  <c r="S7" i="14"/>
  <c r="P37" i="13"/>
  <c r="O37" i="13"/>
  <c r="N37" i="13"/>
  <c r="M37" i="13"/>
  <c r="L37" i="13"/>
  <c r="K37" i="13"/>
  <c r="J37" i="13"/>
  <c r="I37" i="13"/>
  <c r="H37" i="13"/>
  <c r="G37" i="13"/>
  <c r="F37" i="13"/>
  <c r="E37" i="13"/>
  <c r="P33" i="13"/>
  <c r="O33" i="13"/>
  <c r="N33" i="13"/>
  <c r="M33" i="13"/>
  <c r="L33" i="13"/>
  <c r="K33" i="13"/>
  <c r="J33" i="13"/>
  <c r="K58" i="2"/>
  <c r="I33" i="13"/>
  <c r="H33" i="13"/>
  <c r="G33" i="13"/>
  <c r="F33" i="13"/>
  <c r="E33" i="13"/>
  <c r="Q31" i="13"/>
  <c r="S31" i="13"/>
  <c r="Q27" i="13"/>
  <c r="S27" i="13"/>
  <c r="P23" i="13"/>
  <c r="Q57" i="2"/>
  <c r="O23" i="13"/>
  <c r="P57" i="2"/>
  <c r="N23" i="13"/>
  <c r="M23" i="13"/>
  <c r="L23" i="13"/>
  <c r="K23" i="13"/>
  <c r="L57" i="2"/>
  <c r="J23" i="13"/>
  <c r="K57" i="2"/>
  <c r="I23" i="13"/>
  <c r="H23" i="13"/>
  <c r="G23" i="13"/>
  <c r="H57" i="2"/>
  <c r="F23" i="13"/>
  <c r="E23" i="13"/>
  <c r="Q21" i="13"/>
  <c r="S21" i="13"/>
  <c r="Q17" i="13"/>
  <c r="S17" i="13"/>
  <c r="P13" i="13"/>
  <c r="O13" i="13"/>
  <c r="N13" i="13"/>
  <c r="O56" i="2"/>
  <c r="M13" i="13"/>
  <c r="N56" i="2"/>
  <c r="L13" i="13"/>
  <c r="M56" i="2"/>
  <c r="K13" i="13"/>
  <c r="L56" i="2"/>
  <c r="J13" i="13"/>
  <c r="K56" i="2"/>
  <c r="I13" i="13"/>
  <c r="H13" i="13"/>
  <c r="G13" i="13"/>
  <c r="F13" i="13"/>
  <c r="G56" i="2"/>
  <c r="E13" i="13"/>
  <c r="Q11" i="13"/>
  <c r="S11" i="13"/>
  <c r="Q7" i="13"/>
  <c r="S7" i="13"/>
  <c r="J36" i="14"/>
  <c r="M41" i="13"/>
  <c r="Q29" i="14"/>
  <c r="Q19" i="14"/>
  <c r="F26" i="14"/>
  <c r="F35" i="14"/>
  <c r="I62" i="2"/>
  <c r="P41" i="13"/>
  <c r="I36" i="14"/>
  <c r="M36" i="14"/>
  <c r="F56" i="2"/>
  <c r="I57" i="2"/>
  <c r="N58" i="2"/>
  <c r="J62" i="2"/>
  <c r="F57" i="2"/>
  <c r="J57" i="2"/>
  <c r="G58" i="2"/>
  <c r="O58" i="2"/>
  <c r="K62" i="2"/>
  <c r="J41" i="13"/>
  <c r="L41" i="14"/>
  <c r="K36" i="14"/>
  <c r="F58" i="2"/>
  <c r="H58" i="2"/>
  <c r="P58" i="2"/>
  <c r="L62" i="2"/>
  <c r="N41" i="13"/>
  <c r="Q37" i="14"/>
  <c r="S37" i="14"/>
  <c r="K41" i="13"/>
  <c r="H41" i="13"/>
  <c r="M41" i="14"/>
  <c r="O26" i="14"/>
  <c r="L36" i="14"/>
  <c r="I58" i="2"/>
  <c r="Q58" i="2"/>
  <c r="M62" i="2"/>
  <c r="I41" i="14"/>
  <c r="M58" i="2"/>
  <c r="Q37" i="13"/>
  <c r="S37" i="13"/>
  <c r="I41" i="13"/>
  <c r="F41" i="14"/>
  <c r="N41" i="14"/>
  <c r="E26" i="14"/>
  <c r="H56" i="2"/>
  <c r="P56" i="2"/>
  <c r="M57" i="2"/>
  <c r="J58" i="2"/>
  <c r="F62" i="2"/>
  <c r="N62" i="2"/>
  <c r="O41" i="14"/>
  <c r="P26" i="14"/>
  <c r="I56" i="2"/>
  <c r="Q56" i="2"/>
  <c r="N57" i="2"/>
  <c r="L41" i="13"/>
  <c r="P41" i="14"/>
  <c r="H41" i="14"/>
  <c r="J56" i="2"/>
  <c r="G57" i="2"/>
  <c r="O57" i="2"/>
  <c r="L58" i="2"/>
  <c r="H62" i="2"/>
  <c r="P62" i="2"/>
  <c r="M35" i="14"/>
  <c r="Q23" i="13"/>
  <c r="S23" i="13"/>
  <c r="O41" i="13"/>
  <c r="H25" i="14"/>
  <c r="G26" i="14"/>
  <c r="J41" i="14"/>
  <c r="Q13" i="14"/>
  <c r="S13" i="14"/>
  <c r="I25" i="14"/>
  <c r="H26" i="14"/>
  <c r="Q33" i="14"/>
  <c r="S33" i="14"/>
  <c r="N36" i="14"/>
  <c r="K41" i="14"/>
  <c r="O36" i="14"/>
  <c r="G41" i="14"/>
  <c r="G25" i="14"/>
  <c r="E41" i="13"/>
  <c r="F41" i="13"/>
  <c r="J26" i="14"/>
  <c r="E35" i="14"/>
  <c r="P36" i="14"/>
  <c r="I26" i="14"/>
  <c r="Q13" i="13"/>
  <c r="S13" i="13"/>
  <c r="G41" i="13"/>
  <c r="K26" i="14"/>
  <c r="E36" i="14"/>
  <c r="F36" i="14"/>
  <c r="G36" i="14"/>
  <c r="L26" i="14"/>
  <c r="M26" i="14"/>
  <c r="Q23" i="14"/>
  <c r="S23" i="14"/>
  <c r="N26" i="14"/>
  <c r="H36" i="14"/>
  <c r="E41" i="14"/>
  <c r="Q33" i="13"/>
  <c r="S33" i="13"/>
  <c r="Q25" i="14"/>
  <c r="Q35" i="14"/>
  <c r="Q41" i="13"/>
  <c r="S41" i="13"/>
  <c r="Q41" i="14"/>
  <c r="S41" i="14"/>
  <c r="O38" i="2"/>
  <c r="P36" i="2"/>
  <c r="K36" i="2"/>
  <c r="G36" i="2"/>
  <c r="Q59" i="2"/>
  <c r="P59" i="2"/>
  <c r="O59" i="2"/>
  <c r="N59" i="2"/>
  <c r="M59" i="2"/>
  <c r="L59" i="2"/>
  <c r="K59" i="2"/>
  <c r="J59" i="2"/>
  <c r="I59" i="2"/>
  <c r="H59" i="2"/>
  <c r="G59" i="2"/>
  <c r="F59" i="2"/>
  <c r="R58" i="2"/>
  <c r="R57" i="2"/>
  <c r="R56" i="2"/>
  <c r="P21" i="12"/>
  <c r="O21" i="12"/>
  <c r="N21" i="12"/>
  <c r="M21" i="12"/>
  <c r="L21" i="12"/>
  <c r="K21" i="12"/>
  <c r="J21" i="12"/>
  <c r="I21" i="12"/>
  <c r="H21" i="12"/>
  <c r="G21" i="12"/>
  <c r="F21" i="12"/>
  <c r="E21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P7" i="12"/>
  <c r="O7" i="12"/>
  <c r="N7" i="12"/>
  <c r="M7" i="12"/>
  <c r="L7" i="12"/>
  <c r="K7" i="12"/>
  <c r="J7" i="12"/>
  <c r="I7" i="12"/>
  <c r="H7" i="12"/>
  <c r="G7" i="12"/>
  <c r="F7" i="12"/>
  <c r="E7" i="12"/>
  <c r="Q68" i="12"/>
  <c r="Q67" i="12"/>
  <c r="Q66" i="12"/>
  <c r="Q65" i="12"/>
  <c r="Q32" i="2"/>
  <c r="P32" i="2"/>
  <c r="O32" i="2"/>
  <c r="N32" i="2"/>
  <c r="M32" i="2"/>
  <c r="L32" i="2"/>
  <c r="K32" i="2"/>
  <c r="J32" i="2"/>
  <c r="I32" i="2"/>
  <c r="H32" i="2"/>
  <c r="G32" i="2"/>
  <c r="Q31" i="2"/>
  <c r="P31" i="2"/>
  <c r="O31" i="2"/>
  <c r="N31" i="2"/>
  <c r="M31" i="2"/>
  <c r="L31" i="2"/>
  <c r="K31" i="2"/>
  <c r="J31" i="2"/>
  <c r="I31" i="2"/>
  <c r="H31" i="2"/>
  <c r="G31" i="2"/>
  <c r="F32" i="2"/>
  <c r="P27" i="1"/>
  <c r="O27" i="1"/>
  <c r="N27" i="1"/>
  <c r="M27" i="1"/>
  <c r="L27" i="1"/>
  <c r="K27" i="1"/>
  <c r="J27" i="1"/>
  <c r="I27" i="1"/>
  <c r="H27" i="1"/>
  <c r="G27" i="1"/>
  <c r="F27" i="1"/>
  <c r="P31" i="1"/>
  <c r="E27" i="1"/>
  <c r="N33" i="2"/>
  <c r="K27" i="2"/>
  <c r="O27" i="2"/>
  <c r="N28" i="2"/>
  <c r="Q27" i="2"/>
  <c r="P33" i="2"/>
  <c r="P34" i="2"/>
  <c r="H28" i="2"/>
  <c r="H33" i="2"/>
  <c r="H34" i="2"/>
  <c r="P28" i="2"/>
  <c r="J33" i="2"/>
  <c r="J34" i="2"/>
  <c r="G27" i="2"/>
  <c r="L33" i="2"/>
  <c r="L34" i="2"/>
  <c r="I27" i="2"/>
  <c r="K33" i="2"/>
  <c r="J27" i="2"/>
  <c r="G28" i="2"/>
  <c r="O28" i="2"/>
  <c r="O30" i="2"/>
  <c r="M33" i="2"/>
  <c r="M34" i="2"/>
  <c r="L27" i="2"/>
  <c r="I28" i="2"/>
  <c r="I30" i="2"/>
  <c r="Q28" i="2"/>
  <c r="F27" i="2"/>
  <c r="M27" i="2"/>
  <c r="J28" i="2"/>
  <c r="R33" i="15"/>
  <c r="F33" i="2"/>
  <c r="G33" i="2"/>
  <c r="G34" i="2"/>
  <c r="O33" i="2"/>
  <c r="O34" i="2"/>
  <c r="F28" i="2"/>
  <c r="N27" i="2"/>
  <c r="N30" i="2"/>
  <c r="K28" i="2"/>
  <c r="K30" i="2"/>
  <c r="L28" i="2"/>
  <c r="L30" i="2"/>
  <c r="I33" i="2"/>
  <c r="I34" i="2"/>
  <c r="Q33" i="2"/>
  <c r="H27" i="2"/>
  <c r="P27" i="2"/>
  <c r="M28" i="2"/>
  <c r="R59" i="2"/>
  <c r="R62" i="2"/>
  <c r="F31" i="2"/>
  <c r="R31" i="2"/>
  <c r="P37" i="12"/>
  <c r="O37" i="12"/>
  <c r="N37" i="12"/>
  <c r="M37" i="12"/>
  <c r="L37" i="12"/>
  <c r="K37" i="12"/>
  <c r="J37" i="12"/>
  <c r="I37" i="12"/>
  <c r="H37" i="12"/>
  <c r="G37" i="12"/>
  <c r="F37" i="12"/>
  <c r="E37" i="12"/>
  <c r="Q34" i="12"/>
  <c r="S34" i="12"/>
  <c r="P35" i="12"/>
  <c r="O35" i="12"/>
  <c r="N35" i="12"/>
  <c r="M35" i="12"/>
  <c r="L35" i="12"/>
  <c r="K35" i="12"/>
  <c r="J35" i="12"/>
  <c r="I35" i="12"/>
  <c r="H35" i="12"/>
  <c r="G35" i="12"/>
  <c r="F35" i="12"/>
  <c r="Q32" i="12"/>
  <c r="S32" i="12"/>
  <c r="Q31" i="12"/>
  <c r="S31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Q28" i="12"/>
  <c r="S28" i="12"/>
  <c r="Q27" i="12"/>
  <c r="S27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Q21" i="12"/>
  <c r="S21" i="12"/>
  <c r="Q17" i="12"/>
  <c r="S17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Q11" i="12"/>
  <c r="S11" i="12"/>
  <c r="Q7" i="12"/>
  <c r="S7" i="12"/>
  <c r="Q21" i="2"/>
  <c r="P21" i="2"/>
  <c r="O21" i="2"/>
  <c r="N21" i="2"/>
  <c r="M21" i="2"/>
  <c r="L21" i="2"/>
  <c r="K21" i="2"/>
  <c r="J21" i="2"/>
  <c r="J22" i="2"/>
  <c r="I21" i="2"/>
  <c r="H21" i="2"/>
  <c r="G21" i="2"/>
  <c r="Q20" i="2"/>
  <c r="P20" i="2"/>
  <c r="O20" i="2"/>
  <c r="N20" i="2"/>
  <c r="M20" i="2"/>
  <c r="L20" i="2"/>
  <c r="K20" i="2"/>
  <c r="J20" i="2"/>
  <c r="I20" i="2"/>
  <c r="H20" i="2"/>
  <c r="G20" i="2"/>
  <c r="Q19" i="2"/>
  <c r="P19" i="2"/>
  <c r="O19" i="2"/>
  <c r="N19" i="2"/>
  <c r="M19" i="2"/>
  <c r="L19" i="2"/>
  <c r="K19" i="2"/>
  <c r="J19" i="2"/>
  <c r="I19" i="2"/>
  <c r="H19" i="2"/>
  <c r="G19" i="2"/>
  <c r="F21" i="2"/>
  <c r="F20" i="2"/>
  <c r="F19" i="2"/>
  <c r="Q17" i="2"/>
  <c r="P17" i="2"/>
  <c r="O17" i="2"/>
  <c r="N17" i="2"/>
  <c r="M17" i="2"/>
  <c r="L17" i="2"/>
  <c r="K17" i="2"/>
  <c r="J17" i="2"/>
  <c r="I17" i="2"/>
  <c r="H17" i="2"/>
  <c r="G17" i="2"/>
  <c r="Q16" i="2"/>
  <c r="P16" i="2"/>
  <c r="O16" i="2"/>
  <c r="N16" i="2"/>
  <c r="M16" i="2"/>
  <c r="L16" i="2"/>
  <c r="K16" i="2"/>
  <c r="J16" i="2"/>
  <c r="I16" i="2"/>
  <c r="H16" i="2"/>
  <c r="G16" i="2"/>
  <c r="Q15" i="2"/>
  <c r="P15" i="2"/>
  <c r="O15" i="2"/>
  <c r="N15" i="2"/>
  <c r="M15" i="2"/>
  <c r="L15" i="2"/>
  <c r="K15" i="2"/>
  <c r="J15" i="2"/>
  <c r="I15" i="2"/>
  <c r="H15" i="2"/>
  <c r="G15" i="2"/>
  <c r="F17" i="2"/>
  <c r="F16" i="2"/>
  <c r="F15" i="2"/>
  <c r="F18" i="2"/>
  <c r="Q11" i="2"/>
  <c r="Q14" i="2" s="1"/>
  <c r="P11" i="4" s="1"/>
  <c r="P11" i="2"/>
  <c r="O11" i="2"/>
  <c r="N11" i="2"/>
  <c r="M11" i="2"/>
  <c r="L11" i="2"/>
  <c r="L14" i="2" s="1"/>
  <c r="K11" i="4" s="1"/>
  <c r="K11" i="2"/>
  <c r="J11" i="2"/>
  <c r="I11" i="2"/>
  <c r="H11" i="2"/>
  <c r="H14" i="2" s="1"/>
  <c r="G11" i="4" s="1"/>
  <c r="G11" i="2"/>
  <c r="R11" i="2" s="1"/>
  <c r="R14" i="2" s="1"/>
  <c r="Q34" i="2"/>
  <c r="N34" i="2"/>
  <c r="Q30" i="2"/>
  <c r="M30" i="2"/>
  <c r="Q26" i="2"/>
  <c r="P26" i="2"/>
  <c r="O26" i="2"/>
  <c r="N26" i="2"/>
  <c r="M26" i="2"/>
  <c r="L26" i="2"/>
  <c r="K26" i="2"/>
  <c r="J26" i="2"/>
  <c r="I26" i="2"/>
  <c r="H26" i="2"/>
  <c r="G26" i="2"/>
  <c r="F26" i="2"/>
  <c r="F11" i="2"/>
  <c r="F14" i="2" s="1"/>
  <c r="E11" i="4" s="1"/>
  <c r="R32" i="2"/>
  <c r="R29" i="2"/>
  <c r="R25" i="2"/>
  <c r="R24" i="2"/>
  <c r="R23" i="2"/>
  <c r="Q9" i="2"/>
  <c r="P9" i="2"/>
  <c r="O9" i="2"/>
  <c r="N9" i="2"/>
  <c r="N10" i="2" s="1"/>
  <c r="M7" i="4" s="1"/>
  <c r="M9" i="2"/>
  <c r="M10" i="2" s="1"/>
  <c r="L7" i="4" s="1"/>
  <c r="L9" i="2"/>
  <c r="L10" i="2" s="1"/>
  <c r="K7" i="4" s="1"/>
  <c r="K9" i="2"/>
  <c r="J9" i="2"/>
  <c r="I9" i="2"/>
  <c r="H9" i="2"/>
  <c r="G9" i="2"/>
  <c r="Q8" i="2"/>
  <c r="P8" i="2"/>
  <c r="O8" i="2"/>
  <c r="N8" i="2"/>
  <c r="M8" i="2"/>
  <c r="L8" i="2"/>
  <c r="K8" i="2"/>
  <c r="J8" i="2"/>
  <c r="I8" i="2"/>
  <c r="I10" i="2" s="1"/>
  <c r="H7" i="4" s="1"/>
  <c r="H8" i="2"/>
  <c r="G8" i="2"/>
  <c r="Q7" i="2"/>
  <c r="P7" i="2"/>
  <c r="O7" i="2"/>
  <c r="N7" i="2"/>
  <c r="M7" i="2"/>
  <c r="L7" i="2"/>
  <c r="K7" i="2"/>
  <c r="J7" i="2"/>
  <c r="I7" i="2"/>
  <c r="H7" i="2"/>
  <c r="G7" i="2"/>
  <c r="F9" i="2"/>
  <c r="F8" i="2"/>
  <c r="F7" i="2"/>
  <c r="R7" i="2" s="1"/>
  <c r="Q5" i="2"/>
  <c r="P5" i="2"/>
  <c r="O5" i="2"/>
  <c r="N5" i="2"/>
  <c r="M5" i="2"/>
  <c r="L5" i="2"/>
  <c r="K5" i="2"/>
  <c r="J5" i="2"/>
  <c r="I5" i="2"/>
  <c r="H5" i="2"/>
  <c r="G5" i="2"/>
  <c r="Q4" i="2"/>
  <c r="P4" i="2"/>
  <c r="O4" i="2"/>
  <c r="N4" i="2"/>
  <c r="M4" i="2"/>
  <c r="L4" i="2"/>
  <c r="K4" i="2"/>
  <c r="J4" i="2"/>
  <c r="I4" i="2"/>
  <c r="H4" i="2"/>
  <c r="G4" i="2"/>
  <c r="F5" i="2"/>
  <c r="F4" i="2"/>
  <c r="Q3" i="2"/>
  <c r="Q6" i="2" s="1"/>
  <c r="P3" i="4" s="1"/>
  <c r="P3" i="2"/>
  <c r="O3" i="2"/>
  <c r="O6" i="2" s="1"/>
  <c r="N3" i="4" s="1"/>
  <c r="N3" i="2"/>
  <c r="N6" i="2" s="1"/>
  <c r="M3" i="4" s="1"/>
  <c r="M3" i="2"/>
  <c r="L3" i="2"/>
  <c r="K3" i="2"/>
  <c r="J3" i="2"/>
  <c r="J6" i="2" s="1"/>
  <c r="I3" i="4" s="1"/>
  <c r="I3" i="2"/>
  <c r="H3" i="2"/>
  <c r="G3" i="2"/>
  <c r="F3" i="2"/>
  <c r="F6" i="2" s="1"/>
  <c r="E3" i="4" s="1"/>
  <c r="Q31" i="10"/>
  <c r="S31" i="10" s="1"/>
  <c r="Q28" i="10"/>
  <c r="S28" i="10" s="1"/>
  <c r="Q27" i="10"/>
  <c r="S27" i="10" s="1"/>
  <c r="Q21" i="10"/>
  <c r="S21" i="10"/>
  <c r="Q18" i="10"/>
  <c r="Q17" i="10"/>
  <c r="S17" i="10" s="1"/>
  <c r="Q11" i="10"/>
  <c r="S11" i="10"/>
  <c r="Q8" i="10"/>
  <c r="S8" i="10" s="1"/>
  <c r="Q7" i="10"/>
  <c r="S7" i="10"/>
  <c r="H30" i="2"/>
  <c r="K18" i="2"/>
  <c r="O22" i="2"/>
  <c r="J30" i="2"/>
  <c r="P30" i="2"/>
  <c r="F30" i="2"/>
  <c r="G30" i="2"/>
  <c r="I22" i="2"/>
  <c r="R33" i="2"/>
  <c r="K22" i="2"/>
  <c r="H22" i="2"/>
  <c r="P60" i="2"/>
  <c r="L40" i="2"/>
  <c r="H41" i="2"/>
  <c r="P41" i="2"/>
  <c r="I42" i="2"/>
  <c r="Q42" i="2"/>
  <c r="R27" i="2"/>
  <c r="I60" i="2"/>
  <c r="Q60" i="2"/>
  <c r="G61" i="2"/>
  <c r="O61" i="2"/>
  <c r="N61" i="2"/>
  <c r="Q41" i="2"/>
  <c r="Q43" i="2" s="1"/>
  <c r="P55" i="4" s="1"/>
  <c r="J42" i="2"/>
  <c r="R28" i="2"/>
  <c r="K34" i="2"/>
  <c r="J60" i="2"/>
  <c r="H61" i="2"/>
  <c r="P61" i="2"/>
  <c r="G41" i="2"/>
  <c r="P42" i="2"/>
  <c r="M40" i="2"/>
  <c r="I41" i="2"/>
  <c r="Q13" i="10"/>
  <c r="S13" i="10" s="1"/>
  <c r="F40" i="2"/>
  <c r="N40" i="2"/>
  <c r="J41" i="2"/>
  <c r="K42" i="2"/>
  <c r="K60" i="2"/>
  <c r="I61" i="2"/>
  <c r="Q61" i="2"/>
  <c r="H60" i="2"/>
  <c r="F61" i="2"/>
  <c r="G40" i="2"/>
  <c r="O40" i="2"/>
  <c r="K41" i="2"/>
  <c r="L42" i="2"/>
  <c r="L60" i="2"/>
  <c r="J61" i="2"/>
  <c r="H40" i="2"/>
  <c r="P40" i="2"/>
  <c r="P43" i="2" s="1"/>
  <c r="O55" i="4" s="1"/>
  <c r="L41" i="2"/>
  <c r="Q32" i="10"/>
  <c r="S32" i="10" s="1"/>
  <c r="M42" i="2"/>
  <c r="O18" i="2"/>
  <c r="M60" i="2"/>
  <c r="K61" i="2"/>
  <c r="H42" i="2"/>
  <c r="Q40" i="2"/>
  <c r="M41" i="2"/>
  <c r="N42" i="2"/>
  <c r="N60" i="2"/>
  <c r="K40" i="2"/>
  <c r="O41" i="2"/>
  <c r="I40" i="2"/>
  <c r="F42" i="2"/>
  <c r="F22" i="2"/>
  <c r="F60" i="2"/>
  <c r="L61" i="2"/>
  <c r="J40" i="2"/>
  <c r="Q23" i="10"/>
  <c r="S23" i="10" s="1"/>
  <c r="F41" i="2"/>
  <c r="N41" i="2"/>
  <c r="G42" i="2"/>
  <c r="O42" i="2"/>
  <c r="G60" i="2"/>
  <c r="O60" i="2"/>
  <c r="M61" i="2"/>
  <c r="Q29" i="12"/>
  <c r="K14" i="2"/>
  <c r="J11" i="4" s="1"/>
  <c r="J14" i="2"/>
  <c r="I11" i="4" s="1"/>
  <c r="J18" i="2"/>
  <c r="I18" i="2"/>
  <c r="I14" i="2"/>
  <c r="H11" i="4" s="1"/>
  <c r="L18" i="2"/>
  <c r="L22" i="2"/>
  <c r="R26" i="2"/>
  <c r="M18" i="2"/>
  <c r="M22" i="2"/>
  <c r="G10" i="2"/>
  <c r="F7" i="4"/>
  <c r="N18" i="2"/>
  <c r="N22" i="2"/>
  <c r="M14" i="2"/>
  <c r="L11" i="4" s="1"/>
  <c r="O14" i="2"/>
  <c r="P14" i="2"/>
  <c r="O11" i="4" s="1"/>
  <c r="P18" i="2"/>
  <c r="Q18" i="2"/>
  <c r="R17" i="2"/>
  <c r="R21" i="2"/>
  <c r="R16" i="2"/>
  <c r="G18" i="2"/>
  <c r="R19" i="2"/>
  <c r="N14" i="2"/>
  <c r="P22" i="2"/>
  <c r="Q22" i="2"/>
  <c r="H18" i="2"/>
  <c r="G22" i="2"/>
  <c r="R30" i="2"/>
  <c r="K36" i="12"/>
  <c r="P41" i="12"/>
  <c r="G41" i="12"/>
  <c r="H41" i="12"/>
  <c r="M41" i="12"/>
  <c r="L41" i="12"/>
  <c r="R34" i="2"/>
  <c r="F34" i="2"/>
  <c r="O41" i="12"/>
  <c r="Q37" i="12"/>
  <c r="S37" i="12"/>
  <c r="L36" i="12"/>
  <c r="M36" i="12"/>
  <c r="N36" i="12"/>
  <c r="O36" i="12"/>
  <c r="I41" i="12"/>
  <c r="J36" i="12"/>
  <c r="I36" i="12"/>
  <c r="H36" i="12"/>
  <c r="G36" i="12"/>
  <c r="F36" i="12"/>
  <c r="E36" i="12"/>
  <c r="P36" i="12"/>
  <c r="E35" i="12"/>
  <c r="Q33" i="12"/>
  <c r="S33" i="12"/>
  <c r="J41" i="12"/>
  <c r="F41" i="12"/>
  <c r="K41" i="12"/>
  <c r="N41" i="12"/>
  <c r="Q23" i="12"/>
  <c r="S23" i="12"/>
  <c r="E41" i="12"/>
  <c r="Q13" i="12"/>
  <c r="S13" i="12"/>
  <c r="R20" i="2"/>
  <c r="R15" i="2"/>
  <c r="Q33" i="10"/>
  <c r="Q34" i="10"/>
  <c r="S34" i="10" s="1"/>
  <c r="T3" i="2"/>
  <c r="V8" i="2"/>
  <c r="G63" i="2"/>
  <c r="O63" i="2"/>
  <c r="L63" i="2"/>
  <c r="K63" i="2"/>
  <c r="Q35" i="12"/>
  <c r="H63" i="2"/>
  <c r="R22" i="2"/>
  <c r="N63" i="2"/>
  <c r="R61" i="2"/>
  <c r="M63" i="2"/>
  <c r="F43" i="15"/>
  <c r="E56" i="4" s="1"/>
  <c r="R60" i="2"/>
  <c r="F63" i="2"/>
  <c r="Q63" i="2"/>
  <c r="J63" i="2"/>
  <c r="P63" i="2"/>
  <c r="I63" i="2"/>
  <c r="R18" i="2"/>
  <c r="Q41" i="12"/>
  <c r="S41" i="12"/>
  <c r="R63" i="2"/>
  <c r="O42" i="9"/>
  <c r="K42" i="9"/>
  <c r="J42" i="9"/>
  <c r="F42" i="9"/>
  <c r="E42" i="9"/>
  <c r="P38" i="9"/>
  <c r="O38" i="9"/>
  <c r="N38" i="9"/>
  <c r="M38" i="9"/>
  <c r="L38" i="9"/>
  <c r="L39" i="9" s="1"/>
  <c r="K38" i="9"/>
  <c r="J38" i="9"/>
  <c r="I38" i="9"/>
  <c r="H38" i="9"/>
  <c r="G38" i="9"/>
  <c r="F38" i="9"/>
  <c r="E38" i="9"/>
  <c r="P37" i="9"/>
  <c r="O37" i="9"/>
  <c r="O39" i="9" s="1"/>
  <c r="N37" i="9"/>
  <c r="M37" i="9"/>
  <c r="L37" i="9"/>
  <c r="K37" i="9"/>
  <c r="J37" i="9"/>
  <c r="I37" i="9"/>
  <c r="H37" i="9"/>
  <c r="H39" i="9" s="1"/>
  <c r="G37" i="9"/>
  <c r="F37" i="9"/>
  <c r="E37" i="9"/>
  <c r="E40" i="9" s="1"/>
  <c r="Q34" i="9"/>
  <c r="S34" i="9"/>
  <c r="Q46" i="2"/>
  <c r="P46" i="2"/>
  <c r="O46" i="2"/>
  <c r="N46" i="2"/>
  <c r="Q32" i="9"/>
  <c r="S32" i="9"/>
  <c r="Q31" i="9"/>
  <c r="S31" i="9"/>
  <c r="Q28" i="9"/>
  <c r="S28" i="9"/>
  <c r="Q27" i="9"/>
  <c r="S27" i="9"/>
  <c r="Q24" i="9"/>
  <c r="S24" i="9"/>
  <c r="M45" i="2"/>
  <c r="L45" i="2"/>
  <c r="K45" i="2"/>
  <c r="J45" i="2"/>
  <c r="Q22" i="9"/>
  <c r="S22" i="9"/>
  <c r="Q21" i="9"/>
  <c r="S21" i="9"/>
  <c r="Q18" i="9"/>
  <c r="S18" i="9"/>
  <c r="Q17" i="9"/>
  <c r="S17" i="9"/>
  <c r="Q12" i="9"/>
  <c r="S12" i="9" s="1"/>
  <c r="Q11" i="9"/>
  <c r="S11" i="9"/>
  <c r="Q8" i="9"/>
  <c r="S8" i="9" s="1"/>
  <c r="Q7" i="9"/>
  <c r="S7" i="9"/>
  <c r="Q37" i="9"/>
  <c r="S37" i="9" s="1"/>
  <c r="Q19" i="9"/>
  <c r="I46" i="2"/>
  <c r="H46" i="2"/>
  <c r="J46" i="2"/>
  <c r="Q29" i="9"/>
  <c r="K46" i="2"/>
  <c r="L46" i="2"/>
  <c r="M46" i="2"/>
  <c r="F46" i="2"/>
  <c r="G46" i="2"/>
  <c r="F45" i="2"/>
  <c r="G45" i="2"/>
  <c r="O45" i="2"/>
  <c r="I39" i="9"/>
  <c r="G39" i="9"/>
  <c r="N45" i="2"/>
  <c r="H45" i="2"/>
  <c r="P45" i="2"/>
  <c r="Q45" i="2"/>
  <c r="I45" i="2"/>
  <c r="L41" i="9"/>
  <c r="Q23" i="9"/>
  <c r="S23" i="9"/>
  <c r="Q33" i="9"/>
  <c r="S33" i="9"/>
  <c r="Q38" i="9"/>
  <c r="S38" i="9" s="1"/>
  <c r="Q25" i="9"/>
  <c r="Q35" i="9"/>
  <c r="R46" i="2"/>
  <c r="R45" i="2"/>
  <c r="P37" i="8"/>
  <c r="O37" i="8"/>
  <c r="N37" i="8"/>
  <c r="M37" i="8"/>
  <c r="L37" i="8"/>
  <c r="K37" i="8"/>
  <c r="J37" i="8"/>
  <c r="I37" i="8"/>
  <c r="H37" i="8"/>
  <c r="G37" i="8"/>
  <c r="F37" i="8"/>
  <c r="E37" i="8"/>
  <c r="P33" i="8"/>
  <c r="O33" i="8"/>
  <c r="N33" i="8"/>
  <c r="M33" i="8"/>
  <c r="L33" i="8"/>
  <c r="K33" i="8"/>
  <c r="J33" i="8"/>
  <c r="I33" i="8"/>
  <c r="H33" i="8"/>
  <c r="G33" i="8"/>
  <c r="F33" i="8"/>
  <c r="E33" i="8"/>
  <c r="Q31" i="8"/>
  <c r="S31" i="8"/>
  <c r="Q27" i="8"/>
  <c r="S27" i="8"/>
  <c r="P23" i="8"/>
  <c r="O23" i="8"/>
  <c r="N23" i="8"/>
  <c r="M23" i="8"/>
  <c r="L23" i="8"/>
  <c r="K23" i="8"/>
  <c r="J23" i="8"/>
  <c r="I23" i="8"/>
  <c r="H23" i="8"/>
  <c r="G23" i="8"/>
  <c r="F23" i="8"/>
  <c r="E23" i="8"/>
  <c r="Q21" i="8"/>
  <c r="S21" i="8"/>
  <c r="Q17" i="8"/>
  <c r="S17" i="8"/>
  <c r="P13" i="8"/>
  <c r="O13" i="8"/>
  <c r="N13" i="8"/>
  <c r="M13" i="8"/>
  <c r="L13" i="8"/>
  <c r="K13" i="8"/>
  <c r="J13" i="8"/>
  <c r="I13" i="8"/>
  <c r="H13" i="8"/>
  <c r="G13" i="8"/>
  <c r="F13" i="8"/>
  <c r="E13" i="8"/>
  <c r="Q11" i="8"/>
  <c r="S11" i="8"/>
  <c r="Q7" i="8"/>
  <c r="S7" i="8"/>
  <c r="J41" i="8"/>
  <c r="K52" i="2"/>
  <c r="L53" i="2"/>
  <c r="M54" i="2"/>
  <c r="L52" i="2"/>
  <c r="M53" i="2"/>
  <c r="F54" i="2"/>
  <c r="N54" i="2"/>
  <c r="M41" i="8"/>
  <c r="N53" i="2"/>
  <c r="G54" i="2"/>
  <c r="F52" i="2"/>
  <c r="N52" i="2"/>
  <c r="G53" i="2"/>
  <c r="N41" i="8"/>
  <c r="O53" i="2"/>
  <c r="H54" i="2"/>
  <c r="P54" i="2"/>
  <c r="F53" i="2"/>
  <c r="O54" i="2"/>
  <c r="G52" i="2"/>
  <c r="O52" i="2"/>
  <c r="H53" i="2"/>
  <c r="O41" i="8"/>
  <c r="P53" i="2"/>
  <c r="I54" i="2"/>
  <c r="Q54" i="2"/>
  <c r="M52" i="2"/>
  <c r="H52" i="2"/>
  <c r="P52" i="2"/>
  <c r="I53" i="2"/>
  <c r="Q53" i="2"/>
  <c r="J54" i="2"/>
  <c r="Q33" i="8"/>
  <c r="S33" i="8"/>
  <c r="H41" i="8"/>
  <c r="I52" i="2"/>
  <c r="Q52" i="2"/>
  <c r="J53" i="2"/>
  <c r="K54" i="2"/>
  <c r="K41" i="8"/>
  <c r="Q37" i="8"/>
  <c r="S37" i="8"/>
  <c r="I41" i="8"/>
  <c r="J52" i="2"/>
  <c r="K53" i="2"/>
  <c r="L54" i="2"/>
  <c r="L41" i="8"/>
  <c r="Q23" i="8"/>
  <c r="S23" i="8"/>
  <c r="P41" i="8"/>
  <c r="F41" i="8"/>
  <c r="G41" i="8"/>
  <c r="Q13" i="8"/>
  <c r="S13" i="8"/>
  <c r="E41" i="8"/>
  <c r="J55" i="2"/>
  <c r="I55" i="2"/>
  <c r="G55" i="2"/>
  <c r="R53" i="2"/>
  <c r="H55" i="2"/>
  <c r="L55" i="2"/>
  <c r="F55" i="2"/>
  <c r="R52" i="2"/>
  <c r="Q55" i="2"/>
  <c r="M55" i="2"/>
  <c r="K55" i="2"/>
  <c r="P55" i="2"/>
  <c r="R54" i="2"/>
  <c r="O55" i="2"/>
  <c r="N55" i="2"/>
  <c r="Q41" i="8"/>
  <c r="S41" i="8"/>
  <c r="R55" i="2"/>
  <c r="P37" i="7"/>
  <c r="O37" i="7"/>
  <c r="N37" i="7"/>
  <c r="M37" i="7"/>
  <c r="L37" i="7"/>
  <c r="K37" i="7"/>
  <c r="J37" i="7"/>
  <c r="I37" i="7"/>
  <c r="H37" i="7"/>
  <c r="G37" i="7"/>
  <c r="F37" i="7"/>
  <c r="E37" i="7"/>
  <c r="Q34" i="7"/>
  <c r="S34" i="7"/>
  <c r="P33" i="7"/>
  <c r="P35" i="7"/>
  <c r="O33" i="7"/>
  <c r="O35" i="7"/>
  <c r="N33" i="7"/>
  <c r="N35" i="7"/>
  <c r="M33" i="7"/>
  <c r="M35" i="7"/>
  <c r="L33" i="7"/>
  <c r="L35" i="7"/>
  <c r="K33" i="7"/>
  <c r="K35" i="7"/>
  <c r="J33" i="7"/>
  <c r="J35" i="7"/>
  <c r="I33" i="7"/>
  <c r="I35" i="7"/>
  <c r="H33" i="7"/>
  <c r="H35" i="7"/>
  <c r="G33" i="7"/>
  <c r="G35" i="7"/>
  <c r="F33" i="7"/>
  <c r="F35" i="7"/>
  <c r="E33" i="7"/>
  <c r="Q32" i="7"/>
  <c r="S32" i="7"/>
  <c r="Q31" i="7"/>
  <c r="S31" i="7"/>
  <c r="P30" i="7"/>
  <c r="O30" i="7"/>
  <c r="N30" i="7"/>
  <c r="M30" i="7"/>
  <c r="L30" i="7"/>
  <c r="K30" i="7"/>
  <c r="J30" i="7"/>
  <c r="I30" i="7"/>
  <c r="H30" i="7"/>
  <c r="G30" i="7"/>
  <c r="F30" i="7"/>
  <c r="E30" i="7"/>
  <c r="P29" i="7"/>
  <c r="O29" i="7"/>
  <c r="N29" i="7"/>
  <c r="M29" i="7"/>
  <c r="L29" i="7"/>
  <c r="K29" i="7"/>
  <c r="J29" i="7"/>
  <c r="I29" i="7"/>
  <c r="H29" i="7"/>
  <c r="G29" i="7"/>
  <c r="F29" i="7"/>
  <c r="E29" i="7"/>
  <c r="Q28" i="7"/>
  <c r="S28" i="7"/>
  <c r="Q27" i="7"/>
  <c r="S27" i="7"/>
  <c r="P23" i="7"/>
  <c r="O23" i="7"/>
  <c r="N23" i="7"/>
  <c r="M23" i="7"/>
  <c r="L23" i="7"/>
  <c r="K23" i="7"/>
  <c r="J23" i="7"/>
  <c r="I23" i="7"/>
  <c r="H23" i="7"/>
  <c r="G23" i="7"/>
  <c r="F23" i="7"/>
  <c r="E23" i="7"/>
  <c r="Q21" i="7"/>
  <c r="S21" i="7"/>
  <c r="Q17" i="7"/>
  <c r="S17" i="7"/>
  <c r="P13" i="7"/>
  <c r="O13" i="7"/>
  <c r="N13" i="7"/>
  <c r="M13" i="7"/>
  <c r="L13" i="7"/>
  <c r="K13" i="7"/>
  <c r="J13" i="7"/>
  <c r="I13" i="7"/>
  <c r="H13" i="7"/>
  <c r="G13" i="7"/>
  <c r="F13" i="7"/>
  <c r="E13" i="7"/>
  <c r="Q11" i="7"/>
  <c r="S11" i="7"/>
  <c r="Q7" i="7"/>
  <c r="S7" i="7"/>
  <c r="P37" i="6"/>
  <c r="O37" i="6"/>
  <c r="N37" i="6"/>
  <c r="M37" i="6"/>
  <c r="L37" i="6"/>
  <c r="K37" i="6"/>
  <c r="J37" i="6"/>
  <c r="I37" i="6"/>
  <c r="H37" i="6"/>
  <c r="G37" i="6"/>
  <c r="F37" i="6"/>
  <c r="E37" i="6"/>
  <c r="O33" i="6"/>
  <c r="N33" i="6"/>
  <c r="M33" i="6"/>
  <c r="L33" i="6"/>
  <c r="K33" i="6"/>
  <c r="J33" i="6"/>
  <c r="I33" i="6"/>
  <c r="H33" i="6"/>
  <c r="G33" i="6"/>
  <c r="F33" i="6"/>
  <c r="E33" i="6"/>
  <c r="Q31" i="6"/>
  <c r="Q27" i="6"/>
  <c r="S27" i="6"/>
  <c r="P23" i="6"/>
  <c r="O23" i="6"/>
  <c r="N23" i="6"/>
  <c r="M23" i="6"/>
  <c r="L23" i="6"/>
  <c r="K23" i="6"/>
  <c r="J23" i="6"/>
  <c r="I23" i="6"/>
  <c r="H23" i="6"/>
  <c r="G23" i="6"/>
  <c r="F23" i="6"/>
  <c r="E23" i="6"/>
  <c r="Q21" i="6"/>
  <c r="S21" i="6"/>
  <c r="Q17" i="6"/>
  <c r="S17" i="6"/>
  <c r="P13" i="6"/>
  <c r="O13" i="6"/>
  <c r="N13" i="6"/>
  <c r="M13" i="6"/>
  <c r="L13" i="6"/>
  <c r="K13" i="6"/>
  <c r="J13" i="6"/>
  <c r="I13" i="6"/>
  <c r="H13" i="6"/>
  <c r="G13" i="6"/>
  <c r="F13" i="6"/>
  <c r="E13" i="6"/>
  <c r="Q11" i="6"/>
  <c r="S11" i="6"/>
  <c r="Q7" i="6"/>
  <c r="S7" i="6"/>
  <c r="I41" i="6"/>
  <c r="J41" i="6"/>
  <c r="L64" i="2"/>
  <c r="F65" i="2"/>
  <c r="N65" i="2"/>
  <c r="M48" i="2"/>
  <c r="L41" i="6"/>
  <c r="M49" i="2"/>
  <c r="K50" i="2"/>
  <c r="M64" i="2"/>
  <c r="G65" i="2"/>
  <c r="N41" i="7"/>
  <c r="O65" i="2"/>
  <c r="F48" i="2"/>
  <c r="N48" i="2"/>
  <c r="F49" i="2"/>
  <c r="N49" i="2"/>
  <c r="L50" i="2"/>
  <c r="F64" i="2"/>
  <c r="N64" i="2"/>
  <c r="H65" i="2"/>
  <c r="P65" i="2"/>
  <c r="L48" i="2"/>
  <c r="G48" i="2"/>
  <c r="O48" i="2"/>
  <c r="F41" i="6"/>
  <c r="G49" i="2"/>
  <c r="N41" i="6"/>
  <c r="O49" i="2"/>
  <c r="M50" i="2"/>
  <c r="G64" i="2"/>
  <c r="O64" i="2"/>
  <c r="I65" i="2"/>
  <c r="Q65" i="2"/>
  <c r="P48" i="2"/>
  <c r="H49" i="2"/>
  <c r="P49" i="2"/>
  <c r="F50" i="2"/>
  <c r="N50" i="2"/>
  <c r="H64" i="2"/>
  <c r="P64" i="2"/>
  <c r="J65" i="2"/>
  <c r="L49" i="2"/>
  <c r="J50" i="2"/>
  <c r="H48" i="2"/>
  <c r="H41" i="6"/>
  <c r="I48" i="2"/>
  <c r="Q48" i="2"/>
  <c r="I49" i="2"/>
  <c r="Q49" i="2"/>
  <c r="G50" i="2"/>
  <c r="O50" i="2"/>
  <c r="K41" i="6"/>
  <c r="I64" i="2"/>
  <c r="Q64" i="2"/>
  <c r="K65" i="2"/>
  <c r="Q37" i="6"/>
  <c r="S37" i="6"/>
  <c r="J48" i="2"/>
  <c r="J49" i="2"/>
  <c r="H50" i="2"/>
  <c r="P50" i="2"/>
  <c r="M41" i="6"/>
  <c r="J64" i="2"/>
  <c r="L65" i="2"/>
  <c r="K48" i="2"/>
  <c r="K49" i="2"/>
  <c r="I50" i="2"/>
  <c r="Q50" i="2"/>
  <c r="K64" i="2"/>
  <c r="M65" i="2"/>
  <c r="J41" i="7"/>
  <c r="K41" i="7"/>
  <c r="F41" i="7"/>
  <c r="H41" i="7"/>
  <c r="Q37" i="7"/>
  <c r="S37" i="7"/>
  <c r="O41" i="7"/>
  <c r="Q29" i="7"/>
  <c r="L36" i="7"/>
  <c r="K36" i="7"/>
  <c r="I36" i="7"/>
  <c r="H36" i="7"/>
  <c r="G36" i="7"/>
  <c r="F36" i="7"/>
  <c r="E36" i="7"/>
  <c r="P36" i="7"/>
  <c r="E35" i="7"/>
  <c r="O36" i="7"/>
  <c r="Q33" i="7"/>
  <c r="S33" i="7"/>
  <c r="E41" i="7"/>
  <c r="Q13" i="7"/>
  <c r="S13" i="7"/>
  <c r="L41" i="7"/>
  <c r="M41" i="7"/>
  <c r="G41" i="7"/>
  <c r="I41" i="7"/>
  <c r="J36" i="7"/>
  <c r="P41" i="7"/>
  <c r="M36" i="7"/>
  <c r="N36" i="7"/>
  <c r="Q23" i="7"/>
  <c r="S23" i="7"/>
  <c r="G41" i="6"/>
  <c r="O41" i="6"/>
  <c r="P41" i="6"/>
  <c r="S33" i="6"/>
  <c r="Q23" i="6"/>
  <c r="S23" i="6"/>
  <c r="E41" i="6"/>
  <c r="Q13" i="6"/>
  <c r="S13" i="6"/>
  <c r="Q51" i="2"/>
  <c r="Q35" i="7"/>
  <c r="I51" i="2"/>
  <c r="G51" i="2"/>
  <c r="R65" i="2"/>
  <c r="N51" i="2"/>
  <c r="R50" i="2"/>
  <c r="L51" i="2"/>
  <c r="P51" i="2"/>
  <c r="M51" i="2"/>
  <c r="K51" i="2"/>
  <c r="J51" i="2"/>
  <c r="O51" i="2"/>
  <c r="F51" i="2"/>
  <c r="R48" i="2"/>
  <c r="H51" i="2"/>
  <c r="R64" i="2"/>
  <c r="R49" i="2"/>
  <c r="Q41" i="7"/>
  <c r="S41" i="7"/>
  <c r="Q41" i="6"/>
  <c r="S41" i="6"/>
  <c r="R51" i="2"/>
  <c r="P42" i="5"/>
  <c r="O42" i="5"/>
  <c r="N42" i="5"/>
  <c r="M42" i="5"/>
  <c r="L42" i="5"/>
  <c r="K42" i="5"/>
  <c r="J42" i="5"/>
  <c r="I42" i="5"/>
  <c r="P38" i="5"/>
  <c r="O38" i="5"/>
  <c r="N38" i="5"/>
  <c r="L38" i="5"/>
  <c r="K38" i="5"/>
  <c r="J38" i="5"/>
  <c r="I38" i="5"/>
  <c r="H38" i="5"/>
  <c r="G38" i="5"/>
  <c r="F38" i="5"/>
  <c r="E38" i="5"/>
  <c r="P37" i="5"/>
  <c r="O37" i="5"/>
  <c r="N37" i="5"/>
  <c r="M37" i="5"/>
  <c r="M39" i="5" s="1"/>
  <c r="L37" i="5"/>
  <c r="K37" i="5"/>
  <c r="J37" i="5"/>
  <c r="I37" i="5"/>
  <c r="I39" i="5" s="1"/>
  <c r="H37" i="5"/>
  <c r="G37" i="5"/>
  <c r="G39" i="5" s="1"/>
  <c r="F37" i="5"/>
  <c r="E37" i="5"/>
  <c r="E40" i="5" s="1"/>
  <c r="Q32" i="5"/>
  <c r="S32" i="5" s="1"/>
  <c r="Q31" i="5"/>
  <c r="S31" i="5" s="1"/>
  <c r="Q28" i="5"/>
  <c r="S28" i="5"/>
  <c r="S27" i="5"/>
  <c r="Q22" i="5"/>
  <c r="S22" i="5" s="1"/>
  <c r="Q21" i="5"/>
  <c r="S21" i="5" s="1"/>
  <c r="Q18" i="5"/>
  <c r="S18" i="5" s="1"/>
  <c r="Q17" i="5"/>
  <c r="Q12" i="5"/>
  <c r="S12" i="5" s="1"/>
  <c r="Q8" i="5"/>
  <c r="S8" i="5" s="1"/>
  <c r="P37" i="1"/>
  <c r="O37" i="1"/>
  <c r="N37" i="1"/>
  <c r="M37" i="1"/>
  <c r="L37" i="1"/>
  <c r="K37" i="1"/>
  <c r="J37" i="1"/>
  <c r="I37" i="1"/>
  <c r="H37" i="1"/>
  <c r="G37" i="1"/>
  <c r="F37" i="1"/>
  <c r="E37" i="1"/>
  <c r="Q34" i="1"/>
  <c r="S34" i="1"/>
  <c r="P33" i="1"/>
  <c r="Q32" i="1"/>
  <c r="S32" i="1"/>
  <c r="P30" i="1"/>
  <c r="O30" i="1"/>
  <c r="N30" i="1"/>
  <c r="M30" i="1"/>
  <c r="L30" i="1"/>
  <c r="K30" i="1"/>
  <c r="J30" i="1"/>
  <c r="I30" i="1"/>
  <c r="H30" i="1"/>
  <c r="G30" i="1"/>
  <c r="F30" i="1"/>
  <c r="E30" i="1"/>
  <c r="P29" i="1"/>
  <c r="O29" i="1"/>
  <c r="N29" i="1"/>
  <c r="M29" i="1"/>
  <c r="L29" i="1"/>
  <c r="K29" i="1"/>
  <c r="J29" i="1"/>
  <c r="I29" i="1"/>
  <c r="H29" i="1"/>
  <c r="G29" i="1"/>
  <c r="F29" i="1"/>
  <c r="E29" i="1"/>
  <c r="Q28" i="1"/>
  <c r="S28" i="1"/>
  <c r="Q27" i="1"/>
  <c r="S27" i="1"/>
  <c r="P23" i="1"/>
  <c r="L23" i="1"/>
  <c r="K23" i="1"/>
  <c r="Q17" i="1"/>
  <c r="S17" i="1"/>
  <c r="Q11" i="1"/>
  <c r="S11" i="1"/>
  <c r="Q7" i="1"/>
  <c r="S7" i="1"/>
  <c r="P13" i="1"/>
  <c r="O13" i="1"/>
  <c r="N13" i="1"/>
  <c r="M13" i="1"/>
  <c r="L13" i="1"/>
  <c r="L31" i="1"/>
  <c r="L33" i="1"/>
  <c r="K13" i="1"/>
  <c r="K31" i="1"/>
  <c r="K33" i="1"/>
  <c r="J13" i="1"/>
  <c r="J31" i="1"/>
  <c r="J33" i="1"/>
  <c r="I13" i="1"/>
  <c r="H13" i="1"/>
  <c r="H31" i="1"/>
  <c r="H33" i="1"/>
  <c r="G13" i="1"/>
  <c r="F13" i="1"/>
  <c r="E13" i="1"/>
  <c r="H23" i="1"/>
  <c r="J23" i="1"/>
  <c r="H35" i="1"/>
  <c r="I66" i="2"/>
  <c r="I67" i="2"/>
  <c r="P35" i="1"/>
  <c r="Q66" i="2"/>
  <c r="Q67" i="2"/>
  <c r="J35" i="1"/>
  <c r="K66" i="2"/>
  <c r="K67" i="2"/>
  <c r="K35" i="1"/>
  <c r="L66" i="2"/>
  <c r="L67" i="2"/>
  <c r="L35" i="1"/>
  <c r="M66" i="2"/>
  <c r="M67" i="2"/>
  <c r="H41" i="1"/>
  <c r="J41" i="1"/>
  <c r="K41" i="1"/>
  <c r="L41" i="1"/>
  <c r="P41" i="1"/>
  <c r="Q37" i="1"/>
  <c r="S37" i="1"/>
  <c r="Q29" i="1"/>
  <c r="Q13" i="1"/>
  <c r="S13" i="1"/>
  <c r="F31" i="1"/>
  <c r="F33" i="1"/>
  <c r="F23" i="1"/>
  <c r="E31" i="1"/>
  <c r="Q21" i="1"/>
  <c r="S21" i="1"/>
  <c r="E23" i="1"/>
  <c r="I31" i="1"/>
  <c r="I33" i="1"/>
  <c r="I23" i="1"/>
  <c r="N31" i="1"/>
  <c r="N33" i="1"/>
  <c r="N23" i="1"/>
  <c r="M31" i="1"/>
  <c r="M33" i="1"/>
  <c r="M23" i="1"/>
  <c r="G31" i="1"/>
  <c r="G33" i="1"/>
  <c r="G23" i="1"/>
  <c r="O31" i="1"/>
  <c r="O33" i="1"/>
  <c r="O23" i="1"/>
  <c r="G35" i="1"/>
  <c r="H66" i="2"/>
  <c r="H67" i="2"/>
  <c r="N41" i="1"/>
  <c r="M35" i="1"/>
  <c r="N66" i="2"/>
  <c r="N67" i="2"/>
  <c r="I41" i="1"/>
  <c r="Q23" i="1"/>
  <c r="M41" i="1"/>
  <c r="N35" i="1"/>
  <c r="O66" i="2"/>
  <c r="O67" i="2"/>
  <c r="I35" i="1"/>
  <c r="J66" i="2"/>
  <c r="J67" i="2"/>
  <c r="O41" i="1"/>
  <c r="E33" i="1"/>
  <c r="E41" i="1"/>
  <c r="Q31" i="1"/>
  <c r="S31" i="1"/>
  <c r="P66" i="2"/>
  <c r="P67" i="2"/>
  <c r="O35" i="1"/>
  <c r="F41" i="1"/>
  <c r="G41" i="1"/>
  <c r="F35" i="1"/>
  <c r="G66" i="2"/>
  <c r="G67" i="2"/>
  <c r="S23" i="1"/>
  <c r="F66" i="2"/>
  <c r="M36" i="1"/>
  <c r="G36" i="1"/>
  <c r="H36" i="1"/>
  <c r="I36" i="1"/>
  <c r="K36" i="1"/>
  <c r="P36" i="1"/>
  <c r="L36" i="1"/>
  <c r="O36" i="1"/>
  <c r="E35" i="1"/>
  <c r="Q33" i="1"/>
  <c r="Q41" i="1"/>
  <c r="F36" i="1"/>
  <c r="E36" i="1"/>
  <c r="J36" i="1"/>
  <c r="N36" i="1"/>
  <c r="R66" i="15"/>
  <c r="R66" i="2"/>
  <c r="R67" i="2"/>
  <c r="T36" i="2"/>
  <c r="F67" i="2"/>
  <c r="S33" i="1"/>
  <c r="Q35" i="1"/>
  <c r="S41" i="1"/>
  <c r="G8" i="13"/>
  <c r="H12" i="1"/>
  <c r="P32" i="6"/>
  <c r="M12" i="14"/>
  <c r="P18" i="8"/>
  <c r="F12" i="13"/>
  <c r="H8" i="12"/>
  <c r="J8" i="1"/>
  <c r="F12" i="8"/>
  <c r="G28" i="8"/>
  <c r="G8" i="6"/>
  <c r="J8" i="7"/>
  <c r="P8" i="12"/>
  <c r="M28" i="8"/>
  <c r="J12" i="14"/>
  <c r="L8" i="7"/>
  <c r="J22" i="12"/>
  <c r="F12" i="12"/>
  <c r="P12" i="6"/>
  <c r="L8" i="14"/>
  <c r="J28" i="13"/>
  <c r="N28" i="8"/>
  <c r="E28" i="8"/>
  <c r="M8" i="6"/>
  <c r="I22" i="13"/>
  <c r="H8" i="6"/>
  <c r="E8" i="1"/>
  <c r="J32" i="6"/>
  <c r="J28" i="8"/>
  <c r="N12" i="14"/>
  <c r="G8" i="14"/>
  <c r="K22" i="7"/>
  <c r="F18" i="13"/>
  <c r="H8" i="14"/>
  <c r="M22" i="12"/>
  <c r="G12" i="6"/>
  <c r="K12" i="14"/>
  <c r="H12" i="8"/>
  <c r="K8" i="12"/>
  <c r="K12" i="8"/>
  <c r="I12" i="6"/>
  <c r="M12" i="1"/>
  <c r="I18" i="12"/>
  <c r="K12" i="7"/>
  <c r="P12" i="7"/>
  <c r="L28" i="6"/>
  <c r="H22" i="1"/>
  <c r="N8" i="7"/>
  <c r="P18" i="7"/>
  <c r="E22" i="8"/>
  <c r="L18" i="7"/>
  <c r="M18" i="13"/>
  <c r="H32" i="6"/>
  <c r="L32" i="8"/>
  <c r="L18" i="12"/>
  <c r="I22" i="7"/>
  <c r="N18" i="12"/>
  <c r="K32" i="8"/>
  <c r="O22" i="6"/>
  <c r="K28" i="8"/>
  <c r="E22" i="7"/>
  <c r="L8" i="6"/>
  <c r="L8" i="8"/>
  <c r="H8" i="13"/>
  <c r="J18" i="12"/>
  <c r="L32" i="6"/>
  <c r="I22" i="8"/>
  <c r="P12" i="13"/>
  <c r="I8" i="6"/>
  <c r="J18" i="7"/>
  <c r="O28" i="6"/>
  <c r="H22" i="6"/>
  <c r="O22" i="13"/>
  <c r="K22" i="13"/>
  <c r="P12" i="8"/>
  <c r="O28" i="8"/>
  <c r="K18" i="13"/>
  <c r="K8" i="6"/>
  <c r="J8" i="14"/>
  <c r="N32" i="6"/>
  <c r="I12" i="14"/>
  <c r="G22" i="7"/>
  <c r="F18" i="6"/>
  <c r="N28" i="13"/>
  <c r="J22" i="13"/>
  <c r="G18" i="8"/>
  <c r="F22" i="1"/>
  <c r="I8" i="8"/>
  <c r="O8" i="8"/>
  <c r="O22" i="7"/>
  <c r="F32" i="6"/>
  <c r="F12" i="7"/>
  <c r="E18" i="8"/>
  <c r="N22" i="8"/>
  <c r="E8" i="7"/>
  <c r="O8" i="6"/>
  <c r="O8" i="12"/>
  <c r="O18" i="1"/>
  <c r="M8" i="7"/>
  <c r="K22" i="8"/>
  <c r="G32" i="8"/>
  <c r="M8" i="13"/>
  <c r="O8" i="7"/>
  <c r="H28" i="6"/>
  <c r="E32" i="8"/>
  <c r="G28" i="13"/>
  <c r="M32" i="6"/>
  <c r="H32" i="8"/>
  <c r="I28" i="6"/>
  <c r="K22" i="6"/>
  <c r="L32" i="13"/>
  <c r="E18" i="7"/>
  <c r="F22" i="8"/>
  <c r="L12" i="7"/>
  <c r="O22" i="8"/>
  <c r="M18" i="1"/>
  <c r="G32" i="13"/>
  <c r="G18" i="12"/>
  <c r="O12" i="1"/>
  <c r="H22" i="12"/>
  <c r="H12" i="12"/>
  <c r="F8" i="7"/>
  <c r="L8" i="12"/>
  <c r="N8" i="13"/>
  <c r="E32" i="13"/>
  <c r="N12" i="6"/>
  <c r="H28" i="8"/>
  <c r="L22" i="6"/>
  <c r="J12" i="8"/>
  <c r="K8" i="8"/>
  <c r="L12" i="1"/>
  <c r="L18" i="8"/>
  <c r="N18" i="7"/>
  <c r="I22" i="12"/>
  <c r="P8" i="13"/>
  <c r="M22" i="7"/>
  <c r="I8" i="7"/>
  <c r="M28" i="6"/>
  <c r="P18" i="12"/>
  <c r="E8" i="12"/>
  <c r="N22" i="12"/>
  <c r="O12" i="7"/>
  <c r="L22" i="1"/>
  <c r="J8" i="6"/>
  <c r="O12" i="12"/>
  <c r="J18" i="8"/>
  <c r="N22" i="6"/>
  <c r="P22" i="7"/>
  <c r="P18" i="1"/>
  <c r="N12" i="12"/>
  <c r="J8" i="12"/>
  <c r="E12" i="7"/>
  <c r="H18" i="8"/>
  <c r="E12" i="13"/>
  <c r="J22" i="8"/>
  <c r="F22" i="13"/>
  <c r="E18" i="12"/>
  <c r="N12" i="7"/>
  <c r="F8" i="14"/>
  <c r="M8" i="1"/>
  <c r="F28" i="6"/>
  <c r="L18" i="1"/>
  <c r="K8" i="7"/>
  <c r="J12" i="12"/>
  <c r="L22" i="12"/>
  <c r="J18" i="1"/>
  <c r="H12" i="7"/>
  <c r="J18" i="6"/>
  <c r="G22" i="6"/>
  <c r="F12" i="6"/>
  <c r="F8" i="12"/>
  <c r="L28" i="8"/>
  <c r="N8" i="12"/>
  <c r="I18" i="8"/>
  <c r="E12" i="1"/>
  <c r="J12" i="13"/>
  <c r="F8" i="1"/>
  <c r="L28" i="13"/>
  <c r="M18" i="7"/>
  <c r="F28" i="8"/>
  <c r="G12" i="14"/>
  <c r="I18" i="13"/>
  <c r="I28" i="8"/>
  <c r="P8" i="14"/>
  <c r="P22" i="1"/>
  <c r="G8" i="7"/>
  <c r="J12" i="6"/>
  <c r="N22" i="7"/>
  <c r="M22" i="13"/>
  <c r="L18" i="13"/>
  <c r="E8" i="14"/>
  <c r="G12" i="8"/>
  <c r="J12" i="7"/>
  <c r="O12" i="14"/>
  <c r="I28" i="13"/>
  <c r="H22" i="7"/>
  <c r="P8" i="1"/>
  <c r="F28" i="13"/>
  <c r="F12" i="14"/>
  <c r="G12" i="1"/>
  <c r="M18" i="6"/>
  <c r="M32" i="13"/>
  <c r="O22" i="1"/>
  <c r="L22" i="7"/>
  <c r="G8" i="8"/>
  <c r="E18" i="1"/>
  <c r="K32" i="6"/>
  <c r="I8" i="14"/>
  <c r="N32" i="13"/>
  <c r="O8" i="14"/>
  <c r="M22" i="6"/>
  <c r="M8" i="8"/>
  <c r="O22" i="12"/>
  <c r="M12" i="13"/>
  <c r="H28" i="13"/>
  <c r="P28" i="13"/>
  <c r="G22" i="12"/>
  <c r="I12" i="13"/>
  <c r="P28" i="6"/>
  <c r="I8" i="1"/>
  <c r="P22" i="6"/>
  <c r="G18" i="1"/>
  <c r="F8" i="13"/>
  <c r="G28" i="6"/>
  <c r="O12" i="13"/>
  <c r="K28" i="13"/>
  <c r="K8" i="1"/>
  <c r="L8" i="13"/>
  <c r="P12" i="1"/>
  <c r="P8" i="6"/>
  <c r="G18" i="13"/>
  <c r="H12" i="13"/>
  <c r="E8" i="8"/>
  <c r="K12" i="6"/>
  <c r="P28" i="8"/>
  <c r="G22" i="13"/>
  <c r="K12" i="13"/>
  <c r="K18" i="7"/>
  <c r="H12" i="6"/>
  <c r="P22" i="8"/>
  <c r="O12" i="8"/>
  <c r="J22" i="6"/>
  <c r="N18" i="13"/>
  <c r="I22" i="1"/>
  <c r="G32" i="6"/>
  <c r="E12" i="14"/>
  <c r="H18" i="13"/>
  <c r="G18" i="6"/>
  <c r="F18" i="8"/>
  <c r="E12" i="6"/>
  <c r="L22" i="13"/>
  <c r="G8" i="12"/>
  <c r="P8" i="8"/>
  <c r="M28" i="13"/>
  <c r="O28" i="13"/>
  <c r="K22" i="12"/>
  <c r="M8" i="14"/>
  <c r="H18" i="1"/>
  <c r="L12" i="13"/>
  <c r="J32" i="8"/>
  <c r="G12" i="12"/>
  <c r="O12" i="6"/>
  <c r="E22" i="1"/>
  <c r="K8" i="14"/>
  <c r="F32" i="13"/>
  <c r="G18" i="7"/>
  <c r="F12" i="1"/>
  <c r="N8" i="6"/>
  <c r="F22" i="6"/>
  <c r="M18" i="12"/>
  <c r="G12" i="13"/>
  <c r="H18" i="12"/>
  <c r="F22" i="12"/>
  <c r="M12" i="7"/>
  <c r="O8" i="13"/>
  <c r="N22" i="1"/>
  <c r="I22" i="6"/>
  <c r="J8" i="8"/>
  <c r="F18" i="12"/>
  <c r="J8" i="13"/>
  <c r="E22" i="6"/>
  <c r="N8" i="8"/>
  <c r="K32" i="13"/>
  <c r="M12" i="12"/>
  <c r="O18" i="7"/>
  <c r="I32" i="6"/>
  <c r="I8" i="12"/>
  <c r="E28" i="6"/>
  <c r="P32" i="8"/>
  <c r="L22" i="8"/>
  <c r="I12" i="1"/>
  <c r="E8" i="13"/>
  <c r="N18" i="8"/>
  <c r="L12" i="14"/>
  <c r="N8" i="1"/>
  <c r="I32" i="8"/>
  <c r="G12" i="7"/>
  <c r="L18" i="6"/>
  <c r="I8" i="13"/>
  <c r="P18" i="6"/>
  <c r="M22" i="8"/>
  <c r="H8" i="8"/>
  <c r="H8" i="7"/>
  <c r="P12" i="14"/>
  <c r="E22" i="13"/>
  <c r="G22" i="1"/>
  <c r="G8" i="1"/>
  <c r="K28" i="6"/>
  <c r="E12" i="8"/>
  <c r="E18" i="13"/>
  <c r="O18" i="12"/>
  <c r="P12" i="12"/>
  <c r="N12" i="8"/>
  <c r="I18" i="6"/>
  <c r="M32" i="8"/>
  <c r="F32" i="8"/>
  <c r="I12" i="7"/>
  <c r="O18" i="6"/>
  <c r="P8" i="7"/>
  <c r="O18" i="8"/>
  <c r="H32" i="13"/>
  <c r="K18" i="6"/>
  <c r="E32" i="6"/>
  <c r="J32" i="13"/>
  <c r="H22" i="13"/>
  <c r="K18" i="1"/>
  <c r="F18" i="7"/>
  <c r="M12" i="6"/>
  <c r="F8" i="6"/>
  <c r="K8" i="13"/>
  <c r="N12" i="13"/>
  <c r="F22" i="7"/>
  <c r="E22" i="12"/>
  <c r="K18" i="8"/>
  <c r="K22" i="1"/>
  <c r="E8" i="6"/>
  <c r="O32" i="6"/>
  <c r="H8" i="1"/>
  <c r="M22" i="1"/>
  <c r="N32" i="8"/>
  <c r="I12" i="8"/>
  <c r="P18" i="13"/>
  <c r="N8" i="14"/>
  <c r="H12" i="14"/>
  <c r="G22" i="8"/>
  <c r="H18" i="6"/>
  <c r="L12" i="8"/>
  <c r="K18" i="12"/>
  <c r="J18" i="13"/>
  <c r="L8" i="1"/>
  <c r="P22" i="12"/>
  <c r="H18" i="7"/>
  <c r="F8" i="8"/>
  <c r="O18" i="13"/>
  <c r="E28" i="13"/>
  <c r="M18" i="8"/>
  <c r="P32" i="13"/>
  <c r="I12" i="12"/>
  <c r="J28" i="6"/>
  <c r="E12" i="12"/>
  <c r="O8" i="1"/>
  <c r="N28" i="6"/>
  <c r="H22" i="8"/>
  <c r="N22" i="13"/>
  <c r="O32" i="8"/>
  <c r="E18" i="6"/>
  <c r="K12" i="1"/>
  <c r="J22" i="1"/>
  <c r="L12" i="6"/>
  <c r="P22" i="13"/>
  <c r="O32" i="13"/>
  <c r="M8" i="12"/>
  <c r="I18" i="1"/>
  <c r="J12" i="1"/>
  <c r="J22" i="7"/>
  <c r="N18" i="1"/>
  <c r="N18" i="6"/>
  <c r="I32" i="13"/>
  <c r="M12" i="8"/>
  <c r="K12" i="12"/>
  <c r="I18" i="7"/>
  <c r="N12" i="1"/>
  <c r="L12" i="12"/>
  <c r="F18" i="1"/>
  <c r="N44" i="15" l="1"/>
  <c r="N47" i="15" s="1"/>
  <c r="M60" i="4" s="1"/>
  <c r="M42" i="9"/>
  <c r="N6" i="15"/>
  <c r="M4" i="4" s="1"/>
  <c r="M5" i="4" s="1"/>
  <c r="L42" i="9"/>
  <c r="L15" i="9"/>
  <c r="J10" i="15"/>
  <c r="I8" i="4" s="1"/>
  <c r="H13" i="4"/>
  <c r="H14" i="4"/>
  <c r="H15" i="5"/>
  <c r="F39" i="5"/>
  <c r="R8" i="2"/>
  <c r="Q41" i="10"/>
  <c r="S41" i="10" s="1"/>
  <c r="K10" i="2"/>
  <c r="J7" i="4" s="1"/>
  <c r="O43" i="2"/>
  <c r="N55" i="4" s="1"/>
  <c r="K43" i="2"/>
  <c r="J55" i="4" s="1"/>
  <c r="N43" i="2"/>
  <c r="M55" i="4" s="1"/>
  <c r="L43" i="2"/>
  <c r="K55" i="4" s="1"/>
  <c r="R41" i="2"/>
  <c r="I43" i="2"/>
  <c r="H55" i="4" s="1"/>
  <c r="F43" i="2"/>
  <c r="E55" i="4" s="1"/>
  <c r="E57" i="4" s="1"/>
  <c r="E58" i="4" s="1"/>
  <c r="G43" i="2"/>
  <c r="F55" i="4" s="1"/>
  <c r="Q10" i="2"/>
  <c r="P7" i="4" s="1"/>
  <c r="J43" i="2"/>
  <c r="I55" i="4" s="1"/>
  <c r="R42" i="2"/>
  <c r="S33" i="10"/>
  <c r="O10" i="2"/>
  <c r="N7" i="4" s="1"/>
  <c r="P10" i="2"/>
  <c r="O7" i="4" s="1"/>
  <c r="R9" i="2"/>
  <c r="R10" i="2" s="1"/>
  <c r="F10" i="2"/>
  <c r="E7" i="4" s="1"/>
  <c r="Q37" i="10"/>
  <c r="S37" i="10" s="1"/>
  <c r="H10" i="2"/>
  <c r="G7" i="4" s="1"/>
  <c r="H43" i="2"/>
  <c r="G55" i="4" s="1"/>
  <c r="J10" i="2"/>
  <c r="I7" i="4" s="1"/>
  <c r="I35" i="4" s="1"/>
  <c r="I45" i="4" s="1"/>
  <c r="F10" i="15"/>
  <c r="E8" i="4" s="1"/>
  <c r="N43" i="15"/>
  <c r="M56" i="4" s="1"/>
  <c r="M57" i="4" s="1"/>
  <c r="I43" i="15"/>
  <c r="H56" i="4" s="1"/>
  <c r="H57" i="4" s="1"/>
  <c r="L10" i="15"/>
  <c r="K8" i="4" s="1"/>
  <c r="K9" i="4" s="1"/>
  <c r="F10" i="4"/>
  <c r="H10" i="15"/>
  <c r="G8" i="4" s="1"/>
  <c r="G9" i="4" s="1"/>
  <c r="G43" i="15"/>
  <c r="F56" i="4" s="1"/>
  <c r="F57" i="4" s="1"/>
  <c r="H43" i="15"/>
  <c r="G56" i="4" s="1"/>
  <c r="K43" i="9"/>
  <c r="G44" i="2"/>
  <c r="G47" i="2" s="1"/>
  <c r="F59" i="4" s="1"/>
  <c r="H44" i="2"/>
  <c r="H47" i="2" s="1"/>
  <c r="G59" i="4" s="1"/>
  <c r="I44" i="2"/>
  <c r="I47" i="2" s="1"/>
  <c r="H59" i="4" s="1"/>
  <c r="J44" i="2"/>
  <c r="J47" i="2" s="1"/>
  <c r="I59" i="4" s="1"/>
  <c r="K44" i="2"/>
  <c r="K47" i="2" s="1"/>
  <c r="J59" i="4" s="1"/>
  <c r="L44" i="2"/>
  <c r="L47" i="2" s="1"/>
  <c r="K59" i="4" s="1"/>
  <c r="N39" i="9"/>
  <c r="H43" i="9"/>
  <c r="P39" i="9"/>
  <c r="N41" i="9"/>
  <c r="F39" i="9"/>
  <c r="F43" i="9"/>
  <c r="M41" i="9"/>
  <c r="O41" i="9"/>
  <c r="O43" i="9" s="1"/>
  <c r="L43" i="9"/>
  <c r="M44" i="2"/>
  <c r="M47" i="2" s="1"/>
  <c r="L59" i="4" s="1"/>
  <c r="M43" i="9"/>
  <c r="G14" i="2"/>
  <c r="F11" i="4" s="1"/>
  <c r="P41" i="9"/>
  <c r="P43" i="9" s="1"/>
  <c r="K39" i="9"/>
  <c r="Q11" i="4"/>
  <c r="M15" i="9"/>
  <c r="M39" i="9"/>
  <c r="Q13" i="9"/>
  <c r="E41" i="9"/>
  <c r="E15" i="9"/>
  <c r="E44" i="9"/>
  <c r="E16" i="9"/>
  <c r="F44" i="2"/>
  <c r="H40" i="9"/>
  <c r="F40" i="9"/>
  <c r="J40" i="9"/>
  <c r="E13" i="4"/>
  <c r="E14" i="4" s="1"/>
  <c r="I40" i="9"/>
  <c r="F44" i="9"/>
  <c r="M16" i="9"/>
  <c r="E43" i="9"/>
  <c r="F14" i="4"/>
  <c r="F13" i="4"/>
  <c r="G14" i="4"/>
  <c r="G13" i="4"/>
  <c r="I13" i="4"/>
  <c r="I14" i="4"/>
  <c r="N13" i="4"/>
  <c r="N14" i="4"/>
  <c r="F61" i="4"/>
  <c r="F62" i="4"/>
  <c r="L16" i="9"/>
  <c r="J44" i="15"/>
  <c r="J47" i="15" s="1"/>
  <c r="I60" i="4" s="1"/>
  <c r="G16" i="9"/>
  <c r="L44" i="15"/>
  <c r="L47" i="15" s="1"/>
  <c r="K60" i="4" s="1"/>
  <c r="E39" i="9"/>
  <c r="H16" i="9"/>
  <c r="Q14" i="9"/>
  <c r="Q42" i="9" s="1"/>
  <c r="S42" i="9" s="1"/>
  <c r="G42" i="9"/>
  <c r="H15" i="9"/>
  <c r="O15" i="9"/>
  <c r="K40" i="9"/>
  <c r="J16" i="9"/>
  <c r="H44" i="15"/>
  <c r="H47" i="15" s="1"/>
  <c r="G60" i="4" s="1"/>
  <c r="M62" i="4" s="1"/>
  <c r="I44" i="15"/>
  <c r="I47" i="15" s="1"/>
  <c r="H60" i="4" s="1"/>
  <c r="K16" i="9"/>
  <c r="I16" i="9"/>
  <c r="G40" i="9"/>
  <c r="I42" i="9"/>
  <c r="I43" i="9" s="1"/>
  <c r="P25" i="5"/>
  <c r="J37" i="2"/>
  <c r="K37" i="2"/>
  <c r="N25" i="5"/>
  <c r="H6" i="15"/>
  <c r="G4" i="4" s="1"/>
  <c r="F38" i="15"/>
  <c r="E35" i="5"/>
  <c r="F6" i="15"/>
  <c r="E4" i="4" s="1"/>
  <c r="E5" i="4" s="1"/>
  <c r="E6" i="4" s="1"/>
  <c r="R38" i="15"/>
  <c r="K35" i="5"/>
  <c r="F38" i="2"/>
  <c r="F36" i="5"/>
  <c r="G36" i="5"/>
  <c r="G25" i="5"/>
  <c r="Q24" i="5"/>
  <c r="S24" i="5" s="1"/>
  <c r="L39" i="15"/>
  <c r="K52" i="4" s="1"/>
  <c r="Q39" i="15"/>
  <c r="P52" i="4" s="1"/>
  <c r="G6" i="15"/>
  <c r="F4" i="4" s="1"/>
  <c r="F36" i="4" s="1"/>
  <c r="M39" i="15"/>
  <c r="L52" i="4" s="1"/>
  <c r="I6" i="15"/>
  <c r="H4" i="4" s="1"/>
  <c r="H36" i="4" s="1"/>
  <c r="O39" i="15"/>
  <c r="N52" i="4" s="1"/>
  <c r="I37" i="15"/>
  <c r="R37" i="15" s="1"/>
  <c r="H42" i="5"/>
  <c r="L6" i="15"/>
  <c r="K4" i="4" s="1"/>
  <c r="E42" i="5"/>
  <c r="H39" i="15"/>
  <c r="G52" i="4" s="1"/>
  <c r="G39" i="15"/>
  <c r="F52" i="4" s="1"/>
  <c r="G38" i="2"/>
  <c r="J41" i="5"/>
  <c r="J43" i="5" s="1"/>
  <c r="J35" i="5"/>
  <c r="Q38" i="2"/>
  <c r="Q39" i="2" s="1"/>
  <c r="P51" i="4" s="1"/>
  <c r="P83" i="4" s="1"/>
  <c r="P93" i="4" s="1"/>
  <c r="O35" i="5"/>
  <c r="O41" i="5"/>
  <c r="O43" i="5" s="1"/>
  <c r="I35" i="5"/>
  <c r="G35" i="5"/>
  <c r="K39" i="2"/>
  <c r="J51" i="4" s="1"/>
  <c r="M36" i="5"/>
  <c r="I38" i="2"/>
  <c r="L36" i="5"/>
  <c r="R5" i="2"/>
  <c r="P6" i="2"/>
  <c r="O3" i="4" s="1"/>
  <c r="M6" i="2"/>
  <c r="L3" i="4" s="1"/>
  <c r="L35" i="4" s="1"/>
  <c r="L45" i="4" s="1"/>
  <c r="L41" i="5"/>
  <c r="L43" i="5" s="1"/>
  <c r="P36" i="5"/>
  <c r="L6" i="2"/>
  <c r="K3" i="4" s="1"/>
  <c r="K35" i="4" s="1"/>
  <c r="K45" i="4" s="1"/>
  <c r="N36" i="5"/>
  <c r="Q29" i="5"/>
  <c r="K36" i="5"/>
  <c r="H36" i="5"/>
  <c r="O36" i="5"/>
  <c r="J36" i="5"/>
  <c r="I36" i="5"/>
  <c r="E36" i="5"/>
  <c r="Q37" i="5"/>
  <c r="S37" i="5" s="1"/>
  <c r="Q33" i="5"/>
  <c r="S34" i="5"/>
  <c r="K6" i="2"/>
  <c r="J3" i="4" s="1"/>
  <c r="O39" i="5"/>
  <c r="I6" i="2"/>
  <c r="H3" i="4" s="1"/>
  <c r="H35" i="4" s="1"/>
  <c r="H45" i="4" s="1"/>
  <c r="L25" i="5"/>
  <c r="P37" i="2"/>
  <c r="P39" i="2" s="1"/>
  <c r="O51" i="4" s="1"/>
  <c r="O25" i="5"/>
  <c r="M25" i="5"/>
  <c r="N39" i="2"/>
  <c r="M51" i="4" s="1"/>
  <c r="M83" i="4" s="1"/>
  <c r="M93" i="4" s="1"/>
  <c r="K41" i="5"/>
  <c r="K43" i="5" s="1"/>
  <c r="L37" i="2"/>
  <c r="H25" i="5"/>
  <c r="H26" i="5"/>
  <c r="H37" i="2"/>
  <c r="G41" i="5"/>
  <c r="H6" i="2"/>
  <c r="G3" i="4" s="1"/>
  <c r="F41" i="5"/>
  <c r="E26" i="5"/>
  <c r="P26" i="5"/>
  <c r="G37" i="2"/>
  <c r="G39" i="2" s="1"/>
  <c r="F51" i="4" s="1"/>
  <c r="M26" i="5"/>
  <c r="R4" i="2"/>
  <c r="O26" i="5"/>
  <c r="G6" i="2"/>
  <c r="F3" i="4" s="1"/>
  <c r="S17" i="5"/>
  <c r="F26" i="5"/>
  <c r="J26" i="5"/>
  <c r="G26" i="5"/>
  <c r="I26" i="5"/>
  <c r="E25" i="5"/>
  <c r="L26" i="5"/>
  <c r="F37" i="2"/>
  <c r="K26" i="5"/>
  <c r="Q23" i="5"/>
  <c r="S23" i="5" s="1"/>
  <c r="N26" i="5"/>
  <c r="G42" i="5"/>
  <c r="H41" i="5"/>
  <c r="M15" i="5"/>
  <c r="I36" i="2"/>
  <c r="P41" i="5"/>
  <c r="P43" i="5" s="1"/>
  <c r="M41" i="5"/>
  <c r="M43" i="5" s="1"/>
  <c r="P15" i="5"/>
  <c r="N41" i="5"/>
  <c r="N43" i="5" s="1"/>
  <c r="O36" i="2"/>
  <c r="O39" i="2" s="1"/>
  <c r="N51" i="4" s="1"/>
  <c r="E16" i="5"/>
  <c r="L36" i="2"/>
  <c r="K39" i="5"/>
  <c r="K15" i="5"/>
  <c r="E39" i="5"/>
  <c r="H36" i="2"/>
  <c r="F40" i="5"/>
  <c r="P39" i="5"/>
  <c r="P35" i="4"/>
  <c r="P45" i="4" s="1"/>
  <c r="N35" i="4"/>
  <c r="N45" i="4" s="1"/>
  <c r="N39" i="5"/>
  <c r="M35" i="4"/>
  <c r="M45" i="4" s="1"/>
  <c r="L39" i="5"/>
  <c r="L15" i="5"/>
  <c r="M36" i="2"/>
  <c r="M39" i="2" s="1"/>
  <c r="L51" i="4" s="1"/>
  <c r="J36" i="2"/>
  <c r="J39" i="2" s="1"/>
  <c r="I51" i="4" s="1"/>
  <c r="I41" i="5"/>
  <c r="I43" i="5" s="1"/>
  <c r="H39" i="5"/>
  <c r="G40" i="5"/>
  <c r="R3" i="2"/>
  <c r="V5" i="2" s="1"/>
  <c r="I40" i="5"/>
  <c r="G15" i="5"/>
  <c r="F42" i="5"/>
  <c r="F15" i="5"/>
  <c r="K16" i="5"/>
  <c r="M16" i="5"/>
  <c r="Q14" i="5"/>
  <c r="S14" i="5" s="1"/>
  <c r="F36" i="15"/>
  <c r="F39" i="15" s="1"/>
  <c r="E52" i="4" s="1"/>
  <c r="E84" i="4" s="1"/>
  <c r="L16" i="5"/>
  <c r="J16" i="5"/>
  <c r="F16" i="5"/>
  <c r="H40" i="5"/>
  <c r="O16" i="5"/>
  <c r="G16" i="5"/>
  <c r="F36" i="2"/>
  <c r="H16" i="5"/>
  <c r="E15" i="5"/>
  <c r="P16" i="5"/>
  <c r="Q13" i="5"/>
  <c r="I16" i="5"/>
  <c r="N16" i="5"/>
  <c r="Q43" i="15"/>
  <c r="P56" i="4" s="1"/>
  <c r="P57" i="4" s="1"/>
  <c r="P5" i="4"/>
  <c r="P15" i="9"/>
  <c r="P13" i="4"/>
  <c r="P14" i="4"/>
  <c r="Q44" i="15"/>
  <c r="Q47" i="15" s="1"/>
  <c r="P60" i="4" s="1"/>
  <c r="V3" i="2"/>
  <c r="H10" i="4"/>
  <c r="H9" i="4"/>
  <c r="R40" i="2"/>
  <c r="O43" i="15"/>
  <c r="N56" i="4" s="1"/>
  <c r="F9" i="4"/>
  <c r="O13" i="4"/>
  <c r="O14" i="4"/>
  <c r="Q9" i="9"/>
  <c r="R43" i="2"/>
  <c r="P10" i="15"/>
  <c r="O8" i="4" s="1"/>
  <c r="O9" i="4" s="1"/>
  <c r="Q10" i="15"/>
  <c r="P8" i="4" s="1"/>
  <c r="R9" i="15"/>
  <c r="P43" i="15"/>
  <c r="O56" i="4" s="1"/>
  <c r="O10" i="15"/>
  <c r="N8" i="4" s="1"/>
  <c r="N9" i="4" s="1"/>
  <c r="N15" i="9"/>
  <c r="P16" i="9"/>
  <c r="N42" i="9"/>
  <c r="O16" i="9"/>
  <c r="N16" i="9"/>
  <c r="O44" i="15"/>
  <c r="O47" i="15" s="1"/>
  <c r="N60" i="4" s="1"/>
  <c r="O6" i="15"/>
  <c r="N4" i="4" s="1"/>
  <c r="N5" i="4" s="1"/>
  <c r="R5" i="15"/>
  <c r="N10" i="15"/>
  <c r="M8" i="4" s="1"/>
  <c r="M36" i="4" s="1"/>
  <c r="N39" i="15"/>
  <c r="M52" i="4" s="1"/>
  <c r="R3" i="15"/>
  <c r="M61" i="4"/>
  <c r="M13" i="4"/>
  <c r="N40" i="9"/>
  <c r="M14" i="4"/>
  <c r="R42" i="15"/>
  <c r="M43" i="2"/>
  <c r="L55" i="4" s="1"/>
  <c r="M6" i="15"/>
  <c r="L4" i="4" s="1"/>
  <c r="Q19" i="5"/>
  <c r="R4" i="15"/>
  <c r="M47" i="15"/>
  <c r="L60" i="4" s="1"/>
  <c r="L13" i="4"/>
  <c r="L14" i="4"/>
  <c r="R11" i="15"/>
  <c r="R14" i="15" s="1"/>
  <c r="M10" i="15"/>
  <c r="L8" i="4" s="1"/>
  <c r="L9" i="4" s="1"/>
  <c r="L40" i="5"/>
  <c r="K40" i="5"/>
  <c r="M40" i="5"/>
  <c r="P40" i="5"/>
  <c r="L43" i="15"/>
  <c r="K56" i="4" s="1"/>
  <c r="Q9" i="10"/>
  <c r="Q38" i="10"/>
  <c r="K61" i="4"/>
  <c r="K13" i="4"/>
  <c r="P40" i="9"/>
  <c r="K14" i="4"/>
  <c r="K43" i="15"/>
  <c r="J56" i="4" s="1"/>
  <c r="J57" i="4" s="1"/>
  <c r="S18" i="10"/>
  <c r="R8" i="15"/>
  <c r="K10" i="15"/>
  <c r="J8" i="4" s="1"/>
  <c r="R7" i="15"/>
  <c r="J61" i="4"/>
  <c r="J13" i="4"/>
  <c r="J14" i="4"/>
  <c r="Q39" i="9"/>
  <c r="L40" i="9"/>
  <c r="O40" i="9"/>
  <c r="J39" i="9"/>
  <c r="M40" i="9"/>
  <c r="J43" i="9"/>
  <c r="K39" i="15"/>
  <c r="J52" i="4" s="1"/>
  <c r="K6" i="15"/>
  <c r="J4" i="4" s="1"/>
  <c r="J39" i="5"/>
  <c r="J40" i="5"/>
  <c r="J43" i="15"/>
  <c r="I56" i="4" s="1"/>
  <c r="I57" i="4" s="1"/>
  <c r="Q35" i="10"/>
  <c r="Q29" i="10"/>
  <c r="Q19" i="10"/>
  <c r="I10" i="4"/>
  <c r="I9" i="4"/>
  <c r="J39" i="15"/>
  <c r="I52" i="4" s="1"/>
  <c r="Q38" i="5"/>
  <c r="S38" i="5" s="1"/>
  <c r="O40" i="5"/>
  <c r="N40" i="5"/>
  <c r="J6" i="15"/>
  <c r="I4" i="4" s="1"/>
  <c r="Q9" i="5"/>
  <c r="L9" i="1"/>
  <c r="L14" i="1"/>
  <c r="L38" i="1"/>
  <c r="L39" i="1" s="1"/>
  <c r="G19" i="1"/>
  <c r="G24" i="1"/>
  <c r="G25" i="1" s="1"/>
  <c r="N24" i="8"/>
  <c r="O20" i="15"/>
  <c r="N19" i="8"/>
  <c r="N19" i="1"/>
  <c r="N24" i="1"/>
  <c r="N25" i="1" s="1"/>
  <c r="M20" i="7"/>
  <c r="Q18" i="7"/>
  <c r="G20" i="7"/>
  <c r="E19" i="7"/>
  <c r="O20" i="7"/>
  <c r="H20" i="7"/>
  <c r="I20" i="7"/>
  <c r="P20" i="7"/>
  <c r="N20" i="7"/>
  <c r="L20" i="7"/>
  <c r="F20" i="7"/>
  <c r="E24" i="7"/>
  <c r="E20" i="7"/>
  <c r="K20" i="7"/>
  <c r="J20" i="7"/>
  <c r="F32" i="15"/>
  <c r="F34" i="13"/>
  <c r="F29" i="13"/>
  <c r="G25" i="15"/>
  <c r="L38" i="14"/>
  <c r="L39" i="14" s="1"/>
  <c r="L14" i="14"/>
  <c r="M29" i="15"/>
  <c r="L9" i="14"/>
  <c r="G38" i="6"/>
  <c r="G39" i="6" s="1"/>
  <c r="H15" i="15"/>
  <c r="G9" i="6"/>
  <c r="G14" i="6"/>
  <c r="H29" i="6"/>
  <c r="H34" i="6"/>
  <c r="I17" i="15"/>
  <c r="Q27" i="15"/>
  <c r="P38" i="12"/>
  <c r="P39" i="12" s="1"/>
  <c r="P9" i="12"/>
  <c r="P14" i="12"/>
  <c r="O17" i="15"/>
  <c r="N34" i="6"/>
  <c r="N29" i="6"/>
  <c r="J34" i="13"/>
  <c r="J29" i="13"/>
  <c r="K25" i="15"/>
  <c r="P32" i="15"/>
  <c r="O19" i="7"/>
  <c r="O24" i="7"/>
  <c r="P10" i="7"/>
  <c r="J10" i="7"/>
  <c r="Q8" i="7"/>
  <c r="H10" i="7"/>
  <c r="F31" i="15"/>
  <c r="E10" i="7"/>
  <c r="E9" i="7"/>
  <c r="L10" i="7"/>
  <c r="O10" i="7"/>
  <c r="M10" i="7"/>
  <c r="N10" i="7"/>
  <c r="I10" i="7"/>
  <c r="E14" i="7"/>
  <c r="E38" i="7"/>
  <c r="G10" i="7"/>
  <c r="F10" i="7"/>
  <c r="K10" i="7"/>
  <c r="F14" i="12"/>
  <c r="F9" i="12"/>
  <c r="G27" i="15"/>
  <c r="F38" i="12"/>
  <c r="F39" i="12" s="1"/>
  <c r="H9" i="12"/>
  <c r="H38" i="12"/>
  <c r="H39" i="12" s="1"/>
  <c r="I27" i="15"/>
  <c r="H14" i="12"/>
  <c r="P17" i="15"/>
  <c r="O29" i="6"/>
  <c r="O34" i="6"/>
  <c r="I29" i="15"/>
  <c r="H9" i="14"/>
  <c r="H14" i="14"/>
  <c r="H38" i="14"/>
  <c r="H39" i="14" s="1"/>
  <c r="G17" i="15"/>
  <c r="F34" i="6"/>
  <c r="F29" i="6"/>
  <c r="J19" i="15"/>
  <c r="I9" i="8"/>
  <c r="I14" i="8"/>
  <c r="I38" i="8"/>
  <c r="I39" i="8" s="1"/>
  <c r="M14" i="1"/>
  <c r="M38" i="1"/>
  <c r="M39" i="1" s="1"/>
  <c r="M9" i="1"/>
  <c r="L38" i="13"/>
  <c r="L39" i="13" s="1"/>
  <c r="L14" i="13"/>
  <c r="L9" i="13"/>
  <c r="M23" i="15"/>
  <c r="H17" i="15"/>
  <c r="G34" i="6"/>
  <c r="G29" i="6"/>
  <c r="P19" i="1"/>
  <c r="P24" i="1"/>
  <c r="P25" i="1" s="1"/>
  <c r="M24" i="13"/>
  <c r="M19" i="13"/>
  <c r="N24" i="15"/>
  <c r="N9" i="13"/>
  <c r="N38" i="13"/>
  <c r="N39" i="13" s="1"/>
  <c r="N14" i="13"/>
  <c r="O23" i="15"/>
  <c r="N38" i="7"/>
  <c r="N39" i="7" s="1"/>
  <c r="O31" i="15"/>
  <c r="N14" i="7"/>
  <c r="N9" i="7"/>
  <c r="O38" i="8"/>
  <c r="O39" i="8" s="1"/>
  <c r="O14" i="8"/>
  <c r="O9" i="8"/>
  <c r="P19" i="15"/>
  <c r="L14" i="6"/>
  <c r="M15" i="15"/>
  <c r="L9" i="6"/>
  <c r="L38" i="6"/>
  <c r="L39" i="6" s="1"/>
  <c r="M24" i="1"/>
  <c r="M25" i="1" s="1"/>
  <c r="M19" i="1"/>
  <c r="M25" i="15"/>
  <c r="L29" i="13"/>
  <c r="L34" i="13"/>
  <c r="H19" i="13"/>
  <c r="I24" i="15"/>
  <c r="H24" i="13"/>
  <c r="I10" i="1"/>
  <c r="F10" i="1"/>
  <c r="G10" i="1"/>
  <c r="E14" i="1"/>
  <c r="K10" i="1"/>
  <c r="E38" i="1"/>
  <c r="E9" i="1"/>
  <c r="E10" i="1"/>
  <c r="O10" i="1"/>
  <c r="L10" i="1"/>
  <c r="H10" i="1"/>
  <c r="N10" i="1"/>
  <c r="J10" i="1"/>
  <c r="M10" i="1"/>
  <c r="P10" i="1"/>
  <c r="Q8" i="1"/>
  <c r="O29" i="13"/>
  <c r="O34" i="13"/>
  <c r="P25" i="15"/>
  <c r="H25" i="15"/>
  <c r="G34" i="13"/>
  <c r="G29" i="13"/>
  <c r="L29" i="6"/>
  <c r="L34" i="6"/>
  <c r="M17" i="15"/>
  <c r="L17" i="15"/>
  <c r="K34" i="6"/>
  <c r="K29" i="6"/>
  <c r="N28" i="15"/>
  <c r="M19" i="12"/>
  <c r="M24" i="12"/>
  <c r="O24" i="12"/>
  <c r="P28" i="15"/>
  <c r="O19" i="12"/>
  <c r="J24" i="13"/>
  <c r="K24" i="15"/>
  <c r="J19" i="13"/>
  <c r="L19" i="6"/>
  <c r="M16" i="15"/>
  <c r="L24" i="6"/>
  <c r="Q22" i="12"/>
  <c r="S22" i="12" s="1"/>
  <c r="H9" i="7"/>
  <c r="H14" i="7"/>
  <c r="I31" i="15"/>
  <c r="H38" i="7"/>
  <c r="H39" i="7" s="1"/>
  <c r="M19" i="15"/>
  <c r="L9" i="8"/>
  <c r="L38" i="8"/>
  <c r="L39" i="8" s="1"/>
  <c r="L14" i="8"/>
  <c r="K24" i="12"/>
  <c r="L28" i="15"/>
  <c r="K19" i="12"/>
  <c r="F19" i="1"/>
  <c r="F24" i="1"/>
  <c r="F25" i="1" s="1"/>
  <c r="P29" i="8"/>
  <c r="Q21" i="15"/>
  <c r="P34" i="8"/>
  <c r="O38" i="14"/>
  <c r="O39" i="14" s="1"/>
  <c r="P29" i="15"/>
  <c r="O9" i="14"/>
  <c r="O14" i="14"/>
  <c r="J34" i="6"/>
  <c r="J29" i="6"/>
  <c r="K17" i="15"/>
  <c r="N9" i="14"/>
  <c r="N14" i="14"/>
  <c r="O29" i="15"/>
  <c r="N38" i="14"/>
  <c r="N39" i="14" s="1"/>
  <c r="G14" i="12"/>
  <c r="G38" i="12"/>
  <c r="G39" i="12" s="1"/>
  <c r="G9" i="12"/>
  <c r="H27" i="15"/>
  <c r="J9" i="12"/>
  <c r="K27" i="15"/>
  <c r="J14" i="12"/>
  <c r="J38" i="12"/>
  <c r="J39" i="12" s="1"/>
  <c r="H32" i="15"/>
  <c r="G19" i="7"/>
  <c r="G24" i="7"/>
  <c r="M38" i="8"/>
  <c r="M39" i="8" s="1"/>
  <c r="M14" i="8"/>
  <c r="M9" i="8"/>
  <c r="N19" i="15"/>
  <c r="G9" i="8"/>
  <c r="G38" i="8"/>
  <c r="G39" i="8" s="1"/>
  <c r="H19" i="15"/>
  <c r="G14" i="8"/>
  <c r="G29" i="15"/>
  <c r="F9" i="14"/>
  <c r="F38" i="14"/>
  <c r="F39" i="14" s="1"/>
  <c r="F14" i="14"/>
  <c r="Q22" i="6"/>
  <c r="S22" i="6" s="1"/>
  <c r="K9" i="1"/>
  <c r="K14" i="1"/>
  <c r="K38" i="1"/>
  <c r="K39" i="1" s="1"/>
  <c r="Q22" i="1"/>
  <c r="S22" i="1" s="1"/>
  <c r="I9" i="14"/>
  <c r="I14" i="14"/>
  <c r="I38" i="14"/>
  <c r="I39" i="14" s="1"/>
  <c r="J29" i="15"/>
  <c r="K29" i="13"/>
  <c r="K34" i="13"/>
  <c r="L25" i="15"/>
  <c r="I14" i="13"/>
  <c r="J23" i="15"/>
  <c r="I9" i="13"/>
  <c r="I38" i="13"/>
  <c r="I39" i="13" s="1"/>
  <c r="M28" i="15"/>
  <c r="L19" i="12"/>
  <c r="L24" i="12"/>
  <c r="N23" i="15"/>
  <c r="M38" i="13"/>
  <c r="M39" i="13" s="1"/>
  <c r="M9" i="13"/>
  <c r="M14" i="13"/>
  <c r="N31" i="15"/>
  <c r="M14" i="7"/>
  <c r="M38" i="7"/>
  <c r="M39" i="7" s="1"/>
  <c r="M9" i="7"/>
  <c r="J20" i="13"/>
  <c r="N20" i="13"/>
  <c r="F24" i="15"/>
  <c r="M20" i="13"/>
  <c r="O20" i="13"/>
  <c r="K20" i="13"/>
  <c r="G20" i="13"/>
  <c r="Q18" i="13"/>
  <c r="L20" i="13"/>
  <c r="H20" i="13"/>
  <c r="F20" i="13"/>
  <c r="I20" i="13"/>
  <c r="P20" i="13"/>
  <c r="E20" i="13"/>
  <c r="E24" i="13"/>
  <c r="E19" i="13"/>
  <c r="J21" i="15"/>
  <c r="I34" i="8"/>
  <c r="I29" i="8"/>
  <c r="F9" i="13"/>
  <c r="G23" i="15"/>
  <c r="F14" i="13"/>
  <c r="F38" i="13"/>
  <c r="F39" i="13" s="1"/>
  <c r="H24" i="7"/>
  <c r="H19" i="7"/>
  <c r="I32" i="15"/>
  <c r="H19" i="8"/>
  <c r="H24" i="8"/>
  <c r="I20" i="15"/>
  <c r="J24" i="15"/>
  <c r="I24" i="13"/>
  <c r="I19" i="13"/>
  <c r="L38" i="7"/>
  <c r="L39" i="7" s="1"/>
  <c r="M31" i="15"/>
  <c r="L9" i="7"/>
  <c r="L14" i="7"/>
  <c r="J38" i="8"/>
  <c r="J39" i="8" s="1"/>
  <c r="J14" i="8"/>
  <c r="K19" i="15"/>
  <c r="J9" i="8"/>
  <c r="Q18" i="12"/>
  <c r="L20" i="12"/>
  <c r="K20" i="12"/>
  <c r="J20" i="12"/>
  <c r="E19" i="12"/>
  <c r="O20" i="12"/>
  <c r="F20" i="12"/>
  <c r="N20" i="12"/>
  <c r="M20" i="12"/>
  <c r="H20" i="12"/>
  <c r="F28" i="15"/>
  <c r="G20" i="12"/>
  <c r="E20" i="12"/>
  <c r="I20" i="12"/>
  <c r="E24" i="12"/>
  <c r="P20" i="12"/>
  <c r="Q22" i="13"/>
  <c r="S22" i="13" s="1"/>
  <c r="P27" i="15"/>
  <c r="O38" i="12"/>
  <c r="O39" i="12" s="1"/>
  <c r="O14" i="12"/>
  <c r="O9" i="12"/>
  <c r="I19" i="12"/>
  <c r="J28" i="15"/>
  <c r="I24" i="12"/>
  <c r="P20" i="15"/>
  <c r="O24" i="8"/>
  <c r="O19" i="8"/>
  <c r="N34" i="13"/>
  <c r="N29" i="13"/>
  <c r="O25" i="15"/>
  <c r="H14" i="1"/>
  <c r="H9" i="1"/>
  <c r="H38" i="1"/>
  <c r="H39" i="1" s="1"/>
  <c r="H24" i="1"/>
  <c r="H25" i="1" s="1"/>
  <c r="H19" i="1"/>
  <c r="I14" i="6"/>
  <c r="J15" i="15"/>
  <c r="I9" i="6"/>
  <c r="I38" i="6"/>
  <c r="I39" i="6" s="1"/>
  <c r="N32" i="15"/>
  <c r="M24" i="7"/>
  <c r="M19" i="7"/>
  <c r="N21" i="15"/>
  <c r="M29" i="8"/>
  <c r="M34" i="8"/>
  <c r="M30" i="8"/>
  <c r="H30" i="8"/>
  <c r="E29" i="8"/>
  <c r="P30" i="8"/>
  <c r="I30" i="8"/>
  <c r="L30" i="8"/>
  <c r="Q28" i="8"/>
  <c r="F21" i="15"/>
  <c r="K30" i="8"/>
  <c r="J30" i="8"/>
  <c r="E34" i="8"/>
  <c r="O30" i="8"/>
  <c r="N30" i="8"/>
  <c r="E30" i="8"/>
  <c r="G30" i="8"/>
  <c r="F30" i="8"/>
  <c r="O19" i="13"/>
  <c r="O24" i="13"/>
  <c r="P24" i="15"/>
  <c r="K14" i="7"/>
  <c r="L31" i="15"/>
  <c r="K9" i="7"/>
  <c r="K38" i="7"/>
  <c r="K39" i="7" s="1"/>
  <c r="G38" i="13"/>
  <c r="G39" i="13" s="1"/>
  <c r="G9" i="13"/>
  <c r="G14" i="13"/>
  <c r="H23" i="15"/>
  <c r="M29" i="13"/>
  <c r="M34" i="13"/>
  <c r="N25" i="15"/>
  <c r="H16" i="15"/>
  <c r="G24" i="6"/>
  <c r="G19" i="6"/>
  <c r="K20" i="8"/>
  <c r="L20" i="8"/>
  <c r="Q18" i="8"/>
  <c r="I20" i="8"/>
  <c r="J20" i="8"/>
  <c r="P20" i="8"/>
  <c r="N20" i="8"/>
  <c r="E24" i="8"/>
  <c r="F20" i="15"/>
  <c r="G20" i="8"/>
  <c r="E20" i="8"/>
  <c r="F20" i="8"/>
  <c r="E19" i="8"/>
  <c r="O20" i="8"/>
  <c r="H20" i="8"/>
  <c r="M20" i="8"/>
  <c r="I14" i="12"/>
  <c r="I38" i="12"/>
  <c r="I39" i="12" s="1"/>
  <c r="I9" i="12"/>
  <c r="J27" i="15"/>
  <c r="J25" i="15"/>
  <c r="I34" i="13"/>
  <c r="I29" i="13"/>
  <c r="I24" i="8"/>
  <c r="J20" i="15"/>
  <c r="I19" i="8"/>
  <c r="J29" i="8"/>
  <c r="K21" i="15"/>
  <c r="J34" i="8"/>
  <c r="O29" i="8"/>
  <c r="O34" i="8"/>
  <c r="P21" i="15"/>
  <c r="K19" i="1"/>
  <c r="K24" i="1"/>
  <c r="K25" i="1" s="1"/>
  <c r="I15" i="15"/>
  <c r="H9" i="6"/>
  <c r="H38" i="6"/>
  <c r="H39" i="6" s="1"/>
  <c r="H14" i="6"/>
  <c r="E9" i="8"/>
  <c r="J10" i="8"/>
  <c r="I10" i="8"/>
  <c r="E38" i="8"/>
  <c r="K10" i="8"/>
  <c r="E14" i="8"/>
  <c r="O10" i="8"/>
  <c r="F19" i="15"/>
  <c r="M10" i="8"/>
  <c r="G10" i="8"/>
  <c r="E10" i="8"/>
  <c r="Q8" i="8"/>
  <c r="P10" i="8"/>
  <c r="L10" i="8"/>
  <c r="N10" i="8"/>
  <c r="F10" i="8"/>
  <c r="H10" i="8"/>
  <c r="K38" i="12"/>
  <c r="K39" i="12" s="1"/>
  <c r="K9" i="12"/>
  <c r="K14" i="12"/>
  <c r="L27" i="15"/>
  <c r="Q17" i="15"/>
  <c r="P34" i="6"/>
  <c r="P29" i="6"/>
  <c r="G21" i="15"/>
  <c r="F34" i="8"/>
  <c r="F29" i="8"/>
  <c r="Q12" i="13"/>
  <c r="S12" i="13" s="1"/>
  <c r="Q20" i="15"/>
  <c r="P24" i="8"/>
  <c r="P19" i="8"/>
  <c r="P24" i="7"/>
  <c r="P19" i="7"/>
  <c r="Q32" i="15"/>
  <c r="I28" i="15"/>
  <c r="H24" i="12"/>
  <c r="H19" i="12"/>
  <c r="G24" i="13"/>
  <c r="G19" i="13"/>
  <c r="H24" i="15"/>
  <c r="Q23" i="15"/>
  <c r="P9" i="13"/>
  <c r="P38" i="13"/>
  <c r="P39" i="13" s="1"/>
  <c r="P14" i="13"/>
  <c r="G30" i="13"/>
  <c r="P30" i="13"/>
  <c r="N30" i="13"/>
  <c r="E29" i="13"/>
  <c r="K30" i="13"/>
  <c r="F25" i="15"/>
  <c r="F30" i="13"/>
  <c r="L30" i="13"/>
  <c r="M30" i="13"/>
  <c r="H30" i="13"/>
  <c r="E34" i="13"/>
  <c r="Q28" i="13"/>
  <c r="J30" i="13"/>
  <c r="I30" i="13"/>
  <c r="O30" i="13"/>
  <c r="E30" i="13"/>
  <c r="O28" i="15"/>
  <c r="N24" i="12"/>
  <c r="N19" i="12"/>
  <c r="G9" i="7"/>
  <c r="G14" i="7"/>
  <c r="H31" i="15"/>
  <c r="G38" i="7"/>
  <c r="G39" i="7" s="1"/>
  <c r="N16" i="15"/>
  <c r="M24" i="6"/>
  <c r="M19" i="6"/>
  <c r="F30" i="6"/>
  <c r="E29" i="6"/>
  <c r="N30" i="6"/>
  <c r="G30" i="6"/>
  <c r="F17" i="15"/>
  <c r="I30" i="6"/>
  <c r="E34" i="6"/>
  <c r="M30" i="6"/>
  <c r="H30" i="6"/>
  <c r="O30" i="6"/>
  <c r="E30" i="6"/>
  <c r="L30" i="6"/>
  <c r="J30" i="6"/>
  <c r="K30" i="6"/>
  <c r="Q28" i="6"/>
  <c r="P30" i="6"/>
  <c r="H28" i="15"/>
  <c r="G24" i="12"/>
  <c r="G19" i="12"/>
  <c r="K28" i="15"/>
  <c r="J19" i="12"/>
  <c r="J24" i="12"/>
  <c r="I34" i="6"/>
  <c r="I29" i="6"/>
  <c r="J17" i="15"/>
  <c r="Q32" i="8"/>
  <c r="S32" i="8" s="1"/>
  <c r="L24" i="8"/>
  <c r="M20" i="15"/>
  <c r="L19" i="8"/>
  <c r="Q22" i="8"/>
  <c r="S22" i="8" s="1"/>
  <c r="H29" i="13"/>
  <c r="H34" i="13"/>
  <c r="I25" i="15"/>
  <c r="Q12" i="8"/>
  <c r="S12" i="8" s="1"/>
  <c r="O24" i="6"/>
  <c r="O19" i="6"/>
  <c r="P16" i="15"/>
  <c r="L19" i="7"/>
  <c r="L24" i="7"/>
  <c r="M32" i="15"/>
  <c r="H14" i="8"/>
  <c r="I19" i="15"/>
  <c r="H9" i="8"/>
  <c r="H38" i="8"/>
  <c r="H39" i="8" s="1"/>
  <c r="J24" i="1"/>
  <c r="J25" i="1" s="1"/>
  <c r="J19" i="1"/>
  <c r="O9" i="1"/>
  <c r="O38" i="1"/>
  <c r="O39" i="1" s="1"/>
  <c r="O14" i="1"/>
  <c r="H20" i="15"/>
  <c r="G24" i="8"/>
  <c r="G19" i="8"/>
  <c r="M34" i="6"/>
  <c r="N17" i="15"/>
  <c r="M29" i="6"/>
  <c r="N24" i="7"/>
  <c r="O32" i="15"/>
  <c r="N19" i="7"/>
  <c r="J16" i="15"/>
  <c r="I24" i="6"/>
  <c r="I19" i="6"/>
  <c r="P9" i="1"/>
  <c r="P38" i="1"/>
  <c r="P39" i="1" s="1"/>
  <c r="P14" i="1"/>
  <c r="J38" i="13"/>
  <c r="J39" i="13" s="1"/>
  <c r="K23" i="15"/>
  <c r="J14" i="13"/>
  <c r="J9" i="13"/>
  <c r="L16" i="15"/>
  <c r="K19" i="6"/>
  <c r="K24" i="6"/>
  <c r="E14" i="12"/>
  <c r="G10" i="12"/>
  <c r="O10" i="12"/>
  <c r="E38" i="12"/>
  <c r="M10" i="12"/>
  <c r="F27" i="15"/>
  <c r="J10" i="12"/>
  <c r="Q8" i="12"/>
  <c r="H10" i="12"/>
  <c r="P10" i="12"/>
  <c r="F10" i="12"/>
  <c r="N10" i="12"/>
  <c r="E9" i="12"/>
  <c r="I10" i="12"/>
  <c r="L10" i="12"/>
  <c r="E10" i="12"/>
  <c r="K10" i="12"/>
  <c r="L29" i="8"/>
  <c r="L34" i="8"/>
  <c r="M21" i="15"/>
  <c r="I23" i="15"/>
  <c r="H9" i="13"/>
  <c r="H38" i="13"/>
  <c r="H39" i="13" s="1"/>
  <c r="H14" i="13"/>
  <c r="K24" i="7"/>
  <c r="L32" i="15"/>
  <c r="K19" i="7"/>
  <c r="O38" i="6"/>
  <c r="O39" i="6" s="1"/>
  <c r="P15" i="15"/>
  <c r="O9" i="6"/>
  <c r="O14" i="6"/>
  <c r="G20" i="6"/>
  <c r="I20" i="6"/>
  <c r="K20" i="6"/>
  <c r="E20" i="6"/>
  <c r="F16" i="15"/>
  <c r="H20" i="6"/>
  <c r="Q18" i="6"/>
  <c r="F20" i="6"/>
  <c r="O20" i="6"/>
  <c r="N20" i="6"/>
  <c r="J20" i="6"/>
  <c r="P20" i="6"/>
  <c r="E24" i="6"/>
  <c r="E19" i="6"/>
  <c r="M20" i="6"/>
  <c r="L20" i="6"/>
  <c r="F38" i="7"/>
  <c r="F39" i="7" s="1"/>
  <c r="F9" i="7"/>
  <c r="F14" i="7"/>
  <c r="G31" i="15"/>
  <c r="G14" i="1"/>
  <c r="G38" i="1"/>
  <c r="G39" i="1" s="1"/>
  <c r="G9" i="1"/>
  <c r="M14" i="12"/>
  <c r="M9" i="12"/>
  <c r="N27" i="15"/>
  <c r="M38" i="12"/>
  <c r="M39" i="12" s="1"/>
  <c r="H19" i="6"/>
  <c r="I16" i="15"/>
  <c r="H24" i="6"/>
  <c r="O14" i="13"/>
  <c r="O38" i="13"/>
  <c r="O39" i="13" s="1"/>
  <c r="P23" i="15"/>
  <c r="O9" i="13"/>
  <c r="F14" i="6"/>
  <c r="F9" i="6"/>
  <c r="F38" i="6"/>
  <c r="F39" i="6" s="1"/>
  <c r="G15" i="15"/>
  <c r="O24" i="1"/>
  <c r="O25" i="1" s="1"/>
  <c r="O19" i="1"/>
  <c r="F9" i="8"/>
  <c r="F14" i="8"/>
  <c r="F38" i="8"/>
  <c r="F39" i="8" s="1"/>
  <c r="G19" i="15"/>
  <c r="P38" i="7"/>
  <c r="P39" i="7" s="1"/>
  <c r="P9" i="7"/>
  <c r="P14" i="7"/>
  <c r="Q31" i="15"/>
  <c r="O16" i="15"/>
  <c r="N19" i="6"/>
  <c r="N24" i="6"/>
  <c r="P34" i="13"/>
  <c r="Q25" i="15"/>
  <c r="P29" i="13"/>
  <c r="P19" i="12"/>
  <c r="Q28" i="15"/>
  <c r="P24" i="12"/>
  <c r="N20" i="15"/>
  <c r="M19" i="8"/>
  <c r="M24" i="8"/>
  <c r="N24" i="13"/>
  <c r="O24" i="15"/>
  <c r="N19" i="13"/>
  <c r="N29" i="8"/>
  <c r="O21" i="15"/>
  <c r="N34" i="8"/>
  <c r="Q32" i="6"/>
  <c r="S32" i="6" s="1"/>
  <c r="I21" i="15"/>
  <c r="H34" i="8"/>
  <c r="H29" i="8"/>
  <c r="P14" i="8"/>
  <c r="P38" i="8"/>
  <c r="P39" i="8" s="1"/>
  <c r="Q19" i="15"/>
  <c r="P9" i="8"/>
  <c r="G9" i="14"/>
  <c r="G14" i="14"/>
  <c r="G38" i="14"/>
  <c r="G39" i="14" s="1"/>
  <c r="H29" i="15"/>
  <c r="Q32" i="13"/>
  <c r="S32" i="13" s="1"/>
  <c r="M9" i="14"/>
  <c r="M14" i="14"/>
  <c r="M38" i="14"/>
  <c r="M39" i="14" s="1"/>
  <c r="N29" i="15"/>
  <c r="I14" i="1"/>
  <c r="I9" i="1"/>
  <c r="I38" i="1"/>
  <c r="I39" i="1" s="1"/>
  <c r="K15" i="15"/>
  <c r="J38" i="6"/>
  <c r="J39" i="6" s="1"/>
  <c r="J14" i="6"/>
  <c r="J9" i="6"/>
  <c r="F24" i="12"/>
  <c r="F19" i="12"/>
  <c r="G28" i="15"/>
  <c r="Q22" i="7"/>
  <c r="S22" i="7" s="1"/>
  <c r="P14" i="6"/>
  <c r="P38" i="6"/>
  <c r="P39" i="6" s="1"/>
  <c r="Q15" i="15"/>
  <c r="P9" i="6"/>
  <c r="I24" i="7"/>
  <c r="J32" i="15"/>
  <c r="I19" i="7"/>
  <c r="K34" i="8"/>
  <c r="L21" i="15"/>
  <c r="K29" i="8"/>
  <c r="K19" i="8"/>
  <c r="K24" i="8"/>
  <c r="L20" i="15"/>
  <c r="L19" i="1"/>
  <c r="L24" i="1"/>
  <c r="L25" i="1" s="1"/>
  <c r="P24" i="6"/>
  <c r="Q16" i="15"/>
  <c r="P19" i="6"/>
  <c r="K31" i="15"/>
  <c r="J9" i="7"/>
  <c r="J14" i="7"/>
  <c r="J38" i="7"/>
  <c r="J39" i="7" s="1"/>
  <c r="G16" i="15"/>
  <c r="F24" i="6"/>
  <c r="F19" i="6"/>
  <c r="J38" i="14"/>
  <c r="J39" i="14" s="1"/>
  <c r="J9" i="14"/>
  <c r="K29" i="15"/>
  <c r="J14" i="14"/>
  <c r="Q12" i="1"/>
  <c r="S12" i="1" s="1"/>
  <c r="F20" i="1"/>
  <c r="Q18" i="1"/>
  <c r="P20" i="1"/>
  <c r="K20" i="1"/>
  <c r="E24" i="1"/>
  <c r="O20" i="1"/>
  <c r="J20" i="1"/>
  <c r="H20" i="1"/>
  <c r="I20" i="1"/>
  <c r="G20" i="1"/>
  <c r="N20" i="1"/>
  <c r="L20" i="1"/>
  <c r="E19" i="1"/>
  <c r="E20" i="1"/>
  <c r="M20" i="1"/>
  <c r="M38" i="6"/>
  <c r="M39" i="6" s="1"/>
  <c r="M14" i="6"/>
  <c r="N15" i="15"/>
  <c r="M9" i="6"/>
  <c r="F10" i="13"/>
  <c r="I10" i="13"/>
  <c r="K10" i="13"/>
  <c r="G10" i="13"/>
  <c r="H10" i="13"/>
  <c r="L10" i="13"/>
  <c r="O10" i="13"/>
  <c r="M10" i="13"/>
  <c r="P10" i="13"/>
  <c r="F23" i="15"/>
  <c r="E9" i="13"/>
  <c r="N10" i="13"/>
  <c r="E38" i="13"/>
  <c r="E10" i="13"/>
  <c r="Q8" i="13"/>
  <c r="E14" i="13"/>
  <c r="J10" i="13"/>
  <c r="L19" i="15"/>
  <c r="K9" i="8"/>
  <c r="K38" i="8"/>
  <c r="K39" i="8" s="1"/>
  <c r="K14" i="8"/>
  <c r="Q29" i="15"/>
  <c r="P9" i="14"/>
  <c r="P38" i="14"/>
  <c r="P39" i="14" s="1"/>
  <c r="P14" i="14"/>
  <c r="K38" i="6"/>
  <c r="K39" i="6" s="1"/>
  <c r="K9" i="6"/>
  <c r="L15" i="15"/>
  <c r="K14" i="6"/>
  <c r="I9" i="7"/>
  <c r="J31" i="15"/>
  <c r="I38" i="7"/>
  <c r="I39" i="7" s="1"/>
  <c r="I14" i="7"/>
  <c r="Q12" i="14"/>
  <c r="S12" i="14" s="1"/>
  <c r="K14" i="14"/>
  <c r="K9" i="14"/>
  <c r="L29" i="15"/>
  <c r="K38" i="14"/>
  <c r="K39" i="14" s="1"/>
  <c r="F14" i="1"/>
  <c r="F38" i="1"/>
  <c r="F39" i="1" s="1"/>
  <c r="F9" i="1"/>
  <c r="G29" i="8"/>
  <c r="H21" i="15"/>
  <c r="G34" i="8"/>
  <c r="L14" i="12"/>
  <c r="M27" i="15"/>
  <c r="L9" i="12"/>
  <c r="L38" i="12"/>
  <c r="L39" i="12" s="1"/>
  <c r="M24" i="15"/>
  <c r="L24" i="13"/>
  <c r="L19" i="13"/>
  <c r="O14" i="7"/>
  <c r="P31" i="15"/>
  <c r="O38" i="7"/>
  <c r="O39" i="7" s="1"/>
  <c r="O9" i="7"/>
  <c r="N38" i="8"/>
  <c r="N39" i="8" s="1"/>
  <c r="O19" i="15"/>
  <c r="N9" i="8"/>
  <c r="N14" i="8"/>
  <c r="N9" i="1"/>
  <c r="N38" i="1"/>
  <c r="N39" i="1" s="1"/>
  <c r="N14" i="1"/>
  <c r="J24" i="6"/>
  <c r="J19" i="6"/>
  <c r="K16" i="15"/>
  <c r="I10" i="14"/>
  <c r="F29" i="15"/>
  <c r="E38" i="14"/>
  <c r="F10" i="14"/>
  <c r="E9" i="14"/>
  <c r="N10" i="14"/>
  <c r="H10" i="14"/>
  <c r="P10" i="14"/>
  <c r="O10" i="14"/>
  <c r="K10" i="14"/>
  <c r="G10" i="14"/>
  <c r="M10" i="14"/>
  <c r="Q8" i="14"/>
  <c r="J10" i="14"/>
  <c r="E10" i="14"/>
  <c r="E14" i="14"/>
  <c r="L10" i="14"/>
  <c r="N9" i="12"/>
  <c r="N14" i="12"/>
  <c r="N38" i="12"/>
  <c r="N39" i="12" s="1"/>
  <c r="O27" i="15"/>
  <c r="J19" i="7"/>
  <c r="K32" i="15"/>
  <c r="J24" i="7"/>
  <c r="F24" i="8"/>
  <c r="F19" i="8"/>
  <c r="G20" i="15"/>
  <c r="Q12" i="7"/>
  <c r="S12" i="7" s="1"/>
  <c r="J14" i="1"/>
  <c r="J38" i="1"/>
  <c r="J39" i="1" s="1"/>
  <c r="J9" i="1"/>
  <c r="F24" i="7"/>
  <c r="G32" i="15"/>
  <c r="F19" i="7"/>
  <c r="J24" i="8"/>
  <c r="K20" i="15"/>
  <c r="J19" i="8"/>
  <c r="I19" i="1"/>
  <c r="I24" i="1"/>
  <c r="I25" i="1" s="1"/>
  <c r="K38" i="13"/>
  <c r="K39" i="13" s="1"/>
  <c r="K9" i="13"/>
  <c r="L23" i="15"/>
  <c r="K14" i="13"/>
  <c r="G24" i="15"/>
  <c r="F19" i="13"/>
  <c r="F24" i="13"/>
  <c r="K19" i="13"/>
  <c r="K24" i="13"/>
  <c r="L24" i="15"/>
  <c r="O15" i="15"/>
  <c r="N38" i="6"/>
  <c r="N39" i="6" s="1"/>
  <c r="N9" i="6"/>
  <c r="N14" i="6"/>
  <c r="Q12" i="6"/>
  <c r="S12" i="6" s="1"/>
  <c r="E9" i="6"/>
  <c r="J10" i="6"/>
  <c r="I10" i="6"/>
  <c r="O10" i="6"/>
  <c r="L10" i="6"/>
  <c r="G10" i="6"/>
  <c r="F10" i="6"/>
  <c r="E38" i="6"/>
  <c r="P10" i="6"/>
  <c r="K10" i="6"/>
  <c r="H10" i="6"/>
  <c r="Q8" i="6"/>
  <c r="M10" i="6"/>
  <c r="E10" i="6"/>
  <c r="F15" i="15"/>
  <c r="E14" i="6"/>
  <c r="N10" i="6"/>
  <c r="Q24" i="15"/>
  <c r="P24" i="13"/>
  <c r="P19" i="13"/>
  <c r="Q12" i="12"/>
  <c r="S12" i="12" s="1"/>
  <c r="M84" i="4" l="1"/>
  <c r="L53" i="4"/>
  <c r="K36" i="4"/>
  <c r="G10" i="4"/>
  <c r="G36" i="4"/>
  <c r="G43" i="5"/>
  <c r="F6" i="4"/>
  <c r="N83" i="4"/>
  <c r="N93" i="4" s="1"/>
  <c r="J35" i="4"/>
  <c r="J45" i="4" s="1"/>
  <c r="Q7" i="4"/>
  <c r="O35" i="4"/>
  <c r="O45" i="4" s="1"/>
  <c r="J83" i="4"/>
  <c r="J93" i="4" s="1"/>
  <c r="E9" i="4"/>
  <c r="E10" i="4" s="1"/>
  <c r="Q39" i="10"/>
  <c r="G35" i="4"/>
  <c r="G45" i="4" s="1"/>
  <c r="E35" i="4"/>
  <c r="E45" i="4" s="1"/>
  <c r="F58" i="4"/>
  <c r="G58" i="4"/>
  <c r="F84" i="4"/>
  <c r="G57" i="4"/>
  <c r="H58" i="4"/>
  <c r="L36" i="4"/>
  <c r="L38" i="4" s="1"/>
  <c r="P10" i="4"/>
  <c r="N43" i="9"/>
  <c r="M44" i="9"/>
  <c r="K38" i="4"/>
  <c r="Q41" i="9"/>
  <c r="S41" i="9" s="1"/>
  <c r="S13" i="9"/>
  <c r="F47" i="2"/>
  <c r="E59" i="4" s="1"/>
  <c r="R44" i="2"/>
  <c r="R47" i="2" s="1"/>
  <c r="L44" i="9"/>
  <c r="Q15" i="9"/>
  <c r="Q43" i="9"/>
  <c r="N44" i="9"/>
  <c r="O44" i="9"/>
  <c r="I61" i="4"/>
  <c r="I62" i="4"/>
  <c r="H62" i="4"/>
  <c r="H61" i="4"/>
  <c r="J62" i="4"/>
  <c r="O62" i="4"/>
  <c r="K62" i="4"/>
  <c r="G84" i="4"/>
  <c r="G43" i="9"/>
  <c r="H44" i="9"/>
  <c r="I44" i="9"/>
  <c r="G44" i="9"/>
  <c r="P44" i="9"/>
  <c r="K44" i="9"/>
  <c r="J44" i="9"/>
  <c r="S14" i="9"/>
  <c r="G61" i="4"/>
  <c r="G62" i="4"/>
  <c r="E36" i="4"/>
  <c r="E38" i="4" s="1"/>
  <c r="E39" i="4" s="1"/>
  <c r="S33" i="5"/>
  <c r="Q41" i="5"/>
  <c r="K5" i="4"/>
  <c r="R38" i="2"/>
  <c r="I39" i="2"/>
  <c r="H51" i="4" s="1"/>
  <c r="H83" i="4" s="1"/>
  <c r="H93" i="4" s="1"/>
  <c r="H43" i="5"/>
  <c r="K84" i="4"/>
  <c r="I39" i="15"/>
  <c r="H52" i="4" s="1"/>
  <c r="H84" i="4" s="1"/>
  <c r="N36" i="4"/>
  <c r="N38" i="4" s="1"/>
  <c r="G5" i="4"/>
  <c r="F43" i="5"/>
  <c r="O5" i="4"/>
  <c r="V4" i="2"/>
  <c r="V6" i="2" s="1"/>
  <c r="H5" i="4"/>
  <c r="P53" i="4"/>
  <c r="L5" i="4"/>
  <c r="Q35" i="5"/>
  <c r="M38" i="4"/>
  <c r="M86" i="4"/>
  <c r="H39" i="2"/>
  <c r="G51" i="4" s="1"/>
  <c r="F35" i="4"/>
  <c r="F45" i="4" s="1"/>
  <c r="Q45" i="4" s="1"/>
  <c r="H38" i="4"/>
  <c r="R37" i="2"/>
  <c r="L39" i="2"/>
  <c r="K51" i="4" s="1"/>
  <c r="K83" i="4" s="1"/>
  <c r="K93" i="4" s="1"/>
  <c r="O83" i="4"/>
  <c r="O93" i="4" s="1"/>
  <c r="O53" i="4"/>
  <c r="F83" i="4"/>
  <c r="F93" i="4" s="1"/>
  <c r="F53" i="4"/>
  <c r="I6" i="4"/>
  <c r="L6" i="4"/>
  <c r="Q3" i="4"/>
  <c r="F5" i="4"/>
  <c r="G6" i="4"/>
  <c r="M6" i="4"/>
  <c r="H6" i="4"/>
  <c r="K6" i="4"/>
  <c r="Q25" i="5"/>
  <c r="I36" i="4"/>
  <c r="I38" i="4" s="1"/>
  <c r="I5" i="4"/>
  <c r="O6" i="4"/>
  <c r="N6" i="4"/>
  <c r="P6" i="4"/>
  <c r="J6" i="4"/>
  <c r="I53" i="4"/>
  <c r="N53" i="4"/>
  <c r="H44" i="5"/>
  <c r="Q42" i="5"/>
  <c r="S42" i="5" s="1"/>
  <c r="R36" i="15"/>
  <c r="R39" i="15" s="1"/>
  <c r="I83" i="4"/>
  <c r="I93" i="4" s="1"/>
  <c r="G38" i="4"/>
  <c r="O44" i="5"/>
  <c r="L44" i="5"/>
  <c r="J44" i="5"/>
  <c r="P44" i="5"/>
  <c r="K44" i="5"/>
  <c r="R6" i="2"/>
  <c r="V9" i="2" s="1"/>
  <c r="R36" i="2"/>
  <c r="F39" i="2"/>
  <c r="E51" i="4" s="1"/>
  <c r="M44" i="5"/>
  <c r="I44" i="5"/>
  <c r="E43" i="5"/>
  <c r="G44" i="5"/>
  <c r="F44" i="5"/>
  <c r="E44" i="5"/>
  <c r="Q15" i="5"/>
  <c r="N44" i="5"/>
  <c r="Q8" i="4"/>
  <c r="P61" i="4"/>
  <c r="P62" i="4"/>
  <c r="P84" i="4"/>
  <c r="P86" i="4" s="1"/>
  <c r="K10" i="4"/>
  <c r="N10" i="4"/>
  <c r="N57" i="4"/>
  <c r="L10" i="4"/>
  <c r="M10" i="4"/>
  <c r="O10" i="4"/>
  <c r="N84" i="4"/>
  <c r="N86" i="4" s="1"/>
  <c r="P36" i="4"/>
  <c r="P38" i="4" s="1"/>
  <c r="P9" i="4"/>
  <c r="J10" i="4"/>
  <c r="M9" i="4"/>
  <c r="J9" i="4"/>
  <c r="J58" i="4"/>
  <c r="O36" i="4"/>
  <c r="O38" i="4" s="1"/>
  <c r="O84" i="4"/>
  <c r="O57" i="4"/>
  <c r="Q60" i="4"/>
  <c r="R44" i="15"/>
  <c r="R47" i="15" s="1"/>
  <c r="N61" i="4"/>
  <c r="N62" i="4"/>
  <c r="M53" i="4"/>
  <c r="R6" i="15"/>
  <c r="Q55" i="4"/>
  <c r="L83" i="4"/>
  <c r="L62" i="4"/>
  <c r="L61" i="4"/>
  <c r="S38" i="10"/>
  <c r="R10" i="15"/>
  <c r="K57" i="4"/>
  <c r="K58" i="4"/>
  <c r="J53" i="4"/>
  <c r="J84" i="4"/>
  <c r="J86" i="4" s="1"/>
  <c r="J36" i="4"/>
  <c r="J38" i="4" s="1"/>
  <c r="J5" i="4"/>
  <c r="Q4" i="4"/>
  <c r="Q39" i="5"/>
  <c r="I84" i="4"/>
  <c r="I58" i="4"/>
  <c r="P34" i="15"/>
  <c r="O32" i="4" s="1"/>
  <c r="O33" i="4" s="1"/>
  <c r="L18" i="15"/>
  <c r="K16" i="4" s="1"/>
  <c r="K18" i="4" s="1"/>
  <c r="L26" i="15"/>
  <c r="K24" i="4" s="1"/>
  <c r="K26" i="4" s="1"/>
  <c r="O22" i="15"/>
  <c r="N20" i="4" s="1"/>
  <c r="N21" i="4" s="1"/>
  <c r="N18" i="15"/>
  <c r="M16" i="4" s="1"/>
  <c r="M18" i="4" s="1"/>
  <c r="R25" i="15"/>
  <c r="P26" i="15"/>
  <c r="O24" i="4" s="1"/>
  <c r="O26" i="4" s="1"/>
  <c r="G34" i="15"/>
  <c r="F32" i="4" s="1"/>
  <c r="F34" i="4" s="1"/>
  <c r="J26" i="15"/>
  <c r="I24" i="4" s="1"/>
  <c r="I26" i="4" s="1"/>
  <c r="J34" i="15"/>
  <c r="I32" i="4" s="1"/>
  <c r="I34" i="4" s="1"/>
  <c r="P22" i="15"/>
  <c r="O20" i="4" s="1"/>
  <c r="O21" i="4" s="1"/>
  <c r="H18" i="15"/>
  <c r="G16" i="4" s="1"/>
  <c r="G17" i="4" s="1"/>
  <c r="K34" i="15"/>
  <c r="J32" i="4" s="1"/>
  <c r="J33" i="4" s="1"/>
  <c r="N34" i="15"/>
  <c r="M32" i="4" s="1"/>
  <c r="M34" i="4" s="1"/>
  <c r="K22" i="15"/>
  <c r="J20" i="4" s="1"/>
  <c r="J21" i="4" s="1"/>
  <c r="R24" i="15"/>
  <c r="P18" i="15"/>
  <c r="O16" i="4" s="1"/>
  <c r="O17" i="4" s="1"/>
  <c r="L30" i="15"/>
  <c r="K28" i="4" s="1"/>
  <c r="K30" i="4" s="1"/>
  <c r="G26" i="15"/>
  <c r="F24" i="4" s="1"/>
  <c r="F25" i="4" s="1"/>
  <c r="O34" i="15"/>
  <c r="N32" i="4" s="1"/>
  <c r="N33" i="4" s="1"/>
  <c r="N42" i="12"/>
  <c r="N43" i="12" s="1"/>
  <c r="N15" i="12"/>
  <c r="O60" i="15"/>
  <c r="P15" i="6"/>
  <c r="P42" i="6"/>
  <c r="P43" i="6" s="1"/>
  <c r="Q48" i="15"/>
  <c r="H15" i="8"/>
  <c r="H42" i="8"/>
  <c r="H43" i="8" s="1"/>
  <c r="I52" i="15"/>
  <c r="R28" i="15"/>
  <c r="I26" i="13"/>
  <c r="P26" i="13"/>
  <c r="L26" i="13"/>
  <c r="H26" i="13"/>
  <c r="M26" i="13"/>
  <c r="K26" i="13"/>
  <c r="G26" i="13"/>
  <c r="J26" i="13"/>
  <c r="Q24" i="13"/>
  <c r="F57" i="15"/>
  <c r="E26" i="13"/>
  <c r="F26" i="13"/>
  <c r="N26" i="13"/>
  <c r="O26" i="13"/>
  <c r="E25" i="13"/>
  <c r="L42" i="8"/>
  <c r="L43" i="8" s="1"/>
  <c r="M52" i="15"/>
  <c r="L15" i="8"/>
  <c r="Q19" i="7"/>
  <c r="S18" i="7"/>
  <c r="K42" i="14"/>
  <c r="K43" i="14" s="1"/>
  <c r="L62" i="15"/>
  <c r="K15" i="14"/>
  <c r="J42" i="1"/>
  <c r="J43" i="1" s="1"/>
  <c r="J15" i="1"/>
  <c r="M53" i="15"/>
  <c r="L25" i="8"/>
  <c r="I61" i="15"/>
  <c r="H25" i="12"/>
  <c r="Q34" i="8"/>
  <c r="J36" i="8"/>
  <c r="M36" i="8"/>
  <c r="H36" i="8"/>
  <c r="E35" i="8"/>
  <c r="K36" i="8"/>
  <c r="O36" i="8"/>
  <c r="F54" i="15"/>
  <c r="G36" i="8"/>
  <c r="P36" i="8"/>
  <c r="E36" i="8"/>
  <c r="I36" i="8"/>
  <c r="F36" i="8"/>
  <c r="L36" i="8"/>
  <c r="N36" i="8"/>
  <c r="P60" i="15"/>
  <c r="O15" i="12"/>
  <c r="O42" i="12"/>
  <c r="O43" i="12" s="1"/>
  <c r="N40" i="14"/>
  <c r="H40" i="14"/>
  <c r="F40" i="14"/>
  <c r="E39" i="14"/>
  <c r="K40" i="14"/>
  <c r="P40" i="14"/>
  <c r="O40" i="14"/>
  <c r="J40" i="14"/>
  <c r="L40" i="14"/>
  <c r="M40" i="14"/>
  <c r="I40" i="14"/>
  <c r="G40" i="14"/>
  <c r="E40" i="14"/>
  <c r="G35" i="8"/>
  <c r="H54" i="15"/>
  <c r="O15" i="1"/>
  <c r="O42" i="1"/>
  <c r="O43" i="1" s="1"/>
  <c r="Q50" i="15"/>
  <c r="P35" i="6"/>
  <c r="Q60" i="15"/>
  <c r="P15" i="12"/>
  <c r="P42" i="12"/>
  <c r="P43" i="12" s="1"/>
  <c r="S18" i="1"/>
  <c r="Q19" i="1"/>
  <c r="L54" i="15"/>
  <c r="K35" i="8"/>
  <c r="O54" i="15"/>
  <c r="N35" i="8"/>
  <c r="F42" i="8"/>
  <c r="F43" i="8" s="1"/>
  <c r="F15" i="8"/>
  <c r="G52" i="15"/>
  <c r="H25" i="6"/>
  <c r="I49" i="15"/>
  <c r="K25" i="7"/>
  <c r="L65" i="15"/>
  <c r="J16" i="12"/>
  <c r="Q14" i="12"/>
  <c r="E15" i="12"/>
  <c r="E42" i="12"/>
  <c r="M16" i="12"/>
  <c r="F60" i="15"/>
  <c r="F16" i="12"/>
  <c r="L16" i="12"/>
  <c r="I16" i="12"/>
  <c r="E16" i="12"/>
  <c r="H16" i="12"/>
  <c r="N16" i="12"/>
  <c r="O16" i="12"/>
  <c r="P16" i="12"/>
  <c r="G16" i="12"/>
  <c r="K16" i="12"/>
  <c r="J49" i="15"/>
  <c r="I25" i="6"/>
  <c r="J53" i="15"/>
  <c r="I25" i="8"/>
  <c r="L34" i="15"/>
  <c r="K32" i="4" s="1"/>
  <c r="P30" i="15"/>
  <c r="O28" i="4" s="1"/>
  <c r="M34" i="15"/>
  <c r="L32" i="4" s="1"/>
  <c r="F42" i="13"/>
  <c r="F43" i="13" s="1"/>
  <c r="G56" i="15"/>
  <c r="F15" i="13"/>
  <c r="M15" i="7"/>
  <c r="N64" i="15"/>
  <c r="M42" i="7"/>
  <c r="M43" i="7" s="1"/>
  <c r="I15" i="13"/>
  <c r="I42" i="13"/>
  <c r="I43" i="13" s="1"/>
  <c r="J56" i="15"/>
  <c r="I34" i="15"/>
  <c r="H32" i="4" s="1"/>
  <c r="O25" i="12"/>
  <c r="P61" i="15"/>
  <c r="I15" i="8"/>
  <c r="I42" i="8"/>
  <c r="I43" i="8" s="1"/>
  <c r="J52" i="15"/>
  <c r="M40" i="7"/>
  <c r="J40" i="7"/>
  <c r="G40" i="7"/>
  <c r="L40" i="7"/>
  <c r="N40" i="7"/>
  <c r="E39" i="7"/>
  <c r="K40" i="7"/>
  <c r="I40" i="7"/>
  <c r="F40" i="7"/>
  <c r="P40" i="7"/>
  <c r="H40" i="7"/>
  <c r="E40" i="7"/>
  <c r="O40" i="7"/>
  <c r="L42" i="14"/>
  <c r="L43" i="14" s="1"/>
  <c r="L15" i="14"/>
  <c r="M62" i="15"/>
  <c r="P15" i="8"/>
  <c r="Q52" i="15"/>
  <c r="P42" i="8"/>
  <c r="P43" i="8" s="1"/>
  <c r="F15" i="6"/>
  <c r="G48" i="15"/>
  <c r="F42" i="6"/>
  <c r="F43" i="6" s="1"/>
  <c r="N50" i="15"/>
  <c r="M35" i="6"/>
  <c r="I42" i="12"/>
  <c r="I43" i="12" s="1"/>
  <c r="I15" i="12"/>
  <c r="J60" i="15"/>
  <c r="H30" i="15"/>
  <c r="G28" i="4" s="1"/>
  <c r="N42" i="6"/>
  <c r="N43" i="6" s="1"/>
  <c r="O48" i="15"/>
  <c r="N15" i="6"/>
  <c r="I54" i="15"/>
  <c r="H35" i="8"/>
  <c r="Q61" i="15"/>
  <c r="P25" i="12"/>
  <c r="P40" i="12"/>
  <c r="O40" i="12"/>
  <c r="E39" i="12"/>
  <c r="E40" i="12"/>
  <c r="M40" i="12"/>
  <c r="K40" i="12"/>
  <c r="J40" i="12"/>
  <c r="G40" i="12"/>
  <c r="L40" i="12"/>
  <c r="I40" i="12"/>
  <c r="H40" i="12"/>
  <c r="N40" i="12"/>
  <c r="F40" i="12"/>
  <c r="O50" i="15"/>
  <c r="N35" i="6"/>
  <c r="G22" i="15"/>
  <c r="F20" i="4" s="1"/>
  <c r="I65" i="15"/>
  <c r="H25" i="7"/>
  <c r="K15" i="1"/>
  <c r="K42" i="1"/>
  <c r="K43" i="1" s="1"/>
  <c r="G64" i="15"/>
  <c r="F15" i="7"/>
  <c r="F42" i="7"/>
  <c r="F43" i="7" s="1"/>
  <c r="Q54" i="15"/>
  <c r="P35" i="8"/>
  <c r="H58" i="15"/>
  <c r="G35" i="13"/>
  <c r="S8" i="7"/>
  <c r="Q38" i="7"/>
  <c r="Q9" i="7"/>
  <c r="N40" i="6"/>
  <c r="O40" i="6"/>
  <c r="P40" i="6"/>
  <c r="L40" i="6"/>
  <c r="F40" i="6"/>
  <c r="M40" i="6"/>
  <c r="G40" i="6"/>
  <c r="H40" i="6"/>
  <c r="J40" i="6"/>
  <c r="I40" i="6"/>
  <c r="E40" i="6"/>
  <c r="K40" i="6"/>
  <c r="E39" i="6"/>
  <c r="P25" i="13"/>
  <c r="Q57" i="15"/>
  <c r="R16" i="15"/>
  <c r="I35" i="6"/>
  <c r="J50" i="15"/>
  <c r="I18" i="15"/>
  <c r="H16" i="4" s="1"/>
  <c r="G25" i="6"/>
  <c r="H49" i="15"/>
  <c r="G62" i="15"/>
  <c r="F15" i="14"/>
  <c r="F42" i="14"/>
  <c r="F43" i="14" s="1"/>
  <c r="Q64" i="15"/>
  <c r="P42" i="7"/>
  <c r="P43" i="7" s="1"/>
  <c r="P15" i="7"/>
  <c r="F30" i="15"/>
  <c r="E28" i="4" s="1"/>
  <c r="R27" i="15"/>
  <c r="J35" i="8"/>
  <c r="K54" i="15"/>
  <c r="G42" i="13"/>
  <c r="G43" i="13" s="1"/>
  <c r="H56" i="15"/>
  <c r="G15" i="13"/>
  <c r="O15" i="14"/>
  <c r="P62" i="15"/>
  <c r="O42" i="14"/>
  <c r="O43" i="14" s="1"/>
  <c r="Q38" i="6"/>
  <c r="S8" i="6"/>
  <c r="Q9" i="6"/>
  <c r="G49" i="15"/>
  <c r="F25" i="6"/>
  <c r="G60" i="15"/>
  <c r="F42" i="12"/>
  <c r="F43" i="12" s="1"/>
  <c r="F15" i="12"/>
  <c r="G15" i="1"/>
  <c r="G42" i="1"/>
  <c r="G43" i="1" s="1"/>
  <c r="M65" i="15"/>
  <c r="L25" i="7"/>
  <c r="N22" i="15"/>
  <c r="M20" i="4" s="1"/>
  <c r="N26" i="7"/>
  <c r="J26" i="7"/>
  <c r="E25" i="7"/>
  <c r="P26" i="7"/>
  <c r="K26" i="7"/>
  <c r="I26" i="7"/>
  <c r="Q24" i="7"/>
  <c r="F26" i="7"/>
  <c r="L26" i="7"/>
  <c r="O26" i="7"/>
  <c r="E26" i="7"/>
  <c r="M26" i="7"/>
  <c r="H26" i="7"/>
  <c r="G26" i="7"/>
  <c r="F65" i="15"/>
  <c r="M60" i="15"/>
  <c r="L15" i="12"/>
  <c r="L42" i="12"/>
  <c r="L43" i="12" s="1"/>
  <c r="P56" i="15"/>
  <c r="O15" i="13"/>
  <c r="O42" i="13"/>
  <c r="O43" i="13" s="1"/>
  <c r="S18" i="6"/>
  <c r="Q19" i="6"/>
  <c r="M15" i="8"/>
  <c r="N52" i="15"/>
  <c r="M42" i="8"/>
  <c r="M43" i="8" s="1"/>
  <c r="F25" i="8"/>
  <c r="G53" i="15"/>
  <c r="L22" i="15"/>
  <c r="K20" i="4" s="1"/>
  <c r="N65" i="15"/>
  <c r="M25" i="7"/>
  <c r="K42" i="13"/>
  <c r="K43" i="13" s="1"/>
  <c r="L56" i="15"/>
  <c r="K15" i="13"/>
  <c r="R17" i="15"/>
  <c r="L53" i="15"/>
  <c r="K25" i="8"/>
  <c r="O61" i="15"/>
  <c r="N25" i="12"/>
  <c r="G26" i="1"/>
  <c r="L26" i="1"/>
  <c r="Q24" i="1"/>
  <c r="H26" i="1"/>
  <c r="N26" i="1"/>
  <c r="O26" i="1"/>
  <c r="M26" i="1"/>
  <c r="E25" i="1"/>
  <c r="E26" i="1"/>
  <c r="P26" i="1"/>
  <c r="K26" i="1"/>
  <c r="I26" i="1"/>
  <c r="J26" i="1"/>
  <c r="F26" i="1"/>
  <c r="N62" i="15"/>
  <c r="M15" i="14"/>
  <c r="M42" i="14"/>
  <c r="M43" i="14" s="1"/>
  <c r="Q29" i="6"/>
  <c r="S28" i="6"/>
  <c r="M35" i="8"/>
  <c r="N54" i="15"/>
  <c r="G16" i="14"/>
  <c r="H16" i="14"/>
  <c r="F16" i="14"/>
  <c r="E42" i="14"/>
  <c r="K16" i="14"/>
  <c r="O16" i="14"/>
  <c r="Q14" i="14"/>
  <c r="F62" i="15"/>
  <c r="J16" i="14"/>
  <c r="E15" i="14"/>
  <c r="L16" i="14"/>
  <c r="M16" i="14"/>
  <c r="P16" i="14"/>
  <c r="E16" i="14"/>
  <c r="I16" i="14"/>
  <c r="N16" i="14"/>
  <c r="S8" i="8"/>
  <c r="Q9" i="8"/>
  <c r="Q38" i="8"/>
  <c r="L15" i="6"/>
  <c r="L42" i="6"/>
  <c r="L43" i="6" s="1"/>
  <c r="M48" i="15"/>
  <c r="K58" i="15"/>
  <c r="J35" i="13"/>
  <c r="O52" i="15"/>
  <c r="N15" i="8"/>
  <c r="N42" i="8"/>
  <c r="N43" i="8" s="1"/>
  <c r="P15" i="1"/>
  <c r="P42" i="1"/>
  <c r="P43" i="1" s="1"/>
  <c r="H57" i="15"/>
  <c r="G25" i="13"/>
  <c r="G54" i="15"/>
  <c r="F35" i="8"/>
  <c r="K52" i="15"/>
  <c r="J42" i="8"/>
  <c r="J43" i="8" s="1"/>
  <c r="J15" i="8"/>
  <c r="L35" i="6"/>
  <c r="M50" i="15"/>
  <c r="H25" i="13"/>
  <c r="I57" i="15"/>
  <c r="M30" i="15"/>
  <c r="L28" i="4" s="1"/>
  <c r="R23" i="15"/>
  <c r="F26" i="15"/>
  <c r="E24" i="4" s="1"/>
  <c r="H53" i="15"/>
  <c r="G25" i="8"/>
  <c r="Q19" i="8"/>
  <c r="S18" i="8"/>
  <c r="R31" i="15"/>
  <c r="F34" i="15"/>
  <c r="E32" i="4" s="1"/>
  <c r="K42" i="8"/>
  <c r="K43" i="8" s="1"/>
  <c r="L52" i="15"/>
  <c r="K15" i="8"/>
  <c r="O15" i="8"/>
  <c r="O42" i="8"/>
  <c r="O43" i="8" s="1"/>
  <c r="P52" i="15"/>
  <c r="M15" i="1"/>
  <c r="M42" i="1"/>
  <c r="M43" i="1" s="1"/>
  <c r="O35" i="6"/>
  <c r="P50" i="15"/>
  <c r="K64" i="15"/>
  <c r="J15" i="7"/>
  <c r="J42" i="7"/>
  <c r="J43" i="7" s="1"/>
  <c r="F25" i="12"/>
  <c r="G61" i="15"/>
  <c r="H15" i="1"/>
  <c r="H42" i="1"/>
  <c r="H43" i="1" s="1"/>
  <c r="M58" i="15"/>
  <c r="L35" i="13"/>
  <c r="O18" i="15"/>
  <c r="N16" i="4" s="1"/>
  <c r="J15" i="6"/>
  <c r="K48" i="15"/>
  <c r="J42" i="6"/>
  <c r="J43" i="6" s="1"/>
  <c r="H15" i="13"/>
  <c r="I56" i="15"/>
  <c r="H42" i="13"/>
  <c r="H43" i="13" s="1"/>
  <c r="K25" i="6"/>
  <c r="L49" i="15"/>
  <c r="N49" i="15"/>
  <c r="M25" i="6"/>
  <c r="H42" i="12"/>
  <c r="H43" i="12" s="1"/>
  <c r="H15" i="12"/>
  <c r="I60" i="15"/>
  <c r="K65" i="15"/>
  <c r="J25" i="7"/>
  <c r="K42" i="6"/>
  <c r="K43" i="6" s="1"/>
  <c r="L48" i="15"/>
  <c r="K15" i="6"/>
  <c r="Q58" i="15"/>
  <c r="P35" i="13"/>
  <c r="S28" i="13"/>
  <c r="Q29" i="13"/>
  <c r="Q56" i="15"/>
  <c r="P15" i="13"/>
  <c r="P42" i="13"/>
  <c r="P43" i="13" s="1"/>
  <c r="K42" i="12"/>
  <c r="K43" i="12" s="1"/>
  <c r="L60" i="15"/>
  <c r="K15" i="12"/>
  <c r="S28" i="8"/>
  <c r="Q29" i="8"/>
  <c r="N35" i="13"/>
  <c r="O58" i="15"/>
  <c r="Q19" i="13"/>
  <c r="S18" i="13"/>
  <c r="K40" i="1"/>
  <c r="O40" i="1"/>
  <c r="E39" i="1"/>
  <c r="J40" i="1"/>
  <c r="E40" i="1"/>
  <c r="N40" i="1"/>
  <c r="M40" i="1"/>
  <c r="I40" i="1"/>
  <c r="P40" i="1"/>
  <c r="H40" i="1"/>
  <c r="L40" i="1"/>
  <c r="G40" i="1"/>
  <c r="F40" i="1"/>
  <c r="J22" i="15"/>
  <c r="I20" i="4" s="1"/>
  <c r="K53" i="15"/>
  <c r="J25" i="8"/>
  <c r="P64" i="15"/>
  <c r="O42" i="7"/>
  <c r="O43" i="7" s="1"/>
  <c r="O15" i="7"/>
  <c r="E15" i="13"/>
  <c r="I16" i="13"/>
  <c r="F16" i="13"/>
  <c r="F56" i="15"/>
  <c r="J16" i="13"/>
  <c r="E42" i="13"/>
  <c r="N16" i="13"/>
  <c r="K16" i="13"/>
  <c r="Q14" i="13"/>
  <c r="G16" i="13"/>
  <c r="P16" i="13"/>
  <c r="H16" i="13"/>
  <c r="E16" i="13"/>
  <c r="M16" i="13"/>
  <c r="L16" i="13"/>
  <c r="O16" i="13"/>
  <c r="K62" i="15"/>
  <c r="J42" i="14"/>
  <c r="J43" i="14" s="1"/>
  <c r="J15" i="14"/>
  <c r="J65" i="15"/>
  <c r="I25" i="7"/>
  <c r="N25" i="6"/>
  <c r="O49" i="15"/>
  <c r="R20" i="15"/>
  <c r="I25" i="13"/>
  <c r="J57" i="15"/>
  <c r="F25" i="13"/>
  <c r="G57" i="15"/>
  <c r="K49" i="15"/>
  <c r="J25" i="6"/>
  <c r="G18" i="15"/>
  <c r="F16" i="4" s="1"/>
  <c r="N30" i="15"/>
  <c r="M28" i="4" s="1"/>
  <c r="I58" i="15"/>
  <c r="H35" i="13"/>
  <c r="H34" i="15"/>
  <c r="G32" i="4" s="1"/>
  <c r="Q53" i="15"/>
  <c r="P25" i="8"/>
  <c r="Q14" i="8"/>
  <c r="E15" i="8"/>
  <c r="K16" i="8"/>
  <c r="F16" i="8"/>
  <c r="O16" i="8"/>
  <c r="H16" i="8"/>
  <c r="I16" i="8"/>
  <c r="G16" i="8"/>
  <c r="P16" i="8"/>
  <c r="F52" i="15"/>
  <c r="L16" i="8"/>
  <c r="N16" i="8"/>
  <c r="E16" i="8"/>
  <c r="J16" i="8"/>
  <c r="E42" i="8"/>
  <c r="M16" i="8"/>
  <c r="J30" i="15"/>
  <c r="I28" i="4" s="1"/>
  <c r="F53" i="15"/>
  <c r="H26" i="8"/>
  <c r="N26" i="8"/>
  <c r="G26" i="8"/>
  <c r="K26" i="8"/>
  <c r="P26" i="8"/>
  <c r="L26" i="8"/>
  <c r="O26" i="8"/>
  <c r="E26" i="8"/>
  <c r="J26" i="8"/>
  <c r="I26" i="8"/>
  <c r="E25" i="8"/>
  <c r="M26" i="8"/>
  <c r="Q24" i="8"/>
  <c r="F26" i="8"/>
  <c r="N58" i="15"/>
  <c r="M35" i="13"/>
  <c r="P53" i="15"/>
  <c r="O25" i="8"/>
  <c r="J54" i="15"/>
  <c r="I35" i="8"/>
  <c r="M49" i="15"/>
  <c r="L25" i="6"/>
  <c r="S8" i="1"/>
  <c r="Q9" i="1"/>
  <c r="Q38" i="1"/>
  <c r="M16" i="1"/>
  <c r="P16" i="1"/>
  <c r="L16" i="1"/>
  <c r="E15" i="1"/>
  <c r="G16" i="1"/>
  <c r="N16" i="1"/>
  <c r="O16" i="1"/>
  <c r="F16" i="1"/>
  <c r="I16" i="1"/>
  <c r="K16" i="1"/>
  <c r="Q14" i="1"/>
  <c r="E16" i="1"/>
  <c r="E42" i="1"/>
  <c r="H16" i="1"/>
  <c r="J16" i="1"/>
  <c r="O26" i="15"/>
  <c r="N24" i="4" s="1"/>
  <c r="M26" i="15"/>
  <c r="L24" i="4" s="1"/>
  <c r="G50" i="15"/>
  <c r="F35" i="6"/>
  <c r="H35" i="6"/>
  <c r="I50" i="15"/>
  <c r="G58" i="15"/>
  <c r="F35" i="13"/>
  <c r="R15" i="15"/>
  <c r="F18" i="15"/>
  <c r="E16" i="4" s="1"/>
  <c r="O30" i="15"/>
  <c r="N28" i="4" s="1"/>
  <c r="N42" i="1"/>
  <c r="N43" i="1" s="1"/>
  <c r="N15" i="1"/>
  <c r="L25" i="13"/>
  <c r="M57" i="15"/>
  <c r="Q18" i="15"/>
  <c r="P16" i="4" s="1"/>
  <c r="Q22" i="15"/>
  <c r="P20" i="4" s="1"/>
  <c r="O57" i="15"/>
  <c r="N25" i="13"/>
  <c r="K26" i="6"/>
  <c r="F26" i="6"/>
  <c r="I26" i="6"/>
  <c r="E25" i="6"/>
  <c r="J26" i="6"/>
  <c r="O26" i="6"/>
  <c r="P26" i="6"/>
  <c r="L26" i="6"/>
  <c r="Q24" i="6"/>
  <c r="G26" i="6"/>
  <c r="E26" i="6"/>
  <c r="N26" i="6"/>
  <c r="M26" i="6"/>
  <c r="F49" i="15"/>
  <c r="H26" i="6"/>
  <c r="S8" i="12"/>
  <c r="Q9" i="12"/>
  <c r="Q38" i="12"/>
  <c r="K56" i="15"/>
  <c r="J15" i="13"/>
  <c r="J42" i="13"/>
  <c r="J43" i="13" s="1"/>
  <c r="F50" i="15"/>
  <c r="M36" i="6"/>
  <c r="I36" i="6"/>
  <c r="H36" i="6"/>
  <c r="P36" i="6"/>
  <c r="G36" i="6"/>
  <c r="N36" i="6"/>
  <c r="L36" i="6"/>
  <c r="K36" i="6"/>
  <c r="F36" i="6"/>
  <c r="J36" i="6"/>
  <c r="O36" i="6"/>
  <c r="E35" i="6"/>
  <c r="Q34" i="6"/>
  <c r="E36" i="6"/>
  <c r="G42" i="7"/>
  <c r="G43" i="7" s="1"/>
  <c r="G15" i="7"/>
  <c r="H64" i="15"/>
  <c r="Q26" i="15"/>
  <c r="P24" i="4" s="1"/>
  <c r="O35" i="8"/>
  <c r="P54" i="15"/>
  <c r="J18" i="15"/>
  <c r="I16" i="4" s="1"/>
  <c r="S18" i="12"/>
  <c r="Q19" i="12"/>
  <c r="N26" i="15"/>
  <c r="M24" i="4" s="1"/>
  <c r="G42" i="8"/>
  <c r="G43" i="8" s="1"/>
  <c r="H52" i="15"/>
  <c r="G15" i="8"/>
  <c r="J15" i="12"/>
  <c r="K60" i="15"/>
  <c r="J42" i="12"/>
  <c r="J43" i="12" s="1"/>
  <c r="L50" i="15"/>
  <c r="K35" i="6"/>
  <c r="O56" i="15"/>
  <c r="N15" i="13"/>
  <c r="N42" i="13"/>
  <c r="N43" i="13" s="1"/>
  <c r="R32" i="15"/>
  <c r="L42" i="1"/>
  <c r="L43" i="1" s="1"/>
  <c r="L15" i="1"/>
  <c r="I62" i="15"/>
  <c r="H15" i="14"/>
  <c r="H42" i="14"/>
  <c r="H43" i="14" s="1"/>
  <c r="N48" i="15"/>
  <c r="M42" i="6"/>
  <c r="M43" i="6" s="1"/>
  <c r="M15" i="6"/>
  <c r="K57" i="15"/>
  <c r="J25" i="13"/>
  <c r="I42" i="7"/>
  <c r="I43" i="7" s="1"/>
  <c r="J64" i="15"/>
  <c r="I15" i="7"/>
  <c r="I48" i="15"/>
  <c r="H15" i="6"/>
  <c r="H42" i="6"/>
  <c r="H43" i="6" s="1"/>
  <c r="M64" i="15"/>
  <c r="L42" i="7"/>
  <c r="L43" i="7" s="1"/>
  <c r="L15" i="7"/>
  <c r="M22" i="15"/>
  <c r="L20" i="4" s="1"/>
  <c r="N57" i="15"/>
  <c r="M25" i="13"/>
  <c r="G15" i="12"/>
  <c r="H60" i="15"/>
  <c r="G42" i="12"/>
  <c r="G43" i="12" s="1"/>
  <c r="R29" i="15"/>
  <c r="Q9" i="14"/>
  <c r="Q38" i="14"/>
  <c r="S8" i="14"/>
  <c r="O25" i="6"/>
  <c r="P49" i="15"/>
  <c r="L64" i="15"/>
  <c r="K15" i="7"/>
  <c r="K42" i="7"/>
  <c r="K43" i="7" s="1"/>
  <c r="R21" i="15"/>
  <c r="G25" i="7"/>
  <c r="H65" i="15"/>
  <c r="H15" i="7"/>
  <c r="I64" i="15"/>
  <c r="H42" i="7"/>
  <c r="H43" i="7" s="1"/>
  <c r="M25" i="12"/>
  <c r="N61" i="15"/>
  <c r="N15" i="7"/>
  <c r="N42" i="7"/>
  <c r="N43" i="7" s="1"/>
  <c r="O64" i="15"/>
  <c r="G16" i="7"/>
  <c r="P16" i="7"/>
  <c r="Q14" i="7"/>
  <c r="M16" i="7"/>
  <c r="O16" i="7"/>
  <c r="E16" i="7"/>
  <c r="H16" i="7"/>
  <c r="L16" i="7"/>
  <c r="K16" i="7"/>
  <c r="E42" i="7"/>
  <c r="E15" i="7"/>
  <c r="F16" i="7"/>
  <c r="F64" i="15"/>
  <c r="J16" i="7"/>
  <c r="I16" i="7"/>
  <c r="N16" i="7"/>
  <c r="N25" i="8"/>
  <c r="O53" i="15"/>
  <c r="L57" i="15"/>
  <c r="K25" i="13"/>
  <c r="G15" i="14"/>
  <c r="H62" i="15"/>
  <c r="G42" i="14"/>
  <c r="G43" i="14" s="1"/>
  <c r="K61" i="15"/>
  <c r="J25" i="12"/>
  <c r="Q65" i="15"/>
  <c r="P25" i="7"/>
  <c r="R19" i="15"/>
  <c r="F22" i="15"/>
  <c r="E20" i="4" s="1"/>
  <c r="J58" i="15"/>
  <c r="I35" i="13"/>
  <c r="M15" i="13"/>
  <c r="N56" i="15"/>
  <c r="M42" i="13"/>
  <c r="M43" i="13" s="1"/>
  <c r="L58" i="15"/>
  <c r="K35" i="13"/>
  <c r="N42" i="14"/>
  <c r="N43" i="14" s="1"/>
  <c r="O62" i="15"/>
  <c r="N15" i="14"/>
  <c r="O35" i="13"/>
  <c r="P58" i="15"/>
  <c r="G35" i="6"/>
  <c r="H50" i="15"/>
  <c r="I30" i="15"/>
  <c r="H28" i="4" s="1"/>
  <c r="O25" i="7"/>
  <c r="P65" i="15"/>
  <c r="Q30" i="15"/>
  <c r="P28" i="4" s="1"/>
  <c r="K18" i="15"/>
  <c r="J16" i="4" s="1"/>
  <c r="F36" i="13"/>
  <c r="H36" i="13"/>
  <c r="M36" i="13"/>
  <c r="Q34" i="13"/>
  <c r="J36" i="13"/>
  <c r="L36" i="13"/>
  <c r="N36" i="13"/>
  <c r="P36" i="13"/>
  <c r="O36" i="13"/>
  <c r="K36" i="13"/>
  <c r="E36" i="13"/>
  <c r="G36" i="13"/>
  <c r="I36" i="13"/>
  <c r="F58" i="15"/>
  <c r="E35" i="13"/>
  <c r="O25" i="13"/>
  <c r="P57" i="15"/>
  <c r="L26" i="12"/>
  <c r="E26" i="12"/>
  <c r="N26" i="12"/>
  <c r="Q24" i="12"/>
  <c r="E25" i="12"/>
  <c r="F61" i="15"/>
  <c r="K26" i="12"/>
  <c r="G26" i="12"/>
  <c r="I26" i="12"/>
  <c r="O26" i="12"/>
  <c r="J26" i="12"/>
  <c r="H26" i="12"/>
  <c r="M26" i="12"/>
  <c r="F26" i="12"/>
  <c r="P26" i="12"/>
  <c r="I16" i="6"/>
  <c r="E15" i="6"/>
  <c r="J16" i="6"/>
  <c r="F16" i="6"/>
  <c r="Q14" i="6"/>
  <c r="E42" i="6"/>
  <c r="F48" i="15"/>
  <c r="O16" i="6"/>
  <c r="G16" i="6"/>
  <c r="N16" i="6"/>
  <c r="E16" i="6"/>
  <c r="H16" i="6"/>
  <c r="L16" i="6"/>
  <c r="K16" i="6"/>
  <c r="M16" i="6"/>
  <c r="P16" i="6"/>
  <c r="F42" i="1"/>
  <c r="F43" i="1" s="1"/>
  <c r="F15" i="1"/>
  <c r="Q9" i="13"/>
  <c r="Q38" i="13"/>
  <c r="S8" i="13"/>
  <c r="P25" i="6"/>
  <c r="Q49" i="15"/>
  <c r="I26" i="15"/>
  <c r="H24" i="4" s="1"/>
  <c r="O65" i="15"/>
  <c r="N25" i="7"/>
  <c r="G65" i="15"/>
  <c r="F25" i="7"/>
  <c r="Q62" i="15"/>
  <c r="P42" i="14"/>
  <c r="P43" i="14" s="1"/>
  <c r="P15" i="14"/>
  <c r="P40" i="13"/>
  <c r="E39" i="13"/>
  <c r="G40" i="13"/>
  <c r="J40" i="13"/>
  <c r="M40" i="13"/>
  <c r="I40" i="13"/>
  <c r="L40" i="13"/>
  <c r="H40" i="13"/>
  <c r="O40" i="13"/>
  <c r="F40" i="13"/>
  <c r="K40" i="13"/>
  <c r="E40" i="13"/>
  <c r="N40" i="13"/>
  <c r="I15" i="1"/>
  <c r="I42" i="1"/>
  <c r="I43" i="1" s="1"/>
  <c r="M25" i="8"/>
  <c r="N53" i="15"/>
  <c r="Q34" i="15"/>
  <c r="P32" i="4" s="1"/>
  <c r="M42" i="12"/>
  <c r="M43" i="12" s="1"/>
  <c r="N60" i="15"/>
  <c r="M15" i="12"/>
  <c r="O15" i="6"/>
  <c r="P48" i="15"/>
  <c r="O42" i="6"/>
  <c r="O43" i="6" s="1"/>
  <c r="L35" i="8"/>
  <c r="M54" i="15"/>
  <c r="K26" i="15"/>
  <c r="J24" i="4" s="1"/>
  <c r="I22" i="15"/>
  <c r="H20" i="4" s="1"/>
  <c r="H61" i="15"/>
  <c r="G25" i="12"/>
  <c r="N40" i="8"/>
  <c r="G40" i="8"/>
  <c r="H40" i="8"/>
  <c r="M40" i="8"/>
  <c r="J40" i="8"/>
  <c r="O40" i="8"/>
  <c r="I40" i="8"/>
  <c r="E39" i="8"/>
  <c r="P40" i="8"/>
  <c r="K40" i="8"/>
  <c r="F40" i="8"/>
  <c r="L40" i="8"/>
  <c r="E40" i="8"/>
  <c r="H26" i="15"/>
  <c r="G24" i="4" s="1"/>
  <c r="I15" i="6"/>
  <c r="I42" i="6"/>
  <c r="I43" i="6" s="1"/>
  <c r="J48" i="15"/>
  <c r="J61" i="15"/>
  <c r="I25" i="12"/>
  <c r="I53" i="15"/>
  <c r="H25" i="8"/>
  <c r="M61" i="15"/>
  <c r="L25" i="12"/>
  <c r="I42" i="14"/>
  <c r="I43" i="14" s="1"/>
  <c r="J62" i="15"/>
  <c r="I15" i="14"/>
  <c r="H22" i="15"/>
  <c r="G20" i="4" s="1"/>
  <c r="K30" i="15"/>
  <c r="J28" i="4" s="1"/>
  <c r="K50" i="15"/>
  <c r="J35" i="6"/>
  <c r="L61" i="15"/>
  <c r="K25" i="12"/>
  <c r="M18" i="15"/>
  <c r="L16" i="4" s="1"/>
  <c r="L42" i="13"/>
  <c r="L43" i="13" s="1"/>
  <c r="M56" i="15"/>
  <c r="L15" i="13"/>
  <c r="G30" i="15"/>
  <c r="F28" i="4" s="1"/>
  <c r="G42" i="6"/>
  <c r="G43" i="6" s="1"/>
  <c r="G15" i="6"/>
  <c r="H48" i="15"/>
  <c r="T7" i="4" l="1"/>
  <c r="X7" i="4" s="1"/>
  <c r="Q59" i="4"/>
  <c r="E61" i="4"/>
  <c r="E62" i="4" s="1"/>
  <c r="K39" i="4"/>
  <c r="H86" i="4"/>
  <c r="K53" i="4"/>
  <c r="Q52" i="4"/>
  <c r="H53" i="4"/>
  <c r="J39" i="4"/>
  <c r="F39" i="4"/>
  <c r="I39" i="4"/>
  <c r="H39" i="4"/>
  <c r="Q35" i="4"/>
  <c r="L39" i="4"/>
  <c r="M39" i="4"/>
  <c r="F38" i="4"/>
  <c r="G39" i="4"/>
  <c r="J54" i="4"/>
  <c r="R39" i="2"/>
  <c r="S36" i="2" s="1"/>
  <c r="S39" i="2" s="1"/>
  <c r="O86" i="4"/>
  <c r="G83" i="4"/>
  <c r="G53" i="4"/>
  <c r="F86" i="4"/>
  <c r="T5" i="4"/>
  <c r="X5" i="4" s="1"/>
  <c r="K86" i="4"/>
  <c r="Q43" i="5"/>
  <c r="S3" i="2"/>
  <c r="S6" i="2" s="1"/>
  <c r="E53" i="4"/>
  <c r="E54" i="4" s="1"/>
  <c r="Q51" i="4"/>
  <c r="E83" i="4"/>
  <c r="K54" i="4"/>
  <c r="L54" i="4"/>
  <c r="N54" i="4"/>
  <c r="H54" i="4"/>
  <c r="P54" i="4"/>
  <c r="I54" i="4"/>
  <c r="O54" i="4"/>
  <c r="F54" i="4"/>
  <c r="G54" i="4"/>
  <c r="M54" i="4"/>
  <c r="U5" i="4"/>
  <c r="X5" i="2"/>
  <c r="X4" i="2"/>
  <c r="X3" i="2"/>
  <c r="V10" i="2"/>
  <c r="X8" i="2" s="1"/>
  <c r="N39" i="4"/>
  <c r="P39" i="4"/>
  <c r="L93" i="4"/>
  <c r="Q36" i="4"/>
  <c r="O39" i="4"/>
  <c r="N34" i="4"/>
  <c r="I86" i="4"/>
  <c r="K17" i="4"/>
  <c r="F26" i="4"/>
  <c r="M17" i="4"/>
  <c r="O25" i="4"/>
  <c r="O34" i="4"/>
  <c r="N22" i="4"/>
  <c r="F33" i="4"/>
  <c r="I25" i="4"/>
  <c r="J22" i="4"/>
  <c r="K25" i="4"/>
  <c r="K41" i="4"/>
  <c r="K46" i="4" s="1"/>
  <c r="K48" i="4" s="1"/>
  <c r="N67" i="15"/>
  <c r="M80" i="4" s="1"/>
  <c r="M82" i="4" s="1"/>
  <c r="I33" i="4"/>
  <c r="G18" i="4"/>
  <c r="O41" i="4"/>
  <c r="O43" i="4" s="1"/>
  <c r="M33" i="4"/>
  <c r="O18" i="4"/>
  <c r="K29" i="4"/>
  <c r="J34" i="4"/>
  <c r="O22" i="4"/>
  <c r="J67" i="15"/>
  <c r="I80" i="4" s="1"/>
  <c r="I82" i="4" s="1"/>
  <c r="R26" i="15"/>
  <c r="M41" i="4"/>
  <c r="M46" i="4" s="1"/>
  <c r="M48" i="4" s="1"/>
  <c r="M59" i="15"/>
  <c r="L72" i="4" s="1"/>
  <c r="L74" i="4" s="1"/>
  <c r="N51" i="15"/>
  <c r="M64" i="4" s="1"/>
  <c r="M66" i="4" s="1"/>
  <c r="O55" i="15"/>
  <c r="N68" i="4" s="1"/>
  <c r="N70" i="4" s="1"/>
  <c r="O67" i="15"/>
  <c r="N80" i="4" s="1"/>
  <c r="N82" i="4" s="1"/>
  <c r="M67" i="15"/>
  <c r="L80" i="4" s="1"/>
  <c r="L82" i="4" s="1"/>
  <c r="R61" i="15"/>
  <c r="M63" i="15"/>
  <c r="L76" i="4" s="1"/>
  <c r="L78" i="4" s="1"/>
  <c r="H51" i="15"/>
  <c r="G64" i="4" s="1"/>
  <c r="G65" i="4" s="1"/>
  <c r="H63" i="15"/>
  <c r="G76" i="4" s="1"/>
  <c r="G78" i="4" s="1"/>
  <c r="H55" i="15"/>
  <c r="G68" i="4" s="1"/>
  <c r="G70" i="4" s="1"/>
  <c r="M51" i="15"/>
  <c r="L64" i="4" s="1"/>
  <c r="R30" i="15"/>
  <c r="I55" i="15"/>
  <c r="H68" i="4" s="1"/>
  <c r="H69" i="4" s="1"/>
  <c r="N63" i="15"/>
  <c r="M76" i="4" s="1"/>
  <c r="Q59" i="15"/>
  <c r="P72" i="4" s="1"/>
  <c r="P73" i="4" s="1"/>
  <c r="I63" i="15"/>
  <c r="H76" i="4" s="1"/>
  <c r="H77" i="4" s="1"/>
  <c r="N55" i="15"/>
  <c r="M68" i="4" s="1"/>
  <c r="M69" i="4" s="1"/>
  <c r="G22" i="4"/>
  <c r="G21" i="4"/>
  <c r="F67" i="15"/>
  <c r="E80" i="4" s="1"/>
  <c r="R64" i="15"/>
  <c r="P34" i="4"/>
  <c r="P33" i="4"/>
  <c r="S24" i="12"/>
  <c r="Q25" i="12"/>
  <c r="G29" i="4"/>
  <c r="G30" i="4"/>
  <c r="R57" i="15"/>
  <c r="H22" i="4"/>
  <c r="H21" i="4"/>
  <c r="G44" i="7"/>
  <c r="I44" i="7"/>
  <c r="O44" i="7"/>
  <c r="F44" i="7"/>
  <c r="M44" i="7"/>
  <c r="E44" i="7"/>
  <c r="L44" i="7"/>
  <c r="E43" i="7"/>
  <c r="J44" i="7"/>
  <c r="K44" i="7"/>
  <c r="H44" i="7"/>
  <c r="P44" i="7"/>
  <c r="N44" i="7"/>
  <c r="O59" i="15"/>
  <c r="N72" i="4" s="1"/>
  <c r="I18" i="4"/>
  <c r="I41" i="4"/>
  <c r="I17" i="4"/>
  <c r="K59" i="15"/>
  <c r="J72" i="4" s="1"/>
  <c r="L26" i="4"/>
  <c r="L25" i="4"/>
  <c r="K51" i="15"/>
  <c r="J64" i="4" s="1"/>
  <c r="Q32" i="4"/>
  <c r="E33" i="4"/>
  <c r="E34" i="4" s="1"/>
  <c r="S24" i="1"/>
  <c r="Q25" i="1"/>
  <c r="Q67" i="15"/>
  <c r="P80" i="4" s="1"/>
  <c r="Q63" i="15"/>
  <c r="P76" i="4" s="1"/>
  <c r="S24" i="13"/>
  <c r="Q25" i="13"/>
  <c r="G51" i="15"/>
  <c r="F64" i="4" s="1"/>
  <c r="F30" i="4"/>
  <c r="F29" i="4"/>
  <c r="Q28" i="4"/>
  <c r="E29" i="4"/>
  <c r="E30" i="4" s="1"/>
  <c r="P17" i="4"/>
  <c r="P41" i="4"/>
  <c r="P18" i="4"/>
  <c r="L67" i="15"/>
  <c r="K80" i="4" s="1"/>
  <c r="Q39" i="6"/>
  <c r="S38" i="6"/>
  <c r="K67" i="15"/>
  <c r="J80" i="4" s="1"/>
  <c r="R34" i="15"/>
  <c r="T3" i="15" s="1"/>
  <c r="F63" i="15"/>
  <c r="E76" i="4" s="1"/>
  <c r="R60" i="15"/>
  <c r="S34" i="8"/>
  <c r="Q35" i="8"/>
  <c r="Q51" i="15"/>
  <c r="P64" i="4" s="1"/>
  <c r="I30" i="4"/>
  <c r="I29" i="4"/>
  <c r="F21" i="4"/>
  <c r="F22" i="4"/>
  <c r="S34" i="6"/>
  <c r="Q35" i="6"/>
  <c r="L30" i="4"/>
  <c r="L29" i="4"/>
  <c r="R65" i="15"/>
  <c r="O44" i="8"/>
  <c r="M44" i="8"/>
  <c r="E44" i="8"/>
  <c r="F44" i="8"/>
  <c r="J44" i="8"/>
  <c r="H44" i="8"/>
  <c r="E43" i="8"/>
  <c r="K44" i="8"/>
  <c r="L44" i="8"/>
  <c r="N44" i="8"/>
  <c r="G44" i="8"/>
  <c r="I44" i="8"/>
  <c r="P44" i="8"/>
  <c r="I59" i="15"/>
  <c r="H72" i="4" s="1"/>
  <c r="Q25" i="6"/>
  <c r="S24" i="6"/>
  <c r="R62" i="15"/>
  <c r="H25" i="4"/>
  <c r="H26" i="4"/>
  <c r="Q55" i="15"/>
  <c r="P68" i="4" s="1"/>
  <c r="R52" i="15"/>
  <c r="F55" i="15"/>
  <c r="E68" i="4" s="1"/>
  <c r="I44" i="14"/>
  <c r="F44" i="14"/>
  <c r="L44" i="14"/>
  <c r="E43" i="14"/>
  <c r="K44" i="14"/>
  <c r="M44" i="14"/>
  <c r="E44" i="14"/>
  <c r="P44" i="14"/>
  <c r="O44" i="14"/>
  <c r="G44" i="14"/>
  <c r="J44" i="14"/>
  <c r="N44" i="14"/>
  <c r="H44" i="14"/>
  <c r="Q42" i="7"/>
  <c r="S14" i="7"/>
  <c r="Q15" i="7"/>
  <c r="P22" i="4"/>
  <c r="P21" i="4"/>
  <c r="H34" i="4"/>
  <c r="H33" i="4"/>
  <c r="L21" i="4"/>
  <c r="L22" i="4"/>
  <c r="Q39" i="8"/>
  <c r="S38" i="8"/>
  <c r="L18" i="4"/>
  <c r="L17" i="4"/>
  <c r="L41" i="4"/>
  <c r="J26" i="4"/>
  <c r="J25" i="4"/>
  <c r="N26" i="4"/>
  <c r="N25" i="4"/>
  <c r="H30" i="4"/>
  <c r="H29" i="4"/>
  <c r="J63" i="15"/>
  <c r="I76" i="4" s="1"/>
  <c r="G26" i="4"/>
  <c r="G25" i="4"/>
  <c r="M26" i="4"/>
  <c r="M25" i="4"/>
  <c r="R56" i="15"/>
  <c r="F59" i="15"/>
  <c r="E72" i="4" s="1"/>
  <c r="G41" i="4"/>
  <c r="Q15" i="8"/>
  <c r="Q42" i="8"/>
  <c r="S14" i="8"/>
  <c r="J59" i="15"/>
  <c r="I72" i="4" s="1"/>
  <c r="L59" i="15"/>
  <c r="K72" i="4" s="1"/>
  <c r="G67" i="15"/>
  <c r="F80" i="4" s="1"/>
  <c r="J17" i="4"/>
  <c r="J18" i="4"/>
  <c r="J41" i="4"/>
  <c r="H17" i="4"/>
  <c r="H18" i="4"/>
  <c r="H41" i="4"/>
  <c r="L34" i="4"/>
  <c r="L33" i="4"/>
  <c r="R50" i="15"/>
  <c r="L55" i="15"/>
  <c r="K68" i="4" s="1"/>
  <c r="P63" i="15"/>
  <c r="O76" i="4" s="1"/>
  <c r="P29" i="4"/>
  <c r="P30" i="4"/>
  <c r="S14" i="14"/>
  <c r="Q42" i="14"/>
  <c r="Q15" i="14"/>
  <c r="M21" i="4"/>
  <c r="M22" i="4"/>
  <c r="G55" i="15"/>
  <c r="F68" i="4" s="1"/>
  <c r="N59" i="15"/>
  <c r="M72" i="4" s="1"/>
  <c r="S38" i="12"/>
  <c r="Q39" i="12"/>
  <c r="G33" i="4"/>
  <c r="G34" i="4"/>
  <c r="S38" i="13"/>
  <c r="Q39" i="13"/>
  <c r="Q35" i="13"/>
  <c r="S34" i="13"/>
  <c r="Q39" i="14"/>
  <c r="S38" i="14"/>
  <c r="P25" i="4"/>
  <c r="P26" i="4"/>
  <c r="N29" i="4"/>
  <c r="N30" i="4"/>
  <c r="P67" i="15"/>
  <c r="O80" i="4" s="1"/>
  <c r="L51" i="15"/>
  <c r="K64" i="4" s="1"/>
  <c r="K55" i="15"/>
  <c r="J68" i="4" s="1"/>
  <c r="H44" i="12"/>
  <c r="E43" i="12"/>
  <c r="P44" i="12"/>
  <c r="E44" i="12"/>
  <c r="L44" i="12"/>
  <c r="F44" i="12"/>
  <c r="N44" i="12"/>
  <c r="J44" i="12"/>
  <c r="K44" i="12"/>
  <c r="G44" i="12"/>
  <c r="M44" i="12"/>
  <c r="O44" i="12"/>
  <c r="I44" i="12"/>
  <c r="R48" i="15"/>
  <c r="F51" i="15"/>
  <c r="E64" i="4" s="1"/>
  <c r="I67" i="15"/>
  <c r="H80" i="4" s="1"/>
  <c r="K63" i="15"/>
  <c r="J76" i="4" s="1"/>
  <c r="H67" i="15"/>
  <c r="G80" i="4" s="1"/>
  <c r="E17" i="4"/>
  <c r="E18" i="4" s="1"/>
  <c r="Q16" i="4"/>
  <c r="E41" i="4"/>
  <c r="O44" i="1"/>
  <c r="P44" i="1"/>
  <c r="G44" i="1"/>
  <c r="E43" i="1"/>
  <c r="H44" i="1"/>
  <c r="N44" i="1"/>
  <c r="K44" i="1"/>
  <c r="F44" i="1"/>
  <c r="J44" i="1"/>
  <c r="M44" i="1"/>
  <c r="L44" i="1"/>
  <c r="E44" i="1"/>
  <c r="I44" i="1"/>
  <c r="Q42" i="13"/>
  <c r="S14" i="13"/>
  <c r="Q15" i="13"/>
  <c r="N41" i="4"/>
  <c r="N17" i="4"/>
  <c r="N18" i="4"/>
  <c r="P59" i="15"/>
  <c r="O72" i="4" s="1"/>
  <c r="S24" i="7"/>
  <c r="Q25" i="7"/>
  <c r="H59" i="15"/>
  <c r="G72" i="4" s="1"/>
  <c r="Q39" i="7"/>
  <c r="S38" i="7"/>
  <c r="M55" i="15"/>
  <c r="L68" i="4" s="1"/>
  <c r="O63" i="15"/>
  <c r="N76" i="4" s="1"/>
  <c r="J51" i="15"/>
  <c r="I64" i="4" s="1"/>
  <c r="P51" i="15"/>
  <c r="O64" i="4" s="1"/>
  <c r="I44" i="6"/>
  <c r="K44" i="6"/>
  <c r="N44" i="6"/>
  <c r="F44" i="6"/>
  <c r="E44" i="6"/>
  <c r="E43" i="6"/>
  <c r="L44" i="6"/>
  <c r="P44" i="6"/>
  <c r="M44" i="6"/>
  <c r="G44" i="6"/>
  <c r="H44" i="6"/>
  <c r="O44" i="6"/>
  <c r="J44" i="6"/>
  <c r="R58" i="15"/>
  <c r="Q20" i="4"/>
  <c r="E21" i="4"/>
  <c r="E22" i="4" s="1"/>
  <c r="I51" i="15"/>
  <c r="H64" i="4" s="1"/>
  <c r="R49" i="15"/>
  <c r="R18" i="15"/>
  <c r="S38" i="1"/>
  <c r="Q39" i="1"/>
  <c r="Q25" i="8"/>
  <c r="S24" i="8"/>
  <c r="M30" i="4"/>
  <c r="M29" i="4"/>
  <c r="L63" i="15"/>
  <c r="K76" i="4" s="1"/>
  <c r="J55" i="15"/>
  <c r="I68" i="4" s="1"/>
  <c r="S14" i="12"/>
  <c r="Q15" i="12"/>
  <c r="Q42" i="12"/>
  <c r="G44" i="13"/>
  <c r="H44" i="13"/>
  <c r="K44" i="13"/>
  <c r="O44" i="13"/>
  <c r="I44" i="13"/>
  <c r="F44" i="13"/>
  <c r="M44" i="13"/>
  <c r="J44" i="13"/>
  <c r="N44" i="13"/>
  <c r="P44" i="13"/>
  <c r="L44" i="13"/>
  <c r="E43" i="13"/>
  <c r="E44" i="13"/>
  <c r="O30" i="4"/>
  <c r="O29" i="4"/>
  <c r="K33" i="4"/>
  <c r="K34" i="4"/>
  <c r="J30" i="4"/>
  <c r="J29" i="4"/>
  <c r="S14" i="6"/>
  <c r="Q15" i="6"/>
  <c r="Q42" i="6"/>
  <c r="R22" i="15"/>
  <c r="Q42" i="1"/>
  <c r="Q15" i="1"/>
  <c r="S14" i="1"/>
  <c r="R53" i="15"/>
  <c r="F18" i="4"/>
  <c r="F17" i="4"/>
  <c r="F41" i="4"/>
  <c r="I21" i="4"/>
  <c r="I22" i="4"/>
  <c r="P55" i="15"/>
  <c r="O68" i="4" s="1"/>
  <c r="Q24" i="4"/>
  <c r="E25" i="4"/>
  <c r="E26" i="4" s="1"/>
  <c r="K22" i="4"/>
  <c r="K21" i="4"/>
  <c r="G63" i="15"/>
  <c r="F76" i="4" s="1"/>
  <c r="O51" i="15"/>
  <c r="N64" i="4" s="1"/>
  <c r="G59" i="15"/>
  <c r="F72" i="4" s="1"/>
  <c r="R54" i="15"/>
  <c r="T12" i="4" l="1"/>
  <c r="X12" i="4" s="1"/>
  <c r="I87" i="4"/>
  <c r="G93" i="4"/>
  <c r="G86" i="4"/>
  <c r="Q83" i="4"/>
  <c r="V5" i="4"/>
  <c r="K87" i="4"/>
  <c r="J87" i="4"/>
  <c r="T10" i="4"/>
  <c r="X10" i="4" s="1"/>
  <c r="E93" i="4"/>
  <c r="F87" i="4"/>
  <c r="E86" i="4"/>
  <c r="E87" i="4" s="1"/>
  <c r="H87" i="4"/>
  <c r="G87" i="4"/>
  <c r="X9" i="2"/>
  <c r="M65" i="4"/>
  <c r="K43" i="4"/>
  <c r="M81" i="4"/>
  <c r="M43" i="4"/>
  <c r="G77" i="4"/>
  <c r="O46" i="4"/>
  <c r="O48" i="4" s="1"/>
  <c r="L81" i="4"/>
  <c r="L89" i="4"/>
  <c r="L91" i="4" s="1"/>
  <c r="L65" i="4"/>
  <c r="I81" i="4"/>
  <c r="L77" i="4"/>
  <c r="G69" i="4"/>
  <c r="N69" i="4"/>
  <c r="N81" i="4"/>
  <c r="R67" i="15"/>
  <c r="T36" i="15" s="1"/>
  <c r="L66" i="4"/>
  <c r="L73" i="4"/>
  <c r="M89" i="4"/>
  <c r="M94" i="4" s="1"/>
  <c r="M96" i="4" s="1"/>
  <c r="H70" i="4"/>
  <c r="H78" i="4"/>
  <c r="M70" i="4"/>
  <c r="P74" i="4"/>
  <c r="R59" i="15"/>
  <c r="M77" i="4"/>
  <c r="M78" i="4"/>
  <c r="S3" i="15"/>
  <c r="S6" i="15" s="1"/>
  <c r="R55" i="15"/>
  <c r="Q43" i="1"/>
  <c r="S42" i="1"/>
  <c r="O81" i="4"/>
  <c r="O82" i="4"/>
  <c r="S42" i="6"/>
  <c r="Q43" i="6"/>
  <c r="I69" i="4"/>
  <c r="I70" i="4"/>
  <c r="K81" i="4"/>
  <c r="K82" i="4"/>
  <c r="K77" i="4"/>
  <c r="K78" i="4"/>
  <c r="E81" i="4"/>
  <c r="E82" i="4" s="1"/>
  <c r="Q80" i="4"/>
  <c r="L44" i="4"/>
  <c r="P44" i="4"/>
  <c r="G44" i="4"/>
  <c r="E46" i="4"/>
  <c r="O44" i="4"/>
  <c r="M44" i="4"/>
  <c r="J44" i="4"/>
  <c r="I44" i="4"/>
  <c r="H44" i="4"/>
  <c r="N44" i="4"/>
  <c r="F44" i="4"/>
  <c r="E43" i="4"/>
  <c r="E44" i="4" s="1"/>
  <c r="Q41" i="4"/>
  <c r="K44" i="4"/>
  <c r="J70" i="4"/>
  <c r="J69" i="4"/>
  <c r="H66" i="4"/>
  <c r="H65" i="4"/>
  <c r="H89" i="4"/>
  <c r="K65" i="4"/>
  <c r="K89" i="4"/>
  <c r="K66" i="4"/>
  <c r="F78" i="4"/>
  <c r="F77" i="4"/>
  <c r="Q68" i="4"/>
  <c r="E69" i="4"/>
  <c r="E70" i="4" s="1"/>
  <c r="G73" i="4"/>
  <c r="G74" i="4"/>
  <c r="U7" i="4"/>
  <c r="V7" i="4" s="1"/>
  <c r="U6" i="4"/>
  <c r="V6" i="4" s="1"/>
  <c r="H46" i="4"/>
  <c r="H48" i="4" s="1"/>
  <c r="H43" i="4"/>
  <c r="Q43" i="12"/>
  <c r="S42" i="12"/>
  <c r="G46" i="4"/>
  <c r="G48" i="4" s="1"/>
  <c r="G43" i="4"/>
  <c r="J81" i="4"/>
  <c r="J82" i="4"/>
  <c r="S42" i="14"/>
  <c r="Q43" i="14"/>
  <c r="P70" i="4"/>
  <c r="P69" i="4"/>
  <c r="F65" i="4"/>
  <c r="F66" i="4"/>
  <c r="F89" i="4"/>
  <c r="G82" i="4"/>
  <c r="G81" i="4"/>
  <c r="J78" i="4"/>
  <c r="J77" i="4"/>
  <c r="J46" i="4"/>
  <c r="J48" i="4" s="1"/>
  <c r="J43" i="4"/>
  <c r="O65" i="4"/>
  <c r="O89" i="4"/>
  <c r="O66" i="4"/>
  <c r="N43" i="4"/>
  <c r="N46" i="4"/>
  <c r="N48" i="4" s="1"/>
  <c r="R51" i="15"/>
  <c r="K70" i="4"/>
  <c r="K69" i="4"/>
  <c r="F82" i="4"/>
  <c r="F81" i="4"/>
  <c r="L46" i="4"/>
  <c r="L48" i="4" s="1"/>
  <c r="L43" i="4"/>
  <c r="P66" i="4"/>
  <c r="P89" i="4"/>
  <c r="P65" i="4"/>
  <c r="J74" i="4"/>
  <c r="J73" i="4"/>
  <c r="F46" i="4"/>
  <c r="F48" i="4" s="1"/>
  <c r="F43" i="4"/>
  <c r="I65" i="4"/>
  <c r="I89" i="4"/>
  <c r="I66" i="4"/>
  <c r="K73" i="4"/>
  <c r="K74" i="4"/>
  <c r="H73" i="4"/>
  <c r="H74" i="4"/>
  <c r="P43" i="4"/>
  <c r="P46" i="4"/>
  <c r="P48" i="4" s="1"/>
  <c r="G89" i="4"/>
  <c r="N78" i="4"/>
  <c r="N77" i="4"/>
  <c r="M74" i="4"/>
  <c r="M73" i="4"/>
  <c r="I73" i="4"/>
  <c r="I74" i="4"/>
  <c r="I46" i="4"/>
  <c r="I48" i="4" s="1"/>
  <c r="I43" i="4"/>
  <c r="F74" i="4"/>
  <c r="F73" i="4"/>
  <c r="L69" i="4"/>
  <c r="L70" i="4"/>
  <c r="S42" i="13"/>
  <c r="Q43" i="13"/>
  <c r="F69" i="4"/>
  <c r="F70" i="4"/>
  <c r="I77" i="4"/>
  <c r="I78" i="4"/>
  <c r="Q43" i="7"/>
  <c r="S42" i="7"/>
  <c r="R63" i="15"/>
  <c r="P77" i="4"/>
  <c r="P78" i="4"/>
  <c r="Q72" i="4"/>
  <c r="E73" i="4"/>
  <c r="E74" i="4" s="1"/>
  <c r="O74" i="4"/>
  <c r="O73" i="4"/>
  <c r="J65" i="4"/>
  <c r="J89" i="4"/>
  <c r="J66" i="4"/>
  <c r="O70" i="4"/>
  <c r="O69" i="4"/>
  <c r="H82" i="4"/>
  <c r="H81" i="4"/>
  <c r="Q64" i="4"/>
  <c r="E89" i="4"/>
  <c r="E65" i="4"/>
  <c r="E66" i="4" s="1"/>
  <c r="O78" i="4"/>
  <c r="O77" i="4"/>
  <c r="N65" i="4"/>
  <c r="N66" i="4"/>
  <c r="N89" i="4"/>
  <c r="G66" i="4"/>
  <c r="Q43" i="8"/>
  <c r="S42" i="8"/>
  <c r="Q76" i="4"/>
  <c r="E77" i="4"/>
  <c r="E78" i="4" s="1"/>
  <c r="P81" i="4"/>
  <c r="P82" i="4"/>
  <c r="N73" i="4"/>
  <c r="N74" i="4"/>
  <c r="Q93" i="4" l="1"/>
  <c r="M91" i="4"/>
  <c r="G91" i="4"/>
  <c r="G94" i="4"/>
  <c r="G96" i="4" s="1"/>
  <c r="H91" i="4"/>
  <c r="H94" i="4"/>
  <c r="H96" i="4" s="1"/>
  <c r="Q46" i="4"/>
  <c r="N49" i="4"/>
  <c r="L49" i="4"/>
  <c r="E48" i="4"/>
  <c r="E49" i="4" s="1"/>
  <c r="F49" i="4"/>
  <c r="O49" i="4"/>
  <c r="K49" i="4"/>
  <c r="H49" i="4"/>
  <c r="P49" i="4"/>
  <c r="J49" i="4"/>
  <c r="I49" i="4"/>
  <c r="M49" i="4"/>
  <c r="G49" i="4"/>
  <c r="I94" i="4"/>
  <c r="I96" i="4" s="1"/>
  <c r="I91" i="4"/>
  <c r="P91" i="4"/>
  <c r="P94" i="4"/>
  <c r="P96" i="4" s="1"/>
  <c r="O91" i="4"/>
  <c r="O94" i="4"/>
  <c r="O96" i="4" s="1"/>
  <c r="N91" i="4"/>
  <c r="N94" i="4"/>
  <c r="N96" i="4" s="1"/>
  <c r="J94" i="4"/>
  <c r="J96" i="4" s="1"/>
  <c r="J91" i="4"/>
  <c r="O92" i="4"/>
  <c r="P92" i="4"/>
  <c r="L92" i="4"/>
  <c r="N92" i="4"/>
  <c r="F92" i="4"/>
  <c r="J92" i="4"/>
  <c r="M92" i="4"/>
  <c r="G92" i="4"/>
  <c r="K92" i="4"/>
  <c r="E94" i="4"/>
  <c r="E91" i="4"/>
  <c r="E92" i="4" s="1"/>
  <c r="Q89" i="4"/>
  <c r="I92" i="4"/>
  <c r="H92" i="4"/>
  <c r="U11" i="4"/>
  <c r="V11" i="4" s="1"/>
  <c r="F94" i="4"/>
  <c r="F96" i="4" s="1"/>
  <c r="F91" i="4"/>
  <c r="K91" i="4"/>
  <c r="K94" i="4"/>
  <c r="K96" i="4" s="1"/>
  <c r="F97" i="4" l="1"/>
  <c r="E96" i="4"/>
  <c r="E97" i="4" s="1"/>
  <c r="I97" i="4"/>
  <c r="G97" i="4"/>
  <c r="K97" i="4"/>
  <c r="J97" i="4"/>
  <c r="H97" i="4"/>
  <c r="Q14" i="10" l="1"/>
  <c r="Q15" i="10" s="1"/>
  <c r="M40" i="15"/>
  <c r="R40" i="15" s="1"/>
  <c r="Q12" i="10"/>
  <c r="S12" i="10" s="1"/>
  <c r="M41" i="15"/>
  <c r="Q24" i="10"/>
  <c r="Q22" i="10"/>
  <c r="S22" i="10" s="1"/>
  <c r="Q42" i="10" l="1"/>
  <c r="S42" i="10" s="1"/>
  <c r="S14" i="10"/>
  <c r="M43" i="15"/>
  <c r="L56" i="4" s="1"/>
  <c r="L57" i="4" s="1"/>
  <c r="R41" i="15"/>
  <c r="R43" i="15" s="1"/>
  <c r="S36" i="15" s="1"/>
  <c r="S39" i="15" s="1"/>
  <c r="S24" i="10"/>
  <c r="Q25" i="10"/>
  <c r="L84" i="4" l="1"/>
  <c r="L87" i="4" s="1"/>
  <c r="L58" i="4"/>
  <c r="N58" i="4"/>
  <c r="P58" i="4"/>
  <c r="O58" i="4"/>
  <c r="M58" i="4"/>
  <c r="Q56" i="4"/>
  <c r="U12" i="4" s="1"/>
  <c r="V12" i="4" s="1"/>
  <c r="Q43" i="10"/>
  <c r="Q84" i="4" l="1"/>
  <c r="L86" i="4"/>
  <c r="P87" i="4"/>
  <c r="N87" i="4"/>
  <c r="L94" i="4"/>
  <c r="L97" i="4" s="1"/>
  <c r="O87" i="4"/>
  <c r="M87" i="4"/>
  <c r="U10" i="4"/>
  <c r="V10" i="4" s="1"/>
  <c r="O97" i="4" l="1"/>
  <c r="N97" i="4"/>
  <c r="Q94" i="4"/>
  <c r="P97" i="4"/>
  <c r="M97" i="4"/>
  <c r="L9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<sst xmlns="http://schemas.openxmlformats.org/spreadsheetml/2006/main" count="3175" uniqueCount="479">
  <si>
    <t>6月</t>
    <rPh sb="1" eb="2">
      <t>ガツ</t>
    </rPh>
    <phoneticPr fontId="2"/>
  </si>
  <si>
    <t>7月</t>
    <rPh sb="1" eb="2">
      <t>ガツ</t>
    </rPh>
    <phoneticPr fontId="2"/>
  </si>
  <si>
    <t>8月</t>
  </si>
  <si>
    <t>9月</t>
  </si>
  <si>
    <t>10月</t>
  </si>
  <si>
    <t>11月</t>
  </si>
  <si>
    <t>12月</t>
  </si>
  <si>
    <t>1月</t>
  </si>
  <si>
    <t>2月</t>
  </si>
  <si>
    <t>3月</t>
  </si>
  <si>
    <t>4月</t>
  </si>
  <si>
    <t>5月</t>
  </si>
  <si>
    <t>作業者名：</t>
    <rPh sb="0" eb="4">
      <t>サギョウシャメイ</t>
    </rPh>
    <phoneticPr fontId="2"/>
  </si>
  <si>
    <t>計画値</t>
    <rPh sb="0" eb="2">
      <t>ケイカク</t>
    </rPh>
    <rPh sb="2" eb="3">
      <t>チ</t>
    </rPh>
    <phoneticPr fontId="2"/>
  </si>
  <si>
    <t>実績値</t>
    <rPh sb="0" eb="2">
      <t>ジッセキ</t>
    </rPh>
    <rPh sb="2" eb="3">
      <t>アタイ</t>
    </rPh>
    <phoneticPr fontId="2"/>
  </si>
  <si>
    <t>売上</t>
    <rPh sb="0" eb="2">
      <t>ウリアゲ</t>
    </rPh>
    <phoneticPr fontId="2"/>
  </si>
  <si>
    <t>粗利</t>
    <rPh sb="0" eb="2">
      <t>アラリ</t>
    </rPh>
    <phoneticPr fontId="2"/>
  </si>
  <si>
    <t>単月達成率</t>
    <rPh sb="0" eb="2">
      <t>タンゲツ</t>
    </rPh>
    <rPh sb="2" eb="5">
      <t>タッセイリツ</t>
    </rPh>
    <phoneticPr fontId="2"/>
  </si>
  <si>
    <t>累積進捗率</t>
    <rPh sb="0" eb="2">
      <t>ルイセキ</t>
    </rPh>
    <rPh sb="2" eb="5">
      <t>シンチョクリツ</t>
    </rPh>
    <phoneticPr fontId="2"/>
  </si>
  <si>
    <t>上期</t>
    <rPh sb="0" eb="2">
      <t>カミキ</t>
    </rPh>
    <phoneticPr fontId="2"/>
  </si>
  <si>
    <t>下期</t>
    <rPh sb="0" eb="2">
      <t>シモキ</t>
    </rPh>
    <phoneticPr fontId="2"/>
  </si>
  <si>
    <t>合計</t>
    <rPh sb="0" eb="2">
      <t>ゴウケイ</t>
    </rPh>
    <phoneticPr fontId="2"/>
  </si>
  <si>
    <t>-</t>
    <phoneticPr fontId="2"/>
  </si>
  <si>
    <t>2025/5期(第50期)</t>
    <rPh sb="6" eb="7">
      <t>キ</t>
    </rPh>
    <rPh sb="8" eb="9">
      <t>ダイ</t>
    </rPh>
    <rPh sb="11" eb="12">
      <t>キ</t>
    </rPh>
    <phoneticPr fontId="2"/>
  </si>
  <si>
    <t>行動内容</t>
    <rPh sb="0" eb="4">
      <t>コウドウナイヨウ</t>
    </rPh>
    <phoneticPr fontId="2"/>
  </si>
  <si>
    <t>2024.10.28 - 31
T.E.会議に出展</t>
    <rPh sb="20" eb="22">
      <t>カイギ</t>
    </rPh>
    <rPh sb="23" eb="25">
      <t>シュッテン</t>
    </rPh>
    <phoneticPr fontId="2"/>
  </si>
  <si>
    <t>USD</t>
    <phoneticPr fontId="2"/>
  </si>
  <si>
    <t>EUR</t>
    <phoneticPr fontId="2"/>
  </si>
  <si>
    <t>OGC＋MOBILON＋PLAX生地を試作</t>
    <rPh sb="16" eb="18">
      <t>キジ</t>
    </rPh>
    <rPh sb="19" eb="21">
      <t>シサク</t>
    </rPh>
    <phoneticPr fontId="2"/>
  </si>
  <si>
    <t>品質改善
3rdｻﾝﾌﾟﾙ試作</t>
    <rPh sb="0" eb="2">
      <t>ヒンシツ</t>
    </rPh>
    <rPh sb="2" eb="4">
      <t>カイゼン</t>
    </rPh>
    <rPh sb="13" eb="15">
      <t>シサク</t>
    </rPh>
    <phoneticPr fontId="2"/>
  </si>
  <si>
    <t>品質改善
2ndｻﾝﾌﾟﾙ試作</t>
    <rPh sb="0" eb="4">
      <t>ヒンシツカイゼン</t>
    </rPh>
    <rPh sb="13" eb="15">
      <t>シサク</t>
    </rPh>
    <phoneticPr fontId="2"/>
  </si>
  <si>
    <t>項目1</t>
    <rPh sb="0" eb="2">
      <t>コウモク</t>
    </rPh>
    <phoneticPr fontId="2"/>
  </si>
  <si>
    <t>項目2</t>
    <rPh sb="0" eb="2">
      <t>コウモク</t>
    </rPh>
    <phoneticPr fontId="2"/>
  </si>
  <si>
    <t>項目3</t>
    <rPh sb="0" eb="2">
      <t>コウモク</t>
    </rPh>
    <phoneticPr fontId="2"/>
  </si>
  <si>
    <t>予算計画</t>
    <rPh sb="0" eb="2">
      <t>ヨサン</t>
    </rPh>
    <rPh sb="2" eb="4">
      <t>ケイカク</t>
    </rPh>
    <phoneticPr fontId="2"/>
  </si>
  <si>
    <t>行動計画</t>
    <rPh sb="0" eb="4">
      <t>コウドウケイカク</t>
    </rPh>
    <phoneticPr fontId="2"/>
  </si>
  <si>
    <t>行動結果</t>
    <rPh sb="0" eb="4">
      <t>コウドウケッカ</t>
    </rPh>
    <phoneticPr fontId="2"/>
  </si>
  <si>
    <t>数値実績</t>
    <rPh sb="0" eb="2">
      <t>スウチ</t>
    </rPh>
    <rPh sb="2" eb="4">
      <t>ジッセキ</t>
    </rPh>
    <phoneticPr fontId="2"/>
  </si>
  <si>
    <t>数値目標</t>
    <rPh sb="0" eb="2">
      <t>スウチ</t>
    </rPh>
    <rPh sb="2" eb="4">
      <t>モクヒョウ</t>
    </rPh>
    <phoneticPr fontId="2"/>
  </si>
  <si>
    <r>
      <t xml:space="preserve">計画数字の根拠となる
</t>
    </r>
    <r>
      <rPr>
        <b/>
        <u/>
        <sz val="14"/>
        <color rgb="FFFF0000"/>
        <rFont val="游ゴシック"/>
        <family val="3"/>
        <charset val="128"/>
        <scheme val="minor"/>
      </rPr>
      <t>具体的な行動</t>
    </r>
    <r>
      <rPr>
        <sz val="14"/>
        <color theme="1"/>
        <rFont val="游ゴシック"/>
        <family val="3"/>
        <charset val="128"/>
        <scheme val="minor"/>
      </rPr>
      <t>を落とし
込んでください。
※数字を計算する上で
　想定している行動や
　数値を記入
項　　目：何を
行動内容：どうする
数値目標：どれだけ
行動結果：行動実現度
数値実績：数値実現度</t>
    </r>
    <rPh sb="0" eb="2">
      <t>ケイカク</t>
    </rPh>
    <rPh sb="2" eb="4">
      <t>スウジ</t>
    </rPh>
    <rPh sb="5" eb="7">
      <t>コンキョ</t>
    </rPh>
    <rPh sb="11" eb="14">
      <t>グタイテキ</t>
    </rPh>
    <rPh sb="15" eb="17">
      <t>コウドウ</t>
    </rPh>
    <rPh sb="18" eb="19">
      <t>オ</t>
    </rPh>
    <rPh sb="22" eb="23">
      <t>コ</t>
    </rPh>
    <rPh sb="33" eb="35">
      <t>スウジ</t>
    </rPh>
    <rPh sb="36" eb="38">
      <t>ケイサン</t>
    </rPh>
    <rPh sb="40" eb="41">
      <t>ウエ</t>
    </rPh>
    <rPh sb="44" eb="46">
      <t>ソウテイ</t>
    </rPh>
    <rPh sb="50" eb="52">
      <t>コウドウ</t>
    </rPh>
    <rPh sb="55" eb="57">
      <t>スウチ</t>
    </rPh>
    <rPh sb="58" eb="60">
      <t>キニュウ</t>
    </rPh>
    <rPh sb="62" eb="63">
      <t>コウ</t>
    </rPh>
    <rPh sb="65" eb="66">
      <t>メ</t>
    </rPh>
    <rPh sb="67" eb="68">
      <t>ナニ</t>
    </rPh>
    <rPh sb="70" eb="74">
      <t>コウドウナイヨウ</t>
    </rPh>
    <rPh sb="90" eb="94">
      <t>コウドウケッカ</t>
    </rPh>
    <rPh sb="95" eb="97">
      <t>コウドウ</t>
    </rPh>
    <rPh sb="97" eb="100">
      <t>ジツゲンド</t>
    </rPh>
    <rPh sb="101" eb="103">
      <t>スウチ</t>
    </rPh>
    <rPh sb="103" eb="105">
      <t>ジッセキ</t>
    </rPh>
    <rPh sb="106" eb="108">
      <t>スウチ</t>
    </rPh>
    <rPh sb="108" eb="110">
      <t>ジツゲン</t>
    </rPh>
    <rPh sb="110" eb="111">
      <t>ド</t>
    </rPh>
    <phoneticPr fontId="2"/>
  </si>
  <si>
    <t>OGC+MOBILON
ﾌﾘｰｶｯﾄ生地量産開始</t>
    <rPh sb="18" eb="20">
      <t>キジ</t>
    </rPh>
    <rPh sb="20" eb="24">
      <t>リョウサンカイシ</t>
    </rPh>
    <phoneticPr fontId="2"/>
  </si>
  <si>
    <t>OGC+MOBILON+
PLAX生地量産開始</t>
    <rPh sb="17" eb="19">
      <t>キジ</t>
    </rPh>
    <rPh sb="19" eb="23">
      <t>リョウサンカイシ</t>
    </rPh>
    <phoneticPr fontId="2"/>
  </si>
  <si>
    <t>初回MOBILON糸
1,000kg</t>
    <rPh sb="0" eb="2">
      <t>ショカイ</t>
    </rPh>
    <rPh sb="9" eb="10">
      <t>イト</t>
    </rPh>
    <phoneticPr fontId="2"/>
  </si>
  <si>
    <t>MOBILON糸
3,000kg</t>
    <rPh sb="7" eb="8">
      <t>イト</t>
    </rPh>
    <phoneticPr fontId="2"/>
  </si>
  <si>
    <t>MOBILON糸
4,000kg</t>
    <rPh sb="7" eb="8">
      <t>イト</t>
    </rPh>
    <phoneticPr fontId="2"/>
  </si>
  <si>
    <t>円/ドル</t>
    <rPh sb="0" eb="1">
      <t>エン</t>
    </rPh>
    <phoneticPr fontId="2"/>
  </si>
  <si>
    <t>円/ユーロ</t>
    <rPh sb="0" eb="1">
      <t>エン</t>
    </rPh>
    <phoneticPr fontId="2"/>
  </si>
  <si>
    <t>今期想定為替</t>
    <rPh sb="0" eb="2">
      <t>コンキ</t>
    </rPh>
    <rPh sb="2" eb="4">
      <t>ソウテイ</t>
    </rPh>
    <rPh sb="4" eb="6">
      <t>カワセ</t>
    </rPh>
    <phoneticPr fontId="2"/>
  </si>
  <si>
    <t>担当</t>
    <rPh sb="0" eb="2">
      <t>タントウ</t>
    </rPh>
    <phoneticPr fontId="2"/>
  </si>
  <si>
    <t>部署</t>
    <rPh sb="0" eb="2">
      <t>ブショ</t>
    </rPh>
    <phoneticPr fontId="2"/>
  </si>
  <si>
    <t>松岡</t>
    <rPh sb="0" eb="2">
      <t>マツオカ</t>
    </rPh>
    <phoneticPr fontId="2"/>
  </si>
  <si>
    <t>大谷</t>
    <rPh sb="0" eb="2">
      <t>オオタニ</t>
    </rPh>
    <phoneticPr fontId="2"/>
  </si>
  <si>
    <t>宮本</t>
    <rPh sb="0" eb="2">
      <t>ミヤモト</t>
    </rPh>
    <phoneticPr fontId="2"/>
  </si>
  <si>
    <t>深串</t>
    <rPh sb="0" eb="2">
      <t>フカクシ</t>
    </rPh>
    <phoneticPr fontId="2"/>
  </si>
  <si>
    <t>前川</t>
    <rPh sb="0" eb="2">
      <t>マエカワ</t>
    </rPh>
    <phoneticPr fontId="2"/>
  </si>
  <si>
    <t>千葉</t>
    <rPh sb="0" eb="2">
      <t>チバ</t>
    </rPh>
    <phoneticPr fontId="2"/>
  </si>
  <si>
    <t>国内営業</t>
    <rPh sb="0" eb="2">
      <t>コクナイ</t>
    </rPh>
    <rPh sb="2" eb="4">
      <t>エイギョウ</t>
    </rPh>
    <phoneticPr fontId="2"/>
  </si>
  <si>
    <t>貿易</t>
    <rPh sb="0" eb="2">
      <t>ボウエキ</t>
    </rPh>
    <phoneticPr fontId="2"/>
  </si>
  <si>
    <t>リバーレース</t>
    <phoneticPr fontId="2"/>
  </si>
  <si>
    <t>前売り</t>
    <rPh sb="0" eb="2">
      <t>マエウ</t>
    </rPh>
    <phoneticPr fontId="2"/>
  </si>
  <si>
    <t>アパレル</t>
    <phoneticPr fontId="2"/>
  </si>
  <si>
    <t>新規</t>
    <rPh sb="0" eb="2">
      <t>シンキ</t>
    </rPh>
    <phoneticPr fontId="2"/>
  </si>
  <si>
    <t>その他</t>
    <rPh sb="2" eb="3">
      <t>ホカ</t>
    </rPh>
    <phoneticPr fontId="2"/>
  </si>
  <si>
    <t>100均</t>
    <rPh sb="3" eb="4">
      <t>キン</t>
    </rPh>
    <phoneticPr fontId="2"/>
  </si>
  <si>
    <t>EC、一般</t>
    <rPh sb="3" eb="5">
      <t>イッパン</t>
    </rPh>
    <phoneticPr fontId="2"/>
  </si>
  <si>
    <t>深串</t>
    <rPh sb="0" eb="1">
      <t>フカ</t>
    </rPh>
    <rPh sb="1" eb="2">
      <t>クシ</t>
    </rPh>
    <phoneticPr fontId="2"/>
  </si>
  <si>
    <t>SF上海</t>
    <rPh sb="2" eb="4">
      <t>シャンハイ</t>
    </rPh>
    <phoneticPr fontId="2"/>
  </si>
  <si>
    <t>黒テープ、各種幅MW
サンプル見本提供</t>
    <rPh sb="0" eb="1">
      <t>クロ</t>
    </rPh>
    <rPh sb="5" eb="7">
      <t>カクシュ</t>
    </rPh>
    <rPh sb="7" eb="8">
      <t>ハバ</t>
    </rPh>
    <rPh sb="15" eb="19">
      <t>ミホンテイキョウ</t>
    </rPh>
    <phoneticPr fontId="2"/>
  </si>
  <si>
    <t>2,200 kg（成約）</t>
    <rPh sb="9" eb="11">
      <t>セイヤク</t>
    </rPh>
    <phoneticPr fontId="2"/>
  </si>
  <si>
    <t>100 kg（成約）</t>
    <rPh sb="7" eb="9">
      <t>セイヤク</t>
    </rPh>
    <phoneticPr fontId="2"/>
  </si>
  <si>
    <t>2,000 kg</t>
    <phoneticPr fontId="2"/>
  </si>
  <si>
    <t>500 kg</t>
    <phoneticPr fontId="2"/>
  </si>
  <si>
    <t>1,000 kg</t>
    <phoneticPr fontId="2"/>
  </si>
  <si>
    <t>NISTのGRS認証
取得後に再プッシュ</t>
    <rPh sb="8" eb="10">
      <t>ニンショウ</t>
    </rPh>
    <rPh sb="11" eb="14">
      <t>シュトクゴ</t>
    </rPh>
    <rPh sb="15" eb="16">
      <t>サイ</t>
    </rPh>
    <phoneticPr fontId="2"/>
  </si>
  <si>
    <t>ミラノ出張</t>
    <rPh sb="3" eb="5">
      <t>シュッチョウ</t>
    </rPh>
    <phoneticPr fontId="2"/>
  </si>
  <si>
    <t>740 kg（成約）</t>
    <rPh sb="7" eb="9">
      <t>セイヤク</t>
    </rPh>
    <phoneticPr fontId="2"/>
  </si>
  <si>
    <t>500 kg（成約）</t>
    <rPh sb="7" eb="9">
      <t>セイヤク</t>
    </rPh>
    <phoneticPr fontId="2"/>
  </si>
  <si>
    <t>1,180 kg（成約）</t>
    <rPh sb="9" eb="11">
      <t>セイヤク</t>
    </rPh>
    <phoneticPr fontId="2"/>
  </si>
  <si>
    <t>2,300 kg</t>
    <phoneticPr fontId="2"/>
  </si>
  <si>
    <t>2,500 kg</t>
    <phoneticPr fontId="2"/>
  </si>
  <si>
    <t>2,600 kg</t>
    <phoneticPr fontId="2"/>
  </si>
  <si>
    <t>2,400 kg</t>
    <phoneticPr fontId="2"/>
  </si>
  <si>
    <t>2,200 kg</t>
    <phoneticPr fontId="2"/>
  </si>
  <si>
    <t>MB, MW既存販売候補先へ
新規エラストマー品番提案（20社）</t>
    <rPh sb="6" eb="8">
      <t>キソン</t>
    </rPh>
    <rPh sb="8" eb="10">
      <t>ハンバイ</t>
    </rPh>
    <rPh sb="10" eb="12">
      <t>コウホ</t>
    </rPh>
    <rPh sb="12" eb="13">
      <t>サキ</t>
    </rPh>
    <rPh sb="15" eb="17">
      <t>シンキ</t>
    </rPh>
    <rPh sb="23" eb="25">
      <t>ヒンバン</t>
    </rPh>
    <rPh sb="25" eb="27">
      <t>テイアン</t>
    </rPh>
    <rPh sb="30" eb="31">
      <t>シャ</t>
    </rPh>
    <phoneticPr fontId="2"/>
  </si>
  <si>
    <t>東南アジア出張</t>
    <rPh sb="0" eb="2">
      <t>トウナン</t>
    </rPh>
    <rPh sb="5" eb="7">
      <t>シュッチョウ</t>
    </rPh>
    <phoneticPr fontId="2"/>
  </si>
  <si>
    <t>SEI 660 kg（成約）</t>
    <rPh sb="11" eb="13">
      <t>セイヤク</t>
    </rPh>
    <phoneticPr fontId="2"/>
  </si>
  <si>
    <t>Min Yuen 500  SEI 1,380  TW 1,080(成)</t>
    <rPh sb="34" eb="35">
      <t>シゲル</t>
    </rPh>
    <phoneticPr fontId="2"/>
  </si>
  <si>
    <t>MY 1000 kg（成約）</t>
    <rPh sb="11" eb="13">
      <t>セイヤク</t>
    </rPh>
    <phoneticPr fontId="2"/>
  </si>
  <si>
    <t>MY 800
SEI 1,160（成約）</t>
    <rPh sb="17" eb="19">
      <t>セイヤク</t>
    </rPh>
    <phoneticPr fontId="2"/>
  </si>
  <si>
    <t>MY 1,000  SEI 300  TW 1,500</t>
    <phoneticPr fontId="2"/>
  </si>
  <si>
    <t>MY 900
SEI 800</t>
    <phoneticPr fontId="2"/>
  </si>
  <si>
    <t>MY 1,000
SEI 600</t>
    <phoneticPr fontId="2"/>
  </si>
  <si>
    <t>MY 1,000  SEI 400
TW 1,500</t>
    <phoneticPr fontId="2"/>
  </si>
  <si>
    <t>MY 800
SEI 500</t>
    <phoneticPr fontId="2"/>
  </si>
  <si>
    <t>MY 1,200  SEI 500
TW 1,000</t>
    <phoneticPr fontId="2"/>
  </si>
  <si>
    <t>MY 800
SEI 600</t>
    <phoneticPr fontId="2"/>
  </si>
  <si>
    <t>MY 1,000  SEI 700 
TW 1,000</t>
    <phoneticPr fontId="2"/>
  </si>
  <si>
    <t>陳さんと大阪で
販売方法の策定</t>
    <rPh sb="0" eb="1">
      <t>チン</t>
    </rPh>
    <rPh sb="4" eb="6">
      <t>オオサカ</t>
    </rPh>
    <rPh sb="8" eb="10">
      <t>ハンバイ</t>
    </rPh>
    <rPh sb="10" eb="12">
      <t>ホウホウ</t>
    </rPh>
    <rPh sb="13" eb="15">
      <t>サクテイ</t>
    </rPh>
    <phoneticPr fontId="2"/>
  </si>
  <si>
    <t>日清紡と販促方法の
再構築（8～9月）</t>
    <rPh sb="0" eb="3">
      <t>ニッシンボウ</t>
    </rPh>
    <rPh sb="4" eb="6">
      <t>ハンソク</t>
    </rPh>
    <rPh sb="6" eb="8">
      <t>ホウホウ</t>
    </rPh>
    <rPh sb="10" eb="13">
      <t>サイコウチク</t>
    </rPh>
    <rPh sb="17" eb="18">
      <t>ガツ</t>
    </rPh>
    <phoneticPr fontId="2"/>
  </si>
  <si>
    <t>深センインナー展訪問</t>
    <rPh sb="0" eb="1">
      <t>フカ</t>
    </rPh>
    <rPh sb="7" eb="8">
      <t>テン</t>
    </rPh>
    <rPh sb="8" eb="10">
      <t>ホウモン</t>
    </rPh>
    <phoneticPr fontId="2"/>
  </si>
  <si>
    <t>モビロン糸 1,000 kg</t>
    <rPh sb="4" eb="5">
      <t>イト</t>
    </rPh>
    <phoneticPr fontId="2"/>
  </si>
  <si>
    <t>モビロン糸 2,000 kg</t>
    <rPh sb="4" eb="5">
      <t>イト</t>
    </rPh>
    <phoneticPr fontId="2"/>
  </si>
  <si>
    <t>MB新規販先
へのメール接触 (20社)</t>
    <rPh sb="2" eb="4">
      <t>シンキ</t>
    </rPh>
    <rPh sb="4" eb="5">
      <t>ハン</t>
    </rPh>
    <rPh sb="5" eb="6">
      <t>サキ</t>
    </rPh>
    <rPh sb="12" eb="14">
      <t>セッショク</t>
    </rPh>
    <rPh sb="18" eb="19">
      <t>シャ</t>
    </rPh>
    <phoneticPr fontId="2"/>
  </si>
  <si>
    <t>TPU販売候補先への
メール接触（30社）</t>
    <rPh sb="3" eb="8">
      <t>ハンバイコウホサキ</t>
    </rPh>
    <rPh sb="14" eb="16">
      <t>セッショク</t>
    </rPh>
    <rPh sb="19" eb="20">
      <t>シャ</t>
    </rPh>
    <phoneticPr fontId="2"/>
  </si>
  <si>
    <t>韓国産TPUの品名、
包装外観決定</t>
    <rPh sb="0" eb="3">
      <t>カンコクサン</t>
    </rPh>
    <rPh sb="7" eb="9">
      <t>ヒンメイ</t>
    </rPh>
    <rPh sb="11" eb="13">
      <t>ホウソウ</t>
    </rPh>
    <rPh sb="13" eb="15">
      <t>ガイカン</t>
    </rPh>
    <rPh sb="15" eb="17">
      <t>ケッテイ</t>
    </rPh>
    <phoneticPr fontId="2"/>
  </si>
  <si>
    <t>MB新規販売先
へのメール接触 (30社)</t>
    <rPh sb="2" eb="4">
      <t>シンキ</t>
    </rPh>
    <rPh sb="4" eb="7">
      <t>ハンバイサキ</t>
    </rPh>
    <rPh sb="13" eb="15">
      <t>セッショク</t>
    </rPh>
    <rPh sb="19" eb="20">
      <t>シャ</t>
    </rPh>
    <phoneticPr fontId="2"/>
  </si>
  <si>
    <t>MB 60 kg (HU)</t>
    <phoneticPr fontId="2"/>
  </si>
  <si>
    <t>MB 200 kg (HU)
TPU 340 kg (Jay)</t>
    <phoneticPr fontId="2"/>
  </si>
  <si>
    <t>MB 300 (Thaiなど)
TPU 800</t>
    <phoneticPr fontId="2"/>
  </si>
  <si>
    <t>MB 200 (電材など）
TPU 500</t>
    <rPh sb="8" eb="10">
      <t>デンザイ</t>
    </rPh>
    <phoneticPr fontId="2"/>
  </si>
  <si>
    <t>MB ２00 （Thなど）
TPU 300</t>
    <phoneticPr fontId="2"/>
  </si>
  <si>
    <t>MB 100 (HU, Horizon）TPU 1,000</t>
    <phoneticPr fontId="2"/>
  </si>
  <si>
    <t>MB 200 (TITなど）</t>
    <phoneticPr fontId="2"/>
  </si>
  <si>
    <t>※単位：千円</t>
    <rPh sb="1" eb="3">
      <t>タンイ</t>
    </rPh>
    <rPh sb="4" eb="6">
      <t>センエン</t>
    </rPh>
    <phoneticPr fontId="2"/>
  </si>
  <si>
    <t>注文・引き合い等に
対する迅速な対応</t>
    <rPh sb="0" eb="2">
      <t>チュウモン</t>
    </rPh>
    <rPh sb="3" eb="4">
      <t>ヒ</t>
    </rPh>
    <rPh sb="5" eb="6">
      <t>ア</t>
    </rPh>
    <rPh sb="7" eb="8">
      <t>ナド</t>
    </rPh>
    <rPh sb="10" eb="11">
      <t>タイ</t>
    </rPh>
    <rPh sb="13" eb="15">
      <t>ジンソク</t>
    </rPh>
    <rPh sb="16" eb="18">
      <t>タイオウ</t>
    </rPh>
    <phoneticPr fontId="2"/>
  </si>
  <si>
    <t>上半期
５２５万円</t>
    <rPh sb="0" eb="3">
      <t>カミハンキ</t>
    </rPh>
    <rPh sb="7" eb="9">
      <t>マンエン</t>
    </rPh>
    <phoneticPr fontId="2"/>
  </si>
  <si>
    <t>下半期
５２５万円</t>
    <rPh sb="0" eb="3">
      <t>シモハンキ</t>
    </rPh>
    <rPh sb="7" eb="9">
      <t>マンエン</t>
    </rPh>
    <phoneticPr fontId="2"/>
  </si>
  <si>
    <t>現地販売員・栄レース
による客訪問</t>
    <rPh sb="0" eb="2">
      <t>ゲンチ</t>
    </rPh>
    <rPh sb="2" eb="4">
      <t>ハンバイ</t>
    </rPh>
    <rPh sb="4" eb="5">
      <t>イン</t>
    </rPh>
    <rPh sb="6" eb="7">
      <t>サカエ</t>
    </rPh>
    <rPh sb="14" eb="15">
      <t>キャク</t>
    </rPh>
    <rPh sb="15" eb="17">
      <t>ホウモン</t>
    </rPh>
    <phoneticPr fontId="2"/>
  </si>
  <si>
    <t>現地・本社スタッフ
による顧客訪問</t>
    <rPh sb="0" eb="2">
      <t>ゲンチ</t>
    </rPh>
    <rPh sb="3" eb="5">
      <t>ホンシャ</t>
    </rPh>
    <rPh sb="13" eb="15">
      <t>コキャク</t>
    </rPh>
    <rPh sb="15" eb="17">
      <t>ホウモン</t>
    </rPh>
    <phoneticPr fontId="2"/>
  </si>
  <si>
    <t>第一四半期
１６００万円</t>
    <rPh sb="0" eb="5">
      <t>ダイイチシハンキ</t>
    </rPh>
    <rPh sb="10" eb="12">
      <t>マンエン</t>
    </rPh>
    <phoneticPr fontId="2"/>
  </si>
  <si>
    <t>第二四半期
１８００万円</t>
    <rPh sb="0" eb="5">
      <t>ダイニシハンキ</t>
    </rPh>
    <rPh sb="10" eb="12">
      <t>マンエン</t>
    </rPh>
    <phoneticPr fontId="2"/>
  </si>
  <si>
    <t>第三四半期
１７００万円</t>
    <rPh sb="0" eb="5">
      <t>ダイサンシハンキ</t>
    </rPh>
    <rPh sb="10" eb="12">
      <t>マンエン</t>
    </rPh>
    <phoneticPr fontId="2"/>
  </si>
  <si>
    <t>第四四半期
１９００万円</t>
    <rPh sb="0" eb="5">
      <t>ダイヨンシハンキ</t>
    </rPh>
    <rPh sb="10" eb="11">
      <t>マン</t>
    </rPh>
    <rPh sb="11" eb="12">
      <t>エン</t>
    </rPh>
    <phoneticPr fontId="2"/>
  </si>
  <si>
    <t>第一四半期
１８００万円</t>
    <rPh sb="0" eb="5">
      <t>ダイイチシハンキ</t>
    </rPh>
    <rPh sb="10" eb="12">
      <t>マンエン</t>
    </rPh>
    <phoneticPr fontId="2"/>
  </si>
  <si>
    <t>第二四半期
２８００万円</t>
    <rPh sb="0" eb="5">
      <t>ダイニシハンキ</t>
    </rPh>
    <rPh sb="10" eb="12">
      <t>マンエン</t>
    </rPh>
    <phoneticPr fontId="2"/>
  </si>
  <si>
    <t>第三四半期
２５００万円</t>
    <rPh sb="0" eb="5">
      <t>ダイサンシハンキ</t>
    </rPh>
    <rPh sb="10" eb="12">
      <t>マンエン</t>
    </rPh>
    <phoneticPr fontId="2"/>
  </si>
  <si>
    <t>第四四半期
２１００万円</t>
    <rPh sb="0" eb="5">
      <t>ダイヨンシハンキ</t>
    </rPh>
    <rPh sb="10" eb="11">
      <t>マン</t>
    </rPh>
    <rPh sb="11" eb="12">
      <t>エン</t>
    </rPh>
    <phoneticPr fontId="2"/>
  </si>
  <si>
    <t>SF上海</t>
    <rPh sb="2" eb="4">
      <t>シャンハイ</t>
    </rPh>
    <phoneticPr fontId="2"/>
  </si>
  <si>
    <t>FRAMIS</t>
    <phoneticPr fontId="2"/>
  </si>
  <si>
    <t>その他</t>
    <rPh sb="2" eb="3">
      <t>ホカ</t>
    </rPh>
    <phoneticPr fontId="2"/>
  </si>
  <si>
    <t>リボン・テープ等</t>
    <rPh sb="7" eb="8">
      <t>ナド</t>
    </rPh>
    <phoneticPr fontId="2"/>
  </si>
  <si>
    <t>韓国</t>
    <rPh sb="0" eb="2">
      <t>カンコク</t>
    </rPh>
    <phoneticPr fontId="2"/>
  </si>
  <si>
    <t>リバーレース</t>
    <phoneticPr fontId="2"/>
  </si>
  <si>
    <t>GCGA</t>
    <phoneticPr fontId="2"/>
  </si>
  <si>
    <t>MOBILONテープ</t>
    <phoneticPr fontId="2"/>
  </si>
  <si>
    <t>MOBILONテープ・バンド</t>
    <phoneticPr fontId="2"/>
  </si>
  <si>
    <t>MOBILONバンド</t>
    <phoneticPr fontId="2"/>
  </si>
  <si>
    <t>米国(NY)</t>
    <rPh sb="0" eb="2">
      <t>ベイコク</t>
    </rPh>
    <phoneticPr fontId="2"/>
  </si>
  <si>
    <t>米国(LA)</t>
    <rPh sb="0" eb="2">
      <t>ベイコク</t>
    </rPh>
    <phoneticPr fontId="2"/>
  </si>
  <si>
    <t>合計</t>
    <rPh sb="0" eb="2">
      <t>ゴウケイ</t>
    </rPh>
    <phoneticPr fontId="2"/>
  </si>
  <si>
    <t>MOBILON新規、JCA、</t>
    <rPh sb="7" eb="9">
      <t>シンキ</t>
    </rPh>
    <phoneticPr fontId="2"/>
  </si>
  <si>
    <t>SFSH売上</t>
    <rPh sb="4" eb="6">
      <t>ウリアゲ</t>
    </rPh>
    <phoneticPr fontId="2"/>
  </si>
  <si>
    <t>GCGA売上</t>
    <rPh sb="4" eb="6">
      <t>ウリアゲ</t>
    </rPh>
    <phoneticPr fontId="2"/>
  </si>
  <si>
    <t>SFSHコスト</t>
    <phoneticPr fontId="2"/>
  </si>
  <si>
    <t>GCGAコスト</t>
    <phoneticPr fontId="2"/>
  </si>
  <si>
    <t>既存合計</t>
    <rPh sb="0" eb="2">
      <t>キゾン</t>
    </rPh>
    <rPh sb="2" eb="4">
      <t>ゴウケイ</t>
    </rPh>
    <phoneticPr fontId="2"/>
  </si>
  <si>
    <t>新規合計</t>
    <rPh sb="0" eb="4">
      <t>シンキゴウケイ</t>
    </rPh>
    <phoneticPr fontId="2"/>
  </si>
  <si>
    <t>総合計</t>
    <rPh sb="0" eb="3">
      <t>ソウゴウケイ</t>
    </rPh>
    <phoneticPr fontId="2"/>
  </si>
  <si>
    <t>売上</t>
    <rPh sb="0" eb="2">
      <t>ウリアゲ</t>
    </rPh>
    <phoneticPr fontId="2"/>
  </si>
  <si>
    <t>粗利</t>
    <rPh sb="0" eb="2">
      <t>アラリ</t>
    </rPh>
    <phoneticPr fontId="2"/>
  </si>
  <si>
    <t>商品</t>
    <rPh sb="0" eb="2">
      <t>ショウヒン</t>
    </rPh>
    <phoneticPr fontId="2"/>
  </si>
  <si>
    <t>向け先</t>
    <rPh sb="0" eb="1">
      <t>ム</t>
    </rPh>
    <rPh sb="2" eb="3">
      <t>サキ</t>
    </rPh>
    <phoneticPr fontId="2"/>
  </si>
  <si>
    <t>SS25提案</t>
    <phoneticPr fontId="2"/>
  </si>
  <si>
    <t>リボン通しトーション企画</t>
    <rPh sb="3" eb="4">
      <t>トオ</t>
    </rPh>
    <rPh sb="10" eb="12">
      <t>キカク</t>
    </rPh>
    <phoneticPr fontId="2"/>
  </si>
  <si>
    <t>FW提案
（生地メイン）</t>
    <rPh sb="2" eb="4">
      <t>テイアン</t>
    </rPh>
    <rPh sb="6" eb="8">
      <t>キジ</t>
    </rPh>
    <phoneticPr fontId="2"/>
  </si>
  <si>
    <t>10月初 アメリカ出張予定(FW season)</t>
    <rPh sb="2" eb="3">
      <t>ガツ</t>
    </rPh>
    <rPh sb="3" eb="4">
      <t>ハジ</t>
    </rPh>
    <rPh sb="9" eb="11">
      <t>シュッチョウ</t>
    </rPh>
    <rPh sb="11" eb="13">
      <t>ヨテイ</t>
    </rPh>
    <phoneticPr fontId="2"/>
  </si>
  <si>
    <t>FW提案（トリム開始～2月頃まで）</t>
    <rPh sb="2" eb="4">
      <t>テイアン</t>
    </rPh>
    <rPh sb="8" eb="10">
      <t>カイシ</t>
    </rPh>
    <rPh sb="12" eb="13">
      <t>ガツ</t>
    </rPh>
    <rPh sb="13" eb="14">
      <t>コロ</t>
    </rPh>
    <phoneticPr fontId="2"/>
  </si>
  <si>
    <t>PS26 RTW / Bridal提案</t>
    <rPh sb="17" eb="19">
      <t>テイアン</t>
    </rPh>
    <phoneticPr fontId="2"/>
  </si>
  <si>
    <t>SS26提案
（生地メイン）</t>
    <rPh sb="4" eb="6">
      <t>テイアン</t>
    </rPh>
    <phoneticPr fontId="2"/>
  </si>
  <si>
    <t>4月初アメリカ出張予定 (SS season)</t>
    <rPh sb="1" eb="2">
      <t>ガツ</t>
    </rPh>
    <rPh sb="2" eb="3">
      <t>ハジ</t>
    </rPh>
    <rPh sb="7" eb="9">
      <t>シュッチョウ</t>
    </rPh>
    <rPh sb="9" eb="11">
      <t>ヨテイ</t>
    </rPh>
    <phoneticPr fontId="2"/>
  </si>
  <si>
    <t>SS26提案（トリム開始～7月頃?まで）</t>
    <rPh sb="4" eb="6">
      <t>テイアン</t>
    </rPh>
    <rPh sb="10" eb="12">
      <t>カイシ</t>
    </rPh>
    <rPh sb="14" eb="15">
      <t>ガツ</t>
    </rPh>
    <rPh sb="15" eb="16">
      <t>コロ</t>
    </rPh>
    <phoneticPr fontId="2"/>
  </si>
  <si>
    <t>8月末までに提案サンプル仕上げる</t>
    <rPh sb="2" eb="3">
      <t>マツ</t>
    </rPh>
    <rPh sb="6" eb="8">
      <t>テイアン</t>
    </rPh>
    <rPh sb="12" eb="14">
      <t>シア</t>
    </rPh>
    <phoneticPr fontId="2"/>
  </si>
  <si>
    <t>提案メールを10件以上送付</t>
    <rPh sb="0" eb="2">
      <t>テイアン</t>
    </rPh>
    <rPh sb="8" eb="9">
      <t>ケン</t>
    </rPh>
    <rPh sb="9" eb="11">
      <t>イジョウ</t>
    </rPh>
    <rPh sb="11" eb="13">
      <t>ソウフ</t>
    </rPh>
    <phoneticPr fontId="2"/>
  </si>
  <si>
    <t>SS提案分よりバルク
12月末までに15件以上</t>
    <rPh sb="2" eb="4">
      <t>テイアン</t>
    </rPh>
    <rPh sb="4" eb="5">
      <t>ブン</t>
    </rPh>
    <rPh sb="13" eb="14">
      <t>ガツ</t>
    </rPh>
    <rPh sb="14" eb="15">
      <t>マツ</t>
    </rPh>
    <rPh sb="20" eb="21">
      <t>ケン</t>
    </rPh>
    <rPh sb="21" eb="23">
      <t>イジョウ</t>
    </rPh>
    <phoneticPr fontId="2"/>
  </si>
  <si>
    <t>10月出張からのサンプルオーダー2末までに10社</t>
    <rPh sb="2" eb="3">
      <t>ガツ</t>
    </rPh>
    <rPh sb="3" eb="5">
      <t>シュッチョウ</t>
    </rPh>
    <rPh sb="17" eb="18">
      <t>マツ</t>
    </rPh>
    <rPh sb="23" eb="24">
      <t>シャ</t>
    </rPh>
    <phoneticPr fontId="2"/>
  </si>
  <si>
    <t>FW提案分の生地バルク
5月末までに10件以上</t>
    <rPh sb="2" eb="4">
      <t>テイアン</t>
    </rPh>
    <rPh sb="4" eb="5">
      <t>ブン</t>
    </rPh>
    <rPh sb="6" eb="8">
      <t>キジ</t>
    </rPh>
    <rPh sb="13" eb="14">
      <t>ガツ</t>
    </rPh>
    <rPh sb="14" eb="15">
      <t>マツ</t>
    </rPh>
    <rPh sb="20" eb="21">
      <t>ケン</t>
    </rPh>
    <rPh sb="21" eb="23">
      <t>イジョウ</t>
    </rPh>
    <phoneticPr fontId="2"/>
  </si>
  <si>
    <t>SS25提案
Celine FW 提案</t>
    <phoneticPr fontId="2"/>
  </si>
  <si>
    <t>FW提案
Celine SS 提案</t>
    <rPh sb="15" eb="17">
      <t>テイアン</t>
    </rPh>
    <phoneticPr fontId="2"/>
  </si>
  <si>
    <t>SSバルク12月末までに7件
(Celine?)</t>
    <rPh sb="13" eb="14">
      <t>ケン</t>
    </rPh>
    <phoneticPr fontId="2"/>
  </si>
  <si>
    <t>FWサンプルオーダー2末までに10社</t>
    <rPh sb="11" eb="12">
      <t>マツ</t>
    </rPh>
    <rPh sb="17" eb="18">
      <t>シャ</t>
    </rPh>
    <phoneticPr fontId="2"/>
  </si>
  <si>
    <t>FW提案分の生地バルク
5月末までに7件以上</t>
    <rPh sb="2" eb="4">
      <t>テイアン</t>
    </rPh>
    <rPh sb="4" eb="5">
      <t>ブン</t>
    </rPh>
    <rPh sb="6" eb="8">
      <t>キジ</t>
    </rPh>
    <rPh sb="13" eb="14">
      <t>ガツ</t>
    </rPh>
    <rPh sb="14" eb="15">
      <t>マツ</t>
    </rPh>
    <rPh sb="19" eb="20">
      <t>ケン</t>
    </rPh>
    <rPh sb="20" eb="22">
      <t>イジョウ</t>
    </rPh>
    <phoneticPr fontId="2"/>
  </si>
  <si>
    <t>単位（千円）</t>
    <rPh sb="0" eb="2">
      <t>タンイ</t>
    </rPh>
    <rPh sb="3" eb="5">
      <t>センエン</t>
    </rPh>
    <phoneticPr fontId="2"/>
  </si>
  <si>
    <t>VVR</t>
    <phoneticPr fontId="2"/>
  </si>
  <si>
    <t>クリスマス向け
ベルベット提案</t>
    <rPh sb="5" eb="6">
      <t>ム</t>
    </rPh>
    <rPh sb="13" eb="15">
      <t>テイアン</t>
    </rPh>
    <phoneticPr fontId="2"/>
  </si>
  <si>
    <t>10-12月で計200万円以上目標</t>
    <rPh sb="5" eb="6">
      <t>ガツ</t>
    </rPh>
    <rPh sb="7" eb="8">
      <t>ケイ</t>
    </rPh>
    <rPh sb="11" eb="13">
      <t>マンエン</t>
    </rPh>
    <rPh sb="13" eb="15">
      <t>イジョウ</t>
    </rPh>
    <rPh sb="15" eb="17">
      <t>モクヒョウ</t>
    </rPh>
    <phoneticPr fontId="2"/>
  </si>
  <si>
    <t>10-12月で計200万円以上目標</t>
    <rPh sb="5" eb="6">
      <t>ガツ</t>
    </rPh>
    <rPh sb="7" eb="8">
      <t>ケイ</t>
    </rPh>
    <rPh sb="11" eb="15">
      <t>マンエンイジョウ</t>
    </rPh>
    <rPh sb="15" eb="17">
      <t>モクヒョウ</t>
    </rPh>
    <phoneticPr fontId="2"/>
  </si>
  <si>
    <t>欧州</t>
    <rPh sb="0" eb="2">
      <t>オウシュウ</t>
    </rPh>
    <phoneticPr fontId="2"/>
  </si>
  <si>
    <t>2件訪問</t>
    <rPh sb="1" eb="2">
      <t>ケン</t>
    </rPh>
    <rPh sb="2" eb="4">
      <t>ホウモン</t>
    </rPh>
    <phoneticPr fontId="2"/>
  </si>
  <si>
    <t>スパンデックス</t>
    <phoneticPr fontId="2"/>
  </si>
  <si>
    <t>スパンデックス、複合材</t>
    <rPh sb="8" eb="11">
      <t>フクゴウザイ</t>
    </rPh>
    <phoneticPr fontId="2"/>
  </si>
  <si>
    <t>インド、他</t>
    <rPh sb="4" eb="5">
      <t>ホカ</t>
    </rPh>
    <phoneticPr fontId="2"/>
  </si>
  <si>
    <t>リボン・テープ等</t>
  </si>
  <si>
    <t>前売り</t>
  </si>
  <si>
    <t>上記合計</t>
    <rPh sb="0" eb="4">
      <t>ジョウキゴウケイ</t>
    </rPh>
    <phoneticPr fontId="2"/>
  </si>
  <si>
    <t>上記合計</t>
    <rPh sb="0" eb="2">
      <t>ジョウキ</t>
    </rPh>
    <rPh sb="2" eb="4">
      <t>ゴウケイ</t>
    </rPh>
    <phoneticPr fontId="2"/>
  </si>
  <si>
    <t>新規1</t>
    <rPh sb="0" eb="2">
      <t>シンキ</t>
    </rPh>
    <phoneticPr fontId="2"/>
  </si>
  <si>
    <t>新規2</t>
    <rPh sb="0" eb="2">
      <t>シンキ</t>
    </rPh>
    <phoneticPr fontId="2"/>
  </si>
  <si>
    <t>中国</t>
    <rPh sb="0" eb="2">
      <t>チュウゴク</t>
    </rPh>
    <phoneticPr fontId="2"/>
  </si>
  <si>
    <t>計画集計</t>
    <rPh sb="0" eb="4">
      <t>ケイカクシュウケイ</t>
    </rPh>
    <phoneticPr fontId="2"/>
  </si>
  <si>
    <t>実績集計</t>
    <rPh sb="0" eb="2">
      <t>ジッセキ</t>
    </rPh>
    <rPh sb="2" eb="4">
      <t>シュウケイ</t>
    </rPh>
    <phoneticPr fontId="2"/>
  </si>
  <si>
    <t>前期(第49期)実績</t>
    <rPh sb="0" eb="2">
      <t>ゼンキ</t>
    </rPh>
    <rPh sb="3" eb="4">
      <t>ダイ</t>
    </rPh>
    <rPh sb="6" eb="7">
      <t>キ</t>
    </rPh>
    <rPh sb="8" eb="10">
      <t>ジッセキ</t>
    </rPh>
    <phoneticPr fontId="2"/>
  </si>
  <si>
    <t>前期比</t>
    <rPh sb="0" eb="3">
      <t>ゼンキヒ</t>
    </rPh>
    <phoneticPr fontId="2"/>
  </si>
  <si>
    <t>仕入</t>
    <rPh sb="0" eb="2">
      <t>シイレ</t>
    </rPh>
    <phoneticPr fontId="2"/>
  </si>
  <si>
    <t>商品カテゴリ</t>
    <rPh sb="0" eb="2">
      <t>ショウヒン</t>
    </rPh>
    <phoneticPr fontId="2"/>
  </si>
  <si>
    <t>リバーレース
リボン・テープ等</t>
    <rPh sb="14" eb="15">
      <t>ナド</t>
    </rPh>
    <phoneticPr fontId="2"/>
  </si>
  <si>
    <t>小売・量販
産業資材</t>
    <rPh sb="0" eb="2">
      <t>コウリ</t>
    </rPh>
    <rPh sb="3" eb="5">
      <t>リョウハン</t>
    </rPh>
    <rPh sb="6" eb="8">
      <t>サンギョウ</t>
    </rPh>
    <rPh sb="8" eb="10">
      <t>シザイ</t>
    </rPh>
    <phoneticPr fontId="2"/>
  </si>
  <si>
    <t>EC
一般資材
産業資材</t>
    <rPh sb="3" eb="7">
      <t>イッパンシザイ</t>
    </rPh>
    <rPh sb="8" eb="12">
      <t>サンギョウシザイ</t>
    </rPh>
    <phoneticPr fontId="2"/>
  </si>
  <si>
    <t>リボン・テープ等</t>
    <rPh sb="7" eb="8">
      <t>トウ</t>
    </rPh>
    <phoneticPr fontId="2"/>
  </si>
  <si>
    <t>　</t>
    <phoneticPr fontId="2"/>
  </si>
  <si>
    <t>MOBILONテープ
MOBILONバンド</t>
    <phoneticPr fontId="2"/>
  </si>
  <si>
    <t>韓国
(DAEKYUNG)</t>
    <rPh sb="0" eb="2">
      <t>カンコク</t>
    </rPh>
    <phoneticPr fontId="2"/>
  </si>
  <si>
    <t>手芸量販</t>
    <rPh sb="0" eb="4">
      <t>シュゲイリョウハン</t>
    </rPh>
    <phoneticPr fontId="2"/>
  </si>
  <si>
    <t>MOBILON
スパンデックス</t>
    <phoneticPr fontId="2"/>
  </si>
  <si>
    <t>MOBILONテープ
MOBILONバンド
JCA製品</t>
    <rPh sb="25" eb="27">
      <t>セイヒン</t>
    </rPh>
    <phoneticPr fontId="2"/>
  </si>
  <si>
    <t>インド</t>
    <phoneticPr fontId="2"/>
  </si>
  <si>
    <t>複合材
(CFRP)</t>
    <rPh sb="0" eb="3">
      <t>フクゴウザイ</t>
    </rPh>
    <phoneticPr fontId="2"/>
  </si>
  <si>
    <t>国内外
産業資材</t>
    <rPh sb="0" eb="3">
      <t>コクナイガイ</t>
    </rPh>
    <rPh sb="4" eb="8">
      <t>サンギョウシザイ</t>
    </rPh>
    <phoneticPr fontId="2"/>
  </si>
  <si>
    <t>アパレル
産業資材</t>
    <rPh sb="5" eb="9">
      <t>サンギョウシザイ</t>
    </rPh>
    <phoneticPr fontId="2"/>
  </si>
  <si>
    <t>アパレル
(付属商社含む)</t>
    <rPh sb="6" eb="8">
      <t>フゾク</t>
    </rPh>
    <rPh sb="8" eb="10">
      <t>ショウシャ</t>
    </rPh>
    <rPh sb="10" eb="11">
      <t>フク</t>
    </rPh>
    <phoneticPr fontId="2"/>
  </si>
  <si>
    <t>米国(NY)
アパレル</t>
    <rPh sb="0" eb="2">
      <t>ベイコク</t>
    </rPh>
    <phoneticPr fontId="2"/>
  </si>
  <si>
    <t>米国(LA)
アパレル</t>
    <rPh sb="0" eb="2">
      <t>ベイコク</t>
    </rPh>
    <phoneticPr fontId="2"/>
  </si>
  <si>
    <t>欧州
アパレル</t>
    <rPh sb="0" eb="2">
      <t>オウシュウ</t>
    </rPh>
    <phoneticPr fontId="2"/>
  </si>
  <si>
    <t>イギリス
VVR</t>
    <phoneticPr fontId="2"/>
  </si>
  <si>
    <t>MB</t>
    <phoneticPr fontId="2"/>
  </si>
  <si>
    <t>GA</t>
    <phoneticPr fontId="2"/>
  </si>
  <si>
    <t>LL</t>
    <phoneticPr fontId="2"/>
  </si>
  <si>
    <t>OS</t>
    <phoneticPr fontId="2"/>
  </si>
  <si>
    <t>DS</t>
    <phoneticPr fontId="2"/>
  </si>
  <si>
    <t>営業進捗管理用　インボイスリスト</t>
    <rPh sb="0" eb="4">
      <t>エイギョウシンチョク</t>
    </rPh>
    <rPh sb="4" eb="6">
      <t>カンリ</t>
    </rPh>
    <rPh sb="6" eb="7">
      <t>ヨウ</t>
    </rPh>
    <phoneticPr fontId="2"/>
  </si>
  <si>
    <t>※自動計算なので、編集不可</t>
    <rPh sb="1" eb="5">
      <t>ジドウケイサン</t>
    </rPh>
    <rPh sb="9" eb="13">
      <t>ヘンシュウフカ</t>
    </rPh>
    <phoneticPr fontId="2"/>
  </si>
  <si>
    <t>$売上調整</t>
    <rPh sb="1" eb="3">
      <t>ウリアゲ</t>
    </rPh>
    <rPh sb="3" eb="5">
      <t>チョウセイ</t>
    </rPh>
    <phoneticPr fontId="2"/>
  </si>
  <si>
    <t>$仕入調整</t>
    <rPh sb="1" eb="3">
      <t>シイレ</t>
    </rPh>
    <rPh sb="3" eb="5">
      <t>チョウセイ</t>
    </rPh>
    <phoneticPr fontId="2"/>
  </si>
  <si>
    <t>集計カテゴリ1</t>
    <rPh sb="0" eb="2">
      <t>シュウケイ</t>
    </rPh>
    <phoneticPr fontId="2"/>
  </si>
  <si>
    <t>集計カテゴリ2</t>
    <rPh sb="0" eb="2">
      <t>シュウケイ</t>
    </rPh>
    <phoneticPr fontId="2"/>
  </si>
  <si>
    <t>集計カテゴリ3</t>
    <rPh sb="0" eb="2">
      <t>シュウケイ</t>
    </rPh>
    <phoneticPr fontId="2"/>
  </si>
  <si>
    <t>Alert</t>
    <phoneticPr fontId="2"/>
  </si>
  <si>
    <r>
      <t xml:space="preserve">[必須] </t>
    </r>
    <r>
      <rPr>
        <sz val="11"/>
        <rFont val="游ゴシック"/>
        <family val="3"/>
        <charset val="128"/>
        <scheme val="minor"/>
      </rPr>
      <t>の項目を入力し、インボイスデータを追加して下さい。自動集計されます。</t>
    </r>
    <rPh sb="1" eb="3">
      <t>ヒッス</t>
    </rPh>
    <rPh sb="6" eb="8">
      <t>コウモク</t>
    </rPh>
    <rPh sb="9" eb="11">
      <t>ニュウリョク</t>
    </rPh>
    <rPh sb="22" eb="24">
      <t>ツイカ</t>
    </rPh>
    <rPh sb="26" eb="27">
      <t>クダ</t>
    </rPh>
    <rPh sb="30" eb="32">
      <t>ジドウ</t>
    </rPh>
    <rPh sb="32" eb="34">
      <t>シュウケイ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</si>
  <si>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</si>
  <si>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</si>
  <si>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B/L DateのTTS</t>
    <phoneticPr fontId="2"/>
  </si>
  <si>
    <t>B/L DateのTTB</t>
    <phoneticPr fontId="2"/>
  </si>
  <si>
    <t>集計カテゴリ</t>
    <rPh sb="0" eb="2">
      <t>シュウケイ</t>
    </rPh>
    <phoneticPr fontId="2"/>
  </si>
  <si>
    <t>INV番号</t>
    <rPh sb="3" eb="5">
      <t>バンゴウ</t>
    </rPh>
    <phoneticPr fontId="2"/>
  </si>
  <si>
    <t>仕入金額</t>
    <rPh sb="0" eb="2">
      <t>シイレ</t>
    </rPh>
    <rPh sb="2" eb="4">
      <t>キンガク</t>
    </rPh>
    <phoneticPr fontId="2"/>
  </si>
  <si>
    <t>諸経費</t>
    <rPh sb="0" eb="3">
      <t>ショケイヒ</t>
    </rPh>
    <phoneticPr fontId="2"/>
  </si>
  <si>
    <t>仕入通貨</t>
    <rPh sb="0" eb="2">
      <t>シイレ</t>
    </rPh>
    <rPh sb="2" eb="4">
      <t>ツウカ</t>
    </rPh>
    <phoneticPr fontId="2"/>
  </si>
  <si>
    <t>売上金額</t>
    <rPh sb="0" eb="2">
      <t>ウリアゲ</t>
    </rPh>
    <rPh sb="2" eb="4">
      <t>キンガク</t>
    </rPh>
    <phoneticPr fontId="2"/>
  </si>
  <si>
    <t>B/L Date</t>
    <phoneticPr fontId="2"/>
  </si>
  <si>
    <t>販売通貨</t>
    <rPh sb="0" eb="2">
      <t>ハンバイ</t>
    </rPh>
    <rPh sb="2" eb="4">
      <t>ツウカ</t>
    </rPh>
    <phoneticPr fontId="2"/>
  </si>
  <si>
    <t>参照</t>
    <rPh sb="0" eb="2">
      <t>サンショウ</t>
    </rPh>
    <phoneticPr fontId="2"/>
  </si>
  <si>
    <t>為替(売上)</t>
    <rPh sb="0" eb="2">
      <t>カワセ</t>
    </rPh>
    <rPh sb="3" eb="5">
      <t>ウリアゲ</t>
    </rPh>
    <phoneticPr fontId="2"/>
  </si>
  <si>
    <t>売上金額(JPY)</t>
    <rPh sb="0" eb="2">
      <t>ウリアゲ</t>
    </rPh>
    <rPh sb="2" eb="4">
      <t>キンガク</t>
    </rPh>
    <phoneticPr fontId="2"/>
  </si>
  <si>
    <t>為替(仕入)</t>
    <rPh sb="0" eb="2">
      <t>カワセ</t>
    </rPh>
    <rPh sb="3" eb="5">
      <t>シイレ</t>
    </rPh>
    <phoneticPr fontId="2"/>
  </si>
  <si>
    <t>仕入合計(JPY)</t>
    <rPh sb="0" eb="2">
      <t>シイレ</t>
    </rPh>
    <rPh sb="2" eb="4">
      <t>ゴウケイ</t>
    </rPh>
    <phoneticPr fontId="2"/>
  </si>
  <si>
    <t>粗利合計(JPY)</t>
    <rPh sb="0" eb="2">
      <t>アラリ</t>
    </rPh>
    <rPh sb="2" eb="4">
      <t>ゴウケイ</t>
    </rPh>
    <phoneticPr fontId="2"/>
  </si>
  <si>
    <t>粗利率</t>
    <rPh sb="0" eb="3">
      <t>アラリリツ</t>
    </rPh>
    <phoneticPr fontId="2"/>
  </si>
  <si>
    <t>USD</t>
  </si>
  <si>
    <t>JPY</t>
  </si>
  <si>
    <t>SF上海</t>
  </si>
  <si>
    <t>作業中ユーザー</t>
    <rPh sb="0" eb="3">
      <t>サギョウチュウ</t>
    </rPh>
    <phoneticPr fontId="2"/>
  </si>
  <si>
    <t>このブックの保存パス</t>
    <rPh sb="6" eb="8">
      <t>ホゾン</t>
    </rPh>
    <phoneticPr fontId="2"/>
  </si>
  <si>
    <t>このシート名</t>
    <rPh sb="5" eb="6">
      <t>メイ</t>
    </rPh>
    <phoneticPr fontId="2"/>
  </si>
  <si>
    <t>2024年</t>
  </si>
  <si>
    <t>米ドル（USD）</t>
  </si>
  <si>
    <t>ユーロ(EUR)</t>
  </si>
  <si>
    <t>カナダ・ドル（CAD）</t>
  </si>
  <si>
    <t>英ポンド（GBP）</t>
  </si>
  <si>
    <t>スイス･フラン（CHF）</t>
  </si>
  <si>
    <t>ﾃﾞﾝﾏｰｸ･ｸﾛｰﾈ（DKK）</t>
  </si>
  <si>
    <t>ﾉﾙｳｪｰ･ｸﾛｰﾈ（NOK）</t>
  </si>
  <si>
    <t>ｽｳｪｰﾃﾞﾝ･ｸﾛｰﾈ（SEK）</t>
  </si>
  <si>
    <t>ｵｰｽﾄﾗﾘｱ･ﾄﾞﾙ（AUD）</t>
  </si>
  <si>
    <t>ﾆｭｰｼﾞｰﾗﾝﾄﾞ･ﾄﾞﾙ（NZD）</t>
  </si>
  <si>
    <t>香港ドル（HKD）</t>
  </si>
  <si>
    <t>ﾏﾚｰｼｱ･ﾘﾝｷﾞｯﾄ
（MYR）</t>
  </si>
  <si>
    <t>ｼﾝｶﾞﾎﾟｰﾙ･ﾄﾞﾙ（SGD）</t>
  </si>
  <si>
    <t>サウジ・リヤル（SAR）</t>
  </si>
  <si>
    <t>UAEディルハム（AED）</t>
  </si>
  <si>
    <t>中国・人民元（CNY）</t>
  </si>
  <si>
    <t>タイ・バーツ（THB）</t>
  </si>
  <si>
    <t>インド・ルピー（INR）</t>
  </si>
  <si>
    <t>ﾊﾟｷｽﾀﾝ･ﾙﾋﾟｰ（PKR)</t>
  </si>
  <si>
    <t>ｸｳｪｰﾄ･ﾃﾞｨﾅｰﾙ（KWD）</t>
  </si>
  <si>
    <t>カタール・リヤル（QAR）</t>
  </si>
  <si>
    <t>ｲﾝﾄﾞﾈｼｱ･ﾙﾋﾟｱ（IDR）</t>
  </si>
  <si>
    <t>メキシコ・ペソ（MXN）</t>
  </si>
  <si>
    <t>韓国ウォン（KRW）</t>
  </si>
  <si>
    <t>ﾌｨﾘﾋﾟﾝ･ﾍﾟｿ（PHP）</t>
  </si>
  <si>
    <t>南アフリカ･ランド（ZAR）</t>
  </si>
  <si>
    <t>チェコ･コルナ（CZK）</t>
  </si>
  <si>
    <t>ロシア･ルーブル（RUB）</t>
  </si>
  <si>
    <t>ハンガリー･フォリント（HUF）</t>
  </si>
  <si>
    <t>ポーランド･ズロチ（PLN）</t>
  </si>
  <si>
    <t>トルコ・リラ（TRY）</t>
  </si>
  <si>
    <t>ｵﾌｼｮｱ人民元相場に基づく公表相場</t>
  </si>
  <si>
    <t>TTBは参考相場</t>
  </si>
  <si>
    <t>100通貨単位につき
TTS,TTB共に参考相場</t>
  </si>
  <si>
    <t>100通貨単位につき</t>
  </si>
  <si>
    <t>　2004.8.16　公表開始</t>
  </si>
  <si>
    <t>DATE</t>
  </si>
  <si>
    <t>曜</t>
  </si>
  <si>
    <t>TTS</t>
  </si>
  <si>
    <t>TTB</t>
  </si>
  <si>
    <t>TTM</t>
  </si>
  <si>
    <t>月</t>
  </si>
  <si>
    <t>火</t>
  </si>
  <si>
    <t>水</t>
  </si>
  <si>
    <t>木</t>
  </si>
  <si>
    <t>金</t>
  </si>
  <si>
    <t>土</t>
  </si>
  <si>
    <t>日</t>
  </si>
  <si>
    <t>98年9月2日から</t>
  </si>
  <si>
    <t>公表停止</t>
  </si>
  <si>
    <t>年間高値</t>
  </si>
  <si>
    <t>年間安値</t>
  </si>
  <si>
    <t>年間平均※</t>
  </si>
  <si>
    <t>※年間平均は、各通貨の全営業日相場の単純平均</t>
  </si>
  <si>
    <t>FRAMIS</t>
  </si>
  <si>
    <t>その他
SEI, MINYUEN等</t>
  </si>
  <si>
    <t>その他
SEI, MINYUEN等</t>
    <rPh sb="2" eb="3">
      <t>ホカ</t>
    </rPh>
    <rPh sb="16" eb="17">
      <t>ナド</t>
    </rPh>
    <phoneticPr fontId="2"/>
  </si>
  <si>
    <t>CNY</t>
  </si>
  <si>
    <t>EUR</t>
  </si>
  <si>
    <t>韓国
(DAEKYUNG)</t>
  </si>
  <si>
    <t>米国(LA)
アパレル</t>
  </si>
  <si>
    <t>米国(NY)
アパレル</t>
  </si>
  <si>
    <t>6179</t>
  </si>
  <si>
    <t>6178</t>
  </si>
  <si>
    <t>6194</t>
  </si>
  <si>
    <t>6202</t>
  </si>
  <si>
    <t>6201</t>
  </si>
  <si>
    <t>6207</t>
  </si>
  <si>
    <t>6199</t>
  </si>
  <si>
    <t>6195</t>
  </si>
  <si>
    <t>6084</t>
  </si>
  <si>
    <t>6210</t>
  </si>
  <si>
    <t>6162</t>
  </si>
  <si>
    <t>6242</t>
  </si>
  <si>
    <t>6238</t>
  </si>
  <si>
    <t>6232</t>
  </si>
  <si>
    <t>6246</t>
  </si>
  <si>
    <t>6250</t>
  </si>
  <si>
    <t>6259</t>
  </si>
  <si>
    <t>6257</t>
  </si>
  <si>
    <t>6258</t>
  </si>
  <si>
    <t>6245</t>
  </si>
  <si>
    <t>6263</t>
  </si>
  <si>
    <t>6265</t>
  </si>
  <si>
    <t>6266</t>
  </si>
  <si>
    <t>6264</t>
  </si>
  <si>
    <t>6274</t>
  </si>
  <si>
    <t>6273</t>
  </si>
  <si>
    <t>6280</t>
  </si>
  <si>
    <t>6226</t>
  </si>
  <si>
    <t>6282</t>
  </si>
  <si>
    <t>6287</t>
  </si>
  <si>
    <t>6281</t>
  </si>
  <si>
    <t>6288</t>
  </si>
  <si>
    <t>6298</t>
  </si>
  <si>
    <t>6276</t>
  </si>
  <si>
    <t>6254</t>
  </si>
  <si>
    <t>6309</t>
  </si>
  <si>
    <t>6307</t>
  </si>
  <si>
    <t>6177</t>
  </si>
  <si>
    <t>C/N 3793</t>
  </si>
  <si>
    <t>6323</t>
  </si>
  <si>
    <t>6324</t>
  </si>
  <si>
    <t>6318</t>
  </si>
  <si>
    <t>6322</t>
  </si>
  <si>
    <t>6342</t>
  </si>
  <si>
    <t>6343</t>
  </si>
  <si>
    <t>6348</t>
  </si>
  <si>
    <t>6346</t>
  </si>
  <si>
    <t>6347</t>
  </si>
  <si>
    <t>欧州
アパレル</t>
  </si>
  <si>
    <t>イギリス
VVR</t>
  </si>
  <si>
    <t>月次進捗</t>
    <rPh sb="0" eb="4">
      <t>ゲツジシンチョク</t>
    </rPh>
    <phoneticPr fontId="2"/>
  </si>
  <si>
    <t>計画</t>
  </si>
  <si>
    <t>計画</t>
    <rPh sb="0" eb="2">
      <t>ケイカク</t>
    </rPh>
    <phoneticPr fontId="2"/>
  </si>
  <si>
    <t>実績</t>
  </si>
  <si>
    <t>実績</t>
    <rPh sb="0" eb="2">
      <t>ジッセキ</t>
    </rPh>
    <phoneticPr fontId="2"/>
  </si>
  <si>
    <t>単月達成率</t>
  </si>
  <si>
    <t>累積進捗率</t>
  </si>
  <si>
    <t>累積進捗率</t>
    <rPh sb="0" eb="2">
      <t>ルイセキ</t>
    </rPh>
    <rPh sb="2" eb="5">
      <t>シンチョクリツ</t>
    </rPh>
    <phoneticPr fontId="2"/>
  </si>
  <si>
    <t>項目</t>
    <rPh sb="0" eb="2">
      <t>コウモク</t>
    </rPh>
    <phoneticPr fontId="2"/>
  </si>
  <si>
    <t>計画</t>
    <rPh sb="0" eb="2">
      <t>ケイカク</t>
    </rPh>
    <phoneticPr fontId="2"/>
  </si>
  <si>
    <t>全社合計</t>
    <rPh sb="0" eb="2">
      <t>ゼンシャ</t>
    </rPh>
    <rPh sb="2" eb="4">
      <t>ゴウケイ</t>
    </rPh>
    <phoneticPr fontId="2"/>
  </si>
  <si>
    <t>国内営業</t>
    <rPh sb="0" eb="4">
      <t>コクナイエイギョウ</t>
    </rPh>
    <phoneticPr fontId="2"/>
  </si>
  <si>
    <t>貿易</t>
    <rPh sb="0" eb="2">
      <t>ボウエキ</t>
    </rPh>
    <phoneticPr fontId="2"/>
  </si>
  <si>
    <t>進捗率</t>
    <rPh sb="0" eb="3">
      <t>シンチョクリツ</t>
    </rPh>
    <phoneticPr fontId="2"/>
  </si>
  <si>
    <t>売上</t>
    <rPh sb="0" eb="2">
      <t>ウリアゲ</t>
    </rPh>
    <phoneticPr fontId="2"/>
  </si>
  <si>
    <t>粗利</t>
    <rPh sb="0" eb="2">
      <t>アラリ</t>
    </rPh>
    <phoneticPr fontId="2"/>
  </si>
  <si>
    <t>実績(速報)</t>
    <rPh sb="0" eb="2">
      <t>ジッセキ</t>
    </rPh>
    <rPh sb="3" eb="5">
      <t>ソクホウ</t>
    </rPh>
    <phoneticPr fontId="2"/>
  </si>
  <si>
    <t>実績(財務)</t>
    <rPh sb="0" eb="2">
      <t>ジッセキ</t>
    </rPh>
    <rPh sb="3" eb="5">
      <t>ザイム</t>
    </rPh>
    <phoneticPr fontId="2"/>
  </si>
  <si>
    <t>国内営業</t>
    <rPh sb="0" eb="4">
      <t>コクナイエイギョウ</t>
    </rPh>
    <phoneticPr fontId="2"/>
  </si>
  <si>
    <t>貿易</t>
    <rPh sb="0" eb="2">
      <t>ボウエキ</t>
    </rPh>
    <phoneticPr fontId="2"/>
  </si>
  <si>
    <t>全社合計</t>
    <rPh sb="0" eb="2">
      <t>ゼンシャ</t>
    </rPh>
    <rPh sb="2" eb="4">
      <t>ゴウケイ</t>
    </rPh>
    <phoneticPr fontId="2"/>
  </si>
  <si>
    <t>計画</t>
    <rPh sb="0" eb="2">
      <t>ケイカク</t>
    </rPh>
    <phoneticPr fontId="2"/>
  </si>
  <si>
    <t>実績(財務)</t>
    <rPh sb="0" eb="2">
      <t>ジッセキ</t>
    </rPh>
    <rPh sb="3" eb="5">
      <t>ザイム</t>
    </rPh>
    <phoneticPr fontId="2"/>
  </si>
  <si>
    <t>実績(速報)</t>
    <rPh sb="0" eb="2">
      <t>ジッセキ</t>
    </rPh>
    <rPh sb="3" eb="5">
      <t>ソクホウ</t>
    </rPh>
    <phoneticPr fontId="2"/>
  </si>
  <si>
    <t>単月達成率</t>
    <rPh sb="0" eb="2">
      <t>タンゲツ</t>
    </rPh>
    <rPh sb="2" eb="5">
      <t>タッセイリツ</t>
    </rPh>
    <phoneticPr fontId="2"/>
  </si>
  <si>
    <t>累積進捗率</t>
    <rPh sb="0" eb="2">
      <t>ルイセキ</t>
    </rPh>
    <rPh sb="2" eb="5">
      <t>シンチョクリツ</t>
    </rPh>
    <phoneticPr fontId="2"/>
  </si>
  <si>
    <t>年間計画数字に対する現在進捗</t>
    <rPh sb="0" eb="2">
      <t>ネンカン</t>
    </rPh>
    <rPh sb="2" eb="4">
      <t>ケイカク</t>
    </rPh>
    <rPh sb="4" eb="6">
      <t>スウジ</t>
    </rPh>
    <rPh sb="7" eb="8">
      <t>タイ</t>
    </rPh>
    <rPh sb="10" eb="12">
      <t>ゲンザイ</t>
    </rPh>
    <rPh sb="12" eb="14">
      <t>シンチョク</t>
    </rPh>
    <phoneticPr fontId="2"/>
  </si>
  <si>
    <t>2026/5期(第51期)</t>
    <rPh sb="6" eb="7">
      <t>キ</t>
    </rPh>
    <rPh sb="8" eb="9">
      <t>ダイ</t>
    </rPh>
    <rPh sb="11" eb="12">
      <t>キ</t>
    </rPh>
    <phoneticPr fontId="2"/>
  </si>
  <si>
    <t>パフ
インテリア
葬儀関係
在庫処分
その他</t>
    <rPh sb="9" eb="13">
      <t>ソウギカンケイ</t>
    </rPh>
    <rPh sb="14" eb="16">
      <t>ザイコ</t>
    </rPh>
    <rPh sb="16" eb="18">
      <t>ショブン</t>
    </rPh>
    <rPh sb="21" eb="22">
      <t>ホカ</t>
    </rPh>
    <phoneticPr fontId="2"/>
  </si>
  <si>
    <t>前期(第50期)実績</t>
    <rPh sb="0" eb="2">
      <t>ゼンキ</t>
    </rPh>
    <rPh sb="3" eb="4">
      <t>ダイ</t>
    </rPh>
    <rPh sb="6" eb="7">
      <t>キ</t>
    </rPh>
    <rPh sb="8" eb="10">
      <t>ジッセキ</t>
    </rPh>
    <phoneticPr fontId="2"/>
  </si>
  <si>
    <t>オカダヤ・トマト
リバーレース提案</t>
    <rPh sb="15" eb="17">
      <t>テイアン</t>
    </rPh>
    <phoneticPr fontId="2"/>
  </si>
  <si>
    <t>#12730　新色提案</t>
    <rPh sb="7" eb="9">
      <t>シンショク</t>
    </rPh>
    <rPh sb="9" eb="11">
      <t>テイアン</t>
    </rPh>
    <phoneticPr fontId="2"/>
  </si>
  <si>
    <t>3件訪問</t>
    <rPh sb="1" eb="2">
      <t>ケン</t>
    </rPh>
    <rPh sb="2" eb="4">
      <t>ホウモン</t>
    </rPh>
    <phoneticPr fontId="2"/>
  </si>
  <si>
    <t>重点得意先を絞る</t>
    <rPh sb="0" eb="5">
      <t>ジュウテントクイサキ</t>
    </rPh>
    <rPh sb="6" eb="7">
      <t>シボ</t>
    </rPh>
    <phoneticPr fontId="2"/>
  </si>
  <si>
    <t>オーダーにに繋がれば
数量が見込める</t>
    <rPh sb="6" eb="7">
      <t>ツナ</t>
    </rPh>
    <rPh sb="11" eb="13">
      <t>スウリョウ</t>
    </rPh>
    <rPh sb="14" eb="16">
      <t>ミコ</t>
    </rPh>
    <phoneticPr fontId="2"/>
  </si>
  <si>
    <t>重点得意先を絞る</t>
    <rPh sb="0" eb="2">
      <t>ジュウテン</t>
    </rPh>
    <rPh sb="2" eb="5">
      <t>トクイサキ</t>
    </rPh>
    <rPh sb="6" eb="7">
      <t>シボ</t>
    </rPh>
    <phoneticPr fontId="2"/>
  </si>
  <si>
    <t>10社まで</t>
    <rPh sb="2" eb="3">
      <t>シャ</t>
    </rPh>
    <phoneticPr fontId="2"/>
  </si>
  <si>
    <t>イギン、黒河内D、SHARESPIRIT、CDG、クラウディア</t>
    <rPh sb="4" eb="7">
      <t>クロコウチ</t>
    </rPh>
    <phoneticPr fontId="2"/>
  </si>
  <si>
    <t>5社まで</t>
    <rPh sb="1" eb="2">
      <t>シャ</t>
    </rPh>
    <phoneticPr fontId="2"/>
  </si>
  <si>
    <t>FOXY</t>
    <phoneticPr fontId="2"/>
  </si>
  <si>
    <t>リボン・テープに於いてFOXYに次ぐ様な顧客は無いのか？</t>
    <rPh sb="8" eb="9">
      <t>オ</t>
    </rPh>
    <rPh sb="16" eb="17">
      <t>ツ</t>
    </rPh>
    <rPh sb="18" eb="19">
      <t>ヨウ</t>
    </rPh>
    <rPh sb="20" eb="22">
      <t>コキャク</t>
    </rPh>
    <rPh sb="23" eb="24">
      <t>ナ</t>
    </rPh>
    <phoneticPr fontId="2"/>
  </si>
  <si>
    <t>インテリア・葬儀関連の業界参入と二次加工</t>
    <rPh sb="6" eb="10">
      <t>ソウギカンレン</t>
    </rPh>
    <rPh sb="11" eb="15">
      <t>ギョウカイサンニュウ</t>
    </rPh>
    <rPh sb="16" eb="20">
      <t>ニジカコウ</t>
    </rPh>
    <phoneticPr fontId="2"/>
  </si>
  <si>
    <t>見極める</t>
    <rPh sb="0" eb="2">
      <t>ミキワ</t>
    </rPh>
    <phoneticPr fontId="2"/>
  </si>
  <si>
    <t>インテリアはかなり難しいガ葬儀関連は深堀する。</t>
    <rPh sb="9" eb="10">
      <t>ムズカ</t>
    </rPh>
    <rPh sb="13" eb="17">
      <t>ソウギカンレン</t>
    </rPh>
    <rPh sb="18" eb="20">
      <t>フカボリ</t>
    </rPh>
    <phoneticPr fontId="2"/>
  </si>
  <si>
    <t>インテリアデザイナー１名、葬儀関連１社</t>
    <rPh sb="11" eb="12">
      <t>メイ</t>
    </rPh>
    <rPh sb="13" eb="17">
      <t>ソウギカンレン</t>
    </rPh>
    <rPh sb="18" eb="19">
      <t>シャ</t>
    </rPh>
    <phoneticPr fontId="2"/>
  </si>
  <si>
    <t>CDGにプッシュ</t>
    <phoneticPr fontId="2"/>
  </si>
  <si>
    <t>川久保社長に加工品を見てもらう</t>
    <rPh sb="0" eb="5">
      <t>カワクボシャチョウ</t>
    </rPh>
    <rPh sb="6" eb="9">
      <t>カコウヒン</t>
    </rPh>
    <rPh sb="10" eb="11">
      <t>ミ</t>
    </rPh>
    <phoneticPr fontId="2"/>
  </si>
  <si>
    <t>何とか資料は届けた</t>
    <rPh sb="0" eb="1">
      <t>ナン</t>
    </rPh>
    <rPh sb="3" eb="5">
      <t>シリョウ</t>
    </rPh>
    <rPh sb="6" eb="7">
      <t>トド</t>
    </rPh>
    <phoneticPr fontId="2"/>
  </si>
  <si>
    <t>クリア</t>
    <phoneticPr fontId="2"/>
  </si>
  <si>
    <t>葬儀関連の顧客深堀</t>
    <rPh sb="0" eb="4">
      <t>ソウギカンレン</t>
    </rPh>
    <rPh sb="5" eb="7">
      <t>コキャク</t>
    </rPh>
    <rPh sb="7" eb="9">
      <t>フカボリ</t>
    </rPh>
    <phoneticPr fontId="2"/>
  </si>
  <si>
    <t>業界の事をもう少し知る必要がある</t>
    <rPh sb="0" eb="2">
      <t>ギョウカイ</t>
    </rPh>
    <rPh sb="3" eb="4">
      <t>コト</t>
    </rPh>
    <rPh sb="7" eb="8">
      <t>スコ</t>
    </rPh>
    <rPh sb="9" eb="10">
      <t>シ</t>
    </rPh>
    <rPh sb="11" eb="13">
      <t>ヒツヨウ</t>
    </rPh>
    <phoneticPr fontId="2"/>
  </si>
  <si>
    <t>コフィンと仏衣のメーカーに絞る</t>
    <rPh sb="5" eb="7">
      <t>ブツエ</t>
    </rPh>
    <rPh sb="13" eb="14">
      <t>シボ</t>
    </rPh>
    <phoneticPr fontId="2"/>
  </si>
  <si>
    <t>コフィンと仏衣のメーカーに絞る１社、仏衣２社に伺えた</t>
    <rPh sb="5" eb="7">
      <t>ブツエ</t>
    </rPh>
    <rPh sb="13" eb="14">
      <t>シボ</t>
    </rPh>
    <rPh sb="16" eb="17">
      <t>シャ</t>
    </rPh>
    <rPh sb="18" eb="20">
      <t>ブツエ</t>
    </rPh>
    <rPh sb="21" eb="22">
      <t>シャ</t>
    </rPh>
    <rPh sb="23" eb="24">
      <t>ウカガ</t>
    </rPh>
    <phoneticPr fontId="2"/>
  </si>
  <si>
    <t xml:space="preserve">リボン・テープ等
</t>
    <rPh sb="7" eb="8">
      <t>ナド</t>
    </rPh>
    <phoneticPr fontId="2"/>
  </si>
  <si>
    <t>ドリーム
E3703、3816提案
トマト訪問</t>
    <rPh sb="15" eb="17">
      <t>テイアン</t>
    </rPh>
    <rPh sb="21" eb="23">
      <t>ホウモン</t>
    </rPh>
    <phoneticPr fontId="2"/>
  </si>
  <si>
    <t>オカダヤへ提案するも
現段階での採用なし</t>
    <rPh sb="5" eb="7">
      <t>テイアン</t>
    </rPh>
    <rPh sb="11" eb="14">
      <t>ゲンダンカイ</t>
    </rPh>
    <rPh sb="16" eb="18">
      <t>サイヨウ</t>
    </rPh>
    <phoneticPr fontId="2"/>
  </si>
  <si>
    <t>イギンは次期の着分に漕ぎ着けた</t>
    <rPh sb="4" eb="5">
      <t>ツギ</t>
    </rPh>
    <rPh sb="5" eb="6">
      <t>キ</t>
    </rPh>
    <rPh sb="7" eb="9">
      <t>チャクブン</t>
    </rPh>
    <rPh sb="10" eb="11">
      <t>コ</t>
    </rPh>
    <rPh sb="12" eb="13">
      <t>ツ</t>
    </rPh>
    <phoneticPr fontId="2"/>
  </si>
  <si>
    <t>70点</t>
    <rPh sb="2" eb="3">
      <t>テン</t>
    </rPh>
    <phoneticPr fontId="2"/>
  </si>
  <si>
    <t>イギンにプッシュ</t>
    <phoneticPr fontId="2"/>
  </si>
  <si>
    <t>受注を取る</t>
    <rPh sb="0" eb="2">
      <t>ジュチュウ</t>
    </rPh>
    <rPh sb="3" eb="4">
      <t>ト</t>
    </rPh>
    <phoneticPr fontId="2"/>
  </si>
  <si>
    <t>フォクシーにプッシュ</t>
    <phoneticPr fontId="2"/>
  </si>
  <si>
    <t>来１，２月店頭入れ以降の案件を取る</t>
    <rPh sb="0" eb="1">
      <t>ライ</t>
    </rPh>
    <rPh sb="4" eb="8">
      <t>ガツテントウイ</t>
    </rPh>
    <rPh sb="9" eb="11">
      <t>イコウ</t>
    </rPh>
    <rPh sb="12" eb="14">
      <t>アンケン</t>
    </rPh>
    <rPh sb="15" eb="16">
      <t>ト</t>
    </rPh>
    <phoneticPr fontId="2"/>
  </si>
  <si>
    <t>提案は出来、評価は得られたが受注までには漕ぎ着けていない</t>
    <rPh sb="0" eb="2">
      <t>テイアン</t>
    </rPh>
    <rPh sb="3" eb="5">
      <t>デキ</t>
    </rPh>
    <rPh sb="6" eb="8">
      <t>ヒョウカ</t>
    </rPh>
    <rPh sb="9" eb="10">
      <t>エ</t>
    </rPh>
    <rPh sb="14" eb="16">
      <t>ジュチュウ</t>
    </rPh>
    <rPh sb="20" eb="21">
      <t>コ</t>
    </rPh>
    <rPh sb="22" eb="23">
      <t>ツ</t>
    </rPh>
    <phoneticPr fontId="2"/>
  </si>
  <si>
    <t>30点</t>
    <rPh sb="2" eb="3">
      <t>テン</t>
    </rPh>
    <phoneticPr fontId="2"/>
  </si>
  <si>
    <t>出来るだけ多くのアポを取る</t>
    <rPh sb="0" eb="2">
      <t>デキ</t>
    </rPh>
    <rPh sb="5" eb="6">
      <t>オオ</t>
    </rPh>
    <rPh sb="11" eb="12">
      <t>ト</t>
    </rPh>
    <phoneticPr fontId="2"/>
  </si>
  <si>
    <t>コフィンメーカー　1社
仏衣メーカー　２社　訪問</t>
    <rPh sb="10" eb="11">
      <t>シャ</t>
    </rPh>
    <rPh sb="12" eb="14">
      <t>ブツイ</t>
    </rPh>
    <rPh sb="20" eb="21">
      <t>シャ</t>
    </rPh>
    <rPh sb="22" eb="24">
      <t>ホウモン</t>
    </rPh>
    <phoneticPr fontId="2"/>
  </si>
  <si>
    <t>コフィンメーカーへの営業で受注を得られるのは難しい。今後は仏衣メーカーに絞る</t>
    <rPh sb="10" eb="12">
      <t>エイギョウ</t>
    </rPh>
    <rPh sb="13" eb="15">
      <t>ジュチュウ</t>
    </rPh>
    <rPh sb="16" eb="17">
      <t>エ</t>
    </rPh>
    <rPh sb="22" eb="23">
      <t>ムズカ</t>
    </rPh>
    <rPh sb="26" eb="28">
      <t>コンゴ</t>
    </rPh>
    <rPh sb="29" eb="31">
      <t>ブツイ</t>
    </rPh>
    <rPh sb="36" eb="37">
      <t>シボ</t>
    </rPh>
    <phoneticPr fontId="2"/>
  </si>
  <si>
    <t>出来るだけたくさんの顧客に聞く</t>
    <rPh sb="0" eb="2">
      <t>デキ</t>
    </rPh>
    <rPh sb="10" eb="12">
      <t>コキャク</t>
    </rPh>
    <rPh sb="13" eb="14">
      <t>キ</t>
    </rPh>
    <phoneticPr fontId="2"/>
  </si>
  <si>
    <t>昨年実績の90万円を必ず超えるラウンドを考える</t>
    <rPh sb="0" eb="2">
      <t>サクネン</t>
    </rPh>
    <rPh sb="2" eb="4">
      <t>ジッセキ</t>
    </rPh>
    <rPh sb="7" eb="8">
      <t>マン</t>
    </rPh>
    <rPh sb="8" eb="9">
      <t>エン</t>
    </rPh>
    <rPh sb="10" eb="11">
      <t>カナラ</t>
    </rPh>
    <rPh sb="12" eb="13">
      <t>コ</t>
    </rPh>
    <rPh sb="20" eb="21">
      <t>カンガ</t>
    </rPh>
    <phoneticPr fontId="2"/>
  </si>
  <si>
    <t>150万円</t>
    <rPh sb="3" eb="4">
      <t>マン</t>
    </rPh>
    <rPh sb="4" eb="5">
      <t>エン</t>
    </rPh>
    <phoneticPr fontId="2"/>
  </si>
  <si>
    <t>仏衣メーカーのアポを取る</t>
    <rPh sb="0" eb="2">
      <t>ブツイ</t>
    </rPh>
    <rPh sb="10" eb="11">
      <t>ト</t>
    </rPh>
    <phoneticPr fontId="2"/>
  </si>
  <si>
    <t>ドリームE3703採用
トマトリバー5品番採用
売上は９月へ</t>
    <rPh sb="9" eb="11">
      <t>サイヨウ</t>
    </rPh>
    <rPh sb="19" eb="21">
      <t>ヒンバン</t>
    </rPh>
    <rPh sb="21" eb="23">
      <t>サイヨウ</t>
    </rPh>
    <rPh sb="24" eb="26">
      <t>ウリアゲ</t>
    </rPh>
    <rPh sb="28" eb="29">
      <t>ガツ</t>
    </rPh>
    <phoneticPr fontId="2"/>
  </si>
  <si>
    <t>ダイソー380kg納入</t>
    <rPh sb="9" eb="11">
      <t>ノウニュウ</t>
    </rPh>
    <phoneticPr fontId="2"/>
  </si>
  <si>
    <t>106.万円</t>
    <rPh sb="4" eb="6">
      <t>マンエン</t>
    </rPh>
    <phoneticPr fontId="2"/>
  </si>
  <si>
    <t>ダイソー620kg納入</t>
    <rPh sb="9" eb="11">
      <t>ノウニュウ</t>
    </rPh>
    <phoneticPr fontId="2"/>
  </si>
  <si>
    <t>173万円</t>
    <rPh sb="3" eb="5">
      <t>マンエン</t>
    </rPh>
    <phoneticPr fontId="2"/>
  </si>
  <si>
    <t>ウェディング８月展後の状況を確認する</t>
    <rPh sb="7" eb="8">
      <t>ガツ</t>
    </rPh>
    <rPh sb="8" eb="9">
      <t>テン</t>
    </rPh>
    <rPh sb="9" eb="10">
      <t>ゴ</t>
    </rPh>
    <rPh sb="11" eb="13">
      <t>ジョウキョウ</t>
    </rPh>
    <rPh sb="14" eb="16">
      <t>カクニン</t>
    </rPh>
    <phoneticPr fontId="2"/>
  </si>
  <si>
    <t>ウェディング業界は変わらず良くない。だが、高い物を作る意欲があるメーカーあり。</t>
    <rPh sb="6" eb="8">
      <t>ギョウカイ</t>
    </rPh>
    <rPh sb="9" eb="10">
      <t>カ</t>
    </rPh>
    <rPh sb="13" eb="14">
      <t>ヨ</t>
    </rPh>
    <rPh sb="21" eb="22">
      <t>タカ</t>
    </rPh>
    <rPh sb="23" eb="24">
      <t>モノ</t>
    </rPh>
    <rPh sb="25" eb="26">
      <t>ツク</t>
    </rPh>
    <rPh sb="27" eb="29">
      <t>イヨク</t>
    </rPh>
    <phoneticPr fontId="2"/>
  </si>
  <si>
    <t>提案と情報収集は出来た</t>
    <rPh sb="0" eb="2">
      <t>テイアン</t>
    </rPh>
    <rPh sb="3" eb="7">
      <t>ジョウホウシュウシュウ</t>
    </rPh>
    <rPh sb="8" eb="10">
      <t>デキ</t>
    </rPh>
    <phoneticPr fontId="2"/>
  </si>
  <si>
    <t>㈱イガラシのアポが取れた。</t>
    <rPh sb="9" eb="10">
      <t>ト</t>
    </rPh>
    <phoneticPr fontId="2"/>
  </si>
  <si>
    <t>仏衣メーカーの営業に加え、ドレスメーカーとタイアップを考える</t>
    <rPh sb="0" eb="2">
      <t>ブツイ</t>
    </rPh>
    <rPh sb="7" eb="9">
      <t>エイギョウ</t>
    </rPh>
    <rPh sb="10" eb="11">
      <t>クワ</t>
    </rPh>
    <rPh sb="27" eb="28">
      <t>カンガ</t>
    </rPh>
    <phoneticPr fontId="2"/>
  </si>
  <si>
    <t>昨年実績はパフも含めて90万円。だが、予算も少し届いていない。</t>
    <rPh sb="0" eb="4">
      <t>サクネンジッセキ</t>
    </rPh>
    <rPh sb="8" eb="9">
      <t>フク</t>
    </rPh>
    <rPh sb="13" eb="15">
      <t>マンエン</t>
    </rPh>
    <rPh sb="19" eb="21">
      <t>ヨサン</t>
    </rPh>
    <rPh sb="22" eb="23">
      <t>スコ</t>
    </rPh>
    <rPh sb="24" eb="25">
      <t>トド</t>
    </rPh>
    <phoneticPr fontId="2"/>
  </si>
  <si>
    <t>60点</t>
    <rPh sb="2" eb="3">
      <t>テン</t>
    </rPh>
    <phoneticPr fontId="2"/>
  </si>
  <si>
    <t>昨年のベイクルーズの販売を今年も何とかしたい</t>
    <rPh sb="0" eb="2">
      <t>サクネン</t>
    </rPh>
    <rPh sb="10" eb="12">
      <t>ハンバイ</t>
    </rPh>
    <rPh sb="13" eb="15">
      <t>コトシ</t>
    </rPh>
    <rPh sb="16" eb="17">
      <t>ナン</t>
    </rPh>
    <phoneticPr fontId="2"/>
  </si>
  <si>
    <t>2万円以上</t>
    <rPh sb="1" eb="3">
      <t>マンエン</t>
    </rPh>
    <rPh sb="3" eb="5">
      <t>イジョウ</t>
    </rPh>
    <phoneticPr fontId="2"/>
  </si>
  <si>
    <t>シュアの顧客KMDがベイクルーズのOEMを請けており、リバーレースを購入中。</t>
    <rPh sb="4" eb="6">
      <t>コキャク</t>
    </rPh>
    <rPh sb="21" eb="22">
      <t>ウ</t>
    </rPh>
    <rPh sb="34" eb="36">
      <t>コウニュウ</t>
    </rPh>
    <rPh sb="36" eb="37">
      <t>チュウ</t>
    </rPh>
    <phoneticPr fontId="2"/>
  </si>
  <si>
    <t>OK</t>
    <phoneticPr fontId="2"/>
  </si>
  <si>
    <t>昨年実績の70万円を超える</t>
    <rPh sb="0" eb="4">
      <t>サクネンジッセキ</t>
    </rPh>
    <rPh sb="7" eb="9">
      <t>マンエン</t>
    </rPh>
    <rPh sb="10" eb="11">
      <t>コ</t>
    </rPh>
    <phoneticPr fontId="2"/>
  </si>
  <si>
    <t>80万円</t>
    <rPh sb="2" eb="4">
      <t>マンエン</t>
    </rPh>
    <phoneticPr fontId="2"/>
  </si>
  <si>
    <t>昨年同様、森田産商と井上のパフだけで300万を超える</t>
    <rPh sb="0" eb="4">
      <t>サクネンドウヨウ</t>
    </rPh>
    <rPh sb="5" eb="9">
      <t>モリタサンショウ</t>
    </rPh>
    <rPh sb="10" eb="12">
      <t>イノウエ</t>
    </rPh>
    <rPh sb="21" eb="22">
      <t>マン</t>
    </rPh>
    <rPh sb="23" eb="24">
      <t>コ</t>
    </rPh>
    <phoneticPr fontId="2"/>
  </si>
  <si>
    <t>350万円</t>
    <rPh sb="3" eb="5">
      <t>マンエン</t>
    </rPh>
    <phoneticPr fontId="2"/>
  </si>
  <si>
    <t>昨年同様、パフだけで230万を超える葬ぎ関連のECの準備を終える</t>
    <rPh sb="0" eb="4">
      <t>サクネンドウヨウ</t>
    </rPh>
    <rPh sb="13" eb="14">
      <t>マン</t>
    </rPh>
    <rPh sb="15" eb="16">
      <t>コ</t>
    </rPh>
    <rPh sb="18" eb="19">
      <t>ソウ</t>
    </rPh>
    <rPh sb="20" eb="22">
      <t>カンレン</t>
    </rPh>
    <rPh sb="26" eb="28">
      <t>ジュンビ</t>
    </rPh>
    <rPh sb="29" eb="30">
      <t>オ</t>
    </rPh>
    <phoneticPr fontId="2"/>
  </si>
  <si>
    <t>250万円</t>
    <rPh sb="3" eb="5">
      <t>マンエン</t>
    </rPh>
    <phoneticPr fontId="2"/>
  </si>
  <si>
    <t>昨年実績を下回った。目標値にも届かなかった。</t>
    <rPh sb="0" eb="4">
      <t>サクネンジッセキ</t>
    </rPh>
    <rPh sb="5" eb="7">
      <t>シタマワ</t>
    </rPh>
    <rPh sb="10" eb="13">
      <t>モクヒョウチ</t>
    </rPh>
    <rPh sb="15" eb="16">
      <t>トド</t>
    </rPh>
    <phoneticPr fontId="2"/>
  </si>
  <si>
    <t>森田産商の売上が出来なかった。インテリア・葬儀関係が計画通りに運んでいない。</t>
    <rPh sb="0" eb="4">
      <t>モリタサンショウ</t>
    </rPh>
    <rPh sb="5" eb="7">
      <t>ウリア</t>
    </rPh>
    <rPh sb="8" eb="10">
      <t>デキ</t>
    </rPh>
    <rPh sb="21" eb="25">
      <t>ソウギカンケイ</t>
    </rPh>
    <rPh sb="26" eb="29">
      <t>ケイカクドオ</t>
    </rPh>
    <rPh sb="31" eb="32">
      <t>ハコ</t>
    </rPh>
    <phoneticPr fontId="2"/>
  </si>
  <si>
    <t>仏衣ﾒｰｶｰやｱﾙﾌｧﾌﾞﾗﾝｶとのﾌﾟﾛｼﾞｪｸﾄには時間が掛かる。時間を掛けずに売上を伸ばす方法を考える。</t>
    <rPh sb="0" eb="2">
      <t>ブツイ</t>
    </rPh>
    <rPh sb="28" eb="30">
      <t>ジカン</t>
    </rPh>
    <rPh sb="31" eb="32">
      <t>カ</t>
    </rPh>
    <rPh sb="35" eb="37">
      <t>ジカン</t>
    </rPh>
    <rPh sb="38" eb="39">
      <t>カ</t>
    </rPh>
    <rPh sb="42" eb="43">
      <t>ウ</t>
    </rPh>
    <rPh sb="43" eb="44">
      <t>ア</t>
    </rPh>
    <rPh sb="45" eb="46">
      <t>ノ</t>
    </rPh>
    <rPh sb="48" eb="50">
      <t>ホウホウ</t>
    </rPh>
    <phoneticPr fontId="2"/>
  </si>
  <si>
    <t>トマト#12730新色
採用決定
発注は後日</t>
    <rPh sb="9" eb="11">
      <t>シンショク</t>
    </rPh>
    <rPh sb="12" eb="14">
      <t>サイヨウ</t>
    </rPh>
    <rPh sb="14" eb="16">
      <t>ケッテイ</t>
    </rPh>
    <rPh sb="17" eb="19">
      <t>ハッチュウ</t>
    </rPh>
    <rPh sb="20" eb="22">
      <t>ゴジツ</t>
    </rPh>
    <phoneticPr fontId="2"/>
  </si>
  <si>
    <t>オカダヤ
細巾リバープッシュ</t>
    <rPh sb="5" eb="6">
      <t>ホソ</t>
    </rPh>
    <rPh sb="6" eb="7">
      <t>ハバ</t>
    </rPh>
    <phoneticPr fontId="2"/>
  </si>
  <si>
    <t>150万円以上</t>
    <rPh sb="3" eb="5">
      <t>マンエン</t>
    </rPh>
    <rPh sb="5" eb="7">
      <t>イジョウ</t>
    </rPh>
    <phoneticPr fontId="2"/>
  </si>
  <si>
    <t>9,10月のマイナスを取り返す様にする。</t>
    <rPh sb="4" eb="5">
      <t>ガツ</t>
    </rPh>
    <rPh sb="11" eb="12">
      <t>ト</t>
    </rPh>
    <rPh sb="13" eb="14">
      <t>カエ</t>
    </rPh>
    <rPh sb="15" eb="16">
      <t>ヨウ</t>
    </rPh>
    <phoneticPr fontId="2"/>
  </si>
  <si>
    <t>530万円</t>
    <rPh sb="3" eb="5">
      <t>マンエン</t>
    </rPh>
    <phoneticPr fontId="2"/>
  </si>
  <si>
    <t>計画値を必ず超えるようにする</t>
    <rPh sb="0" eb="2">
      <t>ケイカク</t>
    </rPh>
    <rPh sb="2" eb="3">
      <t>チ</t>
    </rPh>
    <rPh sb="4" eb="5">
      <t>カナラ</t>
    </rPh>
    <rPh sb="6" eb="7">
      <t>コ</t>
    </rPh>
    <phoneticPr fontId="2"/>
  </si>
  <si>
    <t>計画値をかろうじて超えた。宮本さんのさえらの売上が大きい。</t>
    <rPh sb="0" eb="3">
      <t>ケイカクチ</t>
    </rPh>
    <rPh sb="9" eb="10">
      <t>コ</t>
    </rPh>
    <rPh sb="13" eb="15">
      <t>ミヤモト</t>
    </rPh>
    <rPh sb="22" eb="24">
      <t>ウリアゲ</t>
    </rPh>
    <rPh sb="25" eb="26">
      <t>オオ</t>
    </rPh>
    <phoneticPr fontId="2"/>
  </si>
  <si>
    <t>OK</t>
    <phoneticPr fontId="2"/>
  </si>
  <si>
    <t>全く、届かない。頼みフォクシーもなかなか難しい。</t>
    <rPh sb="0" eb="1">
      <t>マッタ</t>
    </rPh>
    <rPh sb="3" eb="4">
      <t>トド</t>
    </rPh>
    <rPh sb="8" eb="9">
      <t>タノ</t>
    </rPh>
    <rPh sb="20" eb="21">
      <t>ムズカ</t>
    </rPh>
    <phoneticPr fontId="2"/>
  </si>
  <si>
    <t>パフのみの売上げで終わった。。</t>
    <rPh sb="5" eb="7">
      <t>ウリア</t>
    </rPh>
    <rPh sb="9" eb="10">
      <t>オ</t>
    </rPh>
    <phoneticPr fontId="2"/>
  </si>
  <si>
    <t>パフの売上げも200万円どまりであった。来月出荷が多いので期待したい。</t>
    <phoneticPr fontId="2"/>
  </si>
  <si>
    <t>細巾リバー25品番
約60万</t>
    <rPh sb="0" eb="2">
      <t>ホソハバ</t>
    </rPh>
    <rPh sb="7" eb="9">
      <t>ヒンバン</t>
    </rPh>
    <rPh sb="10" eb="11">
      <t>ヤク</t>
    </rPh>
    <rPh sb="13" eb="14">
      <t>マン</t>
    </rPh>
    <phoneticPr fontId="2"/>
  </si>
  <si>
    <t>オカダヤ細巾リバー採用
ドリーム#3816採用
売上は12月へ</t>
    <rPh sb="4" eb="6">
      <t>ホソハバ</t>
    </rPh>
    <rPh sb="9" eb="11">
      <t>サイヨウ</t>
    </rPh>
    <rPh sb="21" eb="23">
      <t>サイヨウ</t>
    </rPh>
    <rPh sb="24" eb="26">
      <t>ウリアゲ</t>
    </rPh>
    <rPh sb="29" eb="30">
      <t>ガツ</t>
    </rPh>
    <phoneticPr fontId="2"/>
  </si>
  <si>
    <t>ドリーム
アミックメタル提案</t>
    <rPh sb="12" eb="14">
      <t>テイアン</t>
    </rPh>
    <phoneticPr fontId="2"/>
  </si>
  <si>
    <t>アミックメタル提案も
採用は無し</t>
    <rPh sb="7" eb="9">
      <t>テイアン</t>
    </rPh>
    <rPh sb="11" eb="13">
      <t>サイヨウ</t>
    </rPh>
    <rPh sb="14" eb="15">
      <t>ナ</t>
    </rPh>
    <phoneticPr fontId="2"/>
  </si>
  <si>
    <t>ユザワヤへの
提案アイテム準備</t>
    <rPh sb="7" eb="9">
      <t>テイアン</t>
    </rPh>
    <rPh sb="13" eb="15">
      <t>ジュンビ</t>
    </rPh>
    <phoneticPr fontId="2"/>
  </si>
  <si>
    <t>ハゴロモ防犯タグ納品＋在庫配備</t>
    <rPh sb="4" eb="6">
      <t>ボウハン</t>
    </rPh>
    <rPh sb="8" eb="10">
      <t>ノウヒン</t>
    </rPh>
    <rPh sb="11" eb="13">
      <t>ザイコ</t>
    </rPh>
    <rPh sb="13" eb="15">
      <t>ハイビ</t>
    </rPh>
    <phoneticPr fontId="2"/>
  </si>
  <si>
    <t>59万円</t>
    <rPh sb="2" eb="4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</si>
</sst>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¥&quot;#,##0;[Red]&quot;¥&quot;\-#,##0"/>
    <numFmt numFmtId="8" formatCode="&quot;¥&quot;#,##0.00;[Red]&quot;¥&quot;\-#,##0.00"/>
    <numFmt numFmtId="176" formatCode="0.0%"/>
    <numFmt numFmtId="177" formatCode="&quot;¥&quot;#,##0.00;[Red]&quot;¥&quot;\-#,##0.00\ &quot;/ドル&quot;"/>
    <numFmt numFmtId="178" formatCode="0.00_ ;[Red]\-0.00\ "/>
    <numFmt numFmtId="179" formatCode="0.00_);[Red]\(0.00\)"/>
    <numFmt numFmtId="180" formatCode="0.00;[Red]0.00"/>
    <numFmt numFmtId="181" formatCode="0.00_ "/>
    <numFmt numFmtId="182" formatCode="yyyy&quot;年&quot;m&quot;月&quot;;@"/>
  </numFmts>
  <fonts count="3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u/>
      <sz val="14"/>
      <color rgb="FFFF000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rgb="FFC00000"/>
      <name val="游ゴシック"/>
      <family val="2"/>
      <charset val="128"/>
      <scheme val="minor"/>
    </font>
    <font>
      <sz val="7"/>
      <color theme="1"/>
      <name val="游ゴシック"/>
      <family val="2"/>
      <charset val="128"/>
      <scheme val="minor"/>
    </font>
    <font>
      <b/>
      <sz val="1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1"/>
      <color indexed="9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0"/>
      <color indexed="8"/>
      <name val="游ゴシック"/>
      <family val="3"/>
      <charset val="128"/>
      <scheme val="minor"/>
    </font>
    <font>
      <b/>
      <sz val="20"/>
      <color indexed="8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9C000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20"/>
      <color theme="1"/>
      <name val="游ゴシック"/>
      <family val="3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6"/>
      <color theme="1"/>
      <name val="游ゴシック"/>
      <family val="2"/>
      <charset val="128"/>
      <scheme val="minor"/>
    </font>
    <font>
      <sz val="11"/>
      <color rgb="FF00B0F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7.5"/>
      <color theme="1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00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4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176" fontId="0" fillId="3" borderId="2" xfId="2" applyNumberFormat="1" applyFont="1" applyFill="1" applyBorder="1" applyAlignment="1">
      <alignment horizontal="center" vertical="center"/>
    </xf>
    <xf numFmtId="176" fontId="0" fillId="3" borderId="3" xfId="2" applyNumberFormat="1" applyFont="1" applyFill="1" applyBorder="1" applyAlignment="1">
      <alignment horizontal="center" vertical="center"/>
    </xf>
    <xf numFmtId="176" fontId="0" fillId="3" borderId="10" xfId="2" applyNumberFormat="1" applyFont="1" applyFill="1" applyBorder="1" applyAlignment="1">
      <alignment horizontal="center" vertical="center"/>
    </xf>
    <xf numFmtId="176" fontId="0" fillId="3" borderId="14" xfId="2" applyNumberFormat="1" applyFont="1" applyFill="1" applyBorder="1" applyAlignment="1">
      <alignment horizontal="center" vertical="center"/>
    </xf>
    <xf numFmtId="176" fontId="0" fillId="3" borderId="21" xfId="2" applyNumberFormat="1" applyFont="1" applyFill="1" applyBorder="1" applyAlignment="1">
      <alignment horizontal="center" vertical="center"/>
    </xf>
    <xf numFmtId="176" fontId="0" fillId="3" borderId="22" xfId="2" applyNumberFormat="1" applyFont="1" applyFill="1" applyBorder="1" applyAlignment="1">
      <alignment horizontal="center" vertical="center"/>
    </xf>
    <xf numFmtId="176" fontId="0" fillId="3" borderId="23" xfId="2" applyNumberFormat="1" applyFont="1" applyFill="1" applyBorder="1" applyAlignment="1">
      <alignment horizontal="center" vertical="center"/>
    </xf>
    <xf numFmtId="176" fontId="0" fillId="3" borderId="28" xfId="2" applyNumberFormat="1" applyFont="1" applyFill="1" applyBorder="1" applyAlignment="1">
      <alignment horizontal="center" vertical="center"/>
    </xf>
    <xf numFmtId="176" fontId="0" fillId="3" borderId="29" xfId="2" applyNumberFormat="1" applyFont="1" applyFill="1" applyBorder="1" applyAlignment="1">
      <alignment horizontal="center" vertical="center"/>
    </xf>
    <xf numFmtId="176" fontId="0" fillId="3" borderId="12" xfId="2" applyNumberFormat="1" applyFont="1" applyFill="1" applyBorder="1" applyAlignment="1">
      <alignment horizontal="center" vertical="center"/>
    </xf>
    <xf numFmtId="176" fontId="0" fillId="3" borderId="30" xfId="2" applyNumberFormat="1" applyFont="1" applyFill="1" applyBorder="1" applyAlignment="1">
      <alignment horizontal="center" vertical="center"/>
    </xf>
    <xf numFmtId="176" fontId="0" fillId="3" borderId="15" xfId="2" applyNumberFormat="1" applyFont="1" applyFill="1" applyBorder="1" applyAlignment="1">
      <alignment horizontal="center" vertical="center"/>
    </xf>
    <xf numFmtId="176" fontId="0" fillId="3" borderId="17" xfId="2" applyNumberFormat="1" applyFont="1" applyFill="1" applyBorder="1" applyAlignment="1">
      <alignment horizontal="center" vertical="center"/>
    </xf>
    <xf numFmtId="176" fontId="0" fillId="3" borderId="18" xfId="2" applyNumberFormat="1" applyFont="1" applyFill="1" applyBorder="1" applyAlignment="1">
      <alignment horizontal="center" vertical="center"/>
    </xf>
    <xf numFmtId="176" fontId="0" fillId="3" borderId="19" xfId="2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0" xfId="0" applyAlignment="1">
      <alignment horizontal="distributed" vertical="center"/>
    </xf>
    <xf numFmtId="0" fontId="0" fillId="3" borderId="10" xfId="0" applyFill="1" applyBorder="1" applyAlignment="1">
      <alignment horizontal="distributed" vertical="center"/>
    </xf>
    <xf numFmtId="0" fontId="0" fillId="3" borderId="12" xfId="0" applyFill="1" applyBorder="1" applyAlignment="1">
      <alignment horizontal="distributed" vertical="center"/>
    </xf>
    <xf numFmtId="0" fontId="0" fillId="3" borderId="15" xfId="0" applyFill="1" applyBorder="1" applyAlignment="1">
      <alignment horizontal="distributed" vertical="center"/>
    </xf>
    <xf numFmtId="0" fontId="0" fillId="3" borderId="17" xfId="0" applyFill="1" applyBorder="1" applyAlignment="1">
      <alignment horizontal="distributed" vertical="center"/>
    </xf>
    <xf numFmtId="0" fontId="0" fillId="3" borderId="18" xfId="0" applyFill="1" applyBorder="1" applyAlignment="1">
      <alignment horizontal="distributed" vertical="center"/>
    </xf>
    <xf numFmtId="176" fontId="3" fillId="3" borderId="32" xfId="2" applyNumberFormat="1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19" xfId="0" applyFill="1" applyBorder="1" applyAlignment="1">
      <alignment horizontal="distributed" vertical="center"/>
    </xf>
    <xf numFmtId="0" fontId="6" fillId="0" borderId="0" xfId="0" applyFont="1" applyAlignment="1">
      <alignment horizontal="center" vertical="center"/>
    </xf>
    <xf numFmtId="176" fontId="0" fillId="0" borderId="61" xfId="2" applyNumberFormat="1" applyFont="1" applyFill="1" applyBorder="1" applyAlignment="1">
      <alignment horizontal="center" vertical="center"/>
    </xf>
    <xf numFmtId="38" fontId="9" fillId="4" borderId="5" xfId="1" applyFont="1" applyFill="1" applyBorder="1" applyAlignment="1">
      <alignment horizontal="center" vertical="center"/>
    </xf>
    <xf numFmtId="38" fontId="9" fillId="4" borderId="56" xfId="1" applyFont="1" applyFill="1" applyBorder="1" applyAlignment="1">
      <alignment horizontal="center" vertical="center"/>
    </xf>
    <xf numFmtId="38" fontId="9" fillId="4" borderId="6" xfId="1" applyFont="1" applyFill="1" applyBorder="1" applyAlignment="1">
      <alignment horizontal="center" vertical="center"/>
    </xf>
    <xf numFmtId="38" fontId="9" fillId="4" borderId="57" xfId="1" applyFont="1" applyFill="1" applyBorder="1" applyAlignment="1">
      <alignment horizontal="center" vertical="center"/>
    </xf>
    <xf numFmtId="0" fontId="0" fillId="0" borderId="68" xfId="0" applyBorder="1" applyAlignment="1">
      <alignment horizontal="right" vertical="center"/>
    </xf>
    <xf numFmtId="6" fontId="0" fillId="0" borderId="70" xfId="3" applyFont="1" applyBorder="1" applyAlignment="1">
      <alignment horizontal="center" vertical="center"/>
    </xf>
    <xf numFmtId="38" fontId="0" fillId="0" borderId="69" xfId="1" applyFont="1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6" fontId="0" fillId="0" borderId="71" xfId="3" applyFont="1" applyBorder="1" applyAlignment="1">
      <alignment horizontal="center" vertical="center"/>
    </xf>
    <xf numFmtId="38" fontId="0" fillId="0" borderId="43" xfId="1" applyFont="1" applyBorder="1" applyAlignment="1">
      <alignment horizontal="left" vertical="center"/>
    </xf>
    <xf numFmtId="176" fontId="0" fillId="3" borderId="36" xfId="2" applyNumberFormat="1" applyFont="1" applyFill="1" applyBorder="1" applyAlignment="1">
      <alignment horizontal="center" vertical="center"/>
    </xf>
    <xf numFmtId="38" fontId="14" fillId="0" borderId="0" xfId="1" applyFont="1" applyAlignment="1">
      <alignment horizontal="left" vertical="center"/>
    </xf>
    <xf numFmtId="0" fontId="3" fillId="0" borderId="0" xfId="0" applyFont="1">
      <alignment vertical="center"/>
    </xf>
    <xf numFmtId="0" fontId="3" fillId="0" borderId="73" xfId="0" applyFon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3" fillId="0" borderId="78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/>
    </xf>
    <xf numFmtId="38" fontId="3" fillId="0" borderId="80" xfId="0" applyNumberFormat="1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2" borderId="81" xfId="0" applyFont="1" applyFill="1" applyBorder="1" applyAlignment="1">
      <alignment horizontal="center" vertical="center"/>
    </xf>
    <xf numFmtId="0" fontId="3" fillId="2" borderId="80" xfId="0" applyFont="1" applyFill="1" applyBorder="1" applyAlignment="1">
      <alignment horizontal="center" vertical="center"/>
    </xf>
    <xf numFmtId="0" fontId="8" fillId="4" borderId="41" xfId="0" applyFont="1" applyFill="1" applyBorder="1" applyAlignment="1">
      <alignment horizontal="center" vertical="center"/>
    </xf>
    <xf numFmtId="38" fontId="0" fillId="0" borderId="0" xfId="1" applyFont="1">
      <alignment vertical="center"/>
    </xf>
    <xf numFmtId="0" fontId="16" fillId="3" borderId="85" xfId="0" applyFont="1" applyFill="1" applyBorder="1" applyAlignment="1">
      <alignment horizontal="center" vertical="center"/>
    </xf>
    <xf numFmtId="0" fontId="16" fillId="3" borderId="73" xfId="0" applyFont="1" applyFill="1" applyBorder="1" applyAlignment="1">
      <alignment horizontal="center" vertical="center"/>
    </xf>
    <xf numFmtId="0" fontId="3" fillId="3" borderId="85" xfId="0" applyFont="1" applyFill="1" applyBorder="1" applyAlignment="1">
      <alignment horizontal="center" vertical="center"/>
    </xf>
    <xf numFmtId="0" fontId="3" fillId="3" borderId="73" xfId="0" applyFont="1" applyFill="1" applyBorder="1" applyAlignment="1">
      <alignment horizontal="center" vertical="center"/>
    </xf>
    <xf numFmtId="0" fontId="17" fillId="0" borderId="73" xfId="0" applyFont="1" applyBorder="1">
      <alignment vertical="center"/>
    </xf>
    <xf numFmtId="9" fontId="0" fillId="0" borderId="0" xfId="2" applyFont="1" applyAlignment="1">
      <alignment horizontal="center" vertical="center"/>
    </xf>
    <xf numFmtId="9" fontId="10" fillId="4" borderId="66" xfId="2" applyFont="1" applyFill="1" applyBorder="1" applyAlignment="1">
      <alignment horizontal="center" vertical="center"/>
    </xf>
    <xf numFmtId="9" fontId="18" fillId="4" borderId="66" xfId="2" applyFont="1" applyFill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15" xfId="2" applyFont="1" applyBorder="1" applyAlignment="1">
      <alignment horizontal="center" vertical="center"/>
    </xf>
    <xf numFmtId="9" fontId="0" fillId="0" borderId="12" xfId="2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0" fillId="0" borderId="35" xfId="0" applyBorder="1" applyAlignment="1">
      <alignment horizontal="distributed" vertical="center"/>
    </xf>
    <xf numFmtId="38" fontId="11" fillId="0" borderId="36" xfId="1" applyFont="1" applyFill="1" applyBorder="1" applyAlignment="1">
      <alignment horizontal="center" vertical="center" wrapText="1"/>
    </xf>
    <xf numFmtId="38" fontId="0" fillId="0" borderId="4" xfId="1" applyFont="1" applyFill="1" applyBorder="1" applyAlignment="1">
      <alignment horizontal="center" vertical="center" wrapText="1"/>
    </xf>
    <xf numFmtId="38" fontId="11" fillId="0" borderId="4" xfId="1" applyFont="1" applyFill="1" applyBorder="1" applyAlignment="1">
      <alignment horizontal="center" vertical="center" wrapText="1"/>
    </xf>
    <xf numFmtId="38" fontId="11" fillId="0" borderId="35" xfId="1" applyFont="1" applyFill="1" applyBorder="1" applyAlignment="1">
      <alignment horizontal="center" vertical="center" wrapText="1"/>
    </xf>
    <xf numFmtId="38" fontId="12" fillId="0" borderId="36" xfId="1" applyFont="1" applyFill="1" applyBorder="1" applyAlignment="1">
      <alignment horizontal="center" vertical="center" wrapText="1"/>
    </xf>
    <xf numFmtId="38" fontId="13" fillId="0" borderId="4" xfId="1" applyFont="1" applyFill="1" applyBorder="1" applyAlignment="1">
      <alignment horizontal="center" vertical="center" wrapText="1"/>
    </xf>
    <xf numFmtId="38" fontId="12" fillId="0" borderId="38" xfId="1" applyFont="1" applyFill="1" applyBorder="1" applyAlignment="1">
      <alignment horizontal="center" vertical="center" wrapText="1"/>
    </xf>
    <xf numFmtId="38" fontId="0" fillId="0" borderId="35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distributed" vertical="center"/>
    </xf>
    <xf numFmtId="38" fontId="0" fillId="0" borderId="29" xfId="1" applyFont="1" applyFill="1" applyBorder="1" applyAlignment="1">
      <alignment horizontal="center" vertical="center" wrapText="1"/>
    </xf>
    <xf numFmtId="38" fontId="0" fillId="0" borderId="3" xfId="1" applyFont="1" applyFill="1" applyBorder="1" applyAlignment="1">
      <alignment horizontal="center" vertical="center" wrapText="1"/>
    </xf>
    <xf numFmtId="38" fontId="0" fillId="0" borderId="12" xfId="1" applyFont="1" applyFill="1" applyBorder="1" applyAlignment="1">
      <alignment horizontal="center" vertical="center" wrapText="1"/>
    </xf>
    <xf numFmtId="0" fontId="0" fillId="0" borderId="42" xfId="0" applyBorder="1" applyAlignment="1">
      <alignment horizontal="distributed" vertical="center"/>
    </xf>
    <xf numFmtId="38" fontId="0" fillId="0" borderId="9" xfId="1" applyFont="1" applyFill="1" applyBorder="1" applyAlignment="1">
      <alignment horizontal="center" vertical="center" wrapText="1"/>
    </xf>
    <xf numFmtId="38" fontId="0" fillId="0" borderId="60" xfId="1" applyFont="1" applyFill="1" applyBorder="1" applyAlignment="1">
      <alignment horizontal="center" vertical="center" wrapText="1"/>
    </xf>
    <xf numFmtId="38" fontId="0" fillId="0" borderId="42" xfId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distributed" vertical="center"/>
    </xf>
    <xf numFmtId="38" fontId="0" fillId="0" borderId="30" xfId="1" applyFont="1" applyFill="1" applyBorder="1" applyAlignment="1">
      <alignment horizontal="center" vertical="center" wrapText="1"/>
    </xf>
    <xf numFmtId="38" fontId="0" fillId="0" borderId="14" xfId="1" applyFont="1" applyFill="1" applyBorder="1" applyAlignment="1">
      <alignment horizontal="center" vertical="center" wrapText="1"/>
    </xf>
    <xf numFmtId="38" fontId="0" fillId="0" borderId="15" xfId="1" applyFont="1" applyFill="1" applyBorder="1" applyAlignment="1">
      <alignment horizontal="center" vertical="center" wrapText="1"/>
    </xf>
    <xf numFmtId="38" fontId="0" fillId="0" borderId="36" xfId="1" applyFont="1" applyFill="1" applyBorder="1" applyAlignment="1">
      <alignment horizontal="center" vertical="center" wrapText="1"/>
    </xf>
    <xf numFmtId="38" fontId="15" fillId="0" borderId="4" xfId="1" applyFont="1" applyFill="1" applyBorder="1" applyAlignment="1">
      <alignment horizontal="center" vertical="center" wrapText="1"/>
    </xf>
    <xf numFmtId="38" fontId="0" fillId="0" borderId="38" xfId="1" applyFont="1" applyFill="1" applyBorder="1" applyAlignment="1">
      <alignment horizontal="center" vertical="center" wrapText="1"/>
    </xf>
    <xf numFmtId="38" fontId="0" fillId="0" borderId="4" xfId="1" applyFont="1" applyFill="1" applyBorder="1" applyAlignment="1">
      <alignment horizontal="left" vertical="center" wrapText="1"/>
    </xf>
    <xf numFmtId="38" fontId="0" fillId="0" borderId="49" xfId="1" applyFont="1" applyFill="1" applyBorder="1" applyAlignment="1">
      <alignment horizontal="center" vertical="center" wrapText="1"/>
    </xf>
    <xf numFmtId="38" fontId="0" fillId="0" borderId="50" xfId="1" applyFont="1" applyFill="1" applyBorder="1" applyAlignment="1">
      <alignment horizontal="center" vertical="center" wrapText="1"/>
    </xf>
    <xf numFmtId="38" fontId="0" fillId="0" borderId="51" xfId="1" applyFont="1" applyFill="1" applyBorder="1" applyAlignment="1">
      <alignment horizontal="center" vertical="center" wrapText="1"/>
    </xf>
    <xf numFmtId="38" fontId="12" fillId="0" borderId="29" xfId="1" applyFont="1" applyFill="1" applyBorder="1" applyAlignment="1">
      <alignment horizontal="center" vertical="center" wrapText="1"/>
    </xf>
    <xf numFmtId="38" fontId="12" fillId="0" borderId="3" xfId="1" applyFont="1" applyFill="1" applyBorder="1" applyAlignment="1">
      <alignment horizontal="center" vertical="center" wrapText="1"/>
    </xf>
    <xf numFmtId="38" fontId="0" fillId="0" borderId="78" xfId="1" applyFont="1" applyFill="1" applyBorder="1" applyAlignment="1">
      <alignment horizontal="center" vertical="center" wrapText="1"/>
    </xf>
    <xf numFmtId="38" fontId="0" fillId="0" borderId="19" xfId="1" applyFont="1" applyFill="1" applyBorder="1" applyAlignment="1">
      <alignment horizontal="center" vertical="center" wrapText="1"/>
    </xf>
    <xf numFmtId="38" fontId="0" fillId="0" borderId="37" xfId="1" applyFont="1" applyFill="1" applyBorder="1" applyAlignment="1">
      <alignment horizontal="center" vertical="center" wrapText="1"/>
    </xf>
    <xf numFmtId="38" fontId="0" fillId="0" borderId="18" xfId="1" applyFont="1" applyFill="1" applyBorder="1" applyAlignment="1">
      <alignment horizontal="center" vertical="center" wrapText="1"/>
    </xf>
    <xf numFmtId="38" fontId="13" fillId="0" borderId="36" xfId="1" applyFont="1" applyFill="1" applyBorder="1" applyAlignment="1">
      <alignment horizontal="center" vertical="center" wrapText="1"/>
    </xf>
    <xf numFmtId="38" fontId="12" fillId="0" borderId="4" xfId="1" applyFont="1" applyFill="1" applyBorder="1" applyAlignment="1">
      <alignment horizontal="center" vertical="center" wrapText="1"/>
    </xf>
    <xf numFmtId="38" fontId="13" fillId="0" borderId="9" xfId="1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/>
    </xf>
    <xf numFmtId="0" fontId="3" fillId="5" borderId="80" xfId="0" applyFont="1" applyFill="1" applyBorder="1" applyAlignment="1">
      <alignment horizontal="center" vertical="center"/>
    </xf>
    <xf numFmtId="0" fontId="0" fillId="6" borderId="35" xfId="0" applyFill="1" applyBorder="1" applyAlignment="1">
      <alignment horizontal="distributed" vertical="center"/>
    </xf>
    <xf numFmtId="38" fontId="0" fillId="6" borderId="36" xfId="1" applyFont="1" applyFill="1" applyBorder="1" applyAlignment="1">
      <alignment horizontal="center" vertical="center"/>
    </xf>
    <xf numFmtId="38" fontId="0" fillId="6" borderId="4" xfId="1" applyFont="1" applyFill="1" applyBorder="1" applyAlignment="1">
      <alignment horizontal="center" vertical="center"/>
    </xf>
    <xf numFmtId="38" fontId="0" fillId="6" borderId="35" xfId="1" applyFont="1" applyFill="1" applyBorder="1" applyAlignment="1">
      <alignment horizontal="center" vertical="center"/>
    </xf>
    <xf numFmtId="38" fontId="0" fillId="6" borderId="37" xfId="1" applyFont="1" applyFill="1" applyBorder="1" applyAlignment="1">
      <alignment horizontal="center" vertical="center"/>
    </xf>
    <xf numFmtId="38" fontId="0" fillId="6" borderId="38" xfId="1" applyFont="1" applyFill="1" applyBorder="1" applyAlignment="1">
      <alignment horizontal="center" vertical="center"/>
    </xf>
    <xf numFmtId="38" fontId="3" fillId="6" borderId="39" xfId="0" applyNumberFormat="1" applyFont="1" applyFill="1" applyBorder="1" applyAlignment="1">
      <alignment horizontal="center" vertical="center"/>
    </xf>
    <xf numFmtId="0" fontId="0" fillId="6" borderId="8" xfId="0" applyFill="1" applyBorder="1" applyAlignment="1">
      <alignment horizontal="distributed" vertical="center"/>
    </xf>
    <xf numFmtId="38" fontId="0" fillId="6" borderId="27" xfId="1" applyFont="1" applyFill="1" applyBorder="1" applyAlignment="1">
      <alignment horizontal="center" vertical="center"/>
    </xf>
    <xf numFmtId="38" fontId="0" fillId="6" borderId="1" xfId="1" applyFont="1" applyFill="1" applyBorder="1" applyAlignment="1">
      <alignment horizontal="center" vertical="center"/>
    </xf>
    <xf numFmtId="38" fontId="0" fillId="6" borderId="8" xfId="1" applyFont="1" applyFill="1" applyBorder="1" applyAlignment="1">
      <alignment horizontal="center" vertical="center"/>
    </xf>
    <xf numFmtId="38" fontId="0" fillId="6" borderId="20" xfId="1" applyFont="1" applyFill="1" applyBorder="1" applyAlignment="1">
      <alignment horizontal="center" vertical="center"/>
    </xf>
    <xf numFmtId="38" fontId="0" fillId="6" borderId="16" xfId="1" applyFont="1" applyFill="1" applyBorder="1" applyAlignment="1">
      <alignment horizontal="center" vertical="center"/>
    </xf>
    <xf numFmtId="38" fontId="3" fillId="6" borderId="31" xfId="0" applyNumberFormat="1" applyFont="1" applyFill="1" applyBorder="1" applyAlignment="1">
      <alignment horizontal="center" vertical="center"/>
    </xf>
    <xf numFmtId="0" fontId="0" fillId="6" borderId="52" xfId="0" applyFill="1" applyBorder="1" applyAlignment="1">
      <alignment horizontal="distributed" vertical="center"/>
    </xf>
    <xf numFmtId="38" fontId="0" fillId="6" borderId="49" xfId="1" applyFont="1" applyFill="1" applyBorder="1" applyAlignment="1">
      <alignment horizontal="center" vertical="center"/>
    </xf>
    <xf numFmtId="38" fontId="0" fillId="6" borderId="50" xfId="1" applyFont="1" applyFill="1" applyBorder="1" applyAlignment="1">
      <alignment horizontal="center" vertical="center"/>
    </xf>
    <xf numFmtId="38" fontId="0" fillId="6" borderId="52" xfId="1" applyFont="1" applyFill="1" applyBorder="1" applyAlignment="1">
      <alignment horizontal="center" vertical="center"/>
    </xf>
    <xf numFmtId="38" fontId="0" fillId="6" borderId="51" xfId="1" applyFont="1" applyFill="1" applyBorder="1" applyAlignment="1">
      <alignment horizontal="center" vertical="center"/>
    </xf>
    <xf numFmtId="38" fontId="3" fillId="6" borderId="55" xfId="1" applyFont="1" applyFill="1" applyBorder="1" applyAlignment="1">
      <alignment horizontal="center" vertical="center"/>
    </xf>
    <xf numFmtId="0" fontId="0" fillId="6" borderId="38" xfId="0" applyFill="1" applyBorder="1" applyAlignment="1">
      <alignment horizontal="distributed" vertical="center"/>
    </xf>
    <xf numFmtId="38" fontId="3" fillId="6" borderId="39" xfId="1" applyFont="1" applyFill="1" applyBorder="1" applyAlignment="1">
      <alignment horizontal="center" vertical="center"/>
    </xf>
    <xf numFmtId="0" fontId="0" fillId="7" borderId="10" xfId="0" applyFill="1" applyBorder="1" applyAlignment="1">
      <alignment horizontal="distributed" vertical="center"/>
    </xf>
    <xf numFmtId="38" fontId="0" fillId="7" borderId="28" xfId="1" applyFont="1" applyFill="1" applyBorder="1" applyAlignment="1">
      <alignment horizontal="center" vertical="center"/>
    </xf>
    <xf numFmtId="38" fontId="0" fillId="7" borderId="2" xfId="1" applyFont="1" applyFill="1" applyBorder="1" applyAlignment="1">
      <alignment horizontal="center" vertical="center"/>
    </xf>
    <xf numFmtId="38" fontId="0" fillId="7" borderId="10" xfId="1" applyFont="1" applyFill="1" applyBorder="1" applyAlignment="1">
      <alignment horizontal="center" vertical="center"/>
    </xf>
    <xf numFmtId="38" fontId="0" fillId="7" borderId="21" xfId="1" applyFont="1" applyFill="1" applyBorder="1" applyAlignment="1">
      <alignment horizontal="center" vertical="center"/>
    </xf>
    <xf numFmtId="38" fontId="0" fillId="7" borderId="17" xfId="1" applyFont="1" applyFill="1" applyBorder="1" applyAlignment="1">
      <alignment horizontal="center" vertical="center"/>
    </xf>
    <xf numFmtId="38" fontId="3" fillId="7" borderId="32" xfId="0" applyNumberFormat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distributed" vertical="center"/>
    </xf>
    <xf numFmtId="38" fontId="0" fillId="7" borderId="3" xfId="1" applyFont="1" applyFill="1" applyBorder="1" applyAlignment="1">
      <alignment horizontal="center" vertical="center"/>
    </xf>
    <xf numFmtId="38" fontId="0" fillId="7" borderId="12" xfId="1" applyFont="1" applyFill="1" applyBorder="1" applyAlignment="1">
      <alignment horizontal="center" vertical="center"/>
    </xf>
    <xf numFmtId="38" fontId="0" fillId="7" borderId="22" xfId="1" applyFont="1" applyFill="1" applyBorder="1" applyAlignment="1">
      <alignment horizontal="center" vertical="center"/>
    </xf>
    <xf numFmtId="38" fontId="0" fillId="7" borderId="18" xfId="1" applyFont="1" applyFill="1" applyBorder="1" applyAlignment="1">
      <alignment horizontal="center" vertical="center"/>
    </xf>
    <xf numFmtId="38" fontId="3" fillId="7" borderId="33" xfId="0" applyNumberFormat="1" applyFont="1" applyFill="1" applyBorder="1" applyAlignment="1">
      <alignment horizontal="center" vertical="center"/>
    </xf>
    <xf numFmtId="38" fontId="0" fillId="7" borderId="29" xfId="1" applyFont="1" applyFill="1" applyBorder="1" applyAlignment="1">
      <alignment horizontal="center" vertical="center"/>
    </xf>
    <xf numFmtId="0" fontId="0" fillId="7" borderId="17" xfId="0" applyFill="1" applyBorder="1" applyAlignment="1">
      <alignment horizontal="distributed" vertical="center"/>
    </xf>
    <xf numFmtId="38" fontId="3" fillId="7" borderId="32" xfId="1" applyFont="1" applyFill="1" applyBorder="1" applyAlignment="1">
      <alignment horizontal="center" vertical="center"/>
    </xf>
    <xf numFmtId="9" fontId="0" fillId="0" borderId="35" xfId="2" applyFont="1" applyBorder="1" applyAlignment="1">
      <alignment horizontal="center" vertical="center"/>
    </xf>
    <xf numFmtId="0" fontId="8" fillId="4" borderId="69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38" fontId="10" fillId="4" borderId="86" xfId="1" applyFont="1" applyFill="1" applyBorder="1" applyAlignment="1">
      <alignment horizontal="center" vertical="center"/>
    </xf>
    <xf numFmtId="38" fontId="18" fillId="4" borderId="86" xfId="1" applyFont="1" applyFill="1" applyBorder="1" applyAlignment="1">
      <alignment horizontal="center" vertical="center"/>
    </xf>
    <xf numFmtId="38" fontId="0" fillId="0" borderId="0" xfId="0" applyNumberFormat="1">
      <alignment vertical="center"/>
    </xf>
    <xf numFmtId="38" fontId="3" fillId="0" borderId="0" xfId="0" applyNumberFormat="1" applyFont="1">
      <alignment vertical="center"/>
    </xf>
    <xf numFmtId="0" fontId="0" fillId="5" borderId="78" xfId="0" applyFill="1" applyBorder="1" applyAlignment="1">
      <alignment horizontal="center" vertical="top"/>
    </xf>
    <xf numFmtId="0" fontId="0" fillId="5" borderId="79" xfId="0" applyFill="1" applyBorder="1" applyAlignment="1">
      <alignment horizontal="center" vertical="top"/>
    </xf>
    <xf numFmtId="0" fontId="0" fillId="2" borderId="78" xfId="0" applyFill="1" applyBorder="1" applyAlignment="1">
      <alignment horizontal="center" vertical="top"/>
    </xf>
    <xf numFmtId="0" fontId="0" fillId="2" borderId="79" xfId="0" applyFill="1" applyBorder="1" applyAlignment="1">
      <alignment horizontal="center" vertical="top"/>
    </xf>
    <xf numFmtId="40" fontId="4" fillId="0" borderId="0" xfId="1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2" fillId="8" borderId="0" xfId="0" applyFont="1" applyFill="1" applyAlignment="1">
      <alignment horizontal="left" vertical="center"/>
    </xf>
    <xf numFmtId="177" fontId="4" fillId="8" borderId="0" xfId="3" applyNumberFormat="1" applyFont="1" applyFill="1" applyAlignment="1">
      <alignment horizontal="center" vertical="center"/>
    </xf>
    <xf numFmtId="6" fontId="4" fillId="8" borderId="0" xfId="3" applyFont="1" applyFill="1" applyAlignment="1">
      <alignment horizontal="center" vertical="center"/>
    </xf>
    <xf numFmtId="38" fontId="4" fillId="8" borderId="0" xfId="1" applyFont="1" applyFill="1" applyAlignment="1">
      <alignment horizontal="center" vertical="center"/>
    </xf>
    <xf numFmtId="9" fontId="4" fillId="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8" fontId="4" fillId="8" borderId="80" xfId="3" applyNumberFormat="1" applyFont="1" applyFill="1" applyBorder="1" applyAlignment="1">
      <alignment horizontal="center" vertical="center"/>
    </xf>
    <xf numFmtId="0" fontId="4" fillId="8" borderId="80" xfId="0" applyFont="1" applyFill="1" applyBorder="1" applyAlignment="1">
      <alignment horizontal="center" vertical="center"/>
    </xf>
    <xf numFmtId="9" fontId="23" fillId="9" borderId="80" xfId="2" applyFont="1" applyFill="1" applyBorder="1" applyAlignment="1">
      <alignment horizontal="center" vertical="center"/>
    </xf>
    <xf numFmtId="0" fontId="22" fillId="0" borderId="73" xfId="0" applyFont="1" applyBorder="1">
      <alignment vertical="center"/>
    </xf>
    <xf numFmtId="0" fontId="25" fillId="0" borderId="73" xfId="0" applyFont="1" applyBorder="1">
      <alignment vertical="center"/>
    </xf>
    <xf numFmtId="40" fontId="4" fillId="0" borderId="73" xfId="1" applyNumberFormat="1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4" fillId="8" borderId="73" xfId="0" applyFont="1" applyFill="1" applyBorder="1" applyAlignment="1">
      <alignment horizontal="center" vertical="center"/>
    </xf>
    <xf numFmtId="38" fontId="4" fillId="8" borderId="73" xfId="1" applyFont="1" applyFill="1" applyBorder="1" applyAlignment="1">
      <alignment horizontal="center" vertical="center"/>
    </xf>
    <xf numFmtId="38" fontId="4" fillId="8" borderId="80" xfId="0" applyNumberFormat="1" applyFont="1" applyFill="1" applyBorder="1" applyAlignment="1">
      <alignment horizontal="center" vertical="center"/>
    </xf>
    <xf numFmtId="38" fontId="4" fillId="8" borderId="80" xfId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0" fontId="22" fillId="0" borderId="78" xfId="1" applyNumberFormat="1" applyFont="1" applyBorder="1" applyAlignment="1">
      <alignment horizontal="center" vertical="center"/>
    </xf>
    <xf numFmtId="40" fontId="22" fillId="0" borderId="0" xfId="1" applyNumberFormat="1" applyFont="1" applyBorder="1" applyAlignment="1">
      <alignment horizontal="center" vertical="center"/>
    </xf>
    <xf numFmtId="0" fontId="22" fillId="0" borderId="82" xfId="0" applyFont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4" fillId="8" borderId="78" xfId="0" applyFont="1" applyFill="1" applyBorder="1" applyAlignment="1">
      <alignment horizontal="center" vertical="center"/>
    </xf>
    <xf numFmtId="8" fontId="22" fillId="8" borderId="0" xfId="3" applyNumberFormat="1" applyFont="1" applyFill="1" applyBorder="1" applyAlignment="1">
      <alignment horizontal="center" vertical="center"/>
    </xf>
    <xf numFmtId="0" fontId="4" fillId="8" borderId="82" xfId="0" applyFont="1" applyFill="1" applyBorder="1" applyAlignment="1">
      <alignment horizontal="center" vertical="center"/>
    </xf>
    <xf numFmtId="38" fontId="4" fillId="8" borderId="78" xfId="1" applyFont="1" applyFill="1" applyBorder="1" applyAlignment="1">
      <alignment horizontal="center" vertical="center"/>
    </xf>
    <xf numFmtId="40" fontId="4" fillId="0" borderId="79" xfId="1" applyNumberFormat="1" applyFont="1" applyBorder="1" applyAlignment="1">
      <alignment horizontal="center" vertical="center"/>
    </xf>
    <xf numFmtId="38" fontId="4" fillId="0" borderId="83" xfId="1" applyFont="1" applyBorder="1" applyAlignment="1">
      <alignment horizontal="center" vertical="center"/>
    </xf>
    <xf numFmtId="14" fontId="4" fillId="0" borderId="73" xfId="0" applyNumberFormat="1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8" borderId="79" xfId="0" applyFont="1" applyFill="1" applyBorder="1" applyAlignment="1">
      <alignment horizontal="center" vertical="center"/>
    </xf>
    <xf numFmtId="177" fontId="4" fillId="8" borderId="73" xfId="3" applyNumberFormat="1" applyFont="1" applyFill="1" applyBorder="1" applyAlignment="1">
      <alignment horizontal="center" vertical="center"/>
    </xf>
    <xf numFmtId="6" fontId="4" fillId="8" borderId="83" xfId="3" applyFont="1" applyFill="1" applyBorder="1" applyAlignment="1">
      <alignment horizontal="center" vertical="center"/>
    </xf>
    <xf numFmtId="6" fontId="4" fillId="8" borderId="79" xfId="3" applyFont="1" applyFill="1" applyBorder="1" applyAlignment="1">
      <alignment horizontal="center" vertical="center"/>
    </xf>
    <xf numFmtId="6" fontId="4" fillId="8" borderId="73" xfId="3" applyFont="1" applyFill="1" applyBorder="1" applyAlignment="1">
      <alignment horizontal="center" vertical="center"/>
    </xf>
    <xf numFmtId="9" fontId="4" fillId="8" borderId="83" xfId="2" applyFont="1" applyFill="1" applyBorder="1" applyAlignment="1">
      <alignment horizontal="center" vertical="center"/>
    </xf>
    <xf numFmtId="40" fontId="4" fillId="0" borderId="78" xfId="1" applyNumberFormat="1" applyFont="1" applyBorder="1" applyAlignment="1">
      <alignment horizontal="center" vertical="center"/>
    </xf>
    <xf numFmtId="40" fontId="4" fillId="0" borderId="0" xfId="1" applyNumberFormat="1" applyFont="1" applyBorder="1" applyAlignment="1">
      <alignment horizontal="center" vertical="center"/>
    </xf>
    <xf numFmtId="38" fontId="4" fillId="0" borderId="82" xfId="1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8" fontId="4" fillId="8" borderId="0" xfId="3" applyNumberFormat="1" applyFont="1" applyFill="1" applyBorder="1" applyAlignment="1">
      <alignment horizontal="center" vertical="center"/>
    </xf>
    <xf numFmtId="6" fontId="4" fillId="8" borderId="82" xfId="3" applyFont="1" applyFill="1" applyBorder="1" applyAlignment="1">
      <alignment horizontal="center" vertical="center"/>
    </xf>
    <xf numFmtId="6" fontId="4" fillId="8" borderId="78" xfId="3" applyFont="1" applyFill="1" applyBorder="1" applyAlignment="1">
      <alignment horizontal="center" vertical="center"/>
    </xf>
    <xf numFmtId="9" fontId="4" fillId="8" borderId="82" xfId="2" applyFont="1" applyFill="1" applyBorder="1" applyAlignment="1">
      <alignment horizontal="center" vertical="center"/>
    </xf>
    <xf numFmtId="38" fontId="4" fillId="0" borderId="0" xfId="0" applyNumberFormat="1" applyFont="1" applyAlignment="1">
      <alignment horizontal="center" vertical="center"/>
    </xf>
    <xf numFmtId="38" fontId="4" fillId="0" borderId="0" xfId="1" applyFont="1" applyAlignment="1">
      <alignment horizontal="center" vertical="center"/>
    </xf>
    <xf numFmtId="56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9" fillId="4" borderId="13" xfId="1" applyNumberFormat="1" applyFont="1" applyFill="1" applyBorder="1" applyAlignment="1">
      <alignment horizontal="center" vertical="center"/>
    </xf>
    <xf numFmtId="182" fontId="9" fillId="4" borderId="62" xfId="1" applyNumberFormat="1" applyFont="1" applyFill="1" applyBorder="1" applyAlignment="1">
      <alignment horizontal="center" vertical="center"/>
    </xf>
    <xf numFmtId="182" fontId="9" fillId="4" borderId="44" xfId="1" applyNumberFormat="1" applyFont="1" applyFill="1" applyBorder="1" applyAlignment="1">
      <alignment horizontal="center" vertical="center"/>
    </xf>
    <xf numFmtId="182" fontId="9" fillId="4" borderId="64" xfId="1" applyNumberFormat="1" applyFont="1" applyFill="1" applyBorder="1" applyAlignment="1">
      <alignment horizontal="center" vertical="center"/>
    </xf>
    <xf numFmtId="182" fontId="9" fillId="4" borderId="63" xfId="1" applyNumberFormat="1" applyFont="1" applyFill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3" fillId="10" borderId="84" xfId="0" applyFont="1" applyFill="1" applyBorder="1" applyAlignment="1">
      <alignment horizontal="center" vertical="center"/>
    </xf>
    <xf numFmtId="0" fontId="0" fillId="5" borderId="78" xfId="0" applyFill="1" applyBorder="1" applyAlignment="1">
      <alignment vertical="top"/>
    </xf>
    <xf numFmtId="0" fontId="0" fillId="2" borderId="78" xfId="0" applyFill="1" applyBorder="1">
      <alignment vertical="center"/>
    </xf>
    <xf numFmtId="0" fontId="4" fillId="0" borderId="90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2" borderId="71" xfId="0" applyFill="1" applyBorder="1">
      <alignment vertical="center"/>
    </xf>
    <xf numFmtId="0" fontId="0" fillId="0" borderId="94" xfId="0" applyBorder="1" applyAlignment="1">
      <alignment horizontal="center" vertical="center"/>
    </xf>
    <xf numFmtId="0" fontId="0" fillId="6" borderId="90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4" fillId="6" borderId="90" xfId="0" applyFont="1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4" fillId="7" borderId="60" xfId="0" applyFont="1" applyFill="1" applyBorder="1" applyAlignment="1">
      <alignment horizontal="center" vertical="center"/>
    </xf>
    <xf numFmtId="0" fontId="0" fillId="3" borderId="60" xfId="0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1" xfId="0" applyFont="1" applyFill="1" applyBorder="1" applyAlignment="1">
      <alignment horizontal="center" vertical="center"/>
    </xf>
    <xf numFmtId="0" fontId="4" fillId="3" borderId="60" xfId="0" applyFont="1" applyFill="1" applyBorder="1" applyAlignment="1">
      <alignment horizontal="center" vertical="center"/>
    </xf>
    <xf numFmtId="0" fontId="4" fillId="11" borderId="60" xfId="0" applyFont="1" applyFill="1" applyBorder="1" applyAlignment="1">
      <alignment horizontal="center" vertical="center"/>
    </xf>
    <xf numFmtId="0" fontId="30" fillId="5" borderId="76" xfId="0" applyFont="1" applyFill="1" applyBorder="1" applyAlignment="1">
      <alignment horizontal="center" vertical="top"/>
    </xf>
    <xf numFmtId="0" fontId="30" fillId="2" borderId="76" xfId="0" applyFont="1" applyFill="1" applyBorder="1" applyAlignment="1">
      <alignment horizontal="center" vertical="center"/>
    </xf>
    <xf numFmtId="0" fontId="26" fillId="10" borderId="76" xfId="0" applyFont="1" applyFill="1" applyBorder="1">
      <alignment vertical="center"/>
    </xf>
    <xf numFmtId="0" fontId="26" fillId="10" borderId="77" xfId="0" applyFont="1" applyFill="1" applyBorder="1" applyAlignment="1">
      <alignment horizontal="center" vertical="center"/>
    </xf>
    <xf numFmtId="0" fontId="26" fillId="10" borderId="81" xfId="0" applyFont="1" applyFill="1" applyBorder="1" applyAlignment="1">
      <alignment horizontal="center" vertical="center"/>
    </xf>
    <xf numFmtId="38" fontId="0" fillId="10" borderId="78" xfId="0" applyNumberFormat="1" applyFill="1" applyBorder="1">
      <alignment vertical="center"/>
    </xf>
    <xf numFmtId="176" fontId="0" fillId="0" borderId="82" xfId="2" applyNumberFormat="1" applyFont="1" applyBorder="1" applyAlignment="1">
      <alignment horizontal="center" vertical="center"/>
    </xf>
    <xf numFmtId="38" fontId="0" fillId="10" borderId="79" xfId="0" applyNumberFormat="1" applyFill="1" applyBorder="1">
      <alignment vertical="center"/>
    </xf>
    <xf numFmtId="38" fontId="0" fillId="0" borderId="73" xfId="0" applyNumberFormat="1" applyBorder="1" applyAlignment="1">
      <alignment horizontal="center" vertical="center"/>
    </xf>
    <xf numFmtId="176" fontId="0" fillId="0" borderId="83" xfId="2" applyNumberFormat="1" applyFont="1" applyBorder="1" applyAlignment="1">
      <alignment horizontal="center" vertical="center"/>
    </xf>
    <xf numFmtId="0" fontId="26" fillId="2" borderId="76" xfId="0" applyFont="1" applyFill="1" applyBorder="1">
      <alignment vertical="center"/>
    </xf>
    <xf numFmtId="0" fontId="26" fillId="2" borderId="77" xfId="0" applyFont="1" applyFill="1" applyBorder="1" applyAlignment="1">
      <alignment horizontal="center" vertical="center"/>
    </xf>
    <xf numFmtId="0" fontId="26" fillId="2" borderId="81" xfId="0" applyFont="1" applyFill="1" applyBorder="1" applyAlignment="1">
      <alignment horizontal="center" vertical="center"/>
    </xf>
    <xf numFmtId="38" fontId="0" fillId="2" borderId="78" xfId="0" applyNumberFormat="1" applyFill="1" applyBorder="1">
      <alignment vertical="center"/>
    </xf>
    <xf numFmtId="38" fontId="0" fillId="2" borderId="79" xfId="0" applyNumberFormat="1" applyFill="1" applyBorder="1">
      <alignment vertical="center"/>
    </xf>
    <xf numFmtId="38" fontId="0" fillId="0" borderId="76" xfId="0" applyNumberFormat="1" applyBorder="1" applyAlignment="1">
      <alignment horizontal="center" vertical="center"/>
    </xf>
    <xf numFmtId="38" fontId="0" fillId="0" borderId="77" xfId="0" applyNumberFormat="1" applyBorder="1" applyAlignment="1">
      <alignment horizontal="center" vertical="center"/>
    </xf>
    <xf numFmtId="176" fontId="0" fillId="0" borderId="81" xfId="2" applyNumberFormat="1" applyFont="1" applyBorder="1" applyAlignment="1">
      <alignment horizontal="center" vertical="center"/>
    </xf>
    <xf numFmtId="38" fontId="0" fillId="0" borderId="78" xfId="0" applyNumberFormat="1" applyBorder="1" applyAlignment="1">
      <alignment horizontal="center" vertical="center"/>
    </xf>
    <xf numFmtId="38" fontId="0" fillId="0" borderId="79" xfId="0" applyNumberFormat="1" applyBorder="1" applyAlignment="1">
      <alignment horizontal="center" vertical="center"/>
    </xf>
    <xf numFmtId="38" fontId="0" fillId="6" borderId="76" xfId="1" applyFont="1" applyFill="1" applyBorder="1" applyAlignment="1">
      <alignment horizontal="center" vertical="center"/>
    </xf>
    <xf numFmtId="38" fontId="0" fillId="6" borderId="77" xfId="1" applyFont="1" applyFill="1" applyBorder="1" applyAlignment="1">
      <alignment horizontal="center" vertical="center"/>
    </xf>
    <xf numFmtId="38" fontId="0" fillId="6" borderId="81" xfId="1" applyFont="1" applyFill="1" applyBorder="1" applyAlignment="1">
      <alignment horizontal="center" vertical="center"/>
    </xf>
    <xf numFmtId="38" fontId="3" fillId="6" borderId="81" xfId="0" applyNumberFormat="1" applyFont="1" applyFill="1" applyBorder="1" applyAlignment="1">
      <alignment horizontal="center" vertical="center"/>
    </xf>
    <xf numFmtId="38" fontId="0" fillId="7" borderId="78" xfId="1" applyFont="1" applyFill="1" applyBorder="1" applyAlignment="1">
      <alignment horizontal="center" vertical="center"/>
    </xf>
    <xf numFmtId="38" fontId="0" fillId="7" borderId="0" xfId="1" applyFont="1" applyFill="1" applyAlignment="1">
      <alignment horizontal="center" vertical="center"/>
    </xf>
    <xf numFmtId="38" fontId="0" fillId="7" borderId="82" xfId="1" applyFont="1" applyFill="1" applyBorder="1" applyAlignment="1">
      <alignment horizontal="center" vertical="center"/>
    </xf>
    <xf numFmtId="38" fontId="3" fillId="7" borderId="82" xfId="0" applyNumberFormat="1" applyFont="1" applyFill="1" applyBorder="1" applyAlignment="1">
      <alignment horizontal="center" vertical="center"/>
    </xf>
    <xf numFmtId="176" fontId="0" fillId="3" borderId="78" xfId="2" applyNumberFormat="1" applyFont="1" applyFill="1" applyBorder="1" applyAlignment="1">
      <alignment horizontal="center" vertical="center"/>
    </xf>
    <xf numFmtId="176" fontId="0" fillId="3" borderId="0" xfId="2" applyNumberFormat="1" applyFont="1" applyFill="1" applyAlignment="1">
      <alignment horizontal="center" vertical="center"/>
    </xf>
    <xf numFmtId="176" fontId="0" fillId="3" borderId="82" xfId="2" applyNumberFormat="1" applyFont="1" applyFill="1" applyBorder="1" applyAlignment="1">
      <alignment horizontal="center" vertical="center"/>
    </xf>
    <xf numFmtId="38" fontId="3" fillId="3" borderId="82" xfId="0" applyNumberFormat="1" applyFont="1" applyFill="1" applyBorder="1" applyAlignment="1">
      <alignment horizontal="center" vertical="center"/>
    </xf>
    <xf numFmtId="176" fontId="24" fillId="3" borderId="38" xfId="2" applyNumberFormat="1" applyFont="1" applyFill="1" applyBorder="1" applyAlignment="1">
      <alignment horizontal="center" vertical="center"/>
    </xf>
    <xf numFmtId="176" fontId="24" fillId="3" borderId="85" xfId="2" applyNumberFormat="1" applyFont="1" applyFill="1" applyBorder="1" applyAlignment="1">
      <alignment horizontal="center" vertical="center"/>
    </xf>
    <xf numFmtId="176" fontId="24" fillId="3" borderId="37" xfId="2" applyNumberFormat="1" applyFont="1" applyFill="1" applyBorder="1" applyAlignment="1">
      <alignment horizontal="center" vertical="center"/>
    </xf>
    <xf numFmtId="38" fontId="16" fillId="3" borderId="37" xfId="0" applyNumberFormat="1" applyFont="1" applyFill="1" applyBorder="1" applyAlignment="1">
      <alignment horizontal="center" vertical="center"/>
    </xf>
    <xf numFmtId="38" fontId="0" fillId="6" borderId="78" xfId="1" applyFont="1" applyFill="1" applyBorder="1" applyAlignment="1">
      <alignment horizontal="center" vertical="center"/>
    </xf>
    <xf numFmtId="38" fontId="0" fillId="6" borderId="0" xfId="1" applyFont="1" applyFill="1" applyAlignment="1">
      <alignment horizontal="center" vertical="center"/>
    </xf>
    <xf numFmtId="38" fontId="0" fillId="6" borderId="82" xfId="1" applyFont="1" applyFill="1" applyBorder="1" applyAlignment="1">
      <alignment horizontal="center" vertical="center"/>
    </xf>
    <xf numFmtId="38" fontId="3" fillId="6" borderId="82" xfId="0" applyNumberFormat="1" applyFont="1" applyFill="1" applyBorder="1" applyAlignment="1">
      <alignment horizontal="center" vertical="center"/>
    </xf>
    <xf numFmtId="38" fontId="16" fillId="3" borderId="83" xfId="0" applyNumberFormat="1" applyFont="1" applyFill="1" applyBorder="1" applyAlignment="1">
      <alignment horizontal="center" vertical="center"/>
    </xf>
    <xf numFmtId="38" fontId="24" fillId="6" borderId="76" xfId="1" applyFont="1" applyFill="1" applyBorder="1" applyAlignment="1">
      <alignment horizontal="center" vertical="center"/>
    </xf>
    <xf numFmtId="38" fontId="24" fillId="6" borderId="77" xfId="1" applyFont="1" applyFill="1" applyBorder="1" applyAlignment="1">
      <alignment horizontal="center" vertical="center"/>
    </xf>
    <xf numFmtId="38" fontId="24" fillId="6" borderId="81" xfId="1" applyFont="1" applyFill="1" applyBorder="1" applyAlignment="1">
      <alignment horizontal="center" vertical="center"/>
    </xf>
    <xf numFmtId="38" fontId="16" fillId="6" borderId="81" xfId="0" applyNumberFormat="1" applyFont="1" applyFill="1" applyBorder="1" applyAlignment="1">
      <alignment horizontal="center" vertical="center"/>
    </xf>
    <xf numFmtId="38" fontId="24" fillId="7" borderId="78" xfId="1" applyFont="1" applyFill="1" applyBorder="1" applyAlignment="1">
      <alignment horizontal="center" vertical="center"/>
    </xf>
    <xf numFmtId="38" fontId="24" fillId="7" borderId="0" xfId="1" applyFont="1" applyFill="1" applyBorder="1" applyAlignment="1">
      <alignment horizontal="center" vertical="center"/>
    </xf>
    <xf numFmtId="38" fontId="24" fillId="7" borderId="82" xfId="1" applyFont="1" applyFill="1" applyBorder="1" applyAlignment="1">
      <alignment horizontal="center" vertical="center"/>
    </xf>
    <xf numFmtId="38" fontId="16" fillId="7" borderId="82" xfId="0" applyNumberFormat="1" applyFont="1" applyFill="1" applyBorder="1" applyAlignment="1">
      <alignment horizontal="center" vertical="center"/>
    </xf>
    <xf numFmtId="38" fontId="24" fillId="11" borderId="78" xfId="1" applyFont="1" applyFill="1" applyBorder="1" applyAlignment="1">
      <alignment horizontal="center" vertical="center"/>
    </xf>
    <xf numFmtId="38" fontId="24" fillId="11" borderId="0" xfId="1" applyFont="1" applyFill="1" applyBorder="1" applyAlignment="1">
      <alignment horizontal="center" vertical="center"/>
    </xf>
    <xf numFmtId="38" fontId="24" fillId="11" borderId="82" xfId="1" applyFont="1" applyFill="1" applyBorder="1" applyAlignment="1">
      <alignment horizontal="center" vertical="center"/>
    </xf>
    <xf numFmtId="38" fontId="16" fillId="11" borderId="82" xfId="1" applyFont="1" applyFill="1" applyBorder="1" applyAlignment="1">
      <alignment horizontal="center" vertical="center"/>
    </xf>
    <xf numFmtId="176" fontId="24" fillId="3" borderId="78" xfId="2" applyNumberFormat="1" applyFont="1" applyFill="1" applyBorder="1" applyAlignment="1">
      <alignment horizontal="center" vertical="center"/>
    </xf>
    <xf numFmtId="176" fontId="24" fillId="3" borderId="0" xfId="2" applyNumberFormat="1" applyFont="1" applyFill="1" applyBorder="1" applyAlignment="1">
      <alignment horizontal="center" vertical="center"/>
    </xf>
    <xf numFmtId="176" fontId="24" fillId="3" borderId="82" xfId="2" applyNumberFormat="1" applyFont="1" applyFill="1" applyBorder="1" applyAlignment="1">
      <alignment horizontal="center" vertical="center"/>
    </xf>
    <xf numFmtId="38" fontId="16" fillId="3" borderId="82" xfId="0" applyNumberFormat="1" applyFont="1" applyFill="1" applyBorder="1" applyAlignment="1">
      <alignment horizontal="center" vertical="center"/>
    </xf>
    <xf numFmtId="176" fontId="24" fillId="3" borderId="79" xfId="2" applyNumberFormat="1" applyFont="1" applyFill="1" applyBorder="1" applyAlignment="1">
      <alignment horizontal="center" vertical="center"/>
    </xf>
    <xf numFmtId="176" fontId="24" fillId="3" borderId="73" xfId="2" applyNumberFormat="1" applyFont="1" applyFill="1" applyBorder="1" applyAlignment="1">
      <alignment horizontal="center" vertical="center"/>
    </xf>
    <xf numFmtId="176" fontId="24" fillId="3" borderId="83" xfId="2" applyNumberFormat="1" applyFont="1" applyFill="1" applyBorder="1" applyAlignment="1">
      <alignment horizontal="center" vertical="center"/>
    </xf>
    <xf numFmtId="38" fontId="16" fillId="11" borderId="82" xfId="0" applyNumberFormat="1" applyFont="1" applyFill="1" applyBorder="1" applyAlignment="1">
      <alignment horizontal="center" vertical="center"/>
    </xf>
    <xf numFmtId="38" fontId="24" fillId="6" borderId="78" xfId="1" applyFont="1" applyFill="1" applyBorder="1" applyAlignment="1">
      <alignment horizontal="center" vertical="center"/>
    </xf>
    <xf numFmtId="38" fontId="24" fillId="6" borderId="0" xfId="1" applyFont="1" applyFill="1" applyBorder="1" applyAlignment="1">
      <alignment horizontal="center" vertical="center"/>
    </xf>
    <xf numFmtId="38" fontId="24" fillId="6" borderId="82" xfId="1" applyFont="1" applyFill="1" applyBorder="1" applyAlignment="1">
      <alignment horizontal="center" vertical="center"/>
    </xf>
    <xf numFmtId="38" fontId="16" fillId="6" borderId="82" xfId="0" applyNumberFormat="1" applyFont="1" applyFill="1" applyBorder="1" applyAlignment="1">
      <alignment horizontal="center" vertical="center"/>
    </xf>
    <xf numFmtId="38" fontId="0" fillId="0" borderId="76" xfId="1" applyFont="1" applyFill="1" applyBorder="1" applyAlignment="1">
      <alignment horizontal="center" vertical="center"/>
    </xf>
    <xf numFmtId="38" fontId="0" fillId="0" borderId="77" xfId="1" applyFont="1" applyFill="1" applyBorder="1" applyAlignment="1">
      <alignment horizontal="center" vertical="center"/>
    </xf>
    <xf numFmtId="38" fontId="0" fillId="0" borderId="81" xfId="1" applyFont="1" applyFill="1" applyBorder="1" applyAlignment="1">
      <alignment horizontal="center" vertical="center"/>
    </xf>
    <xf numFmtId="38" fontId="3" fillId="0" borderId="81" xfId="0" applyNumberFormat="1" applyFont="1" applyBorder="1" applyAlignment="1">
      <alignment horizontal="center" vertical="center"/>
    </xf>
    <xf numFmtId="38" fontId="0" fillId="0" borderId="78" xfId="1" applyFont="1" applyFill="1" applyBorder="1" applyAlignment="1">
      <alignment horizontal="center" vertical="center"/>
    </xf>
    <xf numFmtId="38" fontId="0" fillId="0" borderId="0" xfId="1" applyFont="1" applyFill="1" applyAlignment="1">
      <alignment horizontal="center" vertical="center"/>
    </xf>
    <xf numFmtId="38" fontId="0" fillId="0" borderId="82" xfId="1" applyFont="1" applyFill="1" applyBorder="1" applyAlignment="1">
      <alignment horizontal="center" vertical="center"/>
    </xf>
    <xf numFmtId="38" fontId="3" fillId="0" borderId="82" xfId="0" applyNumberFormat="1" applyFont="1" applyBorder="1" applyAlignment="1">
      <alignment horizontal="center" vertical="center"/>
    </xf>
    <xf numFmtId="176" fontId="0" fillId="0" borderId="78" xfId="2" applyNumberFormat="1" applyFont="1" applyFill="1" applyBorder="1" applyAlignment="1">
      <alignment horizontal="center" vertical="center"/>
    </xf>
    <xf numFmtId="176" fontId="0" fillId="0" borderId="0" xfId="2" applyNumberFormat="1" applyFont="1" applyFill="1" applyAlignment="1">
      <alignment horizontal="center" vertical="center"/>
    </xf>
    <xf numFmtId="176" fontId="0" fillId="0" borderId="82" xfId="2" applyNumberFormat="1" applyFont="1" applyFill="1" applyBorder="1" applyAlignment="1">
      <alignment horizontal="center" vertical="center"/>
    </xf>
    <xf numFmtId="176" fontId="24" fillId="0" borderId="38" xfId="2" applyNumberFormat="1" applyFont="1" applyFill="1" applyBorder="1" applyAlignment="1">
      <alignment horizontal="center" vertical="center"/>
    </xf>
    <xf numFmtId="176" fontId="24" fillId="0" borderId="85" xfId="2" applyNumberFormat="1" applyFont="1" applyFill="1" applyBorder="1" applyAlignment="1">
      <alignment horizontal="center" vertical="center"/>
    </xf>
    <xf numFmtId="176" fontId="24" fillId="0" borderId="37" xfId="2" applyNumberFormat="1" applyFont="1" applyFill="1" applyBorder="1" applyAlignment="1">
      <alignment horizontal="center" vertical="center"/>
    </xf>
    <xf numFmtId="38" fontId="3" fillId="0" borderId="37" xfId="0" applyNumberFormat="1" applyFont="1" applyBorder="1" applyAlignment="1">
      <alignment horizontal="center" vertical="center"/>
    </xf>
    <xf numFmtId="38" fontId="0" fillId="0" borderId="91" xfId="1" applyFont="1" applyFill="1" applyBorder="1" applyAlignment="1">
      <alignment horizontal="center" vertical="center"/>
    </xf>
    <xf numFmtId="38" fontId="0" fillId="0" borderId="92" xfId="1" applyFont="1" applyFill="1" applyBorder="1" applyAlignment="1">
      <alignment horizontal="center" vertical="center"/>
    </xf>
    <xf numFmtId="38" fontId="0" fillId="0" borderId="93" xfId="1" applyFont="1" applyFill="1" applyBorder="1" applyAlignment="1">
      <alignment horizontal="center" vertical="center"/>
    </xf>
    <xf numFmtId="38" fontId="3" fillId="0" borderId="93" xfId="0" applyNumberFormat="1" applyFont="1" applyBorder="1" applyAlignment="1">
      <alignment horizontal="center" vertical="center"/>
    </xf>
    <xf numFmtId="38" fontId="0" fillId="0" borderId="0" xfId="1" applyFont="1" applyFill="1" applyBorder="1" applyAlignment="1">
      <alignment horizontal="center" vertical="center"/>
    </xf>
    <xf numFmtId="176" fontId="0" fillId="0" borderId="0" xfId="2" applyNumberFormat="1" applyFont="1" applyFill="1" applyBorder="1" applyAlignment="1">
      <alignment horizontal="center" vertical="center"/>
    </xf>
    <xf numFmtId="176" fontId="24" fillId="0" borderId="79" xfId="2" applyNumberFormat="1" applyFont="1" applyFill="1" applyBorder="1" applyAlignment="1">
      <alignment horizontal="center" vertical="center"/>
    </xf>
    <xf numFmtId="176" fontId="24" fillId="0" borderId="73" xfId="2" applyNumberFormat="1" applyFont="1" applyFill="1" applyBorder="1" applyAlignment="1">
      <alignment horizontal="center" vertical="center"/>
    </xf>
    <xf numFmtId="176" fontId="24" fillId="0" borderId="83" xfId="2" applyNumberFormat="1" applyFont="1" applyFill="1" applyBorder="1" applyAlignment="1">
      <alignment horizontal="center" vertical="center"/>
    </xf>
    <xf numFmtId="38" fontId="3" fillId="0" borderId="83" xfId="0" applyNumberFormat="1" applyFont="1" applyBorder="1" applyAlignment="1">
      <alignment horizontal="center" vertical="center"/>
    </xf>
    <xf numFmtId="38" fontId="24" fillId="0" borderId="76" xfId="1" applyFont="1" applyFill="1" applyBorder="1" applyAlignment="1">
      <alignment horizontal="center" vertical="center"/>
    </xf>
    <xf numFmtId="38" fontId="24" fillId="0" borderId="77" xfId="1" applyFont="1" applyFill="1" applyBorder="1" applyAlignment="1">
      <alignment horizontal="center" vertical="center"/>
    </xf>
    <xf numFmtId="38" fontId="24" fillId="0" borderId="81" xfId="1" applyFont="1" applyFill="1" applyBorder="1" applyAlignment="1">
      <alignment horizontal="center" vertical="center"/>
    </xf>
    <xf numFmtId="38" fontId="16" fillId="0" borderId="81" xfId="0" applyNumberFormat="1" applyFont="1" applyBorder="1" applyAlignment="1">
      <alignment horizontal="center" vertical="center"/>
    </xf>
    <xf numFmtId="38" fontId="24" fillId="0" borderId="78" xfId="1" applyFont="1" applyFill="1" applyBorder="1" applyAlignment="1">
      <alignment horizontal="center" vertical="center"/>
    </xf>
    <xf numFmtId="38" fontId="24" fillId="0" borderId="0" xfId="1" applyFont="1" applyFill="1" applyBorder="1" applyAlignment="1">
      <alignment horizontal="center" vertical="center"/>
    </xf>
    <xf numFmtId="38" fontId="24" fillId="0" borderId="82" xfId="1" applyFont="1" applyFill="1" applyBorder="1" applyAlignment="1">
      <alignment horizontal="center" vertical="center"/>
    </xf>
    <xf numFmtId="38" fontId="16" fillId="0" borderId="82" xfId="0" applyNumberFormat="1" applyFont="1" applyBorder="1" applyAlignment="1">
      <alignment horizontal="center" vertical="center"/>
    </xf>
    <xf numFmtId="38" fontId="16" fillId="0" borderId="82" xfId="1" applyFont="1" applyBorder="1" applyAlignment="1">
      <alignment horizontal="center" vertical="center"/>
    </xf>
    <xf numFmtId="176" fontId="24" fillId="0" borderId="78" xfId="2" applyNumberFormat="1" applyFont="1" applyFill="1" applyBorder="1" applyAlignment="1">
      <alignment horizontal="center" vertical="center"/>
    </xf>
    <xf numFmtId="176" fontId="24" fillId="0" borderId="0" xfId="2" applyNumberFormat="1" applyFont="1" applyFill="1" applyBorder="1" applyAlignment="1">
      <alignment horizontal="center" vertical="center"/>
    </xf>
    <xf numFmtId="176" fontId="24" fillId="0" borderId="82" xfId="2" applyNumberFormat="1" applyFont="1" applyFill="1" applyBorder="1" applyAlignment="1">
      <alignment horizontal="center" vertical="center"/>
    </xf>
    <xf numFmtId="38" fontId="16" fillId="0" borderId="83" xfId="0" applyNumberFormat="1" applyFont="1" applyBorder="1" applyAlignment="1">
      <alignment horizontal="center" vertical="center"/>
    </xf>
    <xf numFmtId="38" fontId="16" fillId="0" borderId="71" xfId="0" applyNumberFormat="1" applyFont="1" applyBorder="1" applyAlignment="1">
      <alignment horizontal="center" vertical="center"/>
    </xf>
    <xf numFmtId="38" fontId="0" fillId="7" borderId="0" xfId="1" applyFont="1" applyFill="1" applyBorder="1" applyAlignment="1">
      <alignment horizontal="center" vertical="center"/>
    </xf>
    <xf numFmtId="176" fontId="0" fillId="3" borderId="0" xfId="2" applyNumberFormat="1" applyFont="1" applyFill="1" applyBorder="1" applyAlignment="1">
      <alignment horizontal="center" vertical="center"/>
    </xf>
    <xf numFmtId="38" fontId="0" fillId="6" borderId="0" xfId="1" applyFont="1" applyFill="1" applyBorder="1" applyAlignment="1">
      <alignment horizontal="center" vertical="center"/>
    </xf>
    <xf numFmtId="0" fontId="30" fillId="0" borderId="0" xfId="0" applyFont="1">
      <alignment vertical="center"/>
    </xf>
    <xf numFmtId="0" fontId="26" fillId="10" borderId="76" xfId="0" applyFont="1" applyFill="1" applyBorder="1" applyAlignment="1">
      <alignment horizontal="center" vertical="center"/>
    </xf>
    <xf numFmtId="0" fontId="26" fillId="2" borderId="76" xfId="0" applyFont="1" applyFill="1" applyBorder="1" applyAlignment="1">
      <alignment horizontal="center" vertical="center"/>
    </xf>
    <xf numFmtId="0" fontId="3" fillId="5" borderId="77" xfId="0" applyFont="1" applyFill="1" applyBorder="1" applyAlignment="1">
      <alignment horizontal="center" vertical="center"/>
    </xf>
    <xf numFmtId="0" fontId="3" fillId="5" borderId="74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182" fontId="26" fillId="10" borderId="75" xfId="0" applyNumberFormat="1" applyFont="1" applyFill="1" applyBorder="1" applyAlignment="1">
      <alignment horizontal="center" vertical="center"/>
    </xf>
    <xf numFmtId="182" fontId="26" fillId="10" borderId="74" xfId="0" applyNumberFormat="1" applyFont="1" applyFill="1" applyBorder="1" applyAlignment="1">
      <alignment horizontal="center" vertical="center"/>
    </xf>
    <xf numFmtId="182" fontId="26" fillId="10" borderId="84" xfId="0" applyNumberFormat="1" applyFont="1" applyFill="1" applyBorder="1" applyAlignment="1">
      <alignment horizontal="center" vertical="center"/>
    </xf>
    <xf numFmtId="0" fontId="3" fillId="2" borderId="77" xfId="0" applyFont="1" applyFill="1" applyBorder="1" applyAlignment="1">
      <alignment horizontal="center" vertical="center"/>
    </xf>
    <xf numFmtId="0" fontId="3" fillId="2" borderId="90" xfId="0" applyFont="1" applyFill="1" applyBorder="1" applyAlignment="1">
      <alignment horizontal="center" vertical="center"/>
    </xf>
    <xf numFmtId="182" fontId="26" fillId="2" borderId="76" xfId="0" applyNumberFormat="1" applyFont="1" applyFill="1" applyBorder="1" applyAlignment="1">
      <alignment horizontal="center" vertical="center"/>
    </xf>
    <xf numFmtId="182" fontId="26" fillId="2" borderId="77" xfId="0" applyNumberFormat="1" applyFont="1" applyFill="1" applyBorder="1" applyAlignment="1">
      <alignment horizontal="center" vertical="center"/>
    </xf>
    <xf numFmtId="182" fontId="26" fillId="2" borderId="81" xfId="0" applyNumberFormat="1" applyFont="1" applyFill="1" applyBorder="1" applyAlignment="1">
      <alignment horizontal="center" vertical="center"/>
    </xf>
    <xf numFmtId="0" fontId="29" fillId="2" borderId="76" xfId="0" applyFont="1" applyFill="1" applyBorder="1" applyAlignment="1">
      <alignment horizontal="center" vertical="top"/>
    </xf>
    <xf numFmtId="182" fontId="26" fillId="5" borderId="75" xfId="0" applyNumberFormat="1" applyFont="1" applyFill="1" applyBorder="1" applyAlignment="1">
      <alignment horizontal="center" vertical="center"/>
    </xf>
    <xf numFmtId="182" fontId="26" fillId="5" borderId="74" xfId="0" applyNumberFormat="1" applyFont="1" applyFill="1" applyBorder="1" applyAlignment="1">
      <alignment horizontal="center" vertical="center"/>
    </xf>
    <xf numFmtId="182" fontId="26" fillId="5" borderId="84" xfId="0" applyNumberFormat="1" applyFont="1" applyFill="1" applyBorder="1" applyAlignment="1">
      <alignment horizontal="center" vertical="center"/>
    </xf>
    <xf numFmtId="38" fontId="0" fillId="0" borderId="76" xfId="1" applyFont="1" applyBorder="1" applyAlignment="1">
      <alignment horizontal="center" vertical="center"/>
    </xf>
    <xf numFmtId="38" fontId="0" fillId="0" borderId="77" xfId="1" applyFont="1" applyBorder="1" applyAlignment="1">
      <alignment horizontal="center" vertical="center"/>
    </xf>
    <xf numFmtId="38" fontId="0" fillId="0" borderId="81" xfId="1" applyFont="1" applyBorder="1" applyAlignment="1">
      <alignment horizontal="center" vertical="center"/>
    </xf>
    <xf numFmtId="38" fontId="0" fillId="0" borderId="78" xfId="1" applyFont="1" applyBorder="1" applyAlignment="1">
      <alignment horizontal="center" vertical="center"/>
    </xf>
    <xf numFmtId="38" fontId="0" fillId="0" borderId="82" xfId="1" applyFont="1" applyBorder="1" applyAlignment="1">
      <alignment horizontal="center" vertical="center"/>
    </xf>
    <xf numFmtId="38" fontId="16" fillId="3" borderId="38" xfId="1" applyFont="1" applyFill="1" applyBorder="1" applyAlignment="1">
      <alignment horizontal="center" vertical="center"/>
    </xf>
    <xf numFmtId="38" fontId="16" fillId="3" borderId="85" xfId="1" applyFont="1" applyFill="1" applyBorder="1" applyAlignment="1">
      <alignment horizontal="center" vertical="center"/>
    </xf>
    <xf numFmtId="38" fontId="16" fillId="3" borderId="37" xfId="1" applyFont="1" applyFill="1" applyBorder="1" applyAlignment="1">
      <alignment horizontal="center" vertical="center"/>
    </xf>
    <xf numFmtId="38" fontId="16" fillId="3" borderId="79" xfId="1" applyFont="1" applyFill="1" applyBorder="1" applyAlignment="1">
      <alignment horizontal="center" vertical="center"/>
    </xf>
    <xf numFmtId="38" fontId="16" fillId="3" borderId="73" xfId="1" applyFont="1" applyFill="1" applyBorder="1" applyAlignment="1">
      <alignment horizontal="center" vertical="center"/>
    </xf>
    <xf numFmtId="38" fontId="16" fillId="3" borderId="83" xfId="1" applyFont="1" applyFill="1" applyBorder="1" applyAlignment="1">
      <alignment horizontal="center" vertical="center"/>
    </xf>
    <xf numFmtId="38" fontId="3" fillId="3" borderId="38" xfId="1" applyFont="1" applyFill="1" applyBorder="1" applyAlignment="1">
      <alignment horizontal="center" vertical="center"/>
    </xf>
    <xf numFmtId="38" fontId="3" fillId="3" borderId="85" xfId="1" applyFont="1" applyFill="1" applyBorder="1" applyAlignment="1">
      <alignment horizontal="center" vertical="center"/>
    </xf>
    <xf numFmtId="38" fontId="3" fillId="3" borderId="37" xfId="1" applyFont="1" applyFill="1" applyBorder="1" applyAlignment="1">
      <alignment horizontal="center" vertical="center"/>
    </xf>
    <xf numFmtId="38" fontId="3" fillId="3" borderId="37" xfId="0" applyNumberFormat="1" applyFont="1" applyFill="1" applyBorder="1" applyAlignment="1">
      <alignment horizontal="center" vertical="center"/>
    </xf>
    <xf numFmtId="38" fontId="3" fillId="3" borderId="79" xfId="1" applyFont="1" applyFill="1" applyBorder="1" applyAlignment="1">
      <alignment horizontal="center" vertical="center"/>
    </xf>
    <xf numFmtId="38" fontId="3" fillId="3" borderId="73" xfId="1" applyFont="1" applyFill="1" applyBorder="1" applyAlignment="1">
      <alignment horizontal="center" vertical="center"/>
    </xf>
    <xf numFmtId="38" fontId="3" fillId="3" borderId="83" xfId="1" applyFont="1" applyFill="1" applyBorder="1" applyAlignment="1">
      <alignment horizontal="center" vertical="center"/>
    </xf>
    <xf numFmtId="38" fontId="3" fillId="3" borderId="83" xfId="0" applyNumberFormat="1" applyFont="1" applyFill="1" applyBorder="1" applyAlignment="1">
      <alignment horizontal="center" vertical="center"/>
    </xf>
    <xf numFmtId="0" fontId="30" fillId="2" borderId="76" xfId="0" applyFont="1" applyFill="1" applyBorder="1" applyAlignment="1">
      <alignment horizontal="center" vertical="top"/>
    </xf>
    <xf numFmtId="38" fontId="28" fillId="0" borderId="0" xfId="1" applyFont="1" applyAlignment="1">
      <alignment horizontal="center" vertical="center"/>
    </xf>
    <xf numFmtId="38" fontId="13" fillId="0" borderId="60" xfId="1" applyFont="1" applyFill="1" applyBorder="1" applyAlignment="1">
      <alignment horizontal="center" vertical="center" wrapText="1"/>
    </xf>
    <xf numFmtId="38" fontId="12" fillId="0" borderId="9" xfId="1" applyFont="1" applyFill="1" applyBorder="1" applyAlignment="1">
      <alignment horizontal="center" vertical="center" wrapText="1"/>
    </xf>
    <xf numFmtId="38" fontId="0" fillId="7" borderId="95" xfId="1" applyFont="1" applyFill="1" applyBorder="1" applyAlignment="1">
      <alignment horizontal="center" vertical="center"/>
    </xf>
    <xf numFmtId="38" fontId="12" fillId="0" borderId="60" xfId="1" applyFont="1" applyFill="1" applyBorder="1" applyAlignment="1">
      <alignment horizontal="center" vertical="center" wrapText="1"/>
    </xf>
    <xf numFmtId="176" fontId="0" fillId="3" borderId="95" xfId="2" applyNumberFormat="1" applyFont="1" applyFill="1" applyBorder="1" applyAlignment="1">
      <alignment horizontal="center" vertical="center"/>
    </xf>
    <xf numFmtId="176" fontId="0" fillId="3" borderId="96" xfId="2" applyNumberFormat="1" applyFont="1" applyFill="1" applyBorder="1" applyAlignment="1">
      <alignment horizontal="center" vertical="center"/>
    </xf>
    <xf numFmtId="38" fontId="0" fillId="6" borderId="97" xfId="1" applyFont="1" applyFill="1" applyBorder="1" applyAlignment="1">
      <alignment horizontal="center" vertical="center"/>
    </xf>
    <xf numFmtId="38" fontId="0" fillId="7" borderId="96" xfId="1" applyFont="1" applyFill="1" applyBorder="1" applyAlignment="1">
      <alignment horizontal="center" vertical="center"/>
    </xf>
    <xf numFmtId="176" fontId="0" fillId="3" borderId="98" xfId="2" applyNumberFormat="1" applyFont="1" applyFill="1" applyBorder="1" applyAlignment="1">
      <alignment horizontal="center" vertical="center"/>
    </xf>
    <xf numFmtId="38" fontId="0" fillId="6" borderId="99" xfId="1" applyFont="1" applyFill="1" applyBorder="1" applyAlignment="1">
      <alignment horizontal="center" vertical="center"/>
    </xf>
    <xf numFmtId="38" fontId="0" fillId="7" borderId="100" xfId="1" applyFont="1" applyFill="1" applyBorder="1" applyAlignment="1">
      <alignment horizontal="center" vertical="center"/>
    </xf>
    <xf numFmtId="38" fontId="13" fillId="0" borderId="42" xfId="1" applyFont="1" applyFill="1" applyBorder="1" applyAlignment="1">
      <alignment horizontal="center" vertical="center" wrapText="1"/>
    </xf>
    <xf numFmtId="38" fontId="31" fillId="0" borderId="9" xfId="1" applyFont="1" applyFill="1" applyBorder="1" applyAlignment="1">
      <alignment horizontal="center" vertical="center" wrapText="1"/>
    </xf>
    <xf numFmtId="38" fontId="12" fillId="0" borderId="9" xfId="1" applyFont="1" applyFill="1" applyBorder="1" applyAlignment="1">
      <alignment vertical="center" wrapText="1"/>
    </xf>
    <xf numFmtId="38" fontId="13" fillId="0" borderId="9" xfId="1" applyFont="1" applyFill="1" applyBorder="1" applyAlignment="1">
      <alignment vertical="center" wrapText="1"/>
    </xf>
    <xf numFmtId="38" fontId="13" fillId="0" borderId="14" xfId="1" applyFont="1" applyFill="1" applyBorder="1" applyAlignment="1">
      <alignment horizontal="center" vertical="center" wrapText="1"/>
    </xf>
    <xf numFmtId="38" fontId="11" fillId="0" borderId="60" xfId="1" applyFont="1" applyFill="1" applyBorder="1" applyAlignment="1">
      <alignment horizontal="center" vertical="center" wrapText="1"/>
    </xf>
    <xf numFmtId="38" fontId="32" fillId="7" borderId="17" xfId="1" applyFont="1" applyFill="1" applyBorder="1" applyAlignment="1">
      <alignment horizontal="center" vertical="center"/>
    </xf>
    <xf numFmtId="38" fontId="32" fillId="7" borderId="22" xfId="1" applyFont="1" applyFill="1" applyBorder="1" applyAlignment="1">
      <alignment horizontal="center" vertical="center"/>
    </xf>
    <xf numFmtId="38" fontId="12" fillId="0" borderId="14" xfId="1" applyFont="1" applyFill="1" applyBorder="1" applyAlignment="1">
      <alignment horizontal="center" vertical="center" wrapText="1"/>
    </xf>
    <xf numFmtId="38" fontId="33" fillId="7" borderId="2" xfId="1" applyFont="1" applyFill="1" applyBorder="1" applyAlignment="1">
      <alignment horizontal="center" vertical="center"/>
    </xf>
    <xf numFmtId="38" fontId="33" fillId="7" borderId="22" xfId="1" applyFont="1" applyFill="1" applyBorder="1" applyAlignment="1">
      <alignment horizontal="center" vertical="center"/>
    </xf>
    <xf numFmtId="38" fontId="12" fillId="0" borderId="42" xfId="1" applyFont="1" applyFill="1" applyBorder="1" applyAlignment="1">
      <alignment horizontal="center" vertical="center" wrapText="1"/>
    </xf>
    <xf numFmtId="38" fontId="13" fillId="0" borderId="30" xfId="1" applyFont="1" applyFill="1" applyBorder="1" applyAlignment="1">
      <alignment horizontal="center" vertical="center" wrapText="1"/>
    </xf>
    <xf numFmtId="38" fontId="1" fillId="0" borderId="60" xfId="1" applyFont="1" applyFill="1" applyBorder="1" applyAlignment="1">
      <alignment horizontal="center" vertical="center" wrapText="1"/>
    </xf>
    <xf numFmtId="38" fontId="11" fillId="0" borderId="30" xfId="1" applyFont="1" applyFill="1" applyBorder="1" applyAlignment="1">
      <alignment horizontal="center" vertical="center" wrapText="1"/>
    </xf>
    <xf numFmtId="38" fontId="34" fillId="0" borderId="60" xfId="1" applyFont="1" applyFill="1" applyBorder="1" applyAlignment="1">
      <alignment horizontal="center" vertical="center" wrapText="1"/>
    </xf>
    <xf numFmtId="9" fontId="0" fillId="0" borderId="14" xfId="1" applyNumberFormat="1" applyFont="1" applyFill="1" applyBorder="1" applyAlignment="1">
      <alignment horizontal="center" vertical="center" wrapText="1"/>
    </xf>
    <xf numFmtId="38" fontId="15" fillId="0" borderId="14" xfId="1" applyFont="1" applyFill="1" applyBorder="1" applyAlignment="1">
      <alignment horizontal="center" vertical="center" wrapText="1"/>
    </xf>
    <xf numFmtId="38" fontId="11" fillId="0" borderId="42" xfId="1" applyFont="1" applyFill="1" applyBorder="1" applyAlignment="1">
      <alignment horizontal="center" vertical="center" wrapText="1"/>
    </xf>
    <xf numFmtId="38" fontId="13" fillId="0" borderId="15" xfId="1" applyFont="1" applyFill="1" applyBorder="1" applyAlignment="1">
      <alignment horizontal="center" vertical="center" wrapText="1"/>
    </xf>
    <xf numFmtId="38" fontId="11" fillId="0" borderId="9" xfId="1" applyFont="1" applyFill="1" applyBorder="1" applyAlignment="1">
      <alignment horizontal="center" vertical="center" wrapText="1"/>
    </xf>
    <xf numFmtId="38" fontId="9" fillId="4" borderId="57" xfId="1" applyFont="1" applyFill="1" applyBorder="1" applyAlignment="1">
      <alignment horizontal="center" vertical="center"/>
    </xf>
    <xf numFmtId="38" fontId="9" fillId="4" borderId="56" xfId="1" applyFont="1" applyFill="1" applyBorder="1" applyAlignment="1">
      <alignment horizontal="center" vertical="center"/>
    </xf>
    <xf numFmtId="38" fontId="9" fillId="4" borderId="6" xfId="1" applyFont="1" applyFill="1" applyBorder="1" applyAlignment="1">
      <alignment horizontal="center" vertical="center"/>
    </xf>
    <xf numFmtId="0" fontId="5" fillId="0" borderId="40" xfId="0" applyFont="1" applyBorder="1" applyAlignment="1">
      <alignment horizontal="left" vertical="center" wrapText="1" indent="1"/>
    </xf>
    <xf numFmtId="0" fontId="5" fillId="0" borderId="46" xfId="0" applyFont="1" applyBorder="1" applyAlignment="1">
      <alignment horizontal="left" vertical="center" wrapText="1" indent="1"/>
    </xf>
    <xf numFmtId="0" fontId="5" fillId="0" borderId="41" xfId="0" applyFont="1" applyBorder="1" applyAlignment="1">
      <alignment horizontal="left" vertical="center" wrapText="1" indent="1"/>
    </xf>
    <xf numFmtId="0" fontId="5" fillId="0" borderId="47" xfId="0" applyFont="1" applyBorder="1" applyAlignment="1">
      <alignment horizontal="left" vertical="center" wrapText="1" indent="1"/>
    </xf>
    <xf numFmtId="38" fontId="9" fillId="4" borderId="5" xfId="1" applyFont="1" applyFill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8" fillId="4" borderId="48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/>
    </xf>
    <xf numFmtId="0" fontId="8" fillId="4" borderId="41" xfId="0" applyFont="1" applyFill="1" applyBorder="1" applyAlignment="1">
      <alignment horizontal="center" vertical="center"/>
    </xf>
    <xf numFmtId="0" fontId="8" fillId="4" borderId="47" xfId="0" applyFont="1" applyFill="1" applyBorder="1" applyAlignment="1">
      <alignment horizontal="center" vertical="center"/>
    </xf>
    <xf numFmtId="38" fontId="8" fillId="4" borderId="48" xfId="1" applyFont="1" applyFill="1" applyBorder="1" applyAlignment="1">
      <alignment horizontal="center" vertical="center"/>
    </xf>
    <xf numFmtId="38" fontId="8" fillId="4" borderId="53" xfId="1" applyFont="1" applyFill="1" applyBorder="1" applyAlignment="1">
      <alignment horizontal="center" vertical="center"/>
    </xf>
    <xf numFmtId="38" fontId="8" fillId="4" borderId="41" xfId="1" applyFont="1" applyFill="1" applyBorder="1" applyAlignment="1">
      <alignment horizontal="center" vertical="center"/>
    </xf>
    <xf numFmtId="38" fontId="8" fillId="4" borderId="47" xfId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4" borderId="24" xfId="0" applyFont="1" applyFill="1" applyBorder="1" applyAlignment="1">
      <alignment horizontal="center" vertical="center"/>
    </xf>
    <xf numFmtId="0" fontId="10" fillId="4" borderId="65" xfId="0" applyFont="1" applyFill="1" applyBorder="1" applyAlignment="1">
      <alignment horizontal="center" vertical="center"/>
    </xf>
    <xf numFmtId="0" fontId="8" fillId="4" borderId="58" xfId="0" applyFont="1" applyFill="1" applyBorder="1" applyAlignment="1">
      <alignment horizontal="center" vertical="center"/>
    </xf>
    <xf numFmtId="0" fontId="8" fillId="4" borderId="59" xfId="0" applyFont="1" applyFill="1" applyBorder="1" applyAlignment="1">
      <alignment horizontal="center" vertical="center"/>
    </xf>
    <xf numFmtId="0" fontId="8" fillId="4" borderId="68" xfId="0" applyFont="1" applyFill="1" applyBorder="1" applyAlignment="1">
      <alignment horizontal="center" vertical="center"/>
    </xf>
    <xf numFmtId="0" fontId="5" fillId="0" borderId="66" xfId="0" applyFont="1" applyBorder="1" applyAlignment="1">
      <alignment horizontal="center" vertical="center"/>
    </xf>
    <xf numFmtId="0" fontId="5" fillId="0" borderId="67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38" fontId="0" fillId="0" borderId="13" xfId="1" applyFont="1" applyBorder="1" applyAlignment="1">
      <alignment horizontal="center" vertical="center"/>
    </xf>
    <xf numFmtId="0" fontId="8" fillId="4" borderId="87" xfId="0" applyFont="1" applyFill="1" applyBorder="1" applyAlignment="1">
      <alignment horizontal="center" vertical="center"/>
    </xf>
    <xf numFmtId="0" fontId="8" fillId="4" borderId="88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38" fontId="0" fillId="0" borderId="11" xfId="1" applyFont="1" applyBorder="1" applyAlignment="1">
      <alignment horizontal="center" vertical="center"/>
    </xf>
    <xf numFmtId="0" fontId="6" fillId="0" borderId="76" xfId="0" applyFont="1" applyBorder="1" applyAlignment="1">
      <alignment horizontal="center" vertical="center"/>
    </xf>
    <xf numFmtId="0" fontId="6" fillId="0" borderId="77" xfId="0" applyFont="1" applyBorder="1" applyAlignment="1">
      <alignment horizontal="center" vertical="center"/>
    </xf>
    <xf numFmtId="0" fontId="6" fillId="0" borderId="78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79" xfId="0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3" fillId="2" borderId="80" xfId="0" applyFont="1" applyFill="1" applyBorder="1" applyAlignment="1">
      <alignment horizontal="center" vertical="center"/>
    </xf>
    <xf numFmtId="38" fontId="3" fillId="0" borderId="80" xfId="0" applyNumberFormat="1" applyFont="1" applyBorder="1" applyAlignment="1">
      <alignment horizontal="center" vertical="center"/>
    </xf>
    <xf numFmtId="0" fontId="3" fillId="5" borderId="80" xfId="0" applyFont="1" applyFill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38" fontId="0" fillId="0" borderId="52" xfId="1" applyFont="1" applyFill="1" applyBorder="1" applyAlignment="1">
      <alignment horizontal="center" vertical="center" wrapText="1"/>
    </xf>
    <xf numFmtId="38" fontId="0" fillId="0" borderId="72" xfId="1" applyFont="1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38" fontId="9" fillId="4" borderId="89" xfId="1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</cellXfs>
  <cellStyles count="4">
    <cellStyle name="パーセント" xfId="2" builtinId="5"/>
    <cellStyle name="桁区切り" xfId="1" builtinId="6"/>
    <cellStyle name="通貨" xfId="3" builtinId="7"/>
    <cellStyle name="標準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0E6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1</xdr:col>
          <xdr:colOff>657225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為替情報更新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1043-5408-4229-8156-C1438236EEF7}">
  <sheetPr codeName="Sheet1"/>
  <dimension ref="A1:X97"/>
  <sheetViews>
    <sheetView showGridLines="0" zoomScale="55" zoomScaleNormal="55" workbookViewId="0">
      <selection activeCell="S14" sqref="S14"/>
    </sheetView>
  </sheetViews>
  <sheetFormatPr defaultRowHeight="18.75" x14ac:dyDescent="0.4"/>
  <cols>
    <col min="2" max="3" width="9" style="1"/>
    <col min="4" max="4" width="11" style="1" bestFit="1" customWidth="1"/>
    <col min="5" max="16" width="13" style="1" customWidth="1"/>
    <col min="17" max="17" width="13" style="29" customWidth="1"/>
    <col min="19" max="19" width="11.125" customWidth="1"/>
    <col min="20" max="22" width="11.125" style="1" customWidth="1"/>
    <col min="23" max="24" width="11.125" customWidth="1"/>
  </cols>
  <sheetData>
    <row r="1" spans="1:24" ht="30" x14ac:dyDescent="0.4">
      <c r="A1" s="64" t="s">
        <v>365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6"/>
    </row>
    <row r="2" spans="1:24" ht="25.5" x14ac:dyDescent="0.4">
      <c r="A2" s="243" t="s">
        <v>15</v>
      </c>
      <c r="B2" s="353" t="s">
        <v>49</v>
      </c>
      <c r="C2" s="354" t="s">
        <v>48</v>
      </c>
      <c r="D2" s="355" t="s">
        <v>373</v>
      </c>
      <c r="E2" s="356">
        <v>45444</v>
      </c>
      <c r="F2" s="357">
        <v>45474</v>
      </c>
      <c r="G2" s="357">
        <v>45505</v>
      </c>
      <c r="H2" s="357">
        <v>45536</v>
      </c>
      <c r="I2" s="357">
        <v>45566</v>
      </c>
      <c r="J2" s="357">
        <v>45597</v>
      </c>
      <c r="K2" s="357">
        <v>45627</v>
      </c>
      <c r="L2" s="357">
        <v>45658</v>
      </c>
      <c r="M2" s="357">
        <v>45689</v>
      </c>
      <c r="N2" s="357">
        <v>45717</v>
      </c>
      <c r="O2" s="357">
        <v>45748</v>
      </c>
      <c r="P2" s="358">
        <v>45778</v>
      </c>
      <c r="Q2" s="221" t="s">
        <v>21</v>
      </c>
      <c r="S2" s="350" t="s">
        <v>391</v>
      </c>
    </row>
    <row r="3" spans="1:24" x14ac:dyDescent="0.4">
      <c r="A3" s="222"/>
      <c r="B3" s="480" t="s">
        <v>56</v>
      </c>
      <c r="C3" s="48" t="s">
        <v>50</v>
      </c>
      <c r="D3" s="233" t="s">
        <v>367</v>
      </c>
      <c r="E3" s="263">
        <f>計画集計!F6</f>
        <v>2520</v>
      </c>
      <c r="F3" s="264">
        <f>計画集計!G6</f>
        <v>2010</v>
      </c>
      <c r="G3" s="264">
        <f>計画集計!H6</f>
        <v>4220</v>
      </c>
      <c r="H3" s="264">
        <f>計画集計!I6</f>
        <v>3850</v>
      </c>
      <c r="I3" s="264">
        <f>計画集計!J6</f>
        <v>7391</v>
      </c>
      <c r="J3" s="264">
        <f>計画集計!K6</f>
        <v>5950</v>
      </c>
      <c r="K3" s="264">
        <f>計画集計!L6</f>
        <v>5750</v>
      </c>
      <c r="L3" s="264">
        <f>計画集計!M6</f>
        <v>5870</v>
      </c>
      <c r="M3" s="264">
        <f>計画集計!N6</f>
        <v>8020</v>
      </c>
      <c r="N3" s="264">
        <f>計画集計!O6</f>
        <v>6320</v>
      </c>
      <c r="O3" s="264">
        <f>計画集計!P6</f>
        <v>9600</v>
      </c>
      <c r="P3" s="265">
        <f>計画集計!Q6</f>
        <v>10150</v>
      </c>
      <c r="Q3" s="266">
        <f>SUM(E3:P3)</f>
        <v>71651</v>
      </c>
    </row>
    <row r="4" spans="1:24" x14ac:dyDescent="0.4">
      <c r="A4" s="222"/>
      <c r="B4" s="478"/>
      <c r="D4" s="236" t="s">
        <v>369</v>
      </c>
      <c r="E4" s="267">
        <f>実績集計!F6</f>
        <v>5248.0789999999997</v>
      </c>
      <c r="F4" s="347">
        <f>実績集計!G6</f>
        <v>3080.7259999999997</v>
      </c>
      <c r="G4" s="347">
        <f>実績集計!H6</f>
        <v>2324.665</v>
      </c>
      <c r="H4" s="347">
        <f>実績集計!I6</f>
        <v>4169.0770000000002</v>
      </c>
      <c r="I4" s="347">
        <f>実績集計!J6</f>
        <v>4066.9390000000003</v>
      </c>
      <c r="J4" s="347">
        <f>実績集計!K6</f>
        <v>3894.1840000000002</v>
      </c>
      <c r="K4" s="347">
        <f>実績集計!L6</f>
        <v>2785.2760000000003</v>
      </c>
      <c r="L4" s="347">
        <f>実績集計!M6</f>
        <v>3839.83</v>
      </c>
      <c r="M4" s="347">
        <f>実績集計!N6</f>
        <v>3247.2309999999998</v>
      </c>
      <c r="N4" s="347">
        <f>実績集計!O6</f>
        <v>0</v>
      </c>
      <c r="O4" s="347">
        <f>実績集計!P6</f>
        <v>0</v>
      </c>
      <c r="P4" s="269">
        <f>実績集計!Q6</f>
        <v>0</v>
      </c>
      <c r="Q4" s="270">
        <f t="shared" ref="Q4:Q32" si="0">SUM(E4:P4)</f>
        <v>32656.007000000005</v>
      </c>
      <c r="S4" s="245" t="s">
        <v>379</v>
      </c>
      <c r="T4" s="246" t="s">
        <v>374</v>
      </c>
      <c r="U4" s="351" t="s">
        <v>381</v>
      </c>
      <c r="V4" s="247" t="s">
        <v>378</v>
      </c>
      <c r="W4" s="246" t="s">
        <v>382</v>
      </c>
      <c r="X4" s="247" t="s">
        <v>378</v>
      </c>
    </row>
    <row r="5" spans="1:24" x14ac:dyDescent="0.4">
      <c r="A5" s="222"/>
      <c r="B5" s="478"/>
      <c r="D5" s="238" t="s">
        <v>17</v>
      </c>
      <c r="E5" s="271">
        <f>IFERROR(E4/E3,"")</f>
        <v>2.0825710317460318</v>
      </c>
      <c r="F5" s="348">
        <f>IFERROR(IF(F4=0,"",F4/F3),"")</f>
        <v>1.532699502487562</v>
      </c>
      <c r="G5" s="348">
        <f t="shared" ref="G5:P5" si="1">IFERROR(IF(G4=0,"",G4/G3),"")</f>
        <v>0.55086848341232231</v>
      </c>
      <c r="H5" s="348">
        <f t="shared" si="1"/>
        <v>1.0828771428571429</v>
      </c>
      <c r="I5" s="348">
        <f t="shared" si="1"/>
        <v>0.55025558111216344</v>
      </c>
      <c r="J5" s="348">
        <f t="shared" si="1"/>
        <v>0.65448470588235297</v>
      </c>
      <c r="K5" s="348">
        <f t="shared" si="1"/>
        <v>0.48439582608695658</v>
      </c>
      <c r="L5" s="348">
        <f t="shared" si="1"/>
        <v>0.654144804088586</v>
      </c>
      <c r="M5" s="348">
        <f t="shared" si="1"/>
        <v>0.40489164588528676</v>
      </c>
      <c r="N5" s="348" t="str">
        <f t="shared" si="1"/>
        <v/>
      </c>
      <c r="O5" s="348" t="str">
        <f t="shared" si="1"/>
        <v/>
      </c>
      <c r="P5" s="273" t="str">
        <f t="shared" si="1"/>
        <v/>
      </c>
      <c r="Q5" s="274"/>
      <c r="S5" s="248" t="s">
        <v>376</v>
      </c>
      <c r="T5" s="258">
        <f>SUM(Q3,Q7,Q11)</f>
        <v>198947</v>
      </c>
      <c r="U5" s="258">
        <f>SUM(Q4,Q8,Q12)</f>
        <v>98609.807000000001</v>
      </c>
      <c r="V5" s="260">
        <f>U5/T5</f>
        <v>0.4956586779393507</v>
      </c>
      <c r="W5" s="259">
        <f>Q37</f>
        <v>0</v>
      </c>
      <c r="X5" s="260">
        <f t="shared" ref="X5:X6" si="2">W5/T5</f>
        <v>0</v>
      </c>
    </row>
    <row r="6" spans="1:24" s="220" customFormat="1" x14ac:dyDescent="0.4">
      <c r="A6" s="222"/>
      <c r="B6" s="478"/>
      <c r="C6" s="219"/>
      <c r="D6" s="239" t="s">
        <v>372</v>
      </c>
      <c r="E6" s="275">
        <f>E5</f>
        <v>2.0825710317460318</v>
      </c>
      <c r="F6" s="276">
        <f>IFERROR(IF(F4=0,"",SUM($E4:F4)/SUM($E3:F3)),"")</f>
        <v>1.8385883002207506</v>
      </c>
      <c r="G6" s="276">
        <f>IFERROR(IF(G4=0,"",SUM($E4:G4)/SUM($E3:G3)),"")</f>
        <v>1.2175394285714287</v>
      </c>
      <c r="H6" s="276">
        <f>IFERROR(IF(H4=0,"",SUM($E4:H4)/SUM($E3:H3)),"")</f>
        <v>1.1763926190476193</v>
      </c>
      <c r="I6" s="276">
        <f>IFERROR(IF(I4=0,"",SUM($E4:I4)/SUM($E3:I3)),"")</f>
        <v>0.9448995047771499</v>
      </c>
      <c r="J6" s="276">
        <f>IFERROR(IF(J4=0,"",SUM($E4:J4)/SUM($E3:J3)),"")</f>
        <v>0.87828803824062318</v>
      </c>
      <c r="K6" s="276">
        <f>IFERROR(IF(K4=0,"",SUM($E4:K4)/SUM($E3:K3)),"")</f>
        <v>0.80682042220188721</v>
      </c>
      <c r="L6" s="276">
        <f>IFERROR(IF(L4=0,"",SUM($E4:L4)/SUM($E3:L3)),"")</f>
        <v>0.78296041106466829</v>
      </c>
      <c r="M6" s="276">
        <f>IFERROR(IF(M4=0,"",SUM($E4:M4)/SUM($E3:M3)),"")</f>
        <v>0.71643902064456688</v>
      </c>
      <c r="N6" s="276" t="str">
        <f>IFERROR(IF(N4=0,"",SUM($E4:N4)/SUM($E3:N3)),"")</f>
        <v/>
      </c>
      <c r="O6" s="276" t="str">
        <f>IFERROR(IF(O4=0,"",SUM($E4:O4)/SUM($E3:O3)),"")</f>
        <v/>
      </c>
      <c r="P6" s="277" t="str">
        <f>IFERROR(IF(P4=0,"",SUM($E4:P4)/SUM($E3:P3)),"")</f>
        <v/>
      </c>
      <c r="Q6" s="278"/>
      <c r="S6" s="248" t="s">
        <v>377</v>
      </c>
      <c r="T6" s="261">
        <f>SUM(Q15,Q19,Q23,Q27,Q31)</f>
        <v>619833.85440000007</v>
      </c>
      <c r="U6" s="261">
        <f ca="1">SUM(Q16,Q20,Q24,Q28,Q32)</f>
        <v>83794.833715000015</v>
      </c>
      <c r="V6" s="249">
        <f ca="1">U6/T6</f>
        <v>0.13518918516658551</v>
      </c>
      <c r="W6" s="3">
        <f>Q37</f>
        <v>0</v>
      </c>
      <c r="X6" s="249">
        <f t="shared" si="2"/>
        <v>0</v>
      </c>
    </row>
    <row r="7" spans="1:24" x14ac:dyDescent="0.4">
      <c r="A7" s="222"/>
      <c r="B7" s="478"/>
      <c r="C7" s="1" t="s">
        <v>51</v>
      </c>
      <c r="D7" s="234" t="s">
        <v>367</v>
      </c>
      <c r="E7" s="279">
        <f>計画集計!F10</f>
        <v>9120</v>
      </c>
      <c r="F7" s="349">
        <f>計画集計!G10</f>
        <v>9120</v>
      </c>
      <c r="G7" s="349">
        <f>計画集計!H10</f>
        <v>9120</v>
      </c>
      <c r="H7" s="349">
        <f>計画集計!I10</f>
        <v>9120</v>
      </c>
      <c r="I7" s="349">
        <f>計画集計!J10</f>
        <v>9120</v>
      </c>
      <c r="J7" s="349">
        <f>計画集計!K10</f>
        <v>9120</v>
      </c>
      <c r="K7" s="349">
        <f>計画集計!L10</f>
        <v>9120</v>
      </c>
      <c r="L7" s="349">
        <f>計画集計!M10</f>
        <v>9120</v>
      </c>
      <c r="M7" s="349">
        <f>計画集計!N10</f>
        <v>9120</v>
      </c>
      <c r="N7" s="349">
        <f>計画集計!O10</f>
        <v>9120</v>
      </c>
      <c r="O7" s="349">
        <f>計画集計!P10</f>
        <v>9120</v>
      </c>
      <c r="P7" s="281">
        <f>計画集計!Q10</f>
        <v>8820</v>
      </c>
      <c r="Q7" s="282">
        <f t="shared" si="0"/>
        <v>109140</v>
      </c>
      <c r="S7" s="250" t="s">
        <v>375</v>
      </c>
      <c r="T7" s="262">
        <f>SUM(Q3,Q7,Q11,Q15,Q19,Q23,Q27,Q31)</f>
        <v>818780.85440000007</v>
      </c>
      <c r="U7" s="262">
        <f ca="1">SUM(Q4,Q8,Q12,Q16,Q20,Q24,Q28,Q32)</f>
        <v>182404.64071500002</v>
      </c>
      <c r="V7" s="252">
        <f ca="1">U7/T7</f>
        <v>0.22277589874602716</v>
      </c>
      <c r="W7" s="251">
        <f>Q47</f>
        <v>0</v>
      </c>
      <c r="X7" s="252">
        <f>W7/T7</f>
        <v>0</v>
      </c>
    </row>
    <row r="8" spans="1:24" x14ac:dyDescent="0.4">
      <c r="A8" s="222"/>
      <c r="B8" s="478"/>
      <c r="D8" s="236" t="s">
        <v>369</v>
      </c>
      <c r="E8" s="267">
        <f>実績集計!F10</f>
        <v>9824.8000000000011</v>
      </c>
      <c r="F8" s="347">
        <f>実績集計!G10</f>
        <v>6336.4</v>
      </c>
      <c r="G8" s="347">
        <f>実績集計!H10</f>
        <v>5540.6</v>
      </c>
      <c r="H8" s="347">
        <f>実績集計!I10</f>
        <v>7441</v>
      </c>
      <c r="I8" s="347">
        <f>実績集計!J10</f>
        <v>12674.599999999999</v>
      </c>
      <c r="J8" s="347">
        <f>実績集計!K10</f>
        <v>4457.8</v>
      </c>
      <c r="K8" s="347">
        <f>実績集計!L10</f>
        <v>5501.2</v>
      </c>
      <c r="L8" s="347">
        <f>実績集計!M10</f>
        <v>7966.9000000000005</v>
      </c>
      <c r="M8" s="347">
        <f>実績集計!N10</f>
        <v>6210.5</v>
      </c>
      <c r="N8" s="347">
        <f>実績集計!O10</f>
        <v>0</v>
      </c>
      <c r="O8" s="347">
        <f>実績集計!P10</f>
        <v>0</v>
      </c>
      <c r="P8" s="269">
        <f>実績集計!Q10</f>
        <v>0</v>
      </c>
      <c r="Q8" s="270">
        <f t="shared" si="0"/>
        <v>65953.8</v>
      </c>
      <c r="S8" s="220"/>
      <c r="T8" s="220"/>
      <c r="U8" s="220"/>
      <c r="V8" s="220"/>
      <c r="W8" s="220"/>
      <c r="X8" s="220"/>
    </row>
    <row r="9" spans="1:24" x14ac:dyDescent="0.4">
      <c r="A9" s="222"/>
      <c r="B9" s="478"/>
      <c r="D9" s="238" t="s">
        <v>17</v>
      </c>
      <c r="E9" s="271">
        <f>IFERROR(E8/E7,"")</f>
        <v>1.0772807017543862</v>
      </c>
      <c r="F9" s="348">
        <f>IFERROR(IF(F8=0,"",F8/F7),"")</f>
        <v>0.69478070175438589</v>
      </c>
      <c r="G9" s="348">
        <f t="shared" ref="G9" si="3">IFERROR(IF(G8=0,"",G8/G7),"")</f>
        <v>0.60752192982456144</v>
      </c>
      <c r="H9" s="348">
        <f t="shared" ref="H9" si="4">IFERROR(IF(H8=0,"",H8/H7),"")</f>
        <v>0.8158991228070176</v>
      </c>
      <c r="I9" s="348">
        <f t="shared" ref="I9" si="5">IFERROR(IF(I8=0,"",I8/I7),"")</f>
        <v>1.3897587719298243</v>
      </c>
      <c r="J9" s="348">
        <f t="shared" ref="J9" si="6">IFERROR(IF(J8=0,"",J8/J7),"")</f>
        <v>0.48879385964912281</v>
      </c>
      <c r="K9" s="348">
        <f t="shared" ref="K9" si="7">IFERROR(IF(K8=0,"",K8/K7),"")</f>
        <v>0.60320175438596491</v>
      </c>
      <c r="L9" s="348">
        <f t="shared" ref="L9" si="8">IFERROR(IF(L8=0,"",L8/L7),"")</f>
        <v>0.87356359649122817</v>
      </c>
      <c r="M9" s="348">
        <f t="shared" ref="M9" si="9">IFERROR(IF(M8=0,"",M8/M7),"")</f>
        <v>0.68097587719298247</v>
      </c>
      <c r="N9" s="348" t="str">
        <f t="shared" ref="N9" si="10">IFERROR(IF(N8=0,"",N8/N7),"")</f>
        <v/>
      </c>
      <c r="O9" s="348" t="str">
        <f t="shared" ref="O9" si="11">IFERROR(IF(O8=0,"",O8/O7),"")</f>
        <v/>
      </c>
      <c r="P9" s="273" t="str">
        <f t="shared" ref="P9" si="12">IFERROR(IF(P8=0,"",P8/P7),"")</f>
        <v/>
      </c>
      <c r="Q9" s="274"/>
      <c r="S9" s="253" t="s">
        <v>380</v>
      </c>
      <c r="T9" s="254" t="s">
        <v>374</v>
      </c>
      <c r="U9" s="352" t="s">
        <v>381</v>
      </c>
      <c r="V9" s="255" t="s">
        <v>378</v>
      </c>
      <c r="W9" s="254" t="s">
        <v>382</v>
      </c>
      <c r="X9" s="255" t="s">
        <v>378</v>
      </c>
    </row>
    <row r="10" spans="1:24" s="220" customFormat="1" x14ac:dyDescent="0.4">
      <c r="A10" s="222"/>
      <c r="B10" s="478"/>
      <c r="C10" s="219"/>
      <c r="D10" s="239" t="s">
        <v>372</v>
      </c>
      <c r="E10" s="275">
        <f>E9</f>
        <v>1.0772807017543862</v>
      </c>
      <c r="F10" s="276">
        <f>IFERROR(IF(F8=0,"",SUM($E8:F8)/SUM($E7:F7)),"")</f>
        <v>0.88603070175438603</v>
      </c>
      <c r="G10" s="276">
        <f>IFERROR(IF(G8=0,"",SUM($E8:G8)/SUM($E7:G7)),"")</f>
        <v>0.79319444444444454</v>
      </c>
      <c r="H10" s="276">
        <f>IFERROR(IF(H8=0,"",SUM($E8:H8)/SUM($E7:H7)),"")</f>
        <v>0.79887061403508774</v>
      </c>
      <c r="I10" s="276">
        <f>IFERROR(IF(I8=0,"",SUM($E8:I8)/SUM($E7:I7)),"")</f>
        <v>0.91704824561403508</v>
      </c>
      <c r="J10" s="276">
        <f>IFERROR(IF(J8=0,"",SUM($E8:J8)/SUM($E7:J7)),"")</f>
        <v>0.84567251461988313</v>
      </c>
      <c r="K10" s="276">
        <f>IFERROR(IF(K8=0,"",SUM($E8:K8)/SUM($E7:K7)),"")</f>
        <v>0.81103383458646616</v>
      </c>
      <c r="L10" s="276">
        <f>IFERROR(IF(L8=0,"",SUM($E8:L8)/SUM($E7:L7)),"")</f>
        <v>0.81885005482456141</v>
      </c>
      <c r="M10" s="276">
        <f>IFERROR(IF(M8=0,"",SUM($E8:M8)/SUM($E7:M7)),"")</f>
        <v>0.80353070175438601</v>
      </c>
      <c r="N10" s="276" t="str">
        <f>IFERROR(IF(N8=0,"",SUM($E8:N8)/SUM($E7:N7)),"")</f>
        <v/>
      </c>
      <c r="O10" s="276" t="str">
        <f>IFERROR(IF(O8=0,"",SUM($E8:O8)/SUM($E7:O7)),"")</f>
        <v/>
      </c>
      <c r="P10" s="277" t="str">
        <f>IFERROR(IF(P8=0,"",SUM($E8:P8)/SUM($E7:P7)),"")</f>
        <v/>
      </c>
      <c r="Q10" s="278"/>
      <c r="S10" s="256" t="s">
        <v>376</v>
      </c>
      <c r="T10" s="258">
        <f>SUM(Q51,Q55,Q59)</f>
        <v>53337.530740740738</v>
      </c>
      <c r="U10" s="258">
        <f>SUM(Q52,Q56,Q60)</f>
        <v>25033.215999999997</v>
      </c>
      <c r="V10" s="260">
        <f>U10/T10</f>
        <v>0.46933586261575672</v>
      </c>
      <c r="W10" s="259">
        <f>Q85</f>
        <v>0</v>
      </c>
      <c r="X10" s="260">
        <f>W10/T10</f>
        <v>0</v>
      </c>
    </row>
    <row r="11" spans="1:24" x14ac:dyDescent="0.4">
      <c r="A11" s="222"/>
      <c r="B11" s="478"/>
      <c r="C11" s="1" t="s">
        <v>52</v>
      </c>
      <c r="D11" s="234" t="s">
        <v>367</v>
      </c>
      <c r="E11" s="279">
        <f>計画集計!F14</f>
        <v>1513</v>
      </c>
      <c r="F11" s="349">
        <f>計画集計!G14</f>
        <v>1513</v>
      </c>
      <c r="G11" s="349">
        <f>計画集計!H14</f>
        <v>1513</v>
      </c>
      <c r="H11" s="349">
        <f>計画集計!I14</f>
        <v>1513</v>
      </c>
      <c r="I11" s="349">
        <f>計画集計!J14</f>
        <v>1513</v>
      </c>
      <c r="J11" s="349">
        <f>計画集計!K14</f>
        <v>1513</v>
      </c>
      <c r="K11" s="349">
        <f>計画集計!L14</f>
        <v>1513</v>
      </c>
      <c r="L11" s="349">
        <f>計画集計!M14</f>
        <v>1513</v>
      </c>
      <c r="M11" s="349">
        <f>計画集計!N14</f>
        <v>1513</v>
      </c>
      <c r="N11" s="349">
        <f>計画集計!O14</f>
        <v>1513</v>
      </c>
      <c r="O11" s="349">
        <f>計画集計!P14</f>
        <v>1513</v>
      </c>
      <c r="P11" s="281">
        <f>計画集計!Q14</f>
        <v>1513</v>
      </c>
      <c r="Q11" s="282">
        <f t="shared" si="0"/>
        <v>18156</v>
      </c>
      <c r="S11" s="256" t="s">
        <v>377</v>
      </c>
      <c r="T11" s="261">
        <f>SUM(Q63,Q67,Q71,Q75,Q79)</f>
        <v>104642.57440000001</v>
      </c>
      <c r="U11" s="261">
        <f ca="1">SUM(Q64,Q68,Q72,Q76,Q80)</f>
        <v>15547.470240900006</v>
      </c>
      <c r="V11" s="249">
        <f ca="1">U11/T11</f>
        <v>0.14857690887333524</v>
      </c>
      <c r="W11" s="207">
        <f>Q90</f>
        <v>0</v>
      </c>
      <c r="X11" s="249">
        <f t="shared" ref="X11" si="13">W11/T11</f>
        <v>0</v>
      </c>
    </row>
    <row r="12" spans="1:24" x14ac:dyDescent="0.4">
      <c r="A12" s="222"/>
      <c r="B12" s="478"/>
      <c r="D12" s="236" t="s">
        <v>369</v>
      </c>
      <c r="E12" s="267">
        <f>実績集計!F14</f>
        <v>1184</v>
      </c>
      <c r="F12" s="347">
        <f>実績集計!G14</f>
        <v>1045</v>
      </c>
      <c r="G12" s="347">
        <f>実績集計!H14</f>
        <v>790</v>
      </c>
      <c r="H12" s="347">
        <f>実績集計!I14</f>
        <v>1876</v>
      </c>
      <c r="I12" s="347">
        <f>実績集計!J14</f>
        <v>1174</v>
      </c>
      <c r="J12" s="347">
        <f>実績集計!K14</f>
        <v>1641</v>
      </c>
      <c r="K12" s="347">
        <f>実績集計!L14</f>
        <v>1463</v>
      </c>
      <c r="L12" s="347">
        <f>実績集計!M14</f>
        <v>1095</v>
      </c>
      <c r="M12" s="347">
        <f>実績集計!N14</f>
        <v>839</v>
      </c>
      <c r="N12" s="347">
        <f>実績集計!O14</f>
        <v>0</v>
      </c>
      <c r="O12" s="347">
        <f>実績集計!P14</f>
        <v>0</v>
      </c>
      <c r="P12" s="269">
        <f>実績集計!Q14</f>
        <v>0</v>
      </c>
      <c r="Q12" s="270"/>
      <c r="S12" s="257" t="s">
        <v>375</v>
      </c>
      <c r="T12" s="262">
        <f>SUM(Q51,Q55,Q59,Q63,Q67,Q71,Q75,Q79)</f>
        <v>157980.10514074072</v>
      </c>
      <c r="U12" s="262">
        <f ca="1">SUM(Q52,Q56,Q60,Q64,Q68,Q72,Q76,Q80)</f>
        <v>40580.68624090001</v>
      </c>
      <c r="V12" s="252">
        <f ca="1">U12/T12</f>
        <v>0.25687213085943728</v>
      </c>
      <c r="W12" s="251">
        <f>Q95</f>
        <v>0</v>
      </c>
      <c r="X12" s="252">
        <f>W12/T12</f>
        <v>0</v>
      </c>
    </row>
    <row r="13" spans="1:24" x14ac:dyDescent="0.4">
      <c r="A13" s="222"/>
      <c r="B13" s="478"/>
      <c r="D13" s="238" t="s">
        <v>17</v>
      </c>
      <c r="E13" s="271">
        <f>IFERROR(E12/E11,"")</f>
        <v>0.78255122273628552</v>
      </c>
      <c r="F13" s="348">
        <f>IFERROR(IF(F12=0,"",F12/F11),"")</f>
        <v>0.69068076668869793</v>
      </c>
      <c r="G13" s="348">
        <f t="shared" ref="G13" si="14">IFERROR(IF(G12=0,"",G12/G11),"")</f>
        <v>0.52214144084600134</v>
      </c>
      <c r="H13" s="348">
        <f t="shared" ref="H13" si="15">IFERROR(IF(H12=0,"",H12/H11),"")</f>
        <v>1.239920687376074</v>
      </c>
      <c r="I13" s="348">
        <f t="shared" ref="I13" si="16">IFERROR(IF(I12=0,"",I12/I11),"")</f>
        <v>0.77594183740912093</v>
      </c>
      <c r="J13" s="348">
        <f t="shared" ref="J13" si="17">IFERROR(IF(J12=0,"",J12/J11),"")</f>
        <v>1.0846001321877066</v>
      </c>
      <c r="K13" s="348">
        <f t="shared" ref="K13" si="18">IFERROR(IF(K12=0,"",K12/K11),"")</f>
        <v>0.96695307336417713</v>
      </c>
      <c r="L13" s="348">
        <f t="shared" ref="L13" si="19">IFERROR(IF(L12=0,"",L12/L11),"")</f>
        <v>0.7237276933245208</v>
      </c>
      <c r="M13" s="348">
        <f t="shared" ref="M13" si="20">IFERROR(IF(M12=0,"",M12/M11),"")</f>
        <v>0.55452742894910778</v>
      </c>
      <c r="N13" s="348" t="str">
        <f t="shared" ref="N13" si="21">IFERROR(IF(N12=0,"",N12/N11),"")</f>
        <v/>
      </c>
      <c r="O13" s="348" t="str">
        <f t="shared" ref="O13" si="22">IFERROR(IF(O12=0,"",O12/O11),"")</f>
        <v/>
      </c>
      <c r="P13" s="273" t="str">
        <f t="shared" ref="P13" si="23">IFERROR(IF(P12=0,"",P12/P11),"")</f>
        <v/>
      </c>
      <c r="Q13" s="274"/>
    </row>
    <row r="14" spans="1:24" s="220" customFormat="1" x14ac:dyDescent="0.4">
      <c r="A14" s="222"/>
      <c r="B14" s="479"/>
      <c r="C14" s="175"/>
      <c r="D14" s="240" t="s">
        <v>372</v>
      </c>
      <c r="E14" s="300">
        <f>E13</f>
        <v>0.78255122273628552</v>
      </c>
      <c r="F14" s="301">
        <f>IFERROR(IF(F12=0,"",SUM($E12:F12)/SUM($E11:F11)),"")</f>
        <v>0.73661599471249173</v>
      </c>
      <c r="G14" s="301">
        <f>IFERROR(IF(G12=0,"",SUM($E12:G12)/SUM($E11:G11)),"")</f>
        <v>0.66512447675699493</v>
      </c>
      <c r="H14" s="301">
        <f>IFERROR(IF(H12=0,"",SUM($E12:H12)/SUM($E11:H11)),"")</f>
        <v>0.80882352941176472</v>
      </c>
      <c r="I14" s="301">
        <f>IFERROR(IF(I12=0,"",SUM($E12:I12)/SUM($E11:I11)),"")</f>
        <v>0.80224719101123598</v>
      </c>
      <c r="J14" s="301">
        <f>IFERROR(IF(J12=0,"",SUM($E12:J12)/SUM($E11:J11)),"")</f>
        <v>0.84930601454064769</v>
      </c>
      <c r="K14" s="301">
        <f>IFERROR(IF(K12=0,"",SUM($E12:K12)/SUM($E11:K11)),"")</f>
        <v>0.86611273722972337</v>
      </c>
      <c r="L14" s="301">
        <f>IFERROR(IF(L12=0,"",SUM($E12:L12)/SUM($E11:L11)),"")</f>
        <v>0.848314606741573</v>
      </c>
      <c r="M14" s="301">
        <f>IFERROR(IF(M12=0,"",SUM($E12:M12)/SUM($E11:M11)),"")</f>
        <v>0.81567158698685471</v>
      </c>
      <c r="N14" s="301" t="str">
        <f>IFERROR(IF(N12=0,"",SUM($E12:N12)/SUM($E11:N11)),"")</f>
        <v/>
      </c>
      <c r="O14" s="301" t="str">
        <f>IFERROR(IF(O12=0,"",SUM($E12:O12)/SUM($E11:O11)),"")</f>
        <v/>
      </c>
      <c r="P14" s="302" t="str">
        <f>IFERROR(IF(P12=0,"",SUM($E12:P12)/SUM($E11:P11)),"")</f>
        <v/>
      </c>
      <c r="Q14" s="283"/>
      <c r="T14" s="162"/>
      <c r="U14" s="162"/>
      <c r="V14" s="162"/>
    </row>
    <row r="15" spans="1:24" x14ac:dyDescent="0.4">
      <c r="A15" s="222"/>
      <c r="B15" s="478" t="s">
        <v>57</v>
      </c>
      <c r="C15" s="1" t="s">
        <v>53</v>
      </c>
      <c r="D15" s="234" t="s">
        <v>367</v>
      </c>
      <c r="E15" s="279">
        <f>計画集計!F18</f>
        <v>16011</v>
      </c>
      <c r="F15" s="280">
        <f>計画集計!G18</f>
        <v>17465</v>
      </c>
      <c r="G15" s="280">
        <f>計画集計!H18</f>
        <v>12300</v>
      </c>
      <c r="H15" s="280">
        <f>計画集計!I18</f>
        <v>28045</v>
      </c>
      <c r="I15" s="280">
        <f>計画集計!J18</f>
        <v>23825</v>
      </c>
      <c r="J15" s="280">
        <f>計画集計!K18</f>
        <v>28990</v>
      </c>
      <c r="K15" s="280">
        <f>計画集計!L18</f>
        <v>28990</v>
      </c>
      <c r="L15" s="280">
        <f>計画集計!M18</f>
        <v>29675</v>
      </c>
      <c r="M15" s="280">
        <f>計画集計!N18</f>
        <v>26675</v>
      </c>
      <c r="N15" s="280">
        <f>計画集計!O18</f>
        <v>23460</v>
      </c>
      <c r="O15" s="280">
        <f>計画集計!P18</f>
        <v>23830</v>
      </c>
      <c r="P15" s="281">
        <f>計画集計!Q18</f>
        <v>24730</v>
      </c>
      <c r="Q15" s="282">
        <f t="shared" si="0"/>
        <v>283996</v>
      </c>
    </row>
    <row r="16" spans="1:24" x14ac:dyDescent="0.4">
      <c r="A16" s="222"/>
      <c r="B16" s="478"/>
      <c r="D16" s="236" t="s">
        <v>369</v>
      </c>
      <c r="E16" s="267">
        <f ca="1">実績集計!F18</f>
        <v>16351.4661576</v>
      </c>
      <c r="F16" s="268">
        <f ca="1">実績集計!G18</f>
        <v>17549.613279999998</v>
      </c>
      <c r="G16" s="268">
        <f ca="1">実績集計!H18</f>
        <v>6755.5159999999996</v>
      </c>
      <c r="H16" s="268">
        <f ca="1">実績集計!I18</f>
        <v>0</v>
      </c>
      <c r="I16" s="268">
        <f ca="1">実績集計!J18</f>
        <v>0</v>
      </c>
      <c r="J16" s="268">
        <f ca="1">実績集計!K18</f>
        <v>0</v>
      </c>
      <c r="K16" s="268">
        <f ca="1">実績集計!L18</f>
        <v>0</v>
      </c>
      <c r="L16" s="268">
        <f ca="1">実績集計!M18</f>
        <v>0</v>
      </c>
      <c r="M16" s="268">
        <f ca="1">実績集計!N18</f>
        <v>0</v>
      </c>
      <c r="N16" s="268">
        <f ca="1">実績集計!O18</f>
        <v>0</v>
      </c>
      <c r="O16" s="268">
        <f ca="1">実績集計!P18</f>
        <v>0</v>
      </c>
      <c r="P16" s="269">
        <f ca="1">実績集計!Q18</f>
        <v>0</v>
      </c>
      <c r="Q16" s="270">
        <f t="shared" ca="1" si="0"/>
        <v>40656.595437600001</v>
      </c>
    </row>
    <row r="17" spans="1:22" x14ac:dyDescent="0.4">
      <c r="A17" s="222"/>
      <c r="B17" s="478"/>
      <c r="D17" s="238" t="s">
        <v>17</v>
      </c>
      <c r="E17" s="271">
        <f ca="1">IFERROR(E16/E15,"")</f>
        <v>1.0212645154955968</v>
      </c>
      <c r="F17" s="272">
        <f ca="1">IFERROR(IF(F16=0,"",F16/F15),"")</f>
        <v>1.0048447340395075</v>
      </c>
      <c r="G17" s="272">
        <f t="shared" ref="G17" ca="1" si="24">IFERROR(IF(G16=0,"",G16/G15),"")</f>
        <v>0.54922894308943082</v>
      </c>
      <c r="H17" s="272" t="str">
        <f t="shared" ref="H17" ca="1" si="25">IFERROR(IF(H16=0,"",H16/H15),"")</f>
        <v/>
      </c>
      <c r="I17" s="272" t="str">
        <f t="shared" ref="I17" ca="1" si="26">IFERROR(IF(I16=0,"",I16/I15),"")</f>
        <v/>
      </c>
      <c r="J17" s="272" t="str">
        <f t="shared" ref="J17" ca="1" si="27">IFERROR(IF(J16=0,"",J16/J15),"")</f>
        <v/>
      </c>
      <c r="K17" s="272" t="str">
        <f t="shared" ref="K17" ca="1" si="28">IFERROR(IF(K16=0,"",K16/K15),"")</f>
        <v/>
      </c>
      <c r="L17" s="272" t="str">
        <f t="shared" ref="L17" ca="1" si="29">IFERROR(IF(L16=0,"",L16/L15),"")</f>
        <v/>
      </c>
      <c r="M17" s="272" t="str">
        <f t="shared" ref="M17" ca="1" si="30">IFERROR(IF(M16=0,"",M16/M15),"")</f>
        <v/>
      </c>
      <c r="N17" s="272" t="str">
        <f t="shared" ref="N17" ca="1" si="31">IFERROR(IF(N16=0,"",N16/N15),"")</f>
        <v/>
      </c>
      <c r="O17" s="272" t="str">
        <f t="shared" ref="O17" ca="1" si="32">IFERROR(IF(O16=0,"",O16/O15),"")</f>
        <v/>
      </c>
      <c r="P17" s="273" t="str">
        <f t="shared" ref="P17" ca="1" si="33">IFERROR(IF(P16=0,"",P16/P15),"")</f>
        <v/>
      </c>
      <c r="Q17" s="274"/>
    </row>
    <row r="18" spans="1:22" s="220" customFormat="1" x14ac:dyDescent="0.4">
      <c r="A18" s="222"/>
      <c r="B18" s="478"/>
      <c r="C18" s="219"/>
      <c r="D18" s="239" t="s">
        <v>372</v>
      </c>
      <c r="E18" s="275">
        <f ca="1">E17</f>
        <v>1.0212645154955968</v>
      </c>
      <c r="F18" s="276">
        <f ca="1">IFERROR(IF(F16=0,"",SUM($E16:F16)/SUM($E15:F15)),"")</f>
        <v>1.0126980355359063</v>
      </c>
      <c r="G18" s="276">
        <f ca="1">IFERROR(IF(G16=0,"",SUM($E16:G16)/SUM($E15:G15)),"")</f>
        <v>0.88816400379238025</v>
      </c>
      <c r="H18" s="276" t="str">
        <f ca="1">IFERROR(IF(H16=0,"",SUM($E16:H16)/SUM($E15:H15)),"")</f>
        <v/>
      </c>
      <c r="I18" s="276" t="str">
        <f ca="1">IFERROR(IF(I16=0,"",SUM($E16:I16)/SUM($E15:I15)),"")</f>
        <v/>
      </c>
      <c r="J18" s="276" t="str">
        <f ca="1">IFERROR(IF(J16=0,"",SUM($E16:J16)/SUM($E15:J15)),"")</f>
        <v/>
      </c>
      <c r="K18" s="276" t="str">
        <f ca="1">IFERROR(IF(K16=0,"",SUM($E16:K16)/SUM($E15:K15)),"")</f>
        <v/>
      </c>
      <c r="L18" s="276" t="str">
        <f ca="1">IFERROR(IF(L16=0,"",SUM($E16:L16)/SUM($E15:L15)),"")</f>
        <v/>
      </c>
      <c r="M18" s="276" t="str">
        <f ca="1">IFERROR(IF(M16=0,"",SUM($E16:M16)/SUM($E15:M15)),"")</f>
        <v/>
      </c>
      <c r="N18" s="276" t="str">
        <f ca="1">IFERROR(IF(N16=0,"",SUM($E16:N16)/SUM($E15:N15)),"")</f>
        <v/>
      </c>
      <c r="O18" s="276" t="str">
        <f ca="1">IFERROR(IF(O16=0,"",SUM($E16:O16)/SUM($E15:O15)),"")</f>
        <v/>
      </c>
      <c r="P18" s="277" t="str">
        <f ca="1">IFERROR(IF(P16=0,"",SUM($E16:P16)/SUM($E15:P15)),"")</f>
        <v/>
      </c>
      <c r="Q18" s="278"/>
      <c r="T18" s="162"/>
      <c r="U18" s="162"/>
      <c r="V18" s="162"/>
    </row>
    <row r="19" spans="1:22" x14ac:dyDescent="0.4">
      <c r="A19" s="222"/>
      <c r="B19" s="478"/>
      <c r="C19" s="1" t="s">
        <v>54</v>
      </c>
      <c r="D19" s="234" t="s">
        <v>367</v>
      </c>
      <c r="E19" s="279">
        <f>計画集計!F22</f>
        <v>12183</v>
      </c>
      <c r="F19" s="280">
        <f>計画集計!G22</f>
        <v>11421</v>
      </c>
      <c r="G19" s="280">
        <f>計画集計!H22</f>
        <v>12939</v>
      </c>
      <c r="H19" s="280">
        <f>計画集計!I22</f>
        <v>16360</v>
      </c>
      <c r="I19" s="280">
        <f>計画集計!J22</f>
        <v>17195</v>
      </c>
      <c r="J19" s="280">
        <f>計画集計!K22</f>
        <v>15127</v>
      </c>
      <c r="K19" s="280">
        <f>計画集計!L22</f>
        <v>16347</v>
      </c>
      <c r="L19" s="280">
        <f>計画集計!M22</f>
        <v>12717</v>
      </c>
      <c r="M19" s="280">
        <f>計画集計!N22</f>
        <v>15528</v>
      </c>
      <c r="N19" s="280">
        <f>計画集計!O22</f>
        <v>16186</v>
      </c>
      <c r="O19" s="280">
        <f>計画集計!P22</f>
        <v>12629</v>
      </c>
      <c r="P19" s="281">
        <f>計画集計!Q22</f>
        <v>13636</v>
      </c>
      <c r="Q19" s="282">
        <f t="shared" si="0"/>
        <v>172268</v>
      </c>
    </row>
    <row r="20" spans="1:22" x14ac:dyDescent="0.4">
      <c r="A20" s="222"/>
      <c r="B20" s="478"/>
      <c r="D20" s="236" t="s">
        <v>369</v>
      </c>
      <c r="E20" s="267">
        <f ca="1">実績集計!F22</f>
        <v>11084.778134700002</v>
      </c>
      <c r="F20" s="268">
        <f ca="1">実績集計!G22</f>
        <v>20453.171741500002</v>
      </c>
      <c r="G20" s="268">
        <f ca="1">実績集計!H22</f>
        <v>0</v>
      </c>
      <c r="H20" s="268">
        <f ca="1">実績集計!I22</f>
        <v>0</v>
      </c>
      <c r="I20" s="268">
        <f ca="1">実績集計!J22</f>
        <v>0</v>
      </c>
      <c r="J20" s="268">
        <f ca="1">実績集計!K22</f>
        <v>0</v>
      </c>
      <c r="K20" s="268">
        <f ca="1">実績集計!L22</f>
        <v>0</v>
      </c>
      <c r="L20" s="268">
        <f ca="1">実績集計!M22</f>
        <v>0</v>
      </c>
      <c r="M20" s="268">
        <f ca="1">実績集計!N22</f>
        <v>0</v>
      </c>
      <c r="N20" s="268">
        <f ca="1">実績集計!O22</f>
        <v>0</v>
      </c>
      <c r="O20" s="268">
        <f ca="1">実績集計!P22</f>
        <v>0</v>
      </c>
      <c r="P20" s="269">
        <f ca="1">実績集計!Q22</f>
        <v>0</v>
      </c>
      <c r="Q20" s="270">
        <f t="shared" ca="1" si="0"/>
        <v>31537.949876200004</v>
      </c>
    </row>
    <row r="21" spans="1:22" x14ac:dyDescent="0.4">
      <c r="A21" s="222"/>
      <c r="B21" s="478"/>
      <c r="D21" s="238" t="s">
        <v>17</v>
      </c>
      <c r="E21" s="271">
        <f ca="1">IFERROR(E20/E19,"")</f>
        <v>0.90985620411228774</v>
      </c>
      <c r="F21" s="272">
        <f ca="1">IFERROR(IF(F20=0,"",F20/F19),"")</f>
        <v>1.7908389581910518</v>
      </c>
      <c r="G21" s="272" t="str">
        <f t="shared" ref="G21" ca="1" si="34">IFERROR(IF(G20=0,"",G20/G19),"")</f>
        <v/>
      </c>
      <c r="H21" s="272" t="str">
        <f t="shared" ref="H21" ca="1" si="35">IFERROR(IF(H20=0,"",H20/H19),"")</f>
        <v/>
      </c>
      <c r="I21" s="272" t="str">
        <f t="shared" ref="I21" ca="1" si="36">IFERROR(IF(I20=0,"",I20/I19),"")</f>
        <v/>
      </c>
      <c r="J21" s="272" t="str">
        <f t="shared" ref="J21" ca="1" si="37">IFERROR(IF(J20=0,"",J20/J19),"")</f>
        <v/>
      </c>
      <c r="K21" s="272" t="str">
        <f t="shared" ref="K21" ca="1" si="38">IFERROR(IF(K20=0,"",K20/K19),"")</f>
        <v/>
      </c>
      <c r="L21" s="272" t="str">
        <f t="shared" ref="L21" ca="1" si="39">IFERROR(IF(L20=0,"",L20/L19),"")</f>
        <v/>
      </c>
      <c r="M21" s="272" t="str">
        <f t="shared" ref="M21" ca="1" si="40">IFERROR(IF(M20=0,"",M20/M19),"")</f>
        <v/>
      </c>
      <c r="N21" s="272" t="str">
        <f t="shared" ref="N21" ca="1" si="41">IFERROR(IF(N20=0,"",N20/N19),"")</f>
        <v/>
      </c>
      <c r="O21" s="272" t="str">
        <f t="shared" ref="O21" ca="1" si="42">IFERROR(IF(O20=0,"",O20/O19),"")</f>
        <v/>
      </c>
      <c r="P21" s="273" t="str">
        <f t="shared" ref="P21" ca="1" si="43">IFERROR(IF(P20=0,"",P20/P19),"")</f>
        <v/>
      </c>
      <c r="Q21" s="274"/>
    </row>
    <row r="22" spans="1:22" s="220" customFormat="1" x14ac:dyDescent="0.4">
      <c r="A22" s="222"/>
      <c r="B22" s="478"/>
      <c r="C22" s="219"/>
      <c r="D22" s="239" t="s">
        <v>372</v>
      </c>
      <c r="E22" s="275">
        <f ca="1">E21</f>
        <v>0.90985620411228774</v>
      </c>
      <c r="F22" s="276">
        <f ca="1">IFERROR(IF(F20=0,"",SUM($E20:F20)/SUM($E19:F19)),"")</f>
        <v>1.3361273460515168</v>
      </c>
      <c r="G22" s="276" t="str">
        <f ca="1">IFERROR(IF(G20=0,"",SUM($E20:G20)/SUM($E19:G19)),"")</f>
        <v/>
      </c>
      <c r="H22" s="276" t="str">
        <f ca="1">IFERROR(IF(H20=0,"",SUM($E20:H20)/SUM($E19:H19)),"")</f>
        <v/>
      </c>
      <c r="I22" s="276" t="str">
        <f ca="1">IFERROR(IF(I20=0,"",SUM($E20:I20)/SUM($E19:I19)),"")</f>
        <v/>
      </c>
      <c r="J22" s="276" t="str">
        <f ca="1">IFERROR(IF(J20=0,"",SUM($E20:J20)/SUM($E19:J19)),"")</f>
        <v/>
      </c>
      <c r="K22" s="276" t="str">
        <f ca="1">IFERROR(IF(K20=0,"",SUM($E20:K20)/SUM($E19:K19)),"")</f>
        <v/>
      </c>
      <c r="L22" s="276" t="str">
        <f ca="1">IFERROR(IF(L20=0,"",SUM($E20:L20)/SUM($E19:L19)),"")</f>
        <v/>
      </c>
      <c r="M22" s="276" t="str">
        <f ca="1">IFERROR(IF(M20=0,"",SUM($E20:M20)/SUM($E19:M19)),"")</f>
        <v/>
      </c>
      <c r="N22" s="276" t="str">
        <f ca="1">IFERROR(IF(N20=0,"",SUM($E20:N20)/SUM($E19:N19)),"")</f>
        <v/>
      </c>
      <c r="O22" s="276" t="str">
        <f ca="1">IFERROR(IF(O20=0,"",SUM($E20:O20)/SUM($E19:O19)),"")</f>
        <v/>
      </c>
      <c r="P22" s="277" t="str">
        <f ca="1">IFERROR(IF(P20=0,"",SUM($E20:P20)/SUM($E19:P19)),"")</f>
        <v/>
      </c>
      <c r="Q22" s="278"/>
      <c r="T22" s="162"/>
      <c r="U22" s="162"/>
      <c r="V22" s="162"/>
    </row>
    <row r="23" spans="1:22" x14ac:dyDescent="0.4">
      <c r="A23" s="222"/>
      <c r="B23" s="478"/>
      <c r="C23" s="1" t="s">
        <v>55</v>
      </c>
      <c r="D23" s="234" t="s">
        <v>367</v>
      </c>
      <c r="E23" s="279">
        <f>計画集計!F26</f>
        <v>2363.6543999999999</v>
      </c>
      <c r="F23" s="280">
        <f>計画集計!G26</f>
        <v>5513.36</v>
      </c>
      <c r="G23" s="280">
        <f>計画集計!H26</f>
        <v>4462.1400000000003</v>
      </c>
      <c r="H23" s="280">
        <f>計画集計!I26</f>
        <v>4690.8999999999996</v>
      </c>
      <c r="I23" s="280">
        <f>計画集計!J26</f>
        <v>4120.9400000000005</v>
      </c>
      <c r="J23" s="280">
        <f>計画集計!K26</f>
        <v>5184.0999999999995</v>
      </c>
      <c r="K23" s="280">
        <f>計画集計!L26</f>
        <v>6232.7</v>
      </c>
      <c r="L23" s="280">
        <f>計画集計!M26</f>
        <v>5576.9400000000005</v>
      </c>
      <c r="M23" s="280">
        <f>計画集計!N26</f>
        <v>4673.72</v>
      </c>
      <c r="N23" s="280">
        <f>計画集計!O26</f>
        <v>7308.92</v>
      </c>
      <c r="O23" s="280">
        <f>計画集計!P26</f>
        <v>8601.58</v>
      </c>
      <c r="P23" s="281">
        <f>計画集計!Q26</f>
        <v>4719.5999999999995</v>
      </c>
      <c r="Q23" s="282">
        <f t="shared" si="0"/>
        <v>63448.554400000001</v>
      </c>
    </row>
    <row r="24" spans="1:22" x14ac:dyDescent="0.4">
      <c r="A24" s="222"/>
      <c r="B24" s="478"/>
      <c r="D24" s="236" t="s">
        <v>369</v>
      </c>
      <c r="E24" s="267">
        <f ca="1">実績集計!F26</f>
        <v>1450.9016482000002</v>
      </c>
      <c r="F24" s="268">
        <f ca="1">実績集計!G26</f>
        <v>9624.1917529999992</v>
      </c>
      <c r="G24" s="268">
        <f ca="1">実績集計!H26</f>
        <v>0</v>
      </c>
      <c r="H24" s="268">
        <f ca="1">実績集計!I26</f>
        <v>0</v>
      </c>
      <c r="I24" s="268">
        <f ca="1">実績集計!J26</f>
        <v>0</v>
      </c>
      <c r="J24" s="268">
        <f ca="1">実績集計!K26</f>
        <v>0</v>
      </c>
      <c r="K24" s="268">
        <f ca="1">実績集計!L26</f>
        <v>0</v>
      </c>
      <c r="L24" s="268">
        <f ca="1">実績集計!M26</f>
        <v>0</v>
      </c>
      <c r="M24" s="268">
        <f ca="1">実績集計!N26</f>
        <v>0</v>
      </c>
      <c r="N24" s="268">
        <f ca="1">実績集計!O26</f>
        <v>0</v>
      </c>
      <c r="O24" s="268">
        <f ca="1">実績集計!P26</f>
        <v>0</v>
      </c>
      <c r="P24" s="269">
        <f ca="1">実績集計!Q26</f>
        <v>0</v>
      </c>
      <c r="Q24" s="270">
        <f t="shared" ca="1" si="0"/>
        <v>11075.0934012</v>
      </c>
    </row>
    <row r="25" spans="1:22" x14ac:dyDescent="0.4">
      <c r="A25" s="222"/>
      <c r="B25" s="478"/>
      <c r="D25" s="238" t="s">
        <v>17</v>
      </c>
      <c r="E25" s="271">
        <f ca="1">IFERROR(E24/E23,"")</f>
        <v>0.61383832094912028</v>
      </c>
      <c r="F25" s="272">
        <f ca="1">IFERROR(IF(F24=0,"",F24/F23),"")</f>
        <v>1.7456127938317105</v>
      </c>
      <c r="G25" s="272" t="str">
        <f t="shared" ref="G25" ca="1" si="44">IFERROR(IF(G24=0,"",G24/G23),"")</f>
        <v/>
      </c>
      <c r="H25" s="272" t="str">
        <f t="shared" ref="H25" ca="1" si="45">IFERROR(IF(H24=0,"",H24/H23),"")</f>
        <v/>
      </c>
      <c r="I25" s="272" t="str">
        <f t="shared" ref="I25" ca="1" si="46">IFERROR(IF(I24=0,"",I24/I23),"")</f>
        <v/>
      </c>
      <c r="J25" s="272" t="str">
        <f t="shared" ref="J25" ca="1" si="47">IFERROR(IF(J24=0,"",J24/J23),"")</f>
        <v/>
      </c>
      <c r="K25" s="272" t="str">
        <f t="shared" ref="K25" ca="1" si="48">IFERROR(IF(K24=0,"",K24/K23),"")</f>
        <v/>
      </c>
      <c r="L25" s="272" t="str">
        <f t="shared" ref="L25" ca="1" si="49">IFERROR(IF(L24=0,"",L24/L23),"")</f>
        <v/>
      </c>
      <c r="M25" s="272" t="str">
        <f t="shared" ref="M25" ca="1" si="50">IFERROR(IF(M24=0,"",M24/M23),"")</f>
        <v/>
      </c>
      <c r="N25" s="272" t="str">
        <f t="shared" ref="N25" ca="1" si="51">IFERROR(IF(N24=0,"",N24/N23),"")</f>
        <v/>
      </c>
      <c r="O25" s="272" t="str">
        <f t="shared" ref="O25" ca="1" si="52">IFERROR(IF(O24=0,"",O24/O23),"")</f>
        <v/>
      </c>
      <c r="P25" s="273" t="str">
        <f t="shared" ref="P25" ca="1" si="53">IFERROR(IF(P24=0,"",P24/P23),"")</f>
        <v/>
      </c>
      <c r="Q25" s="274"/>
    </row>
    <row r="26" spans="1:22" s="220" customFormat="1" x14ac:dyDescent="0.4">
      <c r="A26" s="222"/>
      <c r="B26" s="478"/>
      <c r="C26" s="219"/>
      <c r="D26" s="239" t="s">
        <v>372</v>
      </c>
      <c r="E26" s="275">
        <f ca="1">E25</f>
        <v>0.61383832094912028</v>
      </c>
      <c r="F26" s="276">
        <f ca="1">IFERROR(IF(F24=0,"",SUM($E24:F24)/SUM($E23:F23)),"")</f>
        <v>1.4060014161203005</v>
      </c>
      <c r="G26" s="276" t="str">
        <f ca="1">IFERROR(IF(G24=0,"",SUM($E24:G24)/SUM($E23:G23)),"")</f>
        <v/>
      </c>
      <c r="H26" s="276" t="str">
        <f ca="1">IFERROR(IF(H24=0,"",SUM($E24:H24)/SUM($E23:H23)),"")</f>
        <v/>
      </c>
      <c r="I26" s="276" t="str">
        <f ca="1">IFERROR(IF(I24=0,"",SUM($E24:I24)/SUM($E23:I23)),"")</f>
        <v/>
      </c>
      <c r="J26" s="276" t="str">
        <f ca="1">IFERROR(IF(J24=0,"",SUM($E24:J24)/SUM($E23:J23)),"")</f>
        <v/>
      </c>
      <c r="K26" s="276" t="str">
        <f ca="1">IFERROR(IF(K24=0,"",SUM($E24:K24)/SUM($E23:K23)),"")</f>
        <v/>
      </c>
      <c r="L26" s="276" t="str">
        <f ca="1">IFERROR(IF(L24=0,"",SUM($E24:L24)/SUM($E23:L23)),"")</f>
        <v/>
      </c>
      <c r="M26" s="276" t="str">
        <f ca="1">IFERROR(IF(M24=0,"",SUM($E24:M24)/SUM($E23:M23)),"")</f>
        <v/>
      </c>
      <c r="N26" s="276" t="str">
        <f ca="1">IFERROR(IF(N24=0,"",SUM($E24:N24)/SUM($E23:N23)),"")</f>
        <v/>
      </c>
      <c r="O26" s="276" t="str">
        <f ca="1">IFERROR(IF(O24=0,"",SUM($E24:O24)/SUM($E23:O23)),"")</f>
        <v/>
      </c>
      <c r="P26" s="277" t="str">
        <f ca="1">IFERROR(IF(P24=0,"",SUM($E24:P24)/SUM($E23:P23)),"")</f>
        <v/>
      </c>
      <c r="Q26" s="278"/>
      <c r="T26" s="162"/>
      <c r="U26" s="162"/>
      <c r="V26" s="162"/>
    </row>
    <row r="27" spans="1:22" x14ac:dyDescent="0.4">
      <c r="A27" s="222"/>
      <c r="B27" s="478"/>
      <c r="C27" s="1" t="s">
        <v>187</v>
      </c>
      <c r="D27" s="234" t="s">
        <v>367</v>
      </c>
      <c r="E27" s="279">
        <f>計画集計!F30</f>
        <v>1237.5</v>
      </c>
      <c r="F27" s="280">
        <f>計画集計!G30</f>
        <v>1164.55</v>
      </c>
      <c r="G27" s="280">
        <f>計画集計!H30</f>
        <v>1366.05</v>
      </c>
      <c r="H27" s="280">
        <f>計画集計!I30</f>
        <v>1412.7</v>
      </c>
      <c r="I27" s="280">
        <f>計画集計!J30</f>
        <v>2207.0500000000002</v>
      </c>
      <c r="J27" s="280">
        <f>計画集計!K30</f>
        <v>2295.9</v>
      </c>
      <c r="K27" s="280">
        <f>計画集計!L30</f>
        <v>1843.8</v>
      </c>
      <c r="L27" s="280">
        <f>計画集計!M30</f>
        <v>1328.3000000000002</v>
      </c>
      <c r="M27" s="280">
        <f>計画集計!N30</f>
        <v>1381.15</v>
      </c>
      <c r="N27" s="280">
        <f>計画集計!O30</f>
        <v>1585.15</v>
      </c>
      <c r="O27" s="280">
        <f>計画集計!P30</f>
        <v>1566.1</v>
      </c>
      <c r="P27" s="281">
        <f>計画集計!Q30</f>
        <v>1503.05</v>
      </c>
      <c r="Q27" s="282">
        <f t="shared" si="0"/>
        <v>18891.299999999996</v>
      </c>
    </row>
    <row r="28" spans="1:22" x14ac:dyDescent="0.4">
      <c r="A28" s="222"/>
      <c r="B28" s="478"/>
      <c r="C28" s="1" t="s">
        <v>172</v>
      </c>
      <c r="D28" s="236" t="s">
        <v>369</v>
      </c>
      <c r="E28" s="267">
        <f ca="1">実績集計!F30</f>
        <v>282.72000000000003</v>
      </c>
      <c r="F28" s="268">
        <f ca="1">実績集計!G30</f>
        <v>242.47499999999999</v>
      </c>
      <c r="G28" s="268">
        <f ca="1">実績集計!H30</f>
        <v>0</v>
      </c>
      <c r="H28" s="268">
        <f ca="1">実績集計!I30</f>
        <v>0</v>
      </c>
      <c r="I28" s="268">
        <f ca="1">実績集計!J30</f>
        <v>0</v>
      </c>
      <c r="J28" s="268">
        <f ca="1">実績集計!K30</f>
        <v>0</v>
      </c>
      <c r="K28" s="268">
        <f ca="1">実績集計!L30</f>
        <v>0</v>
      </c>
      <c r="L28" s="268">
        <f ca="1">実績集計!M30</f>
        <v>0</v>
      </c>
      <c r="M28" s="268">
        <f ca="1">実績集計!N30</f>
        <v>0</v>
      </c>
      <c r="N28" s="268">
        <f ca="1">実績集計!O30</f>
        <v>0</v>
      </c>
      <c r="O28" s="268">
        <f ca="1">実績集計!P30</f>
        <v>0</v>
      </c>
      <c r="P28" s="269">
        <f ca="1">実績集計!Q30</f>
        <v>0</v>
      </c>
      <c r="Q28" s="270">
        <f t="shared" ca="1" si="0"/>
        <v>525.19500000000005</v>
      </c>
    </row>
    <row r="29" spans="1:22" x14ac:dyDescent="0.4">
      <c r="A29" s="222"/>
      <c r="B29" s="478"/>
      <c r="D29" s="238" t="s">
        <v>17</v>
      </c>
      <c r="E29" s="271">
        <f ca="1">IFERROR(E28/E27,"")</f>
        <v>0.22846060606060609</v>
      </c>
      <c r="F29" s="272">
        <f ca="1">IFERROR(IF(F28=0,"",F28/F27),"")</f>
        <v>0.2082134730153278</v>
      </c>
      <c r="G29" s="272" t="str">
        <f t="shared" ref="G29" ca="1" si="54">IFERROR(IF(G28=0,"",G28/G27),"")</f>
        <v/>
      </c>
      <c r="H29" s="272" t="str">
        <f t="shared" ref="H29" ca="1" si="55">IFERROR(IF(H28=0,"",H28/H27),"")</f>
        <v/>
      </c>
      <c r="I29" s="272" t="str">
        <f t="shared" ref="I29" ca="1" si="56">IFERROR(IF(I28=0,"",I28/I27),"")</f>
        <v/>
      </c>
      <c r="J29" s="272" t="str">
        <f t="shared" ref="J29" ca="1" si="57">IFERROR(IF(J28=0,"",J28/J27),"")</f>
        <v/>
      </c>
      <c r="K29" s="272" t="str">
        <f t="shared" ref="K29" ca="1" si="58">IFERROR(IF(K28=0,"",K28/K27),"")</f>
        <v/>
      </c>
      <c r="L29" s="272" t="str">
        <f t="shared" ref="L29" ca="1" si="59">IFERROR(IF(L28=0,"",L28/L27),"")</f>
        <v/>
      </c>
      <c r="M29" s="272" t="str">
        <f t="shared" ref="M29" ca="1" si="60">IFERROR(IF(M28=0,"",M28/M27),"")</f>
        <v/>
      </c>
      <c r="N29" s="272" t="str">
        <f t="shared" ref="N29" ca="1" si="61">IFERROR(IF(N28=0,"",N28/N27),"")</f>
        <v/>
      </c>
      <c r="O29" s="272" t="str">
        <f t="shared" ref="O29" ca="1" si="62">IFERROR(IF(O28=0,"",O28/O27),"")</f>
        <v/>
      </c>
      <c r="P29" s="273" t="str">
        <f t="shared" ref="P29" ca="1" si="63">IFERROR(IF(P28=0,"",P28/P27),"")</f>
        <v/>
      </c>
      <c r="Q29" s="274"/>
    </row>
    <row r="30" spans="1:22" s="220" customFormat="1" x14ac:dyDescent="0.4">
      <c r="A30" s="222"/>
      <c r="B30" s="478"/>
      <c r="C30" s="219"/>
      <c r="D30" s="239" t="s">
        <v>372</v>
      </c>
      <c r="E30" s="275">
        <f ca="1">E29</f>
        <v>0.22846060606060609</v>
      </c>
      <c r="F30" s="276">
        <f ca="1">IFERROR(IF(F28=0,"",SUM($E28:F28)/SUM($E27:F27)),"")</f>
        <v>0.21864449116379758</v>
      </c>
      <c r="G30" s="276" t="str">
        <f ca="1">IFERROR(IF(G28=0,"",SUM($E28:G28)/SUM($E27:G27)),"")</f>
        <v/>
      </c>
      <c r="H30" s="276" t="str">
        <f ca="1">IFERROR(IF(H28=0,"",SUM($E28:H28)/SUM($E27:H27)),"")</f>
        <v/>
      </c>
      <c r="I30" s="276" t="str">
        <f ca="1">IFERROR(IF(I28=0,"",SUM($E28:I28)/SUM($E27:I27)),"")</f>
        <v/>
      </c>
      <c r="J30" s="276" t="str">
        <f ca="1">IFERROR(IF(J28=0,"",SUM($E28:J28)/SUM($E27:J27)),"")</f>
        <v/>
      </c>
      <c r="K30" s="276" t="str">
        <f ca="1">IFERROR(IF(K28=0,"",SUM($E28:K28)/SUM($E27:K27)),"")</f>
        <v/>
      </c>
      <c r="L30" s="276" t="str">
        <f ca="1">IFERROR(IF(L28=0,"",SUM($E28:L28)/SUM($E27:L27)),"")</f>
        <v/>
      </c>
      <c r="M30" s="276" t="str">
        <f ca="1">IFERROR(IF(M28=0,"",SUM($E28:M28)/SUM($E27:M27)),"")</f>
        <v/>
      </c>
      <c r="N30" s="276" t="str">
        <f ca="1">IFERROR(IF(N28=0,"",SUM($E28:N28)/SUM($E27:N27)),"")</f>
        <v/>
      </c>
      <c r="O30" s="276" t="str">
        <f ca="1">IFERROR(IF(O28=0,"",SUM($E28:O28)/SUM($E27:O27)),"")</f>
        <v/>
      </c>
      <c r="P30" s="277" t="str">
        <f ca="1">IFERROR(IF(P28=0,"",SUM($E28:P28)/SUM($E27:P27)),"")</f>
        <v/>
      </c>
      <c r="Q30" s="278"/>
      <c r="T30" s="162"/>
      <c r="U30" s="162"/>
      <c r="V30" s="162"/>
    </row>
    <row r="31" spans="1:22" x14ac:dyDescent="0.4">
      <c r="A31" s="222"/>
      <c r="B31" s="478"/>
      <c r="C31" s="1" t="s">
        <v>185</v>
      </c>
      <c r="D31" s="234" t="s">
        <v>366</v>
      </c>
      <c r="E31" s="279">
        <f>計画集計!F34</f>
        <v>0</v>
      </c>
      <c r="F31" s="280">
        <f>計画集計!G34</f>
        <v>0</v>
      </c>
      <c r="G31" s="280">
        <f>計画集計!H34</f>
        <v>330</v>
      </c>
      <c r="H31" s="280">
        <f>計画集計!I34</f>
        <v>4100</v>
      </c>
      <c r="I31" s="280">
        <f>計画集計!J34</f>
        <v>0</v>
      </c>
      <c r="J31" s="280">
        <f>計画集計!K34</f>
        <v>6100</v>
      </c>
      <c r="K31" s="280">
        <f>計画集計!L34</f>
        <v>10100</v>
      </c>
      <c r="L31" s="280">
        <f>計画集計!M34</f>
        <v>11900</v>
      </c>
      <c r="M31" s="280">
        <f>計画集計!N34</f>
        <v>8100</v>
      </c>
      <c r="N31" s="280">
        <f>計画集計!O34</f>
        <v>11100</v>
      </c>
      <c r="O31" s="280">
        <f>計画集計!P34</f>
        <v>13700</v>
      </c>
      <c r="P31" s="281">
        <f>計画集計!Q34</f>
        <v>15800</v>
      </c>
      <c r="Q31" s="282">
        <f t="shared" si="0"/>
        <v>81230</v>
      </c>
    </row>
    <row r="32" spans="1:22" x14ac:dyDescent="0.4">
      <c r="A32" s="222"/>
      <c r="B32" s="478"/>
      <c r="C32" s="1" t="s">
        <v>186</v>
      </c>
      <c r="D32" s="236" t="s">
        <v>368</v>
      </c>
      <c r="E32" s="267">
        <f ca="1">実績集計!F34</f>
        <v>0</v>
      </c>
      <c r="F32" s="268">
        <f ca="1">実績集計!G34</f>
        <v>0</v>
      </c>
      <c r="G32" s="268">
        <f ca="1">実績集計!H34</f>
        <v>0</v>
      </c>
      <c r="H32" s="268">
        <f ca="1">実績集計!I34</f>
        <v>0</v>
      </c>
      <c r="I32" s="268">
        <f ca="1">実績集計!J34</f>
        <v>0</v>
      </c>
      <c r="J32" s="268">
        <f ca="1">実績集計!K34</f>
        <v>0</v>
      </c>
      <c r="K32" s="268">
        <f ca="1">実績集計!L34</f>
        <v>0</v>
      </c>
      <c r="L32" s="268">
        <f ca="1">実績集計!M34</f>
        <v>0</v>
      </c>
      <c r="M32" s="268">
        <f ca="1">実績集計!N34</f>
        <v>0</v>
      </c>
      <c r="N32" s="268">
        <f ca="1">実績集計!O34</f>
        <v>0</v>
      </c>
      <c r="O32" s="268">
        <f ca="1">実績集計!P34</f>
        <v>0</v>
      </c>
      <c r="P32" s="269">
        <f ca="1">実績集計!Q34</f>
        <v>0</v>
      </c>
      <c r="Q32" s="270">
        <f t="shared" ca="1" si="0"/>
        <v>0</v>
      </c>
    </row>
    <row r="33" spans="1:22" x14ac:dyDescent="0.4">
      <c r="A33" s="222"/>
      <c r="B33" s="478"/>
      <c r="D33" s="238" t="s">
        <v>370</v>
      </c>
      <c r="E33" s="271" t="str">
        <f ca="1">IFERROR(E32/E31,"")</f>
        <v/>
      </c>
      <c r="F33" s="272" t="str">
        <f ca="1">IFERROR(IF(F32=0,"",F32/F31),"")</f>
        <v/>
      </c>
      <c r="G33" s="272" t="str">
        <f t="shared" ref="G33" ca="1" si="64">IFERROR(IF(G32=0,"",G32/G31),"")</f>
        <v/>
      </c>
      <c r="H33" s="272" t="str">
        <f t="shared" ref="H33" ca="1" si="65">IFERROR(IF(H32=0,"",H32/H31),"")</f>
        <v/>
      </c>
      <c r="I33" s="272" t="str">
        <f t="shared" ref="I33" ca="1" si="66">IFERROR(IF(I32=0,"",I32/I31),"")</f>
        <v/>
      </c>
      <c r="J33" s="272" t="str">
        <f t="shared" ref="J33" ca="1" si="67">IFERROR(IF(J32=0,"",J32/J31),"")</f>
        <v/>
      </c>
      <c r="K33" s="272" t="str">
        <f t="shared" ref="K33" ca="1" si="68">IFERROR(IF(K32=0,"",K32/K31),"")</f>
        <v/>
      </c>
      <c r="L33" s="272" t="str">
        <f t="shared" ref="L33" ca="1" si="69">IFERROR(IF(L32=0,"",L32/L31),"")</f>
        <v/>
      </c>
      <c r="M33" s="272" t="str">
        <f t="shared" ref="M33" ca="1" si="70">IFERROR(IF(M32=0,"",M32/M31),"")</f>
        <v/>
      </c>
      <c r="N33" s="272" t="str">
        <f t="shared" ref="N33" ca="1" si="71">IFERROR(IF(N32=0,"",N32/N31),"")</f>
        <v/>
      </c>
      <c r="O33" s="272" t="str">
        <f t="shared" ref="O33" ca="1" si="72">IFERROR(IF(O32=0,"",O32/O31),"")</f>
        <v/>
      </c>
      <c r="P33" s="273" t="str">
        <f t="shared" ref="P33" ca="1" si="73">IFERROR(IF(P32=0,"",P32/P31),"")</f>
        <v/>
      </c>
      <c r="Q33" s="274"/>
    </row>
    <row r="34" spans="1:22" s="220" customFormat="1" x14ac:dyDescent="0.4">
      <c r="A34" s="222"/>
      <c r="B34" s="479"/>
      <c r="C34" s="175"/>
      <c r="D34" s="240" t="s">
        <v>371</v>
      </c>
      <c r="E34" s="275" t="str">
        <f ca="1">E33</f>
        <v/>
      </c>
      <c r="F34" s="276" t="str">
        <f ca="1">IFERROR(IF(F32=0,"",SUM($E32:F32)/SUM($E31:F31)),"")</f>
        <v/>
      </c>
      <c r="G34" s="276" t="str">
        <f ca="1">IFERROR(IF(G32=0,"",SUM($E32:G32)/SUM($E31:G31)),"")</f>
        <v/>
      </c>
      <c r="H34" s="276" t="str">
        <f ca="1">IFERROR(IF(H32=0,"",SUM($E32:H32)/SUM($E31:H31)),"")</f>
        <v/>
      </c>
      <c r="I34" s="276" t="str">
        <f ca="1">IFERROR(IF(I32=0,"",SUM($E32:I32)/SUM($E31:I31)),"")</f>
        <v/>
      </c>
      <c r="J34" s="276" t="str">
        <f ca="1">IFERROR(IF(J32=0,"",SUM($E32:J32)/SUM($E31:J31)),"")</f>
        <v/>
      </c>
      <c r="K34" s="276" t="str">
        <f ca="1">IFERROR(IF(K32=0,"",SUM($E32:K32)/SUM($E31:K31)),"")</f>
        <v/>
      </c>
      <c r="L34" s="276" t="str">
        <f ca="1">IFERROR(IF(L32=0,"",SUM($E32:L32)/SUM($E31:L31)),"")</f>
        <v/>
      </c>
      <c r="M34" s="276" t="str">
        <f ca="1">IFERROR(IF(M32=0,"",SUM($E32:M32)/SUM($E31:M31)),"")</f>
        <v/>
      </c>
      <c r="N34" s="276" t="str">
        <f ca="1">IFERROR(IF(N32=0,"",SUM($E32:N32)/SUM($E31:N31)),"")</f>
        <v/>
      </c>
      <c r="O34" s="276" t="str">
        <f ca="1">IFERROR(IF(O32=0,"",SUM($E32:O32)/SUM($E31:O31)),"")</f>
        <v/>
      </c>
      <c r="P34" s="277" t="str">
        <f ca="1">IFERROR(IF(P32=0,"",SUM($E32:P32)/SUM($E31:P31)),"")</f>
        <v/>
      </c>
      <c r="Q34" s="283"/>
      <c r="T34" s="162"/>
      <c r="U34" s="162"/>
      <c r="V34" s="162"/>
    </row>
    <row r="35" spans="1:22" s="220" customFormat="1" x14ac:dyDescent="0.4">
      <c r="A35" s="156"/>
      <c r="B35" s="474" t="s">
        <v>383</v>
      </c>
      <c r="C35" s="473"/>
      <c r="D35" s="235" t="s">
        <v>386</v>
      </c>
      <c r="E35" s="284">
        <f>SUM(E3,E7,E11)</f>
        <v>13153</v>
      </c>
      <c r="F35" s="285">
        <f t="shared" ref="F35:P35" si="74">SUM(F3,F7,F11)</f>
        <v>12643</v>
      </c>
      <c r="G35" s="285">
        <f t="shared" si="74"/>
        <v>14853</v>
      </c>
      <c r="H35" s="285">
        <f t="shared" si="74"/>
        <v>14483</v>
      </c>
      <c r="I35" s="285">
        <f t="shared" si="74"/>
        <v>18024</v>
      </c>
      <c r="J35" s="285">
        <f t="shared" si="74"/>
        <v>16583</v>
      </c>
      <c r="K35" s="285">
        <f t="shared" si="74"/>
        <v>16383</v>
      </c>
      <c r="L35" s="285">
        <f t="shared" si="74"/>
        <v>16503</v>
      </c>
      <c r="M35" s="285">
        <f t="shared" si="74"/>
        <v>18653</v>
      </c>
      <c r="N35" s="285">
        <f t="shared" si="74"/>
        <v>16953</v>
      </c>
      <c r="O35" s="285">
        <f t="shared" si="74"/>
        <v>20233</v>
      </c>
      <c r="P35" s="286">
        <f t="shared" si="74"/>
        <v>20483</v>
      </c>
      <c r="Q35" s="287">
        <f>SUM(E35:P35)</f>
        <v>198947</v>
      </c>
      <c r="T35" s="162"/>
      <c r="U35" s="162"/>
      <c r="V35" s="162"/>
    </row>
    <row r="36" spans="1:22" s="220" customFormat="1" x14ac:dyDescent="0.4">
      <c r="A36" s="156"/>
      <c r="B36" s="474"/>
      <c r="C36" s="475"/>
      <c r="D36" s="237" t="s">
        <v>388</v>
      </c>
      <c r="E36" s="288">
        <f>SUM(E4,E8,E12)</f>
        <v>16256.879000000001</v>
      </c>
      <c r="F36" s="289">
        <f t="shared" ref="F36:P36" si="75">SUM(F4,F8,F12)</f>
        <v>10462.126</v>
      </c>
      <c r="G36" s="289">
        <f t="shared" si="75"/>
        <v>8655.2649999999994</v>
      </c>
      <c r="H36" s="289">
        <f t="shared" si="75"/>
        <v>13486.077000000001</v>
      </c>
      <c r="I36" s="289">
        <f t="shared" si="75"/>
        <v>17915.538999999997</v>
      </c>
      <c r="J36" s="289">
        <f t="shared" si="75"/>
        <v>9992.9840000000004</v>
      </c>
      <c r="K36" s="289">
        <f t="shared" si="75"/>
        <v>9749.4760000000006</v>
      </c>
      <c r="L36" s="289">
        <f t="shared" si="75"/>
        <v>12901.73</v>
      </c>
      <c r="M36" s="289">
        <f t="shared" si="75"/>
        <v>10296.731</v>
      </c>
      <c r="N36" s="289">
        <f t="shared" si="75"/>
        <v>0</v>
      </c>
      <c r="O36" s="289">
        <f t="shared" si="75"/>
        <v>0</v>
      </c>
      <c r="P36" s="290">
        <f t="shared" si="75"/>
        <v>0</v>
      </c>
      <c r="Q36" s="291">
        <f>SUM(E36:P36)</f>
        <v>109716.80699999999</v>
      </c>
      <c r="T36" s="162"/>
      <c r="U36" s="162"/>
      <c r="V36" s="162"/>
    </row>
    <row r="37" spans="1:22" s="220" customFormat="1" x14ac:dyDescent="0.4">
      <c r="A37" s="156"/>
      <c r="B37" s="474"/>
      <c r="C37" s="475"/>
      <c r="D37" s="242" t="s">
        <v>387</v>
      </c>
      <c r="E37" s="292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P37" s="294"/>
      <c r="Q37" s="295">
        <f>SUM(E37:P37)</f>
        <v>0</v>
      </c>
      <c r="T37" s="162"/>
      <c r="U37" s="162"/>
      <c r="V37" s="162"/>
    </row>
    <row r="38" spans="1:22" s="220" customFormat="1" x14ac:dyDescent="0.4">
      <c r="A38" s="156"/>
      <c r="B38" s="474"/>
      <c r="C38" s="475"/>
      <c r="D38" s="241" t="s">
        <v>389</v>
      </c>
      <c r="E38" s="296">
        <f>IFERROR(IF(E36=0,"",IF(E37="",E36/E35,E37/E35)),"")</f>
        <v>1.2359825895233028</v>
      </c>
      <c r="F38" s="297">
        <f t="shared" ref="F38:P38" si="76">IFERROR(IF(F36=0,"",IF(F37="",F36/F35,F37/F35)),"")</f>
        <v>0.82750344063908887</v>
      </c>
      <c r="G38" s="297">
        <f t="shared" si="76"/>
        <v>0.58272840503601964</v>
      </c>
      <c r="H38" s="297">
        <f t="shared" si="76"/>
        <v>0.93116598770972869</v>
      </c>
      <c r="I38" s="297">
        <f t="shared" si="76"/>
        <v>0.99398241233910323</v>
      </c>
      <c r="J38" s="297">
        <f t="shared" si="76"/>
        <v>0.60260411264548031</v>
      </c>
      <c r="K38" s="297">
        <f t="shared" si="76"/>
        <v>0.5950971128608924</v>
      </c>
      <c r="L38" s="297">
        <f t="shared" si="76"/>
        <v>0.78178088832333514</v>
      </c>
      <c r="M38" s="297">
        <f t="shared" si="76"/>
        <v>0.55201474293679298</v>
      </c>
      <c r="N38" s="297" t="str">
        <f t="shared" si="76"/>
        <v/>
      </c>
      <c r="O38" s="297" t="str">
        <f t="shared" si="76"/>
        <v/>
      </c>
      <c r="P38" s="298" t="str">
        <f t="shared" si="76"/>
        <v/>
      </c>
      <c r="Q38" s="299"/>
      <c r="T38" s="162"/>
      <c r="U38" s="162"/>
      <c r="V38" s="162"/>
    </row>
    <row r="39" spans="1:22" s="220" customFormat="1" x14ac:dyDescent="0.4">
      <c r="A39" s="156"/>
      <c r="B39" s="476"/>
      <c r="C39" s="477"/>
      <c r="D39" s="240" t="s">
        <v>390</v>
      </c>
      <c r="E39" s="300">
        <f>E38</f>
        <v>1.2359825895233028</v>
      </c>
      <c r="F39" s="301">
        <f>IFERROR(IF(F37="",SUM($E36:F36)/SUM($E35:F35),SUM($E37:F37)/SUM($E35:F35)),"")</f>
        <v>1.0357809350286866</v>
      </c>
      <c r="G39" s="301">
        <f>IFERROR(IF(G37="",SUM($E36:G36)/SUM($E35:G35),SUM($E37:G37)/SUM($E35:G35)),"")</f>
        <v>0.87023715220546638</v>
      </c>
      <c r="H39" s="301">
        <f>IFERROR(IF(H37="",SUM($E36:H36)/SUM($E35:H35),SUM($E37:H37)/SUM($E35:H35)),"")</f>
        <v>0.88624296234491784</v>
      </c>
      <c r="I39" s="301">
        <f>IFERROR(IF(I37="",SUM($E36:I36)/SUM($E35:I35),SUM($E37:I37)/SUM($E35:I35)),"")</f>
        <v>0.91278754989337851</v>
      </c>
      <c r="J39" s="301">
        <f>IFERROR(IF(J37="",SUM($E36:J36)/SUM($E35:J35),SUM($E37:J37)/SUM($E35:J35)),"")</f>
        <v>0.85546830252175754</v>
      </c>
      <c r="K39" s="301">
        <f>IFERROR(IF(K37="",SUM($E36:K36)/SUM($E35:K35),SUM($E37:K37)/SUM($E35:K35)),"")</f>
        <v>0.81527247884510268</v>
      </c>
      <c r="L39" s="301">
        <f>IFERROR(IF(L37="",SUM($E36:L36)/SUM($E35:L35),SUM($E37:L37)/SUM($E35:L35)),"")</f>
        <v>0.81076514576962277</v>
      </c>
      <c r="M39" s="301">
        <f>IFERROR(IF(M37="",SUM($E36:M36)/SUM($E35:M35),SUM($E37:M37)/SUM($E35:M35)),"")</f>
        <v>0.77660220982743233</v>
      </c>
      <c r="N39" s="301">
        <f>IFERROR(IF(N37="",SUM($E36:N36)/SUM($E35:N35),SUM($E37:N37)/SUM($E35:N35)),"")</f>
        <v>0.69339640778355682</v>
      </c>
      <c r="O39" s="301">
        <f>IFERROR(IF(O37="",SUM($E36:O36)/SUM($E35:O35),SUM($E37:O37)/SUM($E35:O35)),"")</f>
        <v>0.61478397323830003</v>
      </c>
      <c r="P39" s="302">
        <f>IFERROR(IF(P37="",SUM($E36:P36)/SUM($E35:P35),SUM($E37:P37)/SUM($E35:P35)),"")</f>
        <v>0.55148761730511131</v>
      </c>
      <c r="Q39" s="283"/>
      <c r="T39" s="162"/>
      <c r="U39" s="162"/>
      <c r="V39" s="162"/>
    </row>
    <row r="40" spans="1:22" s="220" customFormat="1" x14ac:dyDescent="0.4">
      <c r="A40" s="156"/>
      <c r="B40" s="472" t="s">
        <v>384</v>
      </c>
      <c r="C40" s="473"/>
      <c r="D40" s="235" t="s">
        <v>386</v>
      </c>
      <c r="E40" s="284">
        <f>SUM(E15,E19,E23,E27,E31)</f>
        <v>31795.154399999999</v>
      </c>
      <c r="F40" s="285">
        <f t="shared" ref="F40:P40" si="77">SUM(F15,F19,F23,F27,F31)</f>
        <v>35563.910000000003</v>
      </c>
      <c r="G40" s="285">
        <f t="shared" si="77"/>
        <v>31397.19</v>
      </c>
      <c r="H40" s="285">
        <f t="shared" si="77"/>
        <v>54608.6</v>
      </c>
      <c r="I40" s="285">
        <f t="shared" si="77"/>
        <v>47347.990000000005</v>
      </c>
      <c r="J40" s="285">
        <f t="shared" si="77"/>
        <v>57697</v>
      </c>
      <c r="K40" s="285">
        <f t="shared" si="77"/>
        <v>63513.5</v>
      </c>
      <c r="L40" s="285">
        <f t="shared" si="77"/>
        <v>61197.240000000005</v>
      </c>
      <c r="M40" s="285">
        <f t="shared" si="77"/>
        <v>56357.87</v>
      </c>
      <c r="N40" s="285">
        <f t="shared" si="77"/>
        <v>59640.07</v>
      </c>
      <c r="O40" s="285">
        <f t="shared" si="77"/>
        <v>60326.68</v>
      </c>
      <c r="P40" s="286">
        <f t="shared" si="77"/>
        <v>60388.65</v>
      </c>
      <c r="Q40" s="287">
        <f>SUM(E40:P40)</f>
        <v>619833.85440000007</v>
      </c>
      <c r="T40" s="162"/>
      <c r="U40" s="162"/>
      <c r="V40" s="162"/>
    </row>
    <row r="41" spans="1:22" s="220" customFormat="1" x14ac:dyDescent="0.4">
      <c r="A41" s="156"/>
      <c r="B41" s="474"/>
      <c r="C41" s="475"/>
      <c r="D41" s="237" t="s">
        <v>388</v>
      </c>
      <c r="E41" s="288">
        <f ca="1">SUM(E16,E20,E24,E28,E32)</f>
        <v>29169.865940500003</v>
      </c>
      <c r="F41" s="289">
        <f t="shared" ref="F41:P41" ca="1" si="78">SUM(F16,F20,F24,F28,F32)</f>
        <v>47869.451774499998</v>
      </c>
      <c r="G41" s="289">
        <f t="shared" ca="1" si="78"/>
        <v>6755.5159999999996</v>
      </c>
      <c r="H41" s="289">
        <f t="shared" ca="1" si="78"/>
        <v>0</v>
      </c>
      <c r="I41" s="289">
        <f t="shared" ca="1" si="78"/>
        <v>0</v>
      </c>
      <c r="J41" s="289">
        <f t="shared" ca="1" si="78"/>
        <v>0</v>
      </c>
      <c r="K41" s="289">
        <f t="shared" ca="1" si="78"/>
        <v>0</v>
      </c>
      <c r="L41" s="289">
        <f t="shared" ca="1" si="78"/>
        <v>0</v>
      </c>
      <c r="M41" s="289">
        <f t="shared" ca="1" si="78"/>
        <v>0</v>
      </c>
      <c r="N41" s="289">
        <f t="shared" ca="1" si="78"/>
        <v>0</v>
      </c>
      <c r="O41" s="289">
        <f t="shared" ca="1" si="78"/>
        <v>0</v>
      </c>
      <c r="P41" s="290">
        <f t="shared" ca="1" si="78"/>
        <v>0</v>
      </c>
      <c r="Q41" s="291">
        <f ca="1">SUM(E41:P41)</f>
        <v>83794.833715000001</v>
      </c>
      <c r="T41" s="162"/>
      <c r="U41" s="162"/>
      <c r="V41" s="162"/>
    </row>
    <row r="42" spans="1:22" s="220" customFormat="1" x14ac:dyDescent="0.4">
      <c r="A42" s="156"/>
      <c r="B42" s="474"/>
      <c r="C42" s="475"/>
      <c r="D42" s="242" t="s">
        <v>387</v>
      </c>
      <c r="E42" s="292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4"/>
      <c r="Q42" s="303">
        <f>SUM(E42:P42)</f>
        <v>0</v>
      </c>
      <c r="T42" s="162"/>
      <c r="U42" s="162"/>
      <c r="V42" s="162"/>
    </row>
    <row r="43" spans="1:22" s="220" customFormat="1" x14ac:dyDescent="0.4">
      <c r="A43" s="156"/>
      <c r="B43" s="474"/>
      <c r="C43" s="475"/>
      <c r="D43" s="241" t="s">
        <v>389</v>
      </c>
      <c r="E43" s="296">
        <f ca="1">IFERROR(IF(E41=0,"",IF(E42="",E41/E40,E42/E40)),"")</f>
        <v>0.91743117751615644</v>
      </c>
      <c r="F43" s="297">
        <f t="shared" ref="F43" ca="1" si="79">IFERROR(IF(F41=0,"",IF(F42="",F41/F40,F42/F40)),"")</f>
        <v>1.3460120603864985</v>
      </c>
      <c r="G43" s="297">
        <f t="shared" ref="G43" ca="1" si="80">IFERROR(IF(G41=0,"",IF(G42="",G41/G40,G42/G40)),"")</f>
        <v>0.21516307669571702</v>
      </c>
      <c r="H43" s="297" t="str">
        <f t="shared" ref="H43" ca="1" si="81">IFERROR(IF(H41=0,"",IF(H42="",H41/H40,H42/H40)),"")</f>
        <v/>
      </c>
      <c r="I43" s="297" t="str">
        <f t="shared" ref="I43" ca="1" si="82">IFERROR(IF(I41=0,"",IF(I42="",I41/I40,I42/I40)),"")</f>
        <v/>
      </c>
      <c r="J43" s="297" t="str">
        <f t="shared" ref="J43" ca="1" si="83">IFERROR(IF(J41=0,"",IF(J42="",J41/J40,J42/J40)),"")</f>
        <v/>
      </c>
      <c r="K43" s="297" t="str">
        <f t="shared" ref="K43" ca="1" si="84">IFERROR(IF(K41=0,"",IF(K42="",K41/K40,K42/K40)),"")</f>
        <v/>
      </c>
      <c r="L43" s="297" t="str">
        <f t="shared" ref="L43" ca="1" si="85">IFERROR(IF(L41=0,"",IF(L42="",L41/L40,L42/L40)),"")</f>
        <v/>
      </c>
      <c r="M43" s="297" t="str">
        <f t="shared" ref="M43" ca="1" si="86">IFERROR(IF(M41=0,"",IF(M42="",M41/M40,M42/M40)),"")</f>
        <v/>
      </c>
      <c r="N43" s="297" t="str">
        <f t="shared" ref="N43" ca="1" si="87">IFERROR(IF(N41=0,"",IF(N42="",N41/N40,N42/N40)),"")</f>
        <v/>
      </c>
      <c r="O43" s="297" t="str">
        <f t="shared" ref="O43" ca="1" si="88">IFERROR(IF(O41=0,"",IF(O42="",O41/O40,O42/O40)),"")</f>
        <v/>
      </c>
      <c r="P43" s="298" t="str">
        <f t="shared" ref="P43" ca="1" si="89">IFERROR(IF(P41=0,"",IF(P42="",P41/P40,P42/P40)),"")</f>
        <v/>
      </c>
      <c r="Q43" s="299"/>
      <c r="T43" s="162"/>
      <c r="U43" s="162"/>
      <c r="V43" s="162"/>
    </row>
    <row r="44" spans="1:22" s="220" customFormat="1" x14ac:dyDescent="0.4">
      <c r="A44" s="156"/>
      <c r="B44" s="476"/>
      <c r="C44" s="477"/>
      <c r="D44" s="240" t="s">
        <v>390</v>
      </c>
      <c r="E44" s="300">
        <f ca="1">E43</f>
        <v>0.91743117751615644</v>
      </c>
      <c r="F44" s="301">
        <f ca="1">IFERROR(IF(F42="",SUM($E41:F41)/SUM($E40:F40),SUM($E42:F42)/SUM($E40:F40)),"")</f>
        <v>1.1437112198814923</v>
      </c>
      <c r="G44" s="301">
        <f ca="1">IFERROR(IF(G42="",SUM($E41:G41)/SUM($E40:G40),SUM($E42:G42)/SUM($E40:G40)),"")</f>
        <v>0.8485015376909637</v>
      </c>
      <c r="H44" s="301">
        <f ca="1">IFERROR(IF(H42="",SUM($E41:H41)/SUM($E40:H40),SUM($E42:H42)/SUM($E40:H40)),"")</f>
        <v>0.54637572632155806</v>
      </c>
      <c r="I44" s="301">
        <f ca="1">IFERROR(IF(I42="",SUM($E41:I41)/SUM($E40:I40),SUM($E42:I42)/SUM($E40:I40)),"")</f>
        <v>0.41748615523581312</v>
      </c>
      <c r="J44" s="301">
        <f ca="1">IFERROR(IF(J42="",SUM($E41:J41)/SUM($E40:J40),SUM($E42:J42)/SUM($E40:J40)),"")</f>
        <v>0.32427105828557978</v>
      </c>
      <c r="K44" s="301">
        <f ca="1">IFERROR(IF(K42="",SUM($E41:K41)/SUM($E40:K40),SUM($E42:K42)/SUM($E40:K40)),"")</f>
        <v>0.26029436874538137</v>
      </c>
      <c r="L44" s="301">
        <f ca="1">IFERROR(IF(L42="",SUM($E41:L41)/SUM($E40:L40),SUM($E42:L42)/SUM($E40:L40)),"")</f>
        <v>0.21871660549440319</v>
      </c>
      <c r="M44" s="301">
        <f ca="1">IFERROR(IF(M42="",SUM($E41:M41)/SUM($E40:M40),SUM($E42:M42)/SUM($E40:M40)),"")</f>
        <v>0.19066880953106402</v>
      </c>
      <c r="N44" s="301">
        <f ca="1">IFERROR(IF(N42="",SUM($E41:N41)/SUM($E40:N40),SUM($E42:N42)/SUM($E40:N40)),"")</f>
        <v>0.16788564162336267</v>
      </c>
      <c r="O44" s="301">
        <f ca="1">IFERROR(IF(O42="",SUM($E41:O41)/SUM($E40:O40),SUM($E42:O42)/SUM($E40:O40)),"")</f>
        <v>0.14978202164565735</v>
      </c>
      <c r="P44" s="302">
        <f ca="1">IFERROR(IF(P42="",SUM($E41:P41)/SUM($E40:P40),SUM($E42:P42)/SUM($E40:P40)),"")</f>
        <v>0.13518918516658548</v>
      </c>
      <c r="Q44" s="283"/>
      <c r="T44" s="162"/>
      <c r="U44" s="162"/>
      <c r="V44" s="162"/>
    </row>
    <row r="45" spans="1:22" s="220" customFormat="1" x14ac:dyDescent="0.4">
      <c r="A45" s="156"/>
      <c r="B45" s="472" t="s">
        <v>385</v>
      </c>
      <c r="C45" s="473"/>
      <c r="D45" s="235" t="s">
        <v>386</v>
      </c>
      <c r="E45" s="304">
        <f>SUM(E35,E40)</f>
        <v>44948.154399999999</v>
      </c>
      <c r="F45" s="305">
        <f t="shared" ref="F45:P45" si="90">SUM(F35,F40)</f>
        <v>48206.91</v>
      </c>
      <c r="G45" s="305">
        <f t="shared" si="90"/>
        <v>46250.19</v>
      </c>
      <c r="H45" s="305">
        <f t="shared" si="90"/>
        <v>69091.600000000006</v>
      </c>
      <c r="I45" s="305">
        <f t="shared" si="90"/>
        <v>65371.990000000005</v>
      </c>
      <c r="J45" s="305">
        <f t="shared" si="90"/>
        <v>74280</v>
      </c>
      <c r="K45" s="305">
        <f t="shared" si="90"/>
        <v>79896.5</v>
      </c>
      <c r="L45" s="305">
        <f t="shared" si="90"/>
        <v>77700.240000000005</v>
      </c>
      <c r="M45" s="305">
        <f t="shared" si="90"/>
        <v>75010.87</v>
      </c>
      <c r="N45" s="305">
        <f t="shared" si="90"/>
        <v>76593.070000000007</v>
      </c>
      <c r="O45" s="305">
        <f t="shared" si="90"/>
        <v>80559.679999999993</v>
      </c>
      <c r="P45" s="306">
        <f t="shared" si="90"/>
        <v>80871.649999999994</v>
      </c>
      <c r="Q45" s="307">
        <f>SUM(E45:P45)</f>
        <v>818780.85439999995</v>
      </c>
      <c r="T45" s="162"/>
      <c r="U45" s="162"/>
      <c r="V45" s="162"/>
    </row>
    <row r="46" spans="1:22" s="220" customFormat="1" x14ac:dyDescent="0.4">
      <c r="A46" s="156"/>
      <c r="B46" s="474"/>
      <c r="C46" s="475"/>
      <c r="D46" s="237" t="s">
        <v>388</v>
      </c>
      <c r="E46" s="288">
        <f ca="1">SUM(E36,E41)</f>
        <v>45426.744940500008</v>
      </c>
      <c r="F46" s="289">
        <f t="shared" ref="F46:P46" ca="1" si="91">SUM(F36,F41)</f>
        <v>58331.577774499994</v>
      </c>
      <c r="G46" s="289">
        <f t="shared" ca="1" si="91"/>
        <v>15410.780999999999</v>
      </c>
      <c r="H46" s="289">
        <f t="shared" ca="1" si="91"/>
        <v>13486.077000000001</v>
      </c>
      <c r="I46" s="289">
        <f t="shared" ca="1" si="91"/>
        <v>17915.538999999997</v>
      </c>
      <c r="J46" s="289">
        <f t="shared" ca="1" si="91"/>
        <v>9992.9840000000004</v>
      </c>
      <c r="K46" s="289">
        <f t="shared" ca="1" si="91"/>
        <v>9749.4760000000006</v>
      </c>
      <c r="L46" s="289">
        <f t="shared" ca="1" si="91"/>
        <v>12901.73</v>
      </c>
      <c r="M46" s="289">
        <f t="shared" ca="1" si="91"/>
        <v>10296.731</v>
      </c>
      <c r="N46" s="289">
        <f t="shared" ca="1" si="91"/>
        <v>0</v>
      </c>
      <c r="O46" s="289">
        <f t="shared" ca="1" si="91"/>
        <v>0</v>
      </c>
      <c r="P46" s="290">
        <f t="shared" ca="1" si="91"/>
        <v>0</v>
      </c>
      <c r="Q46" s="291">
        <f ca="1">SUM(E46:P46)</f>
        <v>193511.64071499999</v>
      </c>
      <c r="T46" s="162"/>
      <c r="U46" s="162"/>
      <c r="V46" s="162"/>
    </row>
    <row r="47" spans="1:22" s="220" customFormat="1" x14ac:dyDescent="0.4">
      <c r="A47" s="156"/>
      <c r="B47" s="474"/>
      <c r="C47" s="475"/>
      <c r="D47" s="242" t="s">
        <v>387</v>
      </c>
      <c r="E47" s="292"/>
      <c r="F47" s="293"/>
      <c r="G47" s="293"/>
      <c r="H47" s="293"/>
      <c r="I47" s="293"/>
      <c r="J47" s="293"/>
      <c r="K47" s="293"/>
      <c r="L47" s="293"/>
      <c r="M47" s="293"/>
      <c r="N47" s="293"/>
      <c r="O47" s="293"/>
      <c r="P47" s="294"/>
      <c r="Q47" s="303">
        <f>SUM(E47:P47)</f>
        <v>0</v>
      </c>
      <c r="T47" s="162"/>
      <c r="U47" s="162"/>
      <c r="V47" s="162"/>
    </row>
    <row r="48" spans="1:22" s="220" customFormat="1" x14ac:dyDescent="0.4">
      <c r="A48" s="156"/>
      <c r="B48" s="474"/>
      <c r="C48" s="475"/>
      <c r="D48" s="241" t="s">
        <v>389</v>
      </c>
      <c r="E48" s="296">
        <f ca="1">IFERROR(IF(E46=0,"",IF(E47="",E46/E45,E47/E45)),"")</f>
        <v>1.0106476127193336</v>
      </c>
      <c r="F48" s="297">
        <f t="shared" ref="F48" ca="1" si="92">IFERROR(IF(F46=0,"",IF(F47="",F46/F45,F47/F45)),"")</f>
        <v>1.2100252385913137</v>
      </c>
      <c r="G48" s="297">
        <f t="shared" ref="G48" ca="1" si="93">IFERROR(IF(G46=0,"",IF(G47="",G46/G45,G47/G45)),"")</f>
        <v>0.33320470683471781</v>
      </c>
      <c r="H48" s="297">
        <f t="shared" ref="H48" ca="1" si="94">IFERROR(IF(H46=0,"",IF(H47="",H46/H45,H47/H45)),"")</f>
        <v>0.19519126782416385</v>
      </c>
      <c r="I48" s="297">
        <f t="shared" ref="I48" ca="1" si="95">IFERROR(IF(I46=0,"",IF(I47="",I46/I45,I47/I45)),"")</f>
        <v>0.27405527963887893</v>
      </c>
      <c r="J48" s="297">
        <f t="shared" ref="J48" ca="1" si="96">IFERROR(IF(J46=0,"",IF(J47="",J46/J45,J47/J45)),"")</f>
        <v>0.13453128702207862</v>
      </c>
      <c r="K48" s="297">
        <f t="shared" ref="K48" ca="1" si="97">IFERROR(IF(K46=0,"",IF(K47="",K46/K45,K47/K45)),"")</f>
        <v>0.12202632155350986</v>
      </c>
      <c r="L48" s="297">
        <f t="shared" ref="L48" ca="1" si="98">IFERROR(IF(L46=0,"",IF(L47="",L46/L45,L47/L45)),"")</f>
        <v>0.16604491826537471</v>
      </c>
      <c r="M48" s="297">
        <f t="shared" ref="M48" ca="1" si="99">IFERROR(IF(M46=0,"",IF(M47="",M46/M45,M47/M45)),"")</f>
        <v>0.13726985168949515</v>
      </c>
      <c r="N48" s="297" t="str">
        <f t="shared" ref="N48" ca="1" si="100">IFERROR(IF(N46=0,"",IF(N47="",N46/N45,N47/N45)),"")</f>
        <v/>
      </c>
      <c r="O48" s="297" t="str">
        <f t="shared" ref="O48" ca="1" si="101">IFERROR(IF(O46=0,"",IF(O47="",O46/O45,O47/O45)),"")</f>
        <v/>
      </c>
      <c r="P48" s="298" t="str">
        <f t="shared" ref="P48" ca="1" si="102">IFERROR(IF(P46=0,"",IF(P47="",P46/P45,P47/P45)),"")</f>
        <v/>
      </c>
      <c r="Q48" s="299"/>
      <c r="T48" s="162"/>
      <c r="U48" s="162"/>
      <c r="V48" s="162"/>
    </row>
    <row r="49" spans="1:22" s="220" customFormat="1" x14ac:dyDescent="0.4">
      <c r="A49" s="156"/>
      <c r="B49" s="476"/>
      <c r="C49" s="477"/>
      <c r="D49" s="240" t="s">
        <v>390</v>
      </c>
      <c r="E49" s="300">
        <f ca="1">E48</f>
        <v>1.0106476127193336</v>
      </c>
      <c r="F49" s="301">
        <f ca="1">IFERROR(IF(F47="",SUM($E46:F46)/SUM($E45:F45),SUM($E47:F47)/SUM($E45:F45)),"")</f>
        <v>1.113823745206922</v>
      </c>
      <c r="G49" s="301">
        <f ca="1">IFERROR(IF(G47="",SUM($E46:G46)/SUM($E45:G45),SUM($E47:G47)/SUM($E45:G45)),"")</f>
        <v>0.85483939775371909</v>
      </c>
      <c r="H49" s="301">
        <f ca="1">IFERROR(IF(H47="",SUM($E46:H46)/SUM($E45:H45),SUM($E47:H47)/SUM($E45:H45)),"")</f>
        <v>0.63624547764400219</v>
      </c>
      <c r="I49" s="301">
        <f ca="1">IFERROR(IF(I47="",SUM($E46:I46)/SUM($E45:I45),SUM($E47:I47)/SUM($E45:I45)),"")</f>
        <v>0.54979134280452668</v>
      </c>
      <c r="J49" s="301">
        <f ca="1">IFERROR(IF(J47="",SUM($E46:J46)/SUM($E45:J45),SUM($E47:J47)/SUM($E45:J45)),"")</f>
        <v>0.46119269472720958</v>
      </c>
      <c r="K49" s="301">
        <f ca="1">IFERROR(IF(K47="",SUM($E46:K46)/SUM($E45:K45),SUM($E47:K47)/SUM($E45:K45)),"")</f>
        <v>0.39788583602919797</v>
      </c>
      <c r="L49" s="301">
        <f ca="1">IFERROR(IF(L47="",SUM($E46:L46)/SUM($E45:L45),SUM($E47:L47)/SUM($E45:L45)),"")</f>
        <v>0.36226694877101134</v>
      </c>
      <c r="M49" s="301">
        <f ca="1">IFERROR(IF(M47="",SUM($E46:M46)/SUM($E45:M45),SUM($E47:M47)/SUM($E45:M45)),"")</f>
        <v>0.33320618178049133</v>
      </c>
      <c r="N49" s="301">
        <f ca="1">IFERROR(IF(N47="",SUM($E46:N46)/SUM($E45:N45),SUM($E47:N47)/SUM($E45:N45)),"")</f>
        <v>0.29438165470892974</v>
      </c>
      <c r="O49" s="301">
        <f ca="1">IFERROR(IF(O47="",SUM($E46:O46)/SUM($E45:O45),SUM($E47:O47)/SUM($E45:O45)),"")</f>
        <v>0.26224315886172733</v>
      </c>
      <c r="P49" s="302">
        <f ca="1">IFERROR(IF(P47="",SUM($E46:P46)/SUM($E45:P45),SUM($E47:P47)/SUM($E45:P45)),"")</f>
        <v>0.23634118906798904</v>
      </c>
      <c r="Q49" s="299"/>
      <c r="T49" s="162"/>
      <c r="U49" s="162"/>
      <c r="V49" s="162"/>
    </row>
    <row r="50" spans="1:22" ht="25.5" x14ac:dyDescent="0.4">
      <c r="A50" s="244" t="s">
        <v>16</v>
      </c>
      <c r="B50" s="359" t="s">
        <v>49</v>
      </c>
      <c r="C50" s="359" t="s">
        <v>48</v>
      </c>
      <c r="D50" s="360" t="s">
        <v>150</v>
      </c>
      <c r="E50" s="361">
        <v>45444</v>
      </c>
      <c r="F50" s="362">
        <v>45474</v>
      </c>
      <c r="G50" s="362">
        <v>45505</v>
      </c>
      <c r="H50" s="362">
        <v>45536</v>
      </c>
      <c r="I50" s="362">
        <v>45566</v>
      </c>
      <c r="J50" s="362">
        <v>45597</v>
      </c>
      <c r="K50" s="362">
        <v>45627</v>
      </c>
      <c r="L50" s="362">
        <v>45658</v>
      </c>
      <c r="M50" s="362">
        <v>45689</v>
      </c>
      <c r="N50" s="362">
        <v>45717</v>
      </c>
      <c r="O50" s="362">
        <v>45748</v>
      </c>
      <c r="P50" s="363">
        <v>45778</v>
      </c>
      <c r="Q50" s="56" t="s">
        <v>21</v>
      </c>
    </row>
    <row r="51" spans="1:22" x14ac:dyDescent="0.4">
      <c r="A51" s="223"/>
      <c r="B51" s="480" t="s">
        <v>56</v>
      </c>
      <c r="C51" s="48" t="s">
        <v>50</v>
      </c>
      <c r="D51" s="227" t="s">
        <v>367</v>
      </c>
      <c r="E51" s="308">
        <f>計画集計!F39</f>
        <v>654.84074074074078</v>
      </c>
      <c r="F51" s="309">
        <f>計画集計!G39</f>
        <v>516.32222222222219</v>
      </c>
      <c r="G51" s="309">
        <f>計画集計!H39</f>
        <v>1152.3407407407408</v>
      </c>
      <c r="H51" s="309">
        <f>計画集計!I39</f>
        <v>1024.1000000000001</v>
      </c>
      <c r="I51" s="309">
        <f>計画集計!J39</f>
        <v>2015.0974074074077</v>
      </c>
      <c r="J51" s="309">
        <f>計画集計!K39</f>
        <v>1630.025925925926</v>
      </c>
      <c r="K51" s="309">
        <f>計画集計!L39</f>
        <v>1605.7666666666667</v>
      </c>
      <c r="L51" s="309">
        <f>計画集計!M39</f>
        <v>1638.4518518518519</v>
      </c>
      <c r="M51" s="309">
        <f>計画集計!N39</f>
        <v>2194.2851851851851</v>
      </c>
      <c r="N51" s="309">
        <f>計画集計!O39</f>
        <v>1757.4796296296297</v>
      </c>
      <c r="O51" s="309">
        <f>計画集計!P39</f>
        <v>2700.0722222222221</v>
      </c>
      <c r="P51" s="310">
        <f>計画集計!Q39</f>
        <v>2849.7481481481482</v>
      </c>
      <c r="Q51" s="311">
        <f>SUM(E51:P51)</f>
        <v>19738.530740740742</v>
      </c>
    </row>
    <row r="52" spans="1:22" x14ac:dyDescent="0.4">
      <c r="A52" s="223"/>
      <c r="B52" s="478"/>
      <c r="D52" s="228" t="s">
        <v>369</v>
      </c>
      <c r="E52" s="312">
        <f>実績集計!F39</f>
        <v>1299.1959999999999</v>
      </c>
      <c r="F52" s="327">
        <f>実績集計!G39</f>
        <v>903.78599999999994</v>
      </c>
      <c r="G52" s="327">
        <f>実績集計!H39</f>
        <v>605.923</v>
      </c>
      <c r="H52" s="327">
        <f>実績集計!I39</f>
        <v>1018.0730000000003</v>
      </c>
      <c r="I52" s="327">
        <f>実績集計!J39</f>
        <v>968.1</v>
      </c>
      <c r="J52" s="327">
        <f>実績集計!K39</f>
        <v>880.74999999999977</v>
      </c>
      <c r="K52" s="327">
        <f>実績集計!L39</f>
        <v>709.91900000000021</v>
      </c>
      <c r="L52" s="327">
        <f>実績集計!M39</f>
        <v>901.57100000000014</v>
      </c>
      <c r="M52" s="327">
        <f>実績集計!N39</f>
        <v>870.09799999999996</v>
      </c>
      <c r="N52" s="327">
        <f>実績集計!O39</f>
        <v>0</v>
      </c>
      <c r="O52" s="327">
        <f>実績集計!P39</f>
        <v>0</v>
      </c>
      <c r="P52" s="314">
        <f>実績集計!Q39</f>
        <v>0</v>
      </c>
      <c r="Q52" s="315">
        <f t="shared" ref="Q52" si="103">SUM(E52:P52)</f>
        <v>8157.4160000000002</v>
      </c>
    </row>
    <row r="53" spans="1:22" x14ac:dyDescent="0.4">
      <c r="A53" s="223"/>
      <c r="B53" s="478"/>
      <c r="D53" s="228" t="s">
        <v>17</v>
      </c>
      <c r="E53" s="316">
        <f>IFERROR(E52/E51,"")</f>
        <v>1.9839877380420456</v>
      </c>
      <c r="F53" s="328">
        <f>IFERROR(IF(F52=0,"",F52/F51),"")</f>
        <v>1.7504301792592911</v>
      </c>
      <c r="G53" s="328">
        <f t="shared" ref="G53" si="104">IFERROR(IF(G52=0,"",G52/G51),"")</f>
        <v>0.52581929856138232</v>
      </c>
      <c r="H53" s="328">
        <f t="shared" ref="H53" si="105">IFERROR(IF(H52=0,"",H52/H51),"")</f>
        <v>0.9941148325358854</v>
      </c>
      <c r="I53" s="328">
        <f t="shared" ref="I53" si="106">IFERROR(IF(I52=0,"",I52/I51),"")</f>
        <v>0.4804234259055209</v>
      </c>
      <c r="J53" s="328">
        <f t="shared" ref="J53" si="107">IFERROR(IF(J52=0,"",J52/J51),"")</f>
        <v>0.54032882912564428</v>
      </c>
      <c r="K53" s="328">
        <f t="shared" ref="K53" si="108">IFERROR(IF(K52=0,"",K52/K51),"")</f>
        <v>0.44210595146658932</v>
      </c>
      <c r="L53" s="328">
        <f t="shared" ref="L53" si="109">IFERROR(IF(L52=0,"",L52/L51),"")</f>
        <v>0.55025785407182037</v>
      </c>
      <c r="M53" s="328">
        <f t="shared" ref="M53" si="110">IFERROR(IF(M52=0,"",M52/M51),"")</f>
        <v>0.39652913207203222</v>
      </c>
      <c r="N53" s="328" t="str">
        <f t="shared" ref="N53" si="111">IFERROR(IF(N52=0,"",N52/N51),"")</f>
        <v/>
      </c>
      <c r="O53" s="328" t="str">
        <f t="shared" ref="O53" si="112">IFERROR(IF(O52=0,"",O52/O51),"")</f>
        <v/>
      </c>
      <c r="P53" s="318" t="str">
        <f t="shared" ref="P53" si="113">IFERROR(IF(P52=0,"",P52/P51),"")</f>
        <v/>
      </c>
      <c r="Q53" s="315"/>
    </row>
    <row r="54" spans="1:22" s="220" customFormat="1" x14ac:dyDescent="0.4">
      <c r="A54" s="223"/>
      <c r="B54" s="478"/>
      <c r="C54" s="219"/>
      <c r="D54" s="229" t="s">
        <v>372</v>
      </c>
      <c r="E54" s="319">
        <f>E53</f>
        <v>1.9839877380420456</v>
      </c>
      <c r="F54" s="320">
        <f>IFERROR(IF(F52=0,"",SUM($E52:F52)/SUM($E51:F51)),"")</f>
        <v>1.8810208909156458</v>
      </c>
      <c r="G54" s="320">
        <f>IFERROR(IF(G52=0,"",SUM($E52:G52)/SUM($E51:G51)),"")</f>
        <v>1.2089091984327627</v>
      </c>
      <c r="H54" s="320">
        <f>IFERROR(IF(H52=0,"",SUM($E52:H52)/SUM($E51:H51)),"")</f>
        <v>1.1431992370440767</v>
      </c>
      <c r="I54" s="320">
        <f>IFERROR(IF(I52=0,"",SUM($E52:I52)/SUM($E51:I51)),"")</f>
        <v>0.89415350597574073</v>
      </c>
      <c r="J54" s="320">
        <f>IFERROR(IF(J52=0,"",SUM($E52:J52)/SUM($E51:J51)),"")</f>
        <v>0.81167589839241971</v>
      </c>
      <c r="K54" s="320">
        <f>IFERROR(IF(K52=0,"",SUM($E52:K52)/SUM($E51:K51)),"")</f>
        <v>0.74265879816245173</v>
      </c>
      <c r="L54" s="320">
        <f>IFERROR(IF(L52=0,"",SUM($E52:L52)/SUM($E51:L51)),"")</f>
        <v>0.71186448735630881</v>
      </c>
      <c r="M54" s="320">
        <f>IFERROR(IF(M52=0,"",SUM($E52:M52)/SUM($E51:M51)),"")</f>
        <v>0.65620340979319025</v>
      </c>
      <c r="N54" s="320" t="str">
        <f>IFERROR(IF(N52=0,"",SUM($E52:N52)/SUM($E51:N51)),"")</f>
        <v/>
      </c>
      <c r="O54" s="320" t="str">
        <f>IFERROR(IF(O52=0,"",SUM($E52:O52)/SUM($E51:O51)),"")</f>
        <v/>
      </c>
      <c r="P54" s="321" t="str">
        <f>IFERROR(IF(P52=0,"",SUM($E52:P52)/SUM($E51:P51)),"")</f>
        <v/>
      </c>
      <c r="Q54" s="322"/>
      <c r="T54" s="162"/>
      <c r="U54" s="162"/>
      <c r="V54" s="162"/>
    </row>
    <row r="55" spans="1:22" x14ac:dyDescent="0.4">
      <c r="A55" s="223"/>
      <c r="B55" s="478"/>
      <c r="C55" s="1" t="s">
        <v>51</v>
      </c>
      <c r="D55" s="228" t="s">
        <v>367</v>
      </c>
      <c r="E55" s="312">
        <f>計画集計!F43</f>
        <v>2234</v>
      </c>
      <c r="F55" s="327">
        <f>計画集計!G43</f>
        <v>2234</v>
      </c>
      <c r="G55" s="327">
        <f>計画集計!H43</f>
        <v>2234</v>
      </c>
      <c r="H55" s="327">
        <f>計画集計!I43</f>
        <v>2234</v>
      </c>
      <c r="I55" s="327">
        <f>計画集計!J43</f>
        <v>2234</v>
      </c>
      <c r="J55" s="327">
        <f>計画集計!K43</f>
        <v>2234</v>
      </c>
      <c r="K55" s="327">
        <f>計画集計!L43</f>
        <v>2234</v>
      </c>
      <c r="L55" s="327">
        <f>計画集計!M43</f>
        <v>2234</v>
      </c>
      <c r="M55" s="327">
        <f>計画集計!N43</f>
        <v>2234</v>
      </c>
      <c r="N55" s="327">
        <f>計画集計!O43</f>
        <v>2234</v>
      </c>
      <c r="O55" s="327">
        <f>計画集計!P43</f>
        <v>2234</v>
      </c>
      <c r="P55" s="314">
        <f>計画集計!Q43</f>
        <v>2185</v>
      </c>
      <c r="Q55" s="315">
        <f t="shared" ref="Q55:Q56" si="114">SUM(E55:P55)</f>
        <v>26759</v>
      </c>
    </row>
    <row r="56" spans="1:22" x14ac:dyDescent="0.4">
      <c r="A56" s="223"/>
      <c r="B56" s="478"/>
      <c r="D56" s="228" t="s">
        <v>369</v>
      </c>
      <c r="E56" s="312">
        <f>実績集計!F43</f>
        <v>1749.7999999999997</v>
      </c>
      <c r="F56" s="327">
        <f>実績集計!G43</f>
        <v>1477.0000000000002</v>
      </c>
      <c r="G56" s="327">
        <f>実績集計!H43</f>
        <v>1122.4999999999998</v>
      </c>
      <c r="H56" s="327">
        <f>実績集計!I43</f>
        <v>1752</v>
      </c>
      <c r="I56" s="327">
        <f>実績集計!J43</f>
        <v>2468.7999999999993</v>
      </c>
      <c r="J56" s="327">
        <f>実績集計!K43</f>
        <v>1044.4000000000001</v>
      </c>
      <c r="K56" s="327">
        <f>実績集計!L43</f>
        <v>1308.4000000000001</v>
      </c>
      <c r="L56" s="327">
        <f>実績集計!M43</f>
        <v>1446</v>
      </c>
      <c r="M56" s="327">
        <f>実績集計!N43</f>
        <v>1253.9000000000001</v>
      </c>
      <c r="N56" s="327">
        <f>実績集計!O43</f>
        <v>0</v>
      </c>
      <c r="O56" s="327">
        <f>実績集計!P43</f>
        <v>0</v>
      </c>
      <c r="P56" s="314">
        <f>実績集計!Q43</f>
        <v>0</v>
      </c>
      <c r="Q56" s="315">
        <f t="shared" si="114"/>
        <v>13622.799999999997</v>
      </c>
    </row>
    <row r="57" spans="1:22" x14ac:dyDescent="0.4">
      <c r="A57" s="223"/>
      <c r="B57" s="478"/>
      <c r="D57" s="228" t="s">
        <v>17</v>
      </c>
      <c r="E57" s="316">
        <f>IFERROR(E56/E55,"")</f>
        <v>0.78325872873769009</v>
      </c>
      <c r="F57" s="328">
        <f>IFERROR(IF(F56=0,"",F56/F55),"")</f>
        <v>0.661145926589078</v>
      </c>
      <c r="G57" s="328">
        <f t="shared" ref="G57" si="115">IFERROR(IF(G56=0,"",G56/G55),"")</f>
        <v>0.50246195165622187</v>
      </c>
      <c r="H57" s="328">
        <f t="shared" ref="H57" si="116">IFERROR(IF(H56=0,"",H56/H55),"")</f>
        <v>0.78424350940017906</v>
      </c>
      <c r="I57" s="328">
        <f t="shared" ref="I57" si="117">IFERROR(IF(I56=0,"",I56/I55),"")</f>
        <v>1.1051029543419872</v>
      </c>
      <c r="J57" s="328">
        <f t="shared" ref="J57" si="118">IFERROR(IF(J56=0,"",J56/J55),"")</f>
        <v>0.46750223813786934</v>
      </c>
      <c r="K57" s="328">
        <f t="shared" ref="K57" si="119">IFERROR(IF(K56=0,"",K56/K55),"")</f>
        <v>0.58567591763652649</v>
      </c>
      <c r="L57" s="328">
        <f t="shared" ref="L57" si="120">IFERROR(IF(L56=0,"",L56/L55),"")</f>
        <v>0.64726947179946281</v>
      </c>
      <c r="M57" s="328">
        <f t="shared" ref="M57" si="121">IFERROR(IF(M56=0,"",M56/M55),"")</f>
        <v>0.56128021486123547</v>
      </c>
      <c r="N57" s="328" t="str">
        <f t="shared" ref="N57" si="122">IFERROR(IF(N56=0,"",N56/N55),"")</f>
        <v/>
      </c>
      <c r="O57" s="328" t="str">
        <f t="shared" ref="O57" si="123">IFERROR(IF(O56=0,"",O56/O55),"")</f>
        <v/>
      </c>
      <c r="P57" s="318" t="str">
        <f t="shared" ref="P57" si="124">IFERROR(IF(P56=0,"",P56/P55),"")</f>
        <v/>
      </c>
      <c r="Q57" s="315"/>
    </row>
    <row r="58" spans="1:22" s="220" customFormat="1" x14ac:dyDescent="0.4">
      <c r="A58" s="223"/>
      <c r="B58" s="478"/>
      <c r="C58" s="219"/>
      <c r="D58" s="229" t="s">
        <v>372</v>
      </c>
      <c r="E58" s="319">
        <f>E57</f>
        <v>0.78325872873769009</v>
      </c>
      <c r="F58" s="320">
        <f>IFERROR(IF(F56=0,"",SUM($E56:F56)/SUM($E55:F55)),"")</f>
        <v>0.7222023276633841</v>
      </c>
      <c r="G58" s="320">
        <f>IFERROR(IF(G56=0,"",SUM($E56:G56)/SUM($E55:G55)),"")</f>
        <v>0.64895553566099673</v>
      </c>
      <c r="H58" s="320">
        <f>IFERROR(IF(H56=0,"",SUM($E56:H56)/SUM($E55:H55)),"")</f>
        <v>0.68277752909579237</v>
      </c>
      <c r="I58" s="320">
        <f>IFERROR(IF(I56=0,"",SUM($E56:I56)/SUM($E55:I55)),"")</f>
        <v>0.76724261414503125</v>
      </c>
      <c r="J58" s="320">
        <f>IFERROR(IF(J56=0,"",SUM($E56:J56)/SUM($E55:J55)),"")</f>
        <v>0.71728588481050415</v>
      </c>
      <c r="K58" s="320">
        <f>IFERROR(IF(K56=0,"",SUM($E56:K56)/SUM($E55:K55)),"")</f>
        <v>0.69848446092850736</v>
      </c>
      <c r="L58" s="320">
        <f>IFERROR(IF(L56=0,"",SUM($E56:L56)/SUM($E55:L55)),"")</f>
        <v>0.69208258728737682</v>
      </c>
      <c r="M58" s="320">
        <f>IFERROR(IF(M56=0,"",SUM($E56:M56)/SUM($E55:M55)),"")</f>
        <v>0.6775489903511388</v>
      </c>
      <c r="N58" s="320" t="str">
        <f>IFERROR(IF(N56=0,"",SUM($E56:N56)/SUM($E55:N55)),"")</f>
        <v/>
      </c>
      <c r="O58" s="320" t="str">
        <f>IFERROR(IF(O56=0,"",SUM($E56:O56)/SUM($E55:O55)),"")</f>
        <v/>
      </c>
      <c r="P58" s="321" t="str">
        <f>IFERROR(IF(P56=0,"",SUM($E56:P56)/SUM($E55:P55)),"")</f>
        <v/>
      </c>
      <c r="Q58" s="322"/>
      <c r="T58" s="162"/>
      <c r="U58" s="162"/>
      <c r="V58" s="162"/>
    </row>
    <row r="59" spans="1:22" x14ac:dyDescent="0.4">
      <c r="A59" s="223"/>
      <c r="B59" s="478"/>
      <c r="C59" s="1" t="s">
        <v>52</v>
      </c>
      <c r="D59" s="228" t="s">
        <v>367</v>
      </c>
      <c r="E59" s="312">
        <f>計画集計!F47</f>
        <v>570</v>
      </c>
      <c r="F59" s="327">
        <f>計画集計!G47</f>
        <v>570</v>
      </c>
      <c r="G59" s="327">
        <f>計画集計!H47</f>
        <v>570</v>
      </c>
      <c r="H59" s="327">
        <f>計画集計!I47</f>
        <v>570</v>
      </c>
      <c r="I59" s="327">
        <f>計画集計!J47</f>
        <v>570</v>
      </c>
      <c r="J59" s="327">
        <f>計画集計!K47</f>
        <v>570</v>
      </c>
      <c r="K59" s="327">
        <f>計画集計!L47</f>
        <v>570</v>
      </c>
      <c r="L59" s="327">
        <f>計画集計!M47</f>
        <v>570</v>
      </c>
      <c r="M59" s="327">
        <f>計画集計!N47</f>
        <v>570</v>
      </c>
      <c r="N59" s="327">
        <f>計画集計!O47</f>
        <v>570</v>
      </c>
      <c r="O59" s="327">
        <f>計画集計!P47</f>
        <v>570</v>
      </c>
      <c r="P59" s="314">
        <f>計画集計!Q47</f>
        <v>570</v>
      </c>
      <c r="Q59" s="315">
        <f t="shared" ref="Q59:Q60" si="125">SUM(E59:P59)</f>
        <v>6840</v>
      </c>
    </row>
    <row r="60" spans="1:22" x14ac:dyDescent="0.4">
      <c r="A60" s="223"/>
      <c r="B60" s="478"/>
      <c r="D60" s="228" t="s">
        <v>369</v>
      </c>
      <c r="E60" s="312">
        <f>実績集計!F47</f>
        <v>410</v>
      </c>
      <c r="F60" s="327">
        <f>実績集計!G47</f>
        <v>314</v>
      </c>
      <c r="G60" s="327">
        <f>実績集計!H47</f>
        <v>249</v>
      </c>
      <c r="H60" s="327">
        <f>実績集計!I47</f>
        <v>531</v>
      </c>
      <c r="I60" s="327">
        <f>実績集計!J47</f>
        <v>356</v>
      </c>
      <c r="J60" s="327">
        <f>実績集計!K47</f>
        <v>439</v>
      </c>
      <c r="K60" s="327">
        <f>実績集計!L47</f>
        <v>405</v>
      </c>
      <c r="L60" s="327">
        <f>実績集計!M47</f>
        <v>295</v>
      </c>
      <c r="M60" s="327">
        <f>実績集計!N47</f>
        <v>254</v>
      </c>
      <c r="N60" s="327">
        <f>実績集計!O47</f>
        <v>0</v>
      </c>
      <c r="O60" s="327">
        <f>実績集計!P47</f>
        <v>0</v>
      </c>
      <c r="P60" s="314">
        <f>実績集計!Q47</f>
        <v>0</v>
      </c>
      <c r="Q60" s="315">
        <f t="shared" si="125"/>
        <v>3253</v>
      </c>
    </row>
    <row r="61" spans="1:22" x14ac:dyDescent="0.4">
      <c r="A61" s="223"/>
      <c r="B61" s="478"/>
      <c r="D61" s="228" t="s">
        <v>17</v>
      </c>
      <c r="E61" s="316">
        <f>IFERROR(E60/E59,"")</f>
        <v>0.7192982456140351</v>
      </c>
      <c r="F61" s="328">
        <f>IFERROR(IF(F60=0,"",F60/F59),"")</f>
        <v>0.55087719298245619</v>
      </c>
      <c r="G61" s="328">
        <f t="shared" ref="G61" si="126">IFERROR(IF(G60=0,"",G60/G59),"")</f>
        <v>0.43684210526315792</v>
      </c>
      <c r="H61" s="328">
        <f t="shared" ref="H61" si="127">IFERROR(IF(H60=0,"",H60/H59),"")</f>
        <v>0.93157894736842106</v>
      </c>
      <c r="I61" s="328">
        <f t="shared" ref="I61" si="128">IFERROR(IF(I60=0,"",I60/I59),"")</f>
        <v>0.62456140350877198</v>
      </c>
      <c r="J61" s="328">
        <f t="shared" ref="J61" si="129">IFERROR(IF(J60=0,"",J60/J59),"")</f>
        <v>0.77017543859649118</v>
      </c>
      <c r="K61" s="328">
        <f t="shared" ref="K61" si="130">IFERROR(IF(K60=0,"",K60/K59),"")</f>
        <v>0.71052631578947367</v>
      </c>
      <c r="L61" s="328">
        <f t="shared" ref="L61" si="131">IFERROR(IF(L60=0,"",L60/L59),"")</f>
        <v>0.51754385964912286</v>
      </c>
      <c r="M61" s="328">
        <f t="shared" ref="M61" si="132">IFERROR(IF(M60=0,"",M60/M59),"")</f>
        <v>0.4456140350877193</v>
      </c>
      <c r="N61" s="328" t="str">
        <f t="shared" ref="N61" si="133">IFERROR(IF(N60=0,"",N60/N59),"")</f>
        <v/>
      </c>
      <c r="O61" s="328" t="str">
        <f t="shared" ref="O61" si="134">IFERROR(IF(O60=0,"",O60/O59),"")</f>
        <v/>
      </c>
      <c r="P61" s="318" t="str">
        <f t="shared" ref="P61" si="135">IFERROR(IF(P60=0,"",P60/P59),"")</f>
        <v/>
      </c>
      <c r="Q61" s="315"/>
    </row>
    <row r="62" spans="1:22" s="220" customFormat="1" x14ac:dyDescent="0.4">
      <c r="A62" s="223"/>
      <c r="B62" s="479"/>
      <c r="C62" s="175"/>
      <c r="D62" s="226" t="s">
        <v>372</v>
      </c>
      <c r="E62" s="329">
        <f>E61</f>
        <v>0.7192982456140351</v>
      </c>
      <c r="F62" s="330">
        <f>IFERROR(IF(F60=0,"",SUM($E60:F60)/SUM($E59:F59)),"")</f>
        <v>0.63508771929824559</v>
      </c>
      <c r="G62" s="330">
        <f>IFERROR(IF(G60=0,"",SUM($E60:G60)/SUM($E59:G59)),"")</f>
        <v>0.5690058479532164</v>
      </c>
      <c r="H62" s="330">
        <f>IFERROR(IF(H60=0,"",SUM($E60:H60)/SUM($E59:H59)),"")</f>
        <v>0.6596491228070176</v>
      </c>
      <c r="I62" s="330">
        <f>IFERROR(IF(I60=0,"",SUM($E60:I60)/SUM($E59:I59)),"")</f>
        <v>0.65263157894736845</v>
      </c>
      <c r="J62" s="330">
        <f>IFERROR(IF(J60=0,"",SUM($E60:J60)/SUM($E59:J59)),"")</f>
        <v>0.67222222222222228</v>
      </c>
      <c r="K62" s="330">
        <f>IFERROR(IF(K60=0,"",SUM($E60:K60)/SUM($E59:K59)),"")</f>
        <v>0.67769423558897246</v>
      </c>
      <c r="L62" s="330">
        <f>IFERROR(IF(L60=0,"",SUM($E60:L60)/SUM($E59:L59)),"")</f>
        <v>0.65767543859649125</v>
      </c>
      <c r="M62" s="330">
        <f>IFERROR(IF(M60=0,"",SUM($E60:M60)/SUM($E59:M59)),"")</f>
        <v>0.63411306042884985</v>
      </c>
      <c r="N62" s="330" t="str">
        <f>IFERROR(IF(N60=0,"",SUM($E60:N60)/SUM($E59:N59)),"")</f>
        <v/>
      </c>
      <c r="O62" s="330" t="str">
        <f>IFERROR(IF(O60=0,"",SUM($E60:O60)/SUM($E59:O59)),"")</f>
        <v/>
      </c>
      <c r="P62" s="331" t="str">
        <f>IFERROR(IF(P60=0,"",SUM($E60:P60)/SUM($E59:P59)),"")</f>
        <v/>
      </c>
      <c r="Q62" s="332"/>
      <c r="T62" s="162"/>
      <c r="U62" s="162"/>
      <c r="V62" s="162"/>
    </row>
    <row r="63" spans="1:22" x14ac:dyDescent="0.4">
      <c r="A63" s="223"/>
      <c r="B63" s="478" t="s">
        <v>57</v>
      </c>
      <c r="C63" s="1" t="s">
        <v>53</v>
      </c>
      <c r="D63" s="228" t="s">
        <v>367</v>
      </c>
      <c r="E63" s="312">
        <f>計画集計!F51</f>
        <v>2405</v>
      </c>
      <c r="F63" s="313">
        <f>計画集計!G51</f>
        <v>3735</v>
      </c>
      <c r="G63" s="313">
        <f>計画集計!H51</f>
        <v>2320</v>
      </c>
      <c r="H63" s="313">
        <f>計画集計!I51</f>
        <v>4705</v>
      </c>
      <c r="I63" s="313">
        <f>計画集計!J51</f>
        <v>4475</v>
      </c>
      <c r="J63" s="313">
        <f>計画集計!K51</f>
        <v>4810</v>
      </c>
      <c r="K63" s="313">
        <f>計画集計!L51</f>
        <v>5310</v>
      </c>
      <c r="L63" s="313">
        <f>計画集計!M51</f>
        <v>5375</v>
      </c>
      <c r="M63" s="313">
        <f>計画集計!N51</f>
        <v>4775</v>
      </c>
      <c r="N63" s="313">
        <f>計画集計!O51</f>
        <v>4140</v>
      </c>
      <c r="O63" s="313">
        <f>計画集計!P51</f>
        <v>4170</v>
      </c>
      <c r="P63" s="314">
        <f>計画集計!Q51</f>
        <v>4370</v>
      </c>
      <c r="Q63" s="315">
        <f>SUM(E63:P63)</f>
        <v>50590</v>
      </c>
    </row>
    <row r="64" spans="1:22" x14ac:dyDescent="0.4">
      <c r="A64" s="223"/>
      <c r="B64" s="478"/>
      <c r="D64" s="228" t="s">
        <v>369</v>
      </c>
      <c r="E64" s="312">
        <f ca="1">実績集計!F51</f>
        <v>2597.9551575999999</v>
      </c>
      <c r="F64" s="313">
        <f ca="1">実績集計!G51</f>
        <v>3924.3332799999994</v>
      </c>
      <c r="G64" s="313">
        <f ca="1">実績集計!H51</f>
        <v>1304.576</v>
      </c>
      <c r="H64" s="313">
        <f ca="1">実績集計!I51</f>
        <v>0</v>
      </c>
      <c r="I64" s="313">
        <f ca="1">実績集計!J51</f>
        <v>0</v>
      </c>
      <c r="J64" s="313">
        <f ca="1">実績集計!K51</f>
        <v>0</v>
      </c>
      <c r="K64" s="313">
        <f ca="1">実績集計!L51</f>
        <v>0</v>
      </c>
      <c r="L64" s="313">
        <f ca="1">実績集計!M51</f>
        <v>0</v>
      </c>
      <c r="M64" s="313">
        <f ca="1">実績集計!N51</f>
        <v>0</v>
      </c>
      <c r="N64" s="313">
        <f ca="1">実績集計!O51</f>
        <v>0</v>
      </c>
      <c r="O64" s="313">
        <f ca="1">実績集計!P51</f>
        <v>0</v>
      </c>
      <c r="P64" s="314">
        <f ca="1">実績集計!Q51</f>
        <v>0</v>
      </c>
      <c r="Q64" s="315">
        <f t="shared" ref="Q64" ca="1" si="136">SUM(E64:P64)</f>
        <v>7826.8644375999993</v>
      </c>
    </row>
    <row r="65" spans="1:22" x14ac:dyDescent="0.4">
      <c r="A65" s="223"/>
      <c r="B65" s="478"/>
      <c r="D65" s="228" t="s">
        <v>17</v>
      </c>
      <c r="E65" s="316">
        <f ca="1">IFERROR(E64/E63,"")</f>
        <v>1.0802308347609146</v>
      </c>
      <c r="F65" s="317">
        <f ca="1">IFERROR(IF(F64=0,"",F64/F63),"")</f>
        <v>1.050691641231593</v>
      </c>
      <c r="G65" s="317">
        <f t="shared" ref="G65" ca="1" si="137">IFERROR(IF(G64=0,"",G64/G63),"")</f>
        <v>0.56231724137931038</v>
      </c>
      <c r="H65" s="317" t="str">
        <f t="shared" ref="H65" ca="1" si="138">IFERROR(IF(H64=0,"",H64/H63),"")</f>
        <v/>
      </c>
      <c r="I65" s="317" t="str">
        <f t="shared" ref="I65" ca="1" si="139">IFERROR(IF(I64=0,"",I64/I63),"")</f>
        <v/>
      </c>
      <c r="J65" s="317" t="str">
        <f t="shared" ref="J65" ca="1" si="140">IFERROR(IF(J64=0,"",J64/J63),"")</f>
        <v/>
      </c>
      <c r="K65" s="317" t="str">
        <f t="shared" ref="K65" ca="1" si="141">IFERROR(IF(K64=0,"",K64/K63),"")</f>
        <v/>
      </c>
      <c r="L65" s="317" t="str">
        <f t="shared" ref="L65" ca="1" si="142">IFERROR(IF(L64=0,"",L64/L63),"")</f>
        <v/>
      </c>
      <c r="M65" s="317" t="str">
        <f t="shared" ref="M65" ca="1" si="143">IFERROR(IF(M64=0,"",M64/M63),"")</f>
        <v/>
      </c>
      <c r="N65" s="317" t="str">
        <f t="shared" ref="N65" ca="1" si="144">IFERROR(IF(N64=0,"",N64/N63),"")</f>
        <v/>
      </c>
      <c r="O65" s="317" t="str">
        <f t="shared" ref="O65" ca="1" si="145">IFERROR(IF(O64=0,"",O64/O63),"")</f>
        <v/>
      </c>
      <c r="P65" s="318" t="str">
        <f t="shared" ref="P65" ca="1" si="146">IFERROR(IF(P64=0,"",P64/P63),"")</f>
        <v/>
      </c>
      <c r="Q65" s="315"/>
    </row>
    <row r="66" spans="1:22" s="220" customFormat="1" x14ac:dyDescent="0.4">
      <c r="A66" s="223"/>
      <c r="B66" s="478"/>
      <c r="C66" s="219"/>
      <c r="D66" s="229" t="s">
        <v>372</v>
      </c>
      <c r="E66" s="319">
        <f ca="1">E65</f>
        <v>1.0802308347609146</v>
      </c>
      <c r="F66" s="320">
        <f ca="1">IFERROR(IF(F64=0,"",SUM($E64:F64)/SUM($E63:F63)),"")</f>
        <v>1.0622619605211725</v>
      </c>
      <c r="G66" s="320">
        <f ca="1">IFERROR(IF(G64=0,"",SUM($E64:G64)/SUM($E63:G63)),"")</f>
        <v>0.92516128104018902</v>
      </c>
      <c r="H66" s="320" t="str">
        <f ca="1">IFERROR(IF(H64=0,"",SUM($E64:H64)/SUM($E63:H63)),"")</f>
        <v/>
      </c>
      <c r="I66" s="320" t="str">
        <f ca="1">IFERROR(IF(I64=0,"",SUM($E64:I64)/SUM($E63:I63)),"")</f>
        <v/>
      </c>
      <c r="J66" s="320" t="str">
        <f ca="1">IFERROR(IF(J64=0,"",SUM($E64:J64)/SUM($E63:J63)),"")</f>
        <v/>
      </c>
      <c r="K66" s="320" t="str">
        <f ca="1">IFERROR(IF(K64=0,"",SUM($E64:K64)/SUM($E63:K63)),"")</f>
        <v/>
      </c>
      <c r="L66" s="320" t="str">
        <f ca="1">IFERROR(IF(L64=0,"",SUM($E64:L64)/SUM($E63:L63)),"")</f>
        <v/>
      </c>
      <c r="M66" s="320" t="str">
        <f ca="1">IFERROR(IF(M64=0,"",SUM($E64:M64)/SUM($E63:M63)),"")</f>
        <v/>
      </c>
      <c r="N66" s="320" t="str">
        <f ca="1">IFERROR(IF(N64=0,"",SUM($E64:N64)/SUM($E63:N63)),"")</f>
        <v/>
      </c>
      <c r="O66" s="320" t="str">
        <f ca="1">IFERROR(IF(O64=0,"",SUM($E64:O64)/SUM($E63:O63)),"")</f>
        <v/>
      </c>
      <c r="P66" s="321" t="str">
        <f ca="1">IFERROR(IF(P64=0,"",SUM($E64:P64)/SUM($E63:P63)),"")</f>
        <v/>
      </c>
      <c r="Q66" s="322"/>
      <c r="T66" s="162"/>
      <c r="U66" s="162"/>
      <c r="V66" s="162"/>
    </row>
    <row r="67" spans="1:22" x14ac:dyDescent="0.4">
      <c r="A67" s="223"/>
      <c r="B67" s="478"/>
      <c r="C67" s="1" t="s">
        <v>54</v>
      </c>
      <c r="D67" s="228" t="s">
        <v>367</v>
      </c>
      <c r="E67" s="312">
        <f>計画集計!F55</f>
        <v>996</v>
      </c>
      <c r="F67" s="313">
        <f>計画集計!G55</f>
        <v>905</v>
      </c>
      <c r="G67" s="313">
        <f>計画集計!H55</f>
        <v>1082</v>
      </c>
      <c r="H67" s="313">
        <f>計画集計!I55</f>
        <v>1305</v>
      </c>
      <c r="I67" s="313">
        <f>計画集計!J55</f>
        <v>1433</v>
      </c>
      <c r="J67" s="313">
        <f>計画集計!K55</f>
        <v>1201</v>
      </c>
      <c r="K67" s="313">
        <f>計画集計!L55</f>
        <v>1390</v>
      </c>
      <c r="L67" s="313">
        <f>計画集計!M55</f>
        <v>1007</v>
      </c>
      <c r="M67" s="313">
        <f>計画集計!N55</f>
        <v>1224</v>
      </c>
      <c r="N67" s="313">
        <f>計画集計!O55</f>
        <v>1322</v>
      </c>
      <c r="O67" s="313">
        <f>計画集計!P55</f>
        <v>1039</v>
      </c>
      <c r="P67" s="314">
        <f>計画集計!Q55</f>
        <v>1100</v>
      </c>
      <c r="Q67" s="315">
        <f t="shared" ref="Q67:Q68" si="147">SUM(E67:P67)</f>
        <v>14004</v>
      </c>
    </row>
    <row r="68" spans="1:22" x14ac:dyDescent="0.4">
      <c r="A68" s="223"/>
      <c r="B68" s="478"/>
      <c r="D68" s="228" t="s">
        <v>369</v>
      </c>
      <c r="E68" s="312">
        <f ca="1">実績集計!F55</f>
        <v>1051.7335139000015</v>
      </c>
      <c r="F68" s="313">
        <f ca="1">実績集計!G55</f>
        <v>1580.5308882000058</v>
      </c>
      <c r="G68" s="313">
        <f ca="1">実績集計!H55</f>
        <v>0</v>
      </c>
      <c r="H68" s="313">
        <f ca="1">実績集計!I55</f>
        <v>0</v>
      </c>
      <c r="I68" s="313">
        <f ca="1">実績集計!J55</f>
        <v>0</v>
      </c>
      <c r="J68" s="313">
        <f ca="1">実績集計!K55</f>
        <v>0</v>
      </c>
      <c r="K68" s="313">
        <f ca="1">実績集計!L55</f>
        <v>0</v>
      </c>
      <c r="L68" s="313">
        <f ca="1">実績集計!M55</f>
        <v>0</v>
      </c>
      <c r="M68" s="313">
        <f ca="1">実績集計!N55</f>
        <v>0</v>
      </c>
      <c r="N68" s="313">
        <f ca="1">実績集計!O55</f>
        <v>0</v>
      </c>
      <c r="O68" s="313">
        <f ca="1">実績集計!P55</f>
        <v>0</v>
      </c>
      <c r="P68" s="314">
        <f ca="1">実績集計!Q55</f>
        <v>0</v>
      </c>
      <c r="Q68" s="315">
        <f t="shared" ca="1" si="147"/>
        <v>2632.2644021000074</v>
      </c>
    </row>
    <row r="69" spans="1:22" x14ac:dyDescent="0.4">
      <c r="A69" s="223"/>
      <c r="B69" s="478"/>
      <c r="D69" s="228" t="s">
        <v>17</v>
      </c>
      <c r="E69" s="316">
        <f ca="1">IFERROR(E68/E67,"")</f>
        <v>1.055957343273094</v>
      </c>
      <c r="F69" s="317">
        <f ca="1">IFERROR(IF(F68=0,"",F68/F67),"")</f>
        <v>1.7464429703867468</v>
      </c>
      <c r="G69" s="317" t="str">
        <f t="shared" ref="G69" ca="1" si="148">IFERROR(IF(G68=0,"",G68/G67),"")</f>
        <v/>
      </c>
      <c r="H69" s="317" t="str">
        <f t="shared" ref="H69" ca="1" si="149">IFERROR(IF(H68=0,"",H68/H67),"")</f>
        <v/>
      </c>
      <c r="I69" s="317" t="str">
        <f t="shared" ref="I69" ca="1" si="150">IFERROR(IF(I68=0,"",I68/I67),"")</f>
        <v/>
      </c>
      <c r="J69" s="317" t="str">
        <f t="shared" ref="J69" ca="1" si="151">IFERROR(IF(J68=0,"",J68/J67),"")</f>
        <v/>
      </c>
      <c r="K69" s="317" t="str">
        <f t="shared" ref="K69" ca="1" si="152">IFERROR(IF(K68=0,"",K68/K67),"")</f>
        <v/>
      </c>
      <c r="L69" s="317" t="str">
        <f t="shared" ref="L69" ca="1" si="153">IFERROR(IF(L68=0,"",L68/L67),"")</f>
        <v/>
      </c>
      <c r="M69" s="317" t="str">
        <f t="shared" ref="M69" ca="1" si="154">IFERROR(IF(M68=0,"",M68/M67),"")</f>
        <v/>
      </c>
      <c r="N69" s="317" t="str">
        <f t="shared" ref="N69" ca="1" si="155">IFERROR(IF(N68=0,"",N68/N67),"")</f>
        <v/>
      </c>
      <c r="O69" s="317" t="str">
        <f t="shared" ref="O69" ca="1" si="156">IFERROR(IF(O68=0,"",O68/O67),"")</f>
        <v/>
      </c>
      <c r="P69" s="318" t="str">
        <f t="shared" ref="P69" ca="1" si="157">IFERROR(IF(P68=0,"",P68/P67),"")</f>
        <v/>
      </c>
      <c r="Q69" s="315"/>
    </row>
    <row r="70" spans="1:22" s="220" customFormat="1" x14ac:dyDescent="0.4">
      <c r="A70" s="223"/>
      <c r="B70" s="478"/>
      <c r="C70" s="219"/>
      <c r="D70" s="229" t="s">
        <v>372</v>
      </c>
      <c r="E70" s="319">
        <f ca="1">E69</f>
        <v>1.055957343273094</v>
      </c>
      <c r="F70" s="320">
        <f ca="1">IFERROR(IF(F68=0,"",SUM($E68:F68)/SUM($E67:F67)),"")</f>
        <v>1.3846735413466635</v>
      </c>
      <c r="G70" s="320" t="str">
        <f ca="1">IFERROR(IF(G68=0,"",SUM($E68:G68)/SUM($E67:G67)),"")</f>
        <v/>
      </c>
      <c r="H70" s="320" t="str">
        <f ca="1">IFERROR(IF(H68=0,"",SUM($E68:H68)/SUM($E67:H67)),"")</f>
        <v/>
      </c>
      <c r="I70" s="320" t="str">
        <f ca="1">IFERROR(IF(I68=0,"",SUM($E68:I68)/SUM($E67:I67)),"")</f>
        <v/>
      </c>
      <c r="J70" s="320" t="str">
        <f ca="1">IFERROR(IF(J68=0,"",SUM($E68:J68)/SUM($E67:J67)),"")</f>
        <v/>
      </c>
      <c r="K70" s="320" t="str">
        <f ca="1">IFERROR(IF(K68=0,"",SUM($E68:K68)/SUM($E67:K67)),"")</f>
        <v/>
      </c>
      <c r="L70" s="320" t="str">
        <f ca="1">IFERROR(IF(L68=0,"",SUM($E68:L68)/SUM($E67:L67)),"")</f>
        <v/>
      </c>
      <c r="M70" s="320" t="str">
        <f ca="1">IFERROR(IF(M68=0,"",SUM($E68:M68)/SUM($E67:M67)),"")</f>
        <v/>
      </c>
      <c r="N70" s="320" t="str">
        <f ca="1">IFERROR(IF(N68=0,"",SUM($E68:N68)/SUM($E67:N67)),"")</f>
        <v/>
      </c>
      <c r="O70" s="320" t="str">
        <f ca="1">IFERROR(IF(O68=0,"",SUM($E68:O68)/SUM($E67:O67)),"")</f>
        <v/>
      </c>
      <c r="P70" s="321" t="str">
        <f ca="1">IFERROR(IF(P68=0,"",SUM($E68:P68)/SUM($E67:P67)),"")</f>
        <v/>
      </c>
      <c r="Q70" s="322"/>
      <c r="T70" s="162"/>
      <c r="U70" s="162"/>
      <c r="V70" s="162"/>
    </row>
    <row r="71" spans="1:22" x14ac:dyDescent="0.4">
      <c r="A71" s="223"/>
      <c r="B71" s="478"/>
      <c r="C71" s="1" t="s">
        <v>55</v>
      </c>
      <c r="D71" s="228" t="s">
        <v>367</v>
      </c>
      <c r="E71" s="312">
        <f>計画集計!F59</f>
        <v>808.65440000000001</v>
      </c>
      <c r="F71" s="313">
        <f>計画集計!G59</f>
        <v>1831.508</v>
      </c>
      <c r="G71" s="313">
        <f>計画集計!H59</f>
        <v>1481.942</v>
      </c>
      <c r="H71" s="313">
        <f>計画集計!I59</f>
        <v>1574.3700000000001</v>
      </c>
      <c r="I71" s="313">
        <f>計画集計!J59</f>
        <v>1386.8820000000001</v>
      </c>
      <c r="J71" s="313">
        <f>計画集計!K59</f>
        <v>1746.9900000000002</v>
      </c>
      <c r="K71" s="313">
        <f>計画集計!L59</f>
        <v>2119.81</v>
      </c>
      <c r="L71" s="313">
        <f>計画集計!M59</f>
        <v>1896.482</v>
      </c>
      <c r="M71" s="313">
        <f>計画集計!N59</f>
        <v>948.71600000000012</v>
      </c>
      <c r="N71" s="313">
        <f>計画集計!O59</f>
        <v>2496.6759999999999</v>
      </c>
      <c r="O71" s="313">
        <f>計画集計!P59</f>
        <v>2939.5590000000002</v>
      </c>
      <c r="P71" s="314">
        <f>計画集計!Q59</f>
        <v>1608.7750000000001</v>
      </c>
      <c r="Q71" s="315">
        <f t="shared" ref="Q71:Q72" si="158">SUM(E71:P71)</f>
        <v>20840.364400000002</v>
      </c>
    </row>
    <row r="72" spans="1:22" x14ac:dyDescent="0.4">
      <c r="A72" s="223"/>
      <c r="B72" s="478"/>
      <c r="D72" s="228" t="s">
        <v>369</v>
      </c>
      <c r="E72" s="312">
        <f ca="1">実績集計!F59</f>
        <v>698.54164820000017</v>
      </c>
      <c r="F72" s="313">
        <f ca="1">実績集計!G59</f>
        <v>4249.6417529999999</v>
      </c>
      <c r="G72" s="313">
        <f ca="1">実績集計!H59</f>
        <v>0</v>
      </c>
      <c r="H72" s="313">
        <f ca="1">実績集計!I59</f>
        <v>0</v>
      </c>
      <c r="I72" s="313">
        <f ca="1">実績集計!J59</f>
        <v>0</v>
      </c>
      <c r="J72" s="313">
        <f ca="1">実績集計!K59</f>
        <v>0</v>
      </c>
      <c r="K72" s="313">
        <f ca="1">実績集計!L59</f>
        <v>0</v>
      </c>
      <c r="L72" s="313">
        <f ca="1">実績集計!M59</f>
        <v>0</v>
      </c>
      <c r="M72" s="313">
        <f ca="1">実績集計!N59</f>
        <v>0</v>
      </c>
      <c r="N72" s="313">
        <f ca="1">実績集計!O59</f>
        <v>0</v>
      </c>
      <c r="O72" s="313">
        <f ca="1">実績集計!P59</f>
        <v>0</v>
      </c>
      <c r="P72" s="314">
        <f ca="1">実績集計!Q59</f>
        <v>0</v>
      </c>
      <c r="Q72" s="315">
        <f t="shared" ca="1" si="158"/>
        <v>4948.1834011999999</v>
      </c>
    </row>
    <row r="73" spans="1:22" x14ac:dyDescent="0.4">
      <c r="A73" s="223"/>
      <c r="B73" s="478"/>
      <c r="D73" s="228" t="s">
        <v>17</v>
      </c>
      <c r="E73" s="316">
        <f ca="1">IFERROR(E72/E71,"")</f>
        <v>0.86383212432900902</v>
      </c>
      <c r="F73" s="317">
        <f ca="1">IFERROR(IF(F72=0,"",F72/F71),"")</f>
        <v>2.3202965823791106</v>
      </c>
      <c r="G73" s="317" t="str">
        <f t="shared" ref="G73" ca="1" si="159">IFERROR(IF(G72=0,"",G72/G71),"")</f>
        <v/>
      </c>
      <c r="H73" s="317" t="str">
        <f t="shared" ref="H73" ca="1" si="160">IFERROR(IF(H72=0,"",H72/H71),"")</f>
        <v/>
      </c>
      <c r="I73" s="317" t="str">
        <f t="shared" ref="I73" ca="1" si="161">IFERROR(IF(I72=0,"",I72/I71),"")</f>
        <v/>
      </c>
      <c r="J73" s="317" t="str">
        <f t="shared" ref="J73" ca="1" si="162">IFERROR(IF(J72=0,"",J72/J71),"")</f>
        <v/>
      </c>
      <c r="K73" s="317" t="str">
        <f t="shared" ref="K73" ca="1" si="163">IFERROR(IF(K72=0,"",K72/K71),"")</f>
        <v/>
      </c>
      <c r="L73" s="317" t="str">
        <f t="shared" ref="L73" ca="1" si="164">IFERROR(IF(L72=0,"",L72/L71),"")</f>
        <v/>
      </c>
      <c r="M73" s="317" t="str">
        <f t="shared" ref="M73" ca="1" si="165">IFERROR(IF(M72=0,"",M72/M71),"")</f>
        <v/>
      </c>
      <c r="N73" s="317" t="str">
        <f t="shared" ref="N73" ca="1" si="166">IFERROR(IF(N72=0,"",N72/N71),"")</f>
        <v/>
      </c>
      <c r="O73" s="317" t="str">
        <f t="shared" ref="O73" ca="1" si="167">IFERROR(IF(O72=0,"",O72/O71),"")</f>
        <v/>
      </c>
      <c r="P73" s="318" t="str">
        <f t="shared" ref="P73" ca="1" si="168">IFERROR(IF(P72=0,"",P72/P71),"")</f>
        <v/>
      </c>
      <c r="Q73" s="315"/>
    </row>
    <row r="74" spans="1:22" s="220" customFormat="1" x14ac:dyDescent="0.4">
      <c r="A74" s="223"/>
      <c r="B74" s="478"/>
      <c r="C74" s="219"/>
      <c r="D74" s="229" t="s">
        <v>372</v>
      </c>
      <c r="E74" s="319">
        <f ca="1">E73</f>
        <v>0.86383212432900902</v>
      </c>
      <c r="F74" s="320">
        <f ca="1">IFERROR(IF(F72=0,"",SUM($E72:F72)/SUM($E71:F71)),"")</f>
        <v>1.8741966029059423</v>
      </c>
      <c r="G74" s="320" t="str">
        <f ca="1">IFERROR(IF(G72=0,"",SUM($E72:G72)/SUM($E71:G71)),"")</f>
        <v/>
      </c>
      <c r="H74" s="320" t="str">
        <f ca="1">IFERROR(IF(H72=0,"",SUM($E72:H72)/SUM($E71:H71)),"")</f>
        <v/>
      </c>
      <c r="I74" s="320" t="str">
        <f ca="1">IFERROR(IF(I72=0,"",SUM($E72:I72)/SUM($E71:I71)),"")</f>
        <v/>
      </c>
      <c r="J74" s="320" t="str">
        <f ca="1">IFERROR(IF(J72=0,"",SUM($E72:J72)/SUM($E71:J71)),"")</f>
        <v/>
      </c>
      <c r="K74" s="320" t="str">
        <f ca="1">IFERROR(IF(K72=0,"",SUM($E72:K72)/SUM($E71:K71)),"")</f>
        <v/>
      </c>
      <c r="L74" s="320" t="str">
        <f ca="1">IFERROR(IF(L72=0,"",SUM($E72:L72)/SUM($E71:L71)),"")</f>
        <v/>
      </c>
      <c r="M74" s="320" t="str">
        <f ca="1">IFERROR(IF(M72=0,"",SUM($E72:M72)/SUM($E71:M71)),"")</f>
        <v/>
      </c>
      <c r="N74" s="320" t="str">
        <f ca="1">IFERROR(IF(N72=0,"",SUM($E72:N72)/SUM($E71:N71)),"")</f>
        <v/>
      </c>
      <c r="O74" s="320" t="str">
        <f ca="1">IFERROR(IF(O72=0,"",SUM($E72:O72)/SUM($E71:O71)),"")</f>
        <v/>
      </c>
      <c r="P74" s="321" t="str">
        <f ca="1">IFERROR(IF(P72=0,"",SUM($E72:P72)/SUM($E71:P71)),"")</f>
        <v/>
      </c>
      <c r="Q74" s="322"/>
      <c r="T74" s="162"/>
      <c r="U74" s="162"/>
      <c r="V74" s="162"/>
    </row>
    <row r="75" spans="1:22" x14ac:dyDescent="0.4">
      <c r="A75" s="223"/>
      <c r="B75" s="478"/>
      <c r="C75" s="1" t="s">
        <v>187</v>
      </c>
      <c r="D75" s="228" t="s">
        <v>367</v>
      </c>
      <c r="E75" s="312">
        <f>計画集計!F63</f>
        <v>224.50000000000006</v>
      </c>
      <c r="F75" s="313">
        <f>計画集計!G63</f>
        <v>238.3125</v>
      </c>
      <c r="G75" s="313">
        <f>計画集計!H63</f>
        <v>282.67349999999999</v>
      </c>
      <c r="H75" s="313">
        <f>計画集計!I63</f>
        <v>244.01600000000008</v>
      </c>
      <c r="I75" s="313">
        <f>計画集計!J63</f>
        <v>507.13649999999996</v>
      </c>
      <c r="J75" s="313">
        <f>計画集計!K63</f>
        <v>502.21999999999991</v>
      </c>
      <c r="K75" s="313">
        <f>計画集計!L63</f>
        <v>402.40699999999998</v>
      </c>
      <c r="L75" s="313">
        <f>計画集計!M63</f>
        <v>290.83300000000003</v>
      </c>
      <c r="M75" s="313">
        <f>計画集計!N63</f>
        <v>350.7885</v>
      </c>
      <c r="N75" s="313">
        <f>計画集計!O63</f>
        <v>372.35749999999996</v>
      </c>
      <c r="O75" s="313">
        <f>計画集計!P63</f>
        <v>323.54200000000009</v>
      </c>
      <c r="P75" s="314">
        <f>計画集計!Q63</f>
        <v>359.42349999999999</v>
      </c>
      <c r="Q75" s="315">
        <f t="shared" ref="Q75:Q76" si="169">SUM(E75:P75)</f>
        <v>4098.21</v>
      </c>
    </row>
    <row r="76" spans="1:22" x14ac:dyDescent="0.4">
      <c r="A76" s="223"/>
      <c r="B76" s="478"/>
      <c r="C76" s="1" t="s">
        <v>172</v>
      </c>
      <c r="D76" s="228" t="s">
        <v>369</v>
      </c>
      <c r="E76" s="312">
        <f ca="1">実績集計!F63</f>
        <v>75.39100000000002</v>
      </c>
      <c r="F76" s="313">
        <f ca="1">実績集計!G63</f>
        <v>64.766999999999996</v>
      </c>
      <c r="G76" s="313">
        <f ca="1">実績集計!H63</f>
        <v>0</v>
      </c>
      <c r="H76" s="313">
        <f ca="1">実績集計!I63</f>
        <v>0</v>
      </c>
      <c r="I76" s="313">
        <f ca="1">実績集計!J63</f>
        <v>0</v>
      </c>
      <c r="J76" s="313">
        <f ca="1">実績集計!K63</f>
        <v>0</v>
      </c>
      <c r="K76" s="313">
        <f ca="1">実績集計!L63</f>
        <v>0</v>
      </c>
      <c r="L76" s="313">
        <f ca="1">実績集計!M63</f>
        <v>0</v>
      </c>
      <c r="M76" s="313">
        <f ca="1">実績集計!N63</f>
        <v>0</v>
      </c>
      <c r="N76" s="313">
        <f ca="1">実績集計!O63</f>
        <v>0</v>
      </c>
      <c r="O76" s="313">
        <f ca="1">実績集計!P63</f>
        <v>0</v>
      </c>
      <c r="P76" s="314">
        <f ca="1">実績集計!Q63</f>
        <v>0</v>
      </c>
      <c r="Q76" s="315">
        <f t="shared" ca="1" si="169"/>
        <v>140.15800000000002</v>
      </c>
    </row>
    <row r="77" spans="1:22" x14ac:dyDescent="0.4">
      <c r="A77" s="223"/>
      <c r="B77" s="478"/>
      <c r="D77" s="228" t="s">
        <v>17</v>
      </c>
      <c r="E77" s="316">
        <f ca="1">IFERROR(E76/E75,"")</f>
        <v>0.33581737193763922</v>
      </c>
      <c r="F77" s="317">
        <f ca="1">IFERROR(IF(F76=0,"",F76/F75),"")</f>
        <v>0.27177340676632572</v>
      </c>
      <c r="G77" s="317" t="str">
        <f t="shared" ref="G77" ca="1" si="170">IFERROR(IF(G76=0,"",G76/G75),"")</f>
        <v/>
      </c>
      <c r="H77" s="317" t="str">
        <f t="shared" ref="H77" ca="1" si="171">IFERROR(IF(H76=0,"",H76/H75),"")</f>
        <v/>
      </c>
      <c r="I77" s="317" t="str">
        <f t="shared" ref="I77" ca="1" si="172">IFERROR(IF(I76=0,"",I76/I75),"")</f>
        <v/>
      </c>
      <c r="J77" s="317" t="str">
        <f t="shared" ref="J77" ca="1" si="173">IFERROR(IF(J76=0,"",J76/J75),"")</f>
        <v/>
      </c>
      <c r="K77" s="317" t="str">
        <f t="shared" ref="K77" ca="1" si="174">IFERROR(IF(K76=0,"",K76/K75),"")</f>
        <v/>
      </c>
      <c r="L77" s="317" t="str">
        <f t="shared" ref="L77" ca="1" si="175">IFERROR(IF(L76=0,"",L76/L75),"")</f>
        <v/>
      </c>
      <c r="M77" s="317" t="str">
        <f t="shared" ref="M77" ca="1" si="176">IFERROR(IF(M76=0,"",M76/M75),"")</f>
        <v/>
      </c>
      <c r="N77" s="317" t="str">
        <f t="shared" ref="N77" ca="1" si="177">IFERROR(IF(N76=0,"",N76/N75),"")</f>
        <v/>
      </c>
      <c r="O77" s="317" t="str">
        <f t="shared" ref="O77" ca="1" si="178">IFERROR(IF(O76=0,"",O76/O75),"")</f>
        <v/>
      </c>
      <c r="P77" s="318" t="str">
        <f t="shared" ref="P77" ca="1" si="179">IFERROR(IF(P76=0,"",P76/P75),"")</f>
        <v/>
      </c>
      <c r="Q77" s="315"/>
    </row>
    <row r="78" spans="1:22" s="220" customFormat="1" x14ac:dyDescent="0.4">
      <c r="A78" s="223"/>
      <c r="B78" s="478"/>
      <c r="C78" s="219"/>
      <c r="D78" s="229" t="s">
        <v>372</v>
      </c>
      <c r="E78" s="319">
        <f ca="1">E77</f>
        <v>0.33581737193763922</v>
      </c>
      <c r="F78" s="320">
        <f ca="1">IFERROR(IF(F76=0,"",SUM($E76:F76)/SUM($E75:F75)),"")</f>
        <v>0.30283970290344364</v>
      </c>
      <c r="G78" s="320" t="str">
        <f ca="1">IFERROR(IF(G76=0,"",SUM($E76:G76)/SUM($E75:G75)),"")</f>
        <v/>
      </c>
      <c r="H78" s="320" t="str">
        <f ca="1">IFERROR(IF(H76=0,"",SUM($E76:H76)/SUM($E75:H75)),"")</f>
        <v/>
      </c>
      <c r="I78" s="320" t="str">
        <f ca="1">IFERROR(IF(I76=0,"",SUM($E76:I76)/SUM($E75:I75)),"")</f>
        <v/>
      </c>
      <c r="J78" s="320" t="str">
        <f ca="1">IFERROR(IF(J76=0,"",SUM($E76:J76)/SUM($E75:J75)),"")</f>
        <v/>
      </c>
      <c r="K78" s="320" t="str">
        <f ca="1">IFERROR(IF(K76=0,"",SUM($E76:K76)/SUM($E75:K75)),"")</f>
        <v/>
      </c>
      <c r="L78" s="320" t="str">
        <f ca="1">IFERROR(IF(L76=0,"",SUM($E76:L76)/SUM($E75:L75)),"")</f>
        <v/>
      </c>
      <c r="M78" s="320" t="str">
        <f ca="1">IFERROR(IF(M76=0,"",SUM($E76:M76)/SUM($E75:M75)),"")</f>
        <v/>
      </c>
      <c r="N78" s="320" t="str">
        <f ca="1">IFERROR(IF(N76=0,"",SUM($E76:N76)/SUM($E75:N75)),"")</f>
        <v/>
      </c>
      <c r="O78" s="320" t="str">
        <f ca="1">IFERROR(IF(O76=0,"",SUM($E76:O76)/SUM($E75:O75)),"")</f>
        <v/>
      </c>
      <c r="P78" s="321" t="str">
        <f ca="1">IFERROR(IF(P76=0,"",SUM($E76:P76)/SUM($E75:P75)),"")</f>
        <v/>
      </c>
      <c r="Q78" s="322"/>
      <c r="T78" s="162"/>
      <c r="U78" s="162"/>
      <c r="V78" s="162"/>
    </row>
    <row r="79" spans="1:22" x14ac:dyDescent="0.4">
      <c r="A79" s="223"/>
      <c r="B79" s="478"/>
      <c r="C79" s="230" t="s">
        <v>185</v>
      </c>
      <c r="D79" s="232" t="s">
        <v>366</v>
      </c>
      <c r="E79" s="323">
        <f>計画集計!F67</f>
        <v>0</v>
      </c>
      <c r="F79" s="324">
        <f>計画集計!G67</f>
        <v>0</v>
      </c>
      <c r="G79" s="324">
        <f>計画集計!H67</f>
        <v>70</v>
      </c>
      <c r="H79" s="324">
        <f>計画集計!I67</f>
        <v>840</v>
      </c>
      <c r="I79" s="324">
        <f>計画集計!J67</f>
        <v>0</v>
      </c>
      <c r="J79" s="324">
        <f>計画集計!K67</f>
        <v>550</v>
      </c>
      <c r="K79" s="324">
        <f>計画集計!L67</f>
        <v>2100</v>
      </c>
      <c r="L79" s="324">
        <f>計画集計!M67</f>
        <v>2150</v>
      </c>
      <c r="M79" s="324">
        <f>計画集計!N67</f>
        <v>1800</v>
      </c>
      <c r="N79" s="324">
        <f>計画集計!O67</f>
        <v>2300</v>
      </c>
      <c r="O79" s="324">
        <f>計画集計!P67</f>
        <v>2400</v>
      </c>
      <c r="P79" s="325">
        <f>計画集計!Q67</f>
        <v>2900</v>
      </c>
      <c r="Q79" s="326">
        <f t="shared" ref="Q79:Q80" si="180">SUM(E79:P79)</f>
        <v>15110</v>
      </c>
    </row>
    <row r="80" spans="1:22" x14ac:dyDescent="0.4">
      <c r="A80" s="223"/>
      <c r="B80" s="478"/>
      <c r="C80" s="1" t="s">
        <v>186</v>
      </c>
      <c r="D80" s="228" t="s">
        <v>368</v>
      </c>
      <c r="E80" s="312">
        <f ca="1">実績集計!F67</f>
        <v>0</v>
      </c>
      <c r="F80" s="327">
        <f ca="1">実績集計!G67</f>
        <v>0</v>
      </c>
      <c r="G80" s="327">
        <f ca="1">実績集計!H67</f>
        <v>0</v>
      </c>
      <c r="H80" s="327">
        <f ca="1">実績集計!I67</f>
        <v>0</v>
      </c>
      <c r="I80" s="327">
        <f ca="1">実績集計!J67</f>
        <v>0</v>
      </c>
      <c r="J80" s="327">
        <f ca="1">実績集計!K67</f>
        <v>0</v>
      </c>
      <c r="K80" s="327">
        <f ca="1">実績集計!L67</f>
        <v>0</v>
      </c>
      <c r="L80" s="327">
        <f ca="1">実績集計!M67</f>
        <v>0</v>
      </c>
      <c r="M80" s="327">
        <f ca="1">実績集計!N67</f>
        <v>0</v>
      </c>
      <c r="N80" s="327">
        <f ca="1">実績集計!O67</f>
        <v>0</v>
      </c>
      <c r="O80" s="327">
        <f ca="1">実績集計!P67</f>
        <v>0</v>
      </c>
      <c r="P80" s="314">
        <f ca="1">実績集計!Q67</f>
        <v>0</v>
      </c>
      <c r="Q80" s="315">
        <f t="shared" ca="1" si="180"/>
        <v>0</v>
      </c>
    </row>
    <row r="81" spans="1:22" x14ac:dyDescent="0.4">
      <c r="A81" s="223"/>
      <c r="B81" s="478"/>
      <c r="D81" s="228" t="s">
        <v>370</v>
      </c>
      <c r="E81" s="316" t="str">
        <f ca="1">IFERROR(E80/E79,"")</f>
        <v/>
      </c>
      <c r="F81" s="328" t="str">
        <f ca="1">IFERROR(IF(F80=0,"",F80/F79),"")</f>
        <v/>
      </c>
      <c r="G81" s="328" t="str">
        <f t="shared" ref="G81" ca="1" si="181">IFERROR(IF(G80=0,"",G80/G79),"")</f>
        <v/>
      </c>
      <c r="H81" s="328" t="str">
        <f t="shared" ref="H81" ca="1" si="182">IFERROR(IF(H80=0,"",H80/H79),"")</f>
        <v/>
      </c>
      <c r="I81" s="328" t="str">
        <f t="shared" ref="I81" ca="1" si="183">IFERROR(IF(I80=0,"",I80/I79),"")</f>
        <v/>
      </c>
      <c r="J81" s="328" t="str">
        <f t="shared" ref="J81" ca="1" si="184">IFERROR(IF(J80=0,"",J80/J79),"")</f>
        <v/>
      </c>
      <c r="K81" s="328" t="str">
        <f t="shared" ref="K81" ca="1" si="185">IFERROR(IF(K80=0,"",K80/K79),"")</f>
        <v/>
      </c>
      <c r="L81" s="328" t="str">
        <f t="shared" ref="L81" ca="1" si="186">IFERROR(IF(L80=0,"",L80/L79),"")</f>
        <v/>
      </c>
      <c r="M81" s="328" t="str">
        <f t="shared" ref="M81" ca="1" si="187">IFERROR(IF(M80=0,"",M80/M79),"")</f>
        <v/>
      </c>
      <c r="N81" s="328" t="str">
        <f t="shared" ref="N81" ca="1" si="188">IFERROR(IF(N80=0,"",N80/N79),"")</f>
        <v/>
      </c>
      <c r="O81" s="328" t="str">
        <f t="shared" ref="O81" ca="1" si="189">IFERROR(IF(O80=0,"",O80/O79),"")</f>
        <v/>
      </c>
      <c r="P81" s="318" t="str">
        <f t="shared" ref="P81" ca="1" si="190">IFERROR(IF(P80=0,"",P80/P79),"")</f>
        <v/>
      </c>
      <c r="Q81" s="315"/>
    </row>
    <row r="82" spans="1:22" s="220" customFormat="1" x14ac:dyDescent="0.4">
      <c r="A82" s="223"/>
      <c r="B82" s="479"/>
      <c r="C82" s="175"/>
      <c r="D82" s="226" t="s">
        <v>371</v>
      </c>
      <c r="E82" s="329" t="str">
        <f ca="1">E81</f>
        <v/>
      </c>
      <c r="F82" s="330" t="str">
        <f ca="1">IFERROR(IF(F80=0,"",SUM($E80:F80)/SUM($E79:F79)),"")</f>
        <v/>
      </c>
      <c r="G82" s="330" t="str">
        <f ca="1">IFERROR(IF(G80=0,"",SUM($E80:G80)/SUM($E79:G79)),"")</f>
        <v/>
      </c>
      <c r="H82" s="330" t="str">
        <f ca="1">IFERROR(IF(H80=0,"",SUM($E80:H80)/SUM($E79:H79)),"")</f>
        <v/>
      </c>
      <c r="I82" s="330" t="str">
        <f ca="1">IFERROR(IF(I80=0,"",SUM($E80:I80)/SUM($E79:I79)),"")</f>
        <v/>
      </c>
      <c r="J82" s="330" t="str">
        <f ca="1">IFERROR(IF(J80=0,"",SUM($E80:J80)/SUM($E79:J79)),"")</f>
        <v/>
      </c>
      <c r="K82" s="330" t="str">
        <f ca="1">IFERROR(IF(K80=0,"",SUM($E80:K80)/SUM($E79:K79)),"")</f>
        <v/>
      </c>
      <c r="L82" s="330" t="str">
        <f ca="1">IFERROR(IF(L80=0,"",SUM($E80:L80)/SUM($E79:L79)),"")</f>
        <v/>
      </c>
      <c r="M82" s="330" t="str">
        <f ca="1">IFERROR(IF(M80=0,"",SUM($E80:M80)/SUM($E79:M79)),"")</f>
        <v/>
      </c>
      <c r="N82" s="330" t="str">
        <f ca="1">IFERROR(IF(N80=0,"",SUM($E80:N80)/SUM($E79:N79)),"")</f>
        <v/>
      </c>
      <c r="O82" s="330" t="str">
        <f ca="1">IFERROR(IF(O80=0,"",SUM($E80:O80)/SUM($E79:O79)),"")</f>
        <v/>
      </c>
      <c r="P82" s="331" t="str">
        <f ca="1">IFERROR(IF(P80=0,"",SUM($E80:P80)/SUM($E79:P79)),"")</f>
        <v/>
      </c>
      <c r="Q82" s="332"/>
      <c r="T82" s="162"/>
      <c r="U82" s="162"/>
      <c r="V82" s="162"/>
    </row>
    <row r="83" spans="1:22" x14ac:dyDescent="0.4">
      <c r="A83" s="223"/>
      <c r="B83" s="472" t="s">
        <v>383</v>
      </c>
      <c r="C83" s="473"/>
      <c r="D83" s="224" t="s">
        <v>386</v>
      </c>
      <c r="E83" s="333">
        <f>SUM(E51,E55,E59)</f>
        <v>3458.8407407407408</v>
      </c>
      <c r="F83" s="334">
        <f t="shared" ref="F83:P83" si="191">SUM(F51,F55,F59)</f>
        <v>3320.3222222222221</v>
      </c>
      <c r="G83" s="334">
        <f t="shared" si="191"/>
        <v>3956.3407407407408</v>
      </c>
      <c r="H83" s="334">
        <f t="shared" si="191"/>
        <v>3828.1000000000004</v>
      </c>
      <c r="I83" s="334">
        <f t="shared" si="191"/>
        <v>4819.0974074074074</v>
      </c>
      <c r="J83" s="334">
        <f t="shared" si="191"/>
        <v>4434.0259259259255</v>
      </c>
      <c r="K83" s="334">
        <f t="shared" si="191"/>
        <v>4409.7666666666664</v>
      </c>
      <c r="L83" s="334">
        <f t="shared" si="191"/>
        <v>4442.4518518518516</v>
      </c>
      <c r="M83" s="334">
        <f t="shared" si="191"/>
        <v>4998.2851851851847</v>
      </c>
      <c r="N83" s="334">
        <f t="shared" si="191"/>
        <v>4561.4796296296299</v>
      </c>
      <c r="O83" s="334">
        <f t="shared" si="191"/>
        <v>5504.0722222222221</v>
      </c>
      <c r="P83" s="335">
        <f t="shared" si="191"/>
        <v>5604.7481481481482</v>
      </c>
      <c r="Q83" s="336">
        <f>SUM(E83:P83)</f>
        <v>53337.530740740753</v>
      </c>
    </row>
    <row r="84" spans="1:22" x14ac:dyDescent="0.4">
      <c r="A84" s="223"/>
      <c r="B84" s="474"/>
      <c r="C84" s="475"/>
      <c r="D84" s="225" t="s">
        <v>388</v>
      </c>
      <c r="E84" s="337">
        <f>SUM(E52,E56,E60)</f>
        <v>3458.9959999999996</v>
      </c>
      <c r="F84" s="338">
        <f t="shared" ref="F84:P84" si="192">SUM(F52,F56,F60)</f>
        <v>2694.7860000000001</v>
      </c>
      <c r="G84" s="338">
        <f t="shared" si="192"/>
        <v>1977.4229999999998</v>
      </c>
      <c r="H84" s="338">
        <f t="shared" si="192"/>
        <v>3301.0730000000003</v>
      </c>
      <c r="I84" s="338">
        <f t="shared" si="192"/>
        <v>3792.8999999999992</v>
      </c>
      <c r="J84" s="338">
        <f t="shared" si="192"/>
        <v>2364.1499999999996</v>
      </c>
      <c r="K84" s="338">
        <f t="shared" si="192"/>
        <v>2423.3190000000004</v>
      </c>
      <c r="L84" s="338">
        <f t="shared" si="192"/>
        <v>2642.5709999999999</v>
      </c>
      <c r="M84" s="338">
        <f t="shared" si="192"/>
        <v>2377.998</v>
      </c>
      <c r="N84" s="338">
        <f t="shared" si="192"/>
        <v>0</v>
      </c>
      <c r="O84" s="338">
        <f t="shared" si="192"/>
        <v>0</v>
      </c>
      <c r="P84" s="339">
        <f t="shared" si="192"/>
        <v>0</v>
      </c>
      <c r="Q84" s="340">
        <f>SUM(E84:P84)</f>
        <v>25033.215999999997</v>
      </c>
    </row>
    <row r="85" spans="1:22" x14ac:dyDescent="0.4">
      <c r="A85" s="223"/>
      <c r="B85" s="474"/>
      <c r="C85" s="475"/>
      <c r="D85" s="225" t="s">
        <v>387</v>
      </c>
      <c r="E85" s="337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9"/>
      <c r="Q85" s="341">
        <f>SUM(E85:P85)</f>
        <v>0</v>
      </c>
    </row>
    <row r="86" spans="1:22" x14ac:dyDescent="0.4">
      <c r="A86" s="223"/>
      <c r="B86" s="474"/>
      <c r="C86" s="475"/>
      <c r="D86" s="225" t="s">
        <v>389</v>
      </c>
      <c r="E86" s="342">
        <f>IFERROR(IF(E84=0,"",IF(E85="",E84/E83,E85/E83)),"")</f>
        <v>1.0000448876577144</v>
      </c>
      <c r="F86" s="343">
        <f t="shared" ref="F86" si="193">IFERROR(IF(F84=0,"",IF(F85="",F84/F83,F85/F83)),"")</f>
        <v>0.81160376000990542</v>
      </c>
      <c r="G86" s="343">
        <f t="shared" ref="G86" si="194">IFERROR(IF(G84=0,"",IF(G85="",G84/G83,G85/G83)),"")</f>
        <v>0.49981109555032138</v>
      </c>
      <c r="H86" s="343">
        <f t="shared" ref="H86" si="195">IFERROR(IF(H84=0,"",IF(H85="",H84/H83,H85/H83)),"")</f>
        <v>0.86232674172566026</v>
      </c>
      <c r="I86" s="343">
        <f t="shared" ref="I86" si="196">IFERROR(IF(I84=0,"",IF(I85="",I84/I83,I85/I83)),"")</f>
        <v>0.78705609771862128</v>
      </c>
      <c r="J86" s="343">
        <f t="shared" ref="J86" si="197">IFERROR(IF(J84=0,"",IF(J85="",J84/J83,J85/J83)),"")</f>
        <v>0.53318362127219887</v>
      </c>
      <c r="K86" s="343">
        <f t="shared" ref="K86" si="198">IFERROR(IF(K84=0,"",IF(K85="",K84/K83,K85/K83)),"")</f>
        <v>0.54953451807729825</v>
      </c>
      <c r="L86" s="343">
        <f t="shared" ref="L86" si="199">IFERROR(IF(L84=0,"",IF(L85="",L84/L83,L85/L83)),"")</f>
        <v>0.59484516391515529</v>
      </c>
      <c r="M86" s="343">
        <f t="shared" ref="M86" si="200">IFERROR(IF(M84=0,"",IF(M85="",M84/M83,M85/M83)),"")</f>
        <v>0.47576276900892683</v>
      </c>
      <c r="N86" s="343" t="str">
        <f t="shared" ref="N86" si="201">IFERROR(IF(N84=0,"",IF(N85="",N84/N83,N85/N83)),"")</f>
        <v/>
      </c>
      <c r="O86" s="343" t="str">
        <f t="shared" ref="O86" si="202">IFERROR(IF(O84=0,"",IF(O85="",O84/O83,O85/O83)),"")</f>
        <v/>
      </c>
      <c r="P86" s="344" t="str">
        <f t="shared" ref="P86" si="203">IFERROR(IF(P84=0,"",IF(P85="",P84/P83,P85/P83)),"")</f>
        <v/>
      </c>
      <c r="Q86" s="340"/>
    </row>
    <row r="87" spans="1:22" x14ac:dyDescent="0.4">
      <c r="A87" s="223"/>
      <c r="B87" s="476"/>
      <c r="C87" s="477"/>
      <c r="D87" s="226" t="s">
        <v>390</v>
      </c>
      <c r="E87" s="329">
        <f>E86</f>
        <v>1.0000448876577144</v>
      </c>
      <c r="F87" s="330">
        <f>IFERROR(IF(F85="",SUM($E84:F84)/SUM($E83:F83),SUM($E85:F85)/SUM($E83:F83)),"")</f>
        <v>0.9077495309701733</v>
      </c>
      <c r="G87" s="330">
        <f>IFERROR(IF(G85="",SUM($E84:G84)/SUM($E83:G83),SUM($E85:G85)/SUM($E83:G83)),"")</f>
        <v>0.75741252803953363</v>
      </c>
      <c r="H87" s="330">
        <f>IFERROR(IF(H85="",SUM($E84:H84)/SUM($E83:H83),SUM($E85:H85)/SUM($E83:H83)),"")</f>
        <v>0.78498963804491806</v>
      </c>
      <c r="I87" s="330">
        <f>IFERROR(IF(I85="",SUM($E84:I84)/SUM($E83:I83),SUM($E85:I85)/SUM($E83:I83)),"")</f>
        <v>0.78550341940072432</v>
      </c>
      <c r="J87" s="330">
        <f>IFERROR(IF(J85="",SUM($E84:J84)/SUM($E83:J83),SUM($E85:J85)/SUM($E83:J83)),"")</f>
        <v>0.73852834491687691</v>
      </c>
      <c r="K87" s="330">
        <f>IFERROR(IF(K85="",SUM($E84:K84)/SUM($E83:K83),SUM($E85:K85)/SUM($E83:K83)),"")</f>
        <v>0.70900223067288237</v>
      </c>
      <c r="L87" s="330">
        <f>IFERROR(IF(L85="",SUM($E84:L84)/SUM($E83:L83),SUM($E85:L85)/SUM($E83:L83)),"")</f>
        <v>0.69347870323740324</v>
      </c>
      <c r="M87" s="330">
        <f>IFERROR(IF(M85="",SUM($E84:M84)/SUM($E83:M83),SUM($E85:M85)/SUM($E83:M83)),"")</f>
        <v>0.66458870237370971</v>
      </c>
      <c r="N87" s="330">
        <f>IFERROR(IF(N85="",SUM($E84:N84)/SUM($E83:N83),SUM($E85:N85)/SUM($E83:N83)),"")</f>
        <v>0.59280086416194377</v>
      </c>
      <c r="O87" s="330">
        <f>IFERROR(IF(O85="",SUM($E84:O84)/SUM($E83:O83),SUM($E85:O85)/SUM($E83:O83)),"")</f>
        <v>0.5244449336562409</v>
      </c>
      <c r="P87" s="331">
        <f>IFERROR(IF(P85="",SUM($E84:P84)/SUM($E83:P83),SUM($E85:P85)/SUM($E83:P83)),"")</f>
        <v>0.4693358626157566</v>
      </c>
      <c r="Q87" s="345"/>
    </row>
    <row r="88" spans="1:22" x14ac:dyDescent="0.4">
      <c r="A88" s="223"/>
      <c r="B88" s="472" t="s">
        <v>384</v>
      </c>
      <c r="C88" s="473"/>
      <c r="D88" s="224" t="s">
        <v>386</v>
      </c>
      <c r="E88" s="333">
        <f>SUM(E63,E67,E71,E75,E79)</f>
        <v>4434.1544000000004</v>
      </c>
      <c r="F88" s="334">
        <f t="shared" ref="F88:P88" si="204">SUM(F63,F67,F71,F75,F79)</f>
        <v>6709.8204999999998</v>
      </c>
      <c r="G88" s="334">
        <f t="shared" si="204"/>
        <v>5236.6154999999999</v>
      </c>
      <c r="H88" s="334">
        <f t="shared" si="204"/>
        <v>8668.3860000000004</v>
      </c>
      <c r="I88" s="334">
        <f t="shared" si="204"/>
        <v>7802.0184999999992</v>
      </c>
      <c r="J88" s="334">
        <f t="shared" si="204"/>
        <v>8810.2099999999991</v>
      </c>
      <c r="K88" s="334">
        <f t="shared" si="204"/>
        <v>11322.216999999999</v>
      </c>
      <c r="L88" s="334">
        <f t="shared" si="204"/>
        <v>10719.315000000001</v>
      </c>
      <c r="M88" s="334">
        <f t="shared" si="204"/>
        <v>9098.5044999999991</v>
      </c>
      <c r="N88" s="334">
        <f t="shared" si="204"/>
        <v>10631.0335</v>
      </c>
      <c r="O88" s="334">
        <f t="shared" si="204"/>
        <v>10872.101000000001</v>
      </c>
      <c r="P88" s="335">
        <f t="shared" si="204"/>
        <v>10338.198499999999</v>
      </c>
      <c r="Q88" s="336">
        <f>SUM(E88:P88)</f>
        <v>104642.5744</v>
      </c>
    </row>
    <row r="89" spans="1:22" x14ac:dyDescent="0.4">
      <c r="A89" s="223"/>
      <c r="B89" s="474"/>
      <c r="C89" s="475"/>
      <c r="D89" s="225" t="s">
        <v>388</v>
      </c>
      <c r="E89" s="337">
        <f ca="1">SUM(E64,E68,E72,E76,E80)</f>
        <v>4423.6213197000015</v>
      </c>
      <c r="F89" s="338">
        <f t="shared" ref="F89:P89" ca="1" si="205">SUM(F64,F68,F72,F76,F80)</f>
        <v>9819.2729212000049</v>
      </c>
      <c r="G89" s="338">
        <f t="shared" ca="1" si="205"/>
        <v>1304.576</v>
      </c>
      <c r="H89" s="338">
        <f t="shared" ca="1" si="205"/>
        <v>0</v>
      </c>
      <c r="I89" s="338">
        <f t="shared" ca="1" si="205"/>
        <v>0</v>
      </c>
      <c r="J89" s="338">
        <f t="shared" ca="1" si="205"/>
        <v>0</v>
      </c>
      <c r="K89" s="338">
        <f t="shared" ca="1" si="205"/>
        <v>0</v>
      </c>
      <c r="L89" s="338">
        <f t="shared" ca="1" si="205"/>
        <v>0</v>
      </c>
      <c r="M89" s="338">
        <f t="shared" ca="1" si="205"/>
        <v>0</v>
      </c>
      <c r="N89" s="338">
        <f t="shared" ca="1" si="205"/>
        <v>0</v>
      </c>
      <c r="O89" s="338">
        <f t="shared" ca="1" si="205"/>
        <v>0</v>
      </c>
      <c r="P89" s="339">
        <f t="shared" ca="1" si="205"/>
        <v>0</v>
      </c>
      <c r="Q89" s="340">
        <f ca="1">SUM(E89:P89)</f>
        <v>15547.470240900006</v>
      </c>
    </row>
    <row r="90" spans="1:22" x14ac:dyDescent="0.4">
      <c r="A90" s="223"/>
      <c r="B90" s="474"/>
      <c r="C90" s="475"/>
      <c r="D90" s="225" t="s">
        <v>387</v>
      </c>
      <c r="E90" s="337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9"/>
      <c r="Q90" s="340">
        <f>SUM(E90:P90)</f>
        <v>0</v>
      </c>
    </row>
    <row r="91" spans="1:22" x14ac:dyDescent="0.4">
      <c r="A91" s="223"/>
      <c r="B91" s="474"/>
      <c r="C91" s="475"/>
      <c r="D91" s="225" t="s">
        <v>389</v>
      </c>
      <c r="E91" s="342">
        <f ca="1">IFERROR(IF(E89=0,"",IF(E90="",E89/E88,E90/E88)),"")</f>
        <v>0.99762455716472143</v>
      </c>
      <c r="F91" s="343">
        <f t="shared" ref="F91" ca="1" si="206">IFERROR(IF(F89=0,"",IF(F90="",F89/F88,F90/F88)),"")</f>
        <v>1.4634181229140191</v>
      </c>
      <c r="G91" s="343">
        <f t="shared" ref="G91" ca="1" si="207">IFERROR(IF(G89=0,"",IF(G90="",G89/G88,G90/G88)),"")</f>
        <v>0.24912579508654017</v>
      </c>
      <c r="H91" s="343" t="str">
        <f t="shared" ref="H91" ca="1" si="208">IFERROR(IF(H89=0,"",IF(H90="",H89/H88,H90/H88)),"")</f>
        <v/>
      </c>
      <c r="I91" s="343" t="str">
        <f t="shared" ref="I91" ca="1" si="209">IFERROR(IF(I89=0,"",IF(I90="",I89/I88,I90/I88)),"")</f>
        <v/>
      </c>
      <c r="J91" s="343" t="str">
        <f t="shared" ref="J91" ca="1" si="210">IFERROR(IF(J89=0,"",IF(J90="",J89/J88,J90/J88)),"")</f>
        <v/>
      </c>
      <c r="K91" s="343" t="str">
        <f t="shared" ref="K91" ca="1" si="211">IFERROR(IF(K89=0,"",IF(K90="",K89/K88,K90/K88)),"")</f>
        <v/>
      </c>
      <c r="L91" s="343" t="str">
        <f t="shared" ref="L91" ca="1" si="212">IFERROR(IF(L89=0,"",IF(L90="",L89/L88,L90/L88)),"")</f>
        <v/>
      </c>
      <c r="M91" s="343" t="str">
        <f t="shared" ref="M91" ca="1" si="213">IFERROR(IF(M89=0,"",IF(M90="",M89/M88,M90/M88)),"")</f>
        <v/>
      </c>
      <c r="N91" s="343" t="str">
        <f t="shared" ref="N91" ca="1" si="214">IFERROR(IF(N89=0,"",IF(N90="",N89/N88,N90/N88)),"")</f>
        <v/>
      </c>
      <c r="O91" s="343" t="str">
        <f t="shared" ref="O91" ca="1" si="215">IFERROR(IF(O89=0,"",IF(O90="",O89/O88,O90/O88)),"")</f>
        <v/>
      </c>
      <c r="P91" s="344" t="str">
        <f t="shared" ref="P91" ca="1" si="216">IFERROR(IF(P89=0,"",IF(P90="",P89/P88,P90/P88)),"")</f>
        <v/>
      </c>
      <c r="Q91" s="340"/>
    </row>
    <row r="92" spans="1:22" x14ac:dyDescent="0.4">
      <c r="A92" s="223"/>
      <c r="B92" s="476"/>
      <c r="C92" s="477"/>
      <c r="D92" s="226" t="s">
        <v>390</v>
      </c>
      <c r="E92" s="329">
        <f ca="1">E91</f>
        <v>0.99762455716472143</v>
      </c>
      <c r="F92" s="330">
        <f ca="1">IFERROR(IF(F90="",SUM($E89:F89)/SUM($E88:F88),SUM($E90:F90)/SUM($E88:F88)),"")</f>
        <v>1.2780802513203799</v>
      </c>
      <c r="G92" s="330">
        <f ca="1">IFERROR(IF(G90="",SUM($E89:G89)/SUM($E88:G88),SUM($E90:G90)/SUM($E88:G88)),"")</f>
        <v>0.94913979662784342</v>
      </c>
      <c r="H92" s="330">
        <f ca="1">IFERROR(IF(H90="",SUM($E89:H89)/SUM($E88:H88),SUM($E90:H90)/SUM($E88:H88)),"")</f>
        <v>0.62068285716058269</v>
      </c>
      <c r="I92" s="330">
        <f ca="1">IFERROR(IF(I90="",SUM($E89:I89)/SUM($E88:I88),SUM($E90:I90)/SUM($E88:I88)),"")</f>
        <v>0.47327243172473921</v>
      </c>
      <c r="J92" s="330">
        <f ca="1">IFERROR(IF(J90="",SUM($E89:J89)/SUM($E88:J88),SUM($E90:J90)/SUM($E88:J88)),"")</f>
        <v>0.37318820418705667</v>
      </c>
      <c r="K92" s="330">
        <f ca="1">IFERROR(IF(K90="",SUM($E89:K89)/SUM($E88:K88),SUM($E90:K90)/SUM($E88:K88)),"")</f>
        <v>0.29344028157041341</v>
      </c>
      <c r="L92" s="330">
        <f ca="1">IFERROR(IF(L90="",SUM($E89:L89)/SUM($E88:L88),SUM($E90:L90)/SUM($E88:L88)),"")</f>
        <v>0.24406282991115891</v>
      </c>
      <c r="M92" s="330">
        <f ca="1">IFERROR(IF(M90="",SUM($E89:M89)/SUM($E88:M88),SUM($E90:M90)/SUM($E88:M88)),"")</f>
        <v>0.21356050998465537</v>
      </c>
      <c r="N92" s="330">
        <f ca="1">IFERROR(IF(N90="",SUM($E89:N89)/SUM($E88:N88),SUM($E90:N90)/SUM($E88:N88)),"")</f>
        <v>0.18634839166898953</v>
      </c>
      <c r="O92" s="330">
        <f ca="1">IFERROR(IF(O90="",SUM($E89:O89)/SUM($E88:O88),SUM($E90:O90)/SUM($E88:O88)),"")</f>
        <v>0.1648647805843759</v>
      </c>
      <c r="P92" s="331">
        <f ca="1">IFERROR(IF(P90="",SUM($E89:P89)/SUM($E88:P88),SUM($E90:P90)/SUM($E88:P88)),"")</f>
        <v>0.14857690887333527</v>
      </c>
      <c r="Q92" s="345"/>
    </row>
    <row r="93" spans="1:22" x14ac:dyDescent="0.4">
      <c r="A93" s="223"/>
      <c r="B93" s="472" t="s">
        <v>385</v>
      </c>
      <c r="C93" s="473"/>
      <c r="D93" s="224" t="s">
        <v>386</v>
      </c>
      <c r="E93" s="337">
        <f>SUM(E83,E88)</f>
        <v>7892.9951407407407</v>
      </c>
      <c r="F93" s="338">
        <f t="shared" ref="F93:P93" si="217">SUM(F83,F88)</f>
        <v>10030.142722222223</v>
      </c>
      <c r="G93" s="338">
        <f t="shared" si="217"/>
        <v>9192.9562407407411</v>
      </c>
      <c r="H93" s="338">
        <f t="shared" si="217"/>
        <v>12496.486000000001</v>
      </c>
      <c r="I93" s="338">
        <f t="shared" si="217"/>
        <v>12621.115907407406</v>
      </c>
      <c r="J93" s="338">
        <f t="shared" si="217"/>
        <v>13244.235925925925</v>
      </c>
      <c r="K93" s="338">
        <f t="shared" si="217"/>
        <v>15731.983666666665</v>
      </c>
      <c r="L93" s="338">
        <f t="shared" si="217"/>
        <v>15161.766851851851</v>
      </c>
      <c r="M93" s="338">
        <f t="shared" si="217"/>
        <v>14096.789685185184</v>
      </c>
      <c r="N93" s="338">
        <f t="shared" si="217"/>
        <v>15192.513129629629</v>
      </c>
      <c r="O93" s="338">
        <f t="shared" si="217"/>
        <v>16376.173222222224</v>
      </c>
      <c r="P93" s="339">
        <f t="shared" si="217"/>
        <v>15942.946648148147</v>
      </c>
      <c r="Q93" s="340">
        <f>SUM(E93:P93)</f>
        <v>157980.10514074075</v>
      </c>
    </row>
    <row r="94" spans="1:22" x14ac:dyDescent="0.4">
      <c r="A94" s="223"/>
      <c r="B94" s="474"/>
      <c r="C94" s="475"/>
      <c r="D94" s="225" t="s">
        <v>388</v>
      </c>
      <c r="E94" s="337">
        <f ca="1">SUM(E84,E89)</f>
        <v>7882.6173197000007</v>
      </c>
      <c r="F94" s="338">
        <f t="shared" ref="F94:P94" ca="1" si="218">SUM(F84,F89)</f>
        <v>12514.058921200005</v>
      </c>
      <c r="G94" s="338">
        <f t="shared" ca="1" si="218"/>
        <v>3281.9989999999998</v>
      </c>
      <c r="H94" s="338">
        <f t="shared" ca="1" si="218"/>
        <v>3301.0730000000003</v>
      </c>
      <c r="I94" s="338">
        <f t="shared" ca="1" si="218"/>
        <v>3792.8999999999992</v>
      </c>
      <c r="J94" s="338">
        <f t="shared" ca="1" si="218"/>
        <v>2364.1499999999996</v>
      </c>
      <c r="K94" s="338">
        <f t="shared" ca="1" si="218"/>
        <v>2423.3190000000004</v>
      </c>
      <c r="L94" s="338">
        <f t="shared" ca="1" si="218"/>
        <v>2642.5709999999999</v>
      </c>
      <c r="M94" s="338">
        <f t="shared" ca="1" si="218"/>
        <v>2377.998</v>
      </c>
      <c r="N94" s="338">
        <f t="shared" ca="1" si="218"/>
        <v>0</v>
      </c>
      <c r="O94" s="338">
        <f t="shared" ca="1" si="218"/>
        <v>0</v>
      </c>
      <c r="P94" s="339">
        <f t="shared" ca="1" si="218"/>
        <v>0</v>
      </c>
      <c r="Q94" s="340">
        <f ca="1">SUM(E94:P94)</f>
        <v>40580.68624090001</v>
      </c>
    </row>
    <row r="95" spans="1:22" x14ac:dyDescent="0.4">
      <c r="A95" s="223"/>
      <c r="B95" s="474"/>
      <c r="C95" s="475"/>
      <c r="D95" s="225" t="s">
        <v>387</v>
      </c>
      <c r="E95" s="337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9"/>
      <c r="Q95" s="340">
        <f>SUM(E95:P95)</f>
        <v>0</v>
      </c>
    </row>
    <row r="96" spans="1:22" x14ac:dyDescent="0.4">
      <c r="A96" s="223"/>
      <c r="B96" s="474"/>
      <c r="C96" s="475"/>
      <c r="D96" s="225" t="s">
        <v>389</v>
      </c>
      <c r="E96" s="342">
        <f ca="1">IFERROR(IF(E94=0,"",IF(E95="",E94/E93,E95/E93)),"")</f>
        <v>0.99868518593313538</v>
      </c>
      <c r="F96" s="343">
        <f t="shared" ref="F96" ca="1" si="219">IFERROR(IF(F94=0,"",IF(F95="",F94/F93,F95/F93)),"")</f>
        <v>1.2476451500011616</v>
      </c>
      <c r="G96" s="343">
        <f t="shared" ref="G96" ca="1" si="220">IFERROR(IF(G94=0,"",IF(G95="",G94/G93,G95/G93)),"")</f>
        <v>0.35701235968632722</v>
      </c>
      <c r="H96" s="343">
        <f t="shared" ref="H96" ca="1" si="221">IFERROR(IF(H94=0,"",IF(H95="",H94/H93,H95/H93)),"")</f>
        <v>0.26416010068750528</v>
      </c>
      <c r="I96" s="343">
        <f t="shared" ref="I96" ca="1" si="222">IFERROR(IF(I94=0,"",IF(I95="",I94/I93,I95/I93)),"")</f>
        <v>0.30052017807505627</v>
      </c>
      <c r="J96" s="343">
        <f t="shared" ref="J96" ca="1" si="223">IFERROR(IF(J94=0,"",IF(J95="",J94/J93,J95/J93)),"")</f>
        <v>0.17850406873016483</v>
      </c>
      <c r="K96" s="343">
        <f t="shared" ref="K96" ca="1" si="224">IFERROR(IF(K94=0,"",IF(K95="",K94/K93,K95/K93)),"")</f>
        <v>0.15403772666854412</v>
      </c>
      <c r="L96" s="343">
        <f t="shared" ref="L96" ca="1" si="225">IFERROR(IF(L94=0,"",IF(L95="",L94/L93,L95/L93)),"")</f>
        <v>0.17429175806625977</v>
      </c>
      <c r="M96" s="343">
        <f t="shared" ref="M96" ca="1" si="226">IFERROR(IF(M94=0,"",IF(M95="",M94/M93,M95/M93)),"")</f>
        <v>0.16869074825590413</v>
      </c>
      <c r="N96" s="343" t="str">
        <f t="shared" ref="N96" ca="1" si="227">IFERROR(IF(N94=0,"",IF(N95="",N94/N93,N95/N93)),"")</f>
        <v/>
      </c>
      <c r="O96" s="343" t="str">
        <f t="shared" ref="O96" ca="1" si="228">IFERROR(IF(O94=0,"",IF(O95="",O94/O93,O95/O93)),"")</f>
        <v/>
      </c>
      <c r="P96" s="344" t="str">
        <f t="shared" ref="P96" ca="1" si="229">IFERROR(IF(P94=0,"",IF(P95="",P94/P93,P95/P93)),"")</f>
        <v/>
      </c>
      <c r="Q96" s="340"/>
    </row>
    <row r="97" spans="1:17" x14ac:dyDescent="0.4">
      <c r="A97" s="231"/>
      <c r="B97" s="476"/>
      <c r="C97" s="477"/>
      <c r="D97" s="226" t="s">
        <v>390</v>
      </c>
      <c r="E97" s="329">
        <f ca="1">E96</f>
        <v>0.99868518593313538</v>
      </c>
      <c r="F97" s="330">
        <f ca="1">IFERROR(IF(F95="",SUM($E94:F94)/SUM($E93:F93),SUM($E95:F95)/SUM($E93:F93)),"")</f>
        <v>1.1380081097879884</v>
      </c>
      <c r="G97" s="330">
        <f ca="1">IFERROR(IF(G95="",SUM($E94:G94)/SUM($E93:G93),SUM($E95:G95)/SUM($E93:G93)),"")</f>
        <v>0.8732332595669009</v>
      </c>
      <c r="H97" s="330">
        <f ca="1">IFERROR(IF(H95="",SUM($E94:H94)/SUM($E93:H93),SUM($E95:H95)/SUM($E93:H93)),"")</f>
        <v>0.68109040537799892</v>
      </c>
      <c r="I97" s="330">
        <f ca="1">IFERROR(IF(I95="",SUM($E94:I94)/SUM($E93:I93),SUM($E95:I95)/SUM($E93:I93)),"")</f>
        <v>0.5891340378125659</v>
      </c>
      <c r="J97" s="330">
        <f ca="1">IFERROR(IF(J95="",SUM($E94:J94)/SUM($E93:J93),SUM($E95:J95)/SUM($E93:J93)),"")</f>
        <v>0.50607582219860026</v>
      </c>
      <c r="K97" s="330">
        <f ca="1">IFERROR(IF(K95="",SUM($E94:K94)/SUM($E93:K93),SUM($E95:K95)/SUM($E93:K93)),"")</f>
        <v>0.43787900746541636</v>
      </c>
      <c r="L97" s="330">
        <f ca="1">IFERROR(IF(L95="",SUM($E94:L94)/SUM($E93:L93),SUM($E95:L95)/SUM($E93:L93)),"")</f>
        <v>0.3964098920709227</v>
      </c>
      <c r="M97" s="330">
        <f ca="1">IFERROR(IF(M95="",SUM($E94:M94)/SUM($E93:M93),SUM($E95:M95)/SUM($E93:M93)),"")</f>
        <v>0.36735084186915146</v>
      </c>
      <c r="N97" s="330">
        <f ca="1">IFERROR(IF(N95="",SUM($E94:N94)/SUM($E93:N93),SUM($E95:N95)/SUM($E93:N93)),"")</f>
        <v>0.32293783272180454</v>
      </c>
      <c r="O97" s="330">
        <f ca="1">IFERROR(IF(O95="",SUM($E94:O94)/SUM($E93:O93),SUM($E95:O95)/SUM($E93:O93)),"")</f>
        <v>0.28570471749486837</v>
      </c>
      <c r="P97" s="331">
        <f ca="1">IFERROR(IF(P95="",SUM($E94:P94)/SUM($E93:P93),SUM($E95:P95)/SUM($E93:P93)),"")</f>
        <v>0.25687213085943722</v>
      </c>
      <c r="Q97" s="346"/>
    </row>
  </sheetData>
  <mergeCells count="10">
    <mergeCell ref="B83:C87"/>
    <mergeCell ref="B88:C92"/>
    <mergeCell ref="B93:C97"/>
    <mergeCell ref="B15:B34"/>
    <mergeCell ref="B3:B14"/>
    <mergeCell ref="B51:B62"/>
    <mergeCell ref="B63:B82"/>
    <mergeCell ref="B45:C49"/>
    <mergeCell ref="B40:C44"/>
    <mergeCell ref="B35:C39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EDD1-39D9-47AB-AD0B-E8B62FFE4356}">
  <sheetPr codeName="Sheet2">
    <tabColor theme="6" tint="0.79998168889431442"/>
  </sheetPr>
  <dimension ref="A1:X67"/>
  <sheetViews>
    <sheetView showGridLines="0" zoomScale="70" zoomScaleNormal="70" workbookViewId="0">
      <selection activeCell="V18" sqref="V18"/>
    </sheetView>
  </sheetViews>
  <sheetFormatPr defaultRowHeight="18.75" x14ac:dyDescent="0.4"/>
  <cols>
    <col min="2" max="3" width="9" style="1"/>
    <col min="4" max="4" width="29.25" style="1" bestFit="1" customWidth="1"/>
    <col min="5" max="5" width="11" style="1" bestFit="1" customWidth="1"/>
    <col min="6" max="17" width="13.25" style="1" customWidth="1"/>
    <col min="18" max="20" width="13.25" style="29" customWidth="1"/>
  </cols>
  <sheetData>
    <row r="1" spans="1:24" ht="30" x14ac:dyDescent="0.4">
      <c r="A1" s="64" t="s">
        <v>188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6"/>
    </row>
    <row r="2" spans="1:24" ht="25.5" x14ac:dyDescent="0.4">
      <c r="A2" s="243" t="s">
        <v>148</v>
      </c>
      <c r="B2" s="354" t="s">
        <v>49</v>
      </c>
      <c r="C2" s="354" t="s">
        <v>48</v>
      </c>
      <c r="D2" s="354" t="s">
        <v>150</v>
      </c>
      <c r="E2" s="354" t="s">
        <v>151</v>
      </c>
      <c r="F2" s="365">
        <v>45444</v>
      </c>
      <c r="G2" s="366">
        <v>45474</v>
      </c>
      <c r="H2" s="366">
        <v>45505</v>
      </c>
      <c r="I2" s="366">
        <v>45536</v>
      </c>
      <c r="J2" s="366">
        <v>45566</v>
      </c>
      <c r="K2" s="366">
        <v>45597</v>
      </c>
      <c r="L2" s="366">
        <v>45627</v>
      </c>
      <c r="M2" s="366">
        <v>45658</v>
      </c>
      <c r="N2" s="366">
        <v>45689</v>
      </c>
      <c r="O2" s="366">
        <v>45717</v>
      </c>
      <c r="P2" s="366">
        <v>45748</v>
      </c>
      <c r="Q2" s="367">
        <v>45778</v>
      </c>
      <c r="R2" s="109" t="s">
        <v>139</v>
      </c>
      <c r="S2" s="110" t="s">
        <v>145</v>
      </c>
      <c r="T2" s="110" t="s">
        <v>146</v>
      </c>
    </row>
    <row r="3" spans="1:24" x14ac:dyDescent="0.4">
      <c r="A3" s="156"/>
      <c r="B3" s="53" t="s">
        <v>56</v>
      </c>
      <c r="C3" s="48" t="s">
        <v>50</v>
      </c>
      <c r="D3" s="48" t="s">
        <v>58</v>
      </c>
      <c r="E3" s="48" t="s">
        <v>60</v>
      </c>
      <c r="F3" s="368">
        <f>松岡!E7</f>
        <v>620</v>
      </c>
      <c r="G3" s="369">
        <f>松岡!F7</f>
        <v>510</v>
      </c>
      <c r="H3" s="369">
        <f>松岡!G7</f>
        <v>620</v>
      </c>
      <c r="I3" s="369">
        <f>松岡!H7</f>
        <v>1350</v>
      </c>
      <c r="J3" s="369">
        <f>松岡!I7</f>
        <v>2420</v>
      </c>
      <c r="K3" s="369">
        <f>松岡!J7</f>
        <v>1450</v>
      </c>
      <c r="L3" s="369">
        <f>松岡!K7</f>
        <v>450</v>
      </c>
      <c r="M3" s="369">
        <f>松岡!L7</f>
        <v>470</v>
      </c>
      <c r="N3" s="369">
        <f>松岡!M7</f>
        <v>2720</v>
      </c>
      <c r="O3" s="369">
        <f>松岡!N7</f>
        <v>770</v>
      </c>
      <c r="P3" s="369">
        <f>松岡!O7</f>
        <v>1050</v>
      </c>
      <c r="Q3" s="370">
        <f>松岡!P7</f>
        <v>1150</v>
      </c>
      <c r="R3" s="311">
        <f>SUM(F3:Q3)</f>
        <v>13580</v>
      </c>
      <c r="S3" s="51">
        <f>SUM(R6,R10,R14,R18,R22,R26,R30)</f>
        <v>737550.85440000007</v>
      </c>
      <c r="T3" s="51">
        <f>R34</f>
        <v>81230</v>
      </c>
      <c r="V3" s="154">
        <f>SUM(R7,R8,R15,R16,R17,R31,R32,R33)</f>
        <v>459726</v>
      </c>
      <c r="W3" t="s">
        <v>213</v>
      </c>
      <c r="X3">
        <f>V3/$V$6</f>
        <v>0.56147624548071007</v>
      </c>
    </row>
    <row r="4" spans="1:24" x14ac:dyDescent="0.4">
      <c r="A4" s="156"/>
      <c r="B4" s="54"/>
      <c r="D4" s="1" t="s">
        <v>130</v>
      </c>
      <c r="E4" s="1" t="s">
        <v>60</v>
      </c>
      <c r="F4" s="371">
        <f>松岡!E17</f>
        <v>900</v>
      </c>
      <c r="G4" s="2">
        <f>松岡!F17</f>
        <v>500</v>
      </c>
      <c r="H4" s="2">
        <f>松岡!G17</f>
        <v>600</v>
      </c>
      <c r="I4" s="2">
        <f>松岡!H17</f>
        <v>500</v>
      </c>
      <c r="J4" s="2">
        <f>松岡!I17</f>
        <v>700</v>
      </c>
      <c r="K4" s="2">
        <f>松岡!J17</f>
        <v>500</v>
      </c>
      <c r="L4" s="2">
        <f>松岡!K17</f>
        <v>300</v>
      </c>
      <c r="M4" s="2">
        <f>松岡!L17</f>
        <v>400</v>
      </c>
      <c r="N4" s="2">
        <f>松岡!M17</f>
        <v>300</v>
      </c>
      <c r="O4" s="2">
        <f>松岡!N17</f>
        <v>550</v>
      </c>
      <c r="P4" s="2">
        <f>松岡!O17</f>
        <v>550</v>
      </c>
      <c r="Q4" s="372">
        <f>松岡!P17</f>
        <v>1000</v>
      </c>
      <c r="R4" s="315">
        <f t="shared" ref="R4:R33" si="0">SUM(F4:Q4)</f>
        <v>6800</v>
      </c>
      <c r="S4" s="49"/>
      <c r="V4" s="154">
        <f>SUM(R4,R5,R9,R19,R23,R24,R25,R27,R28,R29,R11)</f>
        <v>183756.85440000001</v>
      </c>
      <c r="W4" t="s">
        <v>214</v>
      </c>
      <c r="X4">
        <f>V4/$V$6</f>
        <v>0.22442739520901039</v>
      </c>
    </row>
    <row r="5" spans="1:24" x14ac:dyDescent="0.4">
      <c r="A5" s="156"/>
      <c r="B5" s="54"/>
      <c r="D5" s="1" t="s">
        <v>62</v>
      </c>
      <c r="E5" s="1" t="s">
        <v>61</v>
      </c>
      <c r="F5" s="371">
        <f>松岡!E27</f>
        <v>1000</v>
      </c>
      <c r="G5" s="2">
        <f>松岡!F27</f>
        <v>1000</v>
      </c>
      <c r="H5" s="2">
        <f>松岡!G27</f>
        <v>3000</v>
      </c>
      <c r="I5" s="2">
        <f>松岡!H27</f>
        <v>2000</v>
      </c>
      <c r="J5" s="2">
        <f>松岡!I27</f>
        <v>4271</v>
      </c>
      <c r="K5" s="2">
        <f>松岡!J27</f>
        <v>4000</v>
      </c>
      <c r="L5" s="2">
        <f>松岡!K27</f>
        <v>5000</v>
      </c>
      <c r="M5" s="2">
        <f>松岡!L27</f>
        <v>5000</v>
      </c>
      <c r="N5" s="2">
        <f>松岡!M27</f>
        <v>5000</v>
      </c>
      <c r="O5" s="2">
        <f>松岡!N27</f>
        <v>5000</v>
      </c>
      <c r="P5" s="2">
        <f>松岡!O27</f>
        <v>8000</v>
      </c>
      <c r="Q5" s="372">
        <f>松岡!P27</f>
        <v>8000</v>
      </c>
      <c r="R5" s="315">
        <f t="shared" si="0"/>
        <v>51271</v>
      </c>
      <c r="S5" s="483" t="s">
        <v>147</v>
      </c>
      <c r="T5" s="483"/>
      <c r="V5" s="154">
        <f>SUM(R3,R20,R21)</f>
        <v>175298</v>
      </c>
      <c r="W5" t="s">
        <v>215</v>
      </c>
      <c r="X5">
        <f>V5/$V$6</f>
        <v>0.21409635931027943</v>
      </c>
    </row>
    <row r="6" spans="1:24" s="45" customFormat="1" ht="18" customHeight="1" x14ac:dyDescent="0.4">
      <c r="A6" s="156"/>
      <c r="B6" s="55"/>
      <c r="C6" s="52"/>
      <c r="D6" s="52"/>
      <c r="E6" s="60" t="s">
        <v>139</v>
      </c>
      <c r="F6" s="373">
        <f>SUM(F3:F5)</f>
        <v>2520</v>
      </c>
      <c r="G6" s="374">
        <f t="shared" ref="G6:R6" si="1">SUM(G3:G5)</f>
        <v>2010</v>
      </c>
      <c r="H6" s="374">
        <f t="shared" si="1"/>
        <v>4220</v>
      </c>
      <c r="I6" s="374">
        <f t="shared" si="1"/>
        <v>3850</v>
      </c>
      <c r="J6" s="374">
        <f t="shared" si="1"/>
        <v>7391</v>
      </c>
      <c r="K6" s="374">
        <f t="shared" si="1"/>
        <v>5950</v>
      </c>
      <c r="L6" s="374">
        <f t="shared" si="1"/>
        <v>5750</v>
      </c>
      <c r="M6" s="374">
        <f t="shared" si="1"/>
        <v>5870</v>
      </c>
      <c r="N6" s="374">
        <f t="shared" si="1"/>
        <v>8020</v>
      </c>
      <c r="O6" s="374">
        <f t="shared" si="1"/>
        <v>6320</v>
      </c>
      <c r="P6" s="374">
        <f t="shared" si="1"/>
        <v>9600</v>
      </c>
      <c r="Q6" s="375">
        <f t="shared" si="1"/>
        <v>10150</v>
      </c>
      <c r="R6" s="278">
        <f t="shared" si="1"/>
        <v>71651</v>
      </c>
      <c r="S6" s="482">
        <f>S3+T3</f>
        <v>818780.85440000007</v>
      </c>
      <c r="T6" s="482"/>
      <c r="V6" s="155">
        <f>SUM(V3:V5)</f>
        <v>818780.85440000007</v>
      </c>
    </row>
    <row r="7" spans="1:24" x14ac:dyDescent="0.4">
      <c r="A7" s="156"/>
      <c r="B7" s="54" t="s">
        <v>56</v>
      </c>
      <c r="C7" s="1" t="s">
        <v>51</v>
      </c>
      <c r="D7" s="1" t="s">
        <v>136</v>
      </c>
      <c r="E7" s="1" t="s">
        <v>63</v>
      </c>
      <c r="F7" s="371">
        <f>大谷!E7</f>
        <v>2020</v>
      </c>
      <c r="G7" s="2">
        <f>大谷!F7</f>
        <v>2020</v>
      </c>
      <c r="H7" s="2">
        <f>大谷!G7</f>
        <v>2020</v>
      </c>
      <c r="I7" s="2">
        <f>大谷!H7</f>
        <v>2020</v>
      </c>
      <c r="J7" s="2">
        <f>大谷!I7</f>
        <v>2020</v>
      </c>
      <c r="K7" s="2">
        <f>大谷!J7</f>
        <v>2020</v>
      </c>
      <c r="L7" s="2">
        <f>大谷!K7</f>
        <v>2020</v>
      </c>
      <c r="M7" s="2">
        <f>大谷!L7</f>
        <v>2020</v>
      </c>
      <c r="N7" s="2">
        <f>大谷!M7</f>
        <v>2020</v>
      </c>
      <c r="O7" s="2">
        <f>大谷!N7</f>
        <v>2020</v>
      </c>
      <c r="P7" s="2">
        <f>大谷!O7</f>
        <v>2020</v>
      </c>
      <c r="Q7" s="372">
        <f>大谷!P7</f>
        <v>2020</v>
      </c>
      <c r="R7" s="315">
        <f t="shared" si="0"/>
        <v>24240</v>
      </c>
      <c r="S7" s="49"/>
    </row>
    <row r="8" spans="1:24" x14ac:dyDescent="0.4">
      <c r="A8" s="156"/>
      <c r="B8" s="54"/>
      <c r="D8" s="1" t="s">
        <v>136</v>
      </c>
      <c r="E8" s="1" t="s">
        <v>129</v>
      </c>
      <c r="F8" s="371">
        <f>大谷!E17</f>
        <v>5880</v>
      </c>
      <c r="G8" s="2">
        <f>大谷!F17</f>
        <v>5880</v>
      </c>
      <c r="H8" s="2">
        <f>大谷!G17</f>
        <v>5880</v>
      </c>
      <c r="I8" s="2">
        <f>大谷!H17</f>
        <v>5880</v>
      </c>
      <c r="J8" s="2">
        <f>大谷!I17</f>
        <v>5880</v>
      </c>
      <c r="K8" s="2">
        <f>大谷!J17</f>
        <v>5880</v>
      </c>
      <c r="L8" s="2">
        <f>大谷!K17</f>
        <v>5880</v>
      </c>
      <c r="M8" s="2">
        <f>大谷!L17</f>
        <v>5880</v>
      </c>
      <c r="N8" s="2">
        <f>大谷!M17</f>
        <v>5880</v>
      </c>
      <c r="O8" s="2">
        <f>大谷!N17</f>
        <v>5880</v>
      </c>
      <c r="P8" s="2">
        <f>大谷!O17</f>
        <v>5880</v>
      </c>
      <c r="Q8" s="372">
        <f>大谷!P17</f>
        <v>5580</v>
      </c>
      <c r="R8" s="315">
        <f t="shared" si="0"/>
        <v>70260</v>
      </c>
      <c r="S8" s="49"/>
      <c r="V8" s="154">
        <f>SUM(R18,R22,R26,R30,R34)</f>
        <v>619833.85440000007</v>
      </c>
      <c r="W8" t="s">
        <v>216</v>
      </c>
      <c r="X8">
        <f>V8/$V$10</f>
        <v>0.75702045433660303</v>
      </c>
    </row>
    <row r="9" spans="1:24" x14ac:dyDescent="0.4">
      <c r="A9" s="156"/>
      <c r="B9" s="54"/>
      <c r="D9" s="1" t="s">
        <v>130</v>
      </c>
      <c r="E9" s="1" t="s">
        <v>64</v>
      </c>
      <c r="F9" s="371">
        <f>大谷!E27</f>
        <v>1220</v>
      </c>
      <c r="G9" s="2">
        <f>大谷!F27</f>
        <v>1220</v>
      </c>
      <c r="H9" s="2">
        <f>大谷!G27</f>
        <v>1220</v>
      </c>
      <c r="I9" s="2">
        <f>大谷!H27</f>
        <v>1220</v>
      </c>
      <c r="J9" s="2">
        <f>大谷!I27</f>
        <v>1220</v>
      </c>
      <c r="K9" s="2">
        <f>大谷!J27</f>
        <v>1220</v>
      </c>
      <c r="L9" s="2">
        <f>大谷!K27</f>
        <v>1220</v>
      </c>
      <c r="M9" s="2">
        <f>大谷!L27</f>
        <v>1220</v>
      </c>
      <c r="N9" s="2">
        <f>大谷!M27</f>
        <v>1220</v>
      </c>
      <c r="O9" s="2">
        <f>大谷!N27</f>
        <v>1220</v>
      </c>
      <c r="P9" s="2">
        <f>大谷!O27</f>
        <v>1220</v>
      </c>
      <c r="Q9" s="372">
        <f>大谷!P27</f>
        <v>1220</v>
      </c>
      <c r="R9" s="315">
        <f t="shared" si="0"/>
        <v>14640</v>
      </c>
      <c r="S9" s="49"/>
      <c r="V9" s="154">
        <f>SUM(R6,R10,R14)</f>
        <v>198947</v>
      </c>
      <c r="W9" t="s">
        <v>217</v>
      </c>
      <c r="X9">
        <f>V9/$V$10</f>
        <v>0.24297954566339697</v>
      </c>
    </row>
    <row r="10" spans="1:24" s="45" customFormat="1" ht="18" customHeight="1" x14ac:dyDescent="0.4">
      <c r="A10" s="156"/>
      <c r="B10" s="55"/>
      <c r="C10" s="52"/>
      <c r="D10" s="52"/>
      <c r="E10" s="60" t="s">
        <v>139</v>
      </c>
      <c r="F10" s="373">
        <f>SUM(F7:F9)</f>
        <v>9120</v>
      </c>
      <c r="G10" s="374">
        <f t="shared" ref="G10" si="2">SUM(G7:G9)</f>
        <v>9120</v>
      </c>
      <c r="H10" s="374">
        <f t="shared" ref="H10" si="3">SUM(H7:H9)</f>
        <v>9120</v>
      </c>
      <c r="I10" s="374">
        <f t="shared" ref="I10" si="4">SUM(I7:I9)</f>
        <v>9120</v>
      </c>
      <c r="J10" s="374">
        <f t="shared" ref="J10" si="5">SUM(J7:J9)</f>
        <v>9120</v>
      </c>
      <c r="K10" s="374">
        <f t="shared" ref="K10" si="6">SUM(K7:K9)</f>
        <v>9120</v>
      </c>
      <c r="L10" s="374">
        <f t="shared" ref="L10" si="7">SUM(L7:L9)</f>
        <v>9120</v>
      </c>
      <c r="M10" s="374">
        <f t="shared" ref="M10" si="8">SUM(M7:M9)</f>
        <v>9120</v>
      </c>
      <c r="N10" s="374">
        <f t="shared" ref="N10" si="9">SUM(N7:N9)</f>
        <v>9120</v>
      </c>
      <c r="O10" s="374">
        <f t="shared" ref="O10" si="10">SUM(O7:O9)</f>
        <v>9120</v>
      </c>
      <c r="P10" s="374">
        <f t="shared" ref="P10" si="11">SUM(P7:P9)</f>
        <v>9120</v>
      </c>
      <c r="Q10" s="375">
        <f t="shared" ref="Q10" si="12">SUM(Q7:Q9)</f>
        <v>8820</v>
      </c>
      <c r="R10" s="278">
        <f t="shared" ref="R10" si="13">SUM(R7:R9)</f>
        <v>109140</v>
      </c>
      <c r="S10" s="49"/>
      <c r="T10" s="29"/>
      <c r="V10" s="155">
        <f>SUM(V8:V9)</f>
        <v>818780.85440000007</v>
      </c>
    </row>
    <row r="11" spans="1:24" x14ac:dyDescent="0.4">
      <c r="A11" s="156"/>
      <c r="B11" s="54" t="s">
        <v>56</v>
      </c>
      <c r="C11" s="1" t="s">
        <v>52</v>
      </c>
      <c r="D11" s="1" t="s">
        <v>130</v>
      </c>
      <c r="E11" s="1" t="s">
        <v>59</v>
      </c>
      <c r="F11" s="371">
        <f>宮本!E7</f>
        <v>1513</v>
      </c>
      <c r="G11" s="2">
        <f>宮本!F7</f>
        <v>1513</v>
      </c>
      <c r="H11" s="2">
        <f>宮本!G7</f>
        <v>1513</v>
      </c>
      <c r="I11" s="2">
        <f>宮本!H7</f>
        <v>1513</v>
      </c>
      <c r="J11" s="2">
        <f>宮本!I7</f>
        <v>1513</v>
      </c>
      <c r="K11" s="2">
        <f>宮本!J7</f>
        <v>1513</v>
      </c>
      <c r="L11" s="2">
        <f>宮本!K7</f>
        <v>1513</v>
      </c>
      <c r="M11" s="2">
        <f>宮本!L7</f>
        <v>1513</v>
      </c>
      <c r="N11" s="2">
        <f>宮本!M7</f>
        <v>1513</v>
      </c>
      <c r="O11" s="2">
        <f>宮本!N7</f>
        <v>1513</v>
      </c>
      <c r="P11" s="2">
        <f>宮本!O7</f>
        <v>1513</v>
      </c>
      <c r="Q11" s="372">
        <f>宮本!P7</f>
        <v>1513</v>
      </c>
      <c r="R11" s="315">
        <f t="shared" si="0"/>
        <v>18156</v>
      </c>
      <c r="S11" s="49"/>
    </row>
    <row r="12" spans="1:24" x14ac:dyDescent="0.4">
      <c r="A12" s="156"/>
      <c r="B12" s="54"/>
      <c r="F12" s="371"/>
      <c r="G12" s="2"/>
      <c r="H12" s="2"/>
      <c r="I12" s="2"/>
      <c r="J12" s="2"/>
      <c r="K12" s="2"/>
      <c r="L12" s="2"/>
      <c r="M12" s="2"/>
      <c r="N12" s="2"/>
      <c r="O12" s="2"/>
      <c r="P12" s="2"/>
      <c r="Q12" s="372"/>
      <c r="R12" s="315"/>
      <c r="S12" s="49"/>
    </row>
    <row r="13" spans="1:24" x14ac:dyDescent="0.4">
      <c r="A13" s="156"/>
      <c r="B13" s="54"/>
      <c r="F13" s="371"/>
      <c r="G13" s="2"/>
      <c r="H13" s="2"/>
      <c r="I13" s="2"/>
      <c r="J13" s="2"/>
      <c r="K13" s="2"/>
      <c r="L13" s="2"/>
      <c r="M13" s="2"/>
      <c r="N13" s="2"/>
      <c r="O13" s="2"/>
      <c r="P13" s="2"/>
      <c r="Q13" s="372"/>
      <c r="R13" s="315"/>
      <c r="S13" s="49"/>
    </row>
    <row r="14" spans="1:24" s="45" customFormat="1" ht="18" customHeight="1" x14ac:dyDescent="0.4">
      <c r="A14" s="156"/>
      <c r="B14" s="55"/>
      <c r="C14" s="52"/>
      <c r="D14" s="52"/>
      <c r="E14" s="60" t="s">
        <v>139</v>
      </c>
      <c r="F14" s="373">
        <f>SUM(F11:F13)</f>
        <v>1513</v>
      </c>
      <c r="G14" s="374">
        <f t="shared" ref="G14" si="14">SUM(G11:G13)</f>
        <v>1513</v>
      </c>
      <c r="H14" s="374">
        <f t="shared" ref="H14" si="15">SUM(H11:H13)</f>
        <v>1513</v>
      </c>
      <c r="I14" s="374">
        <f t="shared" ref="I14" si="16">SUM(I11:I13)</f>
        <v>1513</v>
      </c>
      <c r="J14" s="374">
        <f t="shared" ref="J14" si="17">SUM(J11:J13)</f>
        <v>1513</v>
      </c>
      <c r="K14" s="374">
        <f t="shared" ref="K14" si="18">SUM(K11:K13)</f>
        <v>1513</v>
      </c>
      <c r="L14" s="374">
        <f t="shared" ref="L14" si="19">SUM(L11:L13)</f>
        <v>1513</v>
      </c>
      <c r="M14" s="374">
        <f t="shared" ref="M14" si="20">SUM(M11:M13)</f>
        <v>1513</v>
      </c>
      <c r="N14" s="374">
        <f t="shared" ref="N14" si="21">SUM(N11:N13)</f>
        <v>1513</v>
      </c>
      <c r="O14" s="374">
        <f t="shared" ref="O14" si="22">SUM(O11:O13)</f>
        <v>1513</v>
      </c>
      <c r="P14" s="374">
        <f t="shared" ref="P14" si="23">SUM(P11:P13)</f>
        <v>1513</v>
      </c>
      <c r="Q14" s="375">
        <f t="shared" ref="Q14" si="24">SUM(Q11:Q13)</f>
        <v>1513</v>
      </c>
      <c r="R14" s="278">
        <f t="shared" ref="R14" si="25">SUM(R11:R13)</f>
        <v>18156</v>
      </c>
      <c r="S14" s="49"/>
      <c r="T14" s="29"/>
    </row>
    <row r="15" spans="1:24" x14ac:dyDescent="0.4">
      <c r="A15" s="156"/>
      <c r="B15" s="54" t="s">
        <v>57</v>
      </c>
      <c r="C15" s="1" t="s">
        <v>53</v>
      </c>
      <c r="D15" s="1" t="s">
        <v>134</v>
      </c>
      <c r="E15" s="1" t="s">
        <v>127</v>
      </c>
      <c r="F15" s="371">
        <f>深串!E7</f>
        <v>8580</v>
      </c>
      <c r="G15" s="2">
        <f>深串!F7</f>
        <v>390</v>
      </c>
      <c r="H15" s="2">
        <f>深串!G7</f>
        <v>0</v>
      </c>
      <c r="I15" s="2">
        <f>深串!H7</f>
        <v>7800</v>
      </c>
      <c r="J15" s="2">
        <f>深串!I7</f>
        <v>1950</v>
      </c>
      <c r="K15" s="2">
        <f>深串!J7</f>
        <v>7800</v>
      </c>
      <c r="L15" s="2">
        <f>深串!K7</f>
        <v>7800</v>
      </c>
      <c r="M15" s="2">
        <f>深串!L7</f>
        <v>7800</v>
      </c>
      <c r="N15" s="2">
        <f>深串!M7</f>
        <v>7800</v>
      </c>
      <c r="O15" s="2">
        <f>深串!N7</f>
        <v>3900</v>
      </c>
      <c r="P15" s="2">
        <f>深串!O7</f>
        <v>3900</v>
      </c>
      <c r="Q15" s="372">
        <f>深串!P7</f>
        <v>7800</v>
      </c>
      <c r="R15" s="315">
        <f t="shared" si="0"/>
        <v>65520</v>
      </c>
      <c r="S15" s="49"/>
    </row>
    <row r="16" spans="1:24" x14ac:dyDescent="0.4">
      <c r="A16" s="156"/>
      <c r="B16" s="54"/>
      <c r="D16" s="1" t="s">
        <v>134</v>
      </c>
      <c r="E16" s="1" t="s">
        <v>128</v>
      </c>
      <c r="F16" s="371">
        <f>深串!E17</f>
        <v>2331</v>
      </c>
      <c r="G16" s="2">
        <f>深串!F17</f>
        <v>1575</v>
      </c>
      <c r="H16" s="2">
        <f>深串!G17</f>
        <v>3800</v>
      </c>
      <c r="I16" s="2">
        <f>深串!H17</f>
        <v>7245</v>
      </c>
      <c r="J16" s="2">
        <f>深串!I17</f>
        <v>7875</v>
      </c>
      <c r="K16" s="2">
        <f>深串!J17</f>
        <v>8190</v>
      </c>
      <c r="L16" s="2">
        <f>深串!K17</f>
        <v>8190</v>
      </c>
      <c r="M16" s="2">
        <f>深串!L17</f>
        <v>7875</v>
      </c>
      <c r="N16" s="2">
        <f>深串!M17</f>
        <v>7875</v>
      </c>
      <c r="O16" s="2">
        <f>深串!N17</f>
        <v>7560</v>
      </c>
      <c r="P16" s="2">
        <f>深串!O17</f>
        <v>6930</v>
      </c>
      <c r="Q16" s="372">
        <f>深串!P17</f>
        <v>6930</v>
      </c>
      <c r="R16" s="315">
        <f t="shared" si="0"/>
        <v>76376</v>
      </c>
      <c r="S16" s="49"/>
    </row>
    <row r="17" spans="1:20" x14ac:dyDescent="0.4">
      <c r="A17" s="156"/>
      <c r="B17" s="54"/>
      <c r="D17" s="1" t="s">
        <v>135</v>
      </c>
      <c r="E17" s="1" t="s">
        <v>129</v>
      </c>
      <c r="F17" s="371">
        <f>深串!E27</f>
        <v>5100</v>
      </c>
      <c r="G17" s="2">
        <f>深串!F27</f>
        <v>15500</v>
      </c>
      <c r="H17" s="2">
        <f>深串!G27</f>
        <v>8500</v>
      </c>
      <c r="I17" s="2">
        <f>深串!H27</f>
        <v>13000</v>
      </c>
      <c r="J17" s="2">
        <f>深串!I27</f>
        <v>14000</v>
      </c>
      <c r="K17" s="2">
        <f>深串!J27</f>
        <v>13000</v>
      </c>
      <c r="L17" s="2">
        <f>深串!K27</f>
        <v>13000</v>
      </c>
      <c r="M17" s="2">
        <f>深串!L27</f>
        <v>14000</v>
      </c>
      <c r="N17" s="2">
        <f>深串!M27</f>
        <v>11000</v>
      </c>
      <c r="O17" s="2">
        <f>深串!N27</f>
        <v>12000</v>
      </c>
      <c r="P17" s="2">
        <f>深串!O27</f>
        <v>13000</v>
      </c>
      <c r="Q17" s="372">
        <f>深串!P27</f>
        <v>10000</v>
      </c>
      <c r="R17" s="315">
        <f t="shared" si="0"/>
        <v>142100</v>
      </c>
      <c r="S17" s="49"/>
    </row>
    <row r="18" spans="1:20" s="45" customFormat="1" ht="18" customHeight="1" x14ac:dyDescent="0.4">
      <c r="A18" s="156"/>
      <c r="B18" s="55"/>
      <c r="C18" s="52"/>
      <c r="D18" s="52"/>
      <c r="E18" s="60" t="s">
        <v>139</v>
      </c>
      <c r="F18" s="373">
        <f>SUM(F15:F17)</f>
        <v>16011</v>
      </c>
      <c r="G18" s="374">
        <f t="shared" ref="G18" si="26">SUM(G15:G17)</f>
        <v>17465</v>
      </c>
      <c r="H18" s="374">
        <f t="shared" ref="H18" si="27">SUM(H15:H17)</f>
        <v>12300</v>
      </c>
      <c r="I18" s="374">
        <f t="shared" ref="I18" si="28">SUM(I15:I17)</f>
        <v>28045</v>
      </c>
      <c r="J18" s="374">
        <f t="shared" ref="J18" si="29">SUM(J15:J17)</f>
        <v>23825</v>
      </c>
      <c r="K18" s="374">
        <f t="shared" ref="K18" si="30">SUM(K15:K17)</f>
        <v>28990</v>
      </c>
      <c r="L18" s="374">
        <f t="shared" ref="L18" si="31">SUM(L15:L17)</f>
        <v>28990</v>
      </c>
      <c r="M18" s="374">
        <f t="shared" ref="M18" si="32">SUM(M15:M17)</f>
        <v>29675</v>
      </c>
      <c r="N18" s="374">
        <f t="shared" ref="N18" si="33">SUM(N15:N17)</f>
        <v>26675</v>
      </c>
      <c r="O18" s="374">
        <f t="shared" ref="O18" si="34">SUM(O15:O17)</f>
        <v>23460</v>
      </c>
      <c r="P18" s="374">
        <f t="shared" ref="P18" si="35">SUM(P15:P17)</f>
        <v>23830</v>
      </c>
      <c r="Q18" s="375">
        <f t="shared" ref="Q18" si="36">SUM(Q15:Q17)</f>
        <v>24730</v>
      </c>
      <c r="R18" s="278">
        <f t="shared" ref="R18" si="37">SUM(R15:R17)</f>
        <v>283996</v>
      </c>
      <c r="S18" s="49"/>
      <c r="T18" s="29"/>
    </row>
    <row r="19" spans="1:20" x14ac:dyDescent="0.4">
      <c r="A19" s="156"/>
      <c r="B19" s="54" t="s">
        <v>57</v>
      </c>
      <c r="C19" s="1" t="s">
        <v>54</v>
      </c>
      <c r="D19" s="1" t="s">
        <v>130</v>
      </c>
      <c r="E19" s="1" t="s">
        <v>131</v>
      </c>
      <c r="F19" s="371">
        <f>前川!E7</f>
        <v>900</v>
      </c>
      <c r="G19" s="2">
        <f>前川!F7</f>
        <v>650</v>
      </c>
      <c r="H19" s="2">
        <f>前川!G7</f>
        <v>1150</v>
      </c>
      <c r="I19" s="2">
        <f>前川!H7</f>
        <v>590</v>
      </c>
      <c r="J19" s="2">
        <f>前川!I7</f>
        <v>1180</v>
      </c>
      <c r="K19" s="2">
        <f>前川!J7</f>
        <v>650</v>
      </c>
      <c r="L19" s="2">
        <f>前川!K7</f>
        <v>1350</v>
      </c>
      <c r="M19" s="2">
        <f>前川!L7</f>
        <v>820</v>
      </c>
      <c r="N19" s="2">
        <f>前川!M7</f>
        <v>240</v>
      </c>
      <c r="O19" s="2">
        <f>前川!N7</f>
        <v>940</v>
      </c>
      <c r="P19" s="2">
        <f>前川!O7</f>
        <v>1110</v>
      </c>
      <c r="Q19" s="372">
        <f>前川!P7</f>
        <v>970</v>
      </c>
      <c r="R19" s="315">
        <f t="shared" si="0"/>
        <v>10550</v>
      </c>
      <c r="S19" s="49"/>
    </row>
    <row r="20" spans="1:20" x14ac:dyDescent="0.4">
      <c r="A20" s="156"/>
      <c r="B20" s="54"/>
      <c r="D20" s="1" t="s">
        <v>58</v>
      </c>
      <c r="E20" s="1" t="s">
        <v>137</v>
      </c>
      <c r="F20" s="371">
        <f>前川!E17</f>
        <v>5358</v>
      </c>
      <c r="G20" s="2">
        <f>前川!F17</f>
        <v>5233</v>
      </c>
      <c r="H20" s="2">
        <f>前川!G17</f>
        <v>5607</v>
      </c>
      <c r="I20" s="2">
        <f>前川!H17</f>
        <v>5981</v>
      </c>
      <c r="J20" s="2">
        <f>前川!I17</f>
        <v>6355</v>
      </c>
      <c r="K20" s="2">
        <f>前川!J17</f>
        <v>6105</v>
      </c>
      <c r="L20" s="2">
        <f>前川!K17</f>
        <v>5981</v>
      </c>
      <c r="M20" s="2">
        <f>前川!L17</f>
        <v>6230</v>
      </c>
      <c r="N20" s="2">
        <f>前川!M17</f>
        <v>4984</v>
      </c>
      <c r="O20" s="2">
        <f>前川!N17</f>
        <v>6230</v>
      </c>
      <c r="P20" s="2">
        <f>前川!O17</f>
        <v>5981</v>
      </c>
      <c r="Q20" s="372">
        <f>前川!P17</f>
        <v>6355</v>
      </c>
      <c r="R20" s="315">
        <f t="shared" si="0"/>
        <v>70400</v>
      </c>
      <c r="S20" s="49"/>
    </row>
    <row r="21" spans="1:20" x14ac:dyDescent="0.4">
      <c r="A21" s="156"/>
      <c r="B21" s="54"/>
      <c r="D21" s="1" t="s">
        <v>132</v>
      </c>
      <c r="E21" s="1" t="s">
        <v>138</v>
      </c>
      <c r="F21" s="371">
        <f>前川!E27</f>
        <v>5925</v>
      </c>
      <c r="G21" s="2">
        <f>前川!F27</f>
        <v>5538</v>
      </c>
      <c r="H21" s="2">
        <f>前川!G27</f>
        <v>6182</v>
      </c>
      <c r="I21" s="2">
        <f>前川!H27</f>
        <v>9789</v>
      </c>
      <c r="J21" s="2">
        <f>前川!I27</f>
        <v>9660</v>
      </c>
      <c r="K21" s="2">
        <f>前川!J27</f>
        <v>8372</v>
      </c>
      <c r="L21" s="2">
        <f>前川!K27</f>
        <v>9016</v>
      </c>
      <c r="M21" s="2">
        <f>前川!L27</f>
        <v>5667</v>
      </c>
      <c r="N21" s="2">
        <f>前川!M27</f>
        <v>10304</v>
      </c>
      <c r="O21" s="2">
        <f>前川!N27</f>
        <v>9016</v>
      </c>
      <c r="P21" s="2">
        <f>前川!O27</f>
        <v>5538</v>
      </c>
      <c r="Q21" s="372">
        <f>前川!P27</f>
        <v>6311</v>
      </c>
      <c r="R21" s="315">
        <f t="shared" si="0"/>
        <v>91318</v>
      </c>
      <c r="S21" s="49"/>
    </row>
    <row r="22" spans="1:20" s="45" customFormat="1" ht="18" customHeight="1" x14ac:dyDescent="0.4">
      <c r="A22" s="156"/>
      <c r="B22" s="55"/>
      <c r="C22" s="52"/>
      <c r="D22" s="52"/>
      <c r="E22" s="60" t="s">
        <v>139</v>
      </c>
      <c r="F22" s="373">
        <f>SUM(F19:F21)</f>
        <v>12183</v>
      </c>
      <c r="G22" s="374">
        <f t="shared" ref="G22" si="38">SUM(G19:G21)</f>
        <v>11421</v>
      </c>
      <c r="H22" s="374">
        <f t="shared" ref="H22" si="39">SUM(H19:H21)</f>
        <v>12939</v>
      </c>
      <c r="I22" s="374">
        <f t="shared" ref="I22" si="40">SUM(I19:I21)</f>
        <v>16360</v>
      </c>
      <c r="J22" s="374">
        <f t="shared" ref="J22" si="41">SUM(J19:J21)</f>
        <v>17195</v>
      </c>
      <c r="K22" s="374">
        <f t="shared" ref="K22" si="42">SUM(K19:K21)</f>
        <v>15127</v>
      </c>
      <c r="L22" s="374">
        <f t="shared" ref="L22" si="43">SUM(L19:L21)</f>
        <v>16347</v>
      </c>
      <c r="M22" s="374">
        <f t="shared" ref="M22" si="44">SUM(M19:M21)</f>
        <v>12717</v>
      </c>
      <c r="N22" s="374">
        <f t="shared" ref="N22" si="45">SUM(N19:N21)</f>
        <v>15528</v>
      </c>
      <c r="O22" s="374">
        <f t="shared" ref="O22" si="46">SUM(O19:O21)</f>
        <v>16186</v>
      </c>
      <c r="P22" s="374">
        <f t="shared" ref="P22" si="47">SUM(P19:P21)</f>
        <v>12629</v>
      </c>
      <c r="Q22" s="375">
        <f t="shared" ref="Q22" si="48">SUM(Q19:Q21)</f>
        <v>13636</v>
      </c>
      <c r="R22" s="278">
        <f t="shared" ref="R22" si="49">SUM(R19:R21)</f>
        <v>172268</v>
      </c>
      <c r="S22" s="49"/>
      <c r="T22" s="29"/>
    </row>
    <row r="23" spans="1:20" x14ac:dyDescent="0.4">
      <c r="A23" s="156"/>
      <c r="B23" s="54" t="s">
        <v>57</v>
      </c>
      <c r="C23" s="1" t="s">
        <v>55</v>
      </c>
      <c r="D23" s="1" t="s">
        <v>130</v>
      </c>
      <c r="E23" s="1" t="s">
        <v>137</v>
      </c>
      <c r="F23" s="371">
        <f>千葉!E7</f>
        <v>1836</v>
      </c>
      <c r="G23" s="2">
        <f>千葉!F7</f>
        <v>1963.36</v>
      </c>
      <c r="H23" s="2">
        <f>千葉!G7</f>
        <v>1596.14</v>
      </c>
      <c r="I23" s="2">
        <f>千葉!H7</f>
        <v>1348.9</v>
      </c>
      <c r="J23" s="2">
        <f>千葉!I7</f>
        <v>1108.94</v>
      </c>
      <c r="K23" s="2">
        <f>千葉!J7</f>
        <v>1348.9</v>
      </c>
      <c r="L23" s="2">
        <f>千葉!K7</f>
        <v>1232.7</v>
      </c>
      <c r="M23" s="2">
        <f>千葉!L7</f>
        <v>1108.94</v>
      </c>
      <c r="N23" s="2">
        <f>千葉!M7</f>
        <v>741.72</v>
      </c>
      <c r="O23" s="2">
        <f>千葉!N7</f>
        <v>1228.92</v>
      </c>
      <c r="P23" s="2">
        <f>千葉!O7</f>
        <v>1419.88</v>
      </c>
      <c r="Q23" s="372">
        <f>千葉!P7</f>
        <v>861.7</v>
      </c>
      <c r="R23" s="315">
        <f t="shared" si="0"/>
        <v>15796.100000000002</v>
      </c>
      <c r="S23" s="49"/>
    </row>
    <row r="24" spans="1:20" x14ac:dyDescent="0.4">
      <c r="A24" s="156"/>
      <c r="B24" s="54"/>
      <c r="D24" s="1" t="s">
        <v>130</v>
      </c>
      <c r="E24" s="1" t="s">
        <v>138</v>
      </c>
      <c r="F24" s="371">
        <f>千葉!E17</f>
        <v>170.65439999999998</v>
      </c>
      <c r="G24" s="2">
        <f>千葉!F17</f>
        <v>3500</v>
      </c>
      <c r="H24" s="2">
        <f>千葉!G17</f>
        <v>2366</v>
      </c>
      <c r="I24" s="2">
        <f>千葉!H17</f>
        <v>2842</v>
      </c>
      <c r="J24" s="2">
        <f>千葉!I17</f>
        <v>2212</v>
      </c>
      <c r="K24" s="2">
        <f>千葉!J17</f>
        <v>2842</v>
      </c>
      <c r="L24" s="2">
        <f>千葉!K17</f>
        <v>3500</v>
      </c>
      <c r="M24" s="2">
        <f>千葉!L17</f>
        <v>2968</v>
      </c>
      <c r="N24" s="2">
        <f>千葉!M17</f>
        <v>1932</v>
      </c>
      <c r="O24" s="2">
        <f>千葉!N17</f>
        <v>3080</v>
      </c>
      <c r="P24" s="2">
        <f>千葉!O17</f>
        <v>4284</v>
      </c>
      <c r="Q24" s="372">
        <f>千葉!P17</f>
        <v>3360</v>
      </c>
      <c r="R24" s="315">
        <f t="shared" si="0"/>
        <v>33056.654399999999</v>
      </c>
      <c r="S24" s="49"/>
    </row>
    <row r="25" spans="1:20" x14ac:dyDescent="0.4">
      <c r="A25" s="156"/>
      <c r="B25" s="54"/>
      <c r="D25" s="1" t="s">
        <v>130</v>
      </c>
      <c r="E25" s="1" t="s">
        <v>176</v>
      </c>
      <c r="F25" s="371">
        <f>千葉!E27</f>
        <v>357</v>
      </c>
      <c r="G25" s="2">
        <f>千葉!F27</f>
        <v>50</v>
      </c>
      <c r="H25" s="2">
        <f>千葉!G27</f>
        <v>500</v>
      </c>
      <c r="I25" s="2">
        <f>千葉!H27</f>
        <v>500</v>
      </c>
      <c r="J25" s="2">
        <f>千葉!I27</f>
        <v>800</v>
      </c>
      <c r="K25" s="2">
        <f>千葉!J27</f>
        <v>993.2</v>
      </c>
      <c r="L25" s="2">
        <f>千葉!K27</f>
        <v>1500</v>
      </c>
      <c r="M25" s="2">
        <f>千葉!L27</f>
        <v>1500</v>
      </c>
      <c r="N25" s="2">
        <f>千葉!M27</f>
        <v>2000</v>
      </c>
      <c r="O25" s="2">
        <f>千葉!N27</f>
        <v>3000</v>
      </c>
      <c r="P25" s="2">
        <f>千葉!O27</f>
        <v>2897.7000000000003</v>
      </c>
      <c r="Q25" s="372">
        <f>千葉!P27</f>
        <v>497.90000000000003</v>
      </c>
      <c r="R25" s="315">
        <f t="shared" si="0"/>
        <v>14595.800000000001</v>
      </c>
      <c r="S25" s="49"/>
    </row>
    <row r="26" spans="1:20" s="45" customFormat="1" ht="18" customHeight="1" x14ac:dyDescent="0.4">
      <c r="A26" s="156"/>
      <c r="B26" s="55"/>
      <c r="C26" s="52"/>
      <c r="D26" s="52"/>
      <c r="E26" s="60" t="s">
        <v>139</v>
      </c>
      <c r="F26" s="373">
        <f>SUM(F23:F25)</f>
        <v>2363.6543999999999</v>
      </c>
      <c r="G26" s="374">
        <f t="shared" ref="G26" si="50">SUM(G23:G25)</f>
        <v>5513.36</v>
      </c>
      <c r="H26" s="374">
        <f t="shared" ref="H26" si="51">SUM(H23:H25)</f>
        <v>4462.1400000000003</v>
      </c>
      <c r="I26" s="374">
        <f t="shared" ref="I26" si="52">SUM(I23:I25)</f>
        <v>4690.8999999999996</v>
      </c>
      <c r="J26" s="374">
        <f t="shared" ref="J26" si="53">SUM(J23:J25)</f>
        <v>4120.9400000000005</v>
      </c>
      <c r="K26" s="374">
        <f t="shared" ref="K26" si="54">SUM(K23:K25)</f>
        <v>5184.0999999999995</v>
      </c>
      <c r="L26" s="374">
        <f t="shared" ref="L26" si="55">SUM(L23:L25)</f>
        <v>6232.7</v>
      </c>
      <c r="M26" s="374">
        <f t="shared" ref="M26" si="56">SUM(M23:M25)</f>
        <v>5576.9400000000005</v>
      </c>
      <c r="N26" s="374">
        <f t="shared" ref="N26" si="57">SUM(N23:N25)</f>
        <v>4673.72</v>
      </c>
      <c r="O26" s="374">
        <f t="shared" ref="O26" si="58">SUM(O23:O25)</f>
        <v>7308.92</v>
      </c>
      <c r="P26" s="374">
        <f t="shared" ref="P26" si="59">SUM(P23:P25)</f>
        <v>8601.58</v>
      </c>
      <c r="Q26" s="375">
        <f t="shared" ref="Q26" si="60">SUM(Q23:Q25)</f>
        <v>4719.5999999999995</v>
      </c>
      <c r="R26" s="278">
        <f t="shared" ref="R26" si="61">SUM(R23:R25)</f>
        <v>63448.554400000008</v>
      </c>
      <c r="S26" s="49"/>
      <c r="T26" s="29"/>
    </row>
    <row r="27" spans="1:20" x14ac:dyDescent="0.4">
      <c r="A27" s="156"/>
      <c r="B27" s="54" t="s">
        <v>57</v>
      </c>
      <c r="C27" s="1" t="s">
        <v>187</v>
      </c>
      <c r="D27" s="1" t="s">
        <v>130</v>
      </c>
      <c r="E27" s="1" t="s">
        <v>127</v>
      </c>
      <c r="F27" s="371">
        <f>中国!E7</f>
        <v>431.20000000000005</v>
      </c>
      <c r="G27" s="2">
        <f>中国!F7</f>
        <v>359.70000000000005</v>
      </c>
      <c r="H27" s="2">
        <f>中国!G7</f>
        <v>444.40000000000003</v>
      </c>
      <c r="I27" s="2">
        <f>中国!H7</f>
        <v>709.50000000000011</v>
      </c>
      <c r="J27" s="2">
        <f>中国!I7</f>
        <v>311.3</v>
      </c>
      <c r="K27" s="2">
        <f>中国!J7</f>
        <v>597.30000000000007</v>
      </c>
      <c r="L27" s="2">
        <f>中国!K7</f>
        <v>313.5</v>
      </c>
      <c r="M27" s="2">
        <f>中国!L7</f>
        <v>254.10000000000002</v>
      </c>
      <c r="N27" s="2">
        <f>中国!M7</f>
        <v>256.3</v>
      </c>
      <c r="O27" s="2">
        <f>中国!N7</f>
        <v>328.90000000000003</v>
      </c>
      <c r="P27" s="2">
        <f>中国!O7</f>
        <v>548.90000000000009</v>
      </c>
      <c r="Q27" s="372">
        <f>中国!P7</f>
        <v>110.00000000000001</v>
      </c>
      <c r="R27" s="315">
        <f t="shared" si="0"/>
        <v>4665.1000000000004</v>
      </c>
      <c r="S27" s="49"/>
    </row>
    <row r="28" spans="1:20" x14ac:dyDescent="0.4">
      <c r="A28" s="156"/>
      <c r="B28" s="54"/>
      <c r="C28" s="1" t="s">
        <v>187</v>
      </c>
      <c r="D28" s="1" t="s">
        <v>130</v>
      </c>
      <c r="E28" s="1" t="s">
        <v>133</v>
      </c>
      <c r="F28" s="371">
        <f>中国!E17</f>
        <v>564.30000000000007</v>
      </c>
      <c r="G28" s="2">
        <f>中国!F17</f>
        <v>431.1</v>
      </c>
      <c r="H28" s="2">
        <f>中国!G17</f>
        <v>453.6</v>
      </c>
      <c r="I28" s="2">
        <f>中国!H17</f>
        <v>482.40000000000003</v>
      </c>
      <c r="J28" s="2">
        <f>中国!I17</f>
        <v>730.80000000000007</v>
      </c>
      <c r="K28" s="2">
        <f>中国!J17</f>
        <v>732.6</v>
      </c>
      <c r="L28" s="2">
        <f>中国!K17</f>
        <v>916.2</v>
      </c>
      <c r="M28" s="2">
        <f>中国!L17</f>
        <v>906.30000000000007</v>
      </c>
      <c r="N28" s="2">
        <f>中国!M17</f>
        <v>852.30000000000007</v>
      </c>
      <c r="O28" s="2">
        <f>中国!N17</f>
        <v>549</v>
      </c>
      <c r="P28" s="2">
        <f>中国!O17</f>
        <v>552.6</v>
      </c>
      <c r="Q28" s="372">
        <f>中国!P17</f>
        <v>810</v>
      </c>
      <c r="R28" s="315">
        <f t="shared" si="0"/>
        <v>7981.2000000000007</v>
      </c>
      <c r="S28" s="49"/>
    </row>
    <row r="29" spans="1:20" x14ac:dyDescent="0.4">
      <c r="A29" s="156"/>
      <c r="B29" s="54"/>
      <c r="C29" s="1" t="s">
        <v>172</v>
      </c>
      <c r="D29" s="1" t="s">
        <v>130</v>
      </c>
      <c r="E29" s="1" t="s">
        <v>172</v>
      </c>
      <c r="F29" s="371">
        <f>VVR!E7</f>
        <v>242</v>
      </c>
      <c r="G29" s="2">
        <f>VVR!F7</f>
        <v>373.74999999999994</v>
      </c>
      <c r="H29" s="2">
        <f>VVR!G7</f>
        <v>468.04999999999995</v>
      </c>
      <c r="I29" s="2">
        <f>VVR!H7</f>
        <v>220.79999999999998</v>
      </c>
      <c r="J29" s="2">
        <f>VVR!I7</f>
        <v>1164.9499999999998</v>
      </c>
      <c r="K29" s="2">
        <f>VVR!J7</f>
        <v>965.99999999999989</v>
      </c>
      <c r="L29" s="2">
        <f>VVR!K7</f>
        <v>614.09999999999991</v>
      </c>
      <c r="M29" s="2">
        <f>VVR!L7</f>
        <v>167.89999999999998</v>
      </c>
      <c r="N29" s="2">
        <f>VVR!M7</f>
        <v>272.54999999999995</v>
      </c>
      <c r="O29" s="2">
        <f>VVR!N7</f>
        <v>707.25</v>
      </c>
      <c r="P29" s="2">
        <f>VVR!O7</f>
        <v>464.59999999999997</v>
      </c>
      <c r="Q29" s="372">
        <f>VVR!P7</f>
        <v>583.04999999999995</v>
      </c>
      <c r="R29" s="315">
        <f t="shared" si="0"/>
        <v>6245</v>
      </c>
      <c r="S29" s="49"/>
    </row>
    <row r="30" spans="1:20" s="45" customFormat="1" ht="18" customHeight="1" x14ac:dyDescent="0.4">
      <c r="A30" s="156"/>
      <c r="B30" s="55"/>
      <c r="C30" s="52"/>
      <c r="D30" s="52"/>
      <c r="E30" s="60" t="s">
        <v>139</v>
      </c>
      <c r="F30" s="373">
        <f>SUM(F27:F29)</f>
        <v>1237.5</v>
      </c>
      <c r="G30" s="374">
        <f t="shared" ref="G30" si="62">SUM(G27:G29)</f>
        <v>1164.55</v>
      </c>
      <c r="H30" s="374">
        <f t="shared" ref="H30" si="63">SUM(H27:H29)</f>
        <v>1366.05</v>
      </c>
      <c r="I30" s="374">
        <f t="shared" ref="I30" si="64">SUM(I27:I29)</f>
        <v>1412.7</v>
      </c>
      <c r="J30" s="374">
        <f t="shared" ref="J30" si="65">SUM(J27:J29)</f>
        <v>2207.0500000000002</v>
      </c>
      <c r="K30" s="374">
        <f t="shared" ref="K30" si="66">SUM(K27:K29)</f>
        <v>2295.9</v>
      </c>
      <c r="L30" s="374">
        <f t="shared" ref="L30" si="67">SUM(L27:L29)</f>
        <v>1843.8</v>
      </c>
      <c r="M30" s="374">
        <f t="shared" ref="M30" si="68">SUM(M27:M29)</f>
        <v>1328.3000000000002</v>
      </c>
      <c r="N30" s="374">
        <f t="shared" ref="N30" si="69">SUM(N27:N29)</f>
        <v>1381.15</v>
      </c>
      <c r="O30" s="374">
        <f t="shared" ref="O30" si="70">SUM(O27:O29)</f>
        <v>1585.15</v>
      </c>
      <c r="P30" s="374">
        <f t="shared" ref="P30" si="71">SUM(P27:P29)</f>
        <v>1566.1</v>
      </c>
      <c r="Q30" s="375">
        <f t="shared" ref="Q30" si="72">SUM(Q27:Q29)</f>
        <v>1503.05</v>
      </c>
      <c r="R30" s="278">
        <f t="shared" ref="R30" si="73">SUM(R27:R29)</f>
        <v>18891.300000000003</v>
      </c>
      <c r="S30" s="49"/>
      <c r="T30" s="29"/>
    </row>
    <row r="31" spans="1:20" x14ac:dyDescent="0.4">
      <c r="A31" s="156"/>
      <c r="B31" s="54" t="s">
        <v>57</v>
      </c>
      <c r="C31" s="1" t="s">
        <v>185</v>
      </c>
      <c r="D31" s="1" t="s">
        <v>178</v>
      </c>
      <c r="E31" s="1" t="s">
        <v>66</v>
      </c>
      <c r="F31" s="371">
        <f>新規1!E7</f>
        <v>0</v>
      </c>
      <c r="G31" s="2">
        <f>新規1!F7</f>
        <v>0</v>
      </c>
      <c r="H31" s="2">
        <f>新規1!G7</f>
        <v>0</v>
      </c>
      <c r="I31" s="2">
        <f>新規1!H7</f>
        <v>0</v>
      </c>
      <c r="J31" s="2">
        <f>新規1!I7</f>
        <v>0</v>
      </c>
      <c r="K31" s="2">
        <f>新規1!J7</f>
        <v>2100</v>
      </c>
      <c r="L31" s="2">
        <f>新規1!K7</f>
        <v>0</v>
      </c>
      <c r="M31" s="2">
        <f>新規1!L7</f>
        <v>2100</v>
      </c>
      <c r="N31" s="2">
        <f>新規1!M7</f>
        <v>0</v>
      </c>
      <c r="O31" s="2">
        <f>新規1!N7</f>
        <v>0</v>
      </c>
      <c r="P31" s="2">
        <f>新規1!O7</f>
        <v>4200</v>
      </c>
      <c r="Q31" s="372">
        <f>新規1!P7</f>
        <v>0</v>
      </c>
      <c r="R31" s="315">
        <f t="shared" si="0"/>
        <v>8400</v>
      </c>
      <c r="S31" s="49"/>
    </row>
    <row r="32" spans="1:20" x14ac:dyDescent="0.4">
      <c r="A32" s="156"/>
      <c r="B32" s="54"/>
      <c r="C32" s="1" t="s">
        <v>185</v>
      </c>
      <c r="D32" s="1" t="s">
        <v>140</v>
      </c>
      <c r="E32" s="1" t="s">
        <v>61</v>
      </c>
      <c r="F32" s="371">
        <f>新規1!E17</f>
        <v>0</v>
      </c>
      <c r="G32" s="2">
        <f>新規1!F17</f>
        <v>0</v>
      </c>
      <c r="H32" s="2">
        <f>新規1!G17</f>
        <v>330</v>
      </c>
      <c r="I32" s="2">
        <f>新規1!H17</f>
        <v>1400</v>
      </c>
      <c r="J32" s="2">
        <f>新規1!I17</f>
        <v>0</v>
      </c>
      <c r="K32" s="2">
        <f>新規1!J17</f>
        <v>4000</v>
      </c>
      <c r="L32" s="2">
        <f>新規1!K17</f>
        <v>2000</v>
      </c>
      <c r="M32" s="2">
        <f>新規1!L17</f>
        <v>1700</v>
      </c>
      <c r="N32" s="2">
        <f>新規1!M17</f>
        <v>0</v>
      </c>
      <c r="O32" s="2">
        <f>新規1!N17</f>
        <v>3000</v>
      </c>
      <c r="P32" s="2">
        <f>新規1!O17</f>
        <v>1400</v>
      </c>
      <c r="Q32" s="372">
        <f>新規1!P17</f>
        <v>0</v>
      </c>
      <c r="R32" s="315">
        <f t="shared" si="0"/>
        <v>13830</v>
      </c>
      <c r="S32" s="49"/>
    </row>
    <row r="33" spans="1:20" x14ac:dyDescent="0.4">
      <c r="A33" s="156"/>
      <c r="B33" s="54"/>
      <c r="C33" s="1" t="s">
        <v>186</v>
      </c>
      <c r="D33" s="1" t="s">
        <v>179</v>
      </c>
      <c r="E33" s="1" t="s">
        <v>180</v>
      </c>
      <c r="F33" s="371">
        <f>新規2!E27</f>
        <v>0</v>
      </c>
      <c r="G33" s="2">
        <f>新規2!F27</f>
        <v>0</v>
      </c>
      <c r="H33" s="2">
        <f>新規2!G27</f>
        <v>0</v>
      </c>
      <c r="I33" s="2">
        <f>新規2!H27</f>
        <v>2700</v>
      </c>
      <c r="J33" s="2">
        <f>新規2!I27</f>
        <v>0</v>
      </c>
      <c r="K33" s="2">
        <f>新規2!J27</f>
        <v>0</v>
      </c>
      <c r="L33" s="2">
        <f>新規2!K27</f>
        <v>8100</v>
      </c>
      <c r="M33" s="2">
        <f>新規2!L27</f>
        <v>8100</v>
      </c>
      <c r="N33" s="2">
        <f>新規2!M27</f>
        <v>8100</v>
      </c>
      <c r="O33" s="2">
        <f>新規2!N27</f>
        <v>8100</v>
      </c>
      <c r="P33" s="2">
        <f>新規2!O27</f>
        <v>8100</v>
      </c>
      <c r="Q33" s="372">
        <f>新規2!P27</f>
        <v>15800</v>
      </c>
      <c r="R33" s="315">
        <f t="shared" si="0"/>
        <v>59000</v>
      </c>
      <c r="S33" s="49"/>
    </row>
    <row r="34" spans="1:20" s="45" customFormat="1" ht="18" customHeight="1" x14ac:dyDescent="0.4">
      <c r="A34" s="157"/>
      <c r="B34" s="50"/>
      <c r="C34" s="46"/>
      <c r="D34" s="46"/>
      <c r="E34" s="61" t="s">
        <v>139</v>
      </c>
      <c r="F34" s="376">
        <f>SUM(F31:F33)</f>
        <v>0</v>
      </c>
      <c r="G34" s="377">
        <f t="shared" ref="G34" si="74">SUM(G31:G33)</f>
        <v>0</v>
      </c>
      <c r="H34" s="377">
        <f t="shared" ref="H34" si="75">SUM(H31:H33)</f>
        <v>330</v>
      </c>
      <c r="I34" s="377">
        <f t="shared" ref="I34" si="76">SUM(I31:I33)</f>
        <v>4100</v>
      </c>
      <c r="J34" s="377">
        <f t="shared" ref="J34" si="77">SUM(J31:J33)</f>
        <v>0</v>
      </c>
      <c r="K34" s="377">
        <f t="shared" ref="K34" si="78">SUM(K31:K33)</f>
        <v>6100</v>
      </c>
      <c r="L34" s="377">
        <f t="shared" ref="L34" si="79">SUM(L31:L33)</f>
        <v>10100</v>
      </c>
      <c r="M34" s="377">
        <f t="shared" ref="M34" si="80">SUM(M31:M33)</f>
        <v>11900</v>
      </c>
      <c r="N34" s="377">
        <f t="shared" ref="N34" si="81">SUM(N31:N33)</f>
        <v>8100</v>
      </c>
      <c r="O34" s="377">
        <f t="shared" ref="O34" si="82">SUM(O31:O33)</f>
        <v>11100</v>
      </c>
      <c r="P34" s="377">
        <f t="shared" ref="P34" si="83">SUM(P31:P33)</f>
        <v>13700</v>
      </c>
      <c r="Q34" s="378">
        <f t="shared" ref="Q34" si="84">SUM(Q31:Q33)</f>
        <v>15800</v>
      </c>
      <c r="R34" s="283">
        <f t="shared" ref="R34" si="85">SUM(R31:R33)</f>
        <v>81230</v>
      </c>
      <c r="S34" s="49"/>
      <c r="T34" s="29"/>
    </row>
    <row r="35" spans="1:20" ht="25.5" x14ac:dyDescent="0.4">
      <c r="A35" s="364" t="s">
        <v>149</v>
      </c>
      <c r="B35" s="359" t="s">
        <v>49</v>
      </c>
      <c r="C35" s="359" t="s">
        <v>48</v>
      </c>
      <c r="D35" s="359" t="s">
        <v>150</v>
      </c>
      <c r="E35" s="359" t="s">
        <v>151</v>
      </c>
      <c r="F35" s="361">
        <v>45444</v>
      </c>
      <c r="G35" s="362">
        <v>45474</v>
      </c>
      <c r="H35" s="362">
        <v>45505</v>
      </c>
      <c r="I35" s="362">
        <v>45536</v>
      </c>
      <c r="J35" s="362">
        <v>45566</v>
      </c>
      <c r="K35" s="362">
        <v>45597</v>
      </c>
      <c r="L35" s="362">
        <v>45627</v>
      </c>
      <c r="M35" s="362">
        <v>45658</v>
      </c>
      <c r="N35" s="362">
        <v>45689</v>
      </c>
      <c r="O35" s="362">
        <v>45717</v>
      </c>
      <c r="P35" s="362">
        <v>45748</v>
      </c>
      <c r="Q35" s="363">
        <v>45778</v>
      </c>
      <c r="R35" s="56" t="s">
        <v>21</v>
      </c>
      <c r="S35" s="57" t="s">
        <v>145</v>
      </c>
      <c r="T35" s="57" t="s">
        <v>146</v>
      </c>
    </row>
    <row r="36" spans="1:20" x14ac:dyDescent="0.4">
      <c r="A36" s="158"/>
      <c r="B36" s="53" t="s">
        <v>56</v>
      </c>
      <c r="C36" s="48" t="s">
        <v>50</v>
      </c>
      <c r="D36" s="48" t="s">
        <v>58</v>
      </c>
      <c r="E36" s="48" t="s">
        <v>60</v>
      </c>
      <c r="F36" s="368">
        <f>松岡!E13</f>
        <v>117.34074074074078</v>
      </c>
      <c r="G36" s="369">
        <f>松岡!F13</f>
        <v>88.822222222222194</v>
      </c>
      <c r="H36" s="369">
        <f>松岡!G13</f>
        <v>117.34074074074078</v>
      </c>
      <c r="I36" s="369">
        <f>松岡!H13</f>
        <v>306.60000000000014</v>
      </c>
      <c r="J36" s="369">
        <f>松岡!I13</f>
        <v>584.00740740740753</v>
      </c>
      <c r="K36" s="369">
        <f>松岡!J13</f>
        <v>332.525925925926</v>
      </c>
      <c r="L36" s="369">
        <f>松岡!K13</f>
        <v>73.266666666666652</v>
      </c>
      <c r="M36" s="369">
        <f>松岡!L13</f>
        <v>78.45185185185187</v>
      </c>
      <c r="N36" s="369">
        <f>松岡!M13</f>
        <v>661.78518518518513</v>
      </c>
      <c r="O36" s="369">
        <f>松岡!N13</f>
        <v>156.2296296296297</v>
      </c>
      <c r="P36" s="369">
        <f>松岡!O13</f>
        <v>228.82222222222231</v>
      </c>
      <c r="Q36" s="370">
        <f>松岡!P13</f>
        <v>254.74814814814818</v>
      </c>
      <c r="R36" s="311">
        <f>SUM(F36:Q36)</f>
        <v>2999.9407407407407</v>
      </c>
      <c r="S36" s="51">
        <f>SUM(R39,R43,R47,R51,R55,R59,R63)</f>
        <v>142870.10514074072</v>
      </c>
      <c r="T36" s="51">
        <f>R67</f>
        <v>15110</v>
      </c>
    </row>
    <row r="37" spans="1:20" x14ac:dyDescent="0.4">
      <c r="A37" s="158"/>
      <c r="B37" s="54"/>
      <c r="D37" s="1" t="s">
        <v>130</v>
      </c>
      <c r="E37" s="1" t="s">
        <v>60</v>
      </c>
      <c r="F37" s="371">
        <f>松岡!E23</f>
        <v>247.5</v>
      </c>
      <c r="G37" s="2">
        <f>松岡!F23</f>
        <v>137.5</v>
      </c>
      <c r="H37" s="2">
        <f>松岡!G23</f>
        <v>165</v>
      </c>
      <c r="I37" s="2">
        <f>松岡!H23</f>
        <v>137.5</v>
      </c>
      <c r="J37" s="2">
        <f>松岡!I23</f>
        <v>192.5</v>
      </c>
      <c r="K37" s="2">
        <f>松岡!J23</f>
        <v>137.5</v>
      </c>
      <c r="L37" s="2">
        <f>松岡!K23</f>
        <v>82.5</v>
      </c>
      <c r="M37" s="2">
        <f>松岡!L23</f>
        <v>110</v>
      </c>
      <c r="N37" s="2">
        <f>松岡!M23</f>
        <v>82.5</v>
      </c>
      <c r="O37" s="2">
        <f>松岡!N23</f>
        <v>151.25</v>
      </c>
      <c r="P37" s="2">
        <f>松岡!O23</f>
        <v>151.25</v>
      </c>
      <c r="Q37" s="372">
        <f>松岡!P23</f>
        <v>275</v>
      </c>
      <c r="R37" s="315">
        <f t="shared" ref="R37:R38" si="86">SUM(F37:Q37)</f>
        <v>1870</v>
      </c>
      <c r="S37" s="49"/>
    </row>
    <row r="38" spans="1:20" x14ac:dyDescent="0.4">
      <c r="A38" s="158"/>
      <c r="B38" s="54"/>
      <c r="D38" s="1" t="s">
        <v>62</v>
      </c>
      <c r="E38" s="1" t="s">
        <v>61</v>
      </c>
      <c r="F38" s="371">
        <f>松岡!E33</f>
        <v>290</v>
      </c>
      <c r="G38" s="2">
        <f>松岡!F33</f>
        <v>290</v>
      </c>
      <c r="H38" s="2">
        <f>松岡!G33</f>
        <v>870</v>
      </c>
      <c r="I38" s="2">
        <f>松岡!H33</f>
        <v>580</v>
      </c>
      <c r="J38" s="2">
        <f>松岡!I33</f>
        <v>1238.5900000000001</v>
      </c>
      <c r="K38" s="2">
        <f>松岡!J33</f>
        <v>1160</v>
      </c>
      <c r="L38" s="2">
        <f>松岡!K33</f>
        <v>1450</v>
      </c>
      <c r="M38" s="2">
        <f>松岡!L33</f>
        <v>1450</v>
      </c>
      <c r="N38" s="2">
        <f>松岡!M33</f>
        <v>1450</v>
      </c>
      <c r="O38" s="2">
        <f>松岡!N33</f>
        <v>1450</v>
      </c>
      <c r="P38" s="2">
        <f>松岡!O33</f>
        <v>2320</v>
      </c>
      <c r="Q38" s="372">
        <f>松岡!P33</f>
        <v>2320</v>
      </c>
      <c r="R38" s="315">
        <f t="shared" si="86"/>
        <v>14868.59</v>
      </c>
      <c r="S38" s="481" t="s">
        <v>147</v>
      </c>
      <c r="T38" s="481"/>
    </row>
    <row r="39" spans="1:20" x14ac:dyDescent="0.4">
      <c r="A39" s="158"/>
      <c r="B39" s="55"/>
      <c r="C39" s="52"/>
      <c r="D39" s="52"/>
      <c r="E39" s="62" t="s">
        <v>21</v>
      </c>
      <c r="F39" s="379">
        <f>SUM(F36:F38)</f>
        <v>654.84074074074078</v>
      </c>
      <c r="G39" s="380">
        <f t="shared" ref="G39:R39" si="87">SUM(G36:G38)</f>
        <v>516.32222222222219</v>
      </c>
      <c r="H39" s="380">
        <f t="shared" si="87"/>
        <v>1152.3407407407408</v>
      </c>
      <c r="I39" s="380">
        <f t="shared" si="87"/>
        <v>1024.1000000000001</v>
      </c>
      <c r="J39" s="380">
        <f t="shared" si="87"/>
        <v>2015.0974074074077</v>
      </c>
      <c r="K39" s="380">
        <f t="shared" si="87"/>
        <v>1630.025925925926</v>
      </c>
      <c r="L39" s="380">
        <f t="shared" si="87"/>
        <v>1605.7666666666667</v>
      </c>
      <c r="M39" s="380">
        <f t="shared" si="87"/>
        <v>1638.4518518518519</v>
      </c>
      <c r="N39" s="380">
        <f t="shared" si="87"/>
        <v>2194.2851851851851</v>
      </c>
      <c r="O39" s="380">
        <f t="shared" si="87"/>
        <v>1757.4796296296297</v>
      </c>
      <c r="P39" s="380">
        <f t="shared" si="87"/>
        <v>2700.0722222222221</v>
      </c>
      <c r="Q39" s="381">
        <f t="shared" si="87"/>
        <v>2849.7481481481482</v>
      </c>
      <c r="R39" s="382">
        <f t="shared" si="87"/>
        <v>19738.530740740742</v>
      </c>
      <c r="S39" s="482">
        <f>S36+T36</f>
        <v>157980.10514074072</v>
      </c>
      <c r="T39" s="482"/>
    </row>
    <row r="40" spans="1:20" x14ac:dyDescent="0.4">
      <c r="A40" s="158"/>
      <c r="B40" s="54" t="s">
        <v>56</v>
      </c>
      <c r="C40" s="1" t="s">
        <v>51</v>
      </c>
      <c r="D40" s="1" t="s">
        <v>136</v>
      </c>
      <c r="E40" s="1" t="s">
        <v>63</v>
      </c>
      <c r="F40" s="371">
        <f>大谷!E13</f>
        <v>303</v>
      </c>
      <c r="G40" s="2">
        <f>大谷!F13</f>
        <v>303</v>
      </c>
      <c r="H40" s="2">
        <f>大谷!G13</f>
        <v>303</v>
      </c>
      <c r="I40" s="2">
        <f>大谷!H13</f>
        <v>303</v>
      </c>
      <c r="J40" s="2">
        <f>大谷!I13</f>
        <v>303</v>
      </c>
      <c r="K40" s="2">
        <f>大谷!J13</f>
        <v>303</v>
      </c>
      <c r="L40" s="2">
        <f>大谷!K13</f>
        <v>303</v>
      </c>
      <c r="M40" s="2">
        <f>大谷!L13</f>
        <v>303</v>
      </c>
      <c r="N40" s="2">
        <f>大谷!M13</f>
        <v>303</v>
      </c>
      <c r="O40" s="2">
        <f>大谷!N13</f>
        <v>303</v>
      </c>
      <c r="P40" s="2">
        <f>大谷!O13</f>
        <v>303</v>
      </c>
      <c r="Q40" s="372">
        <f>大谷!P13</f>
        <v>303</v>
      </c>
      <c r="R40" s="315">
        <f t="shared" ref="R40:R42" si="88">SUM(F40:Q40)</f>
        <v>3636</v>
      </c>
      <c r="S40" s="49"/>
    </row>
    <row r="41" spans="1:20" x14ac:dyDescent="0.4">
      <c r="A41" s="158"/>
      <c r="B41" s="54"/>
      <c r="D41" s="1" t="s">
        <v>136</v>
      </c>
      <c r="E41" s="1" t="s">
        <v>62</v>
      </c>
      <c r="F41" s="371">
        <f>大谷!E23</f>
        <v>1470</v>
      </c>
      <c r="G41" s="2">
        <f>大谷!F23</f>
        <v>1470</v>
      </c>
      <c r="H41" s="2">
        <f>大谷!G23</f>
        <v>1470</v>
      </c>
      <c r="I41" s="2">
        <f>大谷!H23</f>
        <v>1470</v>
      </c>
      <c r="J41" s="2">
        <f>大谷!I23</f>
        <v>1470</v>
      </c>
      <c r="K41" s="2">
        <f>大谷!J23</f>
        <v>1470</v>
      </c>
      <c r="L41" s="2">
        <f>大谷!K23</f>
        <v>1470</v>
      </c>
      <c r="M41" s="2">
        <f>大谷!L23</f>
        <v>1470</v>
      </c>
      <c r="N41" s="2">
        <f>大谷!M23</f>
        <v>1470</v>
      </c>
      <c r="O41" s="2">
        <f>大谷!N23</f>
        <v>1470</v>
      </c>
      <c r="P41" s="2">
        <f>大谷!O23</f>
        <v>1470</v>
      </c>
      <c r="Q41" s="372">
        <f>大谷!P23</f>
        <v>1421</v>
      </c>
      <c r="R41" s="315">
        <f t="shared" si="88"/>
        <v>17591</v>
      </c>
      <c r="S41" s="49"/>
    </row>
    <row r="42" spans="1:20" x14ac:dyDescent="0.4">
      <c r="A42" s="158"/>
      <c r="B42" s="54"/>
      <c r="D42" s="1" t="s">
        <v>130</v>
      </c>
      <c r="E42" s="1" t="s">
        <v>64</v>
      </c>
      <c r="F42" s="371">
        <f>大谷!E33</f>
        <v>461</v>
      </c>
      <c r="G42" s="2">
        <f>大谷!F33</f>
        <v>461</v>
      </c>
      <c r="H42" s="2">
        <f>大谷!G33</f>
        <v>461</v>
      </c>
      <c r="I42" s="2">
        <f>大谷!H33</f>
        <v>461</v>
      </c>
      <c r="J42" s="2">
        <f>大谷!I33</f>
        <v>461</v>
      </c>
      <c r="K42" s="2">
        <f>大谷!J33</f>
        <v>461</v>
      </c>
      <c r="L42" s="2">
        <f>大谷!K33</f>
        <v>461</v>
      </c>
      <c r="M42" s="2">
        <f>大谷!L33</f>
        <v>461</v>
      </c>
      <c r="N42" s="2">
        <f>大谷!M33</f>
        <v>461</v>
      </c>
      <c r="O42" s="2">
        <f>大谷!N33</f>
        <v>461</v>
      </c>
      <c r="P42" s="2">
        <f>大谷!O33</f>
        <v>461</v>
      </c>
      <c r="Q42" s="372">
        <f>大谷!P33</f>
        <v>461</v>
      </c>
      <c r="R42" s="315">
        <f t="shared" si="88"/>
        <v>5532</v>
      </c>
      <c r="S42" s="49"/>
    </row>
    <row r="43" spans="1:20" x14ac:dyDescent="0.4">
      <c r="A43" s="158"/>
      <c r="B43" s="55"/>
      <c r="C43" s="52"/>
      <c r="D43" s="52"/>
      <c r="E43" s="62" t="s">
        <v>21</v>
      </c>
      <c r="F43" s="379">
        <f>SUM(F40:F42)</f>
        <v>2234</v>
      </c>
      <c r="G43" s="380">
        <f t="shared" ref="G43:R43" si="89">SUM(G40:G42)</f>
        <v>2234</v>
      </c>
      <c r="H43" s="380">
        <f t="shared" si="89"/>
        <v>2234</v>
      </c>
      <c r="I43" s="380">
        <f t="shared" si="89"/>
        <v>2234</v>
      </c>
      <c r="J43" s="380">
        <f t="shared" si="89"/>
        <v>2234</v>
      </c>
      <c r="K43" s="380">
        <f t="shared" si="89"/>
        <v>2234</v>
      </c>
      <c r="L43" s="380">
        <f t="shared" si="89"/>
        <v>2234</v>
      </c>
      <c r="M43" s="380">
        <f t="shared" si="89"/>
        <v>2234</v>
      </c>
      <c r="N43" s="380">
        <f t="shared" si="89"/>
        <v>2234</v>
      </c>
      <c r="O43" s="380">
        <f t="shared" si="89"/>
        <v>2234</v>
      </c>
      <c r="P43" s="380">
        <f t="shared" si="89"/>
        <v>2234</v>
      </c>
      <c r="Q43" s="381">
        <f t="shared" si="89"/>
        <v>2185</v>
      </c>
      <c r="R43" s="382">
        <f t="shared" si="89"/>
        <v>26759</v>
      </c>
      <c r="S43" s="49"/>
    </row>
    <row r="44" spans="1:20" x14ac:dyDescent="0.4">
      <c r="A44" s="158"/>
      <c r="B44" s="54" t="s">
        <v>56</v>
      </c>
      <c r="C44" s="1" t="s">
        <v>52</v>
      </c>
      <c r="D44" s="1" t="s">
        <v>181</v>
      </c>
      <c r="E44" s="1" t="s">
        <v>182</v>
      </c>
      <c r="F44" s="371">
        <f>宮本!E13</f>
        <v>570</v>
      </c>
      <c r="G44" s="2">
        <f>宮本!F13</f>
        <v>570</v>
      </c>
      <c r="H44" s="2">
        <f>宮本!G13</f>
        <v>570</v>
      </c>
      <c r="I44" s="2">
        <f>宮本!H13</f>
        <v>570</v>
      </c>
      <c r="J44" s="2">
        <f>宮本!I13</f>
        <v>570</v>
      </c>
      <c r="K44" s="2">
        <f>宮本!J13</f>
        <v>570</v>
      </c>
      <c r="L44" s="2">
        <f>宮本!K13</f>
        <v>570</v>
      </c>
      <c r="M44" s="2">
        <f>宮本!L13</f>
        <v>570</v>
      </c>
      <c r="N44" s="2">
        <f>宮本!M13</f>
        <v>570</v>
      </c>
      <c r="O44" s="2">
        <f>宮本!N13</f>
        <v>570</v>
      </c>
      <c r="P44" s="2">
        <f>宮本!O13</f>
        <v>570</v>
      </c>
      <c r="Q44" s="372">
        <f>宮本!P13</f>
        <v>570</v>
      </c>
      <c r="R44" s="315">
        <f t="shared" ref="R44:R46" si="90">SUM(F44:Q44)</f>
        <v>6840</v>
      </c>
      <c r="S44" s="49"/>
    </row>
    <row r="45" spans="1:20" x14ac:dyDescent="0.4">
      <c r="A45" s="158"/>
      <c r="B45" s="54"/>
      <c r="F45" s="371">
        <f>宮本!E23</f>
        <v>0</v>
      </c>
      <c r="G45" s="2">
        <f>宮本!F23</f>
        <v>0</v>
      </c>
      <c r="H45" s="2">
        <f>宮本!G23</f>
        <v>0</v>
      </c>
      <c r="I45" s="2">
        <f>宮本!H23</f>
        <v>0</v>
      </c>
      <c r="J45" s="2">
        <f>宮本!I23</f>
        <v>0</v>
      </c>
      <c r="K45" s="2">
        <f>宮本!J23</f>
        <v>0</v>
      </c>
      <c r="L45" s="2">
        <f>宮本!K23</f>
        <v>0</v>
      </c>
      <c r="M45" s="2">
        <f>宮本!L23</f>
        <v>0</v>
      </c>
      <c r="N45" s="2">
        <f>宮本!M23</f>
        <v>0</v>
      </c>
      <c r="O45" s="2">
        <f>宮本!N23</f>
        <v>0</v>
      </c>
      <c r="P45" s="2">
        <f>宮本!O23</f>
        <v>0</v>
      </c>
      <c r="Q45" s="372">
        <f>宮本!P23</f>
        <v>0</v>
      </c>
      <c r="R45" s="315">
        <f t="shared" si="90"/>
        <v>0</v>
      </c>
      <c r="S45" s="49"/>
    </row>
    <row r="46" spans="1:20" x14ac:dyDescent="0.4">
      <c r="A46" s="158"/>
      <c r="B46" s="54"/>
      <c r="F46" s="371">
        <f>宮本!E33</f>
        <v>0</v>
      </c>
      <c r="G46" s="2">
        <f>宮本!F33</f>
        <v>0</v>
      </c>
      <c r="H46" s="2">
        <f>宮本!G33</f>
        <v>0</v>
      </c>
      <c r="I46" s="2">
        <f>宮本!H33</f>
        <v>0</v>
      </c>
      <c r="J46" s="2">
        <f>宮本!I33</f>
        <v>0</v>
      </c>
      <c r="K46" s="2">
        <f>宮本!J33</f>
        <v>0</v>
      </c>
      <c r="L46" s="2">
        <f>宮本!K33</f>
        <v>0</v>
      </c>
      <c r="M46" s="2">
        <f>宮本!L33</f>
        <v>0</v>
      </c>
      <c r="N46" s="2">
        <f>宮本!M33</f>
        <v>0</v>
      </c>
      <c r="O46" s="2">
        <f>宮本!N33</f>
        <v>0</v>
      </c>
      <c r="P46" s="2">
        <f>宮本!O33</f>
        <v>0</v>
      </c>
      <c r="Q46" s="372">
        <f>宮本!P33</f>
        <v>0</v>
      </c>
      <c r="R46" s="315">
        <f t="shared" si="90"/>
        <v>0</v>
      </c>
      <c r="S46" s="49"/>
    </row>
    <row r="47" spans="1:20" x14ac:dyDescent="0.4">
      <c r="A47" s="158"/>
      <c r="B47" s="55"/>
      <c r="C47" s="52"/>
      <c r="D47" s="52"/>
      <c r="E47" s="62" t="s">
        <v>21</v>
      </c>
      <c r="F47" s="379">
        <f>SUM(F44:F46)</f>
        <v>570</v>
      </c>
      <c r="G47" s="380">
        <f t="shared" ref="G47:R47" si="91">SUM(G44:G46)</f>
        <v>570</v>
      </c>
      <c r="H47" s="380">
        <f t="shared" si="91"/>
        <v>570</v>
      </c>
      <c r="I47" s="380">
        <f t="shared" si="91"/>
        <v>570</v>
      </c>
      <c r="J47" s="380">
        <f t="shared" si="91"/>
        <v>570</v>
      </c>
      <c r="K47" s="380">
        <f t="shared" si="91"/>
        <v>570</v>
      </c>
      <c r="L47" s="380">
        <f t="shared" si="91"/>
        <v>570</v>
      </c>
      <c r="M47" s="380">
        <f t="shared" si="91"/>
        <v>570</v>
      </c>
      <c r="N47" s="380">
        <f t="shared" si="91"/>
        <v>570</v>
      </c>
      <c r="O47" s="380">
        <f t="shared" si="91"/>
        <v>570</v>
      </c>
      <c r="P47" s="380">
        <f t="shared" si="91"/>
        <v>570</v>
      </c>
      <c r="Q47" s="381">
        <f t="shared" si="91"/>
        <v>570</v>
      </c>
      <c r="R47" s="382">
        <f t="shared" si="91"/>
        <v>6840</v>
      </c>
      <c r="S47" s="49"/>
    </row>
    <row r="48" spans="1:20" x14ac:dyDescent="0.4">
      <c r="A48" s="158"/>
      <c r="B48" s="54" t="s">
        <v>57</v>
      </c>
      <c r="C48" s="1" t="s">
        <v>53</v>
      </c>
      <c r="D48" s="1" t="s">
        <v>134</v>
      </c>
      <c r="E48" s="1" t="s">
        <v>66</v>
      </c>
      <c r="F48" s="371">
        <f>深串!E13</f>
        <v>1320</v>
      </c>
      <c r="G48" s="2">
        <f>深串!F13</f>
        <v>60</v>
      </c>
      <c r="H48" s="2">
        <f>深串!G13</f>
        <v>0</v>
      </c>
      <c r="I48" s="2">
        <f>深串!H13</f>
        <v>1200</v>
      </c>
      <c r="J48" s="2">
        <f>深串!I13</f>
        <v>300</v>
      </c>
      <c r="K48" s="2">
        <f>深串!J13</f>
        <v>1200</v>
      </c>
      <c r="L48" s="2">
        <f>深串!K13</f>
        <v>1200</v>
      </c>
      <c r="M48" s="2">
        <f>深串!L13</f>
        <v>1200</v>
      </c>
      <c r="N48" s="2">
        <f>深串!M13</f>
        <v>1200</v>
      </c>
      <c r="O48" s="2">
        <f>深串!N13</f>
        <v>600</v>
      </c>
      <c r="P48" s="2">
        <f>深串!O13</f>
        <v>600</v>
      </c>
      <c r="Q48" s="372">
        <f>深串!P13</f>
        <v>1200</v>
      </c>
      <c r="R48" s="315">
        <f>SUM(F48:Q48)</f>
        <v>10080</v>
      </c>
      <c r="S48" s="49"/>
    </row>
    <row r="49" spans="1:19" x14ac:dyDescent="0.4">
      <c r="A49" s="158"/>
      <c r="B49" s="54"/>
      <c r="D49" s="1" t="s">
        <v>134</v>
      </c>
      <c r="E49" s="1" t="s">
        <v>128</v>
      </c>
      <c r="F49" s="371">
        <f>深串!E23</f>
        <v>185</v>
      </c>
      <c r="G49" s="2">
        <f>深串!F23</f>
        <v>175</v>
      </c>
      <c r="H49" s="2">
        <f>深串!G23</f>
        <v>420</v>
      </c>
      <c r="I49" s="2">
        <f>深串!H23</f>
        <v>805</v>
      </c>
      <c r="J49" s="2">
        <f>深串!I23</f>
        <v>875</v>
      </c>
      <c r="K49" s="2">
        <f>深串!J23</f>
        <v>910</v>
      </c>
      <c r="L49" s="2">
        <f>深串!K23</f>
        <v>910</v>
      </c>
      <c r="M49" s="2">
        <f>深串!L23</f>
        <v>875</v>
      </c>
      <c r="N49" s="2">
        <f>深串!M23</f>
        <v>875</v>
      </c>
      <c r="O49" s="2">
        <f>深串!N23</f>
        <v>840</v>
      </c>
      <c r="P49" s="2">
        <f>深串!O23</f>
        <v>770</v>
      </c>
      <c r="Q49" s="372">
        <f>深串!P23</f>
        <v>770</v>
      </c>
      <c r="R49" s="315">
        <f t="shared" ref="R49:R50" si="92">SUM(F49:Q49)</f>
        <v>8410</v>
      </c>
      <c r="S49" s="49"/>
    </row>
    <row r="50" spans="1:19" x14ac:dyDescent="0.4">
      <c r="A50" s="158"/>
      <c r="B50" s="54"/>
      <c r="D50" s="1" t="s">
        <v>135</v>
      </c>
      <c r="E50" s="1" t="s">
        <v>62</v>
      </c>
      <c r="F50" s="371">
        <f>深串!E33</f>
        <v>900</v>
      </c>
      <c r="G50" s="2">
        <f>深串!F33</f>
        <v>3500</v>
      </c>
      <c r="H50" s="2">
        <f>深串!G33</f>
        <v>1900</v>
      </c>
      <c r="I50" s="2">
        <f>深串!H33</f>
        <v>2700</v>
      </c>
      <c r="J50" s="2">
        <f>深串!I33</f>
        <v>3300</v>
      </c>
      <c r="K50" s="2">
        <f>深串!J33</f>
        <v>2700</v>
      </c>
      <c r="L50" s="2">
        <f>深串!K33</f>
        <v>3200</v>
      </c>
      <c r="M50" s="2">
        <f>深串!L33</f>
        <v>3300</v>
      </c>
      <c r="N50" s="2">
        <f>深串!M33</f>
        <v>2700</v>
      </c>
      <c r="O50" s="2">
        <f>深串!N33</f>
        <v>2700</v>
      </c>
      <c r="P50" s="2">
        <f>深串!O33</f>
        <v>2800</v>
      </c>
      <c r="Q50" s="372">
        <f>深串!P33</f>
        <v>2400</v>
      </c>
      <c r="R50" s="315">
        <f t="shared" si="92"/>
        <v>32100</v>
      </c>
      <c r="S50" s="49"/>
    </row>
    <row r="51" spans="1:19" x14ac:dyDescent="0.4">
      <c r="A51" s="158"/>
      <c r="B51" s="55"/>
      <c r="C51" s="52"/>
      <c r="D51" s="52"/>
      <c r="E51" s="62" t="s">
        <v>21</v>
      </c>
      <c r="F51" s="379">
        <f>SUM(F48:F50)</f>
        <v>2405</v>
      </c>
      <c r="G51" s="380">
        <f t="shared" ref="G51:Q51" si="93">SUM(G48:G50)</f>
        <v>3735</v>
      </c>
      <c r="H51" s="380">
        <f t="shared" si="93"/>
        <v>2320</v>
      </c>
      <c r="I51" s="380">
        <f t="shared" si="93"/>
        <v>4705</v>
      </c>
      <c r="J51" s="380">
        <f t="shared" si="93"/>
        <v>4475</v>
      </c>
      <c r="K51" s="380">
        <f t="shared" si="93"/>
        <v>4810</v>
      </c>
      <c r="L51" s="380">
        <f t="shared" si="93"/>
        <v>5310</v>
      </c>
      <c r="M51" s="380">
        <f t="shared" si="93"/>
        <v>5375</v>
      </c>
      <c r="N51" s="380">
        <f t="shared" si="93"/>
        <v>4775</v>
      </c>
      <c r="O51" s="380">
        <f t="shared" si="93"/>
        <v>4140</v>
      </c>
      <c r="P51" s="380">
        <f t="shared" si="93"/>
        <v>4170</v>
      </c>
      <c r="Q51" s="381">
        <f t="shared" si="93"/>
        <v>4370</v>
      </c>
      <c r="R51" s="382">
        <f>SUM(R48:R50)</f>
        <v>50590</v>
      </c>
      <c r="S51" s="49"/>
    </row>
    <row r="52" spans="1:19" x14ac:dyDescent="0.4">
      <c r="A52" s="158"/>
      <c r="B52" s="54" t="s">
        <v>57</v>
      </c>
      <c r="C52" s="1" t="s">
        <v>54</v>
      </c>
      <c r="D52" s="1" t="s">
        <v>130</v>
      </c>
      <c r="E52" s="1" t="s">
        <v>131</v>
      </c>
      <c r="F52" s="371">
        <f>前川!E13</f>
        <v>180</v>
      </c>
      <c r="G52" s="2">
        <f>前川!F13</f>
        <v>130</v>
      </c>
      <c r="H52" s="2">
        <f>前川!G13</f>
        <v>230</v>
      </c>
      <c r="I52" s="2">
        <f>前川!H13</f>
        <v>118</v>
      </c>
      <c r="J52" s="2">
        <f>前川!I13</f>
        <v>236</v>
      </c>
      <c r="K52" s="2">
        <f>前川!J13</f>
        <v>130</v>
      </c>
      <c r="L52" s="2">
        <f>前川!K13</f>
        <v>270</v>
      </c>
      <c r="M52" s="2">
        <f>前川!L13</f>
        <v>164</v>
      </c>
      <c r="N52" s="2">
        <f>前川!M13</f>
        <v>48</v>
      </c>
      <c r="O52" s="2">
        <f>前川!N13</f>
        <v>188</v>
      </c>
      <c r="P52" s="2">
        <f>前川!O13</f>
        <v>222</v>
      </c>
      <c r="Q52" s="372">
        <f>前川!P13</f>
        <v>194</v>
      </c>
      <c r="R52" s="315">
        <f t="shared" ref="R52:R54" si="94">SUM(F52:Q52)</f>
        <v>2110</v>
      </c>
      <c r="S52" s="49"/>
    </row>
    <row r="53" spans="1:19" x14ac:dyDescent="0.4">
      <c r="A53" s="158"/>
      <c r="B53" s="54"/>
      <c r="D53" s="1" t="s">
        <v>58</v>
      </c>
      <c r="E53" s="1" t="s">
        <v>137</v>
      </c>
      <c r="F53" s="371">
        <f>前川!E23</f>
        <v>301</v>
      </c>
      <c r="G53" s="2">
        <f>前川!F23</f>
        <v>294</v>
      </c>
      <c r="H53" s="2">
        <f>前川!G23</f>
        <v>315</v>
      </c>
      <c r="I53" s="2">
        <f>前川!H23</f>
        <v>336</v>
      </c>
      <c r="J53" s="2">
        <f>前川!I23</f>
        <v>357</v>
      </c>
      <c r="K53" s="2">
        <f>前川!J23</f>
        <v>343</v>
      </c>
      <c r="L53" s="2">
        <f>前川!K23</f>
        <v>336</v>
      </c>
      <c r="M53" s="2">
        <f>前川!L23</f>
        <v>350</v>
      </c>
      <c r="N53" s="2">
        <f>前川!M23</f>
        <v>280</v>
      </c>
      <c r="O53" s="2">
        <f>前川!N23</f>
        <v>350</v>
      </c>
      <c r="P53" s="2">
        <f>前川!O23</f>
        <v>336</v>
      </c>
      <c r="Q53" s="372">
        <f>前川!P23</f>
        <v>357</v>
      </c>
      <c r="R53" s="315">
        <f t="shared" si="94"/>
        <v>3955</v>
      </c>
      <c r="S53" s="49"/>
    </row>
    <row r="54" spans="1:19" x14ac:dyDescent="0.4">
      <c r="A54" s="158"/>
      <c r="B54" s="54"/>
      <c r="D54" s="1" t="s">
        <v>58</v>
      </c>
      <c r="E54" s="1" t="s">
        <v>138</v>
      </c>
      <c r="F54" s="371">
        <f>前川!E33</f>
        <v>515</v>
      </c>
      <c r="G54" s="2">
        <f>前川!F33</f>
        <v>481</v>
      </c>
      <c r="H54" s="2">
        <f>前川!G33</f>
        <v>537</v>
      </c>
      <c r="I54" s="2">
        <f>前川!H33</f>
        <v>851</v>
      </c>
      <c r="J54" s="2">
        <f>前川!I33</f>
        <v>840</v>
      </c>
      <c r="K54" s="2">
        <f>前川!J33</f>
        <v>728</v>
      </c>
      <c r="L54" s="2">
        <f>前川!K33</f>
        <v>784</v>
      </c>
      <c r="M54" s="2">
        <f>前川!L33</f>
        <v>493</v>
      </c>
      <c r="N54" s="2">
        <f>前川!M33</f>
        <v>896</v>
      </c>
      <c r="O54" s="2">
        <f>前川!N33</f>
        <v>784</v>
      </c>
      <c r="P54" s="2">
        <f>前川!O33</f>
        <v>481</v>
      </c>
      <c r="Q54" s="372">
        <f>前川!P33</f>
        <v>549</v>
      </c>
      <c r="R54" s="315">
        <f t="shared" si="94"/>
        <v>7939</v>
      </c>
      <c r="S54" s="49"/>
    </row>
    <row r="55" spans="1:19" x14ac:dyDescent="0.4">
      <c r="A55" s="158"/>
      <c r="B55" s="55"/>
      <c r="C55" s="52"/>
      <c r="D55" s="52"/>
      <c r="E55" s="62" t="s">
        <v>21</v>
      </c>
      <c r="F55" s="379">
        <f>SUM(F52:F54)</f>
        <v>996</v>
      </c>
      <c r="G55" s="380">
        <f t="shared" ref="G55:Q55" si="95">SUM(G52:G54)</f>
        <v>905</v>
      </c>
      <c r="H55" s="380">
        <f t="shared" si="95"/>
        <v>1082</v>
      </c>
      <c r="I55" s="380">
        <f t="shared" si="95"/>
        <v>1305</v>
      </c>
      <c r="J55" s="380">
        <f t="shared" si="95"/>
        <v>1433</v>
      </c>
      <c r="K55" s="380">
        <f t="shared" si="95"/>
        <v>1201</v>
      </c>
      <c r="L55" s="380">
        <f t="shared" si="95"/>
        <v>1390</v>
      </c>
      <c r="M55" s="380">
        <f t="shared" si="95"/>
        <v>1007</v>
      </c>
      <c r="N55" s="380">
        <f t="shared" si="95"/>
        <v>1224</v>
      </c>
      <c r="O55" s="380">
        <f t="shared" si="95"/>
        <v>1322</v>
      </c>
      <c r="P55" s="380">
        <f t="shared" si="95"/>
        <v>1039</v>
      </c>
      <c r="Q55" s="381">
        <f t="shared" si="95"/>
        <v>1100</v>
      </c>
      <c r="R55" s="382">
        <f>SUM(R52:R54)</f>
        <v>14004</v>
      </c>
      <c r="S55" s="49"/>
    </row>
    <row r="56" spans="1:19" x14ac:dyDescent="0.4">
      <c r="A56" s="158"/>
      <c r="B56" s="54" t="s">
        <v>57</v>
      </c>
      <c r="C56" s="1" t="s">
        <v>55</v>
      </c>
      <c r="D56" s="1" t="s">
        <v>130</v>
      </c>
      <c r="E56" s="1" t="s">
        <v>137</v>
      </c>
      <c r="F56" s="371">
        <f>千葉!E13</f>
        <v>551</v>
      </c>
      <c r="G56" s="2">
        <f>千葉!F13</f>
        <v>589.00800000000004</v>
      </c>
      <c r="H56" s="2">
        <f>千葉!G13</f>
        <v>478.8420000000001</v>
      </c>
      <c r="I56" s="2">
        <f>千葉!H13</f>
        <v>404.67000000000007</v>
      </c>
      <c r="J56" s="2">
        <f>千葉!I13</f>
        <v>332.68200000000002</v>
      </c>
      <c r="K56" s="2">
        <f>千葉!J13</f>
        <v>404.67000000000007</v>
      </c>
      <c r="L56" s="2">
        <f>千葉!K13</f>
        <v>369.81000000000006</v>
      </c>
      <c r="M56" s="2">
        <f>千葉!L13</f>
        <v>332.68200000000002</v>
      </c>
      <c r="N56" s="2">
        <f>千葉!M13</f>
        <v>222.51600000000008</v>
      </c>
      <c r="O56" s="2">
        <f>千葉!N13</f>
        <v>368.67600000000004</v>
      </c>
      <c r="P56" s="2">
        <f>千葉!O13</f>
        <v>425.96400000000006</v>
      </c>
      <c r="Q56" s="372">
        <f>千葉!P13</f>
        <v>258.5100000000001</v>
      </c>
      <c r="R56" s="315">
        <f t="shared" ref="R56:R58" si="96">SUM(F56:Q56)</f>
        <v>4739.0300000000007</v>
      </c>
      <c r="S56" s="49"/>
    </row>
    <row r="57" spans="1:19" x14ac:dyDescent="0.4">
      <c r="A57" s="158"/>
      <c r="B57" s="54"/>
      <c r="D57" s="1" t="s">
        <v>130</v>
      </c>
      <c r="E57" s="1" t="s">
        <v>138</v>
      </c>
      <c r="F57" s="371">
        <f>千葉!E23</f>
        <v>90.654399999999981</v>
      </c>
      <c r="G57" s="2">
        <f>千葉!F23</f>
        <v>1225</v>
      </c>
      <c r="H57" s="2">
        <f>千葉!G23</f>
        <v>828.09999999999991</v>
      </c>
      <c r="I57" s="2">
        <f>千葉!H23</f>
        <v>994.7</v>
      </c>
      <c r="J57" s="2">
        <f>千葉!I23</f>
        <v>774.2</v>
      </c>
      <c r="K57" s="2">
        <f>千葉!J23</f>
        <v>994.7</v>
      </c>
      <c r="L57" s="2">
        <f>千葉!K23</f>
        <v>1225</v>
      </c>
      <c r="M57" s="2">
        <f>千葉!L23</f>
        <v>1038.8</v>
      </c>
      <c r="N57" s="2">
        <f>千葉!M23</f>
        <v>676.2</v>
      </c>
      <c r="O57" s="2">
        <f>千葉!N23</f>
        <v>1078</v>
      </c>
      <c r="P57" s="2">
        <f>千葉!O23</f>
        <v>1499.4</v>
      </c>
      <c r="Q57" s="372">
        <f>千葉!P23</f>
        <v>1176</v>
      </c>
      <c r="R57" s="315">
        <f t="shared" si="96"/>
        <v>11600.7544</v>
      </c>
      <c r="S57" s="49"/>
    </row>
    <row r="58" spans="1:19" x14ac:dyDescent="0.4">
      <c r="A58" s="158"/>
      <c r="B58" s="54"/>
      <c r="D58" s="1" t="s">
        <v>130</v>
      </c>
      <c r="E58" s="1" t="s">
        <v>176</v>
      </c>
      <c r="F58" s="371">
        <f>千葉!E33</f>
        <v>167</v>
      </c>
      <c r="G58" s="2">
        <f>千葉!F33</f>
        <v>17.5</v>
      </c>
      <c r="H58" s="2">
        <f>千葉!G33</f>
        <v>175</v>
      </c>
      <c r="I58" s="2">
        <f>千葉!H33</f>
        <v>175</v>
      </c>
      <c r="J58" s="2">
        <f>千葉!I33</f>
        <v>280</v>
      </c>
      <c r="K58" s="2">
        <f>千葉!J33</f>
        <v>347.62</v>
      </c>
      <c r="L58" s="2">
        <f>千葉!K33</f>
        <v>525</v>
      </c>
      <c r="M58" s="2">
        <f>千葉!L33</f>
        <v>525</v>
      </c>
      <c r="N58" s="2">
        <f>千葉!M33</f>
        <v>50</v>
      </c>
      <c r="O58" s="2">
        <f>千葉!N33</f>
        <v>1050</v>
      </c>
      <c r="P58" s="2">
        <f>千葉!O33</f>
        <v>1014.1949999999999</v>
      </c>
      <c r="Q58" s="372">
        <f>千葉!P33</f>
        <v>174.26499999999999</v>
      </c>
      <c r="R58" s="315">
        <f t="shared" si="96"/>
        <v>4500.58</v>
      </c>
      <c r="S58" s="49"/>
    </row>
    <row r="59" spans="1:19" x14ac:dyDescent="0.4">
      <c r="A59" s="158"/>
      <c r="B59" s="55"/>
      <c r="C59" s="52"/>
      <c r="D59" s="52"/>
      <c r="E59" s="62" t="s">
        <v>21</v>
      </c>
      <c r="F59" s="379">
        <f>SUM(F56:F58)</f>
        <v>808.65440000000001</v>
      </c>
      <c r="G59" s="380">
        <f t="shared" ref="G59:R59" si="97">SUM(G56:G58)</f>
        <v>1831.508</v>
      </c>
      <c r="H59" s="380">
        <f t="shared" si="97"/>
        <v>1481.942</v>
      </c>
      <c r="I59" s="380">
        <f t="shared" si="97"/>
        <v>1574.3700000000001</v>
      </c>
      <c r="J59" s="380">
        <f t="shared" si="97"/>
        <v>1386.8820000000001</v>
      </c>
      <c r="K59" s="380">
        <f t="shared" si="97"/>
        <v>1746.9900000000002</v>
      </c>
      <c r="L59" s="380">
        <f t="shared" si="97"/>
        <v>2119.81</v>
      </c>
      <c r="M59" s="380">
        <f t="shared" si="97"/>
        <v>1896.482</v>
      </c>
      <c r="N59" s="380">
        <f t="shared" si="97"/>
        <v>948.71600000000012</v>
      </c>
      <c r="O59" s="380">
        <f t="shared" si="97"/>
        <v>2496.6759999999999</v>
      </c>
      <c r="P59" s="380">
        <f t="shared" si="97"/>
        <v>2939.5590000000002</v>
      </c>
      <c r="Q59" s="381">
        <f t="shared" si="97"/>
        <v>1608.7750000000001</v>
      </c>
      <c r="R59" s="382">
        <f t="shared" si="97"/>
        <v>20840.364399999999</v>
      </c>
      <c r="S59" s="49"/>
    </row>
    <row r="60" spans="1:19" x14ac:dyDescent="0.4">
      <c r="A60" s="158"/>
      <c r="B60" s="54" t="s">
        <v>57</v>
      </c>
      <c r="C60" s="1" t="s">
        <v>187</v>
      </c>
      <c r="D60" s="1" t="s">
        <v>130</v>
      </c>
      <c r="E60" s="1" t="s">
        <v>66</v>
      </c>
      <c r="F60" s="371">
        <f>中国!E13</f>
        <v>46.199999999999989</v>
      </c>
      <c r="G60" s="2">
        <f>中国!F13</f>
        <v>52.800000000000011</v>
      </c>
      <c r="H60" s="2">
        <f>中国!G13</f>
        <v>62.699999999999989</v>
      </c>
      <c r="I60" s="2">
        <f>中国!H13</f>
        <v>113.30000000000007</v>
      </c>
      <c r="J60" s="2">
        <f>中国!I13</f>
        <v>49.5</v>
      </c>
      <c r="K60" s="2">
        <f>中国!J13</f>
        <v>100.10000000000002</v>
      </c>
      <c r="L60" s="2">
        <f>中国!K13</f>
        <v>53.899999999999977</v>
      </c>
      <c r="M60" s="2">
        <f>中国!L13</f>
        <v>48.400000000000006</v>
      </c>
      <c r="N60" s="2">
        <f>中国!M13</f>
        <v>39.599999999999994</v>
      </c>
      <c r="O60" s="2">
        <f>中国!N13</f>
        <v>57.199999999999989</v>
      </c>
      <c r="P60" s="2">
        <f>中国!O13</f>
        <v>84.700000000000045</v>
      </c>
      <c r="Q60" s="372">
        <f>中国!P13</f>
        <v>22.000000000000014</v>
      </c>
      <c r="R60" s="315">
        <f t="shared" ref="R60:R62" si="98">SUM(F60:Q60)</f>
        <v>730.40000000000009</v>
      </c>
      <c r="S60" s="49"/>
    </row>
    <row r="61" spans="1:19" x14ac:dyDescent="0.4">
      <c r="A61" s="158"/>
      <c r="B61" s="54"/>
      <c r="C61" s="1" t="s">
        <v>187</v>
      </c>
      <c r="D61" s="1" t="s">
        <v>130</v>
      </c>
      <c r="E61" s="1" t="s">
        <v>133</v>
      </c>
      <c r="F61" s="371">
        <f>中国!E23</f>
        <v>114.30000000000007</v>
      </c>
      <c r="G61" s="2">
        <f>中国!F23</f>
        <v>84.600000000000023</v>
      </c>
      <c r="H61" s="2">
        <f>中国!G23</f>
        <v>93.600000000000023</v>
      </c>
      <c r="I61" s="2">
        <f>中国!H23</f>
        <v>71.100000000000023</v>
      </c>
      <c r="J61" s="2">
        <f>中国!I23</f>
        <v>143.10000000000002</v>
      </c>
      <c r="K61" s="2">
        <f>中国!J23</f>
        <v>141.29999999999995</v>
      </c>
      <c r="L61" s="2">
        <f>中国!K23</f>
        <v>182.70000000000005</v>
      </c>
      <c r="M61" s="2">
        <f>中国!L23</f>
        <v>197.10000000000002</v>
      </c>
      <c r="N61" s="2">
        <f>中国!M23</f>
        <v>237.60000000000002</v>
      </c>
      <c r="O61" s="2">
        <f>中国!N23</f>
        <v>124.19999999999999</v>
      </c>
      <c r="P61" s="2">
        <f>中国!O23</f>
        <v>113.40000000000003</v>
      </c>
      <c r="Q61" s="372">
        <f>中国!P23</f>
        <v>180</v>
      </c>
      <c r="R61" s="315">
        <f t="shared" si="98"/>
        <v>1683.0000000000002</v>
      </c>
      <c r="S61" s="49"/>
    </row>
    <row r="62" spans="1:19" x14ac:dyDescent="0.4">
      <c r="A62" s="158"/>
      <c r="B62" s="54"/>
      <c r="C62" s="1" t="s">
        <v>172</v>
      </c>
      <c r="D62" s="1" t="s">
        <v>130</v>
      </c>
      <c r="E62" s="1" t="s">
        <v>172</v>
      </c>
      <c r="F62" s="371">
        <f>VVR!E13</f>
        <v>64</v>
      </c>
      <c r="G62" s="2">
        <f>VVR!F13</f>
        <v>100.91249999999997</v>
      </c>
      <c r="H62" s="2">
        <f>VVR!G13</f>
        <v>126.37349999999998</v>
      </c>
      <c r="I62" s="2">
        <f>VVR!H13</f>
        <v>59.615999999999985</v>
      </c>
      <c r="J62" s="2">
        <f>VVR!I13</f>
        <v>314.53649999999993</v>
      </c>
      <c r="K62" s="2">
        <f>VVR!J13</f>
        <v>260.81999999999994</v>
      </c>
      <c r="L62" s="2">
        <f>VVR!K13</f>
        <v>165.80699999999996</v>
      </c>
      <c r="M62" s="2">
        <f>VVR!L13</f>
        <v>45.332999999999998</v>
      </c>
      <c r="N62" s="2">
        <f>VVR!M13</f>
        <v>73.588499999999982</v>
      </c>
      <c r="O62" s="2">
        <f>VVR!N13</f>
        <v>190.95749999999998</v>
      </c>
      <c r="P62" s="2">
        <f>VVR!O13</f>
        <v>125.44200000000001</v>
      </c>
      <c r="Q62" s="372">
        <f>VVR!P13</f>
        <v>157.42349999999999</v>
      </c>
      <c r="R62" s="315">
        <f t="shared" si="98"/>
        <v>1684.81</v>
      </c>
      <c r="S62" s="49"/>
    </row>
    <row r="63" spans="1:19" x14ac:dyDescent="0.4">
      <c r="A63" s="158"/>
      <c r="B63" s="55"/>
      <c r="C63" s="52"/>
      <c r="D63" s="52"/>
      <c r="E63" s="62" t="s">
        <v>21</v>
      </c>
      <c r="F63" s="379">
        <f>SUM(F60:F62)</f>
        <v>224.50000000000006</v>
      </c>
      <c r="G63" s="380">
        <f t="shared" ref="G63:R63" si="99">SUM(G60:G62)</f>
        <v>238.3125</v>
      </c>
      <c r="H63" s="380">
        <f t="shared" si="99"/>
        <v>282.67349999999999</v>
      </c>
      <c r="I63" s="380">
        <f t="shared" si="99"/>
        <v>244.01600000000008</v>
      </c>
      <c r="J63" s="380">
        <f t="shared" si="99"/>
        <v>507.13649999999996</v>
      </c>
      <c r="K63" s="380">
        <f t="shared" si="99"/>
        <v>502.21999999999991</v>
      </c>
      <c r="L63" s="380">
        <f t="shared" si="99"/>
        <v>402.40699999999998</v>
      </c>
      <c r="M63" s="380">
        <f t="shared" si="99"/>
        <v>290.83300000000003</v>
      </c>
      <c r="N63" s="380">
        <f t="shared" si="99"/>
        <v>350.7885</v>
      </c>
      <c r="O63" s="380">
        <f t="shared" si="99"/>
        <v>372.35749999999996</v>
      </c>
      <c r="P63" s="380">
        <f t="shared" si="99"/>
        <v>323.54200000000009</v>
      </c>
      <c r="Q63" s="381">
        <f t="shared" si="99"/>
        <v>359.42349999999999</v>
      </c>
      <c r="R63" s="382">
        <f t="shared" si="99"/>
        <v>4098.2100000000009</v>
      </c>
      <c r="S63" s="49"/>
    </row>
    <row r="64" spans="1:19" x14ac:dyDescent="0.4">
      <c r="A64" s="158"/>
      <c r="B64" s="54" t="s">
        <v>57</v>
      </c>
      <c r="C64" s="1" t="s">
        <v>185</v>
      </c>
      <c r="D64" s="1" t="s">
        <v>178</v>
      </c>
      <c r="E64" s="1" t="s">
        <v>66</v>
      </c>
      <c r="F64" s="371">
        <f>新規1!E13</f>
        <v>0</v>
      </c>
      <c r="G64" s="2">
        <f>新規1!F13</f>
        <v>0</v>
      </c>
      <c r="H64" s="2">
        <f>新規1!G13</f>
        <v>0</v>
      </c>
      <c r="I64" s="2">
        <f>新規1!H13</f>
        <v>0</v>
      </c>
      <c r="J64" s="2">
        <f>新規1!I13</f>
        <v>0</v>
      </c>
      <c r="K64" s="2">
        <f>新規1!J13</f>
        <v>150</v>
      </c>
      <c r="L64" s="2">
        <f>新規1!K13</f>
        <v>0</v>
      </c>
      <c r="M64" s="2">
        <f>新規1!L13</f>
        <v>150</v>
      </c>
      <c r="N64" s="2">
        <f>新規1!M13</f>
        <v>0</v>
      </c>
      <c r="O64" s="2">
        <f>新規1!N13</f>
        <v>0</v>
      </c>
      <c r="P64" s="2">
        <f>新規1!O13</f>
        <v>300</v>
      </c>
      <c r="Q64" s="372">
        <f>新規1!P13</f>
        <v>0</v>
      </c>
      <c r="R64" s="315">
        <f t="shared" ref="R64:R66" si="100">SUM(F64:Q64)</f>
        <v>600</v>
      </c>
      <c r="S64" s="49"/>
    </row>
    <row r="65" spans="1:19" x14ac:dyDescent="0.4">
      <c r="A65" s="158"/>
      <c r="B65" s="54"/>
      <c r="C65" s="1" t="s">
        <v>185</v>
      </c>
      <c r="D65" s="1" t="s">
        <v>140</v>
      </c>
      <c r="E65" s="1" t="s">
        <v>61</v>
      </c>
      <c r="F65" s="371">
        <f>新規1!E23</f>
        <v>0</v>
      </c>
      <c r="G65" s="2">
        <f>新規1!F23</f>
        <v>0</v>
      </c>
      <c r="H65" s="2">
        <f>新規1!G23</f>
        <v>70</v>
      </c>
      <c r="I65" s="2">
        <f>新規1!H23</f>
        <v>240</v>
      </c>
      <c r="J65" s="2">
        <f>新規1!I23</f>
        <v>0</v>
      </c>
      <c r="K65" s="2">
        <f>新規1!J23</f>
        <v>400</v>
      </c>
      <c r="L65" s="2">
        <f>新規1!K23</f>
        <v>300</v>
      </c>
      <c r="M65" s="2">
        <f>新規1!L23</f>
        <v>200</v>
      </c>
      <c r="N65" s="2">
        <f>新規1!M23</f>
        <v>0</v>
      </c>
      <c r="O65" s="2">
        <f>新規1!N23</f>
        <v>500</v>
      </c>
      <c r="P65" s="2">
        <f>新規1!O23</f>
        <v>300</v>
      </c>
      <c r="Q65" s="372">
        <f>新規1!P23</f>
        <v>0</v>
      </c>
      <c r="R65" s="315">
        <f t="shared" si="100"/>
        <v>2010</v>
      </c>
      <c r="S65" s="49"/>
    </row>
    <row r="66" spans="1:19" x14ac:dyDescent="0.4">
      <c r="A66" s="158"/>
      <c r="B66" s="54"/>
      <c r="C66" s="1" t="s">
        <v>186</v>
      </c>
      <c r="D66" s="1" t="s">
        <v>179</v>
      </c>
      <c r="E66" s="1" t="s">
        <v>180</v>
      </c>
      <c r="F66" s="371">
        <f>新規2!E33</f>
        <v>0</v>
      </c>
      <c r="G66" s="2">
        <f>新規2!F33</f>
        <v>0</v>
      </c>
      <c r="H66" s="2">
        <f>新規2!G33</f>
        <v>0</v>
      </c>
      <c r="I66" s="2">
        <f>新規2!H33</f>
        <v>600</v>
      </c>
      <c r="J66" s="2">
        <f>新規2!I33</f>
        <v>0</v>
      </c>
      <c r="K66" s="2">
        <f>新規2!J33</f>
        <v>0</v>
      </c>
      <c r="L66" s="2">
        <f>新規2!K33</f>
        <v>1800</v>
      </c>
      <c r="M66" s="2">
        <f>新規2!L33</f>
        <v>1800</v>
      </c>
      <c r="N66" s="2">
        <f>新規2!M33</f>
        <v>1800</v>
      </c>
      <c r="O66" s="2">
        <f>新規2!N33</f>
        <v>1800</v>
      </c>
      <c r="P66" s="2">
        <f>新規2!O33</f>
        <v>1800</v>
      </c>
      <c r="Q66" s="372">
        <f>新規2!P33</f>
        <v>2900</v>
      </c>
      <c r="R66" s="315">
        <f t="shared" si="100"/>
        <v>12500</v>
      </c>
      <c r="S66" s="49"/>
    </row>
    <row r="67" spans="1:19" x14ac:dyDescent="0.4">
      <c r="A67" s="159"/>
      <c r="B67" s="50"/>
      <c r="C67" s="46"/>
      <c r="D67" s="46"/>
      <c r="E67" s="63" t="s">
        <v>21</v>
      </c>
      <c r="F67" s="383">
        <f>SUM(F64:F66)</f>
        <v>0</v>
      </c>
      <c r="G67" s="384">
        <f t="shared" ref="G67:R67" si="101">SUM(G64:G66)</f>
        <v>0</v>
      </c>
      <c r="H67" s="384">
        <f t="shared" si="101"/>
        <v>70</v>
      </c>
      <c r="I67" s="384">
        <f t="shared" si="101"/>
        <v>840</v>
      </c>
      <c r="J67" s="384">
        <f t="shared" si="101"/>
        <v>0</v>
      </c>
      <c r="K67" s="384">
        <f t="shared" si="101"/>
        <v>550</v>
      </c>
      <c r="L67" s="384">
        <f t="shared" si="101"/>
        <v>2100</v>
      </c>
      <c r="M67" s="384">
        <f t="shared" si="101"/>
        <v>2150</v>
      </c>
      <c r="N67" s="384">
        <f t="shared" si="101"/>
        <v>1800</v>
      </c>
      <c r="O67" s="384">
        <f t="shared" si="101"/>
        <v>2300</v>
      </c>
      <c r="P67" s="384">
        <f t="shared" si="101"/>
        <v>2400</v>
      </c>
      <c r="Q67" s="385">
        <f t="shared" si="101"/>
        <v>2900</v>
      </c>
      <c r="R67" s="386">
        <f t="shared" si="101"/>
        <v>15110</v>
      </c>
      <c r="S67" s="49"/>
    </row>
  </sheetData>
  <mergeCells count="4">
    <mergeCell ref="S38:T38"/>
    <mergeCell ref="S39:T39"/>
    <mergeCell ref="S5:T5"/>
    <mergeCell ref="S6:T6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5B40-EB58-410A-A414-60632676734B}">
  <sheetPr codeName="Sheet3">
    <tabColor theme="8" tint="0.79998168889431442"/>
  </sheetPr>
  <dimension ref="A1:T67"/>
  <sheetViews>
    <sheetView showGridLines="0" zoomScale="70" zoomScaleNormal="70" workbookViewId="0">
      <selection activeCell="V18" sqref="V18"/>
    </sheetView>
  </sheetViews>
  <sheetFormatPr defaultRowHeight="18.75" x14ac:dyDescent="0.4"/>
  <cols>
    <col min="1" max="1" width="9" customWidth="1"/>
    <col min="2" max="3" width="9" style="1"/>
    <col min="4" max="4" width="29.25" style="1" bestFit="1" customWidth="1"/>
    <col min="5" max="5" width="11" style="1" bestFit="1" customWidth="1"/>
    <col min="6" max="17" width="13.25" style="1" customWidth="1"/>
    <col min="18" max="20" width="13.25" style="29" customWidth="1"/>
  </cols>
  <sheetData>
    <row r="1" spans="1:20" ht="30" x14ac:dyDescent="0.4">
      <c r="A1" s="64" t="s">
        <v>189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6"/>
    </row>
    <row r="2" spans="1:20" ht="25.5" x14ac:dyDescent="0.4">
      <c r="A2" s="243" t="s">
        <v>15</v>
      </c>
      <c r="B2" s="354" t="s">
        <v>49</v>
      </c>
      <c r="C2" s="354" t="s">
        <v>48</v>
      </c>
      <c r="D2" s="354" t="s">
        <v>150</v>
      </c>
      <c r="E2" s="354" t="s">
        <v>151</v>
      </c>
      <c r="F2" s="365">
        <v>45444</v>
      </c>
      <c r="G2" s="366">
        <v>45474</v>
      </c>
      <c r="H2" s="366">
        <v>45505</v>
      </c>
      <c r="I2" s="366">
        <v>45536</v>
      </c>
      <c r="J2" s="366">
        <v>45566</v>
      </c>
      <c r="K2" s="366">
        <v>45597</v>
      </c>
      <c r="L2" s="366">
        <v>45627</v>
      </c>
      <c r="M2" s="366">
        <v>45658</v>
      </c>
      <c r="N2" s="366">
        <v>45689</v>
      </c>
      <c r="O2" s="366">
        <v>45717</v>
      </c>
      <c r="P2" s="366">
        <v>45748</v>
      </c>
      <c r="Q2" s="367">
        <v>45778</v>
      </c>
      <c r="R2" s="109" t="s">
        <v>21</v>
      </c>
      <c r="S2" s="110" t="s">
        <v>145</v>
      </c>
      <c r="T2" s="110" t="s">
        <v>146</v>
      </c>
    </row>
    <row r="3" spans="1:20" x14ac:dyDescent="0.4">
      <c r="A3" s="156"/>
      <c r="B3" s="53" t="s">
        <v>56</v>
      </c>
      <c r="C3" s="48" t="s">
        <v>50</v>
      </c>
      <c r="D3" s="48" t="s">
        <v>58</v>
      </c>
      <c r="E3" s="48" t="s">
        <v>60</v>
      </c>
      <c r="F3" s="368">
        <f>松岡!E8</f>
        <v>2141.1779999999999</v>
      </c>
      <c r="G3" s="369">
        <f>松岡!F8</f>
        <v>637.28399999999999</v>
      </c>
      <c r="H3" s="369">
        <f>松岡!G8</f>
        <v>398.51499999999999</v>
      </c>
      <c r="I3" s="369">
        <f>松岡!H8</f>
        <v>1475.2070000000001</v>
      </c>
      <c r="J3" s="369">
        <f>松岡!I8</f>
        <v>2344.654</v>
      </c>
      <c r="K3" s="369">
        <f>松岡!J8</f>
        <v>1706.615</v>
      </c>
      <c r="L3" s="369">
        <f>松岡!K8</f>
        <v>1554.6990000000001</v>
      </c>
      <c r="M3" s="369">
        <f>松岡!L8</f>
        <v>1505.0940000000001</v>
      </c>
      <c r="N3" s="369">
        <f>松岡!M8</f>
        <v>497.49900000000002</v>
      </c>
      <c r="O3" s="369">
        <f>松岡!N8</f>
        <v>0</v>
      </c>
      <c r="P3" s="369">
        <f>松岡!O8</f>
        <v>0</v>
      </c>
      <c r="Q3" s="370">
        <f>松岡!P8</f>
        <v>0</v>
      </c>
      <c r="R3" s="311">
        <f>SUM(F3:Q3)</f>
        <v>12260.744999999999</v>
      </c>
      <c r="S3" s="51">
        <f ca="1">SUM(R6,R10,R14,R18,R22,R26,R30)</f>
        <v>193511.64071500002</v>
      </c>
      <c r="T3" s="51">
        <f ca="1">R34</f>
        <v>0</v>
      </c>
    </row>
    <row r="4" spans="1:20" x14ac:dyDescent="0.4">
      <c r="A4" s="156"/>
      <c r="B4" s="54"/>
      <c r="D4" s="1" t="s">
        <v>130</v>
      </c>
      <c r="E4" s="1" t="s">
        <v>60</v>
      </c>
      <c r="F4" s="371">
        <f>松岡!E18</f>
        <v>1240.211</v>
      </c>
      <c r="G4" s="2">
        <f>松岡!F18</f>
        <v>1424.1969999999999</v>
      </c>
      <c r="H4" s="2">
        <f>松岡!G18</f>
        <v>605.98500000000001</v>
      </c>
      <c r="I4" s="2">
        <f>松岡!H18</f>
        <v>459.84</v>
      </c>
      <c r="J4" s="2">
        <f>松岡!I18</f>
        <v>442.60500000000002</v>
      </c>
      <c r="K4" s="2">
        <f>松岡!J18</f>
        <v>154.93299999999999</v>
      </c>
      <c r="L4" s="2">
        <f>松岡!K18</f>
        <v>432.661</v>
      </c>
      <c r="M4" s="2">
        <f>松岡!L18</f>
        <v>647.48900000000003</v>
      </c>
      <c r="N4" s="2">
        <f>松岡!M18</f>
        <v>492.94900000000001</v>
      </c>
      <c r="O4" s="2">
        <f>松岡!N18</f>
        <v>0</v>
      </c>
      <c r="P4" s="2">
        <f>松岡!O18</f>
        <v>0</v>
      </c>
      <c r="Q4" s="372">
        <f>松岡!P18</f>
        <v>0</v>
      </c>
      <c r="R4" s="315">
        <f t="shared" ref="R4:R33" si="0">SUM(F4:Q4)</f>
        <v>5900.87</v>
      </c>
      <c r="S4" s="49"/>
    </row>
    <row r="5" spans="1:20" x14ac:dyDescent="0.4">
      <c r="A5" s="156"/>
      <c r="B5" s="54"/>
      <c r="D5" s="1" t="s">
        <v>62</v>
      </c>
      <c r="E5" s="1" t="s">
        <v>61</v>
      </c>
      <c r="F5" s="371">
        <f>松岡!E28</f>
        <v>1866.69</v>
      </c>
      <c r="G5" s="2">
        <f>松岡!F28</f>
        <v>1019.245</v>
      </c>
      <c r="H5" s="2">
        <f>松岡!G28</f>
        <v>1320.165</v>
      </c>
      <c r="I5" s="2">
        <f>松岡!H28</f>
        <v>2234.0300000000002</v>
      </c>
      <c r="J5" s="2">
        <f>松岡!I28</f>
        <v>1279.68</v>
      </c>
      <c r="K5" s="2">
        <f>松岡!J28</f>
        <v>2032.636</v>
      </c>
      <c r="L5" s="2">
        <f>松岡!K28</f>
        <v>797.91600000000005</v>
      </c>
      <c r="M5" s="2">
        <f>松岡!L28</f>
        <v>1687.2470000000001</v>
      </c>
      <c r="N5" s="2">
        <f>松岡!M28</f>
        <v>2256.7829999999999</v>
      </c>
      <c r="O5" s="2">
        <f>松岡!N28</f>
        <v>0</v>
      </c>
      <c r="P5" s="2">
        <f>松岡!O28</f>
        <v>0</v>
      </c>
      <c r="Q5" s="372">
        <f>松岡!P28</f>
        <v>0</v>
      </c>
      <c r="R5" s="315">
        <f t="shared" si="0"/>
        <v>14494.392</v>
      </c>
      <c r="S5" s="483" t="s">
        <v>147</v>
      </c>
      <c r="T5" s="483"/>
    </row>
    <row r="6" spans="1:20" s="45" customFormat="1" ht="18" customHeight="1" x14ac:dyDescent="0.4">
      <c r="A6" s="156"/>
      <c r="B6" s="55"/>
      <c r="C6" s="52"/>
      <c r="D6" s="52"/>
      <c r="E6" s="60" t="s">
        <v>21</v>
      </c>
      <c r="F6" s="373">
        <f>SUM(F3:F5)</f>
        <v>5248.0789999999997</v>
      </c>
      <c r="G6" s="374">
        <f t="shared" ref="G6:R6" si="1">SUM(G3:G5)</f>
        <v>3080.7259999999997</v>
      </c>
      <c r="H6" s="374">
        <f t="shared" si="1"/>
        <v>2324.665</v>
      </c>
      <c r="I6" s="374">
        <f t="shared" si="1"/>
        <v>4169.0770000000002</v>
      </c>
      <c r="J6" s="374">
        <f t="shared" si="1"/>
        <v>4066.9390000000003</v>
      </c>
      <c r="K6" s="374">
        <f t="shared" si="1"/>
        <v>3894.1840000000002</v>
      </c>
      <c r="L6" s="374">
        <f t="shared" si="1"/>
        <v>2785.2760000000003</v>
      </c>
      <c r="M6" s="374">
        <f t="shared" si="1"/>
        <v>3839.83</v>
      </c>
      <c r="N6" s="374">
        <f t="shared" si="1"/>
        <v>3247.2309999999998</v>
      </c>
      <c r="O6" s="374">
        <f t="shared" si="1"/>
        <v>0</v>
      </c>
      <c r="P6" s="374">
        <f t="shared" si="1"/>
        <v>0</v>
      </c>
      <c r="Q6" s="375">
        <f t="shared" si="1"/>
        <v>0</v>
      </c>
      <c r="R6" s="278">
        <f t="shared" si="1"/>
        <v>32656.006999999998</v>
      </c>
      <c r="S6" s="482">
        <f ca="1">S3+T3</f>
        <v>193511.64071500002</v>
      </c>
      <c r="T6" s="482"/>
    </row>
    <row r="7" spans="1:20" x14ac:dyDescent="0.4">
      <c r="A7" s="156"/>
      <c r="B7" s="54" t="s">
        <v>56</v>
      </c>
      <c r="C7" s="1" t="s">
        <v>51</v>
      </c>
      <c r="D7" s="1" t="s">
        <v>136</v>
      </c>
      <c r="E7" s="1" t="s">
        <v>63</v>
      </c>
      <c r="F7" s="371">
        <f>大谷!E8</f>
        <v>1417.2</v>
      </c>
      <c r="G7" s="2">
        <f>大谷!F8</f>
        <v>1414.4</v>
      </c>
      <c r="H7" s="2">
        <f>大谷!G8</f>
        <v>1141.5999999999999</v>
      </c>
      <c r="I7" s="2">
        <f>大谷!H8</f>
        <v>2210</v>
      </c>
      <c r="J7" s="2">
        <f>大谷!I8</f>
        <v>3286.8</v>
      </c>
      <c r="K7" s="2">
        <f>大谷!J8</f>
        <v>1060.8</v>
      </c>
      <c r="L7" s="2">
        <f>大谷!K8</f>
        <v>420.4</v>
      </c>
      <c r="M7" s="2">
        <f>大谷!L8</f>
        <v>1603</v>
      </c>
      <c r="N7" s="2">
        <f>大谷!M8</f>
        <v>1609.2</v>
      </c>
      <c r="O7" s="2">
        <f>大谷!N8</f>
        <v>0</v>
      </c>
      <c r="P7" s="2">
        <f>大谷!O8</f>
        <v>0</v>
      </c>
      <c r="Q7" s="372">
        <f>大谷!P8</f>
        <v>0</v>
      </c>
      <c r="R7" s="315">
        <f t="shared" si="0"/>
        <v>14163.4</v>
      </c>
      <c r="S7" s="49"/>
    </row>
    <row r="8" spans="1:20" x14ac:dyDescent="0.4">
      <c r="A8" s="156"/>
      <c r="B8" s="54"/>
      <c r="D8" s="1" t="s">
        <v>136</v>
      </c>
      <c r="E8" s="1" t="s">
        <v>62</v>
      </c>
      <c r="F8" s="371">
        <f>大谷!E18</f>
        <v>7799.4</v>
      </c>
      <c r="G8" s="2">
        <f>大谷!F18</f>
        <v>4084.1</v>
      </c>
      <c r="H8" s="2">
        <f>大谷!G18</f>
        <v>3964.4</v>
      </c>
      <c r="I8" s="2">
        <f>大谷!H18</f>
        <v>3982</v>
      </c>
      <c r="J8" s="2">
        <f>大谷!I18</f>
        <v>8264.7999999999993</v>
      </c>
      <c r="K8" s="2">
        <f>大谷!J18</f>
        <v>2666.4</v>
      </c>
      <c r="L8" s="2">
        <f>大谷!K18</f>
        <v>4100.3</v>
      </c>
      <c r="M8" s="2">
        <f>大谷!L18</f>
        <v>5855.1</v>
      </c>
      <c r="N8" s="2">
        <f>大谷!M18</f>
        <v>3870.7</v>
      </c>
      <c r="O8" s="2">
        <f>大谷!N18</f>
        <v>0</v>
      </c>
      <c r="P8" s="2">
        <f>大谷!O18</f>
        <v>0</v>
      </c>
      <c r="Q8" s="372">
        <f>大谷!P18</f>
        <v>0</v>
      </c>
      <c r="R8" s="315">
        <f t="shared" si="0"/>
        <v>44587.199999999997</v>
      </c>
      <c r="S8" s="49"/>
    </row>
    <row r="9" spans="1:20" x14ac:dyDescent="0.4">
      <c r="A9" s="156"/>
      <c r="B9" s="54"/>
      <c r="D9" s="1" t="s">
        <v>130</v>
      </c>
      <c r="E9" s="1" t="s">
        <v>64</v>
      </c>
      <c r="F9" s="371">
        <f>大谷!E28</f>
        <v>608.20000000000005</v>
      </c>
      <c r="G9" s="2">
        <f>大谷!F28</f>
        <v>837.9</v>
      </c>
      <c r="H9" s="2">
        <f>大谷!G28</f>
        <v>434.6</v>
      </c>
      <c r="I9" s="2">
        <f>大谷!H28</f>
        <v>1249</v>
      </c>
      <c r="J9" s="2">
        <f>大谷!I28</f>
        <v>1123</v>
      </c>
      <c r="K9" s="2">
        <f>大谷!J28</f>
        <v>730.6</v>
      </c>
      <c r="L9" s="2">
        <f>大谷!K28</f>
        <v>980.5</v>
      </c>
      <c r="M9" s="2">
        <f>大谷!L28</f>
        <v>508.8</v>
      </c>
      <c r="N9" s="2">
        <f>大谷!M28</f>
        <v>730.6</v>
      </c>
      <c r="O9" s="2">
        <f>大谷!N28</f>
        <v>0</v>
      </c>
      <c r="P9" s="2">
        <f>大谷!O28</f>
        <v>0</v>
      </c>
      <c r="Q9" s="372">
        <f>大谷!P28</f>
        <v>0</v>
      </c>
      <c r="R9" s="315">
        <f t="shared" si="0"/>
        <v>7203.2000000000007</v>
      </c>
      <c r="S9" s="49"/>
    </row>
    <row r="10" spans="1:20" s="45" customFormat="1" ht="18" customHeight="1" x14ac:dyDescent="0.4">
      <c r="A10" s="156"/>
      <c r="B10" s="55"/>
      <c r="C10" s="52"/>
      <c r="D10" s="52"/>
      <c r="E10" s="60" t="s">
        <v>21</v>
      </c>
      <c r="F10" s="373">
        <f>SUM(F7:F9)</f>
        <v>9824.8000000000011</v>
      </c>
      <c r="G10" s="374">
        <f t="shared" ref="G10:R10" si="2">SUM(G7:G9)</f>
        <v>6336.4</v>
      </c>
      <c r="H10" s="374">
        <f t="shared" si="2"/>
        <v>5540.6</v>
      </c>
      <c r="I10" s="374">
        <f t="shared" si="2"/>
        <v>7441</v>
      </c>
      <c r="J10" s="374">
        <f t="shared" si="2"/>
        <v>12674.599999999999</v>
      </c>
      <c r="K10" s="374">
        <f t="shared" si="2"/>
        <v>4457.8</v>
      </c>
      <c r="L10" s="374">
        <f t="shared" si="2"/>
        <v>5501.2</v>
      </c>
      <c r="M10" s="374">
        <f t="shared" si="2"/>
        <v>7966.9000000000005</v>
      </c>
      <c r="N10" s="374">
        <f t="shared" si="2"/>
        <v>6210.5</v>
      </c>
      <c r="O10" s="374">
        <f t="shared" si="2"/>
        <v>0</v>
      </c>
      <c r="P10" s="374">
        <f t="shared" si="2"/>
        <v>0</v>
      </c>
      <c r="Q10" s="375">
        <f t="shared" si="2"/>
        <v>0</v>
      </c>
      <c r="R10" s="278">
        <f t="shared" si="2"/>
        <v>65953.8</v>
      </c>
      <c r="S10" s="49"/>
      <c r="T10" s="29"/>
    </row>
    <row r="11" spans="1:20" x14ac:dyDescent="0.4">
      <c r="A11" s="156"/>
      <c r="B11" s="54" t="s">
        <v>56</v>
      </c>
      <c r="C11" s="1" t="s">
        <v>52</v>
      </c>
      <c r="D11" s="1" t="s">
        <v>130</v>
      </c>
      <c r="E11" s="1" t="s">
        <v>59</v>
      </c>
      <c r="F11" s="371">
        <f>宮本!E8</f>
        <v>1184</v>
      </c>
      <c r="G11" s="2">
        <f>宮本!F8</f>
        <v>1045</v>
      </c>
      <c r="H11" s="2">
        <f>宮本!G8</f>
        <v>790</v>
      </c>
      <c r="I11" s="2">
        <f>宮本!H8</f>
        <v>1876</v>
      </c>
      <c r="J11" s="2">
        <f>宮本!I8</f>
        <v>1174</v>
      </c>
      <c r="K11" s="2">
        <f>宮本!J8</f>
        <v>1641</v>
      </c>
      <c r="L11" s="2">
        <f>宮本!K8</f>
        <v>1463</v>
      </c>
      <c r="M11" s="2">
        <f>宮本!L8</f>
        <v>1095</v>
      </c>
      <c r="N11" s="2">
        <f>宮本!M8</f>
        <v>839</v>
      </c>
      <c r="O11" s="2">
        <f>宮本!N8</f>
        <v>0</v>
      </c>
      <c r="P11" s="2">
        <f>宮本!O8</f>
        <v>0</v>
      </c>
      <c r="Q11" s="372">
        <f>宮本!P8</f>
        <v>0</v>
      </c>
      <c r="R11" s="315">
        <f t="shared" si="0"/>
        <v>11107</v>
      </c>
      <c r="S11" s="49"/>
    </row>
    <row r="12" spans="1:20" x14ac:dyDescent="0.4">
      <c r="A12" s="156"/>
      <c r="B12" s="54"/>
      <c r="F12" s="371"/>
      <c r="G12" s="2"/>
      <c r="H12" s="2"/>
      <c r="I12" s="2"/>
      <c r="J12" s="2"/>
      <c r="K12" s="2"/>
      <c r="L12" s="2"/>
      <c r="M12" s="2"/>
      <c r="N12" s="2"/>
      <c r="O12" s="2"/>
      <c r="P12" s="2"/>
      <c r="Q12" s="372"/>
      <c r="R12" s="315"/>
      <c r="S12" s="49"/>
    </row>
    <row r="13" spans="1:20" x14ac:dyDescent="0.4">
      <c r="A13" s="156"/>
      <c r="B13" s="54"/>
      <c r="F13" s="371"/>
      <c r="G13" s="2"/>
      <c r="H13" s="2"/>
      <c r="I13" s="2"/>
      <c r="J13" s="2"/>
      <c r="K13" s="2"/>
      <c r="L13" s="2"/>
      <c r="M13" s="2"/>
      <c r="N13" s="2"/>
      <c r="O13" s="2"/>
      <c r="P13" s="2"/>
      <c r="Q13" s="372"/>
      <c r="R13" s="315"/>
      <c r="S13" s="49"/>
    </row>
    <row r="14" spans="1:20" s="45" customFormat="1" ht="18" customHeight="1" x14ac:dyDescent="0.4">
      <c r="A14" s="156"/>
      <c r="B14" s="55"/>
      <c r="C14" s="52"/>
      <c r="D14" s="52"/>
      <c r="E14" s="60" t="s">
        <v>21</v>
      </c>
      <c r="F14" s="373">
        <f>SUM(F11:F13)</f>
        <v>1184</v>
      </c>
      <c r="G14" s="374">
        <f t="shared" ref="G14:R14" si="3">SUM(G11:G13)</f>
        <v>1045</v>
      </c>
      <c r="H14" s="374">
        <f t="shared" si="3"/>
        <v>790</v>
      </c>
      <c r="I14" s="374">
        <f t="shared" si="3"/>
        <v>1876</v>
      </c>
      <c r="J14" s="374">
        <f t="shared" si="3"/>
        <v>1174</v>
      </c>
      <c r="K14" s="374">
        <f t="shared" si="3"/>
        <v>1641</v>
      </c>
      <c r="L14" s="374">
        <f t="shared" si="3"/>
        <v>1463</v>
      </c>
      <c r="M14" s="374">
        <f t="shared" si="3"/>
        <v>1095</v>
      </c>
      <c r="N14" s="374">
        <f t="shared" si="3"/>
        <v>839</v>
      </c>
      <c r="O14" s="374">
        <f t="shared" si="3"/>
        <v>0</v>
      </c>
      <c r="P14" s="374">
        <f t="shared" si="3"/>
        <v>0</v>
      </c>
      <c r="Q14" s="375">
        <f t="shared" si="3"/>
        <v>0</v>
      </c>
      <c r="R14" s="278">
        <f t="shared" si="3"/>
        <v>11107</v>
      </c>
      <c r="S14" s="49"/>
      <c r="T14" s="29"/>
    </row>
    <row r="15" spans="1:20" x14ac:dyDescent="0.4">
      <c r="A15" s="156"/>
      <c r="B15" s="54" t="s">
        <v>57</v>
      </c>
      <c r="C15" s="1" t="s">
        <v>53</v>
      </c>
      <c r="D15" s="1" t="s">
        <v>134</v>
      </c>
      <c r="E15" s="1" t="s">
        <v>66</v>
      </c>
      <c r="F15" s="371">
        <f ca="1">深串!E8</f>
        <v>8552</v>
      </c>
      <c r="G15" s="2">
        <f ca="1">深串!F8</f>
        <v>0</v>
      </c>
      <c r="H15" s="2">
        <f ca="1">深串!G8</f>
        <v>0</v>
      </c>
      <c r="I15" s="2">
        <f ca="1">深串!H8</f>
        <v>0</v>
      </c>
      <c r="J15" s="2">
        <f ca="1">深串!I8</f>
        <v>0</v>
      </c>
      <c r="K15" s="2">
        <f ca="1">深串!J8</f>
        <v>0</v>
      </c>
      <c r="L15" s="2">
        <f ca="1">深串!K8</f>
        <v>0</v>
      </c>
      <c r="M15" s="2">
        <f ca="1">深串!L8</f>
        <v>0</v>
      </c>
      <c r="N15" s="2">
        <f ca="1">深串!M8</f>
        <v>0</v>
      </c>
      <c r="O15" s="2">
        <f ca="1">深串!N8</f>
        <v>0</v>
      </c>
      <c r="P15" s="2">
        <f ca="1">深串!O8</f>
        <v>0</v>
      </c>
      <c r="Q15" s="372">
        <f ca="1">深串!P8</f>
        <v>0</v>
      </c>
      <c r="R15" s="315">
        <f t="shared" ca="1" si="0"/>
        <v>8552</v>
      </c>
      <c r="S15" s="49"/>
    </row>
    <row r="16" spans="1:20" x14ac:dyDescent="0.4">
      <c r="A16" s="156"/>
      <c r="B16" s="54"/>
      <c r="D16" s="1" t="s">
        <v>134</v>
      </c>
      <c r="E16" s="1" t="s">
        <v>128</v>
      </c>
      <c r="F16" s="371">
        <f ca="1">深串!E18</f>
        <v>2309.4</v>
      </c>
      <c r="G16" s="2">
        <f ca="1">深串!F18</f>
        <v>1818</v>
      </c>
      <c r="H16" s="2">
        <f ca="1">深串!G18</f>
        <v>0</v>
      </c>
      <c r="I16" s="2">
        <f ca="1">深串!H18</f>
        <v>0</v>
      </c>
      <c r="J16" s="2">
        <f ca="1">深串!I18</f>
        <v>0</v>
      </c>
      <c r="K16" s="2">
        <f ca="1">深串!J18</f>
        <v>0</v>
      </c>
      <c r="L16" s="2">
        <f ca="1">深串!K18</f>
        <v>0</v>
      </c>
      <c r="M16" s="2">
        <f ca="1">深串!L18</f>
        <v>0</v>
      </c>
      <c r="N16" s="2">
        <f ca="1">深串!M18</f>
        <v>0</v>
      </c>
      <c r="O16" s="2">
        <f ca="1">深串!N18</f>
        <v>0</v>
      </c>
      <c r="P16" s="2">
        <f ca="1">深串!O18</f>
        <v>0</v>
      </c>
      <c r="Q16" s="372">
        <f ca="1">深串!P18</f>
        <v>0</v>
      </c>
      <c r="R16" s="315">
        <f t="shared" ca="1" si="0"/>
        <v>4127.3999999999996</v>
      </c>
      <c r="S16" s="49"/>
    </row>
    <row r="17" spans="1:20" x14ac:dyDescent="0.4">
      <c r="A17" s="156"/>
      <c r="B17" s="54"/>
      <c r="D17" s="1" t="s">
        <v>135</v>
      </c>
      <c r="E17" s="1" t="s">
        <v>62</v>
      </c>
      <c r="F17" s="371">
        <f ca="1">深串!E28</f>
        <v>5490.0661576000002</v>
      </c>
      <c r="G17" s="2">
        <f ca="1">深串!F28</f>
        <v>15731.61328</v>
      </c>
      <c r="H17" s="2">
        <f ca="1">深串!G28</f>
        <v>6755.5159999999996</v>
      </c>
      <c r="I17" s="2">
        <f ca="1">深串!H28</f>
        <v>0</v>
      </c>
      <c r="J17" s="2">
        <f ca="1">深串!I28</f>
        <v>0</v>
      </c>
      <c r="K17" s="2">
        <f ca="1">深串!J28</f>
        <v>0</v>
      </c>
      <c r="L17" s="2">
        <f ca="1">深串!K28</f>
        <v>0</v>
      </c>
      <c r="M17" s="2">
        <f ca="1">深串!L28</f>
        <v>0</v>
      </c>
      <c r="N17" s="2">
        <f ca="1">深串!M28</f>
        <v>0</v>
      </c>
      <c r="O17" s="2">
        <f ca="1">深串!N28</f>
        <v>0</v>
      </c>
      <c r="P17" s="2">
        <f ca="1">深串!O28</f>
        <v>0</v>
      </c>
      <c r="Q17" s="372">
        <f ca="1">深串!P28</f>
        <v>0</v>
      </c>
      <c r="R17" s="315">
        <f t="shared" ca="1" si="0"/>
        <v>27977.195437599999</v>
      </c>
      <c r="S17" s="49"/>
    </row>
    <row r="18" spans="1:20" s="45" customFormat="1" ht="18" customHeight="1" x14ac:dyDescent="0.4">
      <c r="A18" s="156"/>
      <c r="B18" s="55"/>
      <c r="C18" s="52"/>
      <c r="D18" s="52"/>
      <c r="E18" s="60" t="s">
        <v>21</v>
      </c>
      <c r="F18" s="373">
        <f ca="1">SUM(F15:F17)</f>
        <v>16351.4661576</v>
      </c>
      <c r="G18" s="374">
        <f t="shared" ref="G18:R18" ca="1" si="4">SUM(G15:G17)</f>
        <v>17549.613279999998</v>
      </c>
      <c r="H18" s="374">
        <f t="shared" ca="1" si="4"/>
        <v>6755.5159999999996</v>
      </c>
      <c r="I18" s="374">
        <f t="shared" ca="1" si="4"/>
        <v>0</v>
      </c>
      <c r="J18" s="374">
        <f t="shared" ca="1" si="4"/>
        <v>0</v>
      </c>
      <c r="K18" s="374">
        <f t="shared" ca="1" si="4"/>
        <v>0</v>
      </c>
      <c r="L18" s="374">
        <f t="shared" ca="1" si="4"/>
        <v>0</v>
      </c>
      <c r="M18" s="374">
        <f t="shared" ca="1" si="4"/>
        <v>0</v>
      </c>
      <c r="N18" s="374">
        <f t="shared" ca="1" si="4"/>
        <v>0</v>
      </c>
      <c r="O18" s="374">
        <f t="shared" ca="1" si="4"/>
        <v>0</v>
      </c>
      <c r="P18" s="374">
        <f t="shared" ca="1" si="4"/>
        <v>0</v>
      </c>
      <c r="Q18" s="375">
        <f t="shared" ca="1" si="4"/>
        <v>0</v>
      </c>
      <c r="R18" s="278">
        <f t="shared" ca="1" si="4"/>
        <v>40656.595437600001</v>
      </c>
      <c r="S18" s="49"/>
      <c r="T18" s="29"/>
    </row>
    <row r="19" spans="1:20" x14ac:dyDescent="0.4">
      <c r="A19" s="156"/>
      <c r="B19" s="54" t="s">
        <v>57</v>
      </c>
      <c r="C19" s="1" t="s">
        <v>54</v>
      </c>
      <c r="D19" s="1" t="s">
        <v>130</v>
      </c>
      <c r="E19" s="1" t="s">
        <v>131</v>
      </c>
      <c r="F19" s="371">
        <f ca="1">前川!E8</f>
        <v>1759.21</v>
      </c>
      <c r="G19" s="2">
        <f ca="1">前川!F8</f>
        <v>789.59</v>
      </c>
      <c r="H19" s="2">
        <f ca="1">前川!G8</f>
        <v>0</v>
      </c>
      <c r="I19" s="2">
        <f ca="1">前川!H8</f>
        <v>0</v>
      </c>
      <c r="J19" s="2">
        <f ca="1">前川!I8</f>
        <v>0</v>
      </c>
      <c r="K19" s="2">
        <f ca="1">前川!J8</f>
        <v>0</v>
      </c>
      <c r="L19" s="2">
        <f ca="1">前川!K8</f>
        <v>0</v>
      </c>
      <c r="M19" s="2">
        <f ca="1">前川!L8</f>
        <v>0</v>
      </c>
      <c r="N19" s="2">
        <f ca="1">前川!M8</f>
        <v>0</v>
      </c>
      <c r="O19" s="2">
        <f ca="1">前川!N8</f>
        <v>0</v>
      </c>
      <c r="P19" s="2">
        <f ca="1">前川!O8</f>
        <v>0</v>
      </c>
      <c r="Q19" s="372">
        <f ca="1">前川!P8</f>
        <v>0</v>
      </c>
      <c r="R19" s="315">
        <f t="shared" ca="1" si="0"/>
        <v>2548.8000000000002</v>
      </c>
      <c r="S19" s="49"/>
    </row>
    <row r="20" spans="1:20" x14ac:dyDescent="0.4">
      <c r="A20" s="156"/>
      <c r="B20" s="54"/>
      <c r="D20" s="1" t="s">
        <v>58</v>
      </c>
      <c r="E20" s="1" t="s">
        <v>137</v>
      </c>
      <c r="F20" s="371">
        <f ca="1">前川!E18</f>
        <v>2757.0830037999999</v>
      </c>
      <c r="G20" s="2">
        <f ca="1">前川!F18</f>
        <v>5691.1296665000009</v>
      </c>
      <c r="H20" s="2">
        <f ca="1">前川!G18</f>
        <v>0</v>
      </c>
      <c r="I20" s="2">
        <f ca="1">前川!H18</f>
        <v>0</v>
      </c>
      <c r="J20" s="2">
        <f ca="1">前川!I18</f>
        <v>0</v>
      </c>
      <c r="K20" s="2">
        <f ca="1">前川!J18</f>
        <v>0</v>
      </c>
      <c r="L20" s="2">
        <f ca="1">前川!K18</f>
        <v>0</v>
      </c>
      <c r="M20" s="2">
        <f ca="1">前川!L18</f>
        <v>0</v>
      </c>
      <c r="N20" s="2">
        <f ca="1">前川!M18</f>
        <v>0</v>
      </c>
      <c r="O20" s="2">
        <f ca="1">前川!N18</f>
        <v>0</v>
      </c>
      <c r="P20" s="2">
        <f ca="1">前川!O18</f>
        <v>0</v>
      </c>
      <c r="Q20" s="372">
        <f ca="1">前川!P18</f>
        <v>0</v>
      </c>
      <c r="R20" s="315">
        <f t="shared" ca="1" si="0"/>
        <v>8448.2126703000013</v>
      </c>
      <c r="S20" s="49"/>
    </row>
    <row r="21" spans="1:20" x14ac:dyDescent="0.4">
      <c r="A21" s="156"/>
      <c r="B21" s="54"/>
      <c r="D21" s="1" t="s">
        <v>58</v>
      </c>
      <c r="E21" s="1" t="s">
        <v>138</v>
      </c>
      <c r="F21" s="371">
        <f ca="1">前川!E28</f>
        <v>6568.4851309000014</v>
      </c>
      <c r="G21" s="2">
        <f ca="1">前川!F28</f>
        <v>13972.452075000003</v>
      </c>
      <c r="H21" s="2">
        <f ca="1">前川!G28</f>
        <v>0</v>
      </c>
      <c r="I21" s="2">
        <f ca="1">前川!H28</f>
        <v>0</v>
      </c>
      <c r="J21" s="2">
        <f ca="1">前川!I28</f>
        <v>0</v>
      </c>
      <c r="K21" s="2">
        <f ca="1">前川!J28</f>
        <v>0</v>
      </c>
      <c r="L21" s="2">
        <f ca="1">前川!K28</f>
        <v>0</v>
      </c>
      <c r="M21" s="2">
        <f ca="1">前川!L28</f>
        <v>0</v>
      </c>
      <c r="N21" s="2">
        <f ca="1">前川!M28</f>
        <v>0</v>
      </c>
      <c r="O21" s="2">
        <f ca="1">前川!N28</f>
        <v>0</v>
      </c>
      <c r="P21" s="2">
        <f ca="1">前川!O28</f>
        <v>0</v>
      </c>
      <c r="Q21" s="372">
        <f ca="1">前川!P28</f>
        <v>0</v>
      </c>
      <c r="R21" s="315">
        <f t="shared" ca="1" si="0"/>
        <v>20540.937205900005</v>
      </c>
      <c r="S21" s="49"/>
    </row>
    <row r="22" spans="1:20" s="45" customFormat="1" ht="18" customHeight="1" x14ac:dyDescent="0.4">
      <c r="A22" s="156"/>
      <c r="B22" s="55"/>
      <c r="C22" s="52"/>
      <c r="D22" s="52"/>
      <c r="E22" s="60" t="s">
        <v>21</v>
      </c>
      <c r="F22" s="373">
        <f ca="1">SUM(F19:F21)</f>
        <v>11084.778134700002</v>
      </c>
      <c r="G22" s="374">
        <f t="shared" ref="G22:R22" ca="1" si="5">SUM(G19:G21)</f>
        <v>20453.171741500002</v>
      </c>
      <c r="H22" s="374">
        <f t="shared" ca="1" si="5"/>
        <v>0</v>
      </c>
      <c r="I22" s="374">
        <f t="shared" ca="1" si="5"/>
        <v>0</v>
      </c>
      <c r="J22" s="374">
        <f t="shared" ca="1" si="5"/>
        <v>0</v>
      </c>
      <c r="K22" s="374">
        <f t="shared" ca="1" si="5"/>
        <v>0</v>
      </c>
      <c r="L22" s="374">
        <f t="shared" ca="1" si="5"/>
        <v>0</v>
      </c>
      <c r="M22" s="374">
        <f t="shared" ca="1" si="5"/>
        <v>0</v>
      </c>
      <c r="N22" s="374">
        <f t="shared" ca="1" si="5"/>
        <v>0</v>
      </c>
      <c r="O22" s="374">
        <f t="shared" ca="1" si="5"/>
        <v>0</v>
      </c>
      <c r="P22" s="374">
        <f t="shared" ca="1" si="5"/>
        <v>0</v>
      </c>
      <c r="Q22" s="375">
        <f t="shared" ca="1" si="5"/>
        <v>0</v>
      </c>
      <c r="R22" s="278">
        <f t="shared" ca="1" si="5"/>
        <v>31537.949876200008</v>
      </c>
      <c r="S22" s="49"/>
      <c r="T22" s="29"/>
    </row>
    <row r="23" spans="1:20" x14ac:dyDescent="0.4">
      <c r="A23" s="156"/>
      <c r="B23" s="54" t="s">
        <v>57</v>
      </c>
      <c r="C23" s="1" t="s">
        <v>55</v>
      </c>
      <c r="D23" s="1" t="s">
        <v>130</v>
      </c>
      <c r="E23" s="1" t="s">
        <v>137</v>
      </c>
      <c r="F23" s="371">
        <f ca="1">千葉!E8</f>
        <v>687.96335020000004</v>
      </c>
      <c r="G23" s="2">
        <f ca="1">千葉!F8</f>
        <v>5853.6477177000006</v>
      </c>
      <c r="H23" s="2">
        <f ca="1">千葉!G8</f>
        <v>0</v>
      </c>
      <c r="I23" s="2">
        <f ca="1">千葉!H8</f>
        <v>0</v>
      </c>
      <c r="J23" s="2">
        <f ca="1">千葉!I8</f>
        <v>0</v>
      </c>
      <c r="K23" s="2">
        <f ca="1">千葉!J8</f>
        <v>0</v>
      </c>
      <c r="L23" s="2">
        <f ca="1">千葉!K8</f>
        <v>0</v>
      </c>
      <c r="M23" s="2">
        <f ca="1">千葉!L8</f>
        <v>0</v>
      </c>
      <c r="N23" s="2">
        <f ca="1">千葉!M8</f>
        <v>0</v>
      </c>
      <c r="O23" s="2">
        <f ca="1">千葉!N8</f>
        <v>0</v>
      </c>
      <c r="P23" s="2">
        <f ca="1">千葉!O8</f>
        <v>0</v>
      </c>
      <c r="Q23" s="372">
        <f ca="1">千葉!P8</f>
        <v>0</v>
      </c>
      <c r="R23" s="315">
        <f t="shared" ca="1" si="0"/>
        <v>6541.6110679000003</v>
      </c>
      <c r="S23" s="49"/>
    </row>
    <row r="24" spans="1:20" x14ac:dyDescent="0.4">
      <c r="A24" s="156"/>
      <c r="B24" s="54"/>
      <c r="D24" s="1" t="s">
        <v>130</v>
      </c>
      <c r="E24" s="1" t="s">
        <v>138</v>
      </c>
      <c r="F24" s="371">
        <f ca="1">千葉!E18</f>
        <v>190.5145129</v>
      </c>
      <c r="G24" s="2">
        <f ca="1">千葉!F18</f>
        <v>3770.5440352999995</v>
      </c>
      <c r="H24" s="2">
        <f ca="1">千葉!G18</f>
        <v>0</v>
      </c>
      <c r="I24" s="2">
        <f ca="1">千葉!H18</f>
        <v>0</v>
      </c>
      <c r="J24" s="2">
        <f ca="1">千葉!I18</f>
        <v>0</v>
      </c>
      <c r="K24" s="2">
        <f ca="1">千葉!J18</f>
        <v>0</v>
      </c>
      <c r="L24" s="2">
        <f ca="1">千葉!K18</f>
        <v>0</v>
      </c>
      <c r="M24" s="2">
        <f ca="1">千葉!L18</f>
        <v>0</v>
      </c>
      <c r="N24" s="2">
        <f ca="1">千葉!M18</f>
        <v>0</v>
      </c>
      <c r="O24" s="2">
        <f ca="1">千葉!N18</f>
        <v>0</v>
      </c>
      <c r="P24" s="2">
        <f ca="1">千葉!O18</f>
        <v>0</v>
      </c>
      <c r="Q24" s="372">
        <f ca="1">千葉!P18</f>
        <v>0</v>
      </c>
      <c r="R24" s="315">
        <f t="shared" ca="1" si="0"/>
        <v>3961.0585481999997</v>
      </c>
      <c r="S24" s="49"/>
    </row>
    <row r="25" spans="1:20" x14ac:dyDescent="0.4">
      <c r="A25" s="156"/>
      <c r="B25" s="54"/>
      <c r="D25" s="1" t="s">
        <v>130</v>
      </c>
      <c r="E25" s="1" t="s">
        <v>176</v>
      </c>
      <c r="F25" s="371">
        <f ca="1">千葉!E28</f>
        <v>572.42378510000015</v>
      </c>
      <c r="G25" s="2">
        <f ca="1">千葉!F28</f>
        <v>0</v>
      </c>
      <c r="H25" s="2">
        <f ca="1">千葉!G28</f>
        <v>0</v>
      </c>
      <c r="I25" s="2">
        <f ca="1">千葉!H28</f>
        <v>0</v>
      </c>
      <c r="J25" s="2">
        <f ca="1">千葉!I28</f>
        <v>0</v>
      </c>
      <c r="K25" s="2">
        <f ca="1">千葉!J28</f>
        <v>0</v>
      </c>
      <c r="L25" s="2">
        <f ca="1">千葉!K28</f>
        <v>0</v>
      </c>
      <c r="M25" s="2">
        <f ca="1">千葉!L28</f>
        <v>0</v>
      </c>
      <c r="N25" s="2">
        <f ca="1">千葉!M28</f>
        <v>0</v>
      </c>
      <c r="O25" s="2">
        <f ca="1">千葉!N28</f>
        <v>0</v>
      </c>
      <c r="P25" s="2">
        <f ca="1">千葉!O28</f>
        <v>0</v>
      </c>
      <c r="Q25" s="372">
        <f ca="1">千葉!P28</f>
        <v>0</v>
      </c>
      <c r="R25" s="315">
        <f t="shared" ca="1" si="0"/>
        <v>572.42378510000015</v>
      </c>
      <c r="S25" s="49"/>
    </row>
    <row r="26" spans="1:20" s="45" customFormat="1" ht="18" customHeight="1" x14ac:dyDescent="0.4">
      <c r="A26" s="156"/>
      <c r="B26" s="55"/>
      <c r="C26" s="52"/>
      <c r="D26" s="52"/>
      <c r="E26" s="60" t="s">
        <v>21</v>
      </c>
      <c r="F26" s="373">
        <f ca="1">SUM(F23:F25)</f>
        <v>1450.9016482000002</v>
      </c>
      <c r="G26" s="374">
        <f t="shared" ref="G26:R26" ca="1" si="6">SUM(G23:G25)</f>
        <v>9624.1917529999992</v>
      </c>
      <c r="H26" s="374">
        <f t="shared" ca="1" si="6"/>
        <v>0</v>
      </c>
      <c r="I26" s="374">
        <f t="shared" ca="1" si="6"/>
        <v>0</v>
      </c>
      <c r="J26" s="374">
        <f t="shared" ca="1" si="6"/>
        <v>0</v>
      </c>
      <c r="K26" s="374">
        <f t="shared" ca="1" si="6"/>
        <v>0</v>
      </c>
      <c r="L26" s="374">
        <f t="shared" ca="1" si="6"/>
        <v>0</v>
      </c>
      <c r="M26" s="374">
        <f t="shared" ca="1" si="6"/>
        <v>0</v>
      </c>
      <c r="N26" s="374">
        <f t="shared" ca="1" si="6"/>
        <v>0</v>
      </c>
      <c r="O26" s="374">
        <f t="shared" ca="1" si="6"/>
        <v>0</v>
      </c>
      <c r="P26" s="374">
        <f t="shared" ca="1" si="6"/>
        <v>0</v>
      </c>
      <c r="Q26" s="375">
        <f t="shared" ca="1" si="6"/>
        <v>0</v>
      </c>
      <c r="R26" s="278">
        <f t="shared" ca="1" si="6"/>
        <v>11075.0934012</v>
      </c>
      <c r="S26" s="49"/>
      <c r="T26" s="29"/>
    </row>
    <row r="27" spans="1:20" x14ac:dyDescent="0.4">
      <c r="A27" s="156"/>
      <c r="B27" s="54" t="s">
        <v>57</v>
      </c>
      <c r="C27" s="1" t="s">
        <v>187</v>
      </c>
      <c r="D27" s="1" t="s">
        <v>130</v>
      </c>
      <c r="E27" s="1" t="s">
        <v>66</v>
      </c>
      <c r="F27" s="371">
        <f ca="1">中国!E8</f>
        <v>0</v>
      </c>
      <c r="G27" s="2">
        <f ca="1">中国!F8</f>
        <v>0</v>
      </c>
      <c r="H27" s="2">
        <f ca="1">中国!G8</f>
        <v>0</v>
      </c>
      <c r="I27" s="2">
        <f ca="1">中国!H8</f>
        <v>0</v>
      </c>
      <c r="J27" s="2">
        <f ca="1">中国!I8</f>
        <v>0</v>
      </c>
      <c r="K27" s="2">
        <f ca="1">中国!J8</f>
        <v>0</v>
      </c>
      <c r="L27" s="2">
        <f ca="1">中国!K8</f>
        <v>0</v>
      </c>
      <c r="M27" s="2">
        <f ca="1">中国!L8</f>
        <v>0</v>
      </c>
      <c r="N27" s="2">
        <f ca="1">中国!M8</f>
        <v>0</v>
      </c>
      <c r="O27" s="2">
        <f ca="1">中国!N8</f>
        <v>0</v>
      </c>
      <c r="P27" s="2">
        <f ca="1">中国!O8</f>
        <v>0</v>
      </c>
      <c r="Q27" s="372">
        <f ca="1">中国!P8</f>
        <v>0</v>
      </c>
      <c r="R27" s="315">
        <f t="shared" ca="1" si="0"/>
        <v>0</v>
      </c>
      <c r="S27" s="49"/>
    </row>
    <row r="28" spans="1:20" x14ac:dyDescent="0.4">
      <c r="A28" s="156"/>
      <c r="B28" s="54"/>
      <c r="C28" s="1" t="s">
        <v>187</v>
      </c>
      <c r="D28" s="1" t="s">
        <v>130</v>
      </c>
      <c r="E28" s="1" t="s">
        <v>133</v>
      </c>
      <c r="F28" s="371">
        <f ca="1">中国!E18</f>
        <v>0</v>
      </c>
      <c r="G28" s="2">
        <f ca="1">中国!F18</f>
        <v>0</v>
      </c>
      <c r="H28" s="2">
        <f ca="1">中国!G18</f>
        <v>0</v>
      </c>
      <c r="I28" s="2">
        <f ca="1">中国!H18</f>
        <v>0</v>
      </c>
      <c r="J28" s="2">
        <f ca="1">中国!I18</f>
        <v>0</v>
      </c>
      <c r="K28" s="2">
        <f ca="1">中国!J18</f>
        <v>0</v>
      </c>
      <c r="L28" s="2">
        <f ca="1">中国!K18</f>
        <v>0</v>
      </c>
      <c r="M28" s="2">
        <f ca="1">中国!L18</f>
        <v>0</v>
      </c>
      <c r="N28" s="2">
        <f ca="1">中国!M18</f>
        <v>0</v>
      </c>
      <c r="O28" s="2">
        <f ca="1">中国!N18</f>
        <v>0</v>
      </c>
      <c r="P28" s="2">
        <f ca="1">中国!O18</f>
        <v>0</v>
      </c>
      <c r="Q28" s="372">
        <f ca="1">中国!P18</f>
        <v>0</v>
      </c>
      <c r="R28" s="315">
        <f t="shared" ca="1" si="0"/>
        <v>0</v>
      </c>
      <c r="S28" s="49"/>
    </row>
    <row r="29" spans="1:20" x14ac:dyDescent="0.4">
      <c r="A29" s="156"/>
      <c r="B29" s="54"/>
      <c r="C29" s="1" t="s">
        <v>172</v>
      </c>
      <c r="D29" s="1" t="s">
        <v>130</v>
      </c>
      <c r="E29" s="1" t="s">
        <v>172</v>
      </c>
      <c r="F29" s="371">
        <f ca="1">VVR!E8</f>
        <v>282.72000000000003</v>
      </c>
      <c r="G29" s="2">
        <f ca="1">VVR!F8</f>
        <v>242.47499999999999</v>
      </c>
      <c r="H29" s="2">
        <f ca="1">VVR!G8</f>
        <v>0</v>
      </c>
      <c r="I29" s="2">
        <f ca="1">VVR!H8</f>
        <v>0</v>
      </c>
      <c r="J29" s="2">
        <f ca="1">VVR!I8</f>
        <v>0</v>
      </c>
      <c r="K29" s="2">
        <f ca="1">VVR!J8</f>
        <v>0</v>
      </c>
      <c r="L29" s="2">
        <f ca="1">VVR!K8</f>
        <v>0</v>
      </c>
      <c r="M29" s="2">
        <f ca="1">VVR!L8</f>
        <v>0</v>
      </c>
      <c r="N29" s="2">
        <f ca="1">VVR!M8</f>
        <v>0</v>
      </c>
      <c r="O29" s="2">
        <f ca="1">VVR!N8</f>
        <v>0</v>
      </c>
      <c r="P29" s="2">
        <f ca="1">VVR!O8</f>
        <v>0</v>
      </c>
      <c r="Q29" s="372">
        <f ca="1">VVR!P8</f>
        <v>0</v>
      </c>
      <c r="R29" s="315">
        <f t="shared" ca="1" si="0"/>
        <v>525.19500000000005</v>
      </c>
      <c r="S29" s="49"/>
    </row>
    <row r="30" spans="1:20" s="45" customFormat="1" ht="18" customHeight="1" x14ac:dyDescent="0.4">
      <c r="A30" s="156"/>
      <c r="B30" s="55"/>
      <c r="C30" s="52"/>
      <c r="D30" s="52"/>
      <c r="E30" s="60" t="s">
        <v>21</v>
      </c>
      <c r="F30" s="373">
        <f ca="1">SUM(F27:F29)</f>
        <v>282.72000000000003</v>
      </c>
      <c r="G30" s="374">
        <f t="shared" ref="G30:R30" ca="1" si="7">SUM(G27:G29)</f>
        <v>242.47499999999999</v>
      </c>
      <c r="H30" s="374">
        <f t="shared" ca="1" si="7"/>
        <v>0</v>
      </c>
      <c r="I30" s="374">
        <f t="shared" ca="1" si="7"/>
        <v>0</v>
      </c>
      <c r="J30" s="374">
        <f t="shared" ca="1" si="7"/>
        <v>0</v>
      </c>
      <c r="K30" s="374">
        <f t="shared" ca="1" si="7"/>
        <v>0</v>
      </c>
      <c r="L30" s="374">
        <f t="shared" ca="1" si="7"/>
        <v>0</v>
      </c>
      <c r="M30" s="374">
        <f t="shared" ca="1" si="7"/>
        <v>0</v>
      </c>
      <c r="N30" s="374">
        <f t="shared" ca="1" si="7"/>
        <v>0</v>
      </c>
      <c r="O30" s="374">
        <f t="shared" ca="1" si="7"/>
        <v>0</v>
      </c>
      <c r="P30" s="374">
        <f t="shared" ca="1" si="7"/>
        <v>0</v>
      </c>
      <c r="Q30" s="375">
        <f t="shared" ca="1" si="7"/>
        <v>0</v>
      </c>
      <c r="R30" s="278">
        <f t="shared" ca="1" si="7"/>
        <v>525.19500000000005</v>
      </c>
      <c r="S30" s="49"/>
      <c r="T30" s="29"/>
    </row>
    <row r="31" spans="1:20" x14ac:dyDescent="0.4">
      <c r="A31" s="156"/>
      <c r="B31" s="54" t="s">
        <v>57</v>
      </c>
      <c r="C31" s="1" t="s">
        <v>185</v>
      </c>
      <c r="D31" s="1" t="s">
        <v>178</v>
      </c>
      <c r="E31" s="1" t="s">
        <v>66</v>
      </c>
      <c r="F31" s="371">
        <f ca="1">新規1!E8</f>
        <v>0</v>
      </c>
      <c r="G31" s="2">
        <f ca="1">新規1!F8</f>
        <v>0</v>
      </c>
      <c r="H31" s="2">
        <f ca="1">新規1!G8</f>
        <v>0</v>
      </c>
      <c r="I31" s="2">
        <f ca="1">新規1!H8</f>
        <v>0</v>
      </c>
      <c r="J31" s="2">
        <f ca="1">新規1!I8</f>
        <v>0</v>
      </c>
      <c r="K31" s="2">
        <f ca="1">新規1!J8</f>
        <v>0</v>
      </c>
      <c r="L31" s="2">
        <f ca="1">新規1!K8</f>
        <v>0</v>
      </c>
      <c r="M31" s="2">
        <f ca="1">新規1!L8</f>
        <v>0</v>
      </c>
      <c r="N31" s="2">
        <f ca="1">新規1!M8</f>
        <v>0</v>
      </c>
      <c r="O31" s="2">
        <f ca="1">新規1!N8</f>
        <v>0</v>
      </c>
      <c r="P31" s="2">
        <f ca="1">新規1!O8</f>
        <v>0</v>
      </c>
      <c r="Q31" s="372">
        <f ca="1">新規1!P8</f>
        <v>0</v>
      </c>
      <c r="R31" s="315">
        <f t="shared" ca="1" si="0"/>
        <v>0</v>
      </c>
      <c r="S31" s="49"/>
    </row>
    <row r="32" spans="1:20" x14ac:dyDescent="0.4">
      <c r="A32" s="156"/>
      <c r="B32" s="54"/>
      <c r="C32" s="1" t="s">
        <v>185</v>
      </c>
      <c r="D32" s="1" t="s">
        <v>140</v>
      </c>
      <c r="E32" s="1" t="s">
        <v>61</v>
      </c>
      <c r="F32" s="371">
        <f ca="1">新規1!E18</f>
        <v>0</v>
      </c>
      <c r="G32" s="2">
        <f ca="1">新規1!F18</f>
        <v>0</v>
      </c>
      <c r="H32" s="2">
        <f ca="1">新規1!G18</f>
        <v>0</v>
      </c>
      <c r="I32" s="2">
        <f ca="1">新規1!H18</f>
        <v>0</v>
      </c>
      <c r="J32" s="2">
        <f ca="1">新規1!I18</f>
        <v>0</v>
      </c>
      <c r="K32" s="2">
        <f ca="1">新規1!J18</f>
        <v>0</v>
      </c>
      <c r="L32" s="2">
        <f ca="1">新規1!K18</f>
        <v>0</v>
      </c>
      <c r="M32" s="2">
        <f ca="1">新規1!L18</f>
        <v>0</v>
      </c>
      <c r="N32" s="2">
        <f ca="1">新規1!M18</f>
        <v>0</v>
      </c>
      <c r="O32" s="2">
        <f ca="1">新規1!N18</f>
        <v>0</v>
      </c>
      <c r="P32" s="2">
        <f ca="1">新規1!O18</f>
        <v>0</v>
      </c>
      <c r="Q32" s="372">
        <f ca="1">新規1!P18</f>
        <v>0</v>
      </c>
      <c r="R32" s="315">
        <f t="shared" ca="1" si="0"/>
        <v>0</v>
      </c>
      <c r="S32" s="49"/>
    </row>
    <row r="33" spans="1:20" x14ac:dyDescent="0.4">
      <c r="A33" s="156"/>
      <c r="B33" s="54"/>
      <c r="C33" s="1" t="s">
        <v>186</v>
      </c>
      <c r="D33" s="1" t="s">
        <v>179</v>
      </c>
      <c r="E33" s="1" t="s">
        <v>180</v>
      </c>
      <c r="F33" s="371">
        <f>新規2!E28</f>
        <v>0</v>
      </c>
      <c r="G33" s="2">
        <f>新規2!F28</f>
        <v>0</v>
      </c>
      <c r="H33" s="2">
        <f>新規2!G28</f>
        <v>0</v>
      </c>
      <c r="I33" s="2">
        <f>新規2!H28</f>
        <v>0</v>
      </c>
      <c r="J33" s="2">
        <f>新規2!I28</f>
        <v>0</v>
      </c>
      <c r="K33" s="2">
        <f>新規2!J28</f>
        <v>0</v>
      </c>
      <c r="L33" s="2">
        <f>新規2!K28</f>
        <v>0</v>
      </c>
      <c r="M33" s="2">
        <f>新規2!L28</f>
        <v>0</v>
      </c>
      <c r="N33" s="2">
        <f>新規2!M28</f>
        <v>0</v>
      </c>
      <c r="O33" s="2">
        <f>新規2!N28</f>
        <v>0</v>
      </c>
      <c r="P33" s="2">
        <f>新規2!O28</f>
        <v>0</v>
      </c>
      <c r="Q33" s="372">
        <f>新規2!P28</f>
        <v>0</v>
      </c>
      <c r="R33" s="315">
        <f t="shared" si="0"/>
        <v>0</v>
      </c>
      <c r="S33" s="49"/>
    </row>
    <row r="34" spans="1:20" s="45" customFormat="1" ht="18" customHeight="1" x14ac:dyDescent="0.4">
      <c r="A34" s="157"/>
      <c r="B34" s="50"/>
      <c r="C34" s="46"/>
      <c r="D34" s="46"/>
      <c r="E34" s="61" t="s">
        <v>21</v>
      </c>
      <c r="F34" s="376">
        <f ca="1">SUM(F31:F33)</f>
        <v>0</v>
      </c>
      <c r="G34" s="377">
        <f t="shared" ref="G34:R34" ca="1" si="8">SUM(G31:G33)</f>
        <v>0</v>
      </c>
      <c r="H34" s="377">
        <f t="shared" ca="1" si="8"/>
        <v>0</v>
      </c>
      <c r="I34" s="377">
        <f t="shared" ca="1" si="8"/>
        <v>0</v>
      </c>
      <c r="J34" s="377">
        <f t="shared" ca="1" si="8"/>
        <v>0</v>
      </c>
      <c r="K34" s="377">
        <f t="shared" ca="1" si="8"/>
        <v>0</v>
      </c>
      <c r="L34" s="377">
        <f t="shared" ca="1" si="8"/>
        <v>0</v>
      </c>
      <c r="M34" s="377">
        <f t="shared" ca="1" si="8"/>
        <v>0</v>
      </c>
      <c r="N34" s="377">
        <f t="shared" ca="1" si="8"/>
        <v>0</v>
      </c>
      <c r="O34" s="377">
        <f t="shared" ca="1" si="8"/>
        <v>0</v>
      </c>
      <c r="P34" s="377">
        <f t="shared" ca="1" si="8"/>
        <v>0</v>
      </c>
      <c r="Q34" s="378">
        <f t="shared" ca="1" si="8"/>
        <v>0</v>
      </c>
      <c r="R34" s="283">
        <f t="shared" ca="1" si="8"/>
        <v>0</v>
      </c>
      <c r="S34" s="49"/>
      <c r="T34" s="29"/>
    </row>
    <row r="35" spans="1:20" ht="25.5" x14ac:dyDescent="0.4">
      <c r="A35" s="387" t="s">
        <v>16</v>
      </c>
      <c r="B35" s="359" t="s">
        <v>49</v>
      </c>
      <c r="C35" s="359" t="s">
        <v>48</v>
      </c>
      <c r="D35" s="359" t="s">
        <v>150</v>
      </c>
      <c r="E35" s="359" t="s">
        <v>151</v>
      </c>
      <c r="F35" s="361">
        <v>45444</v>
      </c>
      <c r="G35" s="362">
        <v>45474</v>
      </c>
      <c r="H35" s="362">
        <v>45505</v>
      </c>
      <c r="I35" s="362">
        <v>45536</v>
      </c>
      <c r="J35" s="362">
        <v>45566</v>
      </c>
      <c r="K35" s="362">
        <v>45597</v>
      </c>
      <c r="L35" s="362">
        <v>45627</v>
      </c>
      <c r="M35" s="362">
        <v>45658</v>
      </c>
      <c r="N35" s="362">
        <v>45689</v>
      </c>
      <c r="O35" s="362">
        <v>45717</v>
      </c>
      <c r="P35" s="362">
        <v>45748</v>
      </c>
      <c r="Q35" s="363">
        <v>45778</v>
      </c>
      <c r="R35" s="56" t="s">
        <v>21</v>
      </c>
      <c r="S35" s="57" t="s">
        <v>145</v>
      </c>
      <c r="T35" s="57" t="s">
        <v>146</v>
      </c>
    </row>
    <row r="36" spans="1:20" x14ac:dyDescent="0.4">
      <c r="A36" s="158"/>
      <c r="B36" s="53" t="s">
        <v>56</v>
      </c>
      <c r="C36" s="48" t="s">
        <v>50</v>
      </c>
      <c r="D36" s="48" t="s">
        <v>58</v>
      </c>
      <c r="E36" s="48" t="s">
        <v>60</v>
      </c>
      <c r="F36" s="368">
        <f>松岡!E14</f>
        <v>404.05199999999991</v>
      </c>
      <c r="G36" s="369">
        <f>松岡!F14</f>
        <v>140.08799999999997</v>
      </c>
      <c r="H36" s="369">
        <f>松岡!G14</f>
        <v>38.802999999999997</v>
      </c>
      <c r="I36" s="369">
        <f>松岡!H14</f>
        <v>267.93600000000015</v>
      </c>
      <c r="J36" s="369">
        <f>松岡!I14</f>
        <v>534.98099999999999</v>
      </c>
      <c r="K36" s="369">
        <f>松岡!J14</f>
        <v>287.49399999999991</v>
      </c>
      <c r="L36" s="369">
        <f>松岡!K14</f>
        <v>376.58900000000017</v>
      </c>
      <c r="M36" s="369">
        <f>松岡!L14</f>
        <v>252.42900000000009</v>
      </c>
      <c r="N36" s="369">
        <f>松岡!M14</f>
        <v>113.95000000000005</v>
      </c>
      <c r="O36" s="369">
        <f>松岡!N14</f>
        <v>0</v>
      </c>
      <c r="P36" s="369">
        <f>松岡!O14</f>
        <v>0</v>
      </c>
      <c r="Q36" s="370">
        <f>松岡!P14</f>
        <v>0</v>
      </c>
      <c r="R36" s="311">
        <f>SUM(F36:Q36)</f>
        <v>2416.3220000000001</v>
      </c>
      <c r="S36" s="51">
        <f ca="1">SUM(R39,R43,R47,R51,R55,R59,R63)</f>
        <v>40580.68624090001</v>
      </c>
      <c r="T36" s="51">
        <f ca="1">R67</f>
        <v>0</v>
      </c>
    </row>
    <row r="37" spans="1:20" x14ac:dyDescent="0.4">
      <c r="A37" s="158"/>
      <c r="B37" s="54"/>
      <c r="D37" s="1" t="s">
        <v>130</v>
      </c>
      <c r="E37" s="1" t="s">
        <v>60</v>
      </c>
      <c r="F37" s="371">
        <f>松岡!E24</f>
        <v>418.45000000000005</v>
      </c>
      <c r="G37" s="2">
        <f>松岡!F24</f>
        <v>358.30899999999997</v>
      </c>
      <c r="H37" s="2">
        <f>松岡!G24</f>
        <v>202.53300000000002</v>
      </c>
      <c r="I37" s="2">
        <f>松岡!H24</f>
        <v>142.76</v>
      </c>
      <c r="J37" s="2">
        <f>松岡!I24</f>
        <v>49.057999999999993</v>
      </c>
      <c r="K37" s="2">
        <f>松岡!J24</f>
        <v>46.278999999999996</v>
      </c>
      <c r="L37" s="2">
        <f>松岡!K24</f>
        <v>82.018000000000029</v>
      </c>
      <c r="M37" s="2">
        <f>松岡!L24</f>
        <v>227.64100000000002</v>
      </c>
      <c r="N37" s="2">
        <f>松岡!M24</f>
        <v>126.03100000000001</v>
      </c>
      <c r="O37" s="2">
        <f>松岡!N24</f>
        <v>0</v>
      </c>
      <c r="P37" s="2">
        <f>松岡!O24</f>
        <v>0</v>
      </c>
      <c r="Q37" s="372">
        <f>松岡!P24</f>
        <v>0</v>
      </c>
      <c r="R37" s="315">
        <f t="shared" ref="R37:R38" si="9">SUM(F37:Q37)</f>
        <v>1653.0790000000002</v>
      </c>
      <c r="S37" s="49"/>
    </row>
    <row r="38" spans="1:20" x14ac:dyDescent="0.4">
      <c r="A38" s="158"/>
      <c r="B38" s="54"/>
      <c r="D38" s="1" t="s">
        <v>62</v>
      </c>
      <c r="E38" s="1" t="s">
        <v>61</v>
      </c>
      <c r="F38" s="371">
        <f>松岡!E34</f>
        <v>476.69399999999996</v>
      </c>
      <c r="G38" s="2">
        <f>松岡!F34</f>
        <v>405.38900000000001</v>
      </c>
      <c r="H38" s="2">
        <f>松岡!G34</f>
        <v>364.58699999999999</v>
      </c>
      <c r="I38" s="2">
        <f>松岡!H34</f>
        <v>607.37700000000018</v>
      </c>
      <c r="J38" s="2">
        <f>松岡!I34</f>
        <v>384.06100000000004</v>
      </c>
      <c r="K38" s="2">
        <f>松岡!J34</f>
        <v>546.97699999999986</v>
      </c>
      <c r="L38" s="2">
        <f>松岡!K34</f>
        <v>251.31200000000001</v>
      </c>
      <c r="M38" s="2">
        <f>松岡!L34</f>
        <v>421.50099999999998</v>
      </c>
      <c r="N38" s="2">
        <f>松岡!M34</f>
        <v>630.11699999999996</v>
      </c>
      <c r="O38" s="2">
        <f>松岡!N34</f>
        <v>0</v>
      </c>
      <c r="P38" s="2">
        <f>松岡!O34</f>
        <v>0</v>
      </c>
      <c r="Q38" s="372">
        <f>松岡!P34</f>
        <v>0</v>
      </c>
      <c r="R38" s="315">
        <f t="shared" si="9"/>
        <v>4088.0150000000003</v>
      </c>
      <c r="S38" s="481" t="s">
        <v>147</v>
      </c>
      <c r="T38" s="481"/>
    </row>
    <row r="39" spans="1:20" x14ac:dyDescent="0.4">
      <c r="A39" s="158"/>
      <c r="B39" s="55"/>
      <c r="C39" s="52"/>
      <c r="D39" s="52"/>
      <c r="E39" s="62" t="s">
        <v>21</v>
      </c>
      <c r="F39" s="379">
        <f>SUM(F36:F38)</f>
        <v>1299.1959999999999</v>
      </c>
      <c r="G39" s="380">
        <f t="shared" ref="G39:R39" si="10">SUM(G36:G38)</f>
        <v>903.78599999999994</v>
      </c>
      <c r="H39" s="380">
        <f t="shared" si="10"/>
        <v>605.923</v>
      </c>
      <c r="I39" s="380">
        <f t="shared" si="10"/>
        <v>1018.0730000000003</v>
      </c>
      <c r="J39" s="380">
        <f t="shared" si="10"/>
        <v>968.1</v>
      </c>
      <c r="K39" s="380">
        <f t="shared" si="10"/>
        <v>880.74999999999977</v>
      </c>
      <c r="L39" s="380">
        <f t="shared" si="10"/>
        <v>709.91900000000021</v>
      </c>
      <c r="M39" s="380">
        <f t="shared" si="10"/>
        <v>901.57100000000014</v>
      </c>
      <c r="N39" s="380">
        <f t="shared" si="10"/>
        <v>870.09799999999996</v>
      </c>
      <c r="O39" s="380">
        <f t="shared" si="10"/>
        <v>0</v>
      </c>
      <c r="P39" s="380">
        <f t="shared" si="10"/>
        <v>0</v>
      </c>
      <c r="Q39" s="381">
        <f t="shared" si="10"/>
        <v>0</v>
      </c>
      <c r="R39" s="382">
        <f t="shared" si="10"/>
        <v>8157.4160000000011</v>
      </c>
      <c r="S39" s="482">
        <f ca="1">S36+T36</f>
        <v>40580.68624090001</v>
      </c>
      <c r="T39" s="482"/>
    </row>
    <row r="40" spans="1:20" x14ac:dyDescent="0.4">
      <c r="A40" s="158"/>
      <c r="B40" s="54" t="s">
        <v>56</v>
      </c>
      <c r="C40" s="1" t="s">
        <v>51</v>
      </c>
      <c r="D40" s="1" t="s">
        <v>136</v>
      </c>
      <c r="E40" s="1" t="s">
        <v>63</v>
      </c>
      <c r="F40" s="371">
        <f>大谷!E14</f>
        <v>72.400000000000091</v>
      </c>
      <c r="G40" s="2">
        <f>大谷!F14</f>
        <v>93.800000000000182</v>
      </c>
      <c r="H40" s="2">
        <f>大谷!G14</f>
        <v>73.899999999999864</v>
      </c>
      <c r="I40" s="2">
        <f>大谷!H14</f>
        <v>173</v>
      </c>
      <c r="J40" s="2">
        <f>大谷!I14</f>
        <v>264</v>
      </c>
      <c r="K40" s="2">
        <f>大谷!J14</f>
        <v>54.699999999999932</v>
      </c>
      <c r="L40" s="2">
        <f>大谷!K14</f>
        <v>29.399999999999977</v>
      </c>
      <c r="M40" s="2">
        <f>大谷!L14</f>
        <v>127.79999999999995</v>
      </c>
      <c r="N40" s="2">
        <f>大谷!M14</f>
        <v>57.600000000000136</v>
      </c>
      <c r="O40" s="2">
        <f>大谷!N14</f>
        <v>0</v>
      </c>
      <c r="P40" s="2">
        <f>大谷!O14</f>
        <v>0</v>
      </c>
      <c r="Q40" s="372">
        <f>大谷!P14</f>
        <v>0</v>
      </c>
      <c r="R40" s="315">
        <f t="shared" ref="R40:R42" si="11">SUM(F40:Q40)</f>
        <v>946.60000000000014</v>
      </c>
      <c r="S40" s="49"/>
    </row>
    <row r="41" spans="1:20" x14ac:dyDescent="0.4">
      <c r="A41" s="158"/>
      <c r="B41" s="54"/>
      <c r="D41" s="1" t="s">
        <v>136</v>
      </c>
      <c r="E41" s="1" t="s">
        <v>62</v>
      </c>
      <c r="F41" s="371">
        <f>大谷!E24</f>
        <v>1348.0999999999995</v>
      </c>
      <c r="G41" s="2">
        <f>大谷!F24</f>
        <v>947.5</v>
      </c>
      <c r="H41" s="2">
        <f>大谷!G24</f>
        <v>817.09999999999991</v>
      </c>
      <c r="I41" s="2">
        <f>大谷!H24</f>
        <v>902</v>
      </c>
      <c r="J41" s="2">
        <f>大谷!I24</f>
        <v>1605.7999999999993</v>
      </c>
      <c r="K41" s="2">
        <f>大谷!J24</f>
        <v>607.30000000000018</v>
      </c>
      <c r="L41" s="2">
        <f>大谷!K24</f>
        <v>824.40000000000009</v>
      </c>
      <c r="M41" s="2">
        <f>大谷!L24</f>
        <v>1039.3000000000002</v>
      </c>
      <c r="N41" s="2">
        <f>大谷!M24</f>
        <v>820.69999999999982</v>
      </c>
      <c r="O41" s="2">
        <f>大谷!N24</f>
        <v>0</v>
      </c>
      <c r="P41" s="2">
        <f>大谷!O24</f>
        <v>0</v>
      </c>
      <c r="Q41" s="372">
        <f>大谷!P24</f>
        <v>0</v>
      </c>
      <c r="R41" s="315">
        <f t="shared" si="11"/>
        <v>8912.1999999999989</v>
      </c>
      <c r="S41" s="49"/>
    </row>
    <row r="42" spans="1:20" x14ac:dyDescent="0.4">
      <c r="A42" s="158"/>
      <c r="B42" s="54"/>
      <c r="D42" s="1" t="s">
        <v>130</v>
      </c>
      <c r="E42" s="1" t="s">
        <v>64</v>
      </c>
      <c r="F42" s="371">
        <f>大谷!E34</f>
        <v>329.30000000000007</v>
      </c>
      <c r="G42" s="2">
        <f>大谷!F34</f>
        <v>435.7</v>
      </c>
      <c r="H42" s="2">
        <f>大谷!G34</f>
        <v>231.50000000000003</v>
      </c>
      <c r="I42" s="2">
        <f>大谷!H34</f>
        <v>677</v>
      </c>
      <c r="J42" s="2">
        <f>大谷!I34</f>
        <v>599</v>
      </c>
      <c r="K42" s="2">
        <f>大谷!J34</f>
        <v>382.40000000000003</v>
      </c>
      <c r="L42" s="2">
        <f>大谷!K34</f>
        <v>454.6</v>
      </c>
      <c r="M42" s="2">
        <f>大谷!L34</f>
        <v>278.89999999999998</v>
      </c>
      <c r="N42" s="2">
        <f>大谷!M34</f>
        <v>375.6</v>
      </c>
      <c r="O42" s="2">
        <f>大谷!N34</f>
        <v>0</v>
      </c>
      <c r="P42" s="2">
        <f>大谷!O34</f>
        <v>0</v>
      </c>
      <c r="Q42" s="372">
        <f>大谷!P34</f>
        <v>0</v>
      </c>
      <c r="R42" s="315">
        <f t="shared" si="11"/>
        <v>3764</v>
      </c>
      <c r="S42" s="49"/>
    </row>
    <row r="43" spans="1:20" x14ac:dyDescent="0.4">
      <c r="A43" s="158"/>
      <c r="B43" s="55"/>
      <c r="C43" s="52"/>
      <c r="D43" s="52"/>
      <c r="E43" s="62" t="s">
        <v>21</v>
      </c>
      <c r="F43" s="379">
        <f>SUM(F40:F42)</f>
        <v>1749.7999999999997</v>
      </c>
      <c r="G43" s="380">
        <f t="shared" ref="G43:R43" si="12">SUM(G40:G42)</f>
        <v>1477.0000000000002</v>
      </c>
      <c r="H43" s="380">
        <f t="shared" si="12"/>
        <v>1122.4999999999998</v>
      </c>
      <c r="I43" s="380">
        <f t="shared" si="12"/>
        <v>1752</v>
      </c>
      <c r="J43" s="380">
        <f t="shared" si="12"/>
        <v>2468.7999999999993</v>
      </c>
      <c r="K43" s="380">
        <f t="shared" si="12"/>
        <v>1044.4000000000001</v>
      </c>
      <c r="L43" s="380">
        <f t="shared" si="12"/>
        <v>1308.4000000000001</v>
      </c>
      <c r="M43" s="380">
        <f t="shared" si="12"/>
        <v>1446</v>
      </c>
      <c r="N43" s="380">
        <f t="shared" si="12"/>
        <v>1253.9000000000001</v>
      </c>
      <c r="O43" s="380">
        <f t="shared" si="12"/>
        <v>0</v>
      </c>
      <c r="P43" s="380">
        <f t="shared" si="12"/>
        <v>0</v>
      </c>
      <c r="Q43" s="381">
        <f t="shared" si="12"/>
        <v>0</v>
      </c>
      <c r="R43" s="382">
        <f t="shared" si="12"/>
        <v>13622.8</v>
      </c>
      <c r="S43" s="49"/>
    </row>
    <row r="44" spans="1:20" x14ac:dyDescent="0.4">
      <c r="A44" s="158"/>
      <c r="B44" s="54" t="s">
        <v>56</v>
      </c>
      <c r="C44" s="1" t="s">
        <v>52</v>
      </c>
      <c r="D44" s="1" t="s">
        <v>181</v>
      </c>
      <c r="E44" s="1" t="s">
        <v>182</v>
      </c>
      <c r="F44" s="371">
        <f>宮本!E14</f>
        <v>410</v>
      </c>
      <c r="G44" s="2">
        <f>宮本!F14</f>
        <v>314</v>
      </c>
      <c r="H44" s="2">
        <f>宮本!G14</f>
        <v>249</v>
      </c>
      <c r="I44" s="2">
        <f>宮本!H14</f>
        <v>531</v>
      </c>
      <c r="J44" s="2">
        <f>宮本!I14</f>
        <v>356</v>
      </c>
      <c r="K44" s="2">
        <f>宮本!J14</f>
        <v>439</v>
      </c>
      <c r="L44" s="2">
        <f>宮本!K14</f>
        <v>405</v>
      </c>
      <c r="M44" s="2">
        <f>宮本!L14</f>
        <v>295</v>
      </c>
      <c r="N44" s="2">
        <f>宮本!M14</f>
        <v>254</v>
      </c>
      <c r="O44" s="2">
        <f>宮本!N14</f>
        <v>0</v>
      </c>
      <c r="P44" s="2">
        <f>宮本!O14</f>
        <v>0</v>
      </c>
      <c r="Q44" s="372">
        <f>宮本!P14</f>
        <v>0</v>
      </c>
      <c r="R44" s="315">
        <f t="shared" ref="R44" si="13">SUM(F44:Q44)</f>
        <v>3253</v>
      </c>
      <c r="S44" s="49"/>
    </row>
    <row r="45" spans="1:20" x14ac:dyDescent="0.4">
      <c r="A45" s="158"/>
      <c r="B45" s="54"/>
      <c r="F45" s="371"/>
      <c r="G45" s="2"/>
      <c r="H45" s="2"/>
      <c r="I45" s="2"/>
      <c r="J45" s="2"/>
      <c r="K45" s="2"/>
      <c r="L45" s="2"/>
      <c r="M45" s="2"/>
      <c r="N45" s="2"/>
      <c r="O45" s="2"/>
      <c r="P45" s="2"/>
      <c r="Q45" s="372"/>
      <c r="R45" s="315"/>
      <c r="S45" s="49"/>
    </row>
    <row r="46" spans="1:20" x14ac:dyDescent="0.4">
      <c r="A46" s="158"/>
      <c r="B46" s="54"/>
      <c r="F46" s="371"/>
      <c r="G46" s="2"/>
      <c r="H46" s="2"/>
      <c r="I46" s="2"/>
      <c r="J46" s="2"/>
      <c r="K46" s="2"/>
      <c r="L46" s="2"/>
      <c r="M46" s="2"/>
      <c r="N46" s="2"/>
      <c r="O46" s="2"/>
      <c r="P46" s="2"/>
      <c r="Q46" s="372"/>
      <c r="R46" s="315"/>
      <c r="S46" s="49"/>
    </row>
    <row r="47" spans="1:20" x14ac:dyDescent="0.4">
      <c r="A47" s="158"/>
      <c r="B47" s="55"/>
      <c r="C47" s="52"/>
      <c r="D47" s="52"/>
      <c r="E47" s="62" t="s">
        <v>21</v>
      </c>
      <c r="F47" s="379">
        <f>SUM(F44:F46)</f>
        <v>410</v>
      </c>
      <c r="G47" s="380">
        <f t="shared" ref="G47:R47" si="14">SUM(G44:G46)</f>
        <v>314</v>
      </c>
      <c r="H47" s="380">
        <f t="shared" si="14"/>
        <v>249</v>
      </c>
      <c r="I47" s="380">
        <f t="shared" si="14"/>
        <v>531</v>
      </c>
      <c r="J47" s="380">
        <f t="shared" si="14"/>
        <v>356</v>
      </c>
      <c r="K47" s="380">
        <f t="shared" si="14"/>
        <v>439</v>
      </c>
      <c r="L47" s="380">
        <f t="shared" si="14"/>
        <v>405</v>
      </c>
      <c r="M47" s="380">
        <f t="shared" si="14"/>
        <v>295</v>
      </c>
      <c r="N47" s="380">
        <f t="shared" si="14"/>
        <v>254</v>
      </c>
      <c r="O47" s="380">
        <f t="shared" si="14"/>
        <v>0</v>
      </c>
      <c r="P47" s="380">
        <f t="shared" si="14"/>
        <v>0</v>
      </c>
      <c r="Q47" s="381">
        <f t="shared" si="14"/>
        <v>0</v>
      </c>
      <c r="R47" s="382">
        <f t="shared" si="14"/>
        <v>3253</v>
      </c>
      <c r="S47" s="49"/>
    </row>
    <row r="48" spans="1:20" x14ac:dyDescent="0.4">
      <c r="A48" s="158"/>
      <c r="B48" s="54" t="s">
        <v>57</v>
      </c>
      <c r="C48" s="1" t="s">
        <v>53</v>
      </c>
      <c r="D48" s="1" t="s">
        <v>134</v>
      </c>
      <c r="E48" s="1" t="s">
        <v>66</v>
      </c>
      <c r="F48" s="371">
        <f ca="1">深串!E14</f>
        <v>827.39999999999964</v>
      </c>
      <c r="G48" s="2">
        <f ca="1">深串!F14</f>
        <v>0</v>
      </c>
      <c r="H48" s="2">
        <f ca="1">深串!G14</f>
        <v>0</v>
      </c>
      <c r="I48" s="2">
        <f ca="1">深串!H14</f>
        <v>0</v>
      </c>
      <c r="J48" s="2">
        <f ca="1">深串!I14</f>
        <v>0</v>
      </c>
      <c r="K48" s="2">
        <f ca="1">深串!J14</f>
        <v>0</v>
      </c>
      <c r="L48" s="2">
        <f ca="1">深串!K14</f>
        <v>0</v>
      </c>
      <c r="M48" s="2">
        <f ca="1">深串!L14</f>
        <v>0</v>
      </c>
      <c r="N48" s="2">
        <f ca="1">深串!M14</f>
        <v>0</v>
      </c>
      <c r="O48" s="2">
        <f ca="1">深串!N14</f>
        <v>0</v>
      </c>
      <c r="P48" s="2">
        <f ca="1">深串!O14</f>
        <v>0</v>
      </c>
      <c r="Q48" s="372">
        <f ca="1">深串!P14</f>
        <v>0</v>
      </c>
      <c r="R48" s="315">
        <f ca="1">SUM(F48:Q48)</f>
        <v>827.39999999999964</v>
      </c>
      <c r="S48" s="49"/>
    </row>
    <row r="49" spans="1:19" x14ac:dyDescent="0.4">
      <c r="A49" s="158"/>
      <c r="B49" s="54"/>
      <c r="D49" s="1" t="s">
        <v>134</v>
      </c>
      <c r="E49" s="1" t="s">
        <v>128</v>
      </c>
      <c r="F49" s="371">
        <f ca="1">深串!E24</f>
        <v>113.59999999999991</v>
      </c>
      <c r="G49" s="2">
        <f ca="1">深串!F24</f>
        <v>169.05999999999995</v>
      </c>
      <c r="H49" s="2">
        <f ca="1">深串!G24</f>
        <v>0</v>
      </c>
      <c r="I49" s="2">
        <f ca="1">深串!H24</f>
        <v>0</v>
      </c>
      <c r="J49" s="2">
        <f ca="1">深串!I24</f>
        <v>0</v>
      </c>
      <c r="K49" s="2">
        <f ca="1">深串!J24</f>
        <v>0</v>
      </c>
      <c r="L49" s="2">
        <f ca="1">深串!K24</f>
        <v>0</v>
      </c>
      <c r="M49" s="2">
        <f ca="1">深串!L24</f>
        <v>0</v>
      </c>
      <c r="N49" s="2">
        <f ca="1">深串!M24</f>
        <v>0</v>
      </c>
      <c r="O49" s="2">
        <f ca="1">深串!N24</f>
        <v>0</v>
      </c>
      <c r="P49" s="2">
        <f ca="1">深串!O24</f>
        <v>0</v>
      </c>
      <c r="Q49" s="372">
        <f ca="1">深串!P24</f>
        <v>0</v>
      </c>
      <c r="R49" s="315">
        <f t="shared" ref="R49:R50" ca="1" si="15">SUM(F49:Q49)</f>
        <v>282.65999999999985</v>
      </c>
      <c r="S49" s="49"/>
    </row>
    <row r="50" spans="1:19" x14ac:dyDescent="0.4">
      <c r="A50" s="158"/>
      <c r="B50" s="54"/>
      <c r="D50" s="1" t="s">
        <v>135</v>
      </c>
      <c r="E50" s="1" t="s">
        <v>62</v>
      </c>
      <c r="F50" s="371">
        <f ca="1">深串!E34</f>
        <v>1656.9551576000003</v>
      </c>
      <c r="G50" s="2">
        <f ca="1">深串!F34</f>
        <v>3755.2732799999994</v>
      </c>
      <c r="H50" s="2">
        <f ca="1">深串!G34</f>
        <v>1304.576</v>
      </c>
      <c r="I50" s="2">
        <f ca="1">深串!H34</f>
        <v>0</v>
      </c>
      <c r="J50" s="2">
        <f ca="1">深串!I34</f>
        <v>0</v>
      </c>
      <c r="K50" s="2">
        <f ca="1">深串!J34</f>
        <v>0</v>
      </c>
      <c r="L50" s="2">
        <f ca="1">深串!K34</f>
        <v>0</v>
      </c>
      <c r="M50" s="2">
        <f ca="1">深串!L34</f>
        <v>0</v>
      </c>
      <c r="N50" s="2">
        <f ca="1">深串!M34</f>
        <v>0</v>
      </c>
      <c r="O50" s="2">
        <f ca="1">深串!N34</f>
        <v>0</v>
      </c>
      <c r="P50" s="2">
        <f ca="1">深串!O34</f>
        <v>0</v>
      </c>
      <c r="Q50" s="372">
        <f ca="1">深串!P34</f>
        <v>0</v>
      </c>
      <c r="R50" s="315">
        <f t="shared" ca="1" si="15"/>
        <v>6716.8044375999998</v>
      </c>
      <c r="S50" s="49"/>
    </row>
    <row r="51" spans="1:19" x14ac:dyDescent="0.4">
      <c r="A51" s="158"/>
      <c r="B51" s="55"/>
      <c r="C51" s="52"/>
      <c r="D51" s="52"/>
      <c r="E51" s="62" t="s">
        <v>21</v>
      </c>
      <c r="F51" s="379">
        <f ca="1">SUM(F48:F50)</f>
        <v>2597.9551575999999</v>
      </c>
      <c r="G51" s="380">
        <f t="shared" ref="G51:Q51" ca="1" si="16">SUM(G48:G50)</f>
        <v>3924.3332799999994</v>
      </c>
      <c r="H51" s="380">
        <f t="shared" ca="1" si="16"/>
        <v>1304.576</v>
      </c>
      <c r="I51" s="380">
        <f t="shared" ca="1" si="16"/>
        <v>0</v>
      </c>
      <c r="J51" s="380">
        <f t="shared" ca="1" si="16"/>
        <v>0</v>
      </c>
      <c r="K51" s="380">
        <f t="shared" ca="1" si="16"/>
        <v>0</v>
      </c>
      <c r="L51" s="380">
        <f t="shared" ca="1" si="16"/>
        <v>0</v>
      </c>
      <c r="M51" s="380">
        <f t="shared" ca="1" si="16"/>
        <v>0</v>
      </c>
      <c r="N51" s="380">
        <f t="shared" ca="1" si="16"/>
        <v>0</v>
      </c>
      <c r="O51" s="380">
        <f t="shared" ca="1" si="16"/>
        <v>0</v>
      </c>
      <c r="P51" s="380">
        <f t="shared" ca="1" si="16"/>
        <v>0</v>
      </c>
      <c r="Q51" s="381">
        <f t="shared" ca="1" si="16"/>
        <v>0</v>
      </c>
      <c r="R51" s="382">
        <f ca="1">SUM(R48:R50)</f>
        <v>7826.8644375999993</v>
      </c>
      <c r="S51" s="49"/>
    </row>
    <row r="52" spans="1:19" x14ac:dyDescent="0.4">
      <c r="A52" s="158"/>
      <c r="B52" s="54" t="s">
        <v>57</v>
      </c>
      <c r="C52" s="1" t="s">
        <v>54</v>
      </c>
      <c r="D52" s="1" t="s">
        <v>130</v>
      </c>
      <c r="E52" s="1" t="s">
        <v>131</v>
      </c>
      <c r="F52" s="371">
        <f ca="1">前川!E14</f>
        <v>381.70100000000002</v>
      </c>
      <c r="G52" s="2">
        <f ca="1">前川!F14</f>
        <v>165.78399999999999</v>
      </c>
      <c r="H52" s="2">
        <f ca="1">前川!G14</f>
        <v>0</v>
      </c>
      <c r="I52" s="2">
        <f ca="1">前川!H14</f>
        <v>0</v>
      </c>
      <c r="J52" s="2">
        <f ca="1">前川!I14</f>
        <v>0</v>
      </c>
      <c r="K52" s="2">
        <f ca="1">前川!J14</f>
        <v>0</v>
      </c>
      <c r="L52" s="2">
        <f ca="1">前川!K14</f>
        <v>0</v>
      </c>
      <c r="M52" s="2">
        <f ca="1">前川!L14</f>
        <v>0</v>
      </c>
      <c r="N52" s="2">
        <f ca="1">前川!M14</f>
        <v>0</v>
      </c>
      <c r="O52" s="2">
        <f ca="1">前川!N14</f>
        <v>0</v>
      </c>
      <c r="P52" s="2">
        <f ca="1">前川!O14</f>
        <v>0</v>
      </c>
      <c r="Q52" s="372">
        <f ca="1">前川!P14</f>
        <v>0</v>
      </c>
      <c r="R52" s="315">
        <f t="shared" ref="R52:R54" ca="1" si="17">SUM(F52:Q52)</f>
        <v>547.48500000000001</v>
      </c>
      <c r="S52" s="49"/>
    </row>
    <row r="53" spans="1:19" x14ac:dyDescent="0.4">
      <c r="A53" s="158"/>
      <c r="B53" s="54"/>
      <c r="D53" s="1" t="s">
        <v>58</v>
      </c>
      <c r="E53" s="1" t="s">
        <v>137</v>
      </c>
      <c r="F53" s="371">
        <f ca="1">前川!E24</f>
        <v>138.14967439999964</v>
      </c>
      <c r="G53" s="2">
        <f ca="1">前川!F24</f>
        <v>282.78778070000135</v>
      </c>
      <c r="H53" s="2">
        <f ca="1">前川!G24</f>
        <v>0</v>
      </c>
      <c r="I53" s="2">
        <f ca="1">前川!H24</f>
        <v>0</v>
      </c>
      <c r="J53" s="2">
        <f ca="1">前川!I24</f>
        <v>0</v>
      </c>
      <c r="K53" s="2">
        <f ca="1">前川!J24</f>
        <v>0</v>
      </c>
      <c r="L53" s="2">
        <f ca="1">前川!K24</f>
        <v>0</v>
      </c>
      <c r="M53" s="2">
        <f ca="1">前川!L24</f>
        <v>0</v>
      </c>
      <c r="N53" s="2">
        <f ca="1">前川!M24</f>
        <v>0</v>
      </c>
      <c r="O53" s="2">
        <f ca="1">前川!N24</f>
        <v>0</v>
      </c>
      <c r="P53" s="2">
        <f ca="1">前川!O24</f>
        <v>0</v>
      </c>
      <c r="Q53" s="372">
        <f ca="1">前川!P24</f>
        <v>0</v>
      </c>
      <c r="R53" s="315">
        <f t="shared" ca="1" si="17"/>
        <v>420.93745510000099</v>
      </c>
      <c r="S53" s="49"/>
    </row>
    <row r="54" spans="1:19" x14ac:dyDescent="0.4">
      <c r="A54" s="158"/>
      <c r="B54" s="54"/>
      <c r="D54" s="1" t="s">
        <v>58</v>
      </c>
      <c r="E54" s="1" t="s">
        <v>138</v>
      </c>
      <c r="F54" s="371">
        <f ca="1">前川!E34</f>
        <v>531.88283950000186</v>
      </c>
      <c r="G54" s="2">
        <f ca="1">前川!F34</f>
        <v>1131.9591075000044</v>
      </c>
      <c r="H54" s="2">
        <f ca="1">前川!G34</f>
        <v>0</v>
      </c>
      <c r="I54" s="2">
        <f ca="1">前川!H34</f>
        <v>0</v>
      </c>
      <c r="J54" s="2">
        <f ca="1">前川!I34</f>
        <v>0</v>
      </c>
      <c r="K54" s="2">
        <f ca="1">前川!J34</f>
        <v>0</v>
      </c>
      <c r="L54" s="2">
        <f ca="1">前川!K34</f>
        <v>0</v>
      </c>
      <c r="M54" s="2">
        <f ca="1">前川!L34</f>
        <v>0</v>
      </c>
      <c r="N54" s="2">
        <f ca="1">前川!M34</f>
        <v>0</v>
      </c>
      <c r="O54" s="2">
        <f ca="1">前川!N34</f>
        <v>0</v>
      </c>
      <c r="P54" s="2">
        <f ca="1">前川!O34</f>
        <v>0</v>
      </c>
      <c r="Q54" s="372">
        <f ca="1">前川!P34</f>
        <v>0</v>
      </c>
      <c r="R54" s="315">
        <f t="shared" ca="1" si="17"/>
        <v>1663.8419470000063</v>
      </c>
      <c r="S54" s="49"/>
    </row>
    <row r="55" spans="1:19" x14ac:dyDescent="0.4">
      <c r="A55" s="158"/>
      <c r="B55" s="55"/>
      <c r="C55" s="52"/>
      <c r="D55" s="52"/>
      <c r="E55" s="62" t="s">
        <v>21</v>
      </c>
      <c r="F55" s="379">
        <f ca="1">SUM(F52:F54)</f>
        <v>1051.7335139000015</v>
      </c>
      <c r="G55" s="380">
        <f t="shared" ref="G55:Q55" ca="1" si="18">SUM(G52:G54)</f>
        <v>1580.5308882000058</v>
      </c>
      <c r="H55" s="380">
        <f t="shared" ca="1" si="18"/>
        <v>0</v>
      </c>
      <c r="I55" s="380">
        <f t="shared" ca="1" si="18"/>
        <v>0</v>
      </c>
      <c r="J55" s="380">
        <f t="shared" ca="1" si="18"/>
        <v>0</v>
      </c>
      <c r="K55" s="380">
        <f t="shared" ca="1" si="18"/>
        <v>0</v>
      </c>
      <c r="L55" s="380">
        <f t="shared" ca="1" si="18"/>
        <v>0</v>
      </c>
      <c r="M55" s="380">
        <f t="shared" ca="1" si="18"/>
        <v>0</v>
      </c>
      <c r="N55" s="380">
        <f t="shared" ca="1" si="18"/>
        <v>0</v>
      </c>
      <c r="O55" s="380">
        <f t="shared" ca="1" si="18"/>
        <v>0</v>
      </c>
      <c r="P55" s="380">
        <f t="shared" ca="1" si="18"/>
        <v>0</v>
      </c>
      <c r="Q55" s="381">
        <f t="shared" ca="1" si="18"/>
        <v>0</v>
      </c>
      <c r="R55" s="382">
        <f ca="1">SUM(R52:R54)</f>
        <v>2632.2644021000074</v>
      </c>
      <c r="S55" s="49"/>
    </row>
    <row r="56" spans="1:19" x14ac:dyDescent="0.4">
      <c r="A56" s="158"/>
      <c r="B56" s="54" t="s">
        <v>57</v>
      </c>
      <c r="C56" s="1" t="s">
        <v>55</v>
      </c>
      <c r="D56" s="1" t="s">
        <v>130</v>
      </c>
      <c r="E56" s="1" t="s">
        <v>137</v>
      </c>
      <c r="F56" s="371">
        <f ca="1">千葉!E14</f>
        <v>306.96035020000005</v>
      </c>
      <c r="G56" s="2">
        <f ca="1">千葉!F14</f>
        <v>2138.0257177000008</v>
      </c>
      <c r="H56" s="2">
        <f ca="1">千葉!G14</f>
        <v>0</v>
      </c>
      <c r="I56" s="2">
        <f ca="1">千葉!H14</f>
        <v>0</v>
      </c>
      <c r="J56" s="2">
        <f ca="1">千葉!I14</f>
        <v>0</v>
      </c>
      <c r="K56" s="2">
        <f ca="1">千葉!J14</f>
        <v>0</v>
      </c>
      <c r="L56" s="2">
        <f ca="1">千葉!K14</f>
        <v>0</v>
      </c>
      <c r="M56" s="2">
        <f ca="1">千葉!L14</f>
        <v>0</v>
      </c>
      <c r="N56" s="2">
        <f ca="1">千葉!M14</f>
        <v>0</v>
      </c>
      <c r="O56" s="2">
        <f ca="1">千葉!N14</f>
        <v>0</v>
      </c>
      <c r="P56" s="2">
        <f ca="1">千葉!O14</f>
        <v>0</v>
      </c>
      <c r="Q56" s="372">
        <f ca="1">千葉!P14</f>
        <v>0</v>
      </c>
      <c r="R56" s="315">
        <f t="shared" ref="R56:R58" ca="1" si="19">SUM(F56:Q56)</f>
        <v>2444.9860679000008</v>
      </c>
      <c r="S56" s="49"/>
    </row>
    <row r="57" spans="1:19" x14ac:dyDescent="0.4">
      <c r="A57" s="158"/>
      <c r="B57" s="54"/>
      <c r="D57" s="1" t="s">
        <v>130</v>
      </c>
      <c r="E57" s="1" t="s">
        <v>138</v>
      </c>
      <c r="F57" s="371">
        <f ca="1">千葉!E24</f>
        <v>100.9215129</v>
      </c>
      <c r="G57" s="2">
        <f ca="1">千葉!F24</f>
        <v>2111.6160352999996</v>
      </c>
      <c r="H57" s="2">
        <f ca="1">千葉!G24</f>
        <v>0</v>
      </c>
      <c r="I57" s="2">
        <f ca="1">千葉!H24</f>
        <v>0</v>
      </c>
      <c r="J57" s="2">
        <f ca="1">千葉!I24</f>
        <v>0</v>
      </c>
      <c r="K57" s="2">
        <f ca="1">千葉!J24</f>
        <v>0</v>
      </c>
      <c r="L57" s="2">
        <f ca="1">千葉!K24</f>
        <v>0</v>
      </c>
      <c r="M57" s="2">
        <f ca="1">千葉!L24</f>
        <v>0</v>
      </c>
      <c r="N57" s="2">
        <f ca="1">千葉!M24</f>
        <v>0</v>
      </c>
      <c r="O57" s="2">
        <f ca="1">千葉!N24</f>
        <v>0</v>
      </c>
      <c r="P57" s="2">
        <f ca="1">千葉!O24</f>
        <v>0</v>
      </c>
      <c r="Q57" s="372">
        <f ca="1">千葉!P24</f>
        <v>0</v>
      </c>
      <c r="R57" s="315">
        <f t="shared" ca="1" si="19"/>
        <v>2212.5375481999995</v>
      </c>
      <c r="S57" s="49"/>
    </row>
    <row r="58" spans="1:19" x14ac:dyDescent="0.4">
      <c r="A58" s="158"/>
      <c r="B58" s="54"/>
      <c r="D58" s="1" t="s">
        <v>130</v>
      </c>
      <c r="E58" s="1" t="s">
        <v>176</v>
      </c>
      <c r="F58" s="371">
        <f ca="1">千葉!E34</f>
        <v>290.65978510000014</v>
      </c>
      <c r="G58" s="2">
        <f ca="1">千葉!F34</f>
        <v>0</v>
      </c>
      <c r="H58" s="2">
        <f ca="1">千葉!G34</f>
        <v>0</v>
      </c>
      <c r="I58" s="2">
        <f ca="1">千葉!H34</f>
        <v>0</v>
      </c>
      <c r="J58" s="2">
        <f ca="1">千葉!I34</f>
        <v>0</v>
      </c>
      <c r="K58" s="2">
        <f ca="1">千葉!J34</f>
        <v>0</v>
      </c>
      <c r="L58" s="2">
        <f ca="1">千葉!K34</f>
        <v>0</v>
      </c>
      <c r="M58" s="2">
        <f ca="1">千葉!L34</f>
        <v>0</v>
      </c>
      <c r="N58" s="2">
        <f ca="1">千葉!M34</f>
        <v>0</v>
      </c>
      <c r="O58" s="2">
        <f ca="1">千葉!N34</f>
        <v>0</v>
      </c>
      <c r="P58" s="2">
        <f ca="1">千葉!O34</f>
        <v>0</v>
      </c>
      <c r="Q58" s="372">
        <f ca="1">千葉!P34</f>
        <v>0</v>
      </c>
      <c r="R58" s="315">
        <f t="shared" ca="1" si="19"/>
        <v>290.65978510000014</v>
      </c>
      <c r="S58" s="49"/>
    </row>
    <row r="59" spans="1:19" x14ac:dyDescent="0.4">
      <c r="A59" s="158"/>
      <c r="B59" s="55"/>
      <c r="C59" s="52"/>
      <c r="D59" s="52"/>
      <c r="E59" s="62" t="s">
        <v>21</v>
      </c>
      <c r="F59" s="379">
        <f ca="1">SUM(F56:F58)</f>
        <v>698.54164820000017</v>
      </c>
      <c r="G59" s="380">
        <f t="shared" ref="G59:R59" ca="1" si="20">SUM(G56:G58)</f>
        <v>4249.6417529999999</v>
      </c>
      <c r="H59" s="380">
        <f t="shared" ca="1" si="20"/>
        <v>0</v>
      </c>
      <c r="I59" s="380">
        <f t="shared" ca="1" si="20"/>
        <v>0</v>
      </c>
      <c r="J59" s="380">
        <f t="shared" ca="1" si="20"/>
        <v>0</v>
      </c>
      <c r="K59" s="380">
        <f t="shared" ca="1" si="20"/>
        <v>0</v>
      </c>
      <c r="L59" s="380">
        <f t="shared" ca="1" si="20"/>
        <v>0</v>
      </c>
      <c r="M59" s="380">
        <f t="shared" ca="1" si="20"/>
        <v>0</v>
      </c>
      <c r="N59" s="380">
        <f t="shared" ca="1" si="20"/>
        <v>0</v>
      </c>
      <c r="O59" s="380">
        <f t="shared" ca="1" si="20"/>
        <v>0</v>
      </c>
      <c r="P59" s="380">
        <f t="shared" ca="1" si="20"/>
        <v>0</v>
      </c>
      <c r="Q59" s="381">
        <f t="shared" ca="1" si="20"/>
        <v>0</v>
      </c>
      <c r="R59" s="382">
        <f t="shared" ca="1" si="20"/>
        <v>4948.1834011999999</v>
      </c>
      <c r="S59" s="49"/>
    </row>
    <row r="60" spans="1:19" x14ac:dyDescent="0.4">
      <c r="A60" s="158"/>
      <c r="B60" s="54" t="s">
        <v>57</v>
      </c>
      <c r="C60" s="1" t="s">
        <v>187</v>
      </c>
      <c r="D60" s="1" t="s">
        <v>130</v>
      </c>
      <c r="E60" s="1" t="s">
        <v>66</v>
      </c>
      <c r="F60" s="371">
        <f ca="1">中国!E14</f>
        <v>0</v>
      </c>
      <c r="G60" s="2">
        <f ca="1">中国!F14</f>
        <v>0</v>
      </c>
      <c r="H60" s="2">
        <f ca="1">中国!G14</f>
        <v>0</v>
      </c>
      <c r="I60" s="2">
        <f ca="1">中国!H14</f>
        <v>0</v>
      </c>
      <c r="J60" s="2">
        <f ca="1">中国!I14</f>
        <v>0</v>
      </c>
      <c r="K60" s="2">
        <f ca="1">中国!J14</f>
        <v>0</v>
      </c>
      <c r="L60" s="2">
        <f ca="1">中国!K14</f>
        <v>0</v>
      </c>
      <c r="M60" s="2">
        <f ca="1">中国!L14</f>
        <v>0</v>
      </c>
      <c r="N60" s="2">
        <f ca="1">中国!M14</f>
        <v>0</v>
      </c>
      <c r="O60" s="2">
        <f ca="1">中国!N14</f>
        <v>0</v>
      </c>
      <c r="P60" s="2">
        <f ca="1">中国!O14</f>
        <v>0</v>
      </c>
      <c r="Q60" s="372">
        <f ca="1">中国!P14</f>
        <v>0</v>
      </c>
      <c r="R60" s="315">
        <f t="shared" ref="R60:R62" ca="1" si="21">SUM(F60:Q60)</f>
        <v>0</v>
      </c>
      <c r="S60" s="49"/>
    </row>
    <row r="61" spans="1:19" x14ac:dyDescent="0.4">
      <c r="A61" s="158"/>
      <c r="B61" s="54"/>
      <c r="C61" s="1" t="s">
        <v>187</v>
      </c>
      <c r="D61" s="1" t="s">
        <v>130</v>
      </c>
      <c r="E61" s="1" t="s">
        <v>133</v>
      </c>
      <c r="F61" s="371">
        <f ca="1">中国!E24</f>
        <v>0</v>
      </c>
      <c r="G61" s="2">
        <f ca="1">中国!F24</f>
        <v>0</v>
      </c>
      <c r="H61" s="2">
        <f ca="1">中国!G24</f>
        <v>0</v>
      </c>
      <c r="I61" s="2">
        <f ca="1">中国!H24</f>
        <v>0</v>
      </c>
      <c r="J61" s="2">
        <f ca="1">中国!I24</f>
        <v>0</v>
      </c>
      <c r="K61" s="2">
        <f ca="1">中国!J24</f>
        <v>0</v>
      </c>
      <c r="L61" s="2">
        <f ca="1">中国!K24</f>
        <v>0</v>
      </c>
      <c r="M61" s="2">
        <f ca="1">中国!L24</f>
        <v>0</v>
      </c>
      <c r="N61" s="2">
        <f ca="1">中国!M24</f>
        <v>0</v>
      </c>
      <c r="O61" s="2">
        <f ca="1">中国!N24</f>
        <v>0</v>
      </c>
      <c r="P61" s="2">
        <f ca="1">中国!O24</f>
        <v>0</v>
      </c>
      <c r="Q61" s="372">
        <f ca="1">中国!P24</f>
        <v>0</v>
      </c>
      <c r="R61" s="315">
        <f t="shared" ca="1" si="21"/>
        <v>0</v>
      </c>
      <c r="S61" s="49"/>
    </row>
    <row r="62" spans="1:19" x14ac:dyDescent="0.4">
      <c r="A62" s="158"/>
      <c r="B62" s="54"/>
      <c r="C62" s="1" t="s">
        <v>172</v>
      </c>
      <c r="D62" s="1" t="s">
        <v>130</v>
      </c>
      <c r="E62" s="1" t="s">
        <v>172</v>
      </c>
      <c r="F62" s="371">
        <f ca="1">VVR!E14</f>
        <v>75.39100000000002</v>
      </c>
      <c r="G62" s="2">
        <f ca="1">VVR!F14</f>
        <v>64.766999999999996</v>
      </c>
      <c r="H62" s="2">
        <f ca="1">VVR!G14</f>
        <v>0</v>
      </c>
      <c r="I62" s="2">
        <f ca="1">VVR!H14</f>
        <v>0</v>
      </c>
      <c r="J62" s="2">
        <f ca="1">VVR!I14</f>
        <v>0</v>
      </c>
      <c r="K62" s="2">
        <f ca="1">VVR!J14</f>
        <v>0</v>
      </c>
      <c r="L62" s="2">
        <f ca="1">VVR!K14</f>
        <v>0</v>
      </c>
      <c r="M62" s="2">
        <f ca="1">VVR!L14</f>
        <v>0</v>
      </c>
      <c r="N62" s="2">
        <f ca="1">VVR!M14</f>
        <v>0</v>
      </c>
      <c r="O62" s="2">
        <f ca="1">VVR!N14</f>
        <v>0</v>
      </c>
      <c r="P62" s="2">
        <f ca="1">VVR!O14</f>
        <v>0</v>
      </c>
      <c r="Q62" s="372">
        <f ca="1">VVR!P14</f>
        <v>0</v>
      </c>
      <c r="R62" s="315">
        <f t="shared" ca="1" si="21"/>
        <v>140.15800000000002</v>
      </c>
      <c r="S62" s="49"/>
    </row>
    <row r="63" spans="1:19" x14ac:dyDescent="0.4">
      <c r="A63" s="158"/>
      <c r="B63" s="55"/>
      <c r="C63" s="52"/>
      <c r="D63" s="52"/>
      <c r="E63" s="62" t="s">
        <v>21</v>
      </c>
      <c r="F63" s="379">
        <f ca="1">SUM(F60:F62)</f>
        <v>75.39100000000002</v>
      </c>
      <c r="G63" s="380">
        <f t="shared" ref="G63:R63" ca="1" si="22">SUM(G60:G62)</f>
        <v>64.766999999999996</v>
      </c>
      <c r="H63" s="380">
        <f t="shared" ca="1" si="22"/>
        <v>0</v>
      </c>
      <c r="I63" s="380">
        <f t="shared" ca="1" si="22"/>
        <v>0</v>
      </c>
      <c r="J63" s="380">
        <f t="shared" ca="1" si="22"/>
        <v>0</v>
      </c>
      <c r="K63" s="380">
        <f t="shared" ca="1" si="22"/>
        <v>0</v>
      </c>
      <c r="L63" s="380">
        <f t="shared" ca="1" si="22"/>
        <v>0</v>
      </c>
      <c r="M63" s="380">
        <f t="shared" ca="1" si="22"/>
        <v>0</v>
      </c>
      <c r="N63" s="380">
        <f t="shared" ca="1" si="22"/>
        <v>0</v>
      </c>
      <c r="O63" s="380">
        <f t="shared" ca="1" si="22"/>
        <v>0</v>
      </c>
      <c r="P63" s="380">
        <f t="shared" ca="1" si="22"/>
        <v>0</v>
      </c>
      <c r="Q63" s="381">
        <f t="shared" ca="1" si="22"/>
        <v>0</v>
      </c>
      <c r="R63" s="382">
        <f t="shared" ca="1" si="22"/>
        <v>140.15800000000002</v>
      </c>
      <c r="S63" s="49"/>
    </row>
    <row r="64" spans="1:19" x14ac:dyDescent="0.4">
      <c r="A64" s="158"/>
      <c r="B64" s="54" t="s">
        <v>57</v>
      </c>
      <c r="C64" s="1" t="s">
        <v>185</v>
      </c>
      <c r="D64" s="1" t="s">
        <v>178</v>
      </c>
      <c r="E64" s="1" t="s">
        <v>66</v>
      </c>
      <c r="F64" s="371">
        <f ca="1">新規1!E14</f>
        <v>0</v>
      </c>
      <c r="G64" s="2">
        <f ca="1">新規1!F14</f>
        <v>0</v>
      </c>
      <c r="H64" s="2">
        <f ca="1">新規1!G14</f>
        <v>0</v>
      </c>
      <c r="I64" s="2">
        <f ca="1">新規1!H14</f>
        <v>0</v>
      </c>
      <c r="J64" s="2">
        <f ca="1">新規1!I14</f>
        <v>0</v>
      </c>
      <c r="K64" s="2">
        <f ca="1">新規1!J14</f>
        <v>0</v>
      </c>
      <c r="L64" s="2">
        <f ca="1">新規1!K14</f>
        <v>0</v>
      </c>
      <c r="M64" s="2">
        <f ca="1">新規1!L14</f>
        <v>0</v>
      </c>
      <c r="N64" s="2">
        <f ca="1">新規1!M14</f>
        <v>0</v>
      </c>
      <c r="O64" s="2">
        <f ca="1">新規1!N14</f>
        <v>0</v>
      </c>
      <c r="P64" s="2">
        <f ca="1">新規1!O14</f>
        <v>0</v>
      </c>
      <c r="Q64" s="372">
        <f ca="1">新規1!P14</f>
        <v>0</v>
      </c>
      <c r="R64" s="315">
        <f t="shared" ref="R64:R66" ca="1" si="23">SUM(F64:Q64)</f>
        <v>0</v>
      </c>
      <c r="S64" s="49"/>
    </row>
    <row r="65" spans="1:19" x14ac:dyDescent="0.4">
      <c r="A65" s="158"/>
      <c r="B65" s="54"/>
      <c r="C65" s="1" t="s">
        <v>185</v>
      </c>
      <c r="D65" s="1" t="s">
        <v>140</v>
      </c>
      <c r="E65" s="1" t="s">
        <v>61</v>
      </c>
      <c r="F65" s="371">
        <f ca="1">新規1!E24</f>
        <v>0</v>
      </c>
      <c r="G65" s="2">
        <f ca="1">新規1!F24</f>
        <v>0</v>
      </c>
      <c r="H65" s="2">
        <f ca="1">新規1!G24</f>
        <v>0</v>
      </c>
      <c r="I65" s="2">
        <f ca="1">新規1!H24</f>
        <v>0</v>
      </c>
      <c r="J65" s="2">
        <f ca="1">新規1!I24</f>
        <v>0</v>
      </c>
      <c r="K65" s="2">
        <f ca="1">新規1!J24</f>
        <v>0</v>
      </c>
      <c r="L65" s="2">
        <f ca="1">新規1!K24</f>
        <v>0</v>
      </c>
      <c r="M65" s="2">
        <f ca="1">新規1!L24</f>
        <v>0</v>
      </c>
      <c r="N65" s="2">
        <f ca="1">新規1!M24</f>
        <v>0</v>
      </c>
      <c r="O65" s="2">
        <f ca="1">新規1!N24</f>
        <v>0</v>
      </c>
      <c r="P65" s="2">
        <f ca="1">新規1!O24</f>
        <v>0</v>
      </c>
      <c r="Q65" s="372">
        <f ca="1">新規1!P24</f>
        <v>0</v>
      </c>
      <c r="R65" s="315">
        <f t="shared" ca="1" si="23"/>
        <v>0</v>
      </c>
      <c r="S65" s="49"/>
    </row>
    <row r="66" spans="1:19" x14ac:dyDescent="0.4">
      <c r="A66" s="158"/>
      <c r="B66" s="54"/>
      <c r="C66" s="1" t="s">
        <v>186</v>
      </c>
      <c r="D66" s="1" t="s">
        <v>179</v>
      </c>
      <c r="E66" s="1" t="s">
        <v>180</v>
      </c>
      <c r="F66" s="371">
        <f>新規2!E34</f>
        <v>0</v>
      </c>
      <c r="G66" s="2">
        <f>新規2!F34</f>
        <v>0</v>
      </c>
      <c r="H66" s="2">
        <f>新規2!G34</f>
        <v>0</v>
      </c>
      <c r="I66" s="2">
        <f>新規2!H34</f>
        <v>0</v>
      </c>
      <c r="J66" s="2">
        <f>新規2!I34</f>
        <v>0</v>
      </c>
      <c r="K66" s="2">
        <f>新規2!J34</f>
        <v>0</v>
      </c>
      <c r="L66" s="2">
        <f>新規2!K34</f>
        <v>0</v>
      </c>
      <c r="M66" s="2">
        <f>新規2!L34</f>
        <v>0</v>
      </c>
      <c r="N66" s="2">
        <f>新規2!M34</f>
        <v>0</v>
      </c>
      <c r="O66" s="2">
        <f>新規2!N34</f>
        <v>0</v>
      </c>
      <c r="P66" s="2">
        <f>新規2!O34</f>
        <v>0</v>
      </c>
      <c r="Q66" s="372">
        <f>新規2!P34</f>
        <v>0</v>
      </c>
      <c r="R66" s="315">
        <f t="shared" si="23"/>
        <v>0</v>
      </c>
      <c r="S66" s="49"/>
    </row>
    <row r="67" spans="1:19" x14ac:dyDescent="0.4">
      <c r="A67" s="159"/>
      <c r="B67" s="50"/>
      <c r="C67" s="46"/>
      <c r="D67" s="46"/>
      <c r="E67" s="63" t="s">
        <v>21</v>
      </c>
      <c r="F67" s="383">
        <f ca="1">SUM(F64:F66)</f>
        <v>0</v>
      </c>
      <c r="G67" s="384">
        <f t="shared" ref="G67:R67" ca="1" si="24">SUM(G64:G66)</f>
        <v>0</v>
      </c>
      <c r="H67" s="384">
        <f t="shared" ca="1" si="24"/>
        <v>0</v>
      </c>
      <c r="I67" s="384">
        <f t="shared" ca="1" si="24"/>
        <v>0</v>
      </c>
      <c r="J67" s="384">
        <f t="shared" ca="1" si="24"/>
        <v>0</v>
      </c>
      <c r="K67" s="384">
        <f t="shared" ca="1" si="24"/>
        <v>0</v>
      </c>
      <c r="L67" s="384">
        <f t="shared" ca="1" si="24"/>
        <v>0</v>
      </c>
      <c r="M67" s="384">
        <f t="shared" ca="1" si="24"/>
        <v>0</v>
      </c>
      <c r="N67" s="384">
        <f t="shared" ca="1" si="24"/>
        <v>0</v>
      </c>
      <c r="O67" s="384">
        <f t="shared" ca="1" si="24"/>
        <v>0</v>
      </c>
      <c r="P67" s="384">
        <f t="shared" ca="1" si="24"/>
        <v>0</v>
      </c>
      <c r="Q67" s="385">
        <f t="shared" ca="1" si="24"/>
        <v>0</v>
      </c>
      <c r="R67" s="386">
        <f t="shared" ca="1" si="24"/>
        <v>0</v>
      </c>
      <c r="S67" s="49"/>
    </row>
  </sheetData>
  <mergeCells count="4">
    <mergeCell ref="S5:T5"/>
    <mergeCell ref="S6:T6"/>
    <mergeCell ref="S38:T38"/>
    <mergeCell ref="S39:T39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2F613-6D18-4B41-86ED-A62CB95A8FFF}">
  <sheetPr codeName="Sheet4"/>
  <dimension ref="A1:S59"/>
  <sheetViews>
    <sheetView showGridLines="0" topLeftCell="J1" zoomScale="80" zoomScaleNormal="80" workbookViewId="0">
      <selection activeCell="L15" sqref="L15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50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>
      <c r="H4" s="388"/>
    </row>
    <row r="5" spans="1:19" ht="19.5" customHeight="1" thickBot="1" x14ac:dyDescent="0.45">
      <c r="A5" s="467" t="s">
        <v>34</v>
      </c>
      <c r="B5" s="468"/>
      <c r="C5" s="442" t="s">
        <v>392</v>
      </c>
      <c r="D5" s="443"/>
      <c r="E5" s="421" t="s">
        <v>19</v>
      </c>
      <c r="F5" s="422"/>
      <c r="G5" s="422"/>
      <c r="H5" s="422"/>
      <c r="I5" s="422"/>
      <c r="J5" s="423"/>
      <c r="K5" s="421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45809</v>
      </c>
      <c r="F6" s="215">
        <v>45839</v>
      </c>
      <c r="G6" s="215">
        <v>45870</v>
      </c>
      <c r="H6" s="215">
        <v>45901</v>
      </c>
      <c r="I6" s="215">
        <v>45931</v>
      </c>
      <c r="J6" s="216">
        <v>45962</v>
      </c>
      <c r="K6" s="217">
        <v>45992</v>
      </c>
      <c r="L6" s="215">
        <v>46023</v>
      </c>
      <c r="M6" s="215">
        <v>46054</v>
      </c>
      <c r="N6" s="215">
        <v>46082</v>
      </c>
      <c r="O6" s="215">
        <v>46113</v>
      </c>
      <c r="P6" s="218">
        <v>46143</v>
      </c>
      <c r="Q6" s="455"/>
      <c r="R6" s="152" t="s">
        <v>394</v>
      </c>
      <c r="S6" s="66" t="s">
        <v>191</v>
      </c>
    </row>
    <row r="7" spans="1:19" x14ac:dyDescent="0.4">
      <c r="A7" s="447" t="s">
        <v>60</v>
      </c>
      <c r="B7" s="449" t="s">
        <v>58</v>
      </c>
      <c r="C7" s="433" t="s">
        <v>15</v>
      </c>
      <c r="D7" s="111" t="s">
        <v>13</v>
      </c>
      <c r="E7" s="112">
        <v>620</v>
      </c>
      <c r="F7" s="113">
        <v>510</v>
      </c>
      <c r="G7" s="113">
        <v>620</v>
      </c>
      <c r="H7" s="113">
        <v>1350</v>
      </c>
      <c r="I7" s="113">
        <v>2420</v>
      </c>
      <c r="J7" s="114">
        <v>1450</v>
      </c>
      <c r="K7" s="115">
        <v>450</v>
      </c>
      <c r="L7" s="113">
        <v>470</v>
      </c>
      <c r="M7" s="113">
        <v>2720</v>
      </c>
      <c r="N7" s="113">
        <v>770</v>
      </c>
      <c r="O7" s="113">
        <v>1050</v>
      </c>
      <c r="P7" s="116">
        <v>1150</v>
      </c>
      <c r="Q7" s="117">
        <f>SUM(E7:P7)</f>
        <v>13580</v>
      </c>
      <c r="R7" s="465">
        <v>4877</v>
      </c>
      <c r="S7" s="68">
        <f>IFERROR(Q7/R7,"")</f>
        <v>2.7844986672134509</v>
      </c>
    </row>
    <row r="8" spans="1:19" ht="19.5" thickBot="1" x14ac:dyDescent="0.45">
      <c r="A8" s="447"/>
      <c r="B8" s="450"/>
      <c r="C8" s="433"/>
      <c r="D8" s="133" t="s">
        <v>14</v>
      </c>
      <c r="E8" s="134">
        <v>2141.1779999999999</v>
      </c>
      <c r="F8" s="135">
        <v>637.28399999999999</v>
      </c>
      <c r="G8" s="135">
        <v>398.51499999999999</v>
      </c>
      <c r="H8" s="135">
        <v>1475.2070000000001</v>
      </c>
      <c r="I8" s="135">
        <v>2344.654</v>
      </c>
      <c r="J8" s="136">
        <v>1706.615</v>
      </c>
      <c r="K8" s="137">
        <v>1554.6990000000001</v>
      </c>
      <c r="L8" s="135">
        <v>1505.0940000000001</v>
      </c>
      <c r="M8" s="135">
        <v>497.49900000000002</v>
      </c>
      <c r="N8" s="135"/>
      <c r="O8" s="135"/>
      <c r="P8" s="138"/>
      <c r="Q8" s="139">
        <f>SUM(E8:P8)</f>
        <v>12260.744999999999</v>
      </c>
      <c r="R8" s="466"/>
      <c r="S8" s="69">
        <f>IFERROR(Q8/R7,"")</f>
        <v>2.5139932335452122</v>
      </c>
    </row>
    <row r="9" spans="1:19" x14ac:dyDescent="0.4">
      <c r="A9" s="447"/>
      <c r="B9" s="450"/>
      <c r="C9" s="433"/>
      <c r="D9" s="21" t="s">
        <v>17</v>
      </c>
      <c r="E9" s="43">
        <f>E8/E7</f>
        <v>3.4535129032258061</v>
      </c>
      <c r="F9" s="4">
        <f t="shared" ref="F9:P9" si="0">F8/F7</f>
        <v>1.2495764705882353</v>
      </c>
      <c r="G9" s="4">
        <f t="shared" si="0"/>
        <v>0.64276612903225805</v>
      </c>
      <c r="H9" s="4">
        <f t="shared" si="0"/>
        <v>1.092745925925926</v>
      </c>
      <c r="I9" s="4">
        <f t="shared" si="0"/>
        <v>0.9688652892561983</v>
      </c>
      <c r="J9" s="6">
        <f t="shared" si="0"/>
        <v>1.1769758620689654</v>
      </c>
      <c r="K9" s="8">
        <f t="shared" si="0"/>
        <v>3.4548866666666669</v>
      </c>
      <c r="L9" s="4">
        <f t="shared" si="0"/>
        <v>3.2023276595744683</v>
      </c>
      <c r="M9" s="4">
        <f t="shared" si="0"/>
        <v>0.18290404411764707</v>
      </c>
      <c r="N9" s="4">
        <f t="shared" si="0"/>
        <v>0</v>
      </c>
      <c r="O9" s="4">
        <f t="shared" si="0"/>
        <v>0</v>
      </c>
      <c r="P9" s="16">
        <f t="shared" si="0"/>
        <v>0</v>
      </c>
      <c r="Q9" s="26">
        <f t="shared" ref="Q9" si="1">Q8/Q7</f>
        <v>0.90285309278350512</v>
      </c>
    </row>
    <row r="10" spans="1:19" x14ac:dyDescent="0.4">
      <c r="A10" s="447"/>
      <c r="B10" s="450"/>
      <c r="C10" s="434"/>
      <c r="D10" s="22" t="s">
        <v>18</v>
      </c>
      <c r="E10" s="12">
        <f>SUM($E8:E8)/SUM($E7:E7)</f>
        <v>3.4535129032258061</v>
      </c>
      <c r="F10" s="5">
        <f>SUM($E8:F8)/SUM($E7:F7)</f>
        <v>2.4588159292035399</v>
      </c>
      <c r="G10" s="5">
        <f>SUM($E8:G8)/SUM($E7:G7)</f>
        <v>1.8154154285714286</v>
      </c>
      <c r="H10" s="5">
        <f>SUM($E8:H8)/SUM($E7:H7)</f>
        <v>1.5007045161290322</v>
      </c>
      <c r="I10" s="5">
        <f>SUM($E8:I8)/SUM($E7:I7)</f>
        <v>1.267543115942029</v>
      </c>
      <c r="J10" s="13">
        <f>SUM($E8:J8)/SUM($E7:J7)</f>
        <v>1.2487020086083214</v>
      </c>
      <c r="K10" s="9">
        <f>SUM($E8:K8)/SUM($E7:K7)</f>
        <v>1.382500269541779</v>
      </c>
      <c r="L10" s="5">
        <f>SUM($E8:L8)/SUM($E7:L7)</f>
        <v>1.4909057034220532</v>
      </c>
      <c r="M10" s="5">
        <f>SUM($E8:M8)/SUM($E7:M7)</f>
        <v>1.1555838831291234</v>
      </c>
      <c r="N10" s="5">
        <f>SUM($E8:N8)/SUM($E7:N7)</f>
        <v>1.0773941124780315</v>
      </c>
      <c r="O10" s="5">
        <f>SUM($E8:O8)/SUM($E7:O7)</f>
        <v>0.98638334674175376</v>
      </c>
      <c r="P10" s="17">
        <f>SUM($E8:P8)/SUM($E7:P7)</f>
        <v>0.90285309278350512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119">
        <f>(E7/1.35)+(620*0.07)</f>
        <v>502.65925925925922</v>
      </c>
      <c r="F11" s="120">
        <f t="shared" ref="F11:P11" si="2">(F7/1.35)+(620*0.07)</f>
        <v>421.17777777777781</v>
      </c>
      <c r="G11" s="120">
        <f t="shared" si="2"/>
        <v>502.65925925925922</v>
      </c>
      <c r="H11" s="120">
        <f t="shared" si="2"/>
        <v>1043.3999999999999</v>
      </c>
      <c r="I11" s="120">
        <f t="shared" si="2"/>
        <v>1835.9925925925925</v>
      </c>
      <c r="J11" s="121">
        <f t="shared" si="2"/>
        <v>1117.474074074074</v>
      </c>
      <c r="K11" s="122">
        <f t="shared" si="2"/>
        <v>376.73333333333335</v>
      </c>
      <c r="L11" s="120">
        <f t="shared" si="2"/>
        <v>391.54814814814813</v>
      </c>
      <c r="M11" s="120">
        <f t="shared" si="2"/>
        <v>2058.2148148148149</v>
      </c>
      <c r="N11" s="120">
        <f t="shared" si="2"/>
        <v>613.7703703703703</v>
      </c>
      <c r="O11" s="120">
        <f t="shared" si="2"/>
        <v>821.17777777777769</v>
      </c>
      <c r="P11" s="123">
        <f t="shared" si="2"/>
        <v>895.25185185185182</v>
      </c>
      <c r="Q11" s="124">
        <f>SUM(E11:P11)</f>
        <v>10580.059259259258</v>
      </c>
      <c r="R11" s="465">
        <v>3934</v>
      </c>
      <c r="S11" s="68">
        <f>IFERROR(Q11/R11,"")</f>
        <v>2.6893897456175035</v>
      </c>
    </row>
    <row r="12" spans="1:19" x14ac:dyDescent="0.4">
      <c r="A12" s="447"/>
      <c r="B12" s="450"/>
      <c r="C12" s="453"/>
      <c r="D12" s="140" t="s">
        <v>14</v>
      </c>
      <c r="E12" s="134">
        <v>1737.126</v>
      </c>
      <c r="F12" s="141">
        <v>497.19600000000003</v>
      </c>
      <c r="G12" s="141">
        <v>359.71199999999999</v>
      </c>
      <c r="H12" s="141">
        <v>1207.271</v>
      </c>
      <c r="I12" s="141">
        <v>1809.673</v>
      </c>
      <c r="J12" s="142">
        <v>1419.1210000000001</v>
      </c>
      <c r="K12" s="143">
        <v>1178.1099999999999</v>
      </c>
      <c r="L12" s="141">
        <v>1252.665</v>
      </c>
      <c r="M12" s="141">
        <v>383.54899999999998</v>
      </c>
      <c r="N12" s="141"/>
      <c r="O12" s="141"/>
      <c r="P12" s="144"/>
      <c r="Q12" s="145">
        <f>SUM(E12:P12)</f>
        <v>9844.4229999999989</v>
      </c>
      <c r="R12" s="471"/>
      <c r="S12" s="70">
        <f>IFERROR(Q12/R11,"")</f>
        <v>2.5023952719877984</v>
      </c>
    </row>
    <row r="13" spans="1:19" x14ac:dyDescent="0.4">
      <c r="A13" s="447"/>
      <c r="B13" s="450"/>
      <c r="C13" s="435" t="s">
        <v>16</v>
      </c>
      <c r="D13" s="118" t="s">
        <v>13</v>
      </c>
      <c r="E13" s="119">
        <f>E7-E11</f>
        <v>117.34074074074078</v>
      </c>
      <c r="F13" s="120">
        <f t="shared" ref="F13:P13" si="3">F7-F11</f>
        <v>88.822222222222194</v>
      </c>
      <c r="G13" s="120">
        <f t="shared" si="3"/>
        <v>117.34074074074078</v>
      </c>
      <c r="H13" s="120">
        <f t="shared" si="3"/>
        <v>306.60000000000014</v>
      </c>
      <c r="I13" s="120">
        <f t="shared" si="3"/>
        <v>584.00740740740753</v>
      </c>
      <c r="J13" s="121">
        <f t="shared" si="3"/>
        <v>332.525925925926</v>
      </c>
      <c r="K13" s="122">
        <f t="shared" si="3"/>
        <v>73.266666666666652</v>
      </c>
      <c r="L13" s="120">
        <f t="shared" si="3"/>
        <v>78.45185185185187</v>
      </c>
      <c r="M13" s="120">
        <f t="shared" si="3"/>
        <v>661.78518518518513</v>
      </c>
      <c r="N13" s="120">
        <f t="shared" si="3"/>
        <v>156.2296296296297</v>
      </c>
      <c r="O13" s="120">
        <f t="shared" si="3"/>
        <v>228.82222222222231</v>
      </c>
      <c r="P13" s="123">
        <f t="shared" si="3"/>
        <v>254.74814814814818</v>
      </c>
      <c r="Q13" s="124">
        <f>SUM(E13:P13)</f>
        <v>2999.9407407407407</v>
      </c>
      <c r="R13" s="465">
        <v>944</v>
      </c>
      <c r="S13" s="149">
        <f>IFERROR(Q13/R13,"")</f>
        <v>3.1779033270558692</v>
      </c>
    </row>
    <row r="14" spans="1:19" ht="19.5" thickBot="1" x14ac:dyDescent="0.45">
      <c r="A14" s="447"/>
      <c r="B14" s="450"/>
      <c r="C14" s="436"/>
      <c r="D14" s="133" t="s">
        <v>14</v>
      </c>
      <c r="E14" s="391">
        <f>E8-E12</f>
        <v>404.05199999999991</v>
      </c>
      <c r="F14" s="135">
        <f t="shared" ref="F14:P14" si="4">F8-F12</f>
        <v>140.08799999999997</v>
      </c>
      <c r="G14" s="135">
        <f t="shared" si="4"/>
        <v>38.802999999999997</v>
      </c>
      <c r="H14" s="135">
        <f t="shared" si="4"/>
        <v>267.93600000000015</v>
      </c>
      <c r="I14" s="135">
        <f>I8-I12</f>
        <v>534.98099999999999</v>
      </c>
      <c r="J14" s="136">
        <f t="shared" si="4"/>
        <v>287.49399999999991</v>
      </c>
      <c r="K14" s="137">
        <f t="shared" si="4"/>
        <v>376.58900000000017</v>
      </c>
      <c r="L14" s="137">
        <f>L8-L12</f>
        <v>252.42900000000009</v>
      </c>
      <c r="M14" s="137">
        <f t="shared" si="4"/>
        <v>113.95000000000005</v>
      </c>
      <c r="N14" s="137">
        <f t="shared" si="4"/>
        <v>0</v>
      </c>
      <c r="O14" s="137">
        <f t="shared" si="4"/>
        <v>0</v>
      </c>
      <c r="P14" s="137">
        <f t="shared" si="4"/>
        <v>0</v>
      </c>
      <c r="Q14" s="139">
        <f>SUM(E14:P14)</f>
        <v>2416.3220000000001</v>
      </c>
      <c r="R14" s="466"/>
      <c r="S14" s="69">
        <f>IFERROR(Q14/R13,"")</f>
        <v>2.5596631355932207</v>
      </c>
    </row>
    <row r="15" spans="1:19" x14ac:dyDescent="0.4">
      <c r="A15" s="447"/>
      <c r="B15" s="450"/>
      <c r="C15" s="436"/>
      <c r="D15" s="21" t="s">
        <v>17</v>
      </c>
      <c r="E15" s="11">
        <f>E14/E13</f>
        <v>3.443407613155733</v>
      </c>
      <c r="F15" s="4">
        <f t="shared" ref="F15:P15" si="5">F14/F13</f>
        <v>1.5771728796597448</v>
      </c>
      <c r="G15" s="4">
        <f t="shared" si="5"/>
        <v>0.33068650969004465</v>
      </c>
      <c r="H15" s="4">
        <f t="shared" si="5"/>
        <v>0.87389432485322904</v>
      </c>
      <c r="I15" s="4">
        <f t="shared" si="5"/>
        <v>0.91605173704037224</v>
      </c>
      <c r="J15" s="6">
        <f t="shared" si="5"/>
        <v>0.86457619567396538</v>
      </c>
      <c r="K15" s="8">
        <f t="shared" si="5"/>
        <v>5.139977252047319</v>
      </c>
      <c r="L15" s="4">
        <f t="shared" si="5"/>
        <v>3.2176295911623081</v>
      </c>
      <c r="M15" s="4">
        <f t="shared" si="5"/>
        <v>0.17218578256343681</v>
      </c>
      <c r="N15" s="4">
        <f t="shared" si="5"/>
        <v>0</v>
      </c>
      <c r="O15" s="4">
        <f t="shared" si="5"/>
        <v>0</v>
      </c>
      <c r="P15" s="16">
        <f t="shared" si="5"/>
        <v>0</v>
      </c>
      <c r="Q15" s="26">
        <f t="shared" ref="Q15" si="6">Q14/Q13</f>
        <v>0.80545657692003803</v>
      </c>
    </row>
    <row r="16" spans="1:19" ht="19.5" thickBot="1" x14ac:dyDescent="0.45">
      <c r="A16" s="448"/>
      <c r="B16" s="451"/>
      <c r="C16" s="437"/>
      <c r="D16" s="23" t="s">
        <v>18</v>
      </c>
      <c r="E16" s="14">
        <f>SUM($E14:E14)/SUM($E13:E13)</f>
        <v>3.443407613155733</v>
      </c>
      <c r="F16" s="7">
        <f>SUM($E14:F14)/SUM($E13:F13)</f>
        <v>2.6393683529749921</v>
      </c>
      <c r="G16" s="7">
        <f>SUM($E14:G14)/SUM($E13:G13)</f>
        <v>1.8019670047855647</v>
      </c>
      <c r="H16" s="7">
        <f>SUM($E14:H14)/SUM($E13:H13)</f>
        <v>1.3503793026427158</v>
      </c>
      <c r="I16" s="7">
        <f>SUM($E14:I14)/SUM($E13:I13)</f>
        <v>1.1414606021780909</v>
      </c>
      <c r="J16" s="15">
        <f>SUM($E14:J14)/SUM($E13:J13)</f>
        <v>1.0819306404337246</v>
      </c>
      <c r="K16" s="10">
        <f>SUM($E14:K14)/SUM($E13:K13)</f>
        <v>1.2654721359751608</v>
      </c>
      <c r="L16" s="7">
        <f>SUM($E14:L14)/SUM($E13:L13)</f>
        <v>1.3556478161882082</v>
      </c>
      <c r="M16" s="7">
        <f>SUM($E14:M14)/SUM($E13:M13)</f>
        <v>1.0238041987452098</v>
      </c>
      <c r="N16" s="7">
        <f>SUM($E14:N14)/SUM($E13:N13)</f>
        <v>0.96024099967619447</v>
      </c>
      <c r="O16" s="7">
        <f>SUM($E14:O14)/SUM($E13:O13)</f>
        <v>0.88020126767062157</v>
      </c>
      <c r="P16" s="18">
        <f>SUM($E14:P14)/SUM($E13:P13)</f>
        <v>0.80545657692003803</v>
      </c>
      <c r="Q16" s="28" t="s">
        <v>22</v>
      </c>
      <c r="R16" s="59"/>
      <c r="S16"/>
    </row>
    <row r="17" spans="1:19" x14ac:dyDescent="0.4">
      <c r="A17" s="446" t="s">
        <v>208</v>
      </c>
      <c r="B17" s="449" t="s">
        <v>197</v>
      </c>
      <c r="C17" s="433" t="s">
        <v>15</v>
      </c>
      <c r="D17" s="111" t="s">
        <v>13</v>
      </c>
      <c r="E17" s="112">
        <v>900</v>
      </c>
      <c r="F17" s="113">
        <v>500</v>
      </c>
      <c r="G17" s="113">
        <v>600</v>
      </c>
      <c r="H17" s="113">
        <v>500</v>
      </c>
      <c r="I17" s="113">
        <v>700</v>
      </c>
      <c r="J17" s="114">
        <v>500</v>
      </c>
      <c r="K17" s="115">
        <v>300</v>
      </c>
      <c r="L17" s="113">
        <v>400</v>
      </c>
      <c r="M17" s="113">
        <v>300</v>
      </c>
      <c r="N17" s="113">
        <v>550</v>
      </c>
      <c r="O17" s="113">
        <v>550</v>
      </c>
      <c r="P17" s="116">
        <v>1000</v>
      </c>
      <c r="Q17" s="117">
        <f>SUM(E17:P17)</f>
        <v>6800</v>
      </c>
      <c r="R17" s="465">
        <v>3802</v>
      </c>
      <c r="S17" s="68">
        <f>IFERROR(Q17/R17,"")</f>
        <v>1.7885323513940032</v>
      </c>
    </row>
    <row r="18" spans="1:19" ht="19.5" thickBot="1" x14ac:dyDescent="0.45">
      <c r="A18" s="447"/>
      <c r="B18" s="450"/>
      <c r="C18" s="433"/>
      <c r="D18" s="133" t="s">
        <v>14</v>
      </c>
      <c r="E18" s="134">
        <v>1240.211</v>
      </c>
      <c r="F18" s="135">
        <v>1424.1969999999999</v>
      </c>
      <c r="G18" s="135">
        <v>605.98500000000001</v>
      </c>
      <c r="H18" s="135">
        <v>459.84</v>
      </c>
      <c r="I18" s="135">
        <v>442.60500000000002</v>
      </c>
      <c r="J18" s="136">
        <v>154.93299999999999</v>
      </c>
      <c r="K18" s="137">
        <v>432.661</v>
      </c>
      <c r="L18" s="137">
        <v>647.48900000000003</v>
      </c>
      <c r="M18" s="135">
        <v>492.94900000000001</v>
      </c>
      <c r="N18" s="135"/>
      <c r="O18" s="135"/>
      <c r="P18" s="138"/>
      <c r="Q18" s="139">
        <f>SUM(E18:P18)</f>
        <v>5900.87</v>
      </c>
      <c r="R18" s="466"/>
      <c r="S18" s="69">
        <f>IFERROR(Q18/R17,"")</f>
        <v>1.552043661230931</v>
      </c>
    </row>
    <row r="19" spans="1:19" x14ac:dyDescent="0.4">
      <c r="A19" s="447"/>
      <c r="B19" s="450"/>
      <c r="C19" s="433"/>
      <c r="D19" s="21" t="s">
        <v>17</v>
      </c>
      <c r="E19" s="11">
        <f>E18/E17</f>
        <v>1.3780122222222222</v>
      </c>
      <c r="F19" s="4">
        <f t="shared" ref="F19:P19" si="7">F18/F17</f>
        <v>2.8483939999999999</v>
      </c>
      <c r="G19" s="4">
        <f t="shared" si="7"/>
        <v>1.0099750000000001</v>
      </c>
      <c r="H19" s="4">
        <f t="shared" si="7"/>
        <v>0.91967999999999994</v>
      </c>
      <c r="I19" s="4">
        <f t="shared" si="7"/>
        <v>0.63229285714285721</v>
      </c>
      <c r="J19" s="6">
        <f t="shared" si="7"/>
        <v>0.30986599999999997</v>
      </c>
      <c r="K19" s="8">
        <f t="shared" si="7"/>
        <v>1.4422033333333333</v>
      </c>
      <c r="L19" s="4">
        <f t="shared" si="7"/>
        <v>1.6187225000000001</v>
      </c>
      <c r="M19" s="4">
        <f t="shared" si="7"/>
        <v>1.6431633333333333</v>
      </c>
      <c r="N19" s="4">
        <f t="shared" si="7"/>
        <v>0</v>
      </c>
      <c r="O19" s="4">
        <f t="shared" si="7"/>
        <v>0</v>
      </c>
      <c r="P19" s="16">
        <f t="shared" si="7"/>
        <v>0</v>
      </c>
      <c r="Q19" s="26">
        <f t="shared" ref="Q19" si="8">Q18/Q17</f>
        <v>0.86777499999999996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12">
        <f>SUM($E18:E18)/SUM($E17:E17)</f>
        <v>1.3780122222222222</v>
      </c>
      <c r="F20" s="5">
        <f>SUM($E18:F18)/SUM($E17:F17)</f>
        <v>1.9031485714285714</v>
      </c>
      <c r="G20" s="5">
        <f>SUM($E18:G18)/SUM($E17:G17)</f>
        <v>1.6351964999999999</v>
      </c>
      <c r="H20" s="5">
        <f>SUM($E18:H18)/SUM($E17:H17)</f>
        <v>1.4920932</v>
      </c>
      <c r="I20" s="5">
        <f>SUM($E18:I18)/SUM($E17:I17)</f>
        <v>1.3040118749999998</v>
      </c>
      <c r="J20" s="13">
        <f>SUM($E18:J18)/SUM($E17:J17)</f>
        <v>1.1696678378378378</v>
      </c>
      <c r="K20" s="9">
        <f>SUM($E18:K18)/SUM($E17:K17)</f>
        <v>1.1901079999999999</v>
      </c>
      <c r="L20" s="5">
        <f>SUM($E18:L18)/SUM($E17:L17)</f>
        <v>1.2290729545454546</v>
      </c>
      <c r="M20" s="5">
        <f>SUM($E18:M18)/SUM($E17:M17)</f>
        <v>1.2555042553191489</v>
      </c>
      <c r="N20" s="5">
        <f>SUM($E18:N18)/SUM($E17:N17)</f>
        <v>1.1239752380952381</v>
      </c>
      <c r="O20" s="5">
        <f>SUM($E18:O18)/SUM($E17:O17)</f>
        <v>1.0173913793103448</v>
      </c>
      <c r="P20" s="17">
        <f>SUM($E18:P18)/SUM($E17:P17)</f>
        <v>0.86777499999999996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395">
        <f>(E17*7%)+(E17*0.655)</f>
        <v>652.5</v>
      </c>
      <c r="F21" s="120">
        <f t="shared" ref="F21:P21" si="9">(F17*7%)+(F17*0.655)</f>
        <v>362.5</v>
      </c>
      <c r="G21" s="120">
        <f t="shared" si="9"/>
        <v>435</v>
      </c>
      <c r="H21" s="120">
        <f t="shared" si="9"/>
        <v>362.5</v>
      </c>
      <c r="I21" s="120">
        <f t="shared" si="9"/>
        <v>507.5</v>
      </c>
      <c r="J21" s="122">
        <f t="shared" si="9"/>
        <v>362.5</v>
      </c>
      <c r="K21" s="395">
        <f t="shared" si="9"/>
        <v>217.5</v>
      </c>
      <c r="L21" s="120">
        <f t="shared" si="9"/>
        <v>290</v>
      </c>
      <c r="M21" s="120">
        <f t="shared" si="9"/>
        <v>217.5</v>
      </c>
      <c r="N21" s="120">
        <f t="shared" si="9"/>
        <v>398.75</v>
      </c>
      <c r="O21" s="120">
        <f t="shared" si="9"/>
        <v>398.75</v>
      </c>
      <c r="P21" s="122">
        <f t="shared" si="9"/>
        <v>725</v>
      </c>
      <c r="Q21" s="124">
        <f>SUM(E21:P21)</f>
        <v>4930</v>
      </c>
      <c r="R21" s="465">
        <v>2652</v>
      </c>
      <c r="S21" s="68">
        <f>IFERROR(Q21/R21,"")</f>
        <v>1.858974358974359</v>
      </c>
    </row>
    <row r="22" spans="1:19" x14ac:dyDescent="0.4">
      <c r="A22" s="447"/>
      <c r="B22" s="450"/>
      <c r="C22" s="453"/>
      <c r="D22" s="140" t="s">
        <v>14</v>
      </c>
      <c r="E22" s="146">
        <v>821.76099999999997</v>
      </c>
      <c r="F22" s="141">
        <v>1065.8879999999999</v>
      </c>
      <c r="G22" s="141">
        <v>403.452</v>
      </c>
      <c r="H22" s="141">
        <v>317.08</v>
      </c>
      <c r="I22" s="141">
        <v>393.54700000000003</v>
      </c>
      <c r="J22" s="142">
        <v>108.654</v>
      </c>
      <c r="K22" s="143">
        <v>350.64299999999997</v>
      </c>
      <c r="L22" s="141">
        <v>419.84800000000001</v>
      </c>
      <c r="M22" s="141">
        <v>366.91800000000001</v>
      </c>
      <c r="N22" s="141"/>
      <c r="O22" s="141"/>
      <c r="P22" s="144"/>
      <c r="Q22" s="145">
        <f>SUM(E22:P22)</f>
        <v>4247.7909999999993</v>
      </c>
      <c r="R22" s="471"/>
      <c r="S22" s="70">
        <f>IFERROR(Q22/R21,"")</f>
        <v>1.6017311463046755</v>
      </c>
    </row>
    <row r="23" spans="1:19" x14ac:dyDescent="0.4">
      <c r="A23" s="447"/>
      <c r="B23" s="450"/>
      <c r="C23" s="435" t="s">
        <v>16</v>
      </c>
      <c r="D23" s="118" t="s">
        <v>13</v>
      </c>
      <c r="E23" s="119">
        <f>E17-E21</f>
        <v>247.5</v>
      </c>
      <c r="F23" s="120">
        <f t="shared" ref="F23:P23" si="10">F17-F21</f>
        <v>137.5</v>
      </c>
      <c r="G23" s="120">
        <f t="shared" si="10"/>
        <v>165</v>
      </c>
      <c r="H23" s="120">
        <f>H17-H21</f>
        <v>137.5</v>
      </c>
      <c r="I23" s="120">
        <f>I17-I21</f>
        <v>192.5</v>
      </c>
      <c r="J23" s="121">
        <f t="shared" si="10"/>
        <v>137.5</v>
      </c>
      <c r="K23" s="122">
        <f t="shared" si="10"/>
        <v>82.5</v>
      </c>
      <c r="L23" s="120">
        <f t="shared" si="10"/>
        <v>110</v>
      </c>
      <c r="M23" s="120">
        <f t="shared" si="10"/>
        <v>82.5</v>
      </c>
      <c r="N23" s="120">
        <f t="shared" si="10"/>
        <v>151.25</v>
      </c>
      <c r="O23" s="120">
        <f t="shared" si="10"/>
        <v>151.25</v>
      </c>
      <c r="P23" s="123">
        <f t="shared" si="10"/>
        <v>275</v>
      </c>
      <c r="Q23" s="124">
        <f>SUM(E23:P23)</f>
        <v>1870</v>
      </c>
      <c r="R23" s="465">
        <v>1150</v>
      </c>
      <c r="S23" s="149">
        <f>IFERROR(Q23/R23,"")</f>
        <v>1.6260869565217391</v>
      </c>
    </row>
    <row r="24" spans="1:19" ht="19.5" thickBot="1" x14ac:dyDescent="0.45">
      <c r="A24" s="447"/>
      <c r="B24" s="450"/>
      <c r="C24" s="436"/>
      <c r="D24" s="133" t="s">
        <v>14</v>
      </c>
      <c r="E24" s="391">
        <f>E18-E22</f>
        <v>418.45000000000005</v>
      </c>
      <c r="F24" s="135">
        <f>F18-F22</f>
        <v>358.30899999999997</v>
      </c>
      <c r="G24" s="135">
        <f>G18-G22</f>
        <v>202.53300000000002</v>
      </c>
      <c r="H24" s="135">
        <f>H18-H22</f>
        <v>142.76</v>
      </c>
      <c r="I24" s="135">
        <f>I18-I22</f>
        <v>49.057999999999993</v>
      </c>
      <c r="J24" s="136">
        <f t="shared" ref="J24:O24" si="11">J18-J22</f>
        <v>46.278999999999996</v>
      </c>
      <c r="K24" s="391">
        <f t="shared" si="11"/>
        <v>82.018000000000029</v>
      </c>
      <c r="L24" s="138">
        <f t="shared" si="11"/>
        <v>227.64100000000002</v>
      </c>
      <c r="M24" s="135">
        <f t="shared" si="11"/>
        <v>126.03100000000001</v>
      </c>
      <c r="N24" s="135">
        <f t="shared" si="11"/>
        <v>0</v>
      </c>
      <c r="O24" s="135">
        <f t="shared" si="11"/>
        <v>0</v>
      </c>
      <c r="P24" s="135">
        <f>P18-P22</f>
        <v>0</v>
      </c>
      <c r="Q24" s="139">
        <f>SUM(E24:P24)</f>
        <v>1653.0790000000002</v>
      </c>
      <c r="R24" s="466"/>
      <c r="S24" s="69">
        <f>IFERROR(Q24/R23,"")</f>
        <v>1.4374600000000002</v>
      </c>
    </row>
    <row r="25" spans="1:19" x14ac:dyDescent="0.4">
      <c r="A25" s="447"/>
      <c r="B25" s="450"/>
      <c r="C25" s="436"/>
      <c r="D25" s="21" t="s">
        <v>17</v>
      </c>
      <c r="E25" s="11">
        <f>E24/E23</f>
        <v>1.6907070707070708</v>
      </c>
      <c r="F25" s="4">
        <f t="shared" ref="F25:P25" si="12">F24/F23</f>
        <v>2.605883636363636</v>
      </c>
      <c r="G25" s="4">
        <f t="shared" si="12"/>
        <v>1.2274727272727273</v>
      </c>
      <c r="H25" s="4">
        <f t="shared" si="12"/>
        <v>1.0382545454545453</v>
      </c>
      <c r="I25" s="4">
        <f t="shared" si="12"/>
        <v>0.25484675324675321</v>
      </c>
      <c r="J25" s="6">
        <f t="shared" si="12"/>
        <v>0.3365745454545454</v>
      </c>
      <c r="K25" s="11">
        <f t="shared" si="12"/>
        <v>0.99415757575757613</v>
      </c>
      <c r="L25" s="8">
        <f t="shared" si="12"/>
        <v>2.0694636363636367</v>
      </c>
      <c r="M25" s="4">
        <f t="shared" si="12"/>
        <v>1.5276484848484848</v>
      </c>
      <c r="N25" s="4">
        <f t="shared" si="12"/>
        <v>0</v>
      </c>
      <c r="O25" s="4">
        <f t="shared" si="12"/>
        <v>0</v>
      </c>
      <c r="P25" s="16">
        <f t="shared" si="12"/>
        <v>0</v>
      </c>
      <c r="Q25" s="26">
        <f t="shared" ref="Q25" si="13">Q24/Q23</f>
        <v>0.88399946524064177</v>
      </c>
    </row>
    <row r="26" spans="1:19" ht="19.5" thickBot="1" x14ac:dyDescent="0.45">
      <c r="A26" s="448"/>
      <c r="B26" s="451"/>
      <c r="C26" s="437"/>
      <c r="D26" s="23" t="s">
        <v>18</v>
      </c>
      <c r="E26" s="14">
        <f>SUM($E24:E24)/SUM($E23:E23)</f>
        <v>1.6907070707070708</v>
      </c>
      <c r="F26" s="7">
        <f>SUM($E24:F24)/SUM($E23:F23)</f>
        <v>2.0175558441558441</v>
      </c>
      <c r="G26" s="7">
        <f>SUM($E24:G24)/SUM($E23:G23)</f>
        <v>1.7805309090909092</v>
      </c>
      <c r="H26" s="7">
        <f>SUM($E24:H24)/SUM($E23:H23)</f>
        <v>1.6320756363636366</v>
      </c>
      <c r="I26" s="7">
        <f>SUM($E24:I24)/SUM($E23:I23)</f>
        <v>1.3308068181818182</v>
      </c>
      <c r="J26" s="15">
        <f>SUM($E24:J24)/SUM($E23:J23)</f>
        <v>1.1964511056511058</v>
      </c>
      <c r="K26" s="14">
        <f>SUM($E24:K24)/SUM($E23:K23)</f>
        <v>1.1812790909090911</v>
      </c>
      <c r="L26" s="10">
        <f>SUM($E24:L24)/SUM($E23:L23)</f>
        <v>1.2620231404958679</v>
      </c>
      <c r="M26" s="7">
        <f>SUM($E24:M24)/SUM($E23:M23)</f>
        <v>1.2789779497098648</v>
      </c>
      <c r="N26" s="7">
        <f>SUM($E24:N24)/SUM($E23:N23)</f>
        <v>1.1449897835497838</v>
      </c>
      <c r="O26" s="7">
        <f>SUM($E24:O24)/SUM($E23:O23)</f>
        <v>1.0364131661442006</v>
      </c>
      <c r="P26" s="18">
        <f>SUM($E24:P24)/SUM($E23:P23)</f>
        <v>0.88399946524064177</v>
      </c>
      <c r="Q26" s="28" t="s">
        <v>22</v>
      </c>
      <c r="R26" s="59"/>
      <c r="S26"/>
    </row>
    <row r="27" spans="1:19" x14ac:dyDescent="0.4">
      <c r="A27" s="446" t="s">
        <v>393</v>
      </c>
      <c r="B27" s="449" t="s">
        <v>194</v>
      </c>
      <c r="C27" s="433" t="s">
        <v>15</v>
      </c>
      <c r="D27" s="111" t="s">
        <v>13</v>
      </c>
      <c r="E27" s="112">
        <v>1000</v>
      </c>
      <c r="F27" s="113">
        <v>1000</v>
      </c>
      <c r="G27" s="113">
        <v>3000</v>
      </c>
      <c r="H27" s="113">
        <v>2000</v>
      </c>
      <c r="I27" s="113">
        <v>4271</v>
      </c>
      <c r="J27" s="114">
        <v>4000</v>
      </c>
      <c r="K27" s="112">
        <v>5000</v>
      </c>
      <c r="L27" s="115">
        <v>5000</v>
      </c>
      <c r="M27" s="113">
        <v>5000</v>
      </c>
      <c r="N27" s="113">
        <v>5000</v>
      </c>
      <c r="O27" s="113">
        <v>8000</v>
      </c>
      <c r="P27" s="116">
        <v>8000</v>
      </c>
      <c r="Q27" s="117">
        <f>SUM(E27:P27)</f>
        <v>51271</v>
      </c>
      <c r="R27" s="465">
        <v>9650</v>
      </c>
      <c r="S27" s="68">
        <f>IFERROR(Q27/R27,"")</f>
        <v>5.3130569948186528</v>
      </c>
    </row>
    <row r="28" spans="1:19" ht="19.5" thickBot="1" x14ac:dyDescent="0.45">
      <c r="A28" s="447"/>
      <c r="B28" s="450"/>
      <c r="C28" s="433"/>
      <c r="D28" s="133" t="s">
        <v>14</v>
      </c>
      <c r="E28" s="134">
        <v>1866.69</v>
      </c>
      <c r="F28" s="135">
        <v>1019.245</v>
      </c>
      <c r="G28" s="135">
        <v>1320.165</v>
      </c>
      <c r="H28" s="135">
        <v>2234.0300000000002</v>
      </c>
      <c r="I28" s="135">
        <v>1279.68</v>
      </c>
      <c r="J28" s="136">
        <v>2032.636</v>
      </c>
      <c r="K28" s="134">
        <v>797.91600000000005</v>
      </c>
      <c r="L28" s="137">
        <v>1687.2470000000001</v>
      </c>
      <c r="M28" s="135">
        <v>2256.7829999999999</v>
      </c>
      <c r="N28" s="135"/>
      <c r="O28" s="135"/>
      <c r="P28" s="138"/>
      <c r="Q28" s="139">
        <f>SUM(E28:P28)</f>
        <v>14494.392</v>
      </c>
      <c r="R28" s="466"/>
      <c r="S28" s="69">
        <f>IFERROR(Q28/R27,"")</f>
        <v>1.5020095336787564</v>
      </c>
    </row>
    <row r="29" spans="1:19" x14ac:dyDescent="0.4">
      <c r="A29" s="447"/>
      <c r="B29" s="450"/>
      <c r="C29" s="433"/>
      <c r="D29" s="21" t="s">
        <v>17</v>
      </c>
      <c r="E29" s="11">
        <f>E28/E27</f>
        <v>1.86669</v>
      </c>
      <c r="F29" s="4">
        <f t="shared" ref="F29:P29" si="14">F28/F27</f>
        <v>1.019245</v>
      </c>
      <c r="G29" s="4">
        <f t="shared" si="14"/>
        <v>0.44005499999999997</v>
      </c>
      <c r="H29" s="4">
        <f t="shared" si="14"/>
        <v>1.1170150000000001</v>
      </c>
      <c r="I29" s="4">
        <f t="shared" si="14"/>
        <v>0.29962069772886912</v>
      </c>
      <c r="J29" s="6">
        <f t="shared" si="14"/>
        <v>0.50815900000000003</v>
      </c>
      <c r="K29" s="11">
        <f t="shared" si="14"/>
        <v>0.15958320000000001</v>
      </c>
      <c r="L29" s="8">
        <f t="shared" si="14"/>
        <v>0.33744940000000001</v>
      </c>
      <c r="M29" s="4">
        <f t="shared" si="14"/>
        <v>0.4513566</v>
      </c>
      <c r="N29" s="4">
        <f t="shared" si="14"/>
        <v>0</v>
      </c>
      <c r="O29" s="4">
        <f t="shared" si="14"/>
        <v>0</v>
      </c>
      <c r="P29" s="16">
        <f t="shared" si="14"/>
        <v>0</v>
      </c>
      <c r="Q29" s="26">
        <f t="shared" ref="Q29" si="15">Q28/Q27</f>
        <v>0.28270156618751341</v>
      </c>
      <c r="R29" s="59"/>
      <c r="S29"/>
    </row>
    <row r="30" spans="1:19" x14ac:dyDescent="0.4">
      <c r="A30" s="447"/>
      <c r="B30" s="450"/>
      <c r="C30" s="434"/>
      <c r="D30" s="22" t="s">
        <v>18</v>
      </c>
      <c r="E30" s="12">
        <f>SUM($E28:E28)/SUM($E27:E27)</f>
        <v>1.86669</v>
      </c>
      <c r="F30" s="5">
        <f>SUM($E28:F28)/SUM($E27:F27)</f>
        <v>1.4429675</v>
      </c>
      <c r="G30" s="5">
        <f>SUM($E28:G28)/SUM($E27:G27)</f>
        <v>0.84122000000000008</v>
      </c>
      <c r="H30" s="5">
        <f>SUM($E28:H28)/SUM($E27:H27)</f>
        <v>0.92001857142857157</v>
      </c>
      <c r="I30" s="5">
        <f>SUM($E28:I28)/SUM($E27:I27)</f>
        <v>0.68492680330050582</v>
      </c>
      <c r="J30" s="13">
        <f>SUM($E28:J28)/SUM($E27:J27)</f>
        <v>0.63862523737803689</v>
      </c>
      <c r="K30" s="12">
        <f>SUM($E28:K28)/SUM($E27:K27)</f>
        <v>0.52046578856494508</v>
      </c>
      <c r="L30" s="9">
        <f>SUM($E28:L28)/SUM($E27:L27)</f>
        <v>0.48425503541608961</v>
      </c>
      <c r="M30" s="5">
        <f>SUM($E28:M28)/SUM($E27:M27)</f>
        <v>0.47882104984969109</v>
      </c>
      <c r="N30" s="5">
        <f>SUM($E28:N28)/SUM($E27:N27)</f>
        <v>0.41094360806328145</v>
      </c>
      <c r="O30" s="5">
        <f>SUM($E28:O28)/SUM($E27:O27)</f>
        <v>0.33496780753853622</v>
      </c>
      <c r="P30" s="17">
        <f>SUM($E28:P28)/SUM($E27:P27)</f>
        <v>0.28270156618751341</v>
      </c>
      <c r="Q30" s="27" t="s">
        <v>22</v>
      </c>
      <c r="R30" s="59"/>
      <c r="S30"/>
    </row>
    <row r="31" spans="1:19" x14ac:dyDescent="0.4">
      <c r="A31" s="447"/>
      <c r="B31" s="450"/>
      <c r="C31" s="452" t="s">
        <v>192</v>
      </c>
      <c r="D31" s="118" t="s">
        <v>13</v>
      </c>
      <c r="E31" s="119">
        <f>(E27*7%)+(E27*0.64)</f>
        <v>710</v>
      </c>
      <c r="F31" s="120">
        <f t="shared" ref="F31:P31" si="16">(F27*7%)+(F27*0.64)</f>
        <v>710</v>
      </c>
      <c r="G31" s="120">
        <f t="shared" si="16"/>
        <v>2130</v>
      </c>
      <c r="H31" s="120">
        <f t="shared" si="16"/>
        <v>1420</v>
      </c>
      <c r="I31" s="120">
        <f t="shared" si="16"/>
        <v>3032.41</v>
      </c>
      <c r="J31" s="121">
        <f t="shared" si="16"/>
        <v>2840</v>
      </c>
      <c r="K31" s="119">
        <f t="shared" si="16"/>
        <v>3550</v>
      </c>
      <c r="L31" s="122">
        <f t="shared" si="16"/>
        <v>3550</v>
      </c>
      <c r="M31" s="120">
        <f t="shared" si="16"/>
        <v>3550</v>
      </c>
      <c r="N31" s="120">
        <f t="shared" si="16"/>
        <v>3550</v>
      </c>
      <c r="O31" s="120">
        <f t="shared" si="16"/>
        <v>5680</v>
      </c>
      <c r="P31" s="123">
        <f t="shared" si="16"/>
        <v>5680</v>
      </c>
      <c r="Q31" s="124">
        <f>SUM(E31:P31)</f>
        <v>36402.410000000003</v>
      </c>
      <c r="R31" s="465">
        <v>7111</v>
      </c>
      <c r="S31" s="68">
        <f>IFERROR(Q31/R31,"")</f>
        <v>5.1191688932639581</v>
      </c>
    </row>
    <row r="32" spans="1:19" x14ac:dyDescent="0.4">
      <c r="A32" s="447"/>
      <c r="B32" s="450"/>
      <c r="C32" s="453"/>
      <c r="D32" s="140" t="s">
        <v>14</v>
      </c>
      <c r="E32" s="146">
        <v>1389.9960000000001</v>
      </c>
      <c r="F32" s="141">
        <v>613.85599999999999</v>
      </c>
      <c r="G32" s="141">
        <v>955.57799999999997</v>
      </c>
      <c r="H32" s="141">
        <v>1626.653</v>
      </c>
      <c r="I32" s="141">
        <v>895.61900000000003</v>
      </c>
      <c r="J32" s="142">
        <v>1485.6590000000001</v>
      </c>
      <c r="K32" s="146">
        <v>546.60400000000004</v>
      </c>
      <c r="L32" s="143">
        <v>1265.7460000000001</v>
      </c>
      <c r="M32" s="141">
        <v>1626.6659999999999</v>
      </c>
      <c r="N32" s="141"/>
      <c r="O32" s="141"/>
      <c r="P32" s="144"/>
      <c r="Q32" s="145">
        <f>SUM(E32:P32)</f>
        <v>10406.377</v>
      </c>
      <c r="R32" s="471"/>
      <c r="S32" s="70">
        <f>IFERROR(Q32/R31,"")</f>
        <v>1.4634196315567432</v>
      </c>
    </row>
    <row r="33" spans="1:19" x14ac:dyDescent="0.4">
      <c r="A33" s="447"/>
      <c r="B33" s="450"/>
      <c r="C33" s="435" t="s">
        <v>16</v>
      </c>
      <c r="D33" s="118" t="s">
        <v>13</v>
      </c>
      <c r="E33" s="119">
        <f>E27-E31</f>
        <v>290</v>
      </c>
      <c r="F33" s="120">
        <f t="shared" ref="F33:P33" si="17">F27-F31</f>
        <v>290</v>
      </c>
      <c r="G33" s="120">
        <f t="shared" si="17"/>
        <v>870</v>
      </c>
      <c r="H33" s="120">
        <f t="shared" si="17"/>
        <v>580</v>
      </c>
      <c r="I33" s="120">
        <f t="shared" si="17"/>
        <v>1238.5900000000001</v>
      </c>
      <c r="J33" s="121">
        <f t="shared" si="17"/>
        <v>1160</v>
      </c>
      <c r="K33" s="119">
        <f t="shared" si="17"/>
        <v>1450</v>
      </c>
      <c r="L33" s="122">
        <f t="shared" si="17"/>
        <v>1450</v>
      </c>
      <c r="M33" s="120">
        <f t="shared" si="17"/>
        <v>1450</v>
      </c>
      <c r="N33" s="120">
        <f t="shared" si="17"/>
        <v>1450</v>
      </c>
      <c r="O33" s="120">
        <f t="shared" si="17"/>
        <v>2320</v>
      </c>
      <c r="P33" s="123">
        <f t="shared" si="17"/>
        <v>2320</v>
      </c>
      <c r="Q33" s="124">
        <f>SUM(E33:P33)</f>
        <v>14868.59</v>
      </c>
      <c r="R33" s="465">
        <v>2539</v>
      </c>
      <c r="S33" s="149">
        <f>IFERROR(Q33/R33,"")</f>
        <v>5.8560811343048442</v>
      </c>
    </row>
    <row r="34" spans="1:19" ht="19.5" thickBot="1" x14ac:dyDescent="0.45">
      <c r="A34" s="447"/>
      <c r="B34" s="450"/>
      <c r="C34" s="436"/>
      <c r="D34" s="133" t="s">
        <v>14</v>
      </c>
      <c r="E34" s="391">
        <f>E28-E32</f>
        <v>476.69399999999996</v>
      </c>
      <c r="F34" s="138">
        <f t="shared" ref="F34:L34" si="18">F28-F32</f>
        <v>405.38900000000001</v>
      </c>
      <c r="G34" s="135">
        <f t="shared" si="18"/>
        <v>364.58699999999999</v>
      </c>
      <c r="H34" s="137">
        <f t="shared" si="18"/>
        <v>607.37700000000018</v>
      </c>
      <c r="I34" s="399">
        <f t="shared" si="18"/>
        <v>384.06100000000004</v>
      </c>
      <c r="J34" s="136">
        <f t="shared" si="18"/>
        <v>546.97699999999986</v>
      </c>
      <c r="K34" s="391">
        <f t="shared" si="18"/>
        <v>251.31200000000001</v>
      </c>
      <c r="L34" s="135">
        <f t="shared" si="18"/>
        <v>421.50099999999998</v>
      </c>
      <c r="M34" s="135">
        <f>M28-M32</f>
        <v>630.11699999999996</v>
      </c>
      <c r="N34" s="135">
        <f>N28-N32</f>
        <v>0</v>
      </c>
      <c r="O34" s="135">
        <f>O28-O32</f>
        <v>0</v>
      </c>
      <c r="P34" s="135">
        <f>P28-P32</f>
        <v>0</v>
      </c>
      <c r="Q34" s="139">
        <f>SUM(E34:P34)</f>
        <v>4088.0150000000003</v>
      </c>
      <c r="R34" s="466"/>
      <c r="S34" s="69">
        <f>IFERROR(Q34/R33,"")</f>
        <v>1.610088617565971</v>
      </c>
    </row>
    <row r="35" spans="1:19" x14ac:dyDescent="0.4">
      <c r="A35" s="447"/>
      <c r="B35" s="450"/>
      <c r="C35" s="436"/>
      <c r="D35" s="21" t="s">
        <v>17</v>
      </c>
      <c r="E35" s="11">
        <f>E34/E33</f>
        <v>1.6437724137931033</v>
      </c>
      <c r="F35" s="4">
        <f t="shared" ref="F35:P35" si="19">F34/F33</f>
        <v>1.397893103448276</v>
      </c>
      <c r="G35" s="4">
        <f t="shared" si="19"/>
        <v>0.4190655172413793</v>
      </c>
      <c r="H35" s="4">
        <f t="shared" si="19"/>
        <v>1.0472017241379314</v>
      </c>
      <c r="I35" s="4">
        <f t="shared" si="19"/>
        <v>0.3100792029646614</v>
      </c>
      <c r="J35" s="6">
        <f t="shared" si="19"/>
        <v>0.47153189655172401</v>
      </c>
      <c r="K35" s="8">
        <f t="shared" si="19"/>
        <v>0.17331862068965517</v>
      </c>
      <c r="L35" s="4">
        <f t="shared" si="19"/>
        <v>0.29069034482758621</v>
      </c>
      <c r="M35" s="4">
        <f t="shared" si="19"/>
        <v>0.43456344827586202</v>
      </c>
      <c r="N35" s="4">
        <f t="shared" si="19"/>
        <v>0</v>
      </c>
      <c r="O35" s="4">
        <f t="shared" si="19"/>
        <v>0</v>
      </c>
      <c r="P35" s="16">
        <f t="shared" si="19"/>
        <v>0</v>
      </c>
      <c r="Q35" s="26">
        <f t="shared" ref="Q35" si="20">Q34/Q33</f>
        <v>0.27494301746164229</v>
      </c>
    </row>
    <row r="36" spans="1:19" ht="19.5" thickBot="1" x14ac:dyDescent="0.45">
      <c r="A36" s="448"/>
      <c r="B36" s="451"/>
      <c r="C36" s="437"/>
      <c r="D36" s="23" t="s">
        <v>18</v>
      </c>
      <c r="E36" s="14">
        <f>SUM($E34:E34)/SUM($E33:E33)</f>
        <v>1.6437724137931033</v>
      </c>
      <c r="F36" s="7">
        <f>SUM($E34:F34)/SUM($E33:F33)</f>
        <v>1.5208327586206896</v>
      </c>
      <c r="G36" s="7">
        <f>SUM($E34:G34)/SUM($E33:G33)</f>
        <v>0.85977241379310354</v>
      </c>
      <c r="H36" s="7">
        <f>SUM($E34:H34)/SUM($E33:H33)</f>
        <v>0.91332364532019716</v>
      </c>
      <c r="I36" s="7">
        <f>SUM($E34:I34)/SUM($E33:I33)</f>
        <v>0.6847319486384037</v>
      </c>
      <c r="J36" s="15">
        <f>SUM($E34:J34)/SUM($E33:J33)</f>
        <v>0.62888752402006054</v>
      </c>
      <c r="K36" s="10">
        <f>SUM($E34:K34)/SUM($E33:K33)</f>
        <v>0.51651790650479112</v>
      </c>
      <c r="L36" s="7">
        <f>SUM($E34:L34)/SUM($E33:L33)</f>
        <v>0.47183673803555665</v>
      </c>
      <c r="M36" s="7">
        <f>SUM($E34:M34)/SUM($E33:M33)</f>
        <v>0.46568013769865096</v>
      </c>
      <c r="N36" s="7">
        <f>SUM($E34:N34)/SUM($E33:N33)</f>
        <v>0.3996655452999876</v>
      </c>
      <c r="O36" s="7">
        <f>SUM($E34:O34)/SUM($E33:O33)</f>
        <v>0.32577484801081241</v>
      </c>
      <c r="P36" s="18">
        <f>SUM($E34:P34)/SUM($E33:P33)</f>
        <v>0.27494301746164229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>SUM(E7,E17,E27)</f>
        <v>2520</v>
      </c>
      <c r="F37" s="127">
        <f t="shared" ref="F37:Q38" si="21">SUM(F7,F17,F27)</f>
        <v>2010</v>
      </c>
      <c r="G37" s="128">
        <f t="shared" si="21"/>
        <v>4220</v>
      </c>
      <c r="H37" s="127">
        <f t="shared" si="21"/>
        <v>3850</v>
      </c>
      <c r="I37" s="127">
        <f t="shared" si="21"/>
        <v>7391</v>
      </c>
      <c r="J37" s="129">
        <f t="shared" si="21"/>
        <v>5950</v>
      </c>
      <c r="K37" s="126">
        <f t="shared" si="21"/>
        <v>5750</v>
      </c>
      <c r="L37" s="127">
        <f t="shared" si="21"/>
        <v>5870</v>
      </c>
      <c r="M37" s="128">
        <f t="shared" si="21"/>
        <v>8020</v>
      </c>
      <c r="N37" s="127">
        <f t="shared" si="21"/>
        <v>6320</v>
      </c>
      <c r="O37" s="127">
        <f t="shared" si="21"/>
        <v>9600</v>
      </c>
      <c r="P37" s="129">
        <f t="shared" si="21"/>
        <v>10150</v>
      </c>
      <c r="Q37" s="130">
        <f t="shared" si="21"/>
        <v>71651</v>
      </c>
      <c r="R37" s="465">
        <v>18329</v>
      </c>
      <c r="S37" s="68">
        <f>IFERROR(Q37/R37,"")</f>
        <v>3.9091603469911069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>SUM(E8,E18,E28)</f>
        <v>5248.0789999999997</v>
      </c>
      <c r="F38" s="135">
        <f t="shared" si="21"/>
        <v>3080.7259999999997</v>
      </c>
      <c r="G38" s="138">
        <f t="shared" si="21"/>
        <v>2324.665</v>
      </c>
      <c r="H38" s="135">
        <f t="shared" si="21"/>
        <v>4169.0770000000002</v>
      </c>
      <c r="I38" s="135">
        <f t="shared" si="21"/>
        <v>4066.9390000000003</v>
      </c>
      <c r="J38" s="136">
        <f t="shared" si="21"/>
        <v>3894.1840000000002</v>
      </c>
      <c r="K38" s="134">
        <f t="shared" si="21"/>
        <v>2785.2760000000003</v>
      </c>
      <c r="L38" s="135">
        <f t="shared" si="21"/>
        <v>3839.83</v>
      </c>
      <c r="M38" s="138">
        <f>SUM(M8,M18,M28)</f>
        <v>3247.2309999999998</v>
      </c>
      <c r="N38" s="135">
        <f t="shared" si="21"/>
        <v>0</v>
      </c>
      <c r="O38" s="135">
        <f t="shared" si="21"/>
        <v>0</v>
      </c>
      <c r="P38" s="136">
        <f t="shared" si="21"/>
        <v>0</v>
      </c>
      <c r="Q38" s="148">
        <f t="shared" si="21"/>
        <v>32656.006999999998</v>
      </c>
      <c r="R38" s="466"/>
      <c r="S38" s="69">
        <f>IFERROR(Q38/R37,"")</f>
        <v>1.7816578645861747</v>
      </c>
    </row>
    <row r="39" spans="1:19" x14ac:dyDescent="0.4">
      <c r="A39" s="19"/>
      <c r="B39" s="430"/>
      <c r="C39" s="433"/>
      <c r="D39" s="24" t="s">
        <v>17</v>
      </c>
      <c r="E39" s="11">
        <f>E38/E37</f>
        <v>2.0825710317460318</v>
      </c>
      <c r="F39" s="4">
        <f t="shared" ref="F39:Q39" si="22">F38/F37</f>
        <v>1.532699502487562</v>
      </c>
      <c r="G39" s="16">
        <f t="shared" si="22"/>
        <v>0.55086848341232231</v>
      </c>
      <c r="H39" s="4">
        <f t="shared" si="22"/>
        <v>1.0828771428571429</v>
      </c>
      <c r="I39" s="4">
        <f t="shared" si="22"/>
        <v>0.55025558111216344</v>
      </c>
      <c r="J39" s="6">
        <f t="shared" si="22"/>
        <v>0.65448470588235297</v>
      </c>
      <c r="K39" s="11">
        <f t="shared" si="22"/>
        <v>0.48439582608695658</v>
      </c>
      <c r="L39" s="4">
        <f t="shared" si="22"/>
        <v>0.654144804088586</v>
      </c>
      <c r="M39" s="16">
        <f t="shared" si="22"/>
        <v>0.40489164588528676</v>
      </c>
      <c r="N39" s="4">
        <f t="shared" si="22"/>
        <v>0</v>
      </c>
      <c r="O39" s="4">
        <f t="shared" si="22"/>
        <v>0</v>
      </c>
      <c r="P39" s="6">
        <f t="shared" si="22"/>
        <v>0</v>
      </c>
      <c r="Q39" s="26">
        <f t="shared" si="22"/>
        <v>0.45576484626871916</v>
      </c>
    </row>
    <row r="40" spans="1:19" x14ac:dyDescent="0.4">
      <c r="A40" s="19"/>
      <c r="B40" s="430"/>
      <c r="C40" s="434"/>
      <c r="D40" s="25" t="s">
        <v>18</v>
      </c>
      <c r="E40" s="12">
        <f>SUM($E38:E38)/SUM($E37:E37)</f>
        <v>2.0825710317460318</v>
      </c>
      <c r="F40" s="5">
        <f>SUM($E38:F38)/SUM($E37:F37)</f>
        <v>1.8385883002207506</v>
      </c>
      <c r="G40" s="17">
        <f>SUM($E38:G38)/SUM($E37:G37)</f>
        <v>1.2175394285714287</v>
      </c>
      <c r="H40" s="5">
        <f>SUM($E38:H38)/SUM($E37:H37)</f>
        <v>1.1763926190476193</v>
      </c>
      <c r="I40" s="5">
        <f>SUM($E38:I38)/SUM($E37:I37)</f>
        <v>0.9448995047771499</v>
      </c>
      <c r="J40" s="13">
        <f>SUM($E38:J38)/SUM($E37:J37)</f>
        <v>0.87828803824062318</v>
      </c>
      <c r="K40" s="12">
        <f>SUM($E38:K38)/SUM($E37:K37)</f>
        <v>0.80682042220188721</v>
      </c>
      <c r="L40" s="5">
        <f>SUM($E38:L38)/SUM($E37:L37)</f>
        <v>0.78296041106466829</v>
      </c>
      <c r="M40" s="17">
        <f>SUM($E38:M38)/SUM($E37:M37)</f>
        <v>0.71643902064456688</v>
      </c>
      <c r="N40" s="5">
        <f>SUM($E38:N38)/SUM($E37:N37)</f>
        <v>0.62919803086645743</v>
      </c>
      <c r="O40" s="5">
        <f>SUM($E38:O38)/SUM($E37:O37)</f>
        <v>0.5309833498642299</v>
      </c>
      <c r="P40" s="13">
        <f>SUM($E38:P38)/SUM($E37:P37)</f>
        <v>0.45576484626871927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>SUM(E13,E23,E33)</f>
        <v>654.84074074074078</v>
      </c>
      <c r="F41" s="113">
        <f t="shared" ref="F41:Q42" si="23">SUM(F13,F23,F33)</f>
        <v>516.32222222222219</v>
      </c>
      <c r="G41" s="116">
        <f t="shared" si="23"/>
        <v>1152.3407407407408</v>
      </c>
      <c r="H41" s="113">
        <f t="shared" si="23"/>
        <v>1024.1000000000001</v>
      </c>
      <c r="I41" s="113">
        <f t="shared" si="23"/>
        <v>2015.0974074074077</v>
      </c>
      <c r="J41" s="114">
        <f t="shared" si="23"/>
        <v>1630.025925925926</v>
      </c>
      <c r="K41" s="112">
        <f t="shared" si="23"/>
        <v>1605.7666666666667</v>
      </c>
      <c r="L41" s="113">
        <f t="shared" si="23"/>
        <v>1638.4518518518519</v>
      </c>
      <c r="M41" s="116">
        <f t="shared" si="23"/>
        <v>2194.2851851851851</v>
      </c>
      <c r="N41" s="113">
        <f t="shared" si="23"/>
        <v>1757.4796296296297</v>
      </c>
      <c r="O41" s="113">
        <f t="shared" si="23"/>
        <v>2700.0722222222221</v>
      </c>
      <c r="P41" s="114">
        <f t="shared" si="23"/>
        <v>2849.7481481481482</v>
      </c>
      <c r="Q41" s="132">
        <f>SUM(Q13,Q23,Q33)</f>
        <v>19738.530740740742</v>
      </c>
      <c r="R41" s="465">
        <v>4633</v>
      </c>
      <c r="S41" s="68">
        <f>IFERROR(Q41/R41,"")</f>
        <v>4.2604210534730722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>SUM(E14,E24,E34)</f>
        <v>1299.1959999999999</v>
      </c>
      <c r="F42" s="135">
        <f t="shared" si="23"/>
        <v>903.78599999999994</v>
      </c>
      <c r="G42" s="138">
        <f t="shared" si="23"/>
        <v>605.923</v>
      </c>
      <c r="H42" s="135">
        <f t="shared" si="23"/>
        <v>1018.0730000000003</v>
      </c>
      <c r="I42" s="135">
        <f t="shared" si="23"/>
        <v>968.1</v>
      </c>
      <c r="J42" s="136">
        <f t="shared" si="23"/>
        <v>880.74999999999977</v>
      </c>
      <c r="K42" s="134">
        <f t="shared" si="23"/>
        <v>709.91900000000021</v>
      </c>
      <c r="L42" s="135">
        <f t="shared" si="23"/>
        <v>901.57100000000014</v>
      </c>
      <c r="M42" s="138">
        <f t="shared" si="23"/>
        <v>870.09799999999996</v>
      </c>
      <c r="N42" s="135">
        <f t="shared" si="23"/>
        <v>0</v>
      </c>
      <c r="O42" s="135">
        <f t="shared" si="23"/>
        <v>0</v>
      </c>
      <c r="P42" s="136">
        <f t="shared" si="23"/>
        <v>0</v>
      </c>
      <c r="Q42" s="148">
        <f t="shared" si="23"/>
        <v>8157.4160000000011</v>
      </c>
      <c r="R42" s="466"/>
      <c r="S42" s="69">
        <f>IFERROR(Q42/R41,"")</f>
        <v>1.7607200518022881</v>
      </c>
    </row>
    <row r="43" spans="1:19" x14ac:dyDescent="0.4">
      <c r="A43" s="19"/>
      <c r="B43" s="430"/>
      <c r="C43" s="436"/>
      <c r="D43" s="24" t="s">
        <v>17</v>
      </c>
      <c r="E43" s="11">
        <f>E42/E41</f>
        <v>1.9839877380420456</v>
      </c>
      <c r="F43" s="4">
        <f t="shared" ref="F43:Q43" si="24">F42/F41</f>
        <v>1.7504301792592911</v>
      </c>
      <c r="G43" s="16">
        <f t="shared" si="24"/>
        <v>0.52581929856138232</v>
      </c>
      <c r="H43" s="4">
        <f t="shared" si="24"/>
        <v>0.9941148325358854</v>
      </c>
      <c r="I43" s="4">
        <f t="shared" si="24"/>
        <v>0.4804234259055209</v>
      </c>
      <c r="J43" s="6">
        <f t="shared" si="24"/>
        <v>0.54032882912564428</v>
      </c>
      <c r="K43" s="11">
        <f t="shared" si="24"/>
        <v>0.44210595146658932</v>
      </c>
      <c r="L43" s="4">
        <f t="shared" si="24"/>
        <v>0.55025785407182037</v>
      </c>
      <c r="M43" s="16">
        <f t="shared" si="24"/>
        <v>0.39652913207203222</v>
      </c>
      <c r="N43" s="4">
        <f t="shared" si="24"/>
        <v>0</v>
      </c>
      <c r="O43" s="4">
        <f t="shared" si="24"/>
        <v>0</v>
      </c>
      <c r="P43" s="6">
        <f t="shared" si="24"/>
        <v>0</v>
      </c>
      <c r="Q43" s="26">
        <f t="shared" si="24"/>
        <v>0.41327371865439422</v>
      </c>
    </row>
    <row r="44" spans="1:19" ht="19.5" thickBot="1" x14ac:dyDescent="0.45">
      <c r="A44" s="19"/>
      <c r="B44" s="431"/>
      <c r="C44" s="437"/>
      <c r="D44" s="30" t="s">
        <v>18</v>
      </c>
      <c r="E44" s="14">
        <f>SUM($E42:E42)/SUM($E41:E41)</f>
        <v>1.9839877380420456</v>
      </c>
      <c r="F44" s="7">
        <f>SUM($E42:F42)/SUM($E41:F41)</f>
        <v>1.8810208909156458</v>
      </c>
      <c r="G44" s="18">
        <f>SUM($E42:G42)/SUM($E41:G41)</f>
        <v>1.2089091984327627</v>
      </c>
      <c r="H44" s="7">
        <f>SUM($E42:H42)/SUM($E41:H41)</f>
        <v>1.1431992370440767</v>
      </c>
      <c r="I44" s="7">
        <f>SUM($E42:I42)/SUM($E41:I41)</f>
        <v>0.89415350597574073</v>
      </c>
      <c r="J44" s="15">
        <f>SUM($E42:J42)/SUM($E41:J41)</f>
        <v>0.81167589839241971</v>
      </c>
      <c r="K44" s="14">
        <f>SUM($E42:K42)/SUM($E41:K41)</f>
        <v>0.74265879816245173</v>
      </c>
      <c r="L44" s="7">
        <f>SUM($E42:L42)/SUM($E41:L41)</f>
        <v>0.71186448735630881</v>
      </c>
      <c r="M44" s="18">
        <f>SUM($E42:M42)/SUM($E41:M41)</f>
        <v>0.65620340979319025</v>
      </c>
      <c r="N44" s="7">
        <f>SUM($E42:N42)/SUM($E41:N41)</f>
        <v>0.57492300477390501</v>
      </c>
      <c r="O44" s="7">
        <f>SUM($E42:O42)/SUM($E41:O41)</f>
        <v>0.48300793472099263</v>
      </c>
      <c r="P44" s="15">
        <f>SUM($E42:P42)/SUM($E41:P41)</f>
        <v>0.41327371865439416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392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73" t="s">
        <v>400</v>
      </c>
      <c r="F48" s="74" t="s">
        <v>410</v>
      </c>
      <c r="G48" s="74" t="s">
        <v>423</v>
      </c>
      <c r="H48" s="75" t="s">
        <v>441</v>
      </c>
      <c r="I48" s="107" t="s">
        <v>448</v>
      </c>
      <c r="J48" s="76" t="s">
        <v>466</v>
      </c>
      <c r="K48" s="77"/>
      <c r="L48" s="78"/>
      <c r="M48" s="79"/>
      <c r="N48" s="74"/>
      <c r="O48" s="74"/>
      <c r="P48" s="80"/>
    </row>
    <row r="49" spans="1:16" ht="39" customHeight="1" x14ac:dyDescent="0.4">
      <c r="A49" s="424"/>
      <c r="B49" s="425"/>
      <c r="C49" s="469" t="str">
        <f>A7</f>
        <v>アパレル</v>
      </c>
      <c r="D49" s="81" t="s">
        <v>38</v>
      </c>
      <c r="E49" s="82" t="s">
        <v>401</v>
      </c>
      <c r="F49" s="83" t="s">
        <v>411</v>
      </c>
      <c r="G49" s="83" t="s">
        <v>424</v>
      </c>
      <c r="H49" s="83" t="s">
        <v>432</v>
      </c>
      <c r="I49" s="83" t="s">
        <v>449</v>
      </c>
      <c r="J49" s="84" t="s">
        <v>463</v>
      </c>
      <c r="K49" s="82"/>
      <c r="L49" s="83"/>
      <c r="M49" s="83"/>
      <c r="N49" s="83"/>
      <c r="O49" s="83"/>
      <c r="P49" s="84"/>
    </row>
    <row r="50" spans="1:16" ht="39" customHeight="1" x14ac:dyDescent="0.4">
      <c r="A50" s="424"/>
      <c r="B50" s="425"/>
      <c r="C50" s="470"/>
      <c r="D50" s="85" t="s">
        <v>36</v>
      </c>
      <c r="E50" s="108" t="s">
        <v>402</v>
      </c>
      <c r="F50" s="87" t="s">
        <v>412</v>
      </c>
      <c r="G50" s="87" t="s">
        <v>421</v>
      </c>
      <c r="H50" s="415" t="s">
        <v>442</v>
      </c>
      <c r="I50" s="389" t="s">
        <v>450</v>
      </c>
      <c r="J50" s="400" t="s">
        <v>467</v>
      </c>
      <c r="K50" s="401"/>
      <c r="L50" s="389"/>
      <c r="M50" s="87"/>
      <c r="N50" s="405"/>
      <c r="O50" s="392"/>
      <c r="P50" s="400"/>
    </row>
    <row r="51" spans="1:16" ht="39" customHeight="1" thickBot="1" x14ac:dyDescent="0.45">
      <c r="A51" s="424"/>
      <c r="B51" s="425"/>
      <c r="C51" s="151" t="str">
        <f>B7</f>
        <v>リバーレース</v>
      </c>
      <c r="D51" s="89" t="s">
        <v>37</v>
      </c>
      <c r="E51" s="414" t="s">
        <v>399</v>
      </c>
      <c r="F51" s="91" t="s">
        <v>413</v>
      </c>
      <c r="G51" s="91" t="s">
        <v>422</v>
      </c>
      <c r="H51" s="91" t="s">
        <v>443</v>
      </c>
      <c r="I51" s="91" t="s">
        <v>451</v>
      </c>
      <c r="J51" s="92" t="s">
        <v>468</v>
      </c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3" t="s">
        <v>398</v>
      </c>
      <c r="F52" s="74" t="s">
        <v>410</v>
      </c>
      <c r="G52" s="75" t="s">
        <v>425</v>
      </c>
      <c r="H52" s="107" t="s">
        <v>433</v>
      </c>
      <c r="I52" s="74" t="s">
        <v>452</v>
      </c>
      <c r="J52" s="80" t="s">
        <v>464</v>
      </c>
      <c r="K52" s="93"/>
      <c r="L52" s="78"/>
      <c r="M52" s="78"/>
      <c r="N52" s="74"/>
      <c r="O52" s="74"/>
      <c r="P52" s="80"/>
    </row>
    <row r="53" spans="1:16" ht="39" customHeight="1" x14ac:dyDescent="0.4">
      <c r="A53" s="424"/>
      <c r="B53" s="425"/>
      <c r="C53" s="469" t="str">
        <f>A17</f>
        <v>アパレル
(付属商社含む)</v>
      </c>
      <c r="D53" s="81" t="s">
        <v>38</v>
      </c>
      <c r="E53" s="82" t="s">
        <v>403</v>
      </c>
      <c r="F53" s="83" t="s">
        <v>411</v>
      </c>
      <c r="G53" s="83" t="s">
        <v>426</v>
      </c>
      <c r="H53" s="83" t="s">
        <v>434</v>
      </c>
      <c r="I53" s="83" t="s">
        <v>453</v>
      </c>
      <c r="J53" s="84" t="s">
        <v>465</v>
      </c>
      <c r="K53" s="82"/>
      <c r="L53" s="83"/>
      <c r="M53" s="83"/>
      <c r="N53" s="83"/>
      <c r="O53" s="83"/>
      <c r="P53" s="84"/>
    </row>
    <row r="54" spans="1:16" ht="39" customHeight="1" x14ac:dyDescent="0.4">
      <c r="A54" s="424"/>
      <c r="B54" s="425"/>
      <c r="C54" s="470"/>
      <c r="D54" s="85" t="s">
        <v>36</v>
      </c>
      <c r="E54" s="390" t="s">
        <v>404</v>
      </c>
      <c r="F54" s="413" t="s">
        <v>412</v>
      </c>
      <c r="G54" s="389" t="s">
        <v>427</v>
      </c>
      <c r="H54" s="392" t="s">
        <v>446</v>
      </c>
      <c r="I54" s="389" t="s">
        <v>458</v>
      </c>
      <c r="J54" s="411" t="s">
        <v>469</v>
      </c>
      <c r="K54" s="402"/>
      <c r="L54" s="87"/>
      <c r="M54" s="87"/>
      <c r="N54" s="392"/>
      <c r="O54" s="392"/>
      <c r="P54" s="400"/>
    </row>
    <row r="55" spans="1:16" ht="39" customHeight="1" thickBot="1" x14ac:dyDescent="0.45">
      <c r="A55" s="424"/>
      <c r="B55" s="425"/>
      <c r="C55" s="151" t="str">
        <f>B17</f>
        <v>リボン・テープ等</v>
      </c>
      <c r="D55" s="89" t="s">
        <v>37</v>
      </c>
      <c r="E55" s="412" t="s">
        <v>405</v>
      </c>
      <c r="F55" s="91" t="s">
        <v>413</v>
      </c>
      <c r="G55" s="91" t="s">
        <v>428</v>
      </c>
      <c r="H55" s="91" t="s">
        <v>447</v>
      </c>
      <c r="I55" s="416">
        <v>0.86</v>
      </c>
      <c r="J55" s="92">
        <v>0.3</v>
      </c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73" t="s">
        <v>406</v>
      </c>
      <c r="F56" s="74" t="s">
        <v>414</v>
      </c>
      <c r="G56" s="74" t="s">
        <v>414</v>
      </c>
      <c r="H56" s="74" t="s">
        <v>414</v>
      </c>
      <c r="I56" s="78" t="s">
        <v>454</v>
      </c>
      <c r="J56" s="78" t="s">
        <v>456</v>
      </c>
      <c r="K56" s="73"/>
      <c r="L56" s="94"/>
      <c r="M56" s="74"/>
      <c r="N56" s="74"/>
      <c r="O56" s="74"/>
      <c r="P56" s="80"/>
    </row>
    <row r="57" spans="1:16" ht="39" customHeight="1" x14ac:dyDescent="0.4">
      <c r="A57" s="424"/>
      <c r="B57" s="425"/>
      <c r="C57" s="469" t="str">
        <f>A27</f>
        <v>パフ
インテリア
葬儀関係
在庫処分
その他</v>
      </c>
      <c r="D57" s="81" t="s">
        <v>38</v>
      </c>
      <c r="E57" s="82" t="s">
        <v>407</v>
      </c>
      <c r="F57" s="83" t="s">
        <v>415</v>
      </c>
      <c r="G57" s="83" t="s">
        <v>429</v>
      </c>
      <c r="H57" s="83" t="s">
        <v>435</v>
      </c>
      <c r="I57" s="83" t="s">
        <v>455</v>
      </c>
      <c r="J57" s="83" t="s">
        <v>457</v>
      </c>
      <c r="K57" s="82"/>
      <c r="L57" s="83"/>
      <c r="M57" s="83"/>
      <c r="N57" s="83"/>
      <c r="O57" s="83"/>
      <c r="P57" s="84"/>
    </row>
    <row r="58" spans="1:16" ht="39" customHeight="1" x14ac:dyDescent="0.4">
      <c r="A58" s="424"/>
      <c r="B58" s="425"/>
      <c r="C58" s="470"/>
      <c r="D58" s="85" t="s">
        <v>36</v>
      </c>
      <c r="E58" s="390" t="s">
        <v>408</v>
      </c>
      <c r="F58" s="87" t="s">
        <v>416</v>
      </c>
      <c r="G58" s="392" t="s">
        <v>430</v>
      </c>
      <c r="H58" s="87" t="s">
        <v>444</v>
      </c>
      <c r="I58" s="389" t="s">
        <v>459</v>
      </c>
      <c r="J58" s="418" t="s">
        <v>470</v>
      </c>
      <c r="K58" s="403"/>
      <c r="L58" s="392"/>
      <c r="M58" s="389"/>
      <c r="N58" s="389"/>
      <c r="O58" s="87"/>
      <c r="P58" s="400"/>
    </row>
    <row r="59" spans="1:16" ht="39" customHeight="1" thickBot="1" x14ac:dyDescent="0.45">
      <c r="A59" s="426"/>
      <c r="B59" s="427"/>
      <c r="C59" s="151" t="str">
        <f>B27</f>
        <v>リバーレース
リボン・テープ等</v>
      </c>
      <c r="D59" s="89" t="s">
        <v>37</v>
      </c>
      <c r="E59" s="414" t="s">
        <v>409</v>
      </c>
      <c r="F59" s="404" t="s">
        <v>417</v>
      </c>
      <c r="G59" s="404" t="s">
        <v>431</v>
      </c>
      <c r="H59" s="404" t="s">
        <v>445</v>
      </c>
      <c r="I59" s="417" t="s">
        <v>460</v>
      </c>
      <c r="J59" s="419" t="s">
        <v>471</v>
      </c>
      <c r="K59" s="90"/>
      <c r="L59" s="404"/>
      <c r="M59" s="91"/>
      <c r="N59" s="404"/>
      <c r="O59" s="408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FCDDF-968D-4B40-A4AC-2472C929A2B7}">
  <sheetPr codeName="Sheet5"/>
  <dimension ref="A1:S59"/>
  <sheetViews>
    <sheetView showGridLines="0" tabSelected="1" zoomScale="70" zoomScaleNormal="70" workbookViewId="0">
      <selection activeCell="M36" sqref="M36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51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>
      <c r="H4" s="388"/>
    </row>
    <row r="5" spans="1:19" ht="19.5" customHeight="1" thickBot="1" x14ac:dyDescent="0.45">
      <c r="A5" s="467" t="s">
        <v>34</v>
      </c>
      <c r="B5" s="468"/>
      <c r="C5" s="442" t="s">
        <v>392</v>
      </c>
      <c r="D5" s="443"/>
      <c r="E5" s="421" t="s">
        <v>19</v>
      </c>
      <c r="F5" s="422"/>
      <c r="G5" s="422"/>
      <c r="H5" s="422"/>
      <c r="I5" s="422"/>
      <c r="J5" s="423"/>
      <c r="K5" s="421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45809</v>
      </c>
      <c r="F6" s="215">
        <v>45839</v>
      </c>
      <c r="G6" s="215">
        <v>45870</v>
      </c>
      <c r="H6" s="215">
        <v>45901</v>
      </c>
      <c r="I6" s="215">
        <v>45931</v>
      </c>
      <c r="J6" s="216">
        <v>45962</v>
      </c>
      <c r="K6" s="217">
        <v>45992</v>
      </c>
      <c r="L6" s="215">
        <v>46023</v>
      </c>
      <c r="M6" s="215">
        <v>46054</v>
      </c>
      <c r="N6" s="215">
        <v>46082</v>
      </c>
      <c r="O6" s="215">
        <v>46113</v>
      </c>
      <c r="P6" s="218">
        <v>46143</v>
      </c>
      <c r="Q6" s="455"/>
      <c r="R6" s="153" t="s">
        <v>190</v>
      </c>
      <c r="S6" s="67" t="s">
        <v>191</v>
      </c>
    </row>
    <row r="7" spans="1:19" x14ac:dyDescent="0.4">
      <c r="A7" s="447" t="s">
        <v>63</v>
      </c>
      <c r="B7" s="449" t="s">
        <v>136</v>
      </c>
      <c r="C7" s="433" t="s">
        <v>15</v>
      </c>
      <c r="D7" s="111" t="s">
        <v>13</v>
      </c>
      <c r="E7" s="112">
        <v>2020</v>
      </c>
      <c r="F7" s="113">
        <v>2020</v>
      </c>
      <c r="G7" s="113">
        <v>2020</v>
      </c>
      <c r="H7" s="113">
        <v>2020</v>
      </c>
      <c r="I7" s="113">
        <v>2020</v>
      </c>
      <c r="J7" s="114">
        <v>2020</v>
      </c>
      <c r="K7" s="115">
        <v>2020</v>
      </c>
      <c r="L7" s="113">
        <v>2020</v>
      </c>
      <c r="M7" s="113">
        <v>2020</v>
      </c>
      <c r="N7" s="113">
        <v>2020</v>
      </c>
      <c r="O7" s="113">
        <v>2020</v>
      </c>
      <c r="P7" s="116">
        <v>2020</v>
      </c>
      <c r="Q7" s="117">
        <f>SUM(E7:P7)</f>
        <v>24240</v>
      </c>
      <c r="R7" s="465">
        <v>23454</v>
      </c>
      <c r="S7" s="68">
        <f>IFERROR(Q7/R7,"")</f>
        <v>1.0335124072652853</v>
      </c>
    </row>
    <row r="8" spans="1:19" ht="19.5" thickBot="1" x14ac:dyDescent="0.45">
      <c r="A8" s="447"/>
      <c r="B8" s="450"/>
      <c r="C8" s="433"/>
      <c r="D8" s="133" t="s">
        <v>14</v>
      </c>
      <c r="E8" s="391">
        <v>1417.2</v>
      </c>
      <c r="F8" s="135">
        <v>1414.4</v>
      </c>
      <c r="G8" s="137">
        <v>1141.5999999999999</v>
      </c>
      <c r="H8" s="135">
        <v>2210</v>
      </c>
      <c r="I8" s="135">
        <v>3286.8</v>
      </c>
      <c r="J8" s="136">
        <v>1060.8</v>
      </c>
      <c r="K8" s="137">
        <v>420.4</v>
      </c>
      <c r="L8" s="135">
        <v>1603</v>
      </c>
      <c r="M8" s="135">
        <v>1609.2</v>
      </c>
      <c r="N8" s="135"/>
      <c r="O8" s="409"/>
      <c r="P8" s="406"/>
      <c r="Q8" s="139">
        <f>SUM(E8:P8)</f>
        <v>14163.4</v>
      </c>
      <c r="R8" s="466"/>
      <c r="S8" s="69">
        <f>IFERROR(Q8/R7,"")</f>
        <v>0.60387993519229133</v>
      </c>
    </row>
    <row r="9" spans="1:19" x14ac:dyDescent="0.4">
      <c r="A9" s="447"/>
      <c r="B9" s="450"/>
      <c r="C9" s="433"/>
      <c r="D9" s="21" t="s">
        <v>17</v>
      </c>
      <c r="E9" s="393">
        <f>E8/E7</f>
        <v>0.70158415841584165</v>
      </c>
      <c r="F9" s="4">
        <f t="shared" ref="F9:P9" si="0">F8/F7</f>
        <v>0.70019801980198026</v>
      </c>
      <c r="G9" s="4">
        <f t="shared" si="0"/>
        <v>0.5651485148514851</v>
      </c>
      <c r="H9" s="8">
        <f t="shared" si="0"/>
        <v>1.0940594059405941</v>
      </c>
      <c r="I9" s="4">
        <f t="shared" si="0"/>
        <v>1.6271287128712872</v>
      </c>
      <c r="J9" s="6">
        <f t="shared" si="0"/>
        <v>0.52514851485148517</v>
      </c>
      <c r="K9" s="8">
        <f t="shared" si="0"/>
        <v>0.20811881188118811</v>
      </c>
      <c r="L9" s="4">
        <f t="shared" si="0"/>
        <v>0.7935643564356436</v>
      </c>
      <c r="M9" s="4">
        <f t="shared" si="0"/>
        <v>0.79663366336633668</v>
      </c>
      <c r="N9" s="4">
        <f t="shared" si="0"/>
        <v>0</v>
      </c>
      <c r="O9" s="4">
        <f t="shared" si="0"/>
        <v>0</v>
      </c>
      <c r="P9" s="16">
        <f t="shared" si="0"/>
        <v>0</v>
      </c>
      <c r="Q9" s="26">
        <f>Q8/Q7</f>
        <v>0.58429867986798678</v>
      </c>
    </row>
    <row r="10" spans="1:19" x14ac:dyDescent="0.4">
      <c r="A10" s="447"/>
      <c r="B10" s="450"/>
      <c r="C10" s="434"/>
      <c r="D10" s="22" t="s">
        <v>18</v>
      </c>
      <c r="E10" s="394">
        <f>SUM($E8:E8)/SUM($E7:E7)</f>
        <v>0.70158415841584165</v>
      </c>
      <c r="F10" s="5">
        <f>SUM($E8:F8)/SUM($E7:F7)</f>
        <v>0.70089108910891096</v>
      </c>
      <c r="G10" s="5">
        <f>SUM($E8:G8)/SUM($E7:G7)</f>
        <v>0.65564356435643567</v>
      </c>
      <c r="H10" s="9">
        <f>SUM($E8:H8)/SUM($E7:H7)</f>
        <v>0.76524752475247537</v>
      </c>
      <c r="I10" s="5">
        <f>SUM($E8:I8)/SUM($E7:I7)</f>
        <v>0.93762376237623757</v>
      </c>
      <c r="J10" s="13">
        <f>SUM($E8:J8)/SUM($E7:J7)</f>
        <v>0.86887788778877884</v>
      </c>
      <c r="K10" s="9">
        <f>SUM($E8:K8)/SUM($E7:K7)</f>
        <v>0.77448373408769444</v>
      </c>
      <c r="L10" s="5">
        <f>SUM($E8:L8)/SUM($E7:L7)</f>
        <v>0.77686881188118806</v>
      </c>
      <c r="M10" s="5">
        <f>SUM($E8:M8)/SUM($E7:M7)</f>
        <v>0.77906490649064908</v>
      </c>
      <c r="N10" s="5">
        <f>SUM($E8:N8)/SUM($E7:N7)</f>
        <v>0.70115841584158412</v>
      </c>
      <c r="O10" s="5">
        <f>SUM($E8:O8)/SUM($E7:O7)</f>
        <v>0.6374167416741674</v>
      </c>
      <c r="P10" s="17">
        <f>SUM($E8:P8)/SUM($E7:P7)</f>
        <v>0.58429867986798678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395">
        <v>1717</v>
      </c>
      <c r="F11" s="120">
        <v>1717</v>
      </c>
      <c r="G11" s="120">
        <v>1717</v>
      </c>
      <c r="H11" s="122">
        <v>1717</v>
      </c>
      <c r="I11" s="120">
        <v>1717</v>
      </c>
      <c r="J11" s="121">
        <v>1717</v>
      </c>
      <c r="K11" s="122">
        <v>1717</v>
      </c>
      <c r="L11" s="120">
        <v>1717</v>
      </c>
      <c r="M11" s="120">
        <v>1717</v>
      </c>
      <c r="N11" s="120">
        <v>1717</v>
      </c>
      <c r="O11" s="120">
        <v>1717</v>
      </c>
      <c r="P11" s="123">
        <v>1717</v>
      </c>
      <c r="Q11" s="124">
        <f>SUM(E11:P11)</f>
        <v>20604</v>
      </c>
      <c r="R11" s="465">
        <v>21816</v>
      </c>
      <c r="S11" s="68">
        <f>IFERROR(Q11/R11,"")</f>
        <v>0.94444444444444442</v>
      </c>
    </row>
    <row r="12" spans="1:19" x14ac:dyDescent="0.4">
      <c r="A12" s="447"/>
      <c r="B12" s="450"/>
      <c r="C12" s="453"/>
      <c r="D12" s="140" t="s">
        <v>14</v>
      </c>
      <c r="E12" s="396">
        <v>1344.8</v>
      </c>
      <c r="F12" s="141">
        <v>1320.6</v>
      </c>
      <c r="G12" s="141">
        <v>1067.7</v>
      </c>
      <c r="H12" s="143">
        <v>2037</v>
      </c>
      <c r="I12" s="143">
        <v>3022.8</v>
      </c>
      <c r="J12" s="143">
        <v>1006.1</v>
      </c>
      <c r="K12" s="143">
        <v>391</v>
      </c>
      <c r="L12" s="143">
        <v>1475.2</v>
      </c>
      <c r="M12" s="143">
        <v>1551.6</v>
      </c>
      <c r="N12" s="143"/>
      <c r="O12" s="410"/>
      <c r="P12" s="407"/>
      <c r="Q12" s="145">
        <f>SUM(E12:P12)</f>
        <v>13216.800000000001</v>
      </c>
      <c r="R12" s="471"/>
      <c r="S12" s="70">
        <f>IFERROR(Q12/R11,"")</f>
        <v>0.60583058305830584</v>
      </c>
    </row>
    <row r="13" spans="1:19" x14ac:dyDescent="0.4">
      <c r="A13" s="447"/>
      <c r="B13" s="450"/>
      <c r="C13" s="435" t="s">
        <v>16</v>
      </c>
      <c r="D13" s="118" t="s">
        <v>13</v>
      </c>
      <c r="E13" s="395">
        <f>E7-E11</f>
        <v>303</v>
      </c>
      <c r="F13" s="120">
        <f t="shared" ref="F13:P14" si="1">F7-F11</f>
        <v>303</v>
      </c>
      <c r="G13" s="120">
        <f t="shared" si="1"/>
        <v>303</v>
      </c>
      <c r="H13" s="122">
        <f t="shared" si="1"/>
        <v>303</v>
      </c>
      <c r="I13" s="120">
        <f t="shared" si="1"/>
        <v>303</v>
      </c>
      <c r="J13" s="121">
        <f t="shared" si="1"/>
        <v>303</v>
      </c>
      <c r="K13" s="122">
        <f t="shared" si="1"/>
        <v>303</v>
      </c>
      <c r="L13" s="120">
        <f t="shared" si="1"/>
        <v>303</v>
      </c>
      <c r="M13" s="120">
        <f t="shared" si="1"/>
        <v>303</v>
      </c>
      <c r="N13" s="120">
        <f t="shared" si="1"/>
        <v>303</v>
      </c>
      <c r="O13" s="120">
        <f t="shared" si="1"/>
        <v>303</v>
      </c>
      <c r="P13" s="123">
        <f t="shared" si="1"/>
        <v>303</v>
      </c>
      <c r="Q13" s="124">
        <f>SUM(E13:P13)</f>
        <v>3636</v>
      </c>
      <c r="R13" s="465">
        <f>R7-R11</f>
        <v>1638</v>
      </c>
      <c r="S13" s="149">
        <f>IFERROR(Q13/R13,"")</f>
        <v>2.2197802197802199</v>
      </c>
    </row>
    <row r="14" spans="1:19" ht="19.5" thickBot="1" x14ac:dyDescent="0.45">
      <c r="A14" s="447"/>
      <c r="B14" s="450"/>
      <c r="C14" s="436"/>
      <c r="D14" s="133" t="s">
        <v>14</v>
      </c>
      <c r="E14" s="391">
        <f>E8-E12</f>
        <v>72.400000000000091</v>
      </c>
      <c r="F14" s="135">
        <f t="shared" si="1"/>
        <v>93.800000000000182</v>
      </c>
      <c r="G14" s="135">
        <f t="shared" si="1"/>
        <v>73.899999999999864</v>
      </c>
      <c r="H14" s="137">
        <f t="shared" si="1"/>
        <v>173</v>
      </c>
      <c r="I14" s="135">
        <f t="shared" si="1"/>
        <v>264</v>
      </c>
      <c r="J14" s="136">
        <f t="shared" si="1"/>
        <v>54.699999999999932</v>
      </c>
      <c r="K14" s="137">
        <f t="shared" si="1"/>
        <v>29.399999999999977</v>
      </c>
      <c r="L14" s="135">
        <f t="shared" si="1"/>
        <v>127.79999999999995</v>
      </c>
      <c r="M14" s="135">
        <f t="shared" si="1"/>
        <v>57.600000000000136</v>
      </c>
      <c r="N14" s="135">
        <f t="shared" si="1"/>
        <v>0</v>
      </c>
      <c r="O14" s="135">
        <f t="shared" si="1"/>
        <v>0</v>
      </c>
      <c r="P14" s="138">
        <f t="shared" si="1"/>
        <v>0</v>
      </c>
      <c r="Q14" s="139">
        <f>SUM(E14:P14)</f>
        <v>946.60000000000014</v>
      </c>
      <c r="R14" s="466"/>
      <c r="S14" s="69">
        <f>IFERROR(Q14/R13,"")</f>
        <v>0.57789987789987796</v>
      </c>
    </row>
    <row r="15" spans="1:19" x14ac:dyDescent="0.4">
      <c r="A15" s="447"/>
      <c r="B15" s="450"/>
      <c r="C15" s="436"/>
      <c r="D15" s="21" t="s">
        <v>17</v>
      </c>
      <c r="E15" s="393">
        <f>E14/E13</f>
        <v>0.23894389438943925</v>
      </c>
      <c r="F15" s="4">
        <f t="shared" ref="F15:P15" si="2">F14/F13</f>
        <v>0.3095709570957102</v>
      </c>
      <c r="G15" s="4">
        <f t="shared" si="2"/>
        <v>0.24389438943894345</v>
      </c>
      <c r="H15" s="8">
        <f t="shared" si="2"/>
        <v>0.57095709570957098</v>
      </c>
      <c r="I15" s="4">
        <f t="shared" si="2"/>
        <v>0.87128712871287128</v>
      </c>
      <c r="J15" s="6">
        <f t="shared" si="2"/>
        <v>0.18052805280528031</v>
      </c>
      <c r="K15" s="8">
        <f t="shared" si="2"/>
        <v>9.7029702970296949E-2</v>
      </c>
      <c r="L15" s="4">
        <f t="shared" si="2"/>
        <v>0.42178217821782166</v>
      </c>
      <c r="M15" s="4">
        <f t="shared" si="2"/>
        <v>0.19009900990099055</v>
      </c>
      <c r="N15" s="4">
        <f t="shared" si="2"/>
        <v>0</v>
      </c>
      <c r="O15" s="4">
        <f t="shared" si="2"/>
        <v>0</v>
      </c>
      <c r="P15" s="16">
        <f t="shared" si="2"/>
        <v>0</v>
      </c>
      <c r="Q15" s="26">
        <f>Q14/Q13</f>
        <v>0.26034103410341036</v>
      </c>
    </row>
    <row r="16" spans="1:19" ht="19.5" thickBot="1" x14ac:dyDescent="0.45">
      <c r="A16" s="448"/>
      <c r="B16" s="451"/>
      <c r="C16" s="437"/>
      <c r="D16" s="23" t="s">
        <v>18</v>
      </c>
      <c r="E16" s="397">
        <f>SUM($E14:E14)/SUM($E13:E13)</f>
        <v>0.23894389438943925</v>
      </c>
      <c r="F16" s="7">
        <f>SUM($E14:F14)/SUM($E13:F13)</f>
        <v>0.27425742574257472</v>
      </c>
      <c r="G16" s="7">
        <f>SUM($E14:G14)/SUM($E13:G13)</f>
        <v>0.26413641364136431</v>
      </c>
      <c r="H16" s="10">
        <f>SUM($E14:H14)/SUM($E13:H13)</f>
        <v>0.34084158415841598</v>
      </c>
      <c r="I16" s="7">
        <f>SUM($E14:I14)/SUM($E13:I13)</f>
        <v>0.44693069306930699</v>
      </c>
      <c r="J16" s="15">
        <f>SUM($E14:J14)/SUM($E13:J13)</f>
        <v>0.40253025302530254</v>
      </c>
      <c r="K16" s="10">
        <f>SUM($E14:K14)/SUM($E13:K13)</f>
        <v>0.35888731730315893</v>
      </c>
      <c r="L16" s="7">
        <f>SUM($E14:L14)/SUM($E13:L13)</f>
        <v>0.36674917491749176</v>
      </c>
      <c r="M16" s="7">
        <f>SUM($E14:M14)/SUM($E13:M13)</f>
        <v>0.34712137880454719</v>
      </c>
      <c r="N16" s="7">
        <f>SUM($E14:N14)/SUM($E13:N13)</f>
        <v>0.31240924092409245</v>
      </c>
      <c r="O16" s="7">
        <f>SUM($E14:O14)/SUM($E13:O13)</f>
        <v>0.28400840084008405</v>
      </c>
      <c r="P16" s="18">
        <f>SUM($E14:P14)/SUM($E13:P13)</f>
        <v>0.26034103410341036</v>
      </c>
      <c r="Q16" s="28" t="s">
        <v>22</v>
      </c>
      <c r="R16" s="59"/>
      <c r="S16"/>
    </row>
    <row r="17" spans="1:19" x14ac:dyDescent="0.4">
      <c r="A17" s="446" t="s">
        <v>195</v>
      </c>
      <c r="B17" s="449" t="s">
        <v>136</v>
      </c>
      <c r="C17" s="433" t="s">
        <v>15</v>
      </c>
      <c r="D17" s="111" t="s">
        <v>13</v>
      </c>
      <c r="E17" s="398">
        <v>5880</v>
      </c>
      <c r="F17" s="113">
        <v>5880</v>
      </c>
      <c r="G17" s="113">
        <v>5880</v>
      </c>
      <c r="H17" s="115">
        <v>5880</v>
      </c>
      <c r="I17" s="113">
        <v>5880</v>
      </c>
      <c r="J17" s="114">
        <v>5880</v>
      </c>
      <c r="K17" s="115">
        <v>5880</v>
      </c>
      <c r="L17" s="113">
        <v>5880</v>
      </c>
      <c r="M17" s="113">
        <v>5880</v>
      </c>
      <c r="N17" s="113">
        <v>5880</v>
      </c>
      <c r="O17" s="113">
        <v>5880</v>
      </c>
      <c r="P17" s="116">
        <v>5580</v>
      </c>
      <c r="Q17" s="117">
        <f>SUM(E17:P17)</f>
        <v>70260</v>
      </c>
      <c r="R17" s="465">
        <v>55946</v>
      </c>
      <c r="S17" s="68">
        <f>IFERROR(Q17/R17,"")</f>
        <v>1.255853859078397</v>
      </c>
    </row>
    <row r="18" spans="1:19" ht="19.5" thickBot="1" x14ac:dyDescent="0.45">
      <c r="A18" s="447"/>
      <c r="B18" s="450"/>
      <c r="C18" s="433"/>
      <c r="D18" s="133" t="s">
        <v>14</v>
      </c>
      <c r="E18" s="391">
        <v>7799.4</v>
      </c>
      <c r="F18" s="135">
        <v>4084.1</v>
      </c>
      <c r="G18" s="135">
        <v>3964.4</v>
      </c>
      <c r="H18" s="137">
        <v>3982</v>
      </c>
      <c r="I18" s="135">
        <v>8264.7999999999993</v>
      </c>
      <c r="J18" s="136">
        <v>2666.4</v>
      </c>
      <c r="K18" s="137">
        <v>4100.3</v>
      </c>
      <c r="L18" s="135">
        <v>5855.1</v>
      </c>
      <c r="M18" s="135">
        <v>3870.7</v>
      </c>
      <c r="N18" s="135"/>
      <c r="O18" s="409"/>
      <c r="P18" s="406"/>
      <c r="Q18" s="139">
        <f>SUM(E18:P18)</f>
        <v>44587.199999999997</v>
      </c>
      <c r="R18" s="466"/>
      <c r="S18" s="69">
        <f>IFERROR(Q18/R17,"")</f>
        <v>0.79696850534443919</v>
      </c>
    </row>
    <row r="19" spans="1:19" x14ac:dyDescent="0.4">
      <c r="A19" s="447"/>
      <c r="B19" s="450"/>
      <c r="C19" s="433"/>
      <c r="D19" s="21" t="s">
        <v>17</v>
      </c>
      <c r="E19" s="393">
        <f>E18/E17</f>
        <v>1.3264285714285713</v>
      </c>
      <c r="F19" s="4">
        <f t="shared" ref="F19:P19" si="3">F18/F17</f>
        <v>0.69457482993197273</v>
      </c>
      <c r="G19" s="4">
        <f t="shared" si="3"/>
        <v>0.67421768707482999</v>
      </c>
      <c r="H19" s="8">
        <f t="shared" si="3"/>
        <v>0.67721088435374155</v>
      </c>
      <c r="I19" s="4">
        <f t="shared" si="3"/>
        <v>1.4055782312925169</v>
      </c>
      <c r="J19" s="6">
        <f t="shared" si="3"/>
        <v>0.45346938775510204</v>
      </c>
      <c r="K19" s="8">
        <f t="shared" si="3"/>
        <v>0.69732993197278914</v>
      </c>
      <c r="L19" s="4">
        <f>L18/L17</f>
        <v>0.99576530612244907</v>
      </c>
      <c r="M19" s="4">
        <f t="shared" si="3"/>
        <v>0.65828231292517003</v>
      </c>
      <c r="N19" s="4">
        <f t="shared" si="3"/>
        <v>0</v>
      </c>
      <c r="O19" s="4">
        <f t="shared" si="3"/>
        <v>0</v>
      </c>
      <c r="P19" s="16">
        <f t="shared" si="3"/>
        <v>0</v>
      </c>
      <c r="Q19" s="26">
        <f t="shared" ref="Q19" si="4">Q18/Q17</f>
        <v>0.6346029035012809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394">
        <f>SUM($E18:E18)/SUM($E17:E17)</f>
        <v>1.3264285714285713</v>
      </c>
      <c r="F20" s="5">
        <f>SUM($E18:F18)/SUM($E17:F17)</f>
        <v>1.0105017006802721</v>
      </c>
      <c r="G20" s="5">
        <f>SUM($E18:G18)/SUM($E17:G17)</f>
        <v>0.89840702947845807</v>
      </c>
      <c r="H20" s="9">
        <f>SUM($E18:H18)/SUM($E17:H17)</f>
        <v>0.84310799319727903</v>
      </c>
      <c r="I20" s="5">
        <f>SUM($E18:I18)/SUM($E17:I17)</f>
        <v>0.9556020408163266</v>
      </c>
      <c r="J20" s="13">
        <f>SUM($E18:J18)/SUM($E17:J17)</f>
        <v>0.87191326530612256</v>
      </c>
      <c r="K20" s="9">
        <f>SUM($E18:K18)/SUM($E17:K17)</f>
        <v>0.84697278911564633</v>
      </c>
      <c r="L20" s="5">
        <f>SUM($E18:L18)/SUM($E17:L17)</f>
        <v>0.86557185374149659</v>
      </c>
      <c r="M20" s="5">
        <f>SUM($E18:M18)/SUM($E17:M17)</f>
        <v>0.84253968253968248</v>
      </c>
      <c r="N20" s="5">
        <f>SUM($E18:N18)/SUM($E17:N17)</f>
        <v>0.75828571428571423</v>
      </c>
      <c r="O20" s="5">
        <f>SUM($E18:O18)/SUM($E17:O17)</f>
        <v>0.68935064935064927</v>
      </c>
      <c r="P20" s="17">
        <f>SUM($E18:P18)/SUM($E17:P17)</f>
        <v>0.6346029035012809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395">
        <v>4410</v>
      </c>
      <c r="F21" s="120">
        <v>4410</v>
      </c>
      <c r="G21" s="120">
        <v>4410</v>
      </c>
      <c r="H21" s="122">
        <v>4410</v>
      </c>
      <c r="I21" s="120">
        <v>4410</v>
      </c>
      <c r="J21" s="121">
        <v>4410</v>
      </c>
      <c r="K21" s="122">
        <v>4410</v>
      </c>
      <c r="L21" s="120">
        <v>4410</v>
      </c>
      <c r="M21" s="120">
        <v>4410</v>
      </c>
      <c r="N21" s="120">
        <v>4410</v>
      </c>
      <c r="O21" s="120">
        <v>4410</v>
      </c>
      <c r="P21" s="123">
        <v>4159</v>
      </c>
      <c r="Q21" s="124">
        <f>SUM(E21:P21)</f>
        <v>52669</v>
      </c>
      <c r="R21" s="465">
        <v>43134</v>
      </c>
      <c r="S21" s="68">
        <f>IFERROR(Q21/R21,"")</f>
        <v>1.2210553159920248</v>
      </c>
    </row>
    <row r="22" spans="1:19" x14ac:dyDescent="0.4">
      <c r="A22" s="447"/>
      <c r="B22" s="450"/>
      <c r="C22" s="453"/>
      <c r="D22" s="140" t="s">
        <v>14</v>
      </c>
      <c r="E22" s="396">
        <v>6451.3</v>
      </c>
      <c r="F22" s="141">
        <v>3136.6</v>
      </c>
      <c r="G22" s="141">
        <v>3147.3</v>
      </c>
      <c r="H22" s="143">
        <v>3080</v>
      </c>
      <c r="I22" s="143">
        <v>6659</v>
      </c>
      <c r="J22" s="143">
        <v>2059.1</v>
      </c>
      <c r="K22" s="143">
        <v>3275.9</v>
      </c>
      <c r="L22" s="143">
        <v>4815.8</v>
      </c>
      <c r="M22" s="143">
        <v>3050</v>
      </c>
      <c r="N22" s="143"/>
      <c r="O22" s="410"/>
      <c r="P22" s="407"/>
      <c r="Q22" s="145">
        <f>SUM(E22:P22)</f>
        <v>35675</v>
      </c>
      <c r="R22" s="471"/>
      <c r="S22" s="70">
        <f>IFERROR(Q22/R21,"")</f>
        <v>0.82707377011174477</v>
      </c>
    </row>
    <row r="23" spans="1:19" x14ac:dyDescent="0.4">
      <c r="A23" s="447"/>
      <c r="B23" s="450"/>
      <c r="C23" s="435" t="s">
        <v>16</v>
      </c>
      <c r="D23" s="118" t="s">
        <v>13</v>
      </c>
      <c r="E23" s="395">
        <f>E17-E21</f>
        <v>1470</v>
      </c>
      <c r="F23" s="120">
        <f t="shared" ref="F23:P24" si="5">F17-F21</f>
        <v>1470</v>
      </c>
      <c r="G23" s="120">
        <f t="shared" si="5"/>
        <v>1470</v>
      </c>
      <c r="H23" s="122">
        <f t="shared" si="5"/>
        <v>1470</v>
      </c>
      <c r="I23" s="120">
        <f t="shared" si="5"/>
        <v>1470</v>
      </c>
      <c r="J23" s="121">
        <f t="shared" si="5"/>
        <v>1470</v>
      </c>
      <c r="K23" s="122">
        <f t="shared" si="5"/>
        <v>1470</v>
      </c>
      <c r="L23" s="120">
        <f t="shared" si="5"/>
        <v>1470</v>
      </c>
      <c r="M23" s="120">
        <f t="shared" si="5"/>
        <v>1470</v>
      </c>
      <c r="N23" s="120">
        <f t="shared" si="5"/>
        <v>1470</v>
      </c>
      <c r="O23" s="120">
        <f t="shared" si="5"/>
        <v>1470</v>
      </c>
      <c r="P23" s="123">
        <f t="shared" si="5"/>
        <v>1421</v>
      </c>
      <c r="Q23" s="124">
        <f>SUM(E23:P23)</f>
        <v>17591</v>
      </c>
      <c r="R23" s="465">
        <f>R17-R21</f>
        <v>12812</v>
      </c>
      <c r="S23" s="149">
        <f>IFERROR(Q23/R23,"")</f>
        <v>1.3730096784264751</v>
      </c>
    </row>
    <row r="24" spans="1:19" ht="19.5" thickBot="1" x14ac:dyDescent="0.45">
      <c r="A24" s="447"/>
      <c r="B24" s="450"/>
      <c r="C24" s="436"/>
      <c r="D24" s="133" t="s">
        <v>14</v>
      </c>
      <c r="E24" s="391">
        <f>E18-E22</f>
        <v>1348.0999999999995</v>
      </c>
      <c r="F24" s="135">
        <f t="shared" si="5"/>
        <v>947.5</v>
      </c>
      <c r="G24" s="135">
        <f t="shared" si="5"/>
        <v>817.09999999999991</v>
      </c>
      <c r="H24" s="137">
        <f t="shared" si="5"/>
        <v>902</v>
      </c>
      <c r="I24" s="135">
        <f t="shared" si="5"/>
        <v>1605.7999999999993</v>
      </c>
      <c r="J24" s="136">
        <f t="shared" si="5"/>
        <v>607.30000000000018</v>
      </c>
      <c r="K24" s="137">
        <f t="shared" si="5"/>
        <v>824.40000000000009</v>
      </c>
      <c r="L24" s="135">
        <f t="shared" si="5"/>
        <v>1039.3000000000002</v>
      </c>
      <c r="M24" s="135">
        <f t="shared" si="5"/>
        <v>820.69999999999982</v>
      </c>
      <c r="N24" s="135">
        <f t="shared" si="5"/>
        <v>0</v>
      </c>
      <c r="O24" s="135">
        <f t="shared" si="5"/>
        <v>0</v>
      </c>
      <c r="P24" s="138">
        <f t="shared" si="5"/>
        <v>0</v>
      </c>
      <c r="Q24" s="139">
        <f>SUM(E24:P24)</f>
        <v>8912.1999999999989</v>
      </c>
      <c r="R24" s="466"/>
      <c r="S24" s="69">
        <f>IFERROR(Q24/R23,"")</f>
        <v>0.69561348735560402</v>
      </c>
    </row>
    <row r="25" spans="1:19" x14ac:dyDescent="0.4">
      <c r="A25" s="447"/>
      <c r="B25" s="450"/>
      <c r="C25" s="436"/>
      <c r="D25" s="21" t="s">
        <v>17</v>
      </c>
      <c r="E25" s="393">
        <f>E24/E23</f>
        <v>0.91707482993197242</v>
      </c>
      <c r="F25" s="4">
        <f t="shared" ref="F25:P25" si="6">F24/F23</f>
        <v>0.64455782312925169</v>
      </c>
      <c r="G25" s="4">
        <f t="shared" si="6"/>
        <v>0.55585034013605439</v>
      </c>
      <c r="H25" s="8">
        <f t="shared" si="6"/>
        <v>0.61360544217687074</v>
      </c>
      <c r="I25" s="4">
        <f t="shared" si="6"/>
        <v>1.0923809523809518</v>
      </c>
      <c r="J25" s="6">
        <f t="shared" si="6"/>
        <v>0.41312925170068038</v>
      </c>
      <c r="K25" s="8">
        <f t="shared" si="6"/>
        <v>0.56081632653061231</v>
      </c>
      <c r="L25" s="4">
        <f t="shared" si="6"/>
        <v>0.70700680272108851</v>
      </c>
      <c r="M25" s="4">
        <f t="shared" si="6"/>
        <v>0.55829931972789104</v>
      </c>
      <c r="N25" s="4">
        <f t="shared" si="6"/>
        <v>0</v>
      </c>
      <c r="O25" s="4">
        <f t="shared" si="6"/>
        <v>0</v>
      </c>
      <c r="P25" s="16">
        <f t="shared" si="6"/>
        <v>0</v>
      </c>
      <c r="Q25" s="26">
        <f t="shared" ref="Q25" si="7">Q24/Q23</f>
        <v>0.50663407424251028</v>
      </c>
    </row>
    <row r="26" spans="1:19" ht="19.5" thickBot="1" x14ac:dyDescent="0.45">
      <c r="A26" s="448"/>
      <c r="B26" s="451"/>
      <c r="C26" s="437"/>
      <c r="D26" s="23" t="s">
        <v>18</v>
      </c>
      <c r="E26" s="397">
        <f>SUM($E24:E24)/SUM($E23:E23)</f>
        <v>0.91707482993197242</v>
      </c>
      <c r="F26" s="7">
        <f>SUM($E24:F24)/SUM($E23:F23)</f>
        <v>0.78081632653061206</v>
      </c>
      <c r="G26" s="7">
        <f>SUM($E24:G24)/SUM($E23:G23)</f>
        <v>0.70582766439909284</v>
      </c>
      <c r="H26" s="10">
        <f>SUM($E24:H24)/SUM($E23:H23)</f>
        <v>0.68277210884353734</v>
      </c>
      <c r="I26" s="7">
        <f>SUM($E24:I24)/SUM($E23:I23)</f>
        <v>0.76469387755102014</v>
      </c>
      <c r="J26" s="15">
        <f>SUM($E24:J24)/SUM($E23:J23)</f>
        <v>0.70609977324263018</v>
      </c>
      <c r="K26" s="10">
        <f>SUM($E24:K24)/SUM($E23:K23)</f>
        <v>0.6853449951409134</v>
      </c>
      <c r="L26" s="7">
        <f>SUM($E24:L24)/SUM($E23:L23)</f>
        <v>0.68805272108843529</v>
      </c>
      <c r="M26" s="7">
        <f>SUM($E24:M24)/SUM($E23:M23)</f>
        <v>0.6736356764928193</v>
      </c>
      <c r="N26" s="7">
        <f>SUM($E24:N24)/SUM($E23:N23)</f>
        <v>0.60627210884353733</v>
      </c>
      <c r="O26" s="7">
        <f>SUM($E24:O24)/SUM($E23:O23)</f>
        <v>0.55115646258503392</v>
      </c>
      <c r="P26" s="18">
        <f>SUM($E24:P24)/SUM($E23:P23)</f>
        <v>0.50663407424251028</v>
      </c>
      <c r="Q26" s="28" t="s">
        <v>22</v>
      </c>
      <c r="R26" s="59"/>
      <c r="S26"/>
    </row>
    <row r="27" spans="1:19" x14ac:dyDescent="0.4">
      <c r="A27" s="446" t="s">
        <v>196</v>
      </c>
      <c r="B27" s="449" t="s">
        <v>418</v>
      </c>
      <c r="C27" s="433" t="s">
        <v>15</v>
      </c>
      <c r="D27" s="111" t="s">
        <v>13</v>
      </c>
      <c r="E27" s="398">
        <v>1220</v>
      </c>
      <c r="F27" s="113">
        <v>1220</v>
      </c>
      <c r="G27" s="113">
        <v>1220</v>
      </c>
      <c r="H27" s="115">
        <v>1220</v>
      </c>
      <c r="I27" s="113">
        <v>1220</v>
      </c>
      <c r="J27" s="114">
        <v>1220</v>
      </c>
      <c r="K27" s="115">
        <v>1220</v>
      </c>
      <c r="L27" s="113">
        <v>1220</v>
      </c>
      <c r="M27" s="113">
        <v>1220</v>
      </c>
      <c r="N27" s="113">
        <v>1220</v>
      </c>
      <c r="O27" s="113">
        <v>1220</v>
      </c>
      <c r="P27" s="116">
        <v>1220</v>
      </c>
      <c r="Q27" s="117">
        <f>SUM(E27:P27)</f>
        <v>14640</v>
      </c>
      <c r="R27" s="465">
        <v>20011</v>
      </c>
      <c r="S27" s="68">
        <f>IFERROR(Q27/R27,"")</f>
        <v>0.73159762130828043</v>
      </c>
    </row>
    <row r="28" spans="1:19" ht="19.5" thickBot="1" x14ac:dyDescent="0.45">
      <c r="A28" s="447"/>
      <c r="B28" s="450"/>
      <c r="C28" s="433"/>
      <c r="D28" s="133" t="s">
        <v>14</v>
      </c>
      <c r="E28" s="391">
        <v>608.20000000000005</v>
      </c>
      <c r="F28" s="135">
        <v>837.9</v>
      </c>
      <c r="G28" s="135">
        <v>434.6</v>
      </c>
      <c r="H28" s="137">
        <v>1249</v>
      </c>
      <c r="I28" s="135">
        <v>1123</v>
      </c>
      <c r="J28" s="136">
        <v>730.6</v>
      </c>
      <c r="K28" s="137">
        <v>980.5</v>
      </c>
      <c r="L28" s="135">
        <v>508.8</v>
      </c>
      <c r="M28" s="135">
        <v>730.6</v>
      </c>
      <c r="N28" s="135"/>
      <c r="O28" s="409"/>
      <c r="P28" s="406"/>
      <c r="Q28" s="139">
        <f>SUM(E28:P28)</f>
        <v>7203.2000000000007</v>
      </c>
      <c r="R28" s="466"/>
      <c r="S28" s="69">
        <f>IFERROR(Q28/R27,"")</f>
        <v>0.35996202088851137</v>
      </c>
    </row>
    <row r="29" spans="1:19" x14ac:dyDescent="0.4">
      <c r="A29" s="447"/>
      <c r="B29" s="450"/>
      <c r="C29" s="433"/>
      <c r="D29" s="21" t="s">
        <v>17</v>
      </c>
      <c r="E29" s="393">
        <f>E28/E27</f>
        <v>0.49852459016393447</v>
      </c>
      <c r="F29" s="4">
        <f>F28/F27</f>
        <v>0.68680327868852453</v>
      </c>
      <c r="G29" s="4">
        <f t="shared" ref="G29:P29" si="8">G28/G27</f>
        <v>0.35622950819672133</v>
      </c>
      <c r="H29" s="8">
        <f t="shared" si="8"/>
        <v>1.0237704918032786</v>
      </c>
      <c r="I29" s="4">
        <f t="shared" si="8"/>
        <v>0.92049180327868851</v>
      </c>
      <c r="J29" s="6">
        <f t="shared" si="8"/>
        <v>0.5988524590163935</v>
      </c>
      <c r="K29" s="8">
        <f t="shared" si="8"/>
        <v>0.80368852459016393</v>
      </c>
      <c r="L29" s="4">
        <f t="shared" si="8"/>
        <v>0.41704918032786886</v>
      </c>
      <c r="M29" s="4">
        <f t="shared" si="8"/>
        <v>0.5988524590163935</v>
      </c>
      <c r="N29" s="4">
        <f t="shared" si="8"/>
        <v>0</v>
      </c>
      <c r="O29" s="4">
        <f t="shared" si="8"/>
        <v>0</v>
      </c>
      <c r="P29" s="16">
        <f t="shared" si="8"/>
        <v>0</v>
      </c>
      <c r="Q29" s="26">
        <f t="shared" ref="Q29" si="9">Q28/Q27</f>
        <v>0.49202185792349734</v>
      </c>
      <c r="R29" s="59"/>
      <c r="S29"/>
    </row>
    <row r="30" spans="1:19" x14ac:dyDescent="0.4">
      <c r="A30" s="447"/>
      <c r="B30" s="450"/>
      <c r="C30" s="434"/>
      <c r="D30" s="22" t="s">
        <v>18</v>
      </c>
      <c r="E30" s="394">
        <f>SUM($E28:E28)/SUM($E27:E27)</f>
        <v>0.49852459016393447</v>
      </c>
      <c r="F30" s="5">
        <f>SUM($E28:F28)/SUM($E27:F27)</f>
        <v>0.59266393442622944</v>
      </c>
      <c r="G30" s="5">
        <f>SUM($E28:G28)/SUM($E27:G27)</f>
        <v>0.51385245901639343</v>
      </c>
      <c r="H30" s="9">
        <f>SUM($E28:H28)/SUM($E27:H27)</f>
        <v>0.6413319672131147</v>
      </c>
      <c r="I30" s="5">
        <f>SUM($E28:I28)/SUM($E27:I27)</f>
        <v>0.69716393442622948</v>
      </c>
      <c r="J30" s="13">
        <f>SUM($E28:J28)/SUM($E27:J27)</f>
        <v>0.68077868852459023</v>
      </c>
      <c r="K30" s="9">
        <f>SUM($E28:K28)/SUM($E27:K27)</f>
        <v>0.69833723653395785</v>
      </c>
      <c r="L30" s="5">
        <f>SUM($E28:L28)/SUM($E27:L27)</f>
        <v>0.66317622950819677</v>
      </c>
      <c r="M30" s="5">
        <f>SUM($E28:M28)/SUM($E27:M27)</f>
        <v>0.65602914389799638</v>
      </c>
      <c r="N30" s="5">
        <f>SUM($E28:N28)/SUM($E27:N27)</f>
        <v>0.59042622950819679</v>
      </c>
      <c r="O30" s="5">
        <f>SUM($E28:O28)/SUM($E27:O27)</f>
        <v>0.53675111773472439</v>
      </c>
      <c r="P30" s="17">
        <f>SUM($E28:P28)/SUM($E27:P27)</f>
        <v>0.49202185792349734</v>
      </c>
      <c r="Q30" s="27" t="s">
        <v>22</v>
      </c>
      <c r="R30" s="59"/>
      <c r="S30"/>
    </row>
    <row r="31" spans="1:19" x14ac:dyDescent="0.4">
      <c r="A31" s="447"/>
      <c r="B31" s="450"/>
      <c r="C31" s="452" t="s">
        <v>192</v>
      </c>
      <c r="D31" s="118" t="s">
        <v>13</v>
      </c>
      <c r="E31" s="395">
        <v>759</v>
      </c>
      <c r="F31" s="120">
        <v>759</v>
      </c>
      <c r="G31" s="120">
        <v>759</v>
      </c>
      <c r="H31" s="122">
        <v>759</v>
      </c>
      <c r="I31" s="120">
        <v>759</v>
      </c>
      <c r="J31" s="121">
        <v>759</v>
      </c>
      <c r="K31" s="122">
        <v>759</v>
      </c>
      <c r="L31" s="120">
        <v>759</v>
      </c>
      <c r="M31" s="120">
        <v>759</v>
      </c>
      <c r="N31" s="120">
        <v>759</v>
      </c>
      <c r="O31" s="120">
        <v>759</v>
      </c>
      <c r="P31" s="123">
        <v>759</v>
      </c>
      <c r="Q31" s="124">
        <f>SUM(E31:P31)</f>
        <v>9108</v>
      </c>
      <c r="R31" s="465">
        <v>12639</v>
      </c>
      <c r="S31" s="68">
        <f>IFERROR(Q31/R31,"")</f>
        <v>0.72062663185378595</v>
      </c>
    </row>
    <row r="32" spans="1:19" x14ac:dyDescent="0.4">
      <c r="A32" s="447"/>
      <c r="B32" s="450"/>
      <c r="C32" s="453"/>
      <c r="D32" s="140" t="s">
        <v>14</v>
      </c>
      <c r="E32" s="396">
        <v>278.89999999999998</v>
      </c>
      <c r="F32" s="141">
        <v>402.2</v>
      </c>
      <c r="G32" s="141">
        <v>203.1</v>
      </c>
      <c r="H32" s="143">
        <v>572</v>
      </c>
      <c r="I32" s="143">
        <v>524</v>
      </c>
      <c r="J32" s="143">
        <v>348.2</v>
      </c>
      <c r="K32" s="143">
        <v>525.9</v>
      </c>
      <c r="L32" s="143">
        <v>229.9</v>
      </c>
      <c r="M32" s="143">
        <v>355</v>
      </c>
      <c r="N32" s="143"/>
      <c r="O32" s="410"/>
      <c r="P32" s="407"/>
      <c r="Q32" s="145">
        <f>SUM(E32:P32)</f>
        <v>3439.2</v>
      </c>
      <c r="R32" s="471"/>
      <c r="S32" s="70">
        <f>IFERROR(Q32/R31,"")</f>
        <v>0.27211013529551387</v>
      </c>
    </row>
    <row r="33" spans="1:19" x14ac:dyDescent="0.4">
      <c r="A33" s="447"/>
      <c r="B33" s="450"/>
      <c r="C33" s="435" t="s">
        <v>16</v>
      </c>
      <c r="D33" s="118" t="s">
        <v>13</v>
      </c>
      <c r="E33" s="395">
        <f>E27-E31</f>
        <v>461</v>
      </c>
      <c r="F33" s="120">
        <f t="shared" ref="F33:P34" si="10">F27-F31</f>
        <v>461</v>
      </c>
      <c r="G33" s="120">
        <f t="shared" si="10"/>
        <v>461</v>
      </c>
      <c r="H33" s="122">
        <f t="shared" si="10"/>
        <v>461</v>
      </c>
      <c r="I33" s="120">
        <f t="shared" si="10"/>
        <v>461</v>
      </c>
      <c r="J33" s="121">
        <f t="shared" si="10"/>
        <v>461</v>
      </c>
      <c r="K33" s="122">
        <f t="shared" si="10"/>
        <v>461</v>
      </c>
      <c r="L33" s="120">
        <f t="shared" si="10"/>
        <v>461</v>
      </c>
      <c r="M33" s="120">
        <f t="shared" si="10"/>
        <v>461</v>
      </c>
      <c r="N33" s="120">
        <f t="shared" si="10"/>
        <v>461</v>
      </c>
      <c r="O33" s="120">
        <f t="shared" si="10"/>
        <v>461</v>
      </c>
      <c r="P33" s="123">
        <f t="shared" si="10"/>
        <v>461</v>
      </c>
      <c r="Q33" s="124">
        <f>SUM(E33:P33)</f>
        <v>5532</v>
      </c>
      <c r="R33" s="465">
        <f>R27-R31</f>
        <v>7372</v>
      </c>
      <c r="S33" s="149">
        <f>IFERROR(Q33/R33,"")</f>
        <v>0.75040694519804663</v>
      </c>
    </row>
    <row r="34" spans="1:19" ht="19.5" thickBot="1" x14ac:dyDescent="0.45">
      <c r="A34" s="447"/>
      <c r="B34" s="450"/>
      <c r="C34" s="436"/>
      <c r="D34" s="133" t="s">
        <v>14</v>
      </c>
      <c r="E34" s="391">
        <f>E28-E32</f>
        <v>329.30000000000007</v>
      </c>
      <c r="F34" s="135">
        <f t="shared" si="10"/>
        <v>435.7</v>
      </c>
      <c r="G34" s="135">
        <f t="shared" si="10"/>
        <v>231.50000000000003</v>
      </c>
      <c r="H34" s="137">
        <f t="shared" si="10"/>
        <v>677</v>
      </c>
      <c r="I34" s="135">
        <f t="shared" si="10"/>
        <v>599</v>
      </c>
      <c r="J34" s="136">
        <f t="shared" si="10"/>
        <v>382.40000000000003</v>
      </c>
      <c r="K34" s="137">
        <f t="shared" si="10"/>
        <v>454.6</v>
      </c>
      <c r="L34" s="135">
        <f t="shared" si="10"/>
        <v>278.89999999999998</v>
      </c>
      <c r="M34" s="135">
        <f t="shared" si="10"/>
        <v>375.6</v>
      </c>
      <c r="N34" s="135">
        <f t="shared" si="10"/>
        <v>0</v>
      </c>
      <c r="O34" s="135">
        <f t="shared" si="10"/>
        <v>0</v>
      </c>
      <c r="P34" s="138">
        <f t="shared" si="10"/>
        <v>0</v>
      </c>
      <c r="Q34" s="139">
        <f>SUM(E34:P34)</f>
        <v>3764</v>
      </c>
      <c r="R34" s="466"/>
      <c r="S34" s="69">
        <f>IFERROR(Q34/R33,"")</f>
        <v>0.51058057514921329</v>
      </c>
    </row>
    <row r="35" spans="1:19" x14ac:dyDescent="0.4">
      <c r="A35" s="447"/>
      <c r="B35" s="450"/>
      <c r="C35" s="436"/>
      <c r="D35" s="21" t="s">
        <v>17</v>
      </c>
      <c r="E35" s="11">
        <f>E34/E33</f>
        <v>0.71431670281995674</v>
      </c>
      <c r="F35" s="4">
        <f t="shared" ref="F35:P35" si="11">F34/F33</f>
        <v>0.9451193058568329</v>
      </c>
      <c r="G35" s="4">
        <f t="shared" si="11"/>
        <v>0.5021691973969632</v>
      </c>
      <c r="H35" s="4">
        <f t="shared" si="11"/>
        <v>1.4685466377440346</v>
      </c>
      <c r="I35" s="4">
        <f t="shared" si="11"/>
        <v>1.2993492407809111</v>
      </c>
      <c r="J35" s="6">
        <f t="shared" si="11"/>
        <v>0.82950108459869853</v>
      </c>
      <c r="K35" s="8">
        <f t="shared" si="11"/>
        <v>0.98611713665943601</v>
      </c>
      <c r="L35" s="4">
        <f t="shared" si="11"/>
        <v>0.60498915401301512</v>
      </c>
      <c r="M35" s="4">
        <f t="shared" si="11"/>
        <v>0.81475054229934929</v>
      </c>
      <c r="N35" s="4">
        <f t="shared" si="11"/>
        <v>0</v>
      </c>
      <c r="O35" s="4">
        <f t="shared" si="11"/>
        <v>0</v>
      </c>
      <c r="P35" s="16">
        <f t="shared" si="11"/>
        <v>0</v>
      </c>
      <c r="Q35" s="26">
        <f t="shared" ref="Q35" si="12">Q34/Q33</f>
        <v>0.68040491684743309</v>
      </c>
    </row>
    <row r="36" spans="1:19" ht="19.5" thickBot="1" x14ac:dyDescent="0.45">
      <c r="A36" s="448"/>
      <c r="B36" s="451"/>
      <c r="C36" s="437"/>
      <c r="D36" s="23" t="s">
        <v>18</v>
      </c>
      <c r="E36" s="14">
        <f>SUM($E34:E34)/SUM($E33:E33)</f>
        <v>0.71431670281995674</v>
      </c>
      <c r="F36" s="7">
        <f>SUM($E34:F34)/SUM($E33:F33)</f>
        <v>0.82971800433839482</v>
      </c>
      <c r="G36" s="7">
        <f>SUM($E34:G34)/SUM($E33:G33)</f>
        <v>0.72053506869125095</v>
      </c>
      <c r="H36" s="7">
        <f>SUM($E34:H34)/SUM($E33:H33)</f>
        <v>0.90753796095444683</v>
      </c>
      <c r="I36" s="7">
        <f>SUM($E34:I34)/SUM($E33:I33)</f>
        <v>0.98590021691973972</v>
      </c>
      <c r="J36" s="15">
        <f>SUM($E34:J34)/SUM($E33:J33)</f>
        <v>0.95983369486623282</v>
      </c>
      <c r="K36" s="10">
        <f>SUM($E34:K34)/SUM($E33:K33)</f>
        <v>0.9635884722652619</v>
      </c>
      <c r="L36" s="7">
        <f>SUM($E34:L34)/SUM($E33:L33)</f>
        <v>0.91876355748373106</v>
      </c>
      <c r="M36" s="7">
        <f>SUM($E34:M34)/SUM($E33:M33)</f>
        <v>0.9072065557965775</v>
      </c>
      <c r="N36" s="7">
        <f>SUM($E34:N34)/SUM($E33:N33)</f>
        <v>0.81648590021691969</v>
      </c>
      <c r="O36" s="7">
        <f>SUM($E34:O34)/SUM($E33:O33)</f>
        <v>0.74225990928810881</v>
      </c>
      <c r="P36" s="18">
        <f>SUM($E34:P34)/SUM($E33:P33)</f>
        <v>0.68040491684743309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>SUM(E7,E17,E27)</f>
        <v>9120</v>
      </c>
      <c r="F37" s="127">
        <f t="shared" ref="F37:P38" si="13">SUM(F7,F17,F27)</f>
        <v>9120</v>
      </c>
      <c r="G37" s="128">
        <f t="shared" si="13"/>
        <v>9120</v>
      </c>
      <c r="H37" s="127">
        <f t="shared" si="13"/>
        <v>9120</v>
      </c>
      <c r="I37" s="127">
        <f t="shared" si="13"/>
        <v>9120</v>
      </c>
      <c r="J37" s="129">
        <f t="shared" si="13"/>
        <v>9120</v>
      </c>
      <c r="K37" s="126">
        <f t="shared" si="13"/>
        <v>9120</v>
      </c>
      <c r="L37" s="127">
        <f t="shared" si="13"/>
        <v>9120</v>
      </c>
      <c r="M37" s="128">
        <f t="shared" si="13"/>
        <v>9120</v>
      </c>
      <c r="N37" s="127">
        <f t="shared" si="13"/>
        <v>9120</v>
      </c>
      <c r="O37" s="127">
        <f t="shared" si="13"/>
        <v>9120</v>
      </c>
      <c r="P37" s="129">
        <f t="shared" si="13"/>
        <v>8820</v>
      </c>
      <c r="Q37" s="130">
        <f t="shared" ref="Q37:Q38" si="14">SUM(Q7,Q17,Q27)</f>
        <v>109140</v>
      </c>
      <c r="R37" s="465">
        <f>SUM(R7,R17,R27)</f>
        <v>99411</v>
      </c>
      <c r="S37" s="68">
        <f>IFERROR(Q37/R37,"")</f>
        <v>1.0978664332920904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>SUM(E8,E18,E28)</f>
        <v>9824.8000000000011</v>
      </c>
      <c r="F38" s="135">
        <f t="shared" si="13"/>
        <v>6336.4</v>
      </c>
      <c r="G38" s="138">
        <f t="shared" si="13"/>
        <v>5540.6</v>
      </c>
      <c r="H38" s="135">
        <f t="shared" si="13"/>
        <v>7441</v>
      </c>
      <c r="I38" s="135">
        <f t="shared" si="13"/>
        <v>12674.599999999999</v>
      </c>
      <c r="J38" s="136">
        <f t="shared" si="13"/>
        <v>4457.8</v>
      </c>
      <c r="K38" s="134">
        <f t="shared" si="13"/>
        <v>5501.2</v>
      </c>
      <c r="L38" s="135">
        <f t="shared" si="13"/>
        <v>7966.9000000000005</v>
      </c>
      <c r="M38" s="138">
        <f t="shared" si="13"/>
        <v>6210.5</v>
      </c>
      <c r="N38" s="135">
        <f t="shared" si="13"/>
        <v>0</v>
      </c>
      <c r="O38" s="135">
        <f t="shared" si="13"/>
        <v>0</v>
      </c>
      <c r="P38" s="136">
        <f t="shared" si="13"/>
        <v>0</v>
      </c>
      <c r="Q38" s="148">
        <f t="shared" si="14"/>
        <v>65953.8</v>
      </c>
      <c r="R38" s="466"/>
      <c r="S38" s="69">
        <f>IFERROR(Q38/R37,"")</f>
        <v>0.66344569514440055</v>
      </c>
    </row>
    <row r="39" spans="1:19" x14ac:dyDescent="0.4">
      <c r="A39" s="19"/>
      <c r="B39" s="430"/>
      <c r="C39" s="433"/>
      <c r="D39" s="24" t="s">
        <v>17</v>
      </c>
      <c r="E39" s="11">
        <f>E38/E37</f>
        <v>1.0772807017543862</v>
      </c>
      <c r="F39" s="4">
        <f t="shared" ref="F39:P39" si="15">F38/F37</f>
        <v>0.69478070175438589</v>
      </c>
      <c r="G39" s="16">
        <f t="shared" si="15"/>
        <v>0.60752192982456144</v>
      </c>
      <c r="H39" s="4">
        <f t="shared" si="15"/>
        <v>0.8158991228070176</v>
      </c>
      <c r="I39" s="4">
        <f t="shared" si="15"/>
        <v>1.3897587719298243</v>
      </c>
      <c r="J39" s="6">
        <f t="shared" si="15"/>
        <v>0.48879385964912281</v>
      </c>
      <c r="K39" s="11">
        <f t="shared" si="15"/>
        <v>0.60320175438596491</v>
      </c>
      <c r="L39" s="4">
        <f t="shared" si="15"/>
        <v>0.87356359649122817</v>
      </c>
      <c r="M39" s="16">
        <f t="shared" si="15"/>
        <v>0.68097587719298247</v>
      </c>
      <c r="N39" s="4">
        <f t="shared" si="15"/>
        <v>0</v>
      </c>
      <c r="O39" s="4">
        <f t="shared" si="15"/>
        <v>0</v>
      </c>
      <c r="P39" s="6">
        <f t="shared" si="15"/>
        <v>0</v>
      </c>
      <c r="Q39" s="26">
        <f t="shared" ref="Q39" si="16">Q38/Q37</f>
        <v>0.60430456294667401</v>
      </c>
    </row>
    <row r="40" spans="1:19" x14ac:dyDescent="0.4">
      <c r="A40" s="19"/>
      <c r="B40" s="430"/>
      <c r="C40" s="434"/>
      <c r="D40" s="25" t="s">
        <v>18</v>
      </c>
      <c r="E40" s="12">
        <f>SUM($E38:E38)/SUM($E37:E37)</f>
        <v>1.0772807017543862</v>
      </c>
      <c r="F40" s="5">
        <f>SUM($E38:F38)/SUM($E37:F37)</f>
        <v>0.88603070175438603</v>
      </c>
      <c r="G40" s="17">
        <f>SUM($E38:G38)/SUM($E37:G37)</f>
        <v>0.79319444444444454</v>
      </c>
      <c r="H40" s="5">
        <f>SUM($E38:H38)/SUM($E37:H37)</f>
        <v>0.79887061403508774</v>
      </c>
      <c r="I40" s="5">
        <f>SUM($E38:I38)/SUM($E37:I37)</f>
        <v>0.91704824561403508</v>
      </c>
      <c r="J40" s="13">
        <f>SUM($E38:J38)/SUM($E37:J37)</f>
        <v>0.84567251461988313</v>
      </c>
      <c r="K40" s="12">
        <f>SUM($E38:K38)/SUM($E37:K37)</f>
        <v>0.81103383458646616</v>
      </c>
      <c r="L40" s="5">
        <f>SUM($E38:L38)/SUM($E37:L37)</f>
        <v>0.81885005482456141</v>
      </c>
      <c r="M40" s="17">
        <f>SUM($E38:M38)/SUM($E37:M37)</f>
        <v>0.80353070175438601</v>
      </c>
      <c r="N40" s="5">
        <f>SUM($E38:N38)/SUM($E37:N37)</f>
        <v>0.72317763157894743</v>
      </c>
      <c r="O40" s="5">
        <f>SUM($E38:O38)/SUM($E37:O37)</f>
        <v>0.65743421052631579</v>
      </c>
      <c r="P40" s="13">
        <f>SUM($E38:P38)/SUM($E37:P37)</f>
        <v>0.60430456294667401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>SUM(E13,E23,E33)</f>
        <v>2234</v>
      </c>
      <c r="F41" s="113">
        <f t="shared" ref="F41:P42" si="17">SUM(F13,F23,F33)</f>
        <v>2234</v>
      </c>
      <c r="G41" s="116">
        <f t="shared" si="17"/>
        <v>2234</v>
      </c>
      <c r="H41" s="113">
        <f t="shared" si="17"/>
        <v>2234</v>
      </c>
      <c r="I41" s="113">
        <f t="shared" si="17"/>
        <v>2234</v>
      </c>
      <c r="J41" s="114">
        <f t="shared" si="17"/>
        <v>2234</v>
      </c>
      <c r="K41" s="112">
        <f t="shared" si="17"/>
        <v>2234</v>
      </c>
      <c r="L41" s="113">
        <f t="shared" si="17"/>
        <v>2234</v>
      </c>
      <c r="M41" s="116">
        <f t="shared" si="17"/>
        <v>2234</v>
      </c>
      <c r="N41" s="113">
        <f t="shared" si="17"/>
        <v>2234</v>
      </c>
      <c r="O41" s="113">
        <f t="shared" si="17"/>
        <v>2234</v>
      </c>
      <c r="P41" s="114">
        <f t="shared" si="17"/>
        <v>2185</v>
      </c>
      <c r="Q41" s="132">
        <f t="shared" ref="Q41:Q42" si="18">SUM(Q13,Q23,Q33)</f>
        <v>26759</v>
      </c>
      <c r="R41" s="465">
        <f>SUM(R13,R23,R33)</f>
        <v>21822</v>
      </c>
      <c r="S41" s="68">
        <f>IFERROR(Q41/R41,"")</f>
        <v>1.226239574741087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>SUM(E14,E24,E34)</f>
        <v>1749.7999999999997</v>
      </c>
      <c r="F42" s="135">
        <f t="shared" si="17"/>
        <v>1477.0000000000002</v>
      </c>
      <c r="G42" s="138">
        <f t="shared" si="17"/>
        <v>1122.4999999999998</v>
      </c>
      <c r="H42" s="135">
        <f t="shared" si="17"/>
        <v>1752</v>
      </c>
      <c r="I42" s="135">
        <f t="shared" si="17"/>
        <v>2468.7999999999993</v>
      </c>
      <c r="J42" s="136">
        <f t="shared" si="17"/>
        <v>1044.4000000000001</v>
      </c>
      <c r="K42" s="134">
        <f t="shared" si="17"/>
        <v>1308.4000000000001</v>
      </c>
      <c r="L42" s="135">
        <f t="shared" si="17"/>
        <v>1446</v>
      </c>
      <c r="M42" s="138">
        <f t="shared" si="17"/>
        <v>1253.9000000000001</v>
      </c>
      <c r="N42" s="135">
        <f t="shared" si="17"/>
        <v>0</v>
      </c>
      <c r="O42" s="135">
        <f t="shared" si="17"/>
        <v>0</v>
      </c>
      <c r="P42" s="136">
        <f t="shared" si="17"/>
        <v>0</v>
      </c>
      <c r="Q42" s="148">
        <f t="shared" si="18"/>
        <v>13622.8</v>
      </c>
      <c r="R42" s="466"/>
      <c r="S42" s="69">
        <f>IFERROR(Q42/R41,"")</f>
        <v>0.62426908624324073</v>
      </c>
    </row>
    <row r="43" spans="1:19" x14ac:dyDescent="0.4">
      <c r="A43" s="19"/>
      <c r="B43" s="430"/>
      <c r="C43" s="436"/>
      <c r="D43" s="24" t="s">
        <v>17</v>
      </c>
      <c r="E43" s="11">
        <f>E42/E41</f>
        <v>0.78325872873769009</v>
      </c>
      <c r="F43" s="4">
        <f t="shared" ref="F43:P43" si="19">F42/F41</f>
        <v>0.661145926589078</v>
      </c>
      <c r="G43" s="16">
        <f t="shared" si="19"/>
        <v>0.50246195165622187</v>
      </c>
      <c r="H43" s="4">
        <f t="shared" si="19"/>
        <v>0.78424350940017906</v>
      </c>
      <c r="I43" s="4">
        <f t="shared" si="19"/>
        <v>1.1051029543419872</v>
      </c>
      <c r="J43" s="6">
        <f t="shared" si="19"/>
        <v>0.46750223813786934</v>
      </c>
      <c r="K43" s="11">
        <f t="shared" si="19"/>
        <v>0.58567591763652649</v>
      </c>
      <c r="L43" s="4">
        <f t="shared" si="19"/>
        <v>0.64726947179946281</v>
      </c>
      <c r="M43" s="16">
        <f t="shared" si="19"/>
        <v>0.56128021486123547</v>
      </c>
      <c r="N43" s="4">
        <f t="shared" si="19"/>
        <v>0</v>
      </c>
      <c r="O43" s="4">
        <f t="shared" si="19"/>
        <v>0</v>
      </c>
      <c r="P43" s="6">
        <f t="shared" si="19"/>
        <v>0</v>
      </c>
      <c r="Q43" s="26">
        <f t="shared" ref="Q43" si="20">Q42/Q41</f>
        <v>0.50909226802197394</v>
      </c>
    </row>
    <row r="44" spans="1:19" ht="19.5" thickBot="1" x14ac:dyDescent="0.45">
      <c r="A44" s="19"/>
      <c r="B44" s="431"/>
      <c r="C44" s="437"/>
      <c r="D44" s="30" t="s">
        <v>18</v>
      </c>
      <c r="E44" s="14">
        <f>SUM($E42:E42)/SUM($E41:E41)</f>
        <v>0.78325872873769009</v>
      </c>
      <c r="F44" s="7">
        <f>SUM($E42:F42)/SUM($E41:F41)</f>
        <v>0.7222023276633841</v>
      </c>
      <c r="G44" s="18">
        <f>SUM($E42:G42)/SUM($E41:G41)</f>
        <v>0.64895553566099673</v>
      </c>
      <c r="H44" s="7">
        <f>SUM($E42:H42)/SUM($E41:H41)</f>
        <v>0.68277752909579237</v>
      </c>
      <c r="I44" s="7">
        <f>SUM($E42:I42)/SUM($E41:I41)</f>
        <v>0.76724261414503125</v>
      </c>
      <c r="J44" s="15">
        <f>SUM($E42:J42)/SUM($E41:J41)</f>
        <v>0.71728588481050415</v>
      </c>
      <c r="K44" s="14">
        <f>SUM($E42:K42)/SUM($E41:K41)</f>
        <v>0.69848446092850736</v>
      </c>
      <c r="L44" s="7">
        <f>SUM($E42:L42)/SUM($E41:L41)</f>
        <v>0.69208258728737682</v>
      </c>
      <c r="M44" s="18">
        <f>SUM($E42:M42)/SUM($E41:M41)</f>
        <v>0.6775489903511388</v>
      </c>
      <c r="N44" s="7">
        <f>SUM($E42:N42)/SUM($E41:N41)</f>
        <v>0.60979409131602491</v>
      </c>
      <c r="O44" s="7">
        <f>SUM($E42:O42)/SUM($E41:O41)</f>
        <v>0.55435826483274997</v>
      </c>
      <c r="P44" s="15">
        <f>SUM($E42:P42)/SUM($E41:P41)</f>
        <v>0.50909226802197383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392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93"/>
      <c r="F48" s="74"/>
      <c r="G48" s="74"/>
      <c r="H48" s="74" t="s">
        <v>437</v>
      </c>
      <c r="I48" s="74" t="s">
        <v>439</v>
      </c>
      <c r="J48" s="80"/>
      <c r="K48" s="74"/>
      <c r="L48" s="74"/>
      <c r="M48" s="95"/>
      <c r="N48" s="74"/>
      <c r="O48" s="74"/>
      <c r="P48" s="80"/>
    </row>
    <row r="49" spans="1:16" ht="39" customHeight="1" x14ac:dyDescent="0.4">
      <c r="A49" s="424"/>
      <c r="B49" s="425"/>
      <c r="C49" s="484" t="str">
        <f>A7</f>
        <v>100均</v>
      </c>
      <c r="D49" s="81" t="s">
        <v>38</v>
      </c>
      <c r="E49" s="82"/>
      <c r="F49" s="83"/>
      <c r="G49" s="83"/>
      <c r="H49" s="83" t="s">
        <v>438</v>
      </c>
      <c r="I49" s="83" t="s">
        <v>440</v>
      </c>
      <c r="J49" s="84"/>
      <c r="K49" s="83"/>
      <c r="L49" s="83"/>
      <c r="M49" s="83"/>
      <c r="N49" s="83"/>
      <c r="O49" s="83"/>
      <c r="P49" s="84"/>
    </row>
    <row r="50" spans="1:16" ht="39" customHeight="1" x14ac:dyDescent="0.4">
      <c r="A50" s="424"/>
      <c r="B50" s="425"/>
      <c r="C50" s="485"/>
      <c r="D50" s="85" t="s">
        <v>36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 x14ac:dyDescent="0.45">
      <c r="A51" s="424"/>
      <c r="B51" s="425"/>
      <c r="C51" s="151" t="str">
        <f>B7</f>
        <v>MOBILONバンド</v>
      </c>
      <c r="D51" s="89" t="s">
        <v>37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3"/>
      <c r="F52" s="74"/>
      <c r="G52" s="74"/>
      <c r="H52" s="74"/>
      <c r="I52" s="74"/>
      <c r="J52" s="74"/>
      <c r="K52" s="74" t="s">
        <v>477</v>
      </c>
      <c r="L52" s="74"/>
      <c r="M52" s="74"/>
      <c r="N52" s="74"/>
      <c r="O52" s="74"/>
      <c r="P52" s="80"/>
    </row>
    <row r="53" spans="1:16" ht="39" customHeight="1" x14ac:dyDescent="0.4">
      <c r="A53" s="424"/>
      <c r="B53" s="425"/>
      <c r="C53" s="484" t="str">
        <f>A17</f>
        <v>小売・量販
産業資材</v>
      </c>
      <c r="D53" s="81" t="s">
        <v>38</v>
      </c>
      <c r="E53" s="82"/>
      <c r="F53" s="83"/>
      <c r="G53" s="83"/>
      <c r="H53" s="83"/>
      <c r="I53" s="83"/>
      <c r="J53" s="84"/>
      <c r="K53" s="83" t="s">
        <v>478</v>
      </c>
      <c r="L53" s="83"/>
      <c r="M53" s="83"/>
      <c r="N53" s="83"/>
      <c r="O53" s="83"/>
      <c r="P53" s="84"/>
    </row>
    <row r="54" spans="1:16" ht="39" customHeight="1" x14ac:dyDescent="0.4">
      <c r="A54" s="424"/>
      <c r="B54" s="425"/>
      <c r="C54" s="485"/>
      <c r="D54" s="85" t="s">
        <v>36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 x14ac:dyDescent="0.45">
      <c r="A55" s="424"/>
      <c r="B55" s="425"/>
      <c r="C55" s="151" t="str">
        <f>B17</f>
        <v>MOBILONバンド</v>
      </c>
      <c r="D55" s="89" t="s">
        <v>37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80"/>
    </row>
    <row r="57" spans="1:16" ht="39" customHeight="1" x14ac:dyDescent="0.4">
      <c r="A57" s="424"/>
      <c r="B57" s="425"/>
      <c r="C57" s="484" t="str">
        <f>A27</f>
        <v>EC
一般資材
産業資材</v>
      </c>
      <c r="D57" s="81" t="s">
        <v>38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 x14ac:dyDescent="0.4">
      <c r="A58" s="424"/>
      <c r="B58" s="425"/>
      <c r="C58" s="485"/>
      <c r="D58" s="85" t="s">
        <v>36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 x14ac:dyDescent="0.45">
      <c r="A59" s="426"/>
      <c r="B59" s="427"/>
      <c r="C59" s="151" t="str">
        <f>B27</f>
        <v xml:space="preserve">リボン・テープ等
</v>
      </c>
      <c r="D59" s="89" t="s">
        <v>37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1050-0D56-4452-B8EB-2FDC05AFAF02}">
  <sheetPr codeName="Sheet6"/>
  <dimension ref="A1:S59"/>
  <sheetViews>
    <sheetView showGridLines="0" topLeftCell="H4" zoomScale="85" zoomScaleNormal="85" workbookViewId="0">
      <selection activeCell="M13" sqref="M13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52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/>
    <row r="5" spans="1:19" ht="19.5" customHeight="1" thickBot="1" x14ac:dyDescent="0.45">
      <c r="A5" s="467" t="s">
        <v>34</v>
      </c>
      <c r="B5" s="468"/>
      <c r="C5" s="442" t="s">
        <v>392</v>
      </c>
      <c r="D5" s="443"/>
      <c r="E5" s="421" t="s">
        <v>19</v>
      </c>
      <c r="F5" s="422"/>
      <c r="G5" s="422"/>
      <c r="H5" s="422"/>
      <c r="I5" s="422"/>
      <c r="J5" s="423"/>
      <c r="K5" s="421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45809</v>
      </c>
      <c r="F6" s="215">
        <v>45839</v>
      </c>
      <c r="G6" s="215">
        <v>45870</v>
      </c>
      <c r="H6" s="215">
        <v>45901</v>
      </c>
      <c r="I6" s="215">
        <v>45931</v>
      </c>
      <c r="J6" s="216">
        <v>45962</v>
      </c>
      <c r="K6" s="217">
        <v>45992</v>
      </c>
      <c r="L6" s="215">
        <v>46023</v>
      </c>
      <c r="M6" s="215">
        <v>46054</v>
      </c>
      <c r="N6" s="215">
        <v>46082</v>
      </c>
      <c r="O6" s="215">
        <v>46113</v>
      </c>
      <c r="P6" s="218">
        <v>46143</v>
      </c>
      <c r="Q6" s="455"/>
      <c r="R6" s="153" t="s">
        <v>394</v>
      </c>
      <c r="S6" s="67" t="s">
        <v>191</v>
      </c>
    </row>
    <row r="7" spans="1:19" x14ac:dyDescent="0.4">
      <c r="A7" s="447" t="s">
        <v>201</v>
      </c>
      <c r="B7" s="449" t="s">
        <v>194</v>
      </c>
      <c r="C7" s="433" t="s">
        <v>15</v>
      </c>
      <c r="D7" s="111" t="s">
        <v>13</v>
      </c>
      <c r="E7" s="112">
        <v>1513</v>
      </c>
      <c r="F7" s="113">
        <v>1513</v>
      </c>
      <c r="G7" s="113">
        <v>1513</v>
      </c>
      <c r="H7" s="113">
        <v>1513</v>
      </c>
      <c r="I7" s="113">
        <v>1513</v>
      </c>
      <c r="J7" s="114">
        <v>1513</v>
      </c>
      <c r="K7" s="115">
        <v>1513</v>
      </c>
      <c r="L7" s="113">
        <v>1513</v>
      </c>
      <c r="M7" s="113">
        <v>1513</v>
      </c>
      <c r="N7" s="113">
        <v>1513</v>
      </c>
      <c r="O7" s="113">
        <v>1513</v>
      </c>
      <c r="P7" s="116">
        <v>1513</v>
      </c>
      <c r="Q7" s="117">
        <f>SUM(E7:P7)</f>
        <v>18156</v>
      </c>
      <c r="R7" s="465">
        <v>14544</v>
      </c>
      <c r="S7" s="68">
        <f>IFERROR(Q7/R7,"")</f>
        <v>1.2483498349834983</v>
      </c>
    </row>
    <row r="8" spans="1:19" ht="19.5" thickBot="1" x14ac:dyDescent="0.45">
      <c r="A8" s="447"/>
      <c r="B8" s="450"/>
      <c r="C8" s="433"/>
      <c r="D8" s="133" t="s">
        <v>14</v>
      </c>
      <c r="E8" s="134">
        <v>1184</v>
      </c>
      <c r="F8" s="135">
        <v>1045</v>
      </c>
      <c r="G8" s="135">
        <v>790</v>
      </c>
      <c r="H8" s="135">
        <v>1876</v>
      </c>
      <c r="I8" s="135">
        <v>1174</v>
      </c>
      <c r="J8" s="136">
        <v>1641</v>
      </c>
      <c r="K8" s="137">
        <v>1463</v>
      </c>
      <c r="L8" s="135">
        <v>1095</v>
      </c>
      <c r="M8" s="135">
        <v>839</v>
      </c>
      <c r="N8" s="135"/>
      <c r="O8" s="135"/>
      <c r="P8" s="138"/>
      <c r="Q8" s="139">
        <f>SUM(E8:P8)</f>
        <v>11107</v>
      </c>
      <c r="R8" s="466"/>
      <c r="S8" s="69">
        <f>IFERROR(Q8/R7,"")</f>
        <v>0.76368261826182615</v>
      </c>
    </row>
    <row r="9" spans="1:19" x14ac:dyDescent="0.4">
      <c r="A9" s="447"/>
      <c r="B9" s="450"/>
      <c r="C9" s="433"/>
      <c r="D9" s="21" t="s">
        <v>17</v>
      </c>
      <c r="E9" s="11">
        <f>E8/E7</f>
        <v>0.78255122273628552</v>
      </c>
      <c r="F9" s="4">
        <f t="shared" ref="F9:P9" si="0">F8/F7</f>
        <v>0.69068076668869793</v>
      </c>
      <c r="G9" s="4">
        <f t="shared" si="0"/>
        <v>0.52214144084600134</v>
      </c>
      <c r="H9" s="4">
        <f t="shared" si="0"/>
        <v>1.239920687376074</v>
      </c>
      <c r="I9" s="4">
        <f t="shared" si="0"/>
        <v>0.77594183740912093</v>
      </c>
      <c r="J9" s="6">
        <f t="shared" si="0"/>
        <v>1.0846001321877066</v>
      </c>
      <c r="K9" s="8">
        <f t="shared" si="0"/>
        <v>0.96695307336417713</v>
      </c>
      <c r="L9" s="4">
        <f t="shared" si="0"/>
        <v>0.7237276933245208</v>
      </c>
      <c r="M9" s="4">
        <f t="shared" si="0"/>
        <v>0.55452742894910778</v>
      </c>
      <c r="N9" s="4">
        <f t="shared" si="0"/>
        <v>0</v>
      </c>
      <c r="O9" s="4">
        <f t="shared" si="0"/>
        <v>0</v>
      </c>
      <c r="P9" s="16">
        <f t="shared" si="0"/>
        <v>0</v>
      </c>
      <c r="Q9" s="26">
        <f t="shared" ref="Q9" si="1">Q8/Q7</f>
        <v>0.61175369024014103</v>
      </c>
    </row>
    <row r="10" spans="1:19" x14ac:dyDescent="0.4">
      <c r="A10" s="447"/>
      <c r="B10" s="450"/>
      <c r="C10" s="434"/>
      <c r="D10" s="22" t="s">
        <v>18</v>
      </c>
      <c r="E10" s="12">
        <f>SUM($E8:E8)/SUM($E7:E7)</f>
        <v>0.78255122273628552</v>
      </c>
      <c r="F10" s="5">
        <f>SUM($E8:F8)/SUM($E7:F7)</f>
        <v>0.73661599471249173</v>
      </c>
      <c r="G10" s="5">
        <f>SUM($E8:G8)/SUM($E7:G7)</f>
        <v>0.66512447675699493</v>
      </c>
      <c r="H10" s="5">
        <f>SUM($E8:H8)/SUM($E7:H7)</f>
        <v>0.80882352941176472</v>
      </c>
      <c r="I10" s="5">
        <f>SUM($E8:I8)/SUM($E7:I7)</f>
        <v>0.80224719101123598</v>
      </c>
      <c r="J10" s="13">
        <f>SUM($E8:J8)/SUM($E7:J7)</f>
        <v>0.84930601454064769</v>
      </c>
      <c r="K10" s="9">
        <f>SUM($E8:K8)/SUM($E7:K7)</f>
        <v>0.86611273722972337</v>
      </c>
      <c r="L10" s="5">
        <f>SUM($E8:L8)/SUM($E7:L7)</f>
        <v>0.848314606741573</v>
      </c>
      <c r="M10" s="5">
        <f>SUM($E8:M8)/SUM($E7:M7)</f>
        <v>0.81567158698685471</v>
      </c>
      <c r="N10" s="5">
        <f>SUM($E8:N8)/SUM($E7:N7)</f>
        <v>0.73410442828816924</v>
      </c>
      <c r="O10" s="5">
        <f>SUM($E8:O8)/SUM($E7:O7)</f>
        <v>0.66736766208015386</v>
      </c>
      <c r="P10" s="17">
        <f>SUM($E8:P8)/SUM($E7:P7)</f>
        <v>0.61175369024014103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119">
        <v>943</v>
      </c>
      <c r="F11" s="120">
        <v>943</v>
      </c>
      <c r="G11" s="120">
        <v>943</v>
      </c>
      <c r="H11" s="120">
        <v>943</v>
      </c>
      <c r="I11" s="120">
        <v>943</v>
      </c>
      <c r="J11" s="121">
        <v>943</v>
      </c>
      <c r="K11" s="122">
        <v>943</v>
      </c>
      <c r="L11" s="120">
        <v>943</v>
      </c>
      <c r="M11" s="120">
        <v>943</v>
      </c>
      <c r="N11" s="120">
        <v>943</v>
      </c>
      <c r="O11" s="120">
        <v>943</v>
      </c>
      <c r="P11" s="123">
        <v>943</v>
      </c>
      <c r="Q11" s="124">
        <f>SUM(E11:P11)</f>
        <v>11316</v>
      </c>
      <c r="R11" s="465">
        <v>9238</v>
      </c>
      <c r="S11" s="68">
        <f>IFERROR(Q11/R11,"")</f>
        <v>1.2249404633037455</v>
      </c>
    </row>
    <row r="12" spans="1:19" x14ac:dyDescent="0.4">
      <c r="A12" s="447"/>
      <c r="B12" s="450"/>
      <c r="C12" s="453"/>
      <c r="D12" s="140" t="s">
        <v>14</v>
      </c>
      <c r="E12" s="146">
        <v>774</v>
      </c>
      <c r="F12" s="141">
        <v>731</v>
      </c>
      <c r="G12" s="141">
        <v>541</v>
      </c>
      <c r="H12" s="141">
        <v>1345</v>
      </c>
      <c r="I12" s="141">
        <v>818</v>
      </c>
      <c r="J12" s="142">
        <v>1202</v>
      </c>
      <c r="K12" s="143">
        <v>1058</v>
      </c>
      <c r="L12" s="141">
        <v>800</v>
      </c>
      <c r="M12" s="141">
        <v>585</v>
      </c>
      <c r="N12" s="141"/>
      <c r="O12" s="141"/>
      <c r="P12" s="144"/>
      <c r="Q12" s="145">
        <f>SUM(E12:P12)</f>
        <v>7854</v>
      </c>
      <c r="R12" s="471"/>
      <c r="S12" s="70">
        <f>IFERROR(Q12/R11,"")</f>
        <v>0.85018402251569603</v>
      </c>
    </row>
    <row r="13" spans="1:19" x14ac:dyDescent="0.4">
      <c r="A13" s="447"/>
      <c r="B13" s="450"/>
      <c r="C13" s="435" t="s">
        <v>16</v>
      </c>
      <c r="D13" s="118" t="s">
        <v>13</v>
      </c>
      <c r="E13" s="119">
        <f>E7-E11</f>
        <v>570</v>
      </c>
      <c r="F13" s="120">
        <f t="shared" ref="F13:P13" si="2">F7-F11</f>
        <v>570</v>
      </c>
      <c r="G13" s="120">
        <f t="shared" si="2"/>
        <v>570</v>
      </c>
      <c r="H13" s="120">
        <f t="shared" si="2"/>
        <v>570</v>
      </c>
      <c r="I13" s="120">
        <f t="shared" si="2"/>
        <v>570</v>
      </c>
      <c r="J13" s="121">
        <f t="shared" si="2"/>
        <v>570</v>
      </c>
      <c r="K13" s="122">
        <f t="shared" si="2"/>
        <v>570</v>
      </c>
      <c r="L13" s="120">
        <f t="shared" si="2"/>
        <v>570</v>
      </c>
      <c r="M13" s="120">
        <f t="shared" si="2"/>
        <v>570</v>
      </c>
      <c r="N13" s="120">
        <f t="shared" si="2"/>
        <v>570</v>
      </c>
      <c r="O13" s="120">
        <f t="shared" si="2"/>
        <v>570</v>
      </c>
      <c r="P13" s="123">
        <f t="shared" si="2"/>
        <v>570</v>
      </c>
      <c r="Q13" s="124">
        <f>SUM(E13:P13)</f>
        <v>6840</v>
      </c>
      <c r="R13" s="465">
        <f>R7-R11</f>
        <v>5306</v>
      </c>
      <c r="S13" s="149">
        <f>IFERROR(Q13/R13,"")</f>
        <v>1.2891066716924238</v>
      </c>
    </row>
    <row r="14" spans="1:19" ht="19.5" thickBot="1" x14ac:dyDescent="0.45">
      <c r="A14" s="447"/>
      <c r="B14" s="450"/>
      <c r="C14" s="436"/>
      <c r="D14" s="133" t="s">
        <v>14</v>
      </c>
      <c r="E14" s="134">
        <f>E8-E12</f>
        <v>410</v>
      </c>
      <c r="F14" s="135">
        <f t="shared" ref="F14:P14" si="3">F8-F12</f>
        <v>314</v>
      </c>
      <c r="G14" s="135">
        <f t="shared" si="3"/>
        <v>249</v>
      </c>
      <c r="H14" s="135">
        <f t="shared" si="3"/>
        <v>531</v>
      </c>
      <c r="I14" s="135">
        <f t="shared" si="3"/>
        <v>356</v>
      </c>
      <c r="J14" s="136">
        <f t="shared" si="3"/>
        <v>439</v>
      </c>
      <c r="K14" s="137">
        <f t="shared" si="3"/>
        <v>405</v>
      </c>
      <c r="L14" s="135">
        <f t="shared" si="3"/>
        <v>295</v>
      </c>
      <c r="M14" s="135">
        <f t="shared" si="3"/>
        <v>254</v>
      </c>
      <c r="N14" s="135">
        <f t="shared" si="3"/>
        <v>0</v>
      </c>
      <c r="O14" s="135">
        <f t="shared" si="3"/>
        <v>0</v>
      </c>
      <c r="P14" s="138">
        <f t="shared" si="3"/>
        <v>0</v>
      </c>
      <c r="Q14" s="139">
        <f>SUM(E14:P14)</f>
        <v>3253</v>
      </c>
      <c r="R14" s="466"/>
      <c r="S14" s="69">
        <f>IFERROR(Q14/R13,"")</f>
        <v>0.61307953260459858</v>
      </c>
    </row>
    <row r="15" spans="1:19" x14ac:dyDescent="0.4">
      <c r="A15" s="447"/>
      <c r="B15" s="450"/>
      <c r="C15" s="436"/>
      <c r="D15" s="21" t="s">
        <v>17</v>
      </c>
      <c r="E15" s="11">
        <f>E14/E13</f>
        <v>0.7192982456140351</v>
      </c>
      <c r="F15" s="4">
        <f t="shared" ref="F15:P15" si="4">F14/F13</f>
        <v>0.55087719298245619</v>
      </c>
      <c r="G15" s="4">
        <f t="shared" si="4"/>
        <v>0.43684210526315792</v>
      </c>
      <c r="H15" s="4">
        <f t="shared" si="4"/>
        <v>0.93157894736842106</v>
      </c>
      <c r="I15" s="4">
        <f t="shared" si="4"/>
        <v>0.62456140350877198</v>
      </c>
      <c r="J15" s="6">
        <f t="shared" si="4"/>
        <v>0.77017543859649118</v>
      </c>
      <c r="K15" s="8">
        <f t="shared" si="4"/>
        <v>0.71052631578947367</v>
      </c>
      <c r="L15" s="4">
        <f t="shared" si="4"/>
        <v>0.51754385964912286</v>
      </c>
      <c r="M15" s="4">
        <f t="shared" si="4"/>
        <v>0.4456140350877193</v>
      </c>
      <c r="N15" s="4">
        <f t="shared" si="4"/>
        <v>0</v>
      </c>
      <c r="O15" s="4">
        <f t="shared" si="4"/>
        <v>0</v>
      </c>
      <c r="P15" s="16">
        <f t="shared" si="4"/>
        <v>0</v>
      </c>
      <c r="Q15" s="26">
        <f t="shared" ref="Q15" si="5">Q14/Q13</f>
        <v>0.47558479532163744</v>
      </c>
    </row>
    <row r="16" spans="1:19" ht="19.5" thickBot="1" x14ac:dyDescent="0.45">
      <c r="A16" s="448"/>
      <c r="B16" s="451"/>
      <c r="C16" s="437"/>
      <c r="D16" s="23" t="s">
        <v>18</v>
      </c>
      <c r="E16" s="14">
        <f>SUM($E14:E14)/SUM($E13:E13)</f>
        <v>0.7192982456140351</v>
      </c>
      <c r="F16" s="7">
        <f>SUM($E14:F14)/SUM($E13:F13)</f>
        <v>0.63508771929824559</v>
      </c>
      <c r="G16" s="7">
        <f>SUM($E14:G14)/SUM($E13:G13)</f>
        <v>0.5690058479532164</v>
      </c>
      <c r="H16" s="7">
        <f>SUM($E14:H14)/SUM($E13:H13)</f>
        <v>0.6596491228070176</v>
      </c>
      <c r="I16" s="7">
        <f>SUM($E14:I14)/SUM($E13:I13)</f>
        <v>0.65263157894736845</v>
      </c>
      <c r="J16" s="15">
        <f>SUM($E14:J14)/SUM($E13:J13)</f>
        <v>0.67222222222222228</v>
      </c>
      <c r="K16" s="10">
        <f>SUM($E14:K14)/SUM($E13:K13)</f>
        <v>0.67769423558897246</v>
      </c>
      <c r="L16" s="7">
        <f>SUM($E14:L14)/SUM($E13:L13)</f>
        <v>0.65767543859649125</v>
      </c>
      <c r="M16" s="7">
        <f>SUM($E14:M14)/SUM($E13:M13)</f>
        <v>0.63411306042884985</v>
      </c>
      <c r="N16" s="7">
        <f>SUM($E14:N14)/SUM($E13:N13)</f>
        <v>0.57070175438596493</v>
      </c>
      <c r="O16" s="7">
        <f>SUM($E14:O14)/SUM($E13:O13)</f>
        <v>0.51881977671451351</v>
      </c>
      <c r="P16" s="18">
        <f>SUM($E14:P14)/SUM($E13:P13)</f>
        <v>0.47558479532163744</v>
      </c>
      <c r="Q16" s="28" t="s">
        <v>22</v>
      </c>
      <c r="R16" s="59"/>
      <c r="S16"/>
    </row>
    <row r="17" spans="1:19" x14ac:dyDescent="0.4">
      <c r="A17" s="446" t="s">
        <v>198</v>
      </c>
      <c r="B17" s="449" t="s">
        <v>198</v>
      </c>
      <c r="C17" s="433" t="s">
        <v>15</v>
      </c>
      <c r="D17" s="111" t="s">
        <v>13</v>
      </c>
      <c r="E17" s="112"/>
      <c r="F17" s="113"/>
      <c r="G17" s="113"/>
      <c r="H17" s="113"/>
      <c r="I17" s="113"/>
      <c r="J17" s="114"/>
      <c r="K17" s="115"/>
      <c r="L17" s="113"/>
      <c r="M17" s="113"/>
      <c r="N17" s="113"/>
      <c r="O17" s="113"/>
      <c r="P17" s="116"/>
      <c r="Q17" s="117">
        <f>SUM(E17:P17)</f>
        <v>0</v>
      </c>
      <c r="R17" s="465"/>
      <c r="S17" s="68" t="str">
        <f>IFERROR(Q17/R17,"")</f>
        <v/>
      </c>
    </row>
    <row r="18" spans="1:19" ht="19.5" thickBot="1" x14ac:dyDescent="0.45">
      <c r="A18" s="447"/>
      <c r="B18" s="450"/>
      <c r="C18" s="433"/>
      <c r="D18" s="133" t="s">
        <v>14</v>
      </c>
      <c r="E18" s="134"/>
      <c r="F18" s="135"/>
      <c r="G18" s="135"/>
      <c r="H18" s="135"/>
      <c r="I18" s="135"/>
      <c r="J18" s="136"/>
      <c r="K18" s="137"/>
      <c r="L18" s="135"/>
      <c r="M18" s="135"/>
      <c r="N18" s="135"/>
      <c r="O18" s="135"/>
      <c r="P18" s="138"/>
      <c r="Q18" s="139">
        <f>SUM(E18:P18)</f>
        <v>0</v>
      </c>
      <c r="R18" s="466"/>
      <c r="S18" s="69" t="str">
        <f>IFERROR(Q18/R17,"")</f>
        <v/>
      </c>
    </row>
    <row r="19" spans="1:19" x14ac:dyDescent="0.4">
      <c r="A19" s="447"/>
      <c r="B19" s="450"/>
      <c r="C19" s="433"/>
      <c r="D19" s="21" t="s">
        <v>17</v>
      </c>
      <c r="E19" s="11" t="e">
        <f>E18/E17</f>
        <v>#DIV/0!</v>
      </c>
      <c r="F19" s="4" t="e">
        <f t="shared" ref="F19:P19" si="6">F18/F17</f>
        <v>#DIV/0!</v>
      </c>
      <c r="G19" s="4" t="e">
        <f t="shared" si="6"/>
        <v>#DIV/0!</v>
      </c>
      <c r="H19" s="4" t="e">
        <f t="shared" si="6"/>
        <v>#DIV/0!</v>
      </c>
      <c r="I19" s="4" t="e">
        <f t="shared" si="6"/>
        <v>#DIV/0!</v>
      </c>
      <c r="J19" s="6" t="e">
        <f t="shared" si="6"/>
        <v>#DIV/0!</v>
      </c>
      <c r="K19" s="8" t="e">
        <f t="shared" si="6"/>
        <v>#DIV/0!</v>
      </c>
      <c r="L19" s="4" t="e">
        <f t="shared" si="6"/>
        <v>#DIV/0!</v>
      </c>
      <c r="M19" s="4" t="e">
        <f t="shared" si="6"/>
        <v>#DIV/0!</v>
      </c>
      <c r="N19" s="4" t="e">
        <f t="shared" si="6"/>
        <v>#DIV/0!</v>
      </c>
      <c r="O19" s="4" t="e">
        <f t="shared" si="6"/>
        <v>#DIV/0!</v>
      </c>
      <c r="P19" s="16" t="e">
        <f t="shared" si="6"/>
        <v>#DIV/0!</v>
      </c>
      <c r="Q19" s="26" t="e">
        <f t="shared" ref="Q19" si="7">Q18/Q17</f>
        <v>#DIV/0!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12" t="e">
        <f>SUM($E18:E18)/SUM($E17:E17)</f>
        <v>#DIV/0!</v>
      </c>
      <c r="F20" s="5" t="e">
        <f>SUM($E18:F18)/SUM($E17:F17)</f>
        <v>#DIV/0!</v>
      </c>
      <c r="G20" s="5" t="e">
        <f>SUM($E18:G18)/SUM($E17:G17)</f>
        <v>#DIV/0!</v>
      </c>
      <c r="H20" s="5" t="e">
        <f>SUM($E18:H18)/SUM($E17:H17)</f>
        <v>#DIV/0!</v>
      </c>
      <c r="I20" s="5" t="e">
        <f>SUM($E18:I18)/SUM($E17:I17)</f>
        <v>#DIV/0!</v>
      </c>
      <c r="J20" s="13" t="e">
        <f>SUM($E18:J18)/SUM($E17:J17)</f>
        <v>#DIV/0!</v>
      </c>
      <c r="K20" s="9" t="e">
        <f>SUM($E18:K18)/SUM($E17:K17)</f>
        <v>#DIV/0!</v>
      </c>
      <c r="L20" s="5" t="e">
        <f>SUM($E18:L18)/SUM($E17:L17)</f>
        <v>#DIV/0!</v>
      </c>
      <c r="M20" s="5" t="e">
        <f>SUM($E18:M18)/SUM($E17:M17)</f>
        <v>#DIV/0!</v>
      </c>
      <c r="N20" s="5" t="e">
        <f>SUM($E18:N18)/SUM($E17:N17)</f>
        <v>#DIV/0!</v>
      </c>
      <c r="O20" s="5" t="e">
        <f>SUM($E18:O18)/SUM($E17:O17)</f>
        <v>#DIV/0!</v>
      </c>
      <c r="P20" s="17" t="e">
        <f>SUM($E18:P18)/SUM($E17:P17)</f>
        <v>#DIV/0!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119"/>
      <c r="F21" s="120"/>
      <c r="G21" s="120"/>
      <c r="H21" s="120"/>
      <c r="I21" s="120"/>
      <c r="J21" s="121"/>
      <c r="K21" s="122"/>
      <c r="L21" s="120"/>
      <c r="M21" s="120"/>
      <c r="N21" s="120"/>
      <c r="O21" s="120"/>
      <c r="P21" s="123"/>
      <c r="Q21" s="124">
        <f>SUM(E21:P21)</f>
        <v>0</v>
      </c>
      <c r="R21" s="465"/>
      <c r="S21" s="68" t="str">
        <f>IFERROR(Q21/R21,"")</f>
        <v/>
      </c>
    </row>
    <row r="22" spans="1:19" x14ac:dyDescent="0.4">
      <c r="A22" s="447"/>
      <c r="B22" s="450"/>
      <c r="C22" s="453"/>
      <c r="D22" s="140" t="s">
        <v>14</v>
      </c>
      <c r="E22" s="146"/>
      <c r="F22" s="141"/>
      <c r="G22" s="141"/>
      <c r="H22" s="141"/>
      <c r="I22" s="141"/>
      <c r="J22" s="142"/>
      <c r="K22" s="143"/>
      <c r="L22" s="141"/>
      <c r="M22" s="141"/>
      <c r="N22" s="141"/>
      <c r="O22" s="141"/>
      <c r="P22" s="144"/>
      <c r="Q22" s="145">
        <f>SUM(E22:P22)</f>
        <v>0</v>
      </c>
      <c r="R22" s="471"/>
      <c r="S22" s="70" t="str">
        <f>IFERROR(Q22/R21,"")</f>
        <v/>
      </c>
    </row>
    <row r="23" spans="1:19" x14ac:dyDescent="0.4">
      <c r="A23" s="447"/>
      <c r="B23" s="450"/>
      <c r="C23" s="435" t="s">
        <v>16</v>
      </c>
      <c r="D23" s="118" t="s">
        <v>13</v>
      </c>
      <c r="E23" s="119">
        <f>E17-E21</f>
        <v>0</v>
      </c>
      <c r="F23" s="120">
        <f t="shared" ref="F23:P23" si="8">F17-F21</f>
        <v>0</v>
      </c>
      <c r="G23" s="120">
        <f t="shared" si="8"/>
        <v>0</v>
      </c>
      <c r="H23" s="120">
        <f t="shared" si="8"/>
        <v>0</v>
      </c>
      <c r="I23" s="120">
        <f t="shared" si="8"/>
        <v>0</v>
      </c>
      <c r="J23" s="121">
        <f t="shared" si="8"/>
        <v>0</v>
      </c>
      <c r="K23" s="122">
        <f t="shared" si="8"/>
        <v>0</v>
      </c>
      <c r="L23" s="120">
        <f t="shared" si="8"/>
        <v>0</v>
      </c>
      <c r="M23" s="120">
        <f t="shared" si="8"/>
        <v>0</v>
      </c>
      <c r="N23" s="120">
        <f t="shared" si="8"/>
        <v>0</v>
      </c>
      <c r="O23" s="120">
        <f t="shared" si="8"/>
        <v>0</v>
      </c>
      <c r="P23" s="123">
        <f t="shared" si="8"/>
        <v>0</v>
      </c>
      <c r="Q23" s="124">
        <f>SUM(E23:P23)</f>
        <v>0</v>
      </c>
      <c r="R23" s="465">
        <f>R17-R21</f>
        <v>0</v>
      </c>
      <c r="S23" s="149" t="str">
        <f>IFERROR(Q23/R23,"")</f>
        <v/>
      </c>
    </row>
    <row r="24" spans="1:19" ht="19.5" thickBot="1" x14ac:dyDescent="0.45">
      <c r="A24" s="447"/>
      <c r="B24" s="450"/>
      <c r="C24" s="436"/>
      <c r="D24" s="133" t="s">
        <v>14</v>
      </c>
      <c r="E24" s="134"/>
      <c r="F24" s="135"/>
      <c r="G24" s="135"/>
      <c r="H24" s="135"/>
      <c r="I24" s="135"/>
      <c r="J24" s="136"/>
      <c r="K24" s="137"/>
      <c r="L24" s="135"/>
      <c r="M24" s="135"/>
      <c r="N24" s="135"/>
      <c r="O24" s="135"/>
      <c r="P24" s="138"/>
      <c r="Q24" s="139">
        <f>SUM(E24:P24)</f>
        <v>0</v>
      </c>
      <c r="R24" s="466"/>
      <c r="S24" s="69" t="str">
        <f>IFERROR(Q24/R23,"")</f>
        <v/>
      </c>
    </row>
    <row r="25" spans="1:19" x14ac:dyDescent="0.4">
      <c r="A25" s="447"/>
      <c r="B25" s="450"/>
      <c r="C25" s="436"/>
      <c r="D25" s="21" t="s">
        <v>17</v>
      </c>
      <c r="E25" s="11" t="e">
        <f>E24/E23</f>
        <v>#DIV/0!</v>
      </c>
      <c r="F25" s="4" t="e">
        <f t="shared" ref="F25:P25" si="9">F24/F23</f>
        <v>#DIV/0!</v>
      </c>
      <c r="G25" s="4" t="e">
        <f t="shared" si="9"/>
        <v>#DIV/0!</v>
      </c>
      <c r="H25" s="4" t="e">
        <f t="shared" si="9"/>
        <v>#DIV/0!</v>
      </c>
      <c r="I25" s="4" t="e">
        <f t="shared" si="9"/>
        <v>#DIV/0!</v>
      </c>
      <c r="J25" s="6" t="e">
        <f t="shared" si="9"/>
        <v>#DIV/0!</v>
      </c>
      <c r="K25" s="8" t="e">
        <f t="shared" si="9"/>
        <v>#DIV/0!</v>
      </c>
      <c r="L25" s="4" t="e">
        <f t="shared" si="9"/>
        <v>#DIV/0!</v>
      </c>
      <c r="M25" s="4" t="e">
        <f t="shared" si="9"/>
        <v>#DIV/0!</v>
      </c>
      <c r="N25" s="4" t="e">
        <f t="shared" si="9"/>
        <v>#DIV/0!</v>
      </c>
      <c r="O25" s="4" t="e">
        <f t="shared" si="9"/>
        <v>#DIV/0!</v>
      </c>
      <c r="P25" s="16" t="e">
        <f t="shared" si="9"/>
        <v>#DIV/0!</v>
      </c>
      <c r="Q25" s="26" t="e">
        <f t="shared" ref="Q25" si="10">Q24/Q23</f>
        <v>#DIV/0!</v>
      </c>
    </row>
    <row r="26" spans="1:19" ht="19.5" thickBot="1" x14ac:dyDescent="0.45">
      <c r="A26" s="448"/>
      <c r="B26" s="451"/>
      <c r="C26" s="437"/>
      <c r="D26" s="23" t="s">
        <v>18</v>
      </c>
      <c r="E26" s="14" t="e">
        <f>SUM($E24:E24)/SUM($E23:E23)</f>
        <v>#DIV/0!</v>
      </c>
      <c r="F26" s="7" t="e">
        <f>SUM($E24:F24)/SUM($E23:F23)</f>
        <v>#DIV/0!</v>
      </c>
      <c r="G26" s="7" t="e">
        <f>SUM($E24:G24)/SUM($E23:G23)</f>
        <v>#DIV/0!</v>
      </c>
      <c r="H26" s="7" t="e">
        <f>SUM($E24:H24)/SUM($E23:H23)</f>
        <v>#DIV/0!</v>
      </c>
      <c r="I26" s="7" t="e">
        <f>SUM($E24:I24)/SUM($E23:I23)</f>
        <v>#DIV/0!</v>
      </c>
      <c r="J26" s="15" t="e">
        <f>SUM($E24:J24)/SUM($E23:J23)</f>
        <v>#DIV/0!</v>
      </c>
      <c r="K26" s="10" t="e">
        <f>SUM($E24:K24)/SUM($E23:K23)</f>
        <v>#DIV/0!</v>
      </c>
      <c r="L26" s="7" t="e">
        <f>SUM($E24:L24)/SUM($E23:L23)</f>
        <v>#DIV/0!</v>
      </c>
      <c r="M26" s="7" t="e">
        <f>SUM($E24:M24)/SUM($E23:M23)</f>
        <v>#DIV/0!</v>
      </c>
      <c r="N26" s="7" t="e">
        <f>SUM($E24:N24)/SUM($E23:N23)</f>
        <v>#DIV/0!</v>
      </c>
      <c r="O26" s="7" t="e">
        <f>SUM($E24:O24)/SUM($E23:O23)</f>
        <v>#DIV/0!</v>
      </c>
      <c r="P26" s="18" t="e">
        <f>SUM($E24:P24)/SUM($E23:P23)</f>
        <v>#DIV/0!</v>
      </c>
      <c r="Q26" s="28" t="s">
        <v>22</v>
      </c>
      <c r="R26" s="59"/>
      <c r="S26"/>
    </row>
    <row r="27" spans="1:19" x14ac:dyDescent="0.4">
      <c r="A27" s="447" t="s">
        <v>198</v>
      </c>
      <c r="B27" s="450" t="s">
        <v>198</v>
      </c>
      <c r="C27" s="433" t="s">
        <v>15</v>
      </c>
      <c r="D27" s="111" t="s">
        <v>13</v>
      </c>
      <c r="E27" s="112"/>
      <c r="F27" s="113"/>
      <c r="G27" s="113"/>
      <c r="H27" s="113"/>
      <c r="I27" s="113"/>
      <c r="J27" s="114"/>
      <c r="K27" s="115"/>
      <c r="L27" s="113"/>
      <c r="M27" s="113"/>
      <c r="N27" s="113"/>
      <c r="O27" s="113"/>
      <c r="P27" s="116"/>
      <c r="Q27" s="117">
        <f>SUM(E27:P27)</f>
        <v>0</v>
      </c>
      <c r="R27" s="465"/>
      <c r="S27" s="68" t="str">
        <f>IFERROR(Q27/R27,"")</f>
        <v/>
      </c>
    </row>
    <row r="28" spans="1:19" ht="19.5" thickBot="1" x14ac:dyDescent="0.45">
      <c r="A28" s="447"/>
      <c r="B28" s="450"/>
      <c r="C28" s="433"/>
      <c r="D28" s="133" t="s">
        <v>14</v>
      </c>
      <c r="E28" s="134"/>
      <c r="F28" s="135"/>
      <c r="G28" s="135"/>
      <c r="H28" s="135"/>
      <c r="I28" s="135"/>
      <c r="J28" s="136"/>
      <c r="K28" s="137"/>
      <c r="L28" s="135"/>
      <c r="M28" s="135"/>
      <c r="N28" s="135"/>
      <c r="O28" s="135"/>
      <c r="P28" s="138"/>
      <c r="Q28" s="139">
        <f>SUM(E28:P28)</f>
        <v>0</v>
      </c>
      <c r="R28" s="466"/>
      <c r="S28" s="69" t="str">
        <f>IFERROR(Q28/R27,"")</f>
        <v/>
      </c>
    </row>
    <row r="29" spans="1:19" x14ac:dyDescent="0.4">
      <c r="A29" s="447"/>
      <c r="B29" s="450"/>
      <c r="C29" s="433"/>
      <c r="D29" s="21" t="s">
        <v>17</v>
      </c>
      <c r="E29" s="11" t="e">
        <f>E28/E27</f>
        <v>#DIV/0!</v>
      </c>
      <c r="F29" s="4" t="e">
        <f t="shared" ref="F29:P29" si="11">F28/F27</f>
        <v>#DIV/0!</v>
      </c>
      <c r="G29" s="4" t="e">
        <f t="shared" si="11"/>
        <v>#DIV/0!</v>
      </c>
      <c r="H29" s="4" t="e">
        <f t="shared" si="11"/>
        <v>#DIV/0!</v>
      </c>
      <c r="I29" s="4" t="e">
        <f t="shared" si="11"/>
        <v>#DIV/0!</v>
      </c>
      <c r="J29" s="6" t="e">
        <f t="shared" si="11"/>
        <v>#DIV/0!</v>
      </c>
      <c r="K29" s="8" t="e">
        <f t="shared" si="11"/>
        <v>#DIV/0!</v>
      </c>
      <c r="L29" s="4" t="e">
        <f t="shared" si="11"/>
        <v>#DIV/0!</v>
      </c>
      <c r="M29" s="4" t="e">
        <f t="shared" si="11"/>
        <v>#DIV/0!</v>
      </c>
      <c r="N29" s="4" t="e">
        <f t="shared" si="11"/>
        <v>#DIV/0!</v>
      </c>
      <c r="O29" s="4" t="e">
        <f t="shared" si="11"/>
        <v>#DIV/0!</v>
      </c>
      <c r="P29" s="16" t="e">
        <f t="shared" si="11"/>
        <v>#DIV/0!</v>
      </c>
      <c r="Q29" s="26" t="e">
        <f t="shared" ref="Q29" si="12">Q28/Q27</f>
        <v>#DIV/0!</v>
      </c>
      <c r="R29" s="59"/>
      <c r="S29"/>
    </row>
    <row r="30" spans="1:19" x14ac:dyDescent="0.4">
      <c r="A30" s="447"/>
      <c r="B30" s="450"/>
      <c r="C30" s="434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</row>
    <row r="31" spans="1:19" x14ac:dyDescent="0.4">
      <c r="A31" s="447"/>
      <c r="B31" s="450"/>
      <c r="C31" s="452" t="s">
        <v>192</v>
      </c>
      <c r="D31" s="118" t="s">
        <v>13</v>
      </c>
      <c r="E31" s="119"/>
      <c r="F31" s="120"/>
      <c r="G31" s="120"/>
      <c r="H31" s="120"/>
      <c r="I31" s="120"/>
      <c r="J31" s="121"/>
      <c r="K31" s="122"/>
      <c r="L31" s="120"/>
      <c r="M31" s="120"/>
      <c r="N31" s="120"/>
      <c r="O31" s="120"/>
      <c r="P31" s="123"/>
      <c r="Q31" s="124">
        <f>SUM(E31:P31)</f>
        <v>0</v>
      </c>
      <c r="R31" s="465"/>
      <c r="S31" s="68" t="str">
        <f>IFERROR(Q31/R31,"")</f>
        <v/>
      </c>
    </row>
    <row r="32" spans="1:19" x14ac:dyDescent="0.4">
      <c r="A32" s="447"/>
      <c r="B32" s="450"/>
      <c r="C32" s="453"/>
      <c r="D32" s="140" t="s">
        <v>14</v>
      </c>
      <c r="E32" s="146"/>
      <c r="F32" s="141"/>
      <c r="G32" s="141"/>
      <c r="H32" s="141"/>
      <c r="I32" s="141"/>
      <c r="J32" s="142"/>
      <c r="K32" s="143"/>
      <c r="L32" s="141"/>
      <c r="M32" s="141"/>
      <c r="N32" s="141"/>
      <c r="O32" s="141"/>
      <c r="P32" s="144"/>
      <c r="Q32" s="145">
        <f>SUM(E32:P32)</f>
        <v>0</v>
      </c>
      <c r="R32" s="471"/>
      <c r="S32" s="70" t="str">
        <f>IFERROR(Q32/R31,"")</f>
        <v/>
      </c>
    </row>
    <row r="33" spans="1:19" x14ac:dyDescent="0.4">
      <c r="A33" s="447"/>
      <c r="B33" s="450"/>
      <c r="C33" s="435" t="s">
        <v>16</v>
      </c>
      <c r="D33" s="118" t="s">
        <v>13</v>
      </c>
      <c r="E33" s="119">
        <f>E27-E31</f>
        <v>0</v>
      </c>
      <c r="F33" s="120">
        <f t="shared" ref="F33:P33" si="13">F27-F31</f>
        <v>0</v>
      </c>
      <c r="G33" s="120">
        <f t="shared" si="13"/>
        <v>0</v>
      </c>
      <c r="H33" s="120">
        <f t="shared" si="13"/>
        <v>0</v>
      </c>
      <c r="I33" s="120">
        <f t="shared" si="13"/>
        <v>0</v>
      </c>
      <c r="J33" s="121">
        <f t="shared" si="13"/>
        <v>0</v>
      </c>
      <c r="K33" s="122">
        <f t="shared" si="13"/>
        <v>0</v>
      </c>
      <c r="L33" s="120">
        <f t="shared" si="13"/>
        <v>0</v>
      </c>
      <c r="M33" s="120">
        <f t="shared" si="13"/>
        <v>0</v>
      </c>
      <c r="N33" s="120">
        <f t="shared" si="13"/>
        <v>0</v>
      </c>
      <c r="O33" s="120">
        <f t="shared" si="13"/>
        <v>0</v>
      </c>
      <c r="P33" s="123">
        <f t="shared" si="13"/>
        <v>0</v>
      </c>
      <c r="Q33" s="124">
        <f>SUM(E33:P33)</f>
        <v>0</v>
      </c>
      <c r="R33" s="465">
        <f>R27-R31</f>
        <v>0</v>
      </c>
      <c r="S33" s="149" t="str">
        <f>IFERROR(Q33/R33,"")</f>
        <v/>
      </c>
    </row>
    <row r="34" spans="1:19" ht="19.5" thickBot="1" x14ac:dyDescent="0.45">
      <c r="A34" s="447"/>
      <c r="B34" s="450"/>
      <c r="C34" s="436"/>
      <c r="D34" s="133" t="s">
        <v>14</v>
      </c>
      <c r="E34" s="134"/>
      <c r="F34" s="135"/>
      <c r="G34" s="135"/>
      <c r="H34" s="135"/>
      <c r="I34" s="135"/>
      <c r="J34" s="136"/>
      <c r="K34" s="137"/>
      <c r="L34" s="135"/>
      <c r="M34" s="135"/>
      <c r="N34" s="135"/>
      <c r="O34" s="135"/>
      <c r="P34" s="138"/>
      <c r="Q34" s="139">
        <f>SUM(E34:P34)</f>
        <v>0</v>
      </c>
      <c r="R34" s="466"/>
      <c r="S34" s="69" t="str">
        <f>IFERROR(Q34/R33,"")</f>
        <v/>
      </c>
    </row>
    <row r="35" spans="1:19" x14ac:dyDescent="0.4">
      <c r="A35" s="447"/>
      <c r="B35" s="450"/>
      <c r="C35" s="436"/>
      <c r="D35" s="21" t="s">
        <v>17</v>
      </c>
      <c r="E35" s="11" t="e">
        <f>E34/E33</f>
        <v>#DIV/0!</v>
      </c>
      <c r="F35" s="4" t="e">
        <f t="shared" ref="F35:P35" si="14">F34/F33</f>
        <v>#DIV/0!</v>
      </c>
      <c r="G35" s="4" t="e">
        <f t="shared" si="14"/>
        <v>#DIV/0!</v>
      </c>
      <c r="H35" s="4" t="e">
        <f t="shared" si="14"/>
        <v>#DIV/0!</v>
      </c>
      <c r="I35" s="4" t="e">
        <f t="shared" si="14"/>
        <v>#DIV/0!</v>
      </c>
      <c r="J35" s="6" t="e">
        <f t="shared" si="14"/>
        <v>#DIV/0!</v>
      </c>
      <c r="K35" s="8" t="e">
        <f t="shared" si="14"/>
        <v>#DIV/0!</v>
      </c>
      <c r="L35" s="4" t="e">
        <f t="shared" si="14"/>
        <v>#DIV/0!</v>
      </c>
      <c r="M35" s="4" t="e">
        <f t="shared" si="14"/>
        <v>#DIV/0!</v>
      </c>
      <c r="N35" s="4" t="e">
        <f t="shared" si="14"/>
        <v>#DIV/0!</v>
      </c>
      <c r="O35" s="4" t="e">
        <f t="shared" si="14"/>
        <v>#DIV/0!</v>
      </c>
      <c r="P35" s="16" t="e">
        <f t="shared" si="14"/>
        <v>#DIV/0!</v>
      </c>
      <c r="Q35" s="26" t="e">
        <f t="shared" ref="Q35" si="15">Q34/Q33</f>
        <v>#DIV/0!</v>
      </c>
    </row>
    <row r="36" spans="1:19" ht="19.5" thickBot="1" x14ac:dyDescent="0.45">
      <c r="A36" s="448"/>
      <c r="B36" s="451"/>
      <c r="C36" s="437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>SUM(E7,E17,E27)</f>
        <v>1513</v>
      </c>
      <c r="F37" s="127">
        <f t="shared" ref="F37:Q38" si="16">SUM(F7,F17,F27)</f>
        <v>1513</v>
      </c>
      <c r="G37" s="128">
        <f t="shared" si="16"/>
        <v>1513</v>
      </c>
      <c r="H37" s="127">
        <f t="shared" si="16"/>
        <v>1513</v>
      </c>
      <c r="I37" s="127">
        <f t="shared" si="16"/>
        <v>1513</v>
      </c>
      <c r="J37" s="129">
        <f t="shared" si="16"/>
        <v>1513</v>
      </c>
      <c r="K37" s="126">
        <f t="shared" si="16"/>
        <v>1513</v>
      </c>
      <c r="L37" s="127">
        <f t="shared" si="16"/>
        <v>1513</v>
      </c>
      <c r="M37" s="128">
        <f t="shared" si="16"/>
        <v>1513</v>
      </c>
      <c r="N37" s="127">
        <f t="shared" si="16"/>
        <v>1513</v>
      </c>
      <c r="O37" s="127">
        <f t="shared" si="16"/>
        <v>1513</v>
      </c>
      <c r="P37" s="129">
        <f t="shared" si="16"/>
        <v>1513</v>
      </c>
      <c r="Q37" s="130">
        <f t="shared" si="16"/>
        <v>18156</v>
      </c>
      <c r="R37" s="465">
        <f>SUM(R7,R17,R27)</f>
        <v>14544</v>
      </c>
      <c r="S37" s="68">
        <f>IFERROR(Q37/R37,"")</f>
        <v>1.2483498349834983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>SUM(E8,E18,E28)</f>
        <v>1184</v>
      </c>
      <c r="F38" s="135">
        <f t="shared" si="16"/>
        <v>1045</v>
      </c>
      <c r="G38" s="138">
        <f t="shared" si="16"/>
        <v>790</v>
      </c>
      <c r="H38" s="135">
        <f t="shared" si="16"/>
        <v>1876</v>
      </c>
      <c r="I38" s="135">
        <f t="shared" si="16"/>
        <v>1174</v>
      </c>
      <c r="J38" s="136">
        <f t="shared" si="16"/>
        <v>1641</v>
      </c>
      <c r="K38" s="134">
        <f t="shared" si="16"/>
        <v>1463</v>
      </c>
      <c r="L38" s="135">
        <f t="shared" si="16"/>
        <v>1095</v>
      </c>
      <c r="M38" s="138">
        <f t="shared" si="16"/>
        <v>839</v>
      </c>
      <c r="N38" s="135">
        <f t="shared" si="16"/>
        <v>0</v>
      </c>
      <c r="O38" s="135">
        <f t="shared" si="16"/>
        <v>0</v>
      </c>
      <c r="P38" s="136">
        <f t="shared" si="16"/>
        <v>0</v>
      </c>
      <c r="Q38" s="148">
        <f t="shared" si="16"/>
        <v>11107</v>
      </c>
      <c r="R38" s="466"/>
      <c r="S38" s="69">
        <f>IFERROR(Q38/R37,"")</f>
        <v>0.76368261826182615</v>
      </c>
    </row>
    <row r="39" spans="1:19" x14ac:dyDescent="0.4">
      <c r="A39" s="19"/>
      <c r="B39" s="430"/>
      <c r="C39" s="433"/>
      <c r="D39" s="24" t="s">
        <v>17</v>
      </c>
      <c r="E39" s="11">
        <f>E38/E37</f>
        <v>0.78255122273628552</v>
      </c>
      <c r="F39" s="4">
        <f t="shared" ref="F39:Q39" si="17">F38/F37</f>
        <v>0.69068076668869793</v>
      </c>
      <c r="G39" s="16">
        <f t="shared" si="17"/>
        <v>0.52214144084600134</v>
      </c>
      <c r="H39" s="4">
        <f t="shared" si="17"/>
        <v>1.239920687376074</v>
      </c>
      <c r="I39" s="4">
        <f t="shared" si="17"/>
        <v>0.77594183740912093</v>
      </c>
      <c r="J39" s="6">
        <f t="shared" si="17"/>
        <v>1.0846001321877066</v>
      </c>
      <c r="K39" s="11">
        <f t="shared" si="17"/>
        <v>0.96695307336417713</v>
      </c>
      <c r="L39" s="4">
        <f t="shared" si="17"/>
        <v>0.7237276933245208</v>
      </c>
      <c r="M39" s="16">
        <f t="shared" si="17"/>
        <v>0.55452742894910778</v>
      </c>
      <c r="N39" s="4">
        <f t="shared" si="17"/>
        <v>0</v>
      </c>
      <c r="O39" s="4">
        <f t="shared" si="17"/>
        <v>0</v>
      </c>
      <c r="P39" s="6">
        <f t="shared" si="17"/>
        <v>0</v>
      </c>
      <c r="Q39" s="26">
        <f t="shared" si="17"/>
        <v>0.61175369024014103</v>
      </c>
    </row>
    <row r="40" spans="1:19" x14ac:dyDescent="0.4">
      <c r="A40" s="19"/>
      <c r="B40" s="430"/>
      <c r="C40" s="434"/>
      <c r="D40" s="25" t="s">
        <v>18</v>
      </c>
      <c r="E40" s="12">
        <f>SUM($E38:E38)/SUM($E37:E37)</f>
        <v>0.78255122273628552</v>
      </c>
      <c r="F40" s="5">
        <f>SUM($E38:F38)/SUM($E37:F37)</f>
        <v>0.73661599471249173</v>
      </c>
      <c r="G40" s="17">
        <f>SUM($E38:G38)/SUM($E37:G37)</f>
        <v>0.66512447675699493</v>
      </c>
      <c r="H40" s="5">
        <f>SUM($E38:H38)/SUM($E37:H37)</f>
        <v>0.80882352941176472</v>
      </c>
      <c r="I40" s="5">
        <f>SUM($E38:I38)/SUM($E37:I37)</f>
        <v>0.80224719101123598</v>
      </c>
      <c r="J40" s="13">
        <f>SUM($E38:J38)/SUM($E37:J37)</f>
        <v>0.84930601454064769</v>
      </c>
      <c r="K40" s="12">
        <f>SUM($E38:K38)/SUM($E37:K37)</f>
        <v>0.86611273722972337</v>
      </c>
      <c r="L40" s="5">
        <f>SUM($E38:L38)/SUM($E37:L37)</f>
        <v>0.848314606741573</v>
      </c>
      <c r="M40" s="17">
        <f>SUM($E38:M38)/SUM($E37:M37)</f>
        <v>0.81567158698685471</v>
      </c>
      <c r="N40" s="5">
        <f>SUM($E38:N38)/SUM($E37:N37)</f>
        <v>0.73410442828816924</v>
      </c>
      <c r="O40" s="5">
        <f>SUM($E38:O38)/SUM($E37:O37)</f>
        <v>0.66736766208015386</v>
      </c>
      <c r="P40" s="13">
        <f>SUM($E38:P38)/SUM($E37:P37)</f>
        <v>0.61175369024014103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>SUM(E13,E23,E33)</f>
        <v>570</v>
      </c>
      <c r="F41" s="113">
        <f t="shared" ref="F41:Q42" si="18">SUM(F13,F23,F33)</f>
        <v>570</v>
      </c>
      <c r="G41" s="116">
        <f t="shared" si="18"/>
        <v>570</v>
      </c>
      <c r="H41" s="113">
        <f t="shared" si="18"/>
        <v>570</v>
      </c>
      <c r="I41" s="113">
        <f t="shared" si="18"/>
        <v>570</v>
      </c>
      <c r="J41" s="114">
        <f t="shared" si="18"/>
        <v>570</v>
      </c>
      <c r="K41" s="112">
        <f t="shared" si="18"/>
        <v>570</v>
      </c>
      <c r="L41" s="113">
        <f t="shared" si="18"/>
        <v>570</v>
      </c>
      <c r="M41" s="116">
        <f t="shared" si="18"/>
        <v>570</v>
      </c>
      <c r="N41" s="113">
        <f t="shared" si="18"/>
        <v>570</v>
      </c>
      <c r="O41" s="113">
        <f t="shared" si="18"/>
        <v>570</v>
      </c>
      <c r="P41" s="114">
        <f t="shared" si="18"/>
        <v>570</v>
      </c>
      <c r="Q41" s="132">
        <f t="shared" si="18"/>
        <v>6840</v>
      </c>
      <c r="R41" s="465">
        <f>SUM(R13,R23,R33)</f>
        <v>5306</v>
      </c>
      <c r="S41" s="68">
        <f>IFERROR(Q41/R41,"")</f>
        <v>1.2891066716924238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>SUM(E14,E24,E34)</f>
        <v>410</v>
      </c>
      <c r="F42" s="135">
        <f t="shared" si="18"/>
        <v>314</v>
      </c>
      <c r="G42" s="138">
        <f t="shared" si="18"/>
        <v>249</v>
      </c>
      <c r="H42" s="135">
        <f t="shared" si="18"/>
        <v>531</v>
      </c>
      <c r="I42" s="135">
        <f t="shared" si="18"/>
        <v>356</v>
      </c>
      <c r="J42" s="136">
        <f t="shared" si="18"/>
        <v>439</v>
      </c>
      <c r="K42" s="134">
        <f t="shared" si="18"/>
        <v>405</v>
      </c>
      <c r="L42" s="135">
        <f t="shared" si="18"/>
        <v>295</v>
      </c>
      <c r="M42" s="138">
        <f t="shared" si="18"/>
        <v>254</v>
      </c>
      <c r="N42" s="135">
        <f t="shared" si="18"/>
        <v>0</v>
      </c>
      <c r="O42" s="135">
        <f t="shared" si="18"/>
        <v>0</v>
      </c>
      <c r="P42" s="136">
        <f t="shared" si="18"/>
        <v>0</v>
      </c>
      <c r="Q42" s="148">
        <f t="shared" si="18"/>
        <v>3253</v>
      </c>
      <c r="R42" s="466"/>
      <c r="S42" s="69">
        <f>IFERROR(Q42/R41,"")</f>
        <v>0.61307953260459858</v>
      </c>
    </row>
    <row r="43" spans="1:19" x14ac:dyDescent="0.4">
      <c r="A43" s="19"/>
      <c r="B43" s="430"/>
      <c r="C43" s="436"/>
      <c r="D43" s="24" t="s">
        <v>17</v>
      </c>
      <c r="E43" s="11">
        <f>E42/E41</f>
        <v>0.7192982456140351</v>
      </c>
      <c r="F43" s="4">
        <f t="shared" ref="F43:Q43" si="19">F42/F41</f>
        <v>0.55087719298245619</v>
      </c>
      <c r="G43" s="16">
        <f t="shared" si="19"/>
        <v>0.43684210526315792</v>
      </c>
      <c r="H43" s="4">
        <f t="shared" si="19"/>
        <v>0.93157894736842106</v>
      </c>
      <c r="I43" s="4">
        <f t="shared" si="19"/>
        <v>0.62456140350877198</v>
      </c>
      <c r="J43" s="6">
        <f t="shared" si="19"/>
        <v>0.77017543859649118</v>
      </c>
      <c r="K43" s="11">
        <f t="shared" si="19"/>
        <v>0.71052631578947367</v>
      </c>
      <c r="L43" s="4">
        <f t="shared" si="19"/>
        <v>0.51754385964912286</v>
      </c>
      <c r="M43" s="16">
        <f t="shared" si="19"/>
        <v>0.4456140350877193</v>
      </c>
      <c r="N43" s="4">
        <f t="shared" si="19"/>
        <v>0</v>
      </c>
      <c r="O43" s="4">
        <f t="shared" si="19"/>
        <v>0</v>
      </c>
      <c r="P43" s="6">
        <f t="shared" si="19"/>
        <v>0</v>
      </c>
      <c r="Q43" s="26">
        <f t="shared" si="19"/>
        <v>0.47558479532163744</v>
      </c>
    </row>
    <row r="44" spans="1:19" ht="19.5" thickBot="1" x14ac:dyDescent="0.45">
      <c r="A44" s="19"/>
      <c r="B44" s="431"/>
      <c r="C44" s="437"/>
      <c r="D44" s="30" t="s">
        <v>18</v>
      </c>
      <c r="E44" s="14">
        <f>SUM($E42:E42)/SUM($E41:E41)</f>
        <v>0.7192982456140351</v>
      </c>
      <c r="F44" s="7">
        <f>SUM($E42:F42)/SUM($E41:F41)</f>
        <v>0.63508771929824559</v>
      </c>
      <c r="G44" s="18">
        <f>SUM($E42:G42)/SUM($E41:G41)</f>
        <v>0.5690058479532164</v>
      </c>
      <c r="H44" s="7">
        <f>SUM($E42:H42)/SUM($E41:H41)</f>
        <v>0.6596491228070176</v>
      </c>
      <c r="I44" s="7">
        <f>SUM($E42:I42)/SUM($E41:I41)</f>
        <v>0.65263157894736845</v>
      </c>
      <c r="J44" s="15">
        <f>SUM($E42:J42)/SUM($E41:J41)</f>
        <v>0.67222222222222228</v>
      </c>
      <c r="K44" s="14">
        <f>SUM($E42:K42)/SUM($E41:K41)</f>
        <v>0.67769423558897246</v>
      </c>
      <c r="L44" s="7">
        <f>SUM($E42:L42)/SUM($E41:L41)</f>
        <v>0.65767543859649125</v>
      </c>
      <c r="M44" s="18">
        <f>SUM($E42:M42)/SUM($E41:M41)</f>
        <v>0.63411306042884985</v>
      </c>
      <c r="N44" s="7">
        <f>SUM($E42:N42)/SUM($E41:N41)</f>
        <v>0.57070175438596493</v>
      </c>
      <c r="O44" s="7">
        <f>SUM($E42:O42)/SUM($E41:O41)</f>
        <v>0.51881977671451351</v>
      </c>
      <c r="P44" s="15">
        <f>SUM($E42:P42)/SUM($E41:P41)</f>
        <v>0.47558479532163744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23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77"/>
      <c r="F48" s="74" t="s">
        <v>395</v>
      </c>
      <c r="G48" s="107" t="s">
        <v>419</v>
      </c>
      <c r="H48" s="74" t="s">
        <v>396</v>
      </c>
      <c r="I48" s="107" t="s">
        <v>396</v>
      </c>
      <c r="J48" s="80" t="s">
        <v>462</v>
      </c>
      <c r="K48" s="93" t="s">
        <v>474</v>
      </c>
      <c r="L48" s="74" t="s">
        <v>476</v>
      </c>
      <c r="M48" s="95"/>
      <c r="N48" s="74"/>
      <c r="O48" s="74"/>
      <c r="P48" s="80"/>
    </row>
    <row r="49" spans="1:16" ht="39" customHeight="1" x14ac:dyDescent="0.4">
      <c r="A49" s="424"/>
      <c r="B49" s="425"/>
      <c r="C49" s="484" t="str">
        <f>A7</f>
        <v>手芸量販</v>
      </c>
      <c r="D49" s="81" t="s">
        <v>38</v>
      </c>
      <c r="E49" s="82"/>
      <c r="F49" s="83" t="s">
        <v>177</v>
      </c>
      <c r="G49" s="83"/>
      <c r="H49" s="83" t="s">
        <v>397</v>
      </c>
      <c r="I49" s="83" t="s">
        <v>397</v>
      </c>
      <c r="J49" s="84"/>
      <c r="K49" s="82"/>
      <c r="L49" s="83"/>
      <c r="M49" s="83"/>
      <c r="N49" s="83"/>
      <c r="O49" s="83"/>
      <c r="P49" s="84"/>
    </row>
    <row r="50" spans="1:16" ht="39" customHeight="1" x14ac:dyDescent="0.4">
      <c r="A50" s="424"/>
      <c r="B50" s="425"/>
      <c r="C50" s="485"/>
      <c r="D50" s="85" t="s">
        <v>36</v>
      </c>
      <c r="E50" s="86"/>
      <c r="F50" s="405" t="s">
        <v>420</v>
      </c>
      <c r="G50" s="389" t="s">
        <v>436</v>
      </c>
      <c r="H50" s="389"/>
      <c r="I50" s="87"/>
      <c r="J50" s="411" t="s">
        <v>473</v>
      </c>
      <c r="K50" s="420" t="s">
        <v>475</v>
      </c>
      <c r="L50" s="392"/>
      <c r="M50" s="389"/>
      <c r="N50" s="392"/>
      <c r="O50" s="392"/>
      <c r="P50" s="411"/>
    </row>
    <row r="51" spans="1:16" ht="39" customHeight="1" thickBot="1" x14ac:dyDescent="0.45">
      <c r="A51" s="424"/>
      <c r="B51" s="425"/>
      <c r="C51" s="151" t="str">
        <f>B7</f>
        <v>リバーレース
リボン・テープ等</v>
      </c>
      <c r="D51" s="89" t="s">
        <v>37</v>
      </c>
      <c r="E51" s="90"/>
      <c r="F51" s="91"/>
      <c r="G51" s="91"/>
      <c r="H51" s="91"/>
      <c r="I51" s="408" t="s">
        <v>461</v>
      </c>
      <c r="J51" s="92" t="s">
        <v>472</v>
      </c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 x14ac:dyDescent="0.4">
      <c r="A53" s="424"/>
      <c r="B53" s="425"/>
      <c r="C53" s="484" t="str">
        <f>A17</f>
        <v>　</v>
      </c>
      <c r="D53" s="81" t="s">
        <v>38</v>
      </c>
      <c r="E53" s="82"/>
      <c r="F53" s="83"/>
      <c r="G53" s="83"/>
      <c r="H53" s="83"/>
      <c r="I53" s="83"/>
      <c r="J53" s="83"/>
      <c r="K53" s="82"/>
      <c r="L53" s="83"/>
      <c r="M53" s="83"/>
      <c r="N53" s="83"/>
      <c r="O53" s="83"/>
      <c r="P53" s="84"/>
    </row>
    <row r="54" spans="1:16" ht="39" customHeight="1" x14ac:dyDescent="0.4">
      <c r="A54" s="424"/>
      <c r="B54" s="425"/>
      <c r="C54" s="485"/>
      <c r="D54" s="85" t="s">
        <v>36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 x14ac:dyDescent="0.45">
      <c r="A55" s="424"/>
      <c r="B55" s="425"/>
      <c r="C55" s="151" t="str">
        <f>B17</f>
        <v>　</v>
      </c>
      <c r="D55" s="89" t="s">
        <v>37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106"/>
      <c r="F56" s="74"/>
      <c r="G56" s="107"/>
      <c r="H56" s="107"/>
      <c r="I56" s="78"/>
      <c r="J56" s="80"/>
      <c r="K56" s="93"/>
      <c r="L56" s="78"/>
      <c r="M56" s="74"/>
      <c r="N56" s="74"/>
      <c r="O56" s="78"/>
      <c r="P56" s="80"/>
    </row>
    <row r="57" spans="1:16" ht="39" customHeight="1" x14ac:dyDescent="0.4">
      <c r="A57" s="424"/>
      <c r="B57" s="425"/>
      <c r="C57" s="484" t="str">
        <f>A27</f>
        <v>　</v>
      </c>
      <c r="D57" s="81" t="s">
        <v>38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 x14ac:dyDescent="0.4">
      <c r="A58" s="424"/>
      <c r="B58" s="425"/>
      <c r="C58" s="485"/>
      <c r="D58" s="85" t="s">
        <v>36</v>
      </c>
      <c r="E58" s="108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 x14ac:dyDescent="0.45">
      <c r="A59" s="426"/>
      <c r="B59" s="427"/>
      <c r="C59" s="151" t="str">
        <f>B27</f>
        <v>　</v>
      </c>
      <c r="D59" s="89" t="s">
        <v>37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BA7D-F5F9-4E61-9C28-44DDB48A44B3}">
  <sheetPr codeName="Sheet7">
    <tabColor theme="1" tint="0.499984740745262"/>
  </sheetPr>
  <dimension ref="A1:S59"/>
  <sheetViews>
    <sheetView showGridLines="0" zoomScale="70" zoomScaleNormal="70" workbookViewId="0">
      <selection activeCell="E14" sqref="E14:P14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65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/>
    <row r="5" spans="1:19" ht="19.5" customHeight="1" thickBot="1" x14ac:dyDescent="0.45">
      <c r="A5" s="467" t="s">
        <v>34</v>
      </c>
      <c r="B5" s="468"/>
      <c r="C5" s="442" t="s">
        <v>23</v>
      </c>
      <c r="D5" s="443"/>
      <c r="E5" s="421" t="s">
        <v>19</v>
      </c>
      <c r="F5" s="422"/>
      <c r="G5" s="422"/>
      <c r="H5" s="422"/>
      <c r="I5" s="422"/>
      <c r="J5" s="491"/>
      <c r="K5" s="428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45444</v>
      </c>
      <c r="F6" s="215">
        <v>45474</v>
      </c>
      <c r="G6" s="215">
        <v>45505</v>
      </c>
      <c r="H6" s="215">
        <v>45536</v>
      </c>
      <c r="I6" s="215">
        <v>45566</v>
      </c>
      <c r="J6" s="218">
        <v>45597</v>
      </c>
      <c r="K6" s="214">
        <v>45627</v>
      </c>
      <c r="L6" s="215">
        <v>45658</v>
      </c>
      <c r="M6" s="215">
        <v>45689</v>
      </c>
      <c r="N6" s="215">
        <v>45717</v>
      </c>
      <c r="O6" s="215">
        <v>45748</v>
      </c>
      <c r="P6" s="216">
        <v>45778</v>
      </c>
      <c r="Q6" s="455"/>
      <c r="R6" s="153" t="s">
        <v>190</v>
      </c>
      <c r="S6" s="67" t="s">
        <v>191</v>
      </c>
    </row>
    <row r="7" spans="1:19" x14ac:dyDescent="0.4">
      <c r="A7" s="488" t="s">
        <v>66</v>
      </c>
      <c r="B7" s="449" t="s">
        <v>134</v>
      </c>
      <c r="C7" s="433" t="s">
        <v>15</v>
      </c>
      <c r="D7" s="111" t="s">
        <v>13</v>
      </c>
      <c r="E7" s="112">
        <v>8580</v>
      </c>
      <c r="F7" s="113">
        <v>390</v>
      </c>
      <c r="G7" s="113">
        <v>0</v>
      </c>
      <c r="H7" s="113">
        <v>7800</v>
      </c>
      <c r="I7" s="113">
        <v>1950</v>
      </c>
      <c r="J7" s="116">
        <v>7800</v>
      </c>
      <c r="K7" s="112">
        <v>7800</v>
      </c>
      <c r="L7" s="113">
        <v>7800</v>
      </c>
      <c r="M7" s="113">
        <v>7800</v>
      </c>
      <c r="N7" s="113">
        <v>3900</v>
      </c>
      <c r="O7" s="113">
        <v>3900</v>
      </c>
      <c r="P7" s="114">
        <v>7800</v>
      </c>
      <c r="Q7" s="117">
        <f>SUM(E7:P7)</f>
        <v>65520</v>
      </c>
      <c r="R7" s="465">
        <v>52927</v>
      </c>
      <c r="S7" s="68">
        <f>IFERROR(Q7/R7,"")</f>
        <v>1.237931490543579</v>
      </c>
    </row>
    <row r="8" spans="1:19" ht="19.5" thickBot="1" x14ac:dyDescent="0.45">
      <c r="A8" s="447"/>
      <c r="B8" s="450"/>
      <c r="C8" s="433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8552</v>
      </c>
      <c r="F8" s="135">
        <f ca="1">SUMIFS(INDIRECT($B$1&amp;"INV!$K:$K"),INDIRECT($B$1&amp;"INV!$A:$A"),$A7,INDIRECT($B$1&amp;"INV!$G:$G"),"&gt;="&amp;F$6,INDIRECT($B$1&amp;"INV!$G:$G"),"&lt;"&amp;EOMONTH(F$6,0)+1)/1000</f>
        <v>0</v>
      </c>
      <c r="G8" s="135">
        <f ca="1">SUMIFS(INDIRECT($B$1&amp;"INV!$K:$K"),INDIRECT($B$1&amp;"INV!$A:$A"),$A7,INDIRECT($B$1&amp;"INV!$G:$G"),"&gt;="&amp;G$6,INDIRECT($B$1&amp;"INV!$G:$G"),"&lt;"&amp;EOMONTH(G$6,0)+1)/1000</f>
        <v>0</v>
      </c>
      <c r="H8" s="135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5">
        <f t="shared" ca="1" si="0"/>
        <v>0</v>
      </c>
      <c r="J8" s="138">
        <f t="shared" ca="1" si="0"/>
        <v>0</v>
      </c>
      <c r="K8" s="134">
        <f t="shared" ca="1" si="0"/>
        <v>0</v>
      </c>
      <c r="L8" s="135">
        <f t="shared" ca="1" si="0"/>
        <v>0</v>
      </c>
      <c r="M8" s="135">
        <f t="shared" ca="1" si="0"/>
        <v>0</v>
      </c>
      <c r="N8" s="135">
        <f t="shared" ca="1" si="0"/>
        <v>0</v>
      </c>
      <c r="O8" s="135">
        <f t="shared" ca="1" si="0"/>
        <v>0</v>
      </c>
      <c r="P8" s="136">
        <f t="shared" ca="1" si="0"/>
        <v>0</v>
      </c>
      <c r="Q8" s="139">
        <f ca="1">SUM(E8:P8)</f>
        <v>8552</v>
      </c>
      <c r="R8" s="466"/>
      <c r="S8" s="69">
        <f ca="1">IFERROR(Q8/R7,"")</f>
        <v>0.16158104559109718</v>
      </c>
    </row>
    <row r="9" spans="1:19" x14ac:dyDescent="0.4">
      <c r="A9" s="447"/>
      <c r="B9" s="450"/>
      <c r="C9" s="433"/>
      <c r="D9" s="21" t="s">
        <v>17</v>
      </c>
      <c r="E9" s="11">
        <f ca="1">E8/E7</f>
        <v>0.99673659673659676</v>
      </c>
      <c r="F9" s="4">
        <f t="shared" ref="F9:Q9" ca="1" si="1">F8/F7</f>
        <v>0</v>
      </c>
      <c r="G9" s="4" t="e">
        <f t="shared" ca="1" si="1"/>
        <v>#DIV/0!</v>
      </c>
      <c r="H9" s="4">
        <f t="shared" ca="1" si="1"/>
        <v>0</v>
      </c>
      <c r="I9" s="4">
        <f t="shared" ca="1" si="1"/>
        <v>0</v>
      </c>
      <c r="J9" s="16">
        <f t="shared" ca="1" si="1"/>
        <v>0</v>
      </c>
      <c r="K9" s="11">
        <f t="shared" ca="1" si="1"/>
        <v>0</v>
      </c>
      <c r="L9" s="4">
        <f t="shared" ca="1" si="1"/>
        <v>0</v>
      </c>
      <c r="M9" s="4">
        <f t="shared" ca="1" si="1"/>
        <v>0</v>
      </c>
      <c r="N9" s="4">
        <f t="shared" ca="1" si="1"/>
        <v>0</v>
      </c>
      <c r="O9" s="4">
        <f t="shared" ca="1" si="1"/>
        <v>0</v>
      </c>
      <c r="P9" s="6">
        <f t="shared" ca="1" si="1"/>
        <v>0</v>
      </c>
      <c r="Q9" s="26">
        <f t="shared" ca="1" si="1"/>
        <v>0.13052503052503053</v>
      </c>
    </row>
    <row r="10" spans="1:19" x14ac:dyDescent="0.4">
      <c r="A10" s="447"/>
      <c r="B10" s="450"/>
      <c r="C10" s="434"/>
      <c r="D10" s="22" t="s">
        <v>18</v>
      </c>
      <c r="E10" s="12">
        <f ca="1">SUM($E8:E8)/SUM($E7:E7)</f>
        <v>0.99673659673659676</v>
      </c>
      <c r="F10" s="5">
        <f ca="1">SUM($E8:F8)/SUM($E7:F7)</f>
        <v>0.95340022296544036</v>
      </c>
      <c r="G10" s="5">
        <f ca="1">SUM($E8:G8)/SUM($E7:G7)</f>
        <v>0.95340022296544036</v>
      </c>
      <c r="H10" s="5">
        <f ca="1">SUM($E8:H8)/SUM($E7:H7)</f>
        <v>0.50995825879546808</v>
      </c>
      <c r="I10" s="5">
        <f ca="1">SUM($E8:I8)/SUM($E7:I7)</f>
        <v>0.45683760683760682</v>
      </c>
      <c r="J10" s="17">
        <f ca="1">SUM($E8:J8)/SUM($E7:J7)</f>
        <v>0.32247360482654602</v>
      </c>
      <c r="K10" s="12">
        <f ca="1">SUM($E8:K8)/SUM($E7:K7)</f>
        <v>0.24918414918414919</v>
      </c>
      <c r="L10" s="5">
        <f ca="1">SUM($E8:L8)/SUM($E7:L7)</f>
        <v>0.20303893637226972</v>
      </c>
      <c r="M10" s="5">
        <f ca="1">SUM($E8:M8)/SUM($E7:M7)</f>
        <v>0.17131410256410257</v>
      </c>
      <c r="N10" s="5">
        <f ca="1">SUM($E8:N8)/SUM($E7:N7)</f>
        <v>0.15890003716090673</v>
      </c>
      <c r="O10" s="5">
        <f ca="1">SUM($E8:O8)/SUM($E7:O7)</f>
        <v>0.14816354816354815</v>
      </c>
      <c r="P10" s="13">
        <f ca="1">SUM($E8:P8)/SUM($E7:P7)</f>
        <v>0.13052503052503053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119">
        <v>7260</v>
      </c>
      <c r="F11" s="120">
        <v>330</v>
      </c>
      <c r="G11" s="120">
        <v>0</v>
      </c>
      <c r="H11" s="120">
        <v>6600</v>
      </c>
      <c r="I11" s="120">
        <v>1650</v>
      </c>
      <c r="J11" s="123">
        <v>6600</v>
      </c>
      <c r="K11" s="119">
        <v>6600</v>
      </c>
      <c r="L11" s="120">
        <v>6600</v>
      </c>
      <c r="M11" s="120">
        <v>6600</v>
      </c>
      <c r="N11" s="120">
        <v>3300</v>
      </c>
      <c r="O11" s="120">
        <v>3300</v>
      </c>
      <c r="P11" s="121">
        <v>6600</v>
      </c>
      <c r="Q11" s="124">
        <f>SUM(E11:P11)</f>
        <v>55440</v>
      </c>
      <c r="R11" s="465">
        <v>44459</v>
      </c>
      <c r="S11" s="68">
        <f>IFERROR(Q11/R11,"")</f>
        <v>1.2469916102476439</v>
      </c>
    </row>
    <row r="12" spans="1:19" x14ac:dyDescent="0.4">
      <c r="A12" s="447"/>
      <c r="B12" s="450"/>
      <c r="C12" s="453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7724.6</v>
      </c>
      <c r="F12" s="141">
        <f t="shared" ref="F12:P12" ca="1" si="2">SUMIFS(INDIRECT($B$1&amp;"INV!$N:$N"),INDIRECT($B$1&amp;"INV!$A:$A"),$A7,INDIRECT($B$1&amp;"INV!$G:$G"),"&gt;="&amp;F$6,INDIRECT($B$1&amp;"INV!$G:$G"),"&lt;"&amp;EOMONTH(F$6,0)+1)/1000</f>
        <v>0</v>
      </c>
      <c r="G12" s="141">
        <f t="shared" ca="1" si="2"/>
        <v>0</v>
      </c>
      <c r="H12" s="141">
        <f t="shared" ca="1" si="2"/>
        <v>0</v>
      </c>
      <c r="I12" s="141">
        <f t="shared" ca="1" si="2"/>
        <v>0</v>
      </c>
      <c r="J12" s="144">
        <f t="shared" ca="1" si="2"/>
        <v>0</v>
      </c>
      <c r="K12" s="146">
        <f t="shared" ca="1" si="2"/>
        <v>0</v>
      </c>
      <c r="L12" s="141">
        <f t="shared" ca="1" si="2"/>
        <v>0</v>
      </c>
      <c r="M12" s="141">
        <f t="shared" ca="1" si="2"/>
        <v>0</v>
      </c>
      <c r="N12" s="141">
        <f t="shared" ca="1" si="2"/>
        <v>0</v>
      </c>
      <c r="O12" s="141">
        <f t="shared" ca="1" si="2"/>
        <v>0</v>
      </c>
      <c r="P12" s="142">
        <f t="shared" ca="1" si="2"/>
        <v>0</v>
      </c>
      <c r="Q12" s="145">
        <f ca="1">SUM(E12:P12)</f>
        <v>7724.6</v>
      </c>
      <c r="R12" s="471"/>
      <c r="S12" s="70">
        <f ca="1">IFERROR(Q12/R11,"")</f>
        <v>0.17374659798915856</v>
      </c>
    </row>
    <row r="13" spans="1:19" x14ac:dyDescent="0.4">
      <c r="A13" s="447"/>
      <c r="B13" s="450"/>
      <c r="C13" s="435" t="s">
        <v>16</v>
      </c>
      <c r="D13" s="118" t="s">
        <v>13</v>
      </c>
      <c r="E13" s="119">
        <f>E7-E11</f>
        <v>1320</v>
      </c>
      <c r="F13" s="120">
        <f t="shared" ref="F13:P13" si="3">F7-F11</f>
        <v>60</v>
      </c>
      <c r="G13" s="120">
        <f t="shared" si="3"/>
        <v>0</v>
      </c>
      <c r="H13" s="120">
        <f t="shared" si="3"/>
        <v>1200</v>
      </c>
      <c r="I13" s="120">
        <f t="shared" si="3"/>
        <v>300</v>
      </c>
      <c r="J13" s="123">
        <f t="shared" si="3"/>
        <v>1200</v>
      </c>
      <c r="K13" s="119">
        <f t="shared" si="3"/>
        <v>1200</v>
      </c>
      <c r="L13" s="120">
        <f t="shared" si="3"/>
        <v>1200</v>
      </c>
      <c r="M13" s="120">
        <f t="shared" si="3"/>
        <v>1200</v>
      </c>
      <c r="N13" s="120">
        <f t="shared" si="3"/>
        <v>600</v>
      </c>
      <c r="O13" s="120">
        <f t="shared" si="3"/>
        <v>600</v>
      </c>
      <c r="P13" s="121">
        <f t="shared" si="3"/>
        <v>1200</v>
      </c>
      <c r="Q13" s="124">
        <f>SUM(E13:P13)</f>
        <v>10080</v>
      </c>
      <c r="R13" s="465">
        <f>R7-R11</f>
        <v>8468</v>
      </c>
      <c r="S13" s="149">
        <f>IFERROR(Q13/R13,"")</f>
        <v>1.1903637222484649</v>
      </c>
    </row>
    <row r="14" spans="1:19" ht="19.5" thickBot="1" x14ac:dyDescent="0.45">
      <c r="A14" s="447"/>
      <c r="B14" s="450"/>
      <c r="C14" s="436"/>
      <c r="D14" s="133" t="s">
        <v>14</v>
      </c>
      <c r="E14" s="134">
        <f ca="1">E8-E12</f>
        <v>827.39999999999964</v>
      </c>
      <c r="F14" s="135">
        <f t="shared" ref="F14:P14" ca="1" si="4">F8-F12</f>
        <v>0</v>
      </c>
      <c r="G14" s="135">
        <f t="shared" ca="1" si="4"/>
        <v>0</v>
      </c>
      <c r="H14" s="135">
        <f t="shared" ca="1" si="4"/>
        <v>0</v>
      </c>
      <c r="I14" s="135">
        <f t="shared" ca="1" si="4"/>
        <v>0</v>
      </c>
      <c r="J14" s="138">
        <f t="shared" ca="1" si="4"/>
        <v>0</v>
      </c>
      <c r="K14" s="134">
        <f t="shared" ca="1" si="4"/>
        <v>0</v>
      </c>
      <c r="L14" s="135">
        <f t="shared" ca="1" si="4"/>
        <v>0</v>
      </c>
      <c r="M14" s="135">
        <f t="shared" ca="1" si="4"/>
        <v>0</v>
      </c>
      <c r="N14" s="135">
        <f t="shared" ca="1" si="4"/>
        <v>0</v>
      </c>
      <c r="O14" s="135">
        <f t="shared" ca="1" si="4"/>
        <v>0</v>
      </c>
      <c r="P14" s="136">
        <f t="shared" ca="1" si="4"/>
        <v>0</v>
      </c>
      <c r="Q14" s="139">
        <f ca="1">SUM(E14:P14)</f>
        <v>827.39999999999964</v>
      </c>
      <c r="R14" s="466"/>
      <c r="S14" s="69">
        <f ca="1">IFERROR(Q14/R13,"")</f>
        <v>9.770902220122811E-2</v>
      </c>
    </row>
    <row r="15" spans="1:19" x14ac:dyDescent="0.4">
      <c r="A15" s="447"/>
      <c r="B15" s="450"/>
      <c r="C15" s="436"/>
      <c r="D15" s="21" t="s">
        <v>17</v>
      </c>
      <c r="E15" s="11">
        <f ca="1">E14/E13</f>
        <v>0.6268181818181815</v>
      </c>
      <c r="F15" s="4">
        <f t="shared" ref="F15:Q15" ca="1" si="5">F14/F13</f>
        <v>0</v>
      </c>
      <c r="G15" s="4" t="e">
        <f t="shared" ca="1" si="5"/>
        <v>#DIV/0!</v>
      </c>
      <c r="H15" s="4">
        <f t="shared" ca="1" si="5"/>
        <v>0</v>
      </c>
      <c r="I15" s="4">
        <f t="shared" ca="1" si="5"/>
        <v>0</v>
      </c>
      <c r="J15" s="16">
        <f t="shared" ca="1" si="5"/>
        <v>0</v>
      </c>
      <c r="K15" s="11">
        <f t="shared" ca="1" si="5"/>
        <v>0</v>
      </c>
      <c r="L15" s="4">
        <f t="shared" ca="1" si="5"/>
        <v>0</v>
      </c>
      <c r="M15" s="4">
        <f t="shared" ca="1" si="5"/>
        <v>0</v>
      </c>
      <c r="N15" s="4">
        <f t="shared" ca="1" si="5"/>
        <v>0</v>
      </c>
      <c r="O15" s="4">
        <f t="shared" ca="1" si="5"/>
        <v>0</v>
      </c>
      <c r="P15" s="6">
        <f t="shared" ca="1" si="5"/>
        <v>0</v>
      </c>
      <c r="Q15" s="26">
        <f t="shared" ca="1" si="5"/>
        <v>8.20833333333333E-2</v>
      </c>
      <c r="R15" s="65"/>
    </row>
    <row r="16" spans="1:19" ht="19.5" thickBot="1" x14ac:dyDescent="0.45">
      <c r="A16" s="448"/>
      <c r="B16" s="451"/>
      <c r="C16" s="437"/>
      <c r="D16" s="23" t="s">
        <v>18</v>
      </c>
      <c r="E16" s="14">
        <f ca="1">SUM($E14:E14)/SUM($E13:E13)</f>
        <v>0.6268181818181815</v>
      </c>
      <c r="F16" s="7">
        <f ca="1">SUM($E14:F14)/SUM($E13:F13)</f>
        <v>0.59956521739130408</v>
      </c>
      <c r="G16" s="7">
        <f ca="1">SUM($E14:G14)/SUM($E13:G13)</f>
        <v>0.59956521739130408</v>
      </c>
      <c r="H16" s="7">
        <f ca="1">SUM($E14:H14)/SUM($E13:H13)</f>
        <v>0.32069767441860453</v>
      </c>
      <c r="I16" s="7">
        <f ca="1">SUM($E14:I14)/SUM($E13:I13)</f>
        <v>0.28729166666666656</v>
      </c>
      <c r="J16" s="18">
        <f ca="1">SUM($E14:J14)/SUM($E13:J13)</f>
        <v>0.20279411764705874</v>
      </c>
      <c r="K16" s="14">
        <f ca="1">SUM($E14:K14)/SUM($E13:K13)</f>
        <v>0.15670454545454537</v>
      </c>
      <c r="L16" s="7">
        <f ca="1">SUM($E14:L14)/SUM($E13:L13)</f>
        <v>0.12768518518518512</v>
      </c>
      <c r="M16" s="7">
        <f ca="1">SUM($E14:M14)/SUM($E13:M13)</f>
        <v>0.10773437499999995</v>
      </c>
      <c r="N16" s="7">
        <f ca="1">SUM($E14:N14)/SUM($E13:N13)</f>
        <v>9.9927536231884009E-2</v>
      </c>
      <c r="O16" s="7">
        <f ca="1">SUM($E14:O14)/SUM($E13:O13)</f>
        <v>9.317567567567564E-2</v>
      </c>
      <c r="P16" s="15">
        <f ca="1">SUM($E14:P14)/SUM($E13:P13)</f>
        <v>8.20833333333333E-2</v>
      </c>
      <c r="Q16" s="28" t="s">
        <v>22</v>
      </c>
      <c r="R16" s="59"/>
      <c r="S16"/>
    </row>
    <row r="17" spans="1:19" x14ac:dyDescent="0.4">
      <c r="A17" s="488" t="s">
        <v>128</v>
      </c>
      <c r="B17" s="449" t="s">
        <v>134</v>
      </c>
      <c r="C17" s="433" t="s">
        <v>15</v>
      </c>
      <c r="D17" s="111" t="s">
        <v>13</v>
      </c>
      <c r="E17" s="112">
        <v>2331</v>
      </c>
      <c r="F17" s="113">
        <v>1575</v>
      </c>
      <c r="G17" s="113">
        <v>3800</v>
      </c>
      <c r="H17" s="113">
        <v>7245</v>
      </c>
      <c r="I17" s="113">
        <v>7875</v>
      </c>
      <c r="J17" s="114">
        <v>8190</v>
      </c>
      <c r="K17" s="115">
        <v>8190</v>
      </c>
      <c r="L17" s="113">
        <v>7875</v>
      </c>
      <c r="M17" s="113">
        <v>7875</v>
      </c>
      <c r="N17" s="113">
        <v>7560</v>
      </c>
      <c r="O17" s="113">
        <v>6930</v>
      </c>
      <c r="P17" s="116">
        <v>6930</v>
      </c>
      <c r="Q17" s="117">
        <f>SUM(E17:P17)</f>
        <v>76376</v>
      </c>
      <c r="R17" s="465">
        <v>68368</v>
      </c>
      <c r="S17" s="68">
        <f>IFERROR(Q17/R17,"")</f>
        <v>1.1171308214369295</v>
      </c>
    </row>
    <row r="18" spans="1:19" ht="19.5" thickBot="1" x14ac:dyDescent="0.45">
      <c r="A18" s="447"/>
      <c r="B18" s="450"/>
      <c r="C18" s="433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2309.4</v>
      </c>
      <c r="F18" s="135">
        <f ca="1">SUMIFS(INDIRECT($B$1&amp;"INV!$K:$K"),INDIRECT($B$1&amp;"INV!$A:$A"),$A17,INDIRECT($B$1&amp;"INV!$G:$G"),"&gt;="&amp;F$6,INDIRECT($B$1&amp;"INV!$G:$G"),"&lt;"&amp;EOMONTH(F$6,0)+1)/1000</f>
        <v>1818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" ca="1" si="6">SUMIFS(INDIRECT($B$1&amp;"INV!$K:$K"),INDIRECT($B$1&amp;"INV!$A:$A"),$A17,INDIRECT($B$1&amp;"INV!$G:$G"),"&gt;="&amp;H$6,INDIRECT($B$1&amp;"INV!$G:$G"),"&lt;"&amp;EOMONTH(H$6,0)+1)/1000</f>
        <v>0</v>
      </c>
      <c r="I18" s="135">
        <f t="shared" ref="I18" ca="1" si="7">SUMIFS(INDIRECT($B$1&amp;"INV!$K:$K"),INDIRECT($B$1&amp;"INV!$A:$A"),$A17,INDIRECT($B$1&amp;"INV!$G:$G"),"&gt;="&amp;I$6,INDIRECT($B$1&amp;"INV!$G:$G"),"&lt;"&amp;EOMONTH(I$6,0)+1)/1000</f>
        <v>0</v>
      </c>
      <c r="J18" s="138">
        <f t="shared" ref="J18" ca="1" si="8">SUMIFS(INDIRECT($B$1&amp;"INV!$K:$K"),INDIRECT($B$1&amp;"INV!$A:$A"),$A17,INDIRECT($B$1&amp;"INV!$G:$G"),"&gt;="&amp;J$6,INDIRECT($B$1&amp;"INV!$G:$G"),"&lt;"&amp;EOMONTH(J$6,0)+1)/1000</f>
        <v>0</v>
      </c>
      <c r="K18" s="134">
        <f t="shared" ref="K18" ca="1" si="9">SUMIFS(INDIRECT($B$1&amp;"INV!$K:$K"),INDIRECT($B$1&amp;"INV!$A:$A"),$A17,INDIRECT($B$1&amp;"INV!$G:$G"),"&gt;="&amp;K$6,INDIRECT($B$1&amp;"INV!$G:$G"),"&lt;"&amp;EOMONTH(K$6,0)+1)/1000</f>
        <v>0</v>
      </c>
      <c r="L18" s="135">
        <f t="shared" ref="L18" ca="1" si="10">SUMIFS(INDIRECT($B$1&amp;"INV!$K:$K"),INDIRECT($B$1&amp;"INV!$A:$A"),$A17,INDIRECT($B$1&amp;"INV!$G:$G"),"&gt;="&amp;L$6,INDIRECT($B$1&amp;"INV!$G:$G"),"&lt;"&amp;EOMONTH(L$6,0)+1)/1000</f>
        <v>0</v>
      </c>
      <c r="M18" s="135">
        <f t="shared" ref="M18" ca="1" si="11">SUMIFS(INDIRECT($B$1&amp;"INV!$K:$K"),INDIRECT($B$1&amp;"INV!$A:$A"),$A17,INDIRECT($B$1&amp;"INV!$G:$G"),"&gt;="&amp;M$6,INDIRECT($B$1&amp;"INV!$G:$G"),"&lt;"&amp;EOMONTH(M$6,0)+1)/1000</f>
        <v>0</v>
      </c>
      <c r="N18" s="135">
        <f t="shared" ref="N18" ca="1" si="12">SUMIFS(INDIRECT($B$1&amp;"INV!$K:$K"),INDIRECT($B$1&amp;"INV!$A:$A"),$A17,INDIRECT($B$1&amp;"INV!$G:$G"),"&gt;="&amp;N$6,INDIRECT($B$1&amp;"INV!$G:$G"),"&lt;"&amp;EOMONTH(N$6,0)+1)/1000</f>
        <v>0</v>
      </c>
      <c r="O18" s="135">
        <f t="shared" ref="O18" ca="1" si="13">SUMIFS(INDIRECT($B$1&amp;"INV!$K:$K"),INDIRECT($B$1&amp;"INV!$A:$A"),$A17,INDIRECT($B$1&amp;"INV!$G:$G"),"&gt;="&amp;O$6,INDIRECT($B$1&amp;"INV!$G:$G"),"&lt;"&amp;EOMONTH(O$6,0)+1)/1000</f>
        <v>0</v>
      </c>
      <c r="P18" s="136">
        <f t="shared" ref="P18" ca="1" si="14">SUMIFS(INDIRECT($B$1&amp;"INV!$K:$K"),INDIRECT($B$1&amp;"INV!$A:$A"),$A17,INDIRECT($B$1&amp;"INV!$G:$G"),"&gt;="&amp;P$6,INDIRECT($B$1&amp;"INV!$G:$G"),"&lt;"&amp;EOMONTH(P$6,0)+1)/1000</f>
        <v>0</v>
      </c>
      <c r="Q18" s="139">
        <f ca="1">SUM(E18:P18)</f>
        <v>4127.3999999999996</v>
      </c>
      <c r="R18" s="466"/>
      <c r="S18" s="69">
        <f ca="1">IFERROR(Q18/R17,"")</f>
        <v>6.0370348701146728E-2</v>
      </c>
    </row>
    <row r="19" spans="1:19" x14ac:dyDescent="0.4">
      <c r="A19" s="447"/>
      <c r="B19" s="450"/>
      <c r="C19" s="433"/>
      <c r="D19" s="21" t="s">
        <v>17</v>
      </c>
      <c r="E19" s="11">
        <f ca="1">E18/E17</f>
        <v>0.9907335907335908</v>
      </c>
      <c r="F19" s="4">
        <f t="shared" ref="F19:Q19" ca="1" si="15">F18/F17</f>
        <v>1.1542857142857144</v>
      </c>
      <c r="G19" s="4">
        <f t="shared" ca="1" si="15"/>
        <v>0</v>
      </c>
      <c r="H19" s="4">
        <f t="shared" ca="1" si="15"/>
        <v>0</v>
      </c>
      <c r="I19" s="4">
        <f t="shared" ca="1" si="15"/>
        <v>0</v>
      </c>
      <c r="J19" s="6">
        <f t="shared" ca="1" si="15"/>
        <v>0</v>
      </c>
      <c r="K19" s="8">
        <f t="shared" ca="1" si="15"/>
        <v>0</v>
      </c>
      <c r="L19" s="4">
        <f t="shared" ca="1" si="15"/>
        <v>0</v>
      </c>
      <c r="M19" s="4">
        <f t="shared" ca="1" si="15"/>
        <v>0</v>
      </c>
      <c r="N19" s="4">
        <f t="shared" ca="1" si="15"/>
        <v>0</v>
      </c>
      <c r="O19" s="4">
        <f t="shared" ca="1" si="15"/>
        <v>0</v>
      </c>
      <c r="P19" s="16">
        <f t="shared" ca="1" si="15"/>
        <v>0</v>
      </c>
      <c r="Q19" s="26">
        <f t="shared" ca="1" si="15"/>
        <v>5.4040536294123802E-2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12">
        <f ca="1">SUM($E18:E18)/SUM($E17:E17)</f>
        <v>0.9907335907335908</v>
      </c>
      <c r="F20" s="5">
        <f ca="1">SUM($E18:F18)/SUM($E17:F17)</f>
        <v>1.0566820276497695</v>
      </c>
      <c r="G20" s="5">
        <f ca="1">SUM($E18:G18)/SUM($E17:G17)</f>
        <v>0.53560861666234094</v>
      </c>
      <c r="H20" s="5">
        <f ca="1">SUM($E18:H18)/SUM($E17:H17)</f>
        <v>0.27606180188616142</v>
      </c>
      <c r="I20" s="5">
        <f ca="1">SUM($E18:I18)/SUM($E17:I17)</f>
        <v>0.18082011740997106</v>
      </c>
      <c r="J20" s="13">
        <f ca="1">SUM($E18:J18)/SUM($E17:J17)</f>
        <v>0.13307325251483104</v>
      </c>
      <c r="K20" s="9">
        <f ca="1">SUM($E18:K18)/SUM($E17:K17)</f>
        <v>0.10527470285160434</v>
      </c>
      <c r="L20" s="5">
        <f ca="1">SUM($E18:L18)/SUM($E17:L17)</f>
        <v>8.7665937426987528E-2</v>
      </c>
      <c r="M20" s="5">
        <f ca="1">SUM($E18:M18)/SUM($E17:M17)</f>
        <v>7.5103719339107644E-2</v>
      </c>
      <c r="N20" s="5">
        <f ca="1">SUM($E18:N18)/SUM($E17:N17)</f>
        <v>6.6021498496384917E-2</v>
      </c>
      <c r="O20" s="5">
        <f ca="1">SUM($E18:O18)/SUM($E17:O17)</f>
        <v>5.9433228695677215E-2</v>
      </c>
      <c r="P20" s="17">
        <f ca="1">SUM($E18:P18)/SUM($E17:P17)</f>
        <v>5.4040536294123802E-2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119">
        <v>2146</v>
      </c>
      <c r="F21" s="120">
        <v>1400</v>
      </c>
      <c r="G21" s="120">
        <v>3380</v>
      </c>
      <c r="H21" s="120">
        <v>6440</v>
      </c>
      <c r="I21" s="120">
        <v>7000</v>
      </c>
      <c r="J21" s="121">
        <v>7280</v>
      </c>
      <c r="K21" s="122">
        <v>7280</v>
      </c>
      <c r="L21" s="120">
        <v>7000</v>
      </c>
      <c r="M21" s="120">
        <v>7000</v>
      </c>
      <c r="N21" s="120">
        <v>6720</v>
      </c>
      <c r="O21" s="120">
        <v>6160</v>
      </c>
      <c r="P21" s="123">
        <v>6160</v>
      </c>
      <c r="Q21" s="124">
        <f>SUM(E21:P21)</f>
        <v>67966</v>
      </c>
      <c r="R21" s="465">
        <v>62750</v>
      </c>
      <c r="S21" s="68">
        <f>IFERROR(Q21/R21,"")</f>
        <v>1.0831235059760955</v>
      </c>
    </row>
    <row r="22" spans="1:19" x14ac:dyDescent="0.4">
      <c r="A22" s="447"/>
      <c r="B22" s="450"/>
      <c r="C22" s="453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2195.8000000000002</v>
      </c>
      <c r="F22" s="141">
        <f t="shared" ref="F22:P22" ca="1" si="16">SUMIFS(INDIRECT($B$1&amp;"INV!$N:$N"),INDIRECT($B$1&amp;"INV!$A:$A"),$A17,INDIRECT($B$1&amp;"INV!$G:$G"),"&gt;="&amp;F$6,INDIRECT($B$1&amp;"INV!$G:$G"),"&lt;"&amp;EOMONTH(F$6,0)+1)/1000</f>
        <v>1648.94</v>
      </c>
      <c r="G22" s="141">
        <f t="shared" ca="1" si="16"/>
        <v>0</v>
      </c>
      <c r="H22" s="141">
        <f t="shared" ca="1" si="16"/>
        <v>0</v>
      </c>
      <c r="I22" s="141">
        <f t="shared" ca="1" si="16"/>
        <v>0</v>
      </c>
      <c r="J22" s="144">
        <f t="shared" ca="1" si="16"/>
        <v>0</v>
      </c>
      <c r="K22" s="146">
        <f t="shared" ca="1" si="16"/>
        <v>0</v>
      </c>
      <c r="L22" s="141">
        <f t="shared" ca="1" si="16"/>
        <v>0</v>
      </c>
      <c r="M22" s="141">
        <f t="shared" ca="1" si="16"/>
        <v>0</v>
      </c>
      <c r="N22" s="141">
        <f t="shared" ca="1" si="16"/>
        <v>0</v>
      </c>
      <c r="O22" s="141">
        <f t="shared" ca="1" si="16"/>
        <v>0</v>
      </c>
      <c r="P22" s="142">
        <f t="shared" ca="1" si="16"/>
        <v>0</v>
      </c>
      <c r="Q22" s="145">
        <f ca="1">SUM(E22:P22)</f>
        <v>3844.7400000000002</v>
      </c>
      <c r="R22" s="471"/>
      <c r="S22" s="70">
        <f ca="1">IFERROR(Q22/R21,"")</f>
        <v>6.1270756972111561E-2</v>
      </c>
    </row>
    <row r="23" spans="1:19" x14ac:dyDescent="0.4">
      <c r="A23" s="447"/>
      <c r="B23" s="450"/>
      <c r="C23" s="435" t="s">
        <v>16</v>
      </c>
      <c r="D23" s="118" t="s">
        <v>13</v>
      </c>
      <c r="E23" s="119">
        <f>E17-E21</f>
        <v>185</v>
      </c>
      <c r="F23" s="120">
        <f t="shared" ref="F23:P24" si="17">F17-F21</f>
        <v>175</v>
      </c>
      <c r="G23" s="120">
        <f t="shared" si="17"/>
        <v>420</v>
      </c>
      <c r="H23" s="120">
        <f t="shared" si="17"/>
        <v>805</v>
      </c>
      <c r="I23" s="120">
        <f t="shared" si="17"/>
        <v>875</v>
      </c>
      <c r="J23" s="121">
        <f t="shared" si="17"/>
        <v>910</v>
      </c>
      <c r="K23" s="122">
        <f t="shared" si="17"/>
        <v>910</v>
      </c>
      <c r="L23" s="120">
        <f t="shared" si="17"/>
        <v>875</v>
      </c>
      <c r="M23" s="120">
        <f t="shared" si="17"/>
        <v>875</v>
      </c>
      <c r="N23" s="120">
        <f t="shared" si="17"/>
        <v>840</v>
      </c>
      <c r="O23" s="120">
        <f t="shared" si="17"/>
        <v>770</v>
      </c>
      <c r="P23" s="123">
        <f t="shared" si="17"/>
        <v>770</v>
      </c>
      <c r="Q23" s="124">
        <f>SUM(E23:P23)</f>
        <v>8410</v>
      </c>
      <c r="R23" s="465">
        <f>R17-R21</f>
        <v>5618</v>
      </c>
      <c r="S23" s="149">
        <f>IFERROR(Q23/R23,"")</f>
        <v>1.4969740121039516</v>
      </c>
    </row>
    <row r="24" spans="1:19" ht="19.5" thickBot="1" x14ac:dyDescent="0.45">
      <c r="A24" s="447"/>
      <c r="B24" s="450"/>
      <c r="C24" s="436"/>
      <c r="D24" s="133" t="s">
        <v>14</v>
      </c>
      <c r="E24" s="134">
        <f ca="1">E18-E22</f>
        <v>113.59999999999991</v>
      </c>
      <c r="F24" s="135">
        <f t="shared" ca="1" si="17"/>
        <v>169.05999999999995</v>
      </c>
      <c r="G24" s="135">
        <f t="shared" ca="1" si="17"/>
        <v>0</v>
      </c>
      <c r="H24" s="135">
        <f t="shared" ca="1" si="17"/>
        <v>0</v>
      </c>
      <c r="I24" s="135">
        <f t="shared" ca="1" si="17"/>
        <v>0</v>
      </c>
      <c r="J24" s="138">
        <f t="shared" ca="1" si="17"/>
        <v>0</v>
      </c>
      <c r="K24" s="134">
        <f t="shared" ca="1" si="17"/>
        <v>0</v>
      </c>
      <c r="L24" s="135">
        <f t="shared" ca="1" si="17"/>
        <v>0</v>
      </c>
      <c r="M24" s="135">
        <f t="shared" ca="1" si="17"/>
        <v>0</v>
      </c>
      <c r="N24" s="135">
        <f t="shared" ca="1" si="17"/>
        <v>0</v>
      </c>
      <c r="O24" s="135">
        <f t="shared" ca="1" si="17"/>
        <v>0</v>
      </c>
      <c r="P24" s="136">
        <f t="shared" ca="1" si="17"/>
        <v>0</v>
      </c>
      <c r="Q24" s="139">
        <f ca="1">SUM(E24:P24)</f>
        <v>282.65999999999985</v>
      </c>
      <c r="R24" s="466"/>
      <c r="S24" s="69">
        <f ca="1">IFERROR(Q24/R23,"")</f>
        <v>5.0313278746884987E-2</v>
      </c>
    </row>
    <row r="25" spans="1:19" x14ac:dyDescent="0.4">
      <c r="A25" s="447"/>
      <c r="B25" s="450"/>
      <c r="C25" s="436"/>
      <c r="D25" s="21" t="s">
        <v>17</v>
      </c>
      <c r="E25" s="11">
        <f ca="1">E24/E23</f>
        <v>0.61405405405405356</v>
      </c>
      <c r="F25" s="4">
        <f t="shared" ref="F25:Q25" ca="1" si="18">F24/F23</f>
        <v>0.9660571428571425</v>
      </c>
      <c r="G25" s="4">
        <f t="shared" ca="1" si="18"/>
        <v>0</v>
      </c>
      <c r="H25" s="4">
        <f t="shared" ca="1" si="18"/>
        <v>0</v>
      </c>
      <c r="I25" s="4">
        <f t="shared" ca="1" si="18"/>
        <v>0</v>
      </c>
      <c r="J25" s="6">
        <f t="shared" ca="1" si="18"/>
        <v>0</v>
      </c>
      <c r="K25" s="8">
        <f t="shared" ca="1" si="18"/>
        <v>0</v>
      </c>
      <c r="L25" s="4">
        <f t="shared" ca="1" si="18"/>
        <v>0</v>
      </c>
      <c r="M25" s="4">
        <f t="shared" ca="1" si="18"/>
        <v>0</v>
      </c>
      <c r="N25" s="4">
        <f t="shared" ca="1" si="18"/>
        <v>0</v>
      </c>
      <c r="O25" s="4">
        <f t="shared" ca="1" si="18"/>
        <v>0</v>
      </c>
      <c r="P25" s="16">
        <f t="shared" ca="1" si="18"/>
        <v>0</v>
      </c>
      <c r="Q25" s="26">
        <f t="shared" ca="1" si="18"/>
        <v>3.3609988109393564E-2</v>
      </c>
      <c r="R25" s="65"/>
    </row>
    <row r="26" spans="1:19" ht="19.5" thickBot="1" x14ac:dyDescent="0.45">
      <c r="A26" s="448"/>
      <c r="B26" s="451"/>
      <c r="C26" s="437"/>
      <c r="D26" s="23" t="s">
        <v>18</v>
      </c>
      <c r="E26" s="14">
        <f ca="1">SUM($E24:E24)/SUM($E23:E23)</f>
        <v>0.61405405405405356</v>
      </c>
      <c r="F26" s="7">
        <f ca="1">SUM($E24:F24)/SUM($E23:F23)</f>
        <v>0.78516666666666624</v>
      </c>
      <c r="G26" s="7">
        <f ca="1">SUM($E24:G24)/SUM($E23:G23)</f>
        <v>0.36238461538461519</v>
      </c>
      <c r="H26" s="7">
        <f ca="1">SUM($E24:H24)/SUM($E23:H23)</f>
        <v>0.17833438485804406</v>
      </c>
      <c r="I26" s="7">
        <f ca="1">SUM($E24:I24)/SUM($E23:I23)</f>
        <v>0.11490243902439018</v>
      </c>
      <c r="J26" s="15">
        <f ca="1">SUM($E24:J24)/SUM($E23:J23)</f>
        <v>8.3875370919881259E-2</v>
      </c>
      <c r="K26" s="10">
        <f ca="1">SUM($E24:K24)/SUM($E23:K23)</f>
        <v>6.604205607476632E-2</v>
      </c>
      <c r="L26" s="7">
        <f ca="1">SUM($E24:L24)/SUM($E23:L23)</f>
        <v>5.4832201745877759E-2</v>
      </c>
      <c r="M26" s="7">
        <f ca="1">SUM($E24:M24)/SUM($E23:M23)</f>
        <v>4.6875621890547239E-2</v>
      </c>
      <c r="N26" s="7">
        <f ca="1">SUM($E24:N24)/SUM($E23:N23)</f>
        <v>4.1144104803493425E-2</v>
      </c>
      <c r="O26" s="7">
        <f ca="1">SUM($E24:O24)/SUM($E23:O23)</f>
        <v>3.6997382198952863E-2</v>
      </c>
      <c r="P26" s="18">
        <f ca="1">SUM($E24:P24)/SUM($E23:P23)</f>
        <v>3.3609988109393564E-2</v>
      </c>
      <c r="Q26" s="28" t="s">
        <v>22</v>
      </c>
      <c r="R26" s="59"/>
      <c r="S26"/>
    </row>
    <row r="27" spans="1:19" ht="18.75" customHeight="1" x14ac:dyDescent="0.4">
      <c r="A27" s="489" t="s">
        <v>309</v>
      </c>
      <c r="B27" s="449" t="s">
        <v>199</v>
      </c>
      <c r="C27" s="433" t="s">
        <v>15</v>
      </c>
      <c r="D27" s="111" t="s">
        <v>13</v>
      </c>
      <c r="E27" s="112">
        <v>5100</v>
      </c>
      <c r="F27" s="113">
        <v>15500</v>
      </c>
      <c r="G27" s="113">
        <v>8500</v>
      </c>
      <c r="H27" s="113">
        <v>13000</v>
      </c>
      <c r="I27" s="113">
        <v>14000</v>
      </c>
      <c r="J27" s="114">
        <v>13000</v>
      </c>
      <c r="K27" s="115">
        <v>13000</v>
      </c>
      <c r="L27" s="113">
        <v>14000</v>
      </c>
      <c r="M27" s="113">
        <v>11000</v>
      </c>
      <c r="N27" s="113">
        <v>12000</v>
      </c>
      <c r="O27" s="113">
        <v>13000</v>
      </c>
      <c r="P27" s="116">
        <v>10000</v>
      </c>
      <c r="Q27" s="117">
        <f>SUM(E27:P27)</f>
        <v>142100</v>
      </c>
      <c r="R27" s="465">
        <v>127274</v>
      </c>
      <c r="S27" s="68">
        <f>IFERROR(Q27/R27,"")</f>
        <v>1.1164888351116489</v>
      </c>
    </row>
    <row r="28" spans="1:19" ht="19.5" thickBot="1" x14ac:dyDescent="0.45">
      <c r="A28" s="446"/>
      <c r="B28" s="450"/>
      <c r="C28" s="433"/>
      <c r="D28" s="133" t="s">
        <v>14</v>
      </c>
      <c r="E28" s="134">
        <f ca="1">SUMIFS(INDIRECT($B$1&amp;"INV!$K:$K"),INDIRECT($B$1&amp;"INV!$A:$A"),$A27,INDIRECT($B$1&amp;"INV!$G:$G"),"&gt;="&amp;E$6,INDIRECT($B$1&amp;"INV!$G:$G"),"&lt;"&amp;EOMONTH(E$6,0)+1)/1000</f>
        <v>5490.0661576000002</v>
      </c>
      <c r="F28" s="135">
        <f ca="1">SUMIFS(INDIRECT($B$1&amp;"INV!$K:$K"),INDIRECT($B$1&amp;"INV!$A:$A"),$A27,INDIRECT($B$1&amp;"INV!$G:$G"),"&gt;="&amp;F$6,INDIRECT($B$1&amp;"INV!$G:$G"),"&lt;"&amp;EOMONTH(F$6,0)+1)/1000</f>
        <v>15731.61328</v>
      </c>
      <c r="G28" s="135">
        <f ca="1">SUMIFS(INDIRECT($B$1&amp;"INV!$K:$K"),INDIRECT($B$1&amp;"INV!$A:$A"),$A27,INDIRECT($B$1&amp;"INV!$G:$G"),"&gt;="&amp;G$6,INDIRECT($B$1&amp;"INV!$G:$G"),"&lt;"&amp;EOMONTH(G$6,0)+1)/1000</f>
        <v>6755.5159999999996</v>
      </c>
      <c r="H28" s="135">
        <f t="shared" ref="H28" ca="1" si="19">SUMIFS(INDIRECT($B$1&amp;"INV!$K:$K"),INDIRECT($B$1&amp;"INV!$A:$A"),$A27,INDIRECT($B$1&amp;"INV!$G:$G"),"&gt;="&amp;H$6,INDIRECT($B$1&amp;"INV!$G:$G"),"&lt;"&amp;EOMONTH(H$6,0)+1)/1000</f>
        <v>0</v>
      </c>
      <c r="I28" s="135">
        <f t="shared" ref="I28" ca="1" si="20">SUMIFS(INDIRECT($B$1&amp;"INV!$K:$K"),INDIRECT($B$1&amp;"INV!$A:$A"),$A27,INDIRECT($B$1&amp;"INV!$G:$G"),"&gt;="&amp;I$6,INDIRECT($B$1&amp;"INV!$G:$G"),"&lt;"&amp;EOMONTH(I$6,0)+1)/1000</f>
        <v>0</v>
      </c>
      <c r="J28" s="138">
        <f t="shared" ref="J28" ca="1" si="21">SUMIFS(INDIRECT($B$1&amp;"INV!$K:$K"),INDIRECT($B$1&amp;"INV!$A:$A"),$A27,INDIRECT($B$1&amp;"INV!$G:$G"),"&gt;="&amp;J$6,INDIRECT($B$1&amp;"INV!$G:$G"),"&lt;"&amp;EOMONTH(J$6,0)+1)/1000</f>
        <v>0</v>
      </c>
      <c r="K28" s="134">
        <f t="shared" ref="K28" ca="1" si="22">SUMIFS(INDIRECT($B$1&amp;"INV!$K:$K"),INDIRECT($B$1&amp;"INV!$A:$A"),$A27,INDIRECT($B$1&amp;"INV!$G:$G"),"&gt;="&amp;K$6,INDIRECT($B$1&amp;"INV!$G:$G"),"&lt;"&amp;EOMONTH(K$6,0)+1)/1000</f>
        <v>0</v>
      </c>
      <c r="L28" s="135">
        <f t="shared" ref="L28" ca="1" si="23">SUMIFS(INDIRECT($B$1&amp;"INV!$K:$K"),INDIRECT($B$1&amp;"INV!$A:$A"),$A27,INDIRECT($B$1&amp;"INV!$G:$G"),"&gt;="&amp;L$6,INDIRECT($B$1&amp;"INV!$G:$G"),"&lt;"&amp;EOMONTH(L$6,0)+1)/1000</f>
        <v>0</v>
      </c>
      <c r="M28" s="135">
        <f t="shared" ref="M28" ca="1" si="24">SUMIFS(INDIRECT($B$1&amp;"INV!$K:$K"),INDIRECT($B$1&amp;"INV!$A:$A"),$A27,INDIRECT($B$1&amp;"INV!$G:$G"),"&gt;="&amp;M$6,INDIRECT($B$1&amp;"INV!$G:$G"),"&lt;"&amp;EOMONTH(M$6,0)+1)/1000</f>
        <v>0</v>
      </c>
      <c r="N28" s="135">
        <f t="shared" ref="N28" ca="1" si="25">SUMIFS(INDIRECT($B$1&amp;"INV!$K:$K"),INDIRECT($B$1&amp;"INV!$A:$A"),$A27,INDIRECT($B$1&amp;"INV!$G:$G"),"&gt;="&amp;N$6,INDIRECT($B$1&amp;"INV!$G:$G"),"&lt;"&amp;EOMONTH(N$6,0)+1)/1000</f>
        <v>0</v>
      </c>
      <c r="O28" s="135">
        <f t="shared" ref="O28" ca="1" si="26">SUMIFS(INDIRECT($B$1&amp;"INV!$K:$K"),INDIRECT($B$1&amp;"INV!$A:$A"),$A27,INDIRECT($B$1&amp;"INV!$G:$G"),"&gt;="&amp;O$6,INDIRECT($B$1&amp;"INV!$G:$G"),"&lt;"&amp;EOMONTH(O$6,0)+1)/1000</f>
        <v>0</v>
      </c>
      <c r="P28" s="136">
        <f t="shared" ref="P28" ca="1" si="27">SUMIFS(INDIRECT($B$1&amp;"INV!$K:$K"),INDIRECT($B$1&amp;"INV!$A:$A"),$A27,INDIRECT($B$1&amp;"INV!$G:$G"),"&gt;="&amp;P$6,INDIRECT($B$1&amp;"INV!$G:$G"),"&lt;"&amp;EOMONTH(P$6,0)+1)/1000</f>
        <v>0</v>
      </c>
      <c r="Q28" s="139">
        <f ca="1">SUM(E28:P28)</f>
        <v>27977.195437599999</v>
      </c>
      <c r="R28" s="466"/>
      <c r="S28" s="69">
        <f ca="1">IFERROR(Q28/R27,"")</f>
        <v>0.21981862310919748</v>
      </c>
    </row>
    <row r="29" spans="1:19" x14ac:dyDescent="0.4">
      <c r="A29" s="446"/>
      <c r="B29" s="450"/>
      <c r="C29" s="433"/>
      <c r="D29" s="21" t="s">
        <v>17</v>
      </c>
      <c r="E29" s="11">
        <f ca="1">E28/E27</f>
        <v>1.0764835603137255</v>
      </c>
      <c r="F29" s="4">
        <f t="shared" ref="F29:Q29" ca="1" si="28">F28/F27</f>
        <v>1.0149427922580645</v>
      </c>
      <c r="G29" s="4">
        <f t="shared" ca="1" si="28"/>
        <v>0.79476658823529411</v>
      </c>
      <c r="H29" s="4">
        <f t="shared" ca="1" si="28"/>
        <v>0</v>
      </c>
      <c r="I29" s="4">
        <f t="shared" ca="1" si="28"/>
        <v>0</v>
      </c>
      <c r="J29" s="6">
        <f t="shared" ca="1" si="28"/>
        <v>0</v>
      </c>
      <c r="K29" s="8">
        <f t="shared" ca="1" si="28"/>
        <v>0</v>
      </c>
      <c r="L29" s="4">
        <f t="shared" ca="1" si="28"/>
        <v>0</v>
      </c>
      <c r="M29" s="4">
        <f t="shared" ca="1" si="28"/>
        <v>0</v>
      </c>
      <c r="N29" s="4">
        <f t="shared" ca="1" si="28"/>
        <v>0</v>
      </c>
      <c r="O29" s="4">
        <f t="shared" ca="1" si="28"/>
        <v>0</v>
      </c>
      <c r="P29" s="16">
        <f t="shared" ca="1" si="28"/>
        <v>0</v>
      </c>
      <c r="Q29" s="26">
        <f t="shared" ca="1" si="28"/>
        <v>0.19688385248135115</v>
      </c>
      <c r="R29" s="59"/>
      <c r="S29"/>
    </row>
    <row r="30" spans="1:19" x14ac:dyDescent="0.4">
      <c r="A30" s="446"/>
      <c r="B30" s="450"/>
      <c r="C30" s="434"/>
      <c r="D30" s="22" t="s">
        <v>18</v>
      </c>
      <c r="E30" s="12">
        <f ca="1">SUM($E28:E28)/SUM($E27:E27)</f>
        <v>1.0764835603137255</v>
      </c>
      <c r="F30" s="5">
        <f ca="1">SUM($E28:F28)/SUM($E27:F27)</f>
        <v>1.0301786134757283</v>
      </c>
      <c r="G30" s="5">
        <f ca="1">SUM($E28:G28)/SUM($E27:G27)</f>
        <v>0.96141565077663227</v>
      </c>
      <c r="H30" s="5">
        <f ca="1">SUM($E28:H28)/SUM($E27:H27)</f>
        <v>0.66454145932541564</v>
      </c>
      <c r="I30" s="5">
        <f ca="1">SUM($E28:I28)/SUM($E27:I27)</f>
        <v>0.49870223596434937</v>
      </c>
      <c r="J30" s="13">
        <f ca="1">SUM($E28:J28)/SUM($E27:J27)</f>
        <v>0.40487981819971053</v>
      </c>
      <c r="K30" s="9">
        <f ca="1">SUM($E28:K28)/SUM($E27:K27)</f>
        <v>0.34076973736419003</v>
      </c>
      <c r="L30" s="5">
        <f ca="1">SUM($E28:L28)/SUM($E27:L27)</f>
        <v>0.29112586303433924</v>
      </c>
      <c r="M30" s="5">
        <f ca="1">SUM($E28:M28)/SUM($E27:M27)</f>
        <v>0.26122498074323064</v>
      </c>
      <c r="N30" s="5">
        <f ca="1">SUM($E28:N28)/SUM($E27:N27)</f>
        <v>0.23490508343912678</v>
      </c>
      <c r="O30" s="5">
        <f ca="1">SUM($E28:O28)/SUM($E27:O27)</f>
        <v>0.21178800482664648</v>
      </c>
      <c r="P30" s="17">
        <f ca="1">SUM($E28:P28)/SUM($E27:P27)</f>
        <v>0.19688385248135115</v>
      </c>
      <c r="Q30" s="27" t="s">
        <v>22</v>
      </c>
      <c r="R30" s="59"/>
      <c r="S30"/>
    </row>
    <row r="31" spans="1:19" x14ac:dyDescent="0.4">
      <c r="A31" s="446"/>
      <c r="B31" s="450"/>
      <c r="C31" s="452" t="s">
        <v>192</v>
      </c>
      <c r="D31" s="118" t="s">
        <v>13</v>
      </c>
      <c r="E31" s="119">
        <v>4200</v>
      </c>
      <c r="F31" s="120">
        <v>12000</v>
      </c>
      <c r="G31" s="120">
        <v>6600</v>
      </c>
      <c r="H31" s="120">
        <v>10300</v>
      </c>
      <c r="I31" s="120">
        <v>10700</v>
      </c>
      <c r="J31" s="121">
        <v>10300</v>
      </c>
      <c r="K31" s="122">
        <v>9800</v>
      </c>
      <c r="L31" s="120">
        <v>10700</v>
      </c>
      <c r="M31" s="120">
        <v>8300</v>
      </c>
      <c r="N31" s="120">
        <v>9300</v>
      </c>
      <c r="O31" s="120">
        <v>10200</v>
      </c>
      <c r="P31" s="123">
        <v>7600</v>
      </c>
      <c r="Q31" s="124">
        <f>SUM(E31:P31)</f>
        <v>110000</v>
      </c>
      <c r="R31" s="465">
        <v>95664</v>
      </c>
      <c r="S31" s="68">
        <f>IFERROR(Q31/R31,"")</f>
        <v>1.1498578357584881</v>
      </c>
    </row>
    <row r="32" spans="1:19" x14ac:dyDescent="0.4">
      <c r="A32" s="446"/>
      <c r="B32" s="450"/>
      <c r="C32" s="453"/>
      <c r="D32" s="140" t="s">
        <v>14</v>
      </c>
      <c r="E32" s="146">
        <f ca="1">SUMIFS(INDIRECT($B$1&amp;"INV!$N:$N"),INDIRECT($B$1&amp;"INV!$A:$A"),$A27,INDIRECT($B$1&amp;"INV!$G:$G"),"&gt;="&amp;E$6,INDIRECT($B$1&amp;"INV!$G:$G"),"&lt;"&amp;EOMONTH(E$6,0)+1)/1000</f>
        <v>3833.1109999999999</v>
      </c>
      <c r="F32" s="141">
        <f t="shared" ref="F32:P32" ca="1" si="29">SUMIFS(INDIRECT($B$1&amp;"INV!$N:$N"),INDIRECT($B$1&amp;"INV!$A:$A"),$A27,INDIRECT($B$1&amp;"INV!$G:$G"),"&gt;="&amp;F$6,INDIRECT($B$1&amp;"INV!$G:$G"),"&lt;"&amp;EOMONTH(F$6,0)+1)/1000</f>
        <v>11976.34</v>
      </c>
      <c r="G32" s="141">
        <f t="shared" ca="1" si="29"/>
        <v>5450.94</v>
      </c>
      <c r="H32" s="141">
        <f t="shared" ca="1" si="29"/>
        <v>0</v>
      </c>
      <c r="I32" s="141">
        <f t="shared" ca="1" si="29"/>
        <v>0</v>
      </c>
      <c r="J32" s="144">
        <f t="shared" ca="1" si="29"/>
        <v>0</v>
      </c>
      <c r="K32" s="146">
        <f t="shared" ca="1" si="29"/>
        <v>0</v>
      </c>
      <c r="L32" s="141">
        <f t="shared" ca="1" si="29"/>
        <v>0</v>
      </c>
      <c r="M32" s="141">
        <f t="shared" ca="1" si="29"/>
        <v>0</v>
      </c>
      <c r="N32" s="141">
        <f t="shared" ca="1" si="29"/>
        <v>0</v>
      </c>
      <c r="O32" s="141">
        <f t="shared" ca="1" si="29"/>
        <v>0</v>
      </c>
      <c r="P32" s="142">
        <f t="shared" ca="1" si="29"/>
        <v>0</v>
      </c>
      <c r="Q32" s="145">
        <f ca="1">SUM(E32:P32)</f>
        <v>21260.391</v>
      </c>
      <c r="R32" s="471"/>
      <c r="S32" s="70">
        <f ca="1">IFERROR(Q32/R31,"")</f>
        <v>0.22224024711490215</v>
      </c>
    </row>
    <row r="33" spans="1:19" x14ac:dyDescent="0.4">
      <c r="A33" s="446"/>
      <c r="B33" s="450"/>
      <c r="C33" s="435" t="s">
        <v>16</v>
      </c>
      <c r="D33" s="118" t="s">
        <v>13</v>
      </c>
      <c r="E33" s="119">
        <f>E27-E31</f>
        <v>900</v>
      </c>
      <c r="F33" s="120">
        <f t="shared" ref="F33:P34" si="30">F27-F31</f>
        <v>3500</v>
      </c>
      <c r="G33" s="120">
        <f t="shared" si="30"/>
        <v>1900</v>
      </c>
      <c r="H33" s="120">
        <f t="shared" si="30"/>
        <v>2700</v>
      </c>
      <c r="I33" s="120">
        <f t="shared" si="30"/>
        <v>3300</v>
      </c>
      <c r="J33" s="121">
        <f t="shared" si="30"/>
        <v>2700</v>
      </c>
      <c r="K33" s="122">
        <f t="shared" si="30"/>
        <v>3200</v>
      </c>
      <c r="L33" s="120">
        <f t="shared" si="30"/>
        <v>3300</v>
      </c>
      <c r="M33" s="120">
        <f t="shared" si="30"/>
        <v>2700</v>
      </c>
      <c r="N33" s="120">
        <f t="shared" si="30"/>
        <v>2700</v>
      </c>
      <c r="O33" s="120">
        <f t="shared" si="30"/>
        <v>2800</v>
      </c>
      <c r="P33" s="123">
        <f>P27-P31</f>
        <v>2400</v>
      </c>
      <c r="Q33" s="124">
        <f>SUM(E33:P33)</f>
        <v>32100</v>
      </c>
      <c r="R33" s="465">
        <f>R27-R31</f>
        <v>31610</v>
      </c>
      <c r="S33" s="149">
        <f>IFERROR(Q33/R33,"")</f>
        <v>1.0155014236001265</v>
      </c>
    </row>
    <row r="34" spans="1:19" ht="19.5" thickBot="1" x14ac:dyDescent="0.45">
      <c r="A34" s="446"/>
      <c r="B34" s="450"/>
      <c r="C34" s="436"/>
      <c r="D34" s="133" t="s">
        <v>14</v>
      </c>
      <c r="E34" s="134">
        <f ca="1">E28-E32</f>
        <v>1656.9551576000003</v>
      </c>
      <c r="F34" s="135">
        <f t="shared" ca="1" si="30"/>
        <v>3755.2732799999994</v>
      </c>
      <c r="G34" s="135">
        <f t="shared" ca="1" si="30"/>
        <v>1304.576</v>
      </c>
      <c r="H34" s="135">
        <f t="shared" ca="1" si="30"/>
        <v>0</v>
      </c>
      <c r="I34" s="135">
        <f t="shared" ca="1" si="30"/>
        <v>0</v>
      </c>
      <c r="J34" s="138">
        <f t="shared" ca="1" si="30"/>
        <v>0</v>
      </c>
      <c r="K34" s="134">
        <f t="shared" ca="1" si="30"/>
        <v>0</v>
      </c>
      <c r="L34" s="135">
        <f t="shared" ca="1" si="30"/>
        <v>0</v>
      </c>
      <c r="M34" s="135">
        <f t="shared" ca="1" si="30"/>
        <v>0</v>
      </c>
      <c r="N34" s="135">
        <f t="shared" ca="1" si="30"/>
        <v>0</v>
      </c>
      <c r="O34" s="135">
        <f t="shared" ca="1" si="30"/>
        <v>0</v>
      </c>
      <c r="P34" s="136">
        <f t="shared" ca="1" si="30"/>
        <v>0</v>
      </c>
      <c r="Q34" s="139">
        <f ca="1">SUM(E34:P34)</f>
        <v>6716.8044375999998</v>
      </c>
      <c r="R34" s="466"/>
      <c r="S34" s="69">
        <f ca="1">IFERROR(Q34/R33,"")</f>
        <v>0.21248985882948435</v>
      </c>
    </row>
    <row r="35" spans="1:19" x14ac:dyDescent="0.4">
      <c r="A35" s="446"/>
      <c r="B35" s="450"/>
      <c r="C35" s="436"/>
      <c r="D35" s="21" t="s">
        <v>17</v>
      </c>
      <c r="E35" s="11">
        <f ca="1">E34/E33</f>
        <v>1.8410612862222226</v>
      </c>
      <c r="F35" s="4">
        <f t="shared" ref="F35:Q35" ca="1" si="31">F34/F33</f>
        <v>1.0729352228571427</v>
      </c>
      <c r="G35" s="4">
        <f t="shared" ca="1" si="31"/>
        <v>0.68661894736842111</v>
      </c>
      <c r="H35" s="4">
        <f t="shared" ca="1" si="31"/>
        <v>0</v>
      </c>
      <c r="I35" s="4">
        <f t="shared" ca="1" si="31"/>
        <v>0</v>
      </c>
      <c r="J35" s="6">
        <f t="shared" ca="1" si="31"/>
        <v>0</v>
      </c>
      <c r="K35" s="8">
        <f t="shared" ca="1" si="31"/>
        <v>0</v>
      </c>
      <c r="L35" s="4">
        <f t="shared" ca="1" si="31"/>
        <v>0</v>
      </c>
      <c r="M35" s="4">
        <f t="shared" ca="1" si="31"/>
        <v>0</v>
      </c>
      <c r="N35" s="4">
        <f t="shared" ca="1" si="31"/>
        <v>0</v>
      </c>
      <c r="O35" s="4">
        <f t="shared" ca="1" si="31"/>
        <v>0</v>
      </c>
      <c r="P35" s="16">
        <f t="shared" ca="1" si="31"/>
        <v>0</v>
      </c>
      <c r="Q35" s="26">
        <f t="shared" ca="1" si="31"/>
        <v>0.20924624416199375</v>
      </c>
      <c r="R35" s="65"/>
    </row>
    <row r="36" spans="1:19" ht="19.5" thickBot="1" x14ac:dyDescent="0.45">
      <c r="A36" s="490"/>
      <c r="B36" s="451"/>
      <c r="C36" s="437"/>
      <c r="D36" s="23" t="s">
        <v>18</v>
      </c>
      <c r="E36" s="14">
        <f ca="1">SUM($E34:E34)/SUM($E33:E33)</f>
        <v>1.8410612862222226</v>
      </c>
      <c r="F36" s="7">
        <f ca="1">SUM($E34:F34)/SUM($E33:F33)</f>
        <v>1.2300519176363636</v>
      </c>
      <c r="G36" s="7">
        <f ca="1">SUM($E34:G34)/SUM($E33:G33)</f>
        <v>1.0661594345396825</v>
      </c>
      <c r="H36" s="7">
        <f ca="1">SUM($E34:H34)/SUM($E33:H33)</f>
        <v>0.74631160417777775</v>
      </c>
      <c r="I36" s="7">
        <f ca="1">SUM($E34:I34)/SUM($E33:I33)</f>
        <v>0.54608166159349592</v>
      </c>
      <c r="J36" s="15">
        <f ca="1">SUM($E34:J34)/SUM($E33:J33)</f>
        <v>0.44778696250666666</v>
      </c>
      <c r="K36" s="10">
        <f ca="1">SUM($E34:K34)/SUM($E33:K33)</f>
        <v>0.36905518887912087</v>
      </c>
      <c r="L36" s="7">
        <f ca="1">SUM($E34:L34)/SUM($E33:L33)</f>
        <v>0.31240950872558138</v>
      </c>
      <c r="M36" s="7">
        <f ca="1">SUM($E34:M34)/SUM($E33:M33)</f>
        <v>0.27755390238016531</v>
      </c>
      <c r="N36" s="7">
        <f ca="1">SUM($E34:N34)/SUM($E33:N33)</f>
        <v>0.24969533225278809</v>
      </c>
      <c r="O36" s="7">
        <f ca="1">SUM($E34:O34)/SUM($E33:O33)</f>
        <v>0.22615503156902356</v>
      </c>
      <c r="P36" s="18">
        <f ca="1">SUM($E34:P34)/SUM($E33:P33)</f>
        <v>0.20924624416199375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>SUM(E7,E17,E27)</f>
        <v>16011</v>
      </c>
      <c r="F37" s="127">
        <f t="shared" ref="F37:Q38" si="32">SUM(F7,F17,F27)</f>
        <v>17465</v>
      </c>
      <c r="G37" s="128">
        <f t="shared" si="32"/>
        <v>12300</v>
      </c>
      <c r="H37" s="127">
        <f t="shared" si="32"/>
        <v>28045</v>
      </c>
      <c r="I37" s="127">
        <f t="shared" si="32"/>
        <v>23825</v>
      </c>
      <c r="J37" s="129">
        <f t="shared" si="32"/>
        <v>28990</v>
      </c>
      <c r="K37" s="126">
        <f t="shared" si="32"/>
        <v>28990</v>
      </c>
      <c r="L37" s="127">
        <f t="shared" si="32"/>
        <v>29675</v>
      </c>
      <c r="M37" s="128">
        <f t="shared" si="32"/>
        <v>26675</v>
      </c>
      <c r="N37" s="127">
        <f t="shared" si="32"/>
        <v>23460</v>
      </c>
      <c r="O37" s="127">
        <f t="shared" si="32"/>
        <v>23830</v>
      </c>
      <c r="P37" s="129">
        <f t="shared" si="32"/>
        <v>24730</v>
      </c>
      <c r="Q37" s="130">
        <f t="shared" si="32"/>
        <v>283996</v>
      </c>
      <c r="R37" s="465">
        <f>SUM(R7,R17,R27)</f>
        <v>248569</v>
      </c>
      <c r="S37" s="68">
        <f>IFERROR(Q37/R37,"")</f>
        <v>1.1425238062670726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 ca="1">SUM(E8,E18,E28)</f>
        <v>16351.4661576</v>
      </c>
      <c r="F38" s="135">
        <f t="shared" ca="1" si="32"/>
        <v>17549.613279999998</v>
      </c>
      <c r="G38" s="138">
        <f t="shared" ca="1" si="32"/>
        <v>6755.5159999999996</v>
      </c>
      <c r="H38" s="135">
        <f t="shared" ca="1" si="32"/>
        <v>0</v>
      </c>
      <c r="I38" s="135">
        <f t="shared" ca="1" si="32"/>
        <v>0</v>
      </c>
      <c r="J38" s="136">
        <f t="shared" ca="1" si="32"/>
        <v>0</v>
      </c>
      <c r="K38" s="134">
        <f t="shared" ca="1" si="32"/>
        <v>0</v>
      </c>
      <c r="L38" s="135">
        <f t="shared" ca="1" si="32"/>
        <v>0</v>
      </c>
      <c r="M38" s="138">
        <f t="shared" ca="1" si="32"/>
        <v>0</v>
      </c>
      <c r="N38" s="135">
        <f t="shared" ca="1" si="32"/>
        <v>0</v>
      </c>
      <c r="O38" s="135">
        <f t="shared" ca="1" si="32"/>
        <v>0</v>
      </c>
      <c r="P38" s="136">
        <f t="shared" ca="1" si="32"/>
        <v>0</v>
      </c>
      <c r="Q38" s="148">
        <f t="shared" ca="1" si="32"/>
        <v>40656.595437600001</v>
      </c>
      <c r="R38" s="466"/>
      <c r="S38" s="69">
        <f ca="1">IFERROR(Q38/R37,"")</f>
        <v>0.16356261415381645</v>
      </c>
    </row>
    <row r="39" spans="1:19" x14ac:dyDescent="0.4">
      <c r="A39" s="19"/>
      <c r="B39" s="430"/>
      <c r="C39" s="433"/>
      <c r="D39" s="24" t="s">
        <v>17</v>
      </c>
      <c r="E39" s="11">
        <f ca="1">E38/E37</f>
        <v>1.0212645154955968</v>
      </c>
      <c r="F39" s="4">
        <f t="shared" ref="F39:Q39" ca="1" si="33">F38/F37</f>
        <v>1.0048447340395075</v>
      </c>
      <c r="G39" s="16">
        <f t="shared" ca="1" si="33"/>
        <v>0.54922894308943082</v>
      </c>
      <c r="H39" s="4">
        <f t="shared" ca="1" si="33"/>
        <v>0</v>
      </c>
      <c r="I39" s="4">
        <f t="shared" ca="1" si="33"/>
        <v>0</v>
      </c>
      <c r="J39" s="6">
        <f t="shared" ca="1" si="33"/>
        <v>0</v>
      </c>
      <c r="K39" s="11">
        <f t="shared" ca="1" si="33"/>
        <v>0</v>
      </c>
      <c r="L39" s="4">
        <f t="shared" ca="1" si="33"/>
        <v>0</v>
      </c>
      <c r="M39" s="16">
        <f t="shared" ca="1" si="33"/>
        <v>0</v>
      </c>
      <c r="N39" s="4">
        <f t="shared" ca="1" si="33"/>
        <v>0</v>
      </c>
      <c r="O39" s="4">
        <f t="shared" ca="1" si="33"/>
        <v>0</v>
      </c>
      <c r="P39" s="6">
        <f t="shared" ca="1" si="33"/>
        <v>0</v>
      </c>
      <c r="Q39" s="26">
        <f t="shared" ca="1" si="33"/>
        <v>0.14315904251327483</v>
      </c>
    </row>
    <row r="40" spans="1:19" x14ac:dyDescent="0.4">
      <c r="A40" s="19"/>
      <c r="B40" s="430"/>
      <c r="C40" s="434"/>
      <c r="D40" s="25" t="s">
        <v>18</v>
      </c>
      <c r="E40" s="12">
        <f ca="1">SUM($E38:E38)/SUM($E37:E37)</f>
        <v>1.0212645154955968</v>
      </c>
      <c r="F40" s="5">
        <f ca="1">SUM($E38:F38)/SUM($E37:F37)</f>
        <v>1.0126980355359063</v>
      </c>
      <c r="G40" s="17">
        <f ca="1">SUM($E38:G38)/SUM($E37:G37)</f>
        <v>0.88816400379238025</v>
      </c>
      <c r="H40" s="5">
        <f ca="1">SUM($E38:H38)/SUM($E37:H37)</f>
        <v>0.55074566095826394</v>
      </c>
      <c r="I40" s="5">
        <f ca="1">SUM($E38:I38)/SUM($E37:I37)</f>
        <v>0.41636723918644902</v>
      </c>
      <c r="J40" s="13">
        <f ca="1">SUM($E38:J38)/SUM($E37:J37)</f>
        <v>0.32105084997631006</v>
      </c>
      <c r="K40" s="12">
        <f ca="1">SUM($E38:K38)/SUM($E37:K37)</f>
        <v>0.261245520912958</v>
      </c>
      <c r="L40" s="5">
        <f ca="1">SUM($E38:L38)/SUM($E37:L37)</f>
        <v>0.21940839735133649</v>
      </c>
      <c r="M40" s="17">
        <f ca="1">SUM($E38:M38)/SUM($E37:M37)</f>
        <v>0.19179810656678115</v>
      </c>
      <c r="N40" s="5">
        <f ca="1">SUM($E38:N38)/SUM($E37:N37)</f>
        <v>0.17268640071017177</v>
      </c>
      <c r="O40" s="5">
        <f ca="1">SUM($E38:O38)/SUM($E37:O37)</f>
        <v>0.15681421951817825</v>
      </c>
      <c r="P40" s="13">
        <f ca="1">SUM($E38:P38)/SUM($E37:P37)</f>
        <v>0.14315904251327483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>SUM(E13,E23,E33)</f>
        <v>2405</v>
      </c>
      <c r="F41" s="113">
        <f t="shared" ref="F41:Q42" si="34">SUM(F13,F23,F33)</f>
        <v>3735</v>
      </c>
      <c r="G41" s="116">
        <f t="shared" si="34"/>
        <v>2320</v>
      </c>
      <c r="H41" s="113">
        <f t="shared" si="34"/>
        <v>4705</v>
      </c>
      <c r="I41" s="113">
        <f t="shared" si="34"/>
        <v>4475</v>
      </c>
      <c r="J41" s="114">
        <f t="shared" si="34"/>
        <v>4810</v>
      </c>
      <c r="K41" s="112">
        <f t="shared" si="34"/>
        <v>5310</v>
      </c>
      <c r="L41" s="113">
        <f t="shared" si="34"/>
        <v>5375</v>
      </c>
      <c r="M41" s="116">
        <f t="shared" si="34"/>
        <v>4775</v>
      </c>
      <c r="N41" s="113">
        <f t="shared" si="34"/>
        <v>4140</v>
      </c>
      <c r="O41" s="113">
        <f t="shared" si="34"/>
        <v>4170</v>
      </c>
      <c r="P41" s="114">
        <f t="shared" si="34"/>
        <v>4370</v>
      </c>
      <c r="Q41" s="132">
        <f t="shared" si="34"/>
        <v>50590</v>
      </c>
      <c r="R41" s="465">
        <f>SUM(R13,R23,R33)</f>
        <v>45696</v>
      </c>
      <c r="S41" s="68">
        <f>IFERROR(Q41/R41,"")</f>
        <v>1.1070990896358543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 ca="1">SUM(E14,E24,E34)</f>
        <v>2597.9551575999999</v>
      </c>
      <c r="F42" s="135">
        <f t="shared" ca="1" si="34"/>
        <v>3924.3332799999994</v>
      </c>
      <c r="G42" s="138">
        <f t="shared" ca="1" si="34"/>
        <v>1304.576</v>
      </c>
      <c r="H42" s="135">
        <f t="shared" ca="1" si="34"/>
        <v>0</v>
      </c>
      <c r="I42" s="135">
        <f t="shared" ca="1" si="34"/>
        <v>0</v>
      </c>
      <c r="J42" s="136">
        <f t="shared" ca="1" si="34"/>
        <v>0</v>
      </c>
      <c r="K42" s="134">
        <f t="shared" ca="1" si="34"/>
        <v>0</v>
      </c>
      <c r="L42" s="135">
        <f t="shared" ca="1" si="34"/>
        <v>0</v>
      </c>
      <c r="M42" s="138">
        <f t="shared" ca="1" si="34"/>
        <v>0</v>
      </c>
      <c r="N42" s="135">
        <f t="shared" ca="1" si="34"/>
        <v>0</v>
      </c>
      <c r="O42" s="135">
        <f t="shared" ca="1" si="34"/>
        <v>0</v>
      </c>
      <c r="P42" s="136">
        <f t="shared" ca="1" si="34"/>
        <v>0</v>
      </c>
      <c r="Q42" s="148">
        <f t="shared" ca="1" si="34"/>
        <v>7826.8644375999993</v>
      </c>
      <c r="R42" s="466"/>
      <c r="S42" s="69">
        <f ca="1">IFERROR(Q42/R41,"")</f>
        <v>0.17128117204131652</v>
      </c>
    </row>
    <row r="43" spans="1:19" x14ac:dyDescent="0.4">
      <c r="A43" s="19"/>
      <c r="B43" s="430"/>
      <c r="C43" s="436"/>
      <c r="D43" s="24" t="s">
        <v>17</v>
      </c>
      <c r="E43" s="11">
        <f ca="1">E42/E41</f>
        <v>1.0802308347609146</v>
      </c>
      <c r="F43" s="4">
        <f t="shared" ref="F43:Q43" ca="1" si="35">F42/F41</f>
        <v>1.050691641231593</v>
      </c>
      <c r="G43" s="16">
        <f t="shared" ca="1" si="35"/>
        <v>0.56231724137931038</v>
      </c>
      <c r="H43" s="4">
        <f t="shared" ca="1" si="35"/>
        <v>0</v>
      </c>
      <c r="I43" s="4">
        <f t="shared" ca="1" si="35"/>
        <v>0</v>
      </c>
      <c r="J43" s="6">
        <f t="shared" ca="1" si="35"/>
        <v>0</v>
      </c>
      <c r="K43" s="11">
        <f t="shared" ca="1" si="35"/>
        <v>0</v>
      </c>
      <c r="L43" s="4">
        <f t="shared" ca="1" si="35"/>
        <v>0</v>
      </c>
      <c r="M43" s="16">
        <f t="shared" ca="1" si="35"/>
        <v>0</v>
      </c>
      <c r="N43" s="4">
        <f t="shared" ca="1" si="35"/>
        <v>0</v>
      </c>
      <c r="O43" s="4">
        <f t="shared" ca="1" si="35"/>
        <v>0</v>
      </c>
      <c r="P43" s="6">
        <f t="shared" ca="1" si="35"/>
        <v>0</v>
      </c>
      <c r="Q43" s="26">
        <f t="shared" ca="1" si="35"/>
        <v>0.15471169080055344</v>
      </c>
    </row>
    <row r="44" spans="1:19" ht="19.5" thickBot="1" x14ac:dyDescent="0.45">
      <c r="A44" s="19"/>
      <c r="B44" s="431"/>
      <c r="C44" s="437"/>
      <c r="D44" s="30" t="s">
        <v>18</v>
      </c>
      <c r="E44" s="14">
        <f ca="1">SUM($E42:E42)/SUM($E41:E41)</f>
        <v>1.0802308347609146</v>
      </c>
      <c r="F44" s="7">
        <f ca="1">SUM($E42:F42)/SUM($E41:F41)</f>
        <v>1.0622619605211725</v>
      </c>
      <c r="G44" s="18">
        <f ca="1">SUM($E42:G42)/SUM($E41:G41)</f>
        <v>0.92516128104018902</v>
      </c>
      <c r="H44" s="7">
        <f ca="1">SUM($E42:H42)/SUM($E41:H41)</f>
        <v>0.59452065610330418</v>
      </c>
      <c r="I44" s="7">
        <f ca="1">SUM($E42:I42)/SUM($E41:I41)</f>
        <v>0.44369979804988657</v>
      </c>
      <c r="J44" s="15">
        <f ca="1">SUM($E42:J42)/SUM($E41:J41)</f>
        <v>0.34863538697550106</v>
      </c>
      <c r="K44" s="14">
        <f ca="1">SUM($E42:K42)/SUM($E41:K41)</f>
        <v>0.28194756619596539</v>
      </c>
      <c r="L44" s="7">
        <f ca="1">SUM($E42:L42)/SUM($E41:L41)</f>
        <v>0.23621139090387805</v>
      </c>
      <c r="M44" s="18">
        <f ca="1">SUM($E42:M42)/SUM($E41:M41)</f>
        <v>0.20645909885518332</v>
      </c>
      <c r="N44" s="7">
        <f ca="1">SUM($E42:N42)/SUM($E41:N41)</f>
        <v>0.18613232907491081</v>
      </c>
      <c r="O44" s="7">
        <f ca="1">SUM($E42:O42)/SUM($E41:O41)</f>
        <v>0.1693393430895716</v>
      </c>
      <c r="P44" s="15">
        <f ca="1">SUM($E42:P42)/SUM($E41:P41)</f>
        <v>0.15471169080055344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23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93"/>
      <c r="F48" s="74"/>
      <c r="G48" s="74" t="s">
        <v>67</v>
      </c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 x14ac:dyDescent="0.4">
      <c r="A49" s="424"/>
      <c r="B49" s="425"/>
      <c r="C49" s="484" t="str">
        <f>A7</f>
        <v>SF上海</v>
      </c>
      <c r="D49" s="81" t="s">
        <v>38</v>
      </c>
      <c r="E49" s="82" t="s">
        <v>68</v>
      </c>
      <c r="F49" s="83"/>
      <c r="G49" s="83" t="s">
        <v>69</v>
      </c>
      <c r="H49" s="83" t="s">
        <v>70</v>
      </c>
      <c r="I49" s="83" t="s">
        <v>71</v>
      </c>
      <c r="J49" s="84" t="s">
        <v>70</v>
      </c>
      <c r="K49" s="82" t="s">
        <v>70</v>
      </c>
      <c r="L49" s="83" t="s">
        <v>70</v>
      </c>
      <c r="M49" s="83" t="s">
        <v>70</v>
      </c>
      <c r="N49" s="83" t="s">
        <v>72</v>
      </c>
      <c r="O49" s="83" t="s">
        <v>72</v>
      </c>
      <c r="P49" s="84" t="s">
        <v>70</v>
      </c>
    </row>
    <row r="50" spans="1:16" ht="39" customHeight="1" x14ac:dyDescent="0.4">
      <c r="A50" s="424"/>
      <c r="B50" s="425"/>
      <c r="C50" s="485"/>
      <c r="D50" s="85" t="s">
        <v>36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 x14ac:dyDescent="0.45">
      <c r="A51" s="424"/>
      <c r="B51" s="425"/>
      <c r="C51" s="151" t="str">
        <f>B7</f>
        <v>MOBILONテープ</v>
      </c>
      <c r="D51" s="89" t="s">
        <v>37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3"/>
      <c r="F52" s="74"/>
      <c r="G52" s="74"/>
      <c r="H52" s="74" t="s">
        <v>73</v>
      </c>
      <c r="I52" s="74"/>
      <c r="J52" s="80"/>
      <c r="K52" s="93"/>
      <c r="L52" s="74" t="s">
        <v>74</v>
      </c>
      <c r="M52" s="74"/>
      <c r="N52" s="74"/>
      <c r="O52" s="74"/>
      <c r="P52" s="80"/>
    </row>
    <row r="53" spans="1:16" ht="39" customHeight="1" x14ac:dyDescent="0.4">
      <c r="A53" s="424"/>
      <c r="B53" s="425"/>
      <c r="C53" s="484" t="str">
        <f>A17</f>
        <v>FRAMIS</v>
      </c>
      <c r="D53" s="81" t="s">
        <v>38</v>
      </c>
      <c r="E53" s="82" t="s">
        <v>75</v>
      </c>
      <c r="F53" s="83" t="s">
        <v>76</v>
      </c>
      <c r="G53" s="83" t="s">
        <v>77</v>
      </c>
      <c r="H53" s="83" t="s">
        <v>78</v>
      </c>
      <c r="I53" s="83" t="s">
        <v>79</v>
      </c>
      <c r="J53" s="84" t="s">
        <v>80</v>
      </c>
      <c r="K53" s="82" t="s">
        <v>80</v>
      </c>
      <c r="L53" s="83" t="s">
        <v>79</v>
      </c>
      <c r="M53" s="83" t="s">
        <v>79</v>
      </c>
      <c r="N53" s="83" t="s">
        <v>81</v>
      </c>
      <c r="O53" s="83" t="s">
        <v>82</v>
      </c>
      <c r="P53" s="84" t="s">
        <v>82</v>
      </c>
    </row>
    <row r="54" spans="1:16" ht="39" customHeight="1" x14ac:dyDescent="0.4">
      <c r="A54" s="424"/>
      <c r="B54" s="425"/>
      <c r="C54" s="485"/>
      <c r="D54" s="85" t="s">
        <v>36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 x14ac:dyDescent="0.45">
      <c r="A55" s="424"/>
      <c r="B55" s="425"/>
      <c r="C55" s="151" t="str">
        <f>B17</f>
        <v>MOBILONテープ</v>
      </c>
      <c r="D55" s="89" t="s">
        <v>37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93"/>
      <c r="F56" s="74"/>
      <c r="G56" s="74"/>
      <c r="H56" s="486" t="s">
        <v>83</v>
      </c>
      <c r="I56" s="487"/>
      <c r="J56" s="80" t="s">
        <v>84</v>
      </c>
      <c r="K56" s="93"/>
      <c r="L56" s="74"/>
      <c r="M56" s="74"/>
      <c r="N56" s="74"/>
      <c r="O56" s="74"/>
      <c r="P56" s="80"/>
    </row>
    <row r="57" spans="1:16" ht="39" customHeight="1" x14ac:dyDescent="0.4">
      <c r="A57" s="424"/>
      <c r="B57" s="425"/>
      <c r="C57" s="484" t="str">
        <f>A27</f>
        <v>その他
SEI, MINYUEN等</v>
      </c>
      <c r="D57" s="81" t="s">
        <v>38</v>
      </c>
      <c r="E57" s="82" t="s">
        <v>85</v>
      </c>
      <c r="F57" s="83" t="s">
        <v>86</v>
      </c>
      <c r="G57" s="83" t="s">
        <v>87</v>
      </c>
      <c r="H57" s="83" t="s">
        <v>88</v>
      </c>
      <c r="I57" s="83" t="s">
        <v>89</v>
      </c>
      <c r="J57" s="84" t="s">
        <v>90</v>
      </c>
      <c r="K57" s="82" t="s">
        <v>91</v>
      </c>
      <c r="L57" s="83" t="s">
        <v>92</v>
      </c>
      <c r="M57" s="83" t="s">
        <v>93</v>
      </c>
      <c r="N57" s="83" t="s">
        <v>94</v>
      </c>
      <c r="O57" s="83" t="s">
        <v>95</v>
      </c>
      <c r="P57" s="84" t="s">
        <v>96</v>
      </c>
    </row>
    <row r="58" spans="1:16" ht="39" customHeight="1" x14ac:dyDescent="0.4">
      <c r="A58" s="424"/>
      <c r="B58" s="425"/>
      <c r="C58" s="485"/>
      <c r="D58" s="85" t="s">
        <v>36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 x14ac:dyDescent="0.45">
      <c r="A59" s="426"/>
      <c r="B59" s="427"/>
      <c r="C59" s="151" t="str">
        <f>B27</f>
        <v>MOBILONテープ
MOBILONバンド</v>
      </c>
      <c r="D59" s="89" t="s">
        <v>37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6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H56:I56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2DCB2-04BD-4B7A-8F29-A9AFF7209B3F}">
  <sheetPr codeName="Sheet8">
    <tabColor theme="1" tint="0.499984740745262"/>
  </sheetPr>
  <dimension ref="A1:R400"/>
  <sheetViews>
    <sheetView workbookViewId="0">
      <selection activeCell="E14" sqref="E14:P14"/>
    </sheetView>
  </sheetViews>
  <sheetFormatPr defaultColWidth="9" defaultRowHeight="18.75" x14ac:dyDescent="0.4"/>
  <cols>
    <col min="1" max="2" width="15.875" style="162" customWidth="1"/>
    <col min="3" max="4" width="15.875" style="160" customWidth="1"/>
    <col min="5" max="5" width="9" style="208"/>
    <col min="6" max="6" width="15.625" style="160" customWidth="1"/>
    <col min="7" max="7" width="15.625" style="161" customWidth="1"/>
    <col min="8" max="8" width="9" style="162"/>
    <col min="9" max="9" width="5.25" style="168" bestFit="1" customWidth="1"/>
    <col min="10" max="10" width="14.5" style="164" customWidth="1"/>
    <col min="11" max="11" width="14.5" style="165" customWidth="1"/>
    <col min="12" max="12" width="5.25" style="165" bestFit="1" customWidth="1"/>
    <col min="13" max="15" width="14.5" style="165" customWidth="1"/>
    <col min="16" max="16" width="7.125" style="167" bestFit="1" customWidth="1"/>
    <col min="17" max="19" width="15.625" style="162" customWidth="1"/>
    <col min="20" max="16384" width="9" style="162"/>
  </cols>
  <sheetData>
    <row r="1" spans="1:18" ht="18.75" customHeight="1" x14ac:dyDescent="0.4">
      <c r="A1" s="492" t="s">
        <v>218</v>
      </c>
      <c r="B1" s="492"/>
      <c r="C1" s="492"/>
      <c r="D1" s="492"/>
      <c r="E1" s="492"/>
      <c r="I1" s="163" t="s">
        <v>219</v>
      </c>
      <c r="M1" s="163"/>
      <c r="N1" s="166"/>
      <c r="O1" s="166"/>
    </row>
    <row r="2" spans="1:18" ht="18.75" customHeight="1" x14ac:dyDescent="0.4">
      <c r="A2" s="492"/>
      <c r="B2" s="492"/>
      <c r="C2" s="492"/>
      <c r="D2" s="492"/>
      <c r="E2" s="492"/>
      <c r="J2" s="169" t="s">
        <v>220</v>
      </c>
      <c r="K2" s="169" t="s">
        <v>221</v>
      </c>
      <c r="L2" s="166"/>
      <c r="M2" s="170" t="s">
        <v>222</v>
      </c>
      <c r="N2" s="170" t="s">
        <v>223</v>
      </c>
      <c r="O2" s="170" t="s">
        <v>224</v>
      </c>
      <c r="P2" s="171" t="s">
        <v>225</v>
      </c>
    </row>
    <row r="3" spans="1:18" ht="18.75" customHeight="1" x14ac:dyDescent="0.4">
      <c r="A3" s="172" t="s">
        <v>226</v>
      </c>
      <c r="B3" s="173"/>
      <c r="C3" s="173"/>
      <c r="D3" s="173"/>
      <c r="E3" s="173"/>
      <c r="F3" s="174"/>
      <c r="G3" s="175"/>
      <c r="H3" s="175"/>
      <c r="I3" s="176"/>
      <c r="J3" s="169">
        <v>0.5</v>
      </c>
      <c r="K3" s="169">
        <v>-0.5</v>
      </c>
      <c r="L3" s="177"/>
      <c r="M3" s="178" t="str">
        <f>深串!A7</f>
        <v>SF上海</v>
      </c>
      <c r="N3" s="179" t="str">
        <f>深串!A17</f>
        <v>FRAMIS</v>
      </c>
      <c r="O3" s="179" t="str">
        <f>深串!A27</f>
        <v>その他
SEI, MINYUEN等</v>
      </c>
      <c r="P3" s="171">
        <v>0.6</v>
      </c>
    </row>
    <row r="4" spans="1:18" x14ac:dyDescent="0.4">
      <c r="A4" s="180" t="s">
        <v>227</v>
      </c>
      <c r="B4" s="162" t="s">
        <v>228</v>
      </c>
      <c r="C4" s="181" t="s">
        <v>227</v>
      </c>
      <c r="D4" s="182" t="s">
        <v>227</v>
      </c>
      <c r="E4" s="183" t="s">
        <v>227</v>
      </c>
      <c r="F4" s="181" t="s">
        <v>227</v>
      </c>
      <c r="G4" s="184" t="s">
        <v>227</v>
      </c>
      <c r="H4" s="183" t="s">
        <v>227</v>
      </c>
      <c r="I4" s="185"/>
      <c r="J4" s="186" t="s">
        <v>230</v>
      </c>
      <c r="K4" s="187"/>
      <c r="L4" s="188"/>
      <c r="M4" s="186" t="s">
        <v>229</v>
      </c>
      <c r="N4" s="187"/>
      <c r="O4" s="185"/>
      <c r="P4" s="187"/>
    </row>
    <row r="5" spans="1:18" x14ac:dyDescent="0.4">
      <c r="A5" s="175" t="s">
        <v>231</v>
      </c>
      <c r="B5" s="175" t="s">
        <v>232</v>
      </c>
      <c r="C5" s="189" t="s">
        <v>233</v>
      </c>
      <c r="D5" s="174" t="s">
        <v>234</v>
      </c>
      <c r="E5" s="190" t="s">
        <v>235</v>
      </c>
      <c r="F5" s="189" t="s">
        <v>236</v>
      </c>
      <c r="G5" s="191" t="s">
        <v>237</v>
      </c>
      <c r="H5" s="192" t="s">
        <v>238</v>
      </c>
      <c r="I5" s="193" t="s">
        <v>239</v>
      </c>
      <c r="J5" s="194" t="s">
        <v>240</v>
      </c>
      <c r="K5" s="195" t="s">
        <v>241</v>
      </c>
      <c r="L5" s="196" t="s">
        <v>239</v>
      </c>
      <c r="M5" s="197" t="s">
        <v>242</v>
      </c>
      <c r="N5" s="195" t="s">
        <v>243</v>
      </c>
      <c r="O5" s="196" t="s">
        <v>244</v>
      </c>
      <c r="P5" s="198" t="s">
        <v>245</v>
      </c>
    </row>
    <row r="6" spans="1:18" x14ac:dyDescent="0.4">
      <c r="A6" s="162" t="s">
        <v>308</v>
      </c>
      <c r="B6" s="162">
        <v>6180</v>
      </c>
      <c r="C6" s="199">
        <v>51600</v>
      </c>
      <c r="D6" s="200">
        <v>9100</v>
      </c>
      <c r="E6" s="201" t="s">
        <v>247</v>
      </c>
      <c r="F6" s="199">
        <v>798.2</v>
      </c>
      <c r="G6" s="161">
        <v>45446</v>
      </c>
      <c r="H6" s="202" t="s">
        <v>246</v>
      </c>
      <c r="I6" s="185">
        <f>IF(H6="","",IF(H6="JPY","",IF($H6="USD",4, IF(H6="EUR",7,IF(H6="CNY",47,IF(H6="HKD",34))))))</f>
        <v>4</v>
      </c>
      <c r="J6" s="203">
        <f>IF($H6="USD",IF(OR($I6="",$I6="-"),"",VLOOKUP($G6,為替!$A:$AX,$I6,FALSE))+$J$3,IF(OR($I6="",$I6="-"),"",VLOOKUP($G6,為替!$A:$AX,$I6,FALSE)))</f>
        <v>156.68</v>
      </c>
      <c r="K6" s="204">
        <f>IF($H6="JPY",$F6,IF($H6="","",$F6*$J6))</f>
        <v>125061.97600000001</v>
      </c>
      <c r="L6" s="188">
        <f>IF(H6="","",IF(H6="JPY","",IF($H6="USD",3, IF(H6="EUR",6,IF(H6="CNY",46,IF(H6="HKD",33))))))</f>
        <v>3</v>
      </c>
      <c r="M6" s="203">
        <f>IF($H6="USD",IF(OR($L6="",$L6="-"),"",VLOOKUP($G6,為替!$A:$AX,$L6,FALSE))+$K$3,IF(OR($L6="",$L6="-"),"",VLOOKUP($G6,為替!$A:$AX,$L6,FALSE)))</f>
        <v>157.68</v>
      </c>
      <c r="N6" s="204">
        <f>IF($E6="JPY",($C6+$D6),IF($E6="","",($C6+$D6)*$M6))</f>
        <v>60700</v>
      </c>
      <c r="O6" s="205">
        <f t="shared" ref="O6:O69" si="0">IF(OR(K6="",N6=""),"",K6-N6)</f>
        <v>64361.97600000001</v>
      </c>
      <c r="P6" s="206">
        <f>IF(OR(K6="",O6=""),"",O6/K6)</f>
        <v>0.51464064505105855</v>
      </c>
    </row>
    <row r="7" spans="1:18" x14ac:dyDescent="0.4">
      <c r="A7" s="162" t="s">
        <v>308</v>
      </c>
      <c r="B7" s="162">
        <v>6187</v>
      </c>
      <c r="C7" s="199">
        <v>135200</v>
      </c>
      <c r="D7" s="200">
        <v>45000</v>
      </c>
      <c r="E7" s="201" t="s">
        <v>247</v>
      </c>
      <c r="F7" s="199">
        <v>2280</v>
      </c>
      <c r="G7" s="161">
        <v>45448</v>
      </c>
      <c r="H7" s="202" t="s">
        <v>246</v>
      </c>
      <c r="I7" s="185">
        <f t="shared" ref="I7:I70" si="1">IF(H7="","",IF(H7="JPY","",IF($H7="USD",4, IF(H7="EUR",7,IF(H7="CNY",47,IF(H7="HKD",34))))))</f>
        <v>4</v>
      </c>
      <c r="J7" s="203">
        <f>IF($H7="USD",IF(OR($I7="",$I7="-"),"",VLOOKUP($G7,為替!$A:$AX,$I7,FALSE))+$J$3,IF(OR($I7="",$I7="-"),"",VLOOKUP($G7,為替!$A:$AX,$I7,FALSE)))</f>
        <v>154.80000000000001</v>
      </c>
      <c r="K7" s="204">
        <f t="shared" ref="K7:K70" si="2">IF($H7="JPY",$F7,IF($H7="","",$F7*$J7))</f>
        <v>352944</v>
      </c>
      <c r="L7" s="188">
        <f t="shared" ref="L7:L70" si="3">IF(H7="","",IF(H7="JPY","",IF($H7="USD",3, IF(H7="EUR",6,IF(H7="CNY",46,IF(H7="HKD",33))))))</f>
        <v>3</v>
      </c>
      <c r="M7" s="203">
        <f>IF($H7="USD",IF(OR($L7="",$L7="-"),"",VLOOKUP($G7,為替!$A:$AX,$L7,FALSE))+$K$3,IF(OR($L7="",$L7="-"),"",VLOOKUP($G7,為替!$A:$AX,$L7,FALSE)))</f>
        <v>155.80000000000001</v>
      </c>
      <c r="N7" s="204">
        <f t="shared" ref="N7:N70" si="4">IF($E7="JPY",($C7+$D7),IF($E7="","",($C7+$D7)*$M7))</f>
        <v>180200</v>
      </c>
      <c r="O7" s="205">
        <f t="shared" si="0"/>
        <v>172744</v>
      </c>
      <c r="P7" s="206">
        <f t="shared" ref="P7:P70" si="5">IF(OR(K7="",O7=""),"",O7/K7)</f>
        <v>0.48943741783399064</v>
      </c>
      <c r="R7" s="207"/>
    </row>
    <row r="8" spans="1:18" x14ac:dyDescent="0.4">
      <c r="A8" s="162" t="s">
        <v>308</v>
      </c>
      <c r="B8" s="162">
        <v>6166</v>
      </c>
      <c r="C8" s="199">
        <v>128400</v>
      </c>
      <c r="D8" s="200">
        <v>0</v>
      </c>
      <c r="E8" s="201" t="s">
        <v>247</v>
      </c>
      <c r="F8" s="199">
        <v>1820</v>
      </c>
      <c r="G8" s="161">
        <v>45448</v>
      </c>
      <c r="H8" s="202" t="s">
        <v>246</v>
      </c>
      <c r="I8" s="185">
        <f t="shared" si="1"/>
        <v>4</v>
      </c>
      <c r="J8" s="203">
        <f>IF($H8="USD",IF(OR($I8="",$I8="-"),"",VLOOKUP($G8,為替!$A:$AX,$I8,FALSE))+$J$3,IF(OR($I8="",$I8="-"),"",VLOOKUP($G8,為替!$A:$AX,$I8,FALSE)))</f>
        <v>154.80000000000001</v>
      </c>
      <c r="K8" s="204">
        <f t="shared" si="2"/>
        <v>281736</v>
      </c>
      <c r="L8" s="188">
        <f t="shared" si="3"/>
        <v>3</v>
      </c>
      <c r="M8" s="203">
        <f>IF($H8="USD",IF(OR($L8="",$L8="-"),"",VLOOKUP($G8,為替!$A:$AX,$L8,FALSE))+$K$3,IF(OR($L8="",$L8="-"),"",VLOOKUP($G8,為替!$A:$AX,$L8,FALSE)))</f>
        <v>155.80000000000001</v>
      </c>
      <c r="N8" s="204">
        <f t="shared" si="4"/>
        <v>128400</v>
      </c>
      <c r="O8" s="205">
        <f t="shared" si="0"/>
        <v>153336</v>
      </c>
      <c r="P8" s="206">
        <f t="shared" si="5"/>
        <v>0.54425419541698616</v>
      </c>
    </row>
    <row r="9" spans="1:18" x14ac:dyDescent="0.4">
      <c r="A9" s="162" t="s">
        <v>308</v>
      </c>
      <c r="B9" s="162">
        <v>6186</v>
      </c>
      <c r="C9" s="199">
        <v>60800</v>
      </c>
      <c r="D9" s="200">
        <v>0</v>
      </c>
      <c r="E9" s="201" t="s">
        <v>247</v>
      </c>
      <c r="F9" s="199">
        <v>1064</v>
      </c>
      <c r="G9" s="161">
        <v>45448</v>
      </c>
      <c r="H9" s="202" t="s">
        <v>246</v>
      </c>
      <c r="I9" s="185">
        <f t="shared" si="1"/>
        <v>4</v>
      </c>
      <c r="J9" s="203">
        <f>IF($H9="USD",IF(OR($I9="",$I9="-"),"",VLOOKUP($G9,為替!$A:$AX,$I9,FALSE))+$J$3,IF(OR($I9="",$I9="-"),"",VLOOKUP($G9,為替!$A:$AX,$I9,FALSE)))</f>
        <v>154.80000000000001</v>
      </c>
      <c r="K9" s="204">
        <f t="shared" si="2"/>
        <v>164707.20000000001</v>
      </c>
      <c r="L9" s="188">
        <f t="shared" si="3"/>
        <v>3</v>
      </c>
      <c r="M9" s="203">
        <f>IF($H9="USD",IF(OR($L9="",$L9="-"),"",VLOOKUP($G9,為替!$A:$AX,$L9,FALSE))+$K$3,IF(OR($L9="",$L9="-"),"",VLOOKUP($G9,為替!$A:$AX,$L9,FALSE)))</f>
        <v>155.80000000000001</v>
      </c>
      <c r="N9" s="204">
        <f t="shared" si="4"/>
        <v>60800</v>
      </c>
      <c r="O9" s="205">
        <f t="shared" si="0"/>
        <v>103907.20000000001</v>
      </c>
      <c r="P9" s="206">
        <f t="shared" si="5"/>
        <v>0.63086009597637505</v>
      </c>
    </row>
    <row r="10" spans="1:18" x14ac:dyDescent="0.4">
      <c r="A10" s="162" t="s">
        <v>308</v>
      </c>
      <c r="B10" s="162">
        <v>6184</v>
      </c>
      <c r="C10" s="199">
        <v>577800</v>
      </c>
      <c r="D10" s="200">
        <v>31200</v>
      </c>
      <c r="E10" s="201" t="s">
        <v>247</v>
      </c>
      <c r="F10" s="199">
        <v>7200</v>
      </c>
      <c r="G10" s="161">
        <v>45450</v>
      </c>
      <c r="H10" s="202" t="s">
        <v>246</v>
      </c>
      <c r="I10" s="185">
        <f t="shared" si="1"/>
        <v>4</v>
      </c>
      <c r="J10" s="203">
        <f>IF($H10="USD",IF(OR($I10="",$I10="-"),"",VLOOKUP($G10,為替!$A:$AX,$I10,FALSE))+$J$3,IF(OR($I10="",$I10="-"),"",VLOOKUP($G10,為替!$A:$AX,$I10,FALSE)))</f>
        <v>155.31</v>
      </c>
      <c r="K10" s="204">
        <f t="shared" si="2"/>
        <v>1118232</v>
      </c>
      <c r="L10" s="188">
        <f t="shared" si="3"/>
        <v>3</v>
      </c>
      <c r="M10" s="203">
        <f>IF($H10="USD",IF(OR($L10="",$L10="-"),"",VLOOKUP($G10,為替!$A:$AX,$L10,FALSE))+$K$3,IF(OR($L10="",$L10="-"),"",VLOOKUP($G10,為替!$A:$AX,$L10,FALSE)))</f>
        <v>156.31</v>
      </c>
      <c r="N10" s="204">
        <f t="shared" si="4"/>
        <v>609000</v>
      </c>
      <c r="O10" s="205">
        <f t="shared" si="0"/>
        <v>509232</v>
      </c>
      <c r="P10" s="206">
        <f t="shared" si="5"/>
        <v>0.4553902946794583</v>
      </c>
    </row>
    <row r="11" spans="1:18" x14ac:dyDescent="0.4">
      <c r="A11" s="162" t="s">
        <v>248</v>
      </c>
      <c r="B11" s="162">
        <v>6197</v>
      </c>
      <c r="C11" s="199">
        <v>7630000</v>
      </c>
      <c r="D11" s="200">
        <v>94600</v>
      </c>
      <c r="E11" s="201" t="s">
        <v>247</v>
      </c>
      <c r="F11" s="199">
        <v>8552000</v>
      </c>
      <c r="G11" s="161">
        <v>45454</v>
      </c>
      <c r="H11" s="202" t="s">
        <v>247</v>
      </c>
      <c r="I11" s="185" t="str">
        <f t="shared" si="1"/>
        <v/>
      </c>
      <c r="J11" s="203" t="str">
        <f>IF($H11="USD",IF(OR($I11="",$I11="-"),"",VLOOKUP($G11,為替!$A:$AX,$I11,FALSE))+$J$3,IF(OR($I11="",$I11="-"),"",VLOOKUP($G11,為替!$A:$AX,$I11,FALSE)))</f>
        <v/>
      </c>
      <c r="K11" s="204">
        <f t="shared" si="2"/>
        <v>8552000</v>
      </c>
      <c r="L11" s="188" t="str">
        <f t="shared" si="3"/>
        <v/>
      </c>
      <c r="M11" s="203" t="str">
        <f>IF($H11="USD",IF(OR($L11="",$L11="-"),"",VLOOKUP($G11,為替!$A:$AX,$L11,FALSE))+$K$3,IF(OR($L11="",$L11="-"),"",VLOOKUP($G11,為替!$A:$AX,$L11,FALSE)))</f>
        <v/>
      </c>
      <c r="N11" s="204">
        <f t="shared" si="4"/>
        <v>7724600</v>
      </c>
      <c r="O11" s="205">
        <f t="shared" si="0"/>
        <v>827400</v>
      </c>
      <c r="P11" s="206">
        <f t="shared" si="5"/>
        <v>9.6749298409728721E-2</v>
      </c>
    </row>
    <row r="12" spans="1:18" x14ac:dyDescent="0.4">
      <c r="A12" s="162" t="s">
        <v>307</v>
      </c>
      <c r="B12" s="162">
        <v>6214</v>
      </c>
      <c r="C12" s="199">
        <v>230400</v>
      </c>
      <c r="D12" s="200">
        <v>11600</v>
      </c>
      <c r="E12" s="201" t="s">
        <v>247</v>
      </c>
      <c r="F12" s="199">
        <v>230400</v>
      </c>
      <c r="G12" s="161">
        <v>45459</v>
      </c>
      <c r="H12" s="202" t="s">
        <v>247</v>
      </c>
      <c r="I12" s="185" t="str">
        <f t="shared" si="1"/>
        <v/>
      </c>
      <c r="J12" s="203" t="str">
        <f>IF($H12="USD",IF(OR($I12="",$I12="-"),"",VLOOKUP($G12,為替!$A:$AX,$I12,FALSE))+$J$3,IF(OR($I12="",$I12="-"),"",VLOOKUP($G12,為替!$A:$AX,$I12,FALSE)))</f>
        <v/>
      </c>
      <c r="K12" s="204">
        <f t="shared" si="2"/>
        <v>230400</v>
      </c>
      <c r="L12" s="188" t="str">
        <f t="shared" si="3"/>
        <v/>
      </c>
      <c r="M12" s="203" t="str">
        <f>IF($H12="USD",IF(OR($L12="",$L12="-"),"",VLOOKUP($G12,為替!$A:$AX,$L12,FALSE))+$K$3,IF(OR($L12="",$L12="-"),"",VLOOKUP($G12,為替!$A:$AX,$L12,FALSE)))</f>
        <v/>
      </c>
      <c r="N12" s="204">
        <f t="shared" si="4"/>
        <v>242000</v>
      </c>
      <c r="O12" s="205">
        <f t="shared" si="0"/>
        <v>-11600</v>
      </c>
      <c r="P12" s="206">
        <f t="shared" si="5"/>
        <v>-5.0347222222222224E-2</v>
      </c>
    </row>
    <row r="13" spans="1:18" x14ac:dyDescent="0.4">
      <c r="A13" s="162" t="s">
        <v>308</v>
      </c>
      <c r="B13" s="162">
        <v>6230</v>
      </c>
      <c r="C13" s="199">
        <v>5200</v>
      </c>
      <c r="D13" s="200">
        <v>13900</v>
      </c>
      <c r="E13" s="201" t="s">
        <v>247</v>
      </c>
      <c r="F13" s="199">
        <v>162.72</v>
      </c>
      <c r="G13" s="161">
        <v>45460</v>
      </c>
      <c r="H13" s="202" t="s">
        <v>246</v>
      </c>
      <c r="I13" s="185">
        <f t="shared" si="1"/>
        <v>4</v>
      </c>
      <c r="J13" s="203">
        <f>IF($H13="USD",IF(OR($I13="",$I13="-"),"",VLOOKUP($G13,為替!$A:$AX,$I13,FALSE))+$J$3,IF(OR($I13="",$I13="-"),"",VLOOKUP($G13,為替!$A:$AX,$I13,FALSE)))</f>
        <v>157.03</v>
      </c>
      <c r="K13" s="204">
        <f t="shared" si="2"/>
        <v>25551.921600000001</v>
      </c>
      <c r="L13" s="188">
        <f t="shared" si="3"/>
        <v>3</v>
      </c>
      <c r="M13" s="203">
        <f>IF($H13="USD",IF(OR($L13="",$L13="-"),"",VLOOKUP($G13,為替!$A:$AX,$L13,FALSE))+$K$3,IF(OR($L13="",$L13="-"),"",VLOOKUP($G13,為替!$A:$AX,$L13,FALSE)))</f>
        <v>158.03</v>
      </c>
      <c r="N13" s="204">
        <f t="shared" si="4"/>
        <v>19100</v>
      </c>
      <c r="O13" s="205">
        <f t="shared" si="0"/>
        <v>6451.9216000000015</v>
      </c>
      <c r="P13" s="206">
        <f t="shared" si="5"/>
        <v>0.25250240279384706</v>
      </c>
    </row>
    <row r="14" spans="1:18" x14ac:dyDescent="0.4">
      <c r="A14" s="162" t="s">
        <v>308</v>
      </c>
      <c r="B14" s="162">
        <v>6231</v>
      </c>
      <c r="C14" s="199">
        <v>9600</v>
      </c>
      <c r="D14" s="200">
        <v>0</v>
      </c>
      <c r="E14" s="201" t="s">
        <v>247</v>
      </c>
      <c r="F14" s="199">
        <v>156</v>
      </c>
      <c r="G14" s="161">
        <v>45460</v>
      </c>
      <c r="H14" s="202" t="s">
        <v>246</v>
      </c>
      <c r="I14" s="185">
        <f t="shared" si="1"/>
        <v>4</v>
      </c>
      <c r="J14" s="203">
        <f>IF($H14="USD",IF(OR($I14="",$I14="-"),"",VLOOKUP($G14,為替!$A:$AX,$I14,FALSE))+$J$3,IF(OR($I14="",$I14="-"),"",VLOOKUP($G14,為替!$A:$AX,$I14,FALSE)))</f>
        <v>157.03</v>
      </c>
      <c r="K14" s="204">
        <f t="shared" si="2"/>
        <v>24496.68</v>
      </c>
      <c r="L14" s="188">
        <f t="shared" si="3"/>
        <v>3</v>
      </c>
      <c r="M14" s="203">
        <f>IF($H14="USD",IF(OR($L14="",$L14="-"),"",VLOOKUP($G14,為替!$A:$AX,$L14,FALSE))+$K$3,IF(OR($L14="",$L14="-"),"",VLOOKUP($G14,為替!$A:$AX,$L14,FALSE)))</f>
        <v>158.03</v>
      </c>
      <c r="N14" s="204">
        <f t="shared" si="4"/>
        <v>9600</v>
      </c>
      <c r="O14" s="205">
        <f t="shared" si="0"/>
        <v>14896.68</v>
      </c>
      <c r="P14" s="206">
        <f t="shared" si="5"/>
        <v>0.60811016023395825</v>
      </c>
    </row>
    <row r="15" spans="1:18" x14ac:dyDescent="0.4">
      <c r="A15" s="162" t="s">
        <v>308</v>
      </c>
      <c r="B15" s="162">
        <v>6236</v>
      </c>
      <c r="C15" s="199">
        <v>38400</v>
      </c>
      <c r="D15" s="200">
        <v>28100</v>
      </c>
      <c r="E15" s="201" t="s">
        <v>247</v>
      </c>
      <c r="F15" s="199">
        <v>803</v>
      </c>
      <c r="G15" s="161">
        <v>45462</v>
      </c>
      <c r="H15" s="202" t="s">
        <v>246</v>
      </c>
      <c r="I15" s="185">
        <f t="shared" si="1"/>
        <v>4</v>
      </c>
      <c r="J15" s="203">
        <f>IF($H15="USD",IF(OR($I15="",$I15="-"),"",VLOOKUP($G15,為替!$A:$AX,$I15,FALSE))+$J$3,IF(OR($I15="",$I15="-"),"",VLOOKUP($G15,為替!$A:$AX,$I15,FALSE)))</f>
        <v>157.46</v>
      </c>
      <c r="K15" s="204">
        <f t="shared" si="2"/>
        <v>126440.38</v>
      </c>
      <c r="L15" s="188">
        <f t="shared" si="3"/>
        <v>3</v>
      </c>
      <c r="M15" s="203">
        <f>IF($H15="USD",IF(OR($L15="",$L15="-"),"",VLOOKUP($G15,為替!$A:$AX,$L15,FALSE))+$K$3,IF(OR($L15="",$L15="-"),"",VLOOKUP($G15,為替!$A:$AX,$L15,FALSE)))</f>
        <v>158.46</v>
      </c>
      <c r="N15" s="204">
        <f t="shared" si="4"/>
        <v>66500</v>
      </c>
      <c r="O15" s="205">
        <f t="shared" si="0"/>
        <v>59940.380000000005</v>
      </c>
      <c r="P15" s="206">
        <f t="shared" si="5"/>
        <v>0.47406042278582206</v>
      </c>
    </row>
    <row r="16" spans="1:18" x14ac:dyDescent="0.4">
      <c r="A16" s="162" t="s">
        <v>308</v>
      </c>
      <c r="B16" s="162">
        <v>6196</v>
      </c>
      <c r="C16" s="199">
        <v>2317800</v>
      </c>
      <c r="D16" s="200">
        <v>152000</v>
      </c>
      <c r="E16" s="201" t="s">
        <v>247</v>
      </c>
      <c r="F16" s="199">
        <v>2972000</v>
      </c>
      <c r="G16" s="161">
        <v>45462</v>
      </c>
      <c r="H16" s="202" t="s">
        <v>247</v>
      </c>
      <c r="I16" s="185" t="str">
        <f t="shared" si="1"/>
        <v/>
      </c>
      <c r="J16" s="203" t="str">
        <f>IF($H16="USD",IF(OR($I16="",$I16="-"),"",VLOOKUP($G16,為替!$A:$AX,$I16,FALSE))+$J$3,IF(OR($I16="",$I16="-"),"",VLOOKUP($G16,為替!$A:$AX,$I16,FALSE)))</f>
        <v/>
      </c>
      <c r="K16" s="204">
        <f t="shared" si="2"/>
        <v>2972000</v>
      </c>
      <c r="L16" s="188" t="str">
        <f t="shared" si="3"/>
        <v/>
      </c>
      <c r="M16" s="203" t="str">
        <f>IF($H16="USD",IF(OR($L16="",$L16="-"),"",VLOOKUP($G16,為替!$A:$AX,$L16,FALSE))+$K$3,IF(OR($L16="",$L16="-"),"",VLOOKUP($G16,為替!$A:$AX,$L16,FALSE)))</f>
        <v/>
      </c>
      <c r="N16" s="204">
        <f t="shared" si="4"/>
        <v>2469800</v>
      </c>
      <c r="O16" s="205">
        <f t="shared" si="0"/>
        <v>502200</v>
      </c>
      <c r="P16" s="206">
        <f t="shared" si="5"/>
        <v>0.16897711978465679</v>
      </c>
    </row>
    <row r="17" spans="1:16" x14ac:dyDescent="0.4">
      <c r="A17" s="162" t="s">
        <v>307</v>
      </c>
      <c r="B17" s="162">
        <v>6241</v>
      </c>
      <c r="C17" s="199">
        <v>1900800</v>
      </c>
      <c r="D17" s="200">
        <v>53000</v>
      </c>
      <c r="E17" s="201" t="s">
        <v>247</v>
      </c>
      <c r="F17" s="199">
        <v>2079000</v>
      </c>
      <c r="G17" s="161">
        <v>45473</v>
      </c>
      <c r="H17" s="202" t="s">
        <v>247</v>
      </c>
      <c r="I17" s="185" t="str">
        <f t="shared" si="1"/>
        <v/>
      </c>
      <c r="J17" s="203" t="str">
        <f>IF($H17="USD",IF(OR($I17="",$I17="-"),"",VLOOKUP($G17,為替!$A:$AX,$I17,FALSE))+$J$3,IF(OR($I17="",$I17="-"),"",VLOOKUP($G17,為替!$A:$AX,$I17,FALSE)))</f>
        <v/>
      </c>
      <c r="K17" s="204">
        <f t="shared" si="2"/>
        <v>2079000</v>
      </c>
      <c r="L17" s="188" t="str">
        <f t="shared" si="3"/>
        <v/>
      </c>
      <c r="M17" s="203" t="str">
        <f>IF($H17="USD",IF(OR($L17="",$L17="-"),"",VLOOKUP($G17,為替!$A:$AX,$L17,FALSE))+$K$3,IF(OR($L17="",$L17="-"),"",VLOOKUP($G17,為替!$A:$AX,$L17,FALSE)))</f>
        <v/>
      </c>
      <c r="N17" s="204">
        <f t="shared" si="4"/>
        <v>1953800</v>
      </c>
      <c r="O17" s="205">
        <f t="shared" si="0"/>
        <v>125200</v>
      </c>
      <c r="P17" s="206">
        <f t="shared" si="5"/>
        <v>6.0221260221260224E-2</v>
      </c>
    </row>
    <row r="18" spans="1:16" x14ac:dyDescent="0.4">
      <c r="A18" s="162" t="s">
        <v>308</v>
      </c>
      <c r="B18" s="162">
        <v>6247</v>
      </c>
      <c r="C18" s="199">
        <v>51176</v>
      </c>
      <c r="D18" s="200">
        <v>6000</v>
      </c>
      <c r="E18" s="201" t="s">
        <v>247</v>
      </c>
      <c r="F18" s="199">
        <v>71476</v>
      </c>
      <c r="G18" s="161">
        <v>45469</v>
      </c>
      <c r="H18" s="202" t="s">
        <v>247</v>
      </c>
      <c r="I18" s="185" t="str">
        <f t="shared" si="1"/>
        <v/>
      </c>
      <c r="J18" s="203" t="str">
        <f>IF($H18="USD",IF(OR($I18="",$I18="-"),"",VLOOKUP($G18,為替!$A:$AX,$I18,FALSE))+$J$3,IF(OR($I18="",$I18="-"),"",VLOOKUP($G18,為替!$A:$AX,$I18,FALSE)))</f>
        <v/>
      </c>
      <c r="K18" s="204">
        <f t="shared" si="2"/>
        <v>71476</v>
      </c>
      <c r="L18" s="188" t="str">
        <f t="shared" si="3"/>
        <v/>
      </c>
      <c r="M18" s="203" t="str">
        <f>IF($H18="USD",IF(OR($L18="",$L18="-"),"",VLOOKUP($G18,為替!$A:$AX,$L18,FALSE))+$K$3,IF(OR($L18="",$L18="-"),"",VLOOKUP($G18,為替!$A:$AX,$L18,FALSE)))</f>
        <v/>
      </c>
      <c r="N18" s="204">
        <f t="shared" si="4"/>
        <v>57176</v>
      </c>
      <c r="O18" s="205">
        <f t="shared" si="0"/>
        <v>14300</v>
      </c>
      <c r="P18" s="206">
        <f t="shared" si="5"/>
        <v>0.20006715540880854</v>
      </c>
    </row>
    <row r="19" spans="1:16" x14ac:dyDescent="0.4">
      <c r="A19" s="162" t="s">
        <v>308</v>
      </c>
      <c r="B19" s="162">
        <v>6205</v>
      </c>
      <c r="C19" s="199">
        <v>126600</v>
      </c>
      <c r="D19" s="200">
        <v>2425</v>
      </c>
      <c r="E19" s="201" t="s">
        <v>247</v>
      </c>
      <c r="F19" s="199">
        <v>173900</v>
      </c>
      <c r="G19" s="161">
        <v>45455</v>
      </c>
      <c r="H19" s="202" t="s">
        <v>247</v>
      </c>
      <c r="I19" s="185" t="str">
        <f t="shared" si="1"/>
        <v/>
      </c>
      <c r="J19" s="203" t="str">
        <f>IF($H19="USD",IF(OR($I19="",$I19="-"),"",VLOOKUP($G19,為替!$A:$AX,$I19,FALSE))+$J$3,IF(OR($I19="",$I19="-"),"",VLOOKUP($G19,為替!$A:$AX,$I19,FALSE)))</f>
        <v/>
      </c>
      <c r="K19" s="204">
        <f t="shared" si="2"/>
        <v>173900</v>
      </c>
      <c r="L19" s="188" t="str">
        <f t="shared" si="3"/>
        <v/>
      </c>
      <c r="M19" s="203" t="str">
        <f>IF($H19="USD",IF(OR($L19="",$L19="-"),"",VLOOKUP($G19,為替!$A:$AX,$L19,FALSE))+$K$3,IF(OR($L19="",$L19="-"),"",VLOOKUP($G19,為替!$A:$AX,$L19,FALSE)))</f>
        <v/>
      </c>
      <c r="N19" s="204">
        <f t="shared" si="4"/>
        <v>129025</v>
      </c>
      <c r="O19" s="205">
        <f t="shared" si="0"/>
        <v>44875</v>
      </c>
      <c r="P19" s="206">
        <f t="shared" si="5"/>
        <v>0.25805060379528466</v>
      </c>
    </row>
    <row r="20" spans="1:16" x14ac:dyDescent="0.4">
      <c r="A20" s="162" t="s">
        <v>308</v>
      </c>
      <c r="B20" s="162">
        <v>6206</v>
      </c>
      <c r="C20" s="199">
        <v>42810</v>
      </c>
      <c r="D20" s="200">
        <v>0</v>
      </c>
      <c r="E20" s="201" t="s">
        <v>247</v>
      </c>
      <c r="F20" s="199">
        <v>53520</v>
      </c>
      <c r="G20" s="161">
        <v>45455</v>
      </c>
      <c r="H20" s="202" t="s">
        <v>247</v>
      </c>
      <c r="I20" s="185" t="str">
        <f t="shared" si="1"/>
        <v/>
      </c>
      <c r="J20" s="203" t="str">
        <f>IF($H20="USD",IF(OR($I20="",$I20="-"),"",VLOOKUP($G20,為替!$A:$AX,$I20,FALSE))+$J$3,IF(OR($I20="",$I20="-"),"",VLOOKUP($G20,為替!$A:$AX,$I20,FALSE)))</f>
        <v/>
      </c>
      <c r="K20" s="204">
        <f t="shared" si="2"/>
        <v>53520</v>
      </c>
      <c r="L20" s="188" t="str">
        <f t="shared" si="3"/>
        <v/>
      </c>
      <c r="M20" s="203" t="str">
        <f>IF($H20="USD",IF(OR($L20="",$L20="-"),"",VLOOKUP($G20,為替!$A:$AX,$L20,FALSE))+$K$3,IF(OR($L20="",$L20="-"),"",VLOOKUP($G20,為替!$A:$AX,$L20,FALSE)))</f>
        <v/>
      </c>
      <c r="N20" s="204">
        <f t="shared" si="4"/>
        <v>42810</v>
      </c>
      <c r="O20" s="205">
        <f t="shared" si="0"/>
        <v>10710</v>
      </c>
      <c r="P20" s="206">
        <f t="shared" si="5"/>
        <v>0.20011210762331838</v>
      </c>
    </row>
    <row r="21" spans="1:16" x14ac:dyDescent="0.4">
      <c r="A21" s="162" t="s">
        <v>308</v>
      </c>
      <c r="B21" s="162">
        <v>6253</v>
      </c>
      <c r="C21" s="199">
        <v>4256400</v>
      </c>
      <c r="D21" s="200">
        <v>179900</v>
      </c>
      <c r="E21" s="201" t="s">
        <v>247</v>
      </c>
      <c r="F21" s="199">
        <v>6225280</v>
      </c>
      <c r="G21" s="161">
        <v>45483</v>
      </c>
      <c r="H21" s="202" t="s">
        <v>247</v>
      </c>
      <c r="I21" s="185" t="str">
        <f t="shared" si="1"/>
        <v/>
      </c>
      <c r="J21" s="203" t="str">
        <f>IF($H21="USD",IF(OR($I21="",$I21="-"),"",VLOOKUP($G21,為替!$A:$AX,$I21,FALSE))+$J$3,IF(OR($I21="",$I21="-"),"",VLOOKUP($G21,為替!$A:$AX,$I21,FALSE)))</f>
        <v/>
      </c>
      <c r="K21" s="204">
        <f t="shared" si="2"/>
        <v>6225280</v>
      </c>
      <c r="L21" s="188" t="str">
        <f t="shared" si="3"/>
        <v/>
      </c>
      <c r="M21" s="203" t="str">
        <f>IF($H21="USD",IF(OR($L21="",$L21="-"),"",VLOOKUP($G21,為替!$A:$AX,$L21,FALSE))+$K$3,IF(OR($L21="",$L21="-"),"",VLOOKUP($G21,為替!$A:$AX,$L21,FALSE)))</f>
        <v/>
      </c>
      <c r="N21" s="204">
        <f t="shared" si="4"/>
        <v>4436300</v>
      </c>
      <c r="O21" s="205">
        <f t="shared" si="0"/>
        <v>1788980</v>
      </c>
      <c r="P21" s="206">
        <f t="shared" si="5"/>
        <v>0.28737341934820604</v>
      </c>
    </row>
    <row r="22" spans="1:16" x14ac:dyDescent="0.4">
      <c r="A22" s="162" t="s">
        <v>308</v>
      </c>
      <c r="B22" s="162">
        <v>6286</v>
      </c>
      <c r="C22" s="199">
        <v>46070</v>
      </c>
      <c r="D22" s="200">
        <v>5000</v>
      </c>
      <c r="E22" s="201" t="s">
        <v>247</v>
      </c>
      <c r="F22" s="199">
        <v>63844</v>
      </c>
      <c r="G22" s="161">
        <v>45485</v>
      </c>
      <c r="H22" s="202" t="s">
        <v>247</v>
      </c>
      <c r="I22" s="185" t="str">
        <f t="shared" si="1"/>
        <v/>
      </c>
      <c r="J22" s="203" t="str">
        <f>IF($H22="USD",IF(OR($I22="",$I22="-"),"",VLOOKUP($G22,為替!$A:$AX,$I22,FALSE))+$J$3,IF(OR($I22="",$I22="-"),"",VLOOKUP($G22,為替!$A:$AX,$I22,FALSE)))</f>
        <v/>
      </c>
      <c r="K22" s="204">
        <f t="shared" si="2"/>
        <v>63844</v>
      </c>
      <c r="L22" s="188" t="str">
        <f t="shared" si="3"/>
        <v/>
      </c>
      <c r="M22" s="203" t="str">
        <f>IF($H22="USD",IF(OR($L22="",$L22="-"),"",VLOOKUP($G22,為替!$A:$AX,$L22,FALSE))+$K$3,IF(OR($L22="",$L22="-"),"",VLOOKUP($G22,為替!$A:$AX,$L22,FALSE)))</f>
        <v/>
      </c>
      <c r="N22" s="204">
        <f t="shared" si="4"/>
        <v>51070</v>
      </c>
      <c r="O22" s="205">
        <f t="shared" si="0"/>
        <v>12774</v>
      </c>
      <c r="P22" s="206">
        <f t="shared" si="5"/>
        <v>0.20008144853079382</v>
      </c>
    </row>
    <row r="23" spans="1:16" x14ac:dyDescent="0.4">
      <c r="A23" s="162" t="s">
        <v>308</v>
      </c>
      <c r="B23" s="162">
        <v>6292</v>
      </c>
      <c r="C23" s="199">
        <v>7760</v>
      </c>
      <c r="D23" s="200">
        <v>0</v>
      </c>
      <c r="E23" s="201" t="s">
        <v>247</v>
      </c>
      <c r="F23" s="199">
        <v>120</v>
      </c>
      <c r="G23" s="161">
        <v>45485</v>
      </c>
      <c r="H23" s="202" t="s">
        <v>246</v>
      </c>
      <c r="I23" s="185">
        <f t="shared" si="1"/>
        <v>4</v>
      </c>
      <c r="J23" s="203">
        <f>IF($H23="USD",IF(OR($I23="",$I23="-"),"",VLOOKUP($G23,為替!$A:$AX,$I23,FALSE))+$J$3,IF(OR($I23="",$I23="-"),"",VLOOKUP($G23,為替!$A:$AX,$I23,FALSE)))</f>
        <v>158.61000000000001</v>
      </c>
      <c r="K23" s="204">
        <f t="shared" si="2"/>
        <v>19033.2</v>
      </c>
      <c r="L23" s="188">
        <f t="shared" si="3"/>
        <v>3</v>
      </c>
      <c r="M23" s="203">
        <f>IF($H23="USD",IF(OR($L23="",$L23="-"),"",VLOOKUP($G23,為替!$A:$AX,$L23,FALSE))+$K$3,IF(OR($L23="",$L23="-"),"",VLOOKUP($G23,為替!$A:$AX,$L23,FALSE)))</f>
        <v>159.61000000000001</v>
      </c>
      <c r="N23" s="204">
        <f t="shared" si="4"/>
        <v>7760</v>
      </c>
      <c r="O23" s="205">
        <f t="shared" si="0"/>
        <v>11273.2</v>
      </c>
      <c r="P23" s="206">
        <f t="shared" si="5"/>
        <v>0.59229136456297415</v>
      </c>
    </row>
    <row r="24" spans="1:16" x14ac:dyDescent="0.4">
      <c r="A24" s="162" t="s">
        <v>308</v>
      </c>
      <c r="B24" s="162">
        <v>6295</v>
      </c>
      <c r="C24" s="199">
        <v>91600</v>
      </c>
      <c r="D24" s="200">
        <v>0</v>
      </c>
      <c r="E24" s="201" t="s">
        <v>247</v>
      </c>
      <c r="F24" s="199">
        <v>117000</v>
      </c>
      <c r="G24" s="161">
        <v>45490</v>
      </c>
      <c r="H24" s="202" t="s">
        <v>247</v>
      </c>
      <c r="I24" s="185" t="str">
        <f t="shared" si="1"/>
        <v/>
      </c>
      <c r="J24" s="203" t="str">
        <f>IF($H24="USD",IF(OR($I24="",$I24="-"),"",VLOOKUP($G24,為替!$A:$AX,$I24,FALSE))+$J$3,IF(OR($I24="",$I24="-"),"",VLOOKUP($G24,為替!$A:$AX,$I24,FALSE)))</f>
        <v/>
      </c>
      <c r="K24" s="204">
        <f t="shared" si="2"/>
        <v>117000</v>
      </c>
      <c r="L24" s="188" t="str">
        <f t="shared" si="3"/>
        <v/>
      </c>
      <c r="M24" s="203" t="str">
        <f>IF($H24="USD",IF(OR($L24="",$L24="-"),"",VLOOKUP($G24,為替!$A:$AX,$L24,FALSE))+$K$3,IF(OR($L24="",$L24="-"),"",VLOOKUP($G24,為替!$A:$AX,$L24,FALSE)))</f>
        <v/>
      </c>
      <c r="N24" s="204">
        <f t="shared" si="4"/>
        <v>91600</v>
      </c>
      <c r="O24" s="205">
        <f t="shared" si="0"/>
        <v>25400</v>
      </c>
      <c r="P24" s="206">
        <f t="shared" si="5"/>
        <v>0.2170940170940171</v>
      </c>
    </row>
    <row r="25" spans="1:16" x14ac:dyDescent="0.4">
      <c r="A25" s="162" t="s">
        <v>308</v>
      </c>
      <c r="B25" s="162">
        <v>6312</v>
      </c>
      <c r="C25" s="199">
        <v>154800</v>
      </c>
      <c r="D25" s="200">
        <v>0</v>
      </c>
      <c r="E25" s="201" t="s">
        <v>247</v>
      </c>
      <c r="F25" s="199">
        <v>1980</v>
      </c>
      <c r="G25" s="161">
        <v>45491</v>
      </c>
      <c r="H25" s="202" t="s">
        <v>246</v>
      </c>
      <c r="I25" s="185">
        <f t="shared" si="1"/>
        <v>4</v>
      </c>
      <c r="J25" s="203">
        <f>IF($H25="USD",IF(OR($I25="",$I25="-"),"",VLOOKUP($G25,為替!$A:$AX,$I25,FALSE))+$J$3,IF(OR($I25="",$I25="-"),"",VLOOKUP($G25,為替!$A:$AX,$I25,FALSE)))</f>
        <v>155.36000000000001</v>
      </c>
      <c r="K25" s="204">
        <f t="shared" si="2"/>
        <v>307612.80000000005</v>
      </c>
      <c r="L25" s="188">
        <f t="shared" si="3"/>
        <v>3</v>
      </c>
      <c r="M25" s="203">
        <f>IF($H25="USD",IF(OR($L25="",$L25="-"),"",VLOOKUP($G25,為替!$A:$AX,$L25,FALSE))+$K$3,IF(OR($L25="",$L25="-"),"",VLOOKUP($G25,為替!$A:$AX,$L25,FALSE)))</f>
        <v>156.36000000000001</v>
      </c>
      <c r="N25" s="204">
        <f t="shared" si="4"/>
        <v>154800</v>
      </c>
      <c r="O25" s="205">
        <f t="shared" si="0"/>
        <v>152812.80000000005</v>
      </c>
      <c r="P25" s="206">
        <f t="shared" si="5"/>
        <v>0.49676996535904888</v>
      </c>
    </row>
    <row r="26" spans="1:16" x14ac:dyDescent="0.4">
      <c r="A26" s="162" t="s">
        <v>308</v>
      </c>
      <c r="B26" s="162">
        <v>6317</v>
      </c>
      <c r="C26" s="199">
        <v>9690</v>
      </c>
      <c r="D26" s="200">
        <v>0</v>
      </c>
      <c r="E26" s="201" t="s">
        <v>247</v>
      </c>
      <c r="F26" s="199">
        <v>156</v>
      </c>
      <c r="G26" s="161">
        <v>45495</v>
      </c>
      <c r="H26" s="202" t="s">
        <v>246</v>
      </c>
      <c r="I26" s="185">
        <f t="shared" si="1"/>
        <v>4</v>
      </c>
      <c r="J26" s="203">
        <f>IF($H26="USD",IF(OR($I26="",$I26="-"),"",VLOOKUP($G26,為替!$A:$AX,$I26,FALSE))+$J$3,IF(OR($I26="",$I26="-"),"",VLOOKUP($G26,為替!$A:$AX,$I26,FALSE)))</f>
        <v>157.04</v>
      </c>
      <c r="K26" s="204">
        <f t="shared" si="2"/>
        <v>24498.239999999998</v>
      </c>
      <c r="L26" s="188">
        <f t="shared" si="3"/>
        <v>3</v>
      </c>
      <c r="M26" s="203">
        <f>IF($H26="USD",IF(OR($L26="",$L26="-"),"",VLOOKUP($G26,為替!$A:$AX,$L26,FALSE))+$K$3,IF(OR($L26="",$L26="-"),"",VLOOKUP($G26,為替!$A:$AX,$L26,FALSE)))</f>
        <v>158.04</v>
      </c>
      <c r="N26" s="204">
        <f t="shared" si="4"/>
        <v>9690</v>
      </c>
      <c r="O26" s="205">
        <f t="shared" si="0"/>
        <v>14808.239999999998</v>
      </c>
      <c r="P26" s="206">
        <f t="shared" si="5"/>
        <v>0.60446138171558439</v>
      </c>
    </row>
    <row r="27" spans="1:16" x14ac:dyDescent="0.4">
      <c r="A27" s="162" t="s">
        <v>308</v>
      </c>
      <c r="B27" s="162">
        <v>6285</v>
      </c>
      <c r="C27" s="199">
        <v>1605000</v>
      </c>
      <c r="D27" s="200">
        <v>29200</v>
      </c>
      <c r="E27" s="201" t="s">
        <v>247</v>
      </c>
      <c r="F27" s="199">
        <v>2075000</v>
      </c>
      <c r="G27" s="161">
        <v>45496</v>
      </c>
      <c r="H27" s="202" t="s">
        <v>247</v>
      </c>
      <c r="I27" s="185" t="str">
        <f t="shared" si="1"/>
        <v/>
      </c>
      <c r="J27" s="203" t="str">
        <f>IF($H27="USD",IF(OR($I27="",$I27="-"),"",VLOOKUP($G27,為替!$A:$AX,$I27,FALSE))+$J$3,IF(OR($I27="",$I27="-"),"",VLOOKUP($G27,為替!$A:$AX,$I27,FALSE)))</f>
        <v/>
      </c>
      <c r="K27" s="204">
        <f t="shared" si="2"/>
        <v>2075000</v>
      </c>
      <c r="L27" s="188" t="str">
        <f t="shared" si="3"/>
        <v/>
      </c>
      <c r="M27" s="203" t="str">
        <f>IF($H27="USD",IF(OR($L27="",$L27="-"),"",VLOOKUP($G27,為替!$A:$AX,$L27,FALSE))+$K$3,IF(OR($L27="",$L27="-"),"",VLOOKUP($G27,為替!$A:$AX,$L27,FALSE)))</f>
        <v/>
      </c>
      <c r="N27" s="204">
        <f t="shared" si="4"/>
        <v>1634200</v>
      </c>
      <c r="O27" s="205">
        <f t="shared" si="0"/>
        <v>440800</v>
      </c>
      <c r="P27" s="206">
        <f t="shared" si="5"/>
        <v>0.21243373493975903</v>
      </c>
    </row>
    <row r="28" spans="1:16" x14ac:dyDescent="0.4">
      <c r="A28" s="162" t="s">
        <v>308</v>
      </c>
      <c r="B28" s="162">
        <v>6333</v>
      </c>
      <c r="C28" s="199">
        <v>13130</v>
      </c>
      <c r="D28" s="200">
        <v>0</v>
      </c>
      <c r="E28" s="201" t="s">
        <v>247</v>
      </c>
      <c r="F28" s="199">
        <v>16420</v>
      </c>
      <c r="G28" s="161">
        <v>45499</v>
      </c>
      <c r="H28" s="202" t="s">
        <v>247</v>
      </c>
      <c r="I28" s="185" t="str">
        <f t="shared" si="1"/>
        <v/>
      </c>
      <c r="J28" s="203" t="str">
        <f>IF($H28="USD",IF(OR($I28="",$I28="-"),"",VLOOKUP($G28,為替!$A:$AX,$I28,FALSE))+$J$3,IF(OR($I28="",$I28="-"),"",VLOOKUP($G28,為替!$A:$AX,$I28,FALSE)))</f>
        <v/>
      </c>
      <c r="K28" s="204">
        <f t="shared" si="2"/>
        <v>16420</v>
      </c>
      <c r="L28" s="188" t="str">
        <f t="shared" si="3"/>
        <v/>
      </c>
      <c r="M28" s="203" t="str">
        <f>IF($H28="USD",IF(OR($L28="",$L28="-"),"",VLOOKUP($G28,為替!$A:$AX,$L28,FALSE))+$K$3,IF(OR($L28="",$L28="-"),"",VLOOKUP($G28,為替!$A:$AX,$L28,FALSE)))</f>
        <v/>
      </c>
      <c r="N28" s="204">
        <f t="shared" si="4"/>
        <v>13130</v>
      </c>
      <c r="O28" s="205">
        <f t="shared" si="0"/>
        <v>3290</v>
      </c>
      <c r="P28" s="206">
        <f t="shared" si="5"/>
        <v>0.20036540803897684</v>
      </c>
    </row>
    <row r="29" spans="1:16" x14ac:dyDescent="0.4">
      <c r="A29" s="162" t="s">
        <v>307</v>
      </c>
      <c r="B29" s="162">
        <v>6314</v>
      </c>
      <c r="C29" s="199">
        <v>220800</v>
      </c>
      <c r="D29" s="200">
        <v>11540</v>
      </c>
      <c r="E29" s="201" t="s">
        <v>247</v>
      </c>
      <c r="F29" s="199">
        <v>243000</v>
      </c>
      <c r="G29" s="161">
        <v>45498</v>
      </c>
      <c r="H29" s="202" t="s">
        <v>247</v>
      </c>
      <c r="I29" s="185" t="str">
        <f t="shared" si="1"/>
        <v/>
      </c>
      <c r="J29" s="203" t="str">
        <f>IF($H29="USD",IF(OR($I29="",$I29="-"),"",VLOOKUP($G29,為替!$A:$AX,$I29,FALSE))+$J$3,IF(OR($I29="",$I29="-"),"",VLOOKUP($G29,為替!$A:$AX,$I29,FALSE)))</f>
        <v/>
      </c>
      <c r="K29" s="204">
        <f t="shared" si="2"/>
        <v>243000</v>
      </c>
      <c r="L29" s="188" t="str">
        <f t="shared" si="3"/>
        <v/>
      </c>
      <c r="M29" s="203" t="str">
        <f>IF($H29="USD",IF(OR($L29="",$L29="-"),"",VLOOKUP($G29,為替!$A:$AX,$L29,FALSE))+$K$3,IF(OR($L29="",$L29="-"),"",VLOOKUP($G29,為替!$A:$AX,$L29,FALSE)))</f>
        <v/>
      </c>
      <c r="N29" s="204">
        <f t="shared" si="4"/>
        <v>232340</v>
      </c>
      <c r="O29" s="205">
        <f t="shared" si="0"/>
        <v>10660</v>
      </c>
      <c r="P29" s="206">
        <f t="shared" si="5"/>
        <v>4.3868312757201648E-2</v>
      </c>
    </row>
    <row r="30" spans="1:16" x14ac:dyDescent="0.4">
      <c r="A30" s="162" t="s">
        <v>308</v>
      </c>
      <c r="B30" s="162">
        <v>6279</v>
      </c>
      <c r="C30" s="199">
        <v>4818400</v>
      </c>
      <c r="D30" s="200">
        <v>296800</v>
      </c>
      <c r="E30" s="201" t="s">
        <v>247</v>
      </c>
      <c r="F30" s="199">
        <v>6076000</v>
      </c>
      <c r="G30" s="161">
        <v>45502</v>
      </c>
      <c r="H30" s="202" t="s">
        <v>247</v>
      </c>
      <c r="I30" s="185" t="str">
        <f t="shared" si="1"/>
        <v/>
      </c>
      <c r="J30" s="203" t="str">
        <f>IF($H30="USD",IF(OR($I30="",$I30="-"),"",VLOOKUP($G30,為替!$A:$AX,$I30,FALSE))+$J$3,IF(OR($I30="",$I30="-"),"",VLOOKUP($G30,為替!$A:$AX,$I30,FALSE)))</f>
        <v/>
      </c>
      <c r="K30" s="204">
        <f t="shared" si="2"/>
        <v>6076000</v>
      </c>
      <c r="L30" s="188" t="str">
        <f t="shared" si="3"/>
        <v/>
      </c>
      <c r="M30" s="203" t="str">
        <f>IF($H30="USD",IF(OR($L30="",$L30="-"),"",VLOOKUP($G30,為替!$A:$AX,$L30,FALSE))+$K$3,IF(OR($L30="",$L30="-"),"",VLOOKUP($G30,為替!$A:$AX,$L30,FALSE)))</f>
        <v/>
      </c>
      <c r="N30" s="204">
        <f t="shared" si="4"/>
        <v>5115200</v>
      </c>
      <c r="O30" s="205">
        <f t="shared" si="0"/>
        <v>960800</v>
      </c>
      <c r="P30" s="206">
        <f t="shared" si="5"/>
        <v>0.15813034891375904</v>
      </c>
    </row>
    <row r="31" spans="1:16" x14ac:dyDescent="0.4">
      <c r="A31" s="162" t="s">
        <v>308</v>
      </c>
      <c r="B31" s="162">
        <v>6344</v>
      </c>
      <c r="C31" s="199">
        <v>15300</v>
      </c>
      <c r="D31" s="200">
        <v>22590</v>
      </c>
      <c r="E31" s="201" t="s">
        <v>247</v>
      </c>
      <c r="F31" s="199">
        <v>408</v>
      </c>
      <c r="G31" s="161">
        <v>45503</v>
      </c>
      <c r="H31" s="202" t="s">
        <v>246</v>
      </c>
      <c r="I31" s="185">
        <f t="shared" si="1"/>
        <v>4</v>
      </c>
      <c r="J31" s="203">
        <f>IF($H31="USD",IF(OR($I31="",$I31="-"),"",VLOOKUP($G31,為替!$A:$AX,$I31,FALSE))+$J$3,IF(OR($I31="",$I31="-"),"",VLOOKUP($G31,為替!$A:$AX,$I31,FALSE)))</f>
        <v>153.58000000000001</v>
      </c>
      <c r="K31" s="204">
        <f t="shared" si="2"/>
        <v>62660.640000000007</v>
      </c>
      <c r="L31" s="188">
        <f t="shared" si="3"/>
        <v>3</v>
      </c>
      <c r="M31" s="203">
        <f>IF($H31="USD",IF(OR($L31="",$L31="-"),"",VLOOKUP($G31,為替!$A:$AX,$L31,FALSE))+$K$3,IF(OR($L31="",$L31="-"),"",VLOOKUP($G31,為替!$A:$AX,$L31,FALSE)))</f>
        <v>154.58000000000001</v>
      </c>
      <c r="N31" s="204">
        <f t="shared" si="4"/>
        <v>37890</v>
      </c>
      <c r="O31" s="205">
        <f t="shared" si="0"/>
        <v>24770.640000000007</v>
      </c>
      <c r="P31" s="206">
        <f t="shared" si="5"/>
        <v>0.39531418766230292</v>
      </c>
    </row>
    <row r="32" spans="1:16" x14ac:dyDescent="0.4">
      <c r="A32" s="162" t="s">
        <v>308</v>
      </c>
      <c r="B32" s="162">
        <v>6319</v>
      </c>
      <c r="C32" s="199">
        <v>143200</v>
      </c>
      <c r="D32" s="200">
        <v>21200</v>
      </c>
      <c r="E32" s="201" t="s">
        <v>247</v>
      </c>
      <c r="F32" s="199">
        <v>1980</v>
      </c>
      <c r="G32" s="161">
        <v>45504</v>
      </c>
      <c r="H32" s="202" t="s">
        <v>246</v>
      </c>
      <c r="I32" s="185">
        <f t="shared" si="1"/>
        <v>4</v>
      </c>
      <c r="J32" s="203">
        <f>IF($H32="USD",IF(OR($I32="",$I32="-"),"",VLOOKUP($G32,為替!$A:$AX,$I32,FALSE))+$J$3,IF(OR($I32="",$I32="-"),"",VLOOKUP($G32,為替!$A:$AX,$I32,FALSE)))</f>
        <v>151.94</v>
      </c>
      <c r="K32" s="204">
        <f t="shared" si="2"/>
        <v>300841.2</v>
      </c>
      <c r="L32" s="188">
        <f t="shared" si="3"/>
        <v>3</v>
      </c>
      <c r="M32" s="203">
        <f>IF($H32="USD",IF(OR($L32="",$L32="-"),"",VLOOKUP($G32,為替!$A:$AX,$L32,FALSE))+$K$3,IF(OR($L32="",$L32="-"),"",VLOOKUP($G32,為替!$A:$AX,$L32,FALSE)))</f>
        <v>152.94</v>
      </c>
      <c r="N32" s="204">
        <f t="shared" si="4"/>
        <v>164400</v>
      </c>
      <c r="O32" s="205">
        <f t="shared" si="0"/>
        <v>136441.20000000001</v>
      </c>
      <c r="P32" s="206">
        <f t="shared" si="5"/>
        <v>0.45353229544357626</v>
      </c>
    </row>
    <row r="33" spans="1:16" x14ac:dyDescent="0.4">
      <c r="A33" s="162" t="s">
        <v>308</v>
      </c>
      <c r="B33" s="162">
        <v>6336</v>
      </c>
      <c r="C33" s="199">
        <v>135200</v>
      </c>
      <c r="D33" s="200">
        <v>45500</v>
      </c>
      <c r="E33" s="201" t="s">
        <v>247</v>
      </c>
      <c r="F33" s="199">
        <v>2280</v>
      </c>
      <c r="G33" s="161">
        <v>45504</v>
      </c>
      <c r="H33" s="202" t="s">
        <v>246</v>
      </c>
      <c r="I33" s="185">
        <f t="shared" si="1"/>
        <v>4</v>
      </c>
      <c r="J33" s="203">
        <f>IF($H33="USD",IF(OR($I33="",$I33="-"),"",VLOOKUP($G33,為替!$A:$AX,$I33,FALSE))+$J$3,IF(OR($I33="",$I33="-"),"",VLOOKUP($G33,為替!$A:$AX,$I33,FALSE)))</f>
        <v>151.94</v>
      </c>
      <c r="K33" s="204">
        <f t="shared" si="2"/>
        <v>346423.2</v>
      </c>
      <c r="L33" s="188">
        <f t="shared" si="3"/>
        <v>3</v>
      </c>
      <c r="M33" s="203">
        <f>IF($H33="USD",IF(OR($L33="",$L33="-"),"",VLOOKUP($G33,為替!$A:$AX,$L33,FALSE))+$K$3,IF(OR($L33="",$L33="-"),"",VLOOKUP($G33,為替!$A:$AX,$L33,FALSE)))</f>
        <v>152.94</v>
      </c>
      <c r="N33" s="204">
        <f t="shared" si="4"/>
        <v>180700</v>
      </c>
      <c r="O33" s="205">
        <f t="shared" si="0"/>
        <v>165723.20000000001</v>
      </c>
      <c r="P33" s="206">
        <f t="shared" si="5"/>
        <v>0.47838366483538058</v>
      </c>
    </row>
    <row r="34" spans="1:16" x14ac:dyDescent="0.4">
      <c r="A34" s="162" t="s">
        <v>308</v>
      </c>
      <c r="B34" s="162">
        <v>6345</v>
      </c>
      <c r="C34" s="199">
        <v>79600</v>
      </c>
      <c r="D34" s="200">
        <v>0</v>
      </c>
      <c r="E34" s="201" t="s">
        <v>247</v>
      </c>
      <c r="F34" s="199">
        <v>97000</v>
      </c>
      <c r="G34" s="161">
        <v>45504</v>
      </c>
      <c r="H34" s="202" t="s">
        <v>247</v>
      </c>
      <c r="I34" s="185" t="str">
        <f t="shared" si="1"/>
        <v/>
      </c>
      <c r="J34" s="203" t="str">
        <f>IF($H34="USD",IF(OR($I34="",$I34="-"),"",VLOOKUP($G34,為替!$A:$AX,$I34,FALSE))+$J$3,IF(OR($I34="",$I34="-"),"",VLOOKUP($G34,為替!$A:$AX,$I34,FALSE)))</f>
        <v/>
      </c>
      <c r="K34" s="204">
        <f t="shared" si="2"/>
        <v>97000</v>
      </c>
      <c r="L34" s="188" t="str">
        <f t="shared" si="3"/>
        <v/>
      </c>
      <c r="M34" s="203" t="str">
        <f>IF($H34="USD",IF(OR($L34="",$L34="-"),"",VLOOKUP($G34,為替!$A:$AX,$L34,FALSE))+$K$3,IF(OR($L34="",$L34="-"),"",VLOOKUP($G34,為替!$A:$AX,$L34,FALSE)))</f>
        <v/>
      </c>
      <c r="N34" s="204">
        <f t="shared" si="4"/>
        <v>79600</v>
      </c>
      <c r="O34" s="205">
        <f t="shared" si="0"/>
        <v>17400</v>
      </c>
      <c r="P34" s="206">
        <f t="shared" si="5"/>
        <v>0.17938144329896907</v>
      </c>
    </row>
    <row r="35" spans="1:16" x14ac:dyDescent="0.4">
      <c r="A35" s="162" t="s">
        <v>307</v>
      </c>
      <c r="B35" s="162">
        <v>6315</v>
      </c>
      <c r="C35" s="199">
        <v>1370000</v>
      </c>
      <c r="D35" s="200">
        <v>46600</v>
      </c>
      <c r="E35" s="201" t="s">
        <v>247</v>
      </c>
      <c r="F35" s="199">
        <v>1575000</v>
      </c>
      <c r="G35" s="161">
        <v>45501</v>
      </c>
      <c r="H35" s="202" t="s">
        <v>247</v>
      </c>
      <c r="I35" s="185" t="str">
        <f t="shared" si="1"/>
        <v/>
      </c>
      <c r="J35" s="203" t="str">
        <f>IF($H35="USD",IF(OR($I35="",$I35="-"),"",VLOOKUP($G35,為替!$A:$AX,$I35,FALSE))+$J$3,IF(OR($I35="",$I35="-"),"",VLOOKUP($G35,為替!$A:$AX,$I35,FALSE)))</f>
        <v/>
      </c>
      <c r="K35" s="204">
        <f t="shared" si="2"/>
        <v>1575000</v>
      </c>
      <c r="L35" s="188" t="str">
        <f t="shared" si="3"/>
        <v/>
      </c>
      <c r="M35" s="203" t="str">
        <f>IF($H35="USD",IF(OR($L35="",$L35="-"),"",VLOOKUP($G35,為替!$A:$AX,$L35,FALSE))+$K$3,IF(OR($L35="",$L35="-"),"",VLOOKUP($G35,為替!$A:$AX,$L35,FALSE)))</f>
        <v/>
      </c>
      <c r="N35" s="204">
        <f t="shared" si="4"/>
        <v>1416600</v>
      </c>
      <c r="O35" s="205">
        <f t="shared" si="0"/>
        <v>158400</v>
      </c>
      <c r="P35" s="206">
        <f t="shared" si="5"/>
        <v>0.10057142857142858</v>
      </c>
    </row>
    <row r="36" spans="1:16" x14ac:dyDescent="0.4">
      <c r="A36" s="162" t="s">
        <v>308</v>
      </c>
      <c r="B36" s="162">
        <v>6316</v>
      </c>
      <c r="C36" s="199">
        <v>362400</v>
      </c>
      <c r="D36" s="200">
        <v>26500</v>
      </c>
      <c r="E36" s="201" t="s">
        <v>247</v>
      </c>
      <c r="F36" s="199">
        <v>420000</v>
      </c>
      <c r="G36" s="161">
        <v>45510</v>
      </c>
      <c r="H36" s="202" t="s">
        <v>247</v>
      </c>
      <c r="I36" s="185" t="str">
        <f t="shared" si="1"/>
        <v/>
      </c>
      <c r="J36" s="203" t="str">
        <f>IF($H36="USD",IF(OR($I36="",$I36="-"),"",VLOOKUP($G36,為替!$A:$AX,$I36,FALSE))+$J$3,IF(OR($I36="",$I36="-"),"",VLOOKUP($G36,為替!$A:$AX,$I36,FALSE)))</f>
        <v/>
      </c>
      <c r="K36" s="204">
        <f t="shared" si="2"/>
        <v>420000</v>
      </c>
      <c r="L36" s="188" t="str">
        <f t="shared" si="3"/>
        <v/>
      </c>
      <c r="M36" s="203" t="str">
        <f>IF($H36="USD",IF(OR($L36="",$L36="-"),"",VLOOKUP($G36,為替!$A:$AX,$L36,FALSE))+$K$3,IF(OR($L36="",$L36="-"),"",VLOOKUP($G36,為替!$A:$AX,$L36,FALSE)))</f>
        <v/>
      </c>
      <c r="N36" s="204">
        <f t="shared" si="4"/>
        <v>388900</v>
      </c>
      <c r="O36" s="205">
        <f t="shared" si="0"/>
        <v>31100</v>
      </c>
      <c r="P36" s="206">
        <f t="shared" si="5"/>
        <v>7.4047619047619043E-2</v>
      </c>
    </row>
    <row r="37" spans="1:16" x14ac:dyDescent="0.4">
      <c r="A37" s="162" t="s">
        <v>308</v>
      </c>
      <c r="B37" s="162">
        <v>6373</v>
      </c>
      <c r="C37" s="199">
        <v>147200</v>
      </c>
      <c r="D37" s="200">
        <v>0</v>
      </c>
      <c r="E37" s="201" t="s">
        <v>247</v>
      </c>
      <c r="F37" s="199">
        <v>182000</v>
      </c>
      <c r="G37" s="161">
        <v>45511</v>
      </c>
      <c r="H37" s="202" t="s">
        <v>247</v>
      </c>
      <c r="I37" s="185" t="str">
        <f t="shared" si="1"/>
        <v/>
      </c>
      <c r="J37" s="203" t="str">
        <f>IF($H37="USD",IF(OR($I37="",$I37="-"),"",VLOOKUP($G37,為替!$A:$AX,$I37,FALSE))+$J$3,IF(OR($I37="",$I37="-"),"",VLOOKUP($G37,為替!$A:$AX,$I37,FALSE)))</f>
        <v/>
      </c>
      <c r="K37" s="204">
        <f t="shared" si="2"/>
        <v>182000</v>
      </c>
      <c r="L37" s="188" t="str">
        <f t="shared" si="3"/>
        <v/>
      </c>
      <c r="M37" s="203" t="str">
        <f>IF($H37="USD",IF(OR($L37="",$L37="-"),"",VLOOKUP($G37,為替!$A:$AX,$L37,FALSE))+$K$3,IF(OR($L37="",$L37="-"),"",VLOOKUP($G37,為替!$A:$AX,$L37,FALSE)))</f>
        <v/>
      </c>
      <c r="N37" s="204">
        <f t="shared" si="4"/>
        <v>147200</v>
      </c>
      <c r="O37" s="205">
        <f t="shared" si="0"/>
        <v>34800</v>
      </c>
      <c r="P37" s="206">
        <f t="shared" si="5"/>
        <v>0.1912087912087912</v>
      </c>
    </row>
    <row r="38" spans="1:16" x14ac:dyDescent="0.4">
      <c r="A38" s="162" t="s">
        <v>308</v>
      </c>
      <c r="B38" s="162">
        <v>6388</v>
      </c>
      <c r="C38" s="199">
        <v>16920</v>
      </c>
      <c r="D38" s="200">
        <v>0</v>
      </c>
      <c r="E38" s="201" t="s">
        <v>247</v>
      </c>
      <c r="F38" s="199">
        <v>336</v>
      </c>
      <c r="G38" s="161">
        <v>45513</v>
      </c>
      <c r="H38" s="202" t="s">
        <v>246</v>
      </c>
      <c r="I38" s="185">
        <f t="shared" si="1"/>
        <v>4</v>
      </c>
      <c r="J38" s="203">
        <f>IF($H38="USD",IF(OR($I38="",$I38="-"),"",VLOOKUP($G38,為替!$A:$AX,$I38,FALSE))+$J$3,IF(OR($I38="",$I38="-"),"",VLOOKUP($G38,為替!$A:$AX,$I38,FALSE)))</f>
        <v>0.5</v>
      </c>
      <c r="K38" s="204">
        <f t="shared" si="2"/>
        <v>168</v>
      </c>
      <c r="L38" s="188">
        <f t="shared" si="3"/>
        <v>3</v>
      </c>
      <c r="M38" s="203">
        <f>IF($H38="USD",IF(OR($L38="",$L38="-"),"",VLOOKUP($G38,為替!$A:$AX,$L38,FALSE))+$K$3,IF(OR($L38="",$L38="-"),"",VLOOKUP($G38,為替!$A:$AX,$L38,FALSE)))</f>
        <v>-0.5</v>
      </c>
      <c r="N38" s="204">
        <f t="shared" si="4"/>
        <v>16920</v>
      </c>
      <c r="O38" s="205">
        <f t="shared" si="0"/>
        <v>-16752</v>
      </c>
      <c r="P38" s="206">
        <f t="shared" si="5"/>
        <v>-99.714285714285708</v>
      </c>
    </row>
    <row r="39" spans="1:16" x14ac:dyDescent="0.4">
      <c r="A39" s="162" t="s">
        <v>308</v>
      </c>
      <c r="B39" s="162">
        <v>6389</v>
      </c>
      <c r="C39" s="199">
        <v>6620</v>
      </c>
      <c r="D39" s="200">
        <v>0</v>
      </c>
      <c r="E39" s="201" t="s">
        <v>247</v>
      </c>
      <c r="F39" s="199">
        <v>8270</v>
      </c>
      <c r="G39" s="161">
        <v>45513</v>
      </c>
      <c r="H39" s="202" t="s">
        <v>247</v>
      </c>
      <c r="I39" s="185" t="str">
        <f t="shared" si="1"/>
        <v/>
      </c>
      <c r="J39" s="203" t="str">
        <f>IF($H39="USD",IF(OR($I39="",$I39="-"),"",VLOOKUP($G39,為替!$A:$AX,$I39,FALSE))+$J$3,IF(OR($I39="",$I39="-"),"",VLOOKUP($G39,為替!$A:$AX,$I39,FALSE)))</f>
        <v/>
      </c>
      <c r="K39" s="204">
        <f t="shared" si="2"/>
        <v>8270</v>
      </c>
      <c r="L39" s="188" t="str">
        <f t="shared" si="3"/>
        <v/>
      </c>
      <c r="M39" s="203" t="str">
        <f>IF($H39="USD",IF(OR($L39="",$L39="-"),"",VLOOKUP($G39,為替!$A:$AX,$L39,FALSE))+$K$3,IF(OR($L39="",$L39="-"),"",VLOOKUP($G39,為替!$A:$AX,$L39,FALSE)))</f>
        <v/>
      </c>
      <c r="N39" s="204">
        <f t="shared" si="4"/>
        <v>6620</v>
      </c>
      <c r="O39" s="205">
        <f t="shared" si="0"/>
        <v>1650</v>
      </c>
      <c r="P39" s="206">
        <f t="shared" si="5"/>
        <v>0.19951632406287786</v>
      </c>
    </row>
    <row r="40" spans="1:16" x14ac:dyDescent="0.4">
      <c r="A40" s="162" t="s">
        <v>308</v>
      </c>
      <c r="B40" s="162">
        <v>6372</v>
      </c>
      <c r="C40" s="199">
        <v>3852000</v>
      </c>
      <c r="D40" s="200">
        <v>58300</v>
      </c>
      <c r="E40" s="201" t="s">
        <v>247</v>
      </c>
      <c r="F40" s="199">
        <v>4980000</v>
      </c>
      <c r="G40" s="161">
        <v>45518</v>
      </c>
      <c r="H40" s="202" t="s">
        <v>247</v>
      </c>
      <c r="I40" s="185" t="str">
        <f t="shared" si="1"/>
        <v/>
      </c>
      <c r="J40" s="203" t="str">
        <f>IF($H40="USD",IF(OR($I40="",$I40="-"),"",VLOOKUP($G40,為替!$A:$AX,$I40,FALSE))+$J$3,IF(OR($I40="",$I40="-"),"",VLOOKUP($G40,為替!$A:$AX,$I40,FALSE)))</f>
        <v/>
      </c>
      <c r="K40" s="204">
        <f t="shared" si="2"/>
        <v>4980000</v>
      </c>
      <c r="L40" s="188" t="str">
        <f t="shared" si="3"/>
        <v/>
      </c>
      <c r="M40" s="203" t="str">
        <f>IF($H40="USD",IF(OR($L40="",$L40="-"),"",VLOOKUP($G40,為替!$A:$AX,$L40,FALSE))+$K$3,IF(OR($L40="",$L40="-"),"",VLOOKUP($G40,為替!$A:$AX,$L40,FALSE)))</f>
        <v/>
      </c>
      <c r="N40" s="204">
        <f t="shared" si="4"/>
        <v>3910300</v>
      </c>
      <c r="O40" s="205">
        <f t="shared" si="0"/>
        <v>1069700</v>
      </c>
      <c r="P40" s="206">
        <f t="shared" si="5"/>
        <v>0.21479919678714859</v>
      </c>
    </row>
    <row r="41" spans="1:16" x14ac:dyDescent="0.4">
      <c r="A41" s="162" t="s">
        <v>308</v>
      </c>
      <c r="B41" s="162">
        <v>6397</v>
      </c>
      <c r="C41" s="199">
        <v>9600</v>
      </c>
      <c r="D41" s="200">
        <v>0</v>
      </c>
      <c r="E41" s="201" t="s">
        <v>247</v>
      </c>
      <c r="F41" s="199">
        <v>156</v>
      </c>
      <c r="G41" s="161">
        <v>45523</v>
      </c>
      <c r="H41" s="202" t="s">
        <v>246</v>
      </c>
      <c r="I41" s="185">
        <f t="shared" si="1"/>
        <v>4</v>
      </c>
      <c r="J41" s="203">
        <f>IF($H41="USD",IF(OR($I41="",$I41="-"),"",VLOOKUP($G41,為替!$A:$AX,$I41,FALSE))+$J$3,IF(OR($I41="",$I41="-"),"",VLOOKUP($G41,為替!$A:$AX,$I41,FALSE)))</f>
        <v>0.5</v>
      </c>
      <c r="K41" s="204">
        <f t="shared" si="2"/>
        <v>78</v>
      </c>
      <c r="L41" s="188">
        <f t="shared" si="3"/>
        <v>3</v>
      </c>
      <c r="M41" s="203">
        <f>IF($H41="USD",IF(OR($L41="",$L41="-"),"",VLOOKUP($G41,為替!$A:$AX,$L41,FALSE))+$K$3,IF(OR($L41="",$L41="-"),"",VLOOKUP($G41,為替!$A:$AX,$L41,FALSE)))</f>
        <v>-0.5</v>
      </c>
      <c r="N41" s="204">
        <f t="shared" si="4"/>
        <v>9600</v>
      </c>
      <c r="O41" s="205">
        <f t="shared" si="0"/>
        <v>-9522</v>
      </c>
      <c r="P41" s="206">
        <f t="shared" si="5"/>
        <v>-122.07692307692308</v>
      </c>
    </row>
    <row r="42" spans="1:16" x14ac:dyDescent="0.4">
      <c r="A42" s="162" t="s">
        <v>308</v>
      </c>
      <c r="B42" s="162">
        <v>6332</v>
      </c>
      <c r="C42" s="199">
        <v>936000</v>
      </c>
      <c r="D42" s="200">
        <v>35400</v>
      </c>
      <c r="E42" s="201" t="s">
        <v>247</v>
      </c>
      <c r="F42" s="199">
        <v>1165000</v>
      </c>
      <c r="G42" s="161">
        <v>45516</v>
      </c>
      <c r="H42" s="202" t="s">
        <v>247</v>
      </c>
      <c r="I42" s="185" t="str">
        <f t="shared" si="1"/>
        <v/>
      </c>
      <c r="J42" s="203" t="str">
        <f>IF($H42="USD",IF(OR($I42="",$I42="-"),"",VLOOKUP($G42,為替!$A:$AX,$I42,FALSE))+$J$3,IF(OR($I42="",$I42="-"),"",VLOOKUP($G42,為替!$A:$AX,$I42,FALSE)))</f>
        <v/>
      </c>
      <c r="K42" s="204">
        <f t="shared" si="2"/>
        <v>1165000</v>
      </c>
      <c r="L42" s="188" t="str">
        <f t="shared" si="3"/>
        <v/>
      </c>
      <c r="M42" s="203" t="str">
        <f>IF($H42="USD",IF(OR($L42="",$L42="-"),"",VLOOKUP($G42,為替!$A:$AX,$L42,FALSE))+$K$3,IF(OR($L42="",$L42="-"),"",VLOOKUP($G42,為替!$A:$AX,$L42,FALSE)))</f>
        <v/>
      </c>
      <c r="N42" s="204">
        <f t="shared" si="4"/>
        <v>971400</v>
      </c>
      <c r="O42" s="205">
        <f t="shared" si="0"/>
        <v>193600</v>
      </c>
      <c r="P42" s="206">
        <f t="shared" si="5"/>
        <v>0.16618025751072962</v>
      </c>
    </row>
    <row r="43" spans="1:16" x14ac:dyDescent="0.4">
      <c r="C43" s="199"/>
      <c r="D43" s="200"/>
      <c r="E43" s="201"/>
      <c r="F43" s="199"/>
      <c r="H43" s="202"/>
      <c r="I43" s="185" t="str">
        <f t="shared" si="1"/>
        <v/>
      </c>
      <c r="J43" s="203" t="str">
        <f>IF($H43="USD",IF(OR($I43="",$I43="-"),"",VLOOKUP($G43,為替!$A:$AX,$I43,FALSE))+$J$3,IF(OR($I43="",$I43="-"),"",VLOOKUP($G43,為替!$A:$AX,$I43,FALSE)))</f>
        <v/>
      </c>
      <c r="K43" s="204" t="str">
        <f t="shared" si="2"/>
        <v/>
      </c>
      <c r="L43" s="188" t="str">
        <f t="shared" si="3"/>
        <v/>
      </c>
      <c r="M43" s="203" t="str">
        <f>IF($H43="USD",IF(OR($L43="",$L43="-"),"",VLOOKUP($G43,為替!$A:$AX,$L43,FALSE))+$K$3,IF(OR($L43="",$L43="-"),"",VLOOKUP($G43,為替!$A:$AX,$L43,FALSE)))</f>
        <v/>
      </c>
      <c r="N43" s="204" t="str">
        <f t="shared" si="4"/>
        <v/>
      </c>
      <c r="O43" s="205" t="str">
        <f t="shared" si="0"/>
        <v/>
      </c>
      <c r="P43" s="206" t="str">
        <f t="shared" si="5"/>
        <v/>
      </c>
    </row>
    <row r="44" spans="1:16" x14ac:dyDescent="0.4">
      <c r="C44" s="199"/>
      <c r="D44" s="200"/>
      <c r="E44" s="201"/>
      <c r="F44" s="199"/>
      <c r="H44" s="202"/>
      <c r="I44" s="185" t="str">
        <f t="shared" si="1"/>
        <v/>
      </c>
      <c r="J44" s="203" t="str">
        <f>IF($H44="USD",IF(OR($I44="",$I44="-"),"",VLOOKUP($G44,為替!$A:$AX,$I44,FALSE))+$J$3,IF(OR($I44="",$I44="-"),"",VLOOKUP($G44,為替!$A:$AX,$I44,FALSE)))</f>
        <v/>
      </c>
      <c r="K44" s="204" t="str">
        <f t="shared" si="2"/>
        <v/>
      </c>
      <c r="L44" s="188" t="str">
        <f t="shared" si="3"/>
        <v/>
      </c>
      <c r="M44" s="203" t="str">
        <f>IF($H44="USD",IF(OR($L44="",$L44="-"),"",VLOOKUP($G44,為替!$A:$AX,$L44,FALSE))+$K$3,IF(OR($L44="",$L44="-"),"",VLOOKUP($G44,為替!$A:$AX,$L44,FALSE)))</f>
        <v/>
      </c>
      <c r="N44" s="204" t="str">
        <f t="shared" si="4"/>
        <v/>
      </c>
      <c r="O44" s="205" t="str">
        <f t="shared" si="0"/>
        <v/>
      </c>
      <c r="P44" s="206" t="str">
        <f t="shared" si="5"/>
        <v/>
      </c>
    </row>
    <row r="45" spans="1:16" x14ac:dyDescent="0.4">
      <c r="C45" s="199"/>
      <c r="D45" s="200"/>
      <c r="E45" s="201"/>
      <c r="F45" s="199"/>
      <c r="H45" s="202"/>
      <c r="I45" s="185" t="str">
        <f t="shared" si="1"/>
        <v/>
      </c>
      <c r="J45" s="203" t="str">
        <f>IF($H45="USD",IF(OR($I45="",$I45="-"),"",VLOOKUP($G45,為替!$A:$AX,$I45,FALSE))+$J$3,IF(OR($I45="",$I45="-"),"",VLOOKUP($G45,為替!$A:$AX,$I45,FALSE)))</f>
        <v/>
      </c>
      <c r="K45" s="204" t="str">
        <f t="shared" si="2"/>
        <v/>
      </c>
      <c r="L45" s="188" t="str">
        <f t="shared" si="3"/>
        <v/>
      </c>
      <c r="M45" s="203" t="str">
        <f>IF($H45="USD",IF(OR($L45="",$L45="-"),"",VLOOKUP($G45,為替!$A:$AX,$L45,FALSE))+$K$3,IF(OR($L45="",$L45="-"),"",VLOOKUP($G45,為替!$A:$AX,$L45,FALSE)))</f>
        <v/>
      </c>
      <c r="N45" s="204" t="str">
        <f t="shared" si="4"/>
        <v/>
      </c>
      <c r="O45" s="205" t="str">
        <f t="shared" si="0"/>
        <v/>
      </c>
      <c r="P45" s="206" t="str">
        <f t="shared" si="5"/>
        <v/>
      </c>
    </row>
    <row r="46" spans="1:16" x14ac:dyDescent="0.4">
      <c r="C46" s="199"/>
      <c r="D46" s="200"/>
      <c r="E46" s="201"/>
      <c r="F46" s="199"/>
      <c r="H46" s="202"/>
      <c r="I46" s="185" t="str">
        <f t="shared" si="1"/>
        <v/>
      </c>
      <c r="J46" s="203" t="str">
        <f>IF($H46="USD",IF(OR($I46="",$I46="-"),"",VLOOKUP($G46,為替!$A:$AX,$I46,FALSE))+$J$3,IF(OR($I46="",$I46="-"),"",VLOOKUP($G46,為替!$A:$AX,$I46,FALSE)))</f>
        <v/>
      </c>
      <c r="K46" s="204" t="str">
        <f t="shared" si="2"/>
        <v/>
      </c>
      <c r="L46" s="188" t="str">
        <f t="shared" si="3"/>
        <v/>
      </c>
      <c r="M46" s="203" t="str">
        <f>IF($H46="USD",IF(OR($L46="",$L46="-"),"",VLOOKUP($G46,為替!$A:$AX,$L46,FALSE))+$K$3,IF(OR($L46="",$L46="-"),"",VLOOKUP($G46,為替!$A:$AX,$L46,FALSE)))</f>
        <v/>
      </c>
      <c r="N46" s="204" t="str">
        <f t="shared" si="4"/>
        <v/>
      </c>
      <c r="O46" s="205" t="str">
        <f t="shared" si="0"/>
        <v/>
      </c>
      <c r="P46" s="206" t="str">
        <f t="shared" si="5"/>
        <v/>
      </c>
    </row>
    <row r="47" spans="1:16" x14ac:dyDescent="0.4">
      <c r="C47" s="199"/>
      <c r="D47" s="200"/>
      <c r="E47" s="201"/>
      <c r="F47" s="199"/>
      <c r="H47" s="202"/>
      <c r="I47" s="185" t="str">
        <f t="shared" si="1"/>
        <v/>
      </c>
      <c r="J47" s="203" t="str">
        <f>IF($H47="USD",IF(OR($I47="",$I47="-"),"",VLOOKUP($G47,為替!$A:$AX,$I47,FALSE))+$J$3,IF(OR($I47="",$I47="-"),"",VLOOKUP($G47,為替!$A:$AX,$I47,FALSE)))</f>
        <v/>
      </c>
      <c r="K47" s="204" t="str">
        <f t="shared" si="2"/>
        <v/>
      </c>
      <c r="L47" s="188" t="str">
        <f t="shared" si="3"/>
        <v/>
      </c>
      <c r="M47" s="203" t="str">
        <f>IF($H47="USD",IF(OR($L47="",$L47="-"),"",VLOOKUP($G47,為替!$A:$AX,$L47,FALSE))+$K$3,IF(OR($L47="",$L47="-"),"",VLOOKUP($G47,為替!$A:$AX,$L47,FALSE)))</f>
        <v/>
      </c>
      <c r="N47" s="204" t="str">
        <f t="shared" si="4"/>
        <v/>
      </c>
      <c r="O47" s="205" t="str">
        <f t="shared" si="0"/>
        <v/>
      </c>
      <c r="P47" s="206" t="str">
        <f t="shared" si="5"/>
        <v/>
      </c>
    </row>
    <row r="48" spans="1:16" x14ac:dyDescent="0.4">
      <c r="C48" s="199"/>
      <c r="D48" s="200"/>
      <c r="E48" s="201"/>
      <c r="F48" s="199"/>
      <c r="H48" s="202"/>
      <c r="I48" s="185" t="str">
        <f t="shared" si="1"/>
        <v/>
      </c>
      <c r="J48" s="203" t="str">
        <f>IF($H48="USD",IF(OR($I48="",$I48="-"),"",VLOOKUP($G48,為替!$A:$AX,$I48,FALSE))+$J$3,IF(OR($I48="",$I48="-"),"",VLOOKUP($G48,為替!$A:$AX,$I48,FALSE)))</f>
        <v/>
      </c>
      <c r="K48" s="204" t="str">
        <f t="shared" si="2"/>
        <v/>
      </c>
      <c r="L48" s="188" t="str">
        <f t="shared" si="3"/>
        <v/>
      </c>
      <c r="M48" s="203" t="str">
        <f>IF($H48="USD",IF(OR($L48="",$L48="-"),"",VLOOKUP($G48,為替!$A:$AX,$L48,FALSE))+$K$3,IF(OR($L48="",$L48="-"),"",VLOOKUP($G48,為替!$A:$AX,$L48,FALSE)))</f>
        <v/>
      </c>
      <c r="N48" s="204" t="str">
        <f t="shared" si="4"/>
        <v/>
      </c>
      <c r="O48" s="205" t="str">
        <f t="shared" si="0"/>
        <v/>
      </c>
      <c r="P48" s="206" t="str">
        <f t="shared" si="5"/>
        <v/>
      </c>
    </row>
    <row r="49" spans="3:16" x14ac:dyDescent="0.4">
      <c r="C49" s="199"/>
      <c r="D49" s="200"/>
      <c r="E49" s="201"/>
      <c r="F49" s="199"/>
      <c r="H49" s="202"/>
      <c r="I49" s="185" t="str">
        <f t="shared" si="1"/>
        <v/>
      </c>
      <c r="J49" s="203" t="str">
        <f>IF($H49="USD",IF(OR($I49="",$I49="-"),"",VLOOKUP($G49,為替!$A:$AX,$I49,FALSE))+$J$3,IF(OR($I49="",$I49="-"),"",VLOOKUP($G49,為替!$A:$AX,$I49,FALSE)))</f>
        <v/>
      </c>
      <c r="K49" s="204" t="str">
        <f t="shared" si="2"/>
        <v/>
      </c>
      <c r="L49" s="188" t="str">
        <f t="shared" si="3"/>
        <v/>
      </c>
      <c r="M49" s="203" t="str">
        <f>IF($H49="USD",IF(OR($L49="",$L49="-"),"",VLOOKUP($G49,為替!$A:$AX,$L49,FALSE))+$K$3,IF(OR($L49="",$L49="-"),"",VLOOKUP($G49,為替!$A:$AX,$L49,FALSE)))</f>
        <v/>
      </c>
      <c r="N49" s="204" t="str">
        <f t="shared" si="4"/>
        <v/>
      </c>
      <c r="O49" s="205" t="str">
        <f t="shared" si="0"/>
        <v/>
      </c>
      <c r="P49" s="206" t="str">
        <f t="shared" si="5"/>
        <v/>
      </c>
    </row>
    <row r="50" spans="3:16" x14ac:dyDescent="0.4">
      <c r="C50" s="199"/>
      <c r="D50" s="200"/>
      <c r="E50" s="201"/>
      <c r="F50" s="199"/>
      <c r="H50" s="202"/>
      <c r="I50" s="185" t="str">
        <f t="shared" si="1"/>
        <v/>
      </c>
      <c r="J50" s="203" t="str">
        <f>IF($H50="USD",IF(OR($I50="",$I50="-"),"",VLOOKUP($G50,為替!$A:$AX,$I50,FALSE))+$J$3,IF(OR($I50="",$I50="-"),"",VLOOKUP($G50,為替!$A:$AX,$I50,FALSE)))</f>
        <v/>
      </c>
      <c r="K50" s="204" t="str">
        <f t="shared" si="2"/>
        <v/>
      </c>
      <c r="L50" s="188" t="str">
        <f t="shared" si="3"/>
        <v/>
      </c>
      <c r="M50" s="203" t="str">
        <f>IF($H50="USD",IF(OR($L50="",$L50="-"),"",VLOOKUP($G50,為替!$A:$AX,$L50,FALSE))+$K$3,IF(OR($L50="",$L50="-"),"",VLOOKUP($G50,為替!$A:$AX,$L50,FALSE)))</f>
        <v/>
      </c>
      <c r="N50" s="204" t="str">
        <f t="shared" si="4"/>
        <v/>
      </c>
      <c r="O50" s="205" t="str">
        <f t="shared" si="0"/>
        <v/>
      </c>
      <c r="P50" s="206" t="str">
        <f t="shared" si="5"/>
        <v/>
      </c>
    </row>
    <row r="51" spans="3:16" x14ac:dyDescent="0.4">
      <c r="C51" s="199"/>
      <c r="D51" s="200"/>
      <c r="E51" s="201"/>
      <c r="F51" s="199"/>
      <c r="H51" s="202"/>
      <c r="I51" s="185" t="str">
        <f t="shared" si="1"/>
        <v/>
      </c>
      <c r="J51" s="203" t="str">
        <f>IF($H51="USD",IF(OR($I51="",$I51="-"),"",VLOOKUP($G51,為替!$A:$AX,$I51,FALSE))+$J$3,IF(OR($I51="",$I51="-"),"",VLOOKUP($G51,為替!$A:$AX,$I51,FALSE)))</f>
        <v/>
      </c>
      <c r="K51" s="204" t="str">
        <f t="shared" si="2"/>
        <v/>
      </c>
      <c r="L51" s="188" t="str">
        <f t="shared" si="3"/>
        <v/>
      </c>
      <c r="M51" s="203" t="str">
        <f>IF($H51="USD",IF(OR($L51="",$L51="-"),"",VLOOKUP($G51,為替!$A:$AX,$L51,FALSE))+$K$3,IF(OR($L51="",$L51="-"),"",VLOOKUP($G51,為替!$A:$AX,$L51,FALSE)))</f>
        <v/>
      </c>
      <c r="N51" s="204" t="str">
        <f t="shared" si="4"/>
        <v/>
      </c>
      <c r="O51" s="205" t="str">
        <f t="shared" si="0"/>
        <v/>
      </c>
      <c r="P51" s="206" t="str">
        <f t="shared" si="5"/>
        <v/>
      </c>
    </row>
    <row r="52" spans="3:16" x14ac:dyDescent="0.4">
      <c r="C52" s="199"/>
      <c r="D52" s="200"/>
      <c r="E52" s="201"/>
      <c r="F52" s="199"/>
      <c r="H52" s="202"/>
      <c r="I52" s="185" t="str">
        <f t="shared" si="1"/>
        <v/>
      </c>
      <c r="J52" s="203" t="str">
        <f>IF($H52="USD",IF(OR($I52="",$I52="-"),"",VLOOKUP($G52,為替!$A:$AX,$I52,FALSE))+$J$3,IF(OR($I52="",$I52="-"),"",VLOOKUP($G52,為替!$A:$AX,$I52,FALSE)))</f>
        <v/>
      </c>
      <c r="K52" s="204" t="str">
        <f t="shared" si="2"/>
        <v/>
      </c>
      <c r="L52" s="188" t="str">
        <f t="shared" si="3"/>
        <v/>
      </c>
      <c r="M52" s="203" t="str">
        <f>IF($H52="USD",IF(OR($L52="",$L52="-"),"",VLOOKUP($G52,為替!$A:$AX,$L52,FALSE))+$K$3,IF(OR($L52="",$L52="-"),"",VLOOKUP($G52,為替!$A:$AX,$L52,FALSE)))</f>
        <v/>
      </c>
      <c r="N52" s="204" t="str">
        <f t="shared" si="4"/>
        <v/>
      </c>
      <c r="O52" s="205" t="str">
        <f t="shared" si="0"/>
        <v/>
      </c>
      <c r="P52" s="206" t="str">
        <f t="shared" si="5"/>
        <v/>
      </c>
    </row>
    <row r="53" spans="3:16" x14ac:dyDescent="0.4">
      <c r="C53" s="199"/>
      <c r="D53" s="200"/>
      <c r="E53" s="201"/>
      <c r="F53" s="199"/>
      <c r="H53" s="202"/>
      <c r="I53" s="185" t="str">
        <f t="shared" si="1"/>
        <v/>
      </c>
      <c r="J53" s="203" t="str">
        <f>IF($H53="USD",IF(OR($I53="",$I53="-"),"",VLOOKUP($G53,為替!$A:$AX,$I53,FALSE))+$J$3,IF(OR($I53="",$I53="-"),"",VLOOKUP($G53,為替!$A:$AX,$I53,FALSE)))</f>
        <v/>
      </c>
      <c r="K53" s="204" t="str">
        <f t="shared" si="2"/>
        <v/>
      </c>
      <c r="L53" s="188" t="str">
        <f t="shared" si="3"/>
        <v/>
      </c>
      <c r="M53" s="203" t="str">
        <f>IF($H53="USD",IF(OR($L53="",$L53="-"),"",VLOOKUP($G53,為替!$A:$AX,$L53,FALSE))+$K$3,IF(OR($L53="",$L53="-"),"",VLOOKUP($G53,為替!$A:$AX,$L53,FALSE)))</f>
        <v/>
      </c>
      <c r="N53" s="204" t="str">
        <f t="shared" si="4"/>
        <v/>
      </c>
      <c r="O53" s="205" t="str">
        <f t="shared" si="0"/>
        <v/>
      </c>
      <c r="P53" s="206" t="str">
        <f t="shared" si="5"/>
        <v/>
      </c>
    </row>
    <row r="54" spans="3:16" x14ac:dyDescent="0.4">
      <c r="C54" s="199"/>
      <c r="D54" s="200"/>
      <c r="E54" s="201"/>
      <c r="F54" s="199"/>
      <c r="H54" s="202"/>
      <c r="I54" s="185" t="str">
        <f t="shared" si="1"/>
        <v/>
      </c>
      <c r="J54" s="203" t="str">
        <f>IF($H54="USD",IF(OR($I54="",$I54="-"),"",VLOOKUP($G54,為替!$A:$AX,$I54,FALSE))+$J$3,IF(OR($I54="",$I54="-"),"",VLOOKUP($G54,為替!$A:$AX,$I54,FALSE)))</f>
        <v/>
      </c>
      <c r="K54" s="204" t="str">
        <f t="shared" si="2"/>
        <v/>
      </c>
      <c r="L54" s="188" t="str">
        <f t="shared" si="3"/>
        <v/>
      </c>
      <c r="M54" s="203" t="str">
        <f>IF($H54="USD",IF(OR($L54="",$L54="-"),"",VLOOKUP($G54,為替!$A:$AX,$L54,FALSE))+$K$3,IF(OR($L54="",$L54="-"),"",VLOOKUP($G54,為替!$A:$AX,$L54,FALSE)))</f>
        <v/>
      </c>
      <c r="N54" s="204" t="str">
        <f t="shared" si="4"/>
        <v/>
      </c>
      <c r="O54" s="205" t="str">
        <f t="shared" si="0"/>
        <v/>
      </c>
      <c r="P54" s="206" t="str">
        <f t="shared" si="5"/>
        <v/>
      </c>
    </row>
    <row r="55" spans="3:16" x14ac:dyDescent="0.4">
      <c r="C55" s="199"/>
      <c r="D55" s="200"/>
      <c r="E55" s="201"/>
      <c r="F55" s="199"/>
      <c r="H55" s="202"/>
      <c r="I55" s="185" t="str">
        <f t="shared" si="1"/>
        <v/>
      </c>
      <c r="J55" s="203" t="str">
        <f>IF($H55="USD",IF(OR($I55="",$I55="-"),"",VLOOKUP($G55,為替!$A:$AX,$I55,FALSE))+$J$3,IF(OR($I55="",$I55="-"),"",VLOOKUP($G55,為替!$A:$AX,$I55,FALSE)))</f>
        <v/>
      </c>
      <c r="K55" s="204" t="str">
        <f t="shared" si="2"/>
        <v/>
      </c>
      <c r="L55" s="188" t="str">
        <f t="shared" si="3"/>
        <v/>
      </c>
      <c r="M55" s="203" t="str">
        <f>IF($H55="USD",IF(OR($L55="",$L55="-"),"",VLOOKUP($G55,為替!$A:$AX,$L55,FALSE))+$K$3,IF(OR($L55="",$L55="-"),"",VLOOKUP($G55,為替!$A:$AX,$L55,FALSE)))</f>
        <v/>
      </c>
      <c r="N55" s="204" t="str">
        <f t="shared" si="4"/>
        <v/>
      </c>
      <c r="O55" s="205" t="str">
        <f t="shared" si="0"/>
        <v/>
      </c>
      <c r="P55" s="206" t="str">
        <f t="shared" si="5"/>
        <v/>
      </c>
    </row>
    <row r="56" spans="3:16" x14ac:dyDescent="0.4">
      <c r="C56" s="199"/>
      <c r="D56" s="200"/>
      <c r="E56" s="201"/>
      <c r="F56" s="199"/>
      <c r="H56" s="202"/>
      <c r="I56" s="185" t="str">
        <f t="shared" si="1"/>
        <v/>
      </c>
      <c r="J56" s="203" t="str">
        <f>IF($H56="USD",IF(OR($I56="",$I56="-"),"",VLOOKUP($G56,為替!$A:$AX,$I56,FALSE))+$J$3,IF(OR($I56="",$I56="-"),"",VLOOKUP($G56,為替!$A:$AX,$I56,FALSE)))</f>
        <v/>
      </c>
      <c r="K56" s="204" t="str">
        <f t="shared" si="2"/>
        <v/>
      </c>
      <c r="L56" s="188" t="str">
        <f t="shared" si="3"/>
        <v/>
      </c>
      <c r="M56" s="203" t="str">
        <f>IF($H56="USD",IF(OR($L56="",$L56="-"),"",VLOOKUP($G56,為替!$A:$AX,$L56,FALSE))+$K$3,IF(OR($L56="",$L56="-"),"",VLOOKUP($G56,為替!$A:$AX,$L56,FALSE)))</f>
        <v/>
      </c>
      <c r="N56" s="204" t="str">
        <f t="shared" si="4"/>
        <v/>
      </c>
      <c r="O56" s="205" t="str">
        <f t="shared" si="0"/>
        <v/>
      </c>
      <c r="P56" s="206" t="str">
        <f t="shared" si="5"/>
        <v/>
      </c>
    </row>
    <row r="57" spans="3:16" x14ac:dyDescent="0.4">
      <c r="C57" s="199"/>
      <c r="D57" s="200"/>
      <c r="E57" s="201"/>
      <c r="F57" s="199"/>
      <c r="H57" s="202"/>
      <c r="I57" s="185" t="str">
        <f t="shared" si="1"/>
        <v/>
      </c>
      <c r="J57" s="203" t="str">
        <f>IF($H57="USD",IF(OR($I57="",$I57="-"),"",VLOOKUP($G57,為替!$A:$AX,$I57,FALSE))+$J$3,IF(OR($I57="",$I57="-"),"",VLOOKUP($G57,為替!$A:$AX,$I57,FALSE)))</f>
        <v/>
      </c>
      <c r="K57" s="204" t="str">
        <f t="shared" si="2"/>
        <v/>
      </c>
      <c r="L57" s="188" t="str">
        <f t="shared" si="3"/>
        <v/>
      </c>
      <c r="M57" s="203" t="str">
        <f>IF($H57="USD",IF(OR($L57="",$L57="-"),"",VLOOKUP($G57,為替!$A:$AX,$L57,FALSE))+$K$3,IF(OR($L57="",$L57="-"),"",VLOOKUP($G57,為替!$A:$AX,$L57,FALSE)))</f>
        <v/>
      </c>
      <c r="N57" s="204" t="str">
        <f t="shared" si="4"/>
        <v/>
      </c>
      <c r="O57" s="205" t="str">
        <f t="shared" si="0"/>
        <v/>
      </c>
      <c r="P57" s="206" t="str">
        <f t="shared" si="5"/>
        <v/>
      </c>
    </row>
    <row r="58" spans="3:16" x14ac:dyDescent="0.4">
      <c r="C58" s="199"/>
      <c r="D58" s="200"/>
      <c r="E58" s="201"/>
      <c r="F58" s="199"/>
      <c r="H58" s="202"/>
      <c r="I58" s="185" t="str">
        <f t="shared" si="1"/>
        <v/>
      </c>
      <c r="J58" s="203" t="str">
        <f>IF($H58="USD",IF(OR($I58="",$I58="-"),"",VLOOKUP($G58,為替!$A:$AX,$I58,FALSE))+$J$3,IF(OR($I58="",$I58="-"),"",VLOOKUP($G58,為替!$A:$AX,$I58,FALSE)))</f>
        <v/>
      </c>
      <c r="K58" s="204" t="str">
        <f t="shared" si="2"/>
        <v/>
      </c>
      <c r="L58" s="188" t="str">
        <f t="shared" si="3"/>
        <v/>
      </c>
      <c r="M58" s="203" t="str">
        <f>IF($H58="USD",IF(OR($L58="",$L58="-"),"",VLOOKUP($G58,為替!$A:$AX,$L58,FALSE))+$K$3,IF(OR($L58="",$L58="-"),"",VLOOKUP($G58,為替!$A:$AX,$L58,FALSE)))</f>
        <v/>
      </c>
      <c r="N58" s="204" t="str">
        <f t="shared" si="4"/>
        <v/>
      </c>
      <c r="O58" s="205" t="str">
        <f t="shared" si="0"/>
        <v/>
      </c>
      <c r="P58" s="206" t="str">
        <f t="shared" si="5"/>
        <v/>
      </c>
    </row>
    <row r="59" spans="3:16" x14ac:dyDescent="0.4">
      <c r="C59" s="199"/>
      <c r="D59" s="200"/>
      <c r="E59" s="201"/>
      <c r="F59" s="199"/>
      <c r="H59" s="202"/>
      <c r="I59" s="185" t="str">
        <f t="shared" si="1"/>
        <v/>
      </c>
      <c r="J59" s="203" t="str">
        <f>IF($H59="USD",IF(OR($I59="",$I59="-"),"",VLOOKUP($G59,為替!$A:$AX,$I59,FALSE))+$J$3,IF(OR($I59="",$I59="-"),"",VLOOKUP($G59,為替!$A:$AX,$I59,FALSE)))</f>
        <v/>
      </c>
      <c r="K59" s="204" t="str">
        <f t="shared" si="2"/>
        <v/>
      </c>
      <c r="L59" s="188" t="str">
        <f t="shared" si="3"/>
        <v/>
      </c>
      <c r="M59" s="203" t="str">
        <f>IF($H59="USD",IF(OR($L59="",$L59="-"),"",VLOOKUP($G59,為替!$A:$AX,$L59,FALSE))+$K$3,IF(OR($L59="",$L59="-"),"",VLOOKUP($G59,為替!$A:$AX,$L59,FALSE)))</f>
        <v/>
      </c>
      <c r="N59" s="204" t="str">
        <f t="shared" si="4"/>
        <v/>
      </c>
      <c r="O59" s="205" t="str">
        <f t="shared" si="0"/>
        <v/>
      </c>
      <c r="P59" s="206" t="str">
        <f t="shared" si="5"/>
        <v/>
      </c>
    </row>
    <row r="60" spans="3:16" x14ac:dyDescent="0.4">
      <c r="C60" s="199"/>
      <c r="D60" s="200"/>
      <c r="E60" s="201"/>
      <c r="F60" s="199"/>
      <c r="H60" s="202"/>
      <c r="I60" s="185" t="str">
        <f t="shared" si="1"/>
        <v/>
      </c>
      <c r="J60" s="203" t="str">
        <f>IF($H60="USD",IF(OR($I60="",$I60="-"),"",VLOOKUP($G60,為替!$A:$AX,$I60,FALSE))+$J$3,IF(OR($I60="",$I60="-"),"",VLOOKUP($G60,為替!$A:$AX,$I60,FALSE)))</f>
        <v/>
      </c>
      <c r="K60" s="204" t="str">
        <f t="shared" si="2"/>
        <v/>
      </c>
      <c r="L60" s="188" t="str">
        <f t="shared" si="3"/>
        <v/>
      </c>
      <c r="M60" s="203" t="str">
        <f>IF($H60="USD",IF(OR($L60="",$L60="-"),"",VLOOKUP($G60,為替!$A:$AX,$L60,FALSE))+$K$3,IF(OR($L60="",$L60="-"),"",VLOOKUP($G60,為替!$A:$AX,$L60,FALSE)))</f>
        <v/>
      </c>
      <c r="N60" s="204" t="str">
        <f t="shared" si="4"/>
        <v/>
      </c>
      <c r="O60" s="205" t="str">
        <f t="shared" si="0"/>
        <v/>
      </c>
      <c r="P60" s="206" t="str">
        <f t="shared" si="5"/>
        <v/>
      </c>
    </row>
    <row r="61" spans="3:16" x14ac:dyDescent="0.4">
      <c r="C61" s="199"/>
      <c r="D61" s="200"/>
      <c r="E61" s="201"/>
      <c r="F61" s="199"/>
      <c r="H61" s="202"/>
      <c r="I61" s="185" t="str">
        <f t="shared" si="1"/>
        <v/>
      </c>
      <c r="J61" s="203" t="str">
        <f>IF($H61="USD",IF(OR($I61="",$I61="-"),"",VLOOKUP($G61,為替!$A:$AX,$I61,FALSE))+$J$3,IF(OR($I61="",$I61="-"),"",VLOOKUP($G61,為替!$A:$AX,$I61,FALSE)))</f>
        <v/>
      </c>
      <c r="K61" s="204" t="str">
        <f t="shared" si="2"/>
        <v/>
      </c>
      <c r="L61" s="188" t="str">
        <f t="shared" si="3"/>
        <v/>
      </c>
      <c r="M61" s="203" t="str">
        <f>IF($H61="USD",IF(OR($L61="",$L61="-"),"",VLOOKUP($G61,為替!$A:$AX,$L61,FALSE))+$K$3,IF(OR($L61="",$L61="-"),"",VLOOKUP($G61,為替!$A:$AX,$L61,FALSE)))</f>
        <v/>
      </c>
      <c r="N61" s="204" t="str">
        <f t="shared" si="4"/>
        <v/>
      </c>
      <c r="O61" s="205" t="str">
        <f t="shared" si="0"/>
        <v/>
      </c>
      <c r="P61" s="206" t="str">
        <f t="shared" si="5"/>
        <v/>
      </c>
    </row>
    <row r="62" spans="3:16" x14ac:dyDescent="0.4">
      <c r="C62" s="199"/>
      <c r="D62" s="200"/>
      <c r="E62" s="201"/>
      <c r="F62" s="199"/>
      <c r="H62" s="202"/>
      <c r="I62" s="185" t="str">
        <f t="shared" si="1"/>
        <v/>
      </c>
      <c r="J62" s="203" t="str">
        <f>IF($H62="USD",IF(OR($I62="",$I62="-"),"",VLOOKUP($G62,為替!$A:$AX,$I62,FALSE))+$J$3,IF(OR($I62="",$I62="-"),"",VLOOKUP($G62,為替!$A:$AX,$I62,FALSE)))</f>
        <v/>
      </c>
      <c r="K62" s="204" t="str">
        <f t="shared" si="2"/>
        <v/>
      </c>
      <c r="L62" s="188" t="str">
        <f t="shared" si="3"/>
        <v/>
      </c>
      <c r="M62" s="203" t="str">
        <f>IF($H62="USD",IF(OR($L62="",$L62="-"),"",VLOOKUP($G62,為替!$A:$AX,$L62,FALSE))+$K$3,IF(OR($L62="",$L62="-"),"",VLOOKUP($G62,為替!$A:$AX,$L62,FALSE)))</f>
        <v/>
      </c>
      <c r="N62" s="204" t="str">
        <f t="shared" si="4"/>
        <v/>
      </c>
      <c r="O62" s="205" t="str">
        <f t="shared" si="0"/>
        <v/>
      </c>
      <c r="P62" s="206" t="str">
        <f t="shared" si="5"/>
        <v/>
      </c>
    </row>
    <row r="63" spans="3:16" x14ac:dyDescent="0.4">
      <c r="C63" s="199"/>
      <c r="D63" s="200"/>
      <c r="E63" s="201"/>
      <c r="F63" s="199"/>
      <c r="H63" s="202"/>
      <c r="I63" s="185" t="str">
        <f t="shared" si="1"/>
        <v/>
      </c>
      <c r="J63" s="203" t="str">
        <f>IF($H63="USD",IF(OR($I63="",$I63="-"),"",VLOOKUP($G63,為替!$A:$AX,$I63,FALSE))+$J$3,IF(OR($I63="",$I63="-"),"",VLOOKUP($G63,為替!$A:$AX,$I63,FALSE)))</f>
        <v/>
      </c>
      <c r="K63" s="204" t="str">
        <f t="shared" si="2"/>
        <v/>
      </c>
      <c r="L63" s="188" t="str">
        <f t="shared" si="3"/>
        <v/>
      </c>
      <c r="M63" s="203" t="str">
        <f>IF($H63="USD",IF(OR($L63="",$L63="-"),"",VLOOKUP($G63,為替!$A:$AX,$L63,FALSE))+$K$3,IF(OR($L63="",$L63="-"),"",VLOOKUP($G63,為替!$A:$AX,$L63,FALSE)))</f>
        <v/>
      </c>
      <c r="N63" s="204" t="str">
        <f t="shared" si="4"/>
        <v/>
      </c>
      <c r="O63" s="205" t="str">
        <f t="shared" si="0"/>
        <v/>
      </c>
      <c r="P63" s="206" t="str">
        <f t="shared" si="5"/>
        <v/>
      </c>
    </row>
    <row r="64" spans="3:16" x14ac:dyDescent="0.4">
      <c r="C64" s="199"/>
      <c r="D64" s="200"/>
      <c r="E64" s="201"/>
      <c r="F64" s="199"/>
      <c r="H64" s="202"/>
      <c r="I64" s="185" t="str">
        <f t="shared" si="1"/>
        <v/>
      </c>
      <c r="J64" s="203" t="str">
        <f>IF($H64="USD",IF(OR($I64="",$I64="-"),"",VLOOKUP($G64,為替!$A:$AX,$I64,FALSE))+$J$3,IF(OR($I64="",$I64="-"),"",VLOOKUP($G64,為替!$A:$AX,$I64,FALSE)))</f>
        <v/>
      </c>
      <c r="K64" s="204" t="str">
        <f t="shared" si="2"/>
        <v/>
      </c>
      <c r="L64" s="188" t="str">
        <f t="shared" si="3"/>
        <v/>
      </c>
      <c r="M64" s="203" t="str">
        <f>IF($H64="USD",IF(OR($L64="",$L64="-"),"",VLOOKUP($G64,為替!$A:$AX,$L64,FALSE))+$K$3,IF(OR($L64="",$L64="-"),"",VLOOKUP($G64,為替!$A:$AX,$L64,FALSE)))</f>
        <v/>
      </c>
      <c r="N64" s="204" t="str">
        <f t="shared" si="4"/>
        <v/>
      </c>
      <c r="O64" s="205" t="str">
        <f t="shared" si="0"/>
        <v/>
      </c>
      <c r="P64" s="206" t="str">
        <f t="shared" si="5"/>
        <v/>
      </c>
    </row>
    <row r="65" spans="3:16" x14ac:dyDescent="0.4">
      <c r="C65" s="199"/>
      <c r="D65" s="200"/>
      <c r="E65" s="201"/>
      <c r="F65" s="199"/>
      <c r="H65" s="202"/>
      <c r="I65" s="185" t="str">
        <f t="shared" si="1"/>
        <v/>
      </c>
      <c r="J65" s="203" t="str">
        <f>IF($H65="USD",IF(OR($I65="",$I65="-"),"",VLOOKUP($G65,為替!$A:$AX,$I65,FALSE))+$J$3,IF(OR($I65="",$I65="-"),"",VLOOKUP($G65,為替!$A:$AX,$I65,FALSE)))</f>
        <v/>
      </c>
      <c r="K65" s="204" t="str">
        <f t="shared" si="2"/>
        <v/>
      </c>
      <c r="L65" s="188" t="str">
        <f t="shared" si="3"/>
        <v/>
      </c>
      <c r="M65" s="203" t="str">
        <f>IF($H65="USD",IF(OR($L65="",$L65="-"),"",VLOOKUP($G65,為替!$A:$AX,$L65,FALSE))+$K$3,IF(OR($L65="",$L65="-"),"",VLOOKUP($G65,為替!$A:$AX,$L65,FALSE)))</f>
        <v/>
      </c>
      <c r="N65" s="204" t="str">
        <f t="shared" si="4"/>
        <v/>
      </c>
      <c r="O65" s="205" t="str">
        <f t="shared" si="0"/>
        <v/>
      </c>
      <c r="P65" s="206" t="str">
        <f t="shared" si="5"/>
        <v/>
      </c>
    </row>
    <row r="66" spans="3:16" x14ac:dyDescent="0.4">
      <c r="C66" s="199"/>
      <c r="D66" s="200"/>
      <c r="E66" s="201"/>
      <c r="F66" s="199"/>
      <c r="H66" s="202"/>
      <c r="I66" s="185" t="str">
        <f t="shared" si="1"/>
        <v/>
      </c>
      <c r="J66" s="203" t="str">
        <f>IF($H66="USD",IF(OR($I66="",$I66="-"),"",VLOOKUP($G66,為替!$A:$AX,$I66,FALSE))+$J$3,IF(OR($I66="",$I66="-"),"",VLOOKUP($G66,為替!$A:$AX,$I66,FALSE)))</f>
        <v/>
      </c>
      <c r="K66" s="204" t="str">
        <f t="shared" si="2"/>
        <v/>
      </c>
      <c r="L66" s="188" t="str">
        <f t="shared" si="3"/>
        <v/>
      </c>
      <c r="M66" s="203" t="str">
        <f>IF($H66="USD",IF(OR($L66="",$L66="-"),"",VLOOKUP($G66,為替!$A:$AX,$L66,FALSE))+$K$3,IF(OR($L66="",$L66="-"),"",VLOOKUP($G66,為替!$A:$AX,$L66,FALSE)))</f>
        <v/>
      </c>
      <c r="N66" s="204" t="str">
        <f t="shared" si="4"/>
        <v/>
      </c>
      <c r="O66" s="205" t="str">
        <f t="shared" si="0"/>
        <v/>
      </c>
      <c r="P66" s="206" t="str">
        <f t="shared" si="5"/>
        <v/>
      </c>
    </row>
    <row r="67" spans="3:16" x14ac:dyDescent="0.4">
      <c r="C67" s="199"/>
      <c r="D67" s="200"/>
      <c r="E67" s="201"/>
      <c r="F67" s="199"/>
      <c r="H67" s="202"/>
      <c r="I67" s="185" t="str">
        <f t="shared" si="1"/>
        <v/>
      </c>
      <c r="J67" s="203" t="str">
        <f>IF($H67="USD",IF(OR($I67="",$I67="-"),"",VLOOKUP($G67,為替!$A:$AX,$I67,FALSE))+$J$3,IF(OR($I67="",$I67="-"),"",VLOOKUP($G67,為替!$A:$AX,$I67,FALSE)))</f>
        <v/>
      </c>
      <c r="K67" s="204" t="str">
        <f t="shared" si="2"/>
        <v/>
      </c>
      <c r="L67" s="188" t="str">
        <f t="shared" si="3"/>
        <v/>
      </c>
      <c r="M67" s="203" t="str">
        <f>IF($H67="USD",IF(OR($L67="",$L67="-"),"",VLOOKUP($G67,為替!$A:$AX,$L67,FALSE))+$K$3,IF(OR($L67="",$L67="-"),"",VLOOKUP($G67,為替!$A:$AX,$L67,FALSE)))</f>
        <v/>
      </c>
      <c r="N67" s="204" t="str">
        <f t="shared" si="4"/>
        <v/>
      </c>
      <c r="O67" s="205" t="str">
        <f t="shared" si="0"/>
        <v/>
      </c>
      <c r="P67" s="206" t="str">
        <f t="shared" si="5"/>
        <v/>
      </c>
    </row>
    <row r="68" spans="3:16" x14ac:dyDescent="0.4">
      <c r="C68" s="199"/>
      <c r="D68" s="200"/>
      <c r="E68" s="201"/>
      <c r="F68" s="199"/>
      <c r="H68" s="202"/>
      <c r="I68" s="185" t="str">
        <f t="shared" si="1"/>
        <v/>
      </c>
      <c r="J68" s="203" t="str">
        <f>IF($H68="USD",IF(OR($I68="",$I68="-"),"",VLOOKUP($G68,為替!$A:$AX,$I68,FALSE))+$J$3,IF(OR($I68="",$I68="-"),"",VLOOKUP($G68,為替!$A:$AX,$I68,FALSE)))</f>
        <v/>
      </c>
      <c r="K68" s="204" t="str">
        <f t="shared" si="2"/>
        <v/>
      </c>
      <c r="L68" s="188" t="str">
        <f t="shared" si="3"/>
        <v/>
      </c>
      <c r="M68" s="203" t="str">
        <f>IF($H68="USD",IF(OR($L68="",$L68="-"),"",VLOOKUP($G68,為替!$A:$AX,$L68,FALSE))+$K$3,IF(OR($L68="",$L68="-"),"",VLOOKUP($G68,為替!$A:$AX,$L68,FALSE)))</f>
        <v/>
      </c>
      <c r="N68" s="204" t="str">
        <f t="shared" si="4"/>
        <v/>
      </c>
      <c r="O68" s="205" t="str">
        <f t="shared" si="0"/>
        <v/>
      </c>
      <c r="P68" s="206" t="str">
        <f t="shared" si="5"/>
        <v/>
      </c>
    </row>
    <row r="69" spans="3:16" x14ac:dyDescent="0.4">
      <c r="C69" s="199"/>
      <c r="D69" s="200"/>
      <c r="E69" s="201"/>
      <c r="F69" s="199"/>
      <c r="H69" s="202"/>
      <c r="I69" s="185" t="str">
        <f t="shared" si="1"/>
        <v/>
      </c>
      <c r="J69" s="203" t="str">
        <f>IF($H69="USD",IF(OR($I69="",$I69="-"),"",VLOOKUP($G69,為替!$A:$AX,$I69,FALSE))+$J$3,IF(OR($I69="",$I69="-"),"",VLOOKUP($G69,為替!$A:$AX,$I69,FALSE)))</f>
        <v/>
      </c>
      <c r="K69" s="204" t="str">
        <f t="shared" si="2"/>
        <v/>
      </c>
      <c r="L69" s="188" t="str">
        <f t="shared" si="3"/>
        <v/>
      </c>
      <c r="M69" s="203" t="str">
        <f>IF($H69="USD",IF(OR($L69="",$L69="-"),"",VLOOKUP($G69,為替!$A:$AX,$L69,FALSE))+$K$3,IF(OR($L69="",$L69="-"),"",VLOOKUP($G69,為替!$A:$AX,$L69,FALSE)))</f>
        <v/>
      </c>
      <c r="N69" s="204" t="str">
        <f t="shared" si="4"/>
        <v/>
      </c>
      <c r="O69" s="205" t="str">
        <f t="shared" si="0"/>
        <v/>
      </c>
      <c r="P69" s="206" t="str">
        <f t="shared" si="5"/>
        <v/>
      </c>
    </row>
    <row r="70" spans="3:16" x14ac:dyDescent="0.4">
      <c r="C70" s="199"/>
      <c r="D70" s="200"/>
      <c r="E70" s="201"/>
      <c r="F70" s="199"/>
      <c r="H70" s="202"/>
      <c r="I70" s="185" t="str">
        <f t="shared" si="1"/>
        <v/>
      </c>
      <c r="J70" s="203" t="str">
        <f>IF($H70="USD",IF(OR($I70="",$I70="-"),"",VLOOKUP($G70,為替!$A:$AX,$I70,FALSE))+$J$3,IF(OR($I70="",$I70="-"),"",VLOOKUP($G70,為替!$A:$AX,$I70,FALSE)))</f>
        <v/>
      </c>
      <c r="K70" s="204" t="str">
        <f t="shared" si="2"/>
        <v/>
      </c>
      <c r="L70" s="188" t="str">
        <f t="shared" si="3"/>
        <v/>
      </c>
      <c r="M70" s="203" t="str">
        <f>IF($H70="USD",IF(OR($L70="",$L70="-"),"",VLOOKUP($G70,為替!$A:$AX,$L70,FALSE))+$K$3,IF(OR($L70="",$L70="-"),"",VLOOKUP($G70,為替!$A:$AX,$L70,FALSE)))</f>
        <v/>
      </c>
      <c r="N70" s="204" t="str">
        <f t="shared" si="4"/>
        <v/>
      </c>
      <c r="O70" s="205" t="str">
        <f t="shared" ref="O70:O133" si="6">IF(OR(K70="",N70=""),"",K70-N70)</f>
        <v/>
      </c>
      <c r="P70" s="206" t="str">
        <f t="shared" si="5"/>
        <v/>
      </c>
    </row>
    <row r="71" spans="3:16" x14ac:dyDescent="0.4">
      <c r="C71" s="199"/>
      <c r="D71" s="200"/>
      <c r="E71" s="201"/>
      <c r="F71" s="199"/>
      <c r="H71" s="202"/>
      <c r="I71" s="185" t="str">
        <f t="shared" ref="I71:I134" si="7">IF(H71="","",IF(H71="JPY","",IF($H71="USD",4, IF(H71="EUR",7,IF(H71="CNY",47,IF(H71="HKD",34))))))</f>
        <v/>
      </c>
      <c r="J71" s="203" t="str">
        <f>IF($H71="USD",IF(OR($I71="",$I71="-"),"",VLOOKUP($G71,為替!$A:$AX,$I71,FALSE))+$J$3,IF(OR($I71="",$I71="-"),"",VLOOKUP($G71,為替!$A:$AX,$I71,FALSE)))</f>
        <v/>
      </c>
      <c r="K71" s="204" t="str">
        <f t="shared" ref="K71:K134" si="8">IF($H71="JPY",$F71,IF($H71="","",$F71*$J71))</f>
        <v/>
      </c>
      <c r="L71" s="188" t="str">
        <f t="shared" ref="L71:L134" si="9">IF(H71="","",IF(H71="JPY","",IF($H71="USD",3, IF(H71="EUR",6,IF(H71="CNY",46,IF(H71="HKD",33))))))</f>
        <v/>
      </c>
      <c r="M71" s="203" t="str">
        <f>IF($H71="USD",IF(OR($L71="",$L71="-"),"",VLOOKUP($G71,為替!$A:$AX,$L71,FALSE))+$K$3,IF(OR($L71="",$L71="-"),"",VLOOKUP($G71,為替!$A:$AX,$L71,FALSE)))</f>
        <v/>
      </c>
      <c r="N71" s="204" t="str">
        <f t="shared" ref="N71:N134" si="10">IF($E71="JPY",($C71+$D71),IF($E71="","",($C71+$D71)*$M71))</f>
        <v/>
      </c>
      <c r="O71" s="205" t="str">
        <f t="shared" si="6"/>
        <v/>
      </c>
      <c r="P71" s="206" t="str">
        <f t="shared" ref="P71:P134" si="11">IF(OR(K71="",O71=""),"",O71/K71)</f>
        <v/>
      </c>
    </row>
    <row r="72" spans="3:16" x14ac:dyDescent="0.4">
      <c r="C72" s="199"/>
      <c r="D72" s="200"/>
      <c r="E72" s="201"/>
      <c r="F72" s="199"/>
      <c r="H72" s="202"/>
      <c r="I72" s="185" t="str">
        <f t="shared" si="7"/>
        <v/>
      </c>
      <c r="J72" s="203" t="str">
        <f>IF($H72="USD",IF(OR($I72="",$I72="-"),"",VLOOKUP($G72,為替!$A:$AX,$I72,FALSE))+$J$3,IF(OR($I72="",$I72="-"),"",VLOOKUP($G72,為替!$A:$AX,$I72,FALSE)))</f>
        <v/>
      </c>
      <c r="K72" s="204" t="str">
        <f t="shared" si="8"/>
        <v/>
      </c>
      <c r="L72" s="188" t="str">
        <f t="shared" si="9"/>
        <v/>
      </c>
      <c r="M72" s="203" t="str">
        <f>IF($H72="USD",IF(OR($L72="",$L72="-"),"",VLOOKUP($G72,為替!$A:$AX,$L72,FALSE))+$K$3,IF(OR($L72="",$L72="-"),"",VLOOKUP($G72,為替!$A:$AX,$L72,FALSE)))</f>
        <v/>
      </c>
      <c r="N72" s="204" t="str">
        <f t="shared" si="10"/>
        <v/>
      </c>
      <c r="O72" s="205" t="str">
        <f t="shared" si="6"/>
        <v/>
      </c>
      <c r="P72" s="206" t="str">
        <f t="shared" si="11"/>
        <v/>
      </c>
    </row>
    <row r="73" spans="3:16" x14ac:dyDescent="0.4">
      <c r="C73" s="199"/>
      <c r="D73" s="200"/>
      <c r="E73" s="201"/>
      <c r="F73" s="199"/>
      <c r="H73" s="202"/>
      <c r="I73" s="185" t="str">
        <f t="shared" si="7"/>
        <v/>
      </c>
      <c r="J73" s="203" t="str">
        <f>IF($H73="USD",IF(OR($I73="",$I73="-"),"",VLOOKUP($G73,為替!$A:$AX,$I73,FALSE))+$J$3,IF(OR($I73="",$I73="-"),"",VLOOKUP($G73,為替!$A:$AX,$I73,FALSE)))</f>
        <v/>
      </c>
      <c r="K73" s="204" t="str">
        <f t="shared" si="8"/>
        <v/>
      </c>
      <c r="L73" s="188" t="str">
        <f t="shared" si="9"/>
        <v/>
      </c>
      <c r="M73" s="203" t="str">
        <f>IF($H73="USD",IF(OR($L73="",$L73="-"),"",VLOOKUP($G73,為替!$A:$AX,$L73,FALSE))+$K$3,IF(OR($L73="",$L73="-"),"",VLOOKUP($G73,為替!$A:$AX,$L73,FALSE)))</f>
        <v/>
      </c>
      <c r="N73" s="204" t="str">
        <f t="shared" si="10"/>
        <v/>
      </c>
      <c r="O73" s="205" t="str">
        <f t="shared" si="6"/>
        <v/>
      </c>
      <c r="P73" s="206" t="str">
        <f t="shared" si="11"/>
        <v/>
      </c>
    </row>
    <row r="74" spans="3:16" x14ac:dyDescent="0.4">
      <c r="C74" s="199"/>
      <c r="D74" s="200"/>
      <c r="E74" s="201"/>
      <c r="F74" s="199"/>
      <c r="H74" s="202"/>
      <c r="I74" s="185" t="str">
        <f t="shared" si="7"/>
        <v/>
      </c>
      <c r="J74" s="203" t="str">
        <f>IF($H74="USD",IF(OR($I74="",$I74="-"),"",VLOOKUP($G74,為替!$A:$AX,$I74,FALSE))+$J$3,IF(OR($I74="",$I74="-"),"",VLOOKUP($G74,為替!$A:$AX,$I74,FALSE)))</f>
        <v/>
      </c>
      <c r="K74" s="204" t="str">
        <f t="shared" si="8"/>
        <v/>
      </c>
      <c r="L74" s="188" t="str">
        <f t="shared" si="9"/>
        <v/>
      </c>
      <c r="M74" s="203" t="str">
        <f>IF($H74="USD",IF(OR($L74="",$L74="-"),"",VLOOKUP($G74,為替!$A:$AX,$L74,FALSE))+$K$3,IF(OR($L74="",$L74="-"),"",VLOOKUP($G74,為替!$A:$AX,$L74,FALSE)))</f>
        <v/>
      </c>
      <c r="N74" s="204" t="str">
        <f t="shared" si="10"/>
        <v/>
      </c>
      <c r="O74" s="205" t="str">
        <f t="shared" si="6"/>
        <v/>
      </c>
      <c r="P74" s="206" t="str">
        <f t="shared" si="11"/>
        <v/>
      </c>
    </row>
    <row r="75" spans="3:16" x14ac:dyDescent="0.4">
      <c r="C75" s="199"/>
      <c r="D75" s="200"/>
      <c r="E75" s="201"/>
      <c r="F75" s="199"/>
      <c r="H75" s="202"/>
      <c r="I75" s="185" t="str">
        <f t="shared" si="7"/>
        <v/>
      </c>
      <c r="J75" s="203" t="str">
        <f>IF($H75="USD",IF(OR($I75="",$I75="-"),"",VLOOKUP($G75,為替!$A:$AX,$I75,FALSE))+$J$3,IF(OR($I75="",$I75="-"),"",VLOOKUP($G75,為替!$A:$AX,$I75,FALSE)))</f>
        <v/>
      </c>
      <c r="K75" s="204" t="str">
        <f t="shared" si="8"/>
        <v/>
      </c>
      <c r="L75" s="188" t="str">
        <f t="shared" si="9"/>
        <v/>
      </c>
      <c r="M75" s="203" t="str">
        <f>IF($H75="USD",IF(OR($L75="",$L75="-"),"",VLOOKUP($G75,為替!$A:$AX,$L75,FALSE))+$K$3,IF(OR($L75="",$L75="-"),"",VLOOKUP($G75,為替!$A:$AX,$L75,FALSE)))</f>
        <v/>
      </c>
      <c r="N75" s="204" t="str">
        <f t="shared" si="10"/>
        <v/>
      </c>
      <c r="O75" s="205" t="str">
        <f t="shared" si="6"/>
        <v/>
      </c>
      <c r="P75" s="206" t="str">
        <f t="shared" si="11"/>
        <v/>
      </c>
    </row>
    <row r="76" spans="3:16" x14ac:dyDescent="0.4">
      <c r="C76" s="199"/>
      <c r="D76" s="200"/>
      <c r="E76" s="201"/>
      <c r="F76" s="199"/>
      <c r="H76" s="202"/>
      <c r="I76" s="185" t="str">
        <f t="shared" si="7"/>
        <v/>
      </c>
      <c r="J76" s="203" t="str">
        <f>IF($H76="USD",IF(OR($I76="",$I76="-"),"",VLOOKUP($G76,為替!$A:$AX,$I76,FALSE))+$J$3,IF(OR($I76="",$I76="-"),"",VLOOKUP($G76,為替!$A:$AX,$I76,FALSE)))</f>
        <v/>
      </c>
      <c r="K76" s="204" t="str">
        <f t="shared" si="8"/>
        <v/>
      </c>
      <c r="L76" s="188" t="str">
        <f t="shared" si="9"/>
        <v/>
      </c>
      <c r="M76" s="203" t="str">
        <f>IF($H76="USD",IF(OR($L76="",$L76="-"),"",VLOOKUP($G76,為替!$A:$AX,$L76,FALSE))+$K$3,IF(OR($L76="",$L76="-"),"",VLOOKUP($G76,為替!$A:$AX,$L76,FALSE)))</f>
        <v/>
      </c>
      <c r="N76" s="204" t="str">
        <f t="shared" si="10"/>
        <v/>
      </c>
      <c r="O76" s="205" t="str">
        <f t="shared" si="6"/>
        <v/>
      </c>
      <c r="P76" s="206" t="str">
        <f t="shared" si="11"/>
        <v/>
      </c>
    </row>
    <row r="77" spans="3:16" x14ac:dyDescent="0.4">
      <c r="C77" s="199"/>
      <c r="D77" s="200"/>
      <c r="E77" s="201"/>
      <c r="F77" s="199"/>
      <c r="H77" s="202"/>
      <c r="I77" s="185" t="str">
        <f t="shared" si="7"/>
        <v/>
      </c>
      <c r="J77" s="203" t="str">
        <f>IF($H77="USD",IF(OR($I77="",$I77="-"),"",VLOOKUP($G77,為替!$A:$AX,$I77,FALSE))+$J$3,IF(OR($I77="",$I77="-"),"",VLOOKUP($G77,為替!$A:$AX,$I77,FALSE)))</f>
        <v/>
      </c>
      <c r="K77" s="204" t="str">
        <f t="shared" si="8"/>
        <v/>
      </c>
      <c r="L77" s="188" t="str">
        <f t="shared" si="9"/>
        <v/>
      </c>
      <c r="M77" s="203" t="str">
        <f>IF($H77="USD",IF(OR($L77="",$L77="-"),"",VLOOKUP($G77,為替!$A:$AX,$L77,FALSE))+$K$3,IF(OR($L77="",$L77="-"),"",VLOOKUP($G77,為替!$A:$AX,$L77,FALSE)))</f>
        <v/>
      </c>
      <c r="N77" s="204" t="str">
        <f t="shared" si="10"/>
        <v/>
      </c>
      <c r="O77" s="205" t="str">
        <f t="shared" si="6"/>
        <v/>
      </c>
      <c r="P77" s="206" t="str">
        <f t="shared" si="11"/>
        <v/>
      </c>
    </row>
    <row r="78" spans="3:16" x14ac:dyDescent="0.4">
      <c r="C78" s="199"/>
      <c r="D78" s="200"/>
      <c r="E78" s="201"/>
      <c r="F78" s="199"/>
      <c r="H78" s="202"/>
      <c r="I78" s="185" t="str">
        <f t="shared" si="7"/>
        <v/>
      </c>
      <c r="J78" s="203" t="str">
        <f>IF($H78="USD",IF(OR($I78="",$I78="-"),"",VLOOKUP($G78,為替!$A:$AX,$I78,FALSE))+$J$3,IF(OR($I78="",$I78="-"),"",VLOOKUP($G78,為替!$A:$AX,$I78,FALSE)))</f>
        <v/>
      </c>
      <c r="K78" s="204" t="str">
        <f t="shared" si="8"/>
        <v/>
      </c>
      <c r="L78" s="188" t="str">
        <f t="shared" si="9"/>
        <v/>
      </c>
      <c r="M78" s="203" t="str">
        <f>IF($H78="USD",IF(OR($L78="",$L78="-"),"",VLOOKUP($G78,為替!$A:$AX,$L78,FALSE))+$K$3,IF(OR($L78="",$L78="-"),"",VLOOKUP($G78,為替!$A:$AX,$L78,FALSE)))</f>
        <v/>
      </c>
      <c r="N78" s="204" t="str">
        <f t="shared" si="10"/>
        <v/>
      </c>
      <c r="O78" s="205" t="str">
        <f t="shared" si="6"/>
        <v/>
      </c>
      <c r="P78" s="206" t="str">
        <f t="shared" si="11"/>
        <v/>
      </c>
    </row>
    <row r="79" spans="3:16" x14ac:dyDescent="0.4">
      <c r="C79" s="199"/>
      <c r="D79" s="200"/>
      <c r="E79" s="201"/>
      <c r="F79" s="199"/>
      <c r="H79" s="202"/>
      <c r="I79" s="185" t="str">
        <f t="shared" si="7"/>
        <v/>
      </c>
      <c r="J79" s="203" t="str">
        <f>IF($H79="USD",IF(OR($I79="",$I79="-"),"",VLOOKUP($G79,為替!$A:$AX,$I79,FALSE))+$J$3,IF(OR($I79="",$I79="-"),"",VLOOKUP($G79,為替!$A:$AX,$I79,FALSE)))</f>
        <v/>
      </c>
      <c r="K79" s="204" t="str">
        <f t="shared" si="8"/>
        <v/>
      </c>
      <c r="L79" s="188" t="str">
        <f t="shared" si="9"/>
        <v/>
      </c>
      <c r="M79" s="203" t="str">
        <f>IF($H79="USD",IF(OR($L79="",$L79="-"),"",VLOOKUP($G79,為替!$A:$AX,$L79,FALSE))+$K$3,IF(OR($L79="",$L79="-"),"",VLOOKUP($G79,為替!$A:$AX,$L79,FALSE)))</f>
        <v/>
      </c>
      <c r="N79" s="204" t="str">
        <f t="shared" si="10"/>
        <v/>
      </c>
      <c r="O79" s="205" t="str">
        <f t="shared" si="6"/>
        <v/>
      </c>
      <c r="P79" s="206" t="str">
        <f t="shared" si="11"/>
        <v/>
      </c>
    </row>
    <row r="80" spans="3:16" x14ac:dyDescent="0.4">
      <c r="C80" s="199"/>
      <c r="D80" s="200"/>
      <c r="E80" s="201"/>
      <c r="F80" s="199"/>
      <c r="H80" s="202"/>
      <c r="I80" s="185" t="str">
        <f t="shared" si="7"/>
        <v/>
      </c>
      <c r="J80" s="203" t="str">
        <f>IF($H80="USD",IF(OR($I80="",$I80="-"),"",VLOOKUP($G80,為替!$A:$AX,$I80,FALSE))+$J$3,IF(OR($I80="",$I80="-"),"",VLOOKUP($G80,為替!$A:$AX,$I80,FALSE)))</f>
        <v/>
      </c>
      <c r="K80" s="204" t="str">
        <f t="shared" si="8"/>
        <v/>
      </c>
      <c r="L80" s="188" t="str">
        <f t="shared" si="9"/>
        <v/>
      </c>
      <c r="M80" s="203" t="str">
        <f>IF($H80="USD",IF(OR($L80="",$L80="-"),"",VLOOKUP($G80,為替!$A:$AX,$L80,FALSE))+$K$3,IF(OR($L80="",$L80="-"),"",VLOOKUP($G80,為替!$A:$AX,$L80,FALSE)))</f>
        <v/>
      </c>
      <c r="N80" s="204" t="str">
        <f t="shared" si="10"/>
        <v/>
      </c>
      <c r="O80" s="205" t="str">
        <f t="shared" si="6"/>
        <v/>
      </c>
      <c r="P80" s="206" t="str">
        <f t="shared" si="11"/>
        <v/>
      </c>
    </row>
    <row r="81" spans="3:16" x14ac:dyDescent="0.4">
      <c r="C81" s="199"/>
      <c r="D81" s="200"/>
      <c r="E81" s="201"/>
      <c r="F81" s="199"/>
      <c r="H81" s="202"/>
      <c r="I81" s="185" t="str">
        <f t="shared" si="7"/>
        <v/>
      </c>
      <c r="J81" s="203" t="str">
        <f>IF($H81="USD",IF(OR($I81="",$I81="-"),"",VLOOKUP($G81,為替!$A:$AX,$I81,FALSE))+$J$3,IF(OR($I81="",$I81="-"),"",VLOOKUP($G81,為替!$A:$AX,$I81,FALSE)))</f>
        <v/>
      </c>
      <c r="K81" s="204" t="str">
        <f t="shared" si="8"/>
        <v/>
      </c>
      <c r="L81" s="188" t="str">
        <f t="shared" si="9"/>
        <v/>
      </c>
      <c r="M81" s="203" t="str">
        <f>IF($H81="USD",IF(OR($L81="",$L81="-"),"",VLOOKUP($G81,為替!$A:$AX,$L81,FALSE))+$K$3,IF(OR($L81="",$L81="-"),"",VLOOKUP($G81,為替!$A:$AX,$L81,FALSE)))</f>
        <v/>
      </c>
      <c r="N81" s="204" t="str">
        <f t="shared" si="10"/>
        <v/>
      </c>
      <c r="O81" s="205" t="str">
        <f t="shared" si="6"/>
        <v/>
      </c>
      <c r="P81" s="206" t="str">
        <f t="shared" si="11"/>
        <v/>
      </c>
    </row>
    <row r="82" spans="3:16" x14ac:dyDescent="0.4">
      <c r="C82" s="199"/>
      <c r="D82" s="200"/>
      <c r="E82" s="201"/>
      <c r="F82" s="199"/>
      <c r="H82" s="202"/>
      <c r="I82" s="185" t="str">
        <f t="shared" si="7"/>
        <v/>
      </c>
      <c r="J82" s="203" t="str">
        <f>IF($H82="USD",IF(OR($I82="",$I82="-"),"",VLOOKUP($G82,為替!$A:$AX,$I82,FALSE))+$J$3,IF(OR($I82="",$I82="-"),"",VLOOKUP($G82,為替!$A:$AX,$I82,FALSE)))</f>
        <v/>
      </c>
      <c r="K82" s="204" t="str">
        <f t="shared" si="8"/>
        <v/>
      </c>
      <c r="L82" s="188" t="str">
        <f t="shared" si="9"/>
        <v/>
      </c>
      <c r="M82" s="203" t="str">
        <f>IF($H82="USD",IF(OR($L82="",$L82="-"),"",VLOOKUP($G82,為替!$A:$AX,$L82,FALSE))+$K$3,IF(OR($L82="",$L82="-"),"",VLOOKUP($G82,為替!$A:$AX,$L82,FALSE)))</f>
        <v/>
      </c>
      <c r="N82" s="204" t="str">
        <f t="shared" si="10"/>
        <v/>
      </c>
      <c r="O82" s="205" t="str">
        <f t="shared" si="6"/>
        <v/>
      </c>
      <c r="P82" s="206" t="str">
        <f t="shared" si="11"/>
        <v/>
      </c>
    </row>
    <row r="83" spans="3:16" x14ac:dyDescent="0.4">
      <c r="C83" s="199"/>
      <c r="D83" s="200"/>
      <c r="E83" s="201"/>
      <c r="F83" s="199"/>
      <c r="H83" s="202"/>
      <c r="I83" s="185" t="str">
        <f t="shared" si="7"/>
        <v/>
      </c>
      <c r="J83" s="203" t="str">
        <f>IF($H83="USD",IF(OR($I83="",$I83="-"),"",VLOOKUP($G83,為替!$A:$AX,$I83,FALSE))+$J$3,IF(OR($I83="",$I83="-"),"",VLOOKUP($G83,為替!$A:$AX,$I83,FALSE)))</f>
        <v/>
      </c>
      <c r="K83" s="204" t="str">
        <f t="shared" si="8"/>
        <v/>
      </c>
      <c r="L83" s="188" t="str">
        <f t="shared" si="9"/>
        <v/>
      </c>
      <c r="M83" s="203" t="str">
        <f>IF($H83="USD",IF(OR($L83="",$L83="-"),"",VLOOKUP($G83,為替!$A:$AX,$L83,FALSE))+$K$3,IF(OR($L83="",$L83="-"),"",VLOOKUP($G83,為替!$A:$AX,$L83,FALSE)))</f>
        <v/>
      </c>
      <c r="N83" s="204" t="str">
        <f t="shared" si="10"/>
        <v/>
      </c>
      <c r="O83" s="205" t="str">
        <f t="shared" si="6"/>
        <v/>
      </c>
      <c r="P83" s="206" t="str">
        <f t="shared" si="11"/>
        <v/>
      </c>
    </row>
    <row r="84" spans="3:16" x14ac:dyDescent="0.4">
      <c r="C84" s="199"/>
      <c r="D84" s="200"/>
      <c r="E84" s="201"/>
      <c r="F84" s="199"/>
      <c r="H84" s="202"/>
      <c r="I84" s="185" t="str">
        <f t="shared" si="7"/>
        <v/>
      </c>
      <c r="J84" s="203" t="str">
        <f>IF($H84="USD",IF(OR($I84="",$I84="-"),"",VLOOKUP($G84,為替!$A:$AX,$I84,FALSE))+$J$3,IF(OR($I84="",$I84="-"),"",VLOOKUP($G84,為替!$A:$AX,$I84,FALSE)))</f>
        <v/>
      </c>
      <c r="K84" s="204" t="str">
        <f t="shared" si="8"/>
        <v/>
      </c>
      <c r="L84" s="188" t="str">
        <f t="shared" si="9"/>
        <v/>
      </c>
      <c r="M84" s="203" t="str">
        <f>IF($H84="USD",IF(OR($L84="",$L84="-"),"",VLOOKUP($G84,為替!$A:$AX,$L84,FALSE))+$K$3,IF(OR($L84="",$L84="-"),"",VLOOKUP($G84,為替!$A:$AX,$L84,FALSE)))</f>
        <v/>
      </c>
      <c r="N84" s="204" t="str">
        <f t="shared" si="10"/>
        <v/>
      </c>
      <c r="O84" s="205" t="str">
        <f t="shared" si="6"/>
        <v/>
      </c>
      <c r="P84" s="206" t="str">
        <f t="shared" si="11"/>
        <v/>
      </c>
    </row>
    <row r="85" spans="3:16" x14ac:dyDescent="0.4">
      <c r="C85" s="199"/>
      <c r="D85" s="200"/>
      <c r="E85" s="201"/>
      <c r="F85" s="199"/>
      <c r="H85" s="202"/>
      <c r="I85" s="185" t="str">
        <f t="shared" si="7"/>
        <v/>
      </c>
      <c r="J85" s="203" t="str">
        <f>IF($H85="USD",IF(OR($I85="",$I85="-"),"",VLOOKUP($G85,為替!$A:$AX,$I85,FALSE))+$J$3,IF(OR($I85="",$I85="-"),"",VLOOKUP($G85,為替!$A:$AX,$I85,FALSE)))</f>
        <v/>
      </c>
      <c r="K85" s="204" t="str">
        <f t="shared" si="8"/>
        <v/>
      </c>
      <c r="L85" s="188" t="str">
        <f t="shared" si="9"/>
        <v/>
      </c>
      <c r="M85" s="203" t="str">
        <f>IF($H85="USD",IF(OR($L85="",$L85="-"),"",VLOOKUP($G85,為替!$A:$AX,$L85,FALSE))+$K$3,IF(OR($L85="",$L85="-"),"",VLOOKUP($G85,為替!$A:$AX,$L85,FALSE)))</f>
        <v/>
      </c>
      <c r="N85" s="204" t="str">
        <f t="shared" si="10"/>
        <v/>
      </c>
      <c r="O85" s="205" t="str">
        <f t="shared" si="6"/>
        <v/>
      </c>
      <c r="P85" s="206" t="str">
        <f t="shared" si="11"/>
        <v/>
      </c>
    </row>
    <row r="86" spans="3:16" x14ac:dyDescent="0.4">
      <c r="C86" s="199"/>
      <c r="D86" s="200"/>
      <c r="E86" s="201"/>
      <c r="F86" s="199"/>
      <c r="H86" s="202"/>
      <c r="I86" s="185" t="str">
        <f t="shared" si="7"/>
        <v/>
      </c>
      <c r="J86" s="203" t="str">
        <f>IF($H86="USD",IF(OR($I86="",$I86="-"),"",VLOOKUP($G86,為替!$A:$AX,$I86,FALSE))+$J$3,IF(OR($I86="",$I86="-"),"",VLOOKUP($G86,為替!$A:$AX,$I86,FALSE)))</f>
        <v/>
      </c>
      <c r="K86" s="204" t="str">
        <f t="shared" si="8"/>
        <v/>
      </c>
      <c r="L86" s="188" t="str">
        <f t="shared" si="9"/>
        <v/>
      </c>
      <c r="M86" s="203" t="str">
        <f>IF($H86="USD",IF(OR($L86="",$L86="-"),"",VLOOKUP($G86,為替!$A:$AX,$L86,FALSE))+$K$3,IF(OR($L86="",$L86="-"),"",VLOOKUP($G86,為替!$A:$AX,$L86,FALSE)))</f>
        <v/>
      </c>
      <c r="N86" s="204" t="str">
        <f t="shared" si="10"/>
        <v/>
      </c>
      <c r="O86" s="205" t="str">
        <f t="shared" si="6"/>
        <v/>
      </c>
      <c r="P86" s="206" t="str">
        <f t="shared" si="11"/>
        <v/>
      </c>
    </row>
    <row r="87" spans="3:16" x14ac:dyDescent="0.4">
      <c r="C87" s="199"/>
      <c r="D87" s="200"/>
      <c r="E87" s="201"/>
      <c r="F87" s="199"/>
      <c r="H87" s="202"/>
      <c r="I87" s="185" t="str">
        <f t="shared" si="7"/>
        <v/>
      </c>
      <c r="J87" s="203" t="str">
        <f>IF($H87="USD",IF(OR($I87="",$I87="-"),"",VLOOKUP($G87,為替!$A:$AX,$I87,FALSE))+$J$3,IF(OR($I87="",$I87="-"),"",VLOOKUP($G87,為替!$A:$AX,$I87,FALSE)))</f>
        <v/>
      </c>
      <c r="K87" s="204" t="str">
        <f t="shared" si="8"/>
        <v/>
      </c>
      <c r="L87" s="188" t="str">
        <f t="shared" si="9"/>
        <v/>
      </c>
      <c r="M87" s="203" t="str">
        <f>IF($H87="USD",IF(OR($L87="",$L87="-"),"",VLOOKUP($G87,為替!$A:$AX,$L87,FALSE))+$K$3,IF(OR($L87="",$L87="-"),"",VLOOKUP($G87,為替!$A:$AX,$L87,FALSE)))</f>
        <v/>
      </c>
      <c r="N87" s="204" t="str">
        <f t="shared" si="10"/>
        <v/>
      </c>
      <c r="O87" s="205" t="str">
        <f t="shared" si="6"/>
        <v/>
      </c>
      <c r="P87" s="206" t="str">
        <f t="shared" si="11"/>
        <v/>
      </c>
    </row>
    <row r="88" spans="3:16" x14ac:dyDescent="0.4">
      <c r="C88" s="199"/>
      <c r="D88" s="200"/>
      <c r="E88" s="201"/>
      <c r="F88" s="199"/>
      <c r="H88" s="202"/>
      <c r="I88" s="185" t="str">
        <f t="shared" si="7"/>
        <v/>
      </c>
      <c r="J88" s="203" t="str">
        <f>IF($H88="USD",IF(OR($I88="",$I88="-"),"",VLOOKUP($G88,為替!$A:$AX,$I88,FALSE))+$J$3,IF(OR($I88="",$I88="-"),"",VLOOKUP($G88,為替!$A:$AX,$I88,FALSE)))</f>
        <v/>
      </c>
      <c r="K88" s="204" t="str">
        <f t="shared" si="8"/>
        <v/>
      </c>
      <c r="L88" s="188" t="str">
        <f t="shared" si="9"/>
        <v/>
      </c>
      <c r="M88" s="203" t="str">
        <f>IF($H88="USD",IF(OR($L88="",$L88="-"),"",VLOOKUP($G88,為替!$A:$AX,$L88,FALSE))+$K$3,IF(OR($L88="",$L88="-"),"",VLOOKUP($G88,為替!$A:$AX,$L88,FALSE)))</f>
        <v/>
      </c>
      <c r="N88" s="204" t="str">
        <f t="shared" si="10"/>
        <v/>
      </c>
      <c r="O88" s="205" t="str">
        <f t="shared" si="6"/>
        <v/>
      </c>
      <c r="P88" s="206" t="str">
        <f t="shared" si="11"/>
        <v/>
      </c>
    </row>
    <row r="89" spans="3:16" x14ac:dyDescent="0.4">
      <c r="C89" s="199"/>
      <c r="D89" s="200"/>
      <c r="E89" s="201"/>
      <c r="F89" s="199"/>
      <c r="H89" s="202"/>
      <c r="I89" s="185" t="str">
        <f t="shared" si="7"/>
        <v/>
      </c>
      <c r="J89" s="203" t="str">
        <f>IF($H89="USD",IF(OR($I89="",$I89="-"),"",VLOOKUP($G89,為替!$A:$AX,$I89,FALSE))+$J$3,IF(OR($I89="",$I89="-"),"",VLOOKUP($G89,為替!$A:$AX,$I89,FALSE)))</f>
        <v/>
      </c>
      <c r="K89" s="204" t="str">
        <f t="shared" si="8"/>
        <v/>
      </c>
      <c r="L89" s="188" t="str">
        <f t="shared" si="9"/>
        <v/>
      </c>
      <c r="M89" s="203" t="str">
        <f>IF($H89="USD",IF(OR($L89="",$L89="-"),"",VLOOKUP($G89,為替!$A:$AX,$L89,FALSE))+$K$3,IF(OR($L89="",$L89="-"),"",VLOOKUP($G89,為替!$A:$AX,$L89,FALSE)))</f>
        <v/>
      </c>
      <c r="N89" s="204" t="str">
        <f t="shared" si="10"/>
        <v/>
      </c>
      <c r="O89" s="205" t="str">
        <f t="shared" si="6"/>
        <v/>
      </c>
      <c r="P89" s="206" t="str">
        <f t="shared" si="11"/>
        <v/>
      </c>
    </row>
    <row r="90" spans="3:16" x14ac:dyDescent="0.4">
      <c r="C90" s="199"/>
      <c r="D90" s="200"/>
      <c r="E90" s="201"/>
      <c r="F90" s="199"/>
      <c r="H90" s="202"/>
      <c r="I90" s="185" t="str">
        <f t="shared" si="7"/>
        <v/>
      </c>
      <c r="J90" s="203" t="str">
        <f>IF($H90="USD",IF(OR($I90="",$I90="-"),"",VLOOKUP($G90,為替!$A:$AX,$I90,FALSE))+$J$3,IF(OR($I90="",$I90="-"),"",VLOOKUP($G90,為替!$A:$AX,$I90,FALSE)))</f>
        <v/>
      </c>
      <c r="K90" s="204" t="str">
        <f t="shared" si="8"/>
        <v/>
      </c>
      <c r="L90" s="188" t="str">
        <f t="shared" si="9"/>
        <v/>
      </c>
      <c r="M90" s="203" t="str">
        <f>IF($H90="USD",IF(OR($L90="",$L90="-"),"",VLOOKUP($G90,為替!$A:$AX,$L90,FALSE))+$K$3,IF(OR($L90="",$L90="-"),"",VLOOKUP($G90,為替!$A:$AX,$L90,FALSE)))</f>
        <v/>
      </c>
      <c r="N90" s="204" t="str">
        <f t="shared" si="10"/>
        <v/>
      </c>
      <c r="O90" s="205" t="str">
        <f t="shared" si="6"/>
        <v/>
      </c>
      <c r="P90" s="206" t="str">
        <f t="shared" si="11"/>
        <v/>
      </c>
    </row>
    <row r="91" spans="3:16" x14ac:dyDescent="0.4">
      <c r="C91" s="199"/>
      <c r="D91" s="200"/>
      <c r="E91" s="201"/>
      <c r="F91" s="199"/>
      <c r="H91" s="202"/>
      <c r="I91" s="185" t="str">
        <f t="shared" si="7"/>
        <v/>
      </c>
      <c r="J91" s="203" t="str">
        <f>IF($H91="USD",IF(OR($I91="",$I91="-"),"",VLOOKUP($G91,為替!$A:$AX,$I91,FALSE))+$J$3,IF(OR($I91="",$I91="-"),"",VLOOKUP($G91,為替!$A:$AX,$I91,FALSE)))</f>
        <v/>
      </c>
      <c r="K91" s="204" t="str">
        <f t="shared" si="8"/>
        <v/>
      </c>
      <c r="L91" s="188" t="str">
        <f t="shared" si="9"/>
        <v/>
      </c>
      <c r="M91" s="203" t="str">
        <f>IF($H91="USD",IF(OR($L91="",$L91="-"),"",VLOOKUP($G91,為替!$A:$AX,$L91,FALSE))+$K$3,IF(OR($L91="",$L91="-"),"",VLOOKUP($G91,為替!$A:$AX,$L91,FALSE)))</f>
        <v/>
      </c>
      <c r="N91" s="204" t="str">
        <f t="shared" si="10"/>
        <v/>
      </c>
      <c r="O91" s="205" t="str">
        <f t="shared" si="6"/>
        <v/>
      </c>
      <c r="P91" s="206" t="str">
        <f t="shared" si="11"/>
        <v/>
      </c>
    </row>
    <row r="92" spans="3:16" x14ac:dyDescent="0.4">
      <c r="C92" s="199"/>
      <c r="D92" s="200"/>
      <c r="E92" s="201"/>
      <c r="F92" s="199"/>
      <c r="H92" s="202"/>
      <c r="I92" s="185" t="str">
        <f t="shared" si="7"/>
        <v/>
      </c>
      <c r="J92" s="203" t="str">
        <f>IF($H92="USD",IF(OR($I92="",$I92="-"),"",VLOOKUP($G92,為替!$A:$AX,$I92,FALSE))+$J$3,IF(OR($I92="",$I92="-"),"",VLOOKUP($G92,為替!$A:$AX,$I92,FALSE)))</f>
        <v/>
      </c>
      <c r="K92" s="204" t="str">
        <f t="shared" si="8"/>
        <v/>
      </c>
      <c r="L92" s="188" t="str">
        <f t="shared" si="9"/>
        <v/>
      </c>
      <c r="M92" s="203" t="str">
        <f>IF($H92="USD",IF(OR($L92="",$L92="-"),"",VLOOKUP($G92,為替!$A:$AX,$L92,FALSE))+$K$3,IF(OR($L92="",$L92="-"),"",VLOOKUP($G92,為替!$A:$AX,$L92,FALSE)))</f>
        <v/>
      </c>
      <c r="N92" s="204" t="str">
        <f t="shared" si="10"/>
        <v/>
      </c>
      <c r="O92" s="205" t="str">
        <f t="shared" si="6"/>
        <v/>
      </c>
      <c r="P92" s="206" t="str">
        <f t="shared" si="11"/>
        <v/>
      </c>
    </row>
    <row r="93" spans="3:16" x14ac:dyDescent="0.4">
      <c r="C93" s="199"/>
      <c r="D93" s="200"/>
      <c r="E93" s="201"/>
      <c r="F93" s="199"/>
      <c r="H93" s="202"/>
      <c r="I93" s="185" t="str">
        <f t="shared" si="7"/>
        <v/>
      </c>
      <c r="J93" s="203" t="str">
        <f>IF($H93="USD",IF(OR($I93="",$I93="-"),"",VLOOKUP($G93,為替!$A:$AX,$I93,FALSE))+$J$3,IF(OR($I93="",$I93="-"),"",VLOOKUP($G93,為替!$A:$AX,$I93,FALSE)))</f>
        <v/>
      </c>
      <c r="K93" s="204" t="str">
        <f t="shared" si="8"/>
        <v/>
      </c>
      <c r="L93" s="188" t="str">
        <f t="shared" si="9"/>
        <v/>
      </c>
      <c r="M93" s="203" t="str">
        <f>IF($H93="USD",IF(OR($L93="",$L93="-"),"",VLOOKUP($G93,為替!$A:$AX,$L93,FALSE))+$K$3,IF(OR($L93="",$L93="-"),"",VLOOKUP($G93,為替!$A:$AX,$L93,FALSE)))</f>
        <v/>
      </c>
      <c r="N93" s="204" t="str">
        <f t="shared" si="10"/>
        <v/>
      </c>
      <c r="O93" s="205" t="str">
        <f t="shared" si="6"/>
        <v/>
      </c>
      <c r="P93" s="206" t="str">
        <f t="shared" si="11"/>
        <v/>
      </c>
    </row>
    <row r="94" spans="3:16" x14ac:dyDescent="0.4">
      <c r="C94" s="199"/>
      <c r="D94" s="200"/>
      <c r="E94" s="201"/>
      <c r="F94" s="199"/>
      <c r="H94" s="202"/>
      <c r="I94" s="185" t="str">
        <f t="shared" si="7"/>
        <v/>
      </c>
      <c r="J94" s="203" t="str">
        <f>IF($H94="USD",IF(OR($I94="",$I94="-"),"",VLOOKUP($G94,為替!$A:$AX,$I94,FALSE))+$J$3,IF(OR($I94="",$I94="-"),"",VLOOKUP($G94,為替!$A:$AX,$I94,FALSE)))</f>
        <v/>
      </c>
      <c r="K94" s="204" t="str">
        <f t="shared" si="8"/>
        <v/>
      </c>
      <c r="L94" s="188" t="str">
        <f t="shared" si="9"/>
        <v/>
      </c>
      <c r="M94" s="203" t="str">
        <f>IF($H94="USD",IF(OR($L94="",$L94="-"),"",VLOOKUP($G94,為替!$A:$AX,$L94,FALSE))+$K$3,IF(OR($L94="",$L94="-"),"",VLOOKUP($G94,為替!$A:$AX,$L94,FALSE)))</f>
        <v/>
      </c>
      <c r="N94" s="204" t="str">
        <f t="shared" si="10"/>
        <v/>
      </c>
      <c r="O94" s="205" t="str">
        <f t="shared" si="6"/>
        <v/>
      </c>
      <c r="P94" s="206" t="str">
        <f t="shared" si="11"/>
        <v/>
      </c>
    </row>
    <row r="95" spans="3:16" x14ac:dyDescent="0.4">
      <c r="C95" s="199"/>
      <c r="D95" s="200"/>
      <c r="E95" s="201"/>
      <c r="F95" s="199"/>
      <c r="H95" s="202"/>
      <c r="I95" s="185" t="str">
        <f t="shared" si="7"/>
        <v/>
      </c>
      <c r="J95" s="203" t="str">
        <f>IF($H95="USD",IF(OR($I95="",$I95="-"),"",VLOOKUP($G95,為替!$A:$AX,$I95,FALSE))+$J$3,IF(OR($I95="",$I95="-"),"",VLOOKUP($G95,為替!$A:$AX,$I95,FALSE)))</f>
        <v/>
      </c>
      <c r="K95" s="204" t="str">
        <f t="shared" si="8"/>
        <v/>
      </c>
      <c r="L95" s="188" t="str">
        <f t="shared" si="9"/>
        <v/>
      </c>
      <c r="M95" s="203" t="str">
        <f>IF($H95="USD",IF(OR($L95="",$L95="-"),"",VLOOKUP($G95,為替!$A:$AX,$L95,FALSE))+$K$3,IF(OR($L95="",$L95="-"),"",VLOOKUP($G95,為替!$A:$AX,$L95,FALSE)))</f>
        <v/>
      </c>
      <c r="N95" s="204" t="str">
        <f t="shared" si="10"/>
        <v/>
      </c>
      <c r="O95" s="205" t="str">
        <f t="shared" si="6"/>
        <v/>
      </c>
      <c r="P95" s="206" t="str">
        <f t="shared" si="11"/>
        <v/>
      </c>
    </row>
    <row r="96" spans="3:16" x14ac:dyDescent="0.4">
      <c r="C96" s="199"/>
      <c r="D96" s="200"/>
      <c r="E96" s="201"/>
      <c r="F96" s="199"/>
      <c r="H96" s="202"/>
      <c r="I96" s="185" t="str">
        <f t="shared" si="7"/>
        <v/>
      </c>
      <c r="J96" s="203" t="str">
        <f>IF($H96="USD",IF(OR($I96="",$I96="-"),"",VLOOKUP($G96,為替!$A:$AX,$I96,FALSE))+$J$3,IF(OR($I96="",$I96="-"),"",VLOOKUP($G96,為替!$A:$AX,$I96,FALSE)))</f>
        <v/>
      </c>
      <c r="K96" s="204" t="str">
        <f t="shared" si="8"/>
        <v/>
      </c>
      <c r="L96" s="188" t="str">
        <f t="shared" si="9"/>
        <v/>
      </c>
      <c r="M96" s="203" t="str">
        <f>IF($H96="USD",IF(OR($L96="",$L96="-"),"",VLOOKUP($G96,為替!$A:$AX,$L96,FALSE))+$K$3,IF(OR($L96="",$L96="-"),"",VLOOKUP($G96,為替!$A:$AX,$L96,FALSE)))</f>
        <v/>
      </c>
      <c r="N96" s="204" t="str">
        <f t="shared" si="10"/>
        <v/>
      </c>
      <c r="O96" s="205" t="str">
        <f t="shared" si="6"/>
        <v/>
      </c>
      <c r="P96" s="206" t="str">
        <f t="shared" si="11"/>
        <v/>
      </c>
    </row>
    <row r="97" spans="3:16" x14ac:dyDescent="0.4">
      <c r="C97" s="199"/>
      <c r="D97" s="200"/>
      <c r="E97" s="201"/>
      <c r="F97" s="199"/>
      <c r="H97" s="202"/>
      <c r="I97" s="185" t="str">
        <f t="shared" si="7"/>
        <v/>
      </c>
      <c r="J97" s="203" t="str">
        <f>IF($H97="USD",IF(OR($I97="",$I97="-"),"",VLOOKUP($G97,為替!$A:$AX,$I97,FALSE))+$J$3,IF(OR($I97="",$I97="-"),"",VLOOKUP($G97,為替!$A:$AX,$I97,FALSE)))</f>
        <v/>
      </c>
      <c r="K97" s="204" t="str">
        <f t="shared" si="8"/>
        <v/>
      </c>
      <c r="L97" s="188" t="str">
        <f t="shared" si="9"/>
        <v/>
      </c>
      <c r="M97" s="203" t="str">
        <f>IF($H97="USD",IF(OR($L97="",$L97="-"),"",VLOOKUP($G97,為替!$A:$AX,$L97,FALSE))+$K$3,IF(OR($L97="",$L97="-"),"",VLOOKUP($G97,為替!$A:$AX,$L97,FALSE)))</f>
        <v/>
      </c>
      <c r="N97" s="204" t="str">
        <f t="shared" si="10"/>
        <v/>
      </c>
      <c r="O97" s="205" t="str">
        <f t="shared" si="6"/>
        <v/>
      </c>
      <c r="P97" s="206" t="str">
        <f t="shared" si="11"/>
        <v/>
      </c>
    </row>
    <row r="98" spans="3:16" x14ac:dyDescent="0.4">
      <c r="C98" s="199"/>
      <c r="D98" s="200"/>
      <c r="E98" s="201"/>
      <c r="F98" s="199"/>
      <c r="H98" s="202"/>
      <c r="I98" s="185" t="str">
        <f t="shared" si="7"/>
        <v/>
      </c>
      <c r="J98" s="203" t="str">
        <f>IF($H98="USD",IF(OR($I98="",$I98="-"),"",VLOOKUP($G98,為替!$A:$AX,$I98,FALSE))+$J$3,IF(OR($I98="",$I98="-"),"",VLOOKUP($G98,為替!$A:$AX,$I98,FALSE)))</f>
        <v/>
      </c>
      <c r="K98" s="204" t="str">
        <f t="shared" si="8"/>
        <v/>
      </c>
      <c r="L98" s="188" t="str">
        <f t="shared" si="9"/>
        <v/>
      </c>
      <c r="M98" s="203" t="str">
        <f>IF($H98="USD",IF(OR($L98="",$L98="-"),"",VLOOKUP($G98,為替!$A:$AX,$L98,FALSE))+$K$3,IF(OR($L98="",$L98="-"),"",VLOOKUP($G98,為替!$A:$AX,$L98,FALSE)))</f>
        <v/>
      </c>
      <c r="N98" s="204" t="str">
        <f t="shared" si="10"/>
        <v/>
      </c>
      <c r="O98" s="205" t="str">
        <f t="shared" si="6"/>
        <v/>
      </c>
      <c r="P98" s="206" t="str">
        <f t="shared" si="11"/>
        <v/>
      </c>
    </row>
    <row r="99" spans="3:16" x14ac:dyDescent="0.4">
      <c r="C99" s="199"/>
      <c r="D99" s="200"/>
      <c r="E99" s="201"/>
      <c r="F99" s="199"/>
      <c r="H99" s="202"/>
      <c r="I99" s="185" t="str">
        <f t="shared" si="7"/>
        <v/>
      </c>
      <c r="J99" s="203" t="str">
        <f>IF($H99="USD",IF(OR($I99="",$I99="-"),"",VLOOKUP($G99,為替!$A:$AX,$I99,FALSE))+$J$3,IF(OR($I99="",$I99="-"),"",VLOOKUP($G99,為替!$A:$AX,$I99,FALSE)))</f>
        <v/>
      </c>
      <c r="K99" s="204" t="str">
        <f t="shared" si="8"/>
        <v/>
      </c>
      <c r="L99" s="188" t="str">
        <f t="shared" si="9"/>
        <v/>
      </c>
      <c r="M99" s="203" t="str">
        <f>IF($H99="USD",IF(OR($L99="",$L99="-"),"",VLOOKUP($G99,為替!$A:$AX,$L99,FALSE))+$K$3,IF(OR($L99="",$L99="-"),"",VLOOKUP($G99,為替!$A:$AX,$L99,FALSE)))</f>
        <v/>
      </c>
      <c r="N99" s="204" t="str">
        <f t="shared" si="10"/>
        <v/>
      </c>
      <c r="O99" s="205" t="str">
        <f t="shared" si="6"/>
        <v/>
      </c>
      <c r="P99" s="206" t="str">
        <f t="shared" si="11"/>
        <v/>
      </c>
    </row>
    <row r="100" spans="3:16" x14ac:dyDescent="0.4">
      <c r="C100" s="199"/>
      <c r="D100" s="200"/>
      <c r="E100" s="201"/>
      <c r="F100" s="199"/>
      <c r="H100" s="202"/>
      <c r="I100" s="185" t="str">
        <f t="shared" si="7"/>
        <v/>
      </c>
      <c r="J100" s="203" t="str">
        <f>IF($H100="USD",IF(OR($I100="",$I100="-"),"",VLOOKUP($G100,為替!$A:$AX,$I100,FALSE))+$J$3,IF(OR($I100="",$I100="-"),"",VLOOKUP($G100,為替!$A:$AX,$I100,FALSE)))</f>
        <v/>
      </c>
      <c r="K100" s="204" t="str">
        <f t="shared" si="8"/>
        <v/>
      </c>
      <c r="L100" s="188" t="str">
        <f t="shared" si="9"/>
        <v/>
      </c>
      <c r="M100" s="203" t="str">
        <f>IF($H100="USD",IF(OR($L100="",$L100="-"),"",VLOOKUP($G100,為替!$A:$AX,$L100,FALSE))+$K$3,IF(OR($L100="",$L100="-"),"",VLOOKUP($G100,為替!$A:$AX,$L100,FALSE)))</f>
        <v/>
      </c>
      <c r="N100" s="204" t="str">
        <f t="shared" si="10"/>
        <v/>
      </c>
      <c r="O100" s="205" t="str">
        <f t="shared" si="6"/>
        <v/>
      </c>
      <c r="P100" s="206" t="str">
        <f t="shared" si="11"/>
        <v/>
      </c>
    </row>
    <row r="101" spans="3:16" x14ac:dyDescent="0.4">
      <c r="C101" s="199"/>
      <c r="D101" s="200"/>
      <c r="E101" s="201"/>
      <c r="F101" s="199"/>
      <c r="H101" s="202"/>
      <c r="I101" s="185" t="str">
        <f t="shared" si="7"/>
        <v/>
      </c>
      <c r="J101" s="203" t="str">
        <f>IF($H101="USD",IF(OR($I101="",$I101="-"),"",VLOOKUP($G101,為替!$A:$AX,$I101,FALSE))+$J$3,IF(OR($I101="",$I101="-"),"",VLOOKUP($G101,為替!$A:$AX,$I101,FALSE)))</f>
        <v/>
      </c>
      <c r="K101" s="204" t="str">
        <f t="shared" si="8"/>
        <v/>
      </c>
      <c r="L101" s="188" t="str">
        <f t="shared" si="9"/>
        <v/>
      </c>
      <c r="M101" s="203" t="str">
        <f>IF($H101="USD",IF(OR($L101="",$L101="-"),"",VLOOKUP($G101,為替!$A:$AX,$L101,FALSE))+$K$3,IF(OR($L101="",$L101="-"),"",VLOOKUP($G101,為替!$A:$AX,$L101,FALSE)))</f>
        <v/>
      </c>
      <c r="N101" s="204" t="str">
        <f t="shared" si="10"/>
        <v/>
      </c>
      <c r="O101" s="205" t="str">
        <f t="shared" si="6"/>
        <v/>
      </c>
      <c r="P101" s="206" t="str">
        <f t="shared" si="11"/>
        <v/>
      </c>
    </row>
    <row r="102" spans="3:16" x14ac:dyDescent="0.4">
      <c r="C102" s="199"/>
      <c r="D102" s="200"/>
      <c r="E102" s="201"/>
      <c r="F102" s="199"/>
      <c r="H102" s="202"/>
      <c r="I102" s="185" t="str">
        <f t="shared" si="7"/>
        <v/>
      </c>
      <c r="J102" s="203" t="str">
        <f>IF($H102="USD",IF(OR($I102="",$I102="-"),"",VLOOKUP($G102,為替!$A:$AX,$I102,FALSE))+$J$3,IF(OR($I102="",$I102="-"),"",VLOOKUP($G102,為替!$A:$AX,$I102,FALSE)))</f>
        <v/>
      </c>
      <c r="K102" s="204" t="str">
        <f t="shared" si="8"/>
        <v/>
      </c>
      <c r="L102" s="188" t="str">
        <f t="shared" si="9"/>
        <v/>
      </c>
      <c r="M102" s="203" t="str">
        <f>IF($H102="USD",IF(OR($L102="",$L102="-"),"",VLOOKUP($G102,為替!$A:$AX,$L102,FALSE))+$K$3,IF(OR($L102="",$L102="-"),"",VLOOKUP($G102,為替!$A:$AX,$L102,FALSE)))</f>
        <v/>
      </c>
      <c r="N102" s="204" t="str">
        <f t="shared" si="10"/>
        <v/>
      </c>
      <c r="O102" s="205" t="str">
        <f t="shared" si="6"/>
        <v/>
      </c>
      <c r="P102" s="206" t="str">
        <f t="shared" si="11"/>
        <v/>
      </c>
    </row>
    <row r="103" spans="3:16" x14ac:dyDescent="0.4">
      <c r="C103" s="199"/>
      <c r="D103" s="200"/>
      <c r="E103" s="201"/>
      <c r="F103" s="199"/>
      <c r="H103" s="202"/>
      <c r="I103" s="185" t="str">
        <f t="shared" si="7"/>
        <v/>
      </c>
      <c r="J103" s="203" t="str">
        <f>IF($H103="USD",IF(OR($I103="",$I103="-"),"",VLOOKUP($G103,為替!$A:$AX,$I103,FALSE))+$J$3,IF(OR($I103="",$I103="-"),"",VLOOKUP($G103,為替!$A:$AX,$I103,FALSE)))</f>
        <v/>
      </c>
      <c r="K103" s="204" t="str">
        <f t="shared" si="8"/>
        <v/>
      </c>
      <c r="L103" s="188" t="str">
        <f t="shared" si="9"/>
        <v/>
      </c>
      <c r="M103" s="203" t="str">
        <f>IF($H103="USD",IF(OR($L103="",$L103="-"),"",VLOOKUP($G103,為替!$A:$AX,$L103,FALSE))+$K$3,IF(OR($L103="",$L103="-"),"",VLOOKUP($G103,為替!$A:$AX,$L103,FALSE)))</f>
        <v/>
      </c>
      <c r="N103" s="204" t="str">
        <f t="shared" si="10"/>
        <v/>
      </c>
      <c r="O103" s="205" t="str">
        <f t="shared" si="6"/>
        <v/>
      </c>
      <c r="P103" s="206" t="str">
        <f t="shared" si="11"/>
        <v/>
      </c>
    </row>
    <row r="104" spans="3:16" x14ac:dyDescent="0.4">
      <c r="C104" s="199"/>
      <c r="D104" s="200"/>
      <c r="E104" s="201"/>
      <c r="F104" s="199"/>
      <c r="H104" s="202"/>
      <c r="I104" s="185" t="str">
        <f t="shared" si="7"/>
        <v/>
      </c>
      <c r="J104" s="203" t="str">
        <f>IF($H104="USD",IF(OR($I104="",$I104="-"),"",VLOOKUP($G104,為替!$A:$AX,$I104,FALSE))+$J$3,IF(OR($I104="",$I104="-"),"",VLOOKUP($G104,為替!$A:$AX,$I104,FALSE)))</f>
        <v/>
      </c>
      <c r="K104" s="204" t="str">
        <f t="shared" si="8"/>
        <v/>
      </c>
      <c r="L104" s="188" t="str">
        <f t="shared" si="9"/>
        <v/>
      </c>
      <c r="M104" s="203" t="str">
        <f>IF($H104="USD",IF(OR($L104="",$L104="-"),"",VLOOKUP($G104,為替!$A:$AX,$L104,FALSE))+$K$3,IF(OR($L104="",$L104="-"),"",VLOOKUP($G104,為替!$A:$AX,$L104,FALSE)))</f>
        <v/>
      </c>
      <c r="N104" s="204" t="str">
        <f t="shared" si="10"/>
        <v/>
      </c>
      <c r="O104" s="205" t="str">
        <f t="shared" si="6"/>
        <v/>
      </c>
      <c r="P104" s="206" t="str">
        <f t="shared" si="11"/>
        <v/>
      </c>
    </row>
    <row r="105" spans="3:16" x14ac:dyDescent="0.4">
      <c r="C105" s="199"/>
      <c r="D105" s="200"/>
      <c r="E105" s="201"/>
      <c r="F105" s="199"/>
      <c r="H105" s="202"/>
      <c r="I105" s="185" t="str">
        <f t="shared" si="7"/>
        <v/>
      </c>
      <c r="J105" s="203" t="str">
        <f>IF($H105="USD",IF(OR($I105="",$I105="-"),"",VLOOKUP($G105,為替!$A:$AX,$I105,FALSE))+$J$3,IF(OR($I105="",$I105="-"),"",VLOOKUP($G105,為替!$A:$AX,$I105,FALSE)))</f>
        <v/>
      </c>
      <c r="K105" s="204" t="str">
        <f t="shared" si="8"/>
        <v/>
      </c>
      <c r="L105" s="188" t="str">
        <f t="shared" si="9"/>
        <v/>
      </c>
      <c r="M105" s="203" t="str">
        <f>IF($H105="USD",IF(OR($L105="",$L105="-"),"",VLOOKUP($G105,為替!$A:$AX,$L105,FALSE))+$K$3,IF(OR($L105="",$L105="-"),"",VLOOKUP($G105,為替!$A:$AX,$L105,FALSE)))</f>
        <v/>
      </c>
      <c r="N105" s="204" t="str">
        <f t="shared" si="10"/>
        <v/>
      </c>
      <c r="O105" s="205" t="str">
        <f t="shared" si="6"/>
        <v/>
      </c>
      <c r="P105" s="206" t="str">
        <f t="shared" si="11"/>
        <v/>
      </c>
    </row>
    <row r="106" spans="3:16" x14ac:dyDescent="0.4">
      <c r="C106" s="199"/>
      <c r="D106" s="200"/>
      <c r="E106" s="201"/>
      <c r="F106" s="199"/>
      <c r="H106" s="202"/>
      <c r="I106" s="185" t="str">
        <f t="shared" si="7"/>
        <v/>
      </c>
      <c r="J106" s="203" t="str">
        <f>IF($H106="USD",IF(OR($I106="",$I106="-"),"",VLOOKUP($G106,為替!$A:$AX,$I106,FALSE))+$J$3,IF(OR($I106="",$I106="-"),"",VLOOKUP($G106,為替!$A:$AX,$I106,FALSE)))</f>
        <v/>
      </c>
      <c r="K106" s="204" t="str">
        <f t="shared" si="8"/>
        <v/>
      </c>
      <c r="L106" s="188" t="str">
        <f t="shared" si="9"/>
        <v/>
      </c>
      <c r="M106" s="203" t="str">
        <f>IF($H106="USD",IF(OR($L106="",$L106="-"),"",VLOOKUP($G106,為替!$A:$AX,$L106,FALSE))+$K$3,IF(OR($L106="",$L106="-"),"",VLOOKUP($G106,為替!$A:$AX,$L106,FALSE)))</f>
        <v/>
      </c>
      <c r="N106" s="204" t="str">
        <f t="shared" si="10"/>
        <v/>
      </c>
      <c r="O106" s="205" t="str">
        <f t="shared" si="6"/>
        <v/>
      </c>
      <c r="P106" s="206" t="str">
        <f t="shared" si="11"/>
        <v/>
      </c>
    </row>
    <row r="107" spans="3:16" x14ac:dyDescent="0.4">
      <c r="C107" s="199"/>
      <c r="D107" s="200"/>
      <c r="E107" s="201"/>
      <c r="F107" s="199"/>
      <c r="H107" s="202"/>
      <c r="I107" s="185" t="str">
        <f t="shared" si="7"/>
        <v/>
      </c>
      <c r="J107" s="203" t="str">
        <f>IF($H107="USD",IF(OR($I107="",$I107="-"),"",VLOOKUP($G107,為替!$A:$AX,$I107,FALSE))+$J$3,IF(OR($I107="",$I107="-"),"",VLOOKUP($G107,為替!$A:$AX,$I107,FALSE)))</f>
        <v/>
      </c>
      <c r="K107" s="204" t="str">
        <f t="shared" si="8"/>
        <v/>
      </c>
      <c r="L107" s="188" t="str">
        <f t="shared" si="9"/>
        <v/>
      </c>
      <c r="M107" s="203" t="str">
        <f>IF($H107="USD",IF(OR($L107="",$L107="-"),"",VLOOKUP($G107,為替!$A:$AX,$L107,FALSE))+$K$3,IF(OR($L107="",$L107="-"),"",VLOOKUP($G107,為替!$A:$AX,$L107,FALSE)))</f>
        <v/>
      </c>
      <c r="N107" s="204" t="str">
        <f t="shared" si="10"/>
        <v/>
      </c>
      <c r="O107" s="205" t="str">
        <f t="shared" si="6"/>
        <v/>
      </c>
      <c r="P107" s="206" t="str">
        <f t="shared" si="11"/>
        <v/>
      </c>
    </row>
    <row r="108" spans="3:16" x14ac:dyDescent="0.4">
      <c r="C108" s="199"/>
      <c r="D108" s="200"/>
      <c r="E108" s="201"/>
      <c r="F108" s="199"/>
      <c r="H108" s="202"/>
      <c r="I108" s="185" t="str">
        <f t="shared" si="7"/>
        <v/>
      </c>
      <c r="J108" s="203" t="str">
        <f>IF($H108="USD",IF(OR($I108="",$I108="-"),"",VLOOKUP($G108,為替!$A:$AX,$I108,FALSE))+$J$3,IF(OR($I108="",$I108="-"),"",VLOOKUP($G108,為替!$A:$AX,$I108,FALSE)))</f>
        <v/>
      </c>
      <c r="K108" s="204" t="str">
        <f t="shared" si="8"/>
        <v/>
      </c>
      <c r="L108" s="188" t="str">
        <f t="shared" si="9"/>
        <v/>
      </c>
      <c r="M108" s="203" t="str">
        <f>IF($H108="USD",IF(OR($L108="",$L108="-"),"",VLOOKUP($G108,為替!$A:$AX,$L108,FALSE))+$K$3,IF(OR($L108="",$L108="-"),"",VLOOKUP($G108,為替!$A:$AX,$L108,FALSE)))</f>
        <v/>
      </c>
      <c r="N108" s="204" t="str">
        <f t="shared" si="10"/>
        <v/>
      </c>
      <c r="O108" s="205" t="str">
        <f t="shared" si="6"/>
        <v/>
      </c>
      <c r="P108" s="206" t="str">
        <f t="shared" si="11"/>
        <v/>
      </c>
    </row>
    <row r="109" spans="3:16" x14ac:dyDescent="0.4">
      <c r="C109" s="199"/>
      <c r="D109" s="200"/>
      <c r="E109" s="201"/>
      <c r="F109" s="199"/>
      <c r="H109" s="202"/>
      <c r="I109" s="185" t="str">
        <f t="shared" si="7"/>
        <v/>
      </c>
      <c r="J109" s="203" t="str">
        <f>IF($H109="USD",IF(OR($I109="",$I109="-"),"",VLOOKUP($G109,為替!$A:$AX,$I109,FALSE))+$J$3,IF(OR($I109="",$I109="-"),"",VLOOKUP($G109,為替!$A:$AX,$I109,FALSE)))</f>
        <v/>
      </c>
      <c r="K109" s="204" t="str">
        <f t="shared" si="8"/>
        <v/>
      </c>
      <c r="L109" s="188" t="str">
        <f t="shared" si="9"/>
        <v/>
      </c>
      <c r="M109" s="203" t="str">
        <f>IF($H109="USD",IF(OR($L109="",$L109="-"),"",VLOOKUP($G109,為替!$A:$AX,$L109,FALSE))+$K$3,IF(OR($L109="",$L109="-"),"",VLOOKUP($G109,為替!$A:$AX,$L109,FALSE)))</f>
        <v/>
      </c>
      <c r="N109" s="204" t="str">
        <f t="shared" si="10"/>
        <v/>
      </c>
      <c r="O109" s="205" t="str">
        <f t="shared" si="6"/>
        <v/>
      </c>
      <c r="P109" s="206" t="str">
        <f t="shared" si="11"/>
        <v/>
      </c>
    </row>
    <row r="110" spans="3:16" x14ac:dyDescent="0.4">
      <c r="C110" s="199"/>
      <c r="D110" s="200"/>
      <c r="E110" s="201"/>
      <c r="F110" s="199"/>
      <c r="H110" s="202"/>
      <c r="I110" s="185" t="str">
        <f t="shared" si="7"/>
        <v/>
      </c>
      <c r="J110" s="203" t="str">
        <f>IF($H110="USD",IF(OR($I110="",$I110="-"),"",VLOOKUP($G110,為替!$A:$AX,$I110,FALSE))+$J$3,IF(OR($I110="",$I110="-"),"",VLOOKUP($G110,為替!$A:$AX,$I110,FALSE)))</f>
        <v/>
      </c>
      <c r="K110" s="204" t="str">
        <f t="shared" si="8"/>
        <v/>
      </c>
      <c r="L110" s="188" t="str">
        <f t="shared" si="9"/>
        <v/>
      </c>
      <c r="M110" s="203" t="str">
        <f>IF($H110="USD",IF(OR($L110="",$L110="-"),"",VLOOKUP($G110,為替!$A:$AX,$L110,FALSE))+$K$3,IF(OR($L110="",$L110="-"),"",VLOOKUP($G110,為替!$A:$AX,$L110,FALSE)))</f>
        <v/>
      </c>
      <c r="N110" s="204" t="str">
        <f t="shared" si="10"/>
        <v/>
      </c>
      <c r="O110" s="205" t="str">
        <f t="shared" si="6"/>
        <v/>
      </c>
      <c r="P110" s="206" t="str">
        <f t="shared" si="11"/>
        <v/>
      </c>
    </row>
    <row r="111" spans="3:16" x14ac:dyDescent="0.4">
      <c r="C111" s="199"/>
      <c r="D111" s="200"/>
      <c r="E111" s="201"/>
      <c r="F111" s="199"/>
      <c r="H111" s="202"/>
      <c r="I111" s="185" t="str">
        <f t="shared" si="7"/>
        <v/>
      </c>
      <c r="J111" s="203" t="str">
        <f>IF($H111="USD",IF(OR($I111="",$I111="-"),"",VLOOKUP($G111,為替!$A:$AX,$I111,FALSE))+$J$3,IF(OR($I111="",$I111="-"),"",VLOOKUP($G111,為替!$A:$AX,$I111,FALSE)))</f>
        <v/>
      </c>
      <c r="K111" s="204" t="str">
        <f t="shared" si="8"/>
        <v/>
      </c>
      <c r="L111" s="188" t="str">
        <f t="shared" si="9"/>
        <v/>
      </c>
      <c r="M111" s="203" t="str">
        <f>IF($H111="USD",IF(OR($L111="",$L111="-"),"",VLOOKUP($G111,為替!$A:$AX,$L111,FALSE))+$K$3,IF(OR($L111="",$L111="-"),"",VLOOKUP($G111,為替!$A:$AX,$L111,FALSE)))</f>
        <v/>
      </c>
      <c r="N111" s="204" t="str">
        <f t="shared" si="10"/>
        <v/>
      </c>
      <c r="O111" s="205" t="str">
        <f t="shared" si="6"/>
        <v/>
      </c>
      <c r="P111" s="206" t="str">
        <f t="shared" si="11"/>
        <v/>
      </c>
    </row>
    <row r="112" spans="3:16" x14ac:dyDescent="0.4">
      <c r="C112" s="199"/>
      <c r="D112" s="200"/>
      <c r="E112" s="201"/>
      <c r="F112" s="199"/>
      <c r="H112" s="202"/>
      <c r="I112" s="185" t="str">
        <f t="shared" si="7"/>
        <v/>
      </c>
      <c r="J112" s="203" t="str">
        <f>IF($H112="USD",IF(OR($I112="",$I112="-"),"",VLOOKUP($G112,為替!$A:$AX,$I112,FALSE))+$J$3,IF(OR($I112="",$I112="-"),"",VLOOKUP($G112,為替!$A:$AX,$I112,FALSE)))</f>
        <v/>
      </c>
      <c r="K112" s="204" t="str">
        <f t="shared" si="8"/>
        <v/>
      </c>
      <c r="L112" s="188" t="str">
        <f t="shared" si="9"/>
        <v/>
      </c>
      <c r="M112" s="203" t="str">
        <f>IF($H112="USD",IF(OR($L112="",$L112="-"),"",VLOOKUP($G112,為替!$A:$AX,$L112,FALSE))+$K$3,IF(OR($L112="",$L112="-"),"",VLOOKUP($G112,為替!$A:$AX,$L112,FALSE)))</f>
        <v/>
      </c>
      <c r="N112" s="204" t="str">
        <f t="shared" si="10"/>
        <v/>
      </c>
      <c r="O112" s="205" t="str">
        <f t="shared" si="6"/>
        <v/>
      </c>
      <c r="P112" s="206" t="str">
        <f t="shared" si="11"/>
        <v/>
      </c>
    </row>
    <row r="113" spans="3:16" x14ac:dyDescent="0.4">
      <c r="C113" s="199"/>
      <c r="D113" s="200"/>
      <c r="E113" s="201"/>
      <c r="F113" s="199"/>
      <c r="H113" s="202"/>
      <c r="I113" s="185" t="str">
        <f t="shared" si="7"/>
        <v/>
      </c>
      <c r="J113" s="203" t="str">
        <f>IF($H113="USD",IF(OR($I113="",$I113="-"),"",VLOOKUP($G113,為替!$A:$AX,$I113,FALSE))+$J$3,IF(OR($I113="",$I113="-"),"",VLOOKUP($G113,為替!$A:$AX,$I113,FALSE)))</f>
        <v/>
      </c>
      <c r="K113" s="204" t="str">
        <f t="shared" si="8"/>
        <v/>
      </c>
      <c r="L113" s="188" t="str">
        <f t="shared" si="9"/>
        <v/>
      </c>
      <c r="M113" s="203" t="str">
        <f>IF($H113="USD",IF(OR($L113="",$L113="-"),"",VLOOKUP($G113,為替!$A:$AX,$L113,FALSE))+$K$3,IF(OR($L113="",$L113="-"),"",VLOOKUP($G113,為替!$A:$AX,$L113,FALSE)))</f>
        <v/>
      </c>
      <c r="N113" s="204" t="str">
        <f t="shared" si="10"/>
        <v/>
      </c>
      <c r="O113" s="205" t="str">
        <f t="shared" si="6"/>
        <v/>
      </c>
      <c r="P113" s="206" t="str">
        <f t="shared" si="11"/>
        <v/>
      </c>
    </row>
    <row r="114" spans="3:16" x14ac:dyDescent="0.4">
      <c r="C114" s="199"/>
      <c r="D114" s="200"/>
      <c r="E114" s="201"/>
      <c r="F114" s="199"/>
      <c r="H114" s="202"/>
      <c r="I114" s="185" t="str">
        <f t="shared" si="7"/>
        <v/>
      </c>
      <c r="J114" s="203" t="str">
        <f>IF($H114="USD",IF(OR($I114="",$I114="-"),"",VLOOKUP($G114,為替!$A:$AX,$I114,FALSE))+$J$3,IF(OR($I114="",$I114="-"),"",VLOOKUP($G114,為替!$A:$AX,$I114,FALSE)))</f>
        <v/>
      </c>
      <c r="K114" s="204" t="str">
        <f t="shared" si="8"/>
        <v/>
      </c>
      <c r="L114" s="188" t="str">
        <f t="shared" si="9"/>
        <v/>
      </c>
      <c r="M114" s="203" t="str">
        <f>IF($H114="USD",IF(OR($L114="",$L114="-"),"",VLOOKUP($G114,為替!$A:$AX,$L114,FALSE))+$K$3,IF(OR($L114="",$L114="-"),"",VLOOKUP($G114,為替!$A:$AX,$L114,FALSE)))</f>
        <v/>
      </c>
      <c r="N114" s="204" t="str">
        <f t="shared" si="10"/>
        <v/>
      </c>
      <c r="O114" s="205" t="str">
        <f t="shared" si="6"/>
        <v/>
      </c>
      <c r="P114" s="206" t="str">
        <f t="shared" si="11"/>
        <v/>
      </c>
    </row>
    <row r="115" spans="3:16" x14ac:dyDescent="0.4">
      <c r="C115" s="199"/>
      <c r="D115" s="200"/>
      <c r="E115" s="201"/>
      <c r="F115" s="199"/>
      <c r="H115" s="202"/>
      <c r="I115" s="185" t="str">
        <f t="shared" si="7"/>
        <v/>
      </c>
      <c r="J115" s="203" t="str">
        <f>IF($H115="USD",IF(OR($I115="",$I115="-"),"",VLOOKUP($G115,為替!$A:$AX,$I115,FALSE))+$J$3,IF(OR($I115="",$I115="-"),"",VLOOKUP($G115,為替!$A:$AX,$I115,FALSE)))</f>
        <v/>
      </c>
      <c r="K115" s="204" t="str">
        <f t="shared" si="8"/>
        <v/>
      </c>
      <c r="L115" s="188" t="str">
        <f t="shared" si="9"/>
        <v/>
      </c>
      <c r="M115" s="203" t="str">
        <f>IF($H115="USD",IF(OR($L115="",$L115="-"),"",VLOOKUP($G115,為替!$A:$AX,$L115,FALSE))+$K$3,IF(OR($L115="",$L115="-"),"",VLOOKUP($G115,為替!$A:$AX,$L115,FALSE)))</f>
        <v/>
      </c>
      <c r="N115" s="204" t="str">
        <f t="shared" si="10"/>
        <v/>
      </c>
      <c r="O115" s="205" t="str">
        <f t="shared" si="6"/>
        <v/>
      </c>
      <c r="P115" s="206" t="str">
        <f t="shared" si="11"/>
        <v/>
      </c>
    </row>
    <row r="116" spans="3:16" x14ac:dyDescent="0.4">
      <c r="C116" s="199"/>
      <c r="D116" s="200"/>
      <c r="E116" s="201"/>
      <c r="F116" s="199"/>
      <c r="H116" s="202"/>
      <c r="I116" s="185" t="str">
        <f t="shared" si="7"/>
        <v/>
      </c>
      <c r="J116" s="203" t="str">
        <f>IF($H116="USD",IF(OR($I116="",$I116="-"),"",VLOOKUP($G116,為替!$A:$AX,$I116,FALSE))+$J$3,IF(OR($I116="",$I116="-"),"",VLOOKUP($G116,為替!$A:$AX,$I116,FALSE)))</f>
        <v/>
      </c>
      <c r="K116" s="204" t="str">
        <f t="shared" si="8"/>
        <v/>
      </c>
      <c r="L116" s="188" t="str">
        <f t="shared" si="9"/>
        <v/>
      </c>
      <c r="M116" s="203" t="str">
        <f>IF($H116="USD",IF(OR($L116="",$L116="-"),"",VLOOKUP($G116,為替!$A:$AX,$L116,FALSE))+$K$3,IF(OR($L116="",$L116="-"),"",VLOOKUP($G116,為替!$A:$AX,$L116,FALSE)))</f>
        <v/>
      </c>
      <c r="N116" s="204" t="str">
        <f t="shared" si="10"/>
        <v/>
      </c>
      <c r="O116" s="205" t="str">
        <f t="shared" si="6"/>
        <v/>
      </c>
      <c r="P116" s="206" t="str">
        <f t="shared" si="11"/>
        <v/>
      </c>
    </row>
    <row r="117" spans="3:16" x14ac:dyDescent="0.4">
      <c r="C117" s="199"/>
      <c r="D117" s="200"/>
      <c r="E117" s="201"/>
      <c r="F117" s="199"/>
      <c r="H117" s="202"/>
      <c r="I117" s="185" t="str">
        <f t="shared" si="7"/>
        <v/>
      </c>
      <c r="J117" s="203" t="str">
        <f>IF($H117="USD",IF(OR($I117="",$I117="-"),"",VLOOKUP($G117,為替!$A:$AX,$I117,FALSE))+$J$3,IF(OR($I117="",$I117="-"),"",VLOOKUP($G117,為替!$A:$AX,$I117,FALSE)))</f>
        <v/>
      </c>
      <c r="K117" s="204" t="str">
        <f t="shared" si="8"/>
        <v/>
      </c>
      <c r="L117" s="188" t="str">
        <f t="shared" si="9"/>
        <v/>
      </c>
      <c r="M117" s="203" t="str">
        <f>IF($H117="USD",IF(OR($L117="",$L117="-"),"",VLOOKUP($G117,為替!$A:$AX,$L117,FALSE))+$K$3,IF(OR($L117="",$L117="-"),"",VLOOKUP($G117,為替!$A:$AX,$L117,FALSE)))</f>
        <v/>
      </c>
      <c r="N117" s="204" t="str">
        <f t="shared" si="10"/>
        <v/>
      </c>
      <c r="O117" s="205" t="str">
        <f t="shared" si="6"/>
        <v/>
      </c>
      <c r="P117" s="206" t="str">
        <f t="shared" si="11"/>
        <v/>
      </c>
    </row>
    <row r="118" spans="3:16" x14ac:dyDescent="0.4">
      <c r="C118" s="199"/>
      <c r="D118" s="200"/>
      <c r="E118" s="201"/>
      <c r="F118" s="199"/>
      <c r="H118" s="202"/>
      <c r="I118" s="185" t="str">
        <f t="shared" si="7"/>
        <v/>
      </c>
      <c r="J118" s="203" t="str">
        <f>IF($H118="USD",IF(OR($I118="",$I118="-"),"",VLOOKUP($G118,為替!$A:$AX,$I118,FALSE))+$J$3,IF(OR($I118="",$I118="-"),"",VLOOKUP($G118,為替!$A:$AX,$I118,FALSE)))</f>
        <v/>
      </c>
      <c r="K118" s="204" t="str">
        <f t="shared" si="8"/>
        <v/>
      </c>
      <c r="L118" s="188" t="str">
        <f t="shared" si="9"/>
        <v/>
      </c>
      <c r="M118" s="203" t="str">
        <f>IF($H118="USD",IF(OR($L118="",$L118="-"),"",VLOOKUP($G118,為替!$A:$AX,$L118,FALSE))+$K$3,IF(OR($L118="",$L118="-"),"",VLOOKUP($G118,為替!$A:$AX,$L118,FALSE)))</f>
        <v/>
      </c>
      <c r="N118" s="204" t="str">
        <f t="shared" si="10"/>
        <v/>
      </c>
      <c r="O118" s="205" t="str">
        <f t="shared" si="6"/>
        <v/>
      </c>
      <c r="P118" s="206" t="str">
        <f t="shared" si="11"/>
        <v/>
      </c>
    </row>
    <row r="119" spans="3:16" x14ac:dyDescent="0.4">
      <c r="C119" s="199"/>
      <c r="D119" s="200"/>
      <c r="E119" s="201"/>
      <c r="F119" s="199"/>
      <c r="H119" s="202"/>
      <c r="I119" s="185" t="str">
        <f t="shared" si="7"/>
        <v/>
      </c>
      <c r="J119" s="203" t="str">
        <f>IF($H119="USD",IF(OR($I119="",$I119="-"),"",VLOOKUP($G119,為替!$A:$AX,$I119,FALSE))+$J$3,IF(OR($I119="",$I119="-"),"",VLOOKUP($G119,為替!$A:$AX,$I119,FALSE)))</f>
        <v/>
      </c>
      <c r="K119" s="204" t="str">
        <f t="shared" si="8"/>
        <v/>
      </c>
      <c r="L119" s="188" t="str">
        <f t="shared" si="9"/>
        <v/>
      </c>
      <c r="M119" s="203" t="str">
        <f>IF($H119="USD",IF(OR($L119="",$L119="-"),"",VLOOKUP($G119,為替!$A:$AX,$L119,FALSE))+$K$3,IF(OR($L119="",$L119="-"),"",VLOOKUP($G119,為替!$A:$AX,$L119,FALSE)))</f>
        <v/>
      </c>
      <c r="N119" s="204" t="str">
        <f t="shared" si="10"/>
        <v/>
      </c>
      <c r="O119" s="205" t="str">
        <f t="shared" si="6"/>
        <v/>
      </c>
      <c r="P119" s="206" t="str">
        <f t="shared" si="11"/>
        <v/>
      </c>
    </row>
    <row r="120" spans="3:16" x14ac:dyDescent="0.4">
      <c r="C120" s="199"/>
      <c r="D120" s="200"/>
      <c r="E120" s="201"/>
      <c r="F120" s="199"/>
      <c r="H120" s="202"/>
      <c r="I120" s="185" t="str">
        <f t="shared" si="7"/>
        <v/>
      </c>
      <c r="J120" s="203" t="str">
        <f>IF($H120="USD",IF(OR($I120="",$I120="-"),"",VLOOKUP($G120,為替!$A:$AX,$I120,FALSE))+$J$3,IF(OR($I120="",$I120="-"),"",VLOOKUP($G120,為替!$A:$AX,$I120,FALSE)))</f>
        <v/>
      </c>
      <c r="K120" s="204" t="str">
        <f t="shared" si="8"/>
        <v/>
      </c>
      <c r="L120" s="188" t="str">
        <f t="shared" si="9"/>
        <v/>
      </c>
      <c r="M120" s="203" t="str">
        <f>IF($H120="USD",IF(OR($L120="",$L120="-"),"",VLOOKUP($G120,為替!$A:$AX,$L120,FALSE))+$K$3,IF(OR($L120="",$L120="-"),"",VLOOKUP($G120,為替!$A:$AX,$L120,FALSE)))</f>
        <v/>
      </c>
      <c r="N120" s="204" t="str">
        <f t="shared" si="10"/>
        <v/>
      </c>
      <c r="O120" s="205" t="str">
        <f t="shared" si="6"/>
        <v/>
      </c>
      <c r="P120" s="206" t="str">
        <f t="shared" si="11"/>
        <v/>
      </c>
    </row>
    <row r="121" spans="3:16" x14ac:dyDescent="0.4">
      <c r="C121" s="199"/>
      <c r="D121" s="200"/>
      <c r="E121" s="201"/>
      <c r="F121" s="199"/>
      <c r="H121" s="202"/>
      <c r="I121" s="185" t="str">
        <f t="shared" si="7"/>
        <v/>
      </c>
      <c r="J121" s="203" t="str">
        <f>IF($H121="USD",IF(OR($I121="",$I121="-"),"",VLOOKUP($G121,為替!$A:$AX,$I121,FALSE))+$J$3,IF(OR($I121="",$I121="-"),"",VLOOKUP($G121,為替!$A:$AX,$I121,FALSE)))</f>
        <v/>
      </c>
      <c r="K121" s="204" t="str">
        <f t="shared" si="8"/>
        <v/>
      </c>
      <c r="L121" s="188" t="str">
        <f t="shared" si="9"/>
        <v/>
      </c>
      <c r="M121" s="203" t="str">
        <f>IF($H121="USD",IF(OR($L121="",$L121="-"),"",VLOOKUP($G121,為替!$A:$AX,$L121,FALSE))+$K$3,IF(OR($L121="",$L121="-"),"",VLOOKUP($G121,為替!$A:$AX,$L121,FALSE)))</f>
        <v/>
      </c>
      <c r="N121" s="204" t="str">
        <f t="shared" si="10"/>
        <v/>
      </c>
      <c r="O121" s="205" t="str">
        <f t="shared" si="6"/>
        <v/>
      </c>
      <c r="P121" s="206" t="str">
        <f t="shared" si="11"/>
        <v/>
      </c>
    </row>
    <row r="122" spans="3:16" x14ac:dyDescent="0.4">
      <c r="C122" s="199"/>
      <c r="D122" s="200"/>
      <c r="E122" s="201"/>
      <c r="F122" s="199"/>
      <c r="H122" s="202"/>
      <c r="I122" s="185" t="str">
        <f t="shared" si="7"/>
        <v/>
      </c>
      <c r="J122" s="203" t="str">
        <f>IF($H122="USD",IF(OR($I122="",$I122="-"),"",VLOOKUP($G122,為替!$A:$AX,$I122,FALSE))+$J$3,IF(OR($I122="",$I122="-"),"",VLOOKUP($G122,為替!$A:$AX,$I122,FALSE)))</f>
        <v/>
      </c>
      <c r="K122" s="204" t="str">
        <f t="shared" si="8"/>
        <v/>
      </c>
      <c r="L122" s="188" t="str">
        <f t="shared" si="9"/>
        <v/>
      </c>
      <c r="M122" s="203" t="str">
        <f>IF($H122="USD",IF(OR($L122="",$L122="-"),"",VLOOKUP($G122,為替!$A:$AX,$L122,FALSE))+$K$3,IF(OR($L122="",$L122="-"),"",VLOOKUP($G122,為替!$A:$AX,$L122,FALSE)))</f>
        <v/>
      </c>
      <c r="N122" s="204" t="str">
        <f t="shared" si="10"/>
        <v/>
      </c>
      <c r="O122" s="205" t="str">
        <f t="shared" si="6"/>
        <v/>
      </c>
      <c r="P122" s="206" t="str">
        <f t="shared" si="11"/>
        <v/>
      </c>
    </row>
    <row r="123" spans="3:16" x14ac:dyDescent="0.4">
      <c r="C123" s="199"/>
      <c r="D123" s="200"/>
      <c r="E123" s="201"/>
      <c r="F123" s="199"/>
      <c r="H123" s="202"/>
      <c r="I123" s="185" t="str">
        <f t="shared" si="7"/>
        <v/>
      </c>
      <c r="J123" s="203" t="str">
        <f>IF($H123="USD",IF(OR($I123="",$I123="-"),"",VLOOKUP($G123,為替!$A:$AX,$I123,FALSE))+$J$3,IF(OR($I123="",$I123="-"),"",VLOOKUP($G123,為替!$A:$AX,$I123,FALSE)))</f>
        <v/>
      </c>
      <c r="K123" s="204" t="str">
        <f t="shared" si="8"/>
        <v/>
      </c>
      <c r="L123" s="188" t="str">
        <f t="shared" si="9"/>
        <v/>
      </c>
      <c r="M123" s="203" t="str">
        <f>IF($H123="USD",IF(OR($L123="",$L123="-"),"",VLOOKUP($G123,為替!$A:$AX,$L123,FALSE))+$K$3,IF(OR($L123="",$L123="-"),"",VLOOKUP($G123,為替!$A:$AX,$L123,FALSE)))</f>
        <v/>
      </c>
      <c r="N123" s="204" t="str">
        <f t="shared" si="10"/>
        <v/>
      </c>
      <c r="O123" s="205" t="str">
        <f t="shared" si="6"/>
        <v/>
      </c>
      <c r="P123" s="206" t="str">
        <f t="shared" si="11"/>
        <v/>
      </c>
    </row>
    <row r="124" spans="3:16" x14ac:dyDescent="0.4">
      <c r="C124" s="199"/>
      <c r="D124" s="200"/>
      <c r="E124" s="201"/>
      <c r="F124" s="199"/>
      <c r="H124" s="202"/>
      <c r="I124" s="185" t="str">
        <f t="shared" si="7"/>
        <v/>
      </c>
      <c r="J124" s="203" t="str">
        <f>IF($H124="USD",IF(OR($I124="",$I124="-"),"",VLOOKUP($G124,為替!$A:$AX,$I124,FALSE))+$J$3,IF(OR($I124="",$I124="-"),"",VLOOKUP($G124,為替!$A:$AX,$I124,FALSE)))</f>
        <v/>
      </c>
      <c r="K124" s="204" t="str">
        <f t="shared" si="8"/>
        <v/>
      </c>
      <c r="L124" s="188" t="str">
        <f t="shared" si="9"/>
        <v/>
      </c>
      <c r="M124" s="203" t="str">
        <f>IF($H124="USD",IF(OR($L124="",$L124="-"),"",VLOOKUP($G124,為替!$A:$AX,$L124,FALSE))+$K$3,IF(OR($L124="",$L124="-"),"",VLOOKUP($G124,為替!$A:$AX,$L124,FALSE)))</f>
        <v/>
      </c>
      <c r="N124" s="204" t="str">
        <f t="shared" si="10"/>
        <v/>
      </c>
      <c r="O124" s="205" t="str">
        <f t="shared" si="6"/>
        <v/>
      </c>
      <c r="P124" s="206" t="str">
        <f t="shared" si="11"/>
        <v/>
      </c>
    </row>
    <row r="125" spans="3:16" x14ac:dyDescent="0.4">
      <c r="C125" s="199"/>
      <c r="D125" s="200"/>
      <c r="E125" s="201"/>
      <c r="F125" s="199"/>
      <c r="H125" s="202"/>
      <c r="I125" s="185" t="str">
        <f t="shared" si="7"/>
        <v/>
      </c>
      <c r="J125" s="203" t="str">
        <f>IF($H125="USD",IF(OR($I125="",$I125="-"),"",VLOOKUP($G125,為替!$A:$AX,$I125,FALSE))+$J$3,IF(OR($I125="",$I125="-"),"",VLOOKUP($G125,為替!$A:$AX,$I125,FALSE)))</f>
        <v/>
      </c>
      <c r="K125" s="204" t="str">
        <f t="shared" si="8"/>
        <v/>
      </c>
      <c r="L125" s="188" t="str">
        <f t="shared" si="9"/>
        <v/>
      </c>
      <c r="M125" s="203" t="str">
        <f>IF($H125="USD",IF(OR($L125="",$L125="-"),"",VLOOKUP($G125,為替!$A:$AX,$L125,FALSE))+$K$3,IF(OR($L125="",$L125="-"),"",VLOOKUP($G125,為替!$A:$AX,$L125,FALSE)))</f>
        <v/>
      </c>
      <c r="N125" s="204" t="str">
        <f t="shared" si="10"/>
        <v/>
      </c>
      <c r="O125" s="205" t="str">
        <f t="shared" si="6"/>
        <v/>
      </c>
      <c r="P125" s="206" t="str">
        <f t="shared" si="11"/>
        <v/>
      </c>
    </row>
    <row r="126" spans="3:16" x14ac:dyDescent="0.4">
      <c r="C126" s="199"/>
      <c r="D126" s="200"/>
      <c r="E126" s="201"/>
      <c r="F126" s="199"/>
      <c r="H126" s="202"/>
      <c r="I126" s="185" t="str">
        <f t="shared" si="7"/>
        <v/>
      </c>
      <c r="J126" s="203" t="str">
        <f>IF($H126="USD",IF(OR($I126="",$I126="-"),"",VLOOKUP($G126,為替!$A:$AX,$I126,FALSE))+$J$3,IF(OR($I126="",$I126="-"),"",VLOOKUP($G126,為替!$A:$AX,$I126,FALSE)))</f>
        <v/>
      </c>
      <c r="K126" s="204" t="str">
        <f t="shared" si="8"/>
        <v/>
      </c>
      <c r="L126" s="188" t="str">
        <f t="shared" si="9"/>
        <v/>
      </c>
      <c r="M126" s="203" t="str">
        <f>IF($H126="USD",IF(OR($L126="",$L126="-"),"",VLOOKUP($G126,為替!$A:$AX,$L126,FALSE))+$K$3,IF(OR($L126="",$L126="-"),"",VLOOKUP($G126,為替!$A:$AX,$L126,FALSE)))</f>
        <v/>
      </c>
      <c r="N126" s="204" t="str">
        <f t="shared" si="10"/>
        <v/>
      </c>
      <c r="O126" s="205" t="str">
        <f t="shared" si="6"/>
        <v/>
      </c>
      <c r="P126" s="206" t="str">
        <f t="shared" si="11"/>
        <v/>
      </c>
    </row>
    <row r="127" spans="3:16" x14ac:dyDescent="0.4">
      <c r="C127" s="199"/>
      <c r="D127" s="200"/>
      <c r="E127" s="201"/>
      <c r="F127" s="199"/>
      <c r="H127" s="202"/>
      <c r="I127" s="185" t="str">
        <f t="shared" si="7"/>
        <v/>
      </c>
      <c r="J127" s="203" t="str">
        <f>IF($H127="USD",IF(OR($I127="",$I127="-"),"",VLOOKUP($G127,為替!$A:$AX,$I127,FALSE))+$J$3,IF(OR($I127="",$I127="-"),"",VLOOKUP($G127,為替!$A:$AX,$I127,FALSE)))</f>
        <v/>
      </c>
      <c r="K127" s="204" t="str">
        <f t="shared" si="8"/>
        <v/>
      </c>
      <c r="L127" s="188" t="str">
        <f t="shared" si="9"/>
        <v/>
      </c>
      <c r="M127" s="203" t="str">
        <f>IF($H127="USD",IF(OR($L127="",$L127="-"),"",VLOOKUP($G127,為替!$A:$AX,$L127,FALSE))+$K$3,IF(OR($L127="",$L127="-"),"",VLOOKUP($G127,為替!$A:$AX,$L127,FALSE)))</f>
        <v/>
      </c>
      <c r="N127" s="204" t="str">
        <f t="shared" si="10"/>
        <v/>
      </c>
      <c r="O127" s="205" t="str">
        <f t="shared" si="6"/>
        <v/>
      </c>
      <c r="P127" s="206" t="str">
        <f t="shared" si="11"/>
        <v/>
      </c>
    </row>
    <row r="128" spans="3:16" x14ac:dyDescent="0.4">
      <c r="C128" s="199"/>
      <c r="D128" s="200"/>
      <c r="E128" s="201"/>
      <c r="F128" s="199"/>
      <c r="H128" s="202"/>
      <c r="I128" s="185" t="str">
        <f t="shared" si="7"/>
        <v/>
      </c>
      <c r="J128" s="203" t="str">
        <f>IF($H128="USD",IF(OR($I128="",$I128="-"),"",VLOOKUP($G128,為替!$A:$AX,$I128,FALSE))+$J$3,IF(OR($I128="",$I128="-"),"",VLOOKUP($G128,為替!$A:$AX,$I128,FALSE)))</f>
        <v/>
      </c>
      <c r="K128" s="204" t="str">
        <f t="shared" si="8"/>
        <v/>
      </c>
      <c r="L128" s="188" t="str">
        <f t="shared" si="9"/>
        <v/>
      </c>
      <c r="M128" s="203" t="str">
        <f>IF($H128="USD",IF(OR($L128="",$L128="-"),"",VLOOKUP($G128,為替!$A:$AX,$L128,FALSE))+$K$3,IF(OR($L128="",$L128="-"),"",VLOOKUP($G128,為替!$A:$AX,$L128,FALSE)))</f>
        <v/>
      </c>
      <c r="N128" s="204" t="str">
        <f t="shared" si="10"/>
        <v/>
      </c>
      <c r="O128" s="205" t="str">
        <f t="shared" si="6"/>
        <v/>
      </c>
      <c r="P128" s="206" t="str">
        <f t="shared" si="11"/>
        <v/>
      </c>
    </row>
    <row r="129" spans="3:16" x14ac:dyDescent="0.4">
      <c r="C129" s="199"/>
      <c r="D129" s="200"/>
      <c r="E129" s="201"/>
      <c r="F129" s="199"/>
      <c r="H129" s="202"/>
      <c r="I129" s="185" t="str">
        <f t="shared" si="7"/>
        <v/>
      </c>
      <c r="J129" s="203" t="str">
        <f>IF($H129="USD",IF(OR($I129="",$I129="-"),"",VLOOKUP($G129,為替!$A:$AX,$I129,FALSE))+$J$3,IF(OR($I129="",$I129="-"),"",VLOOKUP($G129,為替!$A:$AX,$I129,FALSE)))</f>
        <v/>
      </c>
      <c r="K129" s="204" t="str">
        <f t="shared" si="8"/>
        <v/>
      </c>
      <c r="L129" s="188" t="str">
        <f t="shared" si="9"/>
        <v/>
      </c>
      <c r="M129" s="203" t="str">
        <f>IF($H129="USD",IF(OR($L129="",$L129="-"),"",VLOOKUP($G129,為替!$A:$AX,$L129,FALSE))+$K$3,IF(OR($L129="",$L129="-"),"",VLOOKUP($G129,為替!$A:$AX,$L129,FALSE)))</f>
        <v/>
      </c>
      <c r="N129" s="204" t="str">
        <f t="shared" si="10"/>
        <v/>
      </c>
      <c r="O129" s="205" t="str">
        <f t="shared" si="6"/>
        <v/>
      </c>
      <c r="P129" s="206" t="str">
        <f t="shared" si="11"/>
        <v/>
      </c>
    </row>
    <row r="130" spans="3:16" x14ac:dyDescent="0.4">
      <c r="C130" s="199"/>
      <c r="D130" s="200"/>
      <c r="E130" s="201"/>
      <c r="F130" s="199"/>
      <c r="H130" s="202"/>
      <c r="I130" s="185" t="str">
        <f t="shared" si="7"/>
        <v/>
      </c>
      <c r="J130" s="203" t="str">
        <f>IF($H130="USD",IF(OR($I130="",$I130="-"),"",VLOOKUP($G130,為替!$A:$AX,$I130,FALSE))+$J$3,IF(OR($I130="",$I130="-"),"",VLOOKUP($G130,為替!$A:$AX,$I130,FALSE)))</f>
        <v/>
      </c>
      <c r="K130" s="204" t="str">
        <f t="shared" si="8"/>
        <v/>
      </c>
      <c r="L130" s="188" t="str">
        <f t="shared" si="9"/>
        <v/>
      </c>
      <c r="M130" s="203" t="str">
        <f>IF($H130="USD",IF(OR($L130="",$L130="-"),"",VLOOKUP($G130,為替!$A:$AX,$L130,FALSE))+$K$3,IF(OR($L130="",$L130="-"),"",VLOOKUP($G130,為替!$A:$AX,$L130,FALSE)))</f>
        <v/>
      </c>
      <c r="N130" s="204" t="str">
        <f t="shared" si="10"/>
        <v/>
      </c>
      <c r="O130" s="205" t="str">
        <f t="shared" si="6"/>
        <v/>
      </c>
      <c r="P130" s="206" t="str">
        <f t="shared" si="11"/>
        <v/>
      </c>
    </row>
    <row r="131" spans="3:16" x14ac:dyDescent="0.4">
      <c r="C131" s="199"/>
      <c r="D131" s="200"/>
      <c r="E131" s="201"/>
      <c r="F131" s="199"/>
      <c r="H131" s="202"/>
      <c r="I131" s="185" t="str">
        <f t="shared" si="7"/>
        <v/>
      </c>
      <c r="J131" s="203" t="str">
        <f>IF($H131="USD",IF(OR($I131="",$I131="-"),"",VLOOKUP($G131,為替!$A:$AX,$I131,FALSE))+$J$3,IF(OR($I131="",$I131="-"),"",VLOOKUP($G131,為替!$A:$AX,$I131,FALSE)))</f>
        <v/>
      </c>
      <c r="K131" s="204" t="str">
        <f t="shared" si="8"/>
        <v/>
      </c>
      <c r="L131" s="188" t="str">
        <f t="shared" si="9"/>
        <v/>
      </c>
      <c r="M131" s="203" t="str">
        <f>IF($H131="USD",IF(OR($L131="",$L131="-"),"",VLOOKUP($G131,為替!$A:$AX,$L131,FALSE))+$K$3,IF(OR($L131="",$L131="-"),"",VLOOKUP($G131,為替!$A:$AX,$L131,FALSE)))</f>
        <v/>
      </c>
      <c r="N131" s="204" t="str">
        <f t="shared" si="10"/>
        <v/>
      </c>
      <c r="O131" s="205" t="str">
        <f t="shared" si="6"/>
        <v/>
      </c>
      <c r="P131" s="206" t="str">
        <f t="shared" si="11"/>
        <v/>
      </c>
    </row>
    <row r="132" spans="3:16" x14ac:dyDescent="0.4">
      <c r="C132" s="199"/>
      <c r="D132" s="200"/>
      <c r="E132" s="201"/>
      <c r="F132" s="199"/>
      <c r="H132" s="202"/>
      <c r="I132" s="185" t="str">
        <f t="shared" si="7"/>
        <v/>
      </c>
      <c r="J132" s="203" t="str">
        <f>IF($H132="USD",IF(OR($I132="",$I132="-"),"",VLOOKUP($G132,為替!$A:$AX,$I132,FALSE))+$J$3,IF(OR($I132="",$I132="-"),"",VLOOKUP($G132,為替!$A:$AX,$I132,FALSE)))</f>
        <v/>
      </c>
      <c r="K132" s="204" t="str">
        <f t="shared" si="8"/>
        <v/>
      </c>
      <c r="L132" s="188" t="str">
        <f t="shared" si="9"/>
        <v/>
      </c>
      <c r="M132" s="203" t="str">
        <f>IF($H132="USD",IF(OR($L132="",$L132="-"),"",VLOOKUP($G132,為替!$A:$AX,$L132,FALSE))+$K$3,IF(OR($L132="",$L132="-"),"",VLOOKUP($G132,為替!$A:$AX,$L132,FALSE)))</f>
        <v/>
      </c>
      <c r="N132" s="204" t="str">
        <f t="shared" si="10"/>
        <v/>
      </c>
      <c r="O132" s="205" t="str">
        <f t="shared" si="6"/>
        <v/>
      </c>
      <c r="P132" s="206" t="str">
        <f t="shared" si="11"/>
        <v/>
      </c>
    </row>
    <row r="133" spans="3:16" x14ac:dyDescent="0.4">
      <c r="C133" s="199"/>
      <c r="D133" s="200"/>
      <c r="E133" s="201"/>
      <c r="F133" s="199"/>
      <c r="H133" s="202"/>
      <c r="I133" s="185" t="str">
        <f t="shared" si="7"/>
        <v/>
      </c>
      <c r="J133" s="203" t="str">
        <f>IF($H133="USD",IF(OR($I133="",$I133="-"),"",VLOOKUP($G133,為替!$A:$AX,$I133,FALSE))+$J$3,IF(OR($I133="",$I133="-"),"",VLOOKUP($G133,為替!$A:$AX,$I133,FALSE)))</f>
        <v/>
      </c>
      <c r="K133" s="204" t="str">
        <f t="shared" si="8"/>
        <v/>
      </c>
      <c r="L133" s="188" t="str">
        <f t="shared" si="9"/>
        <v/>
      </c>
      <c r="M133" s="203" t="str">
        <f>IF($H133="USD",IF(OR($L133="",$L133="-"),"",VLOOKUP($G133,為替!$A:$AX,$L133,FALSE))+$K$3,IF(OR($L133="",$L133="-"),"",VLOOKUP($G133,為替!$A:$AX,$L133,FALSE)))</f>
        <v/>
      </c>
      <c r="N133" s="204" t="str">
        <f t="shared" si="10"/>
        <v/>
      </c>
      <c r="O133" s="205" t="str">
        <f t="shared" si="6"/>
        <v/>
      </c>
      <c r="P133" s="206" t="str">
        <f t="shared" si="11"/>
        <v/>
      </c>
    </row>
    <row r="134" spans="3:16" x14ac:dyDescent="0.4">
      <c r="C134" s="199"/>
      <c r="D134" s="200"/>
      <c r="E134" s="201"/>
      <c r="F134" s="199"/>
      <c r="H134" s="202"/>
      <c r="I134" s="185" t="str">
        <f t="shared" si="7"/>
        <v/>
      </c>
      <c r="J134" s="203" t="str">
        <f>IF($H134="USD",IF(OR($I134="",$I134="-"),"",VLOOKUP($G134,為替!$A:$AX,$I134,FALSE))+$J$3,IF(OR($I134="",$I134="-"),"",VLOOKUP($G134,為替!$A:$AX,$I134,FALSE)))</f>
        <v/>
      </c>
      <c r="K134" s="204" t="str">
        <f t="shared" si="8"/>
        <v/>
      </c>
      <c r="L134" s="188" t="str">
        <f t="shared" si="9"/>
        <v/>
      </c>
      <c r="M134" s="203" t="str">
        <f>IF($H134="USD",IF(OR($L134="",$L134="-"),"",VLOOKUP($G134,為替!$A:$AX,$L134,FALSE))+$K$3,IF(OR($L134="",$L134="-"),"",VLOOKUP($G134,為替!$A:$AX,$L134,FALSE)))</f>
        <v/>
      </c>
      <c r="N134" s="204" t="str">
        <f t="shared" si="10"/>
        <v/>
      </c>
      <c r="O134" s="205" t="str">
        <f t="shared" ref="O134:O197" si="12">IF(OR(K134="",N134=""),"",K134-N134)</f>
        <v/>
      </c>
      <c r="P134" s="206" t="str">
        <f t="shared" si="11"/>
        <v/>
      </c>
    </row>
    <row r="135" spans="3:16" x14ac:dyDescent="0.4">
      <c r="C135" s="199"/>
      <c r="D135" s="200"/>
      <c r="E135" s="201"/>
      <c r="F135" s="199"/>
      <c r="H135" s="202"/>
      <c r="I135" s="185" t="str">
        <f t="shared" ref="I135:I198" si="13">IF(H135="","",IF(H135="JPY","",IF($H135="USD",4, IF(H135="EUR",7,IF(H135="CNY",47,IF(H135="HKD",34))))))</f>
        <v/>
      </c>
      <c r="J135" s="203" t="str">
        <f>IF($H135="USD",IF(OR($I135="",$I135="-"),"",VLOOKUP($G135,為替!$A:$AX,$I135,FALSE))+$J$3,IF(OR($I135="",$I135="-"),"",VLOOKUP($G135,為替!$A:$AX,$I135,FALSE)))</f>
        <v/>
      </c>
      <c r="K135" s="204" t="str">
        <f t="shared" ref="K135:K198" si="14">IF($H135="JPY",$F135,IF($H135="","",$F135*$J135))</f>
        <v/>
      </c>
      <c r="L135" s="188" t="str">
        <f t="shared" ref="L135:L198" si="15">IF(H135="","",IF(H135="JPY","",IF($H135="USD",3, IF(H135="EUR",6,IF(H135="CNY",46,IF(H135="HKD",33))))))</f>
        <v/>
      </c>
      <c r="M135" s="203" t="str">
        <f>IF($H135="USD",IF(OR($L135="",$L135="-"),"",VLOOKUP($G135,為替!$A:$AX,$L135,FALSE))+$K$3,IF(OR($L135="",$L135="-"),"",VLOOKUP($G135,為替!$A:$AX,$L135,FALSE)))</f>
        <v/>
      </c>
      <c r="N135" s="204" t="str">
        <f t="shared" ref="N135:N198" si="16">IF($E135="JPY",($C135+$D135),IF($E135="","",($C135+$D135)*$M135))</f>
        <v/>
      </c>
      <c r="O135" s="205" t="str">
        <f t="shared" si="12"/>
        <v/>
      </c>
      <c r="P135" s="206" t="str">
        <f t="shared" ref="P135:P198" si="17">IF(OR(K135="",O135=""),"",O135/K135)</f>
        <v/>
      </c>
    </row>
    <row r="136" spans="3:16" x14ac:dyDescent="0.4">
      <c r="C136" s="199"/>
      <c r="D136" s="200"/>
      <c r="E136" s="201"/>
      <c r="F136" s="199"/>
      <c r="H136" s="202"/>
      <c r="I136" s="185" t="str">
        <f t="shared" si="13"/>
        <v/>
      </c>
      <c r="J136" s="203" t="str">
        <f>IF($H136="USD",IF(OR($I136="",$I136="-"),"",VLOOKUP($G136,為替!$A:$AX,$I136,FALSE))+$J$3,IF(OR($I136="",$I136="-"),"",VLOOKUP($G136,為替!$A:$AX,$I136,FALSE)))</f>
        <v/>
      </c>
      <c r="K136" s="204" t="str">
        <f t="shared" si="14"/>
        <v/>
      </c>
      <c r="L136" s="188" t="str">
        <f t="shared" si="15"/>
        <v/>
      </c>
      <c r="M136" s="203" t="str">
        <f>IF($H136="USD",IF(OR($L136="",$L136="-"),"",VLOOKUP($G136,為替!$A:$AX,$L136,FALSE))+$K$3,IF(OR($L136="",$L136="-"),"",VLOOKUP($G136,為替!$A:$AX,$L136,FALSE)))</f>
        <v/>
      </c>
      <c r="N136" s="204" t="str">
        <f t="shared" si="16"/>
        <v/>
      </c>
      <c r="O136" s="205" t="str">
        <f t="shared" si="12"/>
        <v/>
      </c>
      <c r="P136" s="206" t="str">
        <f t="shared" si="17"/>
        <v/>
      </c>
    </row>
    <row r="137" spans="3:16" x14ac:dyDescent="0.4">
      <c r="C137" s="199"/>
      <c r="D137" s="200"/>
      <c r="E137" s="201"/>
      <c r="F137" s="199"/>
      <c r="H137" s="202"/>
      <c r="I137" s="185" t="str">
        <f t="shared" si="13"/>
        <v/>
      </c>
      <c r="J137" s="203" t="str">
        <f>IF($H137="USD",IF(OR($I137="",$I137="-"),"",VLOOKUP($G137,為替!$A:$AX,$I137,FALSE))+$J$3,IF(OR($I137="",$I137="-"),"",VLOOKUP($G137,為替!$A:$AX,$I137,FALSE)))</f>
        <v/>
      </c>
      <c r="K137" s="204" t="str">
        <f t="shared" si="14"/>
        <v/>
      </c>
      <c r="L137" s="188" t="str">
        <f t="shared" si="15"/>
        <v/>
      </c>
      <c r="M137" s="203" t="str">
        <f>IF($H137="USD",IF(OR($L137="",$L137="-"),"",VLOOKUP($G137,為替!$A:$AX,$L137,FALSE))+$K$3,IF(OR($L137="",$L137="-"),"",VLOOKUP($G137,為替!$A:$AX,$L137,FALSE)))</f>
        <v/>
      </c>
      <c r="N137" s="204" t="str">
        <f t="shared" si="16"/>
        <v/>
      </c>
      <c r="O137" s="205" t="str">
        <f t="shared" si="12"/>
        <v/>
      </c>
      <c r="P137" s="206" t="str">
        <f t="shared" si="17"/>
        <v/>
      </c>
    </row>
    <row r="138" spans="3:16" x14ac:dyDescent="0.4">
      <c r="C138" s="199"/>
      <c r="D138" s="200"/>
      <c r="E138" s="201"/>
      <c r="F138" s="199"/>
      <c r="H138" s="202"/>
      <c r="I138" s="185" t="str">
        <f t="shared" si="13"/>
        <v/>
      </c>
      <c r="J138" s="203" t="str">
        <f>IF($H138="USD",IF(OR($I138="",$I138="-"),"",VLOOKUP($G138,為替!$A:$AX,$I138,FALSE))+$J$3,IF(OR($I138="",$I138="-"),"",VLOOKUP($G138,為替!$A:$AX,$I138,FALSE)))</f>
        <v/>
      </c>
      <c r="K138" s="204" t="str">
        <f t="shared" si="14"/>
        <v/>
      </c>
      <c r="L138" s="188" t="str">
        <f t="shared" si="15"/>
        <v/>
      </c>
      <c r="M138" s="203" t="str">
        <f>IF($H138="USD",IF(OR($L138="",$L138="-"),"",VLOOKUP($G138,為替!$A:$AX,$L138,FALSE))+$K$3,IF(OR($L138="",$L138="-"),"",VLOOKUP($G138,為替!$A:$AX,$L138,FALSE)))</f>
        <v/>
      </c>
      <c r="N138" s="204" t="str">
        <f t="shared" si="16"/>
        <v/>
      </c>
      <c r="O138" s="205" t="str">
        <f t="shared" si="12"/>
        <v/>
      </c>
      <c r="P138" s="206" t="str">
        <f t="shared" si="17"/>
        <v/>
      </c>
    </row>
    <row r="139" spans="3:16" x14ac:dyDescent="0.4">
      <c r="C139" s="199"/>
      <c r="D139" s="200"/>
      <c r="E139" s="201"/>
      <c r="F139" s="199"/>
      <c r="H139" s="202"/>
      <c r="I139" s="185" t="str">
        <f t="shared" si="13"/>
        <v/>
      </c>
      <c r="J139" s="203" t="str">
        <f>IF($H139="USD",IF(OR($I139="",$I139="-"),"",VLOOKUP($G139,為替!$A:$AX,$I139,FALSE))+$J$3,IF(OR($I139="",$I139="-"),"",VLOOKUP($G139,為替!$A:$AX,$I139,FALSE)))</f>
        <v/>
      </c>
      <c r="K139" s="204" t="str">
        <f t="shared" si="14"/>
        <v/>
      </c>
      <c r="L139" s="188" t="str">
        <f t="shared" si="15"/>
        <v/>
      </c>
      <c r="M139" s="203" t="str">
        <f>IF($H139="USD",IF(OR($L139="",$L139="-"),"",VLOOKUP($G139,為替!$A:$AX,$L139,FALSE))+$K$3,IF(OR($L139="",$L139="-"),"",VLOOKUP($G139,為替!$A:$AX,$L139,FALSE)))</f>
        <v/>
      </c>
      <c r="N139" s="204" t="str">
        <f t="shared" si="16"/>
        <v/>
      </c>
      <c r="O139" s="205" t="str">
        <f t="shared" si="12"/>
        <v/>
      </c>
      <c r="P139" s="206" t="str">
        <f t="shared" si="17"/>
        <v/>
      </c>
    </row>
    <row r="140" spans="3:16" x14ac:dyDescent="0.4">
      <c r="C140" s="199"/>
      <c r="D140" s="200"/>
      <c r="E140" s="201"/>
      <c r="F140" s="199"/>
      <c r="H140" s="202"/>
      <c r="I140" s="185" t="str">
        <f t="shared" si="13"/>
        <v/>
      </c>
      <c r="J140" s="203" t="str">
        <f>IF($H140="USD",IF(OR($I140="",$I140="-"),"",VLOOKUP($G140,為替!$A:$AX,$I140,FALSE))+$J$3,IF(OR($I140="",$I140="-"),"",VLOOKUP($G140,為替!$A:$AX,$I140,FALSE)))</f>
        <v/>
      </c>
      <c r="K140" s="204" t="str">
        <f t="shared" si="14"/>
        <v/>
      </c>
      <c r="L140" s="188" t="str">
        <f t="shared" si="15"/>
        <v/>
      </c>
      <c r="M140" s="203" t="str">
        <f>IF($H140="USD",IF(OR($L140="",$L140="-"),"",VLOOKUP($G140,為替!$A:$AX,$L140,FALSE))+$K$3,IF(OR($L140="",$L140="-"),"",VLOOKUP($G140,為替!$A:$AX,$L140,FALSE)))</f>
        <v/>
      </c>
      <c r="N140" s="204" t="str">
        <f t="shared" si="16"/>
        <v/>
      </c>
      <c r="O140" s="205" t="str">
        <f t="shared" si="12"/>
        <v/>
      </c>
      <c r="P140" s="206" t="str">
        <f t="shared" si="17"/>
        <v/>
      </c>
    </row>
    <row r="141" spans="3:16" x14ac:dyDescent="0.4">
      <c r="C141" s="199"/>
      <c r="D141" s="200"/>
      <c r="E141" s="201"/>
      <c r="F141" s="199"/>
      <c r="H141" s="202"/>
      <c r="I141" s="185" t="str">
        <f t="shared" si="13"/>
        <v/>
      </c>
      <c r="J141" s="203" t="str">
        <f>IF($H141="USD",IF(OR($I141="",$I141="-"),"",VLOOKUP($G141,為替!$A:$AX,$I141,FALSE))+$J$3,IF(OR($I141="",$I141="-"),"",VLOOKUP($G141,為替!$A:$AX,$I141,FALSE)))</f>
        <v/>
      </c>
      <c r="K141" s="204" t="str">
        <f t="shared" si="14"/>
        <v/>
      </c>
      <c r="L141" s="188" t="str">
        <f t="shared" si="15"/>
        <v/>
      </c>
      <c r="M141" s="203" t="str">
        <f>IF($H141="USD",IF(OR($L141="",$L141="-"),"",VLOOKUP($G141,為替!$A:$AX,$L141,FALSE))+$K$3,IF(OR($L141="",$L141="-"),"",VLOOKUP($G141,為替!$A:$AX,$L141,FALSE)))</f>
        <v/>
      </c>
      <c r="N141" s="204" t="str">
        <f t="shared" si="16"/>
        <v/>
      </c>
      <c r="O141" s="205" t="str">
        <f t="shared" si="12"/>
        <v/>
      </c>
      <c r="P141" s="206" t="str">
        <f t="shared" si="17"/>
        <v/>
      </c>
    </row>
    <row r="142" spans="3:16" x14ac:dyDescent="0.4">
      <c r="C142" s="199"/>
      <c r="D142" s="200"/>
      <c r="E142" s="201"/>
      <c r="F142" s="199"/>
      <c r="H142" s="202"/>
      <c r="I142" s="185" t="str">
        <f t="shared" si="13"/>
        <v/>
      </c>
      <c r="J142" s="203" t="str">
        <f>IF($H142="USD",IF(OR($I142="",$I142="-"),"",VLOOKUP($G142,為替!$A:$AX,$I142,FALSE))+$J$3,IF(OR($I142="",$I142="-"),"",VLOOKUP($G142,為替!$A:$AX,$I142,FALSE)))</f>
        <v/>
      </c>
      <c r="K142" s="204" t="str">
        <f t="shared" si="14"/>
        <v/>
      </c>
      <c r="L142" s="188" t="str">
        <f t="shared" si="15"/>
        <v/>
      </c>
      <c r="M142" s="203" t="str">
        <f>IF($H142="USD",IF(OR($L142="",$L142="-"),"",VLOOKUP($G142,為替!$A:$AX,$L142,FALSE))+$K$3,IF(OR($L142="",$L142="-"),"",VLOOKUP($G142,為替!$A:$AX,$L142,FALSE)))</f>
        <v/>
      </c>
      <c r="N142" s="204" t="str">
        <f t="shared" si="16"/>
        <v/>
      </c>
      <c r="O142" s="205" t="str">
        <f t="shared" si="12"/>
        <v/>
      </c>
      <c r="P142" s="206" t="str">
        <f t="shared" si="17"/>
        <v/>
      </c>
    </row>
    <row r="143" spans="3:16" x14ac:dyDescent="0.4">
      <c r="C143" s="199"/>
      <c r="D143" s="200"/>
      <c r="E143" s="201"/>
      <c r="F143" s="199"/>
      <c r="H143" s="202"/>
      <c r="I143" s="185" t="str">
        <f t="shared" si="13"/>
        <v/>
      </c>
      <c r="J143" s="203" t="str">
        <f>IF($H143="USD",IF(OR($I143="",$I143="-"),"",VLOOKUP($G143,為替!$A:$AX,$I143,FALSE))+$J$3,IF(OR($I143="",$I143="-"),"",VLOOKUP($G143,為替!$A:$AX,$I143,FALSE)))</f>
        <v/>
      </c>
      <c r="K143" s="204" t="str">
        <f t="shared" si="14"/>
        <v/>
      </c>
      <c r="L143" s="188" t="str">
        <f t="shared" si="15"/>
        <v/>
      </c>
      <c r="M143" s="203" t="str">
        <f>IF($H143="USD",IF(OR($L143="",$L143="-"),"",VLOOKUP($G143,為替!$A:$AX,$L143,FALSE))+$K$3,IF(OR($L143="",$L143="-"),"",VLOOKUP($G143,為替!$A:$AX,$L143,FALSE)))</f>
        <v/>
      </c>
      <c r="N143" s="204" t="str">
        <f t="shared" si="16"/>
        <v/>
      </c>
      <c r="O143" s="205" t="str">
        <f t="shared" si="12"/>
        <v/>
      </c>
      <c r="P143" s="206" t="str">
        <f t="shared" si="17"/>
        <v/>
      </c>
    </row>
    <row r="144" spans="3:16" x14ac:dyDescent="0.4">
      <c r="C144" s="199"/>
      <c r="D144" s="200"/>
      <c r="E144" s="201"/>
      <c r="F144" s="199"/>
      <c r="H144" s="202"/>
      <c r="I144" s="185" t="str">
        <f t="shared" si="13"/>
        <v/>
      </c>
      <c r="J144" s="203" t="str">
        <f>IF($H144="USD",IF(OR($I144="",$I144="-"),"",VLOOKUP($G144,為替!$A:$AX,$I144,FALSE))+$J$3,IF(OR($I144="",$I144="-"),"",VLOOKUP($G144,為替!$A:$AX,$I144,FALSE)))</f>
        <v/>
      </c>
      <c r="K144" s="204" t="str">
        <f t="shared" si="14"/>
        <v/>
      </c>
      <c r="L144" s="188" t="str">
        <f t="shared" si="15"/>
        <v/>
      </c>
      <c r="M144" s="203" t="str">
        <f>IF($H144="USD",IF(OR($L144="",$L144="-"),"",VLOOKUP($G144,為替!$A:$AX,$L144,FALSE))+$K$3,IF(OR($L144="",$L144="-"),"",VLOOKUP($G144,為替!$A:$AX,$L144,FALSE)))</f>
        <v/>
      </c>
      <c r="N144" s="204" t="str">
        <f t="shared" si="16"/>
        <v/>
      </c>
      <c r="O144" s="205" t="str">
        <f t="shared" si="12"/>
        <v/>
      </c>
      <c r="P144" s="206" t="str">
        <f t="shared" si="17"/>
        <v/>
      </c>
    </row>
    <row r="145" spans="3:16" x14ac:dyDescent="0.4">
      <c r="C145" s="199"/>
      <c r="D145" s="200"/>
      <c r="E145" s="201"/>
      <c r="F145" s="199"/>
      <c r="H145" s="202"/>
      <c r="I145" s="185" t="str">
        <f t="shared" si="13"/>
        <v/>
      </c>
      <c r="J145" s="203" t="str">
        <f>IF($H145="USD",IF(OR($I145="",$I145="-"),"",VLOOKUP($G145,為替!$A:$AX,$I145,FALSE))+$J$3,IF(OR($I145="",$I145="-"),"",VLOOKUP($G145,為替!$A:$AX,$I145,FALSE)))</f>
        <v/>
      </c>
      <c r="K145" s="204" t="str">
        <f t="shared" si="14"/>
        <v/>
      </c>
      <c r="L145" s="188" t="str">
        <f t="shared" si="15"/>
        <v/>
      </c>
      <c r="M145" s="203" t="str">
        <f>IF($H145="USD",IF(OR($L145="",$L145="-"),"",VLOOKUP($G145,為替!$A:$AX,$L145,FALSE))+$K$3,IF(OR($L145="",$L145="-"),"",VLOOKUP($G145,為替!$A:$AX,$L145,FALSE)))</f>
        <v/>
      </c>
      <c r="N145" s="204" t="str">
        <f t="shared" si="16"/>
        <v/>
      </c>
      <c r="O145" s="205" t="str">
        <f t="shared" si="12"/>
        <v/>
      </c>
      <c r="P145" s="206" t="str">
        <f t="shared" si="17"/>
        <v/>
      </c>
    </row>
    <row r="146" spans="3:16" x14ac:dyDescent="0.4">
      <c r="C146" s="199"/>
      <c r="D146" s="200"/>
      <c r="E146" s="201"/>
      <c r="F146" s="199"/>
      <c r="H146" s="202"/>
      <c r="I146" s="185" t="str">
        <f t="shared" si="13"/>
        <v/>
      </c>
      <c r="J146" s="203" t="str">
        <f>IF($H146="USD",IF(OR($I146="",$I146="-"),"",VLOOKUP($G146,為替!$A:$AX,$I146,FALSE))+$J$3,IF(OR($I146="",$I146="-"),"",VLOOKUP($G146,為替!$A:$AX,$I146,FALSE)))</f>
        <v/>
      </c>
      <c r="K146" s="204" t="str">
        <f t="shared" si="14"/>
        <v/>
      </c>
      <c r="L146" s="188" t="str">
        <f t="shared" si="15"/>
        <v/>
      </c>
      <c r="M146" s="203" t="str">
        <f>IF($H146="USD",IF(OR($L146="",$L146="-"),"",VLOOKUP($G146,為替!$A:$AX,$L146,FALSE))+$K$3,IF(OR($L146="",$L146="-"),"",VLOOKUP($G146,為替!$A:$AX,$L146,FALSE)))</f>
        <v/>
      </c>
      <c r="N146" s="204" t="str">
        <f t="shared" si="16"/>
        <v/>
      </c>
      <c r="O146" s="205" t="str">
        <f t="shared" si="12"/>
        <v/>
      </c>
      <c r="P146" s="206" t="str">
        <f t="shared" si="17"/>
        <v/>
      </c>
    </row>
    <row r="147" spans="3:16" x14ac:dyDescent="0.4">
      <c r="C147" s="199"/>
      <c r="D147" s="200"/>
      <c r="E147" s="201"/>
      <c r="F147" s="199"/>
      <c r="H147" s="202"/>
      <c r="I147" s="185" t="str">
        <f t="shared" si="13"/>
        <v/>
      </c>
      <c r="J147" s="203" t="str">
        <f>IF($H147="USD",IF(OR($I147="",$I147="-"),"",VLOOKUP($G147,為替!$A:$AX,$I147,FALSE))+$J$3,IF(OR($I147="",$I147="-"),"",VLOOKUP($G147,為替!$A:$AX,$I147,FALSE)))</f>
        <v/>
      </c>
      <c r="K147" s="204" t="str">
        <f t="shared" si="14"/>
        <v/>
      </c>
      <c r="L147" s="188" t="str">
        <f t="shared" si="15"/>
        <v/>
      </c>
      <c r="M147" s="203" t="str">
        <f>IF($H147="USD",IF(OR($L147="",$L147="-"),"",VLOOKUP($G147,為替!$A:$AX,$L147,FALSE))+$K$3,IF(OR($L147="",$L147="-"),"",VLOOKUP($G147,為替!$A:$AX,$L147,FALSE)))</f>
        <v/>
      </c>
      <c r="N147" s="204" t="str">
        <f t="shared" si="16"/>
        <v/>
      </c>
      <c r="O147" s="205" t="str">
        <f t="shared" si="12"/>
        <v/>
      </c>
      <c r="P147" s="206" t="str">
        <f t="shared" si="17"/>
        <v/>
      </c>
    </row>
    <row r="148" spans="3:16" x14ac:dyDescent="0.4">
      <c r="C148" s="199"/>
      <c r="D148" s="200"/>
      <c r="E148" s="201"/>
      <c r="F148" s="199"/>
      <c r="H148" s="202"/>
      <c r="I148" s="185" t="str">
        <f t="shared" si="13"/>
        <v/>
      </c>
      <c r="J148" s="203" t="str">
        <f>IF($H148="USD",IF(OR($I148="",$I148="-"),"",VLOOKUP($G148,為替!$A:$AX,$I148,FALSE))+$J$3,IF(OR($I148="",$I148="-"),"",VLOOKUP($G148,為替!$A:$AX,$I148,FALSE)))</f>
        <v/>
      </c>
      <c r="K148" s="204" t="str">
        <f t="shared" si="14"/>
        <v/>
      </c>
      <c r="L148" s="188" t="str">
        <f t="shared" si="15"/>
        <v/>
      </c>
      <c r="M148" s="203" t="str">
        <f>IF($H148="USD",IF(OR($L148="",$L148="-"),"",VLOOKUP($G148,為替!$A:$AX,$L148,FALSE))+$K$3,IF(OR($L148="",$L148="-"),"",VLOOKUP($G148,為替!$A:$AX,$L148,FALSE)))</f>
        <v/>
      </c>
      <c r="N148" s="204" t="str">
        <f t="shared" si="16"/>
        <v/>
      </c>
      <c r="O148" s="205" t="str">
        <f t="shared" si="12"/>
        <v/>
      </c>
      <c r="P148" s="206" t="str">
        <f t="shared" si="17"/>
        <v/>
      </c>
    </row>
    <row r="149" spans="3:16" x14ac:dyDescent="0.4">
      <c r="C149" s="199"/>
      <c r="D149" s="200"/>
      <c r="E149" s="201"/>
      <c r="F149" s="199"/>
      <c r="H149" s="202"/>
      <c r="I149" s="185" t="str">
        <f t="shared" si="13"/>
        <v/>
      </c>
      <c r="J149" s="203" t="str">
        <f>IF($H149="USD",IF(OR($I149="",$I149="-"),"",VLOOKUP($G149,為替!$A:$AX,$I149,FALSE))+$J$3,IF(OR($I149="",$I149="-"),"",VLOOKUP($G149,為替!$A:$AX,$I149,FALSE)))</f>
        <v/>
      </c>
      <c r="K149" s="204" t="str">
        <f t="shared" si="14"/>
        <v/>
      </c>
      <c r="L149" s="188" t="str">
        <f t="shared" si="15"/>
        <v/>
      </c>
      <c r="M149" s="203" t="str">
        <f>IF($H149="USD",IF(OR($L149="",$L149="-"),"",VLOOKUP($G149,為替!$A:$AX,$L149,FALSE))+$K$3,IF(OR($L149="",$L149="-"),"",VLOOKUP($G149,為替!$A:$AX,$L149,FALSE)))</f>
        <v/>
      </c>
      <c r="N149" s="204" t="str">
        <f t="shared" si="16"/>
        <v/>
      </c>
      <c r="O149" s="205" t="str">
        <f t="shared" si="12"/>
        <v/>
      </c>
      <c r="P149" s="206" t="str">
        <f t="shared" si="17"/>
        <v/>
      </c>
    </row>
    <row r="150" spans="3:16" x14ac:dyDescent="0.4">
      <c r="C150" s="199"/>
      <c r="D150" s="200"/>
      <c r="E150" s="201"/>
      <c r="F150" s="199"/>
      <c r="H150" s="202"/>
      <c r="I150" s="185" t="str">
        <f t="shared" si="13"/>
        <v/>
      </c>
      <c r="J150" s="203" t="str">
        <f>IF($H150="USD",IF(OR($I150="",$I150="-"),"",VLOOKUP($G150,為替!$A:$AX,$I150,FALSE))+$J$3,IF(OR($I150="",$I150="-"),"",VLOOKUP($G150,為替!$A:$AX,$I150,FALSE)))</f>
        <v/>
      </c>
      <c r="K150" s="204" t="str">
        <f t="shared" si="14"/>
        <v/>
      </c>
      <c r="L150" s="188" t="str">
        <f t="shared" si="15"/>
        <v/>
      </c>
      <c r="M150" s="203" t="str">
        <f>IF($H150="USD",IF(OR($L150="",$L150="-"),"",VLOOKUP($G150,為替!$A:$AX,$L150,FALSE))+$K$3,IF(OR($L150="",$L150="-"),"",VLOOKUP($G150,為替!$A:$AX,$L150,FALSE)))</f>
        <v/>
      </c>
      <c r="N150" s="204" t="str">
        <f t="shared" si="16"/>
        <v/>
      </c>
      <c r="O150" s="205" t="str">
        <f t="shared" si="12"/>
        <v/>
      </c>
      <c r="P150" s="206" t="str">
        <f t="shared" si="17"/>
        <v/>
      </c>
    </row>
    <row r="151" spans="3:16" x14ac:dyDescent="0.4">
      <c r="C151" s="199"/>
      <c r="D151" s="200"/>
      <c r="E151" s="201"/>
      <c r="F151" s="199"/>
      <c r="H151" s="202"/>
      <c r="I151" s="185" t="str">
        <f t="shared" si="13"/>
        <v/>
      </c>
      <c r="J151" s="203" t="str">
        <f>IF($H151="USD",IF(OR($I151="",$I151="-"),"",VLOOKUP($G151,為替!$A:$AX,$I151,FALSE))+$J$3,IF(OR($I151="",$I151="-"),"",VLOOKUP($G151,為替!$A:$AX,$I151,FALSE)))</f>
        <v/>
      </c>
      <c r="K151" s="204" t="str">
        <f t="shared" si="14"/>
        <v/>
      </c>
      <c r="L151" s="188" t="str">
        <f t="shared" si="15"/>
        <v/>
      </c>
      <c r="M151" s="203" t="str">
        <f>IF($H151="USD",IF(OR($L151="",$L151="-"),"",VLOOKUP($G151,為替!$A:$AX,$L151,FALSE))+$K$3,IF(OR($L151="",$L151="-"),"",VLOOKUP($G151,為替!$A:$AX,$L151,FALSE)))</f>
        <v/>
      </c>
      <c r="N151" s="204" t="str">
        <f t="shared" si="16"/>
        <v/>
      </c>
      <c r="O151" s="205" t="str">
        <f t="shared" si="12"/>
        <v/>
      </c>
      <c r="P151" s="206" t="str">
        <f t="shared" si="17"/>
        <v/>
      </c>
    </row>
    <row r="152" spans="3:16" x14ac:dyDescent="0.4">
      <c r="C152" s="199"/>
      <c r="D152" s="200"/>
      <c r="E152" s="201"/>
      <c r="F152" s="199"/>
      <c r="H152" s="202"/>
      <c r="I152" s="185" t="str">
        <f t="shared" si="13"/>
        <v/>
      </c>
      <c r="J152" s="203" t="str">
        <f>IF($H152="USD",IF(OR($I152="",$I152="-"),"",VLOOKUP($G152,為替!$A:$AX,$I152,FALSE))+$J$3,IF(OR($I152="",$I152="-"),"",VLOOKUP($G152,為替!$A:$AX,$I152,FALSE)))</f>
        <v/>
      </c>
      <c r="K152" s="204" t="str">
        <f t="shared" si="14"/>
        <v/>
      </c>
      <c r="L152" s="188" t="str">
        <f t="shared" si="15"/>
        <v/>
      </c>
      <c r="M152" s="203" t="str">
        <f>IF($H152="USD",IF(OR($L152="",$L152="-"),"",VLOOKUP($G152,為替!$A:$AX,$L152,FALSE))+$K$3,IF(OR($L152="",$L152="-"),"",VLOOKUP($G152,為替!$A:$AX,$L152,FALSE)))</f>
        <v/>
      </c>
      <c r="N152" s="204" t="str">
        <f t="shared" si="16"/>
        <v/>
      </c>
      <c r="O152" s="205" t="str">
        <f t="shared" si="12"/>
        <v/>
      </c>
      <c r="P152" s="206" t="str">
        <f t="shared" si="17"/>
        <v/>
      </c>
    </row>
    <row r="153" spans="3:16" x14ac:dyDescent="0.4">
      <c r="C153" s="199"/>
      <c r="D153" s="200"/>
      <c r="E153" s="201"/>
      <c r="F153" s="199"/>
      <c r="H153" s="202"/>
      <c r="I153" s="185" t="str">
        <f t="shared" si="13"/>
        <v/>
      </c>
      <c r="J153" s="203" t="str">
        <f>IF($H153="USD",IF(OR($I153="",$I153="-"),"",VLOOKUP($G153,為替!$A:$AX,$I153,FALSE))+$J$3,IF(OR($I153="",$I153="-"),"",VLOOKUP($G153,為替!$A:$AX,$I153,FALSE)))</f>
        <v/>
      </c>
      <c r="K153" s="204" t="str">
        <f t="shared" si="14"/>
        <v/>
      </c>
      <c r="L153" s="188" t="str">
        <f t="shared" si="15"/>
        <v/>
      </c>
      <c r="M153" s="203" t="str">
        <f>IF($H153="USD",IF(OR($L153="",$L153="-"),"",VLOOKUP($G153,為替!$A:$AX,$L153,FALSE))+$K$3,IF(OR($L153="",$L153="-"),"",VLOOKUP($G153,為替!$A:$AX,$L153,FALSE)))</f>
        <v/>
      </c>
      <c r="N153" s="204" t="str">
        <f t="shared" si="16"/>
        <v/>
      </c>
      <c r="O153" s="205" t="str">
        <f t="shared" si="12"/>
        <v/>
      </c>
      <c r="P153" s="206" t="str">
        <f t="shared" si="17"/>
        <v/>
      </c>
    </row>
    <row r="154" spans="3:16" x14ac:dyDescent="0.4">
      <c r="C154" s="199"/>
      <c r="D154" s="200"/>
      <c r="E154" s="201"/>
      <c r="F154" s="199"/>
      <c r="H154" s="202"/>
      <c r="I154" s="185" t="str">
        <f t="shared" si="13"/>
        <v/>
      </c>
      <c r="J154" s="203" t="str">
        <f>IF($H154="USD",IF(OR($I154="",$I154="-"),"",VLOOKUP($G154,為替!$A:$AX,$I154,FALSE))+$J$3,IF(OR($I154="",$I154="-"),"",VLOOKUP($G154,為替!$A:$AX,$I154,FALSE)))</f>
        <v/>
      </c>
      <c r="K154" s="204" t="str">
        <f t="shared" si="14"/>
        <v/>
      </c>
      <c r="L154" s="188" t="str">
        <f t="shared" si="15"/>
        <v/>
      </c>
      <c r="M154" s="203" t="str">
        <f>IF($H154="USD",IF(OR($L154="",$L154="-"),"",VLOOKUP($G154,為替!$A:$AX,$L154,FALSE))+$K$3,IF(OR($L154="",$L154="-"),"",VLOOKUP($G154,為替!$A:$AX,$L154,FALSE)))</f>
        <v/>
      </c>
      <c r="N154" s="204" t="str">
        <f t="shared" si="16"/>
        <v/>
      </c>
      <c r="O154" s="205" t="str">
        <f t="shared" si="12"/>
        <v/>
      </c>
      <c r="P154" s="206" t="str">
        <f t="shared" si="17"/>
        <v/>
      </c>
    </row>
    <row r="155" spans="3:16" x14ac:dyDescent="0.4">
      <c r="C155" s="199"/>
      <c r="D155" s="200"/>
      <c r="E155" s="201"/>
      <c r="F155" s="199"/>
      <c r="H155" s="202"/>
      <c r="I155" s="185" t="str">
        <f t="shared" si="13"/>
        <v/>
      </c>
      <c r="J155" s="203" t="str">
        <f>IF($H155="USD",IF(OR($I155="",$I155="-"),"",VLOOKUP($G155,為替!$A:$AX,$I155,FALSE))+$J$3,IF(OR($I155="",$I155="-"),"",VLOOKUP($G155,為替!$A:$AX,$I155,FALSE)))</f>
        <v/>
      </c>
      <c r="K155" s="204" t="str">
        <f t="shared" si="14"/>
        <v/>
      </c>
      <c r="L155" s="188" t="str">
        <f t="shared" si="15"/>
        <v/>
      </c>
      <c r="M155" s="203" t="str">
        <f>IF($H155="USD",IF(OR($L155="",$L155="-"),"",VLOOKUP($G155,為替!$A:$AX,$L155,FALSE))+$K$3,IF(OR($L155="",$L155="-"),"",VLOOKUP($G155,為替!$A:$AX,$L155,FALSE)))</f>
        <v/>
      </c>
      <c r="N155" s="204" t="str">
        <f t="shared" si="16"/>
        <v/>
      </c>
      <c r="O155" s="205" t="str">
        <f t="shared" si="12"/>
        <v/>
      </c>
      <c r="P155" s="206" t="str">
        <f t="shared" si="17"/>
        <v/>
      </c>
    </row>
    <row r="156" spans="3:16" x14ac:dyDescent="0.4">
      <c r="C156" s="199"/>
      <c r="D156" s="200"/>
      <c r="E156" s="201"/>
      <c r="F156" s="199"/>
      <c r="H156" s="202"/>
      <c r="I156" s="185" t="str">
        <f t="shared" si="13"/>
        <v/>
      </c>
      <c r="J156" s="203" t="str">
        <f>IF($H156="USD",IF(OR($I156="",$I156="-"),"",VLOOKUP($G156,為替!$A:$AX,$I156,FALSE))+$J$3,IF(OR($I156="",$I156="-"),"",VLOOKUP($G156,為替!$A:$AX,$I156,FALSE)))</f>
        <v/>
      </c>
      <c r="K156" s="204" t="str">
        <f t="shared" si="14"/>
        <v/>
      </c>
      <c r="L156" s="188" t="str">
        <f t="shared" si="15"/>
        <v/>
      </c>
      <c r="M156" s="203" t="str">
        <f>IF($H156="USD",IF(OR($L156="",$L156="-"),"",VLOOKUP($G156,為替!$A:$AX,$L156,FALSE))+$K$3,IF(OR($L156="",$L156="-"),"",VLOOKUP($G156,為替!$A:$AX,$L156,FALSE)))</f>
        <v/>
      </c>
      <c r="N156" s="204" t="str">
        <f t="shared" si="16"/>
        <v/>
      </c>
      <c r="O156" s="205" t="str">
        <f t="shared" si="12"/>
        <v/>
      </c>
      <c r="P156" s="206" t="str">
        <f t="shared" si="17"/>
        <v/>
      </c>
    </row>
    <row r="157" spans="3:16" x14ac:dyDescent="0.4">
      <c r="C157" s="199"/>
      <c r="D157" s="200"/>
      <c r="E157" s="201"/>
      <c r="F157" s="199"/>
      <c r="H157" s="202"/>
      <c r="I157" s="185" t="str">
        <f t="shared" si="13"/>
        <v/>
      </c>
      <c r="J157" s="203" t="str">
        <f>IF($H157="USD",IF(OR($I157="",$I157="-"),"",VLOOKUP($G157,為替!$A:$AX,$I157,FALSE))+$J$3,IF(OR($I157="",$I157="-"),"",VLOOKUP($G157,為替!$A:$AX,$I157,FALSE)))</f>
        <v/>
      </c>
      <c r="K157" s="204" t="str">
        <f t="shared" si="14"/>
        <v/>
      </c>
      <c r="L157" s="188" t="str">
        <f t="shared" si="15"/>
        <v/>
      </c>
      <c r="M157" s="203" t="str">
        <f>IF($H157="USD",IF(OR($L157="",$L157="-"),"",VLOOKUP($G157,為替!$A:$AX,$L157,FALSE))+$K$3,IF(OR($L157="",$L157="-"),"",VLOOKUP($G157,為替!$A:$AX,$L157,FALSE)))</f>
        <v/>
      </c>
      <c r="N157" s="204" t="str">
        <f t="shared" si="16"/>
        <v/>
      </c>
      <c r="O157" s="205" t="str">
        <f t="shared" si="12"/>
        <v/>
      </c>
      <c r="P157" s="206" t="str">
        <f t="shared" si="17"/>
        <v/>
      </c>
    </row>
    <row r="158" spans="3:16" x14ac:dyDescent="0.4">
      <c r="C158" s="199"/>
      <c r="D158" s="200"/>
      <c r="E158" s="201"/>
      <c r="F158" s="199"/>
      <c r="H158" s="202"/>
      <c r="I158" s="185" t="str">
        <f t="shared" si="13"/>
        <v/>
      </c>
      <c r="J158" s="203" t="str">
        <f>IF($H158="USD",IF(OR($I158="",$I158="-"),"",VLOOKUP($G158,為替!$A:$AX,$I158,FALSE))+$J$3,IF(OR($I158="",$I158="-"),"",VLOOKUP($G158,為替!$A:$AX,$I158,FALSE)))</f>
        <v/>
      </c>
      <c r="K158" s="204" t="str">
        <f t="shared" si="14"/>
        <v/>
      </c>
      <c r="L158" s="188" t="str">
        <f t="shared" si="15"/>
        <v/>
      </c>
      <c r="M158" s="203" t="str">
        <f>IF($H158="USD",IF(OR($L158="",$L158="-"),"",VLOOKUP($G158,為替!$A:$AX,$L158,FALSE))+$K$3,IF(OR($L158="",$L158="-"),"",VLOOKUP($G158,為替!$A:$AX,$L158,FALSE)))</f>
        <v/>
      </c>
      <c r="N158" s="204" t="str">
        <f t="shared" si="16"/>
        <v/>
      </c>
      <c r="O158" s="205" t="str">
        <f t="shared" si="12"/>
        <v/>
      </c>
      <c r="P158" s="206" t="str">
        <f t="shared" si="17"/>
        <v/>
      </c>
    </row>
    <row r="159" spans="3:16" x14ac:dyDescent="0.4">
      <c r="C159" s="199"/>
      <c r="D159" s="200"/>
      <c r="E159" s="201"/>
      <c r="F159" s="199"/>
      <c r="H159" s="202"/>
      <c r="I159" s="185" t="str">
        <f t="shared" si="13"/>
        <v/>
      </c>
      <c r="J159" s="203" t="str">
        <f>IF($H159="USD",IF(OR($I159="",$I159="-"),"",VLOOKUP($G159,為替!$A:$AX,$I159,FALSE))+$J$3,IF(OR($I159="",$I159="-"),"",VLOOKUP($G159,為替!$A:$AX,$I159,FALSE)))</f>
        <v/>
      </c>
      <c r="K159" s="204" t="str">
        <f t="shared" si="14"/>
        <v/>
      </c>
      <c r="L159" s="188" t="str">
        <f t="shared" si="15"/>
        <v/>
      </c>
      <c r="M159" s="203" t="str">
        <f>IF($H159="USD",IF(OR($L159="",$L159="-"),"",VLOOKUP($G159,為替!$A:$AX,$L159,FALSE))+$K$3,IF(OR($L159="",$L159="-"),"",VLOOKUP($G159,為替!$A:$AX,$L159,FALSE)))</f>
        <v/>
      </c>
      <c r="N159" s="204" t="str">
        <f t="shared" si="16"/>
        <v/>
      </c>
      <c r="O159" s="205" t="str">
        <f t="shared" si="12"/>
        <v/>
      </c>
      <c r="P159" s="206" t="str">
        <f t="shared" si="17"/>
        <v/>
      </c>
    </row>
    <row r="160" spans="3:16" x14ac:dyDescent="0.4">
      <c r="C160" s="199"/>
      <c r="D160" s="200"/>
      <c r="E160" s="201"/>
      <c r="F160" s="199"/>
      <c r="H160" s="202"/>
      <c r="I160" s="185" t="str">
        <f t="shared" si="13"/>
        <v/>
      </c>
      <c r="J160" s="203" t="str">
        <f>IF($H160="USD",IF(OR($I160="",$I160="-"),"",VLOOKUP($G160,為替!$A:$AX,$I160,FALSE))+$J$3,IF(OR($I160="",$I160="-"),"",VLOOKUP($G160,為替!$A:$AX,$I160,FALSE)))</f>
        <v/>
      </c>
      <c r="K160" s="204" t="str">
        <f t="shared" si="14"/>
        <v/>
      </c>
      <c r="L160" s="188" t="str">
        <f t="shared" si="15"/>
        <v/>
      </c>
      <c r="M160" s="203" t="str">
        <f>IF($H160="USD",IF(OR($L160="",$L160="-"),"",VLOOKUP($G160,為替!$A:$AX,$L160,FALSE))+$K$3,IF(OR($L160="",$L160="-"),"",VLOOKUP($G160,為替!$A:$AX,$L160,FALSE)))</f>
        <v/>
      </c>
      <c r="N160" s="204" t="str">
        <f t="shared" si="16"/>
        <v/>
      </c>
      <c r="O160" s="205" t="str">
        <f t="shared" si="12"/>
        <v/>
      </c>
      <c r="P160" s="206" t="str">
        <f t="shared" si="17"/>
        <v/>
      </c>
    </row>
    <row r="161" spans="3:16" x14ac:dyDescent="0.4">
      <c r="C161" s="199"/>
      <c r="D161" s="200"/>
      <c r="E161" s="201"/>
      <c r="F161" s="199"/>
      <c r="H161" s="202"/>
      <c r="I161" s="185" t="str">
        <f t="shared" si="13"/>
        <v/>
      </c>
      <c r="J161" s="203" t="str">
        <f>IF($H161="USD",IF(OR($I161="",$I161="-"),"",VLOOKUP($G161,為替!$A:$AX,$I161,FALSE))+$J$3,IF(OR($I161="",$I161="-"),"",VLOOKUP($G161,為替!$A:$AX,$I161,FALSE)))</f>
        <v/>
      </c>
      <c r="K161" s="204" t="str">
        <f t="shared" si="14"/>
        <v/>
      </c>
      <c r="L161" s="188" t="str">
        <f t="shared" si="15"/>
        <v/>
      </c>
      <c r="M161" s="203" t="str">
        <f>IF($H161="USD",IF(OR($L161="",$L161="-"),"",VLOOKUP($G161,為替!$A:$AX,$L161,FALSE))+$K$3,IF(OR($L161="",$L161="-"),"",VLOOKUP($G161,為替!$A:$AX,$L161,FALSE)))</f>
        <v/>
      </c>
      <c r="N161" s="204" t="str">
        <f t="shared" si="16"/>
        <v/>
      </c>
      <c r="O161" s="205" t="str">
        <f t="shared" si="12"/>
        <v/>
      </c>
      <c r="P161" s="206" t="str">
        <f t="shared" si="17"/>
        <v/>
      </c>
    </row>
    <row r="162" spans="3:16" x14ac:dyDescent="0.4">
      <c r="C162" s="199"/>
      <c r="D162" s="200"/>
      <c r="E162" s="201"/>
      <c r="F162" s="199"/>
      <c r="H162" s="202"/>
      <c r="I162" s="185" t="str">
        <f t="shared" si="13"/>
        <v/>
      </c>
      <c r="J162" s="203" t="str">
        <f>IF($H162="USD",IF(OR($I162="",$I162="-"),"",VLOOKUP($G162,為替!$A:$AX,$I162,FALSE))+$J$3,IF(OR($I162="",$I162="-"),"",VLOOKUP($G162,為替!$A:$AX,$I162,FALSE)))</f>
        <v/>
      </c>
      <c r="K162" s="204" t="str">
        <f t="shared" si="14"/>
        <v/>
      </c>
      <c r="L162" s="188" t="str">
        <f t="shared" si="15"/>
        <v/>
      </c>
      <c r="M162" s="203" t="str">
        <f>IF($H162="USD",IF(OR($L162="",$L162="-"),"",VLOOKUP($G162,為替!$A:$AX,$L162,FALSE))+$K$3,IF(OR($L162="",$L162="-"),"",VLOOKUP($G162,為替!$A:$AX,$L162,FALSE)))</f>
        <v/>
      </c>
      <c r="N162" s="204" t="str">
        <f t="shared" si="16"/>
        <v/>
      </c>
      <c r="O162" s="205" t="str">
        <f t="shared" si="12"/>
        <v/>
      </c>
      <c r="P162" s="206" t="str">
        <f t="shared" si="17"/>
        <v/>
      </c>
    </row>
    <row r="163" spans="3:16" x14ac:dyDescent="0.4">
      <c r="C163" s="199"/>
      <c r="D163" s="200"/>
      <c r="E163" s="201"/>
      <c r="F163" s="199"/>
      <c r="H163" s="202"/>
      <c r="I163" s="185" t="str">
        <f t="shared" si="13"/>
        <v/>
      </c>
      <c r="J163" s="203" t="str">
        <f>IF($H163="USD",IF(OR($I163="",$I163="-"),"",VLOOKUP($G163,為替!$A:$AX,$I163,FALSE))+$J$3,IF(OR($I163="",$I163="-"),"",VLOOKUP($G163,為替!$A:$AX,$I163,FALSE)))</f>
        <v/>
      </c>
      <c r="K163" s="204" t="str">
        <f t="shared" si="14"/>
        <v/>
      </c>
      <c r="L163" s="188" t="str">
        <f t="shared" si="15"/>
        <v/>
      </c>
      <c r="M163" s="203" t="str">
        <f>IF($H163="USD",IF(OR($L163="",$L163="-"),"",VLOOKUP($G163,為替!$A:$AX,$L163,FALSE))+$K$3,IF(OR($L163="",$L163="-"),"",VLOOKUP($G163,為替!$A:$AX,$L163,FALSE)))</f>
        <v/>
      </c>
      <c r="N163" s="204" t="str">
        <f t="shared" si="16"/>
        <v/>
      </c>
      <c r="O163" s="205" t="str">
        <f t="shared" si="12"/>
        <v/>
      </c>
      <c r="P163" s="206" t="str">
        <f t="shared" si="17"/>
        <v/>
      </c>
    </row>
    <row r="164" spans="3:16" x14ac:dyDescent="0.4">
      <c r="C164" s="199"/>
      <c r="D164" s="200"/>
      <c r="E164" s="201"/>
      <c r="F164" s="199"/>
      <c r="H164" s="202"/>
      <c r="I164" s="185" t="str">
        <f t="shared" si="13"/>
        <v/>
      </c>
      <c r="J164" s="203" t="str">
        <f>IF($H164="USD",IF(OR($I164="",$I164="-"),"",VLOOKUP($G164,為替!$A:$AX,$I164,FALSE))+$J$3,IF(OR($I164="",$I164="-"),"",VLOOKUP($G164,為替!$A:$AX,$I164,FALSE)))</f>
        <v/>
      </c>
      <c r="K164" s="204" t="str">
        <f t="shared" si="14"/>
        <v/>
      </c>
      <c r="L164" s="188" t="str">
        <f t="shared" si="15"/>
        <v/>
      </c>
      <c r="M164" s="203" t="str">
        <f>IF($H164="USD",IF(OR($L164="",$L164="-"),"",VLOOKUP($G164,為替!$A:$AX,$L164,FALSE))+$K$3,IF(OR($L164="",$L164="-"),"",VLOOKUP($G164,為替!$A:$AX,$L164,FALSE)))</f>
        <v/>
      </c>
      <c r="N164" s="204" t="str">
        <f t="shared" si="16"/>
        <v/>
      </c>
      <c r="O164" s="205" t="str">
        <f t="shared" si="12"/>
        <v/>
      </c>
      <c r="P164" s="206" t="str">
        <f t="shared" si="17"/>
        <v/>
      </c>
    </row>
    <row r="165" spans="3:16" x14ac:dyDescent="0.4">
      <c r="C165" s="199"/>
      <c r="D165" s="200"/>
      <c r="E165" s="201"/>
      <c r="F165" s="199"/>
      <c r="H165" s="202"/>
      <c r="I165" s="185" t="str">
        <f t="shared" si="13"/>
        <v/>
      </c>
      <c r="J165" s="203" t="str">
        <f>IF($H165="USD",IF(OR($I165="",$I165="-"),"",VLOOKUP($G165,為替!$A:$AX,$I165,FALSE))+$J$3,IF(OR($I165="",$I165="-"),"",VLOOKUP($G165,為替!$A:$AX,$I165,FALSE)))</f>
        <v/>
      </c>
      <c r="K165" s="204" t="str">
        <f t="shared" si="14"/>
        <v/>
      </c>
      <c r="L165" s="188" t="str">
        <f t="shared" si="15"/>
        <v/>
      </c>
      <c r="M165" s="203" t="str">
        <f>IF($H165="USD",IF(OR($L165="",$L165="-"),"",VLOOKUP($G165,為替!$A:$AX,$L165,FALSE))+$K$3,IF(OR($L165="",$L165="-"),"",VLOOKUP($G165,為替!$A:$AX,$L165,FALSE)))</f>
        <v/>
      </c>
      <c r="N165" s="204" t="str">
        <f t="shared" si="16"/>
        <v/>
      </c>
      <c r="O165" s="205" t="str">
        <f t="shared" si="12"/>
        <v/>
      </c>
      <c r="P165" s="206" t="str">
        <f t="shared" si="17"/>
        <v/>
      </c>
    </row>
    <row r="166" spans="3:16" x14ac:dyDescent="0.4">
      <c r="C166" s="199"/>
      <c r="D166" s="200"/>
      <c r="E166" s="201"/>
      <c r="F166" s="199"/>
      <c r="H166" s="202"/>
      <c r="I166" s="185" t="str">
        <f t="shared" si="13"/>
        <v/>
      </c>
      <c r="J166" s="203" t="str">
        <f>IF($H166="USD",IF(OR($I166="",$I166="-"),"",VLOOKUP($G166,為替!$A:$AX,$I166,FALSE))+$J$3,IF(OR($I166="",$I166="-"),"",VLOOKUP($G166,為替!$A:$AX,$I166,FALSE)))</f>
        <v/>
      </c>
      <c r="K166" s="204" t="str">
        <f t="shared" si="14"/>
        <v/>
      </c>
      <c r="L166" s="188" t="str">
        <f t="shared" si="15"/>
        <v/>
      </c>
      <c r="M166" s="203" t="str">
        <f>IF($H166="USD",IF(OR($L166="",$L166="-"),"",VLOOKUP($G166,為替!$A:$AX,$L166,FALSE))+$K$3,IF(OR($L166="",$L166="-"),"",VLOOKUP($G166,為替!$A:$AX,$L166,FALSE)))</f>
        <v/>
      </c>
      <c r="N166" s="204" t="str">
        <f t="shared" si="16"/>
        <v/>
      </c>
      <c r="O166" s="205" t="str">
        <f t="shared" si="12"/>
        <v/>
      </c>
      <c r="P166" s="206" t="str">
        <f t="shared" si="17"/>
        <v/>
      </c>
    </row>
    <row r="167" spans="3:16" x14ac:dyDescent="0.4">
      <c r="C167" s="199"/>
      <c r="D167" s="200"/>
      <c r="E167" s="201"/>
      <c r="F167" s="199"/>
      <c r="H167" s="202"/>
      <c r="I167" s="185" t="str">
        <f t="shared" si="13"/>
        <v/>
      </c>
      <c r="J167" s="203" t="str">
        <f>IF($H167="USD",IF(OR($I167="",$I167="-"),"",VLOOKUP($G167,為替!$A:$AX,$I167,FALSE))+$J$3,IF(OR($I167="",$I167="-"),"",VLOOKUP($G167,為替!$A:$AX,$I167,FALSE)))</f>
        <v/>
      </c>
      <c r="K167" s="204" t="str">
        <f t="shared" si="14"/>
        <v/>
      </c>
      <c r="L167" s="188" t="str">
        <f t="shared" si="15"/>
        <v/>
      </c>
      <c r="M167" s="203" t="str">
        <f>IF($H167="USD",IF(OR($L167="",$L167="-"),"",VLOOKUP($G167,為替!$A:$AX,$L167,FALSE))+$K$3,IF(OR($L167="",$L167="-"),"",VLOOKUP($G167,為替!$A:$AX,$L167,FALSE)))</f>
        <v/>
      </c>
      <c r="N167" s="204" t="str">
        <f t="shared" si="16"/>
        <v/>
      </c>
      <c r="O167" s="205" t="str">
        <f t="shared" si="12"/>
        <v/>
      </c>
      <c r="P167" s="206" t="str">
        <f t="shared" si="17"/>
        <v/>
      </c>
    </row>
    <row r="168" spans="3:16" x14ac:dyDescent="0.4">
      <c r="C168" s="199"/>
      <c r="D168" s="200"/>
      <c r="E168" s="201"/>
      <c r="F168" s="199"/>
      <c r="H168" s="202"/>
      <c r="I168" s="185" t="str">
        <f t="shared" si="13"/>
        <v/>
      </c>
      <c r="J168" s="203" t="str">
        <f>IF($H168="USD",IF(OR($I168="",$I168="-"),"",VLOOKUP($G168,為替!$A:$AX,$I168,FALSE))+$J$3,IF(OR($I168="",$I168="-"),"",VLOOKUP($G168,為替!$A:$AX,$I168,FALSE)))</f>
        <v/>
      </c>
      <c r="K168" s="204" t="str">
        <f t="shared" si="14"/>
        <v/>
      </c>
      <c r="L168" s="188" t="str">
        <f t="shared" si="15"/>
        <v/>
      </c>
      <c r="M168" s="203" t="str">
        <f>IF($H168="USD",IF(OR($L168="",$L168="-"),"",VLOOKUP($G168,為替!$A:$AX,$L168,FALSE))+$K$3,IF(OR($L168="",$L168="-"),"",VLOOKUP($G168,為替!$A:$AX,$L168,FALSE)))</f>
        <v/>
      </c>
      <c r="N168" s="204" t="str">
        <f t="shared" si="16"/>
        <v/>
      </c>
      <c r="O168" s="205" t="str">
        <f t="shared" si="12"/>
        <v/>
      </c>
      <c r="P168" s="206" t="str">
        <f t="shared" si="17"/>
        <v/>
      </c>
    </row>
    <row r="169" spans="3:16" x14ac:dyDescent="0.4">
      <c r="C169" s="199"/>
      <c r="D169" s="200"/>
      <c r="E169" s="201"/>
      <c r="F169" s="199"/>
      <c r="H169" s="202"/>
      <c r="I169" s="185" t="str">
        <f t="shared" si="13"/>
        <v/>
      </c>
      <c r="J169" s="203" t="str">
        <f>IF($H169="USD",IF(OR($I169="",$I169="-"),"",VLOOKUP($G169,為替!$A:$AX,$I169,FALSE))+$J$3,IF(OR($I169="",$I169="-"),"",VLOOKUP($G169,為替!$A:$AX,$I169,FALSE)))</f>
        <v/>
      </c>
      <c r="K169" s="204" t="str">
        <f t="shared" si="14"/>
        <v/>
      </c>
      <c r="L169" s="188" t="str">
        <f t="shared" si="15"/>
        <v/>
      </c>
      <c r="M169" s="203" t="str">
        <f>IF($H169="USD",IF(OR($L169="",$L169="-"),"",VLOOKUP($G169,為替!$A:$AX,$L169,FALSE))+$K$3,IF(OR($L169="",$L169="-"),"",VLOOKUP($G169,為替!$A:$AX,$L169,FALSE)))</f>
        <v/>
      </c>
      <c r="N169" s="204" t="str">
        <f t="shared" si="16"/>
        <v/>
      </c>
      <c r="O169" s="205" t="str">
        <f t="shared" si="12"/>
        <v/>
      </c>
      <c r="P169" s="206" t="str">
        <f t="shared" si="17"/>
        <v/>
      </c>
    </row>
    <row r="170" spans="3:16" x14ac:dyDescent="0.4">
      <c r="C170" s="199"/>
      <c r="D170" s="200"/>
      <c r="E170" s="201"/>
      <c r="F170" s="199"/>
      <c r="H170" s="202"/>
      <c r="I170" s="185" t="str">
        <f t="shared" si="13"/>
        <v/>
      </c>
      <c r="J170" s="203" t="str">
        <f>IF($H170="USD",IF(OR($I170="",$I170="-"),"",VLOOKUP($G170,為替!$A:$AX,$I170,FALSE))+$J$3,IF(OR($I170="",$I170="-"),"",VLOOKUP($G170,為替!$A:$AX,$I170,FALSE)))</f>
        <v/>
      </c>
      <c r="K170" s="204" t="str">
        <f t="shared" si="14"/>
        <v/>
      </c>
      <c r="L170" s="188" t="str">
        <f t="shared" si="15"/>
        <v/>
      </c>
      <c r="M170" s="203" t="str">
        <f>IF($H170="USD",IF(OR($L170="",$L170="-"),"",VLOOKUP($G170,為替!$A:$AX,$L170,FALSE))+$K$3,IF(OR($L170="",$L170="-"),"",VLOOKUP($G170,為替!$A:$AX,$L170,FALSE)))</f>
        <v/>
      </c>
      <c r="N170" s="204" t="str">
        <f t="shared" si="16"/>
        <v/>
      </c>
      <c r="O170" s="205" t="str">
        <f t="shared" si="12"/>
        <v/>
      </c>
      <c r="P170" s="206" t="str">
        <f t="shared" si="17"/>
        <v/>
      </c>
    </row>
    <row r="171" spans="3:16" x14ac:dyDescent="0.4">
      <c r="C171" s="199"/>
      <c r="D171" s="200"/>
      <c r="E171" s="201"/>
      <c r="F171" s="199"/>
      <c r="H171" s="202"/>
      <c r="I171" s="185" t="str">
        <f t="shared" si="13"/>
        <v/>
      </c>
      <c r="J171" s="203" t="str">
        <f>IF($H171="USD",IF(OR($I171="",$I171="-"),"",VLOOKUP($G171,為替!$A:$AX,$I171,FALSE))+$J$3,IF(OR($I171="",$I171="-"),"",VLOOKUP($G171,為替!$A:$AX,$I171,FALSE)))</f>
        <v/>
      </c>
      <c r="K171" s="204" t="str">
        <f t="shared" si="14"/>
        <v/>
      </c>
      <c r="L171" s="188" t="str">
        <f t="shared" si="15"/>
        <v/>
      </c>
      <c r="M171" s="203" t="str">
        <f>IF($H171="USD",IF(OR($L171="",$L171="-"),"",VLOOKUP($G171,為替!$A:$AX,$L171,FALSE))+$K$3,IF(OR($L171="",$L171="-"),"",VLOOKUP($G171,為替!$A:$AX,$L171,FALSE)))</f>
        <v/>
      </c>
      <c r="N171" s="204" t="str">
        <f t="shared" si="16"/>
        <v/>
      </c>
      <c r="O171" s="205" t="str">
        <f t="shared" si="12"/>
        <v/>
      </c>
      <c r="P171" s="206" t="str">
        <f t="shared" si="17"/>
        <v/>
      </c>
    </row>
    <row r="172" spans="3:16" x14ac:dyDescent="0.4">
      <c r="C172" s="199"/>
      <c r="D172" s="200"/>
      <c r="E172" s="201"/>
      <c r="F172" s="199"/>
      <c r="H172" s="202"/>
      <c r="I172" s="185" t="str">
        <f t="shared" si="13"/>
        <v/>
      </c>
      <c r="J172" s="203" t="str">
        <f>IF($H172="USD",IF(OR($I172="",$I172="-"),"",VLOOKUP($G172,為替!$A:$AX,$I172,FALSE))+$J$3,IF(OR($I172="",$I172="-"),"",VLOOKUP($G172,為替!$A:$AX,$I172,FALSE)))</f>
        <v/>
      </c>
      <c r="K172" s="204" t="str">
        <f t="shared" si="14"/>
        <v/>
      </c>
      <c r="L172" s="188" t="str">
        <f t="shared" si="15"/>
        <v/>
      </c>
      <c r="M172" s="203" t="str">
        <f>IF($H172="USD",IF(OR($L172="",$L172="-"),"",VLOOKUP($G172,為替!$A:$AX,$L172,FALSE))+$K$3,IF(OR($L172="",$L172="-"),"",VLOOKUP($G172,為替!$A:$AX,$L172,FALSE)))</f>
        <v/>
      </c>
      <c r="N172" s="204" t="str">
        <f t="shared" si="16"/>
        <v/>
      </c>
      <c r="O172" s="205" t="str">
        <f t="shared" si="12"/>
        <v/>
      </c>
      <c r="P172" s="206" t="str">
        <f t="shared" si="17"/>
        <v/>
      </c>
    </row>
    <row r="173" spans="3:16" x14ac:dyDescent="0.4">
      <c r="C173" s="199"/>
      <c r="D173" s="200"/>
      <c r="E173" s="201"/>
      <c r="F173" s="199"/>
      <c r="H173" s="202"/>
      <c r="I173" s="185" t="str">
        <f t="shared" si="13"/>
        <v/>
      </c>
      <c r="J173" s="203" t="str">
        <f>IF($H173="USD",IF(OR($I173="",$I173="-"),"",VLOOKUP($G173,為替!$A:$AX,$I173,FALSE))+$J$3,IF(OR($I173="",$I173="-"),"",VLOOKUP($G173,為替!$A:$AX,$I173,FALSE)))</f>
        <v/>
      </c>
      <c r="K173" s="204" t="str">
        <f t="shared" si="14"/>
        <v/>
      </c>
      <c r="L173" s="188" t="str">
        <f t="shared" si="15"/>
        <v/>
      </c>
      <c r="M173" s="203" t="str">
        <f>IF($H173="USD",IF(OR($L173="",$L173="-"),"",VLOOKUP($G173,為替!$A:$AX,$L173,FALSE))+$K$3,IF(OR($L173="",$L173="-"),"",VLOOKUP($G173,為替!$A:$AX,$L173,FALSE)))</f>
        <v/>
      </c>
      <c r="N173" s="204" t="str">
        <f t="shared" si="16"/>
        <v/>
      </c>
      <c r="O173" s="205" t="str">
        <f t="shared" si="12"/>
        <v/>
      </c>
      <c r="P173" s="206" t="str">
        <f t="shared" si="17"/>
        <v/>
      </c>
    </row>
    <row r="174" spans="3:16" x14ac:dyDescent="0.4">
      <c r="C174" s="199"/>
      <c r="D174" s="200"/>
      <c r="E174" s="201"/>
      <c r="F174" s="199"/>
      <c r="H174" s="202"/>
      <c r="I174" s="185" t="str">
        <f t="shared" si="13"/>
        <v/>
      </c>
      <c r="J174" s="203" t="str">
        <f>IF($H174="USD",IF(OR($I174="",$I174="-"),"",VLOOKUP($G174,為替!$A:$AX,$I174,FALSE))+$J$3,IF(OR($I174="",$I174="-"),"",VLOOKUP($G174,為替!$A:$AX,$I174,FALSE)))</f>
        <v/>
      </c>
      <c r="K174" s="204" t="str">
        <f t="shared" si="14"/>
        <v/>
      </c>
      <c r="L174" s="188" t="str">
        <f t="shared" si="15"/>
        <v/>
      </c>
      <c r="M174" s="203" t="str">
        <f>IF($H174="USD",IF(OR($L174="",$L174="-"),"",VLOOKUP($G174,為替!$A:$AX,$L174,FALSE))+$K$3,IF(OR($L174="",$L174="-"),"",VLOOKUP($G174,為替!$A:$AX,$L174,FALSE)))</f>
        <v/>
      </c>
      <c r="N174" s="204" t="str">
        <f t="shared" si="16"/>
        <v/>
      </c>
      <c r="O174" s="205" t="str">
        <f t="shared" si="12"/>
        <v/>
      </c>
      <c r="P174" s="206" t="str">
        <f t="shared" si="17"/>
        <v/>
      </c>
    </row>
    <row r="175" spans="3:16" x14ac:dyDescent="0.4">
      <c r="C175" s="199"/>
      <c r="D175" s="200"/>
      <c r="E175" s="201"/>
      <c r="F175" s="199"/>
      <c r="H175" s="202"/>
      <c r="I175" s="185" t="str">
        <f t="shared" si="13"/>
        <v/>
      </c>
      <c r="J175" s="203" t="str">
        <f>IF($H175="USD",IF(OR($I175="",$I175="-"),"",VLOOKUP($G175,為替!$A:$AX,$I175,FALSE))+$J$3,IF(OR($I175="",$I175="-"),"",VLOOKUP($G175,為替!$A:$AX,$I175,FALSE)))</f>
        <v/>
      </c>
      <c r="K175" s="204" t="str">
        <f t="shared" si="14"/>
        <v/>
      </c>
      <c r="L175" s="188" t="str">
        <f t="shared" si="15"/>
        <v/>
      </c>
      <c r="M175" s="203" t="str">
        <f>IF($H175="USD",IF(OR($L175="",$L175="-"),"",VLOOKUP($G175,為替!$A:$AX,$L175,FALSE))+$K$3,IF(OR($L175="",$L175="-"),"",VLOOKUP($G175,為替!$A:$AX,$L175,FALSE)))</f>
        <v/>
      </c>
      <c r="N175" s="204" t="str">
        <f t="shared" si="16"/>
        <v/>
      </c>
      <c r="O175" s="205" t="str">
        <f t="shared" si="12"/>
        <v/>
      </c>
      <c r="P175" s="206" t="str">
        <f t="shared" si="17"/>
        <v/>
      </c>
    </row>
    <row r="176" spans="3:16" x14ac:dyDescent="0.4">
      <c r="C176" s="199"/>
      <c r="D176" s="200"/>
      <c r="E176" s="201"/>
      <c r="F176" s="199"/>
      <c r="H176" s="202"/>
      <c r="I176" s="185" t="str">
        <f t="shared" si="13"/>
        <v/>
      </c>
      <c r="J176" s="203" t="str">
        <f>IF($H176="USD",IF(OR($I176="",$I176="-"),"",VLOOKUP($G176,為替!$A:$AX,$I176,FALSE))+$J$3,IF(OR($I176="",$I176="-"),"",VLOOKUP($G176,為替!$A:$AX,$I176,FALSE)))</f>
        <v/>
      </c>
      <c r="K176" s="204" t="str">
        <f t="shared" si="14"/>
        <v/>
      </c>
      <c r="L176" s="188" t="str">
        <f t="shared" si="15"/>
        <v/>
      </c>
      <c r="M176" s="203" t="str">
        <f>IF($H176="USD",IF(OR($L176="",$L176="-"),"",VLOOKUP($G176,為替!$A:$AX,$L176,FALSE))+$K$3,IF(OR($L176="",$L176="-"),"",VLOOKUP($G176,為替!$A:$AX,$L176,FALSE)))</f>
        <v/>
      </c>
      <c r="N176" s="204" t="str">
        <f t="shared" si="16"/>
        <v/>
      </c>
      <c r="O176" s="205" t="str">
        <f t="shared" si="12"/>
        <v/>
      </c>
      <c r="P176" s="206" t="str">
        <f t="shared" si="17"/>
        <v/>
      </c>
    </row>
    <row r="177" spans="3:16" x14ac:dyDescent="0.4">
      <c r="C177" s="199"/>
      <c r="D177" s="200"/>
      <c r="E177" s="201"/>
      <c r="F177" s="199"/>
      <c r="H177" s="202"/>
      <c r="I177" s="185" t="str">
        <f t="shared" si="13"/>
        <v/>
      </c>
      <c r="J177" s="203" t="str">
        <f>IF($H177="USD",IF(OR($I177="",$I177="-"),"",VLOOKUP($G177,為替!$A:$AX,$I177,FALSE))+$J$3,IF(OR($I177="",$I177="-"),"",VLOOKUP($G177,為替!$A:$AX,$I177,FALSE)))</f>
        <v/>
      </c>
      <c r="K177" s="204" t="str">
        <f t="shared" si="14"/>
        <v/>
      </c>
      <c r="L177" s="188" t="str">
        <f t="shared" si="15"/>
        <v/>
      </c>
      <c r="M177" s="203" t="str">
        <f>IF($H177="USD",IF(OR($L177="",$L177="-"),"",VLOOKUP($G177,為替!$A:$AX,$L177,FALSE))+$K$3,IF(OR($L177="",$L177="-"),"",VLOOKUP($G177,為替!$A:$AX,$L177,FALSE)))</f>
        <v/>
      </c>
      <c r="N177" s="204" t="str">
        <f t="shared" si="16"/>
        <v/>
      </c>
      <c r="O177" s="205" t="str">
        <f t="shared" si="12"/>
        <v/>
      </c>
      <c r="P177" s="206" t="str">
        <f t="shared" si="17"/>
        <v/>
      </c>
    </row>
    <row r="178" spans="3:16" x14ac:dyDescent="0.4">
      <c r="C178" s="199"/>
      <c r="D178" s="200"/>
      <c r="E178" s="201"/>
      <c r="F178" s="199"/>
      <c r="H178" s="202"/>
      <c r="I178" s="185" t="str">
        <f t="shared" si="13"/>
        <v/>
      </c>
      <c r="J178" s="203" t="str">
        <f>IF($H178="USD",IF(OR($I178="",$I178="-"),"",VLOOKUP($G178,為替!$A:$AX,$I178,FALSE))+$J$3,IF(OR($I178="",$I178="-"),"",VLOOKUP($G178,為替!$A:$AX,$I178,FALSE)))</f>
        <v/>
      </c>
      <c r="K178" s="204" t="str">
        <f t="shared" si="14"/>
        <v/>
      </c>
      <c r="L178" s="188" t="str">
        <f t="shared" si="15"/>
        <v/>
      </c>
      <c r="M178" s="203" t="str">
        <f>IF($H178="USD",IF(OR($L178="",$L178="-"),"",VLOOKUP($G178,為替!$A:$AX,$L178,FALSE))+$K$3,IF(OR($L178="",$L178="-"),"",VLOOKUP($G178,為替!$A:$AX,$L178,FALSE)))</f>
        <v/>
      </c>
      <c r="N178" s="204" t="str">
        <f t="shared" si="16"/>
        <v/>
      </c>
      <c r="O178" s="205" t="str">
        <f t="shared" si="12"/>
        <v/>
      </c>
      <c r="P178" s="206" t="str">
        <f t="shared" si="17"/>
        <v/>
      </c>
    </row>
    <row r="179" spans="3:16" x14ac:dyDescent="0.4">
      <c r="C179" s="199"/>
      <c r="D179" s="200"/>
      <c r="E179" s="201"/>
      <c r="F179" s="199"/>
      <c r="H179" s="202"/>
      <c r="I179" s="185" t="str">
        <f t="shared" si="13"/>
        <v/>
      </c>
      <c r="J179" s="203" t="str">
        <f>IF($H179="USD",IF(OR($I179="",$I179="-"),"",VLOOKUP($G179,為替!$A:$AX,$I179,FALSE))+$J$3,IF(OR($I179="",$I179="-"),"",VLOOKUP($G179,為替!$A:$AX,$I179,FALSE)))</f>
        <v/>
      </c>
      <c r="K179" s="204" t="str">
        <f t="shared" si="14"/>
        <v/>
      </c>
      <c r="L179" s="188" t="str">
        <f t="shared" si="15"/>
        <v/>
      </c>
      <c r="M179" s="203" t="str">
        <f>IF($H179="USD",IF(OR($L179="",$L179="-"),"",VLOOKUP($G179,為替!$A:$AX,$L179,FALSE))+$K$3,IF(OR($L179="",$L179="-"),"",VLOOKUP($G179,為替!$A:$AX,$L179,FALSE)))</f>
        <v/>
      </c>
      <c r="N179" s="204" t="str">
        <f t="shared" si="16"/>
        <v/>
      </c>
      <c r="O179" s="205" t="str">
        <f t="shared" si="12"/>
        <v/>
      </c>
      <c r="P179" s="206" t="str">
        <f t="shared" si="17"/>
        <v/>
      </c>
    </row>
    <row r="180" spans="3:16" x14ac:dyDescent="0.4">
      <c r="C180" s="199"/>
      <c r="D180" s="200"/>
      <c r="E180" s="201"/>
      <c r="F180" s="199"/>
      <c r="H180" s="202"/>
      <c r="I180" s="185" t="str">
        <f t="shared" si="13"/>
        <v/>
      </c>
      <c r="J180" s="203" t="str">
        <f>IF($H180="USD",IF(OR($I180="",$I180="-"),"",VLOOKUP($G180,為替!$A:$AX,$I180,FALSE))+$J$3,IF(OR($I180="",$I180="-"),"",VLOOKUP($G180,為替!$A:$AX,$I180,FALSE)))</f>
        <v/>
      </c>
      <c r="K180" s="204" t="str">
        <f t="shared" si="14"/>
        <v/>
      </c>
      <c r="L180" s="188" t="str">
        <f t="shared" si="15"/>
        <v/>
      </c>
      <c r="M180" s="203" t="str">
        <f>IF($H180="USD",IF(OR($L180="",$L180="-"),"",VLOOKUP($G180,為替!$A:$AX,$L180,FALSE))+$K$3,IF(OR($L180="",$L180="-"),"",VLOOKUP($G180,為替!$A:$AX,$L180,FALSE)))</f>
        <v/>
      </c>
      <c r="N180" s="204" t="str">
        <f t="shared" si="16"/>
        <v/>
      </c>
      <c r="O180" s="205" t="str">
        <f t="shared" si="12"/>
        <v/>
      </c>
      <c r="P180" s="206" t="str">
        <f t="shared" si="17"/>
        <v/>
      </c>
    </row>
    <row r="181" spans="3:16" x14ac:dyDescent="0.4">
      <c r="C181" s="199"/>
      <c r="D181" s="200"/>
      <c r="E181" s="201"/>
      <c r="F181" s="199"/>
      <c r="H181" s="202"/>
      <c r="I181" s="185" t="str">
        <f t="shared" si="13"/>
        <v/>
      </c>
      <c r="J181" s="203" t="str">
        <f>IF($H181="USD",IF(OR($I181="",$I181="-"),"",VLOOKUP($G181,為替!$A:$AX,$I181,FALSE))+$J$3,IF(OR($I181="",$I181="-"),"",VLOOKUP($G181,為替!$A:$AX,$I181,FALSE)))</f>
        <v/>
      </c>
      <c r="K181" s="204" t="str">
        <f t="shared" si="14"/>
        <v/>
      </c>
      <c r="L181" s="188" t="str">
        <f t="shared" si="15"/>
        <v/>
      </c>
      <c r="M181" s="203" t="str">
        <f>IF($H181="USD",IF(OR($L181="",$L181="-"),"",VLOOKUP($G181,為替!$A:$AX,$L181,FALSE))+$K$3,IF(OR($L181="",$L181="-"),"",VLOOKUP($G181,為替!$A:$AX,$L181,FALSE)))</f>
        <v/>
      </c>
      <c r="N181" s="204" t="str">
        <f t="shared" si="16"/>
        <v/>
      </c>
      <c r="O181" s="205" t="str">
        <f t="shared" si="12"/>
        <v/>
      </c>
      <c r="P181" s="206" t="str">
        <f t="shared" si="17"/>
        <v/>
      </c>
    </row>
    <row r="182" spans="3:16" x14ac:dyDescent="0.4">
      <c r="C182" s="199"/>
      <c r="D182" s="200"/>
      <c r="E182" s="201"/>
      <c r="F182" s="199"/>
      <c r="H182" s="202"/>
      <c r="I182" s="185" t="str">
        <f t="shared" si="13"/>
        <v/>
      </c>
      <c r="J182" s="203" t="str">
        <f>IF($H182="USD",IF(OR($I182="",$I182="-"),"",VLOOKUP($G182,為替!$A:$AX,$I182,FALSE))+$J$3,IF(OR($I182="",$I182="-"),"",VLOOKUP($G182,為替!$A:$AX,$I182,FALSE)))</f>
        <v/>
      </c>
      <c r="K182" s="204" t="str">
        <f t="shared" si="14"/>
        <v/>
      </c>
      <c r="L182" s="188" t="str">
        <f t="shared" si="15"/>
        <v/>
      </c>
      <c r="M182" s="203" t="str">
        <f>IF($H182="USD",IF(OR($L182="",$L182="-"),"",VLOOKUP($G182,為替!$A:$AX,$L182,FALSE))+$K$3,IF(OR($L182="",$L182="-"),"",VLOOKUP($G182,為替!$A:$AX,$L182,FALSE)))</f>
        <v/>
      </c>
      <c r="N182" s="204" t="str">
        <f t="shared" si="16"/>
        <v/>
      </c>
      <c r="O182" s="205" t="str">
        <f t="shared" si="12"/>
        <v/>
      </c>
      <c r="P182" s="206" t="str">
        <f t="shared" si="17"/>
        <v/>
      </c>
    </row>
    <row r="183" spans="3:16" x14ac:dyDescent="0.4">
      <c r="C183" s="199"/>
      <c r="D183" s="200"/>
      <c r="E183" s="201"/>
      <c r="F183" s="199"/>
      <c r="H183" s="202"/>
      <c r="I183" s="185" t="str">
        <f t="shared" si="13"/>
        <v/>
      </c>
      <c r="J183" s="203" t="str">
        <f>IF($H183="USD",IF(OR($I183="",$I183="-"),"",VLOOKUP($G183,為替!$A:$AX,$I183,FALSE))+$J$3,IF(OR($I183="",$I183="-"),"",VLOOKUP($G183,為替!$A:$AX,$I183,FALSE)))</f>
        <v/>
      </c>
      <c r="K183" s="204" t="str">
        <f t="shared" si="14"/>
        <v/>
      </c>
      <c r="L183" s="188" t="str">
        <f t="shared" si="15"/>
        <v/>
      </c>
      <c r="M183" s="203" t="str">
        <f>IF($H183="USD",IF(OR($L183="",$L183="-"),"",VLOOKUP($G183,為替!$A:$AX,$L183,FALSE))+$K$3,IF(OR($L183="",$L183="-"),"",VLOOKUP($G183,為替!$A:$AX,$L183,FALSE)))</f>
        <v/>
      </c>
      <c r="N183" s="204" t="str">
        <f t="shared" si="16"/>
        <v/>
      </c>
      <c r="O183" s="205" t="str">
        <f t="shared" si="12"/>
        <v/>
      </c>
      <c r="P183" s="206" t="str">
        <f t="shared" si="17"/>
        <v/>
      </c>
    </row>
    <row r="184" spans="3:16" x14ac:dyDescent="0.4">
      <c r="C184" s="199"/>
      <c r="D184" s="200"/>
      <c r="E184" s="201"/>
      <c r="F184" s="199"/>
      <c r="H184" s="202"/>
      <c r="I184" s="185" t="str">
        <f t="shared" si="13"/>
        <v/>
      </c>
      <c r="J184" s="203" t="str">
        <f>IF($H184="USD",IF(OR($I184="",$I184="-"),"",VLOOKUP($G184,為替!$A:$AX,$I184,FALSE))+$J$3,IF(OR($I184="",$I184="-"),"",VLOOKUP($G184,為替!$A:$AX,$I184,FALSE)))</f>
        <v/>
      </c>
      <c r="K184" s="204" t="str">
        <f t="shared" si="14"/>
        <v/>
      </c>
      <c r="L184" s="188" t="str">
        <f t="shared" si="15"/>
        <v/>
      </c>
      <c r="M184" s="203" t="str">
        <f>IF($H184="USD",IF(OR($L184="",$L184="-"),"",VLOOKUP($G184,為替!$A:$AX,$L184,FALSE))+$K$3,IF(OR($L184="",$L184="-"),"",VLOOKUP($G184,為替!$A:$AX,$L184,FALSE)))</f>
        <v/>
      </c>
      <c r="N184" s="204" t="str">
        <f t="shared" si="16"/>
        <v/>
      </c>
      <c r="O184" s="205" t="str">
        <f t="shared" si="12"/>
        <v/>
      </c>
      <c r="P184" s="206" t="str">
        <f t="shared" si="17"/>
        <v/>
      </c>
    </row>
    <row r="185" spans="3:16" x14ac:dyDescent="0.4">
      <c r="C185" s="199"/>
      <c r="D185" s="200"/>
      <c r="E185" s="201"/>
      <c r="F185" s="199"/>
      <c r="H185" s="202"/>
      <c r="I185" s="185" t="str">
        <f t="shared" si="13"/>
        <v/>
      </c>
      <c r="J185" s="203" t="str">
        <f>IF($H185="USD",IF(OR($I185="",$I185="-"),"",VLOOKUP($G185,為替!$A:$AX,$I185,FALSE))+$J$3,IF(OR($I185="",$I185="-"),"",VLOOKUP($G185,為替!$A:$AX,$I185,FALSE)))</f>
        <v/>
      </c>
      <c r="K185" s="204" t="str">
        <f t="shared" si="14"/>
        <v/>
      </c>
      <c r="L185" s="188" t="str">
        <f t="shared" si="15"/>
        <v/>
      </c>
      <c r="M185" s="203" t="str">
        <f>IF($H185="USD",IF(OR($L185="",$L185="-"),"",VLOOKUP($G185,為替!$A:$AX,$L185,FALSE))+$K$3,IF(OR($L185="",$L185="-"),"",VLOOKUP($G185,為替!$A:$AX,$L185,FALSE)))</f>
        <v/>
      </c>
      <c r="N185" s="204" t="str">
        <f t="shared" si="16"/>
        <v/>
      </c>
      <c r="O185" s="205" t="str">
        <f t="shared" si="12"/>
        <v/>
      </c>
      <c r="P185" s="206" t="str">
        <f t="shared" si="17"/>
        <v/>
      </c>
    </row>
    <row r="186" spans="3:16" x14ac:dyDescent="0.4">
      <c r="C186" s="199"/>
      <c r="D186" s="200"/>
      <c r="E186" s="201"/>
      <c r="F186" s="199"/>
      <c r="H186" s="202"/>
      <c r="I186" s="185" t="str">
        <f t="shared" si="13"/>
        <v/>
      </c>
      <c r="J186" s="203" t="str">
        <f>IF($H186="USD",IF(OR($I186="",$I186="-"),"",VLOOKUP($G186,為替!$A:$AX,$I186,FALSE))+$J$3,IF(OR($I186="",$I186="-"),"",VLOOKUP($G186,為替!$A:$AX,$I186,FALSE)))</f>
        <v/>
      </c>
      <c r="K186" s="204" t="str">
        <f t="shared" si="14"/>
        <v/>
      </c>
      <c r="L186" s="188" t="str">
        <f t="shared" si="15"/>
        <v/>
      </c>
      <c r="M186" s="203" t="str">
        <f>IF($H186="USD",IF(OR($L186="",$L186="-"),"",VLOOKUP($G186,為替!$A:$AX,$L186,FALSE))+$K$3,IF(OR($L186="",$L186="-"),"",VLOOKUP($G186,為替!$A:$AX,$L186,FALSE)))</f>
        <v/>
      </c>
      <c r="N186" s="204" t="str">
        <f t="shared" si="16"/>
        <v/>
      </c>
      <c r="O186" s="205" t="str">
        <f t="shared" si="12"/>
        <v/>
      </c>
      <c r="P186" s="206" t="str">
        <f t="shared" si="17"/>
        <v/>
      </c>
    </row>
    <row r="187" spans="3:16" x14ac:dyDescent="0.4">
      <c r="C187" s="199"/>
      <c r="D187" s="200"/>
      <c r="E187" s="201"/>
      <c r="F187" s="199"/>
      <c r="H187" s="202"/>
      <c r="I187" s="185" t="str">
        <f t="shared" si="13"/>
        <v/>
      </c>
      <c r="J187" s="203" t="str">
        <f>IF($H187="USD",IF(OR($I187="",$I187="-"),"",VLOOKUP($G187,為替!$A:$AX,$I187,FALSE))+$J$3,IF(OR($I187="",$I187="-"),"",VLOOKUP($G187,為替!$A:$AX,$I187,FALSE)))</f>
        <v/>
      </c>
      <c r="K187" s="204" t="str">
        <f t="shared" si="14"/>
        <v/>
      </c>
      <c r="L187" s="188" t="str">
        <f t="shared" si="15"/>
        <v/>
      </c>
      <c r="M187" s="203" t="str">
        <f>IF($H187="USD",IF(OR($L187="",$L187="-"),"",VLOOKUP($G187,為替!$A:$AX,$L187,FALSE))+$K$3,IF(OR($L187="",$L187="-"),"",VLOOKUP($G187,為替!$A:$AX,$L187,FALSE)))</f>
        <v/>
      </c>
      <c r="N187" s="204" t="str">
        <f t="shared" si="16"/>
        <v/>
      </c>
      <c r="O187" s="205" t="str">
        <f t="shared" si="12"/>
        <v/>
      </c>
      <c r="P187" s="206" t="str">
        <f t="shared" si="17"/>
        <v/>
      </c>
    </row>
    <row r="188" spans="3:16" x14ac:dyDescent="0.4">
      <c r="C188" s="199"/>
      <c r="D188" s="200"/>
      <c r="E188" s="201"/>
      <c r="F188" s="199"/>
      <c r="H188" s="202"/>
      <c r="I188" s="185" t="str">
        <f t="shared" si="13"/>
        <v/>
      </c>
      <c r="J188" s="203" t="str">
        <f>IF($H188="USD",IF(OR($I188="",$I188="-"),"",VLOOKUP($G188,為替!$A:$AX,$I188,FALSE))+$J$3,IF(OR($I188="",$I188="-"),"",VLOOKUP($G188,為替!$A:$AX,$I188,FALSE)))</f>
        <v/>
      </c>
      <c r="K188" s="204" t="str">
        <f t="shared" si="14"/>
        <v/>
      </c>
      <c r="L188" s="188" t="str">
        <f t="shared" si="15"/>
        <v/>
      </c>
      <c r="M188" s="203" t="str">
        <f>IF($H188="USD",IF(OR($L188="",$L188="-"),"",VLOOKUP($G188,為替!$A:$AX,$L188,FALSE))+$K$3,IF(OR($L188="",$L188="-"),"",VLOOKUP($G188,為替!$A:$AX,$L188,FALSE)))</f>
        <v/>
      </c>
      <c r="N188" s="204" t="str">
        <f t="shared" si="16"/>
        <v/>
      </c>
      <c r="O188" s="205" t="str">
        <f t="shared" si="12"/>
        <v/>
      </c>
      <c r="P188" s="206" t="str">
        <f t="shared" si="17"/>
        <v/>
      </c>
    </row>
    <row r="189" spans="3:16" x14ac:dyDescent="0.4">
      <c r="C189" s="199"/>
      <c r="D189" s="200"/>
      <c r="E189" s="201"/>
      <c r="F189" s="199"/>
      <c r="H189" s="202"/>
      <c r="I189" s="185" t="str">
        <f t="shared" si="13"/>
        <v/>
      </c>
      <c r="J189" s="203" t="str">
        <f>IF($H189="USD",IF(OR($I189="",$I189="-"),"",VLOOKUP($G189,為替!$A:$AX,$I189,FALSE))+$J$3,IF(OR($I189="",$I189="-"),"",VLOOKUP($G189,為替!$A:$AX,$I189,FALSE)))</f>
        <v/>
      </c>
      <c r="K189" s="204" t="str">
        <f t="shared" si="14"/>
        <v/>
      </c>
      <c r="L189" s="188" t="str">
        <f t="shared" si="15"/>
        <v/>
      </c>
      <c r="M189" s="203" t="str">
        <f>IF($H189="USD",IF(OR($L189="",$L189="-"),"",VLOOKUP($G189,為替!$A:$AX,$L189,FALSE))+$K$3,IF(OR($L189="",$L189="-"),"",VLOOKUP($G189,為替!$A:$AX,$L189,FALSE)))</f>
        <v/>
      </c>
      <c r="N189" s="204" t="str">
        <f t="shared" si="16"/>
        <v/>
      </c>
      <c r="O189" s="205" t="str">
        <f t="shared" si="12"/>
        <v/>
      </c>
      <c r="P189" s="206" t="str">
        <f t="shared" si="17"/>
        <v/>
      </c>
    </row>
    <row r="190" spans="3:16" x14ac:dyDescent="0.4">
      <c r="C190" s="199"/>
      <c r="D190" s="200"/>
      <c r="E190" s="201"/>
      <c r="F190" s="199"/>
      <c r="H190" s="202"/>
      <c r="I190" s="185" t="str">
        <f t="shared" si="13"/>
        <v/>
      </c>
      <c r="J190" s="203" t="str">
        <f>IF($H190="USD",IF(OR($I190="",$I190="-"),"",VLOOKUP($G190,為替!$A:$AX,$I190,FALSE))+$J$3,IF(OR($I190="",$I190="-"),"",VLOOKUP($G190,為替!$A:$AX,$I190,FALSE)))</f>
        <v/>
      </c>
      <c r="K190" s="204" t="str">
        <f t="shared" si="14"/>
        <v/>
      </c>
      <c r="L190" s="188" t="str">
        <f t="shared" si="15"/>
        <v/>
      </c>
      <c r="M190" s="203" t="str">
        <f>IF($H190="USD",IF(OR($L190="",$L190="-"),"",VLOOKUP($G190,為替!$A:$AX,$L190,FALSE))+$K$3,IF(OR($L190="",$L190="-"),"",VLOOKUP($G190,為替!$A:$AX,$L190,FALSE)))</f>
        <v/>
      </c>
      <c r="N190" s="204" t="str">
        <f t="shared" si="16"/>
        <v/>
      </c>
      <c r="O190" s="205" t="str">
        <f t="shared" si="12"/>
        <v/>
      </c>
      <c r="P190" s="206" t="str">
        <f t="shared" si="17"/>
        <v/>
      </c>
    </row>
    <row r="191" spans="3:16" x14ac:dyDescent="0.4">
      <c r="C191" s="199"/>
      <c r="D191" s="200"/>
      <c r="E191" s="201"/>
      <c r="F191" s="199"/>
      <c r="H191" s="202"/>
      <c r="I191" s="185" t="str">
        <f t="shared" si="13"/>
        <v/>
      </c>
      <c r="J191" s="203" t="str">
        <f>IF($H191="USD",IF(OR($I191="",$I191="-"),"",VLOOKUP($G191,為替!$A:$AX,$I191,FALSE))+$J$3,IF(OR($I191="",$I191="-"),"",VLOOKUP($G191,為替!$A:$AX,$I191,FALSE)))</f>
        <v/>
      </c>
      <c r="K191" s="204" t="str">
        <f t="shared" si="14"/>
        <v/>
      </c>
      <c r="L191" s="188" t="str">
        <f t="shared" si="15"/>
        <v/>
      </c>
      <c r="M191" s="203" t="str">
        <f>IF($H191="USD",IF(OR($L191="",$L191="-"),"",VLOOKUP($G191,為替!$A:$AX,$L191,FALSE))+$K$3,IF(OR($L191="",$L191="-"),"",VLOOKUP($G191,為替!$A:$AX,$L191,FALSE)))</f>
        <v/>
      </c>
      <c r="N191" s="204" t="str">
        <f t="shared" si="16"/>
        <v/>
      </c>
      <c r="O191" s="205" t="str">
        <f t="shared" si="12"/>
        <v/>
      </c>
      <c r="P191" s="206" t="str">
        <f t="shared" si="17"/>
        <v/>
      </c>
    </row>
    <row r="192" spans="3:16" x14ac:dyDescent="0.4">
      <c r="C192" s="199"/>
      <c r="D192" s="200"/>
      <c r="E192" s="201"/>
      <c r="F192" s="199"/>
      <c r="H192" s="202"/>
      <c r="I192" s="185" t="str">
        <f t="shared" si="13"/>
        <v/>
      </c>
      <c r="J192" s="203" t="str">
        <f>IF($H192="USD",IF(OR($I192="",$I192="-"),"",VLOOKUP($G192,為替!$A:$AX,$I192,FALSE))+$J$3,IF(OR($I192="",$I192="-"),"",VLOOKUP($G192,為替!$A:$AX,$I192,FALSE)))</f>
        <v/>
      </c>
      <c r="K192" s="204" t="str">
        <f t="shared" si="14"/>
        <v/>
      </c>
      <c r="L192" s="188" t="str">
        <f t="shared" si="15"/>
        <v/>
      </c>
      <c r="M192" s="203" t="str">
        <f>IF($H192="USD",IF(OR($L192="",$L192="-"),"",VLOOKUP($G192,為替!$A:$AX,$L192,FALSE))+$K$3,IF(OR($L192="",$L192="-"),"",VLOOKUP($G192,為替!$A:$AX,$L192,FALSE)))</f>
        <v/>
      </c>
      <c r="N192" s="204" t="str">
        <f t="shared" si="16"/>
        <v/>
      </c>
      <c r="O192" s="205" t="str">
        <f t="shared" si="12"/>
        <v/>
      </c>
      <c r="P192" s="206" t="str">
        <f t="shared" si="17"/>
        <v/>
      </c>
    </row>
    <row r="193" spans="3:16" x14ac:dyDescent="0.4">
      <c r="C193" s="199"/>
      <c r="D193" s="200"/>
      <c r="E193" s="201"/>
      <c r="F193" s="199"/>
      <c r="H193" s="202"/>
      <c r="I193" s="185" t="str">
        <f t="shared" si="13"/>
        <v/>
      </c>
      <c r="J193" s="203" t="str">
        <f>IF($H193="USD",IF(OR($I193="",$I193="-"),"",VLOOKUP($G193,為替!$A:$AX,$I193,FALSE))+$J$3,IF(OR($I193="",$I193="-"),"",VLOOKUP($G193,為替!$A:$AX,$I193,FALSE)))</f>
        <v/>
      </c>
      <c r="K193" s="204" t="str">
        <f t="shared" si="14"/>
        <v/>
      </c>
      <c r="L193" s="188" t="str">
        <f t="shared" si="15"/>
        <v/>
      </c>
      <c r="M193" s="203" t="str">
        <f>IF($H193="USD",IF(OR($L193="",$L193="-"),"",VLOOKUP($G193,為替!$A:$AX,$L193,FALSE))+$K$3,IF(OR($L193="",$L193="-"),"",VLOOKUP($G193,為替!$A:$AX,$L193,FALSE)))</f>
        <v/>
      </c>
      <c r="N193" s="204" t="str">
        <f t="shared" si="16"/>
        <v/>
      </c>
      <c r="O193" s="205" t="str">
        <f t="shared" si="12"/>
        <v/>
      </c>
      <c r="P193" s="206" t="str">
        <f t="shared" si="17"/>
        <v/>
      </c>
    </row>
    <row r="194" spans="3:16" x14ac:dyDescent="0.4">
      <c r="C194" s="199"/>
      <c r="D194" s="200"/>
      <c r="E194" s="201"/>
      <c r="F194" s="199"/>
      <c r="H194" s="202"/>
      <c r="I194" s="185" t="str">
        <f t="shared" si="13"/>
        <v/>
      </c>
      <c r="J194" s="203" t="str">
        <f>IF($H194="USD",IF(OR($I194="",$I194="-"),"",VLOOKUP($G194,為替!$A:$AX,$I194,FALSE))+$J$3,IF(OR($I194="",$I194="-"),"",VLOOKUP($G194,為替!$A:$AX,$I194,FALSE)))</f>
        <v/>
      </c>
      <c r="K194" s="204" t="str">
        <f t="shared" si="14"/>
        <v/>
      </c>
      <c r="L194" s="188" t="str">
        <f t="shared" si="15"/>
        <v/>
      </c>
      <c r="M194" s="203" t="str">
        <f>IF($H194="USD",IF(OR($L194="",$L194="-"),"",VLOOKUP($G194,為替!$A:$AX,$L194,FALSE))+$K$3,IF(OR($L194="",$L194="-"),"",VLOOKUP($G194,為替!$A:$AX,$L194,FALSE)))</f>
        <v/>
      </c>
      <c r="N194" s="204" t="str">
        <f t="shared" si="16"/>
        <v/>
      </c>
      <c r="O194" s="205" t="str">
        <f t="shared" si="12"/>
        <v/>
      </c>
      <c r="P194" s="206" t="str">
        <f t="shared" si="17"/>
        <v/>
      </c>
    </row>
    <row r="195" spans="3:16" x14ac:dyDescent="0.4">
      <c r="C195" s="199"/>
      <c r="D195" s="200"/>
      <c r="E195" s="201"/>
      <c r="F195" s="199"/>
      <c r="H195" s="202"/>
      <c r="I195" s="185" t="str">
        <f t="shared" si="13"/>
        <v/>
      </c>
      <c r="J195" s="203" t="str">
        <f>IF($H195="USD",IF(OR($I195="",$I195="-"),"",VLOOKUP($G195,為替!$A:$AX,$I195,FALSE))+$J$3,IF(OR($I195="",$I195="-"),"",VLOOKUP($G195,為替!$A:$AX,$I195,FALSE)))</f>
        <v/>
      </c>
      <c r="K195" s="204" t="str">
        <f t="shared" si="14"/>
        <v/>
      </c>
      <c r="L195" s="188" t="str">
        <f t="shared" si="15"/>
        <v/>
      </c>
      <c r="M195" s="203" t="str">
        <f>IF($H195="USD",IF(OR($L195="",$L195="-"),"",VLOOKUP($G195,為替!$A:$AX,$L195,FALSE))+$K$3,IF(OR($L195="",$L195="-"),"",VLOOKUP($G195,為替!$A:$AX,$L195,FALSE)))</f>
        <v/>
      </c>
      <c r="N195" s="204" t="str">
        <f t="shared" si="16"/>
        <v/>
      </c>
      <c r="O195" s="205" t="str">
        <f t="shared" si="12"/>
        <v/>
      </c>
      <c r="P195" s="206" t="str">
        <f t="shared" si="17"/>
        <v/>
      </c>
    </row>
    <row r="196" spans="3:16" x14ac:dyDescent="0.4">
      <c r="C196" s="199"/>
      <c r="D196" s="200"/>
      <c r="E196" s="201"/>
      <c r="F196" s="199"/>
      <c r="H196" s="202"/>
      <c r="I196" s="185" t="str">
        <f t="shared" si="13"/>
        <v/>
      </c>
      <c r="J196" s="203" t="str">
        <f>IF($H196="USD",IF(OR($I196="",$I196="-"),"",VLOOKUP($G196,為替!$A:$AX,$I196,FALSE))+$J$3,IF(OR($I196="",$I196="-"),"",VLOOKUP($G196,為替!$A:$AX,$I196,FALSE)))</f>
        <v/>
      </c>
      <c r="K196" s="204" t="str">
        <f t="shared" si="14"/>
        <v/>
      </c>
      <c r="L196" s="188" t="str">
        <f t="shared" si="15"/>
        <v/>
      </c>
      <c r="M196" s="203" t="str">
        <f>IF($H196="USD",IF(OR($L196="",$L196="-"),"",VLOOKUP($G196,為替!$A:$AX,$L196,FALSE))+$K$3,IF(OR($L196="",$L196="-"),"",VLOOKUP($G196,為替!$A:$AX,$L196,FALSE)))</f>
        <v/>
      </c>
      <c r="N196" s="204" t="str">
        <f t="shared" si="16"/>
        <v/>
      </c>
      <c r="O196" s="205" t="str">
        <f t="shared" si="12"/>
        <v/>
      </c>
      <c r="P196" s="206" t="str">
        <f t="shared" si="17"/>
        <v/>
      </c>
    </row>
    <row r="197" spans="3:16" x14ac:dyDescent="0.4">
      <c r="C197" s="199"/>
      <c r="D197" s="200"/>
      <c r="E197" s="201"/>
      <c r="F197" s="199"/>
      <c r="H197" s="202"/>
      <c r="I197" s="185" t="str">
        <f t="shared" si="13"/>
        <v/>
      </c>
      <c r="J197" s="203" t="str">
        <f>IF($H197="USD",IF(OR($I197="",$I197="-"),"",VLOOKUP($G197,為替!$A:$AX,$I197,FALSE))+$J$3,IF(OR($I197="",$I197="-"),"",VLOOKUP($G197,為替!$A:$AX,$I197,FALSE)))</f>
        <v/>
      </c>
      <c r="K197" s="204" t="str">
        <f t="shared" si="14"/>
        <v/>
      </c>
      <c r="L197" s="188" t="str">
        <f t="shared" si="15"/>
        <v/>
      </c>
      <c r="M197" s="203" t="str">
        <f>IF($H197="USD",IF(OR($L197="",$L197="-"),"",VLOOKUP($G197,為替!$A:$AX,$L197,FALSE))+$K$3,IF(OR($L197="",$L197="-"),"",VLOOKUP($G197,為替!$A:$AX,$L197,FALSE)))</f>
        <v/>
      </c>
      <c r="N197" s="204" t="str">
        <f t="shared" si="16"/>
        <v/>
      </c>
      <c r="O197" s="205" t="str">
        <f t="shared" si="12"/>
        <v/>
      </c>
      <c r="P197" s="206" t="str">
        <f t="shared" si="17"/>
        <v/>
      </c>
    </row>
    <row r="198" spans="3:16" x14ac:dyDescent="0.4">
      <c r="C198" s="199"/>
      <c r="D198" s="200"/>
      <c r="E198" s="201"/>
      <c r="F198" s="199"/>
      <c r="H198" s="202"/>
      <c r="I198" s="185" t="str">
        <f t="shared" si="13"/>
        <v/>
      </c>
      <c r="J198" s="203" t="str">
        <f>IF($H198="USD",IF(OR($I198="",$I198="-"),"",VLOOKUP($G198,為替!$A:$AX,$I198,FALSE))+$J$3,IF(OR($I198="",$I198="-"),"",VLOOKUP($G198,為替!$A:$AX,$I198,FALSE)))</f>
        <v/>
      </c>
      <c r="K198" s="204" t="str">
        <f t="shared" si="14"/>
        <v/>
      </c>
      <c r="L198" s="188" t="str">
        <f t="shared" si="15"/>
        <v/>
      </c>
      <c r="M198" s="203" t="str">
        <f>IF($H198="USD",IF(OR($L198="",$L198="-"),"",VLOOKUP($G198,為替!$A:$AX,$L198,FALSE))+$K$3,IF(OR($L198="",$L198="-"),"",VLOOKUP($G198,為替!$A:$AX,$L198,FALSE)))</f>
        <v/>
      </c>
      <c r="N198" s="204" t="str">
        <f t="shared" si="16"/>
        <v/>
      </c>
      <c r="O198" s="205" t="str">
        <f t="shared" ref="O198:O261" si="18">IF(OR(K198="",N198=""),"",K198-N198)</f>
        <v/>
      </c>
      <c r="P198" s="206" t="str">
        <f t="shared" si="17"/>
        <v/>
      </c>
    </row>
    <row r="199" spans="3:16" x14ac:dyDescent="0.4">
      <c r="C199" s="199"/>
      <c r="D199" s="200"/>
      <c r="E199" s="201"/>
      <c r="F199" s="199"/>
      <c r="H199" s="202"/>
      <c r="I199" s="185" t="str">
        <f t="shared" ref="I199:I262" si="19">IF(H199="","",IF(H199="JPY","",IF($H199="USD",4, IF(H199="EUR",7,IF(H199="CNY",47,IF(H199="HKD",34))))))</f>
        <v/>
      </c>
      <c r="J199" s="203" t="str">
        <f>IF($H199="USD",IF(OR($I199="",$I199="-"),"",VLOOKUP($G199,為替!$A:$AX,$I199,FALSE))+$J$3,IF(OR($I199="",$I199="-"),"",VLOOKUP($G199,為替!$A:$AX,$I199,FALSE)))</f>
        <v/>
      </c>
      <c r="K199" s="204" t="str">
        <f t="shared" ref="K199:K262" si="20">IF($H199="JPY",$F199,IF($H199="","",$F199*$J199))</f>
        <v/>
      </c>
      <c r="L199" s="188" t="str">
        <f t="shared" ref="L199:L262" si="21">IF(H199="","",IF(H199="JPY","",IF($H199="USD",3, IF(H199="EUR",6,IF(H199="CNY",46,IF(H199="HKD",33))))))</f>
        <v/>
      </c>
      <c r="M199" s="203" t="str">
        <f>IF($H199="USD",IF(OR($L199="",$L199="-"),"",VLOOKUP($G199,為替!$A:$AX,$L199,FALSE))+$K$3,IF(OR($L199="",$L199="-"),"",VLOOKUP($G199,為替!$A:$AX,$L199,FALSE)))</f>
        <v/>
      </c>
      <c r="N199" s="204" t="str">
        <f t="shared" ref="N199:N262" si="22">IF($E199="JPY",($C199+$D199),IF($E199="","",($C199+$D199)*$M199))</f>
        <v/>
      </c>
      <c r="O199" s="205" t="str">
        <f t="shared" si="18"/>
        <v/>
      </c>
      <c r="P199" s="206" t="str">
        <f t="shared" ref="P199:P262" si="23">IF(OR(K199="",O199=""),"",O199/K199)</f>
        <v/>
      </c>
    </row>
    <row r="200" spans="3:16" x14ac:dyDescent="0.4">
      <c r="C200" s="199"/>
      <c r="D200" s="200"/>
      <c r="E200" s="201"/>
      <c r="F200" s="199"/>
      <c r="H200" s="202"/>
      <c r="I200" s="185" t="str">
        <f t="shared" si="19"/>
        <v/>
      </c>
      <c r="J200" s="203" t="str">
        <f>IF($H200="USD",IF(OR($I200="",$I200="-"),"",VLOOKUP($G200,為替!$A:$AX,$I200,FALSE))+$J$3,IF(OR($I200="",$I200="-"),"",VLOOKUP($G200,為替!$A:$AX,$I200,FALSE)))</f>
        <v/>
      </c>
      <c r="K200" s="204" t="str">
        <f t="shared" si="20"/>
        <v/>
      </c>
      <c r="L200" s="188" t="str">
        <f t="shared" si="21"/>
        <v/>
      </c>
      <c r="M200" s="203" t="str">
        <f>IF($H200="USD",IF(OR($L200="",$L200="-"),"",VLOOKUP($G200,為替!$A:$AX,$L200,FALSE))+$K$3,IF(OR($L200="",$L200="-"),"",VLOOKUP($G200,為替!$A:$AX,$L200,FALSE)))</f>
        <v/>
      </c>
      <c r="N200" s="204" t="str">
        <f t="shared" si="22"/>
        <v/>
      </c>
      <c r="O200" s="205" t="str">
        <f t="shared" si="18"/>
        <v/>
      </c>
      <c r="P200" s="206" t="str">
        <f t="shared" si="23"/>
        <v/>
      </c>
    </row>
    <row r="201" spans="3:16" x14ac:dyDescent="0.4">
      <c r="C201" s="199"/>
      <c r="D201" s="200"/>
      <c r="E201" s="201"/>
      <c r="F201" s="199"/>
      <c r="H201" s="202"/>
      <c r="I201" s="185" t="str">
        <f t="shared" si="19"/>
        <v/>
      </c>
      <c r="J201" s="203" t="str">
        <f>IF($H201="USD",IF(OR($I201="",$I201="-"),"",VLOOKUP($G201,為替!$A:$AX,$I201,FALSE))+$J$3,IF(OR($I201="",$I201="-"),"",VLOOKUP($G201,為替!$A:$AX,$I201,FALSE)))</f>
        <v/>
      </c>
      <c r="K201" s="204" t="str">
        <f t="shared" si="20"/>
        <v/>
      </c>
      <c r="L201" s="188" t="str">
        <f t="shared" si="21"/>
        <v/>
      </c>
      <c r="M201" s="203" t="str">
        <f>IF($H201="USD",IF(OR($L201="",$L201="-"),"",VLOOKUP($G201,為替!$A:$AX,$L201,FALSE))+$K$3,IF(OR($L201="",$L201="-"),"",VLOOKUP($G201,為替!$A:$AX,$L201,FALSE)))</f>
        <v/>
      </c>
      <c r="N201" s="204" t="str">
        <f t="shared" si="22"/>
        <v/>
      </c>
      <c r="O201" s="205" t="str">
        <f t="shared" si="18"/>
        <v/>
      </c>
      <c r="P201" s="206" t="str">
        <f t="shared" si="23"/>
        <v/>
      </c>
    </row>
    <row r="202" spans="3:16" x14ac:dyDescent="0.4">
      <c r="C202" s="199"/>
      <c r="D202" s="200"/>
      <c r="E202" s="201"/>
      <c r="F202" s="199"/>
      <c r="H202" s="202"/>
      <c r="I202" s="185" t="str">
        <f t="shared" si="19"/>
        <v/>
      </c>
      <c r="J202" s="203" t="str">
        <f>IF($H202="USD",IF(OR($I202="",$I202="-"),"",VLOOKUP($G202,為替!$A:$AX,$I202,FALSE))+$J$3,IF(OR($I202="",$I202="-"),"",VLOOKUP($G202,為替!$A:$AX,$I202,FALSE)))</f>
        <v/>
      </c>
      <c r="K202" s="204" t="str">
        <f t="shared" si="20"/>
        <v/>
      </c>
      <c r="L202" s="188" t="str">
        <f t="shared" si="21"/>
        <v/>
      </c>
      <c r="M202" s="203" t="str">
        <f>IF($H202="USD",IF(OR($L202="",$L202="-"),"",VLOOKUP($G202,為替!$A:$AX,$L202,FALSE))+$K$3,IF(OR($L202="",$L202="-"),"",VLOOKUP($G202,為替!$A:$AX,$L202,FALSE)))</f>
        <v/>
      </c>
      <c r="N202" s="204" t="str">
        <f t="shared" si="22"/>
        <v/>
      </c>
      <c r="O202" s="205" t="str">
        <f t="shared" si="18"/>
        <v/>
      </c>
      <c r="P202" s="206" t="str">
        <f t="shared" si="23"/>
        <v/>
      </c>
    </row>
    <row r="203" spans="3:16" x14ac:dyDescent="0.4">
      <c r="C203" s="199"/>
      <c r="D203" s="200"/>
      <c r="E203" s="201"/>
      <c r="F203" s="199"/>
      <c r="H203" s="202"/>
      <c r="I203" s="185" t="str">
        <f t="shared" si="19"/>
        <v/>
      </c>
      <c r="J203" s="203" t="str">
        <f>IF($H203="USD",IF(OR($I203="",$I203="-"),"",VLOOKUP($G203,為替!$A:$AX,$I203,FALSE))+$J$3,IF(OR($I203="",$I203="-"),"",VLOOKUP($G203,為替!$A:$AX,$I203,FALSE)))</f>
        <v/>
      </c>
      <c r="K203" s="204" t="str">
        <f t="shared" si="20"/>
        <v/>
      </c>
      <c r="L203" s="188" t="str">
        <f t="shared" si="21"/>
        <v/>
      </c>
      <c r="M203" s="203" t="str">
        <f>IF($H203="USD",IF(OR($L203="",$L203="-"),"",VLOOKUP($G203,為替!$A:$AX,$L203,FALSE))+$K$3,IF(OR($L203="",$L203="-"),"",VLOOKUP($G203,為替!$A:$AX,$L203,FALSE)))</f>
        <v/>
      </c>
      <c r="N203" s="204" t="str">
        <f t="shared" si="22"/>
        <v/>
      </c>
      <c r="O203" s="205" t="str">
        <f t="shared" si="18"/>
        <v/>
      </c>
      <c r="P203" s="206" t="str">
        <f t="shared" si="23"/>
        <v/>
      </c>
    </row>
    <row r="204" spans="3:16" x14ac:dyDescent="0.4">
      <c r="C204" s="199"/>
      <c r="D204" s="200"/>
      <c r="E204" s="201"/>
      <c r="F204" s="199"/>
      <c r="H204" s="202"/>
      <c r="I204" s="185" t="str">
        <f t="shared" si="19"/>
        <v/>
      </c>
      <c r="J204" s="203" t="str">
        <f>IF($H204="USD",IF(OR($I204="",$I204="-"),"",VLOOKUP($G204,為替!$A:$AX,$I204,FALSE))+$J$3,IF(OR($I204="",$I204="-"),"",VLOOKUP($G204,為替!$A:$AX,$I204,FALSE)))</f>
        <v/>
      </c>
      <c r="K204" s="204" t="str">
        <f t="shared" si="20"/>
        <v/>
      </c>
      <c r="L204" s="188" t="str">
        <f t="shared" si="21"/>
        <v/>
      </c>
      <c r="M204" s="203" t="str">
        <f>IF($H204="USD",IF(OR($L204="",$L204="-"),"",VLOOKUP($G204,為替!$A:$AX,$L204,FALSE))+$K$3,IF(OR($L204="",$L204="-"),"",VLOOKUP($G204,為替!$A:$AX,$L204,FALSE)))</f>
        <v/>
      </c>
      <c r="N204" s="204" t="str">
        <f t="shared" si="22"/>
        <v/>
      </c>
      <c r="O204" s="205" t="str">
        <f t="shared" si="18"/>
        <v/>
      </c>
      <c r="P204" s="206" t="str">
        <f t="shared" si="23"/>
        <v/>
      </c>
    </row>
    <row r="205" spans="3:16" x14ac:dyDescent="0.4">
      <c r="C205" s="199"/>
      <c r="D205" s="200"/>
      <c r="E205" s="201"/>
      <c r="F205" s="199"/>
      <c r="H205" s="202"/>
      <c r="I205" s="185" t="str">
        <f t="shared" si="19"/>
        <v/>
      </c>
      <c r="J205" s="203" t="str">
        <f>IF($H205="USD",IF(OR($I205="",$I205="-"),"",VLOOKUP($G205,為替!$A:$AX,$I205,FALSE))+$J$3,IF(OR($I205="",$I205="-"),"",VLOOKUP($G205,為替!$A:$AX,$I205,FALSE)))</f>
        <v/>
      </c>
      <c r="K205" s="204" t="str">
        <f t="shared" si="20"/>
        <v/>
      </c>
      <c r="L205" s="188" t="str">
        <f t="shared" si="21"/>
        <v/>
      </c>
      <c r="M205" s="203" t="str">
        <f>IF($H205="USD",IF(OR($L205="",$L205="-"),"",VLOOKUP($G205,為替!$A:$AX,$L205,FALSE))+$K$3,IF(OR($L205="",$L205="-"),"",VLOOKUP($G205,為替!$A:$AX,$L205,FALSE)))</f>
        <v/>
      </c>
      <c r="N205" s="204" t="str">
        <f t="shared" si="22"/>
        <v/>
      </c>
      <c r="O205" s="205" t="str">
        <f t="shared" si="18"/>
        <v/>
      </c>
      <c r="P205" s="206" t="str">
        <f t="shared" si="23"/>
        <v/>
      </c>
    </row>
    <row r="206" spans="3:16" x14ac:dyDescent="0.4">
      <c r="C206" s="199"/>
      <c r="D206" s="200"/>
      <c r="E206" s="201"/>
      <c r="F206" s="199"/>
      <c r="H206" s="202"/>
      <c r="I206" s="185" t="str">
        <f t="shared" si="19"/>
        <v/>
      </c>
      <c r="J206" s="203" t="str">
        <f>IF($H206="USD",IF(OR($I206="",$I206="-"),"",VLOOKUP($G206,為替!$A:$AX,$I206,FALSE))+$J$3,IF(OR($I206="",$I206="-"),"",VLOOKUP($G206,為替!$A:$AX,$I206,FALSE)))</f>
        <v/>
      </c>
      <c r="K206" s="204" t="str">
        <f t="shared" si="20"/>
        <v/>
      </c>
      <c r="L206" s="188" t="str">
        <f t="shared" si="21"/>
        <v/>
      </c>
      <c r="M206" s="203" t="str">
        <f>IF($H206="USD",IF(OR($L206="",$L206="-"),"",VLOOKUP($G206,為替!$A:$AX,$L206,FALSE))+$K$3,IF(OR($L206="",$L206="-"),"",VLOOKUP($G206,為替!$A:$AX,$L206,FALSE)))</f>
        <v/>
      </c>
      <c r="N206" s="204" t="str">
        <f t="shared" si="22"/>
        <v/>
      </c>
      <c r="O206" s="205" t="str">
        <f t="shared" si="18"/>
        <v/>
      </c>
      <c r="P206" s="206" t="str">
        <f t="shared" si="23"/>
        <v/>
      </c>
    </row>
    <row r="207" spans="3:16" x14ac:dyDescent="0.4">
      <c r="C207" s="199"/>
      <c r="D207" s="200"/>
      <c r="E207" s="201"/>
      <c r="F207" s="199"/>
      <c r="H207" s="202"/>
      <c r="I207" s="185" t="str">
        <f t="shared" si="19"/>
        <v/>
      </c>
      <c r="J207" s="203" t="str">
        <f>IF($H207="USD",IF(OR($I207="",$I207="-"),"",VLOOKUP($G207,為替!$A:$AX,$I207,FALSE))+$J$3,IF(OR($I207="",$I207="-"),"",VLOOKUP($G207,為替!$A:$AX,$I207,FALSE)))</f>
        <v/>
      </c>
      <c r="K207" s="204" t="str">
        <f t="shared" si="20"/>
        <v/>
      </c>
      <c r="L207" s="188" t="str">
        <f t="shared" si="21"/>
        <v/>
      </c>
      <c r="M207" s="203" t="str">
        <f>IF($H207="USD",IF(OR($L207="",$L207="-"),"",VLOOKUP($G207,為替!$A:$AX,$L207,FALSE))+$K$3,IF(OR($L207="",$L207="-"),"",VLOOKUP($G207,為替!$A:$AX,$L207,FALSE)))</f>
        <v/>
      </c>
      <c r="N207" s="204" t="str">
        <f t="shared" si="22"/>
        <v/>
      </c>
      <c r="O207" s="205" t="str">
        <f t="shared" si="18"/>
        <v/>
      </c>
      <c r="P207" s="206" t="str">
        <f t="shared" si="23"/>
        <v/>
      </c>
    </row>
    <row r="208" spans="3:16" x14ac:dyDescent="0.4">
      <c r="C208" s="199"/>
      <c r="D208" s="200"/>
      <c r="E208" s="201"/>
      <c r="F208" s="199"/>
      <c r="H208" s="202"/>
      <c r="I208" s="185" t="str">
        <f t="shared" si="19"/>
        <v/>
      </c>
      <c r="J208" s="203" t="str">
        <f>IF($H208="USD",IF(OR($I208="",$I208="-"),"",VLOOKUP($G208,為替!$A:$AX,$I208,FALSE))+$J$3,IF(OR($I208="",$I208="-"),"",VLOOKUP($G208,為替!$A:$AX,$I208,FALSE)))</f>
        <v/>
      </c>
      <c r="K208" s="204" t="str">
        <f t="shared" si="20"/>
        <v/>
      </c>
      <c r="L208" s="188" t="str">
        <f t="shared" si="21"/>
        <v/>
      </c>
      <c r="M208" s="203" t="str">
        <f>IF($H208="USD",IF(OR($L208="",$L208="-"),"",VLOOKUP($G208,為替!$A:$AX,$L208,FALSE))+$K$3,IF(OR($L208="",$L208="-"),"",VLOOKUP($G208,為替!$A:$AX,$L208,FALSE)))</f>
        <v/>
      </c>
      <c r="N208" s="204" t="str">
        <f t="shared" si="22"/>
        <v/>
      </c>
      <c r="O208" s="205" t="str">
        <f t="shared" si="18"/>
        <v/>
      </c>
      <c r="P208" s="206" t="str">
        <f t="shared" si="23"/>
        <v/>
      </c>
    </row>
    <row r="209" spans="3:16" x14ac:dyDescent="0.4">
      <c r="C209" s="199"/>
      <c r="D209" s="200"/>
      <c r="E209" s="201"/>
      <c r="F209" s="199"/>
      <c r="H209" s="202"/>
      <c r="I209" s="185" t="str">
        <f t="shared" si="19"/>
        <v/>
      </c>
      <c r="J209" s="203" t="str">
        <f>IF($H209="USD",IF(OR($I209="",$I209="-"),"",VLOOKUP($G209,為替!$A:$AX,$I209,FALSE))+$J$3,IF(OR($I209="",$I209="-"),"",VLOOKUP($G209,為替!$A:$AX,$I209,FALSE)))</f>
        <v/>
      </c>
      <c r="K209" s="204" t="str">
        <f t="shared" si="20"/>
        <v/>
      </c>
      <c r="L209" s="188" t="str">
        <f t="shared" si="21"/>
        <v/>
      </c>
      <c r="M209" s="203" t="str">
        <f>IF($H209="USD",IF(OR($L209="",$L209="-"),"",VLOOKUP($G209,為替!$A:$AX,$L209,FALSE))+$K$3,IF(OR($L209="",$L209="-"),"",VLOOKUP($G209,為替!$A:$AX,$L209,FALSE)))</f>
        <v/>
      </c>
      <c r="N209" s="204" t="str">
        <f t="shared" si="22"/>
        <v/>
      </c>
      <c r="O209" s="205" t="str">
        <f t="shared" si="18"/>
        <v/>
      </c>
      <c r="P209" s="206" t="str">
        <f t="shared" si="23"/>
        <v/>
      </c>
    </row>
    <row r="210" spans="3:16" x14ac:dyDescent="0.4">
      <c r="C210" s="199"/>
      <c r="D210" s="200"/>
      <c r="E210" s="201"/>
      <c r="F210" s="199"/>
      <c r="H210" s="202"/>
      <c r="I210" s="185" t="str">
        <f t="shared" si="19"/>
        <v/>
      </c>
      <c r="J210" s="203" t="str">
        <f>IF($H210="USD",IF(OR($I210="",$I210="-"),"",VLOOKUP($G210,為替!$A:$AX,$I210,FALSE))+$J$3,IF(OR($I210="",$I210="-"),"",VLOOKUP($G210,為替!$A:$AX,$I210,FALSE)))</f>
        <v/>
      </c>
      <c r="K210" s="204" t="str">
        <f t="shared" si="20"/>
        <v/>
      </c>
      <c r="L210" s="188" t="str">
        <f t="shared" si="21"/>
        <v/>
      </c>
      <c r="M210" s="203" t="str">
        <f>IF($H210="USD",IF(OR($L210="",$L210="-"),"",VLOOKUP($G210,為替!$A:$AX,$L210,FALSE))+$K$3,IF(OR($L210="",$L210="-"),"",VLOOKUP($G210,為替!$A:$AX,$L210,FALSE)))</f>
        <v/>
      </c>
      <c r="N210" s="204" t="str">
        <f t="shared" si="22"/>
        <v/>
      </c>
      <c r="O210" s="205" t="str">
        <f t="shared" si="18"/>
        <v/>
      </c>
      <c r="P210" s="206" t="str">
        <f t="shared" si="23"/>
        <v/>
      </c>
    </row>
    <row r="211" spans="3:16" x14ac:dyDescent="0.4">
      <c r="C211" s="199"/>
      <c r="D211" s="200"/>
      <c r="E211" s="201"/>
      <c r="F211" s="199"/>
      <c r="H211" s="202"/>
      <c r="I211" s="185" t="str">
        <f t="shared" si="19"/>
        <v/>
      </c>
      <c r="J211" s="203" t="str">
        <f>IF($H211="USD",IF(OR($I211="",$I211="-"),"",VLOOKUP($G211,為替!$A:$AX,$I211,FALSE))+$J$3,IF(OR($I211="",$I211="-"),"",VLOOKUP($G211,為替!$A:$AX,$I211,FALSE)))</f>
        <v/>
      </c>
      <c r="K211" s="204" t="str">
        <f t="shared" si="20"/>
        <v/>
      </c>
      <c r="L211" s="188" t="str">
        <f t="shared" si="21"/>
        <v/>
      </c>
      <c r="M211" s="203" t="str">
        <f>IF($H211="USD",IF(OR($L211="",$L211="-"),"",VLOOKUP($G211,為替!$A:$AX,$L211,FALSE))+$K$3,IF(OR($L211="",$L211="-"),"",VLOOKUP($G211,為替!$A:$AX,$L211,FALSE)))</f>
        <v/>
      </c>
      <c r="N211" s="204" t="str">
        <f t="shared" si="22"/>
        <v/>
      </c>
      <c r="O211" s="205" t="str">
        <f t="shared" si="18"/>
        <v/>
      </c>
      <c r="P211" s="206" t="str">
        <f t="shared" si="23"/>
        <v/>
      </c>
    </row>
    <row r="212" spans="3:16" x14ac:dyDescent="0.4">
      <c r="C212" s="199"/>
      <c r="D212" s="200"/>
      <c r="E212" s="201"/>
      <c r="F212" s="199"/>
      <c r="H212" s="202"/>
      <c r="I212" s="185" t="str">
        <f t="shared" si="19"/>
        <v/>
      </c>
      <c r="J212" s="203" t="str">
        <f>IF($H212="USD",IF(OR($I212="",$I212="-"),"",VLOOKUP($G212,為替!$A:$AX,$I212,FALSE))+$J$3,IF(OR($I212="",$I212="-"),"",VLOOKUP($G212,為替!$A:$AX,$I212,FALSE)))</f>
        <v/>
      </c>
      <c r="K212" s="204" t="str">
        <f t="shared" si="20"/>
        <v/>
      </c>
      <c r="L212" s="188" t="str">
        <f t="shared" si="21"/>
        <v/>
      </c>
      <c r="M212" s="203" t="str">
        <f>IF($H212="USD",IF(OR($L212="",$L212="-"),"",VLOOKUP($G212,為替!$A:$AX,$L212,FALSE))+$K$3,IF(OR($L212="",$L212="-"),"",VLOOKUP($G212,為替!$A:$AX,$L212,FALSE)))</f>
        <v/>
      </c>
      <c r="N212" s="204" t="str">
        <f t="shared" si="22"/>
        <v/>
      </c>
      <c r="O212" s="205" t="str">
        <f t="shared" si="18"/>
        <v/>
      </c>
      <c r="P212" s="206" t="str">
        <f t="shared" si="23"/>
        <v/>
      </c>
    </row>
    <row r="213" spans="3:16" x14ac:dyDescent="0.4">
      <c r="C213" s="199"/>
      <c r="D213" s="200"/>
      <c r="E213" s="201"/>
      <c r="F213" s="199"/>
      <c r="H213" s="202"/>
      <c r="I213" s="185" t="str">
        <f t="shared" si="19"/>
        <v/>
      </c>
      <c r="J213" s="203" t="str">
        <f>IF($H213="USD",IF(OR($I213="",$I213="-"),"",VLOOKUP($G213,為替!$A:$AX,$I213,FALSE))+$J$3,IF(OR($I213="",$I213="-"),"",VLOOKUP($G213,為替!$A:$AX,$I213,FALSE)))</f>
        <v/>
      </c>
      <c r="K213" s="204" t="str">
        <f t="shared" si="20"/>
        <v/>
      </c>
      <c r="L213" s="188" t="str">
        <f t="shared" si="21"/>
        <v/>
      </c>
      <c r="M213" s="203" t="str">
        <f>IF($H213="USD",IF(OR($L213="",$L213="-"),"",VLOOKUP($G213,為替!$A:$AX,$L213,FALSE))+$K$3,IF(OR($L213="",$L213="-"),"",VLOOKUP($G213,為替!$A:$AX,$L213,FALSE)))</f>
        <v/>
      </c>
      <c r="N213" s="204" t="str">
        <f t="shared" si="22"/>
        <v/>
      </c>
      <c r="O213" s="205" t="str">
        <f t="shared" si="18"/>
        <v/>
      </c>
      <c r="P213" s="206" t="str">
        <f t="shared" si="23"/>
        <v/>
      </c>
    </row>
    <row r="214" spans="3:16" x14ac:dyDescent="0.4">
      <c r="C214" s="199"/>
      <c r="D214" s="200"/>
      <c r="E214" s="201"/>
      <c r="F214" s="199"/>
      <c r="H214" s="202"/>
      <c r="I214" s="185" t="str">
        <f t="shared" si="19"/>
        <v/>
      </c>
      <c r="J214" s="203" t="str">
        <f>IF($H214="USD",IF(OR($I214="",$I214="-"),"",VLOOKUP($G214,為替!$A:$AX,$I214,FALSE))+$J$3,IF(OR($I214="",$I214="-"),"",VLOOKUP($G214,為替!$A:$AX,$I214,FALSE)))</f>
        <v/>
      </c>
      <c r="K214" s="204" t="str">
        <f t="shared" si="20"/>
        <v/>
      </c>
      <c r="L214" s="188" t="str">
        <f t="shared" si="21"/>
        <v/>
      </c>
      <c r="M214" s="203" t="str">
        <f>IF($H214="USD",IF(OR($L214="",$L214="-"),"",VLOOKUP($G214,為替!$A:$AX,$L214,FALSE))+$K$3,IF(OR($L214="",$L214="-"),"",VLOOKUP($G214,為替!$A:$AX,$L214,FALSE)))</f>
        <v/>
      </c>
      <c r="N214" s="204" t="str">
        <f t="shared" si="22"/>
        <v/>
      </c>
      <c r="O214" s="205" t="str">
        <f t="shared" si="18"/>
        <v/>
      </c>
      <c r="P214" s="206" t="str">
        <f t="shared" si="23"/>
        <v/>
      </c>
    </row>
    <row r="215" spans="3:16" x14ac:dyDescent="0.4">
      <c r="C215" s="199"/>
      <c r="D215" s="200"/>
      <c r="E215" s="201"/>
      <c r="F215" s="199"/>
      <c r="H215" s="202"/>
      <c r="I215" s="185" t="str">
        <f t="shared" si="19"/>
        <v/>
      </c>
      <c r="J215" s="203" t="str">
        <f>IF($H215="USD",IF(OR($I215="",$I215="-"),"",VLOOKUP($G215,為替!$A:$AX,$I215,FALSE))+$J$3,IF(OR($I215="",$I215="-"),"",VLOOKUP($G215,為替!$A:$AX,$I215,FALSE)))</f>
        <v/>
      </c>
      <c r="K215" s="204" t="str">
        <f t="shared" si="20"/>
        <v/>
      </c>
      <c r="L215" s="188" t="str">
        <f t="shared" si="21"/>
        <v/>
      </c>
      <c r="M215" s="203" t="str">
        <f>IF($H215="USD",IF(OR($L215="",$L215="-"),"",VLOOKUP($G215,為替!$A:$AX,$L215,FALSE))+$K$3,IF(OR($L215="",$L215="-"),"",VLOOKUP($G215,為替!$A:$AX,$L215,FALSE)))</f>
        <v/>
      </c>
      <c r="N215" s="204" t="str">
        <f t="shared" si="22"/>
        <v/>
      </c>
      <c r="O215" s="205" t="str">
        <f t="shared" si="18"/>
        <v/>
      </c>
      <c r="P215" s="206" t="str">
        <f t="shared" si="23"/>
        <v/>
      </c>
    </row>
    <row r="216" spans="3:16" x14ac:dyDescent="0.4">
      <c r="C216" s="199"/>
      <c r="D216" s="200"/>
      <c r="E216" s="201"/>
      <c r="F216" s="199"/>
      <c r="H216" s="202"/>
      <c r="I216" s="185" t="str">
        <f t="shared" si="19"/>
        <v/>
      </c>
      <c r="J216" s="203" t="str">
        <f>IF($H216="USD",IF(OR($I216="",$I216="-"),"",VLOOKUP($G216,為替!$A:$AX,$I216,FALSE))+$J$3,IF(OR($I216="",$I216="-"),"",VLOOKUP($G216,為替!$A:$AX,$I216,FALSE)))</f>
        <v/>
      </c>
      <c r="K216" s="204" t="str">
        <f t="shared" si="20"/>
        <v/>
      </c>
      <c r="L216" s="188" t="str">
        <f t="shared" si="21"/>
        <v/>
      </c>
      <c r="M216" s="203" t="str">
        <f>IF($H216="USD",IF(OR($L216="",$L216="-"),"",VLOOKUP($G216,為替!$A:$AX,$L216,FALSE))+$K$3,IF(OR($L216="",$L216="-"),"",VLOOKUP($G216,為替!$A:$AX,$L216,FALSE)))</f>
        <v/>
      </c>
      <c r="N216" s="204" t="str">
        <f t="shared" si="22"/>
        <v/>
      </c>
      <c r="O216" s="205" t="str">
        <f t="shared" si="18"/>
        <v/>
      </c>
      <c r="P216" s="206" t="str">
        <f t="shared" si="23"/>
        <v/>
      </c>
    </row>
    <row r="217" spans="3:16" x14ac:dyDescent="0.4">
      <c r="C217" s="199"/>
      <c r="D217" s="200"/>
      <c r="E217" s="201"/>
      <c r="F217" s="199"/>
      <c r="H217" s="202"/>
      <c r="I217" s="185" t="str">
        <f t="shared" si="19"/>
        <v/>
      </c>
      <c r="J217" s="203" t="str">
        <f>IF($H217="USD",IF(OR($I217="",$I217="-"),"",VLOOKUP($G217,為替!$A:$AX,$I217,FALSE))+$J$3,IF(OR($I217="",$I217="-"),"",VLOOKUP($G217,為替!$A:$AX,$I217,FALSE)))</f>
        <v/>
      </c>
      <c r="K217" s="204" t="str">
        <f t="shared" si="20"/>
        <v/>
      </c>
      <c r="L217" s="188" t="str">
        <f t="shared" si="21"/>
        <v/>
      </c>
      <c r="M217" s="203" t="str">
        <f>IF($H217="USD",IF(OR($L217="",$L217="-"),"",VLOOKUP($G217,為替!$A:$AX,$L217,FALSE))+$K$3,IF(OR($L217="",$L217="-"),"",VLOOKUP($G217,為替!$A:$AX,$L217,FALSE)))</f>
        <v/>
      </c>
      <c r="N217" s="204" t="str">
        <f t="shared" si="22"/>
        <v/>
      </c>
      <c r="O217" s="205" t="str">
        <f t="shared" si="18"/>
        <v/>
      </c>
      <c r="P217" s="206" t="str">
        <f t="shared" si="23"/>
        <v/>
      </c>
    </row>
    <row r="218" spans="3:16" x14ac:dyDescent="0.4">
      <c r="C218" s="199"/>
      <c r="D218" s="200"/>
      <c r="E218" s="201"/>
      <c r="F218" s="199"/>
      <c r="H218" s="202"/>
      <c r="I218" s="185" t="str">
        <f t="shared" si="19"/>
        <v/>
      </c>
      <c r="J218" s="203" t="str">
        <f>IF($H218="USD",IF(OR($I218="",$I218="-"),"",VLOOKUP($G218,為替!$A:$AX,$I218,FALSE))+$J$3,IF(OR($I218="",$I218="-"),"",VLOOKUP($G218,為替!$A:$AX,$I218,FALSE)))</f>
        <v/>
      </c>
      <c r="K218" s="204" t="str">
        <f t="shared" si="20"/>
        <v/>
      </c>
      <c r="L218" s="188" t="str">
        <f t="shared" si="21"/>
        <v/>
      </c>
      <c r="M218" s="203" t="str">
        <f>IF($H218="USD",IF(OR($L218="",$L218="-"),"",VLOOKUP($G218,為替!$A:$AX,$L218,FALSE))+$K$3,IF(OR($L218="",$L218="-"),"",VLOOKUP($G218,為替!$A:$AX,$L218,FALSE)))</f>
        <v/>
      </c>
      <c r="N218" s="204" t="str">
        <f t="shared" si="22"/>
        <v/>
      </c>
      <c r="O218" s="205" t="str">
        <f t="shared" si="18"/>
        <v/>
      </c>
      <c r="P218" s="206" t="str">
        <f t="shared" si="23"/>
        <v/>
      </c>
    </row>
    <row r="219" spans="3:16" x14ac:dyDescent="0.4">
      <c r="C219" s="199"/>
      <c r="D219" s="200"/>
      <c r="E219" s="201"/>
      <c r="F219" s="199"/>
      <c r="H219" s="202"/>
      <c r="I219" s="185" t="str">
        <f t="shared" si="19"/>
        <v/>
      </c>
      <c r="J219" s="203" t="str">
        <f>IF($H219="USD",IF(OR($I219="",$I219="-"),"",VLOOKUP($G219,為替!$A:$AX,$I219,FALSE))+$J$3,IF(OR($I219="",$I219="-"),"",VLOOKUP($G219,為替!$A:$AX,$I219,FALSE)))</f>
        <v/>
      </c>
      <c r="K219" s="204" t="str">
        <f t="shared" si="20"/>
        <v/>
      </c>
      <c r="L219" s="188" t="str">
        <f t="shared" si="21"/>
        <v/>
      </c>
      <c r="M219" s="203" t="str">
        <f>IF($H219="USD",IF(OR($L219="",$L219="-"),"",VLOOKUP($G219,為替!$A:$AX,$L219,FALSE))+$K$3,IF(OR($L219="",$L219="-"),"",VLOOKUP($G219,為替!$A:$AX,$L219,FALSE)))</f>
        <v/>
      </c>
      <c r="N219" s="204" t="str">
        <f t="shared" si="22"/>
        <v/>
      </c>
      <c r="O219" s="205" t="str">
        <f t="shared" si="18"/>
        <v/>
      </c>
      <c r="P219" s="206" t="str">
        <f t="shared" si="23"/>
        <v/>
      </c>
    </row>
    <row r="220" spans="3:16" x14ac:dyDescent="0.4">
      <c r="C220" s="199"/>
      <c r="D220" s="200"/>
      <c r="E220" s="201"/>
      <c r="F220" s="199"/>
      <c r="H220" s="202"/>
      <c r="I220" s="185" t="str">
        <f t="shared" si="19"/>
        <v/>
      </c>
      <c r="J220" s="203" t="str">
        <f>IF($H220="USD",IF(OR($I220="",$I220="-"),"",VLOOKUP($G220,為替!$A:$AX,$I220,FALSE))+$J$3,IF(OR($I220="",$I220="-"),"",VLOOKUP($G220,為替!$A:$AX,$I220,FALSE)))</f>
        <v/>
      </c>
      <c r="K220" s="204" t="str">
        <f t="shared" si="20"/>
        <v/>
      </c>
      <c r="L220" s="188" t="str">
        <f t="shared" si="21"/>
        <v/>
      </c>
      <c r="M220" s="203" t="str">
        <f>IF($H220="USD",IF(OR($L220="",$L220="-"),"",VLOOKUP($G220,為替!$A:$AX,$L220,FALSE))+$K$3,IF(OR($L220="",$L220="-"),"",VLOOKUP($G220,為替!$A:$AX,$L220,FALSE)))</f>
        <v/>
      </c>
      <c r="N220" s="204" t="str">
        <f t="shared" si="22"/>
        <v/>
      </c>
      <c r="O220" s="205" t="str">
        <f t="shared" si="18"/>
        <v/>
      </c>
      <c r="P220" s="206" t="str">
        <f t="shared" si="23"/>
        <v/>
      </c>
    </row>
    <row r="221" spans="3:16" x14ac:dyDescent="0.4">
      <c r="C221" s="199"/>
      <c r="D221" s="200"/>
      <c r="E221" s="201"/>
      <c r="F221" s="199"/>
      <c r="H221" s="202"/>
      <c r="I221" s="185" t="str">
        <f t="shared" si="19"/>
        <v/>
      </c>
      <c r="J221" s="203" t="str">
        <f>IF($H221="USD",IF(OR($I221="",$I221="-"),"",VLOOKUP($G221,為替!$A:$AX,$I221,FALSE))+$J$3,IF(OR($I221="",$I221="-"),"",VLOOKUP($G221,為替!$A:$AX,$I221,FALSE)))</f>
        <v/>
      </c>
      <c r="K221" s="204" t="str">
        <f t="shared" si="20"/>
        <v/>
      </c>
      <c r="L221" s="188" t="str">
        <f t="shared" si="21"/>
        <v/>
      </c>
      <c r="M221" s="203" t="str">
        <f>IF($H221="USD",IF(OR($L221="",$L221="-"),"",VLOOKUP($G221,為替!$A:$AX,$L221,FALSE))+$K$3,IF(OR($L221="",$L221="-"),"",VLOOKUP($G221,為替!$A:$AX,$L221,FALSE)))</f>
        <v/>
      </c>
      <c r="N221" s="204" t="str">
        <f t="shared" si="22"/>
        <v/>
      </c>
      <c r="O221" s="205" t="str">
        <f t="shared" si="18"/>
        <v/>
      </c>
      <c r="P221" s="206" t="str">
        <f t="shared" si="23"/>
        <v/>
      </c>
    </row>
    <row r="222" spans="3:16" x14ac:dyDescent="0.4">
      <c r="C222" s="199"/>
      <c r="D222" s="200"/>
      <c r="E222" s="201"/>
      <c r="F222" s="199"/>
      <c r="H222" s="202"/>
      <c r="I222" s="185" t="str">
        <f t="shared" si="19"/>
        <v/>
      </c>
      <c r="J222" s="203" t="str">
        <f>IF($H222="USD",IF(OR($I222="",$I222="-"),"",VLOOKUP($G222,為替!$A:$AX,$I222,FALSE))+$J$3,IF(OR($I222="",$I222="-"),"",VLOOKUP($G222,為替!$A:$AX,$I222,FALSE)))</f>
        <v/>
      </c>
      <c r="K222" s="204" t="str">
        <f t="shared" si="20"/>
        <v/>
      </c>
      <c r="L222" s="188" t="str">
        <f t="shared" si="21"/>
        <v/>
      </c>
      <c r="M222" s="203" t="str">
        <f>IF($H222="USD",IF(OR($L222="",$L222="-"),"",VLOOKUP($G222,為替!$A:$AX,$L222,FALSE))+$K$3,IF(OR($L222="",$L222="-"),"",VLOOKUP($G222,為替!$A:$AX,$L222,FALSE)))</f>
        <v/>
      </c>
      <c r="N222" s="204" t="str">
        <f t="shared" si="22"/>
        <v/>
      </c>
      <c r="O222" s="205" t="str">
        <f t="shared" si="18"/>
        <v/>
      </c>
      <c r="P222" s="206" t="str">
        <f t="shared" si="23"/>
        <v/>
      </c>
    </row>
    <row r="223" spans="3:16" x14ac:dyDescent="0.4">
      <c r="C223" s="199"/>
      <c r="D223" s="200"/>
      <c r="E223" s="201"/>
      <c r="F223" s="199"/>
      <c r="H223" s="202"/>
      <c r="I223" s="185" t="str">
        <f t="shared" si="19"/>
        <v/>
      </c>
      <c r="J223" s="203" t="str">
        <f>IF($H223="USD",IF(OR($I223="",$I223="-"),"",VLOOKUP($G223,為替!$A:$AX,$I223,FALSE))+$J$3,IF(OR($I223="",$I223="-"),"",VLOOKUP($G223,為替!$A:$AX,$I223,FALSE)))</f>
        <v/>
      </c>
      <c r="K223" s="204" t="str">
        <f t="shared" si="20"/>
        <v/>
      </c>
      <c r="L223" s="188" t="str">
        <f t="shared" si="21"/>
        <v/>
      </c>
      <c r="M223" s="203" t="str">
        <f>IF($H223="USD",IF(OR($L223="",$L223="-"),"",VLOOKUP($G223,為替!$A:$AX,$L223,FALSE))+$K$3,IF(OR($L223="",$L223="-"),"",VLOOKUP($G223,為替!$A:$AX,$L223,FALSE)))</f>
        <v/>
      </c>
      <c r="N223" s="204" t="str">
        <f t="shared" si="22"/>
        <v/>
      </c>
      <c r="O223" s="205" t="str">
        <f t="shared" si="18"/>
        <v/>
      </c>
      <c r="P223" s="206" t="str">
        <f t="shared" si="23"/>
        <v/>
      </c>
    </row>
    <row r="224" spans="3:16" x14ac:dyDescent="0.4">
      <c r="C224" s="199"/>
      <c r="D224" s="200"/>
      <c r="E224" s="201"/>
      <c r="F224" s="199"/>
      <c r="H224" s="202"/>
      <c r="I224" s="185" t="str">
        <f t="shared" si="19"/>
        <v/>
      </c>
      <c r="J224" s="203" t="str">
        <f>IF($H224="USD",IF(OR($I224="",$I224="-"),"",VLOOKUP($G224,為替!$A:$AX,$I224,FALSE))+$J$3,IF(OR($I224="",$I224="-"),"",VLOOKUP($G224,為替!$A:$AX,$I224,FALSE)))</f>
        <v/>
      </c>
      <c r="K224" s="204" t="str">
        <f t="shared" si="20"/>
        <v/>
      </c>
      <c r="L224" s="188" t="str">
        <f t="shared" si="21"/>
        <v/>
      </c>
      <c r="M224" s="203" t="str">
        <f>IF($H224="USD",IF(OR($L224="",$L224="-"),"",VLOOKUP($G224,為替!$A:$AX,$L224,FALSE))+$K$3,IF(OR($L224="",$L224="-"),"",VLOOKUP($G224,為替!$A:$AX,$L224,FALSE)))</f>
        <v/>
      </c>
      <c r="N224" s="204" t="str">
        <f t="shared" si="22"/>
        <v/>
      </c>
      <c r="O224" s="205" t="str">
        <f t="shared" si="18"/>
        <v/>
      </c>
      <c r="P224" s="206" t="str">
        <f t="shared" si="23"/>
        <v/>
      </c>
    </row>
    <row r="225" spans="3:16" x14ac:dyDescent="0.4">
      <c r="C225" s="199"/>
      <c r="D225" s="200"/>
      <c r="E225" s="201"/>
      <c r="F225" s="199"/>
      <c r="H225" s="202"/>
      <c r="I225" s="185" t="str">
        <f t="shared" si="19"/>
        <v/>
      </c>
      <c r="J225" s="203" t="str">
        <f>IF($H225="USD",IF(OR($I225="",$I225="-"),"",VLOOKUP($G225,為替!$A:$AX,$I225,FALSE))+$J$3,IF(OR($I225="",$I225="-"),"",VLOOKUP($G225,為替!$A:$AX,$I225,FALSE)))</f>
        <v/>
      </c>
      <c r="K225" s="204" t="str">
        <f t="shared" si="20"/>
        <v/>
      </c>
      <c r="L225" s="188" t="str">
        <f t="shared" si="21"/>
        <v/>
      </c>
      <c r="M225" s="203" t="str">
        <f>IF($H225="USD",IF(OR($L225="",$L225="-"),"",VLOOKUP($G225,為替!$A:$AX,$L225,FALSE))+$K$3,IF(OR($L225="",$L225="-"),"",VLOOKUP($G225,為替!$A:$AX,$L225,FALSE)))</f>
        <v/>
      </c>
      <c r="N225" s="204" t="str">
        <f t="shared" si="22"/>
        <v/>
      </c>
      <c r="O225" s="205" t="str">
        <f t="shared" si="18"/>
        <v/>
      </c>
      <c r="P225" s="206" t="str">
        <f t="shared" si="23"/>
        <v/>
      </c>
    </row>
    <row r="226" spans="3:16" x14ac:dyDescent="0.4">
      <c r="C226" s="199"/>
      <c r="D226" s="200"/>
      <c r="E226" s="201"/>
      <c r="F226" s="199"/>
      <c r="H226" s="202"/>
      <c r="I226" s="185" t="str">
        <f t="shared" si="19"/>
        <v/>
      </c>
      <c r="J226" s="203" t="str">
        <f>IF($H226="USD",IF(OR($I226="",$I226="-"),"",VLOOKUP($G226,為替!$A:$AX,$I226,FALSE))+$J$3,IF(OR($I226="",$I226="-"),"",VLOOKUP($G226,為替!$A:$AX,$I226,FALSE)))</f>
        <v/>
      </c>
      <c r="K226" s="204" t="str">
        <f t="shared" si="20"/>
        <v/>
      </c>
      <c r="L226" s="188" t="str">
        <f t="shared" si="21"/>
        <v/>
      </c>
      <c r="M226" s="203" t="str">
        <f>IF($H226="USD",IF(OR($L226="",$L226="-"),"",VLOOKUP($G226,為替!$A:$AX,$L226,FALSE))+$K$3,IF(OR($L226="",$L226="-"),"",VLOOKUP($G226,為替!$A:$AX,$L226,FALSE)))</f>
        <v/>
      </c>
      <c r="N226" s="204" t="str">
        <f t="shared" si="22"/>
        <v/>
      </c>
      <c r="O226" s="205" t="str">
        <f t="shared" si="18"/>
        <v/>
      </c>
      <c r="P226" s="206" t="str">
        <f t="shared" si="23"/>
        <v/>
      </c>
    </row>
    <row r="227" spans="3:16" x14ac:dyDescent="0.4">
      <c r="C227" s="199"/>
      <c r="D227" s="200"/>
      <c r="E227" s="201"/>
      <c r="F227" s="199"/>
      <c r="H227" s="202"/>
      <c r="I227" s="185" t="str">
        <f t="shared" si="19"/>
        <v/>
      </c>
      <c r="J227" s="203" t="str">
        <f>IF($H227="USD",IF(OR($I227="",$I227="-"),"",VLOOKUP($G227,為替!$A:$AX,$I227,FALSE))+$J$3,IF(OR($I227="",$I227="-"),"",VLOOKUP($G227,為替!$A:$AX,$I227,FALSE)))</f>
        <v/>
      </c>
      <c r="K227" s="204" t="str">
        <f t="shared" si="20"/>
        <v/>
      </c>
      <c r="L227" s="188" t="str">
        <f t="shared" si="21"/>
        <v/>
      </c>
      <c r="M227" s="203" t="str">
        <f>IF($H227="USD",IF(OR($L227="",$L227="-"),"",VLOOKUP($G227,為替!$A:$AX,$L227,FALSE))+$K$3,IF(OR($L227="",$L227="-"),"",VLOOKUP($G227,為替!$A:$AX,$L227,FALSE)))</f>
        <v/>
      </c>
      <c r="N227" s="204" t="str">
        <f t="shared" si="22"/>
        <v/>
      </c>
      <c r="O227" s="205" t="str">
        <f t="shared" si="18"/>
        <v/>
      </c>
      <c r="P227" s="206" t="str">
        <f t="shared" si="23"/>
        <v/>
      </c>
    </row>
    <row r="228" spans="3:16" x14ac:dyDescent="0.4">
      <c r="C228" s="199"/>
      <c r="D228" s="200"/>
      <c r="E228" s="201"/>
      <c r="F228" s="199"/>
      <c r="H228" s="202"/>
      <c r="I228" s="185" t="str">
        <f t="shared" si="19"/>
        <v/>
      </c>
      <c r="J228" s="203" t="str">
        <f>IF($H228="USD",IF(OR($I228="",$I228="-"),"",VLOOKUP($G228,為替!$A:$AX,$I228,FALSE))+$J$3,IF(OR($I228="",$I228="-"),"",VLOOKUP($G228,為替!$A:$AX,$I228,FALSE)))</f>
        <v/>
      </c>
      <c r="K228" s="204" t="str">
        <f t="shared" si="20"/>
        <v/>
      </c>
      <c r="L228" s="188" t="str">
        <f t="shared" si="21"/>
        <v/>
      </c>
      <c r="M228" s="203" t="str">
        <f>IF($H228="USD",IF(OR($L228="",$L228="-"),"",VLOOKUP($G228,為替!$A:$AX,$L228,FALSE))+$K$3,IF(OR($L228="",$L228="-"),"",VLOOKUP($G228,為替!$A:$AX,$L228,FALSE)))</f>
        <v/>
      </c>
      <c r="N228" s="204" t="str">
        <f t="shared" si="22"/>
        <v/>
      </c>
      <c r="O228" s="205" t="str">
        <f t="shared" si="18"/>
        <v/>
      </c>
      <c r="P228" s="206" t="str">
        <f t="shared" si="23"/>
        <v/>
      </c>
    </row>
    <row r="229" spans="3:16" x14ac:dyDescent="0.4">
      <c r="C229" s="199"/>
      <c r="D229" s="200"/>
      <c r="E229" s="201"/>
      <c r="F229" s="199"/>
      <c r="H229" s="202"/>
      <c r="I229" s="185" t="str">
        <f t="shared" si="19"/>
        <v/>
      </c>
      <c r="J229" s="203" t="str">
        <f>IF($H229="USD",IF(OR($I229="",$I229="-"),"",VLOOKUP($G229,為替!$A:$AX,$I229,FALSE))+$J$3,IF(OR($I229="",$I229="-"),"",VLOOKUP($G229,為替!$A:$AX,$I229,FALSE)))</f>
        <v/>
      </c>
      <c r="K229" s="204" t="str">
        <f t="shared" si="20"/>
        <v/>
      </c>
      <c r="L229" s="188" t="str">
        <f t="shared" si="21"/>
        <v/>
      </c>
      <c r="M229" s="203" t="str">
        <f>IF($H229="USD",IF(OR($L229="",$L229="-"),"",VLOOKUP($G229,為替!$A:$AX,$L229,FALSE))+$K$3,IF(OR($L229="",$L229="-"),"",VLOOKUP($G229,為替!$A:$AX,$L229,FALSE)))</f>
        <v/>
      </c>
      <c r="N229" s="204" t="str">
        <f t="shared" si="22"/>
        <v/>
      </c>
      <c r="O229" s="205" t="str">
        <f t="shared" si="18"/>
        <v/>
      </c>
      <c r="P229" s="206" t="str">
        <f t="shared" si="23"/>
        <v/>
      </c>
    </row>
    <row r="230" spans="3:16" x14ac:dyDescent="0.4">
      <c r="C230" s="199"/>
      <c r="D230" s="200"/>
      <c r="E230" s="201"/>
      <c r="F230" s="199"/>
      <c r="H230" s="202"/>
      <c r="I230" s="185" t="str">
        <f t="shared" si="19"/>
        <v/>
      </c>
      <c r="J230" s="203" t="str">
        <f>IF($H230="USD",IF(OR($I230="",$I230="-"),"",VLOOKUP($G230,為替!$A:$AX,$I230,FALSE))+$J$3,IF(OR($I230="",$I230="-"),"",VLOOKUP($G230,為替!$A:$AX,$I230,FALSE)))</f>
        <v/>
      </c>
      <c r="K230" s="204" t="str">
        <f t="shared" si="20"/>
        <v/>
      </c>
      <c r="L230" s="188" t="str">
        <f t="shared" si="21"/>
        <v/>
      </c>
      <c r="M230" s="203" t="str">
        <f>IF($H230="USD",IF(OR($L230="",$L230="-"),"",VLOOKUP($G230,為替!$A:$AX,$L230,FALSE))+$K$3,IF(OR($L230="",$L230="-"),"",VLOOKUP($G230,為替!$A:$AX,$L230,FALSE)))</f>
        <v/>
      </c>
      <c r="N230" s="204" t="str">
        <f t="shared" si="22"/>
        <v/>
      </c>
      <c r="O230" s="205" t="str">
        <f t="shared" si="18"/>
        <v/>
      </c>
      <c r="P230" s="206" t="str">
        <f t="shared" si="23"/>
        <v/>
      </c>
    </row>
    <row r="231" spans="3:16" x14ac:dyDescent="0.4">
      <c r="C231" s="199"/>
      <c r="D231" s="200"/>
      <c r="E231" s="201"/>
      <c r="F231" s="199"/>
      <c r="H231" s="202"/>
      <c r="I231" s="185" t="str">
        <f t="shared" si="19"/>
        <v/>
      </c>
      <c r="J231" s="203" t="str">
        <f>IF($H231="USD",IF(OR($I231="",$I231="-"),"",VLOOKUP($G231,為替!$A:$AX,$I231,FALSE))+$J$3,IF(OR($I231="",$I231="-"),"",VLOOKUP($G231,為替!$A:$AX,$I231,FALSE)))</f>
        <v/>
      </c>
      <c r="K231" s="204" t="str">
        <f t="shared" si="20"/>
        <v/>
      </c>
      <c r="L231" s="188" t="str">
        <f t="shared" si="21"/>
        <v/>
      </c>
      <c r="M231" s="203" t="str">
        <f>IF($H231="USD",IF(OR($L231="",$L231="-"),"",VLOOKUP($G231,為替!$A:$AX,$L231,FALSE))+$K$3,IF(OR($L231="",$L231="-"),"",VLOOKUP($G231,為替!$A:$AX,$L231,FALSE)))</f>
        <v/>
      </c>
      <c r="N231" s="204" t="str">
        <f t="shared" si="22"/>
        <v/>
      </c>
      <c r="O231" s="205" t="str">
        <f t="shared" si="18"/>
        <v/>
      </c>
      <c r="P231" s="206" t="str">
        <f t="shared" si="23"/>
        <v/>
      </c>
    </row>
    <row r="232" spans="3:16" x14ac:dyDescent="0.4">
      <c r="C232" s="199"/>
      <c r="D232" s="200"/>
      <c r="E232" s="201"/>
      <c r="F232" s="199"/>
      <c r="H232" s="202"/>
      <c r="I232" s="185" t="str">
        <f t="shared" si="19"/>
        <v/>
      </c>
      <c r="J232" s="203" t="str">
        <f>IF($H232="USD",IF(OR($I232="",$I232="-"),"",VLOOKUP($G232,為替!$A:$AX,$I232,FALSE))+$J$3,IF(OR($I232="",$I232="-"),"",VLOOKUP($G232,為替!$A:$AX,$I232,FALSE)))</f>
        <v/>
      </c>
      <c r="K232" s="204" t="str">
        <f t="shared" si="20"/>
        <v/>
      </c>
      <c r="L232" s="188" t="str">
        <f t="shared" si="21"/>
        <v/>
      </c>
      <c r="M232" s="203" t="str">
        <f>IF($H232="USD",IF(OR($L232="",$L232="-"),"",VLOOKUP($G232,為替!$A:$AX,$L232,FALSE))+$K$3,IF(OR($L232="",$L232="-"),"",VLOOKUP($G232,為替!$A:$AX,$L232,FALSE)))</f>
        <v/>
      </c>
      <c r="N232" s="204" t="str">
        <f t="shared" si="22"/>
        <v/>
      </c>
      <c r="O232" s="205" t="str">
        <f t="shared" si="18"/>
        <v/>
      </c>
      <c r="P232" s="206" t="str">
        <f t="shared" si="23"/>
        <v/>
      </c>
    </row>
    <row r="233" spans="3:16" x14ac:dyDescent="0.4">
      <c r="C233" s="199"/>
      <c r="D233" s="200"/>
      <c r="E233" s="201"/>
      <c r="F233" s="199"/>
      <c r="H233" s="202"/>
      <c r="I233" s="185" t="str">
        <f t="shared" si="19"/>
        <v/>
      </c>
      <c r="J233" s="203" t="str">
        <f>IF($H233="USD",IF(OR($I233="",$I233="-"),"",VLOOKUP($G233,為替!$A:$AX,$I233,FALSE))+$J$3,IF(OR($I233="",$I233="-"),"",VLOOKUP($G233,為替!$A:$AX,$I233,FALSE)))</f>
        <v/>
      </c>
      <c r="K233" s="204" t="str">
        <f t="shared" si="20"/>
        <v/>
      </c>
      <c r="L233" s="188" t="str">
        <f t="shared" si="21"/>
        <v/>
      </c>
      <c r="M233" s="203" t="str">
        <f>IF($H233="USD",IF(OR($L233="",$L233="-"),"",VLOOKUP($G233,為替!$A:$AX,$L233,FALSE))+$K$3,IF(OR($L233="",$L233="-"),"",VLOOKUP($G233,為替!$A:$AX,$L233,FALSE)))</f>
        <v/>
      </c>
      <c r="N233" s="204" t="str">
        <f t="shared" si="22"/>
        <v/>
      </c>
      <c r="O233" s="205" t="str">
        <f t="shared" si="18"/>
        <v/>
      </c>
      <c r="P233" s="206" t="str">
        <f t="shared" si="23"/>
        <v/>
      </c>
    </row>
    <row r="234" spans="3:16" x14ac:dyDescent="0.4">
      <c r="C234" s="199"/>
      <c r="D234" s="200"/>
      <c r="E234" s="201"/>
      <c r="F234" s="199"/>
      <c r="H234" s="202"/>
      <c r="I234" s="185" t="str">
        <f t="shared" si="19"/>
        <v/>
      </c>
      <c r="J234" s="203" t="str">
        <f>IF($H234="USD",IF(OR($I234="",$I234="-"),"",VLOOKUP($G234,為替!$A:$AX,$I234,FALSE))+$J$3,IF(OR($I234="",$I234="-"),"",VLOOKUP($G234,為替!$A:$AX,$I234,FALSE)))</f>
        <v/>
      </c>
      <c r="K234" s="204" t="str">
        <f t="shared" si="20"/>
        <v/>
      </c>
      <c r="L234" s="188" t="str">
        <f t="shared" si="21"/>
        <v/>
      </c>
      <c r="M234" s="203" t="str">
        <f>IF($H234="USD",IF(OR($L234="",$L234="-"),"",VLOOKUP($G234,為替!$A:$AX,$L234,FALSE))+$K$3,IF(OR($L234="",$L234="-"),"",VLOOKUP($G234,為替!$A:$AX,$L234,FALSE)))</f>
        <v/>
      </c>
      <c r="N234" s="204" t="str">
        <f t="shared" si="22"/>
        <v/>
      </c>
      <c r="O234" s="205" t="str">
        <f t="shared" si="18"/>
        <v/>
      </c>
      <c r="P234" s="206" t="str">
        <f t="shared" si="23"/>
        <v/>
      </c>
    </row>
    <row r="235" spans="3:16" x14ac:dyDescent="0.4">
      <c r="C235" s="199"/>
      <c r="D235" s="200"/>
      <c r="E235" s="201"/>
      <c r="F235" s="199"/>
      <c r="H235" s="202"/>
      <c r="I235" s="185" t="str">
        <f t="shared" si="19"/>
        <v/>
      </c>
      <c r="J235" s="203" t="str">
        <f>IF($H235="USD",IF(OR($I235="",$I235="-"),"",VLOOKUP($G235,為替!$A:$AX,$I235,FALSE))+$J$3,IF(OR($I235="",$I235="-"),"",VLOOKUP($G235,為替!$A:$AX,$I235,FALSE)))</f>
        <v/>
      </c>
      <c r="K235" s="204" t="str">
        <f t="shared" si="20"/>
        <v/>
      </c>
      <c r="L235" s="188" t="str">
        <f t="shared" si="21"/>
        <v/>
      </c>
      <c r="M235" s="203" t="str">
        <f>IF($H235="USD",IF(OR($L235="",$L235="-"),"",VLOOKUP($G235,為替!$A:$AX,$L235,FALSE))+$K$3,IF(OR($L235="",$L235="-"),"",VLOOKUP($G235,為替!$A:$AX,$L235,FALSE)))</f>
        <v/>
      </c>
      <c r="N235" s="204" t="str">
        <f t="shared" si="22"/>
        <v/>
      </c>
      <c r="O235" s="205" t="str">
        <f t="shared" si="18"/>
        <v/>
      </c>
      <c r="P235" s="206" t="str">
        <f t="shared" si="23"/>
        <v/>
      </c>
    </row>
    <row r="236" spans="3:16" x14ac:dyDescent="0.4">
      <c r="C236" s="199"/>
      <c r="D236" s="200"/>
      <c r="E236" s="201"/>
      <c r="F236" s="199"/>
      <c r="H236" s="202"/>
      <c r="I236" s="185" t="str">
        <f t="shared" si="19"/>
        <v/>
      </c>
      <c r="J236" s="203" t="str">
        <f>IF($H236="USD",IF(OR($I236="",$I236="-"),"",VLOOKUP($G236,為替!$A:$AX,$I236,FALSE))+$J$3,IF(OR($I236="",$I236="-"),"",VLOOKUP($G236,為替!$A:$AX,$I236,FALSE)))</f>
        <v/>
      </c>
      <c r="K236" s="204" t="str">
        <f t="shared" si="20"/>
        <v/>
      </c>
      <c r="L236" s="188" t="str">
        <f t="shared" si="21"/>
        <v/>
      </c>
      <c r="M236" s="203" t="str">
        <f>IF($H236="USD",IF(OR($L236="",$L236="-"),"",VLOOKUP($G236,為替!$A:$AX,$L236,FALSE))+$K$3,IF(OR($L236="",$L236="-"),"",VLOOKUP($G236,為替!$A:$AX,$L236,FALSE)))</f>
        <v/>
      </c>
      <c r="N236" s="204" t="str">
        <f t="shared" si="22"/>
        <v/>
      </c>
      <c r="O236" s="205" t="str">
        <f t="shared" si="18"/>
        <v/>
      </c>
      <c r="P236" s="206" t="str">
        <f t="shared" si="23"/>
        <v/>
      </c>
    </row>
    <row r="237" spans="3:16" x14ac:dyDescent="0.4">
      <c r="C237" s="199"/>
      <c r="D237" s="200"/>
      <c r="E237" s="201"/>
      <c r="F237" s="199"/>
      <c r="H237" s="202"/>
      <c r="I237" s="185" t="str">
        <f t="shared" si="19"/>
        <v/>
      </c>
      <c r="J237" s="203" t="str">
        <f>IF($H237="USD",IF(OR($I237="",$I237="-"),"",VLOOKUP($G237,為替!$A:$AX,$I237,FALSE))+$J$3,IF(OR($I237="",$I237="-"),"",VLOOKUP($G237,為替!$A:$AX,$I237,FALSE)))</f>
        <v/>
      </c>
      <c r="K237" s="204" t="str">
        <f t="shared" si="20"/>
        <v/>
      </c>
      <c r="L237" s="188" t="str">
        <f t="shared" si="21"/>
        <v/>
      </c>
      <c r="M237" s="203" t="str">
        <f>IF($H237="USD",IF(OR($L237="",$L237="-"),"",VLOOKUP($G237,為替!$A:$AX,$L237,FALSE))+$K$3,IF(OR($L237="",$L237="-"),"",VLOOKUP($G237,為替!$A:$AX,$L237,FALSE)))</f>
        <v/>
      </c>
      <c r="N237" s="204" t="str">
        <f t="shared" si="22"/>
        <v/>
      </c>
      <c r="O237" s="205" t="str">
        <f t="shared" si="18"/>
        <v/>
      </c>
      <c r="P237" s="206" t="str">
        <f t="shared" si="23"/>
        <v/>
      </c>
    </row>
    <row r="238" spans="3:16" x14ac:dyDescent="0.4">
      <c r="C238" s="199"/>
      <c r="D238" s="200"/>
      <c r="E238" s="201"/>
      <c r="F238" s="199"/>
      <c r="H238" s="202"/>
      <c r="I238" s="185" t="str">
        <f t="shared" si="19"/>
        <v/>
      </c>
      <c r="J238" s="203" t="str">
        <f>IF($H238="USD",IF(OR($I238="",$I238="-"),"",VLOOKUP($G238,為替!$A:$AX,$I238,FALSE))+$J$3,IF(OR($I238="",$I238="-"),"",VLOOKUP($G238,為替!$A:$AX,$I238,FALSE)))</f>
        <v/>
      </c>
      <c r="K238" s="204" t="str">
        <f t="shared" si="20"/>
        <v/>
      </c>
      <c r="L238" s="188" t="str">
        <f t="shared" si="21"/>
        <v/>
      </c>
      <c r="M238" s="203" t="str">
        <f>IF($H238="USD",IF(OR($L238="",$L238="-"),"",VLOOKUP($G238,為替!$A:$AX,$L238,FALSE))+$K$3,IF(OR($L238="",$L238="-"),"",VLOOKUP($G238,為替!$A:$AX,$L238,FALSE)))</f>
        <v/>
      </c>
      <c r="N238" s="204" t="str">
        <f t="shared" si="22"/>
        <v/>
      </c>
      <c r="O238" s="205" t="str">
        <f t="shared" si="18"/>
        <v/>
      </c>
      <c r="P238" s="206" t="str">
        <f t="shared" si="23"/>
        <v/>
      </c>
    </row>
    <row r="239" spans="3:16" x14ac:dyDescent="0.4">
      <c r="C239" s="199"/>
      <c r="D239" s="200"/>
      <c r="E239" s="201"/>
      <c r="F239" s="199"/>
      <c r="H239" s="202"/>
      <c r="I239" s="185" t="str">
        <f t="shared" si="19"/>
        <v/>
      </c>
      <c r="J239" s="203" t="str">
        <f>IF($H239="USD",IF(OR($I239="",$I239="-"),"",VLOOKUP($G239,為替!$A:$AX,$I239,FALSE))+$J$3,IF(OR($I239="",$I239="-"),"",VLOOKUP($G239,為替!$A:$AX,$I239,FALSE)))</f>
        <v/>
      </c>
      <c r="K239" s="204" t="str">
        <f t="shared" si="20"/>
        <v/>
      </c>
      <c r="L239" s="188" t="str">
        <f t="shared" si="21"/>
        <v/>
      </c>
      <c r="M239" s="203" t="str">
        <f>IF($H239="USD",IF(OR($L239="",$L239="-"),"",VLOOKUP($G239,為替!$A:$AX,$L239,FALSE))+$K$3,IF(OR($L239="",$L239="-"),"",VLOOKUP($G239,為替!$A:$AX,$L239,FALSE)))</f>
        <v/>
      </c>
      <c r="N239" s="204" t="str">
        <f t="shared" si="22"/>
        <v/>
      </c>
      <c r="O239" s="205" t="str">
        <f t="shared" si="18"/>
        <v/>
      </c>
      <c r="P239" s="206" t="str">
        <f t="shared" si="23"/>
        <v/>
      </c>
    </row>
    <row r="240" spans="3:16" x14ac:dyDescent="0.4">
      <c r="C240" s="199"/>
      <c r="D240" s="200"/>
      <c r="E240" s="201"/>
      <c r="F240" s="199"/>
      <c r="H240" s="202"/>
      <c r="I240" s="185" t="str">
        <f t="shared" si="19"/>
        <v/>
      </c>
      <c r="J240" s="203" t="str">
        <f>IF($H240="USD",IF(OR($I240="",$I240="-"),"",VLOOKUP($G240,為替!$A:$AX,$I240,FALSE))+$J$3,IF(OR($I240="",$I240="-"),"",VLOOKUP($G240,為替!$A:$AX,$I240,FALSE)))</f>
        <v/>
      </c>
      <c r="K240" s="204" t="str">
        <f t="shared" si="20"/>
        <v/>
      </c>
      <c r="L240" s="188" t="str">
        <f t="shared" si="21"/>
        <v/>
      </c>
      <c r="M240" s="203" t="str">
        <f>IF($H240="USD",IF(OR($L240="",$L240="-"),"",VLOOKUP($G240,為替!$A:$AX,$L240,FALSE))+$K$3,IF(OR($L240="",$L240="-"),"",VLOOKUP($G240,為替!$A:$AX,$L240,FALSE)))</f>
        <v/>
      </c>
      <c r="N240" s="204" t="str">
        <f t="shared" si="22"/>
        <v/>
      </c>
      <c r="O240" s="205" t="str">
        <f t="shared" si="18"/>
        <v/>
      </c>
      <c r="P240" s="206" t="str">
        <f t="shared" si="23"/>
        <v/>
      </c>
    </row>
    <row r="241" spans="3:16" x14ac:dyDescent="0.4">
      <c r="C241" s="199"/>
      <c r="D241" s="200"/>
      <c r="E241" s="201"/>
      <c r="F241" s="199"/>
      <c r="H241" s="202"/>
      <c r="I241" s="185" t="str">
        <f t="shared" si="19"/>
        <v/>
      </c>
      <c r="J241" s="203" t="str">
        <f>IF($H241="USD",IF(OR($I241="",$I241="-"),"",VLOOKUP($G241,為替!$A:$AX,$I241,FALSE))+$J$3,IF(OR($I241="",$I241="-"),"",VLOOKUP($G241,為替!$A:$AX,$I241,FALSE)))</f>
        <v/>
      </c>
      <c r="K241" s="204" t="str">
        <f t="shared" si="20"/>
        <v/>
      </c>
      <c r="L241" s="188" t="str">
        <f t="shared" si="21"/>
        <v/>
      </c>
      <c r="M241" s="203" t="str">
        <f>IF($H241="USD",IF(OR($L241="",$L241="-"),"",VLOOKUP($G241,為替!$A:$AX,$L241,FALSE))+$K$3,IF(OR($L241="",$L241="-"),"",VLOOKUP($G241,為替!$A:$AX,$L241,FALSE)))</f>
        <v/>
      </c>
      <c r="N241" s="204" t="str">
        <f t="shared" si="22"/>
        <v/>
      </c>
      <c r="O241" s="205" t="str">
        <f t="shared" si="18"/>
        <v/>
      </c>
      <c r="P241" s="206" t="str">
        <f t="shared" si="23"/>
        <v/>
      </c>
    </row>
    <row r="242" spans="3:16" x14ac:dyDescent="0.4">
      <c r="C242" s="199"/>
      <c r="D242" s="200"/>
      <c r="E242" s="201"/>
      <c r="F242" s="199"/>
      <c r="H242" s="202"/>
      <c r="I242" s="185" t="str">
        <f t="shared" si="19"/>
        <v/>
      </c>
      <c r="J242" s="203" t="str">
        <f>IF($H242="USD",IF(OR($I242="",$I242="-"),"",VLOOKUP($G242,為替!$A:$AX,$I242,FALSE))+$J$3,IF(OR($I242="",$I242="-"),"",VLOOKUP($G242,為替!$A:$AX,$I242,FALSE)))</f>
        <v/>
      </c>
      <c r="K242" s="204" t="str">
        <f t="shared" si="20"/>
        <v/>
      </c>
      <c r="L242" s="188" t="str">
        <f t="shared" si="21"/>
        <v/>
      </c>
      <c r="M242" s="203" t="str">
        <f>IF($H242="USD",IF(OR($L242="",$L242="-"),"",VLOOKUP($G242,為替!$A:$AX,$L242,FALSE))+$K$3,IF(OR($L242="",$L242="-"),"",VLOOKUP($G242,為替!$A:$AX,$L242,FALSE)))</f>
        <v/>
      </c>
      <c r="N242" s="204" t="str">
        <f t="shared" si="22"/>
        <v/>
      </c>
      <c r="O242" s="205" t="str">
        <f t="shared" si="18"/>
        <v/>
      </c>
      <c r="P242" s="206" t="str">
        <f t="shared" si="23"/>
        <v/>
      </c>
    </row>
    <row r="243" spans="3:16" x14ac:dyDescent="0.4">
      <c r="C243" s="199"/>
      <c r="D243" s="200"/>
      <c r="E243" s="201"/>
      <c r="F243" s="199"/>
      <c r="H243" s="202"/>
      <c r="I243" s="185" t="str">
        <f t="shared" si="19"/>
        <v/>
      </c>
      <c r="J243" s="203" t="str">
        <f>IF($H243="USD",IF(OR($I243="",$I243="-"),"",VLOOKUP($G243,為替!$A:$AX,$I243,FALSE))+$J$3,IF(OR($I243="",$I243="-"),"",VLOOKUP($G243,為替!$A:$AX,$I243,FALSE)))</f>
        <v/>
      </c>
      <c r="K243" s="204" t="str">
        <f t="shared" si="20"/>
        <v/>
      </c>
      <c r="L243" s="188" t="str">
        <f t="shared" si="21"/>
        <v/>
      </c>
      <c r="M243" s="203" t="str">
        <f>IF($H243="USD",IF(OR($L243="",$L243="-"),"",VLOOKUP($G243,為替!$A:$AX,$L243,FALSE))+$K$3,IF(OR($L243="",$L243="-"),"",VLOOKUP($G243,為替!$A:$AX,$L243,FALSE)))</f>
        <v/>
      </c>
      <c r="N243" s="204" t="str">
        <f t="shared" si="22"/>
        <v/>
      </c>
      <c r="O243" s="205" t="str">
        <f t="shared" si="18"/>
        <v/>
      </c>
      <c r="P243" s="206" t="str">
        <f t="shared" si="23"/>
        <v/>
      </c>
    </row>
    <row r="244" spans="3:16" x14ac:dyDescent="0.4">
      <c r="C244" s="199"/>
      <c r="D244" s="200"/>
      <c r="E244" s="201"/>
      <c r="F244" s="199"/>
      <c r="H244" s="202"/>
      <c r="I244" s="185" t="str">
        <f t="shared" si="19"/>
        <v/>
      </c>
      <c r="J244" s="203" t="str">
        <f>IF($H244="USD",IF(OR($I244="",$I244="-"),"",VLOOKUP($G244,為替!$A:$AX,$I244,FALSE))+$J$3,IF(OR($I244="",$I244="-"),"",VLOOKUP($G244,為替!$A:$AX,$I244,FALSE)))</f>
        <v/>
      </c>
      <c r="K244" s="204" t="str">
        <f t="shared" si="20"/>
        <v/>
      </c>
      <c r="L244" s="188" t="str">
        <f t="shared" si="21"/>
        <v/>
      </c>
      <c r="M244" s="203" t="str">
        <f>IF($H244="USD",IF(OR($L244="",$L244="-"),"",VLOOKUP($G244,為替!$A:$AX,$L244,FALSE))+$K$3,IF(OR($L244="",$L244="-"),"",VLOOKUP($G244,為替!$A:$AX,$L244,FALSE)))</f>
        <v/>
      </c>
      <c r="N244" s="204" t="str">
        <f t="shared" si="22"/>
        <v/>
      </c>
      <c r="O244" s="205" t="str">
        <f t="shared" si="18"/>
        <v/>
      </c>
      <c r="P244" s="206" t="str">
        <f t="shared" si="23"/>
        <v/>
      </c>
    </row>
    <row r="245" spans="3:16" x14ac:dyDescent="0.4">
      <c r="C245" s="199"/>
      <c r="D245" s="200"/>
      <c r="E245" s="201"/>
      <c r="F245" s="199"/>
      <c r="H245" s="202"/>
      <c r="I245" s="185" t="str">
        <f t="shared" si="19"/>
        <v/>
      </c>
      <c r="J245" s="203" t="str">
        <f>IF($H245="USD",IF(OR($I245="",$I245="-"),"",VLOOKUP($G245,為替!$A:$AX,$I245,FALSE))+$J$3,IF(OR($I245="",$I245="-"),"",VLOOKUP($G245,為替!$A:$AX,$I245,FALSE)))</f>
        <v/>
      </c>
      <c r="K245" s="204" t="str">
        <f t="shared" si="20"/>
        <v/>
      </c>
      <c r="L245" s="188" t="str">
        <f t="shared" si="21"/>
        <v/>
      </c>
      <c r="M245" s="203" t="str">
        <f>IF($H245="USD",IF(OR($L245="",$L245="-"),"",VLOOKUP($G245,為替!$A:$AX,$L245,FALSE))+$K$3,IF(OR($L245="",$L245="-"),"",VLOOKUP($G245,為替!$A:$AX,$L245,FALSE)))</f>
        <v/>
      </c>
      <c r="N245" s="204" t="str">
        <f t="shared" si="22"/>
        <v/>
      </c>
      <c r="O245" s="205" t="str">
        <f t="shared" si="18"/>
        <v/>
      </c>
      <c r="P245" s="206" t="str">
        <f t="shared" si="23"/>
        <v/>
      </c>
    </row>
    <row r="246" spans="3:16" x14ac:dyDescent="0.4">
      <c r="C246" s="199"/>
      <c r="D246" s="200"/>
      <c r="E246" s="201"/>
      <c r="F246" s="199"/>
      <c r="H246" s="202"/>
      <c r="I246" s="185" t="str">
        <f t="shared" si="19"/>
        <v/>
      </c>
      <c r="J246" s="203" t="str">
        <f>IF($H246="USD",IF(OR($I246="",$I246="-"),"",VLOOKUP($G246,為替!$A:$AX,$I246,FALSE))+$J$3,IF(OR($I246="",$I246="-"),"",VLOOKUP($G246,為替!$A:$AX,$I246,FALSE)))</f>
        <v/>
      </c>
      <c r="K246" s="204" t="str">
        <f t="shared" si="20"/>
        <v/>
      </c>
      <c r="L246" s="188" t="str">
        <f t="shared" si="21"/>
        <v/>
      </c>
      <c r="M246" s="203" t="str">
        <f>IF($H246="USD",IF(OR($L246="",$L246="-"),"",VLOOKUP($G246,為替!$A:$AX,$L246,FALSE))+$K$3,IF(OR($L246="",$L246="-"),"",VLOOKUP($G246,為替!$A:$AX,$L246,FALSE)))</f>
        <v/>
      </c>
      <c r="N246" s="204" t="str">
        <f t="shared" si="22"/>
        <v/>
      </c>
      <c r="O246" s="205" t="str">
        <f t="shared" si="18"/>
        <v/>
      </c>
      <c r="P246" s="206" t="str">
        <f t="shared" si="23"/>
        <v/>
      </c>
    </row>
    <row r="247" spans="3:16" x14ac:dyDescent="0.4">
      <c r="C247" s="199"/>
      <c r="D247" s="200"/>
      <c r="E247" s="201"/>
      <c r="F247" s="199"/>
      <c r="H247" s="202"/>
      <c r="I247" s="185" t="str">
        <f t="shared" si="19"/>
        <v/>
      </c>
      <c r="J247" s="203" t="str">
        <f>IF($H247="USD",IF(OR($I247="",$I247="-"),"",VLOOKUP($G247,為替!$A:$AX,$I247,FALSE))+$J$3,IF(OR($I247="",$I247="-"),"",VLOOKUP($G247,為替!$A:$AX,$I247,FALSE)))</f>
        <v/>
      </c>
      <c r="K247" s="204" t="str">
        <f t="shared" si="20"/>
        <v/>
      </c>
      <c r="L247" s="188" t="str">
        <f t="shared" si="21"/>
        <v/>
      </c>
      <c r="M247" s="203" t="str">
        <f>IF($H247="USD",IF(OR($L247="",$L247="-"),"",VLOOKUP($G247,為替!$A:$AX,$L247,FALSE))+$K$3,IF(OR($L247="",$L247="-"),"",VLOOKUP($G247,為替!$A:$AX,$L247,FALSE)))</f>
        <v/>
      </c>
      <c r="N247" s="204" t="str">
        <f t="shared" si="22"/>
        <v/>
      </c>
      <c r="O247" s="205" t="str">
        <f t="shared" si="18"/>
        <v/>
      </c>
      <c r="P247" s="206" t="str">
        <f t="shared" si="23"/>
        <v/>
      </c>
    </row>
    <row r="248" spans="3:16" x14ac:dyDescent="0.4">
      <c r="C248" s="199"/>
      <c r="D248" s="200"/>
      <c r="E248" s="201"/>
      <c r="F248" s="199"/>
      <c r="H248" s="202"/>
      <c r="I248" s="185" t="str">
        <f t="shared" si="19"/>
        <v/>
      </c>
      <c r="J248" s="203" t="str">
        <f>IF($H248="USD",IF(OR($I248="",$I248="-"),"",VLOOKUP($G248,為替!$A:$AX,$I248,FALSE))+$J$3,IF(OR($I248="",$I248="-"),"",VLOOKUP($G248,為替!$A:$AX,$I248,FALSE)))</f>
        <v/>
      </c>
      <c r="K248" s="204" t="str">
        <f t="shared" si="20"/>
        <v/>
      </c>
      <c r="L248" s="188" t="str">
        <f t="shared" si="21"/>
        <v/>
      </c>
      <c r="M248" s="203" t="str">
        <f>IF($H248="USD",IF(OR($L248="",$L248="-"),"",VLOOKUP($G248,為替!$A:$AX,$L248,FALSE))+$K$3,IF(OR($L248="",$L248="-"),"",VLOOKUP($G248,為替!$A:$AX,$L248,FALSE)))</f>
        <v/>
      </c>
      <c r="N248" s="204" t="str">
        <f t="shared" si="22"/>
        <v/>
      </c>
      <c r="O248" s="205" t="str">
        <f t="shared" si="18"/>
        <v/>
      </c>
      <c r="P248" s="206" t="str">
        <f t="shared" si="23"/>
        <v/>
      </c>
    </row>
    <row r="249" spans="3:16" x14ac:dyDescent="0.4">
      <c r="C249" s="199"/>
      <c r="D249" s="200"/>
      <c r="E249" s="201"/>
      <c r="F249" s="199"/>
      <c r="H249" s="202"/>
      <c r="I249" s="185" t="str">
        <f t="shared" si="19"/>
        <v/>
      </c>
      <c r="J249" s="203" t="str">
        <f>IF($H249="USD",IF(OR($I249="",$I249="-"),"",VLOOKUP($G249,為替!$A:$AX,$I249,FALSE))+$J$3,IF(OR($I249="",$I249="-"),"",VLOOKUP($G249,為替!$A:$AX,$I249,FALSE)))</f>
        <v/>
      </c>
      <c r="K249" s="204" t="str">
        <f t="shared" si="20"/>
        <v/>
      </c>
      <c r="L249" s="188" t="str">
        <f t="shared" si="21"/>
        <v/>
      </c>
      <c r="M249" s="203" t="str">
        <f>IF($H249="USD",IF(OR($L249="",$L249="-"),"",VLOOKUP($G249,為替!$A:$AX,$L249,FALSE))+$K$3,IF(OR($L249="",$L249="-"),"",VLOOKUP($G249,為替!$A:$AX,$L249,FALSE)))</f>
        <v/>
      </c>
      <c r="N249" s="204" t="str">
        <f t="shared" si="22"/>
        <v/>
      </c>
      <c r="O249" s="205" t="str">
        <f t="shared" si="18"/>
        <v/>
      </c>
      <c r="P249" s="206" t="str">
        <f t="shared" si="23"/>
        <v/>
      </c>
    </row>
    <row r="250" spans="3:16" x14ac:dyDescent="0.4">
      <c r="C250" s="199"/>
      <c r="D250" s="200"/>
      <c r="E250" s="201"/>
      <c r="F250" s="199"/>
      <c r="H250" s="202"/>
      <c r="I250" s="185" t="str">
        <f t="shared" si="19"/>
        <v/>
      </c>
      <c r="J250" s="203" t="str">
        <f>IF($H250="USD",IF(OR($I250="",$I250="-"),"",VLOOKUP($G250,為替!$A:$AX,$I250,FALSE))+$J$3,IF(OR($I250="",$I250="-"),"",VLOOKUP($G250,為替!$A:$AX,$I250,FALSE)))</f>
        <v/>
      </c>
      <c r="K250" s="204" t="str">
        <f t="shared" si="20"/>
        <v/>
      </c>
      <c r="L250" s="188" t="str">
        <f t="shared" si="21"/>
        <v/>
      </c>
      <c r="M250" s="203" t="str">
        <f>IF($H250="USD",IF(OR($L250="",$L250="-"),"",VLOOKUP($G250,為替!$A:$AX,$L250,FALSE))+$K$3,IF(OR($L250="",$L250="-"),"",VLOOKUP($G250,為替!$A:$AX,$L250,FALSE)))</f>
        <v/>
      </c>
      <c r="N250" s="204" t="str">
        <f t="shared" si="22"/>
        <v/>
      </c>
      <c r="O250" s="205" t="str">
        <f t="shared" si="18"/>
        <v/>
      </c>
      <c r="P250" s="206" t="str">
        <f t="shared" si="23"/>
        <v/>
      </c>
    </row>
    <row r="251" spans="3:16" x14ac:dyDescent="0.4">
      <c r="C251" s="199"/>
      <c r="D251" s="200"/>
      <c r="E251" s="201"/>
      <c r="F251" s="199"/>
      <c r="H251" s="202"/>
      <c r="I251" s="185" t="str">
        <f t="shared" si="19"/>
        <v/>
      </c>
      <c r="J251" s="203" t="str">
        <f>IF($H251="USD",IF(OR($I251="",$I251="-"),"",VLOOKUP($G251,為替!$A:$AX,$I251,FALSE))+$J$3,IF(OR($I251="",$I251="-"),"",VLOOKUP($G251,為替!$A:$AX,$I251,FALSE)))</f>
        <v/>
      </c>
      <c r="K251" s="204" t="str">
        <f t="shared" si="20"/>
        <v/>
      </c>
      <c r="L251" s="188" t="str">
        <f t="shared" si="21"/>
        <v/>
      </c>
      <c r="M251" s="203" t="str">
        <f>IF($H251="USD",IF(OR($L251="",$L251="-"),"",VLOOKUP($G251,為替!$A:$AX,$L251,FALSE))+$K$3,IF(OR($L251="",$L251="-"),"",VLOOKUP($G251,為替!$A:$AX,$L251,FALSE)))</f>
        <v/>
      </c>
      <c r="N251" s="204" t="str">
        <f t="shared" si="22"/>
        <v/>
      </c>
      <c r="O251" s="205" t="str">
        <f t="shared" si="18"/>
        <v/>
      </c>
      <c r="P251" s="206" t="str">
        <f t="shared" si="23"/>
        <v/>
      </c>
    </row>
    <row r="252" spans="3:16" x14ac:dyDescent="0.4">
      <c r="C252" s="199"/>
      <c r="D252" s="200"/>
      <c r="E252" s="201"/>
      <c r="F252" s="199"/>
      <c r="H252" s="202"/>
      <c r="I252" s="185" t="str">
        <f t="shared" si="19"/>
        <v/>
      </c>
      <c r="J252" s="203" t="str">
        <f>IF($H252="USD",IF(OR($I252="",$I252="-"),"",VLOOKUP($G252,為替!$A:$AX,$I252,FALSE))+$J$3,IF(OR($I252="",$I252="-"),"",VLOOKUP($G252,為替!$A:$AX,$I252,FALSE)))</f>
        <v/>
      </c>
      <c r="K252" s="204" t="str">
        <f t="shared" si="20"/>
        <v/>
      </c>
      <c r="L252" s="188" t="str">
        <f t="shared" si="21"/>
        <v/>
      </c>
      <c r="M252" s="203" t="str">
        <f>IF($H252="USD",IF(OR($L252="",$L252="-"),"",VLOOKUP($G252,為替!$A:$AX,$L252,FALSE))+$K$3,IF(OR($L252="",$L252="-"),"",VLOOKUP($G252,為替!$A:$AX,$L252,FALSE)))</f>
        <v/>
      </c>
      <c r="N252" s="204" t="str">
        <f t="shared" si="22"/>
        <v/>
      </c>
      <c r="O252" s="205" t="str">
        <f t="shared" si="18"/>
        <v/>
      </c>
      <c r="P252" s="206" t="str">
        <f t="shared" si="23"/>
        <v/>
      </c>
    </row>
    <row r="253" spans="3:16" x14ac:dyDescent="0.4">
      <c r="C253" s="199"/>
      <c r="D253" s="200"/>
      <c r="E253" s="201"/>
      <c r="F253" s="199"/>
      <c r="H253" s="202"/>
      <c r="I253" s="185" t="str">
        <f t="shared" si="19"/>
        <v/>
      </c>
      <c r="J253" s="203" t="str">
        <f>IF($H253="USD",IF(OR($I253="",$I253="-"),"",VLOOKUP($G253,為替!$A:$AX,$I253,FALSE))+$J$3,IF(OR($I253="",$I253="-"),"",VLOOKUP($G253,為替!$A:$AX,$I253,FALSE)))</f>
        <v/>
      </c>
      <c r="K253" s="204" t="str">
        <f t="shared" si="20"/>
        <v/>
      </c>
      <c r="L253" s="188" t="str">
        <f t="shared" si="21"/>
        <v/>
      </c>
      <c r="M253" s="203" t="str">
        <f>IF($H253="USD",IF(OR($L253="",$L253="-"),"",VLOOKUP($G253,為替!$A:$AX,$L253,FALSE))+$K$3,IF(OR($L253="",$L253="-"),"",VLOOKUP($G253,為替!$A:$AX,$L253,FALSE)))</f>
        <v/>
      </c>
      <c r="N253" s="204" t="str">
        <f t="shared" si="22"/>
        <v/>
      </c>
      <c r="O253" s="205" t="str">
        <f t="shared" si="18"/>
        <v/>
      </c>
      <c r="P253" s="206" t="str">
        <f t="shared" si="23"/>
        <v/>
      </c>
    </row>
    <row r="254" spans="3:16" x14ac:dyDescent="0.4">
      <c r="C254" s="199"/>
      <c r="D254" s="200"/>
      <c r="E254" s="201"/>
      <c r="F254" s="199"/>
      <c r="H254" s="202"/>
      <c r="I254" s="185" t="str">
        <f t="shared" si="19"/>
        <v/>
      </c>
      <c r="J254" s="203" t="str">
        <f>IF($H254="USD",IF(OR($I254="",$I254="-"),"",VLOOKUP($G254,為替!$A:$AX,$I254,FALSE))+$J$3,IF(OR($I254="",$I254="-"),"",VLOOKUP($G254,為替!$A:$AX,$I254,FALSE)))</f>
        <v/>
      </c>
      <c r="K254" s="204" t="str">
        <f t="shared" si="20"/>
        <v/>
      </c>
      <c r="L254" s="188" t="str">
        <f t="shared" si="21"/>
        <v/>
      </c>
      <c r="M254" s="203" t="str">
        <f>IF($H254="USD",IF(OR($L254="",$L254="-"),"",VLOOKUP($G254,為替!$A:$AX,$L254,FALSE))+$K$3,IF(OR($L254="",$L254="-"),"",VLOOKUP($G254,為替!$A:$AX,$L254,FALSE)))</f>
        <v/>
      </c>
      <c r="N254" s="204" t="str">
        <f t="shared" si="22"/>
        <v/>
      </c>
      <c r="O254" s="205" t="str">
        <f t="shared" si="18"/>
        <v/>
      </c>
      <c r="P254" s="206" t="str">
        <f t="shared" si="23"/>
        <v/>
      </c>
    </row>
    <row r="255" spans="3:16" x14ac:dyDescent="0.4">
      <c r="C255" s="199"/>
      <c r="D255" s="200"/>
      <c r="E255" s="201"/>
      <c r="F255" s="199"/>
      <c r="H255" s="202"/>
      <c r="I255" s="185" t="str">
        <f t="shared" si="19"/>
        <v/>
      </c>
      <c r="J255" s="203" t="str">
        <f>IF($H255="USD",IF(OR($I255="",$I255="-"),"",VLOOKUP($G255,為替!$A:$AX,$I255,FALSE))+$J$3,IF(OR($I255="",$I255="-"),"",VLOOKUP($G255,為替!$A:$AX,$I255,FALSE)))</f>
        <v/>
      </c>
      <c r="K255" s="204" t="str">
        <f t="shared" si="20"/>
        <v/>
      </c>
      <c r="L255" s="188" t="str">
        <f t="shared" si="21"/>
        <v/>
      </c>
      <c r="M255" s="203" t="str">
        <f>IF($H255="USD",IF(OR($L255="",$L255="-"),"",VLOOKUP($G255,為替!$A:$AX,$L255,FALSE))+$K$3,IF(OR($L255="",$L255="-"),"",VLOOKUP($G255,為替!$A:$AX,$L255,FALSE)))</f>
        <v/>
      </c>
      <c r="N255" s="204" t="str">
        <f t="shared" si="22"/>
        <v/>
      </c>
      <c r="O255" s="205" t="str">
        <f t="shared" si="18"/>
        <v/>
      </c>
      <c r="P255" s="206" t="str">
        <f t="shared" si="23"/>
        <v/>
      </c>
    </row>
    <row r="256" spans="3:16" x14ac:dyDescent="0.4">
      <c r="C256" s="199"/>
      <c r="D256" s="200"/>
      <c r="E256" s="201"/>
      <c r="F256" s="199"/>
      <c r="H256" s="202"/>
      <c r="I256" s="185" t="str">
        <f t="shared" si="19"/>
        <v/>
      </c>
      <c r="J256" s="203" t="str">
        <f>IF($H256="USD",IF(OR($I256="",$I256="-"),"",VLOOKUP($G256,為替!$A:$AX,$I256,FALSE))+$J$3,IF(OR($I256="",$I256="-"),"",VLOOKUP($G256,為替!$A:$AX,$I256,FALSE)))</f>
        <v/>
      </c>
      <c r="K256" s="204" t="str">
        <f t="shared" si="20"/>
        <v/>
      </c>
      <c r="L256" s="188" t="str">
        <f t="shared" si="21"/>
        <v/>
      </c>
      <c r="M256" s="203" t="str">
        <f>IF($H256="USD",IF(OR($L256="",$L256="-"),"",VLOOKUP($G256,為替!$A:$AX,$L256,FALSE))+$K$3,IF(OR($L256="",$L256="-"),"",VLOOKUP($G256,為替!$A:$AX,$L256,FALSE)))</f>
        <v/>
      </c>
      <c r="N256" s="204" t="str">
        <f t="shared" si="22"/>
        <v/>
      </c>
      <c r="O256" s="205" t="str">
        <f t="shared" si="18"/>
        <v/>
      </c>
      <c r="P256" s="206" t="str">
        <f t="shared" si="23"/>
        <v/>
      </c>
    </row>
    <row r="257" spans="3:16" x14ac:dyDescent="0.4">
      <c r="C257" s="199"/>
      <c r="D257" s="200"/>
      <c r="E257" s="201"/>
      <c r="F257" s="199"/>
      <c r="H257" s="202"/>
      <c r="I257" s="185" t="str">
        <f t="shared" si="19"/>
        <v/>
      </c>
      <c r="J257" s="203" t="str">
        <f>IF($H257="USD",IF(OR($I257="",$I257="-"),"",VLOOKUP($G257,為替!$A:$AX,$I257,FALSE))+$J$3,IF(OR($I257="",$I257="-"),"",VLOOKUP($G257,為替!$A:$AX,$I257,FALSE)))</f>
        <v/>
      </c>
      <c r="K257" s="204" t="str">
        <f t="shared" si="20"/>
        <v/>
      </c>
      <c r="L257" s="188" t="str">
        <f t="shared" si="21"/>
        <v/>
      </c>
      <c r="M257" s="203" t="str">
        <f>IF($H257="USD",IF(OR($L257="",$L257="-"),"",VLOOKUP($G257,為替!$A:$AX,$L257,FALSE))+$K$3,IF(OR($L257="",$L257="-"),"",VLOOKUP($G257,為替!$A:$AX,$L257,FALSE)))</f>
        <v/>
      </c>
      <c r="N257" s="204" t="str">
        <f t="shared" si="22"/>
        <v/>
      </c>
      <c r="O257" s="205" t="str">
        <f t="shared" si="18"/>
        <v/>
      </c>
      <c r="P257" s="206" t="str">
        <f t="shared" si="23"/>
        <v/>
      </c>
    </row>
    <row r="258" spans="3:16" x14ac:dyDescent="0.4">
      <c r="C258" s="199"/>
      <c r="D258" s="200"/>
      <c r="E258" s="201"/>
      <c r="F258" s="199"/>
      <c r="H258" s="202"/>
      <c r="I258" s="185" t="str">
        <f t="shared" si="19"/>
        <v/>
      </c>
      <c r="J258" s="203" t="str">
        <f>IF($H258="USD",IF(OR($I258="",$I258="-"),"",VLOOKUP($G258,為替!$A:$AX,$I258,FALSE))+$J$3,IF(OR($I258="",$I258="-"),"",VLOOKUP($G258,為替!$A:$AX,$I258,FALSE)))</f>
        <v/>
      </c>
      <c r="K258" s="204" t="str">
        <f t="shared" si="20"/>
        <v/>
      </c>
      <c r="L258" s="188" t="str">
        <f t="shared" si="21"/>
        <v/>
      </c>
      <c r="M258" s="203" t="str">
        <f>IF($H258="USD",IF(OR($L258="",$L258="-"),"",VLOOKUP($G258,為替!$A:$AX,$L258,FALSE))+$K$3,IF(OR($L258="",$L258="-"),"",VLOOKUP($G258,為替!$A:$AX,$L258,FALSE)))</f>
        <v/>
      </c>
      <c r="N258" s="204" t="str">
        <f t="shared" si="22"/>
        <v/>
      </c>
      <c r="O258" s="205" t="str">
        <f t="shared" si="18"/>
        <v/>
      </c>
      <c r="P258" s="206" t="str">
        <f t="shared" si="23"/>
        <v/>
      </c>
    </row>
    <row r="259" spans="3:16" x14ac:dyDescent="0.4">
      <c r="C259" s="199"/>
      <c r="D259" s="200"/>
      <c r="E259" s="201"/>
      <c r="F259" s="199"/>
      <c r="H259" s="202"/>
      <c r="I259" s="185" t="str">
        <f t="shared" si="19"/>
        <v/>
      </c>
      <c r="J259" s="203" t="str">
        <f>IF($H259="USD",IF(OR($I259="",$I259="-"),"",VLOOKUP($G259,為替!$A:$AX,$I259,FALSE))+$J$3,IF(OR($I259="",$I259="-"),"",VLOOKUP($G259,為替!$A:$AX,$I259,FALSE)))</f>
        <v/>
      </c>
      <c r="K259" s="204" t="str">
        <f t="shared" si="20"/>
        <v/>
      </c>
      <c r="L259" s="188" t="str">
        <f t="shared" si="21"/>
        <v/>
      </c>
      <c r="M259" s="203" t="str">
        <f>IF($H259="USD",IF(OR($L259="",$L259="-"),"",VLOOKUP($G259,為替!$A:$AX,$L259,FALSE))+$K$3,IF(OR($L259="",$L259="-"),"",VLOOKUP($G259,為替!$A:$AX,$L259,FALSE)))</f>
        <v/>
      </c>
      <c r="N259" s="204" t="str">
        <f t="shared" si="22"/>
        <v/>
      </c>
      <c r="O259" s="205" t="str">
        <f t="shared" si="18"/>
        <v/>
      </c>
      <c r="P259" s="206" t="str">
        <f t="shared" si="23"/>
        <v/>
      </c>
    </row>
    <row r="260" spans="3:16" x14ac:dyDescent="0.4">
      <c r="C260" s="199"/>
      <c r="D260" s="200"/>
      <c r="E260" s="201"/>
      <c r="F260" s="199"/>
      <c r="H260" s="202"/>
      <c r="I260" s="185" t="str">
        <f t="shared" si="19"/>
        <v/>
      </c>
      <c r="J260" s="203" t="str">
        <f>IF($H260="USD",IF(OR($I260="",$I260="-"),"",VLOOKUP($G260,為替!$A:$AX,$I260,FALSE))+$J$3,IF(OR($I260="",$I260="-"),"",VLOOKUP($G260,為替!$A:$AX,$I260,FALSE)))</f>
        <v/>
      </c>
      <c r="K260" s="204" t="str">
        <f t="shared" si="20"/>
        <v/>
      </c>
      <c r="L260" s="188" t="str">
        <f t="shared" si="21"/>
        <v/>
      </c>
      <c r="M260" s="203" t="str">
        <f>IF($H260="USD",IF(OR($L260="",$L260="-"),"",VLOOKUP($G260,為替!$A:$AX,$L260,FALSE))+$K$3,IF(OR($L260="",$L260="-"),"",VLOOKUP($G260,為替!$A:$AX,$L260,FALSE)))</f>
        <v/>
      </c>
      <c r="N260" s="204" t="str">
        <f t="shared" si="22"/>
        <v/>
      </c>
      <c r="O260" s="205" t="str">
        <f t="shared" si="18"/>
        <v/>
      </c>
      <c r="P260" s="206" t="str">
        <f t="shared" si="23"/>
        <v/>
      </c>
    </row>
    <row r="261" spans="3:16" x14ac:dyDescent="0.4">
      <c r="C261" s="199"/>
      <c r="D261" s="200"/>
      <c r="E261" s="201"/>
      <c r="F261" s="199"/>
      <c r="H261" s="202"/>
      <c r="I261" s="185" t="str">
        <f t="shared" si="19"/>
        <v/>
      </c>
      <c r="J261" s="203" t="str">
        <f>IF($H261="USD",IF(OR($I261="",$I261="-"),"",VLOOKUP($G261,為替!$A:$AX,$I261,FALSE))+$J$3,IF(OR($I261="",$I261="-"),"",VLOOKUP($G261,為替!$A:$AX,$I261,FALSE)))</f>
        <v/>
      </c>
      <c r="K261" s="204" t="str">
        <f t="shared" si="20"/>
        <v/>
      </c>
      <c r="L261" s="188" t="str">
        <f t="shared" si="21"/>
        <v/>
      </c>
      <c r="M261" s="203" t="str">
        <f>IF($H261="USD",IF(OR($L261="",$L261="-"),"",VLOOKUP($G261,為替!$A:$AX,$L261,FALSE))+$K$3,IF(OR($L261="",$L261="-"),"",VLOOKUP($G261,為替!$A:$AX,$L261,FALSE)))</f>
        <v/>
      </c>
      <c r="N261" s="204" t="str">
        <f t="shared" si="22"/>
        <v/>
      </c>
      <c r="O261" s="205" t="str">
        <f t="shared" si="18"/>
        <v/>
      </c>
      <c r="P261" s="206" t="str">
        <f t="shared" si="23"/>
        <v/>
      </c>
    </row>
    <row r="262" spans="3:16" x14ac:dyDescent="0.4">
      <c r="C262" s="199"/>
      <c r="D262" s="200"/>
      <c r="E262" s="201"/>
      <c r="F262" s="199"/>
      <c r="H262" s="202"/>
      <c r="I262" s="185" t="str">
        <f t="shared" si="19"/>
        <v/>
      </c>
      <c r="J262" s="203" t="str">
        <f>IF($H262="USD",IF(OR($I262="",$I262="-"),"",VLOOKUP($G262,為替!$A:$AX,$I262,FALSE))+$J$3,IF(OR($I262="",$I262="-"),"",VLOOKUP($G262,為替!$A:$AX,$I262,FALSE)))</f>
        <v/>
      </c>
      <c r="K262" s="204" t="str">
        <f t="shared" si="20"/>
        <v/>
      </c>
      <c r="L262" s="188" t="str">
        <f t="shared" si="21"/>
        <v/>
      </c>
      <c r="M262" s="203" t="str">
        <f>IF($H262="USD",IF(OR($L262="",$L262="-"),"",VLOOKUP($G262,為替!$A:$AX,$L262,FALSE))+$K$3,IF(OR($L262="",$L262="-"),"",VLOOKUP($G262,為替!$A:$AX,$L262,FALSE)))</f>
        <v/>
      </c>
      <c r="N262" s="204" t="str">
        <f t="shared" si="22"/>
        <v/>
      </c>
      <c r="O262" s="205" t="str">
        <f t="shared" ref="O262:O325" si="24">IF(OR(K262="",N262=""),"",K262-N262)</f>
        <v/>
      </c>
      <c r="P262" s="206" t="str">
        <f t="shared" si="23"/>
        <v/>
      </c>
    </row>
    <row r="263" spans="3:16" x14ac:dyDescent="0.4">
      <c r="C263" s="199"/>
      <c r="D263" s="200"/>
      <c r="E263" s="201"/>
      <c r="F263" s="199"/>
      <c r="H263" s="202"/>
      <c r="I263" s="185" t="str">
        <f t="shared" ref="I263:I326" si="25">IF(H263="","",IF(H263="JPY","",IF($H263="USD",4, IF(H263="EUR",7,IF(H263="CNY",47,IF(H263="HKD",34))))))</f>
        <v/>
      </c>
      <c r="J263" s="203" t="str">
        <f>IF($H263="USD",IF(OR($I263="",$I263="-"),"",VLOOKUP($G263,為替!$A:$AX,$I263,FALSE))+$J$3,IF(OR($I263="",$I263="-"),"",VLOOKUP($G263,為替!$A:$AX,$I263,FALSE)))</f>
        <v/>
      </c>
      <c r="K263" s="204" t="str">
        <f t="shared" ref="K263:K326" si="26">IF($H263="JPY",$F263,IF($H263="","",$F263*$J263))</f>
        <v/>
      </c>
      <c r="L263" s="188" t="str">
        <f t="shared" ref="L263:L326" si="27">IF(H263="","",IF(H263="JPY","",IF($H263="USD",3, IF(H263="EUR",6,IF(H263="CNY",46,IF(H263="HKD",33))))))</f>
        <v/>
      </c>
      <c r="M263" s="203" t="str">
        <f>IF($H263="USD",IF(OR($L263="",$L263="-"),"",VLOOKUP($G263,為替!$A:$AX,$L263,FALSE))+$K$3,IF(OR($L263="",$L263="-"),"",VLOOKUP($G263,為替!$A:$AX,$L263,FALSE)))</f>
        <v/>
      </c>
      <c r="N263" s="204" t="str">
        <f t="shared" ref="N263:N326" si="28">IF($E263="JPY",($C263+$D263),IF($E263="","",($C263+$D263)*$M263))</f>
        <v/>
      </c>
      <c r="O263" s="205" t="str">
        <f t="shared" si="24"/>
        <v/>
      </c>
      <c r="P263" s="206" t="str">
        <f t="shared" ref="P263:P326" si="29">IF(OR(K263="",O263=""),"",O263/K263)</f>
        <v/>
      </c>
    </row>
    <row r="264" spans="3:16" x14ac:dyDescent="0.4">
      <c r="C264" s="199"/>
      <c r="D264" s="200"/>
      <c r="E264" s="201"/>
      <c r="F264" s="199"/>
      <c r="H264" s="202"/>
      <c r="I264" s="185" t="str">
        <f t="shared" si="25"/>
        <v/>
      </c>
      <c r="J264" s="203" t="str">
        <f>IF($H264="USD",IF(OR($I264="",$I264="-"),"",VLOOKUP($G264,為替!$A:$AX,$I264,FALSE))+$J$3,IF(OR($I264="",$I264="-"),"",VLOOKUP($G264,為替!$A:$AX,$I264,FALSE)))</f>
        <v/>
      </c>
      <c r="K264" s="204" t="str">
        <f t="shared" si="26"/>
        <v/>
      </c>
      <c r="L264" s="188" t="str">
        <f t="shared" si="27"/>
        <v/>
      </c>
      <c r="M264" s="203" t="str">
        <f>IF($H264="USD",IF(OR($L264="",$L264="-"),"",VLOOKUP($G264,為替!$A:$AX,$L264,FALSE))+$K$3,IF(OR($L264="",$L264="-"),"",VLOOKUP($G264,為替!$A:$AX,$L264,FALSE)))</f>
        <v/>
      </c>
      <c r="N264" s="204" t="str">
        <f t="shared" si="28"/>
        <v/>
      </c>
      <c r="O264" s="205" t="str">
        <f t="shared" si="24"/>
        <v/>
      </c>
      <c r="P264" s="206" t="str">
        <f t="shared" si="29"/>
        <v/>
      </c>
    </row>
    <row r="265" spans="3:16" x14ac:dyDescent="0.4">
      <c r="C265" s="199"/>
      <c r="D265" s="200"/>
      <c r="E265" s="201"/>
      <c r="F265" s="199"/>
      <c r="H265" s="202"/>
      <c r="I265" s="185" t="str">
        <f t="shared" si="25"/>
        <v/>
      </c>
      <c r="J265" s="203" t="str">
        <f>IF($H265="USD",IF(OR($I265="",$I265="-"),"",VLOOKUP($G265,為替!$A:$AX,$I265,FALSE))+$J$3,IF(OR($I265="",$I265="-"),"",VLOOKUP($G265,為替!$A:$AX,$I265,FALSE)))</f>
        <v/>
      </c>
      <c r="K265" s="204" t="str">
        <f t="shared" si="26"/>
        <v/>
      </c>
      <c r="L265" s="188" t="str">
        <f t="shared" si="27"/>
        <v/>
      </c>
      <c r="M265" s="203" t="str">
        <f>IF($H265="USD",IF(OR($L265="",$L265="-"),"",VLOOKUP($G265,為替!$A:$AX,$L265,FALSE))+$K$3,IF(OR($L265="",$L265="-"),"",VLOOKUP($G265,為替!$A:$AX,$L265,FALSE)))</f>
        <v/>
      </c>
      <c r="N265" s="204" t="str">
        <f t="shared" si="28"/>
        <v/>
      </c>
      <c r="O265" s="205" t="str">
        <f t="shared" si="24"/>
        <v/>
      </c>
      <c r="P265" s="206" t="str">
        <f t="shared" si="29"/>
        <v/>
      </c>
    </row>
    <row r="266" spans="3:16" x14ac:dyDescent="0.4">
      <c r="C266" s="199"/>
      <c r="D266" s="200"/>
      <c r="E266" s="201"/>
      <c r="F266" s="199"/>
      <c r="H266" s="202"/>
      <c r="I266" s="185" t="str">
        <f t="shared" si="25"/>
        <v/>
      </c>
      <c r="J266" s="203" t="str">
        <f>IF($H266="USD",IF(OR($I266="",$I266="-"),"",VLOOKUP($G266,為替!$A:$AX,$I266,FALSE))+$J$3,IF(OR($I266="",$I266="-"),"",VLOOKUP($G266,為替!$A:$AX,$I266,FALSE)))</f>
        <v/>
      </c>
      <c r="K266" s="204" t="str">
        <f t="shared" si="26"/>
        <v/>
      </c>
      <c r="L266" s="188" t="str">
        <f t="shared" si="27"/>
        <v/>
      </c>
      <c r="M266" s="203" t="str">
        <f>IF($H266="USD",IF(OR($L266="",$L266="-"),"",VLOOKUP($G266,為替!$A:$AX,$L266,FALSE))+$K$3,IF(OR($L266="",$L266="-"),"",VLOOKUP($G266,為替!$A:$AX,$L266,FALSE)))</f>
        <v/>
      </c>
      <c r="N266" s="204" t="str">
        <f t="shared" si="28"/>
        <v/>
      </c>
      <c r="O266" s="205" t="str">
        <f t="shared" si="24"/>
        <v/>
      </c>
      <c r="P266" s="206" t="str">
        <f t="shared" si="29"/>
        <v/>
      </c>
    </row>
    <row r="267" spans="3:16" x14ac:dyDescent="0.4">
      <c r="C267" s="199"/>
      <c r="D267" s="200"/>
      <c r="E267" s="201"/>
      <c r="F267" s="199"/>
      <c r="H267" s="202"/>
      <c r="I267" s="185" t="str">
        <f t="shared" si="25"/>
        <v/>
      </c>
      <c r="J267" s="203" t="str">
        <f>IF($H267="USD",IF(OR($I267="",$I267="-"),"",VLOOKUP($G267,為替!$A:$AX,$I267,FALSE))+$J$3,IF(OR($I267="",$I267="-"),"",VLOOKUP($G267,為替!$A:$AX,$I267,FALSE)))</f>
        <v/>
      </c>
      <c r="K267" s="204" t="str">
        <f t="shared" si="26"/>
        <v/>
      </c>
      <c r="L267" s="188" t="str">
        <f t="shared" si="27"/>
        <v/>
      </c>
      <c r="M267" s="203" t="str">
        <f>IF($H267="USD",IF(OR($L267="",$L267="-"),"",VLOOKUP($G267,為替!$A:$AX,$L267,FALSE))+$K$3,IF(OR($L267="",$L267="-"),"",VLOOKUP($G267,為替!$A:$AX,$L267,FALSE)))</f>
        <v/>
      </c>
      <c r="N267" s="204" t="str">
        <f t="shared" si="28"/>
        <v/>
      </c>
      <c r="O267" s="205" t="str">
        <f t="shared" si="24"/>
        <v/>
      </c>
      <c r="P267" s="206" t="str">
        <f t="shared" si="29"/>
        <v/>
      </c>
    </row>
    <row r="268" spans="3:16" x14ac:dyDescent="0.4">
      <c r="C268" s="199"/>
      <c r="D268" s="200"/>
      <c r="E268" s="201"/>
      <c r="F268" s="199"/>
      <c r="H268" s="202"/>
      <c r="I268" s="185" t="str">
        <f t="shared" si="25"/>
        <v/>
      </c>
      <c r="J268" s="203" t="str">
        <f>IF($H268="USD",IF(OR($I268="",$I268="-"),"",VLOOKUP($G268,為替!$A:$AX,$I268,FALSE))+$J$3,IF(OR($I268="",$I268="-"),"",VLOOKUP($G268,為替!$A:$AX,$I268,FALSE)))</f>
        <v/>
      </c>
      <c r="K268" s="204" t="str">
        <f t="shared" si="26"/>
        <v/>
      </c>
      <c r="L268" s="188" t="str">
        <f t="shared" si="27"/>
        <v/>
      </c>
      <c r="M268" s="203" t="str">
        <f>IF($H268="USD",IF(OR($L268="",$L268="-"),"",VLOOKUP($G268,為替!$A:$AX,$L268,FALSE))+$K$3,IF(OR($L268="",$L268="-"),"",VLOOKUP($G268,為替!$A:$AX,$L268,FALSE)))</f>
        <v/>
      </c>
      <c r="N268" s="204" t="str">
        <f t="shared" si="28"/>
        <v/>
      </c>
      <c r="O268" s="205" t="str">
        <f t="shared" si="24"/>
        <v/>
      </c>
      <c r="P268" s="206" t="str">
        <f t="shared" si="29"/>
        <v/>
      </c>
    </row>
    <row r="269" spans="3:16" x14ac:dyDescent="0.4">
      <c r="C269" s="199"/>
      <c r="D269" s="200"/>
      <c r="E269" s="201"/>
      <c r="F269" s="199"/>
      <c r="H269" s="202"/>
      <c r="I269" s="185" t="str">
        <f t="shared" si="25"/>
        <v/>
      </c>
      <c r="J269" s="203" t="str">
        <f>IF($H269="USD",IF(OR($I269="",$I269="-"),"",VLOOKUP($G269,為替!$A:$AX,$I269,FALSE))+$J$3,IF(OR($I269="",$I269="-"),"",VLOOKUP($G269,為替!$A:$AX,$I269,FALSE)))</f>
        <v/>
      </c>
      <c r="K269" s="204" t="str">
        <f t="shared" si="26"/>
        <v/>
      </c>
      <c r="L269" s="188" t="str">
        <f t="shared" si="27"/>
        <v/>
      </c>
      <c r="M269" s="203" t="str">
        <f>IF($H269="USD",IF(OR($L269="",$L269="-"),"",VLOOKUP($G269,為替!$A:$AX,$L269,FALSE))+$K$3,IF(OR($L269="",$L269="-"),"",VLOOKUP($G269,為替!$A:$AX,$L269,FALSE)))</f>
        <v/>
      </c>
      <c r="N269" s="204" t="str">
        <f t="shared" si="28"/>
        <v/>
      </c>
      <c r="O269" s="205" t="str">
        <f t="shared" si="24"/>
        <v/>
      </c>
      <c r="P269" s="206" t="str">
        <f t="shared" si="29"/>
        <v/>
      </c>
    </row>
    <row r="270" spans="3:16" x14ac:dyDescent="0.4">
      <c r="C270" s="199"/>
      <c r="D270" s="200"/>
      <c r="E270" s="201"/>
      <c r="F270" s="199"/>
      <c r="H270" s="202"/>
      <c r="I270" s="185" t="str">
        <f t="shared" si="25"/>
        <v/>
      </c>
      <c r="J270" s="203" t="str">
        <f>IF($H270="USD",IF(OR($I270="",$I270="-"),"",VLOOKUP($G270,為替!$A:$AX,$I270,FALSE))+$J$3,IF(OR($I270="",$I270="-"),"",VLOOKUP($G270,為替!$A:$AX,$I270,FALSE)))</f>
        <v/>
      </c>
      <c r="K270" s="204" t="str">
        <f t="shared" si="26"/>
        <v/>
      </c>
      <c r="L270" s="188" t="str">
        <f t="shared" si="27"/>
        <v/>
      </c>
      <c r="M270" s="203" t="str">
        <f>IF($H270="USD",IF(OR($L270="",$L270="-"),"",VLOOKUP($G270,為替!$A:$AX,$L270,FALSE))+$K$3,IF(OR($L270="",$L270="-"),"",VLOOKUP($G270,為替!$A:$AX,$L270,FALSE)))</f>
        <v/>
      </c>
      <c r="N270" s="204" t="str">
        <f t="shared" si="28"/>
        <v/>
      </c>
      <c r="O270" s="205" t="str">
        <f t="shared" si="24"/>
        <v/>
      </c>
      <c r="P270" s="206" t="str">
        <f t="shared" si="29"/>
        <v/>
      </c>
    </row>
    <row r="271" spans="3:16" x14ac:dyDescent="0.4">
      <c r="C271" s="199"/>
      <c r="D271" s="200"/>
      <c r="E271" s="201"/>
      <c r="F271" s="199"/>
      <c r="H271" s="202"/>
      <c r="I271" s="185" t="str">
        <f t="shared" si="25"/>
        <v/>
      </c>
      <c r="J271" s="203" t="str">
        <f>IF($H271="USD",IF(OR($I271="",$I271="-"),"",VLOOKUP($G271,為替!$A:$AX,$I271,FALSE))+$J$3,IF(OR($I271="",$I271="-"),"",VLOOKUP($G271,為替!$A:$AX,$I271,FALSE)))</f>
        <v/>
      </c>
      <c r="K271" s="204" t="str">
        <f t="shared" si="26"/>
        <v/>
      </c>
      <c r="L271" s="188" t="str">
        <f t="shared" si="27"/>
        <v/>
      </c>
      <c r="M271" s="203" t="str">
        <f>IF($H271="USD",IF(OR($L271="",$L271="-"),"",VLOOKUP($G271,為替!$A:$AX,$L271,FALSE))+$K$3,IF(OR($L271="",$L271="-"),"",VLOOKUP($G271,為替!$A:$AX,$L271,FALSE)))</f>
        <v/>
      </c>
      <c r="N271" s="204" t="str">
        <f t="shared" si="28"/>
        <v/>
      </c>
      <c r="O271" s="205" t="str">
        <f t="shared" si="24"/>
        <v/>
      </c>
      <c r="P271" s="206" t="str">
        <f t="shared" si="29"/>
        <v/>
      </c>
    </row>
    <row r="272" spans="3:16" x14ac:dyDescent="0.4">
      <c r="C272" s="199"/>
      <c r="D272" s="200"/>
      <c r="E272" s="201"/>
      <c r="F272" s="199"/>
      <c r="H272" s="202"/>
      <c r="I272" s="185" t="str">
        <f t="shared" si="25"/>
        <v/>
      </c>
      <c r="J272" s="203" t="str">
        <f>IF($H272="USD",IF(OR($I272="",$I272="-"),"",VLOOKUP($G272,為替!$A:$AX,$I272,FALSE))+$J$3,IF(OR($I272="",$I272="-"),"",VLOOKUP($G272,為替!$A:$AX,$I272,FALSE)))</f>
        <v/>
      </c>
      <c r="K272" s="204" t="str">
        <f t="shared" si="26"/>
        <v/>
      </c>
      <c r="L272" s="188" t="str">
        <f t="shared" si="27"/>
        <v/>
      </c>
      <c r="M272" s="203" t="str">
        <f>IF($H272="USD",IF(OR($L272="",$L272="-"),"",VLOOKUP($G272,為替!$A:$AX,$L272,FALSE))+$K$3,IF(OR($L272="",$L272="-"),"",VLOOKUP($G272,為替!$A:$AX,$L272,FALSE)))</f>
        <v/>
      </c>
      <c r="N272" s="204" t="str">
        <f t="shared" si="28"/>
        <v/>
      </c>
      <c r="O272" s="205" t="str">
        <f t="shared" si="24"/>
        <v/>
      </c>
      <c r="P272" s="206" t="str">
        <f t="shared" si="29"/>
        <v/>
      </c>
    </row>
    <row r="273" spans="3:16" x14ac:dyDescent="0.4">
      <c r="C273" s="199"/>
      <c r="D273" s="200"/>
      <c r="E273" s="201"/>
      <c r="F273" s="199"/>
      <c r="H273" s="202"/>
      <c r="I273" s="185" t="str">
        <f t="shared" si="25"/>
        <v/>
      </c>
      <c r="J273" s="203" t="str">
        <f>IF($H273="USD",IF(OR($I273="",$I273="-"),"",VLOOKUP($G273,為替!$A:$AX,$I273,FALSE))+$J$3,IF(OR($I273="",$I273="-"),"",VLOOKUP($G273,為替!$A:$AX,$I273,FALSE)))</f>
        <v/>
      </c>
      <c r="K273" s="204" t="str">
        <f t="shared" si="26"/>
        <v/>
      </c>
      <c r="L273" s="188" t="str">
        <f t="shared" si="27"/>
        <v/>
      </c>
      <c r="M273" s="203" t="str">
        <f>IF($H273="USD",IF(OR($L273="",$L273="-"),"",VLOOKUP($G273,為替!$A:$AX,$L273,FALSE))+$K$3,IF(OR($L273="",$L273="-"),"",VLOOKUP($G273,為替!$A:$AX,$L273,FALSE)))</f>
        <v/>
      </c>
      <c r="N273" s="204" t="str">
        <f t="shared" si="28"/>
        <v/>
      </c>
      <c r="O273" s="205" t="str">
        <f t="shared" si="24"/>
        <v/>
      </c>
      <c r="P273" s="206" t="str">
        <f t="shared" si="29"/>
        <v/>
      </c>
    </row>
    <row r="274" spans="3:16" x14ac:dyDescent="0.4">
      <c r="C274" s="199"/>
      <c r="D274" s="200"/>
      <c r="E274" s="201"/>
      <c r="F274" s="199"/>
      <c r="H274" s="202"/>
      <c r="I274" s="185" t="str">
        <f t="shared" si="25"/>
        <v/>
      </c>
      <c r="J274" s="203" t="str">
        <f>IF($H274="USD",IF(OR($I274="",$I274="-"),"",VLOOKUP($G274,為替!$A:$AX,$I274,FALSE))+$J$3,IF(OR($I274="",$I274="-"),"",VLOOKUP($G274,為替!$A:$AX,$I274,FALSE)))</f>
        <v/>
      </c>
      <c r="K274" s="204" t="str">
        <f t="shared" si="26"/>
        <v/>
      </c>
      <c r="L274" s="188" t="str">
        <f t="shared" si="27"/>
        <v/>
      </c>
      <c r="M274" s="203" t="str">
        <f>IF($H274="USD",IF(OR($L274="",$L274="-"),"",VLOOKUP($G274,為替!$A:$AX,$L274,FALSE))+$K$3,IF(OR($L274="",$L274="-"),"",VLOOKUP($G274,為替!$A:$AX,$L274,FALSE)))</f>
        <v/>
      </c>
      <c r="N274" s="204" t="str">
        <f t="shared" si="28"/>
        <v/>
      </c>
      <c r="O274" s="205" t="str">
        <f t="shared" si="24"/>
        <v/>
      </c>
      <c r="P274" s="206" t="str">
        <f t="shared" si="29"/>
        <v/>
      </c>
    </row>
    <row r="275" spans="3:16" x14ac:dyDescent="0.4">
      <c r="C275" s="199"/>
      <c r="D275" s="200"/>
      <c r="E275" s="201"/>
      <c r="F275" s="199"/>
      <c r="H275" s="202"/>
      <c r="I275" s="185" t="str">
        <f t="shared" si="25"/>
        <v/>
      </c>
      <c r="J275" s="203" t="str">
        <f>IF($H275="USD",IF(OR($I275="",$I275="-"),"",VLOOKUP($G275,為替!$A:$AX,$I275,FALSE))+$J$3,IF(OR($I275="",$I275="-"),"",VLOOKUP($G275,為替!$A:$AX,$I275,FALSE)))</f>
        <v/>
      </c>
      <c r="K275" s="204" t="str">
        <f t="shared" si="26"/>
        <v/>
      </c>
      <c r="L275" s="188" t="str">
        <f t="shared" si="27"/>
        <v/>
      </c>
      <c r="M275" s="203" t="str">
        <f>IF($H275="USD",IF(OR($L275="",$L275="-"),"",VLOOKUP($G275,為替!$A:$AX,$L275,FALSE))+$K$3,IF(OR($L275="",$L275="-"),"",VLOOKUP($G275,為替!$A:$AX,$L275,FALSE)))</f>
        <v/>
      </c>
      <c r="N275" s="204" t="str">
        <f t="shared" si="28"/>
        <v/>
      </c>
      <c r="O275" s="205" t="str">
        <f t="shared" si="24"/>
        <v/>
      </c>
      <c r="P275" s="206" t="str">
        <f t="shared" si="29"/>
        <v/>
      </c>
    </row>
    <row r="276" spans="3:16" x14ac:dyDescent="0.4">
      <c r="C276" s="199"/>
      <c r="D276" s="200"/>
      <c r="E276" s="201"/>
      <c r="F276" s="199"/>
      <c r="H276" s="202"/>
      <c r="I276" s="185" t="str">
        <f t="shared" si="25"/>
        <v/>
      </c>
      <c r="J276" s="203" t="str">
        <f>IF($H276="USD",IF(OR($I276="",$I276="-"),"",VLOOKUP($G276,為替!$A:$AX,$I276,FALSE))+$J$3,IF(OR($I276="",$I276="-"),"",VLOOKUP($G276,為替!$A:$AX,$I276,FALSE)))</f>
        <v/>
      </c>
      <c r="K276" s="204" t="str">
        <f t="shared" si="26"/>
        <v/>
      </c>
      <c r="L276" s="188" t="str">
        <f t="shared" si="27"/>
        <v/>
      </c>
      <c r="M276" s="203" t="str">
        <f>IF($H276="USD",IF(OR($L276="",$L276="-"),"",VLOOKUP($G276,為替!$A:$AX,$L276,FALSE))+$K$3,IF(OR($L276="",$L276="-"),"",VLOOKUP($G276,為替!$A:$AX,$L276,FALSE)))</f>
        <v/>
      </c>
      <c r="N276" s="204" t="str">
        <f t="shared" si="28"/>
        <v/>
      </c>
      <c r="O276" s="205" t="str">
        <f t="shared" si="24"/>
        <v/>
      </c>
      <c r="P276" s="206" t="str">
        <f t="shared" si="29"/>
        <v/>
      </c>
    </row>
    <row r="277" spans="3:16" x14ac:dyDescent="0.4">
      <c r="C277" s="199"/>
      <c r="D277" s="200"/>
      <c r="E277" s="201"/>
      <c r="F277" s="199"/>
      <c r="H277" s="202"/>
      <c r="I277" s="185" t="str">
        <f t="shared" si="25"/>
        <v/>
      </c>
      <c r="J277" s="203" t="str">
        <f>IF($H277="USD",IF(OR($I277="",$I277="-"),"",VLOOKUP($G277,為替!$A:$AX,$I277,FALSE))+$J$3,IF(OR($I277="",$I277="-"),"",VLOOKUP($G277,為替!$A:$AX,$I277,FALSE)))</f>
        <v/>
      </c>
      <c r="K277" s="204" t="str">
        <f t="shared" si="26"/>
        <v/>
      </c>
      <c r="L277" s="188" t="str">
        <f t="shared" si="27"/>
        <v/>
      </c>
      <c r="M277" s="203" t="str">
        <f>IF($H277="USD",IF(OR($L277="",$L277="-"),"",VLOOKUP($G277,為替!$A:$AX,$L277,FALSE))+$K$3,IF(OR($L277="",$L277="-"),"",VLOOKUP($G277,為替!$A:$AX,$L277,FALSE)))</f>
        <v/>
      </c>
      <c r="N277" s="204" t="str">
        <f t="shared" si="28"/>
        <v/>
      </c>
      <c r="O277" s="205" t="str">
        <f t="shared" si="24"/>
        <v/>
      </c>
      <c r="P277" s="206" t="str">
        <f t="shared" si="29"/>
        <v/>
      </c>
    </row>
    <row r="278" spans="3:16" x14ac:dyDescent="0.4">
      <c r="C278" s="199"/>
      <c r="D278" s="200"/>
      <c r="E278" s="201"/>
      <c r="F278" s="199"/>
      <c r="H278" s="202"/>
      <c r="I278" s="185" t="str">
        <f t="shared" si="25"/>
        <v/>
      </c>
      <c r="J278" s="203" t="str">
        <f>IF($H278="USD",IF(OR($I278="",$I278="-"),"",VLOOKUP($G278,為替!$A:$AX,$I278,FALSE))+$J$3,IF(OR($I278="",$I278="-"),"",VLOOKUP($G278,為替!$A:$AX,$I278,FALSE)))</f>
        <v/>
      </c>
      <c r="K278" s="204" t="str">
        <f t="shared" si="26"/>
        <v/>
      </c>
      <c r="L278" s="188" t="str">
        <f t="shared" si="27"/>
        <v/>
      </c>
      <c r="M278" s="203" t="str">
        <f>IF($H278="USD",IF(OR($L278="",$L278="-"),"",VLOOKUP($G278,為替!$A:$AX,$L278,FALSE))+$K$3,IF(OR($L278="",$L278="-"),"",VLOOKUP($G278,為替!$A:$AX,$L278,FALSE)))</f>
        <v/>
      </c>
      <c r="N278" s="204" t="str">
        <f t="shared" si="28"/>
        <v/>
      </c>
      <c r="O278" s="205" t="str">
        <f t="shared" si="24"/>
        <v/>
      </c>
      <c r="P278" s="206" t="str">
        <f t="shared" si="29"/>
        <v/>
      </c>
    </row>
    <row r="279" spans="3:16" x14ac:dyDescent="0.4">
      <c r="C279" s="199"/>
      <c r="D279" s="200"/>
      <c r="E279" s="201"/>
      <c r="F279" s="199"/>
      <c r="H279" s="202"/>
      <c r="I279" s="185" t="str">
        <f t="shared" si="25"/>
        <v/>
      </c>
      <c r="J279" s="203" t="str">
        <f>IF($H279="USD",IF(OR($I279="",$I279="-"),"",VLOOKUP($G279,為替!$A:$AX,$I279,FALSE))+$J$3,IF(OR($I279="",$I279="-"),"",VLOOKUP($G279,為替!$A:$AX,$I279,FALSE)))</f>
        <v/>
      </c>
      <c r="K279" s="204" t="str">
        <f t="shared" si="26"/>
        <v/>
      </c>
      <c r="L279" s="188" t="str">
        <f t="shared" si="27"/>
        <v/>
      </c>
      <c r="M279" s="203" t="str">
        <f>IF($H279="USD",IF(OR($L279="",$L279="-"),"",VLOOKUP($G279,為替!$A:$AX,$L279,FALSE))+$K$3,IF(OR($L279="",$L279="-"),"",VLOOKUP($G279,為替!$A:$AX,$L279,FALSE)))</f>
        <v/>
      </c>
      <c r="N279" s="204" t="str">
        <f t="shared" si="28"/>
        <v/>
      </c>
      <c r="O279" s="205" t="str">
        <f t="shared" si="24"/>
        <v/>
      </c>
      <c r="P279" s="206" t="str">
        <f t="shared" si="29"/>
        <v/>
      </c>
    </row>
    <row r="280" spans="3:16" x14ac:dyDescent="0.4">
      <c r="C280" s="199"/>
      <c r="D280" s="200"/>
      <c r="E280" s="201"/>
      <c r="F280" s="199"/>
      <c r="H280" s="202"/>
      <c r="I280" s="185" t="str">
        <f t="shared" si="25"/>
        <v/>
      </c>
      <c r="J280" s="203" t="str">
        <f>IF($H280="USD",IF(OR($I280="",$I280="-"),"",VLOOKUP($G280,為替!$A:$AX,$I280,FALSE))+$J$3,IF(OR($I280="",$I280="-"),"",VLOOKUP($G280,為替!$A:$AX,$I280,FALSE)))</f>
        <v/>
      </c>
      <c r="K280" s="204" t="str">
        <f t="shared" si="26"/>
        <v/>
      </c>
      <c r="L280" s="188" t="str">
        <f t="shared" si="27"/>
        <v/>
      </c>
      <c r="M280" s="203" t="str">
        <f>IF($H280="USD",IF(OR($L280="",$L280="-"),"",VLOOKUP($G280,為替!$A:$AX,$L280,FALSE))+$K$3,IF(OR($L280="",$L280="-"),"",VLOOKUP($G280,為替!$A:$AX,$L280,FALSE)))</f>
        <v/>
      </c>
      <c r="N280" s="204" t="str">
        <f t="shared" si="28"/>
        <v/>
      </c>
      <c r="O280" s="205" t="str">
        <f t="shared" si="24"/>
        <v/>
      </c>
      <c r="P280" s="206" t="str">
        <f t="shared" si="29"/>
        <v/>
      </c>
    </row>
    <row r="281" spans="3:16" x14ac:dyDescent="0.4">
      <c r="C281" s="199"/>
      <c r="D281" s="200"/>
      <c r="E281" s="201"/>
      <c r="F281" s="199"/>
      <c r="H281" s="202"/>
      <c r="I281" s="185" t="str">
        <f t="shared" si="25"/>
        <v/>
      </c>
      <c r="J281" s="203" t="str">
        <f>IF($H281="USD",IF(OR($I281="",$I281="-"),"",VLOOKUP($G281,為替!$A:$AX,$I281,FALSE))+$J$3,IF(OR($I281="",$I281="-"),"",VLOOKUP($G281,為替!$A:$AX,$I281,FALSE)))</f>
        <v/>
      </c>
      <c r="K281" s="204" t="str">
        <f t="shared" si="26"/>
        <v/>
      </c>
      <c r="L281" s="188" t="str">
        <f t="shared" si="27"/>
        <v/>
      </c>
      <c r="M281" s="203" t="str">
        <f>IF($H281="USD",IF(OR($L281="",$L281="-"),"",VLOOKUP($G281,為替!$A:$AX,$L281,FALSE))+$K$3,IF(OR($L281="",$L281="-"),"",VLOOKUP($G281,為替!$A:$AX,$L281,FALSE)))</f>
        <v/>
      </c>
      <c r="N281" s="204" t="str">
        <f t="shared" si="28"/>
        <v/>
      </c>
      <c r="O281" s="205" t="str">
        <f t="shared" si="24"/>
        <v/>
      </c>
      <c r="P281" s="206" t="str">
        <f t="shared" si="29"/>
        <v/>
      </c>
    </row>
    <row r="282" spans="3:16" x14ac:dyDescent="0.4">
      <c r="C282" s="199"/>
      <c r="D282" s="200"/>
      <c r="E282" s="201"/>
      <c r="F282" s="199"/>
      <c r="H282" s="202"/>
      <c r="I282" s="185" t="str">
        <f t="shared" si="25"/>
        <v/>
      </c>
      <c r="J282" s="203" t="str">
        <f>IF($H282="USD",IF(OR($I282="",$I282="-"),"",VLOOKUP($G282,為替!$A:$AX,$I282,FALSE))+$J$3,IF(OR($I282="",$I282="-"),"",VLOOKUP($G282,為替!$A:$AX,$I282,FALSE)))</f>
        <v/>
      </c>
      <c r="K282" s="204" t="str">
        <f t="shared" si="26"/>
        <v/>
      </c>
      <c r="L282" s="188" t="str">
        <f t="shared" si="27"/>
        <v/>
      </c>
      <c r="M282" s="203" t="str">
        <f>IF($H282="USD",IF(OR($L282="",$L282="-"),"",VLOOKUP($G282,為替!$A:$AX,$L282,FALSE))+$K$3,IF(OR($L282="",$L282="-"),"",VLOOKUP($G282,為替!$A:$AX,$L282,FALSE)))</f>
        <v/>
      </c>
      <c r="N282" s="204" t="str">
        <f t="shared" si="28"/>
        <v/>
      </c>
      <c r="O282" s="205" t="str">
        <f t="shared" si="24"/>
        <v/>
      </c>
      <c r="P282" s="206" t="str">
        <f t="shared" si="29"/>
        <v/>
      </c>
    </row>
    <row r="283" spans="3:16" x14ac:dyDescent="0.4">
      <c r="C283" s="199"/>
      <c r="D283" s="200"/>
      <c r="E283" s="201"/>
      <c r="F283" s="199"/>
      <c r="H283" s="202"/>
      <c r="I283" s="185" t="str">
        <f t="shared" si="25"/>
        <v/>
      </c>
      <c r="J283" s="203" t="str">
        <f>IF($H283="USD",IF(OR($I283="",$I283="-"),"",VLOOKUP($G283,為替!$A:$AX,$I283,FALSE))+$J$3,IF(OR($I283="",$I283="-"),"",VLOOKUP($G283,為替!$A:$AX,$I283,FALSE)))</f>
        <v/>
      </c>
      <c r="K283" s="204" t="str">
        <f t="shared" si="26"/>
        <v/>
      </c>
      <c r="L283" s="188" t="str">
        <f t="shared" si="27"/>
        <v/>
      </c>
      <c r="M283" s="203" t="str">
        <f>IF($H283="USD",IF(OR($L283="",$L283="-"),"",VLOOKUP($G283,為替!$A:$AX,$L283,FALSE))+$K$3,IF(OR($L283="",$L283="-"),"",VLOOKUP($G283,為替!$A:$AX,$L283,FALSE)))</f>
        <v/>
      </c>
      <c r="N283" s="204" t="str">
        <f t="shared" si="28"/>
        <v/>
      </c>
      <c r="O283" s="205" t="str">
        <f t="shared" si="24"/>
        <v/>
      </c>
      <c r="P283" s="206" t="str">
        <f t="shared" si="29"/>
        <v/>
      </c>
    </row>
    <row r="284" spans="3:16" x14ac:dyDescent="0.4">
      <c r="C284" s="199"/>
      <c r="D284" s="200"/>
      <c r="E284" s="201"/>
      <c r="F284" s="199"/>
      <c r="H284" s="202"/>
      <c r="I284" s="185" t="str">
        <f t="shared" si="25"/>
        <v/>
      </c>
      <c r="J284" s="203" t="str">
        <f>IF($H284="USD",IF(OR($I284="",$I284="-"),"",VLOOKUP($G284,為替!$A:$AX,$I284,FALSE))+$J$3,IF(OR($I284="",$I284="-"),"",VLOOKUP($G284,為替!$A:$AX,$I284,FALSE)))</f>
        <v/>
      </c>
      <c r="K284" s="204" t="str">
        <f t="shared" si="26"/>
        <v/>
      </c>
      <c r="L284" s="188" t="str">
        <f t="shared" si="27"/>
        <v/>
      </c>
      <c r="M284" s="203" t="str">
        <f>IF($H284="USD",IF(OR($L284="",$L284="-"),"",VLOOKUP($G284,為替!$A:$AX,$L284,FALSE))+$K$3,IF(OR($L284="",$L284="-"),"",VLOOKUP($G284,為替!$A:$AX,$L284,FALSE)))</f>
        <v/>
      </c>
      <c r="N284" s="204" t="str">
        <f t="shared" si="28"/>
        <v/>
      </c>
      <c r="O284" s="205" t="str">
        <f t="shared" si="24"/>
        <v/>
      </c>
      <c r="P284" s="206" t="str">
        <f t="shared" si="29"/>
        <v/>
      </c>
    </row>
    <row r="285" spans="3:16" x14ac:dyDescent="0.4">
      <c r="C285" s="199"/>
      <c r="D285" s="200"/>
      <c r="E285" s="201"/>
      <c r="F285" s="199"/>
      <c r="H285" s="202"/>
      <c r="I285" s="185" t="str">
        <f t="shared" si="25"/>
        <v/>
      </c>
      <c r="J285" s="203" t="str">
        <f>IF($H285="USD",IF(OR($I285="",$I285="-"),"",VLOOKUP($G285,為替!$A:$AX,$I285,FALSE))+$J$3,IF(OR($I285="",$I285="-"),"",VLOOKUP($G285,為替!$A:$AX,$I285,FALSE)))</f>
        <v/>
      </c>
      <c r="K285" s="204" t="str">
        <f t="shared" si="26"/>
        <v/>
      </c>
      <c r="L285" s="188" t="str">
        <f t="shared" si="27"/>
        <v/>
      </c>
      <c r="M285" s="203" t="str">
        <f>IF($H285="USD",IF(OR($L285="",$L285="-"),"",VLOOKUP($G285,為替!$A:$AX,$L285,FALSE))+$K$3,IF(OR($L285="",$L285="-"),"",VLOOKUP($G285,為替!$A:$AX,$L285,FALSE)))</f>
        <v/>
      </c>
      <c r="N285" s="204" t="str">
        <f t="shared" si="28"/>
        <v/>
      </c>
      <c r="O285" s="205" t="str">
        <f t="shared" si="24"/>
        <v/>
      </c>
      <c r="P285" s="206" t="str">
        <f t="shared" si="29"/>
        <v/>
      </c>
    </row>
    <row r="286" spans="3:16" x14ac:dyDescent="0.4">
      <c r="C286" s="199"/>
      <c r="D286" s="200"/>
      <c r="E286" s="201"/>
      <c r="F286" s="199"/>
      <c r="H286" s="202"/>
      <c r="I286" s="185" t="str">
        <f t="shared" si="25"/>
        <v/>
      </c>
      <c r="J286" s="203" t="str">
        <f>IF($H286="USD",IF(OR($I286="",$I286="-"),"",VLOOKUP($G286,為替!$A:$AX,$I286,FALSE))+$J$3,IF(OR($I286="",$I286="-"),"",VLOOKUP($G286,為替!$A:$AX,$I286,FALSE)))</f>
        <v/>
      </c>
      <c r="K286" s="204" t="str">
        <f t="shared" si="26"/>
        <v/>
      </c>
      <c r="L286" s="188" t="str">
        <f t="shared" si="27"/>
        <v/>
      </c>
      <c r="M286" s="203" t="str">
        <f>IF($H286="USD",IF(OR($L286="",$L286="-"),"",VLOOKUP($G286,為替!$A:$AX,$L286,FALSE))+$K$3,IF(OR($L286="",$L286="-"),"",VLOOKUP($G286,為替!$A:$AX,$L286,FALSE)))</f>
        <v/>
      </c>
      <c r="N286" s="204" t="str">
        <f t="shared" si="28"/>
        <v/>
      </c>
      <c r="O286" s="205" t="str">
        <f t="shared" si="24"/>
        <v/>
      </c>
      <c r="P286" s="206" t="str">
        <f t="shared" si="29"/>
        <v/>
      </c>
    </row>
    <row r="287" spans="3:16" x14ac:dyDescent="0.4">
      <c r="C287" s="199"/>
      <c r="D287" s="200"/>
      <c r="E287" s="201"/>
      <c r="F287" s="199"/>
      <c r="H287" s="202"/>
      <c r="I287" s="185" t="str">
        <f t="shared" si="25"/>
        <v/>
      </c>
      <c r="J287" s="203" t="str">
        <f>IF($H287="USD",IF(OR($I287="",$I287="-"),"",VLOOKUP($G287,為替!$A:$AX,$I287,FALSE))+$J$3,IF(OR($I287="",$I287="-"),"",VLOOKUP($G287,為替!$A:$AX,$I287,FALSE)))</f>
        <v/>
      </c>
      <c r="K287" s="204" t="str">
        <f t="shared" si="26"/>
        <v/>
      </c>
      <c r="L287" s="188" t="str">
        <f t="shared" si="27"/>
        <v/>
      </c>
      <c r="M287" s="203" t="str">
        <f>IF($H287="USD",IF(OR($L287="",$L287="-"),"",VLOOKUP($G287,為替!$A:$AX,$L287,FALSE))+$K$3,IF(OR($L287="",$L287="-"),"",VLOOKUP($G287,為替!$A:$AX,$L287,FALSE)))</f>
        <v/>
      </c>
      <c r="N287" s="204" t="str">
        <f t="shared" si="28"/>
        <v/>
      </c>
      <c r="O287" s="205" t="str">
        <f t="shared" si="24"/>
        <v/>
      </c>
      <c r="P287" s="206" t="str">
        <f t="shared" si="29"/>
        <v/>
      </c>
    </row>
    <row r="288" spans="3:16" x14ac:dyDescent="0.4">
      <c r="C288" s="199"/>
      <c r="D288" s="200"/>
      <c r="E288" s="201"/>
      <c r="F288" s="199"/>
      <c r="H288" s="202"/>
      <c r="I288" s="185" t="str">
        <f t="shared" si="25"/>
        <v/>
      </c>
      <c r="J288" s="203" t="str">
        <f>IF($H288="USD",IF(OR($I288="",$I288="-"),"",VLOOKUP($G288,為替!$A:$AX,$I288,FALSE))+$J$3,IF(OR($I288="",$I288="-"),"",VLOOKUP($G288,為替!$A:$AX,$I288,FALSE)))</f>
        <v/>
      </c>
      <c r="K288" s="204" t="str">
        <f t="shared" si="26"/>
        <v/>
      </c>
      <c r="L288" s="188" t="str">
        <f t="shared" si="27"/>
        <v/>
      </c>
      <c r="M288" s="203" t="str">
        <f>IF($H288="USD",IF(OR($L288="",$L288="-"),"",VLOOKUP($G288,為替!$A:$AX,$L288,FALSE))+$K$3,IF(OR($L288="",$L288="-"),"",VLOOKUP($G288,為替!$A:$AX,$L288,FALSE)))</f>
        <v/>
      </c>
      <c r="N288" s="204" t="str">
        <f t="shared" si="28"/>
        <v/>
      </c>
      <c r="O288" s="205" t="str">
        <f t="shared" si="24"/>
        <v/>
      </c>
      <c r="P288" s="206" t="str">
        <f t="shared" si="29"/>
        <v/>
      </c>
    </row>
    <row r="289" spans="3:16" x14ac:dyDescent="0.4">
      <c r="C289" s="199"/>
      <c r="D289" s="200"/>
      <c r="E289" s="201"/>
      <c r="F289" s="199"/>
      <c r="H289" s="202"/>
      <c r="I289" s="185" t="str">
        <f t="shared" si="25"/>
        <v/>
      </c>
      <c r="J289" s="203" t="str">
        <f>IF($H289="USD",IF(OR($I289="",$I289="-"),"",VLOOKUP($G289,為替!$A:$AX,$I289,FALSE))+$J$3,IF(OR($I289="",$I289="-"),"",VLOOKUP($G289,為替!$A:$AX,$I289,FALSE)))</f>
        <v/>
      </c>
      <c r="K289" s="204" t="str">
        <f t="shared" si="26"/>
        <v/>
      </c>
      <c r="L289" s="188" t="str">
        <f t="shared" si="27"/>
        <v/>
      </c>
      <c r="M289" s="203" t="str">
        <f>IF($H289="USD",IF(OR($L289="",$L289="-"),"",VLOOKUP($G289,為替!$A:$AX,$L289,FALSE))+$K$3,IF(OR($L289="",$L289="-"),"",VLOOKUP($G289,為替!$A:$AX,$L289,FALSE)))</f>
        <v/>
      </c>
      <c r="N289" s="204" t="str">
        <f t="shared" si="28"/>
        <v/>
      </c>
      <c r="O289" s="205" t="str">
        <f t="shared" si="24"/>
        <v/>
      </c>
      <c r="P289" s="206" t="str">
        <f t="shared" si="29"/>
        <v/>
      </c>
    </row>
    <row r="290" spans="3:16" x14ac:dyDescent="0.4">
      <c r="C290" s="199"/>
      <c r="D290" s="200"/>
      <c r="E290" s="201"/>
      <c r="F290" s="199"/>
      <c r="H290" s="202"/>
      <c r="I290" s="185" t="str">
        <f t="shared" si="25"/>
        <v/>
      </c>
      <c r="J290" s="203" t="str">
        <f>IF($H290="USD",IF(OR($I290="",$I290="-"),"",VLOOKUP($G290,為替!$A:$AX,$I290,FALSE))+$J$3,IF(OR($I290="",$I290="-"),"",VLOOKUP($G290,為替!$A:$AX,$I290,FALSE)))</f>
        <v/>
      </c>
      <c r="K290" s="204" t="str">
        <f t="shared" si="26"/>
        <v/>
      </c>
      <c r="L290" s="188" t="str">
        <f t="shared" si="27"/>
        <v/>
      </c>
      <c r="M290" s="203" t="str">
        <f>IF($H290="USD",IF(OR($L290="",$L290="-"),"",VLOOKUP($G290,為替!$A:$AX,$L290,FALSE))+$K$3,IF(OR($L290="",$L290="-"),"",VLOOKUP($G290,為替!$A:$AX,$L290,FALSE)))</f>
        <v/>
      </c>
      <c r="N290" s="204" t="str">
        <f t="shared" si="28"/>
        <v/>
      </c>
      <c r="O290" s="205" t="str">
        <f t="shared" si="24"/>
        <v/>
      </c>
      <c r="P290" s="206" t="str">
        <f t="shared" si="29"/>
        <v/>
      </c>
    </row>
    <row r="291" spans="3:16" x14ac:dyDescent="0.4">
      <c r="C291" s="199"/>
      <c r="D291" s="200"/>
      <c r="E291" s="201"/>
      <c r="F291" s="199"/>
      <c r="H291" s="202"/>
      <c r="I291" s="185" t="str">
        <f t="shared" si="25"/>
        <v/>
      </c>
      <c r="J291" s="203" t="str">
        <f>IF($H291="USD",IF(OR($I291="",$I291="-"),"",VLOOKUP($G291,為替!$A:$AX,$I291,FALSE))+$J$3,IF(OR($I291="",$I291="-"),"",VLOOKUP($G291,為替!$A:$AX,$I291,FALSE)))</f>
        <v/>
      </c>
      <c r="K291" s="204" t="str">
        <f t="shared" si="26"/>
        <v/>
      </c>
      <c r="L291" s="188" t="str">
        <f t="shared" si="27"/>
        <v/>
      </c>
      <c r="M291" s="203" t="str">
        <f>IF($H291="USD",IF(OR($L291="",$L291="-"),"",VLOOKUP($G291,為替!$A:$AX,$L291,FALSE))+$K$3,IF(OR($L291="",$L291="-"),"",VLOOKUP($G291,為替!$A:$AX,$L291,FALSE)))</f>
        <v/>
      </c>
      <c r="N291" s="204" t="str">
        <f t="shared" si="28"/>
        <v/>
      </c>
      <c r="O291" s="205" t="str">
        <f t="shared" si="24"/>
        <v/>
      </c>
      <c r="P291" s="206" t="str">
        <f t="shared" si="29"/>
        <v/>
      </c>
    </row>
    <row r="292" spans="3:16" x14ac:dyDescent="0.4">
      <c r="C292" s="199"/>
      <c r="D292" s="200"/>
      <c r="E292" s="201"/>
      <c r="F292" s="199"/>
      <c r="H292" s="202"/>
      <c r="I292" s="185" t="str">
        <f t="shared" si="25"/>
        <v/>
      </c>
      <c r="J292" s="203" t="str">
        <f>IF($H292="USD",IF(OR($I292="",$I292="-"),"",VLOOKUP($G292,為替!$A:$AX,$I292,FALSE))+$J$3,IF(OR($I292="",$I292="-"),"",VLOOKUP($G292,為替!$A:$AX,$I292,FALSE)))</f>
        <v/>
      </c>
      <c r="K292" s="204" t="str">
        <f t="shared" si="26"/>
        <v/>
      </c>
      <c r="L292" s="188" t="str">
        <f t="shared" si="27"/>
        <v/>
      </c>
      <c r="M292" s="203" t="str">
        <f>IF($H292="USD",IF(OR($L292="",$L292="-"),"",VLOOKUP($G292,為替!$A:$AX,$L292,FALSE))+$K$3,IF(OR($L292="",$L292="-"),"",VLOOKUP($G292,為替!$A:$AX,$L292,FALSE)))</f>
        <v/>
      </c>
      <c r="N292" s="204" t="str">
        <f t="shared" si="28"/>
        <v/>
      </c>
      <c r="O292" s="205" t="str">
        <f t="shared" si="24"/>
        <v/>
      </c>
      <c r="P292" s="206" t="str">
        <f t="shared" si="29"/>
        <v/>
      </c>
    </row>
    <row r="293" spans="3:16" x14ac:dyDescent="0.4">
      <c r="C293" s="199"/>
      <c r="D293" s="200"/>
      <c r="E293" s="201"/>
      <c r="F293" s="199"/>
      <c r="H293" s="202"/>
      <c r="I293" s="185" t="str">
        <f t="shared" si="25"/>
        <v/>
      </c>
      <c r="J293" s="203" t="str">
        <f>IF($H293="USD",IF(OR($I293="",$I293="-"),"",VLOOKUP($G293,為替!$A:$AX,$I293,FALSE))+$J$3,IF(OR($I293="",$I293="-"),"",VLOOKUP($G293,為替!$A:$AX,$I293,FALSE)))</f>
        <v/>
      </c>
      <c r="K293" s="204" t="str">
        <f t="shared" si="26"/>
        <v/>
      </c>
      <c r="L293" s="188" t="str">
        <f t="shared" si="27"/>
        <v/>
      </c>
      <c r="M293" s="203" t="str">
        <f>IF($H293="USD",IF(OR($L293="",$L293="-"),"",VLOOKUP($G293,為替!$A:$AX,$L293,FALSE))+$K$3,IF(OR($L293="",$L293="-"),"",VLOOKUP($G293,為替!$A:$AX,$L293,FALSE)))</f>
        <v/>
      </c>
      <c r="N293" s="204" t="str">
        <f t="shared" si="28"/>
        <v/>
      </c>
      <c r="O293" s="205" t="str">
        <f t="shared" si="24"/>
        <v/>
      </c>
      <c r="P293" s="206" t="str">
        <f t="shared" si="29"/>
        <v/>
      </c>
    </row>
    <row r="294" spans="3:16" x14ac:dyDescent="0.4">
      <c r="C294" s="199"/>
      <c r="D294" s="200"/>
      <c r="E294" s="201"/>
      <c r="F294" s="199"/>
      <c r="H294" s="202"/>
      <c r="I294" s="185" t="str">
        <f t="shared" si="25"/>
        <v/>
      </c>
      <c r="J294" s="203" t="str">
        <f>IF($H294="USD",IF(OR($I294="",$I294="-"),"",VLOOKUP($G294,為替!$A:$AX,$I294,FALSE))+$J$3,IF(OR($I294="",$I294="-"),"",VLOOKUP($G294,為替!$A:$AX,$I294,FALSE)))</f>
        <v/>
      </c>
      <c r="K294" s="204" t="str">
        <f t="shared" si="26"/>
        <v/>
      </c>
      <c r="L294" s="188" t="str">
        <f t="shared" si="27"/>
        <v/>
      </c>
      <c r="M294" s="203" t="str">
        <f>IF($H294="USD",IF(OR($L294="",$L294="-"),"",VLOOKUP($G294,為替!$A:$AX,$L294,FALSE))+$K$3,IF(OR($L294="",$L294="-"),"",VLOOKUP($G294,為替!$A:$AX,$L294,FALSE)))</f>
        <v/>
      </c>
      <c r="N294" s="204" t="str">
        <f t="shared" si="28"/>
        <v/>
      </c>
      <c r="O294" s="205" t="str">
        <f t="shared" si="24"/>
        <v/>
      </c>
      <c r="P294" s="206" t="str">
        <f t="shared" si="29"/>
        <v/>
      </c>
    </row>
    <row r="295" spans="3:16" x14ac:dyDescent="0.4">
      <c r="C295" s="199"/>
      <c r="D295" s="200"/>
      <c r="E295" s="201"/>
      <c r="F295" s="199"/>
      <c r="H295" s="202"/>
      <c r="I295" s="185" t="str">
        <f t="shared" si="25"/>
        <v/>
      </c>
      <c r="J295" s="203" t="str">
        <f>IF($H295="USD",IF(OR($I295="",$I295="-"),"",VLOOKUP($G295,為替!$A:$AX,$I295,FALSE))+$J$3,IF(OR($I295="",$I295="-"),"",VLOOKUP($G295,為替!$A:$AX,$I295,FALSE)))</f>
        <v/>
      </c>
      <c r="K295" s="204" t="str">
        <f t="shared" si="26"/>
        <v/>
      </c>
      <c r="L295" s="188" t="str">
        <f t="shared" si="27"/>
        <v/>
      </c>
      <c r="M295" s="203" t="str">
        <f>IF($H295="USD",IF(OR($L295="",$L295="-"),"",VLOOKUP($G295,為替!$A:$AX,$L295,FALSE))+$K$3,IF(OR($L295="",$L295="-"),"",VLOOKUP($G295,為替!$A:$AX,$L295,FALSE)))</f>
        <v/>
      </c>
      <c r="N295" s="204" t="str">
        <f t="shared" si="28"/>
        <v/>
      </c>
      <c r="O295" s="205" t="str">
        <f t="shared" si="24"/>
        <v/>
      </c>
      <c r="P295" s="206" t="str">
        <f t="shared" si="29"/>
        <v/>
      </c>
    </row>
    <row r="296" spans="3:16" x14ac:dyDescent="0.4">
      <c r="C296" s="199"/>
      <c r="D296" s="200"/>
      <c r="E296" s="201"/>
      <c r="F296" s="199"/>
      <c r="H296" s="202"/>
      <c r="I296" s="185" t="str">
        <f t="shared" si="25"/>
        <v/>
      </c>
      <c r="J296" s="203" t="str">
        <f>IF($H296="USD",IF(OR($I296="",$I296="-"),"",VLOOKUP($G296,為替!$A:$AX,$I296,FALSE))+$J$3,IF(OR($I296="",$I296="-"),"",VLOOKUP($G296,為替!$A:$AX,$I296,FALSE)))</f>
        <v/>
      </c>
      <c r="K296" s="204" t="str">
        <f t="shared" si="26"/>
        <v/>
      </c>
      <c r="L296" s="188" t="str">
        <f t="shared" si="27"/>
        <v/>
      </c>
      <c r="M296" s="203" t="str">
        <f>IF($H296="USD",IF(OR($L296="",$L296="-"),"",VLOOKUP($G296,為替!$A:$AX,$L296,FALSE))+$K$3,IF(OR($L296="",$L296="-"),"",VLOOKUP($G296,為替!$A:$AX,$L296,FALSE)))</f>
        <v/>
      </c>
      <c r="N296" s="204" t="str">
        <f t="shared" si="28"/>
        <v/>
      </c>
      <c r="O296" s="205" t="str">
        <f t="shared" si="24"/>
        <v/>
      </c>
      <c r="P296" s="206" t="str">
        <f t="shared" si="29"/>
        <v/>
      </c>
    </row>
    <row r="297" spans="3:16" x14ac:dyDescent="0.4">
      <c r="C297" s="199"/>
      <c r="D297" s="200"/>
      <c r="E297" s="201"/>
      <c r="F297" s="199"/>
      <c r="H297" s="202"/>
      <c r="I297" s="185" t="str">
        <f t="shared" si="25"/>
        <v/>
      </c>
      <c r="J297" s="203" t="str">
        <f>IF($H297="USD",IF(OR($I297="",$I297="-"),"",VLOOKUP($G297,為替!$A:$AX,$I297,FALSE))+$J$3,IF(OR($I297="",$I297="-"),"",VLOOKUP($G297,為替!$A:$AX,$I297,FALSE)))</f>
        <v/>
      </c>
      <c r="K297" s="204" t="str">
        <f t="shared" si="26"/>
        <v/>
      </c>
      <c r="L297" s="188" t="str">
        <f t="shared" si="27"/>
        <v/>
      </c>
      <c r="M297" s="203" t="str">
        <f>IF($H297="USD",IF(OR($L297="",$L297="-"),"",VLOOKUP($G297,為替!$A:$AX,$L297,FALSE))+$K$3,IF(OR($L297="",$L297="-"),"",VLOOKUP($G297,為替!$A:$AX,$L297,FALSE)))</f>
        <v/>
      </c>
      <c r="N297" s="204" t="str">
        <f t="shared" si="28"/>
        <v/>
      </c>
      <c r="O297" s="205" t="str">
        <f t="shared" si="24"/>
        <v/>
      </c>
      <c r="P297" s="206" t="str">
        <f t="shared" si="29"/>
        <v/>
      </c>
    </row>
    <row r="298" spans="3:16" x14ac:dyDescent="0.4">
      <c r="C298" s="199"/>
      <c r="D298" s="200"/>
      <c r="E298" s="201"/>
      <c r="F298" s="199"/>
      <c r="H298" s="202"/>
      <c r="I298" s="185" t="str">
        <f t="shared" si="25"/>
        <v/>
      </c>
      <c r="J298" s="203" t="str">
        <f>IF($H298="USD",IF(OR($I298="",$I298="-"),"",VLOOKUP($G298,為替!$A:$AX,$I298,FALSE))+$J$3,IF(OR($I298="",$I298="-"),"",VLOOKUP($G298,為替!$A:$AX,$I298,FALSE)))</f>
        <v/>
      </c>
      <c r="K298" s="204" t="str">
        <f t="shared" si="26"/>
        <v/>
      </c>
      <c r="L298" s="188" t="str">
        <f t="shared" si="27"/>
        <v/>
      </c>
      <c r="M298" s="203" t="str">
        <f>IF($H298="USD",IF(OR($L298="",$L298="-"),"",VLOOKUP($G298,為替!$A:$AX,$L298,FALSE))+$K$3,IF(OR($L298="",$L298="-"),"",VLOOKUP($G298,為替!$A:$AX,$L298,FALSE)))</f>
        <v/>
      </c>
      <c r="N298" s="204" t="str">
        <f t="shared" si="28"/>
        <v/>
      </c>
      <c r="O298" s="205" t="str">
        <f t="shared" si="24"/>
        <v/>
      </c>
      <c r="P298" s="206" t="str">
        <f t="shared" si="29"/>
        <v/>
      </c>
    </row>
    <row r="299" spans="3:16" x14ac:dyDescent="0.4">
      <c r="C299" s="199"/>
      <c r="D299" s="200"/>
      <c r="E299" s="201"/>
      <c r="F299" s="199"/>
      <c r="H299" s="202"/>
      <c r="I299" s="185" t="str">
        <f t="shared" si="25"/>
        <v/>
      </c>
      <c r="J299" s="203" t="str">
        <f>IF($H299="USD",IF(OR($I299="",$I299="-"),"",VLOOKUP($G299,為替!$A:$AX,$I299,FALSE))+$J$3,IF(OR($I299="",$I299="-"),"",VLOOKUP($G299,為替!$A:$AX,$I299,FALSE)))</f>
        <v/>
      </c>
      <c r="K299" s="204" t="str">
        <f t="shared" si="26"/>
        <v/>
      </c>
      <c r="L299" s="188" t="str">
        <f t="shared" si="27"/>
        <v/>
      </c>
      <c r="M299" s="203" t="str">
        <f>IF($H299="USD",IF(OR($L299="",$L299="-"),"",VLOOKUP($G299,為替!$A:$AX,$L299,FALSE))+$K$3,IF(OR($L299="",$L299="-"),"",VLOOKUP($G299,為替!$A:$AX,$L299,FALSE)))</f>
        <v/>
      </c>
      <c r="N299" s="204" t="str">
        <f t="shared" si="28"/>
        <v/>
      </c>
      <c r="O299" s="205" t="str">
        <f t="shared" si="24"/>
        <v/>
      </c>
      <c r="P299" s="206" t="str">
        <f t="shared" si="29"/>
        <v/>
      </c>
    </row>
    <row r="300" spans="3:16" x14ac:dyDescent="0.4">
      <c r="C300" s="199"/>
      <c r="D300" s="200"/>
      <c r="E300" s="201"/>
      <c r="F300" s="199"/>
      <c r="H300" s="202"/>
      <c r="I300" s="185" t="str">
        <f t="shared" si="25"/>
        <v/>
      </c>
      <c r="J300" s="203" t="str">
        <f>IF($H300="USD",IF(OR($I300="",$I300="-"),"",VLOOKUP($G300,為替!$A:$AX,$I300,FALSE))+$J$3,IF(OR($I300="",$I300="-"),"",VLOOKUP($G300,為替!$A:$AX,$I300,FALSE)))</f>
        <v/>
      </c>
      <c r="K300" s="204" t="str">
        <f t="shared" si="26"/>
        <v/>
      </c>
      <c r="L300" s="188" t="str">
        <f t="shared" si="27"/>
        <v/>
      </c>
      <c r="M300" s="203" t="str">
        <f>IF($H300="USD",IF(OR($L300="",$L300="-"),"",VLOOKUP($G300,為替!$A:$AX,$L300,FALSE))+$K$3,IF(OR($L300="",$L300="-"),"",VLOOKUP($G300,為替!$A:$AX,$L300,FALSE)))</f>
        <v/>
      </c>
      <c r="N300" s="204" t="str">
        <f t="shared" si="28"/>
        <v/>
      </c>
      <c r="O300" s="205" t="str">
        <f t="shared" si="24"/>
        <v/>
      </c>
      <c r="P300" s="206" t="str">
        <f t="shared" si="29"/>
        <v/>
      </c>
    </row>
    <row r="301" spans="3:16" x14ac:dyDescent="0.4">
      <c r="C301" s="199"/>
      <c r="D301" s="200"/>
      <c r="E301" s="201"/>
      <c r="F301" s="199"/>
      <c r="H301" s="202"/>
      <c r="I301" s="185" t="str">
        <f t="shared" si="25"/>
        <v/>
      </c>
      <c r="J301" s="203" t="str">
        <f>IF($H301="USD",IF(OR($I301="",$I301="-"),"",VLOOKUP($G301,為替!$A:$AX,$I301,FALSE))+$J$3,IF(OR($I301="",$I301="-"),"",VLOOKUP($G301,為替!$A:$AX,$I301,FALSE)))</f>
        <v/>
      </c>
      <c r="K301" s="204" t="str">
        <f t="shared" si="26"/>
        <v/>
      </c>
      <c r="L301" s="188" t="str">
        <f t="shared" si="27"/>
        <v/>
      </c>
      <c r="M301" s="203" t="str">
        <f>IF($H301="USD",IF(OR($L301="",$L301="-"),"",VLOOKUP($G301,為替!$A:$AX,$L301,FALSE))+$K$3,IF(OR($L301="",$L301="-"),"",VLOOKUP($G301,為替!$A:$AX,$L301,FALSE)))</f>
        <v/>
      </c>
      <c r="N301" s="204" t="str">
        <f t="shared" si="28"/>
        <v/>
      </c>
      <c r="O301" s="205" t="str">
        <f t="shared" si="24"/>
        <v/>
      </c>
      <c r="P301" s="206" t="str">
        <f t="shared" si="29"/>
        <v/>
      </c>
    </row>
    <row r="302" spans="3:16" x14ac:dyDescent="0.4">
      <c r="C302" s="199"/>
      <c r="D302" s="200"/>
      <c r="E302" s="201"/>
      <c r="F302" s="199"/>
      <c r="H302" s="202"/>
      <c r="I302" s="185" t="str">
        <f t="shared" si="25"/>
        <v/>
      </c>
      <c r="J302" s="203" t="str">
        <f>IF($H302="USD",IF(OR($I302="",$I302="-"),"",VLOOKUP($G302,為替!$A:$AX,$I302,FALSE))+$J$3,IF(OR($I302="",$I302="-"),"",VLOOKUP($G302,為替!$A:$AX,$I302,FALSE)))</f>
        <v/>
      </c>
      <c r="K302" s="204" t="str">
        <f t="shared" si="26"/>
        <v/>
      </c>
      <c r="L302" s="188" t="str">
        <f t="shared" si="27"/>
        <v/>
      </c>
      <c r="M302" s="203" t="str">
        <f>IF($H302="USD",IF(OR($L302="",$L302="-"),"",VLOOKUP($G302,為替!$A:$AX,$L302,FALSE))+$K$3,IF(OR($L302="",$L302="-"),"",VLOOKUP($G302,為替!$A:$AX,$L302,FALSE)))</f>
        <v/>
      </c>
      <c r="N302" s="204" t="str">
        <f t="shared" si="28"/>
        <v/>
      </c>
      <c r="O302" s="205" t="str">
        <f t="shared" si="24"/>
        <v/>
      </c>
      <c r="P302" s="206" t="str">
        <f t="shared" si="29"/>
        <v/>
      </c>
    </row>
    <row r="303" spans="3:16" x14ac:dyDescent="0.4">
      <c r="C303" s="199"/>
      <c r="D303" s="200"/>
      <c r="E303" s="201"/>
      <c r="F303" s="199"/>
      <c r="H303" s="202"/>
      <c r="I303" s="185" t="str">
        <f t="shared" si="25"/>
        <v/>
      </c>
      <c r="J303" s="203" t="str">
        <f>IF($H303="USD",IF(OR($I303="",$I303="-"),"",VLOOKUP($G303,為替!$A:$AX,$I303,FALSE))+$J$3,IF(OR($I303="",$I303="-"),"",VLOOKUP($G303,為替!$A:$AX,$I303,FALSE)))</f>
        <v/>
      </c>
      <c r="K303" s="204" t="str">
        <f t="shared" si="26"/>
        <v/>
      </c>
      <c r="L303" s="188" t="str">
        <f t="shared" si="27"/>
        <v/>
      </c>
      <c r="M303" s="203" t="str">
        <f>IF($H303="USD",IF(OR($L303="",$L303="-"),"",VLOOKUP($G303,為替!$A:$AX,$L303,FALSE))+$K$3,IF(OR($L303="",$L303="-"),"",VLOOKUP($G303,為替!$A:$AX,$L303,FALSE)))</f>
        <v/>
      </c>
      <c r="N303" s="204" t="str">
        <f t="shared" si="28"/>
        <v/>
      </c>
      <c r="O303" s="205" t="str">
        <f t="shared" si="24"/>
        <v/>
      </c>
      <c r="P303" s="206" t="str">
        <f t="shared" si="29"/>
        <v/>
      </c>
    </row>
    <row r="304" spans="3:16" x14ac:dyDescent="0.4">
      <c r="C304" s="199"/>
      <c r="D304" s="200"/>
      <c r="E304" s="201"/>
      <c r="F304" s="199"/>
      <c r="H304" s="202"/>
      <c r="I304" s="185" t="str">
        <f t="shared" si="25"/>
        <v/>
      </c>
      <c r="J304" s="203" t="str">
        <f>IF($H304="USD",IF(OR($I304="",$I304="-"),"",VLOOKUP($G304,為替!$A:$AX,$I304,FALSE))+$J$3,IF(OR($I304="",$I304="-"),"",VLOOKUP($G304,為替!$A:$AX,$I304,FALSE)))</f>
        <v/>
      </c>
      <c r="K304" s="204" t="str">
        <f t="shared" si="26"/>
        <v/>
      </c>
      <c r="L304" s="188" t="str">
        <f t="shared" si="27"/>
        <v/>
      </c>
      <c r="M304" s="203" t="str">
        <f>IF($H304="USD",IF(OR($L304="",$L304="-"),"",VLOOKUP($G304,為替!$A:$AX,$L304,FALSE))+$K$3,IF(OR($L304="",$L304="-"),"",VLOOKUP($G304,為替!$A:$AX,$L304,FALSE)))</f>
        <v/>
      </c>
      <c r="N304" s="204" t="str">
        <f t="shared" si="28"/>
        <v/>
      </c>
      <c r="O304" s="205" t="str">
        <f t="shared" si="24"/>
        <v/>
      </c>
      <c r="P304" s="206" t="str">
        <f t="shared" si="29"/>
        <v/>
      </c>
    </row>
    <row r="305" spans="3:16" x14ac:dyDescent="0.4">
      <c r="C305" s="199"/>
      <c r="D305" s="200"/>
      <c r="E305" s="201"/>
      <c r="F305" s="199"/>
      <c r="H305" s="202"/>
      <c r="I305" s="185" t="str">
        <f t="shared" si="25"/>
        <v/>
      </c>
      <c r="J305" s="203" t="str">
        <f>IF($H305="USD",IF(OR($I305="",$I305="-"),"",VLOOKUP($G305,為替!$A:$AX,$I305,FALSE))+$J$3,IF(OR($I305="",$I305="-"),"",VLOOKUP($G305,為替!$A:$AX,$I305,FALSE)))</f>
        <v/>
      </c>
      <c r="K305" s="204" t="str">
        <f t="shared" si="26"/>
        <v/>
      </c>
      <c r="L305" s="188" t="str">
        <f t="shared" si="27"/>
        <v/>
      </c>
      <c r="M305" s="203" t="str">
        <f>IF($H305="USD",IF(OR($L305="",$L305="-"),"",VLOOKUP($G305,為替!$A:$AX,$L305,FALSE))+$K$3,IF(OR($L305="",$L305="-"),"",VLOOKUP($G305,為替!$A:$AX,$L305,FALSE)))</f>
        <v/>
      </c>
      <c r="N305" s="204" t="str">
        <f t="shared" si="28"/>
        <v/>
      </c>
      <c r="O305" s="205" t="str">
        <f t="shared" si="24"/>
        <v/>
      </c>
      <c r="P305" s="206" t="str">
        <f t="shared" si="29"/>
        <v/>
      </c>
    </row>
    <row r="306" spans="3:16" x14ac:dyDescent="0.4">
      <c r="C306" s="199"/>
      <c r="D306" s="200"/>
      <c r="E306" s="201"/>
      <c r="F306" s="199"/>
      <c r="H306" s="202"/>
      <c r="I306" s="185" t="str">
        <f t="shared" si="25"/>
        <v/>
      </c>
      <c r="J306" s="203" t="str">
        <f>IF($H306="USD",IF(OR($I306="",$I306="-"),"",VLOOKUP($G306,為替!$A:$AX,$I306,FALSE))+$J$3,IF(OR($I306="",$I306="-"),"",VLOOKUP($G306,為替!$A:$AX,$I306,FALSE)))</f>
        <v/>
      </c>
      <c r="K306" s="204" t="str">
        <f t="shared" si="26"/>
        <v/>
      </c>
      <c r="L306" s="188" t="str">
        <f t="shared" si="27"/>
        <v/>
      </c>
      <c r="M306" s="203" t="str">
        <f>IF($H306="USD",IF(OR($L306="",$L306="-"),"",VLOOKUP($G306,為替!$A:$AX,$L306,FALSE))+$K$3,IF(OR($L306="",$L306="-"),"",VLOOKUP($G306,為替!$A:$AX,$L306,FALSE)))</f>
        <v/>
      </c>
      <c r="N306" s="204" t="str">
        <f t="shared" si="28"/>
        <v/>
      </c>
      <c r="O306" s="205" t="str">
        <f t="shared" si="24"/>
        <v/>
      </c>
      <c r="P306" s="206" t="str">
        <f t="shared" si="29"/>
        <v/>
      </c>
    </row>
    <row r="307" spans="3:16" x14ac:dyDescent="0.4">
      <c r="C307" s="199"/>
      <c r="D307" s="200"/>
      <c r="E307" s="201"/>
      <c r="F307" s="199"/>
      <c r="H307" s="202"/>
      <c r="I307" s="185" t="str">
        <f t="shared" si="25"/>
        <v/>
      </c>
      <c r="J307" s="203" t="str">
        <f>IF($H307="USD",IF(OR($I307="",$I307="-"),"",VLOOKUP($G307,為替!$A:$AX,$I307,FALSE))+$J$3,IF(OR($I307="",$I307="-"),"",VLOOKUP($G307,為替!$A:$AX,$I307,FALSE)))</f>
        <v/>
      </c>
      <c r="K307" s="204" t="str">
        <f t="shared" si="26"/>
        <v/>
      </c>
      <c r="L307" s="188" t="str">
        <f t="shared" si="27"/>
        <v/>
      </c>
      <c r="M307" s="203" t="str">
        <f>IF($H307="USD",IF(OR($L307="",$L307="-"),"",VLOOKUP($G307,為替!$A:$AX,$L307,FALSE))+$K$3,IF(OR($L307="",$L307="-"),"",VLOOKUP($G307,為替!$A:$AX,$L307,FALSE)))</f>
        <v/>
      </c>
      <c r="N307" s="204" t="str">
        <f t="shared" si="28"/>
        <v/>
      </c>
      <c r="O307" s="205" t="str">
        <f t="shared" si="24"/>
        <v/>
      </c>
      <c r="P307" s="206" t="str">
        <f t="shared" si="29"/>
        <v/>
      </c>
    </row>
    <row r="308" spans="3:16" x14ac:dyDescent="0.4">
      <c r="C308" s="199"/>
      <c r="D308" s="200"/>
      <c r="E308" s="201"/>
      <c r="F308" s="199"/>
      <c r="H308" s="202"/>
      <c r="I308" s="185" t="str">
        <f t="shared" si="25"/>
        <v/>
      </c>
      <c r="J308" s="203" t="str">
        <f>IF($H308="USD",IF(OR($I308="",$I308="-"),"",VLOOKUP($G308,為替!$A:$AX,$I308,FALSE))+$J$3,IF(OR($I308="",$I308="-"),"",VLOOKUP($G308,為替!$A:$AX,$I308,FALSE)))</f>
        <v/>
      </c>
      <c r="K308" s="204" t="str">
        <f t="shared" si="26"/>
        <v/>
      </c>
      <c r="L308" s="188" t="str">
        <f t="shared" si="27"/>
        <v/>
      </c>
      <c r="M308" s="203" t="str">
        <f>IF($H308="USD",IF(OR($L308="",$L308="-"),"",VLOOKUP($G308,為替!$A:$AX,$L308,FALSE))+$K$3,IF(OR($L308="",$L308="-"),"",VLOOKUP($G308,為替!$A:$AX,$L308,FALSE)))</f>
        <v/>
      </c>
      <c r="N308" s="204" t="str">
        <f t="shared" si="28"/>
        <v/>
      </c>
      <c r="O308" s="205" t="str">
        <f t="shared" si="24"/>
        <v/>
      </c>
      <c r="P308" s="206" t="str">
        <f t="shared" si="29"/>
        <v/>
      </c>
    </row>
    <row r="309" spans="3:16" x14ac:dyDescent="0.4">
      <c r="C309" s="199"/>
      <c r="D309" s="200"/>
      <c r="E309" s="201"/>
      <c r="F309" s="199"/>
      <c r="H309" s="202"/>
      <c r="I309" s="185" t="str">
        <f t="shared" si="25"/>
        <v/>
      </c>
      <c r="J309" s="203" t="str">
        <f>IF($H309="USD",IF(OR($I309="",$I309="-"),"",VLOOKUP($G309,為替!$A:$AX,$I309,FALSE))+$J$3,IF(OR($I309="",$I309="-"),"",VLOOKUP($G309,為替!$A:$AX,$I309,FALSE)))</f>
        <v/>
      </c>
      <c r="K309" s="204" t="str">
        <f t="shared" si="26"/>
        <v/>
      </c>
      <c r="L309" s="188" t="str">
        <f t="shared" si="27"/>
        <v/>
      </c>
      <c r="M309" s="203" t="str">
        <f>IF($H309="USD",IF(OR($L309="",$L309="-"),"",VLOOKUP($G309,為替!$A:$AX,$L309,FALSE))+$K$3,IF(OR($L309="",$L309="-"),"",VLOOKUP($G309,為替!$A:$AX,$L309,FALSE)))</f>
        <v/>
      </c>
      <c r="N309" s="204" t="str">
        <f t="shared" si="28"/>
        <v/>
      </c>
      <c r="O309" s="205" t="str">
        <f t="shared" si="24"/>
        <v/>
      </c>
      <c r="P309" s="206" t="str">
        <f t="shared" si="29"/>
        <v/>
      </c>
    </row>
    <row r="310" spans="3:16" x14ac:dyDescent="0.4">
      <c r="C310" s="199"/>
      <c r="D310" s="200"/>
      <c r="E310" s="201"/>
      <c r="F310" s="199"/>
      <c r="H310" s="202"/>
      <c r="I310" s="185" t="str">
        <f t="shared" si="25"/>
        <v/>
      </c>
      <c r="J310" s="203" t="str">
        <f>IF($H310="USD",IF(OR($I310="",$I310="-"),"",VLOOKUP($G310,為替!$A:$AX,$I310,FALSE))+$J$3,IF(OR($I310="",$I310="-"),"",VLOOKUP($G310,為替!$A:$AX,$I310,FALSE)))</f>
        <v/>
      </c>
      <c r="K310" s="204" t="str">
        <f t="shared" si="26"/>
        <v/>
      </c>
      <c r="L310" s="188" t="str">
        <f t="shared" si="27"/>
        <v/>
      </c>
      <c r="M310" s="203" t="str">
        <f>IF($H310="USD",IF(OR($L310="",$L310="-"),"",VLOOKUP($G310,為替!$A:$AX,$L310,FALSE))+$K$3,IF(OR($L310="",$L310="-"),"",VLOOKUP($G310,為替!$A:$AX,$L310,FALSE)))</f>
        <v/>
      </c>
      <c r="N310" s="204" t="str">
        <f t="shared" si="28"/>
        <v/>
      </c>
      <c r="O310" s="205" t="str">
        <f t="shared" si="24"/>
        <v/>
      </c>
      <c r="P310" s="206" t="str">
        <f t="shared" si="29"/>
        <v/>
      </c>
    </row>
    <row r="311" spans="3:16" x14ac:dyDescent="0.4">
      <c r="C311" s="199"/>
      <c r="D311" s="200"/>
      <c r="E311" s="201"/>
      <c r="F311" s="199"/>
      <c r="H311" s="202"/>
      <c r="I311" s="185" t="str">
        <f t="shared" si="25"/>
        <v/>
      </c>
      <c r="J311" s="203" t="str">
        <f>IF($H311="USD",IF(OR($I311="",$I311="-"),"",VLOOKUP($G311,為替!$A:$AX,$I311,FALSE))+$J$3,IF(OR($I311="",$I311="-"),"",VLOOKUP($G311,為替!$A:$AX,$I311,FALSE)))</f>
        <v/>
      </c>
      <c r="K311" s="204" t="str">
        <f t="shared" si="26"/>
        <v/>
      </c>
      <c r="L311" s="188" t="str">
        <f t="shared" si="27"/>
        <v/>
      </c>
      <c r="M311" s="203" t="str">
        <f>IF($H311="USD",IF(OR($L311="",$L311="-"),"",VLOOKUP($G311,為替!$A:$AX,$L311,FALSE))+$K$3,IF(OR($L311="",$L311="-"),"",VLOOKUP($G311,為替!$A:$AX,$L311,FALSE)))</f>
        <v/>
      </c>
      <c r="N311" s="204" t="str">
        <f t="shared" si="28"/>
        <v/>
      </c>
      <c r="O311" s="205" t="str">
        <f t="shared" si="24"/>
        <v/>
      </c>
      <c r="P311" s="206" t="str">
        <f t="shared" si="29"/>
        <v/>
      </c>
    </row>
    <row r="312" spans="3:16" x14ac:dyDescent="0.4">
      <c r="C312" s="199"/>
      <c r="D312" s="200"/>
      <c r="E312" s="201"/>
      <c r="F312" s="199"/>
      <c r="H312" s="202"/>
      <c r="I312" s="185" t="str">
        <f t="shared" si="25"/>
        <v/>
      </c>
      <c r="J312" s="203" t="str">
        <f>IF($H312="USD",IF(OR($I312="",$I312="-"),"",VLOOKUP($G312,為替!$A:$AX,$I312,FALSE))+$J$3,IF(OR($I312="",$I312="-"),"",VLOOKUP($G312,為替!$A:$AX,$I312,FALSE)))</f>
        <v/>
      </c>
      <c r="K312" s="204" t="str">
        <f t="shared" si="26"/>
        <v/>
      </c>
      <c r="L312" s="188" t="str">
        <f t="shared" si="27"/>
        <v/>
      </c>
      <c r="M312" s="203" t="str">
        <f>IF($H312="USD",IF(OR($L312="",$L312="-"),"",VLOOKUP($G312,為替!$A:$AX,$L312,FALSE))+$K$3,IF(OR($L312="",$L312="-"),"",VLOOKUP($G312,為替!$A:$AX,$L312,FALSE)))</f>
        <v/>
      </c>
      <c r="N312" s="204" t="str">
        <f t="shared" si="28"/>
        <v/>
      </c>
      <c r="O312" s="205" t="str">
        <f t="shared" si="24"/>
        <v/>
      </c>
      <c r="P312" s="206" t="str">
        <f t="shared" si="29"/>
        <v/>
      </c>
    </row>
    <row r="313" spans="3:16" x14ac:dyDescent="0.4">
      <c r="C313" s="199"/>
      <c r="D313" s="200"/>
      <c r="E313" s="201"/>
      <c r="F313" s="199"/>
      <c r="H313" s="202"/>
      <c r="I313" s="185" t="str">
        <f t="shared" si="25"/>
        <v/>
      </c>
      <c r="J313" s="203" t="str">
        <f>IF($H313="USD",IF(OR($I313="",$I313="-"),"",VLOOKUP($G313,為替!$A:$AX,$I313,FALSE))+$J$3,IF(OR($I313="",$I313="-"),"",VLOOKUP($G313,為替!$A:$AX,$I313,FALSE)))</f>
        <v/>
      </c>
      <c r="K313" s="204" t="str">
        <f t="shared" si="26"/>
        <v/>
      </c>
      <c r="L313" s="188" t="str">
        <f t="shared" si="27"/>
        <v/>
      </c>
      <c r="M313" s="203" t="str">
        <f>IF($H313="USD",IF(OR($L313="",$L313="-"),"",VLOOKUP($G313,為替!$A:$AX,$L313,FALSE))+$K$3,IF(OR($L313="",$L313="-"),"",VLOOKUP($G313,為替!$A:$AX,$L313,FALSE)))</f>
        <v/>
      </c>
      <c r="N313" s="204" t="str">
        <f t="shared" si="28"/>
        <v/>
      </c>
      <c r="O313" s="205" t="str">
        <f t="shared" si="24"/>
        <v/>
      </c>
      <c r="P313" s="206" t="str">
        <f t="shared" si="29"/>
        <v/>
      </c>
    </row>
    <row r="314" spans="3:16" x14ac:dyDescent="0.4">
      <c r="C314" s="199"/>
      <c r="D314" s="200"/>
      <c r="E314" s="201"/>
      <c r="F314" s="199"/>
      <c r="H314" s="202"/>
      <c r="I314" s="185" t="str">
        <f t="shared" si="25"/>
        <v/>
      </c>
      <c r="J314" s="203" t="str">
        <f>IF($H314="USD",IF(OR($I314="",$I314="-"),"",VLOOKUP($G314,為替!$A:$AX,$I314,FALSE))+$J$3,IF(OR($I314="",$I314="-"),"",VLOOKUP($G314,為替!$A:$AX,$I314,FALSE)))</f>
        <v/>
      </c>
      <c r="K314" s="204" t="str">
        <f t="shared" si="26"/>
        <v/>
      </c>
      <c r="L314" s="188" t="str">
        <f t="shared" si="27"/>
        <v/>
      </c>
      <c r="M314" s="203" t="str">
        <f>IF($H314="USD",IF(OR($L314="",$L314="-"),"",VLOOKUP($G314,為替!$A:$AX,$L314,FALSE))+$K$3,IF(OR($L314="",$L314="-"),"",VLOOKUP($G314,為替!$A:$AX,$L314,FALSE)))</f>
        <v/>
      </c>
      <c r="N314" s="204" t="str">
        <f t="shared" si="28"/>
        <v/>
      </c>
      <c r="O314" s="205" t="str">
        <f t="shared" si="24"/>
        <v/>
      </c>
      <c r="P314" s="206" t="str">
        <f t="shared" si="29"/>
        <v/>
      </c>
    </row>
    <row r="315" spans="3:16" x14ac:dyDescent="0.4">
      <c r="C315" s="199"/>
      <c r="D315" s="200"/>
      <c r="E315" s="201"/>
      <c r="F315" s="199"/>
      <c r="H315" s="202"/>
      <c r="I315" s="185" t="str">
        <f t="shared" si="25"/>
        <v/>
      </c>
      <c r="J315" s="203" t="str">
        <f>IF($H315="USD",IF(OR($I315="",$I315="-"),"",VLOOKUP($G315,為替!$A:$AX,$I315,FALSE))+$J$3,IF(OR($I315="",$I315="-"),"",VLOOKUP($G315,為替!$A:$AX,$I315,FALSE)))</f>
        <v/>
      </c>
      <c r="K315" s="204" t="str">
        <f t="shared" si="26"/>
        <v/>
      </c>
      <c r="L315" s="188" t="str">
        <f t="shared" si="27"/>
        <v/>
      </c>
      <c r="M315" s="203" t="str">
        <f>IF($H315="USD",IF(OR($L315="",$L315="-"),"",VLOOKUP($G315,為替!$A:$AX,$L315,FALSE))+$K$3,IF(OR($L315="",$L315="-"),"",VLOOKUP($G315,為替!$A:$AX,$L315,FALSE)))</f>
        <v/>
      </c>
      <c r="N315" s="204" t="str">
        <f t="shared" si="28"/>
        <v/>
      </c>
      <c r="O315" s="205" t="str">
        <f t="shared" si="24"/>
        <v/>
      </c>
      <c r="P315" s="206" t="str">
        <f t="shared" si="29"/>
        <v/>
      </c>
    </row>
    <row r="316" spans="3:16" x14ac:dyDescent="0.4">
      <c r="C316" s="199"/>
      <c r="D316" s="200"/>
      <c r="E316" s="201"/>
      <c r="F316" s="199"/>
      <c r="H316" s="202"/>
      <c r="I316" s="185" t="str">
        <f t="shared" si="25"/>
        <v/>
      </c>
      <c r="J316" s="203" t="str">
        <f>IF($H316="USD",IF(OR($I316="",$I316="-"),"",VLOOKUP($G316,為替!$A:$AX,$I316,FALSE))+$J$3,IF(OR($I316="",$I316="-"),"",VLOOKUP($G316,為替!$A:$AX,$I316,FALSE)))</f>
        <v/>
      </c>
      <c r="K316" s="204" t="str">
        <f t="shared" si="26"/>
        <v/>
      </c>
      <c r="L316" s="188" t="str">
        <f t="shared" si="27"/>
        <v/>
      </c>
      <c r="M316" s="203" t="str">
        <f>IF($H316="USD",IF(OR($L316="",$L316="-"),"",VLOOKUP($G316,為替!$A:$AX,$L316,FALSE))+$K$3,IF(OR($L316="",$L316="-"),"",VLOOKUP($G316,為替!$A:$AX,$L316,FALSE)))</f>
        <v/>
      </c>
      <c r="N316" s="204" t="str">
        <f t="shared" si="28"/>
        <v/>
      </c>
      <c r="O316" s="205" t="str">
        <f t="shared" si="24"/>
        <v/>
      </c>
      <c r="P316" s="206" t="str">
        <f t="shared" si="29"/>
        <v/>
      </c>
    </row>
    <row r="317" spans="3:16" x14ac:dyDescent="0.4">
      <c r="C317" s="199"/>
      <c r="D317" s="200"/>
      <c r="E317" s="201"/>
      <c r="F317" s="199"/>
      <c r="H317" s="202"/>
      <c r="I317" s="185" t="str">
        <f t="shared" si="25"/>
        <v/>
      </c>
      <c r="J317" s="203" t="str">
        <f>IF($H317="USD",IF(OR($I317="",$I317="-"),"",VLOOKUP($G317,為替!$A:$AX,$I317,FALSE))+$J$3,IF(OR($I317="",$I317="-"),"",VLOOKUP($G317,為替!$A:$AX,$I317,FALSE)))</f>
        <v/>
      </c>
      <c r="K317" s="204" t="str">
        <f t="shared" si="26"/>
        <v/>
      </c>
      <c r="L317" s="188" t="str">
        <f t="shared" si="27"/>
        <v/>
      </c>
      <c r="M317" s="203" t="str">
        <f>IF($H317="USD",IF(OR($L317="",$L317="-"),"",VLOOKUP($G317,為替!$A:$AX,$L317,FALSE))+$K$3,IF(OR($L317="",$L317="-"),"",VLOOKUP($G317,為替!$A:$AX,$L317,FALSE)))</f>
        <v/>
      </c>
      <c r="N317" s="204" t="str">
        <f t="shared" si="28"/>
        <v/>
      </c>
      <c r="O317" s="205" t="str">
        <f t="shared" si="24"/>
        <v/>
      </c>
      <c r="P317" s="206" t="str">
        <f t="shared" si="29"/>
        <v/>
      </c>
    </row>
    <row r="318" spans="3:16" x14ac:dyDescent="0.4">
      <c r="C318" s="199"/>
      <c r="D318" s="200"/>
      <c r="E318" s="201"/>
      <c r="F318" s="199"/>
      <c r="H318" s="202"/>
      <c r="I318" s="185" t="str">
        <f t="shared" si="25"/>
        <v/>
      </c>
      <c r="J318" s="203" t="str">
        <f>IF($H318="USD",IF(OR($I318="",$I318="-"),"",VLOOKUP($G318,為替!$A:$AX,$I318,FALSE))+$J$3,IF(OR($I318="",$I318="-"),"",VLOOKUP($G318,為替!$A:$AX,$I318,FALSE)))</f>
        <v/>
      </c>
      <c r="K318" s="204" t="str">
        <f t="shared" si="26"/>
        <v/>
      </c>
      <c r="L318" s="188" t="str">
        <f t="shared" si="27"/>
        <v/>
      </c>
      <c r="M318" s="203" t="str">
        <f>IF($H318="USD",IF(OR($L318="",$L318="-"),"",VLOOKUP($G318,為替!$A:$AX,$L318,FALSE))+$K$3,IF(OR($L318="",$L318="-"),"",VLOOKUP($G318,為替!$A:$AX,$L318,FALSE)))</f>
        <v/>
      </c>
      <c r="N318" s="204" t="str">
        <f t="shared" si="28"/>
        <v/>
      </c>
      <c r="O318" s="205" t="str">
        <f t="shared" si="24"/>
        <v/>
      </c>
      <c r="P318" s="206" t="str">
        <f t="shared" si="29"/>
        <v/>
      </c>
    </row>
    <row r="319" spans="3:16" x14ac:dyDescent="0.4">
      <c r="C319" s="199"/>
      <c r="D319" s="200"/>
      <c r="E319" s="201"/>
      <c r="F319" s="199"/>
      <c r="H319" s="202"/>
      <c r="I319" s="185" t="str">
        <f t="shared" si="25"/>
        <v/>
      </c>
      <c r="J319" s="203" t="str">
        <f>IF($H319="USD",IF(OR($I319="",$I319="-"),"",VLOOKUP($G319,為替!$A:$AX,$I319,FALSE))+$J$3,IF(OR($I319="",$I319="-"),"",VLOOKUP($G319,為替!$A:$AX,$I319,FALSE)))</f>
        <v/>
      </c>
      <c r="K319" s="204" t="str">
        <f t="shared" si="26"/>
        <v/>
      </c>
      <c r="L319" s="188" t="str">
        <f t="shared" si="27"/>
        <v/>
      </c>
      <c r="M319" s="203" t="str">
        <f>IF($H319="USD",IF(OR($L319="",$L319="-"),"",VLOOKUP($G319,為替!$A:$AX,$L319,FALSE))+$K$3,IF(OR($L319="",$L319="-"),"",VLOOKUP($G319,為替!$A:$AX,$L319,FALSE)))</f>
        <v/>
      </c>
      <c r="N319" s="204" t="str">
        <f t="shared" si="28"/>
        <v/>
      </c>
      <c r="O319" s="205" t="str">
        <f t="shared" si="24"/>
        <v/>
      </c>
      <c r="P319" s="206" t="str">
        <f t="shared" si="29"/>
        <v/>
      </c>
    </row>
    <row r="320" spans="3:16" x14ac:dyDescent="0.4">
      <c r="C320" s="199"/>
      <c r="D320" s="200"/>
      <c r="E320" s="201"/>
      <c r="F320" s="199"/>
      <c r="H320" s="202"/>
      <c r="I320" s="185" t="str">
        <f t="shared" si="25"/>
        <v/>
      </c>
      <c r="J320" s="203" t="str">
        <f>IF($H320="USD",IF(OR($I320="",$I320="-"),"",VLOOKUP($G320,為替!$A:$AX,$I320,FALSE))+$J$3,IF(OR($I320="",$I320="-"),"",VLOOKUP($G320,為替!$A:$AX,$I320,FALSE)))</f>
        <v/>
      </c>
      <c r="K320" s="204" t="str">
        <f t="shared" si="26"/>
        <v/>
      </c>
      <c r="L320" s="188" t="str">
        <f t="shared" si="27"/>
        <v/>
      </c>
      <c r="M320" s="203" t="str">
        <f>IF($H320="USD",IF(OR($L320="",$L320="-"),"",VLOOKUP($G320,為替!$A:$AX,$L320,FALSE))+$K$3,IF(OR($L320="",$L320="-"),"",VLOOKUP($G320,為替!$A:$AX,$L320,FALSE)))</f>
        <v/>
      </c>
      <c r="N320" s="204" t="str">
        <f t="shared" si="28"/>
        <v/>
      </c>
      <c r="O320" s="205" t="str">
        <f t="shared" si="24"/>
        <v/>
      </c>
      <c r="P320" s="206" t="str">
        <f t="shared" si="29"/>
        <v/>
      </c>
    </row>
    <row r="321" spans="3:16" x14ac:dyDescent="0.4">
      <c r="C321" s="199"/>
      <c r="D321" s="200"/>
      <c r="E321" s="201"/>
      <c r="F321" s="199"/>
      <c r="H321" s="202"/>
      <c r="I321" s="185" t="str">
        <f t="shared" si="25"/>
        <v/>
      </c>
      <c r="J321" s="203" t="str">
        <f>IF($H321="USD",IF(OR($I321="",$I321="-"),"",VLOOKUP($G321,為替!$A:$AX,$I321,FALSE))+$J$3,IF(OR($I321="",$I321="-"),"",VLOOKUP($G321,為替!$A:$AX,$I321,FALSE)))</f>
        <v/>
      </c>
      <c r="K321" s="204" t="str">
        <f t="shared" si="26"/>
        <v/>
      </c>
      <c r="L321" s="188" t="str">
        <f t="shared" si="27"/>
        <v/>
      </c>
      <c r="M321" s="203" t="str">
        <f>IF($H321="USD",IF(OR($L321="",$L321="-"),"",VLOOKUP($G321,為替!$A:$AX,$L321,FALSE))+$K$3,IF(OR($L321="",$L321="-"),"",VLOOKUP($G321,為替!$A:$AX,$L321,FALSE)))</f>
        <v/>
      </c>
      <c r="N321" s="204" t="str">
        <f t="shared" si="28"/>
        <v/>
      </c>
      <c r="O321" s="205" t="str">
        <f t="shared" si="24"/>
        <v/>
      </c>
      <c r="P321" s="206" t="str">
        <f t="shared" si="29"/>
        <v/>
      </c>
    </row>
    <row r="322" spans="3:16" x14ac:dyDescent="0.4">
      <c r="C322" s="199"/>
      <c r="D322" s="200"/>
      <c r="E322" s="201"/>
      <c r="F322" s="199"/>
      <c r="H322" s="202"/>
      <c r="I322" s="185" t="str">
        <f t="shared" si="25"/>
        <v/>
      </c>
      <c r="J322" s="203" t="str">
        <f>IF($H322="USD",IF(OR($I322="",$I322="-"),"",VLOOKUP($G322,為替!$A:$AX,$I322,FALSE))+$J$3,IF(OR($I322="",$I322="-"),"",VLOOKUP($G322,為替!$A:$AX,$I322,FALSE)))</f>
        <v/>
      </c>
      <c r="K322" s="204" t="str">
        <f t="shared" si="26"/>
        <v/>
      </c>
      <c r="L322" s="188" t="str">
        <f t="shared" si="27"/>
        <v/>
      </c>
      <c r="M322" s="203" t="str">
        <f>IF($H322="USD",IF(OR($L322="",$L322="-"),"",VLOOKUP($G322,為替!$A:$AX,$L322,FALSE))+$K$3,IF(OR($L322="",$L322="-"),"",VLOOKUP($G322,為替!$A:$AX,$L322,FALSE)))</f>
        <v/>
      </c>
      <c r="N322" s="204" t="str">
        <f t="shared" si="28"/>
        <v/>
      </c>
      <c r="O322" s="205" t="str">
        <f t="shared" si="24"/>
        <v/>
      </c>
      <c r="P322" s="206" t="str">
        <f t="shared" si="29"/>
        <v/>
      </c>
    </row>
    <row r="323" spans="3:16" x14ac:dyDescent="0.4">
      <c r="C323" s="199"/>
      <c r="D323" s="200"/>
      <c r="E323" s="201"/>
      <c r="F323" s="199"/>
      <c r="H323" s="202"/>
      <c r="I323" s="185" t="str">
        <f t="shared" si="25"/>
        <v/>
      </c>
      <c r="J323" s="203" t="str">
        <f>IF($H323="USD",IF(OR($I323="",$I323="-"),"",VLOOKUP($G323,為替!$A:$AX,$I323,FALSE))+$J$3,IF(OR($I323="",$I323="-"),"",VLOOKUP($G323,為替!$A:$AX,$I323,FALSE)))</f>
        <v/>
      </c>
      <c r="K323" s="204" t="str">
        <f t="shared" si="26"/>
        <v/>
      </c>
      <c r="L323" s="188" t="str">
        <f t="shared" si="27"/>
        <v/>
      </c>
      <c r="M323" s="203" t="str">
        <f>IF($H323="USD",IF(OR($L323="",$L323="-"),"",VLOOKUP($G323,為替!$A:$AX,$L323,FALSE))+$K$3,IF(OR($L323="",$L323="-"),"",VLOOKUP($G323,為替!$A:$AX,$L323,FALSE)))</f>
        <v/>
      </c>
      <c r="N323" s="204" t="str">
        <f t="shared" si="28"/>
        <v/>
      </c>
      <c r="O323" s="205" t="str">
        <f t="shared" si="24"/>
        <v/>
      </c>
      <c r="P323" s="206" t="str">
        <f t="shared" si="29"/>
        <v/>
      </c>
    </row>
    <row r="324" spans="3:16" x14ac:dyDescent="0.4">
      <c r="C324" s="199"/>
      <c r="D324" s="200"/>
      <c r="E324" s="201"/>
      <c r="F324" s="199"/>
      <c r="H324" s="202"/>
      <c r="I324" s="185" t="str">
        <f t="shared" si="25"/>
        <v/>
      </c>
      <c r="J324" s="203" t="str">
        <f>IF($H324="USD",IF(OR($I324="",$I324="-"),"",VLOOKUP($G324,為替!$A:$AX,$I324,FALSE))+$J$3,IF(OR($I324="",$I324="-"),"",VLOOKUP($G324,為替!$A:$AX,$I324,FALSE)))</f>
        <v/>
      </c>
      <c r="K324" s="204" t="str">
        <f t="shared" si="26"/>
        <v/>
      </c>
      <c r="L324" s="188" t="str">
        <f t="shared" si="27"/>
        <v/>
      </c>
      <c r="M324" s="203" t="str">
        <f>IF($H324="USD",IF(OR($L324="",$L324="-"),"",VLOOKUP($G324,為替!$A:$AX,$L324,FALSE))+$K$3,IF(OR($L324="",$L324="-"),"",VLOOKUP($G324,為替!$A:$AX,$L324,FALSE)))</f>
        <v/>
      </c>
      <c r="N324" s="204" t="str">
        <f t="shared" si="28"/>
        <v/>
      </c>
      <c r="O324" s="205" t="str">
        <f t="shared" si="24"/>
        <v/>
      </c>
      <c r="P324" s="206" t="str">
        <f t="shared" si="29"/>
        <v/>
      </c>
    </row>
    <row r="325" spans="3:16" x14ac:dyDescent="0.4">
      <c r="C325" s="199"/>
      <c r="D325" s="200"/>
      <c r="E325" s="201"/>
      <c r="F325" s="199"/>
      <c r="H325" s="202"/>
      <c r="I325" s="185" t="str">
        <f t="shared" si="25"/>
        <v/>
      </c>
      <c r="J325" s="203" t="str">
        <f>IF($H325="USD",IF(OR($I325="",$I325="-"),"",VLOOKUP($G325,為替!$A:$AX,$I325,FALSE))+$J$3,IF(OR($I325="",$I325="-"),"",VLOOKUP($G325,為替!$A:$AX,$I325,FALSE)))</f>
        <v/>
      </c>
      <c r="K325" s="204" t="str">
        <f t="shared" si="26"/>
        <v/>
      </c>
      <c r="L325" s="188" t="str">
        <f t="shared" si="27"/>
        <v/>
      </c>
      <c r="M325" s="203" t="str">
        <f>IF($H325="USD",IF(OR($L325="",$L325="-"),"",VLOOKUP($G325,為替!$A:$AX,$L325,FALSE))+$K$3,IF(OR($L325="",$L325="-"),"",VLOOKUP($G325,為替!$A:$AX,$L325,FALSE)))</f>
        <v/>
      </c>
      <c r="N325" s="204" t="str">
        <f t="shared" si="28"/>
        <v/>
      </c>
      <c r="O325" s="205" t="str">
        <f t="shared" si="24"/>
        <v/>
      </c>
      <c r="P325" s="206" t="str">
        <f t="shared" si="29"/>
        <v/>
      </c>
    </row>
    <row r="326" spans="3:16" x14ac:dyDescent="0.4">
      <c r="C326" s="199"/>
      <c r="D326" s="200"/>
      <c r="E326" s="201"/>
      <c r="F326" s="199"/>
      <c r="H326" s="202"/>
      <c r="I326" s="185" t="str">
        <f t="shared" si="25"/>
        <v/>
      </c>
      <c r="J326" s="203" t="str">
        <f>IF($H326="USD",IF(OR($I326="",$I326="-"),"",VLOOKUP($G326,為替!$A:$AX,$I326,FALSE))+$J$3,IF(OR($I326="",$I326="-"),"",VLOOKUP($G326,為替!$A:$AX,$I326,FALSE)))</f>
        <v/>
      </c>
      <c r="K326" s="204" t="str">
        <f t="shared" si="26"/>
        <v/>
      </c>
      <c r="L326" s="188" t="str">
        <f t="shared" si="27"/>
        <v/>
      </c>
      <c r="M326" s="203" t="str">
        <f>IF($H326="USD",IF(OR($L326="",$L326="-"),"",VLOOKUP($G326,為替!$A:$AX,$L326,FALSE))+$K$3,IF(OR($L326="",$L326="-"),"",VLOOKUP($G326,為替!$A:$AX,$L326,FALSE)))</f>
        <v/>
      </c>
      <c r="N326" s="204" t="str">
        <f t="shared" si="28"/>
        <v/>
      </c>
      <c r="O326" s="205" t="str">
        <f t="shared" ref="O326:O389" si="30">IF(OR(K326="",N326=""),"",K326-N326)</f>
        <v/>
      </c>
      <c r="P326" s="206" t="str">
        <f t="shared" si="29"/>
        <v/>
      </c>
    </row>
    <row r="327" spans="3:16" x14ac:dyDescent="0.4">
      <c r="C327" s="199"/>
      <c r="D327" s="200"/>
      <c r="E327" s="201"/>
      <c r="F327" s="199"/>
      <c r="H327" s="202"/>
      <c r="I327" s="185" t="str">
        <f t="shared" ref="I327:I390" si="31">IF(H327="","",IF(H327="JPY","",IF($H327="USD",4, IF(H327="EUR",7,IF(H327="CNY",47,IF(H327="HKD",34))))))</f>
        <v/>
      </c>
      <c r="J327" s="203" t="str">
        <f>IF($H327="USD",IF(OR($I327="",$I327="-"),"",VLOOKUP($G327,為替!$A:$AX,$I327,FALSE))+$J$3,IF(OR($I327="",$I327="-"),"",VLOOKUP($G327,為替!$A:$AX,$I327,FALSE)))</f>
        <v/>
      </c>
      <c r="K327" s="204" t="str">
        <f t="shared" ref="K327:K390" si="32">IF($H327="JPY",$F327,IF($H327="","",$F327*$J327))</f>
        <v/>
      </c>
      <c r="L327" s="188" t="str">
        <f t="shared" ref="L327:L390" si="33">IF(H327="","",IF(H327="JPY","",IF($H327="USD",3, IF(H327="EUR",6,IF(H327="CNY",46,IF(H327="HKD",33))))))</f>
        <v/>
      </c>
      <c r="M327" s="203" t="str">
        <f>IF($H327="USD",IF(OR($L327="",$L327="-"),"",VLOOKUP($G327,為替!$A:$AX,$L327,FALSE))+$K$3,IF(OR($L327="",$L327="-"),"",VLOOKUP($G327,為替!$A:$AX,$L327,FALSE)))</f>
        <v/>
      </c>
      <c r="N327" s="204" t="str">
        <f t="shared" ref="N327:N390" si="34">IF($E327="JPY",($C327+$D327),IF($E327="","",($C327+$D327)*$M327))</f>
        <v/>
      </c>
      <c r="O327" s="205" t="str">
        <f t="shared" si="30"/>
        <v/>
      </c>
      <c r="P327" s="206" t="str">
        <f t="shared" ref="P327:P390" si="35">IF(OR(K327="",O327=""),"",O327/K327)</f>
        <v/>
      </c>
    </row>
    <row r="328" spans="3:16" x14ac:dyDescent="0.4">
      <c r="C328" s="199"/>
      <c r="D328" s="200"/>
      <c r="E328" s="201"/>
      <c r="F328" s="199"/>
      <c r="H328" s="202"/>
      <c r="I328" s="185" t="str">
        <f t="shared" si="31"/>
        <v/>
      </c>
      <c r="J328" s="203" t="str">
        <f>IF($H328="USD",IF(OR($I328="",$I328="-"),"",VLOOKUP($G328,為替!$A:$AX,$I328,FALSE))+$J$3,IF(OR($I328="",$I328="-"),"",VLOOKUP($G328,為替!$A:$AX,$I328,FALSE)))</f>
        <v/>
      </c>
      <c r="K328" s="204" t="str">
        <f t="shared" si="32"/>
        <v/>
      </c>
      <c r="L328" s="188" t="str">
        <f t="shared" si="33"/>
        <v/>
      </c>
      <c r="M328" s="203" t="str">
        <f>IF($H328="USD",IF(OR($L328="",$L328="-"),"",VLOOKUP($G328,為替!$A:$AX,$L328,FALSE))+$K$3,IF(OR($L328="",$L328="-"),"",VLOOKUP($G328,為替!$A:$AX,$L328,FALSE)))</f>
        <v/>
      </c>
      <c r="N328" s="204" t="str">
        <f t="shared" si="34"/>
        <v/>
      </c>
      <c r="O328" s="205" t="str">
        <f t="shared" si="30"/>
        <v/>
      </c>
      <c r="P328" s="206" t="str">
        <f t="shared" si="35"/>
        <v/>
      </c>
    </row>
    <row r="329" spans="3:16" x14ac:dyDescent="0.4">
      <c r="C329" s="199"/>
      <c r="D329" s="200"/>
      <c r="E329" s="201"/>
      <c r="F329" s="199"/>
      <c r="H329" s="202"/>
      <c r="I329" s="185" t="str">
        <f t="shared" si="31"/>
        <v/>
      </c>
      <c r="J329" s="203" t="str">
        <f>IF($H329="USD",IF(OR($I329="",$I329="-"),"",VLOOKUP($G329,為替!$A:$AX,$I329,FALSE))+$J$3,IF(OR($I329="",$I329="-"),"",VLOOKUP($G329,為替!$A:$AX,$I329,FALSE)))</f>
        <v/>
      </c>
      <c r="K329" s="204" t="str">
        <f t="shared" si="32"/>
        <v/>
      </c>
      <c r="L329" s="188" t="str">
        <f t="shared" si="33"/>
        <v/>
      </c>
      <c r="M329" s="203" t="str">
        <f>IF($H329="USD",IF(OR($L329="",$L329="-"),"",VLOOKUP($G329,為替!$A:$AX,$L329,FALSE))+$K$3,IF(OR($L329="",$L329="-"),"",VLOOKUP($G329,為替!$A:$AX,$L329,FALSE)))</f>
        <v/>
      </c>
      <c r="N329" s="204" t="str">
        <f t="shared" si="34"/>
        <v/>
      </c>
      <c r="O329" s="205" t="str">
        <f t="shared" si="30"/>
        <v/>
      </c>
      <c r="P329" s="206" t="str">
        <f t="shared" si="35"/>
        <v/>
      </c>
    </row>
    <row r="330" spans="3:16" x14ac:dyDescent="0.4">
      <c r="C330" s="199"/>
      <c r="D330" s="200"/>
      <c r="E330" s="201"/>
      <c r="F330" s="199"/>
      <c r="H330" s="202"/>
      <c r="I330" s="185" t="str">
        <f t="shared" si="31"/>
        <v/>
      </c>
      <c r="J330" s="203" t="str">
        <f>IF($H330="USD",IF(OR($I330="",$I330="-"),"",VLOOKUP($G330,為替!$A:$AX,$I330,FALSE))+$J$3,IF(OR($I330="",$I330="-"),"",VLOOKUP($G330,為替!$A:$AX,$I330,FALSE)))</f>
        <v/>
      </c>
      <c r="K330" s="204" t="str">
        <f t="shared" si="32"/>
        <v/>
      </c>
      <c r="L330" s="188" t="str">
        <f t="shared" si="33"/>
        <v/>
      </c>
      <c r="M330" s="203" t="str">
        <f>IF($H330="USD",IF(OR($L330="",$L330="-"),"",VLOOKUP($G330,為替!$A:$AX,$L330,FALSE))+$K$3,IF(OR($L330="",$L330="-"),"",VLOOKUP($G330,為替!$A:$AX,$L330,FALSE)))</f>
        <v/>
      </c>
      <c r="N330" s="204" t="str">
        <f t="shared" si="34"/>
        <v/>
      </c>
      <c r="O330" s="205" t="str">
        <f t="shared" si="30"/>
        <v/>
      </c>
      <c r="P330" s="206" t="str">
        <f t="shared" si="35"/>
        <v/>
      </c>
    </row>
    <row r="331" spans="3:16" x14ac:dyDescent="0.4">
      <c r="C331" s="199"/>
      <c r="D331" s="200"/>
      <c r="E331" s="201"/>
      <c r="F331" s="199"/>
      <c r="H331" s="202"/>
      <c r="I331" s="185" t="str">
        <f t="shared" si="31"/>
        <v/>
      </c>
      <c r="J331" s="203" t="str">
        <f>IF($H331="USD",IF(OR($I331="",$I331="-"),"",VLOOKUP($G331,為替!$A:$AX,$I331,FALSE))+$J$3,IF(OR($I331="",$I331="-"),"",VLOOKUP($G331,為替!$A:$AX,$I331,FALSE)))</f>
        <v/>
      </c>
      <c r="K331" s="204" t="str">
        <f t="shared" si="32"/>
        <v/>
      </c>
      <c r="L331" s="188" t="str">
        <f t="shared" si="33"/>
        <v/>
      </c>
      <c r="M331" s="203" t="str">
        <f>IF($H331="USD",IF(OR($L331="",$L331="-"),"",VLOOKUP($G331,為替!$A:$AX,$L331,FALSE))+$K$3,IF(OR($L331="",$L331="-"),"",VLOOKUP($G331,為替!$A:$AX,$L331,FALSE)))</f>
        <v/>
      </c>
      <c r="N331" s="204" t="str">
        <f t="shared" si="34"/>
        <v/>
      </c>
      <c r="O331" s="205" t="str">
        <f t="shared" si="30"/>
        <v/>
      </c>
      <c r="P331" s="206" t="str">
        <f t="shared" si="35"/>
        <v/>
      </c>
    </row>
    <row r="332" spans="3:16" x14ac:dyDescent="0.4">
      <c r="C332" s="199"/>
      <c r="D332" s="200"/>
      <c r="E332" s="201"/>
      <c r="F332" s="199"/>
      <c r="H332" s="202"/>
      <c r="I332" s="185" t="str">
        <f t="shared" si="31"/>
        <v/>
      </c>
      <c r="J332" s="203" t="str">
        <f>IF($H332="USD",IF(OR($I332="",$I332="-"),"",VLOOKUP($G332,為替!$A:$AX,$I332,FALSE))+$J$3,IF(OR($I332="",$I332="-"),"",VLOOKUP($G332,為替!$A:$AX,$I332,FALSE)))</f>
        <v/>
      </c>
      <c r="K332" s="204" t="str">
        <f t="shared" si="32"/>
        <v/>
      </c>
      <c r="L332" s="188" t="str">
        <f t="shared" si="33"/>
        <v/>
      </c>
      <c r="M332" s="203" t="str">
        <f>IF($H332="USD",IF(OR($L332="",$L332="-"),"",VLOOKUP($G332,為替!$A:$AX,$L332,FALSE))+$K$3,IF(OR($L332="",$L332="-"),"",VLOOKUP($G332,為替!$A:$AX,$L332,FALSE)))</f>
        <v/>
      </c>
      <c r="N332" s="204" t="str">
        <f t="shared" si="34"/>
        <v/>
      </c>
      <c r="O332" s="205" t="str">
        <f t="shared" si="30"/>
        <v/>
      </c>
      <c r="P332" s="206" t="str">
        <f t="shared" si="35"/>
        <v/>
      </c>
    </row>
    <row r="333" spans="3:16" x14ac:dyDescent="0.4">
      <c r="C333" s="199"/>
      <c r="D333" s="200"/>
      <c r="E333" s="201"/>
      <c r="F333" s="199"/>
      <c r="H333" s="202"/>
      <c r="I333" s="185" t="str">
        <f t="shared" si="31"/>
        <v/>
      </c>
      <c r="J333" s="203" t="str">
        <f>IF($H333="USD",IF(OR($I333="",$I333="-"),"",VLOOKUP($G333,為替!$A:$AX,$I333,FALSE))+$J$3,IF(OR($I333="",$I333="-"),"",VLOOKUP($G333,為替!$A:$AX,$I333,FALSE)))</f>
        <v/>
      </c>
      <c r="K333" s="204" t="str">
        <f t="shared" si="32"/>
        <v/>
      </c>
      <c r="L333" s="188" t="str">
        <f t="shared" si="33"/>
        <v/>
      </c>
      <c r="M333" s="203" t="str">
        <f>IF($H333="USD",IF(OR($L333="",$L333="-"),"",VLOOKUP($G333,為替!$A:$AX,$L333,FALSE))+$K$3,IF(OR($L333="",$L333="-"),"",VLOOKUP($G333,為替!$A:$AX,$L333,FALSE)))</f>
        <v/>
      </c>
      <c r="N333" s="204" t="str">
        <f t="shared" si="34"/>
        <v/>
      </c>
      <c r="O333" s="205" t="str">
        <f t="shared" si="30"/>
        <v/>
      </c>
      <c r="P333" s="206" t="str">
        <f t="shared" si="35"/>
        <v/>
      </c>
    </row>
    <row r="334" spans="3:16" x14ac:dyDescent="0.4">
      <c r="C334" s="199"/>
      <c r="D334" s="200"/>
      <c r="E334" s="201"/>
      <c r="F334" s="199"/>
      <c r="H334" s="202"/>
      <c r="I334" s="185" t="str">
        <f t="shared" si="31"/>
        <v/>
      </c>
      <c r="J334" s="203" t="str">
        <f>IF($H334="USD",IF(OR($I334="",$I334="-"),"",VLOOKUP($G334,為替!$A:$AX,$I334,FALSE))+$J$3,IF(OR($I334="",$I334="-"),"",VLOOKUP($G334,為替!$A:$AX,$I334,FALSE)))</f>
        <v/>
      </c>
      <c r="K334" s="204" t="str">
        <f t="shared" si="32"/>
        <v/>
      </c>
      <c r="L334" s="188" t="str">
        <f t="shared" si="33"/>
        <v/>
      </c>
      <c r="M334" s="203" t="str">
        <f>IF($H334="USD",IF(OR($L334="",$L334="-"),"",VLOOKUP($G334,為替!$A:$AX,$L334,FALSE))+$K$3,IF(OR($L334="",$L334="-"),"",VLOOKUP($G334,為替!$A:$AX,$L334,FALSE)))</f>
        <v/>
      </c>
      <c r="N334" s="204" t="str">
        <f t="shared" si="34"/>
        <v/>
      </c>
      <c r="O334" s="205" t="str">
        <f t="shared" si="30"/>
        <v/>
      </c>
      <c r="P334" s="206" t="str">
        <f t="shared" si="35"/>
        <v/>
      </c>
    </row>
    <row r="335" spans="3:16" x14ac:dyDescent="0.4">
      <c r="C335" s="199"/>
      <c r="D335" s="200"/>
      <c r="E335" s="201"/>
      <c r="F335" s="199"/>
      <c r="H335" s="202"/>
      <c r="I335" s="185" t="str">
        <f t="shared" si="31"/>
        <v/>
      </c>
      <c r="J335" s="203" t="str">
        <f>IF($H335="USD",IF(OR($I335="",$I335="-"),"",VLOOKUP($G335,為替!$A:$AX,$I335,FALSE))+$J$3,IF(OR($I335="",$I335="-"),"",VLOOKUP($G335,為替!$A:$AX,$I335,FALSE)))</f>
        <v/>
      </c>
      <c r="K335" s="204" t="str">
        <f t="shared" si="32"/>
        <v/>
      </c>
      <c r="L335" s="188" t="str">
        <f t="shared" si="33"/>
        <v/>
      </c>
      <c r="M335" s="203" t="str">
        <f>IF($H335="USD",IF(OR($L335="",$L335="-"),"",VLOOKUP($G335,為替!$A:$AX,$L335,FALSE))+$K$3,IF(OR($L335="",$L335="-"),"",VLOOKUP($G335,為替!$A:$AX,$L335,FALSE)))</f>
        <v/>
      </c>
      <c r="N335" s="204" t="str">
        <f t="shared" si="34"/>
        <v/>
      </c>
      <c r="O335" s="205" t="str">
        <f t="shared" si="30"/>
        <v/>
      </c>
      <c r="P335" s="206" t="str">
        <f t="shared" si="35"/>
        <v/>
      </c>
    </row>
    <row r="336" spans="3:16" x14ac:dyDescent="0.4">
      <c r="C336" s="199"/>
      <c r="D336" s="200"/>
      <c r="E336" s="201"/>
      <c r="F336" s="199"/>
      <c r="H336" s="202"/>
      <c r="I336" s="185" t="str">
        <f t="shared" si="31"/>
        <v/>
      </c>
      <c r="J336" s="203" t="str">
        <f>IF($H336="USD",IF(OR($I336="",$I336="-"),"",VLOOKUP($G336,為替!$A:$AX,$I336,FALSE))+$J$3,IF(OR($I336="",$I336="-"),"",VLOOKUP($G336,為替!$A:$AX,$I336,FALSE)))</f>
        <v/>
      </c>
      <c r="K336" s="204" t="str">
        <f t="shared" si="32"/>
        <v/>
      </c>
      <c r="L336" s="188" t="str">
        <f t="shared" si="33"/>
        <v/>
      </c>
      <c r="M336" s="203" t="str">
        <f>IF($H336="USD",IF(OR($L336="",$L336="-"),"",VLOOKUP($G336,為替!$A:$AX,$L336,FALSE))+$K$3,IF(OR($L336="",$L336="-"),"",VLOOKUP($G336,為替!$A:$AX,$L336,FALSE)))</f>
        <v/>
      </c>
      <c r="N336" s="204" t="str">
        <f t="shared" si="34"/>
        <v/>
      </c>
      <c r="O336" s="205" t="str">
        <f t="shared" si="30"/>
        <v/>
      </c>
      <c r="P336" s="206" t="str">
        <f t="shared" si="35"/>
        <v/>
      </c>
    </row>
    <row r="337" spans="3:16" x14ac:dyDescent="0.4">
      <c r="C337" s="199"/>
      <c r="D337" s="200"/>
      <c r="E337" s="201"/>
      <c r="F337" s="199"/>
      <c r="H337" s="202"/>
      <c r="I337" s="185" t="str">
        <f t="shared" si="31"/>
        <v/>
      </c>
      <c r="J337" s="203" t="str">
        <f>IF($H337="USD",IF(OR($I337="",$I337="-"),"",VLOOKUP($G337,為替!$A:$AX,$I337,FALSE))+$J$3,IF(OR($I337="",$I337="-"),"",VLOOKUP($G337,為替!$A:$AX,$I337,FALSE)))</f>
        <v/>
      </c>
      <c r="K337" s="204" t="str">
        <f t="shared" si="32"/>
        <v/>
      </c>
      <c r="L337" s="188" t="str">
        <f t="shared" si="33"/>
        <v/>
      </c>
      <c r="M337" s="203" t="str">
        <f>IF($H337="USD",IF(OR($L337="",$L337="-"),"",VLOOKUP($G337,為替!$A:$AX,$L337,FALSE))+$K$3,IF(OR($L337="",$L337="-"),"",VLOOKUP($G337,為替!$A:$AX,$L337,FALSE)))</f>
        <v/>
      </c>
      <c r="N337" s="204" t="str">
        <f t="shared" si="34"/>
        <v/>
      </c>
      <c r="O337" s="205" t="str">
        <f t="shared" si="30"/>
        <v/>
      </c>
      <c r="P337" s="206" t="str">
        <f t="shared" si="35"/>
        <v/>
      </c>
    </row>
    <row r="338" spans="3:16" x14ac:dyDescent="0.4">
      <c r="C338" s="199"/>
      <c r="D338" s="200"/>
      <c r="E338" s="201"/>
      <c r="F338" s="199"/>
      <c r="H338" s="202"/>
      <c r="I338" s="185" t="str">
        <f t="shared" si="31"/>
        <v/>
      </c>
      <c r="J338" s="203" t="str">
        <f>IF($H338="USD",IF(OR($I338="",$I338="-"),"",VLOOKUP($G338,為替!$A:$AX,$I338,FALSE))+$J$3,IF(OR($I338="",$I338="-"),"",VLOOKUP($G338,為替!$A:$AX,$I338,FALSE)))</f>
        <v/>
      </c>
      <c r="K338" s="204" t="str">
        <f t="shared" si="32"/>
        <v/>
      </c>
      <c r="L338" s="188" t="str">
        <f t="shared" si="33"/>
        <v/>
      </c>
      <c r="M338" s="203" t="str">
        <f>IF($H338="USD",IF(OR($L338="",$L338="-"),"",VLOOKUP($G338,為替!$A:$AX,$L338,FALSE))+$K$3,IF(OR($L338="",$L338="-"),"",VLOOKUP($G338,為替!$A:$AX,$L338,FALSE)))</f>
        <v/>
      </c>
      <c r="N338" s="204" t="str">
        <f t="shared" si="34"/>
        <v/>
      </c>
      <c r="O338" s="205" t="str">
        <f t="shared" si="30"/>
        <v/>
      </c>
      <c r="P338" s="206" t="str">
        <f t="shared" si="35"/>
        <v/>
      </c>
    </row>
    <row r="339" spans="3:16" x14ac:dyDescent="0.4">
      <c r="C339" s="199"/>
      <c r="D339" s="200"/>
      <c r="E339" s="201"/>
      <c r="F339" s="199"/>
      <c r="H339" s="202"/>
      <c r="I339" s="185" t="str">
        <f t="shared" si="31"/>
        <v/>
      </c>
      <c r="J339" s="203" t="str">
        <f>IF($H339="USD",IF(OR($I339="",$I339="-"),"",VLOOKUP($G339,為替!$A:$AX,$I339,FALSE))+$J$3,IF(OR($I339="",$I339="-"),"",VLOOKUP($G339,為替!$A:$AX,$I339,FALSE)))</f>
        <v/>
      </c>
      <c r="K339" s="204" t="str">
        <f t="shared" si="32"/>
        <v/>
      </c>
      <c r="L339" s="188" t="str">
        <f t="shared" si="33"/>
        <v/>
      </c>
      <c r="M339" s="203" t="str">
        <f>IF($H339="USD",IF(OR($L339="",$L339="-"),"",VLOOKUP($G339,為替!$A:$AX,$L339,FALSE))+$K$3,IF(OR($L339="",$L339="-"),"",VLOOKUP($G339,為替!$A:$AX,$L339,FALSE)))</f>
        <v/>
      </c>
      <c r="N339" s="204" t="str">
        <f t="shared" si="34"/>
        <v/>
      </c>
      <c r="O339" s="205" t="str">
        <f t="shared" si="30"/>
        <v/>
      </c>
      <c r="P339" s="206" t="str">
        <f t="shared" si="35"/>
        <v/>
      </c>
    </row>
    <row r="340" spans="3:16" x14ac:dyDescent="0.4">
      <c r="C340" s="199"/>
      <c r="D340" s="200"/>
      <c r="E340" s="201"/>
      <c r="F340" s="199"/>
      <c r="H340" s="202"/>
      <c r="I340" s="185" t="str">
        <f t="shared" si="31"/>
        <v/>
      </c>
      <c r="J340" s="203" t="str">
        <f>IF($H340="USD",IF(OR($I340="",$I340="-"),"",VLOOKUP($G340,為替!$A:$AX,$I340,FALSE))+$J$3,IF(OR($I340="",$I340="-"),"",VLOOKUP($G340,為替!$A:$AX,$I340,FALSE)))</f>
        <v/>
      </c>
      <c r="K340" s="204" t="str">
        <f t="shared" si="32"/>
        <v/>
      </c>
      <c r="L340" s="188" t="str">
        <f t="shared" si="33"/>
        <v/>
      </c>
      <c r="M340" s="203" t="str">
        <f>IF($H340="USD",IF(OR($L340="",$L340="-"),"",VLOOKUP($G340,為替!$A:$AX,$L340,FALSE))+$K$3,IF(OR($L340="",$L340="-"),"",VLOOKUP($G340,為替!$A:$AX,$L340,FALSE)))</f>
        <v/>
      </c>
      <c r="N340" s="204" t="str">
        <f t="shared" si="34"/>
        <v/>
      </c>
      <c r="O340" s="205" t="str">
        <f t="shared" si="30"/>
        <v/>
      </c>
      <c r="P340" s="206" t="str">
        <f t="shared" si="35"/>
        <v/>
      </c>
    </row>
    <row r="341" spans="3:16" x14ac:dyDescent="0.4">
      <c r="C341" s="199"/>
      <c r="D341" s="200"/>
      <c r="E341" s="201"/>
      <c r="F341" s="199"/>
      <c r="H341" s="202"/>
      <c r="I341" s="185" t="str">
        <f t="shared" si="31"/>
        <v/>
      </c>
      <c r="J341" s="203" t="str">
        <f>IF($H341="USD",IF(OR($I341="",$I341="-"),"",VLOOKUP($G341,為替!$A:$AX,$I341,FALSE))+$J$3,IF(OR($I341="",$I341="-"),"",VLOOKUP($G341,為替!$A:$AX,$I341,FALSE)))</f>
        <v/>
      </c>
      <c r="K341" s="204" t="str">
        <f t="shared" si="32"/>
        <v/>
      </c>
      <c r="L341" s="188" t="str">
        <f t="shared" si="33"/>
        <v/>
      </c>
      <c r="M341" s="203" t="str">
        <f>IF($H341="USD",IF(OR($L341="",$L341="-"),"",VLOOKUP($G341,為替!$A:$AX,$L341,FALSE))+$K$3,IF(OR($L341="",$L341="-"),"",VLOOKUP($G341,為替!$A:$AX,$L341,FALSE)))</f>
        <v/>
      </c>
      <c r="N341" s="204" t="str">
        <f t="shared" si="34"/>
        <v/>
      </c>
      <c r="O341" s="205" t="str">
        <f t="shared" si="30"/>
        <v/>
      </c>
      <c r="P341" s="206" t="str">
        <f t="shared" si="35"/>
        <v/>
      </c>
    </row>
    <row r="342" spans="3:16" x14ac:dyDescent="0.4">
      <c r="C342" s="199"/>
      <c r="D342" s="200"/>
      <c r="E342" s="201"/>
      <c r="F342" s="199"/>
      <c r="H342" s="202"/>
      <c r="I342" s="185" t="str">
        <f t="shared" si="31"/>
        <v/>
      </c>
      <c r="J342" s="203" t="str">
        <f>IF($H342="USD",IF(OR($I342="",$I342="-"),"",VLOOKUP($G342,為替!$A:$AX,$I342,FALSE))+$J$3,IF(OR($I342="",$I342="-"),"",VLOOKUP($G342,為替!$A:$AX,$I342,FALSE)))</f>
        <v/>
      </c>
      <c r="K342" s="204" t="str">
        <f t="shared" si="32"/>
        <v/>
      </c>
      <c r="L342" s="188" t="str">
        <f t="shared" si="33"/>
        <v/>
      </c>
      <c r="M342" s="203" t="str">
        <f>IF($H342="USD",IF(OR($L342="",$L342="-"),"",VLOOKUP($G342,為替!$A:$AX,$L342,FALSE))+$K$3,IF(OR($L342="",$L342="-"),"",VLOOKUP($G342,為替!$A:$AX,$L342,FALSE)))</f>
        <v/>
      </c>
      <c r="N342" s="204" t="str">
        <f t="shared" si="34"/>
        <v/>
      </c>
      <c r="O342" s="205" t="str">
        <f t="shared" si="30"/>
        <v/>
      </c>
      <c r="P342" s="206" t="str">
        <f t="shared" si="35"/>
        <v/>
      </c>
    </row>
    <row r="343" spans="3:16" x14ac:dyDescent="0.4">
      <c r="C343" s="199"/>
      <c r="D343" s="200"/>
      <c r="E343" s="201"/>
      <c r="F343" s="199"/>
      <c r="H343" s="202"/>
      <c r="I343" s="185" t="str">
        <f t="shared" si="31"/>
        <v/>
      </c>
      <c r="J343" s="203" t="str">
        <f>IF($H343="USD",IF(OR($I343="",$I343="-"),"",VLOOKUP($G343,為替!$A:$AX,$I343,FALSE))+$J$3,IF(OR($I343="",$I343="-"),"",VLOOKUP($G343,為替!$A:$AX,$I343,FALSE)))</f>
        <v/>
      </c>
      <c r="K343" s="204" t="str">
        <f t="shared" si="32"/>
        <v/>
      </c>
      <c r="L343" s="188" t="str">
        <f t="shared" si="33"/>
        <v/>
      </c>
      <c r="M343" s="203" t="str">
        <f>IF($H343="USD",IF(OR($L343="",$L343="-"),"",VLOOKUP($G343,為替!$A:$AX,$L343,FALSE))+$K$3,IF(OR($L343="",$L343="-"),"",VLOOKUP($G343,為替!$A:$AX,$L343,FALSE)))</f>
        <v/>
      </c>
      <c r="N343" s="204" t="str">
        <f t="shared" si="34"/>
        <v/>
      </c>
      <c r="O343" s="205" t="str">
        <f t="shared" si="30"/>
        <v/>
      </c>
      <c r="P343" s="206" t="str">
        <f t="shared" si="35"/>
        <v/>
      </c>
    </row>
    <row r="344" spans="3:16" x14ac:dyDescent="0.4">
      <c r="C344" s="199"/>
      <c r="D344" s="200"/>
      <c r="E344" s="201"/>
      <c r="F344" s="199"/>
      <c r="H344" s="202"/>
      <c r="I344" s="185" t="str">
        <f t="shared" si="31"/>
        <v/>
      </c>
      <c r="J344" s="203" t="str">
        <f>IF($H344="USD",IF(OR($I344="",$I344="-"),"",VLOOKUP($G344,為替!$A:$AX,$I344,FALSE))+$J$3,IF(OR($I344="",$I344="-"),"",VLOOKUP($G344,為替!$A:$AX,$I344,FALSE)))</f>
        <v/>
      </c>
      <c r="K344" s="204" t="str">
        <f t="shared" si="32"/>
        <v/>
      </c>
      <c r="L344" s="188" t="str">
        <f t="shared" si="33"/>
        <v/>
      </c>
      <c r="M344" s="203" t="str">
        <f>IF($H344="USD",IF(OR($L344="",$L344="-"),"",VLOOKUP($G344,為替!$A:$AX,$L344,FALSE))+$K$3,IF(OR($L344="",$L344="-"),"",VLOOKUP($G344,為替!$A:$AX,$L344,FALSE)))</f>
        <v/>
      </c>
      <c r="N344" s="204" t="str">
        <f t="shared" si="34"/>
        <v/>
      </c>
      <c r="O344" s="205" t="str">
        <f t="shared" si="30"/>
        <v/>
      </c>
      <c r="P344" s="206" t="str">
        <f t="shared" si="35"/>
        <v/>
      </c>
    </row>
    <row r="345" spans="3:16" x14ac:dyDescent="0.4">
      <c r="C345" s="199"/>
      <c r="D345" s="200"/>
      <c r="E345" s="201"/>
      <c r="F345" s="199"/>
      <c r="H345" s="202"/>
      <c r="I345" s="185" t="str">
        <f t="shared" si="31"/>
        <v/>
      </c>
      <c r="J345" s="203" t="str">
        <f>IF($H345="USD",IF(OR($I345="",$I345="-"),"",VLOOKUP($G345,為替!$A:$AX,$I345,FALSE))+$J$3,IF(OR($I345="",$I345="-"),"",VLOOKUP($G345,為替!$A:$AX,$I345,FALSE)))</f>
        <v/>
      </c>
      <c r="K345" s="204" t="str">
        <f t="shared" si="32"/>
        <v/>
      </c>
      <c r="L345" s="188" t="str">
        <f t="shared" si="33"/>
        <v/>
      </c>
      <c r="M345" s="203" t="str">
        <f>IF($H345="USD",IF(OR($L345="",$L345="-"),"",VLOOKUP($G345,為替!$A:$AX,$L345,FALSE))+$K$3,IF(OR($L345="",$L345="-"),"",VLOOKUP($G345,為替!$A:$AX,$L345,FALSE)))</f>
        <v/>
      </c>
      <c r="N345" s="204" t="str">
        <f t="shared" si="34"/>
        <v/>
      </c>
      <c r="O345" s="205" t="str">
        <f t="shared" si="30"/>
        <v/>
      </c>
      <c r="P345" s="206" t="str">
        <f t="shared" si="35"/>
        <v/>
      </c>
    </row>
    <row r="346" spans="3:16" x14ac:dyDescent="0.4">
      <c r="C346" s="199"/>
      <c r="D346" s="200"/>
      <c r="E346" s="201"/>
      <c r="F346" s="199"/>
      <c r="H346" s="202"/>
      <c r="I346" s="185" t="str">
        <f t="shared" si="31"/>
        <v/>
      </c>
      <c r="J346" s="203" t="str">
        <f>IF($H346="USD",IF(OR($I346="",$I346="-"),"",VLOOKUP($G346,為替!$A:$AX,$I346,FALSE))+$J$3,IF(OR($I346="",$I346="-"),"",VLOOKUP($G346,為替!$A:$AX,$I346,FALSE)))</f>
        <v/>
      </c>
      <c r="K346" s="204" t="str">
        <f t="shared" si="32"/>
        <v/>
      </c>
      <c r="L346" s="188" t="str">
        <f t="shared" si="33"/>
        <v/>
      </c>
      <c r="M346" s="203" t="str">
        <f>IF($H346="USD",IF(OR($L346="",$L346="-"),"",VLOOKUP($G346,為替!$A:$AX,$L346,FALSE))+$K$3,IF(OR($L346="",$L346="-"),"",VLOOKUP($G346,為替!$A:$AX,$L346,FALSE)))</f>
        <v/>
      </c>
      <c r="N346" s="204" t="str">
        <f t="shared" si="34"/>
        <v/>
      </c>
      <c r="O346" s="205" t="str">
        <f t="shared" si="30"/>
        <v/>
      </c>
      <c r="P346" s="206" t="str">
        <f t="shared" si="35"/>
        <v/>
      </c>
    </row>
    <row r="347" spans="3:16" x14ac:dyDescent="0.4">
      <c r="C347" s="199"/>
      <c r="D347" s="200"/>
      <c r="E347" s="201"/>
      <c r="F347" s="199"/>
      <c r="H347" s="202"/>
      <c r="I347" s="185" t="str">
        <f t="shared" si="31"/>
        <v/>
      </c>
      <c r="J347" s="203" t="str">
        <f>IF($H347="USD",IF(OR($I347="",$I347="-"),"",VLOOKUP($G347,為替!$A:$AX,$I347,FALSE))+$J$3,IF(OR($I347="",$I347="-"),"",VLOOKUP($G347,為替!$A:$AX,$I347,FALSE)))</f>
        <v/>
      </c>
      <c r="K347" s="204" t="str">
        <f t="shared" si="32"/>
        <v/>
      </c>
      <c r="L347" s="188" t="str">
        <f t="shared" si="33"/>
        <v/>
      </c>
      <c r="M347" s="203" t="str">
        <f>IF($H347="USD",IF(OR($L347="",$L347="-"),"",VLOOKUP($G347,為替!$A:$AX,$L347,FALSE))+$K$3,IF(OR($L347="",$L347="-"),"",VLOOKUP($G347,為替!$A:$AX,$L347,FALSE)))</f>
        <v/>
      </c>
      <c r="N347" s="204" t="str">
        <f t="shared" si="34"/>
        <v/>
      </c>
      <c r="O347" s="205" t="str">
        <f t="shared" si="30"/>
        <v/>
      </c>
      <c r="P347" s="206" t="str">
        <f t="shared" si="35"/>
        <v/>
      </c>
    </row>
    <row r="348" spans="3:16" x14ac:dyDescent="0.4">
      <c r="C348" s="199"/>
      <c r="D348" s="200"/>
      <c r="E348" s="201"/>
      <c r="F348" s="199"/>
      <c r="H348" s="202"/>
      <c r="I348" s="185" t="str">
        <f t="shared" si="31"/>
        <v/>
      </c>
      <c r="J348" s="203" t="str">
        <f>IF($H348="USD",IF(OR($I348="",$I348="-"),"",VLOOKUP($G348,為替!$A:$AX,$I348,FALSE))+$J$3,IF(OR($I348="",$I348="-"),"",VLOOKUP($G348,為替!$A:$AX,$I348,FALSE)))</f>
        <v/>
      </c>
      <c r="K348" s="204" t="str">
        <f t="shared" si="32"/>
        <v/>
      </c>
      <c r="L348" s="188" t="str">
        <f t="shared" si="33"/>
        <v/>
      </c>
      <c r="M348" s="203" t="str">
        <f>IF($H348="USD",IF(OR($L348="",$L348="-"),"",VLOOKUP($G348,為替!$A:$AX,$L348,FALSE))+$K$3,IF(OR($L348="",$L348="-"),"",VLOOKUP($G348,為替!$A:$AX,$L348,FALSE)))</f>
        <v/>
      </c>
      <c r="N348" s="204" t="str">
        <f t="shared" si="34"/>
        <v/>
      </c>
      <c r="O348" s="205" t="str">
        <f t="shared" si="30"/>
        <v/>
      </c>
      <c r="P348" s="206" t="str">
        <f t="shared" si="35"/>
        <v/>
      </c>
    </row>
    <row r="349" spans="3:16" x14ac:dyDescent="0.4">
      <c r="C349" s="199"/>
      <c r="D349" s="200"/>
      <c r="E349" s="201"/>
      <c r="F349" s="199"/>
      <c r="H349" s="202"/>
      <c r="I349" s="185" t="str">
        <f t="shared" si="31"/>
        <v/>
      </c>
      <c r="J349" s="203" t="str">
        <f>IF($H349="USD",IF(OR($I349="",$I349="-"),"",VLOOKUP($G349,為替!$A:$AX,$I349,FALSE))+$J$3,IF(OR($I349="",$I349="-"),"",VLOOKUP($G349,為替!$A:$AX,$I349,FALSE)))</f>
        <v/>
      </c>
      <c r="K349" s="204" t="str">
        <f t="shared" si="32"/>
        <v/>
      </c>
      <c r="L349" s="188" t="str">
        <f t="shared" si="33"/>
        <v/>
      </c>
      <c r="M349" s="203" t="str">
        <f>IF($H349="USD",IF(OR($L349="",$L349="-"),"",VLOOKUP($G349,為替!$A:$AX,$L349,FALSE))+$K$3,IF(OR($L349="",$L349="-"),"",VLOOKUP($G349,為替!$A:$AX,$L349,FALSE)))</f>
        <v/>
      </c>
      <c r="N349" s="204" t="str">
        <f t="shared" si="34"/>
        <v/>
      </c>
      <c r="O349" s="205" t="str">
        <f t="shared" si="30"/>
        <v/>
      </c>
      <c r="P349" s="206" t="str">
        <f t="shared" si="35"/>
        <v/>
      </c>
    </row>
    <row r="350" spans="3:16" x14ac:dyDescent="0.4">
      <c r="C350" s="199"/>
      <c r="D350" s="200"/>
      <c r="E350" s="201"/>
      <c r="F350" s="199"/>
      <c r="H350" s="202"/>
      <c r="I350" s="185" t="str">
        <f t="shared" si="31"/>
        <v/>
      </c>
      <c r="J350" s="203" t="str">
        <f>IF($H350="USD",IF(OR($I350="",$I350="-"),"",VLOOKUP($G350,為替!$A:$AX,$I350,FALSE))+$J$3,IF(OR($I350="",$I350="-"),"",VLOOKUP($G350,為替!$A:$AX,$I350,FALSE)))</f>
        <v/>
      </c>
      <c r="K350" s="204" t="str">
        <f t="shared" si="32"/>
        <v/>
      </c>
      <c r="L350" s="188" t="str">
        <f t="shared" si="33"/>
        <v/>
      </c>
      <c r="M350" s="203" t="str">
        <f>IF($H350="USD",IF(OR($L350="",$L350="-"),"",VLOOKUP($G350,為替!$A:$AX,$L350,FALSE))+$K$3,IF(OR($L350="",$L350="-"),"",VLOOKUP($G350,為替!$A:$AX,$L350,FALSE)))</f>
        <v/>
      </c>
      <c r="N350" s="204" t="str">
        <f t="shared" si="34"/>
        <v/>
      </c>
      <c r="O350" s="205" t="str">
        <f t="shared" si="30"/>
        <v/>
      </c>
      <c r="P350" s="206" t="str">
        <f t="shared" si="35"/>
        <v/>
      </c>
    </row>
    <row r="351" spans="3:16" x14ac:dyDescent="0.4">
      <c r="C351" s="199"/>
      <c r="D351" s="200"/>
      <c r="E351" s="201"/>
      <c r="F351" s="199"/>
      <c r="H351" s="202"/>
      <c r="I351" s="185" t="str">
        <f t="shared" si="31"/>
        <v/>
      </c>
      <c r="J351" s="203" t="str">
        <f>IF($H351="USD",IF(OR($I351="",$I351="-"),"",VLOOKUP($G351,為替!$A:$AX,$I351,FALSE))+$J$3,IF(OR($I351="",$I351="-"),"",VLOOKUP($G351,為替!$A:$AX,$I351,FALSE)))</f>
        <v/>
      </c>
      <c r="K351" s="204" t="str">
        <f t="shared" si="32"/>
        <v/>
      </c>
      <c r="L351" s="188" t="str">
        <f t="shared" si="33"/>
        <v/>
      </c>
      <c r="M351" s="203" t="str">
        <f>IF($H351="USD",IF(OR($L351="",$L351="-"),"",VLOOKUP($G351,為替!$A:$AX,$L351,FALSE))+$K$3,IF(OR($L351="",$L351="-"),"",VLOOKUP($G351,為替!$A:$AX,$L351,FALSE)))</f>
        <v/>
      </c>
      <c r="N351" s="204" t="str">
        <f t="shared" si="34"/>
        <v/>
      </c>
      <c r="O351" s="205" t="str">
        <f t="shared" si="30"/>
        <v/>
      </c>
      <c r="P351" s="206" t="str">
        <f t="shared" si="35"/>
        <v/>
      </c>
    </row>
    <row r="352" spans="3:16" x14ac:dyDescent="0.4">
      <c r="C352" s="199"/>
      <c r="D352" s="200"/>
      <c r="E352" s="201"/>
      <c r="F352" s="199"/>
      <c r="H352" s="202"/>
      <c r="I352" s="185" t="str">
        <f t="shared" si="31"/>
        <v/>
      </c>
      <c r="J352" s="203" t="str">
        <f>IF($H352="USD",IF(OR($I352="",$I352="-"),"",VLOOKUP($G352,為替!$A:$AX,$I352,FALSE))+$J$3,IF(OR($I352="",$I352="-"),"",VLOOKUP($G352,為替!$A:$AX,$I352,FALSE)))</f>
        <v/>
      </c>
      <c r="K352" s="204" t="str">
        <f t="shared" si="32"/>
        <v/>
      </c>
      <c r="L352" s="188" t="str">
        <f t="shared" si="33"/>
        <v/>
      </c>
      <c r="M352" s="203" t="str">
        <f>IF($H352="USD",IF(OR($L352="",$L352="-"),"",VLOOKUP($G352,為替!$A:$AX,$L352,FALSE))+$K$3,IF(OR($L352="",$L352="-"),"",VLOOKUP($G352,為替!$A:$AX,$L352,FALSE)))</f>
        <v/>
      </c>
      <c r="N352" s="204" t="str">
        <f t="shared" si="34"/>
        <v/>
      </c>
      <c r="O352" s="205" t="str">
        <f t="shared" si="30"/>
        <v/>
      </c>
      <c r="P352" s="206" t="str">
        <f t="shared" si="35"/>
        <v/>
      </c>
    </row>
    <row r="353" spans="3:16" x14ac:dyDescent="0.4">
      <c r="C353" s="199"/>
      <c r="D353" s="200"/>
      <c r="E353" s="201"/>
      <c r="F353" s="199"/>
      <c r="H353" s="202"/>
      <c r="I353" s="185" t="str">
        <f t="shared" si="31"/>
        <v/>
      </c>
      <c r="J353" s="203" t="str">
        <f>IF($H353="USD",IF(OR($I353="",$I353="-"),"",VLOOKUP($G353,為替!$A:$AX,$I353,FALSE))+$J$3,IF(OR($I353="",$I353="-"),"",VLOOKUP($G353,為替!$A:$AX,$I353,FALSE)))</f>
        <v/>
      </c>
      <c r="K353" s="204" t="str">
        <f t="shared" si="32"/>
        <v/>
      </c>
      <c r="L353" s="188" t="str">
        <f t="shared" si="33"/>
        <v/>
      </c>
      <c r="M353" s="203" t="str">
        <f>IF($H353="USD",IF(OR($L353="",$L353="-"),"",VLOOKUP($G353,為替!$A:$AX,$L353,FALSE))+$K$3,IF(OR($L353="",$L353="-"),"",VLOOKUP($G353,為替!$A:$AX,$L353,FALSE)))</f>
        <v/>
      </c>
      <c r="N353" s="204" t="str">
        <f t="shared" si="34"/>
        <v/>
      </c>
      <c r="O353" s="205" t="str">
        <f t="shared" si="30"/>
        <v/>
      </c>
      <c r="P353" s="206" t="str">
        <f t="shared" si="35"/>
        <v/>
      </c>
    </row>
    <row r="354" spans="3:16" x14ac:dyDescent="0.4">
      <c r="C354" s="199"/>
      <c r="D354" s="200"/>
      <c r="E354" s="201"/>
      <c r="F354" s="199"/>
      <c r="H354" s="202"/>
      <c r="I354" s="185" t="str">
        <f t="shared" si="31"/>
        <v/>
      </c>
      <c r="J354" s="203" t="str">
        <f>IF($H354="USD",IF(OR($I354="",$I354="-"),"",VLOOKUP($G354,為替!$A:$AX,$I354,FALSE))+$J$3,IF(OR($I354="",$I354="-"),"",VLOOKUP($G354,為替!$A:$AX,$I354,FALSE)))</f>
        <v/>
      </c>
      <c r="K354" s="204" t="str">
        <f t="shared" si="32"/>
        <v/>
      </c>
      <c r="L354" s="188" t="str">
        <f t="shared" si="33"/>
        <v/>
      </c>
      <c r="M354" s="203" t="str">
        <f>IF($H354="USD",IF(OR($L354="",$L354="-"),"",VLOOKUP($G354,為替!$A:$AX,$L354,FALSE))+$K$3,IF(OR($L354="",$L354="-"),"",VLOOKUP($G354,為替!$A:$AX,$L354,FALSE)))</f>
        <v/>
      </c>
      <c r="N354" s="204" t="str">
        <f t="shared" si="34"/>
        <v/>
      </c>
      <c r="O354" s="205" t="str">
        <f t="shared" si="30"/>
        <v/>
      </c>
      <c r="P354" s="206" t="str">
        <f t="shared" si="35"/>
        <v/>
      </c>
    </row>
    <row r="355" spans="3:16" x14ac:dyDescent="0.4">
      <c r="C355" s="199"/>
      <c r="D355" s="200"/>
      <c r="E355" s="201"/>
      <c r="F355" s="199"/>
      <c r="H355" s="202"/>
      <c r="I355" s="185" t="str">
        <f t="shared" si="31"/>
        <v/>
      </c>
      <c r="J355" s="203" t="str">
        <f>IF($H355="USD",IF(OR($I355="",$I355="-"),"",VLOOKUP($G355,為替!$A:$AX,$I355,FALSE))+$J$3,IF(OR($I355="",$I355="-"),"",VLOOKUP($G355,為替!$A:$AX,$I355,FALSE)))</f>
        <v/>
      </c>
      <c r="K355" s="204" t="str">
        <f t="shared" si="32"/>
        <v/>
      </c>
      <c r="L355" s="188" t="str">
        <f t="shared" si="33"/>
        <v/>
      </c>
      <c r="M355" s="203" t="str">
        <f>IF($H355="USD",IF(OR($L355="",$L355="-"),"",VLOOKUP($G355,為替!$A:$AX,$L355,FALSE))+$K$3,IF(OR($L355="",$L355="-"),"",VLOOKUP($G355,為替!$A:$AX,$L355,FALSE)))</f>
        <v/>
      </c>
      <c r="N355" s="204" t="str">
        <f t="shared" si="34"/>
        <v/>
      </c>
      <c r="O355" s="205" t="str">
        <f t="shared" si="30"/>
        <v/>
      </c>
      <c r="P355" s="206" t="str">
        <f t="shared" si="35"/>
        <v/>
      </c>
    </row>
    <row r="356" spans="3:16" x14ac:dyDescent="0.4">
      <c r="C356" s="199"/>
      <c r="D356" s="200"/>
      <c r="E356" s="201"/>
      <c r="F356" s="199"/>
      <c r="H356" s="202"/>
      <c r="I356" s="185" t="str">
        <f t="shared" si="31"/>
        <v/>
      </c>
      <c r="J356" s="203" t="str">
        <f>IF($H356="USD",IF(OR($I356="",$I356="-"),"",VLOOKUP($G356,為替!$A:$AX,$I356,FALSE))+$J$3,IF(OR($I356="",$I356="-"),"",VLOOKUP($G356,為替!$A:$AX,$I356,FALSE)))</f>
        <v/>
      </c>
      <c r="K356" s="204" t="str">
        <f t="shared" si="32"/>
        <v/>
      </c>
      <c r="L356" s="188" t="str">
        <f t="shared" si="33"/>
        <v/>
      </c>
      <c r="M356" s="203" t="str">
        <f>IF($H356="USD",IF(OR($L356="",$L356="-"),"",VLOOKUP($G356,為替!$A:$AX,$L356,FALSE))+$K$3,IF(OR($L356="",$L356="-"),"",VLOOKUP($G356,為替!$A:$AX,$L356,FALSE)))</f>
        <v/>
      </c>
      <c r="N356" s="204" t="str">
        <f t="shared" si="34"/>
        <v/>
      </c>
      <c r="O356" s="205" t="str">
        <f t="shared" si="30"/>
        <v/>
      </c>
      <c r="P356" s="206" t="str">
        <f t="shared" si="35"/>
        <v/>
      </c>
    </row>
    <row r="357" spans="3:16" x14ac:dyDescent="0.4">
      <c r="C357" s="199"/>
      <c r="D357" s="200"/>
      <c r="E357" s="201"/>
      <c r="F357" s="199"/>
      <c r="H357" s="202"/>
      <c r="I357" s="185" t="str">
        <f t="shared" si="31"/>
        <v/>
      </c>
      <c r="J357" s="203" t="str">
        <f>IF($H357="USD",IF(OR($I357="",$I357="-"),"",VLOOKUP($G357,為替!$A:$AX,$I357,FALSE))+$J$3,IF(OR($I357="",$I357="-"),"",VLOOKUP($G357,為替!$A:$AX,$I357,FALSE)))</f>
        <v/>
      </c>
      <c r="K357" s="204" t="str">
        <f t="shared" si="32"/>
        <v/>
      </c>
      <c r="L357" s="188" t="str">
        <f t="shared" si="33"/>
        <v/>
      </c>
      <c r="M357" s="203" t="str">
        <f>IF($H357="USD",IF(OR($L357="",$L357="-"),"",VLOOKUP($G357,為替!$A:$AX,$L357,FALSE))+$K$3,IF(OR($L357="",$L357="-"),"",VLOOKUP($G357,為替!$A:$AX,$L357,FALSE)))</f>
        <v/>
      </c>
      <c r="N357" s="204" t="str">
        <f t="shared" si="34"/>
        <v/>
      </c>
      <c r="O357" s="205" t="str">
        <f t="shared" si="30"/>
        <v/>
      </c>
      <c r="P357" s="206" t="str">
        <f t="shared" si="35"/>
        <v/>
      </c>
    </row>
    <row r="358" spans="3:16" x14ac:dyDescent="0.4">
      <c r="C358" s="199"/>
      <c r="D358" s="200"/>
      <c r="E358" s="201"/>
      <c r="F358" s="199"/>
      <c r="H358" s="202"/>
      <c r="I358" s="185" t="str">
        <f t="shared" si="31"/>
        <v/>
      </c>
      <c r="J358" s="203" t="str">
        <f>IF($H358="USD",IF(OR($I358="",$I358="-"),"",VLOOKUP($G358,為替!$A:$AX,$I358,FALSE))+$J$3,IF(OR($I358="",$I358="-"),"",VLOOKUP($G358,為替!$A:$AX,$I358,FALSE)))</f>
        <v/>
      </c>
      <c r="K358" s="204" t="str">
        <f t="shared" si="32"/>
        <v/>
      </c>
      <c r="L358" s="188" t="str">
        <f t="shared" si="33"/>
        <v/>
      </c>
      <c r="M358" s="203" t="str">
        <f>IF($H358="USD",IF(OR($L358="",$L358="-"),"",VLOOKUP($G358,為替!$A:$AX,$L358,FALSE))+$K$3,IF(OR($L358="",$L358="-"),"",VLOOKUP($G358,為替!$A:$AX,$L358,FALSE)))</f>
        <v/>
      </c>
      <c r="N358" s="204" t="str">
        <f t="shared" si="34"/>
        <v/>
      </c>
      <c r="O358" s="205" t="str">
        <f t="shared" si="30"/>
        <v/>
      </c>
      <c r="P358" s="206" t="str">
        <f t="shared" si="35"/>
        <v/>
      </c>
    </row>
    <row r="359" spans="3:16" x14ac:dyDescent="0.4">
      <c r="C359" s="199"/>
      <c r="D359" s="200"/>
      <c r="E359" s="201"/>
      <c r="F359" s="199"/>
      <c r="H359" s="202"/>
      <c r="I359" s="185" t="str">
        <f t="shared" si="31"/>
        <v/>
      </c>
      <c r="J359" s="203" t="str">
        <f>IF($H359="USD",IF(OR($I359="",$I359="-"),"",VLOOKUP($G359,為替!$A:$AX,$I359,FALSE))+$J$3,IF(OR($I359="",$I359="-"),"",VLOOKUP($G359,為替!$A:$AX,$I359,FALSE)))</f>
        <v/>
      </c>
      <c r="K359" s="204" t="str">
        <f t="shared" si="32"/>
        <v/>
      </c>
      <c r="L359" s="188" t="str">
        <f t="shared" si="33"/>
        <v/>
      </c>
      <c r="M359" s="203" t="str">
        <f>IF($H359="USD",IF(OR($L359="",$L359="-"),"",VLOOKUP($G359,為替!$A:$AX,$L359,FALSE))+$K$3,IF(OR($L359="",$L359="-"),"",VLOOKUP($G359,為替!$A:$AX,$L359,FALSE)))</f>
        <v/>
      </c>
      <c r="N359" s="204" t="str">
        <f t="shared" si="34"/>
        <v/>
      </c>
      <c r="O359" s="205" t="str">
        <f t="shared" si="30"/>
        <v/>
      </c>
      <c r="P359" s="206" t="str">
        <f t="shared" si="35"/>
        <v/>
      </c>
    </row>
    <row r="360" spans="3:16" x14ac:dyDescent="0.4">
      <c r="C360" s="199"/>
      <c r="D360" s="200"/>
      <c r="E360" s="201"/>
      <c r="F360" s="199"/>
      <c r="H360" s="202"/>
      <c r="I360" s="185" t="str">
        <f t="shared" si="31"/>
        <v/>
      </c>
      <c r="J360" s="203" t="str">
        <f>IF($H360="USD",IF(OR($I360="",$I360="-"),"",VLOOKUP($G360,為替!$A:$AX,$I360,FALSE))+$J$3,IF(OR($I360="",$I360="-"),"",VLOOKUP($G360,為替!$A:$AX,$I360,FALSE)))</f>
        <v/>
      </c>
      <c r="K360" s="204" t="str">
        <f t="shared" si="32"/>
        <v/>
      </c>
      <c r="L360" s="188" t="str">
        <f t="shared" si="33"/>
        <v/>
      </c>
      <c r="M360" s="203" t="str">
        <f>IF($H360="USD",IF(OR($L360="",$L360="-"),"",VLOOKUP($G360,為替!$A:$AX,$L360,FALSE))+$K$3,IF(OR($L360="",$L360="-"),"",VLOOKUP($G360,為替!$A:$AX,$L360,FALSE)))</f>
        <v/>
      </c>
      <c r="N360" s="204" t="str">
        <f t="shared" si="34"/>
        <v/>
      </c>
      <c r="O360" s="205" t="str">
        <f t="shared" si="30"/>
        <v/>
      </c>
      <c r="P360" s="206" t="str">
        <f t="shared" si="35"/>
        <v/>
      </c>
    </row>
    <row r="361" spans="3:16" x14ac:dyDescent="0.4">
      <c r="C361" s="199"/>
      <c r="D361" s="200"/>
      <c r="E361" s="201"/>
      <c r="F361" s="199"/>
      <c r="H361" s="202"/>
      <c r="I361" s="185" t="str">
        <f t="shared" si="31"/>
        <v/>
      </c>
      <c r="J361" s="203" t="str">
        <f>IF($H361="USD",IF(OR($I361="",$I361="-"),"",VLOOKUP($G361,為替!$A:$AX,$I361,FALSE))+$J$3,IF(OR($I361="",$I361="-"),"",VLOOKUP($G361,為替!$A:$AX,$I361,FALSE)))</f>
        <v/>
      </c>
      <c r="K361" s="204" t="str">
        <f t="shared" si="32"/>
        <v/>
      </c>
      <c r="L361" s="188" t="str">
        <f t="shared" si="33"/>
        <v/>
      </c>
      <c r="M361" s="203" t="str">
        <f>IF($H361="USD",IF(OR($L361="",$L361="-"),"",VLOOKUP($G361,為替!$A:$AX,$L361,FALSE))+$K$3,IF(OR($L361="",$L361="-"),"",VLOOKUP($G361,為替!$A:$AX,$L361,FALSE)))</f>
        <v/>
      </c>
      <c r="N361" s="204" t="str">
        <f t="shared" si="34"/>
        <v/>
      </c>
      <c r="O361" s="205" t="str">
        <f t="shared" si="30"/>
        <v/>
      </c>
      <c r="P361" s="206" t="str">
        <f t="shared" si="35"/>
        <v/>
      </c>
    </row>
    <row r="362" spans="3:16" x14ac:dyDescent="0.4">
      <c r="C362" s="199"/>
      <c r="D362" s="200"/>
      <c r="E362" s="201"/>
      <c r="F362" s="199"/>
      <c r="H362" s="202"/>
      <c r="I362" s="185" t="str">
        <f t="shared" si="31"/>
        <v/>
      </c>
      <c r="J362" s="203" t="str">
        <f>IF($H362="USD",IF(OR($I362="",$I362="-"),"",VLOOKUP($G362,為替!$A:$AX,$I362,FALSE))+$J$3,IF(OR($I362="",$I362="-"),"",VLOOKUP($G362,為替!$A:$AX,$I362,FALSE)))</f>
        <v/>
      </c>
      <c r="K362" s="204" t="str">
        <f t="shared" si="32"/>
        <v/>
      </c>
      <c r="L362" s="188" t="str">
        <f t="shared" si="33"/>
        <v/>
      </c>
      <c r="M362" s="203" t="str">
        <f>IF($H362="USD",IF(OR($L362="",$L362="-"),"",VLOOKUP($G362,為替!$A:$AX,$L362,FALSE))+$K$3,IF(OR($L362="",$L362="-"),"",VLOOKUP($G362,為替!$A:$AX,$L362,FALSE)))</f>
        <v/>
      </c>
      <c r="N362" s="204" t="str">
        <f t="shared" si="34"/>
        <v/>
      </c>
      <c r="O362" s="205" t="str">
        <f t="shared" si="30"/>
        <v/>
      </c>
      <c r="P362" s="206" t="str">
        <f t="shared" si="35"/>
        <v/>
      </c>
    </row>
    <row r="363" spans="3:16" x14ac:dyDescent="0.4">
      <c r="C363" s="199"/>
      <c r="D363" s="200"/>
      <c r="E363" s="201"/>
      <c r="F363" s="199"/>
      <c r="H363" s="202"/>
      <c r="I363" s="185" t="str">
        <f t="shared" si="31"/>
        <v/>
      </c>
      <c r="J363" s="203" t="str">
        <f>IF($H363="USD",IF(OR($I363="",$I363="-"),"",VLOOKUP($G363,為替!$A:$AX,$I363,FALSE))+$J$3,IF(OR($I363="",$I363="-"),"",VLOOKUP($G363,為替!$A:$AX,$I363,FALSE)))</f>
        <v/>
      </c>
      <c r="K363" s="204" t="str">
        <f t="shared" si="32"/>
        <v/>
      </c>
      <c r="L363" s="188" t="str">
        <f t="shared" si="33"/>
        <v/>
      </c>
      <c r="M363" s="203" t="str">
        <f>IF($H363="USD",IF(OR($L363="",$L363="-"),"",VLOOKUP($G363,為替!$A:$AX,$L363,FALSE))+$K$3,IF(OR($L363="",$L363="-"),"",VLOOKUP($G363,為替!$A:$AX,$L363,FALSE)))</f>
        <v/>
      </c>
      <c r="N363" s="204" t="str">
        <f t="shared" si="34"/>
        <v/>
      </c>
      <c r="O363" s="205" t="str">
        <f t="shared" si="30"/>
        <v/>
      </c>
      <c r="P363" s="206" t="str">
        <f t="shared" si="35"/>
        <v/>
      </c>
    </row>
    <row r="364" spans="3:16" x14ac:dyDescent="0.4">
      <c r="C364" s="199"/>
      <c r="D364" s="200"/>
      <c r="E364" s="201"/>
      <c r="F364" s="199"/>
      <c r="H364" s="202"/>
      <c r="I364" s="185" t="str">
        <f t="shared" si="31"/>
        <v/>
      </c>
      <c r="J364" s="203" t="str">
        <f>IF($H364="USD",IF(OR($I364="",$I364="-"),"",VLOOKUP($G364,為替!$A:$AX,$I364,FALSE))+$J$3,IF(OR($I364="",$I364="-"),"",VLOOKUP($G364,為替!$A:$AX,$I364,FALSE)))</f>
        <v/>
      </c>
      <c r="K364" s="204" t="str">
        <f t="shared" si="32"/>
        <v/>
      </c>
      <c r="L364" s="188" t="str">
        <f t="shared" si="33"/>
        <v/>
      </c>
      <c r="M364" s="203" t="str">
        <f>IF($H364="USD",IF(OR($L364="",$L364="-"),"",VLOOKUP($G364,為替!$A:$AX,$L364,FALSE))+$K$3,IF(OR($L364="",$L364="-"),"",VLOOKUP($G364,為替!$A:$AX,$L364,FALSE)))</f>
        <v/>
      </c>
      <c r="N364" s="204" t="str">
        <f t="shared" si="34"/>
        <v/>
      </c>
      <c r="O364" s="205" t="str">
        <f t="shared" si="30"/>
        <v/>
      </c>
      <c r="P364" s="206" t="str">
        <f t="shared" si="35"/>
        <v/>
      </c>
    </row>
    <row r="365" spans="3:16" x14ac:dyDescent="0.4">
      <c r="C365" s="199"/>
      <c r="D365" s="200"/>
      <c r="E365" s="201"/>
      <c r="F365" s="199"/>
      <c r="H365" s="202"/>
      <c r="I365" s="185" t="str">
        <f t="shared" si="31"/>
        <v/>
      </c>
      <c r="J365" s="203" t="str">
        <f>IF($H365="USD",IF(OR($I365="",$I365="-"),"",VLOOKUP($G365,為替!$A:$AX,$I365,FALSE))+$J$3,IF(OR($I365="",$I365="-"),"",VLOOKUP($G365,為替!$A:$AX,$I365,FALSE)))</f>
        <v/>
      </c>
      <c r="K365" s="204" t="str">
        <f t="shared" si="32"/>
        <v/>
      </c>
      <c r="L365" s="188" t="str">
        <f t="shared" si="33"/>
        <v/>
      </c>
      <c r="M365" s="203" t="str">
        <f>IF($H365="USD",IF(OR($L365="",$L365="-"),"",VLOOKUP($G365,為替!$A:$AX,$L365,FALSE))+$K$3,IF(OR($L365="",$L365="-"),"",VLOOKUP($G365,為替!$A:$AX,$L365,FALSE)))</f>
        <v/>
      </c>
      <c r="N365" s="204" t="str">
        <f t="shared" si="34"/>
        <v/>
      </c>
      <c r="O365" s="205" t="str">
        <f t="shared" si="30"/>
        <v/>
      </c>
      <c r="P365" s="206" t="str">
        <f t="shared" si="35"/>
        <v/>
      </c>
    </row>
    <row r="366" spans="3:16" x14ac:dyDescent="0.4">
      <c r="C366" s="199"/>
      <c r="D366" s="200"/>
      <c r="E366" s="201"/>
      <c r="F366" s="199"/>
      <c r="H366" s="202"/>
      <c r="I366" s="185" t="str">
        <f t="shared" si="31"/>
        <v/>
      </c>
      <c r="J366" s="203" t="str">
        <f>IF($H366="USD",IF(OR($I366="",$I366="-"),"",VLOOKUP($G366,為替!$A:$AX,$I366,FALSE))+$J$3,IF(OR($I366="",$I366="-"),"",VLOOKUP($G366,為替!$A:$AX,$I366,FALSE)))</f>
        <v/>
      </c>
      <c r="K366" s="204" t="str">
        <f t="shared" si="32"/>
        <v/>
      </c>
      <c r="L366" s="188" t="str">
        <f t="shared" si="33"/>
        <v/>
      </c>
      <c r="M366" s="203" t="str">
        <f>IF($H366="USD",IF(OR($L366="",$L366="-"),"",VLOOKUP($G366,為替!$A:$AX,$L366,FALSE))+$K$3,IF(OR($L366="",$L366="-"),"",VLOOKUP($G366,為替!$A:$AX,$L366,FALSE)))</f>
        <v/>
      </c>
      <c r="N366" s="204" t="str">
        <f t="shared" si="34"/>
        <v/>
      </c>
      <c r="O366" s="205" t="str">
        <f t="shared" si="30"/>
        <v/>
      </c>
      <c r="P366" s="206" t="str">
        <f t="shared" si="35"/>
        <v/>
      </c>
    </row>
    <row r="367" spans="3:16" x14ac:dyDescent="0.4">
      <c r="C367" s="199"/>
      <c r="D367" s="200"/>
      <c r="E367" s="201"/>
      <c r="F367" s="199"/>
      <c r="H367" s="202"/>
      <c r="I367" s="185" t="str">
        <f t="shared" si="31"/>
        <v/>
      </c>
      <c r="J367" s="203" t="str">
        <f>IF($H367="USD",IF(OR($I367="",$I367="-"),"",VLOOKUP($G367,為替!$A:$AX,$I367,FALSE))+$J$3,IF(OR($I367="",$I367="-"),"",VLOOKUP($G367,為替!$A:$AX,$I367,FALSE)))</f>
        <v/>
      </c>
      <c r="K367" s="204" t="str">
        <f t="shared" si="32"/>
        <v/>
      </c>
      <c r="L367" s="188" t="str">
        <f t="shared" si="33"/>
        <v/>
      </c>
      <c r="M367" s="203" t="str">
        <f>IF($H367="USD",IF(OR($L367="",$L367="-"),"",VLOOKUP($G367,為替!$A:$AX,$L367,FALSE))+$K$3,IF(OR($L367="",$L367="-"),"",VLOOKUP($G367,為替!$A:$AX,$L367,FALSE)))</f>
        <v/>
      </c>
      <c r="N367" s="204" t="str">
        <f t="shared" si="34"/>
        <v/>
      </c>
      <c r="O367" s="205" t="str">
        <f t="shared" si="30"/>
        <v/>
      </c>
      <c r="P367" s="206" t="str">
        <f t="shared" si="35"/>
        <v/>
      </c>
    </row>
    <row r="368" spans="3:16" x14ac:dyDescent="0.4">
      <c r="C368" s="199"/>
      <c r="D368" s="200"/>
      <c r="E368" s="201"/>
      <c r="F368" s="199"/>
      <c r="H368" s="202"/>
      <c r="I368" s="185" t="str">
        <f t="shared" si="31"/>
        <v/>
      </c>
      <c r="J368" s="203" t="str">
        <f>IF($H368="USD",IF(OR($I368="",$I368="-"),"",VLOOKUP($G368,為替!$A:$AX,$I368,FALSE))+$J$3,IF(OR($I368="",$I368="-"),"",VLOOKUP($G368,為替!$A:$AX,$I368,FALSE)))</f>
        <v/>
      </c>
      <c r="K368" s="204" t="str">
        <f t="shared" si="32"/>
        <v/>
      </c>
      <c r="L368" s="188" t="str">
        <f t="shared" si="33"/>
        <v/>
      </c>
      <c r="M368" s="203" t="str">
        <f>IF($H368="USD",IF(OR($L368="",$L368="-"),"",VLOOKUP($G368,為替!$A:$AX,$L368,FALSE))+$K$3,IF(OR($L368="",$L368="-"),"",VLOOKUP($G368,為替!$A:$AX,$L368,FALSE)))</f>
        <v/>
      </c>
      <c r="N368" s="204" t="str">
        <f t="shared" si="34"/>
        <v/>
      </c>
      <c r="O368" s="205" t="str">
        <f t="shared" si="30"/>
        <v/>
      </c>
      <c r="P368" s="206" t="str">
        <f t="shared" si="35"/>
        <v/>
      </c>
    </row>
    <row r="369" spans="3:16" x14ac:dyDescent="0.4">
      <c r="C369" s="199"/>
      <c r="D369" s="200"/>
      <c r="E369" s="201"/>
      <c r="F369" s="199"/>
      <c r="H369" s="202"/>
      <c r="I369" s="185" t="str">
        <f t="shared" si="31"/>
        <v/>
      </c>
      <c r="J369" s="203" t="str">
        <f>IF($H369="USD",IF(OR($I369="",$I369="-"),"",VLOOKUP($G369,為替!$A:$AX,$I369,FALSE))+$J$3,IF(OR($I369="",$I369="-"),"",VLOOKUP($G369,為替!$A:$AX,$I369,FALSE)))</f>
        <v/>
      </c>
      <c r="K369" s="204" t="str">
        <f t="shared" si="32"/>
        <v/>
      </c>
      <c r="L369" s="188" t="str">
        <f t="shared" si="33"/>
        <v/>
      </c>
      <c r="M369" s="203" t="str">
        <f>IF($H369="USD",IF(OR($L369="",$L369="-"),"",VLOOKUP($G369,為替!$A:$AX,$L369,FALSE))+$K$3,IF(OR($L369="",$L369="-"),"",VLOOKUP($G369,為替!$A:$AX,$L369,FALSE)))</f>
        <v/>
      </c>
      <c r="N369" s="204" t="str">
        <f t="shared" si="34"/>
        <v/>
      </c>
      <c r="O369" s="205" t="str">
        <f t="shared" si="30"/>
        <v/>
      </c>
      <c r="P369" s="206" t="str">
        <f t="shared" si="35"/>
        <v/>
      </c>
    </row>
    <row r="370" spans="3:16" x14ac:dyDescent="0.4">
      <c r="C370" s="199"/>
      <c r="D370" s="200"/>
      <c r="E370" s="201"/>
      <c r="F370" s="199"/>
      <c r="H370" s="202"/>
      <c r="I370" s="185" t="str">
        <f t="shared" si="31"/>
        <v/>
      </c>
      <c r="J370" s="203" t="str">
        <f>IF($H370="USD",IF(OR($I370="",$I370="-"),"",VLOOKUP($G370,為替!$A:$AX,$I370,FALSE))+$J$3,IF(OR($I370="",$I370="-"),"",VLOOKUP($G370,為替!$A:$AX,$I370,FALSE)))</f>
        <v/>
      </c>
      <c r="K370" s="204" t="str">
        <f t="shared" si="32"/>
        <v/>
      </c>
      <c r="L370" s="188" t="str">
        <f t="shared" si="33"/>
        <v/>
      </c>
      <c r="M370" s="203" t="str">
        <f>IF($H370="USD",IF(OR($L370="",$L370="-"),"",VLOOKUP($G370,為替!$A:$AX,$L370,FALSE))+$K$3,IF(OR($L370="",$L370="-"),"",VLOOKUP($G370,為替!$A:$AX,$L370,FALSE)))</f>
        <v/>
      </c>
      <c r="N370" s="204" t="str">
        <f t="shared" si="34"/>
        <v/>
      </c>
      <c r="O370" s="205" t="str">
        <f t="shared" si="30"/>
        <v/>
      </c>
      <c r="P370" s="206" t="str">
        <f t="shared" si="35"/>
        <v/>
      </c>
    </row>
    <row r="371" spans="3:16" x14ac:dyDescent="0.4">
      <c r="C371" s="199"/>
      <c r="D371" s="200"/>
      <c r="E371" s="201"/>
      <c r="F371" s="199"/>
      <c r="H371" s="202"/>
      <c r="I371" s="185" t="str">
        <f t="shared" si="31"/>
        <v/>
      </c>
      <c r="J371" s="203" t="str">
        <f>IF($H371="USD",IF(OR($I371="",$I371="-"),"",VLOOKUP($G371,為替!$A:$AX,$I371,FALSE))+$J$3,IF(OR($I371="",$I371="-"),"",VLOOKUP($G371,為替!$A:$AX,$I371,FALSE)))</f>
        <v/>
      </c>
      <c r="K371" s="204" t="str">
        <f t="shared" si="32"/>
        <v/>
      </c>
      <c r="L371" s="188" t="str">
        <f t="shared" si="33"/>
        <v/>
      </c>
      <c r="M371" s="203" t="str">
        <f>IF($H371="USD",IF(OR($L371="",$L371="-"),"",VLOOKUP($G371,為替!$A:$AX,$L371,FALSE))+$K$3,IF(OR($L371="",$L371="-"),"",VLOOKUP($G371,為替!$A:$AX,$L371,FALSE)))</f>
        <v/>
      </c>
      <c r="N371" s="204" t="str">
        <f t="shared" si="34"/>
        <v/>
      </c>
      <c r="O371" s="205" t="str">
        <f t="shared" si="30"/>
        <v/>
      </c>
      <c r="P371" s="206" t="str">
        <f t="shared" si="35"/>
        <v/>
      </c>
    </row>
    <row r="372" spans="3:16" x14ac:dyDescent="0.4">
      <c r="C372" s="199"/>
      <c r="D372" s="200"/>
      <c r="E372" s="201"/>
      <c r="F372" s="199"/>
      <c r="H372" s="202"/>
      <c r="I372" s="185" t="str">
        <f t="shared" si="31"/>
        <v/>
      </c>
      <c r="J372" s="203" t="str">
        <f>IF($H372="USD",IF(OR($I372="",$I372="-"),"",VLOOKUP($G372,為替!$A:$AX,$I372,FALSE))+$J$3,IF(OR($I372="",$I372="-"),"",VLOOKUP($G372,為替!$A:$AX,$I372,FALSE)))</f>
        <v/>
      </c>
      <c r="K372" s="204" t="str">
        <f t="shared" si="32"/>
        <v/>
      </c>
      <c r="L372" s="188" t="str">
        <f t="shared" si="33"/>
        <v/>
      </c>
      <c r="M372" s="203" t="str">
        <f>IF($H372="USD",IF(OR($L372="",$L372="-"),"",VLOOKUP($G372,為替!$A:$AX,$L372,FALSE))+$K$3,IF(OR($L372="",$L372="-"),"",VLOOKUP($G372,為替!$A:$AX,$L372,FALSE)))</f>
        <v/>
      </c>
      <c r="N372" s="204" t="str">
        <f t="shared" si="34"/>
        <v/>
      </c>
      <c r="O372" s="205" t="str">
        <f t="shared" si="30"/>
        <v/>
      </c>
      <c r="P372" s="206" t="str">
        <f t="shared" si="35"/>
        <v/>
      </c>
    </row>
    <row r="373" spans="3:16" x14ac:dyDescent="0.4">
      <c r="C373" s="199"/>
      <c r="D373" s="200"/>
      <c r="E373" s="201"/>
      <c r="F373" s="199"/>
      <c r="H373" s="202"/>
      <c r="I373" s="185" t="str">
        <f t="shared" si="31"/>
        <v/>
      </c>
      <c r="J373" s="203" t="str">
        <f>IF($H373="USD",IF(OR($I373="",$I373="-"),"",VLOOKUP($G373,為替!$A:$AX,$I373,FALSE))+$J$3,IF(OR($I373="",$I373="-"),"",VLOOKUP($G373,為替!$A:$AX,$I373,FALSE)))</f>
        <v/>
      </c>
      <c r="K373" s="204" t="str">
        <f t="shared" si="32"/>
        <v/>
      </c>
      <c r="L373" s="188" t="str">
        <f t="shared" si="33"/>
        <v/>
      </c>
      <c r="M373" s="203" t="str">
        <f>IF($H373="USD",IF(OR($L373="",$L373="-"),"",VLOOKUP($G373,為替!$A:$AX,$L373,FALSE))+$K$3,IF(OR($L373="",$L373="-"),"",VLOOKUP($G373,為替!$A:$AX,$L373,FALSE)))</f>
        <v/>
      </c>
      <c r="N373" s="204" t="str">
        <f t="shared" si="34"/>
        <v/>
      </c>
      <c r="O373" s="205" t="str">
        <f t="shared" si="30"/>
        <v/>
      </c>
      <c r="P373" s="206" t="str">
        <f t="shared" si="35"/>
        <v/>
      </c>
    </row>
    <row r="374" spans="3:16" x14ac:dyDescent="0.4">
      <c r="C374" s="199"/>
      <c r="D374" s="200"/>
      <c r="E374" s="201"/>
      <c r="F374" s="199"/>
      <c r="H374" s="202"/>
      <c r="I374" s="185" t="str">
        <f t="shared" si="31"/>
        <v/>
      </c>
      <c r="J374" s="203" t="str">
        <f>IF($H374="USD",IF(OR($I374="",$I374="-"),"",VLOOKUP($G374,為替!$A:$AX,$I374,FALSE))+$J$3,IF(OR($I374="",$I374="-"),"",VLOOKUP($G374,為替!$A:$AX,$I374,FALSE)))</f>
        <v/>
      </c>
      <c r="K374" s="204" t="str">
        <f t="shared" si="32"/>
        <v/>
      </c>
      <c r="L374" s="188" t="str">
        <f t="shared" si="33"/>
        <v/>
      </c>
      <c r="M374" s="203" t="str">
        <f>IF($H374="USD",IF(OR($L374="",$L374="-"),"",VLOOKUP($G374,為替!$A:$AX,$L374,FALSE))+$K$3,IF(OR($L374="",$L374="-"),"",VLOOKUP($G374,為替!$A:$AX,$L374,FALSE)))</f>
        <v/>
      </c>
      <c r="N374" s="204" t="str">
        <f t="shared" si="34"/>
        <v/>
      </c>
      <c r="O374" s="205" t="str">
        <f t="shared" si="30"/>
        <v/>
      </c>
      <c r="P374" s="206" t="str">
        <f t="shared" si="35"/>
        <v/>
      </c>
    </row>
    <row r="375" spans="3:16" x14ac:dyDescent="0.4">
      <c r="C375" s="199"/>
      <c r="D375" s="200"/>
      <c r="E375" s="201"/>
      <c r="F375" s="199"/>
      <c r="H375" s="202"/>
      <c r="I375" s="185" t="str">
        <f t="shared" si="31"/>
        <v/>
      </c>
      <c r="J375" s="203" t="str">
        <f>IF($H375="USD",IF(OR($I375="",$I375="-"),"",VLOOKUP($G375,為替!$A:$AX,$I375,FALSE))+$J$3,IF(OR($I375="",$I375="-"),"",VLOOKUP($G375,為替!$A:$AX,$I375,FALSE)))</f>
        <v/>
      </c>
      <c r="K375" s="204" t="str">
        <f t="shared" si="32"/>
        <v/>
      </c>
      <c r="L375" s="188" t="str">
        <f t="shared" si="33"/>
        <v/>
      </c>
      <c r="M375" s="203" t="str">
        <f>IF($H375="USD",IF(OR($L375="",$L375="-"),"",VLOOKUP($G375,為替!$A:$AX,$L375,FALSE))+$K$3,IF(OR($L375="",$L375="-"),"",VLOOKUP($G375,為替!$A:$AX,$L375,FALSE)))</f>
        <v/>
      </c>
      <c r="N375" s="204" t="str">
        <f t="shared" si="34"/>
        <v/>
      </c>
      <c r="O375" s="205" t="str">
        <f t="shared" si="30"/>
        <v/>
      </c>
      <c r="P375" s="206" t="str">
        <f t="shared" si="35"/>
        <v/>
      </c>
    </row>
    <row r="376" spans="3:16" x14ac:dyDescent="0.4">
      <c r="C376" s="199"/>
      <c r="D376" s="200"/>
      <c r="E376" s="201"/>
      <c r="F376" s="199"/>
      <c r="H376" s="202"/>
      <c r="I376" s="185" t="str">
        <f t="shared" si="31"/>
        <v/>
      </c>
      <c r="J376" s="203" t="str">
        <f>IF($H376="USD",IF(OR($I376="",$I376="-"),"",VLOOKUP($G376,為替!$A:$AX,$I376,FALSE))+$J$3,IF(OR($I376="",$I376="-"),"",VLOOKUP($G376,為替!$A:$AX,$I376,FALSE)))</f>
        <v/>
      </c>
      <c r="K376" s="204" t="str">
        <f t="shared" si="32"/>
        <v/>
      </c>
      <c r="L376" s="188" t="str">
        <f t="shared" si="33"/>
        <v/>
      </c>
      <c r="M376" s="203" t="str">
        <f>IF($H376="USD",IF(OR($L376="",$L376="-"),"",VLOOKUP($G376,為替!$A:$AX,$L376,FALSE))+$K$3,IF(OR($L376="",$L376="-"),"",VLOOKUP($G376,為替!$A:$AX,$L376,FALSE)))</f>
        <v/>
      </c>
      <c r="N376" s="204" t="str">
        <f t="shared" si="34"/>
        <v/>
      </c>
      <c r="O376" s="205" t="str">
        <f t="shared" si="30"/>
        <v/>
      </c>
      <c r="P376" s="206" t="str">
        <f t="shared" si="35"/>
        <v/>
      </c>
    </row>
    <row r="377" spans="3:16" x14ac:dyDescent="0.4">
      <c r="C377" s="199"/>
      <c r="D377" s="200"/>
      <c r="E377" s="201"/>
      <c r="F377" s="199"/>
      <c r="H377" s="202"/>
      <c r="I377" s="185" t="str">
        <f t="shared" si="31"/>
        <v/>
      </c>
      <c r="J377" s="203" t="str">
        <f>IF($H377="USD",IF(OR($I377="",$I377="-"),"",VLOOKUP($G377,為替!$A:$AX,$I377,FALSE))+$J$3,IF(OR($I377="",$I377="-"),"",VLOOKUP($G377,為替!$A:$AX,$I377,FALSE)))</f>
        <v/>
      </c>
      <c r="K377" s="204" t="str">
        <f t="shared" si="32"/>
        <v/>
      </c>
      <c r="L377" s="188" t="str">
        <f t="shared" si="33"/>
        <v/>
      </c>
      <c r="M377" s="203" t="str">
        <f>IF($H377="USD",IF(OR($L377="",$L377="-"),"",VLOOKUP($G377,為替!$A:$AX,$L377,FALSE))+$K$3,IF(OR($L377="",$L377="-"),"",VLOOKUP($G377,為替!$A:$AX,$L377,FALSE)))</f>
        <v/>
      </c>
      <c r="N377" s="204" t="str">
        <f t="shared" si="34"/>
        <v/>
      </c>
      <c r="O377" s="205" t="str">
        <f t="shared" si="30"/>
        <v/>
      </c>
      <c r="P377" s="206" t="str">
        <f t="shared" si="35"/>
        <v/>
      </c>
    </row>
    <row r="378" spans="3:16" x14ac:dyDescent="0.4">
      <c r="C378" s="199"/>
      <c r="D378" s="200"/>
      <c r="E378" s="201"/>
      <c r="F378" s="199"/>
      <c r="H378" s="202"/>
      <c r="I378" s="185" t="str">
        <f t="shared" si="31"/>
        <v/>
      </c>
      <c r="J378" s="203" t="str">
        <f>IF($H378="USD",IF(OR($I378="",$I378="-"),"",VLOOKUP($G378,為替!$A:$AX,$I378,FALSE))+$J$3,IF(OR($I378="",$I378="-"),"",VLOOKUP($G378,為替!$A:$AX,$I378,FALSE)))</f>
        <v/>
      </c>
      <c r="K378" s="204" t="str">
        <f t="shared" si="32"/>
        <v/>
      </c>
      <c r="L378" s="188" t="str">
        <f t="shared" si="33"/>
        <v/>
      </c>
      <c r="M378" s="203" t="str">
        <f>IF($H378="USD",IF(OR($L378="",$L378="-"),"",VLOOKUP($G378,為替!$A:$AX,$L378,FALSE))+$K$3,IF(OR($L378="",$L378="-"),"",VLOOKUP($G378,為替!$A:$AX,$L378,FALSE)))</f>
        <v/>
      </c>
      <c r="N378" s="204" t="str">
        <f t="shared" si="34"/>
        <v/>
      </c>
      <c r="O378" s="205" t="str">
        <f t="shared" si="30"/>
        <v/>
      </c>
      <c r="P378" s="206" t="str">
        <f t="shared" si="35"/>
        <v/>
      </c>
    </row>
    <row r="379" spans="3:16" x14ac:dyDescent="0.4">
      <c r="C379" s="199"/>
      <c r="D379" s="200"/>
      <c r="E379" s="201"/>
      <c r="F379" s="199"/>
      <c r="H379" s="202"/>
      <c r="I379" s="185" t="str">
        <f t="shared" si="31"/>
        <v/>
      </c>
      <c r="J379" s="203" t="str">
        <f>IF($H379="USD",IF(OR($I379="",$I379="-"),"",VLOOKUP($G379,為替!$A:$AX,$I379,FALSE))+$J$3,IF(OR($I379="",$I379="-"),"",VLOOKUP($G379,為替!$A:$AX,$I379,FALSE)))</f>
        <v/>
      </c>
      <c r="K379" s="204" t="str">
        <f t="shared" si="32"/>
        <v/>
      </c>
      <c r="L379" s="188" t="str">
        <f t="shared" si="33"/>
        <v/>
      </c>
      <c r="M379" s="203" t="str">
        <f>IF($H379="USD",IF(OR($L379="",$L379="-"),"",VLOOKUP($G379,為替!$A:$AX,$L379,FALSE))+$K$3,IF(OR($L379="",$L379="-"),"",VLOOKUP($G379,為替!$A:$AX,$L379,FALSE)))</f>
        <v/>
      </c>
      <c r="N379" s="204" t="str">
        <f t="shared" si="34"/>
        <v/>
      </c>
      <c r="O379" s="205" t="str">
        <f t="shared" si="30"/>
        <v/>
      </c>
      <c r="P379" s="206" t="str">
        <f t="shared" si="35"/>
        <v/>
      </c>
    </row>
    <row r="380" spans="3:16" x14ac:dyDescent="0.4">
      <c r="C380" s="199"/>
      <c r="D380" s="200"/>
      <c r="E380" s="201"/>
      <c r="F380" s="199"/>
      <c r="H380" s="202"/>
      <c r="I380" s="185" t="str">
        <f t="shared" si="31"/>
        <v/>
      </c>
      <c r="J380" s="203" t="str">
        <f>IF($H380="USD",IF(OR($I380="",$I380="-"),"",VLOOKUP($G380,為替!$A:$AX,$I380,FALSE))+$J$3,IF(OR($I380="",$I380="-"),"",VLOOKUP($G380,為替!$A:$AX,$I380,FALSE)))</f>
        <v/>
      </c>
      <c r="K380" s="204" t="str">
        <f t="shared" si="32"/>
        <v/>
      </c>
      <c r="L380" s="188" t="str">
        <f t="shared" si="33"/>
        <v/>
      </c>
      <c r="M380" s="203" t="str">
        <f>IF($H380="USD",IF(OR($L380="",$L380="-"),"",VLOOKUP($G380,為替!$A:$AX,$L380,FALSE))+$K$3,IF(OR($L380="",$L380="-"),"",VLOOKUP($G380,為替!$A:$AX,$L380,FALSE)))</f>
        <v/>
      </c>
      <c r="N380" s="204" t="str">
        <f t="shared" si="34"/>
        <v/>
      </c>
      <c r="O380" s="205" t="str">
        <f t="shared" si="30"/>
        <v/>
      </c>
      <c r="P380" s="206" t="str">
        <f t="shared" si="35"/>
        <v/>
      </c>
    </row>
    <row r="381" spans="3:16" x14ac:dyDescent="0.4">
      <c r="C381" s="199"/>
      <c r="D381" s="200"/>
      <c r="E381" s="201"/>
      <c r="F381" s="199"/>
      <c r="H381" s="202"/>
      <c r="I381" s="185" t="str">
        <f t="shared" si="31"/>
        <v/>
      </c>
      <c r="J381" s="203" t="str">
        <f>IF($H381="USD",IF(OR($I381="",$I381="-"),"",VLOOKUP($G381,為替!$A:$AX,$I381,FALSE))+$J$3,IF(OR($I381="",$I381="-"),"",VLOOKUP($G381,為替!$A:$AX,$I381,FALSE)))</f>
        <v/>
      </c>
      <c r="K381" s="204" t="str">
        <f t="shared" si="32"/>
        <v/>
      </c>
      <c r="L381" s="188" t="str">
        <f t="shared" si="33"/>
        <v/>
      </c>
      <c r="M381" s="203" t="str">
        <f>IF($H381="USD",IF(OR($L381="",$L381="-"),"",VLOOKUP($G381,為替!$A:$AX,$L381,FALSE))+$K$3,IF(OR($L381="",$L381="-"),"",VLOOKUP($G381,為替!$A:$AX,$L381,FALSE)))</f>
        <v/>
      </c>
      <c r="N381" s="204" t="str">
        <f t="shared" si="34"/>
        <v/>
      </c>
      <c r="O381" s="205" t="str">
        <f t="shared" si="30"/>
        <v/>
      </c>
      <c r="P381" s="206" t="str">
        <f t="shared" si="35"/>
        <v/>
      </c>
    </row>
    <row r="382" spans="3:16" x14ac:dyDescent="0.4">
      <c r="C382" s="199"/>
      <c r="D382" s="200"/>
      <c r="E382" s="201"/>
      <c r="F382" s="199"/>
      <c r="H382" s="202"/>
      <c r="I382" s="185" t="str">
        <f t="shared" si="31"/>
        <v/>
      </c>
      <c r="J382" s="203" t="str">
        <f>IF($H382="USD",IF(OR($I382="",$I382="-"),"",VLOOKUP($G382,為替!$A:$AX,$I382,FALSE))+$J$3,IF(OR($I382="",$I382="-"),"",VLOOKUP($G382,為替!$A:$AX,$I382,FALSE)))</f>
        <v/>
      </c>
      <c r="K382" s="204" t="str">
        <f t="shared" si="32"/>
        <v/>
      </c>
      <c r="L382" s="188" t="str">
        <f t="shared" si="33"/>
        <v/>
      </c>
      <c r="M382" s="203" t="str">
        <f>IF($H382="USD",IF(OR($L382="",$L382="-"),"",VLOOKUP($G382,為替!$A:$AX,$L382,FALSE))+$K$3,IF(OR($L382="",$L382="-"),"",VLOOKUP($G382,為替!$A:$AX,$L382,FALSE)))</f>
        <v/>
      </c>
      <c r="N382" s="204" t="str">
        <f t="shared" si="34"/>
        <v/>
      </c>
      <c r="O382" s="205" t="str">
        <f t="shared" si="30"/>
        <v/>
      </c>
      <c r="P382" s="206" t="str">
        <f t="shared" si="35"/>
        <v/>
      </c>
    </row>
    <row r="383" spans="3:16" x14ac:dyDescent="0.4">
      <c r="C383" s="199"/>
      <c r="D383" s="200"/>
      <c r="E383" s="201"/>
      <c r="F383" s="199"/>
      <c r="H383" s="202"/>
      <c r="I383" s="185" t="str">
        <f t="shared" si="31"/>
        <v/>
      </c>
      <c r="J383" s="203" t="str">
        <f>IF($H383="USD",IF(OR($I383="",$I383="-"),"",VLOOKUP($G383,為替!$A:$AX,$I383,FALSE))+$J$3,IF(OR($I383="",$I383="-"),"",VLOOKUP($G383,為替!$A:$AX,$I383,FALSE)))</f>
        <v/>
      </c>
      <c r="K383" s="204" t="str">
        <f t="shared" si="32"/>
        <v/>
      </c>
      <c r="L383" s="188" t="str">
        <f t="shared" si="33"/>
        <v/>
      </c>
      <c r="M383" s="203" t="str">
        <f>IF($H383="USD",IF(OR($L383="",$L383="-"),"",VLOOKUP($G383,為替!$A:$AX,$L383,FALSE))+$K$3,IF(OR($L383="",$L383="-"),"",VLOOKUP($G383,為替!$A:$AX,$L383,FALSE)))</f>
        <v/>
      </c>
      <c r="N383" s="204" t="str">
        <f t="shared" si="34"/>
        <v/>
      </c>
      <c r="O383" s="205" t="str">
        <f t="shared" si="30"/>
        <v/>
      </c>
      <c r="P383" s="206" t="str">
        <f t="shared" si="35"/>
        <v/>
      </c>
    </row>
    <row r="384" spans="3:16" x14ac:dyDescent="0.4">
      <c r="C384" s="199"/>
      <c r="D384" s="200"/>
      <c r="E384" s="201"/>
      <c r="F384" s="199"/>
      <c r="H384" s="202"/>
      <c r="I384" s="185" t="str">
        <f t="shared" si="31"/>
        <v/>
      </c>
      <c r="J384" s="203" t="str">
        <f>IF($H384="USD",IF(OR($I384="",$I384="-"),"",VLOOKUP($G384,為替!$A:$AX,$I384,FALSE))+$J$3,IF(OR($I384="",$I384="-"),"",VLOOKUP($G384,為替!$A:$AX,$I384,FALSE)))</f>
        <v/>
      </c>
      <c r="K384" s="204" t="str">
        <f t="shared" si="32"/>
        <v/>
      </c>
      <c r="L384" s="188" t="str">
        <f t="shared" si="33"/>
        <v/>
      </c>
      <c r="M384" s="203" t="str">
        <f>IF($H384="USD",IF(OR($L384="",$L384="-"),"",VLOOKUP($G384,為替!$A:$AX,$L384,FALSE))+$K$3,IF(OR($L384="",$L384="-"),"",VLOOKUP($G384,為替!$A:$AX,$L384,FALSE)))</f>
        <v/>
      </c>
      <c r="N384" s="204" t="str">
        <f t="shared" si="34"/>
        <v/>
      </c>
      <c r="O384" s="205" t="str">
        <f t="shared" si="30"/>
        <v/>
      </c>
      <c r="P384" s="206" t="str">
        <f t="shared" si="35"/>
        <v/>
      </c>
    </row>
    <row r="385" spans="3:16" x14ac:dyDescent="0.4">
      <c r="C385" s="199"/>
      <c r="D385" s="200"/>
      <c r="E385" s="201"/>
      <c r="F385" s="199"/>
      <c r="H385" s="202"/>
      <c r="I385" s="185" t="str">
        <f t="shared" si="31"/>
        <v/>
      </c>
      <c r="J385" s="203" t="str">
        <f>IF($H385="USD",IF(OR($I385="",$I385="-"),"",VLOOKUP($G385,為替!$A:$AX,$I385,FALSE))+$J$3,IF(OR($I385="",$I385="-"),"",VLOOKUP($G385,為替!$A:$AX,$I385,FALSE)))</f>
        <v/>
      </c>
      <c r="K385" s="204" t="str">
        <f t="shared" si="32"/>
        <v/>
      </c>
      <c r="L385" s="188" t="str">
        <f t="shared" si="33"/>
        <v/>
      </c>
      <c r="M385" s="203" t="str">
        <f>IF($H385="USD",IF(OR($L385="",$L385="-"),"",VLOOKUP($G385,為替!$A:$AX,$L385,FALSE))+$K$3,IF(OR($L385="",$L385="-"),"",VLOOKUP($G385,為替!$A:$AX,$L385,FALSE)))</f>
        <v/>
      </c>
      <c r="N385" s="204" t="str">
        <f t="shared" si="34"/>
        <v/>
      </c>
      <c r="O385" s="205" t="str">
        <f t="shared" si="30"/>
        <v/>
      </c>
      <c r="P385" s="206" t="str">
        <f t="shared" si="35"/>
        <v/>
      </c>
    </row>
    <row r="386" spans="3:16" x14ac:dyDescent="0.4">
      <c r="C386" s="199"/>
      <c r="D386" s="200"/>
      <c r="E386" s="201"/>
      <c r="F386" s="199"/>
      <c r="H386" s="202"/>
      <c r="I386" s="185" t="str">
        <f t="shared" si="31"/>
        <v/>
      </c>
      <c r="J386" s="203" t="str">
        <f>IF($H386="USD",IF(OR($I386="",$I386="-"),"",VLOOKUP($G386,為替!$A:$AX,$I386,FALSE))+$J$3,IF(OR($I386="",$I386="-"),"",VLOOKUP($G386,為替!$A:$AX,$I386,FALSE)))</f>
        <v/>
      </c>
      <c r="K386" s="204" t="str">
        <f t="shared" si="32"/>
        <v/>
      </c>
      <c r="L386" s="188" t="str">
        <f t="shared" si="33"/>
        <v/>
      </c>
      <c r="M386" s="203" t="str">
        <f>IF($H386="USD",IF(OR($L386="",$L386="-"),"",VLOOKUP($G386,為替!$A:$AX,$L386,FALSE))+$K$3,IF(OR($L386="",$L386="-"),"",VLOOKUP($G386,為替!$A:$AX,$L386,FALSE)))</f>
        <v/>
      </c>
      <c r="N386" s="204" t="str">
        <f t="shared" si="34"/>
        <v/>
      </c>
      <c r="O386" s="205" t="str">
        <f t="shared" si="30"/>
        <v/>
      </c>
      <c r="P386" s="206" t="str">
        <f t="shared" si="35"/>
        <v/>
      </c>
    </row>
    <row r="387" spans="3:16" x14ac:dyDescent="0.4">
      <c r="C387" s="199"/>
      <c r="D387" s="200"/>
      <c r="E387" s="201"/>
      <c r="F387" s="199"/>
      <c r="H387" s="202"/>
      <c r="I387" s="185" t="str">
        <f t="shared" si="31"/>
        <v/>
      </c>
      <c r="J387" s="203" t="str">
        <f>IF($H387="USD",IF(OR($I387="",$I387="-"),"",VLOOKUP($G387,為替!$A:$AX,$I387,FALSE))+$J$3,IF(OR($I387="",$I387="-"),"",VLOOKUP($G387,為替!$A:$AX,$I387,FALSE)))</f>
        <v/>
      </c>
      <c r="K387" s="204" t="str">
        <f t="shared" si="32"/>
        <v/>
      </c>
      <c r="L387" s="188" t="str">
        <f t="shared" si="33"/>
        <v/>
      </c>
      <c r="M387" s="203" t="str">
        <f>IF($H387="USD",IF(OR($L387="",$L387="-"),"",VLOOKUP($G387,為替!$A:$AX,$L387,FALSE))+$K$3,IF(OR($L387="",$L387="-"),"",VLOOKUP($G387,為替!$A:$AX,$L387,FALSE)))</f>
        <v/>
      </c>
      <c r="N387" s="204" t="str">
        <f t="shared" si="34"/>
        <v/>
      </c>
      <c r="O387" s="205" t="str">
        <f t="shared" si="30"/>
        <v/>
      </c>
      <c r="P387" s="206" t="str">
        <f t="shared" si="35"/>
        <v/>
      </c>
    </row>
    <row r="388" spans="3:16" x14ac:dyDescent="0.4">
      <c r="C388" s="199"/>
      <c r="D388" s="200"/>
      <c r="E388" s="201"/>
      <c r="F388" s="199"/>
      <c r="H388" s="202"/>
      <c r="I388" s="185" t="str">
        <f t="shared" si="31"/>
        <v/>
      </c>
      <c r="J388" s="203" t="str">
        <f>IF($H388="USD",IF(OR($I388="",$I388="-"),"",VLOOKUP($G388,為替!$A:$AX,$I388,FALSE))+$J$3,IF(OR($I388="",$I388="-"),"",VLOOKUP($G388,為替!$A:$AX,$I388,FALSE)))</f>
        <v/>
      </c>
      <c r="K388" s="204" t="str">
        <f t="shared" si="32"/>
        <v/>
      </c>
      <c r="L388" s="188" t="str">
        <f t="shared" si="33"/>
        <v/>
      </c>
      <c r="M388" s="203" t="str">
        <f>IF($H388="USD",IF(OR($L388="",$L388="-"),"",VLOOKUP($G388,為替!$A:$AX,$L388,FALSE))+$K$3,IF(OR($L388="",$L388="-"),"",VLOOKUP($G388,為替!$A:$AX,$L388,FALSE)))</f>
        <v/>
      </c>
      <c r="N388" s="204" t="str">
        <f t="shared" si="34"/>
        <v/>
      </c>
      <c r="O388" s="205" t="str">
        <f t="shared" si="30"/>
        <v/>
      </c>
      <c r="P388" s="206" t="str">
        <f t="shared" si="35"/>
        <v/>
      </c>
    </row>
    <row r="389" spans="3:16" x14ac:dyDescent="0.4">
      <c r="C389" s="199"/>
      <c r="D389" s="200"/>
      <c r="E389" s="201"/>
      <c r="F389" s="199"/>
      <c r="H389" s="202"/>
      <c r="I389" s="185" t="str">
        <f t="shared" si="31"/>
        <v/>
      </c>
      <c r="J389" s="203" t="str">
        <f>IF($H389="USD",IF(OR($I389="",$I389="-"),"",VLOOKUP($G389,為替!$A:$AX,$I389,FALSE))+$J$3,IF(OR($I389="",$I389="-"),"",VLOOKUP($G389,為替!$A:$AX,$I389,FALSE)))</f>
        <v/>
      </c>
      <c r="K389" s="204" t="str">
        <f t="shared" si="32"/>
        <v/>
      </c>
      <c r="L389" s="188" t="str">
        <f t="shared" si="33"/>
        <v/>
      </c>
      <c r="M389" s="203" t="str">
        <f>IF($H389="USD",IF(OR($L389="",$L389="-"),"",VLOOKUP($G389,為替!$A:$AX,$L389,FALSE))+$K$3,IF(OR($L389="",$L389="-"),"",VLOOKUP($G389,為替!$A:$AX,$L389,FALSE)))</f>
        <v/>
      </c>
      <c r="N389" s="204" t="str">
        <f t="shared" si="34"/>
        <v/>
      </c>
      <c r="O389" s="205" t="str">
        <f t="shared" si="30"/>
        <v/>
      </c>
      <c r="P389" s="206" t="str">
        <f t="shared" si="35"/>
        <v/>
      </c>
    </row>
    <row r="390" spans="3:16" x14ac:dyDescent="0.4">
      <c r="C390" s="199"/>
      <c r="D390" s="200"/>
      <c r="E390" s="201"/>
      <c r="F390" s="199"/>
      <c r="H390" s="202"/>
      <c r="I390" s="185" t="str">
        <f t="shared" si="31"/>
        <v/>
      </c>
      <c r="J390" s="203" t="str">
        <f>IF($H390="USD",IF(OR($I390="",$I390="-"),"",VLOOKUP($G390,為替!$A:$AX,$I390,FALSE))+$J$3,IF(OR($I390="",$I390="-"),"",VLOOKUP($G390,為替!$A:$AX,$I390,FALSE)))</f>
        <v/>
      </c>
      <c r="K390" s="204" t="str">
        <f t="shared" si="32"/>
        <v/>
      </c>
      <c r="L390" s="188" t="str">
        <f t="shared" si="33"/>
        <v/>
      </c>
      <c r="M390" s="203" t="str">
        <f>IF($H390="USD",IF(OR($L390="",$L390="-"),"",VLOOKUP($G390,為替!$A:$AX,$L390,FALSE))+$K$3,IF(OR($L390="",$L390="-"),"",VLOOKUP($G390,為替!$A:$AX,$L390,FALSE)))</f>
        <v/>
      </c>
      <c r="N390" s="204" t="str">
        <f t="shared" si="34"/>
        <v/>
      </c>
      <c r="O390" s="205" t="str">
        <f t="shared" ref="O390:O400" si="36">IF(OR(K390="",N390=""),"",K390-N390)</f>
        <v/>
      </c>
      <c r="P390" s="206" t="str">
        <f t="shared" si="35"/>
        <v/>
      </c>
    </row>
    <row r="391" spans="3:16" x14ac:dyDescent="0.4">
      <c r="C391" s="199"/>
      <c r="D391" s="200"/>
      <c r="E391" s="201"/>
      <c r="F391" s="199"/>
      <c r="H391" s="202"/>
      <c r="I391" s="185" t="str">
        <f t="shared" ref="I391:I400" si="37">IF(H391="","",IF(H391="JPY","",IF($H391="USD",4, IF(H391="EUR",7,IF(H391="CNY",47,IF(H391="HKD",34))))))</f>
        <v/>
      </c>
      <c r="J391" s="203" t="str">
        <f>IF($H391="USD",IF(OR($I391="",$I391="-"),"",VLOOKUP($G391,為替!$A:$AX,$I391,FALSE))+$J$3,IF(OR($I391="",$I391="-"),"",VLOOKUP($G391,為替!$A:$AX,$I391,FALSE)))</f>
        <v/>
      </c>
      <c r="K391" s="204" t="str">
        <f t="shared" ref="K391:K400" si="38">IF($H391="JPY",$F391,IF($H391="","",$F391*$J391))</f>
        <v/>
      </c>
      <c r="L391" s="188" t="str">
        <f t="shared" ref="L391:L400" si="39">IF(H391="","",IF(H391="JPY","",IF($H391="USD",3, IF(H391="EUR",6,IF(H391="CNY",46,IF(H391="HKD",33))))))</f>
        <v/>
      </c>
      <c r="M391" s="203" t="str">
        <f>IF($H391="USD",IF(OR($L391="",$L391="-"),"",VLOOKUP($G391,為替!$A:$AX,$L391,FALSE))+$K$3,IF(OR($L391="",$L391="-"),"",VLOOKUP($G391,為替!$A:$AX,$L391,FALSE)))</f>
        <v/>
      </c>
      <c r="N391" s="204" t="str">
        <f t="shared" ref="N391:N400" si="40">IF($E391="JPY",($C391+$D391),IF($E391="","",($C391+$D391)*$M391))</f>
        <v/>
      </c>
      <c r="O391" s="205" t="str">
        <f t="shared" si="36"/>
        <v/>
      </c>
      <c r="P391" s="206" t="str">
        <f t="shared" ref="P391:P400" si="41">IF(OR(K391="",O391=""),"",O391/K391)</f>
        <v/>
      </c>
    </row>
    <row r="392" spans="3:16" x14ac:dyDescent="0.4">
      <c r="C392" s="199"/>
      <c r="D392" s="200"/>
      <c r="E392" s="201"/>
      <c r="F392" s="199"/>
      <c r="H392" s="202"/>
      <c r="I392" s="185" t="str">
        <f t="shared" si="37"/>
        <v/>
      </c>
      <c r="J392" s="203" t="str">
        <f>IF($H392="USD",IF(OR($I392="",$I392="-"),"",VLOOKUP($G392,為替!$A:$AX,$I392,FALSE))+$J$3,IF(OR($I392="",$I392="-"),"",VLOOKUP($G392,為替!$A:$AX,$I392,FALSE)))</f>
        <v/>
      </c>
      <c r="K392" s="204" t="str">
        <f t="shared" si="38"/>
        <v/>
      </c>
      <c r="L392" s="188" t="str">
        <f t="shared" si="39"/>
        <v/>
      </c>
      <c r="M392" s="203" t="str">
        <f>IF($H392="USD",IF(OR($L392="",$L392="-"),"",VLOOKUP($G392,為替!$A:$AX,$L392,FALSE))+$K$3,IF(OR($L392="",$L392="-"),"",VLOOKUP($G392,為替!$A:$AX,$L392,FALSE)))</f>
        <v/>
      </c>
      <c r="N392" s="204" t="str">
        <f t="shared" si="40"/>
        <v/>
      </c>
      <c r="O392" s="205" t="str">
        <f t="shared" si="36"/>
        <v/>
      </c>
      <c r="P392" s="206" t="str">
        <f t="shared" si="41"/>
        <v/>
      </c>
    </row>
    <row r="393" spans="3:16" x14ac:dyDescent="0.4">
      <c r="C393" s="199"/>
      <c r="D393" s="200"/>
      <c r="E393" s="201"/>
      <c r="F393" s="199"/>
      <c r="H393" s="202"/>
      <c r="I393" s="185" t="str">
        <f t="shared" si="37"/>
        <v/>
      </c>
      <c r="J393" s="203" t="str">
        <f>IF($H393="USD",IF(OR($I393="",$I393="-"),"",VLOOKUP($G393,為替!$A:$AX,$I393,FALSE))+$J$3,IF(OR($I393="",$I393="-"),"",VLOOKUP($G393,為替!$A:$AX,$I393,FALSE)))</f>
        <v/>
      </c>
      <c r="K393" s="204" t="str">
        <f t="shared" si="38"/>
        <v/>
      </c>
      <c r="L393" s="188" t="str">
        <f t="shared" si="39"/>
        <v/>
      </c>
      <c r="M393" s="203" t="str">
        <f>IF($H393="USD",IF(OR($L393="",$L393="-"),"",VLOOKUP($G393,為替!$A:$AX,$L393,FALSE))+$K$3,IF(OR($L393="",$L393="-"),"",VLOOKUP($G393,為替!$A:$AX,$L393,FALSE)))</f>
        <v/>
      </c>
      <c r="N393" s="204" t="str">
        <f t="shared" si="40"/>
        <v/>
      </c>
      <c r="O393" s="205" t="str">
        <f t="shared" si="36"/>
        <v/>
      </c>
      <c r="P393" s="206" t="str">
        <f t="shared" si="41"/>
        <v/>
      </c>
    </row>
    <row r="394" spans="3:16" x14ac:dyDescent="0.4">
      <c r="C394" s="199"/>
      <c r="D394" s="200"/>
      <c r="E394" s="201"/>
      <c r="F394" s="199"/>
      <c r="H394" s="202"/>
      <c r="I394" s="185" t="str">
        <f t="shared" si="37"/>
        <v/>
      </c>
      <c r="J394" s="203" t="str">
        <f>IF($H394="USD",IF(OR($I394="",$I394="-"),"",VLOOKUP($G394,為替!$A:$AX,$I394,FALSE))+$J$3,IF(OR($I394="",$I394="-"),"",VLOOKUP($G394,為替!$A:$AX,$I394,FALSE)))</f>
        <v/>
      </c>
      <c r="K394" s="204" t="str">
        <f t="shared" si="38"/>
        <v/>
      </c>
      <c r="L394" s="188" t="str">
        <f t="shared" si="39"/>
        <v/>
      </c>
      <c r="M394" s="203" t="str">
        <f>IF($H394="USD",IF(OR($L394="",$L394="-"),"",VLOOKUP($G394,為替!$A:$AX,$L394,FALSE))+$K$3,IF(OR($L394="",$L394="-"),"",VLOOKUP($G394,為替!$A:$AX,$L394,FALSE)))</f>
        <v/>
      </c>
      <c r="N394" s="204" t="str">
        <f t="shared" si="40"/>
        <v/>
      </c>
      <c r="O394" s="205" t="str">
        <f t="shared" si="36"/>
        <v/>
      </c>
      <c r="P394" s="206" t="str">
        <f t="shared" si="41"/>
        <v/>
      </c>
    </row>
    <row r="395" spans="3:16" x14ac:dyDescent="0.4">
      <c r="C395" s="199"/>
      <c r="D395" s="200"/>
      <c r="E395" s="201"/>
      <c r="F395" s="199"/>
      <c r="H395" s="202"/>
      <c r="I395" s="185" t="str">
        <f t="shared" si="37"/>
        <v/>
      </c>
      <c r="J395" s="203" t="str">
        <f>IF($H395="USD",IF(OR($I395="",$I395="-"),"",VLOOKUP($G395,為替!$A:$AX,$I395,FALSE))+$J$3,IF(OR($I395="",$I395="-"),"",VLOOKUP($G395,為替!$A:$AX,$I395,FALSE)))</f>
        <v/>
      </c>
      <c r="K395" s="204" t="str">
        <f t="shared" si="38"/>
        <v/>
      </c>
      <c r="L395" s="188" t="str">
        <f t="shared" si="39"/>
        <v/>
      </c>
      <c r="M395" s="203" t="str">
        <f>IF($H395="USD",IF(OR($L395="",$L395="-"),"",VLOOKUP($G395,為替!$A:$AX,$L395,FALSE))+$K$3,IF(OR($L395="",$L395="-"),"",VLOOKUP($G395,為替!$A:$AX,$L395,FALSE)))</f>
        <v/>
      </c>
      <c r="N395" s="204" t="str">
        <f t="shared" si="40"/>
        <v/>
      </c>
      <c r="O395" s="205" t="str">
        <f t="shared" si="36"/>
        <v/>
      </c>
      <c r="P395" s="206" t="str">
        <f t="shared" si="41"/>
        <v/>
      </c>
    </row>
    <row r="396" spans="3:16" x14ac:dyDescent="0.4">
      <c r="C396" s="199"/>
      <c r="D396" s="200"/>
      <c r="E396" s="201"/>
      <c r="F396" s="199"/>
      <c r="H396" s="202"/>
      <c r="I396" s="185" t="str">
        <f t="shared" si="37"/>
        <v/>
      </c>
      <c r="J396" s="203" t="str">
        <f>IF($H396="USD",IF(OR($I396="",$I396="-"),"",VLOOKUP($G396,為替!$A:$AX,$I396,FALSE))+$J$3,IF(OR($I396="",$I396="-"),"",VLOOKUP($G396,為替!$A:$AX,$I396,FALSE)))</f>
        <v/>
      </c>
      <c r="K396" s="204" t="str">
        <f t="shared" si="38"/>
        <v/>
      </c>
      <c r="L396" s="188" t="str">
        <f t="shared" si="39"/>
        <v/>
      </c>
      <c r="M396" s="203" t="str">
        <f>IF($H396="USD",IF(OR($L396="",$L396="-"),"",VLOOKUP($G396,為替!$A:$AX,$L396,FALSE))+$K$3,IF(OR($L396="",$L396="-"),"",VLOOKUP($G396,為替!$A:$AX,$L396,FALSE)))</f>
        <v/>
      </c>
      <c r="N396" s="204" t="str">
        <f t="shared" si="40"/>
        <v/>
      </c>
      <c r="O396" s="205" t="str">
        <f t="shared" si="36"/>
        <v/>
      </c>
      <c r="P396" s="206" t="str">
        <f t="shared" si="41"/>
        <v/>
      </c>
    </row>
    <row r="397" spans="3:16" x14ac:dyDescent="0.4">
      <c r="C397" s="199"/>
      <c r="D397" s="200"/>
      <c r="E397" s="201"/>
      <c r="F397" s="199"/>
      <c r="H397" s="202"/>
      <c r="I397" s="185" t="str">
        <f t="shared" si="37"/>
        <v/>
      </c>
      <c r="J397" s="203" t="str">
        <f>IF($H397="USD",IF(OR($I397="",$I397="-"),"",VLOOKUP($G397,為替!$A:$AX,$I397,FALSE))+$J$3,IF(OR($I397="",$I397="-"),"",VLOOKUP($G397,為替!$A:$AX,$I397,FALSE)))</f>
        <v/>
      </c>
      <c r="K397" s="204" t="str">
        <f t="shared" si="38"/>
        <v/>
      </c>
      <c r="L397" s="188" t="str">
        <f t="shared" si="39"/>
        <v/>
      </c>
      <c r="M397" s="203" t="str">
        <f>IF($H397="USD",IF(OR($L397="",$L397="-"),"",VLOOKUP($G397,為替!$A:$AX,$L397,FALSE))+$K$3,IF(OR($L397="",$L397="-"),"",VLOOKUP($G397,為替!$A:$AX,$L397,FALSE)))</f>
        <v/>
      </c>
      <c r="N397" s="204" t="str">
        <f t="shared" si="40"/>
        <v/>
      </c>
      <c r="O397" s="205" t="str">
        <f t="shared" si="36"/>
        <v/>
      </c>
      <c r="P397" s="206" t="str">
        <f t="shared" si="41"/>
        <v/>
      </c>
    </row>
    <row r="398" spans="3:16" x14ac:dyDescent="0.4">
      <c r="C398" s="199"/>
      <c r="D398" s="200"/>
      <c r="E398" s="201"/>
      <c r="F398" s="199"/>
      <c r="H398" s="202"/>
      <c r="I398" s="185" t="str">
        <f t="shared" si="37"/>
        <v/>
      </c>
      <c r="J398" s="203" t="str">
        <f>IF($H398="USD",IF(OR($I398="",$I398="-"),"",VLOOKUP($G398,為替!$A:$AX,$I398,FALSE))+$J$3,IF(OR($I398="",$I398="-"),"",VLOOKUP($G398,為替!$A:$AX,$I398,FALSE)))</f>
        <v/>
      </c>
      <c r="K398" s="204" t="str">
        <f t="shared" si="38"/>
        <v/>
      </c>
      <c r="L398" s="188" t="str">
        <f t="shared" si="39"/>
        <v/>
      </c>
      <c r="M398" s="203" t="str">
        <f>IF($H398="USD",IF(OR($L398="",$L398="-"),"",VLOOKUP($G398,為替!$A:$AX,$L398,FALSE))+$K$3,IF(OR($L398="",$L398="-"),"",VLOOKUP($G398,為替!$A:$AX,$L398,FALSE)))</f>
        <v/>
      </c>
      <c r="N398" s="204" t="str">
        <f t="shared" si="40"/>
        <v/>
      </c>
      <c r="O398" s="205" t="str">
        <f t="shared" si="36"/>
        <v/>
      </c>
      <c r="P398" s="206" t="str">
        <f t="shared" si="41"/>
        <v/>
      </c>
    </row>
    <row r="399" spans="3:16" x14ac:dyDescent="0.4">
      <c r="C399" s="199"/>
      <c r="D399" s="200"/>
      <c r="E399" s="201"/>
      <c r="F399" s="199"/>
      <c r="H399" s="202"/>
      <c r="I399" s="185" t="str">
        <f t="shared" si="37"/>
        <v/>
      </c>
      <c r="J399" s="203" t="str">
        <f>IF($H399="USD",IF(OR($I399="",$I399="-"),"",VLOOKUP($G399,為替!$A:$AX,$I399,FALSE))+$J$3,IF(OR($I399="",$I399="-"),"",VLOOKUP($G399,為替!$A:$AX,$I399,FALSE)))</f>
        <v/>
      </c>
      <c r="K399" s="204" t="str">
        <f t="shared" si="38"/>
        <v/>
      </c>
      <c r="L399" s="188" t="str">
        <f t="shared" si="39"/>
        <v/>
      </c>
      <c r="M399" s="203" t="str">
        <f>IF($H399="USD",IF(OR($L399="",$L399="-"),"",VLOOKUP($G399,為替!$A:$AX,$L399,FALSE))+$K$3,IF(OR($L399="",$L399="-"),"",VLOOKUP($G399,為替!$A:$AX,$L399,FALSE)))</f>
        <v/>
      </c>
      <c r="N399" s="204" t="str">
        <f t="shared" si="40"/>
        <v/>
      </c>
      <c r="O399" s="205" t="str">
        <f t="shared" si="36"/>
        <v/>
      </c>
      <c r="P399" s="206" t="str">
        <f t="shared" si="41"/>
        <v/>
      </c>
    </row>
    <row r="400" spans="3:16" x14ac:dyDescent="0.4">
      <c r="C400" s="199"/>
      <c r="D400" s="200"/>
      <c r="E400" s="201"/>
      <c r="F400" s="199"/>
      <c r="H400" s="202"/>
      <c r="I400" s="185" t="str">
        <f t="shared" si="37"/>
        <v/>
      </c>
      <c r="J400" s="203" t="str">
        <f>IF($H400="USD",IF(OR($I400="",$I400="-"),"",VLOOKUP($G400,為替!$A:$AX,$I400,FALSE))+$J$3,IF(OR($I400="",$I400="-"),"",VLOOKUP($G400,為替!$A:$AX,$I400,FALSE)))</f>
        <v/>
      </c>
      <c r="K400" s="204" t="str">
        <f t="shared" si="38"/>
        <v/>
      </c>
      <c r="L400" s="188" t="str">
        <f t="shared" si="39"/>
        <v/>
      </c>
      <c r="M400" s="203" t="str">
        <f>IF($H400="USD",IF(OR($L400="",$L400="-"),"",VLOOKUP($G400,為替!$A:$AX,$L400,FALSE))+$K$3,IF(OR($L400="",$L400="-"),"",VLOOKUP($G400,為替!$A:$AX,$L400,FALSE)))</f>
        <v/>
      </c>
      <c r="N400" s="204" t="str">
        <f t="shared" si="40"/>
        <v/>
      </c>
      <c r="O400" s="205" t="str">
        <f t="shared" si="36"/>
        <v/>
      </c>
      <c r="P400" s="206" t="str">
        <f t="shared" si="41"/>
        <v/>
      </c>
    </row>
  </sheetData>
  <mergeCells count="1">
    <mergeCell ref="A1:E2"/>
  </mergeCells>
  <phoneticPr fontId="2"/>
  <conditionalFormatting sqref="P6:P400">
    <cfRule type="cellIs" dxfId="6" priority="1" operator="greaterThan">
      <formula>$P$3</formula>
    </cfRule>
  </conditionalFormatting>
  <dataValidations count="2">
    <dataValidation type="list" allowBlank="1" showInputMessage="1" showErrorMessage="1" sqref="A6:A400" xr:uid="{7B6A25F5-4978-44BA-820C-F1335007AD73}">
      <formula1>$M$3:$O$3</formula1>
    </dataValidation>
    <dataValidation type="list" allowBlank="1" showInputMessage="1" showErrorMessage="1" sqref="E6:E400 H6:H400" xr:uid="{99E5191C-963C-47C8-98FB-D04646FD95B1}">
      <formula1>"JPY,USD,EUR,CNY,HKD"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E518A-BE48-4B88-B1C1-5F448A002D4C}">
  <sheetPr codeName="Sheet9">
    <tabColor theme="2" tint="-9.9978637043366805E-2"/>
  </sheetPr>
  <dimension ref="A1:S59"/>
  <sheetViews>
    <sheetView showGridLines="0" zoomScale="70" zoomScaleNormal="70" workbookViewId="0">
      <selection activeCell="E14" sqref="E14:P14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54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  <c r="F2" s="44" t="s">
        <v>113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/>
    <row r="5" spans="1:19" ht="19.5" customHeight="1" thickBot="1" x14ac:dyDescent="0.45">
      <c r="A5" s="467" t="s">
        <v>34</v>
      </c>
      <c r="B5" s="468"/>
      <c r="C5" s="442" t="s">
        <v>23</v>
      </c>
      <c r="D5" s="443"/>
      <c r="E5" s="421" t="s">
        <v>19</v>
      </c>
      <c r="F5" s="422"/>
      <c r="G5" s="422"/>
      <c r="H5" s="422"/>
      <c r="I5" s="422"/>
      <c r="J5" s="423"/>
      <c r="K5" s="421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45444</v>
      </c>
      <c r="F6" s="215">
        <v>45474</v>
      </c>
      <c r="G6" s="215">
        <v>45505</v>
      </c>
      <c r="H6" s="215">
        <v>45536</v>
      </c>
      <c r="I6" s="215">
        <v>45566</v>
      </c>
      <c r="J6" s="216">
        <v>45597</v>
      </c>
      <c r="K6" s="217">
        <v>45627</v>
      </c>
      <c r="L6" s="215">
        <v>45658</v>
      </c>
      <c r="M6" s="215">
        <v>45689</v>
      </c>
      <c r="N6" s="215">
        <v>45717</v>
      </c>
      <c r="O6" s="215">
        <v>45748</v>
      </c>
      <c r="P6" s="218">
        <v>45778</v>
      </c>
      <c r="Q6" s="455"/>
      <c r="R6" s="153" t="s">
        <v>190</v>
      </c>
      <c r="S6" s="67" t="s">
        <v>191</v>
      </c>
    </row>
    <row r="7" spans="1:19" x14ac:dyDescent="0.4">
      <c r="A7" s="446" t="s">
        <v>200</v>
      </c>
      <c r="B7" s="449" t="s">
        <v>130</v>
      </c>
      <c r="C7" s="433" t="s">
        <v>15</v>
      </c>
      <c r="D7" s="111" t="s">
        <v>13</v>
      </c>
      <c r="E7" s="112">
        <v>900</v>
      </c>
      <c r="F7" s="113">
        <v>650</v>
      </c>
      <c r="G7" s="113">
        <v>1150</v>
      </c>
      <c r="H7" s="113">
        <v>590</v>
      </c>
      <c r="I7" s="113">
        <v>1180</v>
      </c>
      <c r="J7" s="114">
        <v>650</v>
      </c>
      <c r="K7" s="115">
        <v>1350</v>
      </c>
      <c r="L7" s="113">
        <v>820</v>
      </c>
      <c r="M7" s="113">
        <v>240</v>
      </c>
      <c r="N7" s="113">
        <v>940</v>
      </c>
      <c r="O7" s="113">
        <v>1110</v>
      </c>
      <c r="P7" s="116">
        <v>970</v>
      </c>
      <c r="Q7" s="117">
        <f>SUM(E7:P7)</f>
        <v>10550</v>
      </c>
      <c r="R7" s="465">
        <v>9881</v>
      </c>
      <c r="S7" s="68">
        <f>IFERROR(Q7/R7,"")</f>
        <v>1.0677056978038659</v>
      </c>
    </row>
    <row r="8" spans="1:19" ht="19.5" thickBot="1" x14ac:dyDescent="0.45">
      <c r="A8" s="447"/>
      <c r="B8" s="450"/>
      <c r="C8" s="433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1759.21</v>
      </c>
      <c r="F8" s="135">
        <f ca="1">SUMIFS(INDIRECT($B$1&amp;"INV!$K:$K"),INDIRECT($B$1&amp;"INV!$A:$A"),$A7,INDIRECT($B$1&amp;"INV!$G:$G"),"&gt;="&amp;F$6,INDIRECT($B$1&amp;"INV!$G:$G"),"&lt;"&amp;EOMONTH(F$6,0)+1)/1000</f>
        <v>789.59</v>
      </c>
      <c r="G8" s="135">
        <f ca="1">SUMIFS(INDIRECT($B$1&amp;"INV!$K:$K"),INDIRECT($B$1&amp;"INV!$A:$A"),$A7,INDIRECT($B$1&amp;"INV!$G:$G"),"&gt;="&amp;G$6,INDIRECT($B$1&amp;"INV!$G:$G"),"&lt;"&amp;EOMONTH(G$6,0)+1)/1000</f>
        <v>0</v>
      </c>
      <c r="H8" s="135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5">
        <f t="shared" ca="1" si="0"/>
        <v>0</v>
      </c>
      <c r="J8" s="138">
        <f t="shared" ca="1" si="0"/>
        <v>0</v>
      </c>
      <c r="K8" s="134">
        <f t="shared" ca="1" si="0"/>
        <v>0</v>
      </c>
      <c r="L8" s="135">
        <f t="shared" ca="1" si="0"/>
        <v>0</v>
      </c>
      <c r="M8" s="135">
        <f t="shared" ca="1" si="0"/>
        <v>0</v>
      </c>
      <c r="N8" s="135">
        <f t="shared" ca="1" si="0"/>
        <v>0</v>
      </c>
      <c r="O8" s="135">
        <f t="shared" ca="1" si="0"/>
        <v>0</v>
      </c>
      <c r="P8" s="136">
        <f t="shared" ca="1" si="0"/>
        <v>0</v>
      </c>
      <c r="Q8" s="139">
        <f ca="1">SUM(E8:P8)</f>
        <v>2548.8000000000002</v>
      </c>
      <c r="R8" s="466"/>
      <c r="S8" s="69">
        <f ca="1">IFERROR(Q8/R7,"")</f>
        <v>0.25794960024289043</v>
      </c>
    </row>
    <row r="9" spans="1:19" x14ac:dyDescent="0.4">
      <c r="A9" s="447"/>
      <c r="B9" s="450"/>
      <c r="C9" s="433"/>
      <c r="D9" s="21" t="s">
        <v>17</v>
      </c>
      <c r="E9" s="11">
        <f ca="1">E8/E7</f>
        <v>1.9546777777777777</v>
      </c>
      <c r="F9" s="4">
        <f t="shared" ref="F9:Q9" ca="1" si="1">F8/F7</f>
        <v>1.2147538461538463</v>
      </c>
      <c r="G9" s="4">
        <f t="shared" ca="1" si="1"/>
        <v>0</v>
      </c>
      <c r="H9" s="4">
        <f t="shared" ca="1" si="1"/>
        <v>0</v>
      </c>
      <c r="I9" s="4">
        <f t="shared" ca="1" si="1"/>
        <v>0</v>
      </c>
      <c r="J9" s="6">
        <f t="shared" ca="1" si="1"/>
        <v>0</v>
      </c>
      <c r="K9" s="8">
        <f t="shared" ca="1" si="1"/>
        <v>0</v>
      </c>
      <c r="L9" s="4">
        <f t="shared" ca="1" si="1"/>
        <v>0</v>
      </c>
      <c r="M9" s="4">
        <f t="shared" ca="1" si="1"/>
        <v>0</v>
      </c>
      <c r="N9" s="4">
        <f t="shared" ca="1" si="1"/>
        <v>0</v>
      </c>
      <c r="O9" s="4">
        <f t="shared" ca="1" si="1"/>
        <v>0</v>
      </c>
      <c r="P9" s="16">
        <f t="shared" ca="1" si="1"/>
        <v>0</v>
      </c>
      <c r="Q9" s="26">
        <f t="shared" ca="1" si="1"/>
        <v>0.24159241706161139</v>
      </c>
    </row>
    <row r="10" spans="1:19" x14ac:dyDescent="0.4">
      <c r="A10" s="447"/>
      <c r="B10" s="450"/>
      <c r="C10" s="434"/>
      <c r="D10" s="22" t="s">
        <v>18</v>
      </c>
      <c r="E10" s="12">
        <f ca="1">SUM($E8:E8)/SUM($E7:E7)</f>
        <v>1.9546777777777777</v>
      </c>
      <c r="F10" s="5">
        <f ca="1">SUM($E8:F8)/SUM($E7:F7)</f>
        <v>1.6443870967741936</v>
      </c>
      <c r="G10" s="5">
        <f ca="1">SUM($E8:G8)/SUM($E7:G7)</f>
        <v>0.94400000000000006</v>
      </c>
      <c r="H10" s="5">
        <f ca="1">SUM($E8:H8)/SUM($E7:H7)</f>
        <v>0.77471124620060794</v>
      </c>
      <c r="I10" s="5">
        <f ca="1">SUM($E8:I8)/SUM($E7:I7)</f>
        <v>0.57020134228187924</v>
      </c>
      <c r="J10" s="13">
        <f ca="1">SUM($E8:J8)/SUM($E7:J7)</f>
        <v>0.49781250000000005</v>
      </c>
      <c r="K10" s="9">
        <f ca="1">SUM($E8:K8)/SUM($E7:K7)</f>
        <v>0.39394126738794438</v>
      </c>
      <c r="L10" s="5">
        <f ca="1">SUM($E8:L8)/SUM($E7:L7)</f>
        <v>0.34962962962962968</v>
      </c>
      <c r="M10" s="5">
        <f ca="1">SUM($E8:M8)/SUM($E7:M7)</f>
        <v>0.33848605577689245</v>
      </c>
      <c r="N10" s="5">
        <f ca="1">SUM($E8:N8)/SUM($E7:N7)</f>
        <v>0.30092089728453369</v>
      </c>
      <c r="O10" s="5">
        <f ca="1">SUM($E8:O8)/SUM($E7:O7)</f>
        <v>0.2660542797494781</v>
      </c>
      <c r="P10" s="17">
        <f ca="1">SUM($E8:P8)/SUM($E7:P7)</f>
        <v>0.24159241706161139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119">
        <v>720</v>
      </c>
      <c r="F11" s="120">
        <v>520</v>
      </c>
      <c r="G11" s="120">
        <v>920</v>
      </c>
      <c r="H11" s="120">
        <v>472</v>
      </c>
      <c r="I11" s="120">
        <v>944</v>
      </c>
      <c r="J11" s="121">
        <v>520</v>
      </c>
      <c r="K11" s="122">
        <v>1080</v>
      </c>
      <c r="L11" s="120">
        <v>656</v>
      </c>
      <c r="M11" s="120">
        <v>192</v>
      </c>
      <c r="N11" s="120">
        <v>752</v>
      </c>
      <c r="O11" s="120">
        <v>888</v>
      </c>
      <c r="P11" s="123">
        <v>776</v>
      </c>
      <c r="Q11" s="124">
        <f>SUM(E11:P11)</f>
        <v>8440</v>
      </c>
      <c r="R11" s="465">
        <v>7694</v>
      </c>
      <c r="S11" s="68">
        <f>IFERROR(Q11/R11,"")</f>
        <v>1.0969586690927995</v>
      </c>
    </row>
    <row r="12" spans="1:19" x14ac:dyDescent="0.4">
      <c r="A12" s="447"/>
      <c r="B12" s="450"/>
      <c r="C12" s="453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1377.509</v>
      </c>
      <c r="F12" s="141">
        <f t="shared" ref="F12:P12" ca="1" si="2">SUMIFS(INDIRECT($B$1&amp;"INV!$N:$N"),INDIRECT($B$1&amp;"INV!$A:$A"),$A7,INDIRECT($B$1&amp;"INV!$G:$G"),"&gt;="&amp;F$6,INDIRECT($B$1&amp;"INV!$G:$G"),"&lt;"&amp;EOMONTH(F$6,0)+1)/1000</f>
        <v>623.80600000000004</v>
      </c>
      <c r="G12" s="141">
        <f t="shared" ca="1" si="2"/>
        <v>0</v>
      </c>
      <c r="H12" s="141">
        <f t="shared" ca="1" si="2"/>
        <v>0</v>
      </c>
      <c r="I12" s="141">
        <f t="shared" ca="1" si="2"/>
        <v>0</v>
      </c>
      <c r="J12" s="144">
        <f t="shared" ca="1" si="2"/>
        <v>0</v>
      </c>
      <c r="K12" s="146">
        <f t="shared" ca="1" si="2"/>
        <v>0</v>
      </c>
      <c r="L12" s="141">
        <f t="shared" ca="1" si="2"/>
        <v>0</v>
      </c>
      <c r="M12" s="141">
        <f t="shared" ca="1" si="2"/>
        <v>0</v>
      </c>
      <c r="N12" s="141">
        <f t="shared" ca="1" si="2"/>
        <v>0</v>
      </c>
      <c r="O12" s="141">
        <f t="shared" ca="1" si="2"/>
        <v>0</v>
      </c>
      <c r="P12" s="142">
        <f t="shared" ca="1" si="2"/>
        <v>0</v>
      </c>
      <c r="Q12" s="145">
        <f ca="1">SUM(E12:P12)</f>
        <v>2001.3150000000001</v>
      </c>
      <c r="R12" s="471"/>
      <c r="S12" s="70">
        <f ca="1">IFERROR(Q12/R11,"")</f>
        <v>0.26011372498050428</v>
      </c>
    </row>
    <row r="13" spans="1:19" x14ac:dyDescent="0.4">
      <c r="A13" s="447"/>
      <c r="B13" s="450"/>
      <c r="C13" s="435" t="s">
        <v>16</v>
      </c>
      <c r="D13" s="118" t="s">
        <v>13</v>
      </c>
      <c r="E13" s="119">
        <f>E7-E11</f>
        <v>180</v>
      </c>
      <c r="F13" s="120">
        <f t="shared" ref="F13:P14" si="3">F7-F11</f>
        <v>130</v>
      </c>
      <c r="G13" s="120">
        <f t="shared" si="3"/>
        <v>230</v>
      </c>
      <c r="H13" s="120">
        <f t="shared" si="3"/>
        <v>118</v>
      </c>
      <c r="I13" s="120">
        <f t="shared" si="3"/>
        <v>236</v>
      </c>
      <c r="J13" s="121">
        <f t="shared" si="3"/>
        <v>130</v>
      </c>
      <c r="K13" s="122">
        <f t="shared" si="3"/>
        <v>270</v>
      </c>
      <c r="L13" s="120">
        <f t="shared" si="3"/>
        <v>164</v>
      </c>
      <c r="M13" s="120">
        <f t="shared" si="3"/>
        <v>48</v>
      </c>
      <c r="N13" s="120">
        <f t="shared" si="3"/>
        <v>188</v>
      </c>
      <c r="O13" s="120">
        <f t="shared" si="3"/>
        <v>222</v>
      </c>
      <c r="P13" s="123">
        <f t="shared" si="3"/>
        <v>194</v>
      </c>
      <c r="Q13" s="124">
        <f>SUM(E13:P13)</f>
        <v>2110</v>
      </c>
      <c r="R13" s="465">
        <f>R7-R11</f>
        <v>2187</v>
      </c>
      <c r="S13" s="149">
        <f>IFERROR(Q13/R13,"")</f>
        <v>0.96479195244627347</v>
      </c>
    </row>
    <row r="14" spans="1:19" ht="19.5" thickBot="1" x14ac:dyDescent="0.45">
      <c r="A14" s="447"/>
      <c r="B14" s="450"/>
      <c r="C14" s="436"/>
      <c r="D14" s="133" t="s">
        <v>14</v>
      </c>
      <c r="E14" s="134">
        <f ca="1">E8-E12</f>
        <v>381.70100000000002</v>
      </c>
      <c r="F14" s="135">
        <f t="shared" ca="1" si="3"/>
        <v>165.78399999999999</v>
      </c>
      <c r="G14" s="135">
        <f t="shared" ca="1" si="3"/>
        <v>0</v>
      </c>
      <c r="H14" s="135">
        <f t="shared" ca="1" si="3"/>
        <v>0</v>
      </c>
      <c r="I14" s="135">
        <f t="shared" ca="1" si="3"/>
        <v>0</v>
      </c>
      <c r="J14" s="138">
        <f t="shared" ca="1" si="3"/>
        <v>0</v>
      </c>
      <c r="K14" s="134">
        <f t="shared" ca="1" si="3"/>
        <v>0</v>
      </c>
      <c r="L14" s="135">
        <f t="shared" ca="1" si="3"/>
        <v>0</v>
      </c>
      <c r="M14" s="135">
        <f t="shared" ca="1" si="3"/>
        <v>0</v>
      </c>
      <c r="N14" s="135">
        <f t="shared" ca="1" si="3"/>
        <v>0</v>
      </c>
      <c r="O14" s="135">
        <f t="shared" ca="1" si="3"/>
        <v>0</v>
      </c>
      <c r="P14" s="136">
        <f t="shared" ca="1" si="3"/>
        <v>0</v>
      </c>
      <c r="Q14" s="139">
        <f ca="1">SUM(E14:P14)</f>
        <v>547.48500000000001</v>
      </c>
      <c r="R14" s="466"/>
      <c r="S14" s="69">
        <f ca="1">IFERROR(Q14/R13,"")</f>
        <v>0.25033607681755832</v>
      </c>
    </row>
    <row r="15" spans="1:19" x14ac:dyDescent="0.4">
      <c r="A15" s="447"/>
      <c r="B15" s="450"/>
      <c r="C15" s="436"/>
      <c r="D15" s="21" t="s">
        <v>17</v>
      </c>
      <c r="E15" s="11">
        <f ca="1">E14/E13</f>
        <v>2.1205611111111113</v>
      </c>
      <c r="F15" s="4">
        <f t="shared" ref="F15:Q15" ca="1" si="4">F14/F13</f>
        <v>1.2752615384615384</v>
      </c>
      <c r="G15" s="4">
        <f t="shared" ca="1" si="4"/>
        <v>0</v>
      </c>
      <c r="H15" s="4">
        <f t="shared" ca="1" si="4"/>
        <v>0</v>
      </c>
      <c r="I15" s="4">
        <f t="shared" ca="1" si="4"/>
        <v>0</v>
      </c>
      <c r="J15" s="6">
        <f t="shared" ca="1" si="4"/>
        <v>0</v>
      </c>
      <c r="K15" s="8">
        <f t="shared" ca="1" si="4"/>
        <v>0</v>
      </c>
      <c r="L15" s="4">
        <f t="shared" ca="1" si="4"/>
        <v>0</v>
      </c>
      <c r="M15" s="4">
        <f t="shared" ca="1" si="4"/>
        <v>0</v>
      </c>
      <c r="N15" s="4">
        <f t="shared" ca="1" si="4"/>
        <v>0</v>
      </c>
      <c r="O15" s="4">
        <f t="shared" ca="1" si="4"/>
        <v>0</v>
      </c>
      <c r="P15" s="16">
        <f t="shared" ca="1" si="4"/>
        <v>0</v>
      </c>
      <c r="Q15" s="26">
        <f t="shared" ca="1" si="4"/>
        <v>0.25947156398104265</v>
      </c>
    </row>
    <row r="16" spans="1:19" ht="19.5" thickBot="1" x14ac:dyDescent="0.45">
      <c r="A16" s="448"/>
      <c r="B16" s="451"/>
      <c r="C16" s="437"/>
      <c r="D16" s="23" t="s">
        <v>18</v>
      </c>
      <c r="E16" s="14">
        <f ca="1">SUM($E14:E14)/SUM($E13:E13)</f>
        <v>2.1205611111111113</v>
      </c>
      <c r="F16" s="7">
        <f ca="1">SUM($E14:F14)/SUM($E13:F13)</f>
        <v>1.7660806451612903</v>
      </c>
      <c r="G16" s="7">
        <f ca="1">SUM($E14:G14)/SUM($E13:G13)</f>
        <v>1.0138611111111111</v>
      </c>
      <c r="H16" s="7">
        <f ca="1">SUM($E14:H14)/SUM($E13:H13)</f>
        <v>0.83204407294832827</v>
      </c>
      <c r="I16" s="7">
        <f ca="1">SUM($E14:I14)/SUM($E13:I13)</f>
        <v>0.61239932885906045</v>
      </c>
      <c r="J16" s="15">
        <f ca="1">SUM($E14:J14)/SUM($E13:J13)</f>
        <v>0.53465332031250001</v>
      </c>
      <c r="K16" s="10">
        <f ca="1">SUM($E14:K14)/SUM($E13:K13)</f>
        <v>0.42309505409582693</v>
      </c>
      <c r="L16" s="7">
        <f ca="1">SUM($E14:L14)/SUM($E13:L13)</f>
        <v>0.37550411522633748</v>
      </c>
      <c r="M16" s="7">
        <f ca="1">SUM($E14:M14)/SUM($E13:M13)</f>
        <v>0.36353585657370519</v>
      </c>
      <c r="N16" s="7">
        <f ca="1">SUM($E14:N14)/SUM($E13:N13)</f>
        <v>0.32319067296340026</v>
      </c>
      <c r="O16" s="7">
        <f ca="1">SUM($E14:O14)/SUM($E13:O13)</f>
        <v>0.2857437369519833</v>
      </c>
      <c r="P16" s="18">
        <f ca="1">SUM($E14:P14)/SUM($E13:P13)</f>
        <v>0.25947156398104265</v>
      </c>
      <c r="Q16" s="28" t="s">
        <v>22</v>
      </c>
      <c r="R16" s="59"/>
      <c r="S16"/>
    </row>
    <row r="17" spans="1:19" x14ac:dyDescent="0.4">
      <c r="A17" s="446" t="s">
        <v>209</v>
      </c>
      <c r="B17" s="449" t="s">
        <v>58</v>
      </c>
      <c r="C17" s="433" t="s">
        <v>15</v>
      </c>
      <c r="D17" s="111" t="s">
        <v>13</v>
      </c>
      <c r="E17" s="112">
        <v>5358</v>
      </c>
      <c r="F17" s="113">
        <v>5233</v>
      </c>
      <c r="G17" s="113">
        <v>5607</v>
      </c>
      <c r="H17" s="113">
        <v>5981</v>
      </c>
      <c r="I17" s="113">
        <v>6355</v>
      </c>
      <c r="J17" s="114">
        <v>6105</v>
      </c>
      <c r="K17" s="115">
        <v>5981</v>
      </c>
      <c r="L17" s="113">
        <v>6230</v>
      </c>
      <c r="M17" s="113">
        <v>4984</v>
      </c>
      <c r="N17" s="113">
        <v>6230</v>
      </c>
      <c r="O17" s="113">
        <v>5981</v>
      </c>
      <c r="P17" s="116">
        <v>6355</v>
      </c>
      <c r="Q17" s="117">
        <f>SUM(E17:P17)</f>
        <v>70400</v>
      </c>
      <c r="R17" s="465">
        <v>24887</v>
      </c>
      <c r="S17" s="68">
        <f>IFERROR(Q17/R17,"")</f>
        <v>2.828786113231808</v>
      </c>
    </row>
    <row r="18" spans="1:19" ht="19.5" thickBot="1" x14ac:dyDescent="0.45">
      <c r="A18" s="447"/>
      <c r="B18" s="450"/>
      <c r="C18" s="433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2757.0830037999999</v>
      </c>
      <c r="F18" s="135">
        <f ca="1">SUMIFS(INDIRECT($B$1&amp;"INV!$K:$K"),INDIRECT($B$1&amp;"INV!$A:$A"),$A17,INDIRECT($B$1&amp;"INV!$G:$G"),"&gt;="&amp;F$6,INDIRECT($B$1&amp;"INV!$G:$G"),"&lt;"&amp;EOMONTH(F$6,0)+1)/1000</f>
        <v>5691.1296665000009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:P18" ca="1" si="5">SUMIFS(INDIRECT($B$1&amp;"INV!$K:$K"),INDIRECT($B$1&amp;"INV!$A:$A"),$A17,INDIRECT($B$1&amp;"INV!$G:$G"),"&gt;="&amp;H$6,INDIRECT($B$1&amp;"INV!$G:$G"),"&lt;"&amp;EOMONTH(H$6,0)+1)/1000</f>
        <v>0</v>
      </c>
      <c r="I18" s="135">
        <f t="shared" ca="1" si="5"/>
        <v>0</v>
      </c>
      <c r="J18" s="138">
        <f t="shared" ca="1" si="5"/>
        <v>0</v>
      </c>
      <c r="K18" s="134">
        <f t="shared" ca="1" si="5"/>
        <v>0</v>
      </c>
      <c r="L18" s="135">
        <f t="shared" ca="1" si="5"/>
        <v>0</v>
      </c>
      <c r="M18" s="135">
        <f t="shared" ca="1" si="5"/>
        <v>0</v>
      </c>
      <c r="N18" s="135">
        <f t="shared" ca="1" si="5"/>
        <v>0</v>
      </c>
      <c r="O18" s="135">
        <f t="shared" ca="1" si="5"/>
        <v>0</v>
      </c>
      <c r="P18" s="136">
        <f t="shared" ca="1" si="5"/>
        <v>0</v>
      </c>
      <c r="Q18" s="139">
        <f ca="1">SUM(E18:P18)</f>
        <v>8448.2126703000013</v>
      </c>
      <c r="R18" s="466"/>
      <c r="S18" s="69">
        <f ca="1">IFERROR(Q18/R17,"")</f>
        <v>0.33946287902519395</v>
      </c>
    </row>
    <row r="19" spans="1:19" x14ac:dyDescent="0.4">
      <c r="A19" s="447"/>
      <c r="B19" s="450"/>
      <c r="C19" s="433"/>
      <c r="D19" s="21" t="s">
        <v>17</v>
      </c>
      <c r="E19" s="11">
        <f ca="1">E18/E17</f>
        <v>0.51457316233669281</v>
      </c>
      <c r="F19" s="4">
        <f t="shared" ref="F19:Q19" ca="1" si="6">F18/F17</f>
        <v>1.0875462768010704</v>
      </c>
      <c r="G19" s="4">
        <f t="shared" ca="1" si="6"/>
        <v>0</v>
      </c>
      <c r="H19" s="4">
        <f t="shared" ca="1" si="6"/>
        <v>0</v>
      </c>
      <c r="I19" s="4">
        <f t="shared" ca="1" si="6"/>
        <v>0</v>
      </c>
      <c r="J19" s="6">
        <f t="shared" ca="1" si="6"/>
        <v>0</v>
      </c>
      <c r="K19" s="8">
        <f t="shared" ca="1" si="6"/>
        <v>0</v>
      </c>
      <c r="L19" s="4">
        <f t="shared" ca="1" si="6"/>
        <v>0</v>
      </c>
      <c r="M19" s="4">
        <f t="shared" ca="1" si="6"/>
        <v>0</v>
      </c>
      <c r="N19" s="4">
        <f t="shared" ca="1" si="6"/>
        <v>0</v>
      </c>
      <c r="O19" s="4">
        <f t="shared" ca="1" si="6"/>
        <v>0</v>
      </c>
      <c r="P19" s="16">
        <f t="shared" ca="1" si="6"/>
        <v>0</v>
      </c>
      <c r="Q19" s="26">
        <f t="shared" ca="1" si="6"/>
        <v>0.1200030208849432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12">
        <f ca="1">SUM($E18:E18)/SUM($E17:E17)</f>
        <v>0.51457316233669281</v>
      </c>
      <c r="F20" s="5">
        <f ca="1">SUM($E18:F18)/SUM($E17:F17)</f>
        <v>0.79767846948352383</v>
      </c>
      <c r="G20" s="5">
        <f ca="1">SUM($E18:G18)/SUM($E17:G17)</f>
        <v>0.52155899927768867</v>
      </c>
      <c r="H20" s="5">
        <f ca="1">SUM($E18:H18)/SUM($E17:H17)</f>
        <v>0.38091044097118903</v>
      </c>
      <c r="I20" s="5">
        <f ca="1">SUM($E18:I18)/SUM($E17:I17)</f>
        <v>0.29607530210625926</v>
      </c>
      <c r="J20" s="13">
        <f ca="1">SUM($E18:J18)/SUM($E17:J17)</f>
        <v>0.24389308785761718</v>
      </c>
      <c r="K20" s="9">
        <f ca="1">SUM($E18:K18)/SUM($E17:K17)</f>
        <v>0.20798160192762188</v>
      </c>
      <c r="L20" s="5">
        <f ca="1">SUM($E18:L18)/SUM($E17:L17)</f>
        <v>0.18032471014514409</v>
      </c>
      <c r="M20" s="5">
        <f ca="1">SUM($E18:M18)/SUM($E17:M17)</f>
        <v>0.16298592951151755</v>
      </c>
      <c r="N20" s="5">
        <f ca="1">SUM($E18:N18)/SUM($E17:N17)</f>
        <v>0.1454982893066272</v>
      </c>
      <c r="O20" s="5">
        <f ca="1">SUM($E18:O18)/SUM($E17:O17)</f>
        <v>0.13191057335154971</v>
      </c>
      <c r="P20" s="17">
        <f ca="1">SUM($E18:P18)/SUM($E17:P17)</f>
        <v>0.1200030208849432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119">
        <v>5057</v>
      </c>
      <c r="F21" s="120">
        <v>4939</v>
      </c>
      <c r="G21" s="120">
        <v>5292</v>
      </c>
      <c r="H21" s="120">
        <v>5645</v>
      </c>
      <c r="I21" s="120">
        <v>5998</v>
      </c>
      <c r="J21" s="121">
        <v>5762</v>
      </c>
      <c r="K21" s="122">
        <v>5645</v>
      </c>
      <c r="L21" s="120">
        <v>5880</v>
      </c>
      <c r="M21" s="120">
        <v>4704</v>
      </c>
      <c r="N21" s="120">
        <v>5880</v>
      </c>
      <c r="O21" s="120">
        <v>5645</v>
      </c>
      <c r="P21" s="123">
        <v>5998</v>
      </c>
      <c r="Q21" s="124">
        <f>SUM(E21:P21)</f>
        <v>66445</v>
      </c>
      <c r="R21" s="465">
        <v>23189</v>
      </c>
      <c r="S21" s="68">
        <f>IFERROR(Q21/R21,"")</f>
        <v>2.865367199965501</v>
      </c>
    </row>
    <row r="22" spans="1:19" x14ac:dyDescent="0.4">
      <c r="A22" s="447"/>
      <c r="B22" s="450"/>
      <c r="C22" s="453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2618.9333294000003</v>
      </c>
      <c r="F22" s="141">
        <f t="shared" ref="F22:P22" ca="1" si="7">SUMIFS(INDIRECT($B$1&amp;"INV!$N:$N"),INDIRECT($B$1&amp;"INV!$A:$A"),$A17,INDIRECT($B$1&amp;"INV!$G:$G"),"&gt;="&amp;F$6,INDIRECT($B$1&amp;"INV!$G:$G"),"&lt;"&amp;EOMONTH(F$6,0)+1)/1000</f>
        <v>5408.3418857999995</v>
      </c>
      <c r="G22" s="141">
        <f t="shared" ca="1" si="7"/>
        <v>0</v>
      </c>
      <c r="H22" s="141">
        <f t="shared" ca="1" si="7"/>
        <v>0</v>
      </c>
      <c r="I22" s="141">
        <f t="shared" ca="1" si="7"/>
        <v>0</v>
      </c>
      <c r="J22" s="144">
        <f t="shared" ca="1" si="7"/>
        <v>0</v>
      </c>
      <c r="K22" s="146">
        <f t="shared" ca="1" si="7"/>
        <v>0</v>
      </c>
      <c r="L22" s="141">
        <f t="shared" ca="1" si="7"/>
        <v>0</v>
      </c>
      <c r="M22" s="141">
        <f t="shared" ca="1" si="7"/>
        <v>0</v>
      </c>
      <c r="N22" s="141">
        <f t="shared" ca="1" si="7"/>
        <v>0</v>
      </c>
      <c r="O22" s="141">
        <f t="shared" ca="1" si="7"/>
        <v>0</v>
      </c>
      <c r="P22" s="142">
        <f t="shared" ca="1" si="7"/>
        <v>0</v>
      </c>
      <c r="Q22" s="145">
        <f ca="1">SUM(E22:P22)</f>
        <v>8027.2752151999994</v>
      </c>
      <c r="R22" s="471"/>
      <c r="S22" s="70">
        <f ca="1">IFERROR(Q22/R21,"")</f>
        <v>0.34616737311656387</v>
      </c>
    </row>
    <row r="23" spans="1:19" x14ac:dyDescent="0.4">
      <c r="A23" s="447"/>
      <c r="B23" s="450"/>
      <c r="C23" s="435" t="s">
        <v>16</v>
      </c>
      <c r="D23" s="118" t="s">
        <v>13</v>
      </c>
      <c r="E23" s="119">
        <f>E17-E21</f>
        <v>301</v>
      </c>
      <c r="F23" s="120">
        <f t="shared" ref="F23:P24" si="8">F17-F21</f>
        <v>294</v>
      </c>
      <c r="G23" s="120">
        <f t="shared" si="8"/>
        <v>315</v>
      </c>
      <c r="H23" s="120">
        <f t="shared" si="8"/>
        <v>336</v>
      </c>
      <c r="I23" s="120">
        <f t="shared" si="8"/>
        <v>357</v>
      </c>
      <c r="J23" s="121">
        <f t="shared" si="8"/>
        <v>343</v>
      </c>
      <c r="K23" s="122">
        <f t="shared" si="8"/>
        <v>336</v>
      </c>
      <c r="L23" s="120">
        <f t="shared" si="8"/>
        <v>350</v>
      </c>
      <c r="M23" s="120">
        <f t="shared" si="8"/>
        <v>280</v>
      </c>
      <c r="N23" s="120">
        <f t="shared" si="8"/>
        <v>350</v>
      </c>
      <c r="O23" s="120">
        <f t="shared" si="8"/>
        <v>336</v>
      </c>
      <c r="P23" s="123">
        <f t="shared" si="8"/>
        <v>357</v>
      </c>
      <c r="Q23" s="124">
        <f>SUM(E23:P23)</f>
        <v>3955</v>
      </c>
      <c r="R23" s="465">
        <f>R17-R21</f>
        <v>1698</v>
      </c>
      <c r="S23" s="149">
        <f>IFERROR(Q23/R23,"")</f>
        <v>2.3292108362779742</v>
      </c>
    </row>
    <row r="24" spans="1:19" ht="19.5" thickBot="1" x14ac:dyDescent="0.45">
      <c r="A24" s="447"/>
      <c r="B24" s="450"/>
      <c r="C24" s="436"/>
      <c r="D24" s="133" t="s">
        <v>14</v>
      </c>
      <c r="E24" s="134">
        <f ca="1">E18-E22</f>
        <v>138.14967439999964</v>
      </c>
      <c r="F24" s="135">
        <f t="shared" ca="1" si="8"/>
        <v>282.78778070000135</v>
      </c>
      <c r="G24" s="135">
        <f t="shared" ca="1" si="8"/>
        <v>0</v>
      </c>
      <c r="H24" s="135">
        <f t="shared" ca="1" si="8"/>
        <v>0</v>
      </c>
      <c r="I24" s="135">
        <f t="shared" ca="1" si="8"/>
        <v>0</v>
      </c>
      <c r="J24" s="138">
        <f t="shared" ca="1" si="8"/>
        <v>0</v>
      </c>
      <c r="K24" s="134">
        <f t="shared" ca="1" si="8"/>
        <v>0</v>
      </c>
      <c r="L24" s="135">
        <f t="shared" ca="1" si="8"/>
        <v>0</v>
      </c>
      <c r="M24" s="135">
        <f t="shared" ca="1" si="8"/>
        <v>0</v>
      </c>
      <c r="N24" s="135">
        <f t="shared" ca="1" si="8"/>
        <v>0</v>
      </c>
      <c r="O24" s="135">
        <f t="shared" ca="1" si="8"/>
        <v>0</v>
      </c>
      <c r="P24" s="136">
        <f t="shared" ca="1" si="8"/>
        <v>0</v>
      </c>
      <c r="Q24" s="139">
        <f ca="1">SUM(E24:P24)</f>
        <v>420.93745510000099</v>
      </c>
      <c r="R24" s="466"/>
      <c r="S24" s="69">
        <f ca="1">IFERROR(Q24/R23,"")</f>
        <v>0.24790191702002415</v>
      </c>
    </row>
    <row r="25" spans="1:19" x14ac:dyDescent="0.4">
      <c r="A25" s="447"/>
      <c r="B25" s="450"/>
      <c r="C25" s="436"/>
      <c r="D25" s="21" t="s">
        <v>17</v>
      </c>
      <c r="E25" s="11">
        <f ca="1">E24/E23</f>
        <v>0.45896901794019812</v>
      </c>
      <c r="F25" s="4">
        <f t="shared" ref="F25:Q25" ca="1" si="9">F24/F23</f>
        <v>0.96186319965986855</v>
      </c>
      <c r="G25" s="4">
        <f t="shared" ca="1" si="9"/>
        <v>0</v>
      </c>
      <c r="H25" s="4">
        <f t="shared" ca="1" si="9"/>
        <v>0</v>
      </c>
      <c r="I25" s="4">
        <f t="shared" ca="1" si="9"/>
        <v>0</v>
      </c>
      <c r="J25" s="6">
        <f t="shared" ca="1" si="9"/>
        <v>0</v>
      </c>
      <c r="K25" s="8">
        <f t="shared" ca="1" si="9"/>
        <v>0</v>
      </c>
      <c r="L25" s="4">
        <f t="shared" ca="1" si="9"/>
        <v>0</v>
      </c>
      <c r="M25" s="4">
        <f t="shared" ca="1" si="9"/>
        <v>0</v>
      </c>
      <c r="N25" s="4">
        <f t="shared" ca="1" si="9"/>
        <v>0</v>
      </c>
      <c r="O25" s="4">
        <f t="shared" ca="1" si="9"/>
        <v>0</v>
      </c>
      <c r="P25" s="16">
        <f t="shared" ca="1" si="9"/>
        <v>0</v>
      </c>
      <c r="Q25" s="26">
        <f t="shared" ca="1" si="9"/>
        <v>0.1064317206321115</v>
      </c>
    </row>
    <row r="26" spans="1:19" ht="19.5" thickBot="1" x14ac:dyDescent="0.45">
      <c r="A26" s="448"/>
      <c r="B26" s="451"/>
      <c r="C26" s="437"/>
      <c r="D26" s="23" t="s">
        <v>18</v>
      </c>
      <c r="E26" s="14">
        <f ca="1">SUM($E24:E24)/SUM($E23:E23)</f>
        <v>0.45896901794019812</v>
      </c>
      <c r="F26" s="7">
        <f ca="1">SUM($E24:F24)/SUM($E23:F23)</f>
        <v>0.70745790773109407</v>
      </c>
      <c r="G26" s="7">
        <f ca="1">SUM($E24:G24)/SUM($E23:G23)</f>
        <v>0.46256863197802306</v>
      </c>
      <c r="H26" s="7">
        <f ca="1">SUM($E24:H24)/SUM($E23:H23)</f>
        <v>0.33783102335473597</v>
      </c>
      <c r="I26" s="7">
        <f ca="1">SUM($E24:I24)/SUM($E23:I23)</f>
        <v>0.26259354653774236</v>
      </c>
      <c r="J26" s="15">
        <f ca="1">SUM($E24:J24)/SUM($E23:J23)</f>
        <v>0.21630907250770862</v>
      </c>
      <c r="K26" s="10">
        <f ca="1">SUM($E24:K24)/SUM($E23:K23)</f>
        <v>0.18445988391761656</v>
      </c>
      <c r="L26" s="7">
        <f ca="1">SUM($E24:L24)/SUM($E23:L23)</f>
        <v>0.15993064403495477</v>
      </c>
      <c r="M26" s="7">
        <f ca="1">SUM($E24:M24)/SUM($E23:M23)</f>
        <v>0.14455269749313221</v>
      </c>
      <c r="N26" s="7">
        <f ca="1">SUM($E24:N24)/SUM($E23:N23)</f>
        <v>0.1290427514101781</v>
      </c>
      <c r="O26" s="7">
        <f ca="1">SUM($E24:O24)/SUM($E23:O23)</f>
        <v>0.11699206645358561</v>
      </c>
      <c r="P26" s="18">
        <f ca="1">SUM($E24:P24)/SUM($E23:P23)</f>
        <v>0.1064317206321115</v>
      </c>
      <c r="Q26" s="28" t="s">
        <v>22</v>
      </c>
      <c r="R26" s="59"/>
      <c r="S26"/>
    </row>
    <row r="27" spans="1:19" x14ac:dyDescent="0.4">
      <c r="A27" s="446" t="s">
        <v>210</v>
      </c>
      <c r="B27" s="449" t="s">
        <v>58</v>
      </c>
      <c r="C27" s="433" t="s">
        <v>15</v>
      </c>
      <c r="D27" s="111" t="s">
        <v>13</v>
      </c>
      <c r="E27" s="112">
        <v>5925</v>
      </c>
      <c r="F27" s="113">
        <v>5538</v>
      </c>
      <c r="G27" s="113">
        <v>6182</v>
      </c>
      <c r="H27" s="113">
        <v>9789</v>
      </c>
      <c r="I27" s="113">
        <v>9660</v>
      </c>
      <c r="J27" s="114">
        <v>8372</v>
      </c>
      <c r="K27" s="115">
        <v>9016</v>
      </c>
      <c r="L27" s="113">
        <v>5667</v>
      </c>
      <c r="M27" s="113">
        <v>10304</v>
      </c>
      <c r="N27" s="113">
        <v>9016</v>
      </c>
      <c r="O27" s="113">
        <v>5538</v>
      </c>
      <c r="P27" s="116">
        <v>6311</v>
      </c>
      <c r="Q27" s="117">
        <f>SUM(E27:P27)</f>
        <v>91318</v>
      </c>
      <c r="R27" s="465">
        <v>83294</v>
      </c>
      <c r="S27" s="68">
        <f>IFERROR(Q27/R27,"")</f>
        <v>1.0963334693975557</v>
      </c>
    </row>
    <row r="28" spans="1:19" ht="19.5" thickBot="1" x14ac:dyDescent="0.45">
      <c r="A28" s="447"/>
      <c r="B28" s="450"/>
      <c r="C28" s="433"/>
      <c r="D28" s="133" t="s">
        <v>14</v>
      </c>
      <c r="E28" s="134">
        <f ca="1">SUMIFS(INDIRECT($B$1&amp;"INV!$K:$K"),INDIRECT($B$1&amp;"INV!$A:$A"),$A27,INDIRECT($B$1&amp;"INV!$G:$G"),"&gt;="&amp;E$6,INDIRECT($B$1&amp;"INV!$G:$G"),"&lt;"&amp;EOMONTH(E$6,0)+1)/1000</f>
        <v>6568.4851309000014</v>
      </c>
      <c r="F28" s="135">
        <f ca="1">SUMIFS(INDIRECT($B$1&amp;"INV!$K:$K"),INDIRECT($B$1&amp;"INV!$A:$A"),$A27,INDIRECT($B$1&amp;"INV!$G:$G"),"&gt;="&amp;F$6,INDIRECT($B$1&amp;"INV!$G:$G"),"&lt;"&amp;EOMONTH(F$6,0)+1)/1000</f>
        <v>13972.452075000003</v>
      </c>
      <c r="G28" s="135">
        <f ca="1">SUMIFS(INDIRECT($B$1&amp;"INV!$K:$K"),INDIRECT($B$1&amp;"INV!$A:$A"),$A27,INDIRECT($B$1&amp;"INV!$G:$G"),"&gt;="&amp;G$6,INDIRECT($B$1&amp;"INV!$G:$G"),"&lt;"&amp;EOMONTH(G$6,0)+1)/1000</f>
        <v>0</v>
      </c>
      <c r="H28" s="135">
        <f t="shared" ref="H28:P28" ca="1" si="10">SUMIFS(INDIRECT($B$1&amp;"INV!$K:$K"),INDIRECT($B$1&amp;"INV!$A:$A"),$A27,INDIRECT($B$1&amp;"INV!$G:$G"),"&gt;="&amp;H$6,INDIRECT($B$1&amp;"INV!$G:$G"),"&lt;"&amp;EOMONTH(H$6,0)+1)/1000</f>
        <v>0</v>
      </c>
      <c r="I28" s="135">
        <f t="shared" ca="1" si="10"/>
        <v>0</v>
      </c>
      <c r="J28" s="138">
        <f t="shared" ca="1" si="10"/>
        <v>0</v>
      </c>
      <c r="K28" s="134">
        <f t="shared" ca="1" si="10"/>
        <v>0</v>
      </c>
      <c r="L28" s="135">
        <f t="shared" ca="1" si="10"/>
        <v>0</v>
      </c>
      <c r="M28" s="135">
        <f t="shared" ca="1" si="10"/>
        <v>0</v>
      </c>
      <c r="N28" s="135">
        <f t="shared" ca="1" si="10"/>
        <v>0</v>
      </c>
      <c r="O28" s="135">
        <f t="shared" ca="1" si="10"/>
        <v>0</v>
      </c>
      <c r="P28" s="136">
        <f t="shared" ca="1" si="10"/>
        <v>0</v>
      </c>
      <c r="Q28" s="139">
        <f ca="1">SUM(E28:P28)</f>
        <v>20540.937205900005</v>
      </c>
      <c r="R28" s="466"/>
      <c r="S28" s="69">
        <f ca="1">IFERROR(Q28/R27,"")</f>
        <v>0.24660764527937193</v>
      </c>
    </row>
    <row r="29" spans="1:19" x14ac:dyDescent="0.4">
      <c r="A29" s="447"/>
      <c r="B29" s="450"/>
      <c r="C29" s="433"/>
      <c r="D29" s="21" t="s">
        <v>17</v>
      </c>
      <c r="E29" s="11">
        <f ca="1">E28/E27</f>
        <v>1.1086050853839664</v>
      </c>
      <c r="F29" s="4">
        <f t="shared" ref="F29:Q29" ca="1" si="11">F28/F27</f>
        <v>2.5230140980498379</v>
      </c>
      <c r="G29" s="4">
        <f t="shared" ca="1" si="11"/>
        <v>0</v>
      </c>
      <c r="H29" s="4">
        <f t="shared" ca="1" si="11"/>
        <v>0</v>
      </c>
      <c r="I29" s="4">
        <f t="shared" ca="1" si="11"/>
        <v>0</v>
      </c>
      <c r="J29" s="6">
        <f t="shared" ca="1" si="11"/>
        <v>0</v>
      </c>
      <c r="K29" s="8">
        <f t="shared" ca="1" si="11"/>
        <v>0</v>
      </c>
      <c r="L29" s="4">
        <f t="shared" ca="1" si="11"/>
        <v>0</v>
      </c>
      <c r="M29" s="4">
        <f t="shared" ca="1" si="11"/>
        <v>0</v>
      </c>
      <c r="N29" s="4">
        <f t="shared" ca="1" si="11"/>
        <v>0</v>
      </c>
      <c r="O29" s="4">
        <f t="shared" ca="1" si="11"/>
        <v>0</v>
      </c>
      <c r="P29" s="16">
        <f t="shared" ca="1" si="11"/>
        <v>0</v>
      </c>
      <c r="Q29" s="26">
        <f t="shared" ca="1" si="11"/>
        <v>0.22493853573118119</v>
      </c>
      <c r="R29" s="59"/>
      <c r="S29"/>
    </row>
    <row r="30" spans="1:19" x14ac:dyDescent="0.4">
      <c r="A30" s="447"/>
      <c r="B30" s="450"/>
      <c r="C30" s="434"/>
      <c r="D30" s="22" t="s">
        <v>18</v>
      </c>
      <c r="E30" s="12">
        <f ca="1">SUM($E28:E28)/SUM($E27:E27)</f>
        <v>1.1086050853839664</v>
      </c>
      <c r="F30" s="5">
        <f ca="1">SUM($E28:F28)/SUM($E27:F27)</f>
        <v>1.7919338049289022</v>
      </c>
      <c r="G30" s="5">
        <f ca="1">SUM($E28:G28)/SUM($E27:G27)</f>
        <v>1.1641222559308588</v>
      </c>
      <c r="H30" s="5">
        <f ca="1">SUM($E28:H28)/SUM($E27:H27)</f>
        <v>0.74874014747758277</v>
      </c>
      <c r="I30" s="5">
        <f ca="1">SUM($E28:I28)/SUM($E27:I27)</f>
        <v>0.55375363147409296</v>
      </c>
      <c r="J30" s="13">
        <f ca="1">SUM($E28:J28)/SUM($E27:J27)</f>
        <v>0.45178676826419756</v>
      </c>
      <c r="K30" s="9">
        <f ca="1">SUM($E28:K28)/SUM($E27:K27)</f>
        <v>0.37702245156014841</v>
      </c>
      <c r="L30" s="5">
        <f ca="1">SUM($E28:L28)/SUM($E27:L27)</f>
        <v>0.34150089288101226</v>
      </c>
      <c r="M30" s="5">
        <f ca="1">SUM($E28:M28)/SUM($E27:M27)</f>
        <v>0.29155518155224058</v>
      </c>
      <c r="N30" s="5">
        <f ca="1">SUM($E28:N28)/SUM($E27:N27)</f>
        <v>0.2584773585410664</v>
      </c>
      <c r="O30" s="5">
        <f ca="1">SUM($E28:O28)/SUM($E27:O27)</f>
        <v>0.2416381851600457</v>
      </c>
      <c r="P30" s="17">
        <f ca="1">SUM($E28:P28)/SUM($E27:P27)</f>
        <v>0.22493853573118119</v>
      </c>
      <c r="Q30" s="27" t="s">
        <v>22</v>
      </c>
      <c r="R30" s="59"/>
      <c r="S30"/>
    </row>
    <row r="31" spans="1:19" x14ac:dyDescent="0.4">
      <c r="A31" s="447"/>
      <c r="B31" s="450"/>
      <c r="C31" s="452" t="s">
        <v>192</v>
      </c>
      <c r="D31" s="118" t="s">
        <v>13</v>
      </c>
      <c r="E31" s="119">
        <v>5410</v>
      </c>
      <c r="F31" s="120">
        <v>5057</v>
      </c>
      <c r="G31" s="120">
        <v>5645</v>
      </c>
      <c r="H31" s="120">
        <v>8938</v>
      </c>
      <c r="I31" s="120">
        <v>8820</v>
      </c>
      <c r="J31" s="121">
        <v>7644</v>
      </c>
      <c r="K31" s="122">
        <v>8232</v>
      </c>
      <c r="L31" s="120">
        <v>5174</v>
      </c>
      <c r="M31" s="120">
        <v>9408</v>
      </c>
      <c r="N31" s="120">
        <v>8232</v>
      </c>
      <c r="O31" s="120">
        <v>5057</v>
      </c>
      <c r="P31" s="123">
        <v>5762</v>
      </c>
      <c r="Q31" s="124">
        <f>SUM(E31:P31)</f>
        <v>83379</v>
      </c>
      <c r="R31" s="465">
        <v>76564</v>
      </c>
      <c r="S31" s="68">
        <f>IFERROR(Q31/R31,"")</f>
        <v>1.0890105010187556</v>
      </c>
    </row>
    <row r="32" spans="1:19" x14ac:dyDescent="0.4">
      <c r="A32" s="447"/>
      <c r="B32" s="450"/>
      <c r="C32" s="453"/>
      <c r="D32" s="140" t="s">
        <v>14</v>
      </c>
      <c r="E32" s="146">
        <f ca="1">SUMIFS(INDIRECT($B$1&amp;"INV!$N:$N"),INDIRECT($B$1&amp;"INV!$A:$A"),$A27,INDIRECT($B$1&amp;"INV!$G:$G"),"&gt;="&amp;E$6,INDIRECT($B$1&amp;"INV!$G:$G"),"&lt;"&amp;EOMONTH(E$6,0)+1)/1000</f>
        <v>6036.6022913999996</v>
      </c>
      <c r="F32" s="141">
        <f t="shared" ref="F32:P32" ca="1" si="12">SUMIFS(INDIRECT($B$1&amp;"INV!$N:$N"),INDIRECT($B$1&amp;"INV!$A:$A"),$A27,INDIRECT($B$1&amp;"INV!$G:$G"),"&gt;="&amp;F$6,INDIRECT($B$1&amp;"INV!$G:$G"),"&lt;"&amp;EOMONTH(F$6,0)+1)/1000</f>
        <v>12840.492967499998</v>
      </c>
      <c r="G32" s="141">
        <f t="shared" ca="1" si="12"/>
        <v>0</v>
      </c>
      <c r="H32" s="141">
        <f t="shared" ca="1" si="12"/>
        <v>0</v>
      </c>
      <c r="I32" s="141">
        <f t="shared" ca="1" si="12"/>
        <v>0</v>
      </c>
      <c r="J32" s="144">
        <f t="shared" ca="1" si="12"/>
        <v>0</v>
      </c>
      <c r="K32" s="146">
        <f t="shared" ca="1" si="12"/>
        <v>0</v>
      </c>
      <c r="L32" s="141">
        <f t="shared" ca="1" si="12"/>
        <v>0</v>
      </c>
      <c r="M32" s="141">
        <f t="shared" ca="1" si="12"/>
        <v>0</v>
      </c>
      <c r="N32" s="141">
        <f t="shared" ca="1" si="12"/>
        <v>0</v>
      </c>
      <c r="O32" s="141">
        <f t="shared" ca="1" si="12"/>
        <v>0</v>
      </c>
      <c r="P32" s="142">
        <f t="shared" ca="1" si="12"/>
        <v>0</v>
      </c>
      <c r="Q32" s="145">
        <f ca="1">SUM(E32:P32)</f>
        <v>18877.095258899997</v>
      </c>
      <c r="R32" s="471"/>
      <c r="S32" s="70">
        <f ca="1">IFERROR(Q32/R31,"")</f>
        <v>0.24655314846272397</v>
      </c>
    </row>
    <row r="33" spans="1:19" x14ac:dyDescent="0.4">
      <c r="A33" s="447"/>
      <c r="B33" s="450"/>
      <c r="C33" s="435" t="s">
        <v>16</v>
      </c>
      <c r="D33" s="118" t="s">
        <v>13</v>
      </c>
      <c r="E33" s="119">
        <f>E27-E31</f>
        <v>515</v>
      </c>
      <c r="F33" s="120">
        <f t="shared" ref="F33:P34" si="13">F27-F31</f>
        <v>481</v>
      </c>
      <c r="G33" s="120">
        <f t="shared" si="13"/>
        <v>537</v>
      </c>
      <c r="H33" s="120">
        <f t="shared" si="13"/>
        <v>851</v>
      </c>
      <c r="I33" s="120">
        <f t="shared" si="13"/>
        <v>840</v>
      </c>
      <c r="J33" s="121">
        <f t="shared" si="13"/>
        <v>728</v>
      </c>
      <c r="K33" s="122">
        <f t="shared" si="13"/>
        <v>784</v>
      </c>
      <c r="L33" s="120">
        <f t="shared" si="13"/>
        <v>493</v>
      </c>
      <c r="M33" s="120">
        <f t="shared" si="13"/>
        <v>896</v>
      </c>
      <c r="N33" s="120">
        <f t="shared" si="13"/>
        <v>784</v>
      </c>
      <c r="O33" s="120">
        <f t="shared" si="13"/>
        <v>481</v>
      </c>
      <c r="P33" s="123">
        <f t="shared" si="13"/>
        <v>549</v>
      </c>
      <c r="Q33" s="124">
        <f>SUM(E33:P33)</f>
        <v>7939</v>
      </c>
      <c r="R33" s="465">
        <f>R27-R31</f>
        <v>6730</v>
      </c>
      <c r="S33" s="149">
        <f>IFERROR(Q33/R33,"")</f>
        <v>1.1796433878157504</v>
      </c>
    </row>
    <row r="34" spans="1:19" ht="19.5" thickBot="1" x14ac:dyDescent="0.45">
      <c r="A34" s="447"/>
      <c r="B34" s="450"/>
      <c r="C34" s="436"/>
      <c r="D34" s="133" t="s">
        <v>14</v>
      </c>
      <c r="E34" s="134">
        <f ca="1">E28-E32</f>
        <v>531.88283950000186</v>
      </c>
      <c r="F34" s="135">
        <f t="shared" ca="1" si="13"/>
        <v>1131.9591075000044</v>
      </c>
      <c r="G34" s="135">
        <f t="shared" ca="1" si="13"/>
        <v>0</v>
      </c>
      <c r="H34" s="135">
        <f t="shared" ca="1" si="13"/>
        <v>0</v>
      </c>
      <c r="I34" s="135">
        <f t="shared" ca="1" si="13"/>
        <v>0</v>
      </c>
      <c r="J34" s="138">
        <f t="shared" ca="1" si="13"/>
        <v>0</v>
      </c>
      <c r="K34" s="134">
        <f t="shared" ca="1" si="13"/>
        <v>0</v>
      </c>
      <c r="L34" s="135">
        <f t="shared" ca="1" si="13"/>
        <v>0</v>
      </c>
      <c r="M34" s="135">
        <f t="shared" ca="1" si="13"/>
        <v>0</v>
      </c>
      <c r="N34" s="135">
        <f t="shared" ca="1" si="13"/>
        <v>0</v>
      </c>
      <c r="O34" s="135">
        <f t="shared" ca="1" si="13"/>
        <v>0</v>
      </c>
      <c r="P34" s="136">
        <f t="shared" ca="1" si="13"/>
        <v>0</v>
      </c>
      <c r="Q34" s="139">
        <f ca="1">SUM(E34:P34)</f>
        <v>1663.8419470000063</v>
      </c>
      <c r="R34" s="466"/>
      <c r="S34" s="69">
        <f ca="1">IFERROR(Q34/R33,"")</f>
        <v>0.24722762956909455</v>
      </c>
    </row>
    <row r="35" spans="1:19" x14ac:dyDescent="0.4">
      <c r="A35" s="447"/>
      <c r="B35" s="450"/>
      <c r="C35" s="436"/>
      <c r="D35" s="21" t="s">
        <v>17</v>
      </c>
      <c r="E35" s="11">
        <f ca="1">E34/E33</f>
        <v>1.0327822126213628</v>
      </c>
      <c r="F35" s="4">
        <f t="shared" ref="F35:Q35" ca="1" si="14">F34/F33</f>
        <v>2.3533453378378471</v>
      </c>
      <c r="G35" s="4">
        <f t="shared" ca="1" si="14"/>
        <v>0</v>
      </c>
      <c r="H35" s="4">
        <f t="shared" ca="1" si="14"/>
        <v>0</v>
      </c>
      <c r="I35" s="4">
        <f t="shared" ca="1" si="14"/>
        <v>0</v>
      </c>
      <c r="J35" s="6">
        <f t="shared" ca="1" si="14"/>
        <v>0</v>
      </c>
      <c r="K35" s="8">
        <f t="shared" ca="1" si="14"/>
        <v>0</v>
      </c>
      <c r="L35" s="4">
        <f t="shared" ca="1" si="14"/>
        <v>0</v>
      </c>
      <c r="M35" s="4">
        <f t="shared" ca="1" si="14"/>
        <v>0</v>
      </c>
      <c r="N35" s="4">
        <f t="shared" ca="1" si="14"/>
        <v>0</v>
      </c>
      <c r="O35" s="4">
        <f t="shared" ca="1" si="14"/>
        <v>0</v>
      </c>
      <c r="P35" s="16">
        <f t="shared" ca="1" si="14"/>
        <v>0</v>
      </c>
      <c r="Q35" s="26">
        <f t="shared" ca="1" si="14"/>
        <v>0.20957827774278956</v>
      </c>
    </row>
    <row r="36" spans="1:19" ht="19.5" thickBot="1" x14ac:dyDescent="0.45">
      <c r="A36" s="448"/>
      <c r="B36" s="451"/>
      <c r="C36" s="437"/>
      <c r="D36" s="23" t="s">
        <v>18</v>
      </c>
      <c r="E36" s="14">
        <f ca="1">SUM($E34:E34)/SUM($E33:E33)</f>
        <v>1.0327822126213628</v>
      </c>
      <c r="F36" s="7">
        <f ca="1">SUM($E34:F34)/SUM($E33:F33)</f>
        <v>1.6705240431726971</v>
      </c>
      <c r="G36" s="7">
        <f ca="1">SUM($E34:G34)/SUM($E33:G33)</f>
        <v>1.0853502589693453</v>
      </c>
      <c r="H36" s="7">
        <f ca="1">SUM($E34:H34)/SUM($E33:H33)</f>
        <v>0.69792027978188187</v>
      </c>
      <c r="I36" s="7">
        <f ca="1">SUM($E34:I34)/SUM($E33:I33)</f>
        <v>0.51608000837469181</v>
      </c>
      <c r="J36" s="15">
        <f ca="1">SUM($E34:J34)/SUM($E33:J33)</f>
        <v>0.42101263841093278</v>
      </c>
      <c r="K36" s="10">
        <f ca="1">SUM($E34:K34)/SUM($E33:K33)</f>
        <v>0.35131797867398779</v>
      </c>
      <c r="L36" s="7">
        <f ca="1">SUM($E34:L34)/SUM($E33:L33)</f>
        <v>0.31819505584241847</v>
      </c>
      <c r="M36" s="7">
        <f ca="1">SUM($E34:M34)/SUM($E33:M33)</f>
        <v>0.27164766481632757</v>
      </c>
      <c r="N36" s="7">
        <f ca="1">SUM($E34:N34)/SUM($E33:N33)</f>
        <v>0.2408223978868152</v>
      </c>
      <c r="O36" s="7">
        <f ca="1">SUM($E34:O34)/SUM($E33:O33)</f>
        <v>0.22514776008119164</v>
      </c>
      <c r="P36" s="18">
        <f ca="1">SUM($E34:P34)/SUM($E33:P33)</f>
        <v>0.20957827774278956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>SUM(E7,E17,E27)</f>
        <v>12183</v>
      </c>
      <c r="F37" s="127">
        <f t="shared" ref="F37:Q38" si="15">SUM(F7,F17,F27)</f>
        <v>11421</v>
      </c>
      <c r="G37" s="128">
        <f t="shared" si="15"/>
        <v>12939</v>
      </c>
      <c r="H37" s="127">
        <f t="shared" si="15"/>
        <v>16360</v>
      </c>
      <c r="I37" s="127">
        <f t="shared" si="15"/>
        <v>17195</v>
      </c>
      <c r="J37" s="129">
        <f t="shared" si="15"/>
        <v>15127</v>
      </c>
      <c r="K37" s="126">
        <f t="shared" si="15"/>
        <v>16347</v>
      </c>
      <c r="L37" s="127">
        <f t="shared" si="15"/>
        <v>12717</v>
      </c>
      <c r="M37" s="128">
        <f t="shared" si="15"/>
        <v>15528</v>
      </c>
      <c r="N37" s="127">
        <f t="shared" si="15"/>
        <v>16186</v>
      </c>
      <c r="O37" s="127">
        <f t="shared" si="15"/>
        <v>12629</v>
      </c>
      <c r="P37" s="129">
        <f t="shared" si="15"/>
        <v>13636</v>
      </c>
      <c r="Q37" s="130">
        <f t="shared" si="15"/>
        <v>172268</v>
      </c>
      <c r="R37" s="465">
        <f>SUM(R7,R17,R27)</f>
        <v>118062</v>
      </c>
      <c r="S37" s="68">
        <f>IFERROR(Q37/R37,"")</f>
        <v>1.4591316426962104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 ca="1">SUM(E8,E18,E28)</f>
        <v>11084.778134700002</v>
      </c>
      <c r="F38" s="135">
        <f t="shared" ca="1" si="15"/>
        <v>20453.171741500002</v>
      </c>
      <c r="G38" s="138">
        <f t="shared" ca="1" si="15"/>
        <v>0</v>
      </c>
      <c r="H38" s="135">
        <f t="shared" ca="1" si="15"/>
        <v>0</v>
      </c>
      <c r="I38" s="135">
        <f t="shared" ca="1" si="15"/>
        <v>0</v>
      </c>
      <c r="J38" s="136">
        <f t="shared" ca="1" si="15"/>
        <v>0</v>
      </c>
      <c r="K38" s="134">
        <f t="shared" ca="1" si="15"/>
        <v>0</v>
      </c>
      <c r="L38" s="135">
        <f t="shared" ca="1" si="15"/>
        <v>0</v>
      </c>
      <c r="M38" s="138">
        <f t="shared" ca="1" si="15"/>
        <v>0</v>
      </c>
      <c r="N38" s="135">
        <f t="shared" ca="1" si="15"/>
        <v>0</v>
      </c>
      <c r="O38" s="135">
        <f t="shared" ca="1" si="15"/>
        <v>0</v>
      </c>
      <c r="P38" s="136">
        <f t="shared" ca="1" si="15"/>
        <v>0</v>
      </c>
      <c r="Q38" s="148">
        <f t="shared" ca="1" si="15"/>
        <v>31537.949876200008</v>
      </c>
      <c r="R38" s="466"/>
      <c r="S38" s="69">
        <f ca="1">IFERROR(Q38/R37,"")</f>
        <v>0.26713040500923252</v>
      </c>
    </row>
    <row r="39" spans="1:19" x14ac:dyDescent="0.4">
      <c r="A39" s="19"/>
      <c r="B39" s="430"/>
      <c r="C39" s="433"/>
      <c r="D39" s="24" t="s">
        <v>17</v>
      </c>
      <c r="E39" s="11">
        <f ca="1">E38/E37</f>
        <v>0.90985620411228774</v>
      </c>
      <c r="F39" s="4">
        <f t="shared" ref="F39:Q39" ca="1" si="16">F38/F37</f>
        <v>1.7908389581910518</v>
      </c>
      <c r="G39" s="16">
        <f t="shared" ca="1" si="16"/>
        <v>0</v>
      </c>
      <c r="H39" s="4">
        <f t="shared" ca="1" si="16"/>
        <v>0</v>
      </c>
      <c r="I39" s="4">
        <f t="shared" ca="1" si="16"/>
        <v>0</v>
      </c>
      <c r="J39" s="6">
        <f t="shared" ca="1" si="16"/>
        <v>0</v>
      </c>
      <c r="K39" s="11">
        <f t="shared" ca="1" si="16"/>
        <v>0</v>
      </c>
      <c r="L39" s="4">
        <f t="shared" ca="1" si="16"/>
        <v>0</v>
      </c>
      <c r="M39" s="16">
        <f t="shared" ca="1" si="16"/>
        <v>0</v>
      </c>
      <c r="N39" s="4">
        <f t="shared" ca="1" si="16"/>
        <v>0</v>
      </c>
      <c r="O39" s="4">
        <f t="shared" ca="1" si="16"/>
        <v>0</v>
      </c>
      <c r="P39" s="6">
        <f t="shared" ca="1" si="16"/>
        <v>0</v>
      </c>
      <c r="Q39" s="26">
        <f t="shared" ca="1" si="16"/>
        <v>0.18307491743214066</v>
      </c>
    </row>
    <row r="40" spans="1:19" x14ac:dyDescent="0.4">
      <c r="A40" s="19"/>
      <c r="B40" s="430"/>
      <c r="C40" s="434"/>
      <c r="D40" s="25" t="s">
        <v>18</v>
      </c>
      <c r="E40" s="12">
        <f ca="1">SUM($E38:E38)/SUM($E37:E37)</f>
        <v>0.90985620411228774</v>
      </c>
      <c r="F40" s="5">
        <f ca="1">SUM($E38:F38)/SUM($E37:F37)</f>
        <v>1.3361273460515168</v>
      </c>
      <c r="G40" s="17">
        <f ca="1">SUM($E38:G38)/SUM($E37:G37)</f>
        <v>0.86303669310675102</v>
      </c>
      <c r="H40" s="5">
        <f ca="1">SUM($E38:H38)/SUM($E37:H37)</f>
        <v>0.59614671901782512</v>
      </c>
      <c r="I40" s="5">
        <f ca="1">SUM($E38:I38)/SUM($E37:I37)</f>
        <v>0.44991226391908479</v>
      </c>
      <c r="J40" s="13">
        <f ca="1">SUM($E38:J38)/SUM($E37:J37)</f>
        <v>0.37005514668465828</v>
      </c>
      <c r="K40" s="12">
        <f ca="1">SUM($E38:K38)/SUM($E37:K37)</f>
        <v>0.31049846292482186</v>
      </c>
      <c r="L40" s="5">
        <f ca="1">SUM($E38:L38)/SUM($E37:L37)</f>
        <v>0.27594912787932352</v>
      </c>
      <c r="M40" s="17">
        <f ca="1">SUM($E38:M38)/SUM($E37:M37)</f>
        <v>0.24294160145589563</v>
      </c>
      <c r="N40" s="5">
        <f ca="1">SUM($E38:N38)/SUM($E37:N37)</f>
        <v>0.21600891677705256</v>
      </c>
      <c r="O40" s="5">
        <f ca="1">SUM($E38:O38)/SUM($E37:O37)</f>
        <v>0.19881202957915178</v>
      </c>
      <c r="P40" s="13">
        <f ca="1">SUM($E38:P38)/SUM($E37:P37)</f>
        <v>0.18307491743214063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>SUM(E13,E23,E33)</f>
        <v>996</v>
      </c>
      <c r="F41" s="113">
        <f t="shared" ref="F41:Q42" si="17">SUM(F13,F23,F33)</f>
        <v>905</v>
      </c>
      <c r="G41" s="116">
        <f t="shared" si="17"/>
        <v>1082</v>
      </c>
      <c r="H41" s="113">
        <f t="shared" si="17"/>
        <v>1305</v>
      </c>
      <c r="I41" s="113">
        <f t="shared" si="17"/>
        <v>1433</v>
      </c>
      <c r="J41" s="114">
        <f t="shared" si="17"/>
        <v>1201</v>
      </c>
      <c r="K41" s="112">
        <f t="shared" si="17"/>
        <v>1390</v>
      </c>
      <c r="L41" s="113">
        <f t="shared" si="17"/>
        <v>1007</v>
      </c>
      <c r="M41" s="116">
        <f t="shared" si="17"/>
        <v>1224</v>
      </c>
      <c r="N41" s="113">
        <f t="shared" si="17"/>
        <v>1322</v>
      </c>
      <c r="O41" s="113">
        <f t="shared" si="17"/>
        <v>1039</v>
      </c>
      <c r="P41" s="114">
        <f t="shared" si="17"/>
        <v>1100</v>
      </c>
      <c r="Q41" s="132">
        <f t="shared" si="17"/>
        <v>14004</v>
      </c>
      <c r="R41" s="465">
        <f>SUM(R13,R23,R33)</f>
        <v>10615</v>
      </c>
      <c r="S41" s="68">
        <f>IFERROR(Q41/R41,"")</f>
        <v>1.3192651907677815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 ca="1">SUM(E14,E24,E34)</f>
        <v>1051.7335139000015</v>
      </c>
      <c r="F42" s="135">
        <f t="shared" ca="1" si="17"/>
        <v>1580.5308882000058</v>
      </c>
      <c r="G42" s="138">
        <f t="shared" ca="1" si="17"/>
        <v>0</v>
      </c>
      <c r="H42" s="135">
        <f t="shared" ca="1" si="17"/>
        <v>0</v>
      </c>
      <c r="I42" s="135">
        <f t="shared" ca="1" si="17"/>
        <v>0</v>
      </c>
      <c r="J42" s="136">
        <f t="shared" ca="1" si="17"/>
        <v>0</v>
      </c>
      <c r="K42" s="134">
        <f t="shared" ca="1" si="17"/>
        <v>0</v>
      </c>
      <c r="L42" s="135">
        <f t="shared" ca="1" si="17"/>
        <v>0</v>
      </c>
      <c r="M42" s="138">
        <f t="shared" ca="1" si="17"/>
        <v>0</v>
      </c>
      <c r="N42" s="135">
        <f t="shared" ca="1" si="17"/>
        <v>0</v>
      </c>
      <c r="O42" s="135">
        <f t="shared" ca="1" si="17"/>
        <v>0</v>
      </c>
      <c r="P42" s="136">
        <f t="shared" ca="1" si="17"/>
        <v>0</v>
      </c>
      <c r="Q42" s="148">
        <f t="shared" ca="1" si="17"/>
        <v>2632.2644021000074</v>
      </c>
      <c r="R42" s="466"/>
      <c r="S42" s="69">
        <f ca="1">IFERROR(Q42/R41,"")</f>
        <v>0.24797592106453201</v>
      </c>
    </row>
    <row r="43" spans="1:19" x14ac:dyDescent="0.4">
      <c r="A43" s="19"/>
      <c r="B43" s="430"/>
      <c r="C43" s="436"/>
      <c r="D43" s="24" t="s">
        <v>17</v>
      </c>
      <c r="E43" s="11">
        <f ca="1">E42/E41</f>
        <v>1.055957343273094</v>
      </c>
      <c r="F43" s="4">
        <f t="shared" ref="F43:Q43" ca="1" si="18">F42/F41</f>
        <v>1.7464429703867468</v>
      </c>
      <c r="G43" s="16">
        <f t="shared" ca="1" si="18"/>
        <v>0</v>
      </c>
      <c r="H43" s="4">
        <f t="shared" ca="1" si="18"/>
        <v>0</v>
      </c>
      <c r="I43" s="4">
        <f t="shared" ca="1" si="18"/>
        <v>0</v>
      </c>
      <c r="J43" s="6">
        <f t="shared" ca="1" si="18"/>
        <v>0</v>
      </c>
      <c r="K43" s="11">
        <f t="shared" ca="1" si="18"/>
        <v>0</v>
      </c>
      <c r="L43" s="4">
        <f t="shared" ca="1" si="18"/>
        <v>0</v>
      </c>
      <c r="M43" s="16">
        <f t="shared" ca="1" si="18"/>
        <v>0</v>
      </c>
      <c r="N43" s="4">
        <f t="shared" ca="1" si="18"/>
        <v>0</v>
      </c>
      <c r="O43" s="4">
        <f t="shared" ca="1" si="18"/>
        <v>0</v>
      </c>
      <c r="P43" s="6">
        <f t="shared" ca="1" si="18"/>
        <v>0</v>
      </c>
      <c r="Q43" s="26">
        <f t="shared" ca="1" si="18"/>
        <v>0.18796518152670719</v>
      </c>
    </row>
    <row r="44" spans="1:19" ht="19.5" thickBot="1" x14ac:dyDescent="0.45">
      <c r="A44" s="19"/>
      <c r="B44" s="431"/>
      <c r="C44" s="437"/>
      <c r="D44" s="30" t="s">
        <v>18</v>
      </c>
      <c r="E44" s="14">
        <f ca="1">SUM($E42:E42)/SUM($E41:E41)</f>
        <v>1.055957343273094</v>
      </c>
      <c r="F44" s="7">
        <f ca="1">SUM($E42:F42)/SUM($E41:F41)</f>
        <v>1.3846735413466635</v>
      </c>
      <c r="G44" s="18">
        <f ca="1">SUM($E42:G42)/SUM($E41:G41)</f>
        <v>0.88242185789473926</v>
      </c>
      <c r="H44" s="7">
        <f ca="1">SUM($E42:H42)/SUM($E41:H41)</f>
        <v>0.61386763108675546</v>
      </c>
      <c r="I44" s="7">
        <f ca="1">SUM($E42:I42)/SUM($E41:I41)</f>
        <v>0.46010564623317729</v>
      </c>
      <c r="J44" s="15">
        <f ca="1">SUM($E42:J42)/SUM($E41:J41)</f>
        <v>0.38027512310026113</v>
      </c>
      <c r="K44" s="14">
        <f ca="1">SUM($E42:K42)/SUM($E41:K41)</f>
        <v>0.31668243528633389</v>
      </c>
      <c r="L44" s="7">
        <f ca="1">SUM($E42:L42)/SUM($E41:L41)</f>
        <v>0.28246210989376624</v>
      </c>
      <c r="M44" s="18">
        <f ca="1">SUM($E42:M42)/SUM($E41:M41)</f>
        <v>0.24966939221284334</v>
      </c>
      <c r="N44" s="7">
        <f ca="1">SUM($E42:N42)/SUM($E41:N41)</f>
        <v>0.22185119276021975</v>
      </c>
      <c r="O44" s="7">
        <f ca="1">SUM($E42:O42)/SUM($E41:O41)</f>
        <v>0.20398825186763853</v>
      </c>
      <c r="P44" s="15">
        <f ca="1">SUM($E42:P42)/SUM($E41:P41)</f>
        <v>0.18796518152670719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23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93" t="s">
        <v>114</v>
      </c>
      <c r="F48" s="74" t="s">
        <v>114</v>
      </c>
      <c r="G48" s="74" t="s">
        <v>114</v>
      </c>
      <c r="H48" s="74" t="s">
        <v>114</v>
      </c>
      <c r="I48" s="74" t="s">
        <v>114</v>
      </c>
      <c r="J48" s="80" t="s">
        <v>114</v>
      </c>
      <c r="K48" s="93" t="s">
        <v>114</v>
      </c>
      <c r="L48" s="74" t="s">
        <v>114</v>
      </c>
      <c r="M48" s="95" t="s">
        <v>114</v>
      </c>
      <c r="N48" s="74" t="s">
        <v>114</v>
      </c>
      <c r="O48" s="74" t="s">
        <v>114</v>
      </c>
      <c r="P48" s="80" t="s">
        <v>114</v>
      </c>
    </row>
    <row r="49" spans="1:16" ht="39" customHeight="1" x14ac:dyDescent="0.4">
      <c r="A49" s="424"/>
      <c r="B49" s="425"/>
      <c r="C49" s="484" t="str">
        <f>A7</f>
        <v>韓国
(DAEKYUNG)</v>
      </c>
      <c r="D49" s="81" t="s">
        <v>38</v>
      </c>
      <c r="E49" s="82"/>
      <c r="F49" s="83"/>
      <c r="G49" s="83"/>
      <c r="H49" s="83"/>
      <c r="I49" s="83"/>
      <c r="J49" s="84" t="s">
        <v>115</v>
      </c>
      <c r="K49" s="82"/>
      <c r="L49" s="83"/>
      <c r="M49" s="83"/>
      <c r="N49" s="83"/>
      <c r="O49" s="83"/>
      <c r="P49" s="84" t="s">
        <v>116</v>
      </c>
    </row>
    <row r="50" spans="1:16" ht="39" customHeight="1" x14ac:dyDescent="0.4">
      <c r="A50" s="424"/>
      <c r="B50" s="425"/>
      <c r="C50" s="485"/>
      <c r="D50" s="85" t="s">
        <v>36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 x14ac:dyDescent="0.45">
      <c r="A51" s="424"/>
      <c r="B51" s="425"/>
      <c r="C51" s="151" t="str">
        <f>B7</f>
        <v>リボン・テープ等</v>
      </c>
      <c r="D51" s="89" t="s">
        <v>37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3"/>
      <c r="F52" s="75" t="s">
        <v>117</v>
      </c>
      <c r="G52" s="74"/>
      <c r="H52" s="74"/>
      <c r="I52" s="75" t="s">
        <v>118</v>
      </c>
      <c r="J52" s="80"/>
      <c r="K52" s="93"/>
      <c r="L52" s="75" t="s">
        <v>117</v>
      </c>
      <c r="M52" s="74"/>
      <c r="N52" s="74"/>
      <c r="O52" s="75" t="s">
        <v>118</v>
      </c>
      <c r="P52" s="80"/>
    </row>
    <row r="53" spans="1:16" ht="39" customHeight="1" x14ac:dyDescent="0.4">
      <c r="A53" s="424"/>
      <c r="B53" s="425"/>
      <c r="C53" s="484" t="str">
        <f>A17</f>
        <v>米国(NY)
アパレル</v>
      </c>
      <c r="D53" s="81" t="s">
        <v>38</v>
      </c>
      <c r="E53" s="82"/>
      <c r="F53" s="83"/>
      <c r="G53" s="83" t="s">
        <v>119</v>
      </c>
      <c r="H53" s="83"/>
      <c r="I53" s="83"/>
      <c r="J53" s="83" t="s">
        <v>120</v>
      </c>
      <c r="K53" s="82"/>
      <c r="L53" s="83"/>
      <c r="M53" s="83" t="s">
        <v>121</v>
      </c>
      <c r="N53" s="83"/>
      <c r="O53" s="83"/>
      <c r="P53" s="84" t="s">
        <v>122</v>
      </c>
    </row>
    <row r="54" spans="1:16" ht="39" customHeight="1" x14ac:dyDescent="0.4">
      <c r="A54" s="424"/>
      <c r="B54" s="425"/>
      <c r="C54" s="485"/>
      <c r="D54" s="85" t="s">
        <v>36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 x14ac:dyDescent="0.45">
      <c r="A55" s="424"/>
      <c r="B55" s="425"/>
      <c r="C55" s="151" t="str">
        <f>B17</f>
        <v>リバーレース</v>
      </c>
      <c r="D55" s="89" t="s">
        <v>37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93"/>
      <c r="F56" s="75" t="s">
        <v>117</v>
      </c>
      <c r="G56" s="74"/>
      <c r="H56" s="74"/>
      <c r="I56" s="75" t="s">
        <v>118</v>
      </c>
      <c r="J56" s="80"/>
      <c r="K56" s="93"/>
      <c r="L56" s="75" t="s">
        <v>117</v>
      </c>
      <c r="M56" s="74"/>
      <c r="N56" s="74"/>
      <c r="O56" s="75" t="s">
        <v>118</v>
      </c>
      <c r="P56" s="80"/>
    </row>
    <row r="57" spans="1:16" ht="39" customHeight="1" x14ac:dyDescent="0.4">
      <c r="A57" s="424"/>
      <c r="B57" s="425"/>
      <c r="C57" s="484" t="str">
        <f>A27</f>
        <v>米国(LA)
アパレル</v>
      </c>
      <c r="D57" s="81" t="s">
        <v>38</v>
      </c>
      <c r="E57" s="82"/>
      <c r="F57" s="83"/>
      <c r="G57" s="83" t="s">
        <v>123</v>
      </c>
      <c r="H57" s="83"/>
      <c r="I57" s="83"/>
      <c r="J57" s="84" t="s">
        <v>124</v>
      </c>
      <c r="K57" s="82"/>
      <c r="L57" s="83"/>
      <c r="M57" s="83" t="s">
        <v>125</v>
      </c>
      <c r="N57" s="83"/>
      <c r="O57" s="83"/>
      <c r="P57" s="84" t="s">
        <v>126</v>
      </c>
    </row>
    <row r="58" spans="1:16" ht="39" customHeight="1" x14ac:dyDescent="0.4">
      <c r="A58" s="424"/>
      <c r="B58" s="425"/>
      <c r="C58" s="485"/>
      <c r="D58" s="85" t="s">
        <v>36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 x14ac:dyDescent="0.45">
      <c r="A59" s="426"/>
      <c r="B59" s="427"/>
      <c r="C59" s="151" t="str">
        <f>B27</f>
        <v>リバーレース</v>
      </c>
      <c r="D59" s="89" t="s">
        <v>37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27FCB-B526-48C6-88AD-FC18A15FF9AC}">
  <sheetPr codeName="Sheet10">
    <tabColor theme="2" tint="-9.9978637043366805E-2"/>
  </sheetPr>
  <dimension ref="A1:R400"/>
  <sheetViews>
    <sheetView workbookViewId="0">
      <selection activeCell="E14" sqref="E14:P14"/>
    </sheetView>
  </sheetViews>
  <sheetFormatPr defaultColWidth="9" defaultRowHeight="18.75" x14ac:dyDescent="0.4"/>
  <cols>
    <col min="1" max="2" width="15.875" style="162" customWidth="1"/>
    <col min="3" max="4" width="15.875" style="160" customWidth="1"/>
    <col min="5" max="5" width="9" style="208"/>
    <col min="6" max="6" width="15.625" style="160" customWidth="1"/>
    <col min="7" max="7" width="15.625" style="161" customWidth="1"/>
    <col min="8" max="8" width="9" style="162"/>
    <col min="9" max="9" width="5.25" style="168" bestFit="1" customWidth="1"/>
    <col min="10" max="10" width="14.5" style="164" customWidth="1"/>
    <col min="11" max="11" width="14.5" style="165" customWidth="1"/>
    <col min="12" max="12" width="5.25" style="165" bestFit="1" customWidth="1"/>
    <col min="13" max="15" width="14.5" style="165" customWidth="1"/>
    <col min="16" max="16" width="7.125" style="167" bestFit="1" customWidth="1"/>
    <col min="17" max="19" width="15.625" style="162" customWidth="1"/>
    <col min="20" max="16384" width="9" style="162"/>
  </cols>
  <sheetData>
    <row r="1" spans="1:18" ht="18.75" customHeight="1" x14ac:dyDescent="0.4">
      <c r="A1" s="492" t="s">
        <v>218</v>
      </c>
      <c r="B1" s="492"/>
      <c r="C1" s="492"/>
      <c r="D1" s="492"/>
      <c r="E1" s="492"/>
      <c r="I1" s="163" t="s">
        <v>219</v>
      </c>
      <c r="M1" s="163"/>
      <c r="N1" s="166"/>
      <c r="O1" s="166"/>
    </row>
    <row r="2" spans="1:18" ht="18.75" customHeight="1" x14ac:dyDescent="0.4">
      <c r="A2" s="492"/>
      <c r="B2" s="492"/>
      <c r="C2" s="492"/>
      <c r="D2" s="492"/>
      <c r="E2" s="492"/>
      <c r="J2" s="169" t="s">
        <v>220</v>
      </c>
      <c r="K2" s="169" t="s">
        <v>221</v>
      </c>
      <c r="L2" s="166"/>
      <c r="M2" s="170" t="s">
        <v>222</v>
      </c>
      <c r="N2" s="170" t="s">
        <v>223</v>
      </c>
      <c r="O2" s="170" t="s">
        <v>224</v>
      </c>
      <c r="P2" s="171" t="s">
        <v>225</v>
      </c>
    </row>
    <row r="3" spans="1:18" ht="18.75" customHeight="1" x14ac:dyDescent="0.4">
      <c r="A3" s="172" t="s">
        <v>226</v>
      </c>
      <c r="B3" s="173"/>
      <c r="C3" s="173"/>
      <c r="D3" s="173"/>
      <c r="E3" s="173"/>
      <c r="F3" s="174"/>
      <c r="G3" s="175"/>
      <c r="H3" s="175"/>
      <c r="I3" s="176"/>
      <c r="J3" s="169">
        <v>0.5</v>
      </c>
      <c r="K3" s="169">
        <v>-0.5</v>
      </c>
      <c r="L3" s="177"/>
      <c r="M3" s="178" t="str">
        <f>前川!A7</f>
        <v>韓国
(DAEKYUNG)</v>
      </c>
      <c r="N3" s="179" t="str">
        <f>前川!A17</f>
        <v>米国(NY)
アパレル</v>
      </c>
      <c r="O3" s="179" t="str">
        <f>前川!A27</f>
        <v>米国(LA)
アパレル</v>
      </c>
      <c r="P3" s="171">
        <v>0.6</v>
      </c>
    </row>
    <row r="4" spans="1:18" x14ac:dyDescent="0.4">
      <c r="A4" s="180" t="s">
        <v>227</v>
      </c>
      <c r="B4" s="162" t="s">
        <v>228</v>
      </c>
      <c r="C4" s="181" t="s">
        <v>227</v>
      </c>
      <c r="D4" s="182" t="s">
        <v>227</v>
      </c>
      <c r="E4" s="183" t="s">
        <v>227</v>
      </c>
      <c r="F4" s="181" t="s">
        <v>227</v>
      </c>
      <c r="G4" s="184" t="s">
        <v>227</v>
      </c>
      <c r="H4" s="183" t="s">
        <v>227</v>
      </c>
      <c r="I4" s="185"/>
      <c r="J4" s="186" t="s">
        <v>230</v>
      </c>
      <c r="K4" s="187"/>
      <c r="L4" s="188"/>
      <c r="M4" s="186" t="s">
        <v>229</v>
      </c>
      <c r="N4" s="187"/>
      <c r="O4" s="185"/>
      <c r="P4" s="187"/>
    </row>
    <row r="5" spans="1:18" x14ac:dyDescent="0.4">
      <c r="A5" s="175" t="s">
        <v>231</v>
      </c>
      <c r="B5" s="175" t="s">
        <v>232</v>
      </c>
      <c r="C5" s="189" t="s">
        <v>233</v>
      </c>
      <c r="D5" s="174" t="s">
        <v>234</v>
      </c>
      <c r="E5" s="190" t="s">
        <v>235</v>
      </c>
      <c r="F5" s="189" t="s">
        <v>236</v>
      </c>
      <c r="G5" s="191" t="s">
        <v>237</v>
      </c>
      <c r="H5" s="192" t="s">
        <v>238</v>
      </c>
      <c r="I5" s="193" t="s">
        <v>239</v>
      </c>
      <c r="J5" s="194" t="s">
        <v>240</v>
      </c>
      <c r="K5" s="195" t="s">
        <v>241</v>
      </c>
      <c r="L5" s="196" t="s">
        <v>239</v>
      </c>
      <c r="M5" s="197" t="s">
        <v>242</v>
      </c>
      <c r="N5" s="195" t="s">
        <v>243</v>
      </c>
      <c r="O5" s="196" t="s">
        <v>244</v>
      </c>
      <c r="P5" s="198" t="s">
        <v>245</v>
      </c>
    </row>
    <row r="6" spans="1:18" x14ac:dyDescent="0.4">
      <c r="A6" s="162" t="s">
        <v>313</v>
      </c>
      <c r="B6" s="162">
        <v>6183</v>
      </c>
      <c r="C6" s="199">
        <v>1730.4</v>
      </c>
      <c r="D6" s="200">
        <v>0</v>
      </c>
      <c r="E6" s="201" t="s">
        <v>246</v>
      </c>
      <c r="F6" s="199">
        <v>1895.4</v>
      </c>
      <c r="G6" s="161">
        <v>45446</v>
      </c>
      <c r="H6" s="202" t="s">
        <v>246</v>
      </c>
      <c r="I6" s="185">
        <f>IF(H6="","",IF(H6="JPY","",IF($H6="USD",4, IF(H6="EUR",7,IF(H6="CNY",47,IF(H6="HKD",34))))))</f>
        <v>4</v>
      </c>
      <c r="J6" s="203">
        <f>IF($H6="USD",IF(OR($I6="",$I6="-"),"",VLOOKUP($G6,為替!$A:$AX,$I6,FALSE))+$J$3,IF(OR($I6="",$I6="-"),"",VLOOKUP($G6,為替!$A:$AX,$I6,FALSE)))</f>
        <v>156.68</v>
      </c>
      <c r="K6" s="204">
        <f>IF($H6="JPY",$F6,IF($H6="","",$F6*$J6))</f>
        <v>296971.27200000006</v>
      </c>
      <c r="L6" s="188">
        <f>IF(H6="","",IF(H6="JPY","",IF($H6="USD",3, IF(H6="EUR",6,IF(H6="CNY",46,IF(H6="HKD",33))))))</f>
        <v>3</v>
      </c>
      <c r="M6" s="203">
        <f>IF($H6="USD",IF(OR($L6="",$L6="-"),"",VLOOKUP($G6,為替!$A:$AX,$L6,FALSE))+$K$3,IF(OR($L6="",$L6="-"),"",VLOOKUP($G6,為替!$A:$AX,$L6,FALSE)))</f>
        <v>157.68</v>
      </c>
      <c r="N6" s="204">
        <f>IF($E6="JPY",($C6+$D6),IF($E6="","",($C6+$D6)*$M6))</f>
        <v>272849.47200000001</v>
      </c>
      <c r="O6" s="205">
        <f t="shared" ref="O6:O69" si="0">IF(OR(K6="",N6=""),"",K6-N6)</f>
        <v>24121.800000000047</v>
      </c>
      <c r="P6" s="206">
        <f>IF(OR(K6="",O6=""),"",O6/K6)</f>
        <v>8.1226038591369343E-2</v>
      </c>
    </row>
    <row r="7" spans="1:18" x14ac:dyDescent="0.4">
      <c r="A7" s="162" t="s">
        <v>313</v>
      </c>
      <c r="B7" s="162">
        <v>6190</v>
      </c>
      <c r="C7" s="199">
        <v>34.4</v>
      </c>
      <c r="D7" s="200">
        <v>0</v>
      </c>
      <c r="E7" s="201" t="s">
        <v>246</v>
      </c>
      <c r="F7" s="199">
        <v>37.700000000000003</v>
      </c>
      <c r="G7" s="161">
        <v>45447</v>
      </c>
      <c r="H7" s="202" t="s">
        <v>246</v>
      </c>
      <c r="I7" s="185">
        <f t="shared" ref="I7:I70" si="1">IF(H7="","",IF(H7="JPY","",IF($H7="USD",4, IF(H7="EUR",7,IF(H7="CNY",47,IF(H7="HKD",34))))))</f>
        <v>4</v>
      </c>
      <c r="J7" s="203">
        <f>IF($H7="USD",IF(OR($I7="",$I7="-"),"",VLOOKUP($G7,為替!$A:$AX,$I7,FALSE))+$J$3,IF(OR($I7="",$I7="-"),"",VLOOKUP($G7,為替!$A:$AX,$I7,FALSE)))</f>
        <v>155.97</v>
      </c>
      <c r="K7" s="204">
        <f t="shared" ref="K7:K70" si="2">IF($H7="JPY",$F7,IF($H7="","",$F7*$J7))</f>
        <v>5880.0690000000004</v>
      </c>
      <c r="L7" s="188">
        <f t="shared" ref="L7:L70" si="3">IF(H7="","",IF(H7="JPY","",IF($H7="USD",3, IF(H7="EUR",6,IF(H7="CNY",46,IF(H7="HKD",33))))))</f>
        <v>3</v>
      </c>
      <c r="M7" s="203">
        <f>IF($H7="USD",IF(OR($L7="",$L7="-"),"",VLOOKUP($G7,為替!$A:$AX,$L7,FALSE))+$K$3,IF(OR($L7="",$L7="-"),"",VLOOKUP($G7,為替!$A:$AX,$L7,FALSE)))</f>
        <v>156.97</v>
      </c>
      <c r="N7" s="204">
        <f t="shared" ref="N7:N70" si="4">IF($E7="JPY",($C7+$D7),IF($E7="","",($C7+$D7)*$M7))</f>
        <v>5399.768</v>
      </c>
      <c r="O7" s="205">
        <f t="shared" si="0"/>
        <v>480.30100000000039</v>
      </c>
      <c r="P7" s="206">
        <f t="shared" ref="P7:P70" si="5">IF(OR(K7="",O7=""),"",O7/K7)</f>
        <v>8.1682885013764348E-2</v>
      </c>
      <c r="R7" s="207"/>
    </row>
    <row r="8" spans="1:18" x14ac:dyDescent="0.4">
      <c r="A8" s="162" t="s">
        <v>314</v>
      </c>
      <c r="B8" s="162">
        <v>6262</v>
      </c>
      <c r="C8" s="199">
        <v>40</v>
      </c>
      <c r="D8" s="200">
        <v>0</v>
      </c>
      <c r="E8" s="201" t="s">
        <v>246</v>
      </c>
      <c r="F8" s="199">
        <v>40</v>
      </c>
      <c r="G8" s="161">
        <v>45447</v>
      </c>
      <c r="H8" s="202" t="s">
        <v>246</v>
      </c>
      <c r="I8" s="185">
        <f t="shared" si="1"/>
        <v>4</v>
      </c>
      <c r="J8" s="203">
        <f>IF($H8="USD",IF(OR($I8="",$I8="-"),"",VLOOKUP($G8,為替!$A:$AX,$I8,FALSE))+$J$3,IF(OR($I8="",$I8="-"),"",VLOOKUP($G8,為替!$A:$AX,$I8,FALSE)))</f>
        <v>155.97</v>
      </c>
      <c r="K8" s="204">
        <f t="shared" si="2"/>
        <v>6238.8</v>
      </c>
      <c r="L8" s="188">
        <f t="shared" si="3"/>
        <v>3</v>
      </c>
      <c r="M8" s="203">
        <f>IF($H8="USD",IF(OR($L8="",$L8="-"),"",VLOOKUP($G8,為替!$A:$AX,$L8,FALSE))+$K$3,IF(OR($L8="",$L8="-"),"",VLOOKUP($G8,為替!$A:$AX,$L8,FALSE)))</f>
        <v>156.97</v>
      </c>
      <c r="N8" s="204">
        <f t="shared" si="4"/>
        <v>6278.8</v>
      </c>
      <c r="O8" s="205">
        <f t="shared" si="0"/>
        <v>-40</v>
      </c>
      <c r="P8" s="206">
        <f t="shared" si="5"/>
        <v>-6.4114893889850614E-3</v>
      </c>
    </row>
    <row r="9" spans="1:18" x14ac:dyDescent="0.4">
      <c r="A9" s="162" t="s">
        <v>314</v>
      </c>
      <c r="B9" s="162">
        <v>6191</v>
      </c>
      <c r="C9" s="199">
        <v>324</v>
      </c>
      <c r="D9" s="200">
        <v>0</v>
      </c>
      <c r="E9" s="201" t="s">
        <v>246</v>
      </c>
      <c r="F9" s="199">
        <v>343.5</v>
      </c>
      <c r="G9" s="161">
        <v>45447</v>
      </c>
      <c r="H9" s="202" t="s">
        <v>246</v>
      </c>
      <c r="I9" s="185">
        <f t="shared" si="1"/>
        <v>4</v>
      </c>
      <c r="J9" s="203">
        <f>IF($H9="USD",IF(OR($I9="",$I9="-"),"",VLOOKUP($G9,為替!$A:$AX,$I9,FALSE))+$J$3,IF(OR($I9="",$I9="-"),"",VLOOKUP($G9,為替!$A:$AX,$I9,FALSE)))</f>
        <v>155.97</v>
      </c>
      <c r="K9" s="204">
        <f t="shared" si="2"/>
        <v>53575.695</v>
      </c>
      <c r="L9" s="188">
        <f t="shared" si="3"/>
        <v>3</v>
      </c>
      <c r="M9" s="203">
        <f>IF($H9="USD",IF(OR($L9="",$L9="-"),"",VLOOKUP($G9,為替!$A:$AX,$L9,FALSE))+$K$3,IF(OR($L9="",$L9="-"),"",VLOOKUP($G9,為替!$A:$AX,$L9,FALSE)))</f>
        <v>156.97</v>
      </c>
      <c r="N9" s="204">
        <f t="shared" si="4"/>
        <v>50858.28</v>
      </c>
      <c r="O9" s="205">
        <f t="shared" si="0"/>
        <v>2717.4150000000009</v>
      </c>
      <c r="P9" s="206">
        <f t="shared" si="5"/>
        <v>5.0721040576328515E-2</v>
      </c>
    </row>
    <row r="10" spans="1:18" x14ac:dyDescent="0.4">
      <c r="A10" s="162" t="s">
        <v>314</v>
      </c>
      <c r="B10" s="162">
        <v>6200</v>
      </c>
      <c r="C10" s="199">
        <v>3858.65</v>
      </c>
      <c r="D10" s="200">
        <v>0</v>
      </c>
      <c r="E10" s="201" t="s">
        <v>246</v>
      </c>
      <c r="F10" s="199">
        <v>4089.33</v>
      </c>
      <c r="G10" s="161">
        <v>45449</v>
      </c>
      <c r="H10" s="202" t="s">
        <v>246</v>
      </c>
      <c r="I10" s="185">
        <f t="shared" si="1"/>
        <v>4</v>
      </c>
      <c r="J10" s="203">
        <f>IF($H10="USD",IF(OR($I10="",$I10="-"),"",VLOOKUP($G10,為替!$A:$AX,$I10,FALSE))+$J$3,IF(OR($I10="",$I10="-"),"",VLOOKUP($G10,為替!$A:$AX,$I10,FALSE)))</f>
        <v>155.28</v>
      </c>
      <c r="K10" s="204">
        <f t="shared" si="2"/>
        <v>634991.16240000003</v>
      </c>
      <c r="L10" s="188">
        <f t="shared" si="3"/>
        <v>3</v>
      </c>
      <c r="M10" s="203">
        <f>IF($H10="USD",IF(OR($L10="",$L10="-"),"",VLOOKUP($G10,為替!$A:$AX,$L10,FALSE))+$K$3,IF(OR($L10="",$L10="-"),"",VLOOKUP($G10,為替!$A:$AX,$L10,FALSE)))</f>
        <v>156.28</v>
      </c>
      <c r="N10" s="204">
        <f t="shared" si="4"/>
        <v>603029.82200000004</v>
      </c>
      <c r="O10" s="205">
        <f t="shared" si="0"/>
        <v>31961.340399999986</v>
      </c>
      <c r="P10" s="206">
        <f t="shared" si="5"/>
        <v>5.033352004333342E-2</v>
      </c>
    </row>
    <row r="11" spans="1:18" x14ac:dyDescent="0.4">
      <c r="A11" s="162" t="s">
        <v>313</v>
      </c>
      <c r="B11" s="162">
        <v>6204</v>
      </c>
      <c r="C11" s="199">
        <v>98.46</v>
      </c>
      <c r="D11" s="200">
        <v>0</v>
      </c>
      <c r="E11" s="201" t="s">
        <v>246</v>
      </c>
      <c r="F11" s="199">
        <v>104.66</v>
      </c>
      <c r="G11" s="161">
        <v>45450</v>
      </c>
      <c r="H11" s="202" t="s">
        <v>246</v>
      </c>
      <c r="I11" s="185">
        <f t="shared" si="1"/>
        <v>4</v>
      </c>
      <c r="J11" s="203">
        <f>IF($H11="USD",IF(OR($I11="",$I11="-"),"",VLOOKUP($G11,為替!$A:$AX,$I11,FALSE))+$J$3,IF(OR($I11="",$I11="-"),"",VLOOKUP($G11,為替!$A:$AX,$I11,FALSE)))</f>
        <v>155.31</v>
      </c>
      <c r="K11" s="204">
        <f t="shared" si="2"/>
        <v>16254.7446</v>
      </c>
      <c r="L11" s="188">
        <f t="shared" si="3"/>
        <v>3</v>
      </c>
      <c r="M11" s="203">
        <f>IF($H11="USD",IF(OR($L11="",$L11="-"),"",VLOOKUP($G11,為替!$A:$AX,$L11,FALSE))+$K$3,IF(OR($L11="",$L11="-"),"",VLOOKUP($G11,為替!$A:$AX,$L11,FALSE)))</f>
        <v>156.31</v>
      </c>
      <c r="N11" s="204">
        <f t="shared" si="4"/>
        <v>15390.282599999999</v>
      </c>
      <c r="O11" s="205">
        <f t="shared" si="0"/>
        <v>864.46200000000135</v>
      </c>
      <c r="P11" s="206">
        <f t="shared" si="5"/>
        <v>5.3182133664530257E-2</v>
      </c>
    </row>
    <row r="12" spans="1:18" x14ac:dyDescent="0.4">
      <c r="A12" s="162" t="s">
        <v>314</v>
      </c>
      <c r="B12" s="162">
        <v>6203</v>
      </c>
      <c r="C12" s="199">
        <v>5870.45</v>
      </c>
      <c r="D12" s="200">
        <v>0</v>
      </c>
      <c r="E12" s="201" t="s">
        <v>246</v>
      </c>
      <c r="F12" s="199">
        <v>6220.29</v>
      </c>
      <c r="G12" s="161">
        <v>45450</v>
      </c>
      <c r="H12" s="202" t="s">
        <v>246</v>
      </c>
      <c r="I12" s="185">
        <f t="shared" si="1"/>
        <v>4</v>
      </c>
      <c r="J12" s="203">
        <f>IF($H12="USD",IF(OR($I12="",$I12="-"),"",VLOOKUP($G12,為替!$A:$AX,$I12,FALSE))+$J$3,IF(OR($I12="",$I12="-"),"",VLOOKUP($G12,為替!$A:$AX,$I12,FALSE)))</f>
        <v>155.31</v>
      </c>
      <c r="K12" s="204">
        <f t="shared" si="2"/>
        <v>966073.23990000004</v>
      </c>
      <c r="L12" s="188">
        <f t="shared" si="3"/>
        <v>3</v>
      </c>
      <c r="M12" s="203">
        <f>IF($H12="USD",IF(OR($L12="",$L12="-"),"",VLOOKUP($G12,為替!$A:$AX,$L12,FALSE))+$K$3,IF(OR($L12="",$L12="-"),"",VLOOKUP($G12,為替!$A:$AX,$L12,FALSE)))</f>
        <v>156.31</v>
      </c>
      <c r="N12" s="204">
        <f t="shared" si="4"/>
        <v>917610.03949999996</v>
      </c>
      <c r="O12" s="205">
        <f t="shared" si="0"/>
        <v>48463.200400000089</v>
      </c>
      <c r="P12" s="206">
        <f t="shared" si="5"/>
        <v>5.0165141107745205E-2</v>
      </c>
    </row>
    <row r="13" spans="1:18" x14ac:dyDescent="0.4">
      <c r="A13" s="162" t="s">
        <v>314</v>
      </c>
      <c r="B13" s="162">
        <v>6208</v>
      </c>
      <c r="C13" s="199">
        <v>542.16</v>
      </c>
      <c r="D13" s="200">
        <v>0</v>
      </c>
      <c r="E13" s="201" t="s">
        <v>246</v>
      </c>
      <c r="F13" s="199">
        <v>574.44000000000005</v>
      </c>
      <c r="G13" s="161">
        <v>45453</v>
      </c>
      <c r="H13" s="202" t="s">
        <v>246</v>
      </c>
      <c r="I13" s="185">
        <f t="shared" si="1"/>
        <v>4</v>
      </c>
      <c r="J13" s="203">
        <f>IF($H13="USD",IF(OR($I13="",$I13="-"),"",VLOOKUP($G13,為替!$A:$AX,$I13,FALSE))+$J$3,IF(OR($I13="",$I13="-"),"",VLOOKUP($G13,為替!$A:$AX,$I13,FALSE)))</f>
        <v>156.51</v>
      </c>
      <c r="K13" s="204">
        <f t="shared" si="2"/>
        <v>89905.604399999997</v>
      </c>
      <c r="L13" s="188">
        <f t="shared" si="3"/>
        <v>3</v>
      </c>
      <c r="M13" s="203">
        <f>IF($H13="USD",IF(OR($L13="",$L13="-"),"",VLOOKUP($G13,為替!$A:$AX,$L13,FALSE))+$K$3,IF(OR($L13="",$L13="-"),"",VLOOKUP($G13,為替!$A:$AX,$L13,FALSE)))</f>
        <v>157.51</v>
      </c>
      <c r="N13" s="204">
        <f t="shared" si="4"/>
        <v>85395.621599999984</v>
      </c>
      <c r="O13" s="205">
        <f t="shared" si="0"/>
        <v>4509.9828000000125</v>
      </c>
      <c r="P13" s="206">
        <f t="shared" si="5"/>
        <v>5.016353352049778E-2</v>
      </c>
    </row>
    <row r="14" spans="1:18" x14ac:dyDescent="0.4">
      <c r="A14" s="162" t="s">
        <v>313</v>
      </c>
      <c r="B14" s="162">
        <v>6216</v>
      </c>
      <c r="C14" s="199">
        <v>2864.99</v>
      </c>
      <c r="D14" s="200">
        <v>0</v>
      </c>
      <c r="E14" s="201" t="s">
        <v>246</v>
      </c>
      <c r="F14" s="199">
        <v>3139.19</v>
      </c>
      <c r="G14" s="161">
        <v>45455</v>
      </c>
      <c r="H14" s="202" t="s">
        <v>246</v>
      </c>
      <c r="I14" s="185">
        <f t="shared" si="1"/>
        <v>4</v>
      </c>
      <c r="J14" s="203">
        <f>IF($H14="USD",IF(OR($I14="",$I14="-"),"",VLOOKUP($G14,為替!$A:$AX,$I14,FALSE))+$J$3,IF(OR($I14="",$I14="-"),"",VLOOKUP($G14,為替!$A:$AX,$I14,FALSE)))</f>
        <v>156.71</v>
      </c>
      <c r="K14" s="204">
        <f t="shared" si="2"/>
        <v>491942.46490000002</v>
      </c>
      <c r="L14" s="188">
        <f t="shared" si="3"/>
        <v>3</v>
      </c>
      <c r="M14" s="203">
        <f>IF($H14="USD",IF(OR($L14="",$L14="-"),"",VLOOKUP($G14,為替!$A:$AX,$L14,FALSE))+$K$3,IF(OR($L14="",$L14="-"),"",VLOOKUP($G14,為替!$A:$AX,$L14,FALSE)))</f>
        <v>157.71</v>
      </c>
      <c r="N14" s="204">
        <f t="shared" si="4"/>
        <v>451837.57289999997</v>
      </c>
      <c r="O14" s="205">
        <f t="shared" si="0"/>
        <v>40104.892000000051</v>
      </c>
      <c r="P14" s="206">
        <f t="shared" si="5"/>
        <v>8.1523541595768523E-2</v>
      </c>
    </row>
    <row r="15" spans="1:18" x14ac:dyDescent="0.4">
      <c r="A15" s="162" t="s">
        <v>313</v>
      </c>
      <c r="B15" s="162">
        <v>6217</v>
      </c>
      <c r="C15" s="199">
        <v>3354.62</v>
      </c>
      <c r="D15" s="200">
        <v>0</v>
      </c>
      <c r="E15" s="201" t="s">
        <v>246</v>
      </c>
      <c r="F15" s="199">
        <v>3674.11</v>
      </c>
      <c r="G15" s="161">
        <v>45455</v>
      </c>
      <c r="H15" s="202" t="s">
        <v>246</v>
      </c>
      <c r="I15" s="185">
        <f t="shared" si="1"/>
        <v>4</v>
      </c>
      <c r="J15" s="203">
        <f>IF($H15="USD",IF(OR($I15="",$I15="-"),"",VLOOKUP($G15,為替!$A:$AX,$I15,FALSE))+$J$3,IF(OR($I15="",$I15="-"),"",VLOOKUP($G15,為替!$A:$AX,$I15,FALSE)))</f>
        <v>156.71</v>
      </c>
      <c r="K15" s="204">
        <f t="shared" si="2"/>
        <v>575769.7781</v>
      </c>
      <c r="L15" s="188">
        <f t="shared" si="3"/>
        <v>3</v>
      </c>
      <c r="M15" s="203">
        <f>IF($H15="USD",IF(OR($L15="",$L15="-"),"",VLOOKUP($G15,為替!$A:$AX,$L15,FALSE))+$K$3,IF(OR($L15="",$L15="-"),"",VLOOKUP($G15,為替!$A:$AX,$L15,FALSE)))</f>
        <v>157.71</v>
      </c>
      <c r="N15" s="204">
        <f t="shared" si="4"/>
        <v>529057.1202</v>
      </c>
      <c r="O15" s="205">
        <f t="shared" si="0"/>
        <v>46712.657899999991</v>
      </c>
      <c r="P15" s="206">
        <f t="shared" si="5"/>
        <v>8.1130791640625005E-2</v>
      </c>
    </row>
    <row r="16" spans="1:18" x14ac:dyDescent="0.4">
      <c r="A16" s="162" t="s">
        <v>313</v>
      </c>
      <c r="B16" s="162">
        <v>6218</v>
      </c>
      <c r="C16" s="199">
        <v>6832.39</v>
      </c>
      <c r="D16" s="200">
        <v>0</v>
      </c>
      <c r="E16" s="201" t="s">
        <v>246</v>
      </c>
      <c r="F16" s="199">
        <v>7483.1</v>
      </c>
      <c r="G16" s="161">
        <v>45455</v>
      </c>
      <c r="H16" s="202" t="s">
        <v>246</v>
      </c>
      <c r="I16" s="185">
        <f t="shared" si="1"/>
        <v>4</v>
      </c>
      <c r="J16" s="203">
        <f>IF($H16="USD",IF(OR($I16="",$I16="-"),"",VLOOKUP($G16,為替!$A:$AX,$I16,FALSE))+$J$3,IF(OR($I16="",$I16="-"),"",VLOOKUP($G16,為替!$A:$AX,$I16,FALSE)))</f>
        <v>156.71</v>
      </c>
      <c r="K16" s="204">
        <f t="shared" si="2"/>
        <v>1172676.601</v>
      </c>
      <c r="L16" s="188">
        <f t="shared" si="3"/>
        <v>3</v>
      </c>
      <c r="M16" s="203">
        <f>IF($H16="USD",IF(OR($L16="",$L16="-"),"",VLOOKUP($G16,為替!$A:$AX,$L16,FALSE))+$K$3,IF(OR($L16="",$L16="-"),"",VLOOKUP($G16,為替!$A:$AX,$L16,FALSE)))</f>
        <v>157.71</v>
      </c>
      <c r="N16" s="204">
        <f t="shared" si="4"/>
        <v>1077536.2269000001</v>
      </c>
      <c r="O16" s="205">
        <f t="shared" si="0"/>
        <v>95140.374099999899</v>
      </c>
      <c r="P16" s="206">
        <f t="shared" si="5"/>
        <v>8.1130956325784057E-2</v>
      </c>
    </row>
    <row r="17" spans="1:16" x14ac:dyDescent="0.4">
      <c r="A17" s="162" t="s">
        <v>313</v>
      </c>
      <c r="B17" s="162">
        <v>6219</v>
      </c>
      <c r="C17" s="199">
        <v>9112.82</v>
      </c>
      <c r="D17" s="200">
        <v>0</v>
      </c>
      <c r="E17" s="201" t="s">
        <v>246</v>
      </c>
      <c r="F17" s="199">
        <v>9980.7099999999991</v>
      </c>
      <c r="G17" s="161">
        <v>45455</v>
      </c>
      <c r="H17" s="202" t="s">
        <v>246</v>
      </c>
      <c r="I17" s="185">
        <f t="shared" si="1"/>
        <v>4</v>
      </c>
      <c r="J17" s="203">
        <f>IF($H17="USD",IF(OR($I17="",$I17="-"),"",VLOOKUP($G17,為替!$A:$AX,$I17,FALSE))+$J$3,IF(OR($I17="",$I17="-"),"",VLOOKUP($G17,為替!$A:$AX,$I17,FALSE)))</f>
        <v>156.71</v>
      </c>
      <c r="K17" s="204">
        <f t="shared" si="2"/>
        <v>1564077.0640999998</v>
      </c>
      <c r="L17" s="188">
        <f t="shared" si="3"/>
        <v>3</v>
      </c>
      <c r="M17" s="203">
        <f>IF($H17="USD",IF(OR($L17="",$L17="-"),"",VLOOKUP($G17,為替!$A:$AX,$L17,FALSE))+$K$3,IF(OR($L17="",$L17="-"),"",VLOOKUP($G17,為替!$A:$AX,$L17,FALSE)))</f>
        <v>157.71</v>
      </c>
      <c r="N17" s="204">
        <f t="shared" si="4"/>
        <v>1437182.8422000001</v>
      </c>
      <c r="O17" s="205">
        <f t="shared" si="0"/>
        <v>126894.22189999977</v>
      </c>
      <c r="P17" s="206">
        <f t="shared" si="5"/>
        <v>8.1130415382068888E-2</v>
      </c>
    </row>
    <row r="18" spans="1:16" x14ac:dyDescent="0.4">
      <c r="A18" s="162" t="s">
        <v>313</v>
      </c>
      <c r="B18" s="162">
        <v>6220</v>
      </c>
      <c r="C18" s="199">
        <v>5308.8</v>
      </c>
      <c r="D18" s="200">
        <v>0</v>
      </c>
      <c r="E18" s="201" t="s">
        <v>246</v>
      </c>
      <c r="F18" s="199">
        <v>5814.4</v>
      </c>
      <c r="G18" s="161">
        <v>45455</v>
      </c>
      <c r="H18" s="202" t="s">
        <v>246</v>
      </c>
      <c r="I18" s="185">
        <f t="shared" si="1"/>
        <v>4</v>
      </c>
      <c r="J18" s="203">
        <f>IF($H18="USD",IF(OR($I18="",$I18="-"),"",VLOOKUP($G18,為替!$A:$AX,$I18,FALSE))+$J$3,IF(OR($I18="",$I18="-"),"",VLOOKUP($G18,為替!$A:$AX,$I18,FALSE)))</f>
        <v>156.71</v>
      </c>
      <c r="K18" s="204">
        <f t="shared" si="2"/>
        <v>911174.62399999995</v>
      </c>
      <c r="L18" s="188">
        <f t="shared" si="3"/>
        <v>3</v>
      </c>
      <c r="M18" s="203">
        <f>IF($H18="USD",IF(OR($L18="",$L18="-"),"",VLOOKUP($G18,為替!$A:$AX,$L18,FALSE))+$K$3,IF(OR($L18="",$L18="-"),"",VLOOKUP($G18,為替!$A:$AX,$L18,FALSE)))</f>
        <v>157.71</v>
      </c>
      <c r="N18" s="204">
        <f t="shared" si="4"/>
        <v>837250.84800000011</v>
      </c>
      <c r="O18" s="205">
        <f t="shared" si="0"/>
        <v>73923.775999999838</v>
      </c>
      <c r="P18" s="206">
        <f t="shared" si="5"/>
        <v>8.1130196180704703E-2</v>
      </c>
    </row>
    <row r="19" spans="1:16" x14ac:dyDescent="0.4">
      <c r="A19" s="162" t="s">
        <v>313</v>
      </c>
      <c r="B19" s="162">
        <v>6221</v>
      </c>
      <c r="C19" s="199">
        <v>4233.6000000000004</v>
      </c>
      <c r="D19" s="200">
        <v>0</v>
      </c>
      <c r="E19" s="201" t="s">
        <v>246</v>
      </c>
      <c r="F19" s="199">
        <v>4636.8</v>
      </c>
      <c r="G19" s="161">
        <v>45455</v>
      </c>
      <c r="H19" s="202" t="s">
        <v>246</v>
      </c>
      <c r="I19" s="185">
        <f t="shared" si="1"/>
        <v>4</v>
      </c>
      <c r="J19" s="203">
        <f>IF($H19="USD",IF(OR($I19="",$I19="-"),"",VLOOKUP($G19,為替!$A:$AX,$I19,FALSE))+$J$3,IF(OR($I19="",$I19="-"),"",VLOOKUP($G19,為替!$A:$AX,$I19,FALSE)))</f>
        <v>156.71</v>
      </c>
      <c r="K19" s="204">
        <f t="shared" si="2"/>
        <v>726632.92800000007</v>
      </c>
      <c r="L19" s="188">
        <f t="shared" si="3"/>
        <v>3</v>
      </c>
      <c r="M19" s="203">
        <f>IF($H19="USD",IF(OR($L19="",$L19="-"),"",VLOOKUP($G19,為替!$A:$AX,$L19,FALSE))+$K$3,IF(OR($L19="",$L19="-"),"",VLOOKUP($G19,為替!$A:$AX,$L19,FALSE)))</f>
        <v>157.71</v>
      </c>
      <c r="N19" s="204">
        <f t="shared" si="4"/>
        <v>667681.0560000001</v>
      </c>
      <c r="O19" s="205">
        <f t="shared" si="0"/>
        <v>58951.871999999974</v>
      </c>
      <c r="P19" s="206">
        <f t="shared" si="5"/>
        <v>8.1130196180704828E-2</v>
      </c>
    </row>
    <row r="20" spans="1:16" x14ac:dyDescent="0.4">
      <c r="A20" s="162" t="s">
        <v>313</v>
      </c>
      <c r="B20" s="162">
        <v>6222</v>
      </c>
      <c r="C20" s="199">
        <v>1028.1600000000001</v>
      </c>
      <c r="D20" s="200">
        <v>0</v>
      </c>
      <c r="E20" s="201" t="s">
        <v>246</v>
      </c>
      <c r="F20" s="199">
        <v>1126.08</v>
      </c>
      <c r="G20" s="161">
        <v>45455</v>
      </c>
      <c r="H20" s="202" t="s">
        <v>246</v>
      </c>
      <c r="I20" s="185">
        <f t="shared" si="1"/>
        <v>4</v>
      </c>
      <c r="J20" s="203">
        <f>IF($H20="USD",IF(OR($I20="",$I20="-"),"",VLOOKUP($G20,為替!$A:$AX,$I20,FALSE))+$J$3,IF(OR($I20="",$I20="-"),"",VLOOKUP($G20,為替!$A:$AX,$I20,FALSE)))</f>
        <v>156.71</v>
      </c>
      <c r="K20" s="204">
        <f t="shared" si="2"/>
        <v>176467.99679999999</v>
      </c>
      <c r="L20" s="188">
        <f t="shared" si="3"/>
        <v>3</v>
      </c>
      <c r="M20" s="203">
        <f>IF($H20="USD",IF(OR($L20="",$L20="-"),"",VLOOKUP($G20,為替!$A:$AX,$L20,FALSE))+$K$3,IF(OR($L20="",$L20="-"),"",VLOOKUP($G20,為替!$A:$AX,$L20,FALSE)))</f>
        <v>157.71</v>
      </c>
      <c r="N20" s="204">
        <f t="shared" si="4"/>
        <v>162151.11360000001</v>
      </c>
      <c r="O20" s="205">
        <f t="shared" si="0"/>
        <v>14316.883199999982</v>
      </c>
      <c r="P20" s="206">
        <f t="shared" si="5"/>
        <v>8.1130196180704772E-2</v>
      </c>
    </row>
    <row r="21" spans="1:16" x14ac:dyDescent="0.4">
      <c r="A21" s="162" t="s">
        <v>313</v>
      </c>
      <c r="B21" s="162">
        <v>6223</v>
      </c>
      <c r="C21" s="199">
        <v>895.55</v>
      </c>
      <c r="D21" s="200">
        <v>0</v>
      </c>
      <c r="E21" s="201" t="s">
        <v>246</v>
      </c>
      <c r="F21" s="199">
        <v>980.89</v>
      </c>
      <c r="G21" s="161">
        <v>45455</v>
      </c>
      <c r="H21" s="202" t="s">
        <v>246</v>
      </c>
      <c r="I21" s="185">
        <f t="shared" si="1"/>
        <v>4</v>
      </c>
      <c r="J21" s="203">
        <f>IF($H21="USD",IF(OR($I21="",$I21="-"),"",VLOOKUP($G21,為替!$A:$AX,$I21,FALSE))+$J$3,IF(OR($I21="",$I21="-"),"",VLOOKUP($G21,為替!$A:$AX,$I21,FALSE)))</f>
        <v>156.71</v>
      </c>
      <c r="K21" s="204">
        <f t="shared" si="2"/>
        <v>153715.27189999999</v>
      </c>
      <c r="L21" s="188">
        <f t="shared" si="3"/>
        <v>3</v>
      </c>
      <c r="M21" s="203">
        <f>IF($H21="USD",IF(OR($L21="",$L21="-"),"",VLOOKUP($G21,為替!$A:$AX,$L21,FALSE))+$K$3,IF(OR($L21="",$L21="-"),"",VLOOKUP($G21,為替!$A:$AX,$L21,FALSE)))</f>
        <v>157.71</v>
      </c>
      <c r="N21" s="204">
        <f t="shared" si="4"/>
        <v>141237.1905</v>
      </c>
      <c r="O21" s="205">
        <f t="shared" si="0"/>
        <v>12478.081399999995</v>
      </c>
      <c r="P21" s="206">
        <f t="shared" si="5"/>
        <v>8.1176588674400904E-2</v>
      </c>
    </row>
    <row r="22" spans="1:16" x14ac:dyDescent="0.4">
      <c r="A22" s="162" t="s">
        <v>313</v>
      </c>
      <c r="B22" s="162">
        <v>6224</v>
      </c>
      <c r="C22" s="199">
        <v>1070.1199999999999</v>
      </c>
      <c r="D22" s="200">
        <v>0</v>
      </c>
      <c r="E22" s="201" t="s">
        <v>246</v>
      </c>
      <c r="F22" s="199">
        <v>1172.1300000000001</v>
      </c>
      <c r="G22" s="161">
        <v>45455</v>
      </c>
      <c r="H22" s="202" t="s">
        <v>246</v>
      </c>
      <c r="I22" s="185">
        <f t="shared" si="1"/>
        <v>4</v>
      </c>
      <c r="J22" s="203">
        <f>IF($H22="USD",IF(OR($I22="",$I22="-"),"",VLOOKUP($G22,為替!$A:$AX,$I22,FALSE))+$J$3,IF(OR($I22="",$I22="-"),"",VLOOKUP($G22,為替!$A:$AX,$I22,FALSE)))</f>
        <v>156.71</v>
      </c>
      <c r="K22" s="204">
        <f t="shared" si="2"/>
        <v>183684.49230000001</v>
      </c>
      <c r="L22" s="188">
        <f t="shared" si="3"/>
        <v>3</v>
      </c>
      <c r="M22" s="203">
        <f>IF($H22="USD",IF(OR($L22="",$L22="-"),"",VLOOKUP($G22,為替!$A:$AX,$L22,FALSE))+$K$3,IF(OR($L22="",$L22="-"),"",VLOOKUP($G22,為替!$A:$AX,$L22,FALSE)))</f>
        <v>157.71</v>
      </c>
      <c r="N22" s="204">
        <f t="shared" si="4"/>
        <v>168768.62519999998</v>
      </c>
      <c r="O22" s="205">
        <f t="shared" si="0"/>
        <v>14915.867100000032</v>
      </c>
      <c r="P22" s="206">
        <f t="shared" si="5"/>
        <v>8.1203736435403101E-2</v>
      </c>
    </row>
    <row r="23" spans="1:16" x14ac:dyDescent="0.4">
      <c r="A23" s="162" t="s">
        <v>314</v>
      </c>
      <c r="B23" s="162">
        <v>6215</v>
      </c>
      <c r="C23" s="199">
        <v>242.25</v>
      </c>
      <c r="D23" s="200">
        <v>0</v>
      </c>
      <c r="E23" s="201" t="s">
        <v>246</v>
      </c>
      <c r="F23" s="199">
        <v>256.7</v>
      </c>
      <c r="G23" s="161">
        <v>45455</v>
      </c>
      <c r="H23" s="202" t="s">
        <v>246</v>
      </c>
      <c r="I23" s="185">
        <f t="shared" si="1"/>
        <v>4</v>
      </c>
      <c r="J23" s="203">
        <f>IF($H23="USD",IF(OR($I23="",$I23="-"),"",VLOOKUP($G23,為替!$A:$AX,$I23,FALSE))+$J$3,IF(OR($I23="",$I23="-"),"",VLOOKUP($G23,為替!$A:$AX,$I23,FALSE)))</f>
        <v>156.71</v>
      </c>
      <c r="K23" s="204">
        <f t="shared" si="2"/>
        <v>40227.457000000002</v>
      </c>
      <c r="L23" s="188">
        <f t="shared" si="3"/>
        <v>3</v>
      </c>
      <c r="M23" s="203">
        <f>IF($H23="USD",IF(OR($L23="",$L23="-"),"",VLOOKUP($G23,為替!$A:$AX,$L23,FALSE))+$K$3,IF(OR($L23="",$L23="-"),"",VLOOKUP($G23,為替!$A:$AX,$L23,FALSE)))</f>
        <v>157.71</v>
      </c>
      <c r="N23" s="204">
        <f t="shared" si="4"/>
        <v>38205.247500000005</v>
      </c>
      <c r="O23" s="205">
        <f t="shared" si="0"/>
        <v>2022.2094999999972</v>
      </c>
      <c r="P23" s="206">
        <f t="shared" si="5"/>
        <v>5.0269384415723747E-2</v>
      </c>
    </row>
    <row r="24" spans="1:16" x14ac:dyDescent="0.4">
      <c r="A24" s="162" t="s">
        <v>314</v>
      </c>
      <c r="B24" s="162">
        <v>6227</v>
      </c>
      <c r="C24" s="199">
        <v>38.5</v>
      </c>
      <c r="D24" s="200">
        <v>0</v>
      </c>
      <c r="E24" s="201" t="s">
        <v>246</v>
      </c>
      <c r="F24" s="199">
        <v>40.200000000000003</v>
      </c>
      <c r="G24" s="161">
        <v>45455</v>
      </c>
      <c r="H24" s="202" t="s">
        <v>246</v>
      </c>
      <c r="I24" s="185">
        <f t="shared" si="1"/>
        <v>4</v>
      </c>
      <c r="J24" s="203">
        <f>IF($H24="USD",IF(OR($I24="",$I24="-"),"",VLOOKUP($G24,為替!$A:$AX,$I24,FALSE))+$J$3,IF(OR($I24="",$I24="-"),"",VLOOKUP($G24,為替!$A:$AX,$I24,FALSE)))</f>
        <v>156.71</v>
      </c>
      <c r="K24" s="204">
        <f t="shared" si="2"/>
        <v>6299.7420000000011</v>
      </c>
      <c r="L24" s="188">
        <f t="shared" si="3"/>
        <v>3</v>
      </c>
      <c r="M24" s="203">
        <f>IF($H24="USD",IF(OR($L24="",$L24="-"),"",VLOOKUP($G24,為替!$A:$AX,$L24,FALSE))+$K$3,IF(OR($L24="",$L24="-"),"",VLOOKUP($G24,為替!$A:$AX,$L24,FALSE)))</f>
        <v>157.71</v>
      </c>
      <c r="N24" s="204">
        <f t="shared" si="4"/>
        <v>6071.835</v>
      </c>
      <c r="O24" s="205">
        <f t="shared" si="0"/>
        <v>227.90700000000106</v>
      </c>
      <c r="P24" s="206">
        <f t="shared" si="5"/>
        <v>3.6177195828019787E-2</v>
      </c>
    </row>
    <row r="25" spans="1:16" x14ac:dyDescent="0.4">
      <c r="A25" s="162" t="s">
        <v>314</v>
      </c>
      <c r="B25" s="162">
        <v>6228</v>
      </c>
      <c r="C25" s="199">
        <v>163.88</v>
      </c>
      <c r="D25" s="200">
        <v>0</v>
      </c>
      <c r="E25" s="201" t="s">
        <v>246</v>
      </c>
      <c r="F25" s="199">
        <v>173.85</v>
      </c>
      <c r="G25" s="161">
        <v>45455</v>
      </c>
      <c r="H25" s="202" t="s">
        <v>246</v>
      </c>
      <c r="I25" s="185">
        <f t="shared" si="1"/>
        <v>4</v>
      </c>
      <c r="J25" s="203">
        <f>IF($H25="USD",IF(OR($I25="",$I25="-"),"",VLOOKUP($G25,為替!$A:$AX,$I25,FALSE))+$J$3,IF(OR($I25="",$I25="-"),"",VLOOKUP($G25,為替!$A:$AX,$I25,FALSE)))</f>
        <v>156.71</v>
      </c>
      <c r="K25" s="204">
        <f t="shared" si="2"/>
        <v>27244.033500000001</v>
      </c>
      <c r="L25" s="188">
        <f t="shared" si="3"/>
        <v>3</v>
      </c>
      <c r="M25" s="203">
        <f>IF($H25="USD",IF(OR($L25="",$L25="-"),"",VLOOKUP($G25,為替!$A:$AX,$L25,FALSE))+$K$3,IF(OR($L25="",$L25="-"),"",VLOOKUP($G25,為替!$A:$AX,$L25,FALSE)))</f>
        <v>157.71</v>
      </c>
      <c r="N25" s="204">
        <f t="shared" si="4"/>
        <v>25845.514800000001</v>
      </c>
      <c r="O25" s="205">
        <f t="shared" si="0"/>
        <v>1398.5187000000005</v>
      </c>
      <c r="P25" s="206">
        <f t="shared" si="5"/>
        <v>5.133302673409209E-2</v>
      </c>
    </row>
    <row r="26" spans="1:16" x14ac:dyDescent="0.4">
      <c r="A26" s="162" t="s">
        <v>313</v>
      </c>
      <c r="B26" s="162">
        <v>6213</v>
      </c>
      <c r="C26" s="199">
        <v>686.85</v>
      </c>
      <c r="D26" s="200">
        <v>0</v>
      </c>
      <c r="E26" s="201" t="s">
        <v>246</v>
      </c>
      <c r="F26" s="199">
        <v>754.42</v>
      </c>
      <c r="G26" s="161">
        <v>45457</v>
      </c>
      <c r="H26" s="202" t="s">
        <v>246</v>
      </c>
      <c r="I26" s="185">
        <f t="shared" si="1"/>
        <v>4</v>
      </c>
      <c r="J26" s="203">
        <f>IF($H26="USD",IF(OR($I26="",$I26="-"),"",VLOOKUP($G26,為替!$A:$AX,$I26,FALSE))+$J$3,IF(OR($I26="",$I26="-"),"",VLOOKUP($G26,為替!$A:$AX,$I26,FALSE)))</f>
        <v>156.81</v>
      </c>
      <c r="K26" s="204">
        <f t="shared" si="2"/>
        <v>118300.6002</v>
      </c>
      <c r="L26" s="188">
        <f t="shared" si="3"/>
        <v>3</v>
      </c>
      <c r="M26" s="203">
        <f>IF($H26="USD",IF(OR($L26="",$L26="-"),"",VLOOKUP($G26,為替!$A:$AX,$L26,FALSE))+$K$3,IF(OR($L26="",$L26="-"),"",VLOOKUP($G26,為替!$A:$AX,$L26,FALSE)))</f>
        <v>157.81</v>
      </c>
      <c r="N26" s="204">
        <f t="shared" si="4"/>
        <v>108391.7985</v>
      </c>
      <c r="O26" s="205">
        <f t="shared" si="0"/>
        <v>9908.8016999999963</v>
      </c>
      <c r="P26" s="206">
        <f t="shared" si="5"/>
        <v>8.375952178812357E-2</v>
      </c>
    </row>
    <row r="27" spans="1:16" x14ac:dyDescent="0.4">
      <c r="A27" s="162" t="s">
        <v>314</v>
      </c>
      <c r="B27" s="162">
        <v>6243</v>
      </c>
      <c r="C27" s="199">
        <v>275.58999999999997</v>
      </c>
      <c r="D27" s="200">
        <v>0</v>
      </c>
      <c r="E27" s="201" t="s">
        <v>246</v>
      </c>
      <c r="F27" s="199">
        <v>292.01</v>
      </c>
      <c r="G27" s="161">
        <v>45467</v>
      </c>
      <c r="H27" s="202" t="s">
        <v>246</v>
      </c>
      <c r="I27" s="185">
        <f t="shared" si="1"/>
        <v>4</v>
      </c>
      <c r="J27" s="203">
        <f>IF($H27="USD",IF(OR($I27="",$I27="-"),"",VLOOKUP($G27,為替!$A:$AX,$I27,FALSE))+$J$3,IF(OR($I27="",$I27="-"),"",VLOOKUP($G27,為替!$A:$AX,$I27,FALSE)))</f>
        <v>159.38</v>
      </c>
      <c r="K27" s="204">
        <f t="shared" si="2"/>
        <v>46540.553799999994</v>
      </c>
      <c r="L27" s="188">
        <f t="shared" si="3"/>
        <v>3</v>
      </c>
      <c r="M27" s="203">
        <f>IF($H27="USD",IF(OR($L27="",$L27="-"),"",VLOOKUP($G27,為替!$A:$AX,$L27,FALSE))+$K$3,IF(OR($L27="",$L27="-"),"",VLOOKUP($G27,為替!$A:$AX,$L27,FALSE)))</f>
        <v>160.38</v>
      </c>
      <c r="N27" s="204">
        <f t="shared" si="4"/>
        <v>44199.124199999991</v>
      </c>
      <c r="O27" s="205">
        <f t="shared" si="0"/>
        <v>2341.4296000000031</v>
      </c>
      <c r="P27" s="206">
        <f t="shared" si="5"/>
        <v>5.030944861683196E-2</v>
      </c>
    </row>
    <row r="28" spans="1:16" x14ac:dyDescent="0.4">
      <c r="A28" s="162" t="s">
        <v>314</v>
      </c>
      <c r="B28" s="162">
        <v>6244</v>
      </c>
      <c r="C28" s="199">
        <v>4650.96</v>
      </c>
      <c r="D28" s="200">
        <v>0</v>
      </c>
      <c r="E28" s="201" t="s">
        <v>246</v>
      </c>
      <c r="F28" s="199">
        <v>4927.1099999999997</v>
      </c>
      <c r="G28" s="161">
        <v>45467</v>
      </c>
      <c r="H28" s="202" t="s">
        <v>246</v>
      </c>
      <c r="I28" s="185">
        <f t="shared" si="1"/>
        <v>4</v>
      </c>
      <c r="J28" s="203">
        <f>IF($H28="USD",IF(OR($I28="",$I28="-"),"",VLOOKUP($G28,為替!$A:$AX,$I28,FALSE))+$J$3,IF(OR($I28="",$I28="-"),"",VLOOKUP($G28,為替!$A:$AX,$I28,FALSE)))</f>
        <v>159.38</v>
      </c>
      <c r="K28" s="204">
        <f t="shared" si="2"/>
        <v>785282.79179999989</v>
      </c>
      <c r="L28" s="188">
        <f t="shared" si="3"/>
        <v>3</v>
      </c>
      <c r="M28" s="203">
        <f>IF($H28="USD",IF(OR($L28="",$L28="-"),"",VLOOKUP($G28,為替!$A:$AX,$L28,FALSE))+$K$3,IF(OR($L28="",$L28="-"),"",VLOOKUP($G28,為替!$A:$AX,$L28,FALSE)))</f>
        <v>160.38</v>
      </c>
      <c r="N28" s="204">
        <f t="shared" si="4"/>
        <v>745920.96479999996</v>
      </c>
      <c r="O28" s="205">
        <f t="shared" si="0"/>
        <v>39361.826999999932</v>
      </c>
      <c r="P28" s="206">
        <f t="shared" si="5"/>
        <v>5.0124397746926327E-2</v>
      </c>
    </row>
    <row r="29" spans="1:16" x14ac:dyDescent="0.4">
      <c r="A29" s="162" t="s">
        <v>313</v>
      </c>
      <c r="B29" s="162">
        <v>6209</v>
      </c>
      <c r="C29" s="199">
        <v>1009.91</v>
      </c>
      <c r="D29" s="200">
        <v>0</v>
      </c>
      <c r="E29" s="201" t="s">
        <v>246</v>
      </c>
      <c r="F29" s="199">
        <v>1098.3</v>
      </c>
      <c r="G29" s="161">
        <v>45469</v>
      </c>
      <c r="H29" s="202" t="s">
        <v>246</v>
      </c>
      <c r="I29" s="185">
        <f t="shared" si="1"/>
        <v>4</v>
      </c>
      <c r="J29" s="203">
        <f>IF($H29="USD",IF(OR($I29="",$I29="-"),"",VLOOKUP($G29,為替!$A:$AX,$I29,FALSE))+$J$3,IF(OR($I29="",$I29="-"),"",VLOOKUP($G29,為替!$A:$AX,$I29,FALSE)))</f>
        <v>159.28</v>
      </c>
      <c r="K29" s="204">
        <f t="shared" si="2"/>
        <v>174937.22399999999</v>
      </c>
      <c r="L29" s="188">
        <f t="shared" si="3"/>
        <v>3</v>
      </c>
      <c r="M29" s="203">
        <f>IF($H29="USD",IF(OR($L29="",$L29="-"),"",VLOOKUP($G29,為替!$A:$AX,$L29,FALSE))+$K$3,IF(OR($L29="",$L29="-"),"",VLOOKUP($G29,為替!$A:$AX,$L29,FALSE)))</f>
        <v>160.28</v>
      </c>
      <c r="N29" s="204">
        <f t="shared" si="4"/>
        <v>161868.37479999999</v>
      </c>
      <c r="O29" s="205">
        <f t="shared" si="0"/>
        <v>13068.849199999997</v>
      </c>
      <c r="P29" s="206">
        <f t="shared" si="5"/>
        <v>7.4705936799362938E-2</v>
      </c>
    </row>
    <row r="30" spans="1:16" x14ac:dyDescent="0.4">
      <c r="A30" s="162" t="s">
        <v>314</v>
      </c>
      <c r="B30" s="162">
        <v>6252</v>
      </c>
      <c r="C30" s="199">
        <v>592.25</v>
      </c>
      <c r="D30" s="200">
        <v>0</v>
      </c>
      <c r="E30" s="201" t="s">
        <v>246</v>
      </c>
      <c r="F30" s="199">
        <v>628.29999999999995</v>
      </c>
      <c r="G30" s="161">
        <v>45470</v>
      </c>
      <c r="H30" s="202" t="s">
        <v>246</v>
      </c>
      <c r="I30" s="185">
        <f t="shared" si="1"/>
        <v>4</v>
      </c>
      <c r="J30" s="203">
        <f>IF($H30="USD",IF(OR($I30="",$I30="-"),"",VLOOKUP($G30,為替!$A:$AX,$I30,FALSE))+$J$3,IF(OR($I30="",$I30="-"),"",VLOOKUP($G30,為替!$A:$AX,$I30,FALSE)))</f>
        <v>160.28</v>
      </c>
      <c r="K30" s="204">
        <f t="shared" si="2"/>
        <v>100703.924</v>
      </c>
      <c r="L30" s="188">
        <f t="shared" si="3"/>
        <v>3</v>
      </c>
      <c r="M30" s="203">
        <f>IF($H30="USD",IF(OR($L30="",$L30="-"),"",VLOOKUP($G30,為替!$A:$AX,$L30,FALSE))+$K$3,IF(OR($L30="",$L30="-"),"",VLOOKUP($G30,為替!$A:$AX,$L30,FALSE)))</f>
        <v>161.28</v>
      </c>
      <c r="N30" s="204">
        <f t="shared" si="4"/>
        <v>95518.080000000002</v>
      </c>
      <c r="O30" s="205">
        <f t="shared" si="0"/>
        <v>5185.8439999999973</v>
      </c>
      <c r="P30" s="206">
        <f t="shared" si="5"/>
        <v>5.149594766535609E-2</v>
      </c>
    </row>
    <row r="31" spans="1:16" x14ac:dyDescent="0.4">
      <c r="A31" s="162" t="s">
        <v>314</v>
      </c>
      <c r="B31" s="162">
        <v>6260</v>
      </c>
      <c r="C31" s="199">
        <v>362.85</v>
      </c>
      <c r="D31" s="200">
        <v>0</v>
      </c>
      <c r="E31" s="201" t="s">
        <v>246</v>
      </c>
      <c r="F31" s="199">
        <v>384.3</v>
      </c>
      <c r="G31" s="161">
        <v>45475</v>
      </c>
      <c r="H31" s="202" t="s">
        <v>246</v>
      </c>
      <c r="I31" s="185">
        <f t="shared" si="1"/>
        <v>4</v>
      </c>
      <c r="J31" s="203">
        <f>IF($H31="USD",IF(OR($I31="",$I31="-"),"",VLOOKUP($G31,為替!$A:$AX,$I31,FALSE))+$J$3,IF(OR($I31="",$I31="-"),"",VLOOKUP($G31,為替!$A:$AX,$I31,FALSE)))</f>
        <v>161.21</v>
      </c>
      <c r="K31" s="204">
        <f t="shared" si="2"/>
        <v>61953.003000000004</v>
      </c>
      <c r="L31" s="188">
        <f t="shared" si="3"/>
        <v>3</v>
      </c>
      <c r="M31" s="203">
        <f>IF($H31="USD",IF(OR($L31="",$L31="-"),"",VLOOKUP($G31,為替!$A:$AX,$L31,FALSE))+$K$3,IF(OR($L31="",$L31="-"),"",VLOOKUP($G31,為替!$A:$AX,$L31,FALSE)))</f>
        <v>162.21</v>
      </c>
      <c r="N31" s="204">
        <f t="shared" si="4"/>
        <v>58857.898500000003</v>
      </c>
      <c r="O31" s="205">
        <f t="shared" si="0"/>
        <v>3095.1045000000013</v>
      </c>
      <c r="P31" s="206">
        <f t="shared" si="5"/>
        <v>4.9958909982135993E-2</v>
      </c>
    </row>
    <row r="32" spans="1:16" x14ac:dyDescent="0.4">
      <c r="A32" s="162" t="s">
        <v>313</v>
      </c>
      <c r="B32" s="162">
        <v>6269</v>
      </c>
      <c r="C32" s="199">
        <v>3995.04</v>
      </c>
      <c r="D32" s="200">
        <v>0</v>
      </c>
      <c r="E32" s="201" t="s">
        <v>246</v>
      </c>
      <c r="F32" s="199">
        <v>4375.5200000000004</v>
      </c>
      <c r="G32" s="161">
        <v>45477</v>
      </c>
      <c r="H32" s="202" t="s">
        <v>246</v>
      </c>
      <c r="I32" s="185">
        <f t="shared" si="1"/>
        <v>4</v>
      </c>
      <c r="J32" s="203">
        <f>IF($H32="USD",IF(OR($I32="",$I32="-"),"",VLOOKUP($G32,為替!$A:$AX,$I32,FALSE))+$J$3,IF(OR($I32="",$I32="-"),"",VLOOKUP($G32,為替!$A:$AX,$I32,FALSE)))</f>
        <v>160.97</v>
      </c>
      <c r="K32" s="204">
        <f t="shared" si="2"/>
        <v>704327.45440000005</v>
      </c>
      <c r="L32" s="188">
        <f t="shared" si="3"/>
        <v>3</v>
      </c>
      <c r="M32" s="203">
        <f>IF($H32="USD",IF(OR($L32="",$L32="-"),"",VLOOKUP($G32,為替!$A:$AX,$L32,FALSE))+$K$3,IF(OR($L32="",$L32="-"),"",VLOOKUP($G32,為替!$A:$AX,$L32,FALSE)))</f>
        <v>161.97</v>
      </c>
      <c r="N32" s="204">
        <f t="shared" si="4"/>
        <v>647076.62879999995</v>
      </c>
      <c r="O32" s="205">
        <f t="shared" si="0"/>
        <v>57250.825600000098</v>
      </c>
      <c r="P32" s="206">
        <f t="shared" si="5"/>
        <v>8.1284387314946749E-2</v>
      </c>
    </row>
    <row r="33" spans="1:16" x14ac:dyDescent="0.4">
      <c r="A33" s="162" t="s">
        <v>313</v>
      </c>
      <c r="B33" s="162">
        <v>6270</v>
      </c>
      <c r="C33" s="199">
        <v>1990.8</v>
      </c>
      <c r="D33" s="200">
        <v>0</v>
      </c>
      <c r="E33" s="201" t="s">
        <v>246</v>
      </c>
      <c r="F33" s="199">
        <v>2180.4</v>
      </c>
      <c r="G33" s="161">
        <v>45477</v>
      </c>
      <c r="H33" s="202" t="s">
        <v>246</v>
      </c>
      <c r="I33" s="185">
        <f t="shared" si="1"/>
        <v>4</v>
      </c>
      <c r="J33" s="203">
        <f>IF($H33="USD",IF(OR($I33="",$I33="-"),"",VLOOKUP($G33,為替!$A:$AX,$I33,FALSE))+$J$3,IF(OR($I33="",$I33="-"),"",VLOOKUP($G33,為替!$A:$AX,$I33,FALSE)))</f>
        <v>160.97</v>
      </c>
      <c r="K33" s="204">
        <f t="shared" si="2"/>
        <v>350978.98800000001</v>
      </c>
      <c r="L33" s="188">
        <f t="shared" si="3"/>
        <v>3</v>
      </c>
      <c r="M33" s="203">
        <f>IF($H33="USD",IF(OR($L33="",$L33="-"),"",VLOOKUP($G33,為替!$A:$AX,$L33,FALSE))+$K$3,IF(OR($L33="",$L33="-"),"",VLOOKUP($G33,為替!$A:$AX,$L33,FALSE)))</f>
        <v>161.97</v>
      </c>
      <c r="N33" s="204">
        <f t="shared" si="4"/>
        <v>322449.87599999999</v>
      </c>
      <c r="O33" s="205">
        <f t="shared" si="0"/>
        <v>28529.112000000023</v>
      </c>
      <c r="P33" s="206">
        <f t="shared" si="5"/>
        <v>8.1284387314946679E-2</v>
      </c>
    </row>
    <row r="34" spans="1:16" x14ac:dyDescent="0.4">
      <c r="A34" s="162" t="s">
        <v>313</v>
      </c>
      <c r="B34" s="162">
        <v>6271</v>
      </c>
      <c r="C34" s="199">
        <v>1379.51</v>
      </c>
      <c r="D34" s="200">
        <v>0</v>
      </c>
      <c r="E34" s="201" t="s">
        <v>246</v>
      </c>
      <c r="F34" s="199">
        <v>1510.97</v>
      </c>
      <c r="G34" s="161">
        <v>45477</v>
      </c>
      <c r="H34" s="202" t="s">
        <v>246</v>
      </c>
      <c r="I34" s="185">
        <f t="shared" si="1"/>
        <v>4</v>
      </c>
      <c r="J34" s="203">
        <f>IF($H34="USD",IF(OR($I34="",$I34="-"),"",VLOOKUP($G34,為替!$A:$AX,$I34,FALSE))+$J$3,IF(OR($I34="",$I34="-"),"",VLOOKUP($G34,為替!$A:$AX,$I34,FALSE)))</f>
        <v>160.97</v>
      </c>
      <c r="K34" s="204">
        <f t="shared" si="2"/>
        <v>243220.84090000001</v>
      </c>
      <c r="L34" s="188">
        <f t="shared" si="3"/>
        <v>3</v>
      </c>
      <c r="M34" s="203">
        <f>IF($H34="USD",IF(OR($L34="",$L34="-"),"",VLOOKUP($G34,為替!$A:$AX,$L34,FALSE))+$K$3,IF(OR($L34="",$L34="-"),"",VLOOKUP($G34,為替!$A:$AX,$L34,FALSE)))</f>
        <v>161.97</v>
      </c>
      <c r="N34" s="204">
        <f t="shared" si="4"/>
        <v>223439.2347</v>
      </c>
      <c r="O34" s="205">
        <f t="shared" si="0"/>
        <v>19781.606200000009</v>
      </c>
      <c r="P34" s="206">
        <f t="shared" si="5"/>
        <v>8.1331871589627458E-2</v>
      </c>
    </row>
    <row r="35" spans="1:16" x14ac:dyDescent="0.4">
      <c r="A35" s="162" t="s">
        <v>313</v>
      </c>
      <c r="B35" s="162">
        <v>6272</v>
      </c>
      <c r="C35" s="199">
        <v>5627.32</v>
      </c>
      <c r="D35" s="200">
        <v>0</v>
      </c>
      <c r="E35" s="201" t="s">
        <v>246</v>
      </c>
      <c r="F35" s="199">
        <v>6163.26</v>
      </c>
      <c r="G35" s="161">
        <v>45477</v>
      </c>
      <c r="H35" s="202" t="s">
        <v>246</v>
      </c>
      <c r="I35" s="185">
        <f t="shared" si="1"/>
        <v>4</v>
      </c>
      <c r="J35" s="203">
        <f>IF($H35="USD",IF(OR($I35="",$I35="-"),"",VLOOKUP($G35,為替!$A:$AX,$I35,FALSE))+$J$3,IF(OR($I35="",$I35="-"),"",VLOOKUP($G35,為替!$A:$AX,$I35,FALSE)))</f>
        <v>160.97</v>
      </c>
      <c r="K35" s="204">
        <f t="shared" si="2"/>
        <v>992099.96220000007</v>
      </c>
      <c r="L35" s="188">
        <f t="shared" si="3"/>
        <v>3</v>
      </c>
      <c r="M35" s="203">
        <f>IF($H35="USD",IF(OR($L35="",$L35="-"),"",VLOOKUP($G35,為替!$A:$AX,$L35,FALSE))+$K$3,IF(OR($L35="",$L35="-"),"",VLOOKUP($G35,為替!$A:$AX,$L35,FALSE)))</f>
        <v>161.97</v>
      </c>
      <c r="N35" s="204">
        <f t="shared" si="4"/>
        <v>911457.02039999992</v>
      </c>
      <c r="O35" s="205">
        <f t="shared" si="0"/>
        <v>80642.941800000146</v>
      </c>
      <c r="P35" s="206">
        <f t="shared" si="5"/>
        <v>8.1285097139982679E-2</v>
      </c>
    </row>
    <row r="36" spans="1:16" x14ac:dyDescent="0.4">
      <c r="A36" s="162" t="s">
        <v>314</v>
      </c>
      <c r="B36" s="162">
        <v>6277</v>
      </c>
      <c r="C36" s="199">
        <v>4575.79</v>
      </c>
      <c r="D36" s="200">
        <v>0</v>
      </c>
      <c r="E36" s="201" t="s">
        <v>246</v>
      </c>
      <c r="F36" s="199">
        <v>4848.3100000000004</v>
      </c>
      <c r="G36" s="161">
        <v>45481</v>
      </c>
      <c r="H36" s="202" t="s">
        <v>246</v>
      </c>
      <c r="I36" s="185">
        <f t="shared" si="1"/>
        <v>4</v>
      </c>
      <c r="J36" s="203">
        <f>IF($H36="USD",IF(OR($I36="",$I36="-"),"",VLOOKUP($G36,為替!$A:$AX,$I36,FALSE))+$J$3,IF(OR($I36="",$I36="-"),"",VLOOKUP($G36,為替!$A:$AX,$I36,FALSE)))</f>
        <v>160.27000000000001</v>
      </c>
      <c r="K36" s="204">
        <f t="shared" si="2"/>
        <v>777038.64370000013</v>
      </c>
      <c r="L36" s="188">
        <f t="shared" si="3"/>
        <v>3</v>
      </c>
      <c r="M36" s="203">
        <f>IF($H36="USD",IF(OR($L36="",$L36="-"),"",VLOOKUP($G36,為替!$A:$AX,$L36,FALSE))+$K$3,IF(OR($L36="",$L36="-"),"",VLOOKUP($G36,為替!$A:$AX,$L36,FALSE)))</f>
        <v>161.27000000000001</v>
      </c>
      <c r="N36" s="204">
        <f t="shared" si="4"/>
        <v>737937.65330000001</v>
      </c>
      <c r="O36" s="205">
        <f t="shared" si="0"/>
        <v>39100.990400000126</v>
      </c>
      <c r="P36" s="206">
        <f t="shared" si="5"/>
        <v>5.0320522302229637E-2</v>
      </c>
    </row>
    <row r="37" spans="1:16" x14ac:dyDescent="0.4">
      <c r="A37" s="162" t="s">
        <v>314</v>
      </c>
      <c r="B37" s="162">
        <v>6278</v>
      </c>
      <c r="C37" s="199">
        <v>5640.29</v>
      </c>
      <c r="D37" s="200">
        <v>0</v>
      </c>
      <c r="E37" s="201" t="s">
        <v>246</v>
      </c>
      <c r="F37" s="199">
        <v>5976.43</v>
      </c>
      <c r="G37" s="161">
        <v>45481</v>
      </c>
      <c r="H37" s="202" t="s">
        <v>246</v>
      </c>
      <c r="I37" s="185">
        <f t="shared" si="1"/>
        <v>4</v>
      </c>
      <c r="J37" s="203">
        <f>IF($H37="USD",IF(OR($I37="",$I37="-"),"",VLOOKUP($G37,為替!$A:$AX,$I37,FALSE))+$J$3,IF(OR($I37="",$I37="-"),"",VLOOKUP($G37,為替!$A:$AX,$I37,FALSE)))</f>
        <v>160.27000000000001</v>
      </c>
      <c r="K37" s="204">
        <f t="shared" si="2"/>
        <v>957842.43610000005</v>
      </c>
      <c r="L37" s="188">
        <f t="shared" si="3"/>
        <v>3</v>
      </c>
      <c r="M37" s="203">
        <f>IF($H37="USD",IF(OR($L37="",$L37="-"),"",VLOOKUP($G37,為替!$A:$AX,$L37,FALSE))+$K$3,IF(OR($L37="",$L37="-"),"",VLOOKUP($G37,為替!$A:$AX,$L37,FALSE)))</f>
        <v>161.27000000000001</v>
      </c>
      <c r="N37" s="204">
        <f t="shared" si="4"/>
        <v>909609.56830000004</v>
      </c>
      <c r="O37" s="205">
        <f t="shared" si="0"/>
        <v>48232.867800000007</v>
      </c>
      <c r="P37" s="206">
        <f t="shared" si="5"/>
        <v>5.0355743264400982E-2</v>
      </c>
    </row>
    <row r="38" spans="1:16" x14ac:dyDescent="0.4">
      <c r="A38" s="162" t="s">
        <v>314</v>
      </c>
      <c r="B38" s="162">
        <v>6335</v>
      </c>
      <c r="C38" s="199">
        <v>1285.1199999999999</v>
      </c>
      <c r="D38" s="200">
        <v>0</v>
      </c>
      <c r="E38" s="201" t="s">
        <v>246</v>
      </c>
      <c r="F38" s="199">
        <v>1361.71</v>
      </c>
      <c r="G38" s="161">
        <v>45481</v>
      </c>
      <c r="H38" s="202" t="s">
        <v>246</v>
      </c>
      <c r="I38" s="185">
        <f t="shared" si="1"/>
        <v>4</v>
      </c>
      <c r="J38" s="203">
        <f>IF($H38="USD",IF(OR($I38="",$I38="-"),"",VLOOKUP($G38,為替!$A:$AX,$I38,FALSE))+$J$3,IF(OR($I38="",$I38="-"),"",VLOOKUP($G38,為替!$A:$AX,$I38,FALSE)))</f>
        <v>160.27000000000001</v>
      </c>
      <c r="K38" s="204">
        <f t="shared" si="2"/>
        <v>218241.26170000003</v>
      </c>
      <c r="L38" s="188">
        <f t="shared" si="3"/>
        <v>3</v>
      </c>
      <c r="M38" s="203">
        <f>IF($H38="USD",IF(OR($L38="",$L38="-"),"",VLOOKUP($G38,為替!$A:$AX,$L38,FALSE))+$K$3,IF(OR($L38="",$L38="-"),"",VLOOKUP($G38,為替!$A:$AX,$L38,FALSE)))</f>
        <v>161.27000000000001</v>
      </c>
      <c r="N38" s="204">
        <f t="shared" si="4"/>
        <v>207251.30239999999</v>
      </c>
      <c r="O38" s="205">
        <f t="shared" si="0"/>
        <v>10989.959300000046</v>
      </c>
      <c r="P38" s="206">
        <f t="shared" si="5"/>
        <v>5.0356927074162186E-2</v>
      </c>
    </row>
    <row r="39" spans="1:16" x14ac:dyDescent="0.4">
      <c r="A39" s="162" t="s">
        <v>314</v>
      </c>
      <c r="B39" s="162">
        <v>6290</v>
      </c>
      <c r="C39" s="199">
        <v>1447.83</v>
      </c>
      <c r="D39" s="200">
        <v>0</v>
      </c>
      <c r="E39" s="201" t="s">
        <v>246</v>
      </c>
      <c r="F39" s="199">
        <v>1533.18</v>
      </c>
      <c r="G39" s="161">
        <v>45484</v>
      </c>
      <c r="H39" s="202" t="s">
        <v>246</v>
      </c>
      <c r="I39" s="185">
        <f t="shared" si="1"/>
        <v>4</v>
      </c>
      <c r="J39" s="203">
        <f>IF($H39="USD",IF(OR($I39="",$I39="-"),"",VLOOKUP($G39,為替!$A:$AX,$I39,FALSE))+$J$3,IF(OR($I39="",$I39="-"),"",VLOOKUP($G39,為替!$A:$AX,$I39,FALSE)))</f>
        <v>161.22999999999999</v>
      </c>
      <c r="K39" s="204">
        <f t="shared" si="2"/>
        <v>247194.61139999999</v>
      </c>
      <c r="L39" s="188">
        <f t="shared" si="3"/>
        <v>3</v>
      </c>
      <c r="M39" s="203">
        <f>IF($H39="USD",IF(OR($L39="",$L39="-"),"",VLOOKUP($G39,為替!$A:$AX,$L39,FALSE))+$K$3,IF(OR($L39="",$L39="-"),"",VLOOKUP($G39,為替!$A:$AX,$L39,FALSE)))</f>
        <v>162.22999999999999</v>
      </c>
      <c r="N39" s="204">
        <f t="shared" si="4"/>
        <v>234881.46089999998</v>
      </c>
      <c r="O39" s="205">
        <f t="shared" si="0"/>
        <v>12313.150500000018</v>
      </c>
      <c r="P39" s="206">
        <f t="shared" si="5"/>
        <v>4.9811565188512111E-2</v>
      </c>
    </row>
    <row r="40" spans="1:16" x14ac:dyDescent="0.4">
      <c r="A40" s="162" t="s">
        <v>314</v>
      </c>
      <c r="B40" s="162">
        <v>6291</v>
      </c>
      <c r="C40" s="199">
        <v>1375.92</v>
      </c>
      <c r="D40" s="200">
        <v>0</v>
      </c>
      <c r="E40" s="201" t="s">
        <v>246</v>
      </c>
      <c r="F40" s="199">
        <v>1457.82</v>
      </c>
      <c r="G40" s="161">
        <v>45484</v>
      </c>
      <c r="H40" s="202" t="s">
        <v>246</v>
      </c>
      <c r="I40" s="185">
        <f t="shared" si="1"/>
        <v>4</v>
      </c>
      <c r="J40" s="203">
        <f>IF($H40="USD",IF(OR($I40="",$I40="-"),"",VLOOKUP($G40,為替!$A:$AX,$I40,FALSE))+$J$3,IF(OR($I40="",$I40="-"),"",VLOOKUP($G40,為替!$A:$AX,$I40,FALSE)))</f>
        <v>161.22999999999999</v>
      </c>
      <c r="K40" s="204">
        <f t="shared" si="2"/>
        <v>235044.31859999997</v>
      </c>
      <c r="L40" s="188">
        <f t="shared" si="3"/>
        <v>3</v>
      </c>
      <c r="M40" s="203">
        <f>IF($H40="USD",IF(OR($L40="",$L40="-"),"",VLOOKUP($G40,為替!$A:$AX,$L40,FALSE))+$K$3,IF(OR($L40="",$L40="-"),"",VLOOKUP($G40,為替!$A:$AX,$L40,FALSE)))</f>
        <v>162.22999999999999</v>
      </c>
      <c r="N40" s="204">
        <f t="shared" si="4"/>
        <v>223215.50159999999</v>
      </c>
      <c r="O40" s="205">
        <f t="shared" si="0"/>
        <v>11828.816999999981</v>
      </c>
      <c r="P40" s="206">
        <f t="shared" si="5"/>
        <v>5.0325900538486713E-2</v>
      </c>
    </row>
    <row r="41" spans="1:16" x14ac:dyDescent="0.4">
      <c r="A41" s="162" t="s">
        <v>314</v>
      </c>
      <c r="B41" s="162">
        <v>6294</v>
      </c>
      <c r="C41" s="199">
        <v>1124.17</v>
      </c>
      <c r="D41" s="200">
        <v>0</v>
      </c>
      <c r="E41" s="201" t="s">
        <v>246</v>
      </c>
      <c r="F41" s="199">
        <v>1191.05</v>
      </c>
      <c r="G41" s="161">
        <v>45485</v>
      </c>
      <c r="H41" s="202" t="s">
        <v>246</v>
      </c>
      <c r="I41" s="185">
        <f t="shared" si="1"/>
        <v>4</v>
      </c>
      <c r="J41" s="203">
        <f>IF($H41="USD",IF(OR($I41="",$I41="-"),"",VLOOKUP($G41,為替!$A:$AX,$I41,FALSE))+$J$3,IF(OR($I41="",$I41="-"),"",VLOOKUP($G41,為替!$A:$AX,$I41,FALSE)))</f>
        <v>158.61000000000001</v>
      </c>
      <c r="K41" s="204">
        <f t="shared" si="2"/>
        <v>188912.4405</v>
      </c>
      <c r="L41" s="188">
        <f t="shared" si="3"/>
        <v>3</v>
      </c>
      <c r="M41" s="203">
        <f>IF($H41="USD",IF(OR($L41="",$L41="-"),"",VLOOKUP($G41,為替!$A:$AX,$L41,FALSE))+$K$3,IF(OR($L41="",$L41="-"),"",VLOOKUP($G41,為替!$A:$AX,$L41,FALSE)))</f>
        <v>159.61000000000001</v>
      </c>
      <c r="N41" s="204">
        <f t="shared" si="4"/>
        <v>179428.77370000002</v>
      </c>
      <c r="O41" s="205">
        <f t="shared" si="0"/>
        <v>9483.6667999999772</v>
      </c>
      <c r="P41" s="206">
        <f t="shared" si="5"/>
        <v>5.0201388404592533E-2</v>
      </c>
    </row>
    <row r="42" spans="1:16" x14ac:dyDescent="0.4">
      <c r="A42" s="162" t="s">
        <v>314</v>
      </c>
      <c r="B42" s="162">
        <v>6296</v>
      </c>
      <c r="C42" s="199">
        <v>4399.79</v>
      </c>
      <c r="D42" s="200">
        <v>0</v>
      </c>
      <c r="E42" s="201" t="s">
        <v>246</v>
      </c>
      <c r="F42" s="199">
        <v>4654.16</v>
      </c>
      <c r="G42" s="161">
        <v>45485</v>
      </c>
      <c r="H42" s="202" t="s">
        <v>246</v>
      </c>
      <c r="I42" s="185">
        <f t="shared" si="1"/>
        <v>4</v>
      </c>
      <c r="J42" s="203">
        <f>IF($H42="USD",IF(OR($I42="",$I42="-"),"",VLOOKUP($G42,為替!$A:$AX,$I42,FALSE))+$J$3,IF(OR($I42="",$I42="-"),"",VLOOKUP($G42,為替!$A:$AX,$I42,FALSE)))</f>
        <v>158.61000000000001</v>
      </c>
      <c r="K42" s="204">
        <f t="shared" si="2"/>
        <v>738196.31760000007</v>
      </c>
      <c r="L42" s="188">
        <f t="shared" si="3"/>
        <v>3</v>
      </c>
      <c r="M42" s="203">
        <f>IF($H42="USD",IF(OR($L42="",$L42="-"),"",VLOOKUP($G42,為替!$A:$AX,$L42,FALSE))+$K$3,IF(OR($L42="",$L42="-"),"",VLOOKUP($G42,為替!$A:$AX,$L42,FALSE)))</f>
        <v>159.61000000000001</v>
      </c>
      <c r="N42" s="204">
        <f t="shared" si="4"/>
        <v>702250.48190000001</v>
      </c>
      <c r="O42" s="205">
        <f t="shared" si="0"/>
        <v>35945.835700000054</v>
      </c>
      <c r="P42" s="206">
        <f t="shared" si="5"/>
        <v>4.8694141169473709E-2</v>
      </c>
    </row>
    <row r="43" spans="1:16" x14ac:dyDescent="0.4">
      <c r="A43" s="162" t="s">
        <v>314</v>
      </c>
      <c r="B43" s="162">
        <v>6297</v>
      </c>
      <c r="C43" s="199">
        <v>947.51</v>
      </c>
      <c r="D43" s="200">
        <v>0</v>
      </c>
      <c r="E43" s="201" t="s">
        <v>246</v>
      </c>
      <c r="F43" s="199">
        <v>1004.3</v>
      </c>
      <c r="G43" s="161">
        <v>45489</v>
      </c>
      <c r="H43" s="202" t="s">
        <v>246</v>
      </c>
      <c r="I43" s="185">
        <f t="shared" si="1"/>
        <v>4</v>
      </c>
      <c r="J43" s="203">
        <f>IF($H43="USD",IF(OR($I43="",$I43="-"),"",VLOOKUP($G43,為替!$A:$AX,$I43,FALSE))+$J$3,IF(OR($I43="",$I43="-"),"",VLOOKUP($G43,為替!$A:$AX,$I43,FALSE)))</f>
        <v>157.94999999999999</v>
      </c>
      <c r="K43" s="204">
        <f t="shared" si="2"/>
        <v>158629.18499999997</v>
      </c>
      <c r="L43" s="188">
        <f t="shared" si="3"/>
        <v>3</v>
      </c>
      <c r="M43" s="203">
        <f>IF($H43="USD",IF(OR($L43="",$L43="-"),"",VLOOKUP($G43,為替!$A:$AX,$L43,FALSE))+$K$3,IF(OR($L43="",$L43="-"),"",VLOOKUP($G43,為替!$A:$AX,$L43,FALSE)))</f>
        <v>158.94999999999999</v>
      </c>
      <c r="N43" s="204">
        <f t="shared" si="4"/>
        <v>150606.7145</v>
      </c>
      <c r="O43" s="205">
        <f t="shared" si="0"/>
        <v>8022.4704999999667</v>
      </c>
      <c r="P43" s="206">
        <f t="shared" si="5"/>
        <v>5.0573735848166705E-2</v>
      </c>
    </row>
    <row r="44" spans="1:16" x14ac:dyDescent="0.4">
      <c r="A44" s="162" t="s">
        <v>313</v>
      </c>
      <c r="B44" s="162">
        <v>6299</v>
      </c>
      <c r="C44" s="199">
        <v>6315.12</v>
      </c>
      <c r="D44" s="200">
        <v>0</v>
      </c>
      <c r="E44" s="201" t="s">
        <v>246</v>
      </c>
      <c r="F44" s="199">
        <v>6916.56</v>
      </c>
      <c r="G44" s="161">
        <v>45490</v>
      </c>
      <c r="H44" s="202" t="s">
        <v>246</v>
      </c>
      <c r="I44" s="185">
        <f t="shared" si="1"/>
        <v>4</v>
      </c>
      <c r="J44" s="203">
        <f>IF($H44="USD",IF(OR($I44="",$I44="-"),"",VLOOKUP($G44,為替!$A:$AX,$I44,FALSE))+$J$3,IF(OR($I44="",$I44="-"),"",VLOOKUP($G44,為替!$A:$AX,$I44,FALSE)))</f>
        <v>158.06</v>
      </c>
      <c r="K44" s="204">
        <f t="shared" si="2"/>
        <v>1093231.4736000001</v>
      </c>
      <c r="L44" s="188">
        <f t="shared" si="3"/>
        <v>3</v>
      </c>
      <c r="M44" s="203">
        <f>IF($H44="USD",IF(OR($L44="",$L44="-"),"",VLOOKUP($G44,為替!$A:$AX,$L44,FALSE))+$K$3,IF(OR($L44="",$L44="-"),"",VLOOKUP($G44,為替!$A:$AX,$L44,FALSE)))</f>
        <v>159.06</v>
      </c>
      <c r="N44" s="204">
        <f t="shared" si="4"/>
        <v>1004482.9872</v>
      </c>
      <c r="O44" s="205">
        <f t="shared" si="0"/>
        <v>88748.486400000169</v>
      </c>
      <c r="P44" s="206">
        <f t="shared" si="5"/>
        <v>8.1179959178958053E-2</v>
      </c>
    </row>
    <row r="45" spans="1:16" x14ac:dyDescent="0.4">
      <c r="A45" s="162" t="s">
        <v>313</v>
      </c>
      <c r="B45" s="162">
        <v>6300</v>
      </c>
      <c r="C45" s="199">
        <v>8560.18</v>
      </c>
      <c r="D45" s="200">
        <v>0</v>
      </c>
      <c r="E45" s="201" t="s">
        <v>246</v>
      </c>
      <c r="F45" s="199">
        <v>9375.44</v>
      </c>
      <c r="G45" s="161">
        <v>45490</v>
      </c>
      <c r="H45" s="202" t="s">
        <v>246</v>
      </c>
      <c r="I45" s="185">
        <f t="shared" si="1"/>
        <v>4</v>
      </c>
      <c r="J45" s="203">
        <f>IF($H45="USD",IF(OR($I45="",$I45="-"),"",VLOOKUP($G45,為替!$A:$AX,$I45,FALSE))+$J$3,IF(OR($I45="",$I45="-"),"",VLOOKUP($G45,為替!$A:$AX,$I45,FALSE)))</f>
        <v>158.06</v>
      </c>
      <c r="K45" s="204">
        <f t="shared" si="2"/>
        <v>1481882.0464000001</v>
      </c>
      <c r="L45" s="188">
        <f t="shared" si="3"/>
        <v>3</v>
      </c>
      <c r="M45" s="203">
        <f>IF($H45="USD",IF(OR($L45="",$L45="-"),"",VLOOKUP($G45,為替!$A:$AX,$L45,FALSE))+$K$3,IF(OR($L45="",$L45="-"),"",VLOOKUP($G45,為替!$A:$AX,$L45,FALSE)))</f>
        <v>159.06</v>
      </c>
      <c r="N45" s="204">
        <f t="shared" si="4"/>
        <v>1361582.2308</v>
      </c>
      <c r="O45" s="205">
        <f t="shared" si="0"/>
        <v>120299.81560000009</v>
      </c>
      <c r="P45" s="206">
        <f t="shared" si="5"/>
        <v>8.118042585929805E-2</v>
      </c>
    </row>
    <row r="46" spans="1:16" x14ac:dyDescent="0.4">
      <c r="A46" s="162" t="s">
        <v>313</v>
      </c>
      <c r="B46" s="162">
        <v>6301</v>
      </c>
      <c r="C46" s="199">
        <v>3981.6</v>
      </c>
      <c r="D46" s="200">
        <v>0</v>
      </c>
      <c r="E46" s="201" t="s">
        <v>246</v>
      </c>
      <c r="F46" s="199">
        <v>4360.8</v>
      </c>
      <c r="G46" s="161">
        <v>45490</v>
      </c>
      <c r="H46" s="202" t="s">
        <v>246</v>
      </c>
      <c r="I46" s="185">
        <f t="shared" si="1"/>
        <v>4</v>
      </c>
      <c r="J46" s="203">
        <f>IF($H46="USD",IF(OR($I46="",$I46="-"),"",VLOOKUP($G46,為替!$A:$AX,$I46,FALSE))+$J$3,IF(OR($I46="",$I46="-"),"",VLOOKUP($G46,為替!$A:$AX,$I46,FALSE)))</f>
        <v>158.06</v>
      </c>
      <c r="K46" s="204">
        <f t="shared" si="2"/>
        <v>689268.04800000007</v>
      </c>
      <c r="L46" s="188">
        <f t="shared" si="3"/>
        <v>3</v>
      </c>
      <c r="M46" s="203">
        <f>IF($H46="USD",IF(OR($L46="",$L46="-"),"",VLOOKUP($G46,為替!$A:$AX,$L46,FALSE))+$K$3,IF(OR($L46="",$L46="-"),"",VLOOKUP($G46,為替!$A:$AX,$L46,FALSE)))</f>
        <v>159.06</v>
      </c>
      <c r="N46" s="204">
        <f t="shared" si="4"/>
        <v>633313.29599999997</v>
      </c>
      <c r="O46" s="205">
        <f t="shared" si="0"/>
        <v>55954.752000000095</v>
      </c>
      <c r="P46" s="206">
        <f t="shared" si="5"/>
        <v>8.1179959178958039E-2</v>
      </c>
    </row>
    <row r="47" spans="1:16" x14ac:dyDescent="0.4">
      <c r="A47" s="162" t="s">
        <v>313</v>
      </c>
      <c r="B47" s="162">
        <v>6302</v>
      </c>
      <c r="C47" s="199">
        <v>719.31</v>
      </c>
      <c r="D47" s="200">
        <v>0</v>
      </c>
      <c r="E47" s="201" t="s">
        <v>246</v>
      </c>
      <c r="F47" s="199">
        <v>787.88</v>
      </c>
      <c r="G47" s="161">
        <v>45490</v>
      </c>
      <c r="H47" s="202" t="s">
        <v>246</v>
      </c>
      <c r="I47" s="185">
        <f t="shared" si="1"/>
        <v>4</v>
      </c>
      <c r="J47" s="203">
        <f>IF($H47="USD",IF(OR($I47="",$I47="-"),"",VLOOKUP($G47,為替!$A:$AX,$I47,FALSE))+$J$3,IF(OR($I47="",$I47="-"),"",VLOOKUP($G47,為替!$A:$AX,$I47,FALSE)))</f>
        <v>158.06</v>
      </c>
      <c r="K47" s="204">
        <f t="shared" si="2"/>
        <v>124532.3128</v>
      </c>
      <c r="L47" s="188">
        <f t="shared" si="3"/>
        <v>3</v>
      </c>
      <c r="M47" s="203">
        <f>IF($H47="USD",IF(OR($L47="",$L47="-"),"",VLOOKUP($G47,為替!$A:$AX,$L47,FALSE))+$K$3,IF(OR($L47="",$L47="-"),"",VLOOKUP($G47,為替!$A:$AX,$L47,FALSE)))</f>
        <v>159.06</v>
      </c>
      <c r="N47" s="204">
        <f t="shared" si="4"/>
        <v>114413.44859999999</v>
      </c>
      <c r="O47" s="205">
        <f t="shared" si="0"/>
        <v>10118.864200000011</v>
      </c>
      <c r="P47" s="206">
        <f t="shared" si="5"/>
        <v>8.125492872079712E-2</v>
      </c>
    </row>
    <row r="48" spans="1:16" x14ac:dyDescent="0.4">
      <c r="A48" s="162" t="s">
        <v>313</v>
      </c>
      <c r="B48" s="162">
        <v>6303</v>
      </c>
      <c r="C48" s="199">
        <v>4820.92</v>
      </c>
      <c r="D48" s="200">
        <v>0</v>
      </c>
      <c r="E48" s="201" t="s">
        <v>246</v>
      </c>
      <c r="F48" s="199">
        <v>5280.06</v>
      </c>
      <c r="G48" s="161">
        <v>45490</v>
      </c>
      <c r="H48" s="202" t="s">
        <v>246</v>
      </c>
      <c r="I48" s="185">
        <f t="shared" si="1"/>
        <v>4</v>
      </c>
      <c r="J48" s="203">
        <f>IF($H48="USD",IF(OR($I48="",$I48="-"),"",VLOOKUP($G48,為替!$A:$AX,$I48,FALSE))+$J$3,IF(OR($I48="",$I48="-"),"",VLOOKUP($G48,為替!$A:$AX,$I48,FALSE)))</f>
        <v>158.06</v>
      </c>
      <c r="K48" s="204">
        <f t="shared" si="2"/>
        <v>834566.28360000008</v>
      </c>
      <c r="L48" s="188">
        <f t="shared" si="3"/>
        <v>3</v>
      </c>
      <c r="M48" s="203">
        <f>IF($H48="USD",IF(OR($L48="",$L48="-"),"",VLOOKUP($G48,為替!$A:$AX,$L48,FALSE))+$K$3,IF(OR($L48="",$L48="-"),"",VLOOKUP($G48,為替!$A:$AX,$L48,FALSE)))</f>
        <v>159.06</v>
      </c>
      <c r="N48" s="204">
        <f t="shared" si="4"/>
        <v>766815.53520000004</v>
      </c>
      <c r="O48" s="205">
        <f t="shared" si="0"/>
        <v>67750.74840000004</v>
      </c>
      <c r="P48" s="206">
        <f t="shared" si="5"/>
        <v>8.1180787831194423E-2</v>
      </c>
    </row>
    <row r="49" spans="1:16" x14ac:dyDescent="0.4">
      <c r="A49" s="162" t="s">
        <v>313</v>
      </c>
      <c r="B49" s="162">
        <v>6304</v>
      </c>
      <c r="C49" s="199">
        <v>3054.74</v>
      </c>
      <c r="D49" s="200">
        <v>0</v>
      </c>
      <c r="E49" s="201" t="s">
        <v>246</v>
      </c>
      <c r="F49" s="199">
        <v>3345.67</v>
      </c>
      <c r="G49" s="161">
        <v>45490</v>
      </c>
      <c r="H49" s="202" t="s">
        <v>246</v>
      </c>
      <c r="I49" s="185">
        <f t="shared" si="1"/>
        <v>4</v>
      </c>
      <c r="J49" s="203">
        <f>IF($H49="USD",IF(OR($I49="",$I49="-"),"",VLOOKUP($G49,為替!$A:$AX,$I49,FALSE))+$J$3,IF(OR($I49="",$I49="-"),"",VLOOKUP($G49,為替!$A:$AX,$I49,FALSE)))</f>
        <v>158.06</v>
      </c>
      <c r="K49" s="204">
        <f t="shared" si="2"/>
        <v>528816.60019999999</v>
      </c>
      <c r="L49" s="188">
        <f t="shared" si="3"/>
        <v>3</v>
      </c>
      <c r="M49" s="203">
        <f>IF($H49="USD",IF(OR($L49="",$L49="-"),"",VLOOKUP($G49,為替!$A:$AX,$L49,FALSE))+$K$3,IF(OR($L49="",$L49="-"),"",VLOOKUP($G49,為替!$A:$AX,$L49,FALSE)))</f>
        <v>159.06</v>
      </c>
      <c r="N49" s="204">
        <f t="shared" si="4"/>
        <v>485886.94439999998</v>
      </c>
      <c r="O49" s="205">
        <f t="shared" si="0"/>
        <v>42929.655800000008</v>
      </c>
      <c r="P49" s="206">
        <f t="shared" si="5"/>
        <v>8.1180613058977127E-2</v>
      </c>
    </row>
    <row r="50" spans="1:16" x14ac:dyDescent="0.4">
      <c r="A50" s="162" t="s">
        <v>313</v>
      </c>
      <c r="B50" s="162">
        <v>6305</v>
      </c>
      <c r="C50" s="199">
        <v>14292.6</v>
      </c>
      <c r="D50" s="200">
        <v>0</v>
      </c>
      <c r="E50" s="201" t="s">
        <v>246</v>
      </c>
      <c r="F50" s="199">
        <v>15653.8</v>
      </c>
      <c r="G50" s="161">
        <v>45490</v>
      </c>
      <c r="H50" s="202" t="s">
        <v>246</v>
      </c>
      <c r="I50" s="185">
        <f t="shared" si="1"/>
        <v>4</v>
      </c>
      <c r="J50" s="203">
        <f>IF($H50="USD",IF(OR($I50="",$I50="-"),"",VLOOKUP($G50,為替!$A:$AX,$I50,FALSE))+$J$3,IF(OR($I50="",$I50="-"),"",VLOOKUP($G50,為替!$A:$AX,$I50,FALSE)))</f>
        <v>158.06</v>
      </c>
      <c r="K50" s="204">
        <f t="shared" si="2"/>
        <v>2474239.628</v>
      </c>
      <c r="L50" s="188">
        <f t="shared" si="3"/>
        <v>3</v>
      </c>
      <c r="M50" s="203">
        <f>IF($H50="USD",IF(OR($L50="",$L50="-"),"",VLOOKUP($G50,為替!$A:$AX,$L50,FALSE))+$K$3,IF(OR($L50="",$L50="-"),"",VLOOKUP($G50,為替!$A:$AX,$L50,FALSE)))</f>
        <v>159.06</v>
      </c>
      <c r="N50" s="204">
        <f t="shared" si="4"/>
        <v>2273380.9560000002</v>
      </c>
      <c r="O50" s="205">
        <f t="shared" si="0"/>
        <v>200858.67199999979</v>
      </c>
      <c r="P50" s="206">
        <f t="shared" si="5"/>
        <v>8.1179959178957817E-2</v>
      </c>
    </row>
    <row r="51" spans="1:16" x14ac:dyDescent="0.4">
      <c r="A51" s="162" t="s">
        <v>313</v>
      </c>
      <c r="B51" s="162">
        <v>6306</v>
      </c>
      <c r="C51" s="199">
        <v>2408.44</v>
      </c>
      <c r="D51" s="200">
        <v>0</v>
      </c>
      <c r="E51" s="201" t="s">
        <v>246</v>
      </c>
      <c r="F51" s="199">
        <v>2637.82</v>
      </c>
      <c r="G51" s="161">
        <v>45490</v>
      </c>
      <c r="H51" s="202" t="s">
        <v>246</v>
      </c>
      <c r="I51" s="185">
        <f t="shared" si="1"/>
        <v>4</v>
      </c>
      <c r="J51" s="203">
        <f>IF($H51="USD",IF(OR($I51="",$I51="-"),"",VLOOKUP($G51,為替!$A:$AX,$I51,FALSE))+$J$3,IF(OR($I51="",$I51="-"),"",VLOOKUP($G51,為替!$A:$AX,$I51,FALSE)))</f>
        <v>158.06</v>
      </c>
      <c r="K51" s="204">
        <f t="shared" si="2"/>
        <v>416933.82920000004</v>
      </c>
      <c r="L51" s="188">
        <f t="shared" si="3"/>
        <v>3</v>
      </c>
      <c r="M51" s="203">
        <f>IF($H51="USD",IF(OR($L51="",$L51="-"),"",VLOOKUP($G51,為替!$A:$AX,$L51,FALSE))+$K$3,IF(OR($L51="",$L51="-"),"",VLOOKUP($G51,為替!$A:$AX,$L51,FALSE)))</f>
        <v>159.06</v>
      </c>
      <c r="N51" s="204">
        <f t="shared" si="4"/>
        <v>383086.46640000003</v>
      </c>
      <c r="O51" s="205">
        <f t="shared" si="0"/>
        <v>33847.362800000003</v>
      </c>
      <c r="P51" s="206">
        <f t="shared" si="5"/>
        <v>8.1181617871942155E-2</v>
      </c>
    </row>
    <row r="52" spans="1:16" x14ac:dyDescent="0.4">
      <c r="A52" s="162" t="s">
        <v>314</v>
      </c>
      <c r="B52" s="162">
        <v>6313</v>
      </c>
      <c r="C52" s="199">
        <v>4166.1499999999996</v>
      </c>
      <c r="D52" s="200">
        <v>0</v>
      </c>
      <c r="E52" s="201" t="s">
        <v>246</v>
      </c>
      <c r="F52" s="199">
        <v>4404.51</v>
      </c>
      <c r="G52" s="161">
        <v>45491</v>
      </c>
      <c r="H52" s="202" t="s">
        <v>246</v>
      </c>
      <c r="I52" s="185">
        <f t="shared" si="1"/>
        <v>4</v>
      </c>
      <c r="J52" s="203">
        <f>IF($H52="USD",IF(OR($I52="",$I52="-"),"",VLOOKUP($G52,為替!$A:$AX,$I52,FALSE))+$J$3,IF(OR($I52="",$I52="-"),"",VLOOKUP($G52,為替!$A:$AX,$I52,FALSE)))</f>
        <v>155.36000000000001</v>
      </c>
      <c r="K52" s="204">
        <f t="shared" si="2"/>
        <v>684284.6736000001</v>
      </c>
      <c r="L52" s="188">
        <f t="shared" si="3"/>
        <v>3</v>
      </c>
      <c r="M52" s="203">
        <f>IF($H52="USD",IF(OR($L52="",$L52="-"),"",VLOOKUP($G52,為替!$A:$AX,$L52,FALSE))+$K$3,IF(OR($L52="",$L52="-"),"",VLOOKUP($G52,為替!$A:$AX,$L52,FALSE)))</f>
        <v>156.36000000000001</v>
      </c>
      <c r="N52" s="204">
        <f t="shared" si="4"/>
        <v>651419.21400000004</v>
      </c>
      <c r="O52" s="205">
        <f t="shared" si="0"/>
        <v>32865.45960000006</v>
      </c>
      <c r="P52" s="206">
        <f t="shared" si="5"/>
        <v>4.8028928409423396E-2</v>
      </c>
    </row>
    <row r="53" spans="1:16" x14ac:dyDescent="0.4">
      <c r="A53" s="162" t="s">
        <v>313</v>
      </c>
      <c r="B53" s="162">
        <v>6325</v>
      </c>
      <c r="C53" s="199">
        <v>66.84</v>
      </c>
      <c r="D53" s="200">
        <v>0</v>
      </c>
      <c r="E53" s="201" t="s">
        <v>246</v>
      </c>
      <c r="F53" s="199">
        <v>70.98</v>
      </c>
      <c r="G53" s="161">
        <v>45496</v>
      </c>
      <c r="H53" s="202" t="s">
        <v>246</v>
      </c>
      <c r="I53" s="185">
        <f t="shared" si="1"/>
        <v>4</v>
      </c>
      <c r="J53" s="203">
        <f>IF($H53="USD",IF(OR($I53="",$I53="-"),"",VLOOKUP($G53,為替!$A:$AX,$I53,FALSE))+$J$3,IF(OR($I53="",$I53="-"),"",VLOOKUP($G53,為替!$A:$AX,$I53,FALSE)))</f>
        <v>156.24</v>
      </c>
      <c r="K53" s="204">
        <f t="shared" si="2"/>
        <v>11089.915200000001</v>
      </c>
      <c r="L53" s="188">
        <f t="shared" si="3"/>
        <v>3</v>
      </c>
      <c r="M53" s="203">
        <f>IF($H53="USD",IF(OR($L53="",$L53="-"),"",VLOOKUP($G53,為替!$A:$AX,$L53,FALSE))+$K$3,IF(OR($L53="",$L53="-"),"",VLOOKUP($G53,為替!$A:$AX,$L53,FALSE)))</f>
        <v>157.24</v>
      </c>
      <c r="N53" s="204">
        <f t="shared" si="4"/>
        <v>10509.921600000001</v>
      </c>
      <c r="O53" s="205">
        <f t="shared" si="0"/>
        <v>579.99359999999979</v>
      </c>
      <c r="P53" s="206">
        <f t="shared" si="5"/>
        <v>5.2299191611492192E-2</v>
      </c>
    </row>
    <row r="54" spans="1:16" x14ac:dyDescent="0.4">
      <c r="A54" s="162" t="s">
        <v>314</v>
      </c>
      <c r="B54" s="162">
        <v>6327</v>
      </c>
      <c r="C54" s="199">
        <v>681.67</v>
      </c>
      <c r="D54" s="200">
        <v>0</v>
      </c>
      <c r="E54" s="201" t="s">
        <v>246</v>
      </c>
      <c r="F54" s="199">
        <v>722.3</v>
      </c>
      <c r="G54" s="161">
        <v>45497</v>
      </c>
      <c r="H54" s="202" t="s">
        <v>246</v>
      </c>
      <c r="I54" s="185">
        <f t="shared" si="1"/>
        <v>4</v>
      </c>
      <c r="J54" s="203">
        <f>IF($H54="USD",IF(OR($I54="",$I54="-"),"",VLOOKUP($G54,為替!$A:$AX,$I54,FALSE))+$J$3,IF(OR($I54="",$I54="-"),"",VLOOKUP($G54,為替!$A:$AX,$I54,FALSE)))</f>
        <v>155.37</v>
      </c>
      <c r="K54" s="204">
        <f t="shared" si="2"/>
        <v>112223.75099999999</v>
      </c>
      <c r="L54" s="188">
        <f t="shared" si="3"/>
        <v>3</v>
      </c>
      <c r="M54" s="203">
        <f>IF($H54="USD",IF(OR($L54="",$L54="-"),"",VLOOKUP($G54,為替!$A:$AX,$L54,FALSE))+$K$3,IF(OR($L54="",$L54="-"),"",VLOOKUP($G54,為替!$A:$AX,$L54,FALSE)))</f>
        <v>156.37</v>
      </c>
      <c r="N54" s="204">
        <f t="shared" si="4"/>
        <v>106592.73789999999</v>
      </c>
      <c r="O54" s="205">
        <f t="shared" si="0"/>
        <v>5631.0130999999965</v>
      </c>
      <c r="P54" s="206">
        <f t="shared" si="5"/>
        <v>5.0176660910220307E-2</v>
      </c>
    </row>
    <row r="55" spans="1:16" x14ac:dyDescent="0.4">
      <c r="A55" s="162" t="s">
        <v>314</v>
      </c>
      <c r="B55" s="162">
        <v>6328</v>
      </c>
      <c r="C55" s="199">
        <v>622.07000000000005</v>
      </c>
      <c r="D55" s="200">
        <v>0</v>
      </c>
      <c r="E55" s="201" t="s">
        <v>246</v>
      </c>
      <c r="F55" s="199">
        <v>659.15</v>
      </c>
      <c r="G55" s="161">
        <v>45497</v>
      </c>
      <c r="H55" s="202" t="s">
        <v>246</v>
      </c>
      <c r="I55" s="185">
        <f t="shared" si="1"/>
        <v>4</v>
      </c>
      <c r="J55" s="203">
        <f>IF($H55="USD",IF(OR($I55="",$I55="-"),"",VLOOKUP($G55,為替!$A:$AX,$I55,FALSE))+$J$3,IF(OR($I55="",$I55="-"),"",VLOOKUP($G55,為替!$A:$AX,$I55,FALSE)))</f>
        <v>155.37</v>
      </c>
      <c r="K55" s="204">
        <f t="shared" si="2"/>
        <v>102412.1355</v>
      </c>
      <c r="L55" s="188">
        <f t="shared" si="3"/>
        <v>3</v>
      </c>
      <c r="M55" s="203">
        <f>IF($H55="USD",IF(OR($L55="",$L55="-"),"",VLOOKUP($G55,為替!$A:$AX,$L55,FALSE))+$K$3,IF(OR($L55="",$L55="-"),"",VLOOKUP($G55,為替!$A:$AX,$L55,FALSE)))</f>
        <v>156.37</v>
      </c>
      <c r="N55" s="204">
        <f t="shared" si="4"/>
        <v>97273.085900000005</v>
      </c>
      <c r="O55" s="205">
        <f t="shared" si="0"/>
        <v>5139.0495999999985</v>
      </c>
      <c r="P55" s="206">
        <f t="shared" si="5"/>
        <v>5.0180084370958153E-2</v>
      </c>
    </row>
    <row r="56" spans="1:16" x14ac:dyDescent="0.4">
      <c r="A56" s="162" t="s">
        <v>314</v>
      </c>
      <c r="B56" s="162">
        <v>6329</v>
      </c>
      <c r="C56" s="199">
        <v>670.64</v>
      </c>
      <c r="D56" s="200">
        <v>0</v>
      </c>
      <c r="E56" s="201" t="s">
        <v>246</v>
      </c>
      <c r="F56" s="199">
        <v>710.58</v>
      </c>
      <c r="G56" s="161">
        <v>45497</v>
      </c>
      <c r="H56" s="202" t="s">
        <v>246</v>
      </c>
      <c r="I56" s="185">
        <f t="shared" si="1"/>
        <v>4</v>
      </c>
      <c r="J56" s="203">
        <f>IF($H56="USD",IF(OR($I56="",$I56="-"),"",VLOOKUP($G56,為替!$A:$AX,$I56,FALSE))+$J$3,IF(OR($I56="",$I56="-"),"",VLOOKUP($G56,為替!$A:$AX,$I56,FALSE)))</f>
        <v>155.37</v>
      </c>
      <c r="K56" s="204">
        <f t="shared" si="2"/>
        <v>110402.81460000001</v>
      </c>
      <c r="L56" s="188">
        <f t="shared" si="3"/>
        <v>3</v>
      </c>
      <c r="M56" s="203">
        <f>IF($H56="USD",IF(OR($L56="",$L56="-"),"",VLOOKUP($G56,為替!$A:$AX,$L56,FALSE))+$K$3,IF(OR($L56="",$L56="-"),"",VLOOKUP($G56,為替!$A:$AX,$L56,FALSE)))</f>
        <v>156.37</v>
      </c>
      <c r="N56" s="204">
        <f t="shared" si="4"/>
        <v>104867.9768</v>
      </c>
      <c r="O56" s="205">
        <f t="shared" si="0"/>
        <v>5534.8378000000084</v>
      </c>
      <c r="P56" s="206">
        <f t="shared" si="5"/>
        <v>5.0133122240164411E-2</v>
      </c>
    </row>
    <row r="57" spans="1:16" x14ac:dyDescent="0.4">
      <c r="A57" s="162" t="s">
        <v>314</v>
      </c>
      <c r="B57" s="162">
        <v>6377</v>
      </c>
      <c r="C57" s="199">
        <v>2851.68</v>
      </c>
      <c r="D57" s="200">
        <v>0</v>
      </c>
      <c r="E57" s="201" t="s">
        <v>246</v>
      </c>
      <c r="F57" s="199">
        <v>3021.41</v>
      </c>
      <c r="G57" s="161">
        <v>45498</v>
      </c>
      <c r="H57" s="202" t="s">
        <v>246</v>
      </c>
      <c r="I57" s="185">
        <f t="shared" si="1"/>
        <v>4</v>
      </c>
      <c r="J57" s="203">
        <f>IF($H57="USD",IF(OR($I57="",$I57="-"),"",VLOOKUP($G57,為替!$A:$AX,$I57,FALSE))+$J$3,IF(OR($I57="",$I57="-"),"",VLOOKUP($G57,為替!$A:$AX,$I57,FALSE)))</f>
        <v>152.86000000000001</v>
      </c>
      <c r="K57" s="204">
        <f t="shared" si="2"/>
        <v>461852.73260000005</v>
      </c>
      <c r="L57" s="188">
        <f t="shared" si="3"/>
        <v>3</v>
      </c>
      <c r="M57" s="203">
        <f>IF($H57="USD",IF(OR($L57="",$L57="-"),"",VLOOKUP($G57,為替!$A:$AX,$L57,FALSE))+$K$3,IF(OR($L57="",$L57="-"),"",VLOOKUP($G57,為替!$A:$AX,$L57,FALSE)))</f>
        <v>153.86000000000001</v>
      </c>
      <c r="N57" s="204">
        <f t="shared" si="4"/>
        <v>438759.48480000003</v>
      </c>
      <c r="O57" s="205">
        <f t="shared" si="0"/>
        <v>23093.247800000012</v>
      </c>
      <c r="P57" s="206">
        <f t="shared" si="5"/>
        <v>5.0001323300604E-2</v>
      </c>
    </row>
    <row r="58" spans="1:16" x14ac:dyDescent="0.4">
      <c r="A58" s="162" t="s">
        <v>313</v>
      </c>
      <c r="B58" s="162">
        <v>6378</v>
      </c>
      <c r="C58" s="199">
        <v>513.52</v>
      </c>
      <c r="D58" s="200">
        <v>0</v>
      </c>
      <c r="E58" s="201" t="s">
        <v>246</v>
      </c>
      <c r="F58" s="199">
        <v>554.4</v>
      </c>
      <c r="G58" s="161">
        <v>45498</v>
      </c>
      <c r="H58" s="202" t="s">
        <v>246</v>
      </c>
      <c r="I58" s="185">
        <f t="shared" si="1"/>
        <v>4</v>
      </c>
      <c r="J58" s="203">
        <f>IF($H58="USD",IF(OR($I58="",$I58="-"),"",VLOOKUP($G58,為替!$A:$AX,$I58,FALSE))+$J$3,IF(OR($I58="",$I58="-"),"",VLOOKUP($G58,為替!$A:$AX,$I58,FALSE)))</f>
        <v>152.86000000000001</v>
      </c>
      <c r="K58" s="204">
        <f t="shared" si="2"/>
        <v>84745.584000000003</v>
      </c>
      <c r="L58" s="188">
        <f t="shared" si="3"/>
        <v>3</v>
      </c>
      <c r="M58" s="203">
        <f>IF($H58="USD",IF(OR($L58="",$L58="-"),"",VLOOKUP($G58,為替!$A:$AX,$L58,FALSE))+$K$3,IF(OR($L58="",$L58="-"),"",VLOOKUP($G58,為替!$A:$AX,$L58,FALSE)))</f>
        <v>153.86000000000001</v>
      </c>
      <c r="N58" s="204">
        <f t="shared" si="4"/>
        <v>79010.1872</v>
      </c>
      <c r="O58" s="205">
        <f t="shared" si="0"/>
        <v>5735.3968000000023</v>
      </c>
      <c r="P58" s="206">
        <f t="shared" si="5"/>
        <v>6.7677824958997296E-2</v>
      </c>
    </row>
    <row r="59" spans="1:16" x14ac:dyDescent="0.4">
      <c r="A59" s="162" t="s">
        <v>313</v>
      </c>
      <c r="B59" s="162">
        <v>6337</v>
      </c>
      <c r="C59" s="199">
        <v>100.32</v>
      </c>
      <c r="D59" s="200">
        <v>0</v>
      </c>
      <c r="E59" s="201" t="s">
        <v>246</v>
      </c>
      <c r="F59" s="199">
        <v>107.57</v>
      </c>
      <c r="G59" s="161">
        <v>45499</v>
      </c>
      <c r="H59" s="202" t="s">
        <v>246</v>
      </c>
      <c r="I59" s="185">
        <f t="shared" si="1"/>
        <v>4</v>
      </c>
      <c r="J59" s="203">
        <f>IF($H59="USD",IF(OR($I59="",$I59="-"),"",VLOOKUP($G59,為替!$A:$AX,$I59,FALSE))+$J$3,IF(OR($I59="",$I59="-"),"",VLOOKUP($G59,為替!$A:$AX,$I59,FALSE)))</f>
        <v>153.63</v>
      </c>
      <c r="K59" s="204">
        <f t="shared" si="2"/>
        <v>16525.979099999997</v>
      </c>
      <c r="L59" s="188">
        <f t="shared" si="3"/>
        <v>3</v>
      </c>
      <c r="M59" s="203">
        <f>IF($H59="USD",IF(OR($L59="",$L59="-"),"",VLOOKUP($G59,為替!$A:$AX,$L59,FALSE))+$K$3,IF(OR($L59="",$L59="-"),"",VLOOKUP($G59,為替!$A:$AX,$L59,FALSE)))</f>
        <v>154.63</v>
      </c>
      <c r="N59" s="204">
        <f t="shared" si="4"/>
        <v>15512.481599999999</v>
      </c>
      <c r="O59" s="205">
        <f t="shared" si="0"/>
        <v>1013.4974999999977</v>
      </c>
      <c r="P59" s="206">
        <f t="shared" si="5"/>
        <v>6.132753126863133E-2</v>
      </c>
    </row>
    <row r="60" spans="1:16" x14ac:dyDescent="0.4">
      <c r="A60" s="162" t="s">
        <v>314</v>
      </c>
      <c r="B60" s="162">
        <v>6338</v>
      </c>
      <c r="C60" s="199">
        <v>465.41</v>
      </c>
      <c r="D60" s="200">
        <v>0</v>
      </c>
      <c r="E60" s="201" t="s">
        <v>246</v>
      </c>
      <c r="F60" s="199">
        <v>492.62</v>
      </c>
      <c r="G60" s="161">
        <v>45499</v>
      </c>
      <c r="H60" s="202" t="s">
        <v>246</v>
      </c>
      <c r="I60" s="185">
        <f t="shared" si="1"/>
        <v>4</v>
      </c>
      <c r="J60" s="203">
        <f>IF($H60="USD",IF(OR($I60="",$I60="-"),"",VLOOKUP($G60,為替!$A:$AX,$I60,FALSE))+$J$3,IF(OR($I60="",$I60="-"),"",VLOOKUP($G60,為替!$A:$AX,$I60,FALSE)))</f>
        <v>153.63</v>
      </c>
      <c r="K60" s="204">
        <f t="shared" si="2"/>
        <v>75681.210599999991</v>
      </c>
      <c r="L60" s="188">
        <f t="shared" si="3"/>
        <v>3</v>
      </c>
      <c r="M60" s="203">
        <f>IF($H60="USD",IF(OR($L60="",$L60="-"),"",VLOOKUP($G60,為替!$A:$AX,$L60,FALSE))+$K$3,IF(OR($L60="",$L60="-"),"",VLOOKUP($G60,為替!$A:$AX,$L60,FALSE)))</f>
        <v>154.63</v>
      </c>
      <c r="N60" s="204">
        <f t="shared" si="4"/>
        <v>71966.348299999998</v>
      </c>
      <c r="O60" s="205">
        <f t="shared" si="0"/>
        <v>3714.8622999999934</v>
      </c>
      <c r="P60" s="206">
        <f t="shared" si="5"/>
        <v>4.9085661692626174E-2</v>
      </c>
    </row>
    <row r="61" spans="1:16" x14ac:dyDescent="0.4">
      <c r="A61" s="162" t="s">
        <v>314</v>
      </c>
      <c r="B61" s="162">
        <v>6339</v>
      </c>
      <c r="C61" s="199">
        <v>284.8</v>
      </c>
      <c r="D61" s="200">
        <v>0</v>
      </c>
      <c r="E61" s="201" t="s">
        <v>246</v>
      </c>
      <c r="F61" s="199">
        <v>300.8</v>
      </c>
      <c r="G61" s="161">
        <v>45499</v>
      </c>
      <c r="H61" s="202" t="s">
        <v>246</v>
      </c>
      <c r="I61" s="185">
        <f t="shared" si="1"/>
        <v>4</v>
      </c>
      <c r="J61" s="203">
        <f>IF($H61="USD",IF(OR($I61="",$I61="-"),"",VLOOKUP($G61,為替!$A:$AX,$I61,FALSE))+$J$3,IF(OR($I61="",$I61="-"),"",VLOOKUP($G61,為替!$A:$AX,$I61,FALSE)))</f>
        <v>153.63</v>
      </c>
      <c r="K61" s="204">
        <f t="shared" si="2"/>
        <v>46211.904000000002</v>
      </c>
      <c r="L61" s="188">
        <f t="shared" si="3"/>
        <v>3</v>
      </c>
      <c r="M61" s="203">
        <f>IF($H61="USD",IF(OR($L61="",$L61="-"),"",VLOOKUP($G61,為替!$A:$AX,$L61,FALSE))+$K$3,IF(OR($L61="",$L61="-"),"",VLOOKUP($G61,為替!$A:$AX,$L61,FALSE)))</f>
        <v>154.63</v>
      </c>
      <c r="N61" s="204">
        <f t="shared" si="4"/>
        <v>44038.624000000003</v>
      </c>
      <c r="O61" s="205">
        <f t="shared" si="0"/>
        <v>2173.2799999999988</v>
      </c>
      <c r="P61" s="206">
        <f t="shared" si="5"/>
        <v>4.7028575148083028E-2</v>
      </c>
    </row>
    <row r="62" spans="1:16" x14ac:dyDescent="0.4">
      <c r="A62" s="162" t="s">
        <v>313</v>
      </c>
      <c r="B62" s="162">
        <v>6351</v>
      </c>
      <c r="C62" s="199">
        <v>33.200000000000003</v>
      </c>
      <c r="D62" s="200">
        <v>0</v>
      </c>
      <c r="E62" s="201" t="s">
        <v>246</v>
      </c>
      <c r="F62" s="199">
        <v>36.299999999999997</v>
      </c>
      <c r="G62" s="161">
        <v>45503</v>
      </c>
      <c r="H62" s="202" t="s">
        <v>246</v>
      </c>
      <c r="I62" s="185">
        <f t="shared" si="1"/>
        <v>4</v>
      </c>
      <c r="J62" s="203">
        <f>IF($H62="USD",IF(OR($I62="",$I62="-"),"",VLOOKUP($G62,為替!$A:$AX,$I62,FALSE))+$J$3,IF(OR($I62="",$I62="-"),"",VLOOKUP($G62,為替!$A:$AX,$I62,FALSE)))</f>
        <v>153.58000000000001</v>
      </c>
      <c r="K62" s="204">
        <f t="shared" si="2"/>
        <v>5574.9539999999997</v>
      </c>
      <c r="L62" s="188">
        <f t="shared" si="3"/>
        <v>3</v>
      </c>
      <c r="M62" s="203">
        <f>IF($H62="USD",IF(OR($L62="",$L62="-"),"",VLOOKUP($G62,為替!$A:$AX,$L62,FALSE))+$K$3,IF(OR($L62="",$L62="-"),"",VLOOKUP($G62,為替!$A:$AX,$L62,FALSE)))</f>
        <v>154.58000000000001</v>
      </c>
      <c r="N62" s="204">
        <f t="shared" si="4"/>
        <v>5132.0560000000005</v>
      </c>
      <c r="O62" s="205">
        <f t="shared" si="0"/>
        <v>442.89799999999923</v>
      </c>
      <c r="P62" s="206">
        <f t="shared" si="5"/>
        <v>7.944424294801343E-2</v>
      </c>
    </row>
    <row r="63" spans="1:16" x14ac:dyDescent="0.4">
      <c r="A63" s="162" t="s">
        <v>314</v>
      </c>
      <c r="B63" s="162">
        <v>6352</v>
      </c>
      <c r="C63" s="199">
        <v>108.4</v>
      </c>
      <c r="D63" s="200">
        <v>0</v>
      </c>
      <c r="E63" s="201" t="s">
        <v>246</v>
      </c>
      <c r="F63" s="199">
        <v>114.1</v>
      </c>
      <c r="G63" s="161">
        <v>45504</v>
      </c>
      <c r="H63" s="202" t="s">
        <v>246</v>
      </c>
      <c r="I63" s="185">
        <f t="shared" si="1"/>
        <v>4</v>
      </c>
      <c r="J63" s="203">
        <f>IF($H63="USD",IF(OR($I63="",$I63="-"),"",VLOOKUP($G63,為替!$A:$AX,$I63,FALSE))+$J$3,IF(OR($I63="",$I63="-"),"",VLOOKUP($G63,為替!$A:$AX,$I63,FALSE)))</f>
        <v>151.94</v>
      </c>
      <c r="K63" s="204">
        <f t="shared" si="2"/>
        <v>17336.353999999999</v>
      </c>
      <c r="L63" s="188">
        <f t="shared" si="3"/>
        <v>3</v>
      </c>
      <c r="M63" s="203">
        <f>IF($H63="USD",IF(OR($L63="",$L63="-"),"",VLOOKUP($G63,為替!$A:$AX,$L63,FALSE))+$K$3,IF(OR($L63="",$L63="-"),"",VLOOKUP($G63,為替!$A:$AX,$L63,FALSE)))</f>
        <v>152.94</v>
      </c>
      <c r="N63" s="204">
        <f t="shared" si="4"/>
        <v>16578.696</v>
      </c>
      <c r="O63" s="205">
        <f t="shared" si="0"/>
        <v>757.65799999999945</v>
      </c>
      <c r="P63" s="206">
        <f t="shared" si="5"/>
        <v>4.370342229975227E-2</v>
      </c>
    </row>
    <row r="64" spans="1:16" x14ac:dyDescent="0.4">
      <c r="A64" s="162" t="s">
        <v>314</v>
      </c>
      <c r="B64" s="162">
        <v>6353</v>
      </c>
      <c r="C64" s="199">
        <v>679.44</v>
      </c>
      <c r="D64" s="200">
        <v>0</v>
      </c>
      <c r="E64" s="201" t="s">
        <v>246</v>
      </c>
      <c r="F64" s="199">
        <v>719.88</v>
      </c>
      <c r="G64" s="161">
        <v>45504</v>
      </c>
      <c r="H64" s="202" t="s">
        <v>246</v>
      </c>
      <c r="I64" s="185">
        <f t="shared" si="1"/>
        <v>4</v>
      </c>
      <c r="J64" s="203">
        <f>IF($H64="USD",IF(OR($I64="",$I64="-"),"",VLOOKUP($G64,為替!$A:$AX,$I64,FALSE))+$J$3,IF(OR($I64="",$I64="-"),"",VLOOKUP($G64,為替!$A:$AX,$I64,FALSE)))</f>
        <v>151.94</v>
      </c>
      <c r="K64" s="204">
        <f t="shared" si="2"/>
        <v>109378.56719999999</v>
      </c>
      <c r="L64" s="188">
        <f t="shared" si="3"/>
        <v>3</v>
      </c>
      <c r="M64" s="203">
        <f>IF($H64="USD",IF(OR($L64="",$L64="-"),"",VLOOKUP($G64,為替!$A:$AX,$L64,FALSE))+$K$3,IF(OR($L64="",$L64="-"),"",VLOOKUP($G64,為替!$A:$AX,$L64,FALSE)))</f>
        <v>152.94</v>
      </c>
      <c r="N64" s="204">
        <f t="shared" si="4"/>
        <v>103913.55360000001</v>
      </c>
      <c r="O64" s="205">
        <f t="shared" si="0"/>
        <v>5465.0135999999766</v>
      </c>
      <c r="P64" s="206">
        <f t="shared" si="5"/>
        <v>4.9964209075870736E-2</v>
      </c>
    </row>
    <row r="65" spans="1:16" x14ac:dyDescent="0.4">
      <c r="A65" s="162" t="s">
        <v>314</v>
      </c>
      <c r="B65" s="162">
        <v>6354</v>
      </c>
      <c r="C65" s="199">
        <v>2412.0100000000002</v>
      </c>
      <c r="D65" s="200">
        <v>0</v>
      </c>
      <c r="E65" s="201" t="s">
        <v>246</v>
      </c>
      <c r="F65" s="199">
        <v>2555.5700000000002</v>
      </c>
      <c r="G65" s="161">
        <v>45504</v>
      </c>
      <c r="H65" s="202" t="s">
        <v>246</v>
      </c>
      <c r="I65" s="185">
        <f t="shared" si="1"/>
        <v>4</v>
      </c>
      <c r="J65" s="203">
        <f>IF($H65="USD",IF(OR($I65="",$I65="-"),"",VLOOKUP($G65,為替!$A:$AX,$I65,FALSE))+$J$3,IF(OR($I65="",$I65="-"),"",VLOOKUP($G65,為替!$A:$AX,$I65,FALSE)))</f>
        <v>151.94</v>
      </c>
      <c r="K65" s="204">
        <f t="shared" si="2"/>
        <v>388293.30580000003</v>
      </c>
      <c r="L65" s="188">
        <f t="shared" si="3"/>
        <v>3</v>
      </c>
      <c r="M65" s="203">
        <f>IF($H65="USD",IF(OR($L65="",$L65="-"),"",VLOOKUP($G65,為替!$A:$AX,$L65,FALSE))+$K$3,IF(OR($L65="",$L65="-"),"",VLOOKUP($G65,為替!$A:$AX,$L65,FALSE)))</f>
        <v>152.94</v>
      </c>
      <c r="N65" s="204">
        <f t="shared" si="4"/>
        <v>368892.80940000003</v>
      </c>
      <c r="O65" s="205">
        <f t="shared" si="0"/>
        <v>19400.496400000004</v>
      </c>
      <c r="P65" s="206">
        <f t="shared" si="5"/>
        <v>4.9963509826751185E-2</v>
      </c>
    </row>
    <row r="66" spans="1:16" x14ac:dyDescent="0.4">
      <c r="A66" s="162" t="s">
        <v>313</v>
      </c>
      <c r="B66" s="162">
        <v>6355</v>
      </c>
      <c r="C66" s="199">
        <v>3885.84</v>
      </c>
      <c r="D66" s="200">
        <v>0</v>
      </c>
      <c r="E66" s="201" t="s">
        <v>246</v>
      </c>
      <c r="F66" s="199">
        <v>4255.92</v>
      </c>
      <c r="G66" s="161">
        <v>45504</v>
      </c>
      <c r="H66" s="202" t="s">
        <v>246</v>
      </c>
      <c r="I66" s="185">
        <f t="shared" si="1"/>
        <v>4</v>
      </c>
      <c r="J66" s="203">
        <f>IF($H66="USD",IF(OR($I66="",$I66="-"),"",VLOOKUP($G66,為替!$A:$AX,$I66,FALSE))+$J$3,IF(OR($I66="",$I66="-"),"",VLOOKUP($G66,為替!$A:$AX,$I66,FALSE)))</f>
        <v>151.94</v>
      </c>
      <c r="K66" s="204">
        <f t="shared" si="2"/>
        <v>646644.48479999998</v>
      </c>
      <c r="L66" s="188">
        <f t="shared" si="3"/>
        <v>3</v>
      </c>
      <c r="M66" s="203">
        <f>IF($H66="USD",IF(OR($L66="",$L66="-"),"",VLOOKUP($G66,為替!$A:$AX,$L66,FALSE))+$K$3,IF(OR($L66="",$L66="-"),"",VLOOKUP($G66,為替!$A:$AX,$L66,FALSE)))</f>
        <v>152.94</v>
      </c>
      <c r="N66" s="204">
        <f t="shared" si="4"/>
        <v>594300.36959999998</v>
      </c>
      <c r="O66" s="205">
        <f t="shared" si="0"/>
        <v>52344.1152</v>
      </c>
      <c r="P66" s="206">
        <f t="shared" si="5"/>
        <v>8.0947284683313206E-2</v>
      </c>
    </row>
    <row r="67" spans="1:16" x14ac:dyDescent="0.4">
      <c r="A67" s="162" t="s">
        <v>313</v>
      </c>
      <c r="B67" s="162">
        <v>6356</v>
      </c>
      <c r="C67" s="199">
        <v>1147.77</v>
      </c>
      <c r="D67" s="200">
        <v>0</v>
      </c>
      <c r="E67" s="201" t="s">
        <v>246</v>
      </c>
      <c r="F67" s="199">
        <v>1257.0899999999999</v>
      </c>
      <c r="G67" s="161">
        <v>45504</v>
      </c>
      <c r="H67" s="202" t="s">
        <v>246</v>
      </c>
      <c r="I67" s="185">
        <f t="shared" si="1"/>
        <v>4</v>
      </c>
      <c r="J67" s="203">
        <f>IF($H67="USD",IF(OR($I67="",$I67="-"),"",VLOOKUP($G67,為替!$A:$AX,$I67,FALSE))+$J$3,IF(OR($I67="",$I67="-"),"",VLOOKUP($G67,為替!$A:$AX,$I67,FALSE)))</f>
        <v>151.94</v>
      </c>
      <c r="K67" s="204">
        <f t="shared" si="2"/>
        <v>191002.25459999999</v>
      </c>
      <c r="L67" s="188">
        <f t="shared" si="3"/>
        <v>3</v>
      </c>
      <c r="M67" s="203">
        <f>IF($H67="USD",IF(OR($L67="",$L67="-"),"",VLOOKUP($G67,為替!$A:$AX,$L67,FALSE))+$K$3,IF(OR($L67="",$L67="-"),"",VLOOKUP($G67,為替!$A:$AX,$L67,FALSE)))</f>
        <v>152.94</v>
      </c>
      <c r="N67" s="204">
        <f t="shared" si="4"/>
        <v>175539.94380000001</v>
      </c>
      <c r="O67" s="205">
        <f t="shared" si="0"/>
        <v>15462.310799999977</v>
      </c>
      <c r="P67" s="206">
        <f t="shared" si="5"/>
        <v>8.09535512153058E-2</v>
      </c>
    </row>
    <row r="68" spans="1:16" x14ac:dyDescent="0.4">
      <c r="A68" s="162" t="s">
        <v>313</v>
      </c>
      <c r="B68" s="162">
        <v>6357</v>
      </c>
      <c r="C68" s="199">
        <v>12326.33</v>
      </c>
      <c r="D68" s="200">
        <v>0</v>
      </c>
      <c r="E68" s="201" t="s">
        <v>246</v>
      </c>
      <c r="F68" s="199">
        <v>13500.82</v>
      </c>
      <c r="G68" s="161">
        <v>45504</v>
      </c>
      <c r="H68" s="202" t="s">
        <v>246</v>
      </c>
      <c r="I68" s="185">
        <f t="shared" si="1"/>
        <v>4</v>
      </c>
      <c r="J68" s="203">
        <f>IF($H68="USD",IF(OR($I68="",$I68="-"),"",VLOOKUP($G68,為替!$A:$AX,$I68,FALSE))+$J$3,IF(OR($I68="",$I68="-"),"",VLOOKUP($G68,為替!$A:$AX,$I68,FALSE)))</f>
        <v>151.94</v>
      </c>
      <c r="K68" s="204">
        <f t="shared" si="2"/>
        <v>2051314.5907999999</v>
      </c>
      <c r="L68" s="188">
        <f t="shared" si="3"/>
        <v>3</v>
      </c>
      <c r="M68" s="203">
        <f>IF($H68="USD",IF(OR($L68="",$L68="-"),"",VLOOKUP($G68,為替!$A:$AX,$L68,FALSE))+$K$3,IF(OR($L68="",$L68="-"),"",VLOOKUP($G68,為替!$A:$AX,$L68,FALSE)))</f>
        <v>152.94</v>
      </c>
      <c r="N68" s="204">
        <f t="shared" si="4"/>
        <v>1885188.9102</v>
      </c>
      <c r="O68" s="205">
        <f t="shared" si="0"/>
        <v>166125.68059999985</v>
      </c>
      <c r="P68" s="206">
        <f t="shared" si="5"/>
        <v>8.0984984626474021E-2</v>
      </c>
    </row>
    <row r="69" spans="1:16" x14ac:dyDescent="0.4">
      <c r="A69" s="162" t="s">
        <v>313</v>
      </c>
      <c r="B69" s="162">
        <v>6358</v>
      </c>
      <c r="C69" s="199">
        <v>838.65</v>
      </c>
      <c r="D69" s="200">
        <v>0</v>
      </c>
      <c r="E69" s="201" t="s">
        <v>310</v>
      </c>
      <c r="F69" s="199">
        <v>918.53</v>
      </c>
      <c r="G69" s="161">
        <v>45504</v>
      </c>
      <c r="H69" s="202" t="s">
        <v>246</v>
      </c>
      <c r="I69" s="185">
        <f t="shared" si="1"/>
        <v>4</v>
      </c>
      <c r="J69" s="203">
        <f>IF($H69="USD",IF(OR($I69="",$I69="-"),"",VLOOKUP($G69,為替!$A:$AX,$I69,FALSE))+$J$3,IF(OR($I69="",$I69="-"),"",VLOOKUP($G69,為替!$A:$AX,$I69,FALSE)))</f>
        <v>151.94</v>
      </c>
      <c r="K69" s="204">
        <f t="shared" si="2"/>
        <v>139561.44819999998</v>
      </c>
      <c r="L69" s="188">
        <f t="shared" si="3"/>
        <v>3</v>
      </c>
      <c r="M69" s="203">
        <f>IF($H69="USD",IF(OR($L69="",$L69="-"),"",VLOOKUP($G69,為替!$A:$AX,$L69,FALSE))+$K$3,IF(OR($L69="",$L69="-"),"",VLOOKUP($G69,為替!$A:$AX,$L69,FALSE)))</f>
        <v>152.94</v>
      </c>
      <c r="N69" s="204">
        <f t="shared" si="4"/>
        <v>128263.13099999999</v>
      </c>
      <c r="O69" s="205">
        <f t="shared" si="0"/>
        <v>11298.31719999999</v>
      </c>
      <c r="P69" s="206">
        <f t="shared" si="5"/>
        <v>8.0955860989696954E-2</v>
      </c>
    </row>
    <row r="70" spans="1:16" x14ac:dyDescent="0.4">
      <c r="A70" s="162" t="s">
        <v>313</v>
      </c>
      <c r="B70" s="162">
        <v>6359</v>
      </c>
      <c r="C70" s="199">
        <v>2236.41</v>
      </c>
      <c r="D70" s="200">
        <v>0</v>
      </c>
      <c r="E70" s="201" t="s">
        <v>311</v>
      </c>
      <c r="F70" s="199">
        <v>2449.41</v>
      </c>
      <c r="G70" s="161">
        <v>45504</v>
      </c>
      <c r="H70" s="202" t="s">
        <v>246</v>
      </c>
      <c r="I70" s="185">
        <f t="shared" si="1"/>
        <v>4</v>
      </c>
      <c r="J70" s="203">
        <f>IF($H70="USD",IF(OR($I70="",$I70="-"),"",VLOOKUP($G70,為替!$A:$AX,$I70,FALSE))+$J$3,IF(OR($I70="",$I70="-"),"",VLOOKUP($G70,為替!$A:$AX,$I70,FALSE)))</f>
        <v>151.94</v>
      </c>
      <c r="K70" s="204">
        <f t="shared" si="2"/>
        <v>372163.3554</v>
      </c>
      <c r="L70" s="188">
        <f t="shared" si="3"/>
        <v>3</v>
      </c>
      <c r="M70" s="203">
        <f>IF($H70="USD",IF(OR($L70="",$L70="-"),"",VLOOKUP($G70,為替!$A:$AX,$L70,FALSE))+$K$3,IF(OR($L70="",$L70="-"),"",VLOOKUP($G70,為替!$A:$AX,$L70,FALSE)))</f>
        <v>152.94</v>
      </c>
      <c r="N70" s="204">
        <f t="shared" si="4"/>
        <v>342036.54539999994</v>
      </c>
      <c r="O70" s="205">
        <f t="shared" ref="O70:O133" si="6">IF(OR(K70="",N70=""),"",K70-N70)</f>
        <v>30126.810000000056</v>
      </c>
      <c r="P70" s="206">
        <f t="shared" si="5"/>
        <v>8.0950500802584008E-2</v>
      </c>
    </row>
    <row r="71" spans="1:16" x14ac:dyDescent="0.4">
      <c r="A71" s="162" t="s">
        <v>313</v>
      </c>
      <c r="B71" s="162">
        <v>6360</v>
      </c>
      <c r="C71" s="199">
        <v>1327.56</v>
      </c>
      <c r="D71" s="200">
        <v>0</v>
      </c>
      <c r="E71" s="201" t="s">
        <v>246</v>
      </c>
      <c r="F71" s="199">
        <v>1454.18</v>
      </c>
      <c r="G71" s="161">
        <v>45504</v>
      </c>
      <c r="H71" s="202" t="s">
        <v>246</v>
      </c>
      <c r="I71" s="185">
        <f t="shared" ref="I71:I134" si="7">IF(H71="","",IF(H71="JPY","",IF($H71="USD",4, IF(H71="EUR",7,IF(H71="CNY",47,IF(H71="HKD",34))))))</f>
        <v>4</v>
      </c>
      <c r="J71" s="203">
        <f>IF($H71="USD",IF(OR($I71="",$I71="-"),"",VLOOKUP($G71,為替!$A:$AX,$I71,FALSE))+$J$3,IF(OR($I71="",$I71="-"),"",VLOOKUP($G71,為替!$A:$AX,$I71,FALSE)))</f>
        <v>151.94</v>
      </c>
      <c r="K71" s="204">
        <f t="shared" ref="K71:K134" si="8">IF($H71="JPY",$F71,IF($H71="","",$F71*$J71))</f>
        <v>220948.10920000001</v>
      </c>
      <c r="L71" s="188">
        <f t="shared" ref="L71:L134" si="9">IF(H71="","",IF(H71="JPY","",IF($H71="USD",3, IF(H71="EUR",6,IF(H71="CNY",46,IF(H71="HKD",33))))))</f>
        <v>3</v>
      </c>
      <c r="M71" s="203">
        <f>IF($H71="USD",IF(OR($L71="",$L71="-"),"",VLOOKUP($G71,為替!$A:$AX,$L71,FALSE))+$K$3,IF(OR($L71="",$L71="-"),"",VLOOKUP($G71,為替!$A:$AX,$L71,FALSE)))</f>
        <v>152.94</v>
      </c>
      <c r="N71" s="204">
        <f t="shared" ref="N71:N134" si="10">IF($E71="JPY",($C71+$D71),IF($E71="","",($C71+$D71)*$M71))</f>
        <v>203037.0264</v>
      </c>
      <c r="O71" s="205">
        <f t="shared" si="6"/>
        <v>17911.082800000004</v>
      </c>
      <c r="P71" s="206">
        <f t="shared" ref="P71:P134" si="11">IF(OR(K71="",O71=""),"",O71/K71)</f>
        <v>8.1064657510995355E-2</v>
      </c>
    </row>
    <row r="72" spans="1:16" x14ac:dyDescent="0.4">
      <c r="A72" s="162" t="s">
        <v>313</v>
      </c>
      <c r="B72" s="162">
        <v>6361</v>
      </c>
      <c r="C72" s="199">
        <v>1795.33</v>
      </c>
      <c r="D72" s="200">
        <v>0</v>
      </c>
      <c r="E72" s="201" t="s">
        <v>246</v>
      </c>
      <c r="F72" s="199">
        <v>1966.46</v>
      </c>
      <c r="G72" s="161">
        <v>45504</v>
      </c>
      <c r="H72" s="202" t="s">
        <v>246</v>
      </c>
      <c r="I72" s="185">
        <f t="shared" si="7"/>
        <v>4</v>
      </c>
      <c r="J72" s="203">
        <f>IF($H72="USD",IF(OR($I72="",$I72="-"),"",VLOOKUP($G72,為替!$A:$AX,$I72,FALSE))+$J$3,IF(OR($I72="",$I72="-"),"",VLOOKUP($G72,為替!$A:$AX,$I72,FALSE)))</f>
        <v>151.94</v>
      </c>
      <c r="K72" s="204">
        <f t="shared" si="8"/>
        <v>298783.93239999999</v>
      </c>
      <c r="L72" s="188">
        <f t="shared" si="9"/>
        <v>3</v>
      </c>
      <c r="M72" s="203">
        <f>IF($H72="USD",IF(OR($L72="",$L72="-"),"",VLOOKUP($G72,為替!$A:$AX,$L72,FALSE))+$K$3,IF(OR($L72="",$L72="-"),"",VLOOKUP($G72,為替!$A:$AX,$L72,FALSE)))</f>
        <v>152.94</v>
      </c>
      <c r="N72" s="204">
        <f t="shared" si="10"/>
        <v>274577.77019999997</v>
      </c>
      <c r="O72" s="205">
        <f t="shared" si="6"/>
        <v>24206.162200000021</v>
      </c>
      <c r="P72" s="206">
        <f t="shared" si="11"/>
        <v>8.1015608856749965E-2</v>
      </c>
    </row>
    <row r="73" spans="1:16" x14ac:dyDescent="0.4">
      <c r="A73" s="162" t="s">
        <v>312</v>
      </c>
      <c r="B73" s="162">
        <v>6185</v>
      </c>
      <c r="C73" s="199">
        <v>387896</v>
      </c>
      <c r="D73" s="200">
        <v>0</v>
      </c>
      <c r="E73" s="201" t="s">
        <v>247</v>
      </c>
      <c r="F73" s="199">
        <v>485045</v>
      </c>
      <c r="G73" s="161">
        <v>45447</v>
      </c>
      <c r="H73" s="202" t="s">
        <v>247</v>
      </c>
      <c r="I73" s="185" t="str">
        <f t="shared" si="7"/>
        <v/>
      </c>
      <c r="J73" s="203" t="str">
        <f>IF($H73="USD",IF(OR($I73="",$I73="-"),"",VLOOKUP($G73,為替!$A:$AX,$I73,FALSE))+$J$3,IF(OR($I73="",$I73="-"),"",VLOOKUP($G73,為替!$A:$AX,$I73,FALSE)))</f>
        <v/>
      </c>
      <c r="K73" s="204">
        <f t="shared" si="8"/>
        <v>485045</v>
      </c>
      <c r="L73" s="188" t="str">
        <f t="shared" si="9"/>
        <v/>
      </c>
      <c r="M73" s="203" t="str">
        <f>IF($H73="USD",IF(OR($L73="",$L73="-"),"",VLOOKUP($G73,為替!$A:$AX,$L73,FALSE))+$K$3,IF(OR($L73="",$L73="-"),"",VLOOKUP($G73,為替!$A:$AX,$L73,FALSE)))</f>
        <v/>
      </c>
      <c r="N73" s="204">
        <f t="shared" si="10"/>
        <v>387896</v>
      </c>
      <c r="O73" s="205">
        <f t="shared" si="6"/>
        <v>97149</v>
      </c>
      <c r="P73" s="206">
        <f t="shared" si="11"/>
        <v>0.20028863301343175</v>
      </c>
    </row>
    <row r="74" spans="1:16" x14ac:dyDescent="0.4">
      <c r="A74" s="162" t="s">
        <v>312</v>
      </c>
      <c r="B74" s="162">
        <v>6225</v>
      </c>
      <c r="C74" s="199">
        <v>497848</v>
      </c>
      <c r="D74" s="200">
        <v>0</v>
      </c>
      <c r="E74" s="201" t="s">
        <v>247</v>
      </c>
      <c r="F74" s="199">
        <v>641005</v>
      </c>
      <c r="G74" s="161">
        <v>45456</v>
      </c>
      <c r="H74" s="202" t="s">
        <v>247</v>
      </c>
      <c r="I74" s="185" t="str">
        <f t="shared" si="7"/>
        <v/>
      </c>
      <c r="J74" s="203" t="str">
        <f>IF($H74="USD",IF(OR($I74="",$I74="-"),"",VLOOKUP($G74,為替!$A:$AX,$I74,FALSE))+$J$3,IF(OR($I74="",$I74="-"),"",VLOOKUP($G74,為替!$A:$AX,$I74,FALSE)))</f>
        <v/>
      </c>
      <c r="K74" s="204">
        <f t="shared" si="8"/>
        <v>641005</v>
      </c>
      <c r="L74" s="188" t="str">
        <f t="shared" si="9"/>
        <v/>
      </c>
      <c r="M74" s="203" t="str">
        <f>IF($H74="USD",IF(OR($L74="",$L74="-"),"",VLOOKUP($G74,為替!$A:$AX,$L74,FALSE))+$K$3,IF(OR($L74="",$L74="-"),"",VLOOKUP($G74,為替!$A:$AX,$L74,FALSE)))</f>
        <v/>
      </c>
      <c r="N74" s="204">
        <f t="shared" si="10"/>
        <v>497848</v>
      </c>
      <c r="O74" s="205">
        <f t="shared" si="6"/>
        <v>143157</v>
      </c>
      <c r="P74" s="206">
        <f t="shared" si="11"/>
        <v>0.22333211129398367</v>
      </c>
    </row>
    <row r="75" spans="1:16" x14ac:dyDescent="0.4">
      <c r="A75" s="162" t="s">
        <v>312</v>
      </c>
      <c r="B75" s="162">
        <v>6240</v>
      </c>
      <c r="C75" s="199">
        <v>221346</v>
      </c>
      <c r="D75" s="200">
        <v>0</v>
      </c>
      <c r="E75" s="201" t="s">
        <v>247</v>
      </c>
      <c r="F75" s="199">
        <v>290880</v>
      </c>
      <c r="G75" s="161">
        <v>45463</v>
      </c>
      <c r="H75" s="202" t="s">
        <v>247</v>
      </c>
      <c r="I75" s="185" t="str">
        <f t="shared" si="7"/>
        <v/>
      </c>
      <c r="J75" s="203" t="str">
        <f>IF($H75="USD",IF(OR($I75="",$I75="-"),"",VLOOKUP($G75,為替!$A:$AX,$I75,FALSE))+$J$3,IF(OR($I75="",$I75="-"),"",VLOOKUP($G75,為替!$A:$AX,$I75,FALSE)))</f>
        <v/>
      </c>
      <c r="K75" s="204">
        <f t="shared" si="8"/>
        <v>290880</v>
      </c>
      <c r="L75" s="188" t="str">
        <f t="shared" si="9"/>
        <v/>
      </c>
      <c r="M75" s="203" t="str">
        <f>IF($H75="USD",IF(OR($L75="",$L75="-"),"",VLOOKUP($G75,為替!$A:$AX,$L75,FALSE))+$K$3,IF(OR($L75="",$L75="-"),"",VLOOKUP($G75,為替!$A:$AX,$L75,FALSE)))</f>
        <v/>
      </c>
      <c r="N75" s="204">
        <f t="shared" si="10"/>
        <v>221346</v>
      </c>
      <c r="O75" s="205">
        <f t="shared" si="6"/>
        <v>69534</v>
      </c>
      <c r="P75" s="206">
        <f t="shared" si="11"/>
        <v>0.23904702970297029</v>
      </c>
    </row>
    <row r="76" spans="1:16" x14ac:dyDescent="0.4">
      <c r="A76" s="162" t="s">
        <v>312</v>
      </c>
      <c r="B76" s="162">
        <v>6251</v>
      </c>
      <c r="C76" s="199">
        <v>270419</v>
      </c>
      <c r="D76" s="200">
        <v>0</v>
      </c>
      <c r="E76" s="201" t="s">
        <v>247</v>
      </c>
      <c r="F76" s="199">
        <v>342280</v>
      </c>
      <c r="G76" s="161">
        <v>45470</v>
      </c>
      <c r="H76" s="202" t="s">
        <v>247</v>
      </c>
      <c r="I76" s="185" t="str">
        <f t="shared" si="7"/>
        <v/>
      </c>
      <c r="J76" s="203" t="str">
        <f>IF($H76="USD",IF(OR($I76="",$I76="-"),"",VLOOKUP($G76,為替!$A:$AX,$I76,FALSE))+$J$3,IF(OR($I76="",$I76="-"),"",VLOOKUP($G76,為替!$A:$AX,$I76,FALSE)))</f>
        <v/>
      </c>
      <c r="K76" s="204">
        <f t="shared" si="8"/>
        <v>342280</v>
      </c>
      <c r="L76" s="188" t="str">
        <f t="shared" si="9"/>
        <v/>
      </c>
      <c r="M76" s="203" t="str">
        <f>IF($H76="USD",IF(OR($L76="",$L76="-"),"",VLOOKUP($G76,為替!$A:$AX,$L76,FALSE))+$K$3,IF(OR($L76="",$L76="-"),"",VLOOKUP($G76,為替!$A:$AX,$L76,FALSE)))</f>
        <v/>
      </c>
      <c r="N76" s="204">
        <f t="shared" si="10"/>
        <v>270419</v>
      </c>
      <c r="O76" s="205">
        <f t="shared" si="6"/>
        <v>71861</v>
      </c>
      <c r="P76" s="206">
        <f t="shared" si="11"/>
        <v>0.20994799579291809</v>
      </c>
    </row>
    <row r="77" spans="1:16" x14ac:dyDescent="0.4">
      <c r="A77" s="162" t="s">
        <v>312</v>
      </c>
      <c r="B77" s="162">
        <v>6275</v>
      </c>
      <c r="C77" s="199">
        <v>234320</v>
      </c>
      <c r="D77" s="200">
        <v>0</v>
      </c>
      <c r="E77" s="201" t="s">
        <v>247</v>
      </c>
      <c r="F77" s="199">
        <v>299830</v>
      </c>
      <c r="G77" s="161">
        <v>45478</v>
      </c>
      <c r="H77" s="202" t="s">
        <v>247</v>
      </c>
      <c r="I77" s="185" t="str">
        <f t="shared" si="7"/>
        <v/>
      </c>
      <c r="J77" s="203" t="str">
        <f>IF($H77="USD",IF(OR($I77="",$I77="-"),"",VLOOKUP($G77,為替!$A:$AX,$I77,FALSE))+$J$3,IF(OR($I77="",$I77="-"),"",VLOOKUP($G77,為替!$A:$AX,$I77,FALSE)))</f>
        <v/>
      </c>
      <c r="K77" s="204">
        <f t="shared" si="8"/>
        <v>299830</v>
      </c>
      <c r="L77" s="188" t="str">
        <f t="shared" si="9"/>
        <v/>
      </c>
      <c r="M77" s="203" t="str">
        <f>IF($H77="USD",IF(OR($L77="",$L77="-"),"",VLOOKUP($G77,為替!$A:$AX,$L77,FALSE))+$K$3,IF(OR($L77="",$L77="-"),"",VLOOKUP($G77,為替!$A:$AX,$L77,FALSE)))</f>
        <v/>
      </c>
      <c r="N77" s="204">
        <f t="shared" si="10"/>
        <v>234320</v>
      </c>
      <c r="O77" s="205">
        <f t="shared" si="6"/>
        <v>65510</v>
      </c>
      <c r="P77" s="206">
        <f t="shared" si="11"/>
        <v>0.21849047793749793</v>
      </c>
    </row>
    <row r="78" spans="1:16" x14ac:dyDescent="0.4">
      <c r="A78" s="162" t="s">
        <v>312</v>
      </c>
      <c r="B78" s="162">
        <v>6289</v>
      </c>
      <c r="C78" s="199">
        <v>136312</v>
      </c>
      <c r="D78" s="200">
        <v>0</v>
      </c>
      <c r="E78" s="201" t="s">
        <v>247</v>
      </c>
      <c r="F78" s="199">
        <v>172070</v>
      </c>
      <c r="G78" s="161">
        <v>45484</v>
      </c>
      <c r="H78" s="202" t="s">
        <v>247</v>
      </c>
      <c r="I78" s="185" t="str">
        <f t="shared" si="7"/>
        <v/>
      </c>
      <c r="J78" s="203" t="str">
        <f>IF($H78="USD",IF(OR($I78="",$I78="-"),"",VLOOKUP($G78,為替!$A:$AX,$I78,FALSE))+$J$3,IF(OR($I78="",$I78="-"),"",VLOOKUP($G78,為替!$A:$AX,$I78,FALSE)))</f>
        <v/>
      </c>
      <c r="K78" s="204">
        <f t="shared" si="8"/>
        <v>172070</v>
      </c>
      <c r="L78" s="188" t="str">
        <f t="shared" si="9"/>
        <v/>
      </c>
      <c r="M78" s="203" t="str">
        <f>IF($H78="USD",IF(OR($L78="",$L78="-"),"",VLOOKUP($G78,為替!$A:$AX,$L78,FALSE))+$K$3,IF(OR($L78="",$L78="-"),"",VLOOKUP($G78,為替!$A:$AX,$L78,FALSE)))</f>
        <v/>
      </c>
      <c r="N78" s="204">
        <f t="shared" si="10"/>
        <v>136312</v>
      </c>
      <c r="O78" s="205">
        <f t="shared" si="6"/>
        <v>35758</v>
      </c>
      <c r="P78" s="206">
        <f t="shared" si="11"/>
        <v>0.20781077468472134</v>
      </c>
    </row>
    <row r="79" spans="1:16" x14ac:dyDescent="0.4">
      <c r="A79" s="162" t="s">
        <v>312</v>
      </c>
      <c r="B79" s="162">
        <v>6326</v>
      </c>
      <c r="C79" s="199">
        <v>253174</v>
      </c>
      <c r="D79" s="200">
        <v>0</v>
      </c>
      <c r="E79" s="201" t="s">
        <v>247</v>
      </c>
      <c r="F79" s="199">
        <v>317690</v>
      </c>
      <c r="G79" s="161">
        <v>45497</v>
      </c>
      <c r="H79" s="202" t="s">
        <v>247</v>
      </c>
      <c r="I79" s="185" t="str">
        <f t="shared" si="7"/>
        <v/>
      </c>
      <c r="J79" s="203" t="str">
        <f>IF($H79="USD",IF(OR($I79="",$I79="-"),"",VLOOKUP($G79,為替!$A:$AX,$I79,FALSE))+$J$3,IF(OR($I79="",$I79="-"),"",VLOOKUP($G79,為替!$A:$AX,$I79,FALSE)))</f>
        <v/>
      </c>
      <c r="K79" s="204">
        <f t="shared" si="8"/>
        <v>317690</v>
      </c>
      <c r="L79" s="188" t="str">
        <f t="shared" si="9"/>
        <v/>
      </c>
      <c r="M79" s="203" t="str">
        <f>IF($H79="USD",IF(OR($L79="",$L79="-"),"",VLOOKUP($G79,為替!$A:$AX,$L79,FALSE))+$K$3,IF(OR($L79="",$L79="-"),"",VLOOKUP($G79,為替!$A:$AX,$L79,FALSE)))</f>
        <v/>
      </c>
      <c r="N79" s="204">
        <f t="shared" si="10"/>
        <v>253174</v>
      </c>
      <c r="O79" s="205">
        <f t="shared" si="6"/>
        <v>64516</v>
      </c>
      <c r="P79" s="206">
        <f t="shared" si="11"/>
        <v>0.20307847272498347</v>
      </c>
    </row>
    <row r="80" spans="1:16" x14ac:dyDescent="0.4">
      <c r="C80" s="199"/>
      <c r="D80" s="200"/>
      <c r="E80" s="201"/>
      <c r="F80" s="199"/>
      <c r="H80" s="202"/>
      <c r="I80" s="185" t="str">
        <f t="shared" si="7"/>
        <v/>
      </c>
      <c r="J80" s="203" t="str">
        <f>IF($H80="USD",IF(OR($I80="",$I80="-"),"",VLOOKUP($G80,為替!$A:$AX,$I80,FALSE))+$J$3,IF(OR($I80="",$I80="-"),"",VLOOKUP($G80,為替!$A:$AX,$I80,FALSE)))</f>
        <v/>
      </c>
      <c r="K80" s="204" t="str">
        <f t="shared" si="8"/>
        <v/>
      </c>
      <c r="L80" s="188" t="str">
        <f t="shared" si="9"/>
        <v/>
      </c>
      <c r="M80" s="203" t="str">
        <f>IF($H80="USD",IF(OR($L80="",$L80="-"),"",VLOOKUP($G80,為替!$A:$AX,$L80,FALSE))+$K$3,IF(OR($L80="",$L80="-"),"",VLOOKUP($G80,為替!$A:$AX,$L80,FALSE)))</f>
        <v/>
      </c>
      <c r="N80" s="204" t="str">
        <f t="shared" si="10"/>
        <v/>
      </c>
      <c r="O80" s="205" t="str">
        <f t="shared" si="6"/>
        <v/>
      </c>
      <c r="P80" s="206" t="str">
        <f t="shared" si="11"/>
        <v/>
      </c>
    </row>
    <row r="81" spans="3:16" x14ac:dyDescent="0.4">
      <c r="C81" s="199"/>
      <c r="D81" s="200"/>
      <c r="E81" s="201"/>
      <c r="F81" s="199"/>
      <c r="H81" s="202"/>
      <c r="I81" s="185" t="str">
        <f t="shared" si="7"/>
        <v/>
      </c>
      <c r="J81" s="203" t="str">
        <f>IF($H81="USD",IF(OR($I81="",$I81="-"),"",VLOOKUP($G81,為替!$A:$AX,$I81,FALSE))+$J$3,IF(OR($I81="",$I81="-"),"",VLOOKUP($G81,為替!$A:$AX,$I81,FALSE)))</f>
        <v/>
      </c>
      <c r="K81" s="204" t="str">
        <f t="shared" si="8"/>
        <v/>
      </c>
      <c r="L81" s="188" t="str">
        <f t="shared" si="9"/>
        <v/>
      </c>
      <c r="M81" s="203" t="str">
        <f>IF($H81="USD",IF(OR($L81="",$L81="-"),"",VLOOKUP($G81,為替!$A:$AX,$L81,FALSE))+$K$3,IF(OR($L81="",$L81="-"),"",VLOOKUP($G81,為替!$A:$AX,$L81,FALSE)))</f>
        <v/>
      </c>
      <c r="N81" s="204" t="str">
        <f t="shared" si="10"/>
        <v/>
      </c>
      <c r="O81" s="205" t="str">
        <f t="shared" si="6"/>
        <v/>
      </c>
      <c r="P81" s="206" t="str">
        <f t="shared" si="11"/>
        <v/>
      </c>
    </row>
    <row r="82" spans="3:16" x14ac:dyDescent="0.4">
      <c r="C82" s="199"/>
      <c r="D82" s="200"/>
      <c r="E82" s="201"/>
      <c r="F82" s="199"/>
      <c r="H82" s="202"/>
      <c r="I82" s="185" t="str">
        <f t="shared" si="7"/>
        <v/>
      </c>
      <c r="J82" s="203" t="str">
        <f>IF($H82="USD",IF(OR($I82="",$I82="-"),"",VLOOKUP($G82,為替!$A:$AX,$I82,FALSE))+$J$3,IF(OR($I82="",$I82="-"),"",VLOOKUP($G82,為替!$A:$AX,$I82,FALSE)))</f>
        <v/>
      </c>
      <c r="K82" s="204" t="str">
        <f t="shared" si="8"/>
        <v/>
      </c>
      <c r="L82" s="188" t="str">
        <f t="shared" si="9"/>
        <v/>
      </c>
      <c r="M82" s="203" t="str">
        <f>IF($H82="USD",IF(OR($L82="",$L82="-"),"",VLOOKUP($G82,為替!$A:$AX,$L82,FALSE))+$K$3,IF(OR($L82="",$L82="-"),"",VLOOKUP($G82,為替!$A:$AX,$L82,FALSE)))</f>
        <v/>
      </c>
      <c r="N82" s="204" t="str">
        <f t="shared" si="10"/>
        <v/>
      </c>
      <c r="O82" s="205" t="str">
        <f t="shared" si="6"/>
        <v/>
      </c>
      <c r="P82" s="206" t="str">
        <f t="shared" si="11"/>
        <v/>
      </c>
    </row>
    <row r="83" spans="3:16" x14ac:dyDescent="0.4">
      <c r="C83" s="199"/>
      <c r="D83" s="200"/>
      <c r="E83" s="201"/>
      <c r="F83" s="199"/>
      <c r="H83" s="202"/>
      <c r="I83" s="185" t="str">
        <f t="shared" si="7"/>
        <v/>
      </c>
      <c r="J83" s="203" t="str">
        <f>IF($H83="USD",IF(OR($I83="",$I83="-"),"",VLOOKUP($G83,為替!$A:$AX,$I83,FALSE))+$J$3,IF(OR($I83="",$I83="-"),"",VLOOKUP($G83,為替!$A:$AX,$I83,FALSE)))</f>
        <v/>
      </c>
      <c r="K83" s="204" t="str">
        <f t="shared" si="8"/>
        <v/>
      </c>
      <c r="L83" s="188" t="str">
        <f t="shared" si="9"/>
        <v/>
      </c>
      <c r="M83" s="203" t="str">
        <f>IF($H83="USD",IF(OR($L83="",$L83="-"),"",VLOOKUP($G83,為替!$A:$AX,$L83,FALSE))+$K$3,IF(OR($L83="",$L83="-"),"",VLOOKUP($G83,為替!$A:$AX,$L83,FALSE)))</f>
        <v/>
      </c>
      <c r="N83" s="204" t="str">
        <f t="shared" si="10"/>
        <v/>
      </c>
      <c r="O83" s="205" t="str">
        <f t="shared" si="6"/>
        <v/>
      </c>
      <c r="P83" s="206" t="str">
        <f t="shared" si="11"/>
        <v/>
      </c>
    </row>
    <row r="84" spans="3:16" x14ac:dyDescent="0.4">
      <c r="C84" s="199"/>
      <c r="D84" s="200"/>
      <c r="E84" s="201"/>
      <c r="F84" s="199"/>
      <c r="H84" s="202"/>
      <c r="I84" s="185" t="str">
        <f t="shared" si="7"/>
        <v/>
      </c>
      <c r="J84" s="203" t="str">
        <f>IF($H84="USD",IF(OR($I84="",$I84="-"),"",VLOOKUP($G84,為替!$A:$AX,$I84,FALSE))+$J$3,IF(OR($I84="",$I84="-"),"",VLOOKUP($G84,為替!$A:$AX,$I84,FALSE)))</f>
        <v/>
      </c>
      <c r="K84" s="204" t="str">
        <f t="shared" si="8"/>
        <v/>
      </c>
      <c r="L84" s="188" t="str">
        <f t="shared" si="9"/>
        <v/>
      </c>
      <c r="M84" s="203" t="str">
        <f>IF($H84="USD",IF(OR($L84="",$L84="-"),"",VLOOKUP($G84,為替!$A:$AX,$L84,FALSE))+$K$3,IF(OR($L84="",$L84="-"),"",VLOOKUP($G84,為替!$A:$AX,$L84,FALSE)))</f>
        <v/>
      </c>
      <c r="N84" s="204" t="str">
        <f t="shared" si="10"/>
        <v/>
      </c>
      <c r="O84" s="205" t="str">
        <f t="shared" si="6"/>
        <v/>
      </c>
      <c r="P84" s="206" t="str">
        <f t="shared" si="11"/>
        <v/>
      </c>
    </row>
    <row r="85" spans="3:16" x14ac:dyDescent="0.4">
      <c r="C85" s="199"/>
      <c r="D85" s="200"/>
      <c r="E85" s="201"/>
      <c r="F85" s="199"/>
      <c r="H85" s="202"/>
      <c r="I85" s="185" t="str">
        <f t="shared" si="7"/>
        <v/>
      </c>
      <c r="J85" s="203" t="str">
        <f>IF($H85="USD",IF(OR($I85="",$I85="-"),"",VLOOKUP($G85,為替!$A:$AX,$I85,FALSE))+$J$3,IF(OR($I85="",$I85="-"),"",VLOOKUP($G85,為替!$A:$AX,$I85,FALSE)))</f>
        <v/>
      </c>
      <c r="K85" s="204" t="str">
        <f t="shared" si="8"/>
        <v/>
      </c>
      <c r="L85" s="188" t="str">
        <f t="shared" si="9"/>
        <v/>
      </c>
      <c r="M85" s="203" t="str">
        <f>IF($H85="USD",IF(OR($L85="",$L85="-"),"",VLOOKUP($G85,為替!$A:$AX,$L85,FALSE))+$K$3,IF(OR($L85="",$L85="-"),"",VLOOKUP($G85,為替!$A:$AX,$L85,FALSE)))</f>
        <v/>
      </c>
      <c r="N85" s="204" t="str">
        <f t="shared" si="10"/>
        <v/>
      </c>
      <c r="O85" s="205" t="str">
        <f t="shared" si="6"/>
        <v/>
      </c>
      <c r="P85" s="206" t="str">
        <f t="shared" si="11"/>
        <v/>
      </c>
    </row>
    <row r="86" spans="3:16" x14ac:dyDescent="0.4">
      <c r="C86" s="199"/>
      <c r="D86" s="200"/>
      <c r="E86" s="201"/>
      <c r="F86" s="199"/>
      <c r="H86" s="202"/>
      <c r="I86" s="185" t="str">
        <f t="shared" si="7"/>
        <v/>
      </c>
      <c r="J86" s="203" t="str">
        <f>IF($H86="USD",IF(OR($I86="",$I86="-"),"",VLOOKUP($G86,為替!$A:$AX,$I86,FALSE))+$J$3,IF(OR($I86="",$I86="-"),"",VLOOKUP($G86,為替!$A:$AX,$I86,FALSE)))</f>
        <v/>
      </c>
      <c r="K86" s="204" t="str">
        <f t="shared" si="8"/>
        <v/>
      </c>
      <c r="L86" s="188" t="str">
        <f t="shared" si="9"/>
        <v/>
      </c>
      <c r="M86" s="203" t="str">
        <f>IF($H86="USD",IF(OR($L86="",$L86="-"),"",VLOOKUP($G86,為替!$A:$AX,$L86,FALSE))+$K$3,IF(OR($L86="",$L86="-"),"",VLOOKUP($G86,為替!$A:$AX,$L86,FALSE)))</f>
        <v/>
      </c>
      <c r="N86" s="204" t="str">
        <f t="shared" si="10"/>
        <v/>
      </c>
      <c r="O86" s="205" t="str">
        <f t="shared" si="6"/>
        <v/>
      </c>
      <c r="P86" s="206" t="str">
        <f t="shared" si="11"/>
        <v/>
      </c>
    </row>
    <row r="87" spans="3:16" x14ac:dyDescent="0.4">
      <c r="C87" s="199"/>
      <c r="D87" s="200"/>
      <c r="E87" s="201"/>
      <c r="F87" s="199"/>
      <c r="H87" s="202"/>
      <c r="I87" s="185" t="str">
        <f t="shared" si="7"/>
        <v/>
      </c>
      <c r="J87" s="203" t="str">
        <f>IF($H87="USD",IF(OR($I87="",$I87="-"),"",VLOOKUP($G87,為替!$A:$AX,$I87,FALSE))+$J$3,IF(OR($I87="",$I87="-"),"",VLOOKUP($G87,為替!$A:$AX,$I87,FALSE)))</f>
        <v/>
      </c>
      <c r="K87" s="204" t="str">
        <f t="shared" si="8"/>
        <v/>
      </c>
      <c r="L87" s="188" t="str">
        <f t="shared" si="9"/>
        <v/>
      </c>
      <c r="M87" s="203" t="str">
        <f>IF($H87="USD",IF(OR($L87="",$L87="-"),"",VLOOKUP($G87,為替!$A:$AX,$L87,FALSE))+$K$3,IF(OR($L87="",$L87="-"),"",VLOOKUP($G87,為替!$A:$AX,$L87,FALSE)))</f>
        <v/>
      </c>
      <c r="N87" s="204" t="str">
        <f t="shared" si="10"/>
        <v/>
      </c>
      <c r="O87" s="205" t="str">
        <f t="shared" si="6"/>
        <v/>
      </c>
      <c r="P87" s="206" t="str">
        <f t="shared" si="11"/>
        <v/>
      </c>
    </row>
    <row r="88" spans="3:16" x14ac:dyDescent="0.4">
      <c r="C88" s="199"/>
      <c r="D88" s="200"/>
      <c r="E88" s="201"/>
      <c r="F88" s="199"/>
      <c r="H88" s="202"/>
      <c r="I88" s="185" t="str">
        <f t="shared" si="7"/>
        <v/>
      </c>
      <c r="J88" s="203" t="str">
        <f>IF($H88="USD",IF(OR($I88="",$I88="-"),"",VLOOKUP($G88,為替!$A:$AX,$I88,FALSE))+$J$3,IF(OR($I88="",$I88="-"),"",VLOOKUP($G88,為替!$A:$AX,$I88,FALSE)))</f>
        <v/>
      </c>
      <c r="K88" s="204" t="str">
        <f t="shared" si="8"/>
        <v/>
      </c>
      <c r="L88" s="188" t="str">
        <f t="shared" si="9"/>
        <v/>
      </c>
      <c r="M88" s="203" t="str">
        <f>IF($H88="USD",IF(OR($L88="",$L88="-"),"",VLOOKUP($G88,為替!$A:$AX,$L88,FALSE))+$K$3,IF(OR($L88="",$L88="-"),"",VLOOKUP($G88,為替!$A:$AX,$L88,FALSE)))</f>
        <v/>
      </c>
      <c r="N88" s="204" t="str">
        <f t="shared" si="10"/>
        <v/>
      </c>
      <c r="O88" s="205" t="str">
        <f t="shared" si="6"/>
        <v/>
      </c>
      <c r="P88" s="206" t="str">
        <f t="shared" si="11"/>
        <v/>
      </c>
    </row>
    <row r="89" spans="3:16" x14ac:dyDescent="0.4">
      <c r="C89" s="199"/>
      <c r="D89" s="200"/>
      <c r="E89" s="201"/>
      <c r="F89" s="199"/>
      <c r="H89" s="202"/>
      <c r="I89" s="185" t="str">
        <f t="shared" si="7"/>
        <v/>
      </c>
      <c r="J89" s="203" t="str">
        <f>IF($H89="USD",IF(OR($I89="",$I89="-"),"",VLOOKUP($G89,為替!$A:$AX,$I89,FALSE))+$J$3,IF(OR($I89="",$I89="-"),"",VLOOKUP($G89,為替!$A:$AX,$I89,FALSE)))</f>
        <v/>
      </c>
      <c r="K89" s="204" t="str">
        <f t="shared" si="8"/>
        <v/>
      </c>
      <c r="L89" s="188" t="str">
        <f t="shared" si="9"/>
        <v/>
      </c>
      <c r="M89" s="203" t="str">
        <f>IF($H89="USD",IF(OR($L89="",$L89="-"),"",VLOOKUP($G89,為替!$A:$AX,$L89,FALSE))+$K$3,IF(OR($L89="",$L89="-"),"",VLOOKUP($G89,為替!$A:$AX,$L89,FALSE)))</f>
        <v/>
      </c>
      <c r="N89" s="204" t="str">
        <f t="shared" si="10"/>
        <v/>
      </c>
      <c r="O89" s="205" t="str">
        <f t="shared" si="6"/>
        <v/>
      </c>
      <c r="P89" s="206" t="str">
        <f t="shared" si="11"/>
        <v/>
      </c>
    </row>
    <row r="90" spans="3:16" x14ac:dyDescent="0.4">
      <c r="C90" s="199"/>
      <c r="D90" s="200"/>
      <c r="E90" s="201"/>
      <c r="F90" s="199"/>
      <c r="H90" s="202"/>
      <c r="I90" s="185" t="str">
        <f t="shared" si="7"/>
        <v/>
      </c>
      <c r="J90" s="203" t="str">
        <f>IF($H90="USD",IF(OR($I90="",$I90="-"),"",VLOOKUP($G90,為替!$A:$AX,$I90,FALSE))+$J$3,IF(OR($I90="",$I90="-"),"",VLOOKUP($G90,為替!$A:$AX,$I90,FALSE)))</f>
        <v/>
      </c>
      <c r="K90" s="204" t="str">
        <f t="shared" si="8"/>
        <v/>
      </c>
      <c r="L90" s="188" t="str">
        <f t="shared" si="9"/>
        <v/>
      </c>
      <c r="M90" s="203" t="str">
        <f>IF($H90="USD",IF(OR($L90="",$L90="-"),"",VLOOKUP($G90,為替!$A:$AX,$L90,FALSE))+$K$3,IF(OR($L90="",$L90="-"),"",VLOOKUP($G90,為替!$A:$AX,$L90,FALSE)))</f>
        <v/>
      </c>
      <c r="N90" s="204" t="str">
        <f t="shared" si="10"/>
        <v/>
      </c>
      <c r="O90" s="205" t="str">
        <f t="shared" si="6"/>
        <v/>
      </c>
      <c r="P90" s="206" t="str">
        <f t="shared" si="11"/>
        <v/>
      </c>
    </row>
    <row r="91" spans="3:16" x14ac:dyDescent="0.4">
      <c r="C91" s="199"/>
      <c r="D91" s="200"/>
      <c r="E91" s="201"/>
      <c r="F91" s="199"/>
      <c r="H91" s="202"/>
      <c r="I91" s="185" t="str">
        <f t="shared" si="7"/>
        <v/>
      </c>
      <c r="J91" s="203" t="str">
        <f>IF($H91="USD",IF(OR($I91="",$I91="-"),"",VLOOKUP($G91,為替!$A:$AX,$I91,FALSE))+$J$3,IF(OR($I91="",$I91="-"),"",VLOOKUP($G91,為替!$A:$AX,$I91,FALSE)))</f>
        <v/>
      </c>
      <c r="K91" s="204" t="str">
        <f t="shared" si="8"/>
        <v/>
      </c>
      <c r="L91" s="188" t="str">
        <f t="shared" si="9"/>
        <v/>
      </c>
      <c r="M91" s="203" t="str">
        <f>IF($H91="USD",IF(OR($L91="",$L91="-"),"",VLOOKUP($G91,為替!$A:$AX,$L91,FALSE))+$K$3,IF(OR($L91="",$L91="-"),"",VLOOKUP($G91,為替!$A:$AX,$L91,FALSE)))</f>
        <v/>
      </c>
      <c r="N91" s="204" t="str">
        <f t="shared" si="10"/>
        <v/>
      </c>
      <c r="O91" s="205" t="str">
        <f t="shared" si="6"/>
        <v/>
      </c>
      <c r="P91" s="206" t="str">
        <f t="shared" si="11"/>
        <v/>
      </c>
    </row>
    <row r="92" spans="3:16" x14ac:dyDescent="0.4">
      <c r="C92" s="199"/>
      <c r="D92" s="200"/>
      <c r="E92" s="201"/>
      <c r="F92" s="199"/>
      <c r="H92" s="202"/>
      <c r="I92" s="185" t="str">
        <f t="shared" si="7"/>
        <v/>
      </c>
      <c r="J92" s="203" t="str">
        <f>IF($H92="USD",IF(OR($I92="",$I92="-"),"",VLOOKUP($G92,為替!$A:$AX,$I92,FALSE))+$J$3,IF(OR($I92="",$I92="-"),"",VLOOKUP($G92,為替!$A:$AX,$I92,FALSE)))</f>
        <v/>
      </c>
      <c r="K92" s="204" t="str">
        <f t="shared" si="8"/>
        <v/>
      </c>
      <c r="L92" s="188" t="str">
        <f t="shared" si="9"/>
        <v/>
      </c>
      <c r="M92" s="203" t="str">
        <f>IF($H92="USD",IF(OR($L92="",$L92="-"),"",VLOOKUP($G92,為替!$A:$AX,$L92,FALSE))+$K$3,IF(OR($L92="",$L92="-"),"",VLOOKUP($G92,為替!$A:$AX,$L92,FALSE)))</f>
        <v/>
      </c>
      <c r="N92" s="204" t="str">
        <f t="shared" si="10"/>
        <v/>
      </c>
      <c r="O92" s="205" t="str">
        <f t="shared" si="6"/>
        <v/>
      </c>
      <c r="P92" s="206" t="str">
        <f t="shared" si="11"/>
        <v/>
      </c>
    </row>
    <row r="93" spans="3:16" x14ac:dyDescent="0.4">
      <c r="C93" s="199"/>
      <c r="D93" s="200"/>
      <c r="E93" s="201"/>
      <c r="F93" s="199"/>
      <c r="H93" s="202"/>
      <c r="I93" s="185" t="str">
        <f t="shared" si="7"/>
        <v/>
      </c>
      <c r="J93" s="203" t="str">
        <f>IF($H93="USD",IF(OR($I93="",$I93="-"),"",VLOOKUP($G93,為替!$A:$AX,$I93,FALSE))+$J$3,IF(OR($I93="",$I93="-"),"",VLOOKUP($G93,為替!$A:$AX,$I93,FALSE)))</f>
        <v/>
      </c>
      <c r="K93" s="204" t="str">
        <f t="shared" si="8"/>
        <v/>
      </c>
      <c r="L93" s="188" t="str">
        <f t="shared" si="9"/>
        <v/>
      </c>
      <c r="M93" s="203" t="str">
        <f>IF($H93="USD",IF(OR($L93="",$L93="-"),"",VLOOKUP($G93,為替!$A:$AX,$L93,FALSE))+$K$3,IF(OR($L93="",$L93="-"),"",VLOOKUP($G93,為替!$A:$AX,$L93,FALSE)))</f>
        <v/>
      </c>
      <c r="N93" s="204" t="str">
        <f t="shared" si="10"/>
        <v/>
      </c>
      <c r="O93" s="205" t="str">
        <f t="shared" si="6"/>
        <v/>
      </c>
      <c r="P93" s="206" t="str">
        <f t="shared" si="11"/>
        <v/>
      </c>
    </row>
    <row r="94" spans="3:16" x14ac:dyDescent="0.4">
      <c r="C94" s="199"/>
      <c r="D94" s="200"/>
      <c r="E94" s="201"/>
      <c r="F94" s="199"/>
      <c r="H94" s="202"/>
      <c r="I94" s="185" t="str">
        <f t="shared" si="7"/>
        <v/>
      </c>
      <c r="J94" s="203" t="str">
        <f>IF($H94="USD",IF(OR($I94="",$I94="-"),"",VLOOKUP($G94,為替!$A:$AX,$I94,FALSE))+$J$3,IF(OR($I94="",$I94="-"),"",VLOOKUP($G94,為替!$A:$AX,$I94,FALSE)))</f>
        <v/>
      </c>
      <c r="K94" s="204" t="str">
        <f t="shared" si="8"/>
        <v/>
      </c>
      <c r="L94" s="188" t="str">
        <f t="shared" si="9"/>
        <v/>
      </c>
      <c r="M94" s="203" t="str">
        <f>IF($H94="USD",IF(OR($L94="",$L94="-"),"",VLOOKUP($G94,為替!$A:$AX,$L94,FALSE))+$K$3,IF(OR($L94="",$L94="-"),"",VLOOKUP($G94,為替!$A:$AX,$L94,FALSE)))</f>
        <v/>
      </c>
      <c r="N94" s="204" t="str">
        <f t="shared" si="10"/>
        <v/>
      </c>
      <c r="O94" s="205" t="str">
        <f t="shared" si="6"/>
        <v/>
      </c>
      <c r="P94" s="206" t="str">
        <f t="shared" si="11"/>
        <v/>
      </c>
    </row>
    <row r="95" spans="3:16" x14ac:dyDescent="0.4">
      <c r="C95" s="199"/>
      <c r="D95" s="200"/>
      <c r="E95" s="201"/>
      <c r="F95" s="199"/>
      <c r="H95" s="202"/>
      <c r="I95" s="185" t="str">
        <f t="shared" si="7"/>
        <v/>
      </c>
      <c r="J95" s="203" t="str">
        <f>IF($H95="USD",IF(OR($I95="",$I95="-"),"",VLOOKUP($G95,為替!$A:$AX,$I95,FALSE))+$J$3,IF(OR($I95="",$I95="-"),"",VLOOKUP($G95,為替!$A:$AX,$I95,FALSE)))</f>
        <v/>
      </c>
      <c r="K95" s="204" t="str">
        <f t="shared" si="8"/>
        <v/>
      </c>
      <c r="L95" s="188" t="str">
        <f t="shared" si="9"/>
        <v/>
      </c>
      <c r="M95" s="203" t="str">
        <f>IF($H95="USD",IF(OR($L95="",$L95="-"),"",VLOOKUP($G95,為替!$A:$AX,$L95,FALSE))+$K$3,IF(OR($L95="",$L95="-"),"",VLOOKUP($G95,為替!$A:$AX,$L95,FALSE)))</f>
        <v/>
      </c>
      <c r="N95" s="204" t="str">
        <f t="shared" si="10"/>
        <v/>
      </c>
      <c r="O95" s="205" t="str">
        <f t="shared" si="6"/>
        <v/>
      </c>
      <c r="P95" s="206" t="str">
        <f t="shared" si="11"/>
        <v/>
      </c>
    </row>
    <row r="96" spans="3:16" x14ac:dyDescent="0.4">
      <c r="C96" s="199"/>
      <c r="D96" s="200"/>
      <c r="E96" s="201"/>
      <c r="F96" s="199"/>
      <c r="H96" s="202"/>
      <c r="I96" s="185" t="str">
        <f t="shared" si="7"/>
        <v/>
      </c>
      <c r="J96" s="203" t="str">
        <f>IF($H96="USD",IF(OR($I96="",$I96="-"),"",VLOOKUP($G96,為替!$A:$AX,$I96,FALSE))+$J$3,IF(OR($I96="",$I96="-"),"",VLOOKUP($G96,為替!$A:$AX,$I96,FALSE)))</f>
        <v/>
      </c>
      <c r="K96" s="204" t="str">
        <f t="shared" si="8"/>
        <v/>
      </c>
      <c r="L96" s="188" t="str">
        <f t="shared" si="9"/>
        <v/>
      </c>
      <c r="M96" s="203" t="str">
        <f>IF($H96="USD",IF(OR($L96="",$L96="-"),"",VLOOKUP($G96,為替!$A:$AX,$L96,FALSE))+$K$3,IF(OR($L96="",$L96="-"),"",VLOOKUP($G96,為替!$A:$AX,$L96,FALSE)))</f>
        <v/>
      </c>
      <c r="N96" s="204" t="str">
        <f t="shared" si="10"/>
        <v/>
      </c>
      <c r="O96" s="205" t="str">
        <f t="shared" si="6"/>
        <v/>
      </c>
      <c r="P96" s="206" t="str">
        <f t="shared" si="11"/>
        <v/>
      </c>
    </row>
    <row r="97" spans="3:16" x14ac:dyDescent="0.4">
      <c r="C97" s="199"/>
      <c r="D97" s="200"/>
      <c r="E97" s="201"/>
      <c r="F97" s="199"/>
      <c r="H97" s="202"/>
      <c r="I97" s="185" t="str">
        <f t="shared" si="7"/>
        <v/>
      </c>
      <c r="J97" s="203" t="str">
        <f>IF($H97="USD",IF(OR($I97="",$I97="-"),"",VLOOKUP($G97,為替!$A:$AX,$I97,FALSE))+$J$3,IF(OR($I97="",$I97="-"),"",VLOOKUP($G97,為替!$A:$AX,$I97,FALSE)))</f>
        <v/>
      </c>
      <c r="K97" s="204" t="str">
        <f t="shared" si="8"/>
        <v/>
      </c>
      <c r="L97" s="188" t="str">
        <f t="shared" si="9"/>
        <v/>
      </c>
      <c r="M97" s="203" t="str">
        <f>IF($H97="USD",IF(OR($L97="",$L97="-"),"",VLOOKUP($G97,為替!$A:$AX,$L97,FALSE))+$K$3,IF(OR($L97="",$L97="-"),"",VLOOKUP($G97,為替!$A:$AX,$L97,FALSE)))</f>
        <v/>
      </c>
      <c r="N97" s="204" t="str">
        <f t="shared" si="10"/>
        <v/>
      </c>
      <c r="O97" s="205" t="str">
        <f t="shared" si="6"/>
        <v/>
      </c>
      <c r="P97" s="206" t="str">
        <f t="shared" si="11"/>
        <v/>
      </c>
    </row>
    <row r="98" spans="3:16" x14ac:dyDescent="0.4">
      <c r="C98" s="199"/>
      <c r="D98" s="200"/>
      <c r="E98" s="201"/>
      <c r="F98" s="199"/>
      <c r="H98" s="202"/>
      <c r="I98" s="185" t="str">
        <f t="shared" si="7"/>
        <v/>
      </c>
      <c r="J98" s="203" t="str">
        <f>IF($H98="USD",IF(OR($I98="",$I98="-"),"",VLOOKUP($G98,為替!$A:$AX,$I98,FALSE))+$J$3,IF(OR($I98="",$I98="-"),"",VLOOKUP($G98,為替!$A:$AX,$I98,FALSE)))</f>
        <v/>
      </c>
      <c r="K98" s="204" t="str">
        <f t="shared" si="8"/>
        <v/>
      </c>
      <c r="L98" s="188" t="str">
        <f t="shared" si="9"/>
        <v/>
      </c>
      <c r="M98" s="203" t="str">
        <f>IF($H98="USD",IF(OR($L98="",$L98="-"),"",VLOOKUP($G98,為替!$A:$AX,$L98,FALSE))+$K$3,IF(OR($L98="",$L98="-"),"",VLOOKUP($G98,為替!$A:$AX,$L98,FALSE)))</f>
        <v/>
      </c>
      <c r="N98" s="204" t="str">
        <f t="shared" si="10"/>
        <v/>
      </c>
      <c r="O98" s="205" t="str">
        <f t="shared" si="6"/>
        <v/>
      </c>
      <c r="P98" s="206" t="str">
        <f t="shared" si="11"/>
        <v/>
      </c>
    </row>
    <row r="99" spans="3:16" x14ac:dyDescent="0.4">
      <c r="C99" s="199"/>
      <c r="D99" s="200"/>
      <c r="E99" s="201"/>
      <c r="F99" s="199"/>
      <c r="H99" s="202"/>
      <c r="I99" s="185" t="str">
        <f t="shared" si="7"/>
        <v/>
      </c>
      <c r="J99" s="203" t="str">
        <f>IF($H99="USD",IF(OR($I99="",$I99="-"),"",VLOOKUP($G99,為替!$A:$AX,$I99,FALSE))+$J$3,IF(OR($I99="",$I99="-"),"",VLOOKUP($G99,為替!$A:$AX,$I99,FALSE)))</f>
        <v/>
      </c>
      <c r="K99" s="204" t="str">
        <f t="shared" si="8"/>
        <v/>
      </c>
      <c r="L99" s="188" t="str">
        <f t="shared" si="9"/>
        <v/>
      </c>
      <c r="M99" s="203" t="str">
        <f>IF($H99="USD",IF(OR($L99="",$L99="-"),"",VLOOKUP($G99,為替!$A:$AX,$L99,FALSE))+$K$3,IF(OR($L99="",$L99="-"),"",VLOOKUP($G99,為替!$A:$AX,$L99,FALSE)))</f>
        <v/>
      </c>
      <c r="N99" s="204" t="str">
        <f t="shared" si="10"/>
        <v/>
      </c>
      <c r="O99" s="205" t="str">
        <f t="shared" si="6"/>
        <v/>
      </c>
      <c r="P99" s="206" t="str">
        <f t="shared" si="11"/>
        <v/>
      </c>
    </row>
    <row r="100" spans="3:16" x14ac:dyDescent="0.4">
      <c r="C100" s="199"/>
      <c r="D100" s="200"/>
      <c r="E100" s="201"/>
      <c r="F100" s="199"/>
      <c r="H100" s="202"/>
      <c r="I100" s="185" t="str">
        <f t="shared" si="7"/>
        <v/>
      </c>
      <c r="J100" s="203" t="str">
        <f>IF($H100="USD",IF(OR($I100="",$I100="-"),"",VLOOKUP($G100,為替!$A:$AX,$I100,FALSE))+$J$3,IF(OR($I100="",$I100="-"),"",VLOOKUP($G100,為替!$A:$AX,$I100,FALSE)))</f>
        <v/>
      </c>
      <c r="K100" s="204" t="str">
        <f t="shared" si="8"/>
        <v/>
      </c>
      <c r="L100" s="188" t="str">
        <f t="shared" si="9"/>
        <v/>
      </c>
      <c r="M100" s="203" t="str">
        <f>IF($H100="USD",IF(OR($L100="",$L100="-"),"",VLOOKUP($G100,為替!$A:$AX,$L100,FALSE))+$K$3,IF(OR($L100="",$L100="-"),"",VLOOKUP($G100,為替!$A:$AX,$L100,FALSE)))</f>
        <v/>
      </c>
      <c r="N100" s="204" t="str">
        <f t="shared" si="10"/>
        <v/>
      </c>
      <c r="O100" s="205" t="str">
        <f t="shared" si="6"/>
        <v/>
      </c>
      <c r="P100" s="206" t="str">
        <f t="shared" si="11"/>
        <v/>
      </c>
    </row>
    <row r="101" spans="3:16" x14ac:dyDescent="0.4">
      <c r="C101" s="199"/>
      <c r="D101" s="200"/>
      <c r="E101" s="201"/>
      <c r="F101" s="199"/>
      <c r="H101" s="202"/>
      <c r="I101" s="185" t="str">
        <f t="shared" si="7"/>
        <v/>
      </c>
      <c r="J101" s="203" t="str">
        <f>IF($H101="USD",IF(OR($I101="",$I101="-"),"",VLOOKUP($G101,為替!$A:$AX,$I101,FALSE))+$J$3,IF(OR($I101="",$I101="-"),"",VLOOKUP($G101,為替!$A:$AX,$I101,FALSE)))</f>
        <v/>
      </c>
      <c r="K101" s="204" t="str">
        <f t="shared" si="8"/>
        <v/>
      </c>
      <c r="L101" s="188" t="str">
        <f t="shared" si="9"/>
        <v/>
      </c>
      <c r="M101" s="203" t="str">
        <f>IF($H101="USD",IF(OR($L101="",$L101="-"),"",VLOOKUP($G101,為替!$A:$AX,$L101,FALSE))+$K$3,IF(OR($L101="",$L101="-"),"",VLOOKUP($G101,為替!$A:$AX,$L101,FALSE)))</f>
        <v/>
      </c>
      <c r="N101" s="204" t="str">
        <f t="shared" si="10"/>
        <v/>
      </c>
      <c r="O101" s="205" t="str">
        <f t="shared" si="6"/>
        <v/>
      </c>
      <c r="P101" s="206" t="str">
        <f t="shared" si="11"/>
        <v/>
      </c>
    </row>
    <row r="102" spans="3:16" x14ac:dyDescent="0.4">
      <c r="C102" s="199"/>
      <c r="D102" s="200"/>
      <c r="E102" s="201"/>
      <c r="F102" s="199"/>
      <c r="H102" s="202"/>
      <c r="I102" s="185" t="str">
        <f t="shared" si="7"/>
        <v/>
      </c>
      <c r="J102" s="203" t="str">
        <f>IF($H102="USD",IF(OR($I102="",$I102="-"),"",VLOOKUP($G102,為替!$A:$AX,$I102,FALSE))+$J$3,IF(OR($I102="",$I102="-"),"",VLOOKUP($G102,為替!$A:$AX,$I102,FALSE)))</f>
        <v/>
      </c>
      <c r="K102" s="204" t="str">
        <f t="shared" si="8"/>
        <v/>
      </c>
      <c r="L102" s="188" t="str">
        <f t="shared" si="9"/>
        <v/>
      </c>
      <c r="M102" s="203" t="str">
        <f>IF($H102="USD",IF(OR($L102="",$L102="-"),"",VLOOKUP($G102,為替!$A:$AX,$L102,FALSE))+$K$3,IF(OR($L102="",$L102="-"),"",VLOOKUP($G102,為替!$A:$AX,$L102,FALSE)))</f>
        <v/>
      </c>
      <c r="N102" s="204" t="str">
        <f t="shared" si="10"/>
        <v/>
      </c>
      <c r="O102" s="205" t="str">
        <f t="shared" si="6"/>
        <v/>
      </c>
      <c r="P102" s="206" t="str">
        <f t="shared" si="11"/>
        <v/>
      </c>
    </row>
    <row r="103" spans="3:16" x14ac:dyDescent="0.4">
      <c r="C103" s="199"/>
      <c r="D103" s="200"/>
      <c r="E103" s="201"/>
      <c r="F103" s="199"/>
      <c r="H103" s="202"/>
      <c r="I103" s="185" t="str">
        <f t="shared" si="7"/>
        <v/>
      </c>
      <c r="J103" s="203" t="str">
        <f>IF($H103="USD",IF(OR($I103="",$I103="-"),"",VLOOKUP($G103,為替!$A:$AX,$I103,FALSE))+$J$3,IF(OR($I103="",$I103="-"),"",VLOOKUP($G103,為替!$A:$AX,$I103,FALSE)))</f>
        <v/>
      </c>
      <c r="K103" s="204" t="str">
        <f t="shared" si="8"/>
        <v/>
      </c>
      <c r="L103" s="188" t="str">
        <f t="shared" si="9"/>
        <v/>
      </c>
      <c r="M103" s="203" t="str">
        <f>IF($H103="USD",IF(OR($L103="",$L103="-"),"",VLOOKUP($G103,為替!$A:$AX,$L103,FALSE))+$K$3,IF(OR($L103="",$L103="-"),"",VLOOKUP($G103,為替!$A:$AX,$L103,FALSE)))</f>
        <v/>
      </c>
      <c r="N103" s="204" t="str">
        <f t="shared" si="10"/>
        <v/>
      </c>
      <c r="O103" s="205" t="str">
        <f t="shared" si="6"/>
        <v/>
      </c>
      <c r="P103" s="206" t="str">
        <f t="shared" si="11"/>
        <v/>
      </c>
    </row>
    <row r="104" spans="3:16" x14ac:dyDescent="0.4">
      <c r="C104" s="199"/>
      <c r="D104" s="200"/>
      <c r="E104" s="201"/>
      <c r="F104" s="199"/>
      <c r="H104" s="202"/>
      <c r="I104" s="185" t="str">
        <f t="shared" si="7"/>
        <v/>
      </c>
      <c r="J104" s="203" t="str">
        <f>IF($H104="USD",IF(OR($I104="",$I104="-"),"",VLOOKUP($G104,為替!$A:$AX,$I104,FALSE))+$J$3,IF(OR($I104="",$I104="-"),"",VLOOKUP($G104,為替!$A:$AX,$I104,FALSE)))</f>
        <v/>
      </c>
      <c r="K104" s="204" t="str">
        <f t="shared" si="8"/>
        <v/>
      </c>
      <c r="L104" s="188" t="str">
        <f t="shared" si="9"/>
        <v/>
      </c>
      <c r="M104" s="203" t="str">
        <f>IF($H104="USD",IF(OR($L104="",$L104="-"),"",VLOOKUP($G104,為替!$A:$AX,$L104,FALSE))+$K$3,IF(OR($L104="",$L104="-"),"",VLOOKUP($G104,為替!$A:$AX,$L104,FALSE)))</f>
        <v/>
      </c>
      <c r="N104" s="204" t="str">
        <f t="shared" si="10"/>
        <v/>
      </c>
      <c r="O104" s="205" t="str">
        <f t="shared" si="6"/>
        <v/>
      </c>
      <c r="P104" s="206" t="str">
        <f t="shared" si="11"/>
        <v/>
      </c>
    </row>
    <row r="105" spans="3:16" x14ac:dyDescent="0.4">
      <c r="C105" s="199"/>
      <c r="D105" s="200"/>
      <c r="E105" s="201"/>
      <c r="F105" s="199"/>
      <c r="H105" s="202"/>
      <c r="I105" s="185" t="str">
        <f t="shared" si="7"/>
        <v/>
      </c>
      <c r="J105" s="203" t="str">
        <f>IF($H105="USD",IF(OR($I105="",$I105="-"),"",VLOOKUP($G105,為替!$A:$AX,$I105,FALSE))+$J$3,IF(OR($I105="",$I105="-"),"",VLOOKUP($G105,為替!$A:$AX,$I105,FALSE)))</f>
        <v/>
      </c>
      <c r="K105" s="204" t="str">
        <f t="shared" si="8"/>
        <v/>
      </c>
      <c r="L105" s="188" t="str">
        <f t="shared" si="9"/>
        <v/>
      </c>
      <c r="M105" s="203" t="str">
        <f>IF($H105="USD",IF(OR($L105="",$L105="-"),"",VLOOKUP($G105,為替!$A:$AX,$L105,FALSE))+$K$3,IF(OR($L105="",$L105="-"),"",VLOOKUP($G105,為替!$A:$AX,$L105,FALSE)))</f>
        <v/>
      </c>
      <c r="N105" s="204" t="str">
        <f t="shared" si="10"/>
        <v/>
      </c>
      <c r="O105" s="205" t="str">
        <f t="shared" si="6"/>
        <v/>
      </c>
      <c r="P105" s="206" t="str">
        <f t="shared" si="11"/>
        <v/>
      </c>
    </row>
    <row r="106" spans="3:16" x14ac:dyDescent="0.4">
      <c r="C106" s="199"/>
      <c r="D106" s="200"/>
      <c r="E106" s="201"/>
      <c r="F106" s="199"/>
      <c r="H106" s="202"/>
      <c r="I106" s="185" t="str">
        <f t="shared" si="7"/>
        <v/>
      </c>
      <c r="J106" s="203" t="str">
        <f>IF($H106="USD",IF(OR($I106="",$I106="-"),"",VLOOKUP($G106,為替!$A:$AX,$I106,FALSE))+$J$3,IF(OR($I106="",$I106="-"),"",VLOOKUP($G106,為替!$A:$AX,$I106,FALSE)))</f>
        <v/>
      </c>
      <c r="K106" s="204" t="str">
        <f t="shared" si="8"/>
        <v/>
      </c>
      <c r="L106" s="188" t="str">
        <f t="shared" si="9"/>
        <v/>
      </c>
      <c r="M106" s="203" t="str">
        <f>IF($H106="USD",IF(OR($L106="",$L106="-"),"",VLOOKUP($G106,為替!$A:$AX,$L106,FALSE))+$K$3,IF(OR($L106="",$L106="-"),"",VLOOKUP($G106,為替!$A:$AX,$L106,FALSE)))</f>
        <v/>
      </c>
      <c r="N106" s="204" t="str">
        <f t="shared" si="10"/>
        <v/>
      </c>
      <c r="O106" s="205" t="str">
        <f t="shared" si="6"/>
        <v/>
      </c>
      <c r="P106" s="206" t="str">
        <f t="shared" si="11"/>
        <v/>
      </c>
    </row>
    <row r="107" spans="3:16" x14ac:dyDescent="0.4">
      <c r="C107" s="199"/>
      <c r="D107" s="200"/>
      <c r="E107" s="201"/>
      <c r="F107" s="199"/>
      <c r="H107" s="202"/>
      <c r="I107" s="185" t="str">
        <f t="shared" si="7"/>
        <v/>
      </c>
      <c r="J107" s="203" t="str">
        <f>IF($H107="USD",IF(OR($I107="",$I107="-"),"",VLOOKUP($G107,為替!$A:$AX,$I107,FALSE))+$J$3,IF(OR($I107="",$I107="-"),"",VLOOKUP($G107,為替!$A:$AX,$I107,FALSE)))</f>
        <v/>
      </c>
      <c r="K107" s="204" t="str">
        <f t="shared" si="8"/>
        <v/>
      </c>
      <c r="L107" s="188" t="str">
        <f t="shared" si="9"/>
        <v/>
      </c>
      <c r="M107" s="203" t="str">
        <f>IF($H107="USD",IF(OR($L107="",$L107="-"),"",VLOOKUP($G107,為替!$A:$AX,$L107,FALSE))+$K$3,IF(OR($L107="",$L107="-"),"",VLOOKUP($G107,為替!$A:$AX,$L107,FALSE)))</f>
        <v/>
      </c>
      <c r="N107" s="204" t="str">
        <f t="shared" si="10"/>
        <v/>
      </c>
      <c r="O107" s="205" t="str">
        <f t="shared" si="6"/>
        <v/>
      </c>
      <c r="P107" s="206" t="str">
        <f t="shared" si="11"/>
        <v/>
      </c>
    </row>
    <row r="108" spans="3:16" x14ac:dyDescent="0.4">
      <c r="C108" s="199"/>
      <c r="D108" s="200"/>
      <c r="E108" s="201"/>
      <c r="F108" s="199"/>
      <c r="H108" s="202"/>
      <c r="I108" s="185" t="str">
        <f t="shared" si="7"/>
        <v/>
      </c>
      <c r="J108" s="203" t="str">
        <f>IF($H108="USD",IF(OR($I108="",$I108="-"),"",VLOOKUP($G108,為替!$A:$AX,$I108,FALSE))+$J$3,IF(OR($I108="",$I108="-"),"",VLOOKUP($G108,為替!$A:$AX,$I108,FALSE)))</f>
        <v/>
      </c>
      <c r="K108" s="204" t="str">
        <f t="shared" si="8"/>
        <v/>
      </c>
      <c r="L108" s="188" t="str">
        <f t="shared" si="9"/>
        <v/>
      </c>
      <c r="M108" s="203" t="str">
        <f>IF($H108="USD",IF(OR($L108="",$L108="-"),"",VLOOKUP($G108,為替!$A:$AX,$L108,FALSE))+$K$3,IF(OR($L108="",$L108="-"),"",VLOOKUP($G108,為替!$A:$AX,$L108,FALSE)))</f>
        <v/>
      </c>
      <c r="N108" s="204" t="str">
        <f t="shared" si="10"/>
        <v/>
      </c>
      <c r="O108" s="205" t="str">
        <f t="shared" si="6"/>
        <v/>
      </c>
      <c r="P108" s="206" t="str">
        <f t="shared" si="11"/>
        <v/>
      </c>
    </row>
    <row r="109" spans="3:16" x14ac:dyDescent="0.4">
      <c r="C109" s="199"/>
      <c r="D109" s="200"/>
      <c r="E109" s="201"/>
      <c r="F109" s="199"/>
      <c r="H109" s="202"/>
      <c r="I109" s="185" t="str">
        <f t="shared" si="7"/>
        <v/>
      </c>
      <c r="J109" s="203" t="str">
        <f>IF($H109="USD",IF(OR($I109="",$I109="-"),"",VLOOKUP($G109,為替!$A:$AX,$I109,FALSE))+$J$3,IF(OR($I109="",$I109="-"),"",VLOOKUP($G109,為替!$A:$AX,$I109,FALSE)))</f>
        <v/>
      </c>
      <c r="K109" s="204" t="str">
        <f t="shared" si="8"/>
        <v/>
      </c>
      <c r="L109" s="188" t="str">
        <f t="shared" si="9"/>
        <v/>
      </c>
      <c r="M109" s="203" t="str">
        <f>IF($H109="USD",IF(OR($L109="",$L109="-"),"",VLOOKUP($G109,為替!$A:$AX,$L109,FALSE))+$K$3,IF(OR($L109="",$L109="-"),"",VLOOKUP($G109,為替!$A:$AX,$L109,FALSE)))</f>
        <v/>
      </c>
      <c r="N109" s="204" t="str">
        <f t="shared" si="10"/>
        <v/>
      </c>
      <c r="O109" s="205" t="str">
        <f t="shared" si="6"/>
        <v/>
      </c>
      <c r="P109" s="206" t="str">
        <f t="shared" si="11"/>
        <v/>
      </c>
    </row>
    <row r="110" spans="3:16" x14ac:dyDescent="0.4">
      <c r="C110" s="199"/>
      <c r="D110" s="200"/>
      <c r="E110" s="201"/>
      <c r="F110" s="199"/>
      <c r="H110" s="202"/>
      <c r="I110" s="185" t="str">
        <f t="shared" si="7"/>
        <v/>
      </c>
      <c r="J110" s="203" t="str">
        <f>IF($H110="USD",IF(OR($I110="",$I110="-"),"",VLOOKUP($G110,為替!$A:$AX,$I110,FALSE))+$J$3,IF(OR($I110="",$I110="-"),"",VLOOKUP($G110,為替!$A:$AX,$I110,FALSE)))</f>
        <v/>
      </c>
      <c r="K110" s="204" t="str">
        <f t="shared" si="8"/>
        <v/>
      </c>
      <c r="L110" s="188" t="str">
        <f t="shared" si="9"/>
        <v/>
      </c>
      <c r="M110" s="203" t="str">
        <f>IF($H110="USD",IF(OR($L110="",$L110="-"),"",VLOOKUP($G110,為替!$A:$AX,$L110,FALSE))+$K$3,IF(OR($L110="",$L110="-"),"",VLOOKUP($G110,為替!$A:$AX,$L110,FALSE)))</f>
        <v/>
      </c>
      <c r="N110" s="204" t="str">
        <f t="shared" si="10"/>
        <v/>
      </c>
      <c r="O110" s="205" t="str">
        <f t="shared" si="6"/>
        <v/>
      </c>
      <c r="P110" s="206" t="str">
        <f t="shared" si="11"/>
        <v/>
      </c>
    </row>
    <row r="111" spans="3:16" x14ac:dyDescent="0.4">
      <c r="C111" s="199"/>
      <c r="D111" s="200"/>
      <c r="E111" s="201"/>
      <c r="F111" s="199"/>
      <c r="H111" s="202"/>
      <c r="I111" s="185" t="str">
        <f t="shared" si="7"/>
        <v/>
      </c>
      <c r="J111" s="203" t="str">
        <f>IF($H111="USD",IF(OR($I111="",$I111="-"),"",VLOOKUP($G111,為替!$A:$AX,$I111,FALSE))+$J$3,IF(OR($I111="",$I111="-"),"",VLOOKUP($G111,為替!$A:$AX,$I111,FALSE)))</f>
        <v/>
      </c>
      <c r="K111" s="204" t="str">
        <f t="shared" si="8"/>
        <v/>
      </c>
      <c r="L111" s="188" t="str">
        <f t="shared" si="9"/>
        <v/>
      </c>
      <c r="M111" s="203" t="str">
        <f>IF($H111="USD",IF(OR($L111="",$L111="-"),"",VLOOKUP($G111,為替!$A:$AX,$L111,FALSE))+$K$3,IF(OR($L111="",$L111="-"),"",VLOOKUP($G111,為替!$A:$AX,$L111,FALSE)))</f>
        <v/>
      </c>
      <c r="N111" s="204" t="str">
        <f t="shared" si="10"/>
        <v/>
      </c>
      <c r="O111" s="205" t="str">
        <f t="shared" si="6"/>
        <v/>
      </c>
      <c r="P111" s="206" t="str">
        <f t="shared" si="11"/>
        <v/>
      </c>
    </row>
    <row r="112" spans="3:16" x14ac:dyDescent="0.4">
      <c r="C112" s="199"/>
      <c r="D112" s="200"/>
      <c r="E112" s="201"/>
      <c r="F112" s="199"/>
      <c r="H112" s="202"/>
      <c r="I112" s="185" t="str">
        <f t="shared" si="7"/>
        <v/>
      </c>
      <c r="J112" s="203" t="str">
        <f>IF($H112="USD",IF(OR($I112="",$I112="-"),"",VLOOKUP($G112,為替!$A:$AX,$I112,FALSE))+$J$3,IF(OR($I112="",$I112="-"),"",VLOOKUP($G112,為替!$A:$AX,$I112,FALSE)))</f>
        <v/>
      </c>
      <c r="K112" s="204" t="str">
        <f t="shared" si="8"/>
        <v/>
      </c>
      <c r="L112" s="188" t="str">
        <f t="shared" si="9"/>
        <v/>
      </c>
      <c r="M112" s="203" t="str">
        <f>IF($H112="USD",IF(OR($L112="",$L112="-"),"",VLOOKUP($G112,為替!$A:$AX,$L112,FALSE))+$K$3,IF(OR($L112="",$L112="-"),"",VLOOKUP($G112,為替!$A:$AX,$L112,FALSE)))</f>
        <v/>
      </c>
      <c r="N112" s="204" t="str">
        <f t="shared" si="10"/>
        <v/>
      </c>
      <c r="O112" s="205" t="str">
        <f t="shared" si="6"/>
        <v/>
      </c>
      <c r="P112" s="206" t="str">
        <f t="shared" si="11"/>
        <v/>
      </c>
    </row>
    <row r="113" spans="3:16" x14ac:dyDescent="0.4">
      <c r="C113" s="199"/>
      <c r="D113" s="200"/>
      <c r="E113" s="201"/>
      <c r="F113" s="199"/>
      <c r="H113" s="202"/>
      <c r="I113" s="185" t="str">
        <f t="shared" si="7"/>
        <v/>
      </c>
      <c r="J113" s="203" t="str">
        <f>IF($H113="USD",IF(OR($I113="",$I113="-"),"",VLOOKUP($G113,為替!$A:$AX,$I113,FALSE))+$J$3,IF(OR($I113="",$I113="-"),"",VLOOKUP($G113,為替!$A:$AX,$I113,FALSE)))</f>
        <v/>
      </c>
      <c r="K113" s="204" t="str">
        <f t="shared" si="8"/>
        <v/>
      </c>
      <c r="L113" s="188" t="str">
        <f t="shared" si="9"/>
        <v/>
      </c>
      <c r="M113" s="203" t="str">
        <f>IF($H113="USD",IF(OR($L113="",$L113="-"),"",VLOOKUP($G113,為替!$A:$AX,$L113,FALSE))+$K$3,IF(OR($L113="",$L113="-"),"",VLOOKUP($G113,為替!$A:$AX,$L113,FALSE)))</f>
        <v/>
      </c>
      <c r="N113" s="204" t="str">
        <f t="shared" si="10"/>
        <v/>
      </c>
      <c r="O113" s="205" t="str">
        <f t="shared" si="6"/>
        <v/>
      </c>
      <c r="P113" s="206" t="str">
        <f t="shared" si="11"/>
        <v/>
      </c>
    </row>
    <row r="114" spans="3:16" x14ac:dyDescent="0.4">
      <c r="C114" s="199"/>
      <c r="D114" s="200"/>
      <c r="E114" s="201"/>
      <c r="F114" s="199"/>
      <c r="H114" s="202"/>
      <c r="I114" s="185" t="str">
        <f t="shared" si="7"/>
        <v/>
      </c>
      <c r="J114" s="203" t="str">
        <f>IF($H114="USD",IF(OR($I114="",$I114="-"),"",VLOOKUP($G114,為替!$A:$AX,$I114,FALSE))+$J$3,IF(OR($I114="",$I114="-"),"",VLOOKUP($G114,為替!$A:$AX,$I114,FALSE)))</f>
        <v/>
      </c>
      <c r="K114" s="204" t="str">
        <f t="shared" si="8"/>
        <v/>
      </c>
      <c r="L114" s="188" t="str">
        <f t="shared" si="9"/>
        <v/>
      </c>
      <c r="M114" s="203" t="str">
        <f>IF($H114="USD",IF(OR($L114="",$L114="-"),"",VLOOKUP($G114,為替!$A:$AX,$L114,FALSE))+$K$3,IF(OR($L114="",$L114="-"),"",VLOOKUP($G114,為替!$A:$AX,$L114,FALSE)))</f>
        <v/>
      </c>
      <c r="N114" s="204" t="str">
        <f t="shared" si="10"/>
        <v/>
      </c>
      <c r="O114" s="205" t="str">
        <f t="shared" si="6"/>
        <v/>
      </c>
      <c r="P114" s="206" t="str">
        <f t="shared" si="11"/>
        <v/>
      </c>
    </row>
    <row r="115" spans="3:16" x14ac:dyDescent="0.4">
      <c r="C115" s="199"/>
      <c r="D115" s="200"/>
      <c r="E115" s="201"/>
      <c r="F115" s="199"/>
      <c r="H115" s="202"/>
      <c r="I115" s="185" t="str">
        <f t="shared" si="7"/>
        <v/>
      </c>
      <c r="J115" s="203" t="str">
        <f>IF($H115="USD",IF(OR($I115="",$I115="-"),"",VLOOKUP($G115,為替!$A:$AX,$I115,FALSE))+$J$3,IF(OR($I115="",$I115="-"),"",VLOOKUP($G115,為替!$A:$AX,$I115,FALSE)))</f>
        <v/>
      </c>
      <c r="K115" s="204" t="str">
        <f t="shared" si="8"/>
        <v/>
      </c>
      <c r="L115" s="188" t="str">
        <f t="shared" si="9"/>
        <v/>
      </c>
      <c r="M115" s="203" t="str">
        <f>IF($H115="USD",IF(OR($L115="",$L115="-"),"",VLOOKUP($G115,為替!$A:$AX,$L115,FALSE))+$K$3,IF(OR($L115="",$L115="-"),"",VLOOKUP($G115,為替!$A:$AX,$L115,FALSE)))</f>
        <v/>
      </c>
      <c r="N115" s="204" t="str">
        <f t="shared" si="10"/>
        <v/>
      </c>
      <c r="O115" s="205" t="str">
        <f t="shared" si="6"/>
        <v/>
      </c>
      <c r="P115" s="206" t="str">
        <f t="shared" si="11"/>
        <v/>
      </c>
    </row>
    <row r="116" spans="3:16" x14ac:dyDescent="0.4">
      <c r="C116" s="199"/>
      <c r="D116" s="200"/>
      <c r="E116" s="201"/>
      <c r="F116" s="199"/>
      <c r="H116" s="202"/>
      <c r="I116" s="185" t="str">
        <f t="shared" si="7"/>
        <v/>
      </c>
      <c r="J116" s="203" t="str">
        <f>IF($H116="USD",IF(OR($I116="",$I116="-"),"",VLOOKUP($G116,為替!$A:$AX,$I116,FALSE))+$J$3,IF(OR($I116="",$I116="-"),"",VLOOKUP($G116,為替!$A:$AX,$I116,FALSE)))</f>
        <v/>
      </c>
      <c r="K116" s="204" t="str">
        <f t="shared" si="8"/>
        <v/>
      </c>
      <c r="L116" s="188" t="str">
        <f t="shared" si="9"/>
        <v/>
      </c>
      <c r="M116" s="203" t="str">
        <f>IF($H116="USD",IF(OR($L116="",$L116="-"),"",VLOOKUP($G116,為替!$A:$AX,$L116,FALSE))+$K$3,IF(OR($L116="",$L116="-"),"",VLOOKUP($G116,為替!$A:$AX,$L116,FALSE)))</f>
        <v/>
      </c>
      <c r="N116" s="204" t="str">
        <f t="shared" si="10"/>
        <v/>
      </c>
      <c r="O116" s="205" t="str">
        <f t="shared" si="6"/>
        <v/>
      </c>
      <c r="P116" s="206" t="str">
        <f t="shared" si="11"/>
        <v/>
      </c>
    </row>
    <row r="117" spans="3:16" x14ac:dyDescent="0.4">
      <c r="C117" s="199"/>
      <c r="D117" s="200"/>
      <c r="E117" s="201"/>
      <c r="F117" s="199"/>
      <c r="H117" s="202"/>
      <c r="I117" s="185" t="str">
        <f t="shared" si="7"/>
        <v/>
      </c>
      <c r="J117" s="203" t="str">
        <f>IF($H117="USD",IF(OR($I117="",$I117="-"),"",VLOOKUP($G117,為替!$A:$AX,$I117,FALSE))+$J$3,IF(OR($I117="",$I117="-"),"",VLOOKUP($G117,為替!$A:$AX,$I117,FALSE)))</f>
        <v/>
      </c>
      <c r="K117" s="204" t="str">
        <f t="shared" si="8"/>
        <v/>
      </c>
      <c r="L117" s="188" t="str">
        <f t="shared" si="9"/>
        <v/>
      </c>
      <c r="M117" s="203" t="str">
        <f>IF($H117="USD",IF(OR($L117="",$L117="-"),"",VLOOKUP($G117,為替!$A:$AX,$L117,FALSE))+$K$3,IF(OR($L117="",$L117="-"),"",VLOOKUP($G117,為替!$A:$AX,$L117,FALSE)))</f>
        <v/>
      </c>
      <c r="N117" s="204" t="str">
        <f t="shared" si="10"/>
        <v/>
      </c>
      <c r="O117" s="205" t="str">
        <f t="shared" si="6"/>
        <v/>
      </c>
      <c r="P117" s="206" t="str">
        <f t="shared" si="11"/>
        <v/>
      </c>
    </row>
    <row r="118" spans="3:16" x14ac:dyDescent="0.4">
      <c r="C118" s="199"/>
      <c r="D118" s="200"/>
      <c r="E118" s="201"/>
      <c r="F118" s="199"/>
      <c r="H118" s="202"/>
      <c r="I118" s="185" t="str">
        <f t="shared" si="7"/>
        <v/>
      </c>
      <c r="J118" s="203" t="str">
        <f>IF($H118="USD",IF(OR($I118="",$I118="-"),"",VLOOKUP($G118,為替!$A:$AX,$I118,FALSE))+$J$3,IF(OR($I118="",$I118="-"),"",VLOOKUP($G118,為替!$A:$AX,$I118,FALSE)))</f>
        <v/>
      </c>
      <c r="K118" s="204" t="str">
        <f t="shared" si="8"/>
        <v/>
      </c>
      <c r="L118" s="188" t="str">
        <f t="shared" si="9"/>
        <v/>
      </c>
      <c r="M118" s="203" t="str">
        <f>IF($H118="USD",IF(OR($L118="",$L118="-"),"",VLOOKUP($G118,為替!$A:$AX,$L118,FALSE))+$K$3,IF(OR($L118="",$L118="-"),"",VLOOKUP($G118,為替!$A:$AX,$L118,FALSE)))</f>
        <v/>
      </c>
      <c r="N118" s="204" t="str">
        <f t="shared" si="10"/>
        <v/>
      </c>
      <c r="O118" s="205" t="str">
        <f t="shared" si="6"/>
        <v/>
      </c>
      <c r="P118" s="206" t="str">
        <f t="shared" si="11"/>
        <v/>
      </c>
    </row>
    <row r="119" spans="3:16" x14ac:dyDescent="0.4">
      <c r="C119" s="199"/>
      <c r="D119" s="200"/>
      <c r="E119" s="201"/>
      <c r="F119" s="199"/>
      <c r="H119" s="202"/>
      <c r="I119" s="185" t="str">
        <f t="shared" si="7"/>
        <v/>
      </c>
      <c r="J119" s="203" t="str">
        <f>IF($H119="USD",IF(OR($I119="",$I119="-"),"",VLOOKUP($G119,為替!$A:$AX,$I119,FALSE))+$J$3,IF(OR($I119="",$I119="-"),"",VLOOKUP($G119,為替!$A:$AX,$I119,FALSE)))</f>
        <v/>
      </c>
      <c r="K119" s="204" t="str">
        <f t="shared" si="8"/>
        <v/>
      </c>
      <c r="L119" s="188" t="str">
        <f t="shared" si="9"/>
        <v/>
      </c>
      <c r="M119" s="203" t="str">
        <f>IF($H119="USD",IF(OR($L119="",$L119="-"),"",VLOOKUP($G119,為替!$A:$AX,$L119,FALSE))+$K$3,IF(OR($L119="",$L119="-"),"",VLOOKUP($G119,為替!$A:$AX,$L119,FALSE)))</f>
        <v/>
      </c>
      <c r="N119" s="204" t="str">
        <f t="shared" si="10"/>
        <v/>
      </c>
      <c r="O119" s="205" t="str">
        <f t="shared" si="6"/>
        <v/>
      </c>
      <c r="P119" s="206" t="str">
        <f t="shared" si="11"/>
        <v/>
      </c>
    </row>
    <row r="120" spans="3:16" x14ac:dyDescent="0.4">
      <c r="C120" s="199"/>
      <c r="D120" s="200"/>
      <c r="E120" s="201"/>
      <c r="F120" s="199"/>
      <c r="H120" s="202"/>
      <c r="I120" s="185" t="str">
        <f t="shared" si="7"/>
        <v/>
      </c>
      <c r="J120" s="203" t="str">
        <f>IF($H120="USD",IF(OR($I120="",$I120="-"),"",VLOOKUP($G120,為替!$A:$AX,$I120,FALSE))+$J$3,IF(OR($I120="",$I120="-"),"",VLOOKUP($G120,為替!$A:$AX,$I120,FALSE)))</f>
        <v/>
      </c>
      <c r="K120" s="204" t="str">
        <f t="shared" si="8"/>
        <v/>
      </c>
      <c r="L120" s="188" t="str">
        <f t="shared" si="9"/>
        <v/>
      </c>
      <c r="M120" s="203" t="str">
        <f>IF($H120="USD",IF(OR($L120="",$L120="-"),"",VLOOKUP($G120,為替!$A:$AX,$L120,FALSE))+$K$3,IF(OR($L120="",$L120="-"),"",VLOOKUP($G120,為替!$A:$AX,$L120,FALSE)))</f>
        <v/>
      </c>
      <c r="N120" s="204" t="str">
        <f t="shared" si="10"/>
        <v/>
      </c>
      <c r="O120" s="205" t="str">
        <f t="shared" si="6"/>
        <v/>
      </c>
      <c r="P120" s="206" t="str">
        <f t="shared" si="11"/>
        <v/>
      </c>
    </row>
    <row r="121" spans="3:16" x14ac:dyDescent="0.4">
      <c r="C121" s="199"/>
      <c r="D121" s="200"/>
      <c r="E121" s="201"/>
      <c r="F121" s="199"/>
      <c r="H121" s="202"/>
      <c r="I121" s="185" t="str">
        <f t="shared" si="7"/>
        <v/>
      </c>
      <c r="J121" s="203" t="str">
        <f>IF($H121="USD",IF(OR($I121="",$I121="-"),"",VLOOKUP($G121,為替!$A:$AX,$I121,FALSE))+$J$3,IF(OR($I121="",$I121="-"),"",VLOOKUP($G121,為替!$A:$AX,$I121,FALSE)))</f>
        <v/>
      </c>
      <c r="K121" s="204" t="str">
        <f t="shared" si="8"/>
        <v/>
      </c>
      <c r="L121" s="188" t="str">
        <f t="shared" si="9"/>
        <v/>
      </c>
      <c r="M121" s="203" t="str">
        <f>IF($H121="USD",IF(OR($L121="",$L121="-"),"",VLOOKUP($G121,為替!$A:$AX,$L121,FALSE))+$K$3,IF(OR($L121="",$L121="-"),"",VLOOKUP($G121,為替!$A:$AX,$L121,FALSE)))</f>
        <v/>
      </c>
      <c r="N121" s="204" t="str">
        <f t="shared" si="10"/>
        <v/>
      </c>
      <c r="O121" s="205" t="str">
        <f t="shared" si="6"/>
        <v/>
      </c>
      <c r="P121" s="206" t="str">
        <f t="shared" si="11"/>
        <v/>
      </c>
    </row>
    <row r="122" spans="3:16" x14ac:dyDescent="0.4">
      <c r="C122" s="199"/>
      <c r="D122" s="200"/>
      <c r="E122" s="201"/>
      <c r="F122" s="199"/>
      <c r="H122" s="202"/>
      <c r="I122" s="185" t="str">
        <f t="shared" si="7"/>
        <v/>
      </c>
      <c r="J122" s="203" t="str">
        <f>IF($H122="USD",IF(OR($I122="",$I122="-"),"",VLOOKUP($G122,為替!$A:$AX,$I122,FALSE))+$J$3,IF(OR($I122="",$I122="-"),"",VLOOKUP($G122,為替!$A:$AX,$I122,FALSE)))</f>
        <v/>
      </c>
      <c r="K122" s="204" t="str">
        <f t="shared" si="8"/>
        <v/>
      </c>
      <c r="L122" s="188" t="str">
        <f t="shared" si="9"/>
        <v/>
      </c>
      <c r="M122" s="203" t="str">
        <f>IF($H122="USD",IF(OR($L122="",$L122="-"),"",VLOOKUP($G122,為替!$A:$AX,$L122,FALSE))+$K$3,IF(OR($L122="",$L122="-"),"",VLOOKUP($G122,為替!$A:$AX,$L122,FALSE)))</f>
        <v/>
      </c>
      <c r="N122" s="204" t="str">
        <f t="shared" si="10"/>
        <v/>
      </c>
      <c r="O122" s="205" t="str">
        <f t="shared" si="6"/>
        <v/>
      </c>
      <c r="P122" s="206" t="str">
        <f t="shared" si="11"/>
        <v/>
      </c>
    </row>
    <row r="123" spans="3:16" x14ac:dyDescent="0.4">
      <c r="C123" s="199"/>
      <c r="D123" s="200"/>
      <c r="E123" s="201"/>
      <c r="F123" s="199"/>
      <c r="H123" s="202"/>
      <c r="I123" s="185" t="str">
        <f t="shared" si="7"/>
        <v/>
      </c>
      <c r="J123" s="203" t="str">
        <f>IF($H123="USD",IF(OR($I123="",$I123="-"),"",VLOOKUP($G123,為替!$A:$AX,$I123,FALSE))+$J$3,IF(OR($I123="",$I123="-"),"",VLOOKUP($G123,為替!$A:$AX,$I123,FALSE)))</f>
        <v/>
      </c>
      <c r="K123" s="204" t="str">
        <f t="shared" si="8"/>
        <v/>
      </c>
      <c r="L123" s="188" t="str">
        <f t="shared" si="9"/>
        <v/>
      </c>
      <c r="M123" s="203" t="str">
        <f>IF($H123="USD",IF(OR($L123="",$L123="-"),"",VLOOKUP($G123,為替!$A:$AX,$L123,FALSE))+$K$3,IF(OR($L123="",$L123="-"),"",VLOOKUP($G123,為替!$A:$AX,$L123,FALSE)))</f>
        <v/>
      </c>
      <c r="N123" s="204" t="str">
        <f t="shared" si="10"/>
        <v/>
      </c>
      <c r="O123" s="205" t="str">
        <f t="shared" si="6"/>
        <v/>
      </c>
      <c r="P123" s="206" t="str">
        <f t="shared" si="11"/>
        <v/>
      </c>
    </row>
    <row r="124" spans="3:16" x14ac:dyDescent="0.4">
      <c r="C124" s="199"/>
      <c r="D124" s="200"/>
      <c r="E124" s="201"/>
      <c r="F124" s="199"/>
      <c r="H124" s="202"/>
      <c r="I124" s="185" t="str">
        <f t="shared" si="7"/>
        <v/>
      </c>
      <c r="J124" s="203" t="str">
        <f>IF($H124="USD",IF(OR($I124="",$I124="-"),"",VLOOKUP($G124,為替!$A:$AX,$I124,FALSE))+$J$3,IF(OR($I124="",$I124="-"),"",VLOOKUP($G124,為替!$A:$AX,$I124,FALSE)))</f>
        <v/>
      </c>
      <c r="K124" s="204" t="str">
        <f t="shared" si="8"/>
        <v/>
      </c>
      <c r="L124" s="188" t="str">
        <f t="shared" si="9"/>
        <v/>
      </c>
      <c r="M124" s="203" t="str">
        <f>IF($H124="USD",IF(OR($L124="",$L124="-"),"",VLOOKUP($G124,為替!$A:$AX,$L124,FALSE))+$K$3,IF(OR($L124="",$L124="-"),"",VLOOKUP($G124,為替!$A:$AX,$L124,FALSE)))</f>
        <v/>
      </c>
      <c r="N124" s="204" t="str">
        <f t="shared" si="10"/>
        <v/>
      </c>
      <c r="O124" s="205" t="str">
        <f t="shared" si="6"/>
        <v/>
      </c>
      <c r="P124" s="206" t="str">
        <f t="shared" si="11"/>
        <v/>
      </c>
    </row>
    <row r="125" spans="3:16" x14ac:dyDescent="0.4">
      <c r="C125" s="199"/>
      <c r="D125" s="200"/>
      <c r="E125" s="201"/>
      <c r="F125" s="199"/>
      <c r="H125" s="202"/>
      <c r="I125" s="185" t="str">
        <f t="shared" si="7"/>
        <v/>
      </c>
      <c r="J125" s="203" t="str">
        <f>IF($H125="USD",IF(OR($I125="",$I125="-"),"",VLOOKUP($G125,為替!$A:$AX,$I125,FALSE))+$J$3,IF(OR($I125="",$I125="-"),"",VLOOKUP($G125,為替!$A:$AX,$I125,FALSE)))</f>
        <v/>
      </c>
      <c r="K125" s="204" t="str">
        <f t="shared" si="8"/>
        <v/>
      </c>
      <c r="L125" s="188" t="str">
        <f t="shared" si="9"/>
        <v/>
      </c>
      <c r="M125" s="203" t="str">
        <f>IF($H125="USD",IF(OR($L125="",$L125="-"),"",VLOOKUP($G125,為替!$A:$AX,$L125,FALSE))+$K$3,IF(OR($L125="",$L125="-"),"",VLOOKUP($G125,為替!$A:$AX,$L125,FALSE)))</f>
        <v/>
      </c>
      <c r="N125" s="204" t="str">
        <f t="shared" si="10"/>
        <v/>
      </c>
      <c r="O125" s="205" t="str">
        <f t="shared" si="6"/>
        <v/>
      </c>
      <c r="P125" s="206" t="str">
        <f t="shared" si="11"/>
        <v/>
      </c>
    </row>
    <row r="126" spans="3:16" x14ac:dyDescent="0.4">
      <c r="C126" s="199"/>
      <c r="D126" s="200"/>
      <c r="E126" s="201"/>
      <c r="F126" s="199"/>
      <c r="H126" s="202"/>
      <c r="I126" s="185" t="str">
        <f t="shared" si="7"/>
        <v/>
      </c>
      <c r="J126" s="203" t="str">
        <f>IF($H126="USD",IF(OR($I126="",$I126="-"),"",VLOOKUP($G126,為替!$A:$AX,$I126,FALSE))+$J$3,IF(OR($I126="",$I126="-"),"",VLOOKUP($G126,為替!$A:$AX,$I126,FALSE)))</f>
        <v/>
      </c>
      <c r="K126" s="204" t="str">
        <f t="shared" si="8"/>
        <v/>
      </c>
      <c r="L126" s="188" t="str">
        <f t="shared" si="9"/>
        <v/>
      </c>
      <c r="M126" s="203" t="str">
        <f>IF($H126="USD",IF(OR($L126="",$L126="-"),"",VLOOKUP($G126,為替!$A:$AX,$L126,FALSE))+$K$3,IF(OR($L126="",$L126="-"),"",VLOOKUP($G126,為替!$A:$AX,$L126,FALSE)))</f>
        <v/>
      </c>
      <c r="N126" s="204" t="str">
        <f t="shared" si="10"/>
        <v/>
      </c>
      <c r="O126" s="205" t="str">
        <f t="shared" si="6"/>
        <v/>
      </c>
      <c r="P126" s="206" t="str">
        <f t="shared" si="11"/>
        <v/>
      </c>
    </row>
    <row r="127" spans="3:16" x14ac:dyDescent="0.4">
      <c r="C127" s="199"/>
      <c r="D127" s="200"/>
      <c r="E127" s="201"/>
      <c r="F127" s="199"/>
      <c r="H127" s="202"/>
      <c r="I127" s="185" t="str">
        <f t="shared" si="7"/>
        <v/>
      </c>
      <c r="J127" s="203" t="str">
        <f>IF($H127="USD",IF(OR($I127="",$I127="-"),"",VLOOKUP($G127,為替!$A:$AX,$I127,FALSE))+$J$3,IF(OR($I127="",$I127="-"),"",VLOOKUP($G127,為替!$A:$AX,$I127,FALSE)))</f>
        <v/>
      </c>
      <c r="K127" s="204" t="str">
        <f t="shared" si="8"/>
        <v/>
      </c>
      <c r="L127" s="188" t="str">
        <f t="shared" si="9"/>
        <v/>
      </c>
      <c r="M127" s="203" t="str">
        <f>IF($H127="USD",IF(OR($L127="",$L127="-"),"",VLOOKUP($G127,為替!$A:$AX,$L127,FALSE))+$K$3,IF(OR($L127="",$L127="-"),"",VLOOKUP($G127,為替!$A:$AX,$L127,FALSE)))</f>
        <v/>
      </c>
      <c r="N127" s="204" t="str">
        <f t="shared" si="10"/>
        <v/>
      </c>
      <c r="O127" s="205" t="str">
        <f t="shared" si="6"/>
        <v/>
      </c>
      <c r="P127" s="206" t="str">
        <f t="shared" si="11"/>
        <v/>
      </c>
    </row>
    <row r="128" spans="3:16" x14ac:dyDescent="0.4">
      <c r="C128" s="199"/>
      <c r="D128" s="200"/>
      <c r="E128" s="201"/>
      <c r="F128" s="199"/>
      <c r="H128" s="202"/>
      <c r="I128" s="185" t="str">
        <f t="shared" si="7"/>
        <v/>
      </c>
      <c r="J128" s="203" t="str">
        <f>IF($H128="USD",IF(OR($I128="",$I128="-"),"",VLOOKUP($G128,為替!$A:$AX,$I128,FALSE))+$J$3,IF(OR($I128="",$I128="-"),"",VLOOKUP($G128,為替!$A:$AX,$I128,FALSE)))</f>
        <v/>
      </c>
      <c r="K128" s="204" t="str">
        <f t="shared" si="8"/>
        <v/>
      </c>
      <c r="L128" s="188" t="str">
        <f t="shared" si="9"/>
        <v/>
      </c>
      <c r="M128" s="203" t="str">
        <f>IF($H128="USD",IF(OR($L128="",$L128="-"),"",VLOOKUP($G128,為替!$A:$AX,$L128,FALSE))+$K$3,IF(OR($L128="",$L128="-"),"",VLOOKUP($G128,為替!$A:$AX,$L128,FALSE)))</f>
        <v/>
      </c>
      <c r="N128" s="204" t="str">
        <f t="shared" si="10"/>
        <v/>
      </c>
      <c r="O128" s="205" t="str">
        <f t="shared" si="6"/>
        <v/>
      </c>
      <c r="P128" s="206" t="str">
        <f t="shared" si="11"/>
        <v/>
      </c>
    </row>
    <row r="129" spans="3:16" x14ac:dyDescent="0.4">
      <c r="C129" s="199"/>
      <c r="D129" s="200"/>
      <c r="E129" s="201"/>
      <c r="F129" s="199"/>
      <c r="H129" s="202"/>
      <c r="I129" s="185" t="str">
        <f t="shared" si="7"/>
        <v/>
      </c>
      <c r="J129" s="203" t="str">
        <f>IF($H129="USD",IF(OR($I129="",$I129="-"),"",VLOOKUP($G129,為替!$A:$AX,$I129,FALSE))+$J$3,IF(OR($I129="",$I129="-"),"",VLOOKUP($G129,為替!$A:$AX,$I129,FALSE)))</f>
        <v/>
      </c>
      <c r="K129" s="204" t="str">
        <f t="shared" si="8"/>
        <v/>
      </c>
      <c r="L129" s="188" t="str">
        <f t="shared" si="9"/>
        <v/>
      </c>
      <c r="M129" s="203" t="str">
        <f>IF($H129="USD",IF(OR($L129="",$L129="-"),"",VLOOKUP($G129,為替!$A:$AX,$L129,FALSE))+$K$3,IF(OR($L129="",$L129="-"),"",VLOOKUP($G129,為替!$A:$AX,$L129,FALSE)))</f>
        <v/>
      </c>
      <c r="N129" s="204" t="str">
        <f t="shared" si="10"/>
        <v/>
      </c>
      <c r="O129" s="205" t="str">
        <f t="shared" si="6"/>
        <v/>
      </c>
      <c r="P129" s="206" t="str">
        <f t="shared" si="11"/>
        <v/>
      </c>
    </row>
    <row r="130" spans="3:16" x14ac:dyDescent="0.4">
      <c r="C130" s="199"/>
      <c r="D130" s="200"/>
      <c r="E130" s="201"/>
      <c r="F130" s="199"/>
      <c r="H130" s="202"/>
      <c r="I130" s="185" t="str">
        <f t="shared" si="7"/>
        <v/>
      </c>
      <c r="J130" s="203" t="str">
        <f>IF($H130="USD",IF(OR($I130="",$I130="-"),"",VLOOKUP($G130,為替!$A:$AX,$I130,FALSE))+$J$3,IF(OR($I130="",$I130="-"),"",VLOOKUP($G130,為替!$A:$AX,$I130,FALSE)))</f>
        <v/>
      </c>
      <c r="K130" s="204" t="str">
        <f t="shared" si="8"/>
        <v/>
      </c>
      <c r="L130" s="188" t="str">
        <f t="shared" si="9"/>
        <v/>
      </c>
      <c r="M130" s="203" t="str">
        <f>IF($H130="USD",IF(OR($L130="",$L130="-"),"",VLOOKUP($G130,為替!$A:$AX,$L130,FALSE))+$K$3,IF(OR($L130="",$L130="-"),"",VLOOKUP($G130,為替!$A:$AX,$L130,FALSE)))</f>
        <v/>
      </c>
      <c r="N130" s="204" t="str">
        <f t="shared" si="10"/>
        <v/>
      </c>
      <c r="O130" s="205" t="str">
        <f t="shared" si="6"/>
        <v/>
      </c>
      <c r="P130" s="206" t="str">
        <f t="shared" si="11"/>
        <v/>
      </c>
    </row>
    <row r="131" spans="3:16" x14ac:dyDescent="0.4">
      <c r="C131" s="199"/>
      <c r="D131" s="200"/>
      <c r="E131" s="201"/>
      <c r="F131" s="199"/>
      <c r="H131" s="202"/>
      <c r="I131" s="185" t="str">
        <f t="shared" si="7"/>
        <v/>
      </c>
      <c r="J131" s="203" t="str">
        <f>IF($H131="USD",IF(OR($I131="",$I131="-"),"",VLOOKUP($G131,為替!$A:$AX,$I131,FALSE))+$J$3,IF(OR($I131="",$I131="-"),"",VLOOKUP($G131,為替!$A:$AX,$I131,FALSE)))</f>
        <v/>
      </c>
      <c r="K131" s="204" t="str">
        <f t="shared" si="8"/>
        <v/>
      </c>
      <c r="L131" s="188" t="str">
        <f t="shared" si="9"/>
        <v/>
      </c>
      <c r="M131" s="203" t="str">
        <f>IF($H131="USD",IF(OR($L131="",$L131="-"),"",VLOOKUP($G131,為替!$A:$AX,$L131,FALSE))+$K$3,IF(OR($L131="",$L131="-"),"",VLOOKUP($G131,為替!$A:$AX,$L131,FALSE)))</f>
        <v/>
      </c>
      <c r="N131" s="204" t="str">
        <f t="shared" si="10"/>
        <v/>
      </c>
      <c r="O131" s="205" t="str">
        <f t="shared" si="6"/>
        <v/>
      </c>
      <c r="P131" s="206" t="str">
        <f t="shared" si="11"/>
        <v/>
      </c>
    </row>
    <row r="132" spans="3:16" x14ac:dyDescent="0.4">
      <c r="C132" s="199"/>
      <c r="D132" s="200"/>
      <c r="E132" s="201"/>
      <c r="F132" s="199"/>
      <c r="H132" s="202"/>
      <c r="I132" s="185" t="str">
        <f t="shared" si="7"/>
        <v/>
      </c>
      <c r="J132" s="203" t="str">
        <f>IF($H132="USD",IF(OR($I132="",$I132="-"),"",VLOOKUP($G132,為替!$A:$AX,$I132,FALSE))+$J$3,IF(OR($I132="",$I132="-"),"",VLOOKUP($G132,為替!$A:$AX,$I132,FALSE)))</f>
        <v/>
      </c>
      <c r="K132" s="204" t="str">
        <f t="shared" si="8"/>
        <v/>
      </c>
      <c r="L132" s="188" t="str">
        <f t="shared" si="9"/>
        <v/>
      </c>
      <c r="M132" s="203" t="str">
        <f>IF($H132="USD",IF(OR($L132="",$L132="-"),"",VLOOKUP($G132,為替!$A:$AX,$L132,FALSE))+$K$3,IF(OR($L132="",$L132="-"),"",VLOOKUP($G132,為替!$A:$AX,$L132,FALSE)))</f>
        <v/>
      </c>
      <c r="N132" s="204" t="str">
        <f t="shared" si="10"/>
        <v/>
      </c>
      <c r="O132" s="205" t="str">
        <f t="shared" si="6"/>
        <v/>
      </c>
      <c r="P132" s="206" t="str">
        <f t="shared" si="11"/>
        <v/>
      </c>
    </row>
    <row r="133" spans="3:16" x14ac:dyDescent="0.4">
      <c r="C133" s="199"/>
      <c r="D133" s="200"/>
      <c r="E133" s="201"/>
      <c r="F133" s="199"/>
      <c r="H133" s="202"/>
      <c r="I133" s="185" t="str">
        <f t="shared" si="7"/>
        <v/>
      </c>
      <c r="J133" s="203" t="str">
        <f>IF($H133="USD",IF(OR($I133="",$I133="-"),"",VLOOKUP($G133,為替!$A:$AX,$I133,FALSE))+$J$3,IF(OR($I133="",$I133="-"),"",VLOOKUP($G133,為替!$A:$AX,$I133,FALSE)))</f>
        <v/>
      </c>
      <c r="K133" s="204" t="str">
        <f t="shared" si="8"/>
        <v/>
      </c>
      <c r="L133" s="188" t="str">
        <f t="shared" si="9"/>
        <v/>
      </c>
      <c r="M133" s="203" t="str">
        <f>IF($H133="USD",IF(OR($L133="",$L133="-"),"",VLOOKUP($G133,為替!$A:$AX,$L133,FALSE))+$K$3,IF(OR($L133="",$L133="-"),"",VLOOKUP($G133,為替!$A:$AX,$L133,FALSE)))</f>
        <v/>
      </c>
      <c r="N133" s="204" t="str">
        <f t="shared" si="10"/>
        <v/>
      </c>
      <c r="O133" s="205" t="str">
        <f t="shared" si="6"/>
        <v/>
      </c>
      <c r="P133" s="206" t="str">
        <f t="shared" si="11"/>
        <v/>
      </c>
    </row>
    <row r="134" spans="3:16" x14ac:dyDescent="0.4">
      <c r="C134" s="199"/>
      <c r="D134" s="200"/>
      <c r="E134" s="201"/>
      <c r="F134" s="199"/>
      <c r="H134" s="202"/>
      <c r="I134" s="185" t="str">
        <f t="shared" si="7"/>
        <v/>
      </c>
      <c r="J134" s="203" t="str">
        <f>IF($H134="USD",IF(OR($I134="",$I134="-"),"",VLOOKUP($G134,為替!$A:$AX,$I134,FALSE))+$J$3,IF(OR($I134="",$I134="-"),"",VLOOKUP($G134,為替!$A:$AX,$I134,FALSE)))</f>
        <v/>
      </c>
      <c r="K134" s="204" t="str">
        <f t="shared" si="8"/>
        <v/>
      </c>
      <c r="L134" s="188" t="str">
        <f t="shared" si="9"/>
        <v/>
      </c>
      <c r="M134" s="203" t="str">
        <f>IF($H134="USD",IF(OR($L134="",$L134="-"),"",VLOOKUP($G134,為替!$A:$AX,$L134,FALSE))+$K$3,IF(OR($L134="",$L134="-"),"",VLOOKUP($G134,為替!$A:$AX,$L134,FALSE)))</f>
        <v/>
      </c>
      <c r="N134" s="204" t="str">
        <f t="shared" si="10"/>
        <v/>
      </c>
      <c r="O134" s="205" t="str">
        <f t="shared" ref="O134:O197" si="12">IF(OR(K134="",N134=""),"",K134-N134)</f>
        <v/>
      </c>
      <c r="P134" s="206" t="str">
        <f t="shared" si="11"/>
        <v/>
      </c>
    </row>
    <row r="135" spans="3:16" x14ac:dyDescent="0.4">
      <c r="C135" s="199"/>
      <c r="D135" s="200"/>
      <c r="E135" s="201"/>
      <c r="F135" s="199"/>
      <c r="H135" s="202"/>
      <c r="I135" s="185" t="str">
        <f t="shared" ref="I135:I198" si="13">IF(H135="","",IF(H135="JPY","",IF($H135="USD",4, IF(H135="EUR",7,IF(H135="CNY",47,IF(H135="HKD",34))))))</f>
        <v/>
      </c>
      <c r="J135" s="203" t="str">
        <f>IF($H135="USD",IF(OR($I135="",$I135="-"),"",VLOOKUP($G135,為替!$A:$AX,$I135,FALSE))+$J$3,IF(OR($I135="",$I135="-"),"",VLOOKUP($G135,為替!$A:$AX,$I135,FALSE)))</f>
        <v/>
      </c>
      <c r="K135" s="204" t="str">
        <f t="shared" ref="K135:K198" si="14">IF($H135="JPY",$F135,IF($H135="","",$F135*$J135))</f>
        <v/>
      </c>
      <c r="L135" s="188" t="str">
        <f t="shared" ref="L135:L198" si="15">IF(H135="","",IF(H135="JPY","",IF($H135="USD",3, IF(H135="EUR",6,IF(H135="CNY",46,IF(H135="HKD",33))))))</f>
        <v/>
      </c>
      <c r="M135" s="203" t="str">
        <f>IF($H135="USD",IF(OR($L135="",$L135="-"),"",VLOOKUP($G135,為替!$A:$AX,$L135,FALSE))+$K$3,IF(OR($L135="",$L135="-"),"",VLOOKUP($G135,為替!$A:$AX,$L135,FALSE)))</f>
        <v/>
      </c>
      <c r="N135" s="204" t="str">
        <f t="shared" ref="N135:N198" si="16">IF($E135="JPY",($C135+$D135),IF($E135="","",($C135+$D135)*$M135))</f>
        <v/>
      </c>
      <c r="O135" s="205" t="str">
        <f t="shared" si="12"/>
        <v/>
      </c>
      <c r="P135" s="206" t="str">
        <f t="shared" ref="P135:P198" si="17">IF(OR(K135="",O135=""),"",O135/K135)</f>
        <v/>
      </c>
    </row>
    <row r="136" spans="3:16" x14ac:dyDescent="0.4">
      <c r="C136" s="199"/>
      <c r="D136" s="200"/>
      <c r="E136" s="201"/>
      <c r="F136" s="199"/>
      <c r="H136" s="202"/>
      <c r="I136" s="185" t="str">
        <f t="shared" si="13"/>
        <v/>
      </c>
      <c r="J136" s="203" t="str">
        <f>IF($H136="USD",IF(OR($I136="",$I136="-"),"",VLOOKUP($G136,為替!$A:$AX,$I136,FALSE))+$J$3,IF(OR($I136="",$I136="-"),"",VLOOKUP($G136,為替!$A:$AX,$I136,FALSE)))</f>
        <v/>
      </c>
      <c r="K136" s="204" t="str">
        <f t="shared" si="14"/>
        <v/>
      </c>
      <c r="L136" s="188" t="str">
        <f t="shared" si="15"/>
        <v/>
      </c>
      <c r="M136" s="203" t="str">
        <f>IF($H136="USD",IF(OR($L136="",$L136="-"),"",VLOOKUP($G136,為替!$A:$AX,$L136,FALSE))+$K$3,IF(OR($L136="",$L136="-"),"",VLOOKUP($G136,為替!$A:$AX,$L136,FALSE)))</f>
        <v/>
      </c>
      <c r="N136" s="204" t="str">
        <f t="shared" si="16"/>
        <v/>
      </c>
      <c r="O136" s="205" t="str">
        <f t="shared" si="12"/>
        <v/>
      </c>
      <c r="P136" s="206" t="str">
        <f t="shared" si="17"/>
        <v/>
      </c>
    </row>
    <row r="137" spans="3:16" x14ac:dyDescent="0.4">
      <c r="C137" s="199"/>
      <c r="D137" s="200"/>
      <c r="E137" s="201"/>
      <c r="F137" s="199"/>
      <c r="H137" s="202"/>
      <c r="I137" s="185" t="str">
        <f t="shared" si="13"/>
        <v/>
      </c>
      <c r="J137" s="203" t="str">
        <f>IF($H137="USD",IF(OR($I137="",$I137="-"),"",VLOOKUP($G137,為替!$A:$AX,$I137,FALSE))+$J$3,IF(OR($I137="",$I137="-"),"",VLOOKUP($G137,為替!$A:$AX,$I137,FALSE)))</f>
        <v/>
      </c>
      <c r="K137" s="204" t="str">
        <f t="shared" si="14"/>
        <v/>
      </c>
      <c r="L137" s="188" t="str">
        <f t="shared" si="15"/>
        <v/>
      </c>
      <c r="M137" s="203" t="str">
        <f>IF($H137="USD",IF(OR($L137="",$L137="-"),"",VLOOKUP($G137,為替!$A:$AX,$L137,FALSE))+$K$3,IF(OR($L137="",$L137="-"),"",VLOOKUP($G137,為替!$A:$AX,$L137,FALSE)))</f>
        <v/>
      </c>
      <c r="N137" s="204" t="str">
        <f t="shared" si="16"/>
        <v/>
      </c>
      <c r="O137" s="205" t="str">
        <f t="shared" si="12"/>
        <v/>
      </c>
      <c r="P137" s="206" t="str">
        <f t="shared" si="17"/>
        <v/>
      </c>
    </row>
    <row r="138" spans="3:16" x14ac:dyDescent="0.4">
      <c r="C138" s="199"/>
      <c r="D138" s="200"/>
      <c r="E138" s="201"/>
      <c r="F138" s="199"/>
      <c r="H138" s="202"/>
      <c r="I138" s="185" t="str">
        <f t="shared" si="13"/>
        <v/>
      </c>
      <c r="J138" s="203" t="str">
        <f>IF($H138="USD",IF(OR($I138="",$I138="-"),"",VLOOKUP($G138,為替!$A:$AX,$I138,FALSE))+$J$3,IF(OR($I138="",$I138="-"),"",VLOOKUP($G138,為替!$A:$AX,$I138,FALSE)))</f>
        <v/>
      </c>
      <c r="K138" s="204" t="str">
        <f t="shared" si="14"/>
        <v/>
      </c>
      <c r="L138" s="188" t="str">
        <f t="shared" si="15"/>
        <v/>
      </c>
      <c r="M138" s="203" t="str">
        <f>IF($H138="USD",IF(OR($L138="",$L138="-"),"",VLOOKUP($G138,為替!$A:$AX,$L138,FALSE))+$K$3,IF(OR($L138="",$L138="-"),"",VLOOKUP($G138,為替!$A:$AX,$L138,FALSE)))</f>
        <v/>
      </c>
      <c r="N138" s="204" t="str">
        <f t="shared" si="16"/>
        <v/>
      </c>
      <c r="O138" s="205" t="str">
        <f t="shared" si="12"/>
        <v/>
      </c>
      <c r="P138" s="206" t="str">
        <f t="shared" si="17"/>
        <v/>
      </c>
    </row>
    <row r="139" spans="3:16" x14ac:dyDescent="0.4">
      <c r="C139" s="199"/>
      <c r="D139" s="200"/>
      <c r="E139" s="201"/>
      <c r="F139" s="199"/>
      <c r="H139" s="202"/>
      <c r="I139" s="185" t="str">
        <f t="shared" si="13"/>
        <v/>
      </c>
      <c r="J139" s="203" t="str">
        <f>IF($H139="USD",IF(OR($I139="",$I139="-"),"",VLOOKUP($G139,為替!$A:$AX,$I139,FALSE))+$J$3,IF(OR($I139="",$I139="-"),"",VLOOKUP($G139,為替!$A:$AX,$I139,FALSE)))</f>
        <v/>
      </c>
      <c r="K139" s="204" t="str">
        <f t="shared" si="14"/>
        <v/>
      </c>
      <c r="L139" s="188" t="str">
        <f t="shared" si="15"/>
        <v/>
      </c>
      <c r="M139" s="203" t="str">
        <f>IF($H139="USD",IF(OR($L139="",$L139="-"),"",VLOOKUP($G139,為替!$A:$AX,$L139,FALSE))+$K$3,IF(OR($L139="",$L139="-"),"",VLOOKUP($G139,為替!$A:$AX,$L139,FALSE)))</f>
        <v/>
      </c>
      <c r="N139" s="204" t="str">
        <f t="shared" si="16"/>
        <v/>
      </c>
      <c r="O139" s="205" t="str">
        <f t="shared" si="12"/>
        <v/>
      </c>
      <c r="P139" s="206" t="str">
        <f t="shared" si="17"/>
        <v/>
      </c>
    </row>
    <row r="140" spans="3:16" x14ac:dyDescent="0.4">
      <c r="C140" s="199"/>
      <c r="D140" s="200"/>
      <c r="E140" s="201"/>
      <c r="F140" s="199"/>
      <c r="H140" s="202"/>
      <c r="I140" s="185" t="str">
        <f t="shared" si="13"/>
        <v/>
      </c>
      <c r="J140" s="203" t="str">
        <f>IF($H140="USD",IF(OR($I140="",$I140="-"),"",VLOOKUP($G140,為替!$A:$AX,$I140,FALSE))+$J$3,IF(OR($I140="",$I140="-"),"",VLOOKUP($G140,為替!$A:$AX,$I140,FALSE)))</f>
        <v/>
      </c>
      <c r="K140" s="204" t="str">
        <f t="shared" si="14"/>
        <v/>
      </c>
      <c r="L140" s="188" t="str">
        <f t="shared" si="15"/>
        <v/>
      </c>
      <c r="M140" s="203" t="str">
        <f>IF($H140="USD",IF(OR($L140="",$L140="-"),"",VLOOKUP($G140,為替!$A:$AX,$L140,FALSE))+$K$3,IF(OR($L140="",$L140="-"),"",VLOOKUP($G140,為替!$A:$AX,$L140,FALSE)))</f>
        <v/>
      </c>
      <c r="N140" s="204" t="str">
        <f t="shared" si="16"/>
        <v/>
      </c>
      <c r="O140" s="205" t="str">
        <f t="shared" si="12"/>
        <v/>
      </c>
      <c r="P140" s="206" t="str">
        <f t="shared" si="17"/>
        <v/>
      </c>
    </row>
    <row r="141" spans="3:16" x14ac:dyDescent="0.4">
      <c r="C141" s="199"/>
      <c r="D141" s="200"/>
      <c r="E141" s="201"/>
      <c r="F141" s="199"/>
      <c r="H141" s="202"/>
      <c r="I141" s="185" t="str">
        <f t="shared" si="13"/>
        <v/>
      </c>
      <c r="J141" s="203" t="str">
        <f>IF($H141="USD",IF(OR($I141="",$I141="-"),"",VLOOKUP($G141,為替!$A:$AX,$I141,FALSE))+$J$3,IF(OR($I141="",$I141="-"),"",VLOOKUP($G141,為替!$A:$AX,$I141,FALSE)))</f>
        <v/>
      </c>
      <c r="K141" s="204" t="str">
        <f t="shared" si="14"/>
        <v/>
      </c>
      <c r="L141" s="188" t="str">
        <f t="shared" si="15"/>
        <v/>
      </c>
      <c r="M141" s="203" t="str">
        <f>IF($H141="USD",IF(OR($L141="",$L141="-"),"",VLOOKUP($G141,為替!$A:$AX,$L141,FALSE))+$K$3,IF(OR($L141="",$L141="-"),"",VLOOKUP($G141,為替!$A:$AX,$L141,FALSE)))</f>
        <v/>
      </c>
      <c r="N141" s="204" t="str">
        <f t="shared" si="16"/>
        <v/>
      </c>
      <c r="O141" s="205" t="str">
        <f t="shared" si="12"/>
        <v/>
      </c>
      <c r="P141" s="206" t="str">
        <f t="shared" si="17"/>
        <v/>
      </c>
    </row>
    <row r="142" spans="3:16" x14ac:dyDescent="0.4">
      <c r="C142" s="199"/>
      <c r="D142" s="200"/>
      <c r="E142" s="201"/>
      <c r="F142" s="199"/>
      <c r="H142" s="202"/>
      <c r="I142" s="185" t="str">
        <f t="shared" si="13"/>
        <v/>
      </c>
      <c r="J142" s="203" t="str">
        <f>IF($H142="USD",IF(OR($I142="",$I142="-"),"",VLOOKUP($G142,為替!$A:$AX,$I142,FALSE))+$J$3,IF(OR($I142="",$I142="-"),"",VLOOKUP($G142,為替!$A:$AX,$I142,FALSE)))</f>
        <v/>
      </c>
      <c r="K142" s="204" t="str">
        <f t="shared" si="14"/>
        <v/>
      </c>
      <c r="L142" s="188" t="str">
        <f t="shared" si="15"/>
        <v/>
      </c>
      <c r="M142" s="203" t="str">
        <f>IF($H142="USD",IF(OR($L142="",$L142="-"),"",VLOOKUP($G142,為替!$A:$AX,$L142,FALSE))+$K$3,IF(OR($L142="",$L142="-"),"",VLOOKUP($G142,為替!$A:$AX,$L142,FALSE)))</f>
        <v/>
      </c>
      <c r="N142" s="204" t="str">
        <f t="shared" si="16"/>
        <v/>
      </c>
      <c r="O142" s="205" t="str">
        <f t="shared" si="12"/>
        <v/>
      </c>
      <c r="P142" s="206" t="str">
        <f t="shared" si="17"/>
        <v/>
      </c>
    </row>
    <row r="143" spans="3:16" x14ac:dyDescent="0.4">
      <c r="C143" s="199"/>
      <c r="D143" s="200"/>
      <c r="E143" s="201"/>
      <c r="F143" s="199"/>
      <c r="H143" s="202"/>
      <c r="I143" s="185" t="str">
        <f t="shared" si="13"/>
        <v/>
      </c>
      <c r="J143" s="203" t="str">
        <f>IF($H143="USD",IF(OR($I143="",$I143="-"),"",VLOOKUP($G143,為替!$A:$AX,$I143,FALSE))+$J$3,IF(OR($I143="",$I143="-"),"",VLOOKUP($G143,為替!$A:$AX,$I143,FALSE)))</f>
        <v/>
      </c>
      <c r="K143" s="204" t="str">
        <f t="shared" si="14"/>
        <v/>
      </c>
      <c r="L143" s="188" t="str">
        <f t="shared" si="15"/>
        <v/>
      </c>
      <c r="M143" s="203" t="str">
        <f>IF($H143="USD",IF(OR($L143="",$L143="-"),"",VLOOKUP($G143,為替!$A:$AX,$L143,FALSE))+$K$3,IF(OR($L143="",$L143="-"),"",VLOOKUP($G143,為替!$A:$AX,$L143,FALSE)))</f>
        <v/>
      </c>
      <c r="N143" s="204" t="str">
        <f t="shared" si="16"/>
        <v/>
      </c>
      <c r="O143" s="205" t="str">
        <f t="shared" si="12"/>
        <v/>
      </c>
      <c r="P143" s="206" t="str">
        <f t="shared" si="17"/>
        <v/>
      </c>
    </row>
    <row r="144" spans="3:16" x14ac:dyDescent="0.4">
      <c r="C144" s="199"/>
      <c r="D144" s="200"/>
      <c r="E144" s="201"/>
      <c r="F144" s="199"/>
      <c r="H144" s="202"/>
      <c r="I144" s="185" t="str">
        <f t="shared" si="13"/>
        <v/>
      </c>
      <c r="J144" s="203" t="str">
        <f>IF($H144="USD",IF(OR($I144="",$I144="-"),"",VLOOKUP($G144,為替!$A:$AX,$I144,FALSE))+$J$3,IF(OR($I144="",$I144="-"),"",VLOOKUP($G144,為替!$A:$AX,$I144,FALSE)))</f>
        <v/>
      </c>
      <c r="K144" s="204" t="str">
        <f t="shared" si="14"/>
        <v/>
      </c>
      <c r="L144" s="188" t="str">
        <f t="shared" si="15"/>
        <v/>
      </c>
      <c r="M144" s="203" t="str">
        <f>IF($H144="USD",IF(OR($L144="",$L144="-"),"",VLOOKUP($G144,為替!$A:$AX,$L144,FALSE))+$K$3,IF(OR($L144="",$L144="-"),"",VLOOKUP($G144,為替!$A:$AX,$L144,FALSE)))</f>
        <v/>
      </c>
      <c r="N144" s="204" t="str">
        <f t="shared" si="16"/>
        <v/>
      </c>
      <c r="O144" s="205" t="str">
        <f t="shared" si="12"/>
        <v/>
      </c>
      <c r="P144" s="206" t="str">
        <f t="shared" si="17"/>
        <v/>
      </c>
    </row>
    <row r="145" spans="3:16" x14ac:dyDescent="0.4">
      <c r="C145" s="199"/>
      <c r="D145" s="200"/>
      <c r="E145" s="201"/>
      <c r="F145" s="199"/>
      <c r="H145" s="202"/>
      <c r="I145" s="185" t="str">
        <f t="shared" si="13"/>
        <v/>
      </c>
      <c r="J145" s="203" t="str">
        <f>IF($H145="USD",IF(OR($I145="",$I145="-"),"",VLOOKUP($G145,為替!$A:$AX,$I145,FALSE))+$J$3,IF(OR($I145="",$I145="-"),"",VLOOKUP($G145,為替!$A:$AX,$I145,FALSE)))</f>
        <v/>
      </c>
      <c r="K145" s="204" t="str">
        <f t="shared" si="14"/>
        <v/>
      </c>
      <c r="L145" s="188" t="str">
        <f t="shared" si="15"/>
        <v/>
      </c>
      <c r="M145" s="203" t="str">
        <f>IF($H145="USD",IF(OR($L145="",$L145="-"),"",VLOOKUP($G145,為替!$A:$AX,$L145,FALSE))+$K$3,IF(OR($L145="",$L145="-"),"",VLOOKUP($G145,為替!$A:$AX,$L145,FALSE)))</f>
        <v/>
      </c>
      <c r="N145" s="204" t="str">
        <f t="shared" si="16"/>
        <v/>
      </c>
      <c r="O145" s="205" t="str">
        <f t="shared" si="12"/>
        <v/>
      </c>
      <c r="P145" s="206" t="str">
        <f t="shared" si="17"/>
        <v/>
      </c>
    </row>
    <row r="146" spans="3:16" x14ac:dyDescent="0.4">
      <c r="C146" s="199"/>
      <c r="D146" s="200"/>
      <c r="E146" s="201"/>
      <c r="F146" s="199"/>
      <c r="H146" s="202"/>
      <c r="I146" s="185" t="str">
        <f t="shared" si="13"/>
        <v/>
      </c>
      <c r="J146" s="203" t="str">
        <f>IF($H146="USD",IF(OR($I146="",$I146="-"),"",VLOOKUP($G146,為替!$A:$AX,$I146,FALSE))+$J$3,IF(OR($I146="",$I146="-"),"",VLOOKUP($G146,為替!$A:$AX,$I146,FALSE)))</f>
        <v/>
      </c>
      <c r="K146" s="204" t="str">
        <f t="shared" si="14"/>
        <v/>
      </c>
      <c r="L146" s="188" t="str">
        <f t="shared" si="15"/>
        <v/>
      </c>
      <c r="M146" s="203" t="str">
        <f>IF($H146="USD",IF(OR($L146="",$L146="-"),"",VLOOKUP($G146,為替!$A:$AX,$L146,FALSE))+$K$3,IF(OR($L146="",$L146="-"),"",VLOOKUP($G146,為替!$A:$AX,$L146,FALSE)))</f>
        <v/>
      </c>
      <c r="N146" s="204" t="str">
        <f t="shared" si="16"/>
        <v/>
      </c>
      <c r="O146" s="205" t="str">
        <f t="shared" si="12"/>
        <v/>
      </c>
      <c r="P146" s="206" t="str">
        <f t="shared" si="17"/>
        <v/>
      </c>
    </row>
    <row r="147" spans="3:16" x14ac:dyDescent="0.4">
      <c r="C147" s="199"/>
      <c r="D147" s="200"/>
      <c r="E147" s="201"/>
      <c r="F147" s="199"/>
      <c r="H147" s="202"/>
      <c r="I147" s="185" t="str">
        <f t="shared" si="13"/>
        <v/>
      </c>
      <c r="J147" s="203" t="str">
        <f>IF($H147="USD",IF(OR($I147="",$I147="-"),"",VLOOKUP($G147,為替!$A:$AX,$I147,FALSE))+$J$3,IF(OR($I147="",$I147="-"),"",VLOOKUP($G147,為替!$A:$AX,$I147,FALSE)))</f>
        <v/>
      </c>
      <c r="K147" s="204" t="str">
        <f t="shared" si="14"/>
        <v/>
      </c>
      <c r="L147" s="188" t="str">
        <f t="shared" si="15"/>
        <v/>
      </c>
      <c r="M147" s="203" t="str">
        <f>IF($H147="USD",IF(OR($L147="",$L147="-"),"",VLOOKUP($G147,為替!$A:$AX,$L147,FALSE))+$K$3,IF(OR($L147="",$L147="-"),"",VLOOKUP($G147,為替!$A:$AX,$L147,FALSE)))</f>
        <v/>
      </c>
      <c r="N147" s="204" t="str">
        <f t="shared" si="16"/>
        <v/>
      </c>
      <c r="O147" s="205" t="str">
        <f t="shared" si="12"/>
        <v/>
      </c>
      <c r="P147" s="206" t="str">
        <f t="shared" si="17"/>
        <v/>
      </c>
    </row>
    <row r="148" spans="3:16" x14ac:dyDescent="0.4">
      <c r="C148" s="199"/>
      <c r="D148" s="200"/>
      <c r="E148" s="201"/>
      <c r="F148" s="199"/>
      <c r="H148" s="202"/>
      <c r="I148" s="185" t="str">
        <f t="shared" si="13"/>
        <v/>
      </c>
      <c r="J148" s="203" t="str">
        <f>IF($H148="USD",IF(OR($I148="",$I148="-"),"",VLOOKUP($G148,為替!$A:$AX,$I148,FALSE))+$J$3,IF(OR($I148="",$I148="-"),"",VLOOKUP($G148,為替!$A:$AX,$I148,FALSE)))</f>
        <v/>
      </c>
      <c r="K148" s="204" t="str">
        <f t="shared" si="14"/>
        <v/>
      </c>
      <c r="L148" s="188" t="str">
        <f t="shared" si="15"/>
        <v/>
      </c>
      <c r="M148" s="203" t="str">
        <f>IF($H148="USD",IF(OR($L148="",$L148="-"),"",VLOOKUP($G148,為替!$A:$AX,$L148,FALSE))+$K$3,IF(OR($L148="",$L148="-"),"",VLOOKUP($G148,為替!$A:$AX,$L148,FALSE)))</f>
        <v/>
      </c>
      <c r="N148" s="204" t="str">
        <f t="shared" si="16"/>
        <v/>
      </c>
      <c r="O148" s="205" t="str">
        <f t="shared" si="12"/>
        <v/>
      </c>
      <c r="P148" s="206" t="str">
        <f t="shared" si="17"/>
        <v/>
      </c>
    </row>
    <row r="149" spans="3:16" x14ac:dyDescent="0.4">
      <c r="C149" s="199"/>
      <c r="D149" s="200"/>
      <c r="E149" s="201"/>
      <c r="F149" s="199"/>
      <c r="H149" s="202"/>
      <c r="I149" s="185" t="str">
        <f t="shared" si="13"/>
        <v/>
      </c>
      <c r="J149" s="203" t="str">
        <f>IF($H149="USD",IF(OR($I149="",$I149="-"),"",VLOOKUP($G149,為替!$A:$AX,$I149,FALSE))+$J$3,IF(OR($I149="",$I149="-"),"",VLOOKUP($G149,為替!$A:$AX,$I149,FALSE)))</f>
        <v/>
      </c>
      <c r="K149" s="204" t="str">
        <f t="shared" si="14"/>
        <v/>
      </c>
      <c r="L149" s="188" t="str">
        <f t="shared" si="15"/>
        <v/>
      </c>
      <c r="M149" s="203" t="str">
        <f>IF($H149="USD",IF(OR($L149="",$L149="-"),"",VLOOKUP($G149,為替!$A:$AX,$L149,FALSE))+$K$3,IF(OR($L149="",$L149="-"),"",VLOOKUP($G149,為替!$A:$AX,$L149,FALSE)))</f>
        <v/>
      </c>
      <c r="N149" s="204" t="str">
        <f t="shared" si="16"/>
        <v/>
      </c>
      <c r="O149" s="205" t="str">
        <f t="shared" si="12"/>
        <v/>
      </c>
      <c r="P149" s="206" t="str">
        <f t="shared" si="17"/>
        <v/>
      </c>
    </row>
    <row r="150" spans="3:16" x14ac:dyDescent="0.4">
      <c r="C150" s="199"/>
      <c r="D150" s="200"/>
      <c r="E150" s="201"/>
      <c r="F150" s="199"/>
      <c r="H150" s="202"/>
      <c r="I150" s="185" t="str">
        <f t="shared" si="13"/>
        <v/>
      </c>
      <c r="J150" s="203" t="str">
        <f>IF($H150="USD",IF(OR($I150="",$I150="-"),"",VLOOKUP($G150,為替!$A:$AX,$I150,FALSE))+$J$3,IF(OR($I150="",$I150="-"),"",VLOOKUP($G150,為替!$A:$AX,$I150,FALSE)))</f>
        <v/>
      </c>
      <c r="K150" s="204" t="str">
        <f t="shared" si="14"/>
        <v/>
      </c>
      <c r="L150" s="188" t="str">
        <f t="shared" si="15"/>
        <v/>
      </c>
      <c r="M150" s="203" t="str">
        <f>IF($H150="USD",IF(OR($L150="",$L150="-"),"",VLOOKUP($G150,為替!$A:$AX,$L150,FALSE))+$K$3,IF(OR($L150="",$L150="-"),"",VLOOKUP($G150,為替!$A:$AX,$L150,FALSE)))</f>
        <v/>
      </c>
      <c r="N150" s="204" t="str">
        <f t="shared" si="16"/>
        <v/>
      </c>
      <c r="O150" s="205" t="str">
        <f t="shared" si="12"/>
        <v/>
      </c>
      <c r="P150" s="206" t="str">
        <f t="shared" si="17"/>
        <v/>
      </c>
    </row>
    <row r="151" spans="3:16" x14ac:dyDescent="0.4">
      <c r="C151" s="199"/>
      <c r="D151" s="200"/>
      <c r="E151" s="201"/>
      <c r="F151" s="199"/>
      <c r="H151" s="202"/>
      <c r="I151" s="185" t="str">
        <f t="shared" si="13"/>
        <v/>
      </c>
      <c r="J151" s="203" t="str">
        <f>IF($H151="USD",IF(OR($I151="",$I151="-"),"",VLOOKUP($G151,為替!$A:$AX,$I151,FALSE))+$J$3,IF(OR($I151="",$I151="-"),"",VLOOKUP($G151,為替!$A:$AX,$I151,FALSE)))</f>
        <v/>
      </c>
      <c r="K151" s="204" t="str">
        <f t="shared" si="14"/>
        <v/>
      </c>
      <c r="L151" s="188" t="str">
        <f t="shared" si="15"/>
        <v/>
      </c>
      <c r="M151" s="203" t="str">
        <f>IF($H151="USD",IF(OR($L151="",$L151="-"),"",VLOOKUP($G151,為替!$A:$AX,$L151,FALSE))+$K$3,IF(OR($L151="",$L151="-"),"",VLOOKUP($G151,為替!$A:$AX,$L151,FALSE)))</f>
        <v/>
      </c>
      <c r="N151" s="204" t="str">
        <f t="shared" si="16"/>
        <v/>
      </c>
      <c r="O151" s="205" t="str">
        <f t="shared" si="12"/>
        <v/>
      </c>
      <c r="P151" s="206" t="str">
        <f t="shared" si="17"/>
        <v/>
      </c>
    </row>
    <row r="152" spans="3:16" x14ac:dyDescent="0.4">
      <c r="C152" s="199"/>
      <c r="D152" s="200"/>
      <c r="E152" s="201"/>
      <c r="F152" s="199"/>
      <c r="H152" s="202"/>
      <c r="I152" s="185" t="str">
        <f t="shared" si="13"/>
        <v/>
      </c>
      <c r="J152" s="203" t="str">
        <f>IF($H152="USD",IF(OR($I152="",$I152="-"),"",VLOOKUP($G152,為替!$A:$AX,$I152,FALSE))+$J$3,IF(OR($I152="",$I152="-"),"",VLOOKUP($G152,為替!$A:$AX,$I152,FALSE)))</f>
        <v/>
      </c>
      <c r="K152" s="204" t="str">
        <f t="shared" si="14"/>
        <v/>
      </c>
      <c r="L152" s="188" t="str">
        <f t="shared" si="15"/>
        <v/>
      </c>
      <c r="M152" s="203" t="str">
        <f>IF($H152="USD",IF(OR($L152="",$L152="-"),"",VLOOKUP($G152,為替!$A:$AX,$L152,FALSE))+$K$3,IF(OR($L152="",$L152="-"),"",VLOOKUP($G152,為替!$A:$AX,$L152,FALSE)))</f>
        <v/>
      </c>
      <c r="N152" s="204" t="str">
        <f t="shared" si="16"/>
        <v/>
      </c>
      <c r="O152" s="205" t="str">
        <f t="shared" si="12"/>
        <v/>
      </c>
      <c r="P152" s="206" t="str">
        <f t="shared" si="17"/>
        <v/>
      </c>
    </row>
    <row r="153" spans="3:16" x14ac:dyDescent="0.4">
      <c r="C153" s="199"/>
      <c r="D153" s="200"/>
      <c r="E153" s="201"/>
      <c r="F153" s="199"/>
      <c r="H153" s="202"/>
      <c r="I153" s="185" t="str">
        <f t="shared" si="13"/>
        <v/>
      </c>
      <c r="J153" s="203" t="str">
        <f>IF($H153="USD",IF(OR($I153="",$I153="-"),"",VLOOKUP($G153,為替!$A:$AX,$I153,FALSE))+$J$3,IF(OR($I153="",$I153="-"),"",VLOOKUP($G153,為替!$A:$AX,$I153,FALSE)))</f>
        <v/>
      </c>
      <c r="K153" s="204" t="str">
        <f t="shared" si="14"/>
        <v/>
      </c>
      <c r="L153" s="188" t="str">
        <f t="shared" si="15"/>
        <v/>
      </c>
      <c r="M153" s="203" t="str">
        <f>IF($H153="USD",IF(OR($L153="",$L153="-"),"",VLOOKUP($G153,為替!$A:$AX,$L153,FALSE))+$K$3,IF(OR($L153="",$L153="-"),"",VLOOKUP($G153,為替!$A:$AX,$L153,FALSE)))</f>
        <v/>
      </c>
      <c r="N153" s="204" t="str">
        <f t="shared" si="16"/>
        <v/>
      </c>
      <c r="O153" s="205" t="str">
        <f t="shared" si="12"/>
        <v/>
      </c>
      <c r="P153" s="206" t="str">
        <f t="shared" si="17"/>
        <v/>
      </c>
    </row>
    <row r="154" spans="3:16" x14ac:dyDescent="0.4">
      <c r="C154" s="199"/>
      <c r="D154" s="200"/>
      <c r="E154" s="201"/>
      <c r="F154" s="199"/>
      <c r="H154" s="202"/>
      <c r="I154" s="185" t="str">
        <f t="shared" si="13"/>
        <v/>
      </c>
      <c r="J154" s="203" t="str">
        <f>IF($H154="USD",IF(OR($I154="",$I154="-"),"",VLOOKUP($G154,為替!$A:$AX,$I154,FALSE))+$J$3,IF(OR($I154="",$I154="-"),"",VLOOKUP($G154,為替!$A:$AX,$I154,FALSE)))</f>
        <v/>
      </c>
      <c r="K154" s="204" t="str">
        <f t="shared" si="14"/>
        <v/>
      </c>
      <c r="L154" s="188" t="str">
        <f t="shared" si="15"/>
        <v/>
      </c>
      <c r="M154" s="203" t="str">
        <f>IF($H154="USD",IF(OR($L154="",$L154="-"),"",VLOOKUP($G154,為替!$A:$AX,$L154,FALSE))+$K$3,IF(OR($L154="",$L154="-"),"",VLOOKUP($G154,為替!$A:$AX,$L154,FALSE)))</f>
        <v/>
      </c>
      <c r="N154" s="204" t="str">
        <f t="shared" si="16"/>
        <v/>
      </c>
      <c r="O154" s="205" t="str">
        <f t="shared" si="12"/>
        <v/>
      </c>
      <c r="P154" s="206" t="str">
        <f t="shared" si="17"/>
        <v/>
      </c>
    </row>
    <row r="155" spans="3:16" x14ac:dyDescent="0.4">
      <c r="C155" s="199"/>
      <c r="D155" s="200"/>
      <c r="E155" s="201"/>
      <c r="F155" s="199"/>
      <c r="H155" s="202"/>
      <c r="I155" s="185" t="str">
        <f t="shared" si="13"/>
        <v/>
      </c>
      <c r="J155" s="203" t="str">
        <f>IF($H155="USD",IF(OR($I155="",$I155="-"),"",VLOOKUP($G155,為替!$A:$AX,$I155,FALSE))+$J$3,IF(OR($I155="",$I155="-"),"",VLOOKUP($G155,為替!$A:$AX,$I155,FALSE)))</f>
        <v/>
      </c>
      <c r="K155" s="204" t="str">
        <f t="shared" si="14"/>
        <v/>
      </c>
      <c r="L155" s="188" t="str">
        <f t="shared" si="15"/>
        <v/>
      </c>
      <c r="M155" s="203" t="str">
        <f>IF($H155="USD",IF(OR($L155="",$L155="-"),"",VLOOKUP($G155,為替!$A:$AX,$L155,FALSE))+$K$3,IF(OR($L155="",$L155="-"),"",VLOOKUP($G155,為替!$A:$AX,$L155,FALSE)))</f>
        <v/>
      </c>
      <c r="N155" s="204" t="str">
        <f t="shared" si="16"/>
        <v/>
      </c>
      <c r="O155" s="205" t="str">
        <f t="shared" si="12"/>
        <v/>
      </c>
      <c r="P155" s="206" t="str">
        <f t="shared" si="17"/>
        <v/>
      </c>
    </row>
    <row r="156" spans="3:16" x14ac:dyDescent="0.4">
      <c r="C156" s="199"/>
      <c r="D156" s="200"/>
      <c r="E156" s="201"/>
      <c r="F156" s="199"/>
      <c r="H156" s="202"/>
      <c r="I156" s="185" t="str">
        <f t="shared" si="13"/>
        <v/>
      </c>
      <c r="J156" s="203" t="str">
        <f>IF($H156="USD",IF(OR($I156="",$I156="-"),"",VLOOKUP($G156,為替!$A:$AX,$I156,FALSE))+$J$3,IF(OR($I156="",$I156="-"),"",VLOOKUP($G156,為替!$A:$AX,$I156,FALSE)))</f>
        <v/>
      </c>
      <c r="K156" s="204" t="str">
        <f t="shared" si="14"/>
        <v/>
      </c>
      <c r="L156" s="188" t="str">
        <f t="shared" si="15"/>
        <v/>
      </c>
      <c r="M156" s="203" t="str">
        <f>IF($H156="USD",IF(OR($L156="",$L156="-"),"",VLOOKUP($G156,為替!$A:$AX,$L156,FALSE))+$K$3,IF(OR($L156="",$L156="-"),"",VLOOKUP($G156,為替!$A:$AX,$L156,FALSE)))</f>
        <v/>
      </c>
      <c r="N156" s="204" t="str">
        <f t="shared" si="16"/>
        <v/>
      </c>
      <c r="O156" s="205" t="str">
        <f t="shared" si="12"/>
        <v/>
      </c>
      <c r="P156" s="206" t="str">
        <f t="shared" si="17"/>
        <v/>
      </c>
    </row>
    <row r="157" spans="3:16" x14ac:dyDescent="0.4">
      <c r="C157" s="199"/>
      <c r="D157" s="200"/>
      <c r="E157" s="201"/>
      <c r="F157" s="199"/>
      <c r="H157" s="202"/>
      <c r="I157" s="185" t="str">
        <f t="shared" si="13"/>
        <v/>
      </c>
      <c r="J157" s="203" t="str">
        <f>IF($H157="USD",IF(OR($I157="",$I157="-"),"",VLOOKUP($G157,為替!$A:$AX,$I157,FALSE))+$J$3,IF(OR($I157="",$I157="-"),"",VLOOKUP($G157,為替!$A:$AX,$I157,FALSE)))</f>
        <v/>
      </c>
      <c r="K157" s="204" t="str">
        <f t="shared" si="14"/>
        <v/>
      </c>
      <c r="L157" s="188" t="str">
        <f t="shared" si="15"/>
        <v/>
      </c>
      <c r="M157" s="203" t="str">
        <f>IF($H157="USD",IF(OR($L157="",$L157="-"),"",VLOOKUP($G157,為替!$A:$AX,$L157,FALSE))+$K$3,IF(OR($L157="",$L157="-"),"",VLOOKUP($G157,為替!$A:$AX,$L157,FALSE)))</f>
        <v/>
      </c>
      <c r="N157" s="204" t="str">
        <f t="shared" si="16"/>
        <v/>
      </c>
      <c r="O157" s="205" t="str">
        <f t="shared" si="12"/>
        <v/>
      </c>
      <c r="P157" s="206" t="str">
        <f t="shared" si="17"/>
        <v/>
      </c>
    </row>
    <row r="158" spans="3:16" x14ac:dyDescent="0.4">
      <c r="C158" s="199"/>
      <c r="D158" s="200"/>
      <c r="E158" s="201"/>
      <c r="F158" s="199"/>
      <c r="H158" s="202"/>
      <c r="I158" s="185" t="str">
        <f t="shared" si="13"/>
        <v/>
      </c>
      <c r="J158" s="203" t="str">
        <f>IF($H158="USD",IF(OR($I158="",$I158="-"),"",VLOOKUP($G158,為替!$A:$AX,$I158,FALSE))+$J$3,IF(OR($I158="",$I158="-"),"",VLOOKUP($G158,為替!$A:$AX,$I158,FALSE)))</f>
        <v/>
      </c>
      <c r="K158" s="204" t="str">
        <f t="shared" si="14"/>
        <v/>
      </c>
      <c r="L158" s="188" t="str">
        <f t="shared" si="15"/>
        <v/>
      </c>
      <c r="M158" s="203" t="str">
        <f>IF($H158="USD",IF(OR($L158="",$L158="-"),"",VLOOKUP($G158,為替!$A:$AX,$L158,FALSE))+$K$3,IF(OR($L158="",$L158="-"),"",VLOOKUP($G158,為替!$A:$AX,$L158,FALSE)))</f>
        <v/>
      </c>
      <c r="N158" s="204" t="str">
        <f t="shared" si="16"/>
        <v/>
      </c>
      <c r="O158" s="205" t="str">
        <f t="shared" si="12"/>
        <v/>
      </c>
      <c r="P158" s="206" t="str">
        <f t="shared" si="17"/>
        <v/>
      </c>
    </row>
    <row r="159" spans="3:16" x14ac:dyDescent="0.4">
      <c r="C159" s="199"/>
      <c r="D159" s="200"/>
      <c r="E159" s="201"/>
      <c r="F159" s="199"/>
      <c r="H159" s="202"/>
      <c r="I159" s="185" t="str">
        <f t="shared" si="13"/>
        <v/>
      </c>
      <c r="J159" s="203" t="str">
        <f>IF($H159="USD",IF(OR($I159="",$I159="-"),"",VLOOKUP($G159,為替!$A:$AX,$I159,FALSE))+$J$3,IF(OR($I159="",$I159="-"),"",VLOOKUP($G159,為替!$A:$AX,$I159,FALSE)))</f>
        <v/>
      </c>
      <c r="K159" s="204" t="str">
        <f t="shared" si="14"/>
        <v/>
      </c>
      <c r="L159" s="188" t="str">
        <f t="shared" si="15"/>
        <v/>
      </c>
      <c r="M159" s="203" t="str">
        <f>IF($H159="USD",IF(OR($L159="",$L159="-"),"",VLOOKUP($G159,為替!$A:$AX,$L159,FALSE))+$K$3,IF(OR($L159="",$L159="-"),"",VLOOKUP($G159,為替!$A:$AX,$L159,FALSE)))</f>
        <v/>
      </c>
      <c r="N159" s="204" t="str">
        <f t="shared" si="16"/>
        <v/>
      </c>
      <c r="O159" s="205" t="str">
        <f t="shared" si="12"/>
        <v/>
      </c>
      <c r="P159" s="206" t="str">
        <f t="shared" si="17"/>
        <v/>
      </c>
    </row>
    <row r="160" spans="3:16" x14ac:dyDescent="0.4">
      <c r="C160" s="199"/>
      <c r="D160" s="200"/>
      <c r="E160" s="201"/>
      <c r="F160" s="199"/>
      <c r="H160" s="202"/>
      <c r="I160" s="185" t="str">
        <f t="shared" si="13"/>
        <v/>
      </c>
      <c r="J160" s="203" t="str">
        <f>IF($H160="USD",IF(OR($I160="",$I160="-"),"",VLOOKUP($G160,為替!$A:$AX,$I160,FALSE))+$J$3,IF(OR($I160="",$I160="-"),"",VLOOKUP($G160,為替!$A:$AX,$I160,FALSE)))</f>
        <v/>
      </c>
      <c r="K160" s="204" t="str">
        <f t="shared" si="14"/>
        <v/>
      </c>
      <c r="L160" s="188" t="str">
        <f t="shared" si="15"/>
        <v/>
      </c>
      <c r="M160" s="203" t="str">
        <f>IF($H160="USD",IF(OR($L160="",$L160="-"),"",VLOOKUP($G160,為替!$A:$AX,$L160,FALSE))+$K$3,IF(OR($L160="",$L160="-"),"",VLOOKUP($G160,為替!$A:$AX,$L160,FALSE)))</f>
        <v/>
      </c>
      <c r="N160" s="204" t="str">
        <f t="shared" si="16"/>
        <v/>
      </c>
      <c r="O160" s="205" t="str">
        <f t="shared" si="12"/>
        <v/>
      </c>
      <c r="P160" s="206" t="str">
        <f t="shared" si="17"/>
        <v/>
      </c>
    </row>
    <row r="161" spans="3:16" x14ac:dyDescent="0.4">
      <c r="C161" s="199"/>
      <c r="D161" s="200"/>
      <c r="E161" s="201"/>
      <c r="F161" s="199"/>
      <c r="H161" s="202"/>
      <c r="I161" s="185" t="str">
        <f t="shared" si="13"/>
        <v/>
      </c>
      <c r="J161" s="203" t="str">
        <f>IF($H161="USD",IF(OR($I161="",$I161="-"),"",VLOOKUP($G161,為替!$A:$AX,$I161,FALSE))+$J$3,IF(OR($I161="",$I161="-"),"",VLOOKUP($G161,為替!$A:$AX,$I161,FALSE)))</f>
        <v/>
      </c>
      <c r="K161" s="204" t="str">
        <f t="shared" si="14"/>
        <v/>
      </c>
      <c r="L161" s="188" t="str">
        <f t="shared" si="15"/>
        <v/>
      </c>
      <c r="M161" s="203" t="str">
        <f>IF($H161="USD",IF(OR($L161="",$L161="-"),"",VLOOKUP($G161,為替!$A:$AX,$L161,FALSE))+$K$3,IF(OR($L161="",$L161="-"),"",VLOOKUP($G161,為替!$A:$AX,$L161,FALSE)))</f>
        <v/>
      </c>
      <c r="N161" s="204" t="str">
        <f t="shared" si="16"/>
        <v/>
      </c>
      <c r="O161" s="205" t="str">
        <f t="shared" si="12"/>
        <v/>
      </c>
      <c r="P161" s="206" t="str">
        <f t="shared" si="17"/>
        <v/>
      </c>
    </row>
    <row r="162" spans="3:16" x14ac:dyDescent="0.4">
      <c r="C162" s="199"/>
      <c r="D162" s="200"/>
      <c r="E162" s="201"/>
      <c r="F162" s="199"/>
      <c r="H162" s="202"/>
      <c r="I162" s="185" t="str">
        <f t="shared" si="13"/>
        <v/>
      </c>
      <c r="J162" s="203" t="str">
        <f>IF($H162="USD",IF(OR($I162="",$I162="-"),"",VLOOKUP($G162,為替!$A:$AX,$I162,FALSE))+$J$3,IF(OR($I162="",$I162="-"),"",VLOOKUP($G162,為替!$A:$AX,$I162,FALSE)))</f>
        <v/>
      </c>
      <c r="K162" s="204" t="str">
        <f t="shared" si="14"/>
        <v/>
      </c>
      <c r="L162" s="188" t="str">
        <f t="shared" si="15"/>
        <v/>
      </c>
      <c r="M162" s="203" t="str">
        <f>IF($H162="USD",IF(OR($L162="",$L162="-"),"",VLOOKUP($G162,為替!$A:$AX,$L162,FALSE))+$K$3,IF(OR($L162="",$L162="-"),"",VLOOKUP($G162,為替!$A:$AX,$L162,FALSE)))</f>
        <v/>
      </c>
      <c r="N162" s="204" t="str">
        <f t="shared" si="16"/>
        <v/>
      </c>
      <c r="O162" s="205" t="str">
        <f t="shared" si="12"/>
        <v/>
      </c>
      <c r="P162" s="206" t="str">
        <f t="shared" si="17"/>
        <v/>
      </c>
    </row>
    <row r="163" spans="3:16" x14ac:dyDescent="0.4">
      <c r="C163" s="199"/>
      <c r="D163" s="200"/>
      <c r="E163" s="201"/>
      <c r="F163" s="199"/>
      <c r="H163" s="202"/>
      <c r="I163" s="185" t="str">
        <f t="shared" si="13"/>
        <v/>
      </c>
      <c r="J163" s="203" t="str">
        <f>IF($H163="USD",IF(OR($I163="",$I163="-"),"",VLOOKUP($G163,為替!$A:$AX,$I163,FALSE))+$J$3,IF(OR($I163="",$I163="-"),"",VLOOKUP($G163,為替!$A:$AX,$I163,FALSE)))</f>
        <v/>
      </c>
      <c r="K163" s="204" t="str">
        <f t="shared" si="14"/>
        <v/>
      </c>
      <c r="L163" s="188" t="str">
        <f t="shared" si="15"/>
        <v/>
      </c>
      <c r="M163" s="203" t="str">
        <f>IF($H163="USD",IF(OR($L163="",$L163="-"),"",VLOOKUP($G163,為替!$A:$AX,$L163,FALSE))+$K$3,IF(OR($L163="",$L163="-"),"",VLOOKUP($G163,為替!$A:$AX,$L163,FALSE)))</f>
        <v/>
      </c>
      <c r="N163" s="204" t="str">
        <f t="shared" si="16"/>
        <v/>
      </c>
      <c r="O163" s="205" t="str">
        <f t="shared" si="12"/>
        <v/>
      </c>
      <c r="P163" s="206" t="str">
        <f t="shared" si="17"/>
        <v/>
      </c>
    </row>
    <row r="164" spans="3:16" x14ac:dyDescent="0.4">
      <c r="C164" s="199"/>
      <c r="D164" s="200"/>
      <c r="E164" s="201"/>
      <c r="F164" s="199"/>
      <c r="H164" s="202"/>
      <c r="I164" s="185" t="str">
        <f t="shared" si="13"/>
        <v/>
      </c>
      <c r="J164" s="203" t="str">
        <f>IF($H164="USD",IF(OR($I164="",$I164="-"),"",VLOOKUP($G164,為替!$A:$AX,$I164,FALSE))+$J$3,IF(OR($I164="",$I164="-"),"",VLOOKUP($G164,為替!$A:$AX,$I164,FALSE)))</f>
        <v/>
      </c>
      <c r="K164" s="204" t="str">
        <f t="shared" si="14"/>
        <v/>
      </c>
      <c r="L164" s="188" t="str">
        <f t="shared" si="15"/>
        <v/>
      </c>
      <c r="M164" s="203" t="str">
        <f>IF($H164="USD",IF(OR($L164="",$L164="-"),"",VLOOKUP($G164,為替!$A:$AX,$L164,FALSE))+$K$3,IF(OR($L164="",$L164="-"),"",VLOOKUP($G164,為替!$A:$AX,$L164,FALSE)))</f>
        <v/>
      </c>
      <c r="N164" s="204" t="str">
        <f t="shared" si="16"/>
        <v/>
      </c>
      <c r="O164" s="205" t="str">
        <f t="shared" si="12"/>
        <v/>
      </c>
      <c r="P164" s="206" t="str">
        <f t="shared" si="17"/>
        <v/>
      </c>
    </row>
    <row r="165" spans="3:16" x14ac:dyDescent="0.4">
      <c r="C165" s="199"/>
      <c r="D165" s="200"/>
      <c r="E165" s="201"/>
      <c r="F165" s="199"/>
      <c r="H165" s="202"/>
      <c r="I165" s="185" t="str">
        <f t="shared" si="13"/>
        <v/>
      </c>
      <c r="J165" s="203" t="str">
        <f>IF($H165="USD",IF(OR($I165="",$I165="-"),"",VLOOKUP($G165,為替!$A:$AX,$I165,FALSE))+$J$3,IF(OR($I165="",$I165="-"),"",VLOOKUP($G165,為替!$A:$AX,$I165,FALSE)))</f>
        <v/>
      </c>
      <c r="K165" s="204" t="str">
        <f t="shared" si="14"/>
        <v/>
      </c>
      <c r="L165" s="188" t="str">
        <f t="shared" si="15"/>
        <v/>
      </c>
      <c r="M165" s="203" t="str">
        <f>IF($H165="USD",IF(OR($L165="",$L165="-"),"",VLOOKUP($G165,為替!$A:$AX,$L165,FALSE))+$K$3,IF(OR($L165="",$L165="-"),"",VLOOKUP($G165,為替!$A:$AX,$L165,FALSE)))</f>
        <v/>
      </c>
      <c r="N165" s="204" t="str">
        <f t="shared" si="16"/>
        <v/>
      </c>
      <c r="O165" s="205" t="str">
        <f t="shared" si="12"/>
        <v/>
      </c>
      <c r="P165" s="206" t="str">
        <f t="shared" si="17"/>
        <v/>
      </c>
    </row>
    <row r="166" spans="3:16" x14ac:dyDescent="0.4">
      <c r="C166" s="199"/>
      <c r="D166" s="200"/>
      <c r="E166" s="201"/>
      <c r="F166" s="199"/>
      <c r="H166" s="202"/>
      <c r="I166" s="185" t="str">
        <f t="shared" si="13"/>
        <v/>
      </c>
      <c r="J166" s="203" t="str">
        <f>IF($H166="USD",IF(OR($I166="",$I166="-"),"",VLOOKUP($G166,為替!$A:$AX,$I166,FALSE))+$J$3,IF(OR($I166="",$I166="-"),"",VLOOKUP($G166,為替!$A:$AX,$I166,FALSE)))</f>
        <v/>
      </c>
      <c r="K166" s="204" t="str">
        <f t="shared" si="14"/>
        <v/>
      </c>
      <c r="L166" s="188" t="str">
        <f t="shared" si="15"/>
        <v/>
      </c>
      <c r="M166" s="203" t="str">
        <f>IF($H166="USD",IF(OR($L166="",$L166="-"),"",VLOOKUP($G166,為替!$A:$AX,$L166,FALSE))+$K$3,IF(OR($L166="",$L166="-"),"",VLOOKUP($G166,為替!$A:$AX,$L166,FALSE)))</f>
        <v/>
      </c>
      <c r="N166" s="204" t="str">
        <f t="shared" si="16"/>
        <v/>
      </c>
      <c r="O166" s="205" t="str">
        <f t="shared" si="12"/>
        <v/>
      </c>
      <c r="P166" s="206" t="str">
        <f t="shared" si="17"/>
        <v/>
      </c>
    </row>
    <row r="167" spans="3:16" x14ac:dyDescent="0.4">
      <c r="C167" s="199"/>
      <c r="D167" s="200"/>
      <c r="E167" s="201"/>
      <c r="F167" s="199"/>
      <c r="H167" s="202"/>
      <c r="I167" s="185" t="str">
        <f t="shared" si="13"/>
        <v/>
      </c>
      <c r="J167" s="203" t="str">
        <f>IF($H167="USD",IF(OR($I167="",$I167="-"),"",VLOOKUP($G167,為替!$A:$AX,$I167,FALSE))+$J$3,IF(OR($I167="",$I167="-"),"",VLOOKUP($G167,為替!$A:$AX,$I167,FALSE)))</f>
        <v/>
      </c>
      <c r="K167" s="204" t="str">
        <f t="shared" si="14"/>
        <v/>
      </c>
      <c r="L167" s="188" t="str">
        <f t="shared" si="15"/>
        <v/>
      </c>
      <c r="M167" s="203" t="str">
        <f>IF($H167="USD",IF(OR($L167="",$L167="-"),"",VLOOKUP($G167,為替!$A:$AX,$L167,FALSE))+$K$3,IF(OR($L167="",$L167="-"),"",VLOOKUP($G167,為替!$A:$AX,$L167,FALSE)))</f>
        <v/>
      </c>
      <c r="N167" s="204" t="str">
        <f t="shared" si="16"/>
        <v/>
      </c>
      <c r="O167" s="205" t="str">
        <f t="shared" si="12"/>
        <v/>
      </c>
      <c r="P167" s="206" t="str">
        <f t="shared" si="17"/>
        <v/>
      </c>
    </row>
    <row r="168" spans="3:16" x14ac:dyDescent="0.4">
      <c r="C168" s="199"/>
      <c r="D168" s="200"/>
      <c r="E168" s="201"/>
      <c r="F168" s="199"/>
      <c r="H168" s="202"/>
      <c r="I168" s="185" t="str">
        <f t="shared" si="13"/>
        <v/>
      </c>
      <c r="J168" s="203" t="str">
        <f>IF($H168="USD",IF(OR($I168="",$I168="-"),"",VLOOKUP($G168,為替!$A:$AX,$I168,FALSE))+$J$3,IF(OR($I168="",$I168="-"),"",VLOOKUP($G168,為替!$A:$AX,$I168,FALSE)))</f>
        <v/>
      </c>
      <c r="K168" s="204" t="str">
        <f t="shared" si="14"/>
        <v/>
      </c>
      <c r="L168" s="188" t="str">
        <f t="shared" si="15"/>
        <v/>
      </c>
      <c r="M168" s="203" t="str">
        <f>IF($H168="USD",IF(OR($L168="",$L168="-"),"",VLOOKUP($G168,為替!$A:$AX,$L168,FALSE))+$K$3,IF(OR($L168="",$L168="-"),"",VLOOKUP($G168,為替!$A:$AX,$L168,FALSE)))</f>
        <v/>
      </c>
      <c r="N168" s="204" t="str">
        <f t="shared" si="16"/>
        <v/>
      </c>
      <c r="O168" s="205" t="str">
        <f t="shared" si="12"/>
        <v/>
      </c>
      <c r="P168" s="206" t="str">
        <f t="shared" si="17"/>
        <v/>
      </c>
    </row>
    <row r="169" spans="3:16" x14ac:dyDescent="0.4">
      <c r="C169" s="199"/>
      <c r="D169" s="200"/>
      <c r="E169" s="201"/>
      <c r="F169" s="199"/>
      <c r="H169" s="202"/>
      <c r="I169" s="185" t="str">
        <f t="shared" si="13"/>
        <v/>
      </c>
      <c r="J169" s="203" t="str">
        <f>IF($H169="USD",IF(OR($I169="",$I169="-"),"",VLOOKUP($G169,為替!$A:$AX,$I169,FALSE))+$J$3,IF(OR($I169="",$I169="-"),"",VLOOKUP($G169,為替!$A:$AX,$I169,FALSE)))</f>
        <v/>
      </c>
      <c r="K169" s="204" t="str">
        <f t="shared" si="14"/>
        <v/>
      </c>
      <c r="L169" s="188" t="str">
        <f t="shared" si="15"/>
        <v/>
      </c>
      <c r="M169" s="203" t="str">
        <f>IF($H169="USD",IF(OR($L169="",$L169="-"),"",VLOOKUP($G169,為替!$A:$AX,$L169,FALSE))+$K$3,IF(OR($L169="",$L169="-"),"",VLOOKUP($G169,為替!$A:$AX,$L169,FALSE)))</f>
        <v/>
      </c>
      <c r="N169" s="204" t="str">
        <f t="shared" si="16"/>
        <v/>
      </c>
      <c r="O169" s="205" t="str">
        <f t="shared" si="12"/>
        <v/>
      </c>
      <c r="P169" s="206" t="str">
        <f t="shared" si="17"/>
        <v/>
      </c>
    </row>
    <row r="170" spans="3:16" x14ac:dyDescent="0.4">
      <c r="C170" s="199"/>
      <c r="D170" s="200"/>
      <c r="E170" s="201"/>
      <c r="F170" s="199"/>
      <c r="H170" s="202"/>
      <c r="I170" s="185" t="str">
        <f t="shared" si="13"/>
        <v/>
      </c>
      <c r="J170" s="203" t="str">
        <f>IF($H170="USD",IF(OR($I170="",$I170="-"),"",VLOOKUP($G170,為替!$A:$AX,$I170,FALSE))+$J$3,IF(OR($I170="",$I170="-"),"",VLOOKUP($G170,為替!$A:$AX,$I170,FALSE)))</f>
        <v/>
      </c>
      <c r="K170" s="204" t="str">
        <f t="shared" si="14"/>
        <v/>
      </c>
      <c r="L170" s="188" t="str">
        <f t="shared" si="15"/>
        <v/>
      </c>
      <c r="M170" s="203" t="str">
        <f>IF($H170="USD",IF(OR($L170="",$L170="-"),"",VLOOKUP($G170,為替!$A:$AX,$L170,FALSE))+$K$3,IF(OR($L170="",$L170="-"),"",VLOOKUP($G170,為替!$A:$AX,$L170,FALSE)))</f>
        <v/>
      </c>
      <c r="N170" s="204" t="str">
        <f t="shared" si="16"/>
        <v/>
      </c>
      <c r="O170" s="205" t="str">
        <f t="shared" si="12"/>
        <v/>
      </c>
      <c r="P170" s="206" t="str">
        <f t="shared" si="17"/>
        <v/>
      </c>
    </row>
    <row r="171" spans="3:16" x14ac:dyDescent="0.4">
      <c r="C171" s="199"/>
      <c r="D171" s="200"/>
      <c r="E171" s="201"/>
      <c r="F171" s="199"/>
      <c r="H171" s="202"/>
      <c r="I171" s="185" t="str">
        <f t="shared" si="13"/>
        <v/>
      </c>
      <c r="J171" s="203" t="str">
        <f>IF($H171="USD",IF(OR($I171="",$I171="-"),"",VLOOKUP($G171,為替!$A:$AX,$I171,FALSE))+$J$3,IF(OR($I171="",$I171="-"),"",VLOOKUP($G171,為替!$A:$AX,$I171,FALSE)))</f>
        <v/>
      </c>
      <c r="K171" s="204" t="str">
        <f t="shared" si="14"/>
        <v/>
      </c>
      <c r="L171" s="188" t="str">
        <f t="shared" si="15"/>
        <v/>
      </c>
      <c r="M171" s="203" t="str">
        <f>IF($H171="USD",IF(OR($L171="",$L171="-"),"",VLOOKUP($G171,為替!$A:$AX,$L171,FALSE))+$K$3,IF(OR($L171="",$L171="-"),"",VLOOKUP($G171,為替!$A:$AX,$L171,FALSE)))</f>
        <v/>
      </c>
      <c r="N171" s="204" t="str">
        <f t="shared" si="16"/>
        <v/>
      </c>
      <c r="O171" s="205" t="str">
        <f t="shared" si="12"/>
        <v/>
      </c>
      <c r="P171" s="206" t="str">
        <f t="shared" si="17"/>
        <v/>
      </c>
    </row>
    <row r="172" spans="3:16" x14ac:dyDescent="0.4">
      <c r="C172" s="199"/>
      <c r="D172" s="200"/>
      <c r="E172" s="201"/>
      <c r="F172" s="199"/>
      <c r="H172" s="202"/>
      <c r="I172" s="185" t="str">
        <f t="shared" si="13"/>
        <v/>
      </c>
      <c r="J172" s="203" t="str">
        <f>IF($H172="USD",IF(OR($I172="",$I172="-"),"",VLOOKUP($G172,為替!$A:$AX,$I172,FALSE))+$J$3,IF(OR($I172="",$I172="-"),"",VLOOKUP($G172,為替!$A:$AX,$I172,FALSE)))</f>
        <v/>
      </c>
      <c r="K172" s="204" t="str">
        <f t="shared" si="14"/>
        <v/>
      </c>
      <c r="L172" s="188" t="str">
        <f t="shared" si="15"/>
        <v/>
      </c>
      <c r="M172" s="203" t="str">
        <f>IF($H172="USD",IF(OR($L172="",$L172="-"),"",VLOOKUP($G172,為替!$A:$AX,$L172,FALSE))+$K$3,IF(OR($L172="",$L172="-"),"",VLOOKUP($G172,為替!$A:$AX,$L172,FALSE)))</f>
        <v/>
      </c>
      <c r="N172" s="204" t="str">
        <f t="shared" si="16"/>
        <v/>
      </c>
      <c r="O172" s="205" t="str">
        <f t="shared" si="12"/>
        <v/>
      </c>
      <c r="P172" s="206" t="str">
        <f t="shared" si="17"/>
        <v/>
      </c>
    </row>
    <row r="173" spans="3:16" x14ac:dyDescent="0.4">
      <c r="C173" s="199"/>
      <c r="D173" s="200"/>
      <c r="E173" s="201"/>
      <c r="F173" s="199"/>
      <c r="H173" s="202"/>
      <c r="I173" s="185" t="str">
        <f t="shared" si="13"/>
        <v/>
      </c>
      <c r="J173" s="203" t="str">
        <f>IF($H173="USD",IF(OR($I173="",$I173="-"),"",VLOOKUP($G173,為替!$A:$AX,$I173,FALSE))+$J$3,IF(OR($I173="",$I173="-"),"",VLOOKUP($G173,為替!$A:$AX,$I173,FALSE)))</f>
        <v/>
      </c>
      <c r="K173" s="204" t="str">
        <f t="shared" si="14"/>
        <v/>
      </c>
      <c r="L173" s="188" t="str">
        <f t="shared" si="15"/>
        <v/>
      </c>
      <c r="M173" s="203" t="str">
        <f>IF($H173="USD",IF(OR($L173="",$L173="-"),"",VLOOKUP($G173,為替!$A:$AX,$L173,FALSE))+$K$3,IF(OR($L173="",$L173="-"),"",VLOOKUP($G173,為替!$A:$AX,$L173,FALSE)))</f>
        <v/>
      </c>
      <c r="N173" s="204" t="str">
        <f t="shared" si="16"/>
        <v/>
      </c>
      <c r="O173" s="205" t="str">
        <f t="shared" si="12"/>
        <v/>
      </c>
      <c r="P173" s="206" t="str">
        <f t="shared" si="17"/>
        <v/>
      </c>
    </row>
    <row r="174" spans="3:16" x14ac:dyDescent="0.4">
      <c r="C174" s="199"/>
      <c r="D174" s="200"/>
      <c r="E174" s="201"/>
      <c r="F174" s="199"/>
      <c r="H174" s="202"/>
      <c r="I174" s="185" t="str">
        <f t="shared" si="13"/>
        <v/>
      </c>
      <c r="J174" s="203" t="str">
        <f>IF($H174="USD",IF(OR($I174="",$I174="-"),"",VLOOKUP($G174,為替!$A:$AX,$I174,FALSE))+$J$3,IF(OR($I174="",$I174="-"),"",VLOOKUP($G174,為替!$A:$AX,$I174,FALSE)))</f>
        <v/>
      </c>
      <c r="K174" s="204" t="str">
        <f t="shared" si="14"/>
        <v/>
      </c>
      <c r="L174" s="188" t="str">
        <f t="shared" si="15"/>
        <v/>
      </c>
      <c r="M174" s="203" t="str">
        <f>IF($H174="USD",IF(OR($L174="",$L174="-"),"",VLOOKUP($G174,為替!$A:$AX,$L174,FALSE))+$K$3,IF(OR($L174="",$L174="-"),"",VLOOKUP($G174,為替!$A:$AX,$L174,FALSE)))</f>
        <v/>
      </c>
      <c r="N174" s="204" t="str">
        <f t="shared" si="16"/>
        <v/>
      </c>
      <c r="O174" s="205" t="str">
        <f t="shared" si="12"/>
        <v/>
      </c>
      <c r="P174" s="206" t="str">
        <f t="shared" si="17"/>
        <v/>
      </c>
    </row>
    <row r="175" spans="3:16" x14ac:dyDescent="0.4">
      <c r="C175" s="199"/>
      <c r="D175" s="200"/>
      <c r="E175" s="201"/>
      <c r="F175" s="199"/>
      <c r="H175" s="202"/>
      <c r="I175" s="185" t="str">
        <f t="shared" si="13"/>
        <v/>
      </c>
      <c r="J175" s="203" t="str">
        <f>IF($H175="USD",IF(OR($I175="",$I175="-"),"",VLOOKUP($G175,為替!$A:$AX,$I175,FALSE))+$J$3,IF(OR($I175="",$I175="-"),"",VLOOKUP($G175,為替!$A:$AX,$I175,FALSE)))</f>
        <v/>
      </c>
      <c r="K175" s="204" t="str">
        <f t="shared" si="14"/>
        <v/>
      </c>
      <c r="L175" s="188" t="str">
        <f t="shared" si="15"/>
        <v/>
      </c>
      <c r="M175" s="203" t="str">
        <f>IF($H175="USD",IF(OR($L175="",$L175="-"),"",VLOOKUP($G175,為替!$A:$AX,$L175,FALSE))+$K$3,IF(OR($L175="",$L175="-"),"",VLOOKUP($G175,為替!$A:$AX,$L175,FALSE)))</f>
        <v/>
      </c>
      <c r="N175" s="204" t="str">
        <f t="shared" si="16"/>
        <v/>
      </c>
      <c r="O175" s="205" t="str">
        <f t="shared" si="12"/>
        <v/>
      </c>
      <c r="P175" s="206" t="str">
        <f t="shared" si="17"/>
        <v/>
      </c>
    </row>
    <row r="176" spans="3:16" x14ac:dyDescent="0.4">
      <c r="C176" s="199"/>
      <c r="D176" s="200"/>
      <c r="E176" s="201"/>
      <c r="F176" s="199"/>
      <c r="H176" s="202"/>
      <c r="I176" s="185" t="str">
        <f t="shared" si="13"/>
        <v/>
      </c>
      <c r="J176" s="203" t="str">
        <f>IF($H176="USD",IF(OR($I176="",$I176="-"),"",VLOOKUP($G176,為替!$A:$AX,$I176,FALSE))+$J$3,IF(OR($I176="",$I176="-"),"",VLOOKUP($G176,為替!$A:$AX,$I176,FALSE)))</f>
        <v/>
      </c>
      <c r="K176" s="204" t="str">
        <f t="shared" si="14"/>
        <v/>
      </c>
      <c r="L176" s="188" t="str">
        <f t="shared" si="15"/>
        <v/>
      </c>
      <c r="M176" s="203" t="str">
        <f>IF($H176="USD",IF(OR($L176="",$L176="-"),"",VLOOKUP($G176,為替!$A:$AX,$L176,FALSE))+$K$3,IF(OR($L176="",$L176="-"),"",VLOOKUP($G176,為替!$A:$AX,$L176,FALSE)))</f>
        <v/>
      </c>
      <c r="N176" s="204" t="str">
        <f t="shared" si="16"/>
        <v/>
      </c>
      <c r="O176" s="205" t="str">
        <f t="shared" si="12"/>
        <v/>
      </c>
      <c r="P176" s="206" t="str">
        <f t="shared" si="17"/>
        <v/>
      </c>
    </row>
    <row r="177" spans="3:16" x14ac:dyDescent="0.4">
      <c r="C177" s="199"/>
      <c r="D177" s="200"/>
      <c r="E177" s="201"/>
      <c r="F177" s="199"/>
      <c r="H177" s="202"/>
      <c r="I177" s="185" t="str">
        <f t="shared" si="13"/>
        <v/>
      </c>
      <c r="J177" s="203" t="str">
        <f>IF($H177="USD",IF(OR($I177="",$I177="-"),"",VLOOKUP($G177,為替!$A:$AX,$I177,FALSE))+$J$3,IF(OR($I177="",$I177="-"),"",VLOOKUP($G177,為替!$A:$AX,$I177,FALSE)))</f>
        <v/>
      </c>
      <c r="K177" s="204" t="str">
        <f t="shared" si="14"/>
        <v/>
      </c>
      <c r="L177" s="188" t="str">
        <f t="shared" si="15"/>
        <v/>
      </c>
      <c r="M177" s="203" t="str">
        <f>IF($H177="USD",IF(OR($L177="",$L177="-"),"",VLOOKUP($G177,為替!$A:$AX,$L177,FALSE))+$K$3,IF(OR($L177="",$L177="-"),"",VLOOKUP($G177,為替!$A:$AX,$L177,FALSE)))</f>
        <v/>
      </c>
      <c r="N177" s="204" t="str">
        <f t="shared" si="16"/>
        <v/>
      </c>
      <c r="O177" s="205" t="str">
        <f t="shared" si="12"/>
        <v/>
      </c>
      <c r="P177" s="206" t="str">
        <f t="shared" si="17"/>
        <v/>
      </c>
    </row>
    <row r="178" spans="3:16" x14ac:dyDescent="0.4">
      <c r="C178" s="199"/>
      <c r="D178" s="200"/>
      <c r="E178" s="201"/>
      <c r="F178" s="199"/>
      <c r="H178" s="202"/>
      <c r="I178" s="185" t="str">
        <f t="shared" si="13"/>
        <v/>
      </c>
      <c r="J178" s="203" t="str">
        <f>IF($H178="USD",IF(OR($I178="",$I178="-"),"",VLOOKUP($G178,為替!$A:$AX,$I178,FALSE))+$J$3,IF(OR($I178="",$I178="-"),"",VLOOKUP($G178,為替!$A:$AX,$I178,FALSE)))</f>
        <v/>
      </c>
      <c r="K178" s="204" t="str">
        <f t="shared" si="14"/>
        <v/>
      </c>
      <c r="L178" s="188" t="str">
        <f t="shared" si="15"/>
        <v/>
      </c>
      <c r="M178" s="203" t="str">
        <f>IF($H178="USD",IF(OR($L178="",$L178="-"),"",VLOOKUP($G178,為替!$A:$AX,$L178,FALSE))+$K$3,IF(OR($L178="",$L178="-"),"",VLOOKUP($G178,為替!$A:$AX,$L178,FALSE)))</f>
        <v/>
      </c>
      <c r="N178" s="204" t="str">
        <f t="shared" si="16"/>
        <v/>
      </c>
      <c r="O178" s="205" t="str">
        <f t="shared" si="12"/>
        <v/>
      </c>
      <c r="P178" s="206" t="str">
        <f t="shared" si="17"/>
        <v/>
      </c>
    </row>
    <row r="179" spans="3:16" x14ac:dyDescent="0.4">
      <c r="C179" s="199"/>
      <c r="D179" s="200"/>
      <c r="E179" s="201"/>
      <c r="F179" s="199"/>
      <c r="H179" s="202"/>
      <c r="I179" s="185" t="str">
        <f t="shared" si="13"/>
        <v/>
      </c>
      <c r="J179" s="203" t="str">
        <f>IF($H179="USD",IF(OR($I179="",$I179="-"),"",VLOOKUP($G179,為替!$A:$AX,$I179,FALSE))+$J$3,IF(OR($I179="",$I179="-"),"",VLOOKUP($G179,為替!$A:$AX,$I179,FALSE)))</f>
        <v/>
      </c>
      <c r="K179" s="204" t="str">
        <f t="shared" si="14"/>
        <v/>
      </c>
      <c r="L179" s="188" t="str">
        <f t="shared" si="15"/>
        <v/>
      </c>
      <c r="M179" s="203" t="str">
        <f>IF($H179="USD",IF(OR($L179="",$L179="-"),"",VLOOKUP($G179,為替!$A:$AX,$L179,FALSE))+$K$3,IF(OR($L179="",$L179="-"),"",VLOOKUP($G179,為替!$A:$AX,$L179,FALSE)))</f>
        <v/>
      </c>
      <c r="N179" s="204" t="str">
        <f t="shared" si="16"/>
        <v/>
      </c>
      <c r="O179" s="205" t="str">
        <f t="shared" si="12"/>
        <v/>
      </c>
      <c r="P179" s="206" t="str">
        <f t="shared" si="17"/>
        <v/>
      </c>
    </row>
    <row r="180" spans="3:16" x14ac:dyDescent="0.4">
      <c r="C180" s="199"/>
      <c r="D180" s="200"/>
      <c r="E180" s="201"/>
      <c r="F180" s="199"/>
      <c r="H180" s="202"/>
      <c r="I180" s="185" t="str">
        <f t="shared" si="13"/>
        <v/>
      </c>
      <c r="J180" s="203" t="str">
        <f>IF($H180="USD",IF(OR($I180="",$I180="-"),"",VLOOKUP($G180,為替!$A:$AX,$I180,FALSE))+$J$3,IF(OR($I180="",$I180="-"),"",VLOOKUP($G180,為替!$A:$AX,$I180,FALSE)))</f>
        <v/>
      </c>
      <c r="K180" s="204" t="str">
        <f t="shared" si="14"/>
        <v/>
      </c>
      <c r="L180" s="188" t="str">
        <f t="shared" si="15"/>
        <v/>
      </c>
      <c r="M180" s="203" t="str">
        <f>IF($H180="USD",IF(OR($L180="",$L180="-"),"",VLOOKUP($G180,為替!$A:$AX,$L180,FALSE))+$K$3,IF(OR($L180="",$L180="-"),"",VLOOKUP($G180,為替!$A:$AX,$L180,FALSE)))</f>
        <v/>
      </c>
      <c r="N180" s="204" t="str">
        <f t="shared" si="16"/>
        <v/>
      </c>
      <c r="O180" s="205" t="str">
        <f t="shared" si="12"/>
        <v/>
      </c>
      <c r="P180" s="206" t="str">
        <f t="shared" si="17"/>
        <v/>
      </c>
    </row>
    <row r="181" spans="3:16" x14ac:dyDescent="0.4">
      <c r="C181" s="199"/>
      <c r="D181" s="200"/>
      <c r="E181" s="201"/>
      <c r="F181" s="199"/>
      <c r="H181" s="202"/>
      <c r="I181" s="185" t="str">
        <f t="shared" si="13"/>
        <v/>
      </c>
      <c r="J181" s="203" t="str">
        <f>IF($H181="USD",IF(OR($I181="",$I181="-"),"",VLOOKUP($G181,為替!$A:$AX,$I181,FALSE))+$J$3,IF(OR($I181="",$I181="-"),"",VLOOKUP($G181,為替!$A:$AX,$I181,FALSE)))</f>
        <v/>
      </c>
      <c r="K181" s="204" t="str">
        <f t="shared" si="14"/>
        <v/>
      </c>
      <c r="L181" s="188" t="str">
        <f t="shared" si="15"/>
        <v/>
      </c>
      <c r="M181" s="203" t="str">
        <f>IF($H181="USD",IF(OR($L181="",$L181="-"),"",VLOOKUP($G181,為替!$A:$AX,$L181,FALSE))+$K$3,IF(OR($L181="",$L181="-"),"",VLOOKUP($G181,為替!$A:$AX,$L181,FALSE)))</f>
        <v/>
      </c>
      <c r="N181" s="204" t="str">
        <f t="shared" si="16"/>
        <v/>
      </c>
      <c r="O181" s="205" t="str">
        <f t="shared" si="12"/>
        <v/>
      </c>
      <c r="P181" s="206" t="str">
        <f t="shared" si="17"/>
        <v/>
      </c>
    </row>
    <row r="182" spans="3:16" x14ac:dyDescent="0.4">
      <c r="C182" s="199"/>
      <c r="D182" s="200"/>
      <c r="E182" s="201"/>
      <c r="F182" s="199"/>
      <c r="H182" s="202"/>
      <c r="I182" s="185" t="str">
        <f t="shared" si="13"/>
        <v/>
      </c>
      <c r="J182" s="203" t="str">
        <f>IF($H182="USD",IF(OR($I182="",$I182="-"),"",VLOOKUP($G182,為替!$A:$AX,$I182,FALSE))+$J$3,IF(OR($I182="",$I182="-"),"",VLOOKUP($G182,為替!$A:$AX,$I182,FALSE)))</f>
        <v/>
      </c>
      <c r="K182" s="204" t="str">
        <f t="shared" si="14"/>
        <v/>
      </c>
      <c r="L182" s="188" t="str">
        <f t="shared" si="15"/>
        <v/>
      </c>
      <c r="M182" s="203" t="str">
        <f>IF($H182="USD",IF(OR($L182="",$L182="-"),"",VLOOKUP($G182,為替!$A:$AX,$L182,FALSE))+$K$3,IF(OR($L182="",$L182="-"),"",VLOOKUP($G182,為替!$A:$AX,$L182,FALSE)))</f>
        <v/>
      </c>
      <c r="N182" s="204" t="str">
        <f t="shared" si="16"/>
        <v/>
      </c>
      <c r="O182" s="205" t="str">
        <f t="shared" si="12"/>
        <v/>
      </c>
      <c r="P182" s="206" t="str">
        <f t="shared" si="17"/>
        <v/>
      </c>
    </row>
    <row r="183" spans="3:16" x14ac:dyDescent="0.4">
      <c r="C183" s="199"/>
      <c r="D183" s="200"/>
      <c r="E183" s="201"/>
      <c r="F183" s="199"/>
      <c r="H183" s="202"/>
      <c r="I183" s="185" t="str">
        <f t="shared" si="13"/>
        <v/>
      </c>
      <c r="J183" s="203" t="str">
        <f>IF($H183="USD",IF(OR($I183="",$I183="-"),"",VLOOKUP($G183,為替!$A:$AX,$I183,FALSE))+$J$3,IF(OR($I183="",$I183="-"),"",VLOOKUP($G183,為替!$A:$AX,$I183,FALSE)))</f>
        <v/>
      </c>
      <c r="K183" s="204" t="str">
        <f t="shared" si="14"/>
        <v/>
      </c>
      <c r="L183" s="188" t="str">
        <f t="shared" si="15"/>
        <v/>
      </c>
      <c r="M183" s="203" t="str">
        <f>IF($H183="USD",IF(OR($L183="",$L183="-"),"",VLOOKUP($G183,為替!$A:$AX,$L183,FALSE))+$K$3,IF(OR($L183="",$L183="-"),"",VLOOKUP($G183,為替!$A:$AX,$L183,FALSE)))</f>
        <v/>
      </c>
      <c r="N183" s="204" t="str">
        <f t="shared" si="16"/>
        <v/>
      </c>
      <c r="O183" s="205" t="str">
        <f t="shared" si="12"/>
        <v/>
      </c>
      <c r="P183" s="206" t="str">
        <f t="shared" si="17"/>
        <v/>
      </c>
    </row>
    <row r="184" spans="3:16" x14ac:dyDescent="0.4">
      <c r="C184" s="199"/>
      <c r="D184" s="200"/>
      <c r="E184" s="201"/>
      <c r="F184" s="199"/>
      <c r="H184" s="202"/>
      <c r="I184" s="185" t="str">
        <f t="shared" si="13"/>
        <v/>
      </c>
      <c r="J184" s="203" t="str">
        <f>IF($H184="USD",IF(OR($I184="",$I184="-"),"",VLOOKUP($G184,為替!$A:$AX,$I184,FALSE))+$J$3,IF(OR($I184="",$I184="-"),"",VLOOKUP($G184,為替!$A:$AX,$I184,FALSE)))</f>
        <v/>
      </c>
      <c r="K184" s="204" t="str">
        <f t="shared" si="14"/>
        <v/>
      </c>
      <c r="L184" s="188" t="str">
        <f t="shared" si="15"/>
        <v/>
      </c>
      <c r="M184" s="203" t="str">
        <f>IF($H184="USD",IF(OR($L184="",$L184="-"),"",VLOOKUP($G184,為替!$A:$AX,$L184,FALSE))+$K$3,IF(OR($L184="",$L184="-"),"",VLOOKUP($G184,為替!$A:$AX,$L184,FALSE)))</f>
        <v/>
      </c>
      <c r="N184" s="204" t="str">
        <f t="shared" si="16"/>
        <v/>
      </c>
      <c r="O184" s="205" t="str">
        <f t="shared" si="12"/>
        <v/>
      </c>
      <c r="P184" s="206" t="str">
        <f t="shared" si="17"/>
        <v/>
      </c>
    </row>
    <row r="185" spans="3:16" x14ac:dyDescent="0.4">
      <c r="C185" s="199"/>
      <c r="D185" s="200"/>
      <c r="E185" s="201"/>
      <c r="F185" s="199"/>
      <c r="H185" s="202"/>
      <c r="I185" s="185" t="str">
        <f t="shared" si="13"/>
        <v/>
      </c>
      <c r="J185" s="203" t="str">
        <f>IF($H185="USD",IF(OR($I185="",$I185="-"),"",VLOOKUP($G185,為替!$A:$AX,$I185,FALSE))+$J$3,IF(OR($I185="",$I185="-"),"",VLOOKUP($G185,為替!$A:$AX,$I185,FALSE)))</f>
        <v/>
      </c>
      <c r="K185" s="204" t="str">
        <f t="shared" si="14"/>
        <v/>
      </c>
      <c r="L185" s="188" t="str">
        <f t="shared" si="15"/>
        <v/>
      </c>
      <c r="M185" s="203" t="str">
        <f>IF($H185="USD",IF(OR($L185="",$L185="-"),"",VLOOKUP($G185,為替!$A:$AX,$L185,FALSE))+$K$3,IF(OR($L185="",$L185="-"),"",VLOOKUP($G185,為替!$A:$AX,$L185,FALSE)))</f>
        <v/>
      </c>
      <c r="N185" s="204" t="str">
        <f t="shared" si="16"/>
        <v/>
      </c>
      <c r="O185" s="205" t="str">
        <f t="shared" si="12"/>
        <v/>
      </c>
      <c r="P185" s="206" t="str">
        <f t="shared" si="17"/>
        <v/>
      </c>
    </row>
    <row r="186" spans="3:16" x14ac:dyDescent="0.4">
      <c r="C186" s="199"/>
      <c r="D186" s="200"/>
      <c r="E186" s="201"/>
      <c r="F186" s="199"/>
      <c r="H186" s="202"/>
      <c r="I186" s="185" t="str">
        <f t="shared" si="13"/>
        <v/>
      </c>
      <c r="J186" s="203" t="str">
        <f>IF($H186="USD",IF(OR($I186="",$I186="-"),"",VLOOKUP($G186,為替!$A:$AX,$I186,FALSE))+$J$3,IF(OR($I186="",$I186="-"),"",VLOOKUP($G186,為替!$A:$AX,$I186,FALSE)))</f>
        <v/>
      </c>
      <c r="K186" s="204" t="str">
        <f t="shared" si="14"/>
        <v/>
      </c>
      <c r="L186" s="188" t="str">
        <f t="shared" si="15"/>
        <v/>
      </c>
      <c r="M186" s="203" t="str">
        <f>IF($H186="USD",IF(OR($L186="",$L186="-"),"",VLOOKUP($G186,為替!$A:$AX,$L186,FALSE))+$K$3,IF(OR($L186="",$L186="-"),"",VLOOKUP($G186,為替!$A:$AX,$L186,FALSE)))</f>
        <v/>
      </c>
      <c r="N186" s="204" t="str">
        <f t="shared" si="16"/>
        <v/>
      </c>
      <c r="O186" s="205" t="str">
        <f t="shared" si="12"/>
        <v/>
      </c>
      <c r="P186" s="206" t="str">
        <f t="shared" si="17"/>
        <v/>
      </c>
    </row>
    <row r="187" spans="3:16" x14ac:dyDescent="0.4">
      <c r="C187" s="199"/>
      <c r="D187" s="200"/>
      <c r="E187" s="201"/>
      <c r="F187" s="199"/>
      <c r="H187" s="202"/>
      <c r="I187" s="185" t="str">
        <f t="shared" si="13"/>
        <v/>
      </c>
      <c r="J187" s="203" t="str">
        <f>IF($H187="USD",IF(OR($I187="",$I187="-"),"",VLOOKUP($G187,為替!$A:$AX,$I187,FALSE))+$J$3,IF(OR($I187="",$I187="-"),"",VLOOKUP($G187,為替!$A:$AX,$I187,FALSE)))</f>
        <v/>
      </c>
      <c r="K187" s="204" t="str">
        <f t="shared" si="14"/>
        <v/>
      </c>
      <c r="L187" s="188" t="str">
        <f t="shared" si="15"/>
        <v/>
      </c>
      <c r="M187" s="203" t="str">
        <f>IF($H187="USD",IF(OR($L187="",$L187="-"),"",VLOOKUP($G187,為替!$A:$AX,$L187,FALSE))+$K$3,IF(OR($L187="",$L187="-"),"",VLOOKUP($G187,為替!$A:$AX,$L187,FALSE)))</f>
        <v/>
      </c>
      <c r="N187" s="204" t="str">
        <f t="shared" si="16"/>
        <v/>
      </c>
      <c r="O187" s="205" t="str">
        <f t="shared" si="12"/>
        <v/>
      </c>
      <c r="P187" s="206" t="str">
        <f t="shared" si="17"/>
        <v/>
      </c>
    </row>
    <row r="188" spans="3:16" x14ac:dyDescent="0.4">
      <c r="C188" s="199"/>
      <c r="D188" s="200"/>
      <c r="E188" s="201"/>
      <c r="F188" s="199"/>
      <c r="H188" s="202"/>
      <c r="I188" s="185" t="str">
        <f t="shared" si="13"/>
        <v/>
      </c>
      <c r="J188" s="203" t="str">
        <f>IF($H188="USD",IF(OR($I188="",$I188="-"),"",VLOOKUP($G188,為替!$A:$AX,$I188,FALSE))+$J$3,IF(OR($I188="",$I188="-"),"",VLOOKUP($G188,為替!$A:$AX,$I188,FALSE)))</f>
        <v/>
      </c>
      <c r="K188" s="204" t="str">
        <f t="shared" si="14"/>
        <v/>
      </c>
      <c r="L188" s="188" t="str">
        <f t="shared" si="15"/>
        <v/>
      </c>
      <c r="M188" s="203" t="str">
        <f>IF($H188="USD",IF(OR($L188="",$L188="-"),"",VLOOKUP($G188,為替!$A:$AX,$L188,FALSE))+$K$3,IF(OR($L188="",$L188="-"),"",VLOOKUP($G188,為替!$A:$AX,$L188,FALSE)))</f>
        <v/>
      </c>
      <c r="N188" s="204" t="str">
        <f t="shared" si="16"/>
        <v/>
      </c>
      <c r="O188" s="205" t="str">
        <f t="shared" si="12"/>
        <v/>
      </c>
      <c r="P188" s="206" t="str">
        <f t="shared" si="17"/>
        <v/>
      </c>
    </row>
    <row r="189" spans="3:16" x14ac:dyDescent="0.4">
      <c r="C189" s="199"/>
      <c r="D189" s="200"/>
      <c r="E189" s="201"/>
      <c r="F189" s="199"/>
      <c r="H189" s="202"/>
      <c r="I189" s="185" t="str">
        <f t="shared" si="13"/>
        <v/>
      </c>
      <c r="J189" s="203" t="str">
        <f>IF($H189="USD",IF(OR($I189="",$I189="-"),"",VLOOKUP($G189,為替!$A:$AX,$I189,FALSE))+$J$3,IF(OR($I189="",$I189="-"),"",VLOOKUP($G189,為替!$A:$AX,$I189,FALSE)))</f>
        <v/>
      </c>
      <c r="K189" s="204" t="str">
        <f t="shared" si="14"/>
        <v/>
      </c>
      <c r="L189" s="188" t="str">
        <f t="shared" si="15"/>
        <v/>
      </c>
      <c r="M189" s="203" t="str">
        <f>IF($H189="USD",IF(OR($L189="",$L189="-"),"",VLOOKUP($G189,為替!$A:$AX,$L189,FALSE))+$K$3,IF(OR($L189="",$L189="-"),"",VLOOKUP($G189,為替!$A:$AX,$L189,FALSE)))</f>
        <v/>
      </c>
      <c r="N189" s="204" t="str">
        <f t="shared" si="16"/>
        <v/>
      </c>
      <c r="O189" s="205" t="str">
        <f t="shared" si="12"/>
        <v/>
      </c>
      <c r="P189" s="206" t="str">
        <f t="shared" si="17"/>
        <v/>
      </c>
    </row>
    <row r="190" spans="3:16" x14ac:dyDescent="0.4">
      <c r="C190" s="199"/>
      <c r="D190" s="200"/>
      <c r="E190" s="201"/>
      <c r="F190" s="199"/>
      <c r="H190" s="202"/>
      <c r="I190" s="185" t="str">
        <f t="shared" si="13"/>
        <v/>
      </c>
      <c r="J190" s="203" t="str">
        <f>IF($H190="USD",IF(OR($I190="",$I190="-"),"",VLOOKUP($G190,為替!$A:$AX,$I190,FALSE))+$J$3,IF(OR($I190="",$I190="-"),"",VLOOKUP($G190,為替!$A:$AX,$I190,FALSE)))</f>
        <v/>
      </c>
      <c r="K190" s="204" t="str">
        <f t="shared" si="14"/>
        <v/>
      </c>
      <c r="L190" s="188" t="str">
        <f t="shared" si="15"/>
        <v/>
      </c>
      <c r="M190" s="203" t="str">
        <f>IF($H190="USD",IF(OR($L190="",$L190="-"),"",VLOOKUP($G190,為替!$A:$AX,$L190,FALSE))+$K$3,IF(OR($L190="",$L190="-"),"",VLOOKUP($G190,為替!$A:$AX,$L190,FALSE)))</f>
        <v/>
      </c>
      <c r="N190" s="204" t="str">
        <f t="shared" si="16"/>
        <v/>
      </c>
      <c r="O190" s="205" t="str">
        <f t="shared" si="12"/>
        <v/>
      </c>
      <c r="P190" s="206" t="str">
        <f t="shared" si="17"/>
        <v/>
      </c>
    </row>
    <row r="191" spans="3:16" x14ac:dyDescent="0.4">
      <c r="C191" s="199"/>
      <c r="D191" s="200"/>
      <c r="E191" s="201"/>
      <c r="F191" s="199"/>
      <c r="H191" s="202"/>
      <c r="I191" s="185" t="str">
        <f t="shared" si="13"/>
        <v/>
      </c>
      <c r="J191" s="203" t="str">
        <f>IF($H191="USD",IF(OR($I191="",$I191="-"),"",VLOOKUP($G191,為替!$A:$AX,$I191,FALSE))+$J$3,IF(OR($I191="",$I191="-"),"",VLOOKUP($G191,為替!$A:$AX,$I191,FALSE)))</f>
        <v/>
      </c>
      <c r="K191" s="204" t="str">
        <f t="shared" si="14"/>
        <v/>
      </c>
      <c r="L191" s="188" t="str">
        <f t="shared" si="15"/>
        <v/>
      </c>
      <c r="M191" s="203" t="str">
        <f>IF($H191="USD",IF(OR($L191="",$L191="-"),"",VLOOKUP($G191,為替!$A:$AX,$L191,FALSE))+$K$3,IF(OR($L191="",$L191="-"),"",VLOOKUP($G191,為替!$A:$AX,$L191,FALSE)))</f>
        <v/>
      </c>
      <c r="N191" s="204" t="str">
        <f t="shared" si="16"/>
        <v/>
      </c>
      <c r="O191" s="205" t="str">
        <f t="shared" si="12"/>
        <v/>
      </c>
      <c r="P191" s="206" t="str">
        <f t="shared" si="17"/>
        <v/>
      </c>
    </row>
    <row r="192" spans="3:16" x14ac:dyDescent="0.4">
      <c r="C192" s="199"/>
      <c r="D192" s="200"/>
      <c r="E192" s="201"/>
      <c r="F192" s="199"/>
      <c r="H192" s="202"/>
      <c r="I192" s="185" t="str">
        <f t="shared" si="13"/>
        <v/>
      </c>
      <c r="J192" s="203" t="str">
        <f>IF($H192="USD",IF(OR($I192="",$I192="-"),"",VLOOKUP($G192,為替!$A:$AX,$I192,FALSE))+$J$3,IF(OR($I192="",$I192="-"),"",VLOOKUP($G192,為替!$A:$AX,$I192,FALSE)))</f>
        <v/>
      </c>
      <c r="K192" s="204" t="str">
        <f t="shared" si="14"/>
        <v/>
      </c>
      <c r="L192" s="188" t="str">
        <f t="shared" si="15"/>
        <v/>
      </c>
      <c r="M192" s="203" t="str">
        <f>IF($H192="USD",IF(OR($L192="",$L192="-"),"",VLOOKUP($G192,為替!$A:$AX,$L192,FALSE))+$K$3,IF(OR($L192="",$L192="-"),"",VLOOKUP($G192,為替!$A:$AX,$L192,FALSE)))</f>
        <v/>
      </c>
      <c r="N192" s="204" t="str">
        <f t="shared" si="16"/>
        <v/>
      </c>
      <c r="O192" s="205" t="str">
        <f t="shared" si="12"/>
        <v/>
      </c>
      <c r="P192" s="206" t="str">
        <f t="shared" si="17"/>
        <v/>
      </c>
    </row>
    <row r="193" spans="3:16" x14ac:dyDescent="0.4">
      <c r="C193" s="199"/>
      <c r="D193" s="200"/>
      <c r="E193" s="201"/>
      <c r="F193" s="199"/>
      <c r="H193" s="202"/>
      <c r="I193" s="185" t="str">
        <f t="shared" si="13"/>
        <v/>
      </c>
      <c r="J193" s="203" t="str">
        <f>IF($H193="USD",IF(OR($I193="",$I193="-"),"",VLOOKUP($G193,為替!$A:$AX,$I193,FALSE))+$J$3,IF(OR($I193="",$I193="-"),"",VLOOKUP($G193,為替!$A:$AX,$I193,FALSE)))</f>
        <v/>
      </c>
      <c r="K193" s="204" t="str">
        <f t="shared" si="14"/>
        <v/>
      </c>
      <c r="L193" s="188" t="str">
        <f t="shared" si="15"/>
        <v/>
      </c>
      <c r="M193" s="203" t="str">
        <f>IF($H193="USD",IF(OR($L193="",$L193="-"),"",VLOOKUP($G193,為替!$A:$AX,$L193,FALSE))+$K$3,IF(OR($L193="",$L193="-"),"",VLOOKUP($G193,為替!$A:$AX,$L193,FALSE)))</f>
        <v/>
      </c>
      <c r="N193" s="204" t="str">
        <f t="shared" si="16"/>
        <v/>
      </c>
      <c r="O193" s="205" t="str">
        <f t="shared" si="12"/>
        <v/>
      </c>
      <c r="P193" s="206" t="str">
        <f t="shared" si="17"/>
        <v/>
      </c>
    </row>
    <row r="194" spans="3:16" x14ac:dyDescent="0.4">
      <c r="C194" s="199"/>
      <c r="D194" s="200"/>
      <c r="E194" s="201"/>
      <c r="F194" s="199"/>
      <c r="H194" s="202"/>
      <c r="I194" s="185" t="str">
        <f t="shared" si="13"/>
        <v/>
      </c>
      <c r="J194" s="203" t="str">
        <f>IF($H194="USD",IF(OR($I194="",$I194="-"),"",VLOOKUP($G194,為替!$A:$AX,$I194,FALSE))+$J$3,IF(OR($I194="",$I194="-"),"",VLOOKUP($G194,為替!$A:$AX,$I194,FALSE)))</f>
        <v/>
      </c>
      <c r="K194" s="204" t="str">
        <f t="shared" si="14"/>
        <v/>
      </c>
      <c r="L194" s="188" t="str">
        <f t="shared" si="15"/>
        <v/>
      </c>
      <c r="M194" s="203" t="str">
        <f>IF($H194="USD",IF(OR($L194="",$L194="-"),"",VLOOKUP($G194,為替!$A:$AX,$L194,FALSE))+$K$3,IF(OR($L194="",$L194="-"),"",VLOOKUP($G194,為替!$A:$AX,$L194,FALSE)))</f>
        <v/>
      </c>
      <c r="N194" s="204" t="str">
        <f t="shared" si="16"/>
        <v/>
      </c>
      <c r="O194" s="205" t="str">
        <f t="shared" si="12"/>
        <v/>
      </c>
      <c r="P194" s="206" t="str">
        <f t="shared" si="17"/>
        <v/>
      </c>
    </row>
    <row r="195" spans="3:16" x14ac:dyDescent="0.4">
      <c r="C195" s="199"/>
      <c r="D195" s="200"/>
      <c r="E195" s="201"/>
      <c r="F195" s="199"/>
      <c r="H195" s="202"/>
      <c r="I195" s="185" t="str">
        <f t="shared" si="13"/>
        <v/>
      </c>
      <c r="J195" s="203" t="str">
        <f>IF($H195="USD",IF(OR($I195="",$I195="-"),"",VLOOKUP($G195,為替!$A:$AX,$I195,FALSE))+$J$3,IF(OR($I195="",$I195="-"),"",VLOOKUP($G195,為替!$A:$AX,$I195,FALSE)))</f>
        <v/>
      </c>
      <c r="K195" s="204" t="str">
        <f t="shared" si="14"/>
        <v/>
      </c>
      <c r="L195" s="188" t="str">
        <f t="shared" si="15"/>
        <v/>
      </c>
      <c r="M195" s="203" t="str">
        <f>IF($H195="USD",IF(OR($L195="",$L195="-"),"",VLOOKUP($G195,為替!$A:$AX,$L195,FALSE))+$K$3,IF(OR($L195="",$L195="-"),"",VLOOKUP($G195,為替!$A:$AX,$L195,FALSE)))</f>
        <v/>
      </c>
      <c r="N195" s="204" t="str">
        <f t="shared" si="16"/>
        <v/>
      </c>
      <c r="O195" s="205" t="str">
        <f t="shared" si="12"/>
        <v/>
      </c>
      <c r="P195" s="206" t="str">
        <f t="shared" si="17"/>
        <v/>
      </c>
    </row>
    <row r="196" spans="3:16" x14ac:dyDescent="0.4">
      <c r="C196" s="199"/>
      <c r="D196" s="200"/>
      <c r="E196" s="201"/>
      <c r="F196" s="199"/>
      <c r="H196" s="202"/>
      <c r="I196" s="185" t="str">
        <f t="shared" si="13"/>
        <v/>
      </c>
      <c r="J196" s="203" t="str">
        <f>IF($H196="USD",IF(OR($I196="",$I196="-"),"",VLOOKUP($G196,為替!$A:$AX,$I196,FALSE))+$J$3,IF(OR($I196="",$I196="-"),"",VLOOKUP($G196,為替!$A:$AX,$I196,FALSE)))</f>
        <v/>
      </c>
      <c r="K196" s="204" t="str">
        <f t="shared" si="14"/>
        <v/>
      </c>
      <c r="L196" s="188" t="str">
        <f t="shared" si="15"/>
        <v/>
      </c>
      <c r="M196" s="203" t="str">
        <f>IF($H196="USD",IF(OR($L196="",$L196="-"),"",VLOOKUP($G196,為替!$A:$AX,$L196,FALSE))+$K$3,IF(OR($L196="",$L196="-"),"",VLOOKUP($G196,為替!$A:$AX,$L196,FALSE)))</f>
        <v/>
      </c>
      <c r="N196" s="204" t="str">
        <f t="shared" si="16"/>
        <v/>
      </c>
      <c r="O196" s="205" t="str">
        <f t="shared" si="12"/>
        <v/>
      </c>
      <c r="P196" s="206" t="str">
        <f t="shared" si="17"/>
        <v/>
      </c>
    </row>
    <row r="197" spans="3:16" x14ac:dyDescent="0.4">
      <c r="C197" s="199"/>
      <c r="D197" s="200"/>
      <c r="E197" s="201"/>
      <c r="F197" s="199"/>
      <c r="H197" s="202"/>
      <c r="I197" s="185" t="str">
        <f t="shared" si="13"/>
        <v/>
      </c>
      <c r="J197" s="203" t="str">
        <f>IF($H197="USD",IF(OR($I197="",$I197="-"),"",VLOOKUP($G197,為替!$A:$AX,$I197,FALSE))+$J$3,IF(OR($I197="",$I197="-"),"",VLOOKUP($G197,為替!$A:$AX,$I197,FALSE)))</f>
        <v/>
      </c>
      <c r="K197" s="204" t="str">
        <f t="shared" si="14"/>
        <v/>
      </c>
      <c r="L197" s="188" t="str">
        <f t="shared" si="15"/>
        <v/>
      </c>
      <c r="M197" s="203" t="str">
        <f>IF($H197="USD",IF(OR($L197="",$L197="-"),"",VLOOKUP($G197,為替!$A:$AX,$L197,FALSE))+$K$3,IF(OR($L197="",$L197="-"),"",VLOOKUP($G197,為替!$A:$AX,$L197,FALSE)))</f>
        <v/>
      </c>
      <c r="N197" s="204" t="str">
        <f t="shared" si="16"/>
        <v/>
      </c>
      <c r="O197" s="205" t="str">
        <f t="shared" si="12"/>
        <v/>
      </c>
      <c r="P197" s="206" t="str">
        <f t="shared" si="17"/>
        <v/>
      </c>
    </row>
    <row r="198" spans="3:16" x14ac:dyDescent="0.4">
      <c r="C198" s="199"/>
      <c r="D198" s="200"/>
      <c r="E198" s="201"/>
      <c r="F198" s="199"/>
      <c r="H198" s="202"/>
      <c r="I198" s="185" t="str">
        <f t="shared" si="13"/>
        <v/>
      </c>
      <c r="J198" s="203" t="str">
        <f>IF($H198="USD",IF(OR($I198="",$I198="-"),"",VLOOKUP($G198,為替!$A:$AX,$I198,FALSE))+$J$3,IF(OR($I198="",$I198="-"),"",VLOOKUP($G198,為替!$A:$AX,$I198,FALSE)))</f>
        <v/>
      </c>
      <c r="K198" s="204" t="str">
        <f t="shared" si="14"/>
        <v/>
      </c>
      <c r="L198" s="188" t="str">
        <f t="shared" si="15"/>
        <v/>
      </c>
      <c r="M198" s="203" t="str">
        <f>IF($H198="USD",IF(OR($L198="",$L198="-"),"",VLOOKUP($G198,為替!$A:$AX,$L198,FALSE))+$K$3,IF(OR($L198="",$L198="-"),"",VLOOKUP($G198,為替!$A:$AX,$L198,FALSE)))</f>
        <v/>
      </c>
      <c r="N198" s="204" t="str">
        <f t="shared" si="16"/>
        <v/>
      </c>
      <c r="O198" s="205" t="str">
        <f t="shared" ref="O198:O261" si="18">IF(OR(K198="",N198=""),"",K198-N198)</f>
        <v/>
      </c>
      <c r="P198" s="206" t="str">
        <f t="shared" si="17"/>
        <v/>
      </c>
    </row>
    <row r="199" spans="3:16" x14ac:dyDescent="0.4">
      <c r="C199" s="199"/>
      <c r="D199" s="200"/>
      <c r="E199" s="201"/>
      <c r="F199" s="199"/>
      <c r="H199" s="202"/>
      <c r="I199" s="185" t="str">
        <f t="shared" ref="I199:I262" si="19">IF(H199="","",IF(H199="JPY","",IF($H199="USD",4, IF(H199="EUR",7,IF(H199="CNY",47,IF(H199="HKD",34))))))</f>
        <v/>
      </c>
      <c r="J199" s="203" t="str">
        <f>IF($H199="USD",IF(OR($I199="",$I199="-"),"",VLOOKUP($G199,為替!$A:$AX,$I199,FALSE))+$J$3,IF(OR($I199="",$I199="-"),"",VLOOKUP($G199,為替!$A:$AX,$I199,FALSE)))</f>
        <v/>
      </c>
      <c r="K199" s="204" t="str">
        <f t="shared" ref="K199:K262" si="20">IF($H199="JPY",$F199,IF($H199="","",$F199*$J199))</f>
        <v/>
      </c>
      <c r="L199" s="188" t="str">
        <f t="shared" ref="L199:L262" si="21">IF(H199="","",IF(H199="JPY","",IF($H199="USD",3, IF(H199="EUR",6,IF(H199="CNY",46,IF(H199="HKD",33))))))</f>
        <v/>
      </c>
      <c r="M199" s="203" t="str">
        <f>IF($H199="USD",IF(OR($L199="",$L199="-"),"",VLOOKUP($G199,為替!$A:$AX,$L199,FALSE))+$K$3,IF(OR($L199="",$L199="-"),"",VLOOKUP($G199,為替!$A:$AX,$L199,FALSE)))</f>
        <v/>
      </c>
      <c r="N199" s="204" t="str">
        <f t="shared" ref="N199:N262" si="22">IF($E199="JPY",($C199+$D199),IF($E199="","",($C199+$D199)*$M199))</f>
        <v/>
      </c>
      <c r="O199" s="205" t="str">
        <f t="shared" si="18"/>
        <v/>
      </c>
      <c r="P199" s="206" t="str">
        <f t="shared" ref="P199:P262" si="23">IF(OR(K199="",O199=""),"",O199/K199)</f>
        <v/>
      </c>
    </row>
    <row r="200" spans="3:16" x14ac:dyDescent="0.4">
      <c r="C200" s="199"/>
      <c r="D200" s="200"/>
      <c r="E200" s="201"/>
      <c r="F200" s="199"/>
      <c r="H200" s="202"/>
      <c r="I200" s="185" t="str">
        <f t="shared" si="19"/>
        <v/>
      </c>
      <c r="J200" s="203" t="str">
        <f>IF($H200="USD",IF(OR($I200="",$I200="-"),"",VLOOKUP($G200,為替!$A:$AX,$I200,FALSE))+$J$3,IF(OR($I200="",$I200="-"),"",VLOOKUP($G200,為替!$A:$AX,$I200,FALSE)))</f>
        <v/>
      </c>
      <c r="K200" s="204" t="str">
        <f t="shared" si="20"/>
        <v/>
      </c>
      <c r="L200" s="188" t="str">
        <f t="shared" si="21"/>
        <v/>
      </c>
      <c r="M200" s="203" t="str">
        <f>IF($H200="USD",IF(OR($L200="",$L200="-"),"",VLOOKUP($G200,為替!$A:$AX,$L200,FALSE))+$K$3,IF(OR($L200="",$L200="-"),"",VLOOKUP($G200,為替!$A:$AX,$L200,FALSE)))</f>
        <v/>
      </c>
      <c r="N200" s="204" t="str">
        <f t="shared" si="22"/>
        <v/>
      </c>
      <c r="O200" s="205" t="str">
        <f t="shared" si="18"/>
        <v/>
      </c>
      <c r="P200" s="206" t="str">
        <f t="shared" si="23"/>
        <v/>
      </c>
    </row>
    <row r="201" spans="3:16" x14ac:dyDescent="0.4">
      <c r="C201" s="199"/>
      <c r="D201" s="200"/>
      <c r="E201" s="201"/>
      <c r="F201" s="199"/>
      <c r="H201" s="202"/>
      <c r="I201" s="185" t="str">
        <f t="shared" si="19"/>
        <v/>
      </c>
      <c r="J201" s="203" t="str">
        <f>IF($H201="USD",IF(OR($I201="",$I201="-"),"",VLOOKUP($G201,為替!$A:$AX,$I201,FALSE))+$J$3,IF(OR($I201="",$I201="-"),"",VLOOKUP($G201,為替!$A:$AX,$I201,FALSE)))</f>
        <v/>
      </c>
      <c r="K201" s="204" t="str">
        <f t="shared" si="20"/>
        <v/>
      </c>
      <c r="L201" s="188" t="str">
        <f t="shared" si="21"/>
        <v/>
      </c>
      <c r="M201" s="203" t="str">
        <f>IF($H201="USD",IF(OR($L201="",$L201="-"),"",VLOOKUP($G201,為替!$A:$AX,$L201,FALSE))+$K$3,IF(OR($L201="",$L201="-"),"",VLOOKUP($G201,為替!$A:$AX,$L201,FALSE)))</f>
        <v/>
      </c>
      <c r="N201" s="204" t="str">
        <f t="shared" si="22"/>
        <v/>
      </c>
      <c r="O201" s="205" t="str">
        <f t="shared" si="18"/>
        <v/>
      </c>
      <c r="P201" s="206" t="str">
        <f t="shared" si="23"/>
        <v/>
      </c>
    </row>
    <row r="202" spans="3:16" x14ac:dyDescent="0.4">
      <c r="C202" s="199"/>
      <c r="D202" s="200"/>
      <c r="E202" s="201"/>
      <c r="F202" s="199"/>
      <c r="H202" s="202"/>
      <c r="I202" s="185" t="str">
        <f t="shared" si="19"/>
        <v/>
      </c>
      <c r="J202" s="203" t="str">
        <f>IF($H202="USD",IF(OR($I202="",$I202="-"),"",VLOOKUP($G202,為替!$A:$AX,$I202,FALSE))+$J$3,IF(OR($I202="",$I202="-"),"",VLOOKUP($G202,為替!$A:$AX,$I202,FALSE)))</f>
        <v/>
      </c>
      <c r="K202" s="204" t="str">
        <f t="shared" si="20"/>
        <v/>
      </c>
      <c r="L202" s="188" t="str">
        <f t="shared" si="21"/>
        <v/>
      </c>
      <c r="M202" s="203" t="str">
        <f>IF($H202="USD",IF(OR($L202="",$L202="-"),"",VLOOKUP($G202,為替!$A:$AX,$L202,FALSE))+$K$3,IF(OR($L202="",$L202="-"),"",VLOOKUP($G202,為替!$A:$AX,$L202,FALSE)))</f>
        <v/>
      </c>
      <c r="N202" s="204" t="str">
        <f t="shared" si="22"/>
        <v/>
      </c>
      <c r="O202" s="205" t="str">
        <f t="shared" si="18"/>
        <v/>
      </c>
      <c r="P202" s="206" t="str">
        <f t="shared" si="23"/>
        <v/>
      </c>
    </row>
    <row r="203" spans="3:16" x14ac:dyDescent="0.4">
      <c r="C203" s="199"/>
      <c r="D203" s="200"/>
      <c r="E203" s="201"/>
      <c r="F203" s="199"/>
      <c r="H203" s="202"/>
      <c r="I203" s="185" t="str">
        <f t="shared" si="19"/>
        <v/>
      </c>
      <c r="J203" s="203" t="str">
        <f>IF($H203="USD",IF(OR($I203="",$I203="-"),"",VLOOKUP($G203,為替!$A:$AX,$I203,FALSE))+$J$3,IF(OR($I203="",$I203="-"),"",VLOOKUP($G203,為替!$A:$AX,$I203,FALSE)))</f>
        <v/>
      </c>
      <c r="K203" s="204" t="str">
        <f t="shared" si="20"/>
        <v/>
      </c>
      <c r="L203" s="188" t="str">
        <f t="shared" si="21"/>
        <v/>
      </c>
      <c r="M203" s="203" t="str">
        <f>IF($H203="USD",IF(OR($L203="",$L203="-"),"",VLOOKUP($G203,為替!$A:$AX,$L203,FALSE))+$K$3,IF(OR($L203="",$L203="-"),"",VLOOKUP($G203,為替!$A:$AX,$L203,FALSE)))</f>
        <v/>
      </c>
      <c r="N203" s="204" t="str">
        <f t="shared" si="22"/>
        <v/>
      </c>
      <c r="O203" s="205" t="str">
        <f t="shared" si="18"/>
        <v/>
      </c>
      <c r="P203" s="206" t="str">
        <f t="shared" si="23"/>
        <v/>
      </c>
    </row>
    <row r="204" spans="3:16" x14ac:dyDescent="0.4">
      <c r="C204" s="199"/>
      <c r="D204" s="200"/>
      <c r="E204" s="201"/>
      <c r="F204" s="199"/>
      <c r="H204" s="202"/>
      <c r="I204" s="185" t="str">
        <f t="shared" si="19"/>
        <v/>
      </c>
      <c r="J204" s="203" t="str">
        <f>IF($H204="USD",IF(OR($I204="",$I204="-"),"",VLOOKUP($G204,為替!$A:$AX,$I204,FALSE))+$J$3,IF(OR($I204="",$I204="-"),"",VLOOKUP($G204,為替!$A:$AX,$I204,FALSE)))</f>
        <v/>
      </c>
      <c r="K204" s="204" t="str">
        <f t="shared" si="20"/>
        <v/>
      </c>
      <c r="L204" s="188" t="str">
        <f t="shared" si="21"/>
        <v/>
      </c>
      <c r="M204" s="203" t="str">
        <f>IF($H204="USD",IF(OR($L204="",$L204="-"),"",VLOOKUP($G204,為替!$A:$AX,$L204,FALSE))+$K$3,IF(OR($L204="",$L204="-"),"",VLOOKUP($G204,為替!$A:$AX,$L204,FALSE)))</f>
        <v/>
      </c>
      <c r="N204" s="204" t="str">
        <f t="shared" si="22"/>
        <v/>
      </c>
      <c r="O204" s="205" t="str">
        <f t="shared" si="18"/>
        <v/>
      </c>
      <c r="P204" s="206" t="str">
        <f t="shared" si="23"/>
        <v/>
      </c>
    </row>
    <row r="205" spans="3:16" x14ac:dyDescent="0.4">
      <c r="C205" s="199"/>
      <c r="D205" s="200"/>
      <c r="E205" s="201"/>
      <c r="F205" s="199"/>
      <c r="H205" s="202"/>
      <c r="I205" s="185" t="str">
        <f t="shared" si="19"/>
        <v/>
      </c>
      <c r="J205" s="203" t="str">
        <f>IF($H205="USD",IF(OR($I205="",$I205="-"),"",VLOOKUP($G205,為替!$A:$AX,$I205,FALSE))+$J$3,IF(OR($I205="",$I205="-"),"",VLOOKUP($G205,為替!$A:$AX,$I205,FALSE)))</f>
        <v/>
      </c>
      <c r="K205" s="204" t="str">
        <f t="shared" si="20"/>
        <v/>
      </c>
      <c r="L205" s="188" t="str">
        <f t="shared" si="21"/>
        <v/>
      </c>
      <c r="M205" s="203" t="str">
        <f>IF($H205="USD",IF(OR($L205="",$L205="-"),"",VLOOKUP($G205,為替!$A:$AX,$L205,FALSE))+$K$3,IF(OR($L205="",$L205="-"),"",VLOOKUP($G205,為替!$A:$AX,$L205,FALSE)))</f>
        <v/>
      </c>
      <c r="N205" s="204" t="str">
        <f t="shared" si="22"/>
        <v/>
      </c>
      <c r="O205" s="205" t="str">
        <f t="shared" si="18"/>
        <v/>
      </c>
      <c r="P205" s="206" t="str">
        <f t="shared" si="23"/>
        <v/>
      </c>
    </row>
    <row r="206" spans="3:16" x14ac:dyDescent="0.4">
      <c r="C206" s="199"/>
      <c r="D206" s="200"/>
      <c r="E206" s="201"/>
      <c r="F206" s="199"/>
      <c r="H206" s="202"/>
      <c r="I206" s="185" t="str">
        <f t="shared" si="19"/>
        <v/>
      </c>
      <c r="J206" s="203" t="str">
        <f>IF($H206="USD",IF(OR($I206="",$I206="-"),"",VLOOKUP($G206,為替!$A:$AX,$I206,FALSE))+$J$3,IF(OR($I206="",$I206="-"),"",VLOOKUP($G206,為替!$A:$AX,$I206,FALSE)))</f>
        <v/>
      </c>
      <c r="K206" s="204" t="str">
        <f t="shared" si="20"/>
        <v/>
      </c>
      <c r="L206" s="188" t="str">
        <f t="shared" si="21"/>
        <v/>
      </c>
      <c r="M206" s="203" t="str">
        <f>IF($H206="USD",IF(OR($L206="",$L206="-"),"",VLOOKUP($G206,為替!$A:$AX,$L206,FALSE))+$K$3,IF(OR($L206="",$L206="-"),"",VLOOKUP($G206,為替!$A:$AX,$L206,FALSE)))</f>
        <v/>
      </c>
      <c r="N206" s="204" t="str">
        <f t="shared" si="22"/>
        <v/>
      </c>
      <c r="O206" s="205" t="str">
        <f t="shared" si="18"/>
        <v/>
      </c>
      <c r="P206" s="206" t="str">
        <f t="shared" si="23"/>
        <v/>
      </c>
    </row>
    <row r="207" spans="3:16" x14ac:dyDescent="0.4">
      <c r="C207" s="199"/>
      <c r="D207" s="200"/>
      <c r="E207" s="201"/>
      <c r="F207" s="199"/>
      <c r="H207" s="202"/>
      <c r="I207" s="185" t="str">
        <f t="shared" si="19"/>
        <v/>
      </c>
      <c r="J207" s="203" t="str">
        <f>IF($H207="USD",IF(OR($I207="",$I207="-"),"",VLOOKUP($G207,為替!$A:$AX,$I207,FALSE))+$J$3,IF(OR($I207="",$I207="-"),"",VLOOKUP($G207,為替!$A:$AX,$I207,FALSE)))</f>
        <v/>
      </c>
      <c r="K207" s="204" t="str">
        <f t="shared" si="20"/>
        <v/>
      </c>
      <c r="L207" s="188" t="str">
        <f t="shared" si="21"/>
        <v/>
      </c>
      <c r="M207" s="203" t="str">
        <f>IF($H207="USD",IF(OR($L207="",$L207="-"),"",VLOOKUP($G207,為替!$A:$AX,$L207,FALSE))+$K$3,IF(OR($L207="",$L207="-"),"",VLOOKUP($G207,為替!$A:$AX,$L207,FALSE)))</f>
        <v/>
      </c>
      <c r="N207" s="204" t="str">
        <f t="shared" si="22"/>
        <v/>
      </c>
      <c r="O207" s="205" t="str">
        <f t="shared" si="18"/>
        <v/>
      </c>
      <c r="P207" s="206" t="str">
        <f t="shared" si="23"/>
        <v/>
      </c>
    </row>
    <row r="208" spans="3:16" x14ac:dyDescent="0.4">
      <c r="C208" s="199"/>
      <c r="D208" s="200"/>
      <c r="E208" s="201"/>
      <c r="F208" s="199"/>
      <c r="H208" s="202"/>
      <c r="I208" s="185" t="str">
        <f t="shared" si="19"/>
        <v/>
      </c>
      <c r="J208" s="203" t="str">
        <f>IF($H208="USD",IF(OR($I208="",$I208="-"),"",VLOOKUP($G208,為替!$A:$AX,$I208,FALSE))+$J$3,IF(OR($I208="",$I208="-"),"",VLOOKUP($G208,為替!$A:$AX,$I208,FALSE)))</f>
        <v/>
      </c>
      <c r="K208" s="204" t="str">
        <f t="shared" si="20"/>
        <v/>
      </c>
      <c r="L208" s="188" t="str">
        <f t="shared" si="21"/>
        <v/>
      </c>
      <c r="M208" s="203" t="str">
        <f>IF($H208="USD",IF(OR($L208="",$L208="-"),"",VLOOKUP($G208,為替!$A:$AX,$L208,FALSE))+$K$3,IF(OR($L208="",$L208="-"),"",VLOOKUP($G208,為替!$A:$AX,$L208,FALSE)))</f>
        <v/>
      </c>
      <c r="N208" s="204" t="str">
        <f t="shared" si="22"/>
        <v/>
      </c>
      <c r="O208" s="205" t="str">
        <f t="shared" si="18"/>
        <v/>
      </c>
      <c r="P208" s="206" t="str">
        <f t="shared" si="23"/>
        <v/>
      </c>
    </row>
    <row r="209" spans="3:16" x14ac:dyDescent="0.4">
      <c r="C209" s="199"/>
      <c r="D209" s="200"/>
      <c r="E209" s="201"/>
      <c r="F209" s="199"/>
      <c r="H209" s="202"/>
      <c r="I209" s="185" t="str">
        <f t="shared" si="19"/>
        <v/>
      </c>
      <c r="J209" s="203" t="str">
        <f>IF($H209="USD",IF(OR($I209="",$I209="-"),"",VLOOKUP($G209,為替!$A:$AX,$I209,FALSE))+$J$3,IF(OR($I209="",$I209="-"),"",VLOOKUP($G209,為替!$A:$AX,$I209,FALSE)))</f>
        <v/>
      </c>
      <c r="K209" s="204" t="str">
        <f t="shared" si="20"/>
        <v/>
      </c>
      <c r="L209" s="188" t="str">
        <f t="shared" si="21"/>
        <v/>
      </c>
      <c r="M209" s="203" t="str">
        <f>IF($H209="USD",IF(OR($L209="",$L209="-"),"",VLOOKUP($G209,為替!$A:$AX,$L209,FALSE))+$K$3,IF(OR($L209="",$L209="-"),"",VLOOKUP($G209,為替!$A:$AX,$L209,FALSE)))</f>
        <v/>
      </c>
      <c r="N209" s="204" t="str">
        <f t="shared" si="22"/>
        <v/>
      </c>
      <c r="O209" s="205" t="str">
        <f t="shared" si="18"/>
        <v/>
      </c>
      <c r="P209" s="206" t="str">
        <f t="shared" si="23"/>
        <v/>
      </c>
    </row>
    <row r="210" spans="3:16" x14ac:dyDescent="0.4">
      <c r="C210" s="199"/>
      <c r="D210" s="200"/>
      <c r="E210" s="201"/>
      <c r="F210" s="199"/>
      <c r="H210" s="202"/>
      <c r="I210" s="185" t="str">
        <f t="shared" si="19"/>
        <v/>
      </c>
      <c r="J210" s="203" t="str">
        <f>IF($H210="USD",IF(OR($I210="",$I210="-"),"",VLOOKUP($G210,為替!$A:$AX,$I210,FALSE))+$J$3,IF(OR($I210="",$I210="-"),"",VLOOKUP($G210,為替!$A:$AX,$I210,FALSE)))</f>
        <v/>
      </c>
      <c r="K210" s="204" t="str">
        <f t="shared" si="20"/>
        <v/>
      </c>
      <c r="L210" s="188" t="str">
        <f t="shared" si="21"/>
        <v/>
      </c>
      <c r="M210" s="203" t="str">
        <f>IF($H210="USD",IF(OR($L210="",$L210="-"),"",VLOOKUP($G210,為替!$A:$AX,$L210,FALSE))+$K$3,IF(OR($L210="",$L210="-"),"",VLOOKUP($G210,為替!$A:$AX,$L210,FALSE)))</f>
        <v/>
      </c>
      <c r="N210" s="204" t="str">
        <f t="shared" si="22"/>
        <v/>
      </c>
      <c r="O210" s="205" t="str">
        <f t="shared" si="18"/>
        <v/>
      </c>
      <c r="P210" s="206" t="str">
        <f t="shared" si="23"/>
        <v/>
      </c>
    </row>
    <row r="211" spans="3:16" x14ac:dyDescent="0.4">
      <c r="C211" s="199"/>
      <c r="D211" s="200"/>
      <c r="E211" s="201"/>
      <c r="F211" s="199"/>
      <c r="H211" s="202"/>
      <c r="I211" s="185" t="str">
        <f t="shared" si="19"/>
        <v/>
      </c>
      <c r="J211" s="203" t="str">
        <f>IF($H211="USD",IF(OR($I211="",$I211="-"),"",VLOOKUP($G211,為替!$A:$AX,$I211,FALSE))+$J$3,IF(OR($I211="",$I211="-"),"",VLOOKUP($G211,為替!$A:$AX,$I211,FALSE)))</f>
        <v/>
      </c>
      <c r="K211" s="204" t="str">
        <f t="shared" si="20"/>
        <v/>
      </c>
      <c r="L211" s="188" t="str">
        <f t="shared" si="21"/>
        <v/>
      </c>
      <c r="M211" s="203" t="str">
        <f>IF($H211="USD",IF(OR($L211="",$L211="-"),"",VLOOKUP($G211,為替!$A:$AX,$L211,FALSE))+$K$3,IF(OR($L211="",$L211="-"),"",VLOOKUP($G211,為替!$A:$AX,$L211,FALSE)))</f>
        <v/>
      </c>
      <c r="N211" s="204" t="str">
        <f t="shared" si="22"/>
        <v/>
      </c>
      <c r="O211" s="205" t="str">
        <f t="shared" si="18"/>
        <v/>
      </c>
      <c r="P211" s="206" t="str">
        <f t="shared" si="23"/>
        <v/>
      </c>
    </row>
    <row r="212" spans="3:16" x14ac:dyDescent="0.4">
      <c r="C212" s="199"/>
      <c r="D212" s="200"/>
      <c r="E212" s="201"/>
      <c r="F212" s="199"/>
      <c r="H212" s="202"/>
      <c r="I212" s="185" t="str">
        <f t="shared" si="19"/>
        <v/>
      </c>
      <c r="J212" s="203" t="str">
        <f>IF($H212="USD",IF(OR($I212="",$I212="-"),"",VLOOKUP($G212,為替!$A:$AX,$I212,FALSE))+$J$3,IF(OR($I212="",$I212="-"),"",VLOOKUP($G212,為替!$A:$AX,$I212,FALSE)))</f>
        <v/>
      </c>
      <c r="K212" s="204" t="str">
        <f t="shared" si="20"/>
        <v/>
      </c>
      <c r="L212" s="188" t="str">
        <f t="shared" si="21"/>
        <v/>
      </c>
      <c r="M212" s="203" t="str">
        <f>IF($H212="USD",IF(OR($L212="",$L212="-"),"",VLOOKUP($G212,為替!$A:$AX,$L212,FALSE))+$K$3,IF(OR($L212="",$L212="-"),"",VLOOKUP($G212,為替!$A:$AX,$L212,FALSE)))</f>
        <v/>
      </c>
      <c r="N212" s="204" t="str">
        <f t="shared" si="22"/>
        <v/>
      </c>
      <c r="O212" s="205" t="str">
        <f t="shared" si="18"/>
        <v/>
      </c>
      <c r="P212" s="206" t="str">
        <f t="shared" si="23"/>
        <v/>
      </c>
    </row>
    <row r="213" spans="3:16" x14ac:dyDescent="0.4">
      <c r="C213" s="199"/>
      <c r="D213" s="200"/>
      <c r="E213" s="201"/>
      <c r="F213" s="199"/>
      <c r="H213" s="202"/>
      <c r="I213" s="185" t="str">
        <f t="shared" si="19"/>
        <v/>
      </c>
      <c r="J213" s="203" t="str">
        <f>IF($H213="USD",IF(OR($I213="",$I213="-"),"",VLOOKUP($G213,為替!$A:$AX,$I213,FALSE))+$J$3,IF(OR($I213="",$I213="-"),"",VLOOKUP($G213,為替!$A:$AX,$I213,FALSE)))</f>
        <v/>
      </c>
      <c r="K213" s="204" t="str">
        <f t="shared" si="20"/>
        <v/>
      </c>
      <c r="L213" s="188" t="str">
        <f t="shared" si="21"/>
        <v/>
      </c>
      <c r="M213" s="203" t="str">
        <f>IF($H213="USD",IF(OR($L213="",$L213="-"),"",VLOOKUP($G213,為替!$A:$AX,$L213,FALSE))+$K$3,IF(OR($L213="",$L213="-"),"",VLOOKUP($G213,為替!$A:$AX,$L213,FALSE)))</f>
        <v/>
      </c>
      <c r="N213" s="204" t="str">
        <f t="shared" si="22"/>
        <v/>
      </c>
      <c r="O213" s="205" t="str">
        <f t="shared" si="18"/>
        <v/>
      </c>
      <c r="P213" s="206" t="str">
        <f t="shared" si="23"/>
        <v/>
      </c>
    </row>
    <row r="214" spans="3:16" x14ac:dyDescent="0.4">
      <c r="C214" s="199"/>
      <c r="D214" s="200"/>
      <c r="E214" s="201"/>
      <c r="F214" s="199"/>
      <c r="H214" s="202"/>
      <c r="I214" s="185" t="str">
        <f t="shared" si="19"/>
        <v/>
      </c>
      <c r="J214" s="203" t="str">
        <f>IF($H214="USD",IF(OR($I214="",$I214="-"),"",VLOOKUP($G214,為替!$A:$AX,$I214,FALSE))+$J$3,IF(OR($I214="",$I214="-"),"",VLOOKUP($G214,為替!$A:$AX,$I214,FALSE)))</f>
        <v/>
      </c>
      <c r="K214" s="204" t="str">
        <f t="shared" si="20"/>
        <v/>
      </c>
      <c r="L214" s="188" t="str">
        <f t="shared" si="21"/>
        <v/>
      </c>
      <c r="M214" s="203" t="str">
        <f>IF($H214="USD",IF(OR($L214="",$L214="-"),"",VLOOKUP($G214,為替!$A:$AX,$L214,FALSE))+$K$3,IF(OR($L214="",$L214="-"),"",VLOOKUP($G214,為替!$A:$AX,$L214,FALSE)))</f>
        <v/>
      </c>
      <c r="N214" s="204" t="str">
        <f t="shared" si="22"/>
        <v/>
      </c>
      <c r="O214" s="205" t="str">
        <f t="shared" si="18"/>
        <v/>
      </c>
      <c r="P214" s="206" t="str">
        <f t="shared" si="23"/>
        <v/>
      </c>
    </row>
    <row r="215" spans="3:16" x14ac:dyDescent="0.4">
      <c r="C215" s="199"/>
      <c r="D215" s="200"/>
      <c r="E215" s="201"/>
      <c r="F215" s="199"/>
      <c r="H215" s="202"/>
      <c r="I215" s="185" t="str">
        <f t="shared" si="19"/>
        <v/>
      </c>
      <c r="J215" s="203" t="str">
        <f>IF($H215="USD",IF(OR($I215="",$I215="-"),"",VLOOKUP($G215,為替!$A:$AX,$I215,FALSE))+$J$3,IF(OR($I215="",$I215="-"),"",VLOOKUP($G215,為替!$A:$AX,$I215,FALSE)))</f>
        <v/>
      </c>
      <c r="K215" s="204" t="str">
        <f t="shared" si="20"/>
        <v/>
      </c>
      <c r="L215" s="188" t="str">
        <f t="shared" si="21"/>
        <v/>
      </c>
      <c r="M215" s="203" t="str">
        <f>IF($H215="USD",IF(OR($L215="",$L215="-"),"",VLOOKUP($G215,為替!$A:$AX,$L215,FALSE))+$K$3,IF(OR($L215="",$L215="-"),"",VLOOKUP($G215,為替!$A:$AX,$L215,FALSE)))</f>
        <v/>
      </c>
      <c r="N215" s="204" t="str">
        <f t="shared" si="22"/>
        <v/>
      </c>
      <c r="O215" s="205" t="str">
        <f t="shared" si="18"/>
        <v/>
      </c>
      <c r="P215" s="206" t="str">
        <f t="shared" si="23"/>
        <v/>
      </c>
    </row>
    <row r="216" spans="3:16" x14ac:dyDescent="0.4">
      <c r="C216" s="199"/>
      <c r="D216" s="200"/>
      <c r="E216" s="201"/>
      <c r="F216" s="199"/>
      <c r="H216" s="202"/>
      <c r="I216" s="185" t="str">
        <f t="shared" si="19"/>
        <v/>
      </c>
      <c r="J216" s="203" t="str">
        <f>IF($H216="USD",IF(OR($I216="",$I216="-"),"",VLOOKUP($G216,為替!$A:$AX,$I216,FALSE))+$J$3,IF(OR($I216="",$I216="-"),"",VLOOKUP($G216,為替!$A:$AX,$I216,FALSE)))</f>
        <v/>
      </c>
      <c r="K216" s="204" t="str">
        <f t="shared" si="20"/>
        <v/>
      </c>
      <c r="L216" s="188" t="str">
        <f t="shared" si="21"/>
        <v/>
      </c>
      <c r="M216" s="203" t="str">
        <f>IF($H216="USD",IF(OR($L216="",$L216="-"),"",VLOOKUP($G216,為替!$A:$AX,$L216,FALSE))+$K$3,IF(OR($L216="",$L216="-"),"",VLOOKUP($G216,為替!$A:$AX,$L216,FALSE)))</f>
        <v/>
      </c>
      <c r="N216" s="204" t="str">
        <f t="shared" si="22"/>
        <v/>
      </c>
      <c r="O216" s="205" t="str">
        <f t="shared" si="18"/>
        <v/>
      </c>
      <c r="P216" s="206" t="str">
        <f t="shared" si="23"/>
        <v/>
      </c>
    </row>
    <row r="217" spans="3:16" x14ac:dyDescent="0.4">
      <c r="C217" s="199"/>
      <c r="D217" s="200"/>
      <c r="E217" s="201"/>
      <c r="F217" s="199"/>
      <c r="H217" s="202"/>
      <c r="I217" s="185" t="str">
        <f t="shared" si="19"/>
        <v/>
      </c>
      <c r="J217" s="203" t="str">
        <f>IF($H217="USD",IF(OR($I217="",$I217="-"),"",VLOOKUP($G217,為替!$A:$AX,$I217,FALSE))+$J$3,IF(OR($I217="",$I217="-"),"",VLOOKUP($G217,為替!$A:$AX,$I217,FALSE)))</f>
        <v/>
      </c>
      <c r="K217" s="204" t="str">
        <f t="shared" si="20"/>
        <v/>
      </c>
      <c r="L217" s="188" t="str">
        <f t="shared" si="21"/>
        <v/>
      </c>
      <c r="M217" s="203" t="str">
        <f>IF($H217="USD",IF(OR($L217="",$L217="-"),"",VLOOKUP($G217,為替!$A:$AX,$L217,FALSE))+$K$3,IF(OR($L217="",$L217="-"),"",VLOOKUP($G217,為替!$A:$AX,$L217,FALSE)))</f>
        <v/>
      </c>
      <c r="N217" s="204" t="str">
        <f t="shared" si="22"/>
        <v/>
      </c>
      <c r="O217" s="205" t="str">
        <f t="shared" si="18"/>
        <v/>
      </c>
      <c r="P217" s="206" t="str">
        <f t="shared" si="23"/>
        <v/>
      </c>
    </row>
    <row r="218" spans="3:16" x14ac:dyDescent="0.4">
      <c r="C218" s="199"/>
      <c r="D218" s="200"/>
      <c r="E218" s="201"/>
      <c r="F218" s="199"/>
      <c r="H218" s="202"/>
      <c r="I218" s="185" t="str">
        <f t="shared" si="19"/>
        <v/>
      </c>
      <c r="J218" s="203" t="str">
        <f>IF($H218="USD",IF(OR($I218="",$I218="-"),"",VLOOKUP($G218,為替!$A:$AX,$I218,FALSE))+$J$3,IF(OR($I218="",$I218="-"),"",VLOOKUP($G218,為替!$A:$AX,$I218,FALSE)))</f>
        <v/>
      </c>
      <c r="K218" s="204" t="str">
        <f t="shared" si="20"/>
        <v/>
      </c>
      <c r="L218" s="188" t="str">
        <f t="shared" si="21"/>
        <v/>
      </c>
      <c r="M218" s="203" t="str">
        <f>IF($H218="USD",IF(OR($L218="",$L218="-"),"",VLOOKUP($G218,為替!$A:$AX,$L218,FALSE))+$K$3,IF(OR($L218="",$L218="-"),"",VLOOKUP($G218,為替!$A:$AX,$L218,FALSE)))</f>
        <v/>
      </c>
      <c r="N218" s="204" t="str">
        <f t="shared" si="22"/>
        <v/>
      </c>
      <c r="O218" s="205" t="str">
        <f t="shared" si="18"/>
        <v/>
      </c>
      <c r="P218" s="206" t="str">
        <f t="shared" si="23"/>
        <v/>
      </c>
    </row>
    <row r="219" spans="3:16" x14ac:dyDescent="0.4">
      <c r="C219" s="199"/>
      <c r="D219" s="200"/>
      <c r="E219" s="201"/>
      <c r="F219" s="199"/>
      <c r="H219" s="202"/>
      <c r="I219" s="185" t="str">
        <f t="shared" si="19"/>
        <v/>
      </c>
      <c r="J219" s="203" t="str">
        <f>IF($H219="USD",IF(OR($I219="",$I219="-"),"",VLOOKUP($G219,為替!$A:$AX,$I219,FALSE))+$J$3,IF(OR($I219="",$I219="-"),"",VLOOKUP($G219,為替!$A:$AX,$I219,FALSE)))</f>
        <v/>
      </c>
      <c r="K219" s="204" t="str">
        <f t="shared" si="20"/>
        <v/>
      </c>
      <c r="L219" s="188" t="str">
        <f t="shared" si="21"/>
        <v/>
      </c>
      <c r="M219" s="203" t="str">
        <f>IF($H219="USD",IF(OR($L219="",$L219="-"),"",VLOOKUP($G219,為替!$A:$AX,$L219,FALSE))+$K$3,IF(OR($L219="",$L219="-"),"",VLOOKUP($G219,為替!$A:$AX,$L219,FALSE)))</f>
        <v/>
      </c>
      <c r="N219" s="204" t="str">
        <f t="shared" si="22"/>
        <v/>
      </c>
      <c r="O219" s="205" t="str">
        <f t="shared" si="18"/>
        <v/>
      </c>
      <c r="P219" s="206" t="str">
        <f t="shared" si="23"/>
        <v/>
      </c>
    </row>
    <row r="220" spans="3:16" x14ac:dyDescent="0.4">
      <c r="C220" s="199"/>
      <c r="D220" s="200"/>
      <c r="E220" s="201"/>
      <c r="F220" s="199"/>
      <c r="H220" s="202"/>
      <c r="I220" s="185" t="str">
        <f t="shared" si="19"/>
        <v/>
      </c>
      <c r="J220" s="203" t="str">
        <f>IF($H220="USD",IF(OR($I220="",$I220="-"),"",VLOOKUP($G220,為替!$A:$AX,$I220,FALSE))+$J$3,IF(OR($I220="",$I220="-"),"",VLOOKUP($G220,為替!$A:$AX,$I220,FALSE)))</f>
        <v/>
      </c>
      <c r="K220" s="204" t="str">
        <f t="shared" si="20"/>
        <v/>
      </c>
      <c r="L220" s="188" t="str">
        <f t="shared" si="21"/>
        <v/>
      </c>
      <c r="M220" s="203" t="str">
        <f>IF($H220="USD",IF(OR($L220="",$L220="-"),"",VLOOKUP($G220,為替!$A:$AX,$L220,FALSE))+$K$3,IF(OR($L220="",$L220="-"),"",VLOOKUP($G220,為替!$A:$AX,$L220,FALSE)))</f>
        <v/>
      </c>
      <c r="N220" s="204" t="str">
        <f t="shared" si="22"/>
        <v/>
      </c>
      <c r="O220" s="205" t="str">
        <f t="shared" si="18"/>
        <v/>
      </c>
      <c r="P220" s="206" t="str">
        <f t="shared" si="23"/>
        <v/>
      </c>
    </row>
    <row r="221" spans="3:16" x14ac:dyDescent="0.4">
      <c r="C221" s="199"/>
      <c r="D221" s="200"/>
      <c r="E221" s="201"/>
      <c r="F221" s="199"/>
      <c r="H221" s="202"/>
      <c r="I221" s="185" t="str">
        <f t="shared" si="19"/>
        <v/>
      </c>
      <c r="J221" s="203" t="str">
        <f>IF($H221="USD",IF(OR($I221="",$I221="-"),"",VLOOKUP($G221,為替!$A:$AX,$I221,FALSE))+$J$3,IF(OR($I221="",$I221="-"),"",VLOOKUP($G221,為替!$A:$AX,$I221,FALSE)))</f>
        <v/>
      </c>
      <c r="K221" s="204" t="str">
        <f t="shared" si="20"/>
        <v/>
      </c>
      <c r="L221" s="188" t="str">
        <f t="shared" si="21"/>
        <v/>
      </c>
      <c r="M221" s="203" t="str">
        <f>IF($H221="USD",IF(OR($L221="",$L221="-"),"",VLOOKUP($G221,為替!$A:$AX,$L221,FALSE))+$K$3,IF(OR($L221="",$L221="-"),"",VLOOKUP($G221,為替!$A:$AX,$L221,FALSE)))</f>
        <v/>
      </c>
      <c r="N221" s="204" t="str">
        <f t="shared" si="22"/>
        <v/>
      </c>
      <c r="O221" s="205" t="str">
        <f t="shared" si="18"/>
        <v/>
      </c>
      <c r="P221" s="206" t="str">
        <f t="shared" si="23"/>
        <v/>
      </c>
    </row>
    <row r="222" spans="3:16" x14ac:dyDescent="0.4">
      <c r="C222" s="199"/>
      <c r="D222" s="200"/>
      <c r="E222" s="201"/>
      <c r="F222" s="199"/>
      <c r="H222" s="202"/>
      <c r="I222" s="185" t="str">
        <f t="shared" si="19"/>
        <v/>
      </c>
      <c r="J222" s="203" t="str">
        <f>IF($H222="USD",IF(OR($I222="",$I222="-"),"",VLOOKUP($G222,為替!$A:$AX,$I222,FALSE))+$J$3,IF(OR($I222="",$I222="-"),"",VLOOKUP($G222,為替!$A:$AX,$I222,FALSE)))</f>
        <v/>
      </c>
      <c r="K222" s="204" t="str">
        <f t="shared" si="20"/>
        <v/>
      </c>
      <c r="L222" s="188" t="str">
        <f t="shared" si="21"/>
        <v/>
      </c>
      <c r="M222" s="203" t="str">
        <f>IF($H222="USD",IF(OR($L222="",$L222="-"),"",VLOOKUP($G222,為替!$A:$AX,$L222,FALSE))+$K$3,IF(OR($L222="",$L222="-"),"",VLOOKUP($G222,為替!$A:$AX,$L222,FALSE)))</f>
        <v/>
      </c>
      <c r="N222" s="204" t="str">
        <f t="shared" si="22"/>
        <v/>
      </c>
      <c r="O222" s="205" t="str">
        <f t="shared" si="18"/>
        <v/>
      </c>
      <c r="P222" s="206" t="str">
        <f t="shared" si="23"/>
        <v/>
      </c>
    </row>
    <row r="223" spans="3:16" x14ac:dyDescent="0.4">
      <c r="C223" s="199"/>
      <c r="D223" s="200"/>
      <c r="E223" s="201"/>
      <c r="F223" s="199"/>
      <c r="H223" s="202"/>
      <c r="I223" s="185" t="str">
        <f t="shared" si="19"/>
        <v/>
      </c>
      <c r="J223" s="203" t="str">
        <f>IF($H223="USD",IF(OR($I223="",$I223="-"),"",VLOOKUP($G223,為替!$A:$AX,$I223,FALSE))+$J$3,IF(OR($I223="",$I223="-"),"",VLOOKUP($G223,為替!$A:$AX,$I223,FALSE)))</f>
        <v/>
      </c>
      <c r="K223" s="204" t="str">
        <f t="shared" si="20"/>
        <v/>
      </c>
      <c r="L223" s="188" t="str">
        <f t="shared" si="21"/>
        <v/>
      </c>
      <c r="M223" s="203" t="str">
        <f>IF($H223="USD",IF(OR($L223="",$L223="-"),"",VLOOKUP($G223,為替!$A:$AX,$L223,FALSE))+$K$3,IF(OR($L223="",$L223="-"),"",VLOOKUP($G223,為替!$A:$AX,$L223,FALSE)))</f>
        <v/>
      </c>
      <c r="N223" s="204" t="str">
        <f t="shared" si="22"/>
        <v/>
      </c>
      <c r="O223" s="205" t="str">
        <f t="shared" si="18"/>
        <v/>
      </c>
      <c r="P223" s="206" t="str">
        <f t="shared" si="23"/>
        <v/>
      </c>
    </row>
    <row r="224" spans="3:16" x14ac:dyDescent="0.4">
      <c r="C224" s="199"/>
      <c r="D224" s="200"/>
      <c r="E224" s="201"/>
      <c r="F224" s="199"/>
      <c r="H224" s="202"/>
      <c r="I224" s="185" t="str">
        <f t="shared" si="19"/>
        <v/>
      </c>
      <c r="J224" s="203" t="str">
        <f>IF($H224="USD",IF(OR($I224="",$I224="-"),"",VLOOKUP($G224,為替!$A:$AX,$I224,FALSE))+$J$3,IF(OR($I224="",$I224="-"),"",VLOOKUP($G224,為替!$A:$AX,$I224,FALSE)))</f>
        <v/>
      </c>
      <c r="K224" s="204" t="str">
        <f t="shared" si="20"/>
        <v/>
      </c>
      <c r="L224" s="188" t="str">
        <f t="shared" si="21"/>
        <v/>
      </c>
      <c r="M224" s="203" t="str">
        <f>IF($H224="USD",IF(OR($L224="",$L224="-"),"",VLOOKUP($G224,為替!$A:$AX,$L224,FALSE))+$K$3,IF(OR($L224="",$L224="-"),"",VLOOKUP($G224,為替!$A:$AX,$L224,FALSE)))</f>
        <v/>
      </c>
      <c r="N224" s="204" t="str">
        <f t="shared" si="22"/>
        <v/>
      </c>
      <c r="O224" s="205" t="str">
        <f t="shared" si="18"/>
        <v/>
      </c>
      <c r="P224" s="206" t="str">
        <f t="shared" si="23"/>
        <v/>
      </c>
    </row>
    <row r="225" spans="3:16" x14ac:dyDescent="0.4">
      <c r="C225" s="199"/>
      <c r="D225" s="200"/>
      <c r="E225" s="201"/>
      <c r="F225" s="199"/>
      <c r="H225" s="202"/>
      <c r="I225" s="185" t="str">
        <f t="shared" si="19"/>
        <v/>
      </c>
      <c r="J225" s="203" t="str">
        <f>IF($H225="USD",IF(OR($I225="",$I225="-"),"",VLOOKUP($G225,為替!$A:$AX,$I225,FALSE))+$J$3,IF(OR($I225="",$I225="-"),"",VLOOKUP($G225,為替!$A:$AX,$I225,FALSE)))</f>
        <v/>
      </c>
      <c r="K225" s="204" t="str">
        <f t="shared" si="20"/>
        <v/>
      </c>
      <c r="L225" s="188" t="str">
        <f t="shared" si="21"/>
        <v/>
      </c>
      <c r="M225" s="203" t="str">
        <f>IF($H225="USD",IF(OR($L225="",$L225="-"),"",VLOOKUP($G225,為替!$A:$AX,$L225,FALSE))+$K$3,IF(OR($L225="",$L225="-"),"",VLOOKUP($G225,為替!$A:$AX,$L225,FALSE)))</f>
        <v/>
      </c>
      <c r="N225" s="204" t="str">
        <f t="shared" si="22"/>
        <v/>
      </c>
      <c r="O225" s="205" t="str">
        <f t="shared" si="18"/>
        <v/>
      </c>
      <c r="P225" s="206" t="str">
        <f t="shared" si="23"/>
        <v/>
      </c>
    </row>
    <row r="226" spans="3:16" x14ac:dyDescent="0.4">
      <c r="C226" s="199"/>
      <c r="D226" s="200"/>
      <c r="E226" s="201"/>
      <c r="F226" s="199"/>
      <c r="H226" s="202"/>
      <c r="I226" s="185" t="str">
        <f t="shared" si="19"/>
        <v/>
      </c>
      <c r="J226" s="203" t="str">
        <f>IF($H226="USD",IF(OR($I226="",$I226="-"),"",VLOOKUP($G226,為替!$A:$AX,$I226,FALSE))+$J$3,IF(OR($I226="",$I226="-"),"",VLOOKUP($G226,為替!$A:$AX,$I226,FALSE)))</f>
        <v/>
      </c>
      <c r="K226" s="204" t="str">
        <f t="shared" si="20"/>
        <v/>
      </c>
      <c r="L226" s="188" t="str">
        <f t="shared" si="21"/>
        <v/>
      </c>
      <c r="M226" s="203" t="str">
        <f>IF($H226="USD",IF(OR($L226="",$L226="-"),"",VLOOKUP($G226,為替!$A:$AX,$L226,FALSE))+$K$3,IF(OR($L226="",$L226="-"),"",VLOOKUP($G226,為替!$A:$AX,$L226,FALSE)))</f>
        <v/>
      </c>
      <c r="N226" s="204" t="str">
        <f t="shared" si="22"/>
        <v/>
      </c>
      <c r="O226" s="205" t="str">
        <f t="shared" si="18"/>
        <v/>
      </c>
      <c r="P226" s="206" t="str">
        <f t="shared" si="23"/>
        <v/>
      </c>
    </row>
    <row r="227" spans="3:16" x14ac:dyDescent="0.4">
      <c r="C227" s="199"/>
      <c r="D227" s="200"/>
      <c r="E227" s="201"/>
      <c r="F227" s="199"/>
      <c r="H227" s="202"/>
      <c r="I227" s="185" t="str">
        <f t="shared" si="19"/>
        <v/>
      </c>
      <c r="J227" s="203" t="str">
        <f>IF($H227="USD",IF(OR($I227="",$I227="-"),"",VLOOKUP($G227,為替!$A:$AX,$I227,FALSE))+$J$3,IF(OR($I227="",$I227="-"),"",VLOOKUP($G227,為替!$A:$AX,$I227,FALSE)))</f>
        <v/>
      </c>
      <c r="K227" s="204" t="str">
        <f t="shared" si="20"/>
        <v/>
      </c>
      <c r="L227" s="188" t="str">
        <f t="shared" si="21"/>
        <v/>
      </c>
      <c r="M227" s="203" t="str">
        <f>IF($H227="USD",IF(OR($L227="",$L227="-"),"",VLOOKUP($G227,為替!$A:$AX,$L227,FALSE))+$K$3,IF(OR($L227="",$L227="-"),"",VLOOKUP($G227,為替!$A:$AX,$L227,FALSE)))</f>
        <v/>
      </c>
      <c r="N227" s="204" t="str">
        <f t="shared" si="22"/>
        <v/>
      </c>
      <c r="O227" s="205" t="str">
        <f t="shared" si="18"/>
        <v/>
      </c>
      <c r="P227" s="206" t="str">
        <f t="shared" si="23"/>
        <v/>
      </c>
    </row>
    <row r="228" spans="3:16" x14ac:dyDescent="0.4">
      <c r="C228" s="199"/>
      <c r="D228" s="200"/>
      <c r="E228" s="201"/>
      <c r="F228" s="199"/>
      <c r="H228" s="202"/>
      <c r="I228" s="185" t="str">
        <f t="shared" si="19"/>
        <v/>
      </c>
      <c r="J228" s="203" t="str">
        <f>IF($H228="USD",IF(OR($I228="",$I228="-"),"",VLOOKUP($G228,為替!$A:$AX,$I228,FALSE))+$J$3,IF(OR($I228="",$I228="-"),"",VLOOKUP($G228,為替!$A:$AX,$I228,FALSE)))</f>
        <v/>
      </c>
      <c r="K228" s="204" t="str">
        <f t="shared" si="20"/>
        <v/>
      </c>
      <c r="L228" s="188" t="str">
        <f t="shared" si="21"/>
        <v/>
      </c>
      <c r="M228" s="203" t="str">
        <f>IF($H228="USD",IF(OR($L228="",$L228="-"),"",VLOOKUP($G228,為替!$A:$AX,$L228,FALSE))+$K$3,IF(OR($L228="",$L228="-"),"",VLOOKUP($G228,為替!$A:$AX,$L228,FALSE)))</f>
        <v/>
      </c>
      <c r="N228" s="204" t="str">
        <f t="shared" si="22"/>
        <v/>
      </c>
      <c r="O228" s="205" t="str">
        <f t="shared" si="18"/>
        <v/>
      </c>
      <c r="P228" s="206" t="str">
        <f t="shared" si="23"/>
        <v/>
      </c>
    </row>
    <row r="229" spans="3:16" x14ac:dyDescent="0.4">
      <c r="C229" s="199"/>
      <c r="D229" s="200"/>
      <c r="E229" s="201"/>
      <c r="F229" s="199"/>
      <c r="H229" s="202"/>
      <c r="I229" s="185" t="str">
        <f t="shared" si="19"/>
        <v/>
      </c>
      <c r="J229" s="203" t="str">
        <f>IF($H229="USD",IF(OR($I229="",$I229="-"),"",VLOOKUP($G229,為替!$A:$AX,$I229,FALSE))+$J$3,IF(OR($I229="",$I229="-"),"",VLOOKUP($G229,為替!$A:$AX,$I229,FALSE)))</f>
        <v/>
      </c>
      <c r="K229" s="204" t="str">
        <f t="shared" si="20"/>
        <v/>
      </c>
      <c r="L229" s="188" t="str">
        <f t="shared" si="21"/>
        <v/>
      </c>
      <c r="M229" s="203" t="str">
        <f>IF($H229="USD",IF(OR($L229="",$L229="-"),"",VLOOKUP($G229,為替!$A:$AX,$L229,FALSE))+$K$3,IF(OR($L229="",$L229="-"),"",VLOOKUP($G229,為替!$A:$AX,$L229,FALSE)))</f>
        <v/>
      </c>
      <c r="N229" s="204" t="str">
        <f t="shared" si="22"/>
        <v/>
      </c>
      <c r="O229" s="205" t="str">
        <f t="shared" si="18"/>
        <v/>
      </c>
      <c r="P229" s="206" t="str">
        <f t="shared" si="23"/>
        <v/>
      </c>
    </row>
    <row r="230" spans="3:16" x14ac:dyDescent="0.4">
      <c r="C230" s="199"/>
      <c r="D230" s="200"/>
      <c r="E230" s="201"/>
      <c r="F230" s="199"/>
      <c r="H230" s="202"/>
      <c r="I230" s="185" t="str">
        <f t="shared" si="19"/>
        <v/>
      </c>
      <c r="J230" s="203" t="str">
        <f>IF($H230="USD",IF(OR($I230="",$I230="-"),"",VLOOKUP($G230,為替!$A:$AX,$I230,FALSE))+$J$3,IF(OR($I230="",$I230="-"),"",VLOOKUP($G230,為替!$A:$AX,$I230,FALSE)))</f>
        <v/>
      </c>
      <c r="K230" s="204" t="str">
        <f t="shared" si="20"/>
        <v/>
      </c>
      <c r="L230" s="188" t="str">
        <f t="shared" si="21"/>
        <v/>
      </c>
      <c r="M230" s="203" t="str">
        <f>IF($H230="USD",IF(OR($L230="",$L230="-"),"",VLOOKUP($G230,為替!$A:$AX,$L230,FALSE))+$K$3,IF(OR($L230="",$L230="-"),"",VLOOKUP($G230,為替!$A:$AX,$L230,FALSE)))</f>
        <v/>
      </c>
      <c r="N230" s="204" t="str">
        <f t="shared" si="22"/>
        <v/>
      </c>
      <c r="O230" s="205" t="str">
        <f t="shared" si="18"/>
        <v/>
      </c>
      <c r="P230" s="206" t="str">
        <f t="shared" si="23"/>
        <v/>
      </c>
    </row>
    <row r="231" spans="3:16" x14ac:dyDescent="0.4">
      <c r="C231" s="199"/>
      <c r="D231" s="200"/>
      <c r="E231" s="201"/>
      <c r="F231" s="199"/>
      <c r="H231" s="202"/>
      <c r="I231" s="185" t="str">
        <f t="shared" si="19"/>
        <v/>
      </c>
      <c r="J231" s="203" t="str">
        <f>IF($H231="USD",IF(OR($I231="",$I231="-"),"",VLOOKUP($G231,為替!$A:$AX,$I231,FALSE))+$J$3,IF(OR($I231="",$I231="-"),"",VLOOKUP($G231,為替!$A:$AX,$I231,FALSE)))</f>
        <v/>
      </c>
      <c r="K231" s="204" t="str">
        <f t="shared" si="20"/>
        <v/>
      </c>
      <c r="L231" s="188" t="str">
        <f t="shared" si="21"/>
        <v/>
      </c>
      <c r="M231" s="203" t="str">
        <f>IF($H231="USD",IF(OR($L231="",$L231="-"),"",VLOOKUP($G231,為替!$A:$AX,$L231,FALSE))+$K$3,IF(OR($L231="",$L231="-"),"",VLOOKUP($G231,為替!$A:$AX,$L231,FALSE)))</f>
        <v/>
      </c>
      <c r="N231" s="204" t="str">
        <f t="shared" si="22"/>
        <v/>
      </c>
      <c r="O231" s="205" t="str">
        <f t="shared" si="18"/>
        <v/>
      </c>
      <c r="P231" s="206" t="str">
        <f t="shared" si="23"/>
        <v/>
      </c>
    </row>
    <row r="232" spans="3:16" x14ac:dyDescent="0.4">
      <c r="C232" s="199"/>
      <c r="D232" s="200"/>
      <c r="E232" s="201"/>
      <c r="F232" s="199"/>
      <c r="H232" s="202"/>
      <c r="I232" s="185" t="str">
        <f t="shared" si="19"/>
        <v/>
      </c>
      <c r="J232" s="203" t="str">
        <f>IF($H232="USD",IF(OR($I232="",$I232="-"),"",VLOOKUP($G232,為替!$A:$AX,$I232,FALSE))+$J$3,IF(OR($I232="",$I232="-"),"",VLOOKUP($G232,為替!$A:$AX,$I232,FALSE)))</f>
        <v/>
      </c>
      <c r="K232" s="204" t="str">
        <f t="shared" si="20"/>
        <v/>
      </c>
      <c r="L232" s="188" t="str">
        <f t="shared" si="21"/>
        <v/>
      </c>
      <c r="M232" s="203" t="str">
        <f>IF($H232="USD",IF(OR($L232="",$L232="-"),"",VLOOKUP($G232,為替!$A:$AX,$L232,FALSE))+$K$3,IF(OR($L232="",$L232="-"),"",VLOOKUP($G232,為替!$A:$AX,$L232,FALSE)))</f>
        <v/>
      </c>
      <c r="N232" s="204" t="str">
        <f t="shared" si="22"/>
        <v/>
      </c>
      <c r="O232" s="205" t="str">
        <f t="shared" si="18"/>
        <v/>
      </c>
      <c r="P232" s="206" t="str">
        <f t="shared" si="23"/>
        <v/>
      </c>
    </row>
    <row r="233" spans="3:16" x14ac:dyDescent="0.4">
      <c r="C233" s="199"/>
      <c r="D233" s="200"/>
      <c r="E233" s="201"/>
      <c r="F233" s="199"/>
      <c r="H233" s="202"/>
      <c r="I233" s="185" t="str">
        <f t="shared" si="19"/>
        <v/>
      </c>
      <c r="J233" s="203" t="str">
        <f>IF($H233="USD",IF(OR($I233="",$I233="-"),"",VLOOKUP($G233,為替!$A:$AX,$I233,FALSE))+$J$3,IF(OR($I233="",$I233="-"),"",VLOOKUP($G233,為替!$A:$AX,$I233,FALSE)))</f>
        <v/>
      </c>
      <c r="K233" s="204" t="str">
        <f t="shared" si="20"/>
        <v/>
      </c>
      <c r="L233" s="188" t="str">
        <f t="shared" si="21"/>
        <v/>
      </c>
      <c r="M233" s="203" t="str">
        <f>IF($H233="USD",IF(OR($L233="",$L233="-"),"",VLOOKUP($G233,為替!$A:$AX,$L233,FALSE))+$K$3,IF(OR($L233="",$L233="-"),"",VLOOKUP($G233,為替!$A:$AX,$L233,FALSE)))</f>
        <v/>
      </c>
      <c r="N233" s="204" t="str">
        <f t="shared" si="22"/>
        <v/>
      </c>
      <c r="O233" s="205" t="str">
        <f t="shared" si="18"/>
        <v/>
      </c>
      <c r="P233" s="206" t="str">
        <f t="shared" si="23"/>
        <v/>
      </c>
    </row>
    <row r="234" spans="3:16" x14ac:dyDescent="0.4">
      <c r="C234" s="199"/>
      <c r="D234" s="200"/>
      <c r="E234" s="201"/>
      <c r="F234" s="199"/>
      <c r="H234" s="202"/>
      <c r="I234" s="185" t="str">
        <f t="shared" si="19"/>
        <v/>
      </c>
      <c r="J234" s="203" t="str">
        <f>IF($H234="USD",IF(OR($I234="",$I234="-"),"",VLOOKUP($G234,為替!$A:$AX,$I234,FALSE))+$J$3,IF(OR($I234="",$I234="-"),"",VLOOKUP($G234,為替!$A:$AX,$I234,FALSE)))</f>
        <v/>
      </c>
      <c r="K234" s="204" t="str">
        <f t="shared" si="20"/>
        <v/>
      </c>
      <c r="L234" s="188" t="str">
        <f t="shared" si="21"/>
        <v/>
      </c>
      <c r="M234" s="203" t="str">
        <f>IF($H234="USD",IF(OR($L234="",$L234="-"),"",VLOOKUP($G234,為替!$A:$AX,$L234,FALSE))+$K$3,IF(OR($L234="",$L234="-"),"",VLOOKUP($G234,為替!$A:$AX,$L234,FALSE)))</f>
        <v/>
      </c>
      <c r="N234" s="204" t="str">
        <f t="shared" si="22"/>
        <v/>
      </c>
      <c r="O234" s="205" t="str">
        <f t="shared" si="18"/>
        <v/>
      </c>
      <c r="P234" s="206" t="str">
        <f t="shared" si="23"/>
        <v/>
      </c>
    </row>
    <row r="235" spans="3:16" x14ac:dyDescent="0.4">
      <c r="C235" s="199"/>
      <c r="D235" s="200"/>
      <c r="E235" s="201"/>
      <c r="F235" s="199"/>
      <c r="H235" s="202"/>
      <c r="I235" s="185" t="str">
        <f t="shared" si="19"/>
        <v/>
      </c>
      <c r="J235" s="203" t="str">
        <f>IF($H235="USD",IF(OR($I235="",$I235="-"),"",VLOOKUP($G235,為替!$A:$AX,$I235,FALSE))+$J$3,IF(OR($I235="",$I235="-"),"",VLOOKUP($G235,為替!$A:$AX,$I235,FALSE)))</f>
        <v/>
      </c>
      <c r="K235" s="204" t="str">
        <f t="shared" si="20"/>
        <v/>
      </c>
      <c r="L235" s="188" t="str">
        <f t="shared" si="21"/>
        <v/>
      </c>
      <c r="M235" s="203" t="str">
        <f>IF($H235="USD",IF(OR($L235="",$L235="-"),"",VLOOKUP($G235,為替!$A:$AX,$L235,FALSE))+$K$3,IF(OR($L235="",$L235="-"),"",VLOOKUP($G235,為替!$A:$AX,$L235,FALSE)))</f>
        <v/>
      </c>
      <c r="N235" s="204" t="str">
        <f t="shared" si="22"/>
        <v/>
      </c>
      <c r="O235" s="205" t="str">
        <f t="shared" si="18"/>
        <v/>
      </c>
      <c r="P235" s="206" t="str">
        <f t="shared" si="23"/>
        <v/>
      </c>
    </row>
    <row r="236" spans="3:16" x14ac:dyDescent="0.4">
      <c r="C236" s="199"/>
      <c r="D236" s="200"/>
      <c r="E236" s="201"/>
      <c r="F236" s="199"/>
      <c r="H236" s="202"/>
      <c r="I236" s="185" t="str">
        <f t="shared" si="19"/>
        <v/>
      </c>
      <c r="J236" s="203" t="str">
        <f>IF($H236="USD",IF(OR($I236="",$I236="-"),"",VLOOKUP($G236,為替!$A:$AX,$I236,FALSE))+$J$3,IF(OR($I236="",$I236="-"),"",VLOOKUP($G236,為替!$A:$AX,$I236,FALSE)))</f>
        <v/>
      </c>
      <c r="K236" s="204" t="str">
        <f t="shared" si="20"/>
        <v/>
      </c>
      <c r="L236" s="188" t="str">
        <f t="shared" si="21"/>
        <v/>
      </c>
      <c r="M236" s="203" t="str">
        <f>IF($H236="USD",IF(OR($L236="",$L236="-"),"",VLOOKUP($G236,為替!$A:$AX,$L236,FALSE))+$K$3,IF(OR($L236="",$L236="-"),"",VLOOKUP($G236,為替!$A:$AX,$L236,FALSE)))</f>
        <v/>
      </c>
      <c r="N236" s="204" t="str">
        <f t="shared" si="22"/>
        <v/>
      </c>
      <c r="O236" s="205" t="str">
        <f t="shared" si="18"/>
        <v/>
      </c>
      <c r="P236" s="206" t="str">
        <f t="shared" si="23"/>
        <v/>
      </c>
    </row>
    <row r="237" spans="3:16" x14ac:dyDescent="0.4">
      <c r="C237" s="199"/>
      <c r="D237" s="200"/>
      <c r="E237" s="201"/>
      <c r="F237" s="199"/>
      <c r="H237" s="202"/>
      <c r="I237" s="185" t="str">
        <f t="shared" si="19"/>
        <v/>
      </c>
      <c r="J237" s="203" t="str">
        <f>IF($H237="USD",IF(OR($I237="",$I237="-"),"",VLOOKUP($G237,為替!$A:$AX,$I237,FALSE))+$J$3,IF(OR($I237="",$I237="-"),"",VLOOKUP($G237,為替!$A:$AX,$I237,FALSE)))</f>
        <v/>
      </c>
      <c r="K237" s="204" t="str">
        <f t="shared" si="20"/>
        <v/>
      </c>
      <c r="L237" s="188" t="str">
        <f t="shared" si="21"/>
        <v/>
      </c>
      <c r="M237" s="203" t="str">
        <f>IF($H237="USD",IF(OR($L237="",$L237="-"),"",VLOOKUP($G237,為替!$A:$AX,$L237,FALSE))+$K$3,IF(OR($L237="",$L237="-"),"",VLOOKUP($G237,為替!$A:$AX,$L237,FALSE)))</f>
        <v/>
      </c>
      <c r="N237" s="204" t="str">
        <f t="shared" si="22"/>
        <v/>
      </c>
      <c r="O237" s="205" t="str">
        <f t="shared" si="18"/>
        <v/>
      </c>
      <c r="P237" s="206" t="str">
        <f t="shared" si="23"/>
        <v/>
      </c>
    </row>
    <row r="238" spans="3:16" x14ac:dyDescent="0.4">
      <c r="C238" s="199"/>
      <c r="D238" s="200"/>
      <c r="E238" s="201"/>
      <c r="F238" s="199"/>
      <c r="H238" s="202"/>
      <c r="I238" s="185" t="str">
        <f t="shared" si="19"/>
        <v/>
      </c>
      <c r="J238" s="203" t="str">
        <f>IF($H238="USD",IF(OR($I238="",$I238="-"),"",VLOOKUP($G238,為替!$A:$AX,$I238,FALSE))+$J$3,IF(OR($I238="",$I238="-"),"",VLOOKUP($G238,為替!$A:$AX,$I238,FALSE)))</f>
        <v/>
      </c>
      <c r="K238" s="204" t="str">
        <f t="shared" si="20"/>
        <v/>
      </c>
      <c r="L238" s="188" t="str">
        <f t="shared" si="21"/>
        <v/>
      </c>
      <c r="M238" s="203" t="str">
        <f>IF($H238="USD",IF(OR($L238="",$L238="-"),"",VLOOKUP($G238,為替!$A:$AX,$L238,FALSE))+$K$3,IF(OR($L238="",$L238="-"),"",VLOOKUP($G238,為替!$A:$AX,$L238,FALSE)))</f>
        <v/>
      </c>
      <c r="N238" s="204" t="str">
        <f t="shared" si="22"/>
        <v/>
      </c>
      <c r="O238" s="205" t="str">
        <f t="shared" si="18"/>
        <v/>
      </c>
      <c r="P238" s="206" t="str">
        <f t="shared" si="23"/>
        <v/>
      </c>
    </row>
    <row r="239" spans="3:16" x14ac:dyDescent="0.4">
      <c r="C239" s="199"/>
      <c r="D239" s="200"/>
      <c r="E239" s="201"/>
      <c r="F239" s="199"/>
      <c r="H239" s="202"/>
      <c r="I239" s="185" t="str">
        <f t="shared" si="19"/>
        <v/>
      </c>
      <c r="J239" s="203" t="str">
        <f>IF($H239="USD",IF(OR($I239="",$I239="-"),"",VLOOKUP($G239,為替!$A:$AX,$I239,FALSE))+$J$3,IF(OR($I239="",$I239="-"),"",VLOOKUP($G239,為替!$A:$AX,$I239,FALSE)))</f>
        <v/>
      </c>
      <c r="K239" s="204" t="str">
        <f t="shared" si="20"/>
        <v/>
      </c>
      <c r="L239" s="188" t="str">
        <f t="shared" si="21"/>
        <v/>
      </c>
      <c r="M239" s="203" t="str">
        <f>IF($H239="USD",IF(OR($L239="",$L239="-"),"",VLOOKUP($G239,為替!$A:$AX,$L239,FALSE))+$K$3,IF(OR($L239="",$L239="-"),"",VLOOKUP($G239,為替!$A:$AX,$L239,FALSE)))</f>
        <v/>
      </c>
      <c r="N239" s="204" t="str">
        <f t="shared" si="22"/>
        <v/>
      </c>
      <c r="O239" s="205" t="str">
        <f t="shared" si="18"/>
        <v/>
      </c>
      <c r="P239" s="206" t="str">
        <f t="shared" si="23"/>
        <v/>
      </c>
    </row>
    <row r="240" spans="3:16" x14ac:dyDescent="0.4">
      <c r="C240" s="199"/>
      <c r="D240" s="200"/>
      <c r="E240" s="201"/>
      <c r="F240" s="199"/>
      <c r="H240" s="202"/>
      <c r="I240" s="185" t="str">
        <f t="shared" si="19"/>
        <v/>
      </c>
      <c r="J240" s="203" t="str">
        <f>IF($H240="USD",IF(OR($I240="",$I240="-"),"",VLOOKUP($G240,為替!$A:$AX,$I240,FALSE))+$J$3,IF(OR($I240="",$I240="-"),"",VLOOKUP($G240,為替!$A:$AX,$I240,FALSE)))</f>
        <v/>
      </c>
      <c r="K240" s="204" t="str">
        <f t="shared" si="20"/>
        <v/>
      </c>
      <c r="L240" s="188" t="str">
        <f t="shared" si="21"/>
        <v/>
      </c>
      <c r="M240" s="203" t="str">
        <f>IF($H240="USD",IF(OR($L240="",$L240="-"),"",VLOOKUP($G240,為替!$A:$AX,$L240,FALSE))+$K$3,IF(OR($L240="",$L240="-"),"",VLOOKUP($G240,為替!$A:$AX,$L240,FALSE)))</f>
        <v/>
      </c>
      <c r="N240" s="204" t="str">
        <f t="shared" si="22"/>
        <v/>
      </c>
      <c r="O240" s="205" t="str">
        <f t="shared" si="18"/>
        <v/>
      </c>
      <c r="P240" s="206" t="str">
        <f t="shared" si="23"/>
        <v/>
      </c>
    </row>
    <row r="241" spans="3:16" x14ac:dyDescent="0.4">
      <c r="C241" s="199"/>
      <c r="D241" s="200"/>
      <c r="E241" s="201"/>
      <c r="F241" s="199"/>
      <c r="H241" s="202"/>
      <c r="I241" s="185" t="str">
        <f t="shared" si="19"/>
        <v/>
      </c>
      <c r="J241" s="203" t="str">
        <f>IF($H241="USD",IF(OR($I241="",$I241="-"),"",VLOOKUP($G241,為替!$A:$AX,$I241,FALSE))+$J$3,IF(OR($I241="",$I241="-"),"",VLOOKUP($G241,為替!$A:$AX,$I241,FALSE)))</f>
        <v/>
      </c>
      <c r="K241" s="204" t="str">
        <f t="shared" si="20"/>
        <v/>
      </c>
      <c r="L241" s="188" t="str">
        <f t="shared" si="21"/>
        <v/>
      </c>
      <c r="M241" s="203" t="str">
        <f>IF($H241="USD",IF(OR($L241="",$L241="-"),"",VLOOKUP($G241,為替!$A:$AX,$L241,FALSE))+$K$3,IF(OR($L241="",$L241="-"),"",VLOOKUP($G241,為替!$A:$AX,$L241,FALSE)))</f>
        <v/>
      </c>
      <c r="N241" s="204" t="str">
        <f t="shared" si="22"/>
        <v/>
      </c>
      <c r="O241" s="205" t="str">
        <f t="shared" si="18"/>
        <v/>
      </c>
      <c r="P241" s="206" t="str">
        <f t="shared" si="23"/>
        <v/>
      </c>
    </row>
    <row r="242" spans="3:16" x14ac:dyDescent="0.4">
      <c r="C242" s="199"/>
      <c r="D242" s="200"/>
      <c r="E242" s="201"/>
      <c r="F242" s="199"/>
      <c r="H242" s="202"/>
      <c r="I242" s="185" t="str">
        <f t="shared" si="19"/>
        <v/>
      </c>
      <c r="J242" s="203" t="str">
        <f>IF($H242="USD",IF(OR($I242="",$I242="-"),"",VLOOKUP($G242,為替!$A:$AX,$I242,FALSE))+$J$3,IF(OR($I242="",$I242="-"),"",VLOOKUP($G242,為替!$A:$AX,$I242,FALSE)))</f>
        <v/>
      </c>
      <c r="K242" s="204" t="str">
        <f t="shared" si="20"/>
        <v/>
      </c>
      <c r="L242" s="188" t="str">
        <f t="shared" si="21"/>
        <v/>
      </c>
      <c r="M242" s="203" t="str">
        <f>IF($H242="USD",IF(OR($L242="",$L242="-"),"",VLOOKUP($G242,為替!$A:$AX,$L242,FALSE))+$K$3,IF(OR($L242="",$L242="-"),"",VLOOKUP($G242,為替!$A:$AX,$L242,FALSE)))</f>
        <v/>
      </c>
      <c r="N242" s="204" t="str">
        <f t="shared" si="22"/>
        <v/>
      </c>
      <c r="O242" s="205" t="str">
        <f t="shared" si="18"/>
        <v/>
      </c>
      <c r="P242" s="206" t="str">
        <f t="shared" si="23"/>
        <v/>
      </c>
    </row>
    <row r="243" spans="3:16" x14ac:dyDescent="0.4">
      <c r="C243" s="199"/>
      <c r="D243" s="200"/>
      <c r="E243" s="201"/>
      <c r="F243" s="199"/>
      <c r="H243" s="202"/>
      <c r="I243" s="185" t="str">
        <f t="shared" si="19"/>
        <v/>
      </c>
      <c r="J243" s="203" t="str">
        <f>IF($H243="USD",IF(OR($I243="",$I243="-"),"",VLOOKUP($G243,為替!$A:$AX,$I243,FALSE))+$J$3,IF(OR($I243="",$I243="-"),"",VLOOKUP($G243,為替!$A:$AX,$I243,FALSE)))</f>
        <v/>
      </c>
      <c r="K243" s="204" t="str">
        <f t="shared" si="20"/>
        <v/>
      </c>
      <c r="L243" s="188" t="str">
        <f t="shared" si="21"/>
        <v/>
      </c>
      <c r="M243" s="203" t="str">
        <f>IF($H243="USD",IF(OR($L243="",$L243="-"),"",VLOOKUP($G243,為替!$A:$AX,$L243,FALSE))+$K$3,IF(OR($L243="",$L243="-"),"",VLOOKUP($G243,為替!$A:$AX,$L243,FALSE)))</f>
        <v/>
      </c>
      <c r="N243" s="204" t="str">
        <f t="shared" si="22"/>
        <v/>
      </c>
      <c r="O243" s="205" t="str">
        <f t="shared" si="18"/>
        <v/>
      </c>
      <c r="P243" s="206" t="str">
        <f t="shared" si="23"/>
        <v/>
      </c>
    </row>
    <row r="244" spans="3:16" x14ac:dyDescent="0.4">
      <c r="C244" s="199"/>
      <c r="D244" s="200"/>
      <c r="E244" s="201"/>
      <c r="F244" s="199"/>
      <c r="H244" s="202"/>
      <c r="I244" s="185" t="str">
        <f t="shared" si="19"/>
        <v/>
      </c>
      <c r="J244" s="203" t="str">
        <f>IF($H244="USD",IF(OR($I244="",$I244="-"),"",VLOOKUP($G244,為替!$A:$AX,$I244,FALSE))+$J$3,IF(OR($I244="",$I244="-"),"",VLOOKUP($G244,為替!$A:$AX,$I244,FALSE)))</f>
        <v/>
      </c>
      <c r="K244" s="204" t="str">
        <f t="shared" si="20"/>
        <v/>
      </c>
      <c r="L244" s="188" t="str">
        <f t="shared" si="21"/>
        <v/>
      </c>
      <c r="M244" s="203" t="str">
        <f>IF($H244="USD",IF(OR($L244="",$L244="-"),"",VLOOKUP($G244,為替!$A:$AX,$L244,FALSE))+$K$3,IF(OR($L244="",$L244="-"),"",VLOOKUP($G244,為替!$A:$AX,$L244,FALSE)))</f>
        <v/>
      </c>
      <c r="N244" s="204" t="str">
        <f t="shared" si="22"/>
        <v/>
      </c>
      <c r="O244" s="205" t="str">
        <f t="shared" si="18"/>
        <v/>
      </c>
      <c r="P244" s="206" t="str">
        <f t="shared" si="23"/>
        <v/>
      </c>
    </row>
    <row r="245" spans="3:16" x14ac:dyDescent="0.4">
      <c r="C245" s="199"/>
      <c r="D245" s="200"/>
      <c r="E245" s="201"/>
      <c r="F245" s="199"/>
      <c r="H245" s="202"/>
      <c r="I245" s="185" t="str">
        <f t="shared" si="19"/>
        <v/>
      </c>
      <c r="J245" s="203" t="str">
        <f>IF($H245="USD",IF(OR($I245="",$I245="-"),"",VLOOKUP($G245,為替!$A:$AX,$I245,FALSE))+$J$3,IF(OR($I245="",$I245="-"),"",VLOOKUP($G245,為替!$A:$AX,$I245,FALSE)))</f>
        <v/>
      </c>
      <c r="K245" s="204" t="str">
        <f t="shared" si="20"/>
        <v/>
      </c>
      <c r="L245" s="188" t="str">
        <f t="shared" si="21"/>
        <v/>
      </c>
      <c r="M245" s="203" t="str">
        <f>IF($H245="USD",IF(OR($L245="",$L245="-"),"",VLOOKUP($G245,為替!$A:$AX,$L245,FALSE))+$K$3,IF(OR($L245="",$L245="-"),"",VLOOKUP($G245,為替!$A:$AX,$L245,FALSE)))</f>
        <v/>
      </c>
      <c r="N245" s="204" t="str">
        <f t="shared" si="22"/>
        <v/>
      </c>
      <c r="O245" s="205" t="str">
        <f t="shared" si="18"/>
        <v/>
      </c>
      <c r="P245" s="206" t="str">
        <f t="shared" si="23"/>
        <v/>
      </c>
    </row>
    <row r="246" spans="3:16" x14ac:dyDescent="0.4">
      <c r="C246" s="199"/>
      <c r="D246" s="200"/>
      <c r="E246" s="201"/>
      <c r="F246" s="199"/>
      <c r="H246" s="202"/>
      <c r="I246" s="185" t="str">
        <f t="shared" si="19"/>
        <v/>
      </c>
      <c r="J246" s="203" t="str">
        <f>IF($H246="USD",IF(OR($I246="",$I246="-"),"",VLOOKUP($G246,為替!$A:$AX,$I246,FALSE))+$J$3,IF(OR($I246="",$I246="-"),"",VLOOKUP($G246,為替!$A:$AX,$I246,FALSE)))</f>
        <v/>
      </c>
      <c r="K246" s="204" t="str">
        <f t="shared" si="20"/>
        <v/>
      </c>
      <c r="L246" s="188" t="str">
        <f t="shared" si="21"/>
        <v/>
      </c>
      <c r="M246" s="203" t="str">
        <f>IF($H246="USD",IF(OR($L246="",$L246="-"),"",VLOOKUP($G246,為替!$A:$AX,$L246,FALSE))+$K$3,IF(OR($L246="",$L246="-"),"",VLOOKUP($G246,為替!$A:$AX,$L246,FALSE)))</f>
        <v/>
      </c>
      <c r="N246" s="204" t="str">
        <f t="shared" si="22"/>
        <v/>
      </c>
      <c r="O246" s="205" t="str">
        <f t="shared" si="18"/>
        <v/>
      </c>
      <c r="P246" s="206" t="str">
        <f t="shared" si="23"/>
        <v/>
      </c>
    </row>
    <row r="247" spans="3:16" x14ac:dyDescent="0.4">
      <c r="C247" s="199"/>
      <c r="D247" s="200"/>
      <c r="E247" s="201"/>
      <c r="F247" s="199"/>
      <c r="H247" s="202"/>
      <c r="I247" s="185" t="str">
        <f t="shared" si="19"/>
        <v/>
      </c>
      <c r="J247" s="203" t="str">
        <f>IF($H247="USD",IF(OR($I247="",$I247="-"),"",VLOOKUP($G247,為替!$A:$AX,$I247,FALSE))+$J$3,IF(OR($I247="",$I247="-"),"",VLOOKUP($G247,為替!$A:$AX,$I247,FALSE)))</f>
        <v/>
      </c>
      <c r="K247" s="204" t="str">
        <f t="shared" si="20"/>
        <v/>
      </c>
      <c r="L247" s="188" t="str">
        <f t="shared" si="21"/>
        <v/>
      </c>
      <c r="M247" s="203" t="str">
        <f>IF($H247="USD",IF(OR($L247="",$L247="-"),"",VLOOKUP($G247,為替!$A:$AX,$L247,FALSE))+$K$3,IF(OR($L247="",$L247="-"),"",VLOOKUP($G247,為替!$A:$AX,$L247,FALSE)))</f>
        <v/>
      </c>
      <c r="N247" s="204" t="str">
        <f t="shared" si="22"/>
        <v/>
      </c>
      <c r="O247" s="205" t="str">
        <f t="shared" si="18"/>
        <v/>
      </c>
      <c r="P247" s="206" t="str">
        <f t="shared" si="23"/>
        <v/>
      </c>
    </row>
    <row r="248" spans="3:16" x14ac:dyDescent="0.4">
      <c r="C248" s="199"/>
      <c r="D248" s="200"/>
      <c r="E248" s="201"/>
      <c r="F248" s="199"/>
      <c r="H248" s="202"/>
      <c r="I248" s="185" t="str">
        <f t="shared" si="19"/>
        <v/>
      </c>
      <c r="J248" s="203" t="str">
        <f>IF($H248="USD",IF(OR($I248="",$I248="-"),"",VLOOKUP($G248,為替!$A:$AX,$I248,FALSE))+$J$3,IF(OR($I248="",$I248="-"),"",VLOOKUP($G248,為替!$A:$AX,$I248,FALSE)))</f>
        <v/>
      </c>
      <c r="K248" s="204" t="str">
        <f t="shared" si="20"/>
        <v/>
      </c>
      <c r="L248" s="188" t="str">
        <f t="shared" si="21"/>
        <v/>
      </c>
      <c r="M248" s="203" t="str">
        <f>IF($H248="USD",IF(OR($L248="",$L248="-"),"",VLOOKUP($G248,為替!$A:$AX,$L248,FALSE))+$K$3,IF(OR($L248="",$L248="-"),"",VLOOKUP($G248,為替!$A:$AX,$L248,FALSE)))</f>
        <v/>
      </c>
      <c r="N248" s="204" t="str">
        <f t="shared" si="22"/>
        <v/>
      </c>
      <c r="O248" s="205" t="str">
        <f t="shared" si="18"/>
        <v/>
      </c>
      <c r="P248" s="206" t="str">
        <f t="shared" si="23"/>
        <v/>
      </c>
    </row>
    <row r="249" spans="3:16" x14ac:dyDescent="0.4">
      <c r="C249" s="199"/>
      <c r="D249" s="200"/>
      <c r="E249" s="201"/>
      <c r="F249" s="199"/>
      <c r="H249" s="202"/>
      <c r="I249" s="185" t="str">
        <f t="shared" si="19"/>
        <v/>
      </c>
      <c r="J249" s="203" t="str">
        <f>IF($H249="USD",IF(OR($I249="",$I249="-"),"",VLOOKUP($G249,為替!$A:$AX,$I249,FALSE))+$J$3,IF(OR($I249="",$I249="-"),"",VLOOKUP($G249,為替!$A:$AX,$I249,FALSE)))</f>
        <v/>
      </c>
      <c r="K249" s="204" t="str">
        <f t="shared" si="20"/>
        <v/>
      </c>
      <c r="L249" s="188" t="str">
        <f t="shared" si="21"/>
        <v/>
      </c>
      <c r="M249" s="203" t="str">
        <f>IF($H249="USD",IF(OR($L249="",$L249="-"),"",VLOOKUP($G249,為替!$A:$AX,$L249,FALSE))+$K$3,IF(OR($L249="",$L249="-"),"",VLOOKUP($G249,為替!$A:$AX,$L249,FALSE)))</f>
        <v/>
      </c>
      <c r="N249" s="204" t="str">
        <f t="shared" si="22"/>
        <v/>
      </c>
      <c r="O249" s="205" t="str">
        <f t="shared" si="18"/>
        <v/>
      </c>
      <c r="P249" s="206" t="str">
        <f t="shared" si="23"/>
        <v/>
      </c>
    </row>
    <row r="250" spans="3:16" x14ac:dyDescent="0.4">
      <c r="C250" s="199"/>
      <c r="D250" s="200"/>
      <c r="E250" s="201"/>
      <c r="F250" s="199"/>
      <c r="H250" s="202"/>
      <c r="I250" s="185" t="str">
        <f t="shared" si="19"/>
        <v/>
      </c>
      <c r="J250" s="203" t="str">
        <f>IF($H250="USD",IF(OR($I250="",$I250="-"),"",VLOOKUP($G250,為替!$A:$AX,$I250,FALSE))+$J$3,IF(OR($I250="",$I250="-"),"",VLOOKUP($G250,為替!$A:$AX,$I250,FALSE)))</f>
        <v/>
      </c>
      <c r="K250" s="204" t="str">
        <f t="shared" si="20"/>
        <v/>
      </c>
      <c r="L250" s="188" t="str">
        <f t="shared" si="21"/>
        <v/>
      </c>
      <c r="M250" s="203" t="str">
        <f>IF($H250="USD",IF(OR($L250="",$L250="-"),"",VLOOKUP($G250,為替!$A:$AX,$L250,FALSE))+$K$3,IF(OR($L250="",$L250="-"),"",VLOOKUP($G250,為替!$A:$AX,$L250,FALSE)))</f>
        <v/>
      </c>
      <c r="N250" s="204" t="str">
        <f t="shared" si="22"/>
        <v/>
      </c>
      <c r="O250" s="205" t="str">
        <f t="shared" si="18"/>
        <v/>
      </c>
      <c r="P250" s="206" t="str">
        <f t="shared" si="23"/>
        <v/>
      </c>
    </row>
    <row r="251" spans="3:16" x14ac:dyDescent="0.4">
      <c r="C251" s="199"/>
      <c r="D251" s="200"/>
      <c r="E251" s="201"/>
      <c r="F251" s="199"/>
      <c r="H251" s="202"/>
      <c r="I251" s="185" t="str">
        <f t="shared" si="19"/>
        <v/>
      </c>
      <c r="J251" s="203" t="str">
        <f>IF($H251="USD",IF(OR($I251="",$I251="-"),"",VLOOKUP($G251,為替!$A:$AX,$I251,FALSE))+$J$3,IF(OR($I251="",$I251="-"),"",VLOOKUP($G251,為替!$A:$AX,$I251,FALSE)))</f>
        <v/>
      </c>
      <c r="K251" s="204" t="str">
        <f t="shared" si="20"/>
        <v/>
      </c>
      <c r="L251" s="188" t="str">
        <f t="shared" si="21"/>
        <v/>
      </c>
      <c r="M251" s="203" t="str">
        <f>IF($H251="USD",IF(OR($L251="",$L251="-"),"",VLOOKUP($G251,為替!$A:$AX,$L251,FALSE))+$K$3,IF(OR($L251="",$L251="-"),"",VLOOKUP($G251,為替!$A:$AX,$L251,FALSE)))</f>
        <v/>
      </c>
      <c r="N251" s="204" t="str">
        <f t="shared" si="22"/>
        <v/>
      </c>
      <c r="O251" s="205" t="str">
        <f t="shared" si="18"/>
        <v/>
      </c>
      <c r="P251" s="206" t="str">
        <f t="shared" si="23"/>
        <v/>
      </c>
    </row>
    <row r="252" spans="3:16" x14ac:dyDescent="0.4">
      <c r="C252" s="199"/>
      <c r="D252" s="200"/>
      <c r="E252" s="201"/>
      <c r="F252" s="199"/>
      <c r="H252" s="202"/>
      <c r="I252" s="185" t="str">
        <f t="shared" si="19"/>
        <v/>
      </c>
      <c r="J252" s="203" t="str">
        <f>IF($H252="USD",IF(OR($I252="",$I252="-"),"",VLOOKUP($G252,為替!$A:$AX,$I252,FALSE))+$J$3,IF(OR($I252="",$I252="-"),"",VLOOKUP($G252,為替!$A:$AX,$I252,FALSE)))</f>
        <v/>
      </c>
      <c r="K252" s="204" t="str">
        <f t="shared" si="20"/>
        <v/>
      </c>
      <c r="L252" s="188" t="str">
        <f t="shared" si="21"/>
        <v/>
      </c>
      <c r="M252" s="203" t="str">
        <f>IF($H252="USD",IF(OR($L252="",$L252="-"),"",VLOOKUP($G252,為替!$A:$AX,$L252,FALSE))+$K$3,IF(OR($L252="",$L252="-"),"",VLOOKUP($G252,為替!$A:$AX,$L252,FALSE)))</f>
        <v/>
      </c>
      <c r="N252" s="204" t="str">
        <f t="shared" si="22"/>
        <v/>
      </c>
      <c r="O252" s="205" t="str">
        <f t="shared" si="18"/>
        <v/>
      </c>
      <c r="P252" s="206" t="str">
        <f t="shared" si="23"/>
        <v/>
      </c>
    </row>
    <row r="253" spans="3:16" x14ac:dyDescent="0.4">
      <c r="C253" s="199"/>
      <c r="D253" s="200"/>
      <c r="E253" s="201"/>
      <c r="F253" s="199"/>
      <c r="H253" s="202"/>
      <c r="I253" s="185" t="str">
        <f t="shared" si="19"/>
        <v/>
      </c>
      <c r="J253" s="203" t="str">
        <f>IF($H253="USD",IF(OR($I253="",$I253="-"),"",VLOOKUP($G253,為替!$A:$AX,$I253,FALSE))+$J$3,IF(OR($I253="",$I253="-"),"",VLOOKUP($G253,為替!$A:$AX,$I253,FALSE)))</f>
        <v/>
      </c>
      <c r="K253" s="204" t="str">
        <f t="shared" si="20"/>
        <v/>
      </c>
      <c r="L253" s="188" t="str">
        <f t="shared" si="21"/>
        <v/>
      </c>
      <c r="M253" s="203" t="str">
        <f>IF($H253="USD",IF(OR($L253="",$L253="-"),"",VLOOKUP($G253,為替!$A:$AX,$L253,FALSE))+$K$3,IF(OR($L253="",$L253="-"),"",VLOOKUP($G253,為替!$A:$AX,$L253,FALSE)))</f>
        <v/>
      </c>
      <c r="N253" s="204" t="str">
        <f t="shared" si="22"/>
        <v/>
      </c>
      <c r="O253" s="205" t="str">
        <f t="shared" si="18"/>
        <v/>
      </c>
      <c r="P253" s="206" t="str">
        <f t="shared" si="23"/>
        <v/>
      </c>
    </row>
    <row r="254" spans="3:16" x14ac:dyDescent="0.4">
      <c r="C254" s="199"/>
      <c r="D254" s="200"/>
      <c r="E254" s="201"/>
      <c r="F254" s="199"/>
      <c r="H254" s="202"/>
      <c r="I254" s="185" t="str">
        <f t="shared" si="19"/>
        <v/>
      </c>
      <c r="J254" s="203" t="str">
        <f>IF($H254="USD",IF(OR($I254="",$I254="-"),"",VLOOKUP($G254,為替!$A:$AX,$I254,FALSE))+$J$3,IF(OR($I254="",$I254="-"),"",VLOOKUP($G254,為替!$A:$AX,$I254,FALSE)))</f>
        <v/>
      </c>
      <c r="K254" s="204" t="str">
        <f t="shared" si="20"/>
        <v/>
      </c>
      <c r="L254" s="188" t="str">
        <f t="shared" si="21"/>
        <v/>
      </c>
      <c r="M254" s="203" t="str">
        <f>IF($H254="USD",IF(OR($L254="",$L254="-"),"",VLOOKUP($G254,為替!$A:$AX,$L254,FALSE))+$K$3,IF(OR($L254="",$L254="-"),"",VLOOKUP($G254,為替!$A:$AX,$L254,FALSE)))</f>
        <v/>
      </c>
      <c r="N254" s="204" t="str">
        <f t="shared" si="22"/>
        <v/>
      </c>
      <c r="O254" s="205" t="str">
        <f t="shared" si="18"/>
        <v/>
      </c>
      <c r="P254" s="206" t="str">
        <f t="shared" si="23"/>
        <v/>
      </c>
    </row>
    <row r="255" spans="3:16" x14ac:dyDescent="0.4">
      <c r="C255" s="199"/>
      <c r="D255" s="200"/>
      <c r="E255" s="201"/>
      <c r="F255" s="199"/>
      <c r="H255" s="202"/>
      <c r="I255" s="185" t="str">
        <f t="shared" si="19"/>
        <v/>
      </c>
      <c r="J255" s="203" t="str">
        <f>IF($H255="USD",IF(OR($I255="",$I255="-"),"",VLOOKUP($G255,為替!$A:$AX,$I255,FALSE))+$J$3,IF(OR($I255="",$I255="-"),"",VLOOKUP($G255,為替!$A:$AX,$I255,FALSE)))</f>
        <v/>
      </c>
      <c r="K255" s="204" t="str">
        <f t="shared" si="20"/>
        <v/>
      </c>
      <c r="L255" s="188" t="str">
        <f t="shared" si="21"/>
        <v/>
      </c>
      <c r="M255" s="203" t="str">
        <f>IF($H255="USD",IF(OR($L255="",$L255="-"),"",VLOOKUP($G255,為替!$A:$AX,$L255,FALSE))+$K$3,IF(OR($L255="",$L255="-"),"",VLOOKUP($G255,為替!$A:$AX,$L255,FALSE)))</f>
        <v/>
      </c>
      <c r="N255" s="204" t="str">
        <f t="shared" si="22"/>
        <v/>
      </c>
      <c r="O255" s="205" t="str">
        <f t="shared" si="18"/>
        <v/>
      </c>
      <c r="P255" s="206" t="str">
        <f t="shared" si="23"/>
        <v/>
      </c>
    </row>
    <row r="256" spans="3:16" x14ac:dyDescent="0.4">
      <c r="C256" s="199"/>
      <c r="D256" s="200"/>
      <c r="E256" s="201"/>
      <c r="F256" s="199"/>
      <c r="H256" s="202"/>
      <c r="I256" s="185" t="str">
        <f t="shared" si="19"/>
        <v/>
      </c>
      <c r="J256" s="203" t="str">
        <f>IF($H256="USD",IF(OR($I256="",$I256="-"),"",VLOOKUP($G256,為替!$A:$AX,$I256,FALSE))+$J$3,IF(OR($I256="",$I256="-"),"",VLOOKUP($G256,為替!$A:$AX,$I256,FALSE)))</f>
        <v/>
      </c>
      <c r="K256" s="204" t="str">
        <f t="shared" si="20"/>
        <v/>
      </c>
      <c r="L256" s="188" t="str">
        <f t="shared" si="21"/>
        <v/>
      </c>
      <c r="M256" s="203" t="str">
        <f>IF($H256="USD",IF(OR($L256="",$L256="-"),"",VLOOKUP($G256,為替!$A:$AX,$L256,FALSE))+$K$3,IF(OR($L256="",$L256="-"),"",VLOOKUP($G256,為替!$A:$AX,$L256,FALSE)))</f>
        <v/>
      </c>
      <c r="N256" s="204" t="str">
        <f t="shared" si="22"/>
        <v/>
      </c>
      <c r="O256" s="205" t="str">
        <f t="shared" si="18"/>
        <v/>
      </c>
      <c r="P256" s="206" t="str">
        <f t="shared" si="23"/>
        <v/>
      </c>
    </row>
    <row r="257" spans="3:16" x14ac:dyDescent="0.4">
      <c r="C257" s="199"/>
      <c r="D257" s="200"/>
      <c r="E257" s="201"/>
      <c r="F257" s="199"/>
      <c r="H257" s="202"/>
      <c r="I257" s="185" t="str">
        <f t="shared" si="19"/>
        <v/>
      </c>
      <c r="J257" s="203" t="str">
        <f>IF($H257="USD",IF(OR($I257="",$I257="-"),"",VLOOKUP($G257,為替!$A:$AX,$I257,FALSE))+$J$3,IF(OR($I257="",$I257="-"),"",VLOOKUP($G257,為替!$A:$AX,$I257,FALSE)))</f>
        <v/>
      </c>
      <c r="K257" s="204" t="str">
        <f t="shared" si="20"/>
        <v/>
      </c>
      <c r="L257" s="188" t="str">
        <f t="shared" si="21"/>
        <v/>
      </c>
      <c r="M257" s="203" t="str">
        <f>IF($H257="USD",IF(OR($L257="",$L257="-"),"",VLOOKUP($G257,為替!$A:$AX,$L257,FALSE))+$K$3,IF(OR($L257="",$L257="-"),"",VLOOKUP($G257,為替!$A:$AX,$L257,FALSE)))</f>
        <v/>
      </c>
      <c r="N257" s="204" t="str">
        <f t="shared" si="22"/>
        <v/>
      </c>
      <c r="O257" s="205" t="str">
        <f t="shared" si="18"/>
        <v/>
      </c>
      <c r="P257" s="206" t="str">
        <f t="shared" si="23"/>
        <v/>
      </c>
    </row>
    <row r="258" spans="3:16" x14ac:dyDescent="0.4">
      <c r="C258" s="199"/>
      <c r="D258" s="200"/>
      <c r="E258" s="201"/>
      <c r="F258" s="199"/>
      <c r="H258" s="202"/>
      <c r="I258" s="185" t="str">
        <f t="shared" si="19"/>
        <v/>
      </c>
      <c r="J258" s="203" t="str">
        <f>IF($H258="USD",IF(OR($I258="",$I258="-"),"",VLOOKUP($G258,為替!$A:$AX,$I258,FALSE))+$J$3,IF(OR($I258="",$I258="-"),"",VLOOKUP($G258,為替!$A:$AX,$I258,FALSE)))</f>
        <v/>
      </c>
      <c r="K258" s="204" t="str">
        <f t="shared" si="20"/>
        <v/>
      </c>
      <c r="L258" s="188" t="str">
        <f t="shared" si="21"/>
        <v/>
      </c>
      <c r="M258" s="203" t="str">
        <f>IF($H258="USD",IF(OR($L258="",$L258="-"),"",VLOOKUP($G258,為替!$A:$AX,$L258,FALSE))+$K$3,IF(OR($L258="",$L258="-"),"",VLOOKUP($G258,為替!$A:$AX,$L258,FALSE)))</f>
        <v/>
      </c>
      <c r="N258" s="204" t="str">
        <f t="shared" si="22"/>
        <v/>
      </c>
      <c r="O258" s="205" t="str">
        <f t="shared" si="18"/>
        <v/>
      </c>
      <c r="P258" s="206" t="str">
        <f t="shared" si="23"/>
        <v/>
      </c>
    </row>
    <row r="259" spans="3:16" x14ac:dyDescent="0.4">
      <c r="C259" s="199"/>
      <c r="D259" s="200"/>
      <c r="E259" s="201"/>
      <c r="F259" s="199"/>
      <c r="H259" s="202"/>
      <c r="I259" s="185" t="str">
        <f t="shared" si="19"/>
        <v/>
      </c>
      <c r="J259" s="203" t="str">
        <f>IF($H259="USD",IF(OR($I259="",$I259="-"),"",VLOOKUP($G259,為替!$A:$AX,$I259,FALSE))+$J$3,IF(OR($I259="",$I259="-"),"",VLOOKUP($G259,為替!$A:$AX,$I259,FALSE)))</f>
        <v/>
      </c>
      <c r="K259" s="204" t="str">
        <f t="shared" si="20"/>
        <v/>
      </c>
      <c r="L259" s="188" t="str">
        <f t="shared" si="21"/>
        <v/>
      </c>
      <c r="M259" s="203" t="str">
        <f>IF($H259="USD",IF(OR($L259="",$L259="-"),"",VLOOKUP($G259,為替!$A:$AX,$L259,FALSE))+$K$3,IF(OR($L259="",$L259="-"),"",VLOOKUP($G259,為替!$A:$AX,$L259,FALSE)))</f>
        <v/>
      </c>
      <c r="N259" s="204" t="str">
        <f t="shared" si="22"/>
        <v/>
      </c>
      <c r="O259" s="205" t="str">
        <f t="shared" si="18"/>
        <v/>
      </c>
      <c r="P259" s="206" t="str">
        <f t="shared" si="23"/>
        <v/>
      </c>
    </row>
    <row r="260" spans="3:16" x14ac:dyDescent="0.4">
      <c r="C260" s="199"/>
      <c r="D260" s="200"/>
      <c r="E260" s="201"/>
      <c r="F260" s="199"/>
      <c r="H260" s="202"/>
      <c r="I260" s="185" t="str">
        <f t="shared" si="19"/>
        <v/>
      </c>
      <c r="J260" s="203" t="str">
        <f>IF($H260="USD",IF(OR($I260="",$I260="-"),"",VLOOKUP($G260,為替!$A:$AX,$I260,FALSE))+$J$3,IF(OR($I260="",$I260="-"),"",VLOOKUP($G260,為替!$A:$AX,$I260,FALSE)))</f>
        <v/>
      </c>
      <c r="K260" s="204" t="str">
        <f t="shared" si="20"/>
        <v/>
      </c>
      <c r="L260" s="188" t="str">
        <f t="shared" si="21"/>
        <v/>
      </c>
      <c r="M260" s="203" t="str">
        <f>IF($H260="USD",IF(OR($L260="",$L260="-"),"",VLOOKUP($G260,為替!$A:$AX,$L260,FALSE))+$K$3,IF(OR($L260="",$L260="-"),"",VLOOKUP($G260,為替!$A:$AX,$L260,FALSE)))</f>
        <v/>
      </c>
      <c r="N260" s="204" t="str">
        <f t="shared" si="22"/>
        <v/>
      </c>
      <c r="O260" s="205" t="str">
        <f t="shared" si="18"/>
        <v/>
      </c>
      <c r="P260" s="206" t="str">
        <f t="shared" si="23"/>
        <v/>
      </c>
    </row>
    <row r="261" spans="3:16" x14ac:dyDescent="0.4">
      <c r="C261" s="199"/>
      <c r="D261" s="200"/>
      <c r="E261" s="201"/>
      <c r="F261" s="199"/>
      <c r="H261" s="202"/>
      <c r="I261" s="185" t="str">
        <f t="shared" si="19"/>
        <v/>
      </c>
      <c r="J261" s="203" t="str">
        <f>IF($H261="USD",IF(OR($I261="",$I261="-"),"",VLOOKUP($G261,為替!$A:$AX,$I261,FALSE))+$J$3,IF(OR($I261="",$I261="-"),"",VLOOKUP($G261,為替!$A:$AX,$I261,FALSE)))</f>
        <v/>
      </c>
      <c r="K261" s="204" t="str">
        <f t="shared" si="20"/>
        <v/>
      </c>
      <c r="L261" s="188" t="str">
        <f t="shared" si="21"/>
        <v/>
      </c>
      <c r="M261" s="203" t="str">
        <f>IF($H261="USD",IF(OR($L261="",$L261="-"),"",VLOOKUP($G261,為替!$A:$AX,$L261,FALSE))+$K$3,IF(OR($L261="",$L261="-"),"",VLOOKUP($G261,為替!$A:$AX,$L261,FALSE)))</f>
        <v/>
      </c>
      <c r="N261" s="204" t="str">
        <f t="shared" si="22"/>
        <v/>
      </c>
      <c r="O261" s="205" t="str">
        <f t="shared" si="18"/>
        <v/>
      </c>
      <c r="P261" s="206" t="str">
        <f t="shared" si="23"/>
        <v/>
      </c>
    </row>
    <row r="262" spans="3:16" x14ac:dyDescent="0.4">
      <c r="C262" s="199"/>
      <c r="D262" s="200"/>
      <c r="E262" s="201"/>
      <c r="F262" s="199"/>
      <c r="H262" s="202"/>
      <c r="I262" s="185" t="str">
        <f t="shared" si="19"/>
        <v/>
      </c>
      <c r="J262" s="203" t="str">
        <f>IF($H262="USD",IF(OR($I262="",$I262="-"),"",VLOOKUP($G262,為替!$A:$AX,$I262,FALSE))+$J$3,IF(OR($I262="",$I262="-"),"",VLOOKUP($G262,為替!$A:$AX,$I262,FALSE)))</f>
        <v/>
      </c>
      <c r="K262" s="204" t="str">
        <f t="shared" si="20"/>
        <v/>
      </c>
      <c r="L262" s="188" t="str">
        <f t="shared" si="21"/>
        <v/>
      </c>
      <c r="M262" s="203" t="str">
        <f>IF($H262="USD",IF(OR($L262="",$L262="-"),"",VLOOKUP($G262,為替!$A:$AX,$L262,FALSE))+$K$3,IF(OR($L262="",$L262="-"),"",VLOOKUP($G262,為替!$A:$AX,$L262,FALSE)))</f>
        <v/>
      </c>
      <c r="N262" s="204" t="str">
        <f t="shared" si="22"/>
        <v/>
      </c>
      <c r="O262" s="205" t="str">
        <f t="shared" ref="O262:O325" si="24">IF(OR(K262="",N262=""),"",K262-N262)</f>
        <v/>
      </c>
      <c r="P262" s="206" t="str">
        <f t="shared" si="23"/>
        <v/>
      </c>
    </row>
    <row r="263" spans="3:16" x14ac:dyDescent="0.4">
      <c r="C263" s="199"/>
      <c r="D263" s="200"/>
      <c r="E263" s="201"/>
      <c r="F263" s="199"/>
      <c r="H263" s="202"/>
      <c r="I263" s="185" t="str">
        <f t="shared" ref="I263:I326" si="25">IF(H263="","",IF(H263="JPY","",IF($H263="USD",4, IF(H263="EUR",7,IF(H263="CNY",47,IF(H263="HKD",34))))))</f>
        <v/>
      </c>
      <c r="J263" s="203" t="str">
        <f>IF($H263="USD",IF(OR($I263="",$I263="-"),"",VLOOKUP($G263,為替!$A:$AX,$I263,FALSE))+$J$3,IF(OR($I263="",$I263="-"),"",VLOOKUP($G263,為替!$A:$AX,$I263,FALSE)))</f>
        <v/>
      </c>
      <c r="K263" s="204" t="str">
        <f t="shared" ref="K263:K326" si="26">IF($H263="JPY",$F263,IF($H263="","",$F263*$J263))</f>
        <v/>
      </c>
      <c r="L263" s="188" t="str">
        <f t="shared" ref="L263:L326" si="27">IF(H263="","",IF(H263="JPY","",IF($H263="USD",3, IF(H263="EUR",6,IF(H263="CNY",46,IF(H263="HKD",33))))))</f>
        <v/>
      </c>
      <c r="M263" s="203" t="str">
        <f>IF($H263="USD",IF(OR($L263="",$L263="-"),"",VLOOKUP($G263,為替!$A:$AX,$L263,FALSE))+$K$3,IF(OR($L263="",$L263="-"),"",VLOOKUP($G263,為替!$A:$AX,$L263,FALSE)))</f>
        <v/>
      </c>
      <c r="N263" s="204" t="str">
        <f t="shared" ref="N263:N326" si="28">IF($E263="JPY",($C263+$D263),IF($E263="","",($C263+$D263)*$M263))</f>
        <v/>
      </c>
      <c r="O263" s="205" t="str">
        <f t="shared" si="24"/>
        <v/>
      </c>
      <c r="P263" s="206" t="str">
        <f t="shared" ref="P263:P326" si="29">IF(OR(K263="",O263=""),"",O263/K263)</f>
        <v/>
      </c>
    </row>
    <row r="264" spans="3:16" x14ac:dyDescent="0.4">
      <c r="C264" s="199"/>
      <c r="D264" s="200"/>
      <c r="E264" s="201"/>
      <c r="F264" s="199"/>
      <c r="H264" s="202"/>
      <c r="I264" s="185" t="str">
        <f t="shared" si="25"/>
        <v/>
      </c>
      <c r="J264" s="203" t="str">
        <f>IF($H264="USD",IF(OR($I264="",$I264="-"),"",VLOOKUP($G264,為替!$A:$AX,$I264,FALSE))+$J$3,IF(OR($I264="",$I264="-"),"",VLOOKUP($G264,為替!$A:$AX,$I264,FALSE)))</f>
        <v/>
      </c>
      <c r="K264" s="204" t="str">
        <f t="shared" si="26"/>
        <v/>
      </c>
      <c r="L264" s="188" t="str">
        <f t="shared" si="27"/>
        <v/>
      </c>
      <c r="M264" s="203" t="str">
        <f>IF($H264="USD",IF(OR($L264="",$L264="-"),"",VLOOKUP($G264,為替!$A:$AX,$L264,FALSE))+$K$3,IF(OR($L264="",$L264="-"),"",VLOOKUP($G264,為替!$A:$AX,$L264,FALSE)))</f>
        <v/>
      </c>
      <c r="N264" s="204" t="str">
        <f t="shared" si="28"/>
        <v/>
      </c>
      <c r="O264" s="205" t="str">
        <f t="shared" si="24"/>
        <v/>
      </c>
      <c r="P264" s="206" t="str">
        <f t="shared" si="29"/>
        <v/>
      </c>
    </row>
    <row r="265" spans="3:16" x14ac:dyDescent="0.4">
      <c r="C265" s="199"/>
      <c r="D265" s="200"/>
      <c r="E265" s="201"/>
      <c r="F265" s="199"/>
      <c r="H265" s="202"/>
      <c r="I265" s="185" t="str">
        <f t="shared" si="25"/>
        <v/>
      </c>
      <c r="J265" s="203" t="str">
        <f>IF($H265="USD",IF(OR($I265="",$I265="-"),"",VLOOKUP($G265,為替!$A:$AX,$I265,FALSE))+$J$3,IF(OR($I265="",$I265="-"),"",VLOOKUP($G265,為替!$A:$AX,$I265,FALSE)))</f>
        <v/>
      </c>
      <c r="K265" s="204" t="str">
        <f t="shared" si="26"/>
        <v/>
      </c>
      <c r="L265" s="188" t="str">
        <f t="shared" si="27"/>
        <v/>
      </c>
      <c r="M265" s="203" t="str">
        <f>IF($H265="USD",IF(OR($L265="",$L265="-"),"",VLOOKUP($G265,為替!$A:$AX,$L265,FALSE))+$K$3,IF(OR($L265="",$L265="-"),"",VLOOKUP($G265,為替!$A:$AX,$L265,FALSE)))</f>
        <v/>
      </c>
      <c r="N265" s="204" t="str">
        <f t="shared" si="28"/>
        <v/>
      </c>
      <c r="O265" s="205" t="str">
        <f t="shared" si="24"/>
        <v/>
      </c>
      <c r="P265" s="206" t="str">
        <f t="shared" si="29"/>
        <v/>
      </c>
    </row>
    <row r="266" spans="3:16" x14ac:dyDescent="0.4">
      <c r="C266" s="199"/>
      <c r="D266" s="200"/>
      <c r="E266" s="201"/>
      <c r="F266" s="199"/>
      <c r="H266" s="202"/>
      <c r="I266" s="185" t="str">
        <f t="shared" si="25"/>
        <v/>
      </c>
      <c r="J266" s="203" t="str">
        <f>IF($H266="USD",IF(OR($I266="",$I266="-"),"",VLOOKUP($G266,為替!$A:$AX,$I266,FALSE))+$J$3,IF(OR($I266="",$I266="-"),"",VLOOKUP($G266,為替!$A:$AX,$I266,FALSE)))</f>
        <v/>
      </c>
      <c r="K266" s="204" t="str">
        <f t="shared" si="26"/>
        <v/>
      </c>
      <c r="L266" s="188" t="str">
        <f t="shared" si="27"/>
        <v/>
      </c>
      <c r="M266" s="203" t="str">
        <f>IF($H266="USD",IF(OR($L266="",$L266="-"),"",VLOOKUP($G266,為替!$A:$AX,$L266,FALSE))+$K$3,IF(OR($L266="",$L266="-"),"",VLOOKUP($G266,為替!$A:$AX,$L266,FALSE)))</f>
        <v/>
      </c>
      <c r="N266" s="204" t="str">
        <f t="shared" si="28"/>
        <v/>
      </c>
      <c r="O266" s="205" t="str">
        <f t="shared" si="24"/>
        <v/>
      </c>
      <c r="P266" s="206" t="str">
        <f t="shared" si="29"/>
        <v/>
      </c>
    </row>
    <row r="267" spans="3:16" x14ac:dyDescent="0.4">
      <c r="C267" s="199"/>
      <c r="D267" s="200"/>
      <c r="E267" s="201"/>
      <c r="F267" s="199"/>
      <c r="H267" s="202"/>
      <c r="I267" s="185" t="str">
        <f t="shared" si="25"/>
        <v/>
      </c>
      <c r="J267" s="203" t="str">
        <f>IF($H267="USD",IF(OR($I267="",$I267="-"),"",VLOOKUP($G267,為替!$A:$AX,$I267,FALSE))+$J$3,IF(OR($I267="",$I267="-"),"",VLOOKUP($G267,為替!$A:$AX,$I267,FALSE)))</f>
        <v/>
      </c>
      <c r="K267" s="204" t="str">
        <f t="shared" si="26"/>
        <v/>
      </c>
      <c r="L267" s="188" t="str">
        <f t="shared" si="27"/>
        <v/>
      </c>
      <c r="M267" s="203" t="str">
        <f>IF($H267="USD",IF(OR($L267="",$L267="-"),"",VLOOKUP($G267,為替!$A:$AX,$L267,FALSE))+$K$3,IF(OR($L267="",$L267="-"),"",VLOOKUP($G267,為替!$A:$AX,$L267,FALSE)))</f>
        <v/>
      </c>
      <c r="N267" s="204" t="str">
        <f t="shared" si="28"/>
        <v/>
      </c>
      <c r="O267" s="205" t="str">
        <f t="shared" si="24"/>
        <v/>
      </c>
      <c r="P267" s="206" t="str">
        <f t="shared" si="29"/>
        <v/>
      </c>
    </row>
    <row r="268" spans="3:16" x14ac:dyDescent="0.4">
      <c r="C268" s="199"/>
      <c r="D268" s="200"/>
      <c r="E268" s="201"/>
      <c r="F268" s="199"/>
      <c r="H268" s="202"/>
      <c r="I268" s="185" t="str">
        <f t="shared" si="25"/>
        <v/>
      </c>
      <c r="J268" s="203" t="str">
        <f>IF($H268="USD",IF(OR($I268="",$I268="-"),"",VLOOKUP($G268,為替!$A:$AX,$I268,FALSE))+$J$3,IF(OR($I268="",$I268="-"),"",VLOOKUP($G268,為替!$A:$AX,$I268,FALSE)))</f>
        <v/>
      </c>
      <c r="K268" s="204" t="str">
        <f t="shared" si="26"/>
        <v/>
      </c>
      <c r="L268" s="188" t="str">
        <f t="shared" si="27"/>
        <v/>
      </c>
      <c r="M268" s="203" t="str">
        <f>IF($H268="USD",IF(OR($L268="",$L268="-"),"",VLOOKUP($G268,為替!$A:$AX,$L268,FALSE))+$K$3,IF(OR($L268="",$L268="-"),"",VLOOKUP($G268,為替!$A:$AX,$L268,FALSE)))</f>
        <v/>
      </c>
      <c r="N268" s="204" t="str">
        <f t="shared" si="28"/>
        <v/>
      </c>
      <c r="O268" s="205" t="str">
        <f t="shared" si="24"/>
        <v/>
      </c>
      <c r="P268" s="206" t="str">
        <f t="shared" si="29"/>
        <v/>
      </c>
    </row>
    <row r="269" spans="3:16" x14ac:dyDescent="0.4">
      <c r="C269" s="199"/>
      <c r="D269" s="200"/>
      <c r="E269" s="201"/>
      <c r="F269" s="199"/>
      <c r="H269" s="202"/>
      <c r="I269" s="185" t="str">
        <f t="shared" si="25"/>
        <v/>
      </c>
      <c r="J269" s="203" t="str">
        <f>IF($H269="USD",IF(OR($I269="",$I269="-"),"",VLOOKUP($G269,為替!$A:$AX,$I269,FALSE))+$J$3,IF(OR($I269="",$I269="-"),"",VLOOKUP($G269,為替!$A:$AX,$I269,FALSE)))</f>
        <v/>
      </c>
      <c r="K269" s="204" t="str">
        <f t="shared" si="26"/>
        <v/>
      </c>
      <c r="L269" s="188" t="str">
        <f t="shared" si="27"/>
        <v/>
      </c>
      <c r="M269" s="203" t="str">
        <f>IF($H269="USD",IF(OR($L269="",$L269="-"),"",VLOOKUP($G269,為替!$A:$AX,$L269,FALSE))+$K$3,IF(OR($L269="",$L269="-"),"",VLOOKUP($G269,為替!$A:$AX,$L269,FALSE)))</f>
        <v/>
      </c>
      <c r="N269" s="204" t="str">
        <f t="shared" si="28"/>
        <v/>
      </c>
      <c r="O269" s="205" t="str">
        <f t="shared" si="24"/>
        <v/>
      </c>
      <c r="P269" s="206" t="str">
        <f t="shared" si="29"/>
        <v/>
      </c>
    </row>
    <row r="270" spans="3:16" x14ac:dyDescent="0.4">
      <c r="C270" s="199"/>
      <c r="D270" s="200"/>
      <c r="E270" s="201"/>
      <c r="F270" s="199"/>
      <c r="H270" s="202"/>
      <c r="I270" s="185" t="str">
        <f t="shared" si="25"/>
        <v/>
      </c>
      <c r="J270" s="203" t="str">
        <f>IF($H270="USD",IF(OR($I270="",$I270="-"),"",VLOOKUP($G270,為替!$A:$AX,$I270,FALSE))+$J$3,IF(OR($I270="",$I270="-"),"",VLOOKUP($G270,為替!$A:$AX,$I270,FALSE)))</f>
        <v/>
      </c>
      <c r="K270" s="204" t="str">
        <f t="shared" si="26"/>
        <v/>
      </c>
      <c r="L270" s="188" t="str">
        <f t="shared" si="27"/>
        <v/>
      </c>
      <c r="M270" s="203" t="str">
        <f>IF($H270="USD",IF(OR($L270="",$L270="-"),"",VLOOKUP($G270,為替!$A:$AX,$L270,FALSE))+$K$3,IF(OR($L270="",$L270="-"),"",VLOOKUP($G270,為替!$A:$AX,$L270,FALSE)))</f>
        <v/>
      </c>
      <c r="N270" s="204" t="str">
        <f t="shared" si="28"/>
        <v/>
      </c>
      <c r="O270" s="205" t="str">
        <f t="shared" si="24"/>
        <v/>
      </c>
      <c r="P270" s="206" t="str">
        <f t="shared" si="29"/>
        <v/>
      </c>
    </row>
    <row r="271" spans="3:16" x14ac:dyDescent="0.4">
      <c r="C271" s="199"/>
      <c r="D271" s="200"/>
      <c r="E271" s="201"/>
      <c r="F271" s="199"/>
      <c r="H271" s="202"/>
      <c r="I271" s="185" t="str">
        <f t="shared" si="25"/>
        <v/>
      </c>
      <c r="J271" s="203" t="str">
        <f>IF($H271="USD",IF(OR($I271="",$I271="-"),"",VLOOKUP($G271,為替!$A:$AX,$I271,FALSE))+$J$3,IF(OR($I271="",$I271="-"),"",VLOOKUP($G271,為替!$A:$AX,$I271,FALSE)))</f>
        <v/>
      </c>
      <c r="K271" s="204" t="str">
        <f t="shared" si="26"/>
        <v/>
      </c>
      <c r="L271" s="188" t="str">
        <f t="shared" si="27"/>
        <v/>
      </c>
      <c r="M271" s="203" t="str">
        <f>IF($H271="USD",IF(OR($L271="",$L271="-"),"",VLOOKUP($G271,為替!$A:$AX,$L271,FALSE))+$K$3,IF(OR($L271="",$L271="-"),"",VLOOKUP($G271,為替!$A:$AX,$L271,FALSE)))</f>
        <v/>
      </c>
      <c r="N271" s="204" t="str">
        <f t="shared" si="28"/>
        <v/>
      </c>
      <c r="O271" s="205" t="str">
        <f t="shared" si="24"/>
        <v/>
      </c>
      <c r="P271" s="206" t="str">
        <f t="shared" si="29"/>
        <v/>
      </c>
    </row>
    <row r="272" spans="3:16" x14ac:dyDescent="0.4">
      <c r="C272" s="199"/>
      <c r="D272" s="200"/>
      <c r="E272" s="201"/>
      <c r="F272" s="199"/>
      <c r="H272" s="202"/>
      <c r="I272" s="185" t="str">
        <f t="shared" si="25"/>
        <v/>
      </c>
      <c r="J272" s="203" t="str">
        <f>IF($H272="USD",IF(OR($I272="",$I272="-"),"",VLOOKUP($G272,為替!$A:$AX,$I272,FALSE))+$J$3,IF(OR($I272="",$I272="-"),"",VLOOKUP($G272,為替!$A:$AX,$I272,FALSE)))</f>
        <v/>
      </c>
      <c r="K272" s="204" t="str">
        <f t="shared" si="26"/>
        <v/>
      </c>
      <c r="L272" s="188" t="str">
        <f t="shared" si="27"/>
        <v/>
      </c>
      <c r="M272" s="203" t="str">
        <f>IF($H272="USD",IF(OR($L272="",$L272="-"),"",VLOOKUP($G272,為替!$A:$AX,$L272,FALSE))+$K$3,IF(OR($L272="",$L272="-"),"",VLOOKUP($G272,為替!$A:$AX,$L272,FALSE)))</f>
        <v/>
      </c>
      <c r="N272" s="204" t="str">
        <f t="shared" si="28"/>
        <v/>
      </c>
      <c r="O272" s="205" t="str">
        <f t="shared" si="24"/>
        <v/>
      </c>
      <c r="P272" s="206" t="str">
        <f t="shared" si="29"/>
        <v/>
      </c>
    </row>
    <row r="273" spans="3:16" x14ac:dyDescent="0.4">
      <c r="C273" s="199"/>
      <c r="D273" s="200"/>
      <c r="E273" s="201"/>
      <c r="F273" s="199"/>
      <c r="H273" s="202"/>
      <c r="I273" s="185" t="str">
        <f t="shared" si="25"/>
        <v/>
      </c>
      <c r="J273" s="203" t="str">
        <f>IF($H273="USD",IF(OR($I273="",$I273="-"),"",VLOOKUP($G273,為替!$A:$AX,$I273,FALSE))+$J$3,IF(OR($I273="",$I273="-"),"",VLOOKUP($G273,為替!$A:$AX,$I273,FALSE)))</f>
        <v/>
      </c>
      <c r="K273" s="204" t="str">
        <f t="shared" si="26"/>
        <v/>
      </c>
      <c r="L273" s="188" t="str">
        <f t="shared" si="27"/>
        <v/>
      </c>
      <c r="M273" s="203" t="str">
        <f>IF($H273="USD",IF(OR($L273="",$L273="-"),"",VLOOKUP($G273,為替!$A:$AX,$L273,FALSE))+$K$3,IF(OR($L273="",$L273="-"),"",VLOOKUP($G273,為替!$A:$AX,$L273,FALSE)))</f>
        <v/>
      </c>
      <c r="N273" s="204" t="str">
        <f t="shared" si="28"/>
        <v/>
      </c>
      <c r="O273" s="205" t="str">
        <f t="shared" si="24"/>
        <v/>
      </c>
      <c r="P273" s="206" t="str">
        <f t="shared" si="29"/>
        <v/>
      </c>
    </row>
    <row r="274" spans="3:16" x14ac:dyDescent="0.4">
      <c r="C274" s="199"/>
      <c r="D274" s="200"/>
      <c r="E274" s="201"/>
      <c r="F274" s="199"/>
      <c r="H274" s="202"/>
      <c r="I274" s="185" t="str">
        <f t="shared" si="25"/>
        <v/>
      </c>
      <c r="J274" s="203" t="str">
        <f>IF($H274="USD",IF(OR($I274="",$I274="-"),"",VLOOKUP($G274,為替!$A:$AX,$I274,FALSE))+$J$3,IF(OR($I274="",$I274="-"),"",VLOOKUP($G274,為替!$A:$AX,$I274,FALSE)))</f>
        <v/>
      </c>
      <c r="K274" s="204" t="str">
        <f t="shared" si="26"/>
        <v/>
      </c>
      <c r="L274" s="188" t="str">
        <f t="shared" si="27"/>
        <v/>
      </c>
      <c r="M274" s="203" t="str">
        <f>IF($H274="USD",IF(OR($L274="",$L274="-"),"",VLOOKUP($G274,為替!$A:$AX,$L274,FALSE))+$K$3,IF(OR($L274="",$L274="-"),"",VLOOKUP($G274,為替!$A:$AX,$L274,FALSE)))</f>
        <v/>
      </c>
      <c r="N274" s="204" t="str">
        <f t="shared" si="28"/>
        <v/>
      </c>
      <c r="O274" s="205" t="str">
        <f t="shared" si="24"/>
        <v/>
      </c>
      <c r="P274" s="206" t="str">
        <f t="shared" si="29"/>
        <v/>
      </c>
    </row>
    <row r="275" spans="3:16" x14ac:dyDescent="0.4">
      <c r="C275" s="199"/>
      <c r="D275" s="200"/>
      <c r="E275" s="201"/>
      <c r="F275" s="199"/>
      <c r="H275" s="202"/>
      <c r="I275" s="185" t="str">
        <f t="shared" si="25"/>
        <v/>
      </c>
      <c r="J275" s="203" t="str">
        <f>IF($H275="USD",IF(OR($I275="",$I275="-"),"",VLOOKUP($G275,為替!$A:$AX,$I275,FALSE))+$J$3,IF(OR($I275="",$I275="-"),"",VLOOKUP($G275,為替!$A:$AX,$I275,FALSE)))</f>
        <v/>
      </c>
      <c r="K275" s="204" t="str">
        <f t="shared" si="26"/>
        <v/>
      </c>
      <c r="L275" s="188" t="str">
        <f t="shared" si="27"/>
        <v/>
      </c>
      <c r="M275" s="203" t="str">
        <f>IF($H275="USD",IF(OR($L275="",$L275="-"),"",VLOOKUP($G275,為替!$A:$AX,$L275,FALSE))+$K$3,IF(OR($L275="",$L275="-"),"",VLOOKUP($G275,為替!$A:$AX,$L275,FALSE)))</f>
        <v/>
      </c>
      <c r="N275" s="204" t="str">
        <f t="shared" si="28"/>
        <v/>
      </c>
      <c r="O275" s="205" t="str">
        <f t="shared" si="24"/>
        <v/>
      </c>
      <c r="P275" s="206" t="str">
        <f t="shared" si="29"/>
        <v/>
      </c>
    </row>
    <row r="276" spans="3:16" x14ac:dyDescent="0.4">
      <c r="C276" s="199"/>
      <c r="D276" s="200"/>
      <c r="E276" s="201"/>
      <c r="F276" s="199"/>
      <c r="H276" s="202"/>
      <c r="I276" s="185" t="str">
        <f t="shared" si="25"/>
        <v/>
      </c>
      <c r="J276" s="203" t="str">
        <f>IF($H276="USD",IF(OR($I276="",$I276="-"),"",VLOOKUP($G276,為替!$A:$AX,$I276,FALSE))+$J$3,IF(OR($I276="",$I276="-"),"",VLOOKUP($G276,為替!$A:$AX,$I276,FALSE)))</f>
        <v/>
      </c>
      <c r="K276" s="204" t="str">
        <f t="shared" si="26"/>
        <v/>
      </c>
      <c r="L276" s="188" t="str">
        <f t="shared" si="27"/>
        <v/>
      </c>
      <c r="M276" s="203" t="str">
        <f>IF($H276="USD",IF(OR($L276="",$L276="-"),"",VLOOKUP($G276,為替!$A:$AX,$L276,FALSE))+$K$3,IF(OR($L276="",$L276="-"),"",VLOOKUP($G276,為替!$A:$AX,$L276,FALSE)))</f>
        <v/>
      </c>
      <c r="N276" s="204" t="str">
        <f t="shared" si="28"/>
        <v/>
      </c>
      <c r="O276" s="205" t="str">
        <f t="shared" si="24"/>
        <v/>
      </c>
      <c r="P276" s="206" t="str">
        <f t="shared" si="29"/>
        <v/>
      </c>
    </row>
    <row r="277" spans="3:16" x14ac:dyDescent="0.4">
      <c r="C277" s="199"/>
      <c r="D277" s="200"/>
      <c r="E277" s="201"/>
      <c r="F277" s="199"/>
      <c r="H277" s="202"/>
      <c r="I277" s="185" t="str">
        <f t="shared" si="25"/>
        <v/>
      </c>
      <c r="J277" s="203" t="str">
        <f>IF($H277="USD",IF(OR($I277="",$I277="-"),"",VLOOKUP($G277,為替!$A:$AX,$I277,FALSE))+$J$3,IF(OR($I277="",$I277="-"),"",VLOOKUP($G277,為替!$A:$AX,$I277,FALSE)))</f>
        <v/>
      </c>
      <c r="K277" s="204" t="str">
        <f t="shared" si="26"/>
        <v/>
      </c>
      <c r="L277" s="188" t="str">
        <f t="shared" si="27"/>
        <v/>
      </c>
      <c r="M277" s="203" t="str">
        <f>IF($H277="USD",IF(OR($L277="",$L277="-"),"",VLOOKUP($G277,為替!$A:$AX,$L277,FALSE))+$K$3,IF(OR($L277="",$L277="-"),"",VLOOKUP($G277,為替!$A:$AX,$L277,FALSE)))</f>
        <v/>
      </c>
      <c r="N277" s="204" t="str">
        <f t="shared" si="28"/>
        <v/>
      </c>
      <c r="O277" s="205" t="str">
        <f t="shared" si="24"/>
        <v/>
      </c>
      <c r="P277" s="206" t="str">
        <f t="shared" si="29"/>
        <v/>
      </c>
    </row>
    <row r="278" spans="3:16" x14ac:dyDescent="0.4">
      <c r="C278" s="199"/>
      <c r="D278" s="200"/>
      <c r="E278" s="201"/>
      <c r="F278" s="199"/>
      <c r="H278" s="202"/>
      <c r="I278" s="185" t="str">
        <f t="shared" si="25"/>
        <v/>
      </c>
      <c r="J278" s="203" t="str">
        <f>IF($H278="USD",IF(OR($I278="",$I278="-"),"",VLOOKUP($G278,為替!$A:$AX,$I278,FALSE))+$J$3,IF(OR($I278="",$I278="-"),"",VLOOKUP($G278,為替!$A:$AX,$I278,FALSE)))</f>
        <v/>
      </c>
      <c r="K278" s="204" t="str">
        <f t="shared" si="26"/>
        <v/>
      </c>
      <c r="L278" s="188" t="str">
        <f t="shared" si="27"/>
        <v/>
      </c>
      <c r="M278" s="203" t="str">
        <f>IF($H278="USD",IF(OR($L278="",$L278="-"),"",VLOOKUP($G278,為替!$A:$AX,$L278,FALSE))+$K$3,IF(OR($L278="",$L278="-"),"",VLOOKUP($G278,為替!$A:$AX,$L278,FALSE)))</f>
        <v/>
      </c>
      <c r="N278" s="204" t="str">
        <f t="shared" si="28"/>
        <v/>
      </c>
      <c r="O278" s="205" t="str">
        <f t="shared" si="24"/>
        <v/>
      </c>
      <c r="P278" s="206" t="str">
        <f t="shared" si="29"/>
        <v/>
      </c>
    </row>
    <row r="279" spans="3:16" x14ac:dyDescent="0.4">
      <c r="C279" s="199"/>
      <c r="D279" s="200"/>
      <c r="E279" s="201"/>
      <c r="F279" s="199"/>
      <c r="H279" s="202"/>
      <c r="I279" s="185" t="str">
        <f t="shared" si="25"/>
        <v/>
      </c>
      <c r="J279" s="203" t="str">
        <f>IF($H279="USD",IF(OR($I279="",$I279="-"),"",VLOOKUP($G279,為替!$A:$AX,$I279,FALSE))+$J$3,IF(OR($I279="",$I279="-"),"",VLOOKUP($G279,為替!$A:$AX,$I279,FALSE)))</f>
        <v/>
      </c>
      <c r="K279" s="204" t="str">
        <f t="shared" si="26"/>
        <v/>
      </c>
      <c r="L279" s="188" t="str">
        <f t="shared" si="27"/>
        <v/>
      </c>
      <c r="M279" s="203" t="str">
        <f>IF($H279="USD",IF(OR($L279="",$L279="-"),"",VLOOKUP($G279,為替!$A:$AX,$L279,FALSE))+$K$3,IF(OR($L279="",$L279="-"),"",VLOOKUP($G279,為替!$A:$AX,$L279,FALSE)))</f>
        <v/>
      </c>
      <c r="N279" s="204" t="str">
        <f t="shared" si="28"/>
        <v/>
      </c>
      <c r="O279" s="205" t="str">
        <f t="shared" si="24"/>
        <v/>
      </c>
      <c r="P279" s="206" t="str">
        <f t="shared" si="29"/>
        <v/>
      </c>
    </row>
    <row r="280" spans="3:16" x14ac:dyDescent="0.4">
      <c r="C280" s="199"/>
      <c r="D280" s="200"/>
      <c r="E280" s="201"/>
      <c r="F280" s="199"/>
      <c r="H280" s="202"/>
      <c r="I280" s="185" t="str">
        <f t="shared" si="25"/>
        <v/>
      </c>
      <c r="J280" s="203" t="str">
        <f>IF($H280="USD",IF(OR($I280="",$I280="-"),"",VLOOKUP($G280,為替!$A:$AX,$I280,FALSE))+$J$3,IF(OR($I280="",$I280="-"),"",VLOOKUP($G280,為替!$A:$AX,$I280,FALSE)))</f>
        <v/>
      </c>
      <c r="K280" s="204" t="str">
        <f t="shared" si="26"/>
        <v/>
      </c>
      <c r="L280" s="188" t="str">
        <f t="shared" si="27"/>
        <v/>
      </c>
      <c r="M280" s="203" t="str">
        <f>IF($H280="USD",IF(OR($L280="",$L280="-"),"",VLOOKUP($G280,為替!$A:$AX,$L280,FALSE))+$K$3,IF(OR($L280="",$L280="-"),"",VLOOKUP($G280,為替!$A:$AX,$L280,FALSE)))</f>
        <v/>
      </c>
      <c r="N280" s="204" t="str">
        <f t="shared" si="28"/>
        <v/>
      </c>
      <c r="O280" s="205" t="str">
        <f t="shared" si="24"/>
        <v/>
      </c>
      <c r="P280" s="206" t="str">
        <f t="shared" si="29"/>
        <v/>
      </c>
    </row>
    <row r="281" spans="3:16" x14ac:dyDescent="0.4">
      <c r="C281" s="199"/>
      <c r="D281" s="200"/>
      <c r="E281" s="201"/>
      <c r="F281" s="199"/>
      <c r="H281" s="202"/>
      <c r="I281" s="185" t="str">
        <f t="shared" si="25"/>
        <v/>
      </c>
      <c r="J281" s="203" t="str">
        <f>IF($H281="USD",IF(OR($I281="",$I281="-"),"",VLOOKUP($G281,為替!$A:$AX,$I281,FALSE))+$J$3,IF(OR($I281="",$I281="-"),"",VLOOKUP($G281,為替!$A:$AX,$I281,FALSE)))</f>
        <v/>
      </c>
      <c r="K281" s="204" t="str">
        <f t="shared" si="26"/>
        <v/>
      </c>
      <c r="L281" s="188" t="str">
        <f t="shared" si="27"/>
        <v/>
      </c>
      <c r="M281" s="203" t="str">
        <f>IF($H281="USD",IF(OR($L281="",$L281="-"),"",VLOOKUP($G281,為替!$A:$AX,$L281,FALSE))+$K$3,IF(OR($L281="",$L281="-"),"",VLOOKUP($G281,為替!$A:$AX,$L281,FALSE)))</f>
        <v/>
      </c>
      <c r="N281" s="204" t="str">
        <f t="shared" si="28"/>
        <v/>
      </c>
      <c r="O281" s="205" t="str">
        <f t="shared" si="24"/>
        <v/>
      </c>
      <c r="P281" s="206" t="str">
        <f t="shared" si="29"/>
        <v/>
      </c>
    </row>
    <row r="282" spans="3:16" x14ac:dyDescent="0.4">
      <c r="C282" s="199"/>
      <c r="D282" s="200"/>
      <c r="E282" s="201"/>
      <c r="F282" s="199"/>
      <c r="H282" s="202"/>
      <c r="I282" s="185" t="str">
        <f t="shared" si="25"/>
        <v/>
      </c>
      <c r="J282" s="203" t="str">
        <f>IF($H282="USD",IF(OR($I282="",$I282="-"),"",VLOOKUP($G282,為替!$A:$AX,$I282,FALSE))+$J$3,IF(OR($I282="",$I282="-"),"",VLOOKUP($G282,為替!$A:$AX,$I282,FALSE)))</f>
        <v/>
      </c>
      <c r="K282" s="204" t="str">
        <f t="shared" si="26"/>
        <v/>
      </c>
      <c r="L282" s="188" t="str">
        <f t="shared" si="27"/>
        <v/>
      </c>
      <c r="M282" s="203" t="str">
        <f>IF($H282="USD",IF(OR($L282="",$L282="-"),"",VLOOKUP($G282,為替!$A:$AX,$L282,FALSE))+$K$3,IF(OR($L282="",$L282="-"),"",VLOOKUP($G282,為替!$A:$AX,$L282,FALSE)))</f>
        <v/>
      </c>
      <c r="N282" s="204" t="str">
        <f t="shared" si="28"/>
        <v/>
      </c>
      <c r="O282" s="205" t="str">
        <f t="shared" si="24"/>
        <v/>
      </c>
      <c r="P282" s="206" t="str">
        <f t="shared" si="29"/>
        <v/>
      </c>
    </row>
    <row r="283" spans="3:16" x14ac:dyDescent="0.4">
      <c r="C283" s="199"/>
      <c r="D283" s="200"/>
      <c r="E283" s="201"/>
      <c r="F283" s="199"/>
      <c r="H283" s="202"/>
      <c r="I283" s="185" t="str">
        <f t="shared" si="25"/>
        <v/>
      </c>
      <c r="J283" s="203" t="str">
        <f>IF($H283="USD",IF(OR($I283="",$I283="-"),"",VLOOKUP($G283,為替!$A:$AX,$I283,FALSE))+$J$3,IF(OR($I283="",$I283="-"),"",VLOOKUP($G283,為替!$A:$AX,$I283,FALSE)))</f>
        <v/>
      </c>
      <c r="K283" s="204" t="str">
        <f t="shared" si="26"/>
        <v/>
      </c>
      <c r="L283" s="188" t="str">
        <f t="shared" si="27"/>
        <v/>
      </c>
      <c r="M283" s="203" t="str">
        <f>IF($H283="USD",IF(OR($L283="",$L283="-"),"",VLOOKUP($G283,為替!$A:$AX,$L283,FALSE))+$K$3,IF(OR($L283="",$L283="-"),"",VLOOKUP($G283,為替!$A:$AX,$L283,FALSE)))</f>
        <v/>
      </c>
      <c r="N283" s="204" t="str">
        <f t="shared" si="28"/>
        <v/>
      </c>
      <c r="O283" s="205" t="str">
        <f t="shared" si="24"/>
        <v/>
      </c>
      <c r="P283" s="206" t="str">
        <f t="shared" si="29"/>
        <v/>
      </c>
    </row>
    <row r="284" spans="3:16" x14ac:dyDescent="0.4">
      <c r="C284" s="199"/>
      <c r="D284" s="200"/>
      <c r="E284" s="201"/>
      <c r="F284" s="199"/>
      <c r="H284" s="202"/>
      <c r="I284" s="185" t="str">
        <f t="shared" si="25"/>
        <v/>
      </c>
      <c r="J284" s="203" t="str">
        <f>IF($H284="USD",IF(OR($I284="",$I284="-"),"",VLOOKUP($G284,為替!$A:$AX,$I284,FALSE))+$J$3,IF(OR($I284="",$I284="-"),"",VLOOKUP($G284,為替!$A:$AX,$I284,FALSE)))</f>
        <v/>
      </c>
      <c r="K284" s="204" t="str">
        <f t="shared" si="26"/>
        <v/>
      </c>
      <c r="L284" s="188" t="str">
        <f t="shared" si="27"/>
        <v/>
      </c>
      <c r="M284" s="203" t="str">
        <f>IF($H284="USD",IF(OR($L284="",$L284="-"),"",VLOOKUP($G284,為替!$A:$AX,$L284,FALSE))+$K$3,IF(OR($L284="",$L284="-"),"",VLOOKUP($G284,為替!$A:$AX,$L284,FALSE)))</f>
        <v/>
      </c>
      <c r="N284" s="204" t="str">
        <f t="shared" si="28"/>
        <v/>
      </c>
      <c r="O284" s="205" t="str">
        <f t="shared" si="24"/>
        <v/>
      </c>
      <c r="P284" s="206" t="str">
        <f t="shared" si="29"/>
        <v/>
      </c>
    </row>
    <row r="285" spans="3:16" x14ac:dyDescent="0.4">
      <c r="C285" s="199"/>
      <c r="D285" s="200"/>
      <c r="E285" s="201"/>
      <c r="F285" s="199"/>
      <c r="H285" s="202"/>
      <c r="I285" s="185" t="str">
        <f t="shared" si="25"/>
        <v/>
      </c>
      <c r="J285" s="203" t="str">
        <f>IF($H285="USD",IF(OR($I285="",$I285="-"),"",VLOOKUP($G285,為替!$A:$AX,$I285,FALSE))+$J$3,IF(OR($I285="",$I285="-"),"",VLOOKUP($G285,為替!$A:$AX,$I285,FALSE)))</f>
        <v/>
      </c>
      <c r="K285" s="204" t="str">
        <f t="shared" si="26"/>
        <v/>
      </c>
      <c r="L285" s="188" t="str">
        <f t="shared" si="27"/>
        <v/>
      </c>
      <c r="M285" s="203" t="str">
        <f>IF($H285="USD",IF(OR($L285="",$L285="-"),"",VLOOKUP($G285,為替!$A:$AX,$L285,FALSE))+$K$3,IF(OR($L285="",$L285="-"),"",VLOOKUP($G285,為替!$A:$AX,$L285,FALSE)))</f>
        <v/>
      </c>
      <c r="N285" s="204" t="str">
        <f t="shared" si="28"/>
        <v/>
      </c>
      <c r="O285" s="205" t="str">
        <f t="shared" si="24"/>
        <v/>
      </c>
      <c r="P285" s="206" t="str">
        <f t="shared" si="29"/>
        <v/>
      </c>
    </row>
    <row r="286" spans="3:16" x14ac:dyDescent="0.4">
      <c r="C286" s="199"/>
      <c r="D286" s="200"/>
      <c r="E286" s="201"/>
      <c r="F286" s="199"/>
      <c r="H286" s="202"/>
      <c r="I286" s="185" t="str">
        <f t="shared" si="25"/>
        <v/>
      </c>
      <c r="J286" s="203" t="str">
        <f>IF($H286="USD",IF(OR($I286="",$I286="-"),"",VLOOKUP($G286,為替!$A:$AX,$I286,FALSE))+$J$3,IF(OR($I286="",$I286="-"),"",VLOOKUP($G286,為替!$A:$AX,$I286,FALSE)))</f>
        <v/>
      </c>
      <c r="K286" s="204" t="str">
        <f t="shared" si="26"/>
        <v/>
      </c>
      <c r="L286" s="188" t="str">
        <f t="shared" si="27"/>
        <v/>
      </c>
      <c r="M286" s="203" t="str">
        <f>IF($H286="USD",IF(OR($L286="",$L286="-"),"",VLOOKUP($G286,為替!$A:$AX,$L286,FALSE))+$K$3,IF(OR($L286="",$L286="-"),"",VLOOKUP($G286,為替!$A:$AX,$L286,FALSE)))</f>
        <v/>
      </c>
      <c r="N286" s="204" t="str">
        <f t="shared" si="28"/>
        <v/>
      </c>
      <c r="O286" s="205" t="str">
        <f t="shared" si="24"/>
        <v/>
      </c>
      <c r="P286" s="206" t="str">
        <f t="shared" si="29"/>
        <v/>
      </c>
    </row>
    <row r="287" spans="3:16" x14ac:dyDescent="0.4">
      <c r="C287" s="199"/>
      <c r="D287" s="200"/>
      <c r="E287" s="201"/>
      <c r="F287" s="199"/>
      <c r="H287" s="202"/>
      <c r="I287" s="185" t="str">
        <f t="shared" si="25"/>
        <v/>
      </c>
      <c r="J287" s="203" t="str">
        <f>IF($H287="USD",IF(OR($I287="",$I287="-"),"",VLOOKUP($G287,為替!$A:$AX,$I287,FALSE))+$J$3,IF(OR($I287="",$I287="-"),"",VLOOKUP($G287,為替!$A:$AX,$I287,FALSE)))</f>
        <v/>
      </c>
      <c r="K287" s="204" t="str">
        <f t="shared" si="26"/>
        <v/>
      </c>
      <c r="L287" s="188" t="str">
        <f t="shared" si="27"/>
        <v/>
      </c>
      <c r="M287" s="203" t="str">
        <f>IF($H287="USD",IF(OR($L287="",$L287="-"),"",VLOOKUP($G287,為替!$A:$AX,$L287,FALSE))+$K$3,IF(OR($L287="",$L287="-"),"",VLOOKUP($G287,為替!$A:$AX,$L287,FALSE)))</f>
        <v/>
      </c>
      <c r="N287" s="204" t="str">
        <f t="shared" si="28"/>
        <v/>
      </c>
      <c r="O287" s="205" t="str">
        <f t="shared" si="24"/>
        <v/>
      </c>
      <c r="P287" s="206" t="str">
        <f t="shared" si="29"/>
        <v/>
      </c>
    </row>
    <row r="288" spans="3:16" x14ac:dyDescent="0.4">
      <c r="C288" s="199"/>
      <c r="D288" s="200"/>
      <c r="E288" s="201"/>
      <c r="F288" s="199"/>
      <c r="H288" s="202"/>
      <c r="I288" s="185" t="str">
        <f t="shared" si="25"/>
        <v/>
      </c>
      <c r="J288" s="203" t="str">
        <f>IF($H288="USD",IF(OR($I288="",$I288="-"),"",VLOOKUP($G288,為替!$A:$AX,$I288,FALSE))+$J$3,IF(OR($I288="",$I288="-"),"",VLOOKUP($G288,為替!$A:$AX,$I288,FALSE)))</f>
        <v/>
      </c>
      <c r="K288" s="204" t="str">
        <f t="shared" si="26"/>
        <v/>
      </c>
      <c r="L288" s="188" t="str">
        <f t="shared" si="27"/>
        <v/>
      </c>
      <c r="M288" s="203" t="str">
        <f>IF($H288="USD",IF(OR($L288="",$L288="-"),"",VLOOKUP($G288,為替!$A:$AX,$L288,FALSE))+$K$3,IF(OR($L288="",$L288="-"),"",VLOOKUP($G288,為替!$A:$AX,$L288,FALSE)))</f>
        <v/>
      </c>
      <c r="N288" s="204" t="str">
        <f t="shared" si="28"/>
        <v/>
      </c>
      <c r="O288" s="205" t="str">
        <f t="shared" si="24"/>
        <v/>
      </c>
      <c r="P288" s="206" t="str">
        <f t="shared" si="29"/>
        <v/>
      </c>
    </row>
    <row r="289" spans="3:16" x14ac:dyDescent="0.4">
      <c r="C289" s="199"/>
      <c r="D289" s="200"/>
      <c r="E289" s="201"/>
      <c r="F289" s="199"/>
      <c r="H289" s="202"/>
      <c r="I289" s="185" t="str">
        <f t="shared" si="25"/>
        <v/>
      </c>
      <c r="J289" s="203" t="str">
        <f>IF($H289="USD",IF(OR($I289="",$I289="-"),"",VLOOKUP($G289,為替!$A:$AX,$I289,FALSE))+$J$3,IF(OR($I289="",$I289="-"),"",VLOOKUP($G289,為替!$A:$AX,$I289,FALSE)))</f>
        <v/>
      </c>
      <c r="K289" s="204" t="str">
        <f t="shared" si="26"/>
        <v/>
      </c>
      <c r="L289" s="188" t="str">
        <f t="shared" si="27"/>
        <v/>
      </c>
      <c r="M289" s="203" t="str">
        <f>IF($H289="USD",IF(OR($L289="",$L289="-"),"",VLOOKUP($G289,為替!$A:$AX,$L289,FALSE))+$K$3,IF(OR($L289="",$L289="-"),"",VLOOKUP($G289,為替!$A:$AX,$L289,FALSE)))</f>
        <v/>
      </c>
      <c r="N289" s="204" t="str">
        <f t="shared" si="28"/>
        <v/>
      </c>
      <c r="O289" s="205" t="str">
        <f t="shared" si="24"/>
        <v/>
      </c>
      <c r="P289" s="206" t="str">
        <f t="shared" si="29"/>
        <v/>
      </c>
    </row>
    <row r="290" spans="3:16" x14ac:dyDescent="0.4">
      <c r="C290" s="199"/>
      <c r="D290" s="200"/>
      <c r="E290" s="201"/>
      <c r="F290" s="199"/>
      <c r="H290" s="202"/>
      <c r="I290" s="185" t="str">
        <f t="shared" si="25"/>
        <v/>
      </c>
      <c r="J290" s="203" t="str">
        <f>IF($H290="USD",IF(OR($I290="",$I290="-"),"",VLOOKUP($G290,為替!$A:$AX,$I290,FALSE))+$J$3,IF(OR($I290="",$I290="-"),"",VLOOKUP($G290,為替!$A:$AX,$I290,FALSE)))</f>
        <v/>
      </c>
      <c r="K290" s="204" t="str">
        <f t="shared" si="26"/>
        <v/>
      </c>
      <c r="L290" s="188" t="str">
        <f t="shared" si="27"/>
        <v/>
      </c>
      <c r="M290" s="203" t="str">
        <f>IF($H290="USD",IF(OR($L290="",$L290="-"),"",VLOOKUP($G290,為替!$A:$AX,$L290,FALSE))+$K$3,IF(OR($L290="",$L290="-"),"",VLOOKUP($G290,為替!$A:$AX,$L290,FALSE)))</f>
        <v/>
      </c>
      <c r="N290" s="204" t="str">
        <f t="shared" si="28"/>
        <v/>
      </c>
      <c r="O290" s="205" t="str">
        <f t="shared" si="24"/>
        <v/>
      </c>
      <c r="P290" s="206" t="str">
        <f t="shared" si="29"/>
        <v/>
      </c>
    </row>
    <row r="291" spans="3:16" x14ac:dyDescent="0.4">
      <c r="C291" s="199"/>
      <c r="D291" s="200"/>
      <c r="E291" s="201"/>
      <c r="F291" s="199"/>
      <c r="H291" s="202"/>
      <c r="I291" s="185" t="str">
        <f t="shared" si="25"/>
        <v/>
      </c>
      <c r="J291" s="203" t="str">
        <f>IF($H291="USD",IF(OR($I291="",$I291="-"),"",VLOOKUP($G291,為替!$A:$AX,$I291,FALSE))+$J$3,IF(OR($I291="",$I291="-"),"",VLOOKUP($G291,為替!$A:$AX,$I291,FALSE)))</f>
        <v/>
      </c>
      <c r="K291" s="204" t="str">
        <f t="shared" si="26"/>
        <v/>
      </c>
      <c r="L291" s="188" t="str">
        <f t="shared" si="27"/>
        <v/>
      </c>
      <c r="M291" s="203" t="str">
        <f>IF($H291="USD",IF(OR($L291="",$L291="-"),"",VLOOKUP($G291,為替!$A:$AX,$L291,FALSE))+$K$3,IF(OR($L291="",$L291="-"),"",VLOOKUP($G291,為替!$A:$AX,$L291,FALSE)))</f>
        <v/>
      </c>
      <c r="N291" s="204" t="str">
        <f t="shared" si="28"/>
        <v/>
      </c>
      <c r="O291" s="205" t="str">
        <f t="shared" si="24"/>
        <v/>
      </c>
      <c r="P291" s="206" t="str">
        <f t="shared" si="29"/>
        <v/>
      </c>
    </row>
    <row r="292" spans="3:16" x14ac:dyDescent="0.4">
      <c r="C292" s="199"/>
      <c r="D292" s="200"/>
      <c r="E292" s="201"/>
      <c r="F292" s="199"/>
      <c r="H292" s="202"/>
      <c r="I292" s="185" t="str">
        <f t="shared" si="25"/>
        <v/>
      </c>
      <c r="J292" s="203" t="str">
        <f>IF($H292="USD",IF(OR($I292="",$I292="-"),"",VLOOKUP($G292,為替!$A:$AX,$I292,FALSE))+$J$3,IF(OR($I292="",$I292="-"),"",VLOOKUP($G292,為替!$A:$AX,$I292,FALSE)))</f>
        <v/>
      </c>
      <c r="K292" s="204" t="str">
        <f t="shared" si="26"/>
        <v/>
      </c>
      <c r="L292" s="188" t="str">
        <f t="shared" si="27"/>
        <v/>
      </c>
      <c r="M292" s="203" t="str">
        <f>IF($H292="USD",IF(OR($L292="",$L292="-"),"",VLOOKUP($G292,為替!$A:$AX,$L292,FALSE))+$K$3,IF(OR($L292="",$L292="-"),"",VLOOKUP($G292,為替!$A:$AX,$L292,FALSE)))</f>
        <v/>
      </c>
      <c r="N292" s="204" t="str">
        <f t="shared" si="28"/>
        <v/>
      </c>
      <c r="O292" s="205" t="str">
        <f t="shared" si="24"/>
        <v/>
      </c>
      <c r="P292" s="206" t="str">
        <f t="shared" si="29"/>
        <v/>
      </c>
    </row>
    <row r="293" spans="3:16" x14ac:dyDescent="0.4">
      <c r="C293" s="199"/>
      <c r="D293" s="200"/>
      <c r="E293" s="201"/>
      <c r="F293" s="199"/>
      <c r="H293" s="202"/>
      <c r="I293" s="185" t="str">
        <f t="shared" si="25"/>
        <v/>
      </c>
      <c r="J293" s="203" t="str">
        <f>IF($H293="USD",IF(OR($I293="",$I293="-"),"",VLOOKUP($G293,為替!$A:$AX,$I293,FALSE))+$J$3,IF(OR($I293="",$I293="-"),"",VLOOKUP($G293,為替!$A:$AX,$I293,FALSE)))</f>
        <v/>
      </c>
      <c r="K293" s="204" t="str">
        <f t="shared" si="26"/>
        <v/>
      </c>
      <c r="L293" s="188" t="str">
        <f t="shared" si="27"/>
        <v/>
      </c>
      <c r="M293" s="203" t="str">
        <f>IF($H293="USD",IF(OR($L293="",$L293="-"),"",VLOOKUP($G293,為替!$A:$AX,$L293,FALSE))+$K$3,IF(OR($L293="",$L293="-"),"",VLOOKUP($G293,為替!$A:$AX,$L293,FALSE)))</f>
        <v/>
      </c>
      <c r="N293" s="204" t="str">
        <f t="shared" si="28"/>
        <v/>
      </c>
      <c r="O293" s="205" t="str">
        <f t="shared" si="24"/>
        <v/>
      </c>
      <c r="P293" s="206" t="str">
        <f t="shared" si="29"/>
        <v/>
      </c>
    </row>
    <row r="294" spans="3:16" x14ac:dyDescent="0.4">
      <c r="C294" s="199"/>
      <c r="D294" s="200"/>
      <c r="E294" s="201"/>
      <c r="F294" s="199"/>
      <c r="H294" s="202"/>
      <c r="I294" s="185" t="str">
        <f t="shared" si="25"/>
        <v/>
      </c>
      <c r="J294" s="203" t="str">
        <f>IF($H294="USD",IF(OR($I294="",$I294="-"),"",VLOOKUP($G294,為替!$A:$AX,$I294,FALSE))+$J$3,IF(OR($I294="",$I294="-"),"",VLOOKUP($G294,為替!$A:$AX,$I294,FALSE)))</f>
        <v/>
      </c>
      <c r="K294" s="204" t="str">
        <f t="shared" si="26"/>
        <v/>
      </c>
      <c r="L294" s="188" t="str">
        <f t="shared" si="27"/>
        <v/>
      </c>
      <c r="M294" s="203" t="str">
        <f>IF($H294="USD",IF(OR($L294="",$L294="-"),"",VLOOKUP($G294,為替!$A:$AX,$L294,FALSE))+$K$3,IF(OR($L294="",$L294="-"),"",VLOOKUP($G294,為替!$A:$AX,$L294,FALSE)))</f>
        <v/>
      </c>
      <c r="N294" s="204" t="str">
        <f t="shared" si="28"/>
        <v/>
      </c>
      <c r="O294" s="205" t="str">
        <f t="shared" si="24"/>
        <v/>
      </c>
      <c r="P294" s="206" t="str">
        <f t="shared" si="29"/>
        <v/>
      </c>
    </row>
    <row r="295" spans="3:16" x14ac:dyDescent="0.4">
      <c r="C295" s="199"/>
      <c r="D295" s="200"/>
      <c r="E295" s="201"/>
      <c r="F295" s="199"/>
      <c r="H295" s="202"/>
      <c r="I295" s="185" t="str">
        <f t="shared" si="25"/>
        <v/>
      </c>
      <c r="J295" s="203" t="str">
        <f>IF($H295="USD",IF(OR($I295="",$I295="-"),"",VLOOKUP($G295,為替!$A:$AX,$I295,FALSE))+$J$3,IF(OR($I295="",$I295="-"),"",VLOOKUP($G295,為替!$A:$AX,$I295,FALSE)))</f>
        <v/>
      </c>
      <c r="K295" s="204" t="str">
        <f t="shared" si="26"/>
        <v/>
      </c>
      <c r="L295" s="188" t="str">
        <f t="shared" si="27"/>
        <v/>
      </c>
      <c r="M295" s="203" t="str">
        <f>IF($H295="USD",IF(OR($L295="",$L295="-"),"",VLOOKUP($G295,為替!$A:$AX,$L295,FALSE))+$K$3,IF(OR($L295="",$L295="-"),"",VLOOKUP($G295,為替!$A:$AX,$L295,FALSE)))</f>
        <v/>
      </c>
      <c r="N295" s="204" t="str">
        <f t="shared" si="28"/>
        <v/>
      </c>
      <c r="O295" s="205" t="str">
        <f t="shared" si="24"/>
        <v/>
      </c>
      <c r="P295" s="206" t="str">
        <f t="shared" si="29"/>
        <v/>
      </c>
    </row>
    <row r="296" spans="3:16" x14ac:dyDescent="0.4">
      <c r="C296" s="199"/>
      <c r="D296" s="200"/>
      <c r="E296" s="201"/>
      <c r="F296" s="199"/>
      <c r="H296" s="202"/>
      <c r="I296" s="185" t="str">
        <f t="shared" si="25"/>
        <v/>
      </c>
      <c r="J296" s="203" t="str">
        <f>IF($H296="USD",IF(OR($I296="",$I296="-"),"",VLOOKUP($G296,為替!$A:$AX,$I296,FALSE))+$J$3,IF(OR($I296="",$I296="-"),"",VLOOKUP($G296,為替!$A:$AX,$I296,FALSE)))</f>
        <v/>
      </c>
      <c r="K296" s="204" t="str">
        <f t="shared" si="26"/>
        <v/>
      </c>
      <c r="L296" s="188" t="str">
        <f t="shared" si="27"/>
        <v/>
      </c>
      <c r="M296" s="203" t="str">
        <f>IF($H296="USD",IF(OR($L296="",$L296="-"),"",VLOOKUP($G296,為替!$A:$AX,$L296,FALSE))+$K$3,IF(OR($L296="",$L296="-"),"",VLOOKUP($G296,為替!$A:$AX,$L296,FALSE)))</f>
        <v/>
      </c>
      <c r="N296" s="204" t="str">
        <f t="shared" si="28"/>
        <v/>
      </c>
      <c r="O296" s="205" t="str">
        <f t="shared" si="24"/>
        <v/>
      </c>
      <c r="P296" s="206" t="str">
        <f t="shared" si="29"/>
        <v/>
      </c>
    </row>
    <row r="297" spans="3:16" x14ac:dyDescent="0.4">
      <c r="C297" s="199"/>
      <c r="D297" s="200"/>
      <c r="E297" s="201"/>
      <c r="F297" s="199"/>
      <c r="H297" s="202"/>
      <c r="I297" s="185" t="str">
        <f t="shared" si="25"/>
        <v/>
      </c>
      <c r="J297" s="203" t="str">
        <f>IF($H297="USD",IF(OR($I297="",$I297="-"),"",VLOOKUP($G297,為替!$A:$AX,$I297,FALSE))+$J$3,IF(OR($I297="",$I297="-"),"",VLOOKUP($G297,為替!$A:$AX,$I297,FALSE)))</f>
        <v/>
      </c>
      <c r="K297" s="204" t="str">
        <f t="shared" si="26"/>
        <v/>
      </c>
      <c r="L297" s="188" t="str">
        <f t="shared" si="27"/>
        <v/>
      </c>
      <c r="M297" s="203" t="str">
        <f>IF($H297="USD",IF(OR($L297="",$L297="-"),"",VLOOKUP($G297,為替!$A:$AX,$L297,FALSE))+$K$3,IF(OR($L297="",$L297="-"),"",VLOOKUP($G297,為替!$A:$AX,$L297,FALSE)))</f>
        <v/>
      </c>
      <c r="N297" s="204" t="str">
        <f t="shared" si="28"/>
        <v/>
      </c>
      <c r="O297" s="205" t="str">
        <f t="shared" si="24"/>
        <v/>
      </c>
      <c r="P297" s="206" t="str">
        <f t="shared" si="29"/>
        <v/>
      </c>
    </row>
    <row r="298" spans="3:16" x14ac:dyDescent="0.4">
      <c r="C298" s="199"/>
      <c r="D298" s="200"/>
      <c r="E298" s="201"/>
      <c r="F298" s="199"/>
      <c r="H298" s="202"/>
      <c r="I298" s="185" t="str">
        <f t="shared" si="25"/>
        <v/>
      </c>
      <c r="J298" s="203" t="str">
        <f>IF($H298="USD",IF(OR($I298="",$I298="-"),"",VLOOKUP($G298,為替!$A:$AX,$I298,FALSE))+$J$3,IF(OR($I298="",$I298="-"),"",VLOOKUP($G298,為替!$A:$AX,$I298,FALSE)))</f>
        <v/>
      </c>
      <c r="K298" s="204" t="str">
        <f t="shared" si="26"/>
        <v/>
      </c>
      <c r="L298" s="188" t="str">
        <f t="shared" si="27"/>
        <v/>
      </c>
      <c r="M298" s="203" t="str">
        <f>IF($H298="USD",IF(OR($L298="",$L298="-"),"",VLOOKUP($G298,為替!$A:$AX,$L298,FALSE))+$K$3,IF(OR($L298="",$L298="-"),"",VLOOKUP($G298,為替!$A:$AX,$L298,FALSE)))</f>
        <v/>
      </c>
      <c r="N298" s="204" t="str">
        <f t="shared" si="28"/>
        <v/>
      </c>
      <c r="O298" s="205" t="str">
        <f t="shared" si="24"/>
        <v/>
      </c>
      <c r="P298" s="206" t="str">
        <f t="shared" si="29"/>
        <v/>
      </c>
    </row>
    <row r="299" spans="3:16" x14ac:dyDescent="0.4">
      <c r="C299" s="199"/>
      <c r="D299" s="200"/>
      <c r="E299" s="201"/>
      <c r="F299" s="199"/>
      <c r="H299" s="202"/>
      <c r="I299" s="185" t="str">
        <f t="shared" si="25"/>
        <v/>
      </c>
      <c r="J299" s="203" t="str">
        <f>IF($H299="USD",IF(OR($I299="",$I299="-"),"",VLOOKUP($G299,為替!$A:$AX,$I299,FALSE))+$J$3,IF(OR($I299="",$I299="-"),"",VLOOKUP($G299,為替!$A:$AX,$I299,FALSE)))</f>
        <v/>
      </c>
      <c r="K299" s="204" t="str">
        <f t="shared" si="26"/>
        <v/>
      </c>
      <c r="L299" s="188" t="str">
        <f t="shared" si="27"/>
        <v/>
      </c>
      <c r="M299" s="203" t="str">
        <f>IF($H299="USD",IF(OR($L299="",$L299="-"),"",VLOOKUP($G299,為替!$A:$AX,$L299,FALSE))+$K$3,IF(OR($L299="",$L299="-"),"",VLOOKUP($G299,為替!$A:$AX,$L299,FALSE)))</f>
        <v/>
      </c>
      <c r="N299" s="204" t="str">
        <f t="shared" si="28"/>
        <v/>
      </c>
      <c r="O299" s="205" t="str">
        <f t="shared" si="24"/>
        <v/>
      </c>
      <c r="P299" s="206" t="str">
        <f t="shared" si="29"/>
        <v/>
      </c>
    </row>
    <row r="300" spans="3:16" x14ac:dyDescent="0.4">
      <c r="C300" s="199"/>
      <c r="D300" s="200"/>
      <c r="E300" s="201"/>
      <c r="F300" s="199"/>
      <c r="H300" s="202"/>
      <c r="I300" s="185" t="str">
        <f t="shared" si="25"/>
        <v/>
      </c>
      <c r="J300" s="203" t="str">
        <f>IF($H300="USD",IF(OR($I300="",$I300="-"),"",VLOOKUP($G300,為替!$A:$AX,$I300,FALSE))+$J$3,IF(OR($I300="",$I300="-"),"",VLOOKUP($G300,為替!$A:$AX,$I300,FALSE)))</f>
        <v/>
      </c>
      <c r="K300" s="204" t="str">
        <f t="shared" si="26"/>
        <v/>
      </c>
      <c r="L300" s="188" t="str">
        <f t="shared" si="27"/>
        <v/>
      </c>
      <c r="M300" s="203" t="str">
        <f>IF($H300="USD",IF(OR($L300="",$L300="-"),"",VLOOKUP($G300,為替!$A:$AX,$L300,FALSE))+$K$3,IF(OR($L300="",$L300="-"),"",VLOOKUP($G300,為替!$A:$AX,$L300,FALSE)))</f>
        <v/>
      </c>
      <c r="N300" s="204" t="str">
        <f t="shared" si="28"/>
        <v/>
      </c>
      <c r="O300" s="205" t="str">
        <f t="shared" si="24"/>
        <v/>
      </c>
      <c r="P300" s="206" t="str">
        <f t="shared" si="29"/>
        <v/>
      </c>
    </row>
    <row r="301" spans="3:16" x14ac:dyDescent="0.4">
      <c r="C301" s="199"/>
      <c r="D301" s="200"/>
      <c r="E301" s="201"/>
      <c r="F301" s="199"/>
      <c r="H301" s="202"/>
      <c r="I301" s="185" t="str">
        <f t="shared" si="25"/>
        <v/>
      </c>
      <c r="J301" s="203" t="str">
        <f>IF($H301="USD",IF(OR($I301="",$I301="-"),"",VLOOKUP($G301,為替!$A:$AX,$I301,FALSE))+$J$3,IF(OR($I301="",$I301="-"),"",VLOOKUP($G301,為替!$A:$AX,$I301,FALSE)))</f>
        <v/>
      </c>
      <c r="K301" s="204" t="str">
        <f t="shared" si="26"/>
        <v/>
      </c>
      <c r="L301" s="188" t="str">
        <f t="shared" si="27"/>
        <v/>
      </c>
      <c r="M301" s="203" t="str">
        <f>IF($H301="USD",IF(OR($L301="",$L301="-"),"",VLOOKUP($G301,為替!$A:$AX,$L301,FALSE))+$K$3,IF(OR($L301="",$L301="-"),"",VLOOKUP($G301,為替!$A:$AX,$L301,FALSE)))</f>
        <v/>
      </c>
      <c r="N301" s="204" t="str">
        <f t="shared" si="28"/>
        <v/>
      </c>
      <c r="O301" s="205" t="str">
        <f t="shared" si="24"/>
        <v/>
      </c>
      <c r="P301" s="206" t="str">
        <f t="shared" si="29"/>
        <v/>
      </c>
    </row>
    <row r="302" spans="3:16" x14ac:dyDescent="0.4">
      <c r="C302" s="199"/>
      <c r="D302" s="200"/>
      <c r="E302" s="201"/>
      <c r="F302" s="199"/>
      <c r="H302" s="202"/>
      <c r="I302" s="185" t="str">
        <f t="shared" si="25"/>
        <v/>
      </c>
      <c r="J302" s="203" t="str">
        <f>IF($H302="USD",IF(OR($I302="",$I302="-"),"",VLOOKUP($G302,為替!$A:$AX,$I302,FALSE))+$J$3,IF(OR($I302="",$I302="-"),"",VLOOKUP($G302,為替!$A:$AX,$I302,FALSE)))</f>
        <v/>
      </c>
      <c r="K302" s="204" t="str">
        <f t="shared" si="26"/>
        <v/>
      </c>
      <c r="L302" s="188" t="str">
        <f t="shared" si="27"/>
        <v/>
      </c>
      <c r="M302" s="203" t="str">
        <f>IF($H302="USD",IF(OR($L302="",$L302="-"),"",VLOOKUP($G302,為替!$A:$AX,$L302,FALSE))+$K$3,IF(OR($L302="",$L302="-"),"",VLOOKUP($G302,為替!$A:$AX,$L302,FALSE)))</f>
        <v/>
      </c>
      <c r="N302" s="204" t="str">
        <f t="shared" si="28"/>
        <v/>
      </c>
      <c r="O302" s="205" t="str">
        <f t="shared" si="24"/>
        <v/>
      </c>
      <c r="P302" s="206" t="str">
        <f t="shared" si="29"/>
        <v/>
      </c>
    </row>
    <row r="303" spans="3:16" x14ac:dyDescent="0.4">
      <c r="C303" s="199"/>
      <c r="D303" s="200"/>
      <c r="E303" s="201"/>
      <c r="F303" s="199"/>
      <c r="H303" s="202"/>
      <c r="I303" s="185" t="str">
        <f t="shared" si="25"/>
        <v/>
      </c>
      <c r="J303" s="203" t="str">
        <f>IF($H303="USD",IF(OR($I303="",$I303="-"),"",VLOOKUP($G303,為替!$A:$AX,$I303,FALSE))+$J$3,IF(OR($I303="",$I303="-"),"",VLOOKUP($G303,為替!$A:$AX,$I303,FALSE)))</f>
        <v/>
      </c>
      <c r="K303" s="204" t="str">
        <f t="shared" si="26"/>
        <v/>
      </c>
      <c r="L303" s="188" t="str">
        <f t="shared" si="27"/>
        <v/>
      </c>
      <c r="M303" s="203" t="str">
        <f>IF($H303="USD",IF(OR($L303="",$L303="-"),"",VLOOKUP($G303,為替!$A:$AX,$L303,FALSE))+$K$3,IF(OR($L303="",$L303="-"),"",VLOOKUP($G303,為替!$A:$AX,$L303,FALSE)))</f>
        <v/>
      </c>
      <c r="N303" s="204" t="str">
        <f t="shared" si="28"/>
        <v/>
      </c>
      <c r="O303" s="205" t="str">
        <f t="shared" si="24"/>
        <v/>
      </c>
      <c r="P303" s="206" t="str">
        <f t="shared" si="29"/>
        <v/>
      </c>
    </row>
    <row r="304" spans="3:16" x14ac:dyDescent="0.4">
      <c r="C304" s="199"/>
      <c r="D304" s="200"/>
      <c r="E304" s="201"/>
      <c r="F304" s="199"/>
      <c r="H304" s="202"/>
      <c r="I304" s="185" t="str">
        <f t="shared" si="25"/>
        <v/>
      </c>
      <c r="J304" s="203" t="str">
        <f>IF($H304="USD",IF(OR($I304="",$I304="-"),"",VLOOKUP($G304,為替!$A:$AX,$I304,FALSE))+$J$3,IF(OR($I304="",$I304="-"),"",VLOOKUP($G304,為替!$A:$AX,$I304,FALSE)))</f>
        <v/>
      </c>
      <c r="K304" s="204" t="str">
        <f t="shared" si="26"/>
        <v/>
      </c>
      <c r="L304" s="188" t="str">
        <f t="shared" si="27"/>
        <v/>
      </c>
      <c r="M304" s="203" t="str">
        <f>IF($H304="USD",IF(OR($L304="",$L304="-"),"",VLOOKUP($G304,為替!$A:$AX,$L304,FALSE))+$K$3,IF(OR($L304="",$L304="-"),"",VLOOKUP($G304,為替!$A:$AX,$L304,FALSE)))</f>
        <v/>
      </c>
      <c r="N304" s="204" t="str">
        <f t="shared" si="28"/>
        <v/>
      </c>
      <c r="O304" s="205" t="str">
        <f t="shared" si="24"/>
        <v/>
      </c>
      <c r="P304" s="206" t="str">
        <f t="shared" si="29"/>
        <v/>
      </c>
    </row>
    <row r="305" spans="3:16" x14ac:dyDescent="0.4">
      <c r="C305" s="199"/>
      <c r="D305" s="200"/>
      <c r="E305" s="201"/>
      <c r="F305" s="199"/>
      <c r="H305" s="202"/>
      <c r="I305" s="185" t="str">
        <f t="shared" si="25"/>
        <v/>
      </c>
      <c r="J305" s="203" t="str">
        <f>IF($H305="USD",IF(OR($I305="",$I305="-"),"",VLOOKUP($G305,為替!$A:$AX,$I305,FALSE))+$J$3,IF(OR($I305="",$I305="-"),"",VLOOKUP($G305,為替!$A:$AX,$I305,FALSE)))</f>
        <v/>
      </c>
      <c r="K305" s="204" t="str">
        <f t="shared" si="26"/>
        <v/>
      </c>
      <c r="L305" s="188" t="str">
        <f t="shared" si="27"/>
        <v/>
      </c>
      <c r="M305" s="203" t="str">
        <f>IF($H305="USD",IF(OR($L305="",$L305="-"),"",VLOOKUP($G305,為替!$A:$AX,$L305,FALSE))+$K$3,IF(OR($L305="",$L305="-"),"",VLOOKUP($G305,為替!$A:$AX,$L305,FALSE)))</f>
        <v/>
      </c>
      <c r="N305" s="204" t="str">
        <f t="shared" si="28"/>
        <v/>
      </c>
      <c r="O305" s="205" t="str">
        <f t="shared" si="24"/>
        <v/>
      </c>
      <c r="P305" s="206" t="str">
        <f t="shared" si="29"/>
        <v/>
      </c>
    </row>
    <row r="306" spans="3:16" x14ac:dyDescent="0.4">
      <c r="C306" s="199"/>
      <c r="D306" s="200"/>
      <c r="E306" s="201"/>
      <c r="F306" s="199"/>
      <c r="H306" s="202"/>
      <c r="I306" s="185" t="str">
        <f t="shared" si="25"/>
        <v/>
      </c>
      <c r="J306" s="203" t="str">
        <f>IF($H306="USD",IF(OR($I306="",$I306="-"),"",VLOOKUP($G306,為替!$A:$AX,$I306,FALSE))+$J$3,IF(OR($I306="",$I306="-"),"",VLOOKUP($G306,為替!$A:$AX,$I306,FALSE)))</f>
        <v/>
      </c>
      <c r="K306" s="204" t="str">
        <f t="shared" si="26"/>
        <v/>
      </c>
      <c r="L306" s="188" t="str">
        <f t="shared" si="27"/>
        <v/>
      </c>
      <c r="M306" s="203" t="str">
        <f>IF($H306="USD",IF(OR($L306="",$L306="-"),"",VLOOKUP($G306,為替!$A:$AX,$L306,FALSE))+$K$3,IF(OR($L306="",$L306="-"),"",VLOOKUP($G306,為替!$A:$AX,$L306,FALSE)))</f>
        <v/>
      </c>
      <c r="N306" s="204" t="str">
        <f t="shared" si="28"/>
        <v/>
      </c>
      <c r="O306" s="205" t="str">
        <f t="shared" si="24"/>
        <v/>
      </c>
      <c r="P306" s="206" t="str">
        <f t="shared" si="29"/>
        <v/>
      </c>
    </row>
    <row r="307" spans="3:16" x14ac:dyDescent="0.4">
      <c r="C307" s="199"/>
      <c r="D307" s="200"/>
      <c r="E307" s="201"/>
      <c r="F307" s="199"/>
      <c r="H307" s="202"/>
      <c r="I307" s="185" t="str">
        <f t="shared" si="25"/>
        <v/>
      </c>
      <c r="J307" s="203" t="str">
        <f>IF($H307="USD",IF(OR($I307="",$I307="-"),"",VLOOKUP($G307,為替!$A:$AX,$I307,FALSE))+$J$3,IF(OR($I307="",$I307="-"),"",VLOOKUP($G307,為替!$A:$AX,$I307,FALSE)))</f>
        <v/>
      </c>
      <c r="K307" s="204" t="str">
        <f t="shared" si="26"/>
        <v/>
      </c>
      <c r="L307" s="188" t="str">
        <f t="shared" si="27"/>
        <v/>
      </c>
      <c r="M307" s="203" t="str">
        <f>IF($H307="USD",IF(OR($L307="",$L307="-"),"",VLOOKUP($G307,為替!$A:$AX,$L307,FALSE))+$K$3,IF(OR($L307="",$L307="-"),"",VLOOKUP($G307,為替!$A:$AX,$L307,FALSE)))</f>
        <v/>
      </c>
      <c r="N307" s="204" t="str">
        <f t="shared" si="28"/>
        <v/>
      </c>
      <c r="O307" s="205" t="str">
        <f t="shared" si="24"/>
        <v/>
      </c>
      <c r="P307" s="206" t="str">
        <f t="shared" si="29"/>
        <v/>
      </c>
    </row>
    <row r="308" spans="3:16" x14ac:dyDescent="0.4">
      <c r="C308" s="199"/>
      <c r="D308" s="200"/>
      <c r="E308" s="201"/>
      <c r="F308" s="199"/>
      <c r="H308" s="202"/>
      <c r="I308" s="185" t="str">
        <f t="shared" si="25"/>
        <v/>
      </c>
      <c r="J308" s="203" t="str">
        <f>IF($H308="USD",IF(OR($I308="",$I308="-"),"",VLOOKUP($G308,為替!$A:$AX,$I308,FALSE))+$J$3,IF(OR($I308="",$I308="-"),"",VLOOKUP($G308,為替!$A:$AX,$I308,FALSE)))</f>
        <v/>
      </c>
      <c r="K308" s="204" t="str">
        <f t="shared" si="26"/>
        <v/>
      </c>
      <c r="L308" s="188" t="str">
        <f t="shared" si="27"/>
        <v/>
      </c>
      <c r="M308" s="203" t="str">
        <f>IF($H308="USD",IF(OR($L308="",$L308="-"),"",VLOOKUP($G308,為替!$A:$AX,$L308,FALSE))+$K$3,IF(OR($L308="",$L308="-"),"",VLOOKUP($G308,為替!$A:$AX,$L308,FALSE)))</f>
        <v/>
      </c>
      <c r="N308" s="204" t="str">
        <f t="shared" si="28"/>
        <v/>
      </c>
      <c r="O308" s="205" t="str">
        <f t="shared" si="24"/>
        <v/>
      </c>
      <c r="P308" s="206" t="str">
        <f t="shared" si="29"/>
        <v/>
      </c>
    </row>
    <row r="309" spans="3:16" x14ac:dyDescent="0.4">
      <c r="C309" s="199"/>
      <c r="D309" s="200"/>
      <c r="E309" s="201"/>
      <c r="F309" s="199"/>
      <c r="H309" s="202"/>
      <c r="I309" s="185" t="str">
        <f t="shared" si="25"/>
        <v/>
      </c>
      <c r="J309" s="203" t="str">
        <f>IF($H309="USD",IF(OR($I309="",$I309="-"),"",VLOOKUP($G309,為替!$A:$AX,$I309,FALSE))+$J$3,IF(OR($I309="",$I309="-"),"",VLOOKUP($G309,為替!$A:$AX,$I309,FALSE)))</f>
        <v/>
      </c>
      <c r="K309" s="204" t="str">
        <f t="shared" si="26"/>
        <v/>
      </c>
      <c r="L309" s="188" t="str">
        <f t="shared" si="27"/>
        <v/>
      </c>
      <c r="M309" s="203" t="str">
        <f>IF($H309="USD",IF(OR($L309="",$L309="-"),"",VLOOKUP($G309,為替!$A:$AX,$L309,FALSE))+$K$3,IF(OR($L309="",$L309="-"),"",VLOOKUP($G309,為替!$A:$AX,$L309,FALSE)))</f>
        <v/>
      </c>
      <c r="N309" s="204" t="str">
        <f t="shared" si="28"/>
        <v/>
      </c>
      <c r="O309" s="205" t="str">
        <f t="shared" si="24"/>
        <v/>
      </c>
      <c r="P309" s="206" t="str">
        <f t="shared" si="29"/>
        <v/>
      </c>
    </row>
    <row r="310" spans="3:16" x14ac:dyDescent="0.4">
      <c r="C310" s="199"/>
      <c r="D310" s="200"/>
      <c r="E310" s="201"/>
      <c r="F310" s="199"/>
      <c r="H310" s="202"/>
      <c r="I310" s="185" t="str">
        <f t="shared" si="25"/>
        <v/>
      </c>
      <c r="J310" s="203" t="str">
        <f>IF($H310="USD",IF(OR($I310="",$I310="-"),"",VLOOKUP($G310,為替!$A:$AX,$I310,FALSE))+$J$3,IF(OR($I310="",$I310="-"),"",VLOOKUP($G310,為替!$A:$AX,$I310,FALSE)))</f>
        <v/>
      </c>
      <c r="K310" s="204" t="str">
        <f t="shared" si="26"/>
        <v/>
      </c>
      <c r="L310" s="188" t="str">
        <f t="shared" si="27"/>
        <v/>
      </c>
      <c r="M310" s="203" t="str">
        <f>IF($H310="USD",IF(OR($L310="",$L310="-"),"",VLOOKUP($G310,為替!$A:$AX,$L310,FALSE))+$K$3,IF(OR($L310="",$L310="-"),"",VLOOKUP($G310,為替!$A:$AX,$L310,FALSE)))</f>
        <v/>
      </c>
      <c r="N310" s="204" t="str">
        <f t="shared" si="28"/>
        <v/>
      </c>
      <c r="O310" s="205" t="str">
        <f t="shared" si="24"/>
        <v/>
      </c>
      <c r="P310" s="206" t="str">
        <f t="shared" si="29"/>
        <v/>
      </c>
    </row>
    <row r="311" spans="3:16" x14ac:dyDescent="0.4">
      <c r="C311" s="199"/>
      <c r="D311" s="200"/>
      <c r="E311" s="201"/>
      <c r="F311" s="199"/>
      <c r="H311" s="202"/>
      <c r="I311" s="185" t="str">
        <f t="shared" si="25"/>
        <v/>
      </c>
      <c r="J311" s="203" t="str">
        <f>IF($H311="USD",IF(OR($I311="",$I311="-"),"",VLOOKUP($G311,為替!$A:$AX,$I311,FALSE))+$J$3,IF(OR($I311="",$I311="-"),"",VLOOKUP($G311,為替!$A:$AX,$I311,FALSE)))</f>
        <v/>
      </c>
      <c r="K311" s="204" t="str">
        <f t="shared" si="26"/>
        <v/>
      </c>
      <c r="L311" s="188" t="str">
        <f t="shared" si="27"/>
        <v/>
      </c>
      <c r="M311" s="203" t="str">
        <f>IF($H311="USD",IF(OR($L311="",$L311="-"),"",VLOOKUP($G311,為替!$A:$AX,$L311,FALSE))+$K$3,IF(OR($L311="",$L311="-"),"",VLOOKUP($G311,為替!$A:$AX,$L311,FALSE)))</f>
        <v/>
      </c>
      <c r="N311" s="204" t="str">
        <f t="shared" si="28"/>
        <v/>
      </c>
      <c r="O311" s="205" t="str">
        <f t="shared" si="24"/>
        <v/>
      </c>
      <c r="P311" s="206" t="str">
        <f t="shared" si="29"/>
        <v/>
      </c>
    </row>
    <row r="312" spans="3:16" x14ac:dyDescent="0.4">
      <c r="C312" s="199"/>
      <c r="D312" s="200"/>
      <c r="E312" s="201"/>
      <c r="F312" s="199"/>
      <c r="H312" s="202"/>
      <c r="I312" s="185" t="str">
        <f t="shared" si="25"/>
        <v/>
      </c>
      <c r="J312" s="203" t="str">
        <f>IF($H312="USD",IF(OR($I312="",$I312="-"),"",VLOOKUP($G312,為替!$A:$AX,$I312,FALSE))+$J$3,IF(OR($I312="",$I312="-"),"",VLOOKUP($G312,為替!$A:$AX,$I312,FALSE)))</f>
        <v/>
      </c>
      <c r="K312" s="204" t="str">
        <f t="shared" si="26"/>
        <v/>
      </c>
      <c r="L312" s="188" t="str">
        <f t="shared" si="27"/>
        <v/>
      </c>
      <c r="M312" s="203" t="str">
        <f>IF($H312="USD",IF(OR($L312="",$L312="-"),"",VLOOKUP($G312,為替!$A:$AX,$L312,FALSE))+$K$3,IF(OR($L312="",$L312="-"),"",VLOOKUP($G312,為替!$A:$AX,$L312,FALSE)))</f>
        <v/>
      </c>
      <c r="N312" s="204" t="str">
        <f t="shared" si="28"/>
        <v/>
      </c>
      <c r="O312" s="205" t="str">
        <f t="shared" si="24"/>
        <v/>
      </c>
      <c r="P312" s="206" t="str">
        <f t="shared" si="29"/>
        <v/>
      </c>
    </row>
    <row r="313" spans="3:16" x14ac:dyDescent="0.4">
      <c r="C313" s="199"/>
      <c r="D313" s="200"/>
      <c r="E313" s="201"/>
      <c r="F313" s="199"/>
      <c r="H313" s="202"/>
      <c r="I313" s="185" t="str">
        <f t="shared" si="25"/>
        <v/>
      </c>
      <c r="J313" s="203" t="str">
        <f>IF($H313="USD",IF(OR($I313="",$I313="-"),"",VLOOKUP($G313,為替!$A:$AX,$I313,FALSE))+$J$3,IF(OR($I313="",$I313="-"),"",VLOOKUP($G313,為替!$A:$AX,$I313,FALSE)))</f>
        <v/>
      </c>
      <c r="K313" s="204" t="str">
        <f t="shared" si="26"/>
        <v/>
      </c>
      <c r="L313" s="188" t="str">
        <f t="shared" si="27"/>
        <v/>
      </c>
      <c r="M313" s="203" t="str">
        <f>IF($H313="USD",IF(OR($L313="",$L313="-"),"",VLOOKUP($G313,為替!$A:$AX,$L313,FALSE))+$K$3,IF(OR($L313="",$L313="-"),"",VLOOKUP($G313,為替!$A:$AX,$L313,FALSE)))</f>
        <v/>
      </c>
      <c r="N313" s="204" t="str">
        <f t="shared" si="28"/>
        <v/>
      </c>
      <c r="O313" s="205" t="str">
        <f t="shared" si="24"/>
        <v/>
      </c>
      <c r="P313" s="206" t="str">
        <f t="shared" si="29"/>
        <v/>
      </c>
    </row>
    <row r="314" spans="3:16" x14ac:dyDescent="0.4">
      <c r="C314" s="199"/>
      <c r="D314" s="200"/>
      <c r="E314" s="201"/>
      <c r="F314" s="199"/>
      <c r="H314" s="202"/>
      <c r="I314" s="185" t="str">
        <f t="shared" si="25"/>
        <v/>
      </c>
      <c r="J314" s="203" t="str">
        <f>IF($H314="USD",IF(OR($I314="",$I314="-"),"",VLOOKUP($G314,為替!$A:$AX,$I314,FALSE))+$J$3,IF(OR($I314="",$I314="-"),"",VLOOKUP($G314,為替!$A:$AX,$I314,FALSE)))</f>
        <v/>
      </c>
      <c r="K314" s="204" t="str">
        <f t="shared" si="26"/>
        <v/>
      </c>
      <c r="L314" s="188" t="str">
        <f t="shared" si="27"/>
        <v/>
      </c>
      <c r="M314" s="203" t="str">
        <f>IF($H314="USD",IF(OR($L314="",$L314="-"),"",VLOOKUP($G314,為替!$A:$AX,$L314,FALSE))+$K$3,IF(OR($L314="",$L314="-"),"",VLOOKUP($G314,為替!$A:$AX,$L314,FALSE)))</f>
        <v/>
      </c>
      <c r="N314" s="204" t="str">
        <f t="shared" si="28"/>
        <v/>
      </c>
      <c r="O314" s="205" t="str">
        <f t="shared" si="24"/>
        <v/>
      </c>
      <c r="P314" s="206" t="str">
        <f t="shared" si="29"/>
        <v/>
      </c>
    </row>
    <row r="315" spans="3:16" x14ac:dyDescent="0.4">
      <c r="C315" s="199"/>
      <c r="D315" s="200"/>
      <c r="E315" s="201"/>
      <c r="F315" s="199"/>
      <c r="H315" s="202"/>
      <c r="I315" s="185" t="str">
        <f t="shared" si="25"/>
        <v/>
      </c>
      <c r="J315" s="203" t="str">
        <f>IF($H315="USD",IF(OR($I315="",$I315="-"),"",VLOOKUP($G315,為替!$A:$AX,$I315,FALSE))+$J$3,IF(OR($I315="",$I315="-"),"",VLOOKUP($G315,為替!$A:$AX,$I315,FALSE)))</f>
        <v/>
      </c>
      <c r="K315" s="204" t="str">
        <f t="shared" si="26"/>
        <v/>
      </c>
      <c r="L315" s="188" t="str">
        <f t="shared" si="27"/>
        <v/>
      </c>
      <c r="M315" s="203" t="str">
        <f>IF($H315="USD",IF(OR($L315="",$L315="-"),"",VLOOKUP($G315,為替!$A:$AX,$L315,FALSE))+$K$3,IF(OR($L315="",$L315="-"),"",VLOOKUP($G315,為替!$A:$AX,$L315,FALSE)))</f>
        <v/>
      </c>
      <c r="N315" s="204" t="str">
        <f t="shared" si="28"/>
        <v/>
      </c>
      <c r="O315" s="205" t="str">
        <f t="shared" si="24"/>
        <v/>
      </c>
      <c r="P315" s="206" t="str">
        <f t="shared" si="29"/>
        <v/>
      </c>
    </row>
    <row r="316" spans="3:16" x14ac:dyDescent="0.4">
      <c r="C316" s="199"/>
      <c r="D316" s="200"/>
      <c r="E316" s="201"/>
      <c r="F316" s="199"/>
      <c r="H316" s="202"/>
      <c r="I316" s="185" t="str">
        <f t="shared" si="25"/>
        <v/>
      </c>
      <c r="J316" s="203" t="str">
        <f>IF($H316="USD",IF(OR($I316="",$I316="-"),"",VLOOKUP($G316,為替!$A:$AX,$I316,FALSE))+$J$3,IF(OR($I316="",$I316="-"),"",VLOOKUP($G316,為替!$A:$AX,$I316,FALSE)))</f>
        <v/>
      </c>
      <c r="K316" s="204" t="str">
        <f t="shared" si="26"/>
        <v/>
      </c>
      <c r="L316" s="188" t="str">
        <f t="shared" si="27"/>
        <v/>
      </c>
      <c r="M316" s="203" t="str">
        <f>IF($H316="USD",IF(OR($L316="",$L316="-"),"",VLOOKUP($G316,為替!$A:$AX,$L316,FALSE))+$K$3,IF(OR($L316="",$L316="-"),"",VLOOKUP($G316,為替!$A:$AX,$L316,FALSE)))</f>
        <v/>
      </c>
      <c r="N316" s="204" t="str">
        <f t="shared" si="28"/>
        <v/>
      </c>
      <c r="O316" s="205" t="str">
        <f t="shared" si="24"/>
        <v/>
      </c>
      <c r="P316" s="206" t="str">
        <f t="shared" si="29"/>
        <v/>
      </c>
    </row>
    <row r="317" spans="3:16" x14ac:dyDescent="0.4">
      <c r="C317" s="199"/>
      <c r="D317" s="200"/>
      <c r="E317" s="201"/>
      <c r="F317" s="199"/>
      <c r="H317" s="202"/>
      <c r="I317" s="185" t="str">
        <f t="shared" si="25"/>
        <v/>
      </c>
      <c r="J317" s="203" t="str">
        <f>IF($H317="USD",IF(OR($I317="",$I317="-"),"",VLOOKUP($G317,為替!$A:$AX,$I317,FALSE))+$J$3,IF(OR($I317="",$I317="-"),"",VLOOKUP($G317,為替!$A:$AX,$I317,FALSE)))</f>
        <v/>
      </c>
      <c r="K317" s="204" t="str">
        <f t="shared" si="26"/>
        <v/>
      </c>
      <c r="L317" s="188" t="str">
        <f t="shared" si="27"/>
        <v/>
      </c>
      <c r="M317" s="203" t="str">
        <f>IF($H317="USD",IF(OR($L317="",$L317="-"),"",VLOOKUP($G317,為替!$A:$AX,$L317,FALSE))+$K$3,IF(OR($L317="",$L317="-"),"",VLOOKUP($G317,為替!$A:$AX,$L317,FALSE)))</f>
        <v/>
      </c>
      <c r="N317" s="204" t="str">
        <f t="shared" si="28"/>
        <v/>
      </c>
      <c r="O317" s="205" t="str">
        <f t="shared" si="24"/>
        <v/>
      </c>
      <c r="P317" s="206" t="str">
        <f t="shared" si="29"/>
        <v/>
      </c>
    </row>
    <row r="318" spans="3:16" x14ac:dyDescent="0.4">
      <c r="C318" s="199"/>
      <c r="D318" s="200"/>
      <c r="E318" s="201"/>
      <c r="F318" s="199"/>
      <c r="H318" s="202"/>
      <c r="I318" s="185" t="str">
        <f t="shared" si="25"/>
        <v/>
      </c>
      <c r="J318" s="203" t="str">
        <f>IF($H318="USD",IF(OR($I318="",$I318="-"),"",VLOOKUP($G318,為替!$A:$AX,$I318,FALSE))+$J$3,IF(OR($I318="",$I318="-"),"",VLOOKUP($G318,為替!$A:$AX,$I318,FALSE)))</f>
        <v/>
      </c>
      <c r="K318" s="204" t="str">
        <f t="shared" si="26"/>
        <v/>
      </c>
      <c r="L318" s="188" t="str">
        <f t="shared" si="27"/>
        <v/>
      </c>
      <c r="M318" s="203" t="str">
        <f>IF($H318="USD",IF(OR($L318="",$L318="-"),"",VLOOKUP($G318,為替!$A:$AX,$L318,FALSE))+$K$3,IF(OR($L318="",$L318="-"),"",VLOOKUP($G318,為替!$A:$AX,$L318,FALSE)))</f>
        <v/>
      </c>
      <c r="N318" s="204" t="str">
        <f t="shared" si="28"/>
        <v/>
      </c>
      <c r="O318" s="205" t="str">
        <f t="shared" si="24"/>
        <v/>
      </c>
      <c r="P318" s="206" t="str">
        <f t="shared" si="29"/>
        <v/>
      </c>
    </row>
    <row r="319" spans="3:16" x14ac:dyDescent="0.4">
      <c r="C319" s="199"/>
      <c r="D319" s="200"/>
      <c r="E319" s="201"/>
      <c r="F319" s="199"/>
      <c r="H319" s="202"/>
      <c r="I319" s="185" t="str">
        <f t="shared" si="25"/>
        <v/>
      </c>
      <c r="J319" s="203" t="str">
        <f>IF($H319="USD",IF(OR($I319="",$I319="-"),"",VLOOKUP($G319,為替!$A:$AX,$I319,FALSE))+$J$3,IF(OR($I319="",$I319="-"),"",VLOOKUP($G319,為替!$A:$AX,$I319,FALSE)))</f>
        <v/>
      </c>
      <c r="K319" s="204" t="str">
        <f t="shared" si="26"/>
        <v/>
      </c>
      <c r="L319" s="188" t="str">
        <f t="shared" si="27"/>
        <v/>
      </c>
      <c r="M319" s="203" t="str">
        <f>IF($H319="USD",IF(OR($L319="",$L319="-"),"",VLOOKUP($G319,為替!$A:$AX,$L319,FALSE))+$K$3,IF(OR($L319="",$L319="-"),"",VLOOKUP($G319,為替!$A:$AX,$L319,FALSE)))</f>
        <v/>
      </c>
      <c r="N319" s="204" t="str">
        <f t="shared" si="28"/>
        <v/>
      </c>
      <c r="O319" s="205" t="str">
        <f t="shared" si="24"/>
        <v/>
      </c>
      <c r="P319" s="206" t="str">
        <f t="shared" si="29"/>
        <v/>
      </c>
    </row>
    <row r="320" spans="3:16" x14ac:dyDescent="0.4">
      <c r="C320" s="199"/>
      <c r="D320" s="200"/>
      <c r="E320" s="201"/>
      <c r="F320" s="199"/>
      <c r="H320" s="202"/>
      <c r="I320" s="185" t="str">
        <f t="shared" si="25"/>
        <v/>
      </c>
      <c r="J320" s="203" t="str">
        <f>IF($H320="USD",IF(OR($I320="",$I320="-"),"",VLOOKUP($G320,為替!$A:$AX,$I320,FALSE))+$J$3,IF(OR($I320="",$I320="-"),"",VLOOKUP($G320,為替!$A:$AX,$I320,FALSE)))</f>
        <v/>
      </c>
      <c r="K320" s="204" t="str">
        <f t="shared" si="26"/>
        <v/>
      </c>
      <c r="L320" s="188" t="str">
        <f t="shared" si="27"/>
        <v/>
      </c>
      <c r="M320" s="203" t="str">
        <f>IF($H320="USD",IF(OR($L320="",$L320="-"),"",VLOOKUP($G320,為替!$A:$AX,$L320,FALSE))+$K$3,IF(OR($L320="",$L320="-"),"",VLOOKUP($G320,為替!$A:$AX,$L320,FALSE)))</f>
        <v/>
      </c>
      <c r="N320" s="204" t="str">
        <f t="shared" si="28"/>
        <v/>
      </c>
      <c r="O320" s="205" t="str">
        <f t="shared" si="24"/>
        <v/>
      </c>
      <c r="P320" s="206" t="str">
        <f t="shared" si="29"/>
        <v/>
      </c>
    </row>
    <row r="321" spans="3:16" x14ac:dyDescent="0.4">
      <c r="C321" s="199"/>
      <c r="D321" s="200"/>
      <c r="E321" s="201"/>
      <c r="F321" s="199"/>
      <c r="H321" s="202"/>
      <c r="I321" s="185" t="str">
        <f t="shared" si="25"/>
        <v/>
      </c>
      <c r="J321" s="203" t="str">
        <f>IF($H321="USD",IF(OR($I321="",$I321="-"),"",VLOOKUP($G321,為替!$A:$AX,$I321,FALSE))+$J$3,IF(OR($I321="",$I321="-"),"",VLOOKUP($G321,為替!$A:$AX,$I321,FALSE)))</f>
        <v/>
      </c>
      <c r="K321" s="204" t="str">
        <f t="shared" si="26"/>
        <v/>
      </c>
      <c r="L321" s="188" t="str">
        <f t="shared" si="27"/>
        <v/>
      </c>
      <c r="M321" s="203" t="str">
        <f>IF($H321="USD",IF(OR($L321="",$L321="-"),"",VLOOKUP($G321,為替!$A:$AX,$L321,FALSE))+$K$3,IF(OR($L321="",$L321="-"),"",VLOOKUP($G321,為替!$A:$AX,$L321,FALSE)))</f>
        <v/>
      </c>
      <c r="N321" s="204" t="str">
        <f t="shared" si="28"/>
        <v/>
      </c>
      <c r="O321" s="205" t="str">
        <f t="shared" si="24"/>
        <v/>
      </c>
      <c r="P321" s="206" t="str">
        <f t="shared" si="29"/>
        <v/>
      </c>
    </row>
    <row r="322" spans="3:16" x14ac:dyDescent="0.4">
      <c r="C322" s="199"/>
      <c r="D322" s="200"/>
      <c r="E322" s="201"/>
      <c r="F322" s="199"/>
      <c r="H322" s="202"/>
      <c r="I322" s="185" t="str">
        <f t="shared" si="25"/>
        <v/>
      </c>
      <c r="J322" s="203" t="str">
        <f>IF($H322="USD",IF(OR($I322="",$I322="-"),"",VLOOKUP($G322,為替!$A:$AX,$I322,FALSE))+$J$3,IF(OR($I322="",$I322="-"),"",VLOOKUP($G322,為替!$A:$AX,$I322,FALSE)))</f>
        <v/>
      </c>
      <c r="K322" s="204" t="str">
        <f t="shared" si="26"/>
        <v/>
      </c>
      <c r="L322" s="188" t="str">
        <f t="shared" si="27"/>
        <v/>
      </c>
      <c r="M322" s="203" t="str">
        <f>IF($H322="USD",IF(OR($L322="",$L322="-"),"",VLOOKUP($G322,為替!$A:$AX,$L322,FALSE))+$K$3,IF(OR($L322="",$L322="-"),"",VLOOKUP($G322,為替!$A:$AX,$L322,FALSE)))</f>
        <v/>
      </c>
      <c r="N322" s="204" t="str">
        <f t="shared" si="28"/>
        <v/>
      </c>
      <c r="O322" s="205" t="str">
        <f t="shared" si="24"/>
        <v/>
      </c>
      <c r="P322" s="206" t="str">
        <f t="shared" si="29"/>
        <v/>
      </c>
    </row>
    <row r="323" spans="3:16" x14ac:dyDescent="0.4">
      <c r="C323" s="199"/>
      <c r="D323" s="200"/>
      <c r="E323" s="201"/>
      <c r="F323" s="199"/>
      <c r="H323" s="202"/>
      <c r="I323" s="185" t="str">
        <f t="shared" si="25"/>
        <v/>
      </c>
      <c r="J323" s="203" t="str">
        <f>IF($H323="USD",IF(OR($I323="",$I323="-"),"",VLOOKUP($G323,為替!$A:$AX,$I323,FALSE))+$J$3,IF(OR($I323="",$I323="-"),"",VLOOKUP($G323,為替!$A:$AX,$I323,FALSE)))</f>
        <v/>
      </c>
      <c r="K323" s="204" t="str">
        <f t="shared" si="26"/>
        <v/>
      </c>
      <c r="L323" s="188" t="str">
        <f t="shared" si="27"/>
        <v/>
      </c>
      <c r="M323" s="203" t="str">
        <f>IF($H323="USD",IF(OR($L323="",$L323="-"),"",VLOOKUP($G323,為替!$A:$AX,$L323,FALSE))+$K$3,IF(OR($L323="",$L323="-"),"",VLOOKUP($G323,為替!$A:$AX,$L323,FALSE)))</f>
        <v/>
      </c>
      <c r="N323" s="204" t="str">
        <f t="shared" si="28"/>
        <v/>
      </c>
      <c r="O323" s="205" t="str">
        <f t="shared" si="24"/>
        <v/>
      </c>
      <c r="P323" s="206" t="str">
        <f t="shared" si="29"/>
        <v/>
      </c>
    </row>
    <row r="324" spans="3:16" x14ac:dyDescent="0.4">
      <c r="C324" s="199"/>
      <c r="D324" s="200"/>
      <c r="E324" s="201"/>
      <c r="F324" s="199"/>
      <c r="H324" s="202"/>
      <c r="I324" s="185" t="str">
        <f t="shared" si="25"/>
        <v/>
      </c>
      <c r="J324" s="203" t="str">
        <f>IF($H324="USD",IF(OR($I324="",$I324="-"),"",VLOOKUP($G324,為替!$A:$AX,$I324,FALSE))+$J$3,IF(OR($I324="",$I324="-"),"",VLOOKUP($G324,為替!$A:$AX,$I324,FALSE)))</f>
        <v/>
      </c>
      <c r="K324" s="204" t="str">
        <f t="shared" si="26"/>
        <v/>
      </c>
      <c r="L324" s="188" t="str">
        <f t="shared" si="27"/>
        <v/>
      </c>
      <c r="M324" s="203" t="str">
        <f>IF($H324="USD",IF(OR($L324="",$L324="-"),"",VLOOKUP($G324,為替!$A:$AX,$L324,FALSE))+$K$3,IF(OR($L324="",$L324="-"),"",VLOOKUP($G324,為替!$A:$AX,$L324,FALSE)))</f>
        <v/>
      </c>
      <c r="N324" s="204" t="str">
        <f t="shared" si="28"/>
        <v/>
      </c>
      <c r="O324" s="205" t="str">
        <f t="shared" si="24"/>
        <v/>
      </c>
      <c r="P324" s="206" t="str">
        <f t="shared" si="29"/>
        <v/>
      </c>
    </row>
    <row r="325" spans="3:16" x14ac:dyDescent="0.4">
      <c r="C325" s="199"/>
      <c r="D325" s="200"/>
      <c r="E325" s="201"/>
      <c r="F325" s="199"/>
      <c r="H325" s="202"/>
      <c r="I325" s="185" t="str">
        <f t="shared" si="25"/>
        <v/>
      </c>
      <c r="J325" s="203" t="str">
        <f>IF($H325="USD",IF(OR($I325="",$I325="-"),"",VLOOKUP($G325,為替!$A:$AX,$I325,FALSE))+$J$3,IF(OR($I325="",$I325="-"),"",VLOOKUP($G325,為替!$A:$AX,$I325,FALSE)))</f>
        <v/>
      </c>
      <c r="K325" s="204" t="str">
        <f t="shared" si="26"/>
        <v/>
      </c>
      <c r="L325" s="188" t="str">
        <f t="shared" si="27"/>
        <v/>
      </c>
      <c r="M325" s="203" t="str">
        <f>IF($H325="USD",IF(OR($L325="",$L325="-"),"",VLOOKUP($G325,為替!$A:$AX,$L325,FALSE))+$K$3,IF(OR($L325="",$L325="-"),"",VLOOKUP($G325,為替!$A:$AX,$L325,FALSE)))</f>
        <v/>
      </c>
      <c r="N325" s="204" t="str">
        <f t="shared" si="28"/>
        <v/>
      </c>
      <c r="O325" s="205" t="str">
        <f t="shared" si="24"/>
        <v/>
      </c>
      <c r="P325" s="206" t="str">
        <f t="shared" si="29"/>
        <v/>
      </c>
    </row>
    <row r="326" spans="3:16" x14ac:dyDescent="0.4">
      <c r="C326" s="199"/>
      <c r="D326" s="200"/>
      <c r="E326" s="201"/>
      <c r="F326" s="199"/>
      <c r="H326" s="202"/>
      <c r="I326" s="185" t="str">
        <f t="shared" si="25"/>
        <v/>
      </c>
      <c r="J326" s="203" t="str">
        <f>IF($H326="USD",IF(OR($I326="",$I326="-"),"",VLOOKUP($G326,為替!$A:$AX,$I326,FALSE))+$J$3,IF(OR($I326="",$I326="-"),"",VLOOKUP($G326,為替!$A:$AX,$I326,FALSE)))</f>
        <v/>
      </c>
      <c r="K326" s="204" t="str">
        <f t="shared" si="26"/>
        <v/>
      </c>
      <c r="L326" s="188" t="str">
        <f t="shared" si="27"/>
        <v/>
      </c>
      <c r="M326" s="203" t="str">
        <f>IF($H326="USD",IF(OR($L326="",$L326="-"),"",VLOOKUP($G326,為替!$A:$AX,$L326,FALSE))+$K$3,IF(OR($L326="",$L326="-"),"",VLOOKUP($G326,為替!$A:$AX,$L326,FALSE)))</f>
        <v/>
      </c>
      <c r="N326" s="204" t="str">
        <f t="shared" si="28"/>
        <v/>
      </c>
      <c r="O326" s="205" t="str">
        <f t="shared" ref="O326:O389" si="30">IF(OR(K326="",N326=""),"",K326-N326)</f>
        <v/>
      </c>
      <c r="P326" s="206" t="str">
        <f t="shared" si="29"/>
        <v/>
      </c>
    </row>
    <row r="327" spans="3:16" x14ac:dyDescent="0.4">
      <c r="C327" s="199"/>
      <c r="D327" s="200"/>
      <c r="E327" s="201"/>
      <c r="F327" s="199"/>
      <c r="H327" s="202"/>
      <c r="I327" s="185" t="str">
        <f t="shared" ref="I327:I390" si="31">IF(H327="","",IF(H327="JPY","",IF($H327="USD",4, IF(H327="EUR",7,IF(H327="CNY",47,IF(H327="HKD",34))))))</f>
        <v/>
      </c>
      <c r="J327" s="203" t="str">
        <f>IF($H327="USD",IF(OR($I327="",$I327="-"),"",VLOOKUP($G327,為替!$A:$AX,$I327,FALSE))+$J$3,IF(OR($I327="",$I327="-"),"",VLOOKUP($G327,為替!$A:$AX,$I327,FALSE)))</f>
        <v/>
      </c>
      <c r="K327" s="204" t="str">
        <f t="shared" ref="K327:K390" si="32">IF($H327="JPY",$F327,IF($H327="","",$F327*$J327))</f>
        <v/>
      </c>
      <c r="L327" s="188" t="str">
        <f t="shared" ref="L327:L390" si="33">IF(H327="","",IF(H327="JPY","",IF($H327="USD",3, IF(H327="EUR",6,IF(H327="CNY",46,IF(H327="HKD",33))))))</f>
        <v/>
      </c>
      <c r="M327" s="203" t="str">
        <f>IF($H327="USD",IF(OR($L327="",$L327="-"),"",VLOOKUP($G327,為替!$A:$AX,$L327,FALSE))+$K$3,IF(OR($L327="",$L327="-"),"",VLOOKUP($G327,為替!$A:$AX,$L327,FALSE)))</f>
        <v/>
      </c>
      <c r="N327" s="204" t="str">
        <f t="shared" ref="N327:N390" si="34">IF($E327="JPY",($C327+$D327),IF($E327="","",($C327+$D327)*$M327))</f>
        <v/>
      </c>
      <c r="O327" s="205" t="str">
        <f t="shared" si="30"/>
        <v/>
      </c>
      <c r="P327" s="206" t="str">
        <f t="shared" ref="P327:P390" si="35">IF(OR(K327="",O327=""),"",O327/K327)</f>
        <v/>
      </c>
    </row>
    <row r="328" spans="3:16" x14ac:dyDescent="0.4">
      <c r="C328" s="199"/>
      <c r="D328" s="200"/>
      <c r="E328" s="201"/>
      <c r="F328" s="199"/>
      <c r="H328" s="202"/>
      <c r="I328" s="185" t="str">
        <f t="shared" si="31"/>
        <v/>
      </c>
      <c r="J328" s="203" t="str">
        <f>IF($H328="USD",IF(OR($I328="",$I328="-"),"",VLOOKUP($G328,為替!$A:$AX,$I328,FALSE))+$J$3,IF(OR($I328="",$I328="-"),"",VLOOKUP($G328,為替!$A:$AX,$I328,FALSE)))</f>
        <v/>
      </c>
      <c r="K328" s="204" t="str">
        <f t="shared" si="32"/>
        <v/>
      </c>
      <c r="L328" s="188" t="str">
        <f t="shared" si="33"/>
        <v/>
      </c>
      <c r="M328" s="203" t="str">
        <f>IF($H328="USD",IF(OR($L328="",$L328="-"),"",VLOOKUP($G328,為替!$A:$AX,$L328,FALSE))+$K$3,IF(OR($L328="",$L328="-"),"",VLOOKUP($G328,為替!$A:$AX,$L328,FALSE)))</f>
        <v/>
      </c>
      <c r="N328" s="204" t="str">
        <f t="shared" si="34"/>
        <v/>
      </c>
      <c r="O328" s="205" t="str">
        <f t="shared" si="30"/>
        <v/>
      </c>
      <c r="P328" s="206" t="str">
        <f t="shared" si="35"/>
        <v/>
      </c>
    </row>
    <row r="329" spans="3:16" x14ac:dyDescent="0.4">
      <c r="C329" s="199"/>
      <c r="D329" s="200"/>
      <c r="E329" s="201"/>
      <c r="F329" s="199"/>
      <c r="H329" s="202"/>
      <c r="I329" s="185" t="str">
        <f t="shared" si="31"/>
        <v/>
      </c>
      <c r="J329" s="203" t="str">
        <f>IF($H329="USD",IF(OR($I329="",$I329="-"),"",VLOOKUP($G329,為替!$A:$AX,$I329,FALSE))+$J$3,IF(OR($I329="",$I329="-"),"",VLOOKUP($G329,為替!$A:$AX,$I329,FALSE)))</f>
        <v/>
      </c>
      <c r="K329" s="204" t="str">
        <f t="shared" si="32"/>
        <v/>
      </c>
      <c r="L329" s="188" t="str">
        <f t="shared" si="33"/>
        <v/>
      </c>
      <c r="M329" s="203" t="str">
        <f>IF($H329="USD",IF(OR($L329="",$L329="-"),"",VLOOKUP($G329,為替!$A:$AX,$L329,FALSE))+$K$3,IF(OR($L329="",$L329="-"),"",VLOOKUP($G329,為替!$A:$AX,$L329,FALSE)))</f>
        <v/>
      </c>
      <c r="N329" s="204" t="str">
        <f t="shared" si="34"/>
        <v/>
      </c>
      <c r="O329" s="205" t="str">
        <f t="shared" si="30"/>
        <v/>
      </c>
      <c r="P329" s="206" t="str">
        <f t="shared" si="35"/>
        <v/>
      </c>
    </row>
    <row r="330" spans="3:16" x14ac:dyDescent="0.4">
      <c r="C330" s="199"/>
      <c r="D330" s="200"/>
      <c r="E330" s="201"/>
      <c r="F330" s="199"/>
      <c r="H330" s="202"/>
      <c r="I330" s="185" t="str">
        <f t="shared" si="31"/>
        <v/>
      </c>
      <c r="J330" s="203" t="str">
        <f>IF($H330="USD",IF(OR($I330="",$I330="-"),"",VLOOKUP($G330,為替!$A:$AX,$I330,FALSE))+$J$3,IF(OR($I330="",$I330="-"),"",VLOOKUP($G330,為替!$A:$AX,$I330,FALSE)))</f>
        <v/>
      </c>
      <c r="K330" s="204" t="str">
        <f t="shared" si="32"/>
        <v/>
      </c>
      <c r="L330" s="188" t="str">
        <f t="shared" si="33"/>
        <v/>
      </c>
      <c r="M330" s="203" t="str">
        <f>IF($H330="USD",IF(OR($L330="",$L330="-"),"",VLOOKUP($G330,為替!$A:$AX,$L330,FALSE))+$K$3,IF(OR($L330="",$L330="-"),"",VLOOKUP($G330,為替!$A:$AX,$L330,FALSE)))</f>
        <v/>
      </c>
      <c r="N330" s="204" t="str">
        <f t="shared" si="34"/>
        <v/>
      </c>
      <c r="O330" s="205" t="str">
        <f t="shared" si="30"/>
        <v/>
      </c>
      <c r="P330" s="206" t="str">
        <f t="shared" si="35"/>
        <v/>
      </c>
    </row>
    <row r="331" spans="3:16" x14ac:dyDescent="0.4">
      <c r="C331" s="199"/>
      <c r="D331" s="200"/>
      <c r="E331" s="201"/>
      <c r="F331" s="199"/>
      <c r="H331" s="202"/>
      <c r="I331" s="185" t="str">
        <f t="shared" si="31"/>
        <v/>
      </c>
      <c r="J331" s="203" t="str">
        <f>IF($H331="USD",IF(OR($I331="",$I331="-"),"",VLOOKUP($G331,為替!$A:$AX,$I331,FALSE))+$J$3,IF(OR($I331="",$I331="-"),"",VLOOKUP($G331,為替!$A:$AX,$I331,FALSE)))</f>
        <v/>
      </c>
      <c r="K331" s="204" t="str">
        <f t="shared" si="32"/>
        <v/>
      </c>
      <c r="L331" s="188" t="str">
        <f t="shared" si="33"/>
        <v/>
      </c>
      <c r="M331" s="203" t="str">
        <f>IF($H331="USD",IF(OR($L331="",$L331="-"),"",VLOOKUP($G331,為替!$A:$AX,$L331,FALSE))+$K$3,IF(OR($L331="",$L331="-"),"",VLOOKUP($G331,為替!$A:$AX,$L331,FALSE)))</f>
        <v/>
      </c>
      <c r="N331" s="204" t="str">
        <f t="shared" si="34"/>
        <v/>
      </c>
      <c r="O331" s="205" t="str">
        <f t="shared" si="30"/>
        <v/>
      </c>
      <c r="P331" s="206" t="str">
        <f t="shared" si="35"/>
        <v/>
      </c>
    </row>
    <row r="332" spans="3:16" x14ac:dyDescent="0.4">
      <c r="C332" s="199"/>
      <c r="D332" s="200"/>
      <c r="E332" s="201"/>
      <c r="F332" s="199"/>
      <c r="H332" s="202"/>
      <c r="I332" s="185" t="str">
        <f t="shared" si="31"/>
        <v/>
      </c>
      <c r="J332" s="203" t="str">
        <f>IF($H332="USD",IF(OR($I332="",$I332="-"),"",VLOOKUP($G332,為替!$A:$AX,$I332,FALSE))+$J$3,IF(OR($I332="",$I332="-"),"",VLOOKUP($G332,為替!$A:$AX,$I332,FALSE)))</f>
        <v/>
      </c>
      <c r="K332" s="204" t="str">
        <f t="shared" si="32"/>
        <v/>
      </c>
      <c r="L332" s="188" t="str">
        <f t="shared" si="33"/>
        <v/>
      </c>
      <c r="M332" s="203" t="str">
        <f>IF($H332="USD",IF(OR($L332="",$L332="-"),"",VLOOKUP($G332,為替!$A:$AX,$L332,FALSE))+$K$3,IF(OR($L332="",$L332="-"),"",VLOOKUP($G332,為替!$A:$AX,$L332,FALSE)))</f>
        <v/>
      </c>
      <c r="N332" s="204" t="str">
        <f t="shared" si="34"/>
        <v/>
      </c>
      <c r="O332" s="205" t="str">
        <f t="shared" si="30"/>
        <v/>
      </c>
      <c r="P332" s="206" t="str">
        <f t="shared" si="35"/>
        <v/>
      </c>
    </row>
    <row r="333" spans="3:16" x14ac:dyDescent="0.4">
      <c r="C333" s="199"/>
      <c r="D333" s="200"/>
      <c r="E333" s="201"/>
      <c r="F333" s="199"/>
      <c r="H333" s="202"/>
      <c r="I333" s="185" t="str">
        <f t="shared" si="31"/>
        <v/>
      </c>
      <c r="J333" s="203" t="str">
        <f>IF($H333="USD",IF(OR($I333="",$I333="-"),"",VLOOKUP($G333,為替!$A:$AX,$I333,FALSE))+$J$3,IF(OR($I333="",$I333="-"),"",VLOOKUP($G333,為替!$A:$AX,$I333,FALSE)))</f>
        <v/>
      </c>
      <c r="K333" s="204" t="str">
        <f t="shared" si="32"/>
        <v/>
      </c>
      <c r="L333" s="188" t="str">
        <f t="shared" si="33"/>
        <v/>
      </c>
      <c r="M333" s="203" t="str">
        <f>IF($H333="USD",IF(OR($L333="",$L333="-"),"",VLOOKUP($G333,為替!$A:$AX,$L333,FALSE))+$K$3,IF(OR($L333="",$L333="-"),"",VLOOKUP($G333,為替!$A:$AX,$L333,FALSE)))</f>
        <v/>
      </c>
      <c r="N333" s="204" t="str">
        <f t="shared" si="34"/>
        <v/>
      </c>
      <c r="O333" s="205" t="str">
        <f t="shared" si="30"/>
        <v/>
      </c>
      <c r="P333" s="206" t="str">
        <f t="shared" si="35"/>
        <v/>
      </c>
    </row>
    <row r="334" spans="3:16" x14ac:dyDescent="0.4">
      <c r="C334" s="199"/>
      <c r="D334" s="200"/>
      <c r="E334" s="201"/>
      <c r="F334" s="199"/>
      <c r="H334" s="202"/>
      <c r="I334" s="185" t="str">
        <f t="shared" si="31"/>
        <v/>
      </c>
      <c r="J334" s="203" t="str">
        <f>IF($H334="USD",IF(OR($I334="",$I334="-"),"",VLOOKUP($G334,為替!$A:$AX,$I334,FALSE))+$J$3,IF(OR($I334="",$I334="-"),"",VLOOKUP($G334,為替!$A:$AX,$I334,FALSE)))</f>
        <v/>
      </c>
      <c r="K334" s="204" t="str">
        <f t="shared" si="32"/>
        <v/>
      </c>
      <c r="L334" s="188" t="str">
        <f t="shared" si="33"/>
        <v/>
      </c>
      <c r="M334" s="203" t="str">
        <f>IF($H334="USD",IF(OR($L334="",$L334="-"),"",VLOOKUP($G334,為替!$A:$AX,$L334,FALSE))+$K$3,IF(OR($L334="",$L334="-"),"",VLOOKUP($G334,為替!$A:$AX,$L334,FALSE)))</f>
        <v/>
      </c>
      <c r="N334" s="204" t="str">
        <f t="shared" si="34"/>
        <v/>
      </c>
      <c r="O334" s="205" t="str">
        <f t="shared" si="30"/>
        <v/>
      </c>
      <c r="P334" s="206" t="str">
        <f t="shared" si="35"/>
        <v/>
      </c>
    </row>
    <row r="335" spans="3:16" x14ac:dyDescent="0.4">
      <c r="C335" s="199"/>
      <c r="D335" s="200"/>
      <c r="E335" s="201"/>
      <c r="F335" s="199"/>
      <c r="H335" s="202"/>
      <c r="I335" s="185" t="str">
        <f t="shared" si="31"/>
        <v/>
      </c>
      <c r="J335" s="203" t="str">
        <f>IF($H335="USD",IF(OR($I335="",$I335="-"),"",VLOOKUP($G335,為替!$A:$AX,$I335,FALSE))+$J$3,IF(OR($I335="",$I335="-"),"",VLOOKUP($G335,為替!$A:$AX,$I335,FALSE)))</f>
        <v/>
      </c>
      <c r="K335" s="204" t="str">
        <f t="shared" si="32"/>
        <v/>
      </c>
      <c r="L335" s="188" t="str">
        <f t="shared" si="33"/>
        <v/>
      </c>
      <c r="M335" s="203" t="str">
        <f>IF($H335="USD",IF(OR($L335="",$L335="-"),"",VLOOKUP($G335,為替!$A:$AX,$L335,FALSE))+$K$3,IF(OR($L335="",$L335="-"),"",VLOOKUP($G335,為替!$A:$AX,$L335,FALSE)))</f>
        <v/>
      </c>
      <c r="N335" s="204" t="str">
        <f t="shared" si="34"/>
        <v/>
      </c>
      <c r="O335" s="205" t="str">
        <f t="shared" si="30"/>
        <v/>
      </c>
      <c r="P335" s="206" t="str">
        <f t="shared" si="35"/>
        <v/>
      </c>
    </row>
    <row r="336" spans="3:16" x14ac:dyDescent="0.4">
      <c r="C336" s="199"/>
      <c r="D336" s="200"/>
      <c r="E336" s="201"/>
      <c r="F336" s="199"/>
      <c r="H336" s="202"/>
      <c r="I336" s="185" t="str">
        <f t="shared" si="31"/>
        <v/>
      </c>
      <c r="J336" s="203" t="str">
        <f>IF($H336="USD",IF(OR($I336="",$I336="-"),"",VLOOKUP($G336,為替!$A:$AX,$I336,FALSE))+$J$3,IF(OR($I336="",$I336="-"),"",VLOOKUP($G336,為替!$A:$AX,$I336,FALSE)))</f>
        <v/>
      </c>
      <c r="K336" s="204" t="str">
        <f t="shared" si="32"/>
        <v/>
      </c>
      <c r="L336" s="188" t="str">
        <f t="shared" si="33"/>
        <v/>
      </c>
      <c r="M336" s="203" t="str">
        <f>IF($H336="USD",IF(OR($L336="",$L336="-"),"",VLOOKUP($G336,為替!$A:$AX,$L336,FALSE))+$K$3,IF(OR($L336="",$L336="-"),"",VLOOKUP($G336,為替!$A:$AX,$L336,FALSE)))</f>
        <v/>
      </c>
      <c r="N336" s="204" t="str">
        <f t="shared" si="34"/>
        <v/>
      </c>
      <c r="O336" s="205" t="str">
        <f t="shared" si="30"/>
        <v/>
      </c>
      <c r="P336" s="206" t="str">
        <f t="shared" si="35"/>
        <v/>
      </c>
    </row>
    <row r="337" spans="3:16" x14ac:dyDescent="0.4">
      <c r="C337" s="199"/>
      <c r="D337" s="200"/>
      <c r="E337" s="201"/>
      <c r="F337" s="199"/>
      <c r="H337" s="202"/>
      <c r="I337" s="185" t="str">
        <f t="shared" si="31"/>
        <v/>
      </c>
      <c r="J337" s="203" t="str">
        <f>IF($H337="USD",IF(OR($I337="",$I337="-"),"",VLOOKUP($G337,為替!$A:$AX,$I337,FALSE))+$J$3,IF(OR($I337="",$I337="-"),"",VLOOKUP($G337,為替!$A:$AX,$I337,FALSE)))</f>
        <v/>
      </c>
      <c r="K337" s="204" t="str">
        <f t="shared" si="32"/>
        <v/>
      </c>
      <c r="L337" s="188" t="str">
        <f t="shared" si="33"/>
        <v/>
      </c>
      <c r="M337" s="203" t="str">
        <f>IF($H337="USD",IF(OR($L337="",$L337="-"),"",VLOOKUP($G337,為替!$A:$AX,$L337,FALSE))+$K$3,IF(OR($L337="",$L337="-"),"",VLOOKUP($G337,為替!$A:$AX,$L337,FALSE)))</f>
        <v/>
      </c>
      <c r="N337" s="204" t="str">
        <f t="shared" si="34"/>
        <v/>
      </c>
      <c r="O337" s="205" t="str">
        <f t="shared" si="30"/>
        <v/>
      </c>
      <c r="P337" s="206" t="str">
        <f t="shared" si="35"/>
        <v/>
      </c>
    </row>
    <row r="338" spans="3:16" x14ac:dyDescent="0.4">
      <c r="C338" s="199"/>
      <c r="D338" s="200"/>
      <c r="E338" s="201"/>
      <c r="F338" s="199"/>
      <c r="H338" s="202"/>
      <c r="I338" s="185" t="str">
        <f t="shared" si="31"/>
        <v/>
      </c>
      <c r="J338" s="203" t="str">
        <f>IF($H338="USD",IF(OR($I338="",$I338="-"),"",VLOOKUP($G338,為替!$A:$AX,$I338,FALSE))+$J$3,IF(OR($I338="",$I338="-"),"",VLOOKUP($G338,為替!$A:$AX,$I338,FALSE)))</f>
        <v/>
      </c>
      <c r="K338" s="204" t="str">
        <f t="shared" si="32"/>
        <v/>
      </c>
      <c r="L338" s="188" t="str">
        <f t="shared" si="33"/>
        <v/>
      </c>
      <c r="M338" s="203" t="str">
        <f>IF($H338="USD",IF(OR($L338="",$L338="-"),"",VLOOKUP($G338,為替!$A:$AX,$L338,FALSE))+$K$3,IF(OR($L338="",$L338="-"),"",VLOOKUP($G338,為替!$A:$AX,$L338,FALSE)))</f>
        <v/>
      </c>
      <c r="N338" s="204" t="str">
        <f t="shared" si="34"/>
        <v/>
      </c>
      <c r="O338" s="205" t="str">
        <f t="shared" si="30"/>
        <v/>
      </c>
      <c r="P338" s="206" t="str">
        <f t="shared" si="35"/>
        <v/>
      </c>
    </row>
    <row r="339" spans="3:16" x14ac:dyDescent="0.4">
      <c r="C339" s="199"/>
      <c r="D339" s="200"/>
      <c r="E339" s="201"/>
      <c r="F339" s="199"/>
      <c r="H339" s="202"/>
      <c r="I339" s="185" t="str">
        <f t="shared" si="31"/>
        <v/>
      </c>
      <c r="J339" s="203" t="str">
        <f>IF($H339="USD",IF(OR($I339="",$I339="-"),"",VLOOKUP($G339,為替!$A:$AX,$I339,FALSE))+$J$3,IF(OR($I339="",$I339="-"),"",VLOOKUP($G339,為替!$A:$AX,$I339,FALSE)))</f>
        <v/>
      </c>
      <c r="K339" s="204" t="str">
        <f t="shared" si="32"/>
        <v/>
      </c>
      <c r="L339" s="188" t="str">
        <f t="shared" si="33"/>
        <v/>
      </c>
      <c r="M339" s="203" t="str">
        <f>IF($H339="USD",IF(OR($L339="",$L339="-"),"",VLOOKUP($G339,為替!$A:$AX,$L339,FALSE))+$K$3,IF(OR($L339="",$L339="-"),"",VLOOKUP($G339,為替!$A:$AX,$L339,FALSE)))</f>
        <v/>
      </c>
      <c r="N339" s="204" t="str">
        <f t="shared" si="34"/>
        <v/>
      </c>
      <c r="O339" s="205" t="str">
        <f t="shared" si="30"/>
        <v/>
      </c>
      <c r="P339" s="206" t="str">
        <f t="shared" si="35"/>
        <v/>
      </c>
    </row>
    <row r="340" spans="3:16" x14ac:dyDescent="0.4">
      <c r="C340" s="199"/>
      <c r="D340" s="200"/>
      <c r="E340" s="201"/>
      <c r="F340" s="199"/>
      <c r="H340" s="202"/>
      <c r="I340" s="185" t="str">
        <f t="shared" si="31"/>
        <v/>
      </c>
      <c r="J340" s="203" t="str">
        <f>IF($H340="USD",IF(OR($I340="",$I340="-"),"",VLOOKUP($G340,為替!$A:$AX,$I340,FALSE))+$J$3,IF(OR($I340="",$I340="-"),"",VLOOKUP($G340,為替!$A:$AX,$I340,FALSE)))</f>
        <v/>
      </c>
      <c r="K340" s="204" t="str">
        <f t="shared" si="32"/>
        <v/>
      </c>
      <c r="L340" s="188" t="str">
        <f t="shared" si="33"/>
        <v/>
      </c>
      <c r="M340" s="203" t="str">
        <f>IF($H340="USD",IF(OR($L340="",$L340="-"),"",VLOOKUP($G340,為替!$A:$AX,$L340,FALSE))+$K$3,IF(OR($L340="",$L340="-"),"",VLOOKUP($G340,為替!$A:$AX,$L340,FALSE)))</f>
        <v/>
      </c>
      <c r="N340" s="204" t="str">
        <f t="shared" si="34"/>
        <v/>
      </c>
      <c r="O340" s="205" t="str">
        <f t="shared" si="30"/>
        <v/>
      </c>
      <c r="P340" s="206" t="str">
        <f t="shared" si="35"/>
        <v/>
      </c>
    </row>
    <row r="341" spans="3:16" x14ac:dyDescent="0.4">
      <c r="C341" s="199"/>
      <c r="D341" s="200"/>
      <c r="E341" s="201"/>
      <c r="F341" s="199"/>
      <c r="H341" s="202"/>
      <c r="I341" s="185" t="str">
        <f t="shared" si="31"/>
        <v/>
      </c>
      <c r="J341" s="203" t="str">
        <f>IF($H341="USD",IF(OR($I341="",$I341="-"),"",VLOOKUP($G341,為替!$A:$AX,$I341,FALSE))+$J$3,IF(OR($I341="",$I341="-"),"",VLOOKUP($G341,為替!$A:$AX,$I341,FALSE)))</f>
        <v/>
      </c>
      <c r="K341" s="204" t="str">
        <f t="shared" si="32"/>
        <v/>
      </c>
      <c r="L341" s="188" t="str">
        <f t="shared" si="33"/>
        <v/>
      </c>
      <c r="M341" s="203" t="str">
        <f>IF($H341="USD",IF(OR($L341="",$L341="-"),"",VLOOKUP($G341,為替!$A:$AX,$L341,FALSE))+$K$3,IF(OR($L341="",$L341="-"),"",VLOOKUP($G341,為替!$A:$AX,$L341,FALSE)))</f>
        <v/>
      </c>
      <c r="N341" s="204" t="str">
        <f t="shared" si="34"/>
        <v/>
      </c>
      <c r="O341" s="205" t="str">
        <f t="shared" si="30"/>
        <v/>
      </c>
      <c r="P341" s="206" t="str">
        <f t="shared" si="35"/>
        <v/>
      </c>
    </row>
    <row r="342" spans="3:16" x14ac:dyDescent="0.4">
      <c r="C342" s="199"/>
      <c r="D342" s="200"/>
      <c r="E342" s="201"/>
      <c r="F342" s="199"/>
      <c r="H342" s="202"/>
      <c r="I342" s="185" t="str">
        <f t="shared" si="31"/>
        <v/>
      </c>
      <c r="J342" s="203" t="str">
        <f>IF($H342="USD",IF(OR($I342="",$I342="-"),"",VLOOKUP($G342,為替!$A:$AX,$I342,FALSE))+$J$3,IF(OR($I342="",$I342="-"),"",VLOOKUP($G342,為替!$A:$AX,$I342,FALSE)))</f>
        <v/>
      </c>
      <c r="K342" s="204" t="str">
        <f t="shared" si="32"/>
        <v/>
      </c>
      <c r="L342" s="188" t="str">
        <f t="shared" si="33"/>
        <v/>
      </c>
      <c r="M342" s="203" t="str">
        <f>IF($H342="USD",IF(OR($L342="",$L342="-"),"",VLOOKUP($G342,為替!$A:$AX,$L342,FALSE))+$K$3,IF(OR($L342="",$L342="-"),"",VLOOKUP($G342,為替!$A:$AX,$L342,FALSE)))</f>
        <v/>
      </c>
      <c r="N342" s="204" t="str">
        <f t="shared" si="34"/>
        <v/>
      </c>
      <c r="O342" s="205" t="str">
        <f t="shared" si="30"/>
        <v/>
      </c>
      <c r="P342" s="206" t="str">
        <f t="shared" si="35"/>
        <v/>
      </c>
    </row>
    <row r="343" spans="3:16" x14ac:dyDescent="0.4">
      <c r="C343" s="199"/>
      <c r="D343" s="200"/>
      <c r="E343" s="201"/>
      <c r="F343" s="199"/>
      <c r="H343" s="202"/>
      <c r="I343" s="185" t="str">
        <f t="shared" si="31"/>
        <v/>
      </c>
      <c r="J343" s="203" t="str">
        <f>IF($H343="USD",IF(OR($I343="",$I343="-"),"",VLOOKUP($G343,為替!$A:$AX,$I343,FALSE))+$J$3,IF(OR($I343="",$I343="-"),"",VLOOKUP($G343,為替!$A:$AX,$I343,FALSE)))</f>
        <v/>
      </c>
      <c r="K343" s="204" t="str">
        <f t="shared" si="32"/>
        <v/>
      </c>
      <c r="L343" s="188" t="str">
        <f t="shared" si="33"/>
        <v/>
      </c>
      <c r="M343" s="203" t="str">
        <f>IF($H343="USD",IF(OR($L343="",$L343="-"),"",VLOOKUP($G343,為替!$A:$AX,$L343,FALSE))+$K$3,IF(OR($L343="",$L343="-"),"",VLOOKUP($G343,為替!$A:$AX,$L343,FALSE)))</f>
        <v/>
      </c>
      <c r="N343" s="204" t="str">
        <f t="shared" si="34"/>
        <v/>
      </c>
      <c r="O343" s="205" t="str">
        <f t="shared" si="30"/>
        <v/>
      </c>
      <c r="P343" s="206" t="str">
        <f t="shared" si="35"/>
        <v/>
      </c>
    </row>
    <row r="344" spans="3:16" x14ac:dyDescent="0.4">
      <c r="C344" s="199"/>
      <c r="D344" s="200"/>
      <c r="E344" s="201"/>
      <c r="F344" s="199"/>
      <c r="H344" s="202"/>
      <c r="I344" s="185" t="str">
        <f t="shared" si="31"/>
        <v/>
      </c>
      <c r="J344" s="203" t="str">
        <f>IF($H344="USD",IF(OR($I344="",$I344="-"),"",VLOOKUP($G344,為替!$A:$AX,$I344,FALSE))+$J$3,IF(OR($I344="",$I344="-"),"",VLOOKUP($G344,為替!$A:$AX,$I344,FALSE)))</f>
        <v/>
      </c>
      <c r="K344" s="204" t="str">
        <f t="shared" si="32"/>
        <v/>
      </c>
      <c r="L344" s="188" t="str">
        <f t="shared" si="33"/>
        <v/>
      </c>
      <c r="M344" s="203" t="str">
        <f>IF($H344="USD",IF(OR($L344="",$L344="-"),"",VLOOKUP($G344,為替!$A:$AX,$L344,FALSE))+$K$3,IF(OR($L344="",$L344="-"),"",VLOOKUP($G344,為替!$A:$AX,$L344,FALSE)))</f>
        <v/>
      </c>
      <c r="N344" s="204" t="str">
        <f t="shared" si="34"/>
        <v/>
      </c>
      <c r="O344" s="205" t="str">
        <f t="shared" si="30"/>
        <v/>
      </c>
      <c r="P344" s="206" t="str">
        <f t="shared" si="35"/>
        <v/>
      </c>
    </row>
    <row r="345" spans="3:16" x14ac:dyDescent="0.4">
      <c r="C345" s="199"/>
      <c r="D345" s="200"/>
      <c r="E345" s="201"/>
      <c r="F345" s="199"/>
      <c r="H345" s="202"/>
      <c r="I345" s="185" t="str">
        <f t="shared" si="31"/>
        <v/>
      </c>
      <c r="J345" s="203" t="str">
        <f>IF($H345="USD",IF(OR($I345="",$I345="-"),"",VLOOKUP($G345,為替!$A:$AX,$I345,FALSE))+$J$3,IF(OR($I345="",$I345="-"),"",VLOOKUP($G345,為替!$A:$AX,$I345,FALSE)))</f>
        <v/>
      </c>
      <c r="K345" s="204" t="str">
        <f t="shared" si="32"/>
        <v/>
      </c>
      <c r="L345" s="188" t="str">
        <f t="shared" si="33"/>
        <v/>
      </c>
      <c r="M345" s="203" t="str">
        <f>IF($H345="USD",IF(OR($L345="",$L345="-"),"",VLOOKUP($G345,為替!$A:$AX,$L345,FALSE))+$K$3,IF(OR($L345="",$L345="-"),"",VLOOKUP($G345,為替!$A:$AX,$L345,FALSE)))</f>
        <v/>
      </c>
      <c r="N345" s="204" t="str">
        <f t="shared" si="34"/>
        <v/>
      </c>
      <c r="O345" s="205" t="str">
        <f t="shared" si="30"/>
        <v/>
      </c>
      <c r="P345" s="206" t="str">
        <f t="shared" si="35"/>
        <v/>
      </c>
    </row>
    <row r="346" spans="3:16" x14ac:dyDescent="0.4">
      <c r="C346" s="199"/>
      <c r="D346" s="200"/>
      <c r="E346" s="201"/>
      <c r="F346" s="199"/>
      <c r="H346" s="202"/>
      <c r="I346" s="185" t="str">
        <f t="shared" si="31"/>
        <v/>
      </c>
      <c r="J346" s="203" t="str">
        <f>IF($H346="USD",IF(OR($I346="",$I346="-"),"",VLOOKUP($G346,為替!$A:$AX,$I346,FALSE))+$J$3,IF(OR($I346="",$I346="-"),"",VLOOKUP($G346,為替!$A:$AX,$I346,FALSE)))</f>
        <v/>
      </c>
      <c r="K346" s="204" t="str">
        <f t="shared" si="32"/>
        <v/>
      </c>
      <c r="L346" s="188" t="str">
        <f t="shared" si="33"/>
        <v/>
      </c>
      <c r="M346" s="203" t="str">
        <f>IF($H346="USD",IF(OR($L346="",$L346="-"),"",VLOOKUP($G346,為替!$A:$AX,$L346,FALSE))+$K$3,IF(OR($L346="",$L346="-"),"",VLOOKUP($G346,為替!$A:$AX,$L346,FALSE)))</f>
        <v/>
      </c>
      <c r="N346" s="204" t="str">
        <f t="shared" si="34"/>
        <v/>
      </c>
      <c r="O346" s="205" t="str">
        <f t="shared" si="30"/>
        <v/>
      </c>
      <c r="P346" s="206" t="str">
        <f t="shared" si="35"/>
        <v/>
      </c>
    </row>
    <row r="347" spans="3:16" x14ac:dyDescent="0.4">
      <c r="C347" s="199"/>
      <c r="D347" s="200"/>
      <c r="E347" s="201"/>
      <c r="F347" s="199"/>
      <c r="H347" s="202"/>
      <c r="I347" s="185" t="str">
        <f t="shared" si="31"/>
        <v/>
      </c>
      <c r="J347" s="203" t="str">
        <f>IF($H347="USD",IF(OR($I347="",$I347="-"),"",VLOOKUP($G347,為替!$A:$AX,$I347,FALSE))+$J$3,IF(OR($I347="",$I347="-"),"",VLOOKUP($G347,為替!$A:$AX,$I347,FALSE)))</f>
        <v/>
      </c>
      <c r="K347" s="204" t="str">
        <f t="shared" si="32"/>
        <v/>
      </c>
      <c r="L347" s="188" t="str">
        <f t="shared" si="33"/>
        <v/>
      </c>
      <c r="M347" s="203" t="str">
        <f>IF($H347="USD",IF(OR($L347="",$L347="-"),"",VLOOKUP($G347,為替!$A:$AX,$L347,FALSE))+$K$3,IF(OR($L347="",$L347="-"),"",VLOOKUP($G347,為替!$A:$AX,$L347,FALSE)))</f>
        <v/>
      </c>
      <c r="N347" s="204" t="str">
        <f t="shared" si="34"/>
        <v/>
      </c>
      <c r="O347" s="205" t="str">
        <f t="shared" si="30"/>
        <v/>
      </c>
      <c r="P347" s="206" t="str">
        <f t="shared" si="35"/>
        <v/>
      </c>
    </row>
    <row r="348" spans="3:16" x14ac:dyDescent="0.4">
      <c r="C348" s="199"/>
      <c r="D348" s="200"/>
      <c r="E348" s="201"/>
      <c r="F348" s="199"/>
      <c r="H348" s="202"/>
      <c r="I348" s="185" t="str">
        <f t="shared" si="31"/>
        <v/>
      </c>
      <c r="J348" s="203" t="str">
        <f>IF($H348="USD",IF(OR($I348="",$I348="-"),"",VLOOKUP($G348,為替!$A:$AX,$I348,FALSE))+$J$3,IF(OR($I348="",$I348="-"),"",VLOOKUP($G348,為替!$A:$AX,$I348,FALSE)))</f>
        <v/>
      </c>
      <c r="K348" s="204" t="str">
        <f t="shared" si="32"/>
        <v/>
      </c>
      <c r="L348" s="188" t="str">
        <f t="shared" si="33"/>
        <v/>
      </c>
      <c r="M348" s="203" t="str">
        <f>IF($H348="USD",IF(OR($L348="",$L348="-"),"",VLOOKUP($G348,為替!$A:$AX,$L348,FALSE))+$K$3,IF(OR($L348="",$L348="-"),"",VLOOKUP($G348,為替!$A:$AX,$L348,FALSE)))</f>
        <v/>
      </c>
      <c r="N348" s="204" t="str">
        <f t="shared" si="34"/>
        <v/>
      </c>
      <c r="O348" s="205" t="str">
        <f t="shared" si="30"/>
        <v/>
      </c>
      <c r="P348" s="206" t="str">
        <f t="shared" si="35"/>
        <v/>
      </c>
    </row>
    <row r="349" spans="3:16" x14ac:dyDescent="0.4">
      <c r="C349" s="199"/>
      <c r="D349" s="200"/>
      <c r="E349" s="201"/>
      <c r="F349" s="199"/>
      <c r="H349" s="202"/>
      <c r="I349" s="185" t="str">
        <f t="shared" si="31"/>
        <v/>
      </c>
      <c r="J349" s="203" t="str">
        <f>IF($H349="USD",IF(OR($I349="",$I349="-"),"",VLOOKUP($G349,為替!$A:$AX,$I349,FALSE))+$J$3,IF(OR($I349="",$I349="-"),"",VLOOKUP($G349,為替!$A:$AX,$I349,FALSE)))</f>
        <v/>
      </c>
      <c r="K349" s="204" t="str">
        <f t="shared" si="32"/>
        <v/>
      </c>
      <c r="L349" s="188" t="str">
        <f t="shared" si="33"/>
        <v/>
      </c>
      <c r="M349" s="203" t="str">
        <f>IF($H349="USD",IF(OR($L349="",$L349="-"),"",VLOOKUP($G349,為替!$A:$AX,$L349,FALSE))+$K$3,IF(OR($L349="",$L349="-"),"",VLOOKUP($G349,為替!$A:$AX,$L349,FALSE)))</f>
        <v/>
      </c>
      <c r="N349" s="204" t="str">
        <f t="shared" si="34"/>
        <v/>
      </c>
      <c r="O349" s="205" t="str">
        <f t="shared" si="30"/>
        <v/>
      </c>
      <c r="P349" s="206" t="str">
        <f t="shared" si="35"/>
        <v/>
      </c>
    </row>
    <row r="350" spans="3:16" x14ac:dyDescent="0.4">
      <c r="C350" s="199"/>
      <c r="D350" s="200"/>
      <c r="E350" s="201"/>
      <c r="F350" s="199"/>
      <c r="H350" s="202"/>
      <c r="I350" s="185" t="str">
        <f t="shared" si="31"/>
        <v/>
      </c>
      <c r="J350" s="203" t="str">
        <f>IF($H350="USD",IF(OR($I350="",$I350="-"),"",VLOOKUP($G350,為替!$A:$AX,$I350,FALSE))+$J$3,IF(OR($I350="",$I350="-"),"",VLOOKUP($G350,為替!$A:$AX,$I350,FALSE)))</f>
        <v/>
      </c>
      <c r="K350" s="204" t="str">
        <f t="shared" si="32"/>
        <v/>
      </c>
      <c r="L350" s="188" t="str">
        <f t="shared" si="33"/>
        <v/>
      </c>
      <c r="M350" s="203" t="str">
        <f>IF($H350="USD",IF(OR($L350="",$L350="-"),"",VLOOKUP($G350,為替!$A:$AX,$L350,FALSE))+$K$3,IF(OR($L350="",$L350="-"),"",VLOOKUP($G350,為替!$A:$AX,$L350,FALSE)))</f>
        <v/>
      </c>
      <c r="N350" s="204" t="str">
        <f t="shared" si="34"/>
        <v/>
      </c>
      <c r="O350" s="205" t="str">
        <f t="shared" si="30"/>
        <v/>
      </c>
      <c r="P350" s="206" t="str">
        <f t="shared" si="35"/>
        <v/>
      </c>
    </row>
    <row r="351" spans="3:16" x14ac:dyDescent="0.4">
      <c r="C351" s="199"/>
      <c r="D351" s="200"/>
      <c r="E351" s="201"/>
      <c r="F351" s="199"/>
      <c r="H351" s="202"/>
      <c r="I351" s="185" t="str">
        <f t="shared" si="31"/>
        <v/>
      </c>
      <c r="J351" s="203" t="str">
        <f>IF($H351="USD",IF(OR($I351="",$I351="-"),"",VLOOKUP($G351,為替!$A:$AX,$I351,FALSE))+$J$3,IF(OR($I351="",$I351="-"),"",VLOOKUP($G351,為替!$A:$AX,$I351,FALSE)))</f>
        <v/>
      </c>
      <c r="K351" s="204" t="str">
        <f t="shared" si="32"/>
        <v/>
      </c>
      <c r="L351" s="188" t="str">
        <f t="shared" si="33"/>
        <v/>
      </c>
      <c r="M351" s="203" t="str">
        <f>IF($H351="USD",IF(OR($L351="",$L351="-"),"",VLOOKUP($G351,為替!$A:$AX,$L351,FALSE))+$K$3,IF(OR($L351="",$L351="-"),"",VLOOKUP($G351,為替!$A:$AX,$L351,FALSE)))</f>
        <v/>
      </c>
      <c r="N351" s="204" t="str">
        <f t="shared" si="34"/>
        <v/>
      </c>
      <c r="O351" s="205" t="str">
        <f t="shared" si="30"/>
        <v/>
      </c>
      <c r="P351" s="206" t="str">
        <f t="shared" si="35"/>
        <v/>
      </c>
    </row>
    <row r="352" spans="3:16" x14ac:dyDescent="0.4">
      <c r="C352" s="199"/>
      <c r="D352" s="200"/>
      <c r="E352" s="201"/>
      <c r="F352" s="199"/>
      <c r="H352" s="202"/>
      <c r="I352" s="185" t="str">
        <f t="shared" si="31"/>
        <v/>
      </c>
      <c r="J352" s="203" t="str">
        <f>IF($H352="USD",IF(OR($I352="",$I352="-"),"",VLOOKUP($G352,為替!$A:$AX,$I352,FALSE))+$J$3,IF(OR($I352="",$I352="-"),"",VLOOKUP($G352,為替!$A:$AX,$I352,FALSE)))</f>
        <v/>
      </c>
      <c r="K352" s="204" t="str">
        <f t="shared" si="32"/>
        <v/>
      </c>
      <c r="L352" s="188" t="str">
        <f t="shared" si="33"/>
        <v/>
      </c>
      <c r="M352" s="203" t="str">
        <f>IF($H352="USD",IF(OR($L352="",$L352="-"),"",VLOOKUP($G352,為替!$A:$AX,$L352,FALSE))+$K$3,IF(OR($L352="",$L352="-"),"",VLOOKUP($G352,為替!$A:$AX,$L352,FALSE)))</f>
        <v/>
      </c>
      <c r="N352" s="204" t="str">
        <f t="shared" si="34"/>
        <v/>
      </c>
      <c r="O352" s="205" t="str">
        <f t="shared" si="30"/>
        <v/>
      </c>
      <c r="P352" s="206" t="str">
        <f t="shared" si="35"/>
        <v/>
      </c>
    </row>
    <row r="353" spans="3:16" x14ac:dyDescent="0.4">
      <c r="C353" s="199"/>
      <c r="D353" s="200"/>
      <c r="E353" s="201"/>
      <c r="F353" s="199"/>
      <c r="H353" s="202"/>
      <c r="I353" s="185" t="str">
        <f t="shared" si="31"/>
        <v/>
      </c>
      <c r="J353" s="203" t="str">
        <f>IF($H353="USD",IF(OR($I353="",$I353="-"),"",VLOOKUP($G353,為替!$A:$AX,$I353,FALSE))+$J$3,IF(OR($I353="",$I353="-"),"",VLOOKUP($G353,為替!$A:$AX,$I353,FALSE)))</f>
        <v/>
      </c>
      <c r="K353" s="204" t="str">
        <f t="shared" si="32"/>
        <v/>
      </c>
      <c r="L353" s="188" t="str">
        <f t="shared" si="33"/>
        <v/>
      </c>
      <c r="M353" s="203" t="str">
        <f>IF($H353="USD",IF(OR($L353="",$L353="-"),"",VLOOKUP($G353,為替!$A:$AX,$L353,FALSE))+$K$3,IF(OR($L353="",$L353="-"),"",VLOOKUP($G353,為替!$A:$AX,$L353,FALSE)))</f>
        <v/>
      </c>
      <c r="N353" s="204" t="str">
        <f t="shared" si="34"/>
        <v/>
      </c>
      <c r="O353" s="205" t="str">
        <f t="shared" si="30"/>
        <v/>
      </c>
      <c r="P353" s="206" t="str">
        <f t="shared" si="35"/>
        <v/>
      </c>
    </row>
    <row r="354" spans="3:16" x14ac:dyDescent="0.4">
      <c r="C354" s="199"/>
      <c r="D354" s="200"/>
      <c r="E354" s="201"/>
      <c r="F354" s="199"/>
      <c r="H354" s="202"/>
      <c r="I354" s="185" t="str">
        <f t="shared" si="31"/>
        <v/>
      </c>
      <c r="J354" s="203" t="str">
        <f>IF($H354="USD",IF(OR($I354="",$I354="-"),"",VLOOKUP($G354,為替!$A:$AX,$I354,FALSE))+$J$3,IF(OR($I354="",$I354="-"),"",VLOOKUP($G354,為替!$A:$AX,$I354,FALSE)))</f>
        <v/>
      </c>
      <c r="K354" s="204" t="str">
        <f t="shared" si="32"/>
        <v/>
      </c>
      <c r="L354" s="188" t="str">
        <f t="shared" si="33"/>
        <v/>
      </c>
      <c r="M354" s="203" t="str">
        <f>IF($H354="USD",IF(OR($L354="",$L354="-"),"",VLOOKUP($G354,為替!$A:$AX,$L354,FALSE))+$K$3,IF(OR($L354="",$L354="-"),"",VLOOKUP($G354,為替!$A:$AX,$L354,FALSE)))</f>
        <v/>
      </c>
      <c r="N354" s="204" t="str">
        <f t="shared" si="34"/>
        <v/>
      </c>
      <c r="O354" s="205" t="str">
        <f t="shared" si="30"/>
        <v/>
      </c>
      <c r="P354" s="206" t="str">
        <f t="shared" si="35"/>
        <v/>
      </c>
    </row>
    <row r="355" spans="3:16" x14ac:dyDescent="0.4">
      <c r="C355" s="199"/>
      <c r="D355" s="200"/>
      <c r="E355" s="201"/>
      <c r="F355" s="199"/>
      <c r="H355" s="202"/>
      <c r="I355" s="185" t="str">
        <f t="shared" si="31"/>
        <v/>
      </c>
      <c r="J355" s="203" t="str">
        <f>IF($H355="USD",IF(OR($I355="",$I355="-"),"",VLOOKUP($G355,為替!$A:$AX,$I355,FALSE))+$J$3,IF(OR($I355="",$I355="-"),"",VLOOKUP($G355,為替!$A:$AX,$I355,FALSE)))</f>
        <v/>
      </c>
      <c r="K355" s="204" t="str">
        <f t="shared" si="32"/>
        <v/>
      </c>
      <c r="L355" s="188" t="str">
        <f t="shared" si="33"/>
        <v/>
      </c>
      <c r="M355" s="203" t="str">
        <f>IF($H355="USD",IF(OR($L355="",$L355="-"),"",VLOOKUP($G355,為替!$A:$AX,$L355,FALSE))+$K$3,IF(OR($L355="",$L355="-"),"",VLOOKUP($G355,為替!$A:$AX,$L355,FALSE)))</f>
        <v/>
      </c>
      <c r="N355" s="204" t="str">
        <f t="shared" si="34"/>
        <v/>
      </c>
      <c r="O355" s="205" t="str">
        <f t="shared" si="30"/>
        <v/>
      </c>
      <c r="P355" s="206" t="str">
        <f t="shared" si="35"/>
        <v/>
      </c>
    </row>
    <row r="356" spans="3:16" x14ac:dyDescent="0.4">
      <c r="C356" s="199"/>
      <c r="D356" s="200"/>
      <c r="E356" s="201"/>
      <c r="F356" s="199"/>
      <c r="H356" s="202"/>
      <c r="I356" s="185" t="str">
        <f t="shared" si="31"/>
        <v/>
      </c>
      <c r="J356" s="203" t="str">
        <f>IF($H356="USD",IF(OR($I356="",$I356="-"),"",VLOOKUP($G356,為替!$A:$AX,$I356,FALSE))+$J$3,IF(OR($I356="",$I356="-"),"",VLOOKUP($G356,為替!$A:$AX,$I356,FALSE)))</f>
        <v/>
      </c>
      <c r="K356" s="204" t="str">
        <f t="shared" si="32"/>
        <v/>
      </c>
      <c r="L356" s="188" t="str">
        <f t="shared" si="33"/>
        <v/>
      </c>
      <c r="M356" s="203" t="str">
        <f>IF($H356="USD",IF(OR($L356="",$L356="-"),"",VLOOKUP($G356,為替!$A:$AX,$L356,FALSE))+$K$3,IF(OR($L356="",$L356="-"),"",VLOOKUP($G356,為替!$A:$AX,$L356,FALSE)))</f>
        <v/>
      </c>
      <c r="N356" s="204" t="str">
        <f t="shared" si="34"/>
        <v/>
      </c>
      <c r="O356" s="205" t="str">
        <f t="shared" si="30"/>
        <v/>
      </c>
      <c r="P356" s="206" t="str">
        <f t="shared" si="35"/>
        <v/>
      </c>
    </row>
    <row r="357" spans="3:16" x14ac:dyDescent="0.4">
      <c r="C357" s="199"/>
      <c r="D357" s="200"/>
      <c r="E357" s="201"/>
      <c r="F357" s="199"/>
      <c r="H357" s="202"/>
      <c r="I357" s="185" t="str">
        <f t="shared" si="31"/>
        <v/>
      </c>
      <c r="J357" s="203" t="str">
        <f>IF($H357="USD",IF(OR($I357="",$I357="-"),"",VLOOKUP($G357,為替!$A:$AX,$I357,FALSE))+$J$3,IF(OR($I357="",$I357="-"),"",VLOOKUP($G357,為替!$A:$AX,$I357,FALSE)))</f>
        <v/>
      </c>
      <c r="K357" s="204" t="str">
        <f t="shared" si="32"/>
        <v/>
      </c>
      <c r="L357" s="188" t="str">
        <f t="shared" si="33"/>
        <v/>
      </c>
      <c r="M357" s="203" t="str">
        <f>IF($H357="USD",IF(OR($L357="",$L357="-"),"",VLOOKUP($G357,為替!$A:$AX,$L357,FALSE))+$K$3,IF(OR($L357="",$L357="-"),"",VLOOKUP($G357,為替!$A:$AX,$L357,FALSE)))</f>
        <v/>
      </c>
      <c r="N357" s="204" t="str">
        <f t="shared" si="34"/>
        <v/>
      </c>
      <c r="O357" s="205" t="str">
        <f t="shared" si="30"/>
        <v/>
      </c>
      <c r="P357" s="206" t="str">
        <f t="shared" si="35"/>
        <v/>
      </c>
    </row>
    <row r="358" spans="3:16" x14ac:dyDescent="0.4">
      <c r="C358" s="199"/>
      <c r="D358" s="200"/>
      <c r="E358" s="201"/>
      <c r="F358" s="199"/>
      <c r="H358" s="202"/>
      <c r="I358" s="185" t="str">
        <f t="shared" si="31"/>
        <v/>
      </c>
      <c r="J358" s="203" t="str">
        <f>IF($H358="USD",IF(OR($I358="",$I358="-"),"",VLOOKUP($G358,為替!$A:$AX,$I358,FALSE))+$J$3,IF(OR($I358="",$I358="-"),"",VLOOKUP($G358,為替!$A:$AX,$I358,FALSE)))</f>
        <v/>
      </c>
      <c r="K358" s="204" t="str">
        <f t="shared" si="32"/>
        <v/>
      </c>
      <c r="L358" s="188" t="str">
        <f t="shared" si="33"/>
        <v/>
      </c>
      <c r="M358" s="203" t="str">
        <f>IF($H358="USD",IF(OR($L358="",$L358="-"),"",VLOOKUP($G358,為替!$A:$AX,$L358,FALSE))+$K$3,IF(OR($L358="",$L358="-"),"",VLOOKUP($G358,為替!$A:$AX,$L358,FALSE)))</f>
        <v/>
      </c>
      <c r="N358" s="204" t="str">
        <f t="shared" si="34"/>
        <v/>
      </c>
      <c r="O358" s="205" t="str">
        <f t="shared" si="30"/>
        <v/>
      </c>
      <c r="P358" s="206" t="str">
        <f t="shared" si="35"/>
        <v/>
      </c>
    </row>
    <row r="359" spans="3:16" x14ac:dyDescent="0.4">
      <c r="C359" s="199"/>
      <c r="D359" s="200"/>
      <c r="E359" s="201"/>
      <c r="F359" s="199"/>
      <c r="H359" s="202"/>
      <c r="I359" s="185" t="str">
        <f t="shared" si="31"/>
        <v/>
      </c>
      <c r="J359" s="203" t="str">
        <f>IF($H359="USD",IF(OR($I359="",$I359="-"),"",VLOOKUP($G359,為替!$A:$AX,$I359,FALSE))+$J$3,IF(OR($I359="",$I359="-"),"",VLOOKUP($G359,為替!$A:$AX,$I359,FALSE)))</f>
        <v/>
      </c>
      <c r="K359" s="204" t="str">
        <f t="shared" si="32"/>
        <v/>
      </c>
      <c r="L359" s="188" t="str">
        <f t="shared" si="33"/>
        <v/>
      </c>
      <c r="M359" s="203" t="str">
        <f>IF($H359="USD",IF(OR($L359="",$L359="-"),"",VLOOKUP($G359,為替!$A:$AX,$L359,FALSE))+$K$3,IF(OR($L359="",$L359="-"),"",VLOOKUP($G359,為替!$A:$AX,$L359,FALSE)))</f>
        <v/>
      </c>
      <c r="N359" s="204" t="str">
        <f t="shared" si="34"/>
        <v/>
      </c>
      <c r="O359" s="205" t="str">
        <f t="shared" si="30"/>
        <v/>
      </c>
      <c r="P359" s="206" t="str">
        <f t="shared" si="35"/>
        <v/>
      </c>
    </row>
    <row r="360" spans="3:16" x14ac:dyDescent="0.4">
      <c r="C360" s="199"/>
      <c r="D360" s="200"/>
      <c r="E360" s="201"/>
      <c r="F360" s="199"/>
      <c r="H360" s="202"/>
      <c r="I360" s="185" t="str">
        <f t="shared" si="31"/>
        <v/>
      </c>
      <c r="J360" s="203" t="str">
        <f>IF($H360="USD",IF(OR($I360="",$I360="-"),"",VLOOKUP($G360,為替!$A:$AX,$I360,FALSE))+$J$3,IF(OR($I360="",$I360="-"),"",VLOOKUP($G360,為替!$A:$AX,$I360,FALSE)))</f>
        <v/>
      </c>
      <c r="K360" s="204" t="str">
        <f t="shared" si="32"/>
        <v/>
      </c>
      <c r="L360" s="188" t="str">
        <f t="shared" si="33"/>
        <v/>
      </c>
      <c r="M360" s="203" t="str">
        <f>IF($H360="USD",IF(OR($L360="",$L360="-"),"",VLOOKUP($G360,為替!$A:$AX,$L360,FALSE))+$K$3,IF(OR($L360="",$L360="-"),"",VLOOKUP($G360,為替!$A:$AX,$L360,FALSE)))</f>
        <v/>
      </c>
      <c r="N360" s="204" t="str">
        <f t="shared" si="34"/>
        <v/>
      </c>
      <c r="O360" s="205" t="str">
        <f t="shared" si="30"/>
        <v/>
      </c>
      <c r="P360" s="206" t="str">
        <f t="shared" si="35"/>
        <v/>
      </c>
    </row>
    <row r="361" spans="3:16" x14ac:dyDescent="0.4">
      <c r="C361" s="199"/>
      <c r="D361" s="200"/>
      <c r="E361" s="201"/>
      <c r="F361" s="199"/>
      <c r="H361" s="202"/>
      <c r="I361" s="185" t="str">
        <f t="shared" si="31"/>
        <v/>
      </c>
      <c r="J361" s="203" t="str">
        <f>IF($H361="USD",IF(OR($I361="",$I361="-"),"",VLOOKUP($G361,為替!$A:$AX,$I361,FALSE))+$J$3,IF(OR($I361="",$I361="-"),"",VLOOKUP($G361,為替!$A:$AX,$I361,FALSE)))</f>
        <v/>
      </c>
      <c r="K361" s="204" t="str">
        <f t="shared" si="32"/>
        <v/>
      </c>
      <c r="L361" s="188" t="str">
        <f t="shared" si="33"/>
        <v/>
      </c>
      <c r="M361" s="203" t="str">
        <f>IF($H361="USD",IF(OR($L361="",$L361="-"),"",VLOOKUP($G361,為替!$A:$AX,$L361,FALSE))+$K$3,IF(OR($L361="",$L361="-"),"",VLOOKUP($G361,為替!$A:$AX,$L361,FALSE)))</f>
        <v/>
      </c>
      <c r="N361" s="204" t="str">
        <f t="shared" si="34"/>
        <v/>
      </c>
      <c r="O361" s="205" t="str">
        <f t="shared" si="30"/>
        <v/>
      </c>
      <c r="P361" s="206" t="str">
        <f t="shared" si="35"/>
        <v/>
      </c>
    </row>
    <row r="362" spans="3:16" x14ac:dyDescent="0.4">
      <c r="C362" s="199"/>
      <c r="D362" s="200"/>
      <c r="E362" s="201"/>
      <c r="F362" s="199"/>
      <c r="H362" s="202"/>
      <c r="I362" s="185" t="str">
        <f t="shared" si="31"/>
        <v/>
      </c>
      <c r="J362" s="203" t="str">
        <f>IF($H362="USD",IF(OR($I362="",$I362="-"),"",VLOOKUP($G362,為替!$A:$AX,$I362,FALSE))+$J$3,IF(OR($I362="",$I362="-"),"",VLOOKUP($G362,為替!$A:$AX,$I362,FALSE)))</f>
        <v/>
      </c>
      <c r="K362" s="204" t="str">
        <f t="shared" si="32"/>
        <v/>
      </c>
      <c r="L362" s="188" t="str">
        <f t="shared" si="33"/>
        <v/>
      </c>
      <c r="M362" s="203" t="str">
        <f>IF($H362="USD",IF(OR($L362="",$L362="-"),"",VLOOKUP($G362,為替!$A:$AX,$L362,FALSE))+$K$3,IF(OR($L362="",$L362="-"),"",VLOOKUP($G362,為替!$A:$AX,$L362,FALSE)))</f>
        <v/>
      </c>
      <c r="N362" s="204" t="str">
        <f t="shared" si="34"/>
        <v/>
      </c>
      <c r="O362" s="205" t="str">
        <f t="shared" si="30"/>
        <v/>
      </c>
      <c r="P362" s="206" t="str">
        <f t="shared" si="35"/>
        <v/>
      </c>
    </row>
    <row r="363" spans="3:16" x14ac:dyDescent="0.4">
      <c r="C363" s="199"/>
      <c r="D363" s="200"/>
      <c r="E363" s="201"/>
      <c r="F363" s="199"/>
      <c r="H363" s="202"/>
      <c r="I363" s="185" t="str">
        <f t="shared" si="31"/>
        <v/>
      </c>
      <c r="J363" s="203" t="str">
        <f>IF($H363="USD",IF(OR($I363="",$I363="-"),"",VLOOKUP($G363,為替!$A:$AX,$I363,FALSE))+$J$3,IF(OR($I363="",$I363="-"),"",VLOOKUP($G363,為替!$A:$AX,$I363,FALSE)))</f>
        <v/>
      </c>
      <c r="K363" s="204" t="str">
        <f t="shared" si="32"/>
        <v/>
      </c>
      <c r="L363" s="188" t="str">
        <f t="shared" si="33"/>
        <v/>
      </c>
      <c r="M363" s="203" t="str">
        <f>IF($H363="USD",IF(OR($L363="",$L363="-"),"",VLOOKUP($G363,為替!$A:$AX,$L363,FALSE))+$K$3,IF(OR($L363="",$L363="-"),"",VLOOKUP($G363,為替!$A:$AX,$L363,FALSE)))</f>
        <v/>
      </c>
      <c r="N363" s="204" t="str">
        <f t="shared" si="34"/>
        <v/>
      </c>
      <c r="O363" s="205" t="str">
        <f t="shared" si="30"/>
        <v/>
      </c>
      <c r="P363" s="206" t="str">
        <f t="shared" si="35"/>
        <v/>
      </c>
    </row>
    <row r="364" spans="3:16" x14ac:dyDescent="0.4">
      <c r="C364" s="199"/>
      <c r="D364" s="200"/>
      <c r="E364" s="201"/>
      <c r="F364" s="199"/>
      <c r="H364" s="202"/>
      <c r="I364" s="185" t="str">
        <f t="shared" si="31"/>
        <v/>
      </c>
      <c r="J364" s="203" t="str">
        <f>IF($H364="USD",IF(OR($I364="",$I364="-"),"",VLOOKUP($G364,為替!$A:$AX,$I364,FALSE))+$J$3,IF(OR($I364="",$I364="-"),"",VLOOKUP($G364,為替!$A:$AX,$I364,FALSE)))</f>
        <v/>
      </c>
      <c r="K364" s="204" t="str">
        <f t="shared" si="32"/>
        <v/>
      </c>
      <c r="L364" s="188" t="str">
        <f t="shared" si="33"/>
        <v/>
      </c>
      <c r="M364" s="203" t="str">
        <f>IF($H364="USD",IF(OR($L364="",$L364="-"),"",VLOOKUP($G364,為替!$A:$AX,$L364,FALSE))+$K$3,IF(OR($L364="",$L364="-"),"",VLOOKUP($G364,為替!$A:$AX,$L364,FALSE)))</f>
        <v/>
      </c>
      <c r="N364" s="204" t="str">
        <f t="shared" si="34"/>
        <v/>
      </c>
      <c r="O364" s="205" t="str">
        <f t="shared" si="30"/>
        <v/>
      </c>
      <c r="P364" s="206" t="str">
        <f t="shared" si="35"/>
        <v/>
      </c>
    </row>
    <row r="365" spans="3:16" x14ac:dyDescent="0.4">
      <c r="C365" s="199"/>
      <c r="D365" s="200"/>
      <c r="E365" s="201"/>
      <c r="F365" s="199"/>
      <c r="H365" s="202"/>
      <c r="I365" s="185" t="str">
        <f t="shared" si="31"/>
        <v/>
      </c>
      <c r="J365" s="203" t="str">
        <f>IF($H365="USD",IF(OR($I365="",$I365="-"),"",VLOOKUP($G365,為替!$A:$AX,$I365,FALSE))+$J$3,IF(OR($I365="",$I365="-"),"",VLOOKUP($G365,為替!$A:$AX,$I365,FALSE)))</f>
        <v/>
      </c>
      <c r="K365" s="204" t="str">
        <f t="shared" si="32"/>
        <v/>
      </c>
      <c r="L365" s="188" t="str">
        <f t="shared" si="33"/>
        <v/>
      </c>
      <c r="M365" s="203" t="str">
        <f>IF($H365="USD",IF(OR($L365="",$L365="-"),"",VLOOKUP($G365,為替!$A:$AX,$L365,FALSE))+$K$3,IF(OR($L365="",$L365="-"),"",VLOOKUP($G365,為替!$A:$AX,$L365,FALSE)))</f>
        <v/>
      </c>
      <c r="N365" s="204" t="str">
        <f t="shared" si="34"/>
        <v/>
      </c>
      <c r="O365" s="205" t="str">
        <f t="shared" si="30"/>
        <v/>
      </c>
      <c r="P365" s="206" t="str">
        <f t="shared" si="35"/>
        <v/>
      </c>
    </row>
    <row r="366" spans="3:16" x14ac:dyDescent="0.4">
      <c r="C366" s="199"/>
      <c r="D366" s="200"/>
      <c r="E366" s="201"/>
      <c r="F366" s="199"/>
      <c r="H366" s="202"/>
      <c r="I366" s="185" t="str">
        <f t="shared" si="31"/>
        <v/>
      </c>
      <c r="J366" s="203" t="str">
        <f>IF($H366="USD",IF(OR($I366="",$I366="-"),"",VLOOKUP($G366,為替!$A:$AX,$I366,FALSE))+$J$3,IF(OR($I366="",$I366="-"),"",VLOOKUP($G366,為替!$A:$AX,$I366,FALSE)))</f>
        <v/>
      </c>
      <c r="K366" s="204" t="str">
        <f t="shared" si="32"/>
        <v/>
      </c>
      <c r="L366" s="188" t="str">
        <f t="shared" si="33"/>
        <v/>
      </c>
      <c r="M366" s="203" t="str">
        <f>IF($H366="USD",IF(OR($L366="",$L366="-"),"",VLOOKUP($G366,為替!$A:$AX,$L366,FALSE))+$K$3,IF(OR($L366="",$L366="-"),"",VLOOKUP($G366,為替!$A:$AX,$L366,FALSE)))</f>
        <v/>
      </c>
      <c r="N366" s="204" t="str">
        <f t="shared" si="34"/>
        <v/>
      </c>
      <c r="O366" s="205" t="str">
        <f t="shared" si="30"/>
        <v/>
      </c>
      <c r="P366" s="206" t="str">
        <f t="shared" si="35"/>
        <v/>
      </c>
    </row>
    <row r="367" spans="3:16" x14ac:dyDescent="0.4">
      <c r="C367" s="199"/>
      <c r="D367" s="200"/>
      <c r="E367" s="201"/>
      <c r="F367" s="199"/>
      <c r="H367" s="202"/>
      <c r="I367" s="185" t="str">
        <f t="shared" si="31"/>
        <v/>
      </c>
      <c r="J367" s="203" t="str">
        <f>IF($H367="USD",IF(OR($I367="",$I367="-"),"",VLOOKUP($G367,為替!$A:$AX,$I367,FALSE))+$J$3,IF(OR($I367="",$I367="-"),"",VLOOKUP($G367,為替!$A:$AX,$I367,FALSE)))</f>
        <v/>
      </c>
      <c r="K367" s="204" t="str">
        <f t="shared" si="32"/>
        <v/>
      </c>
      <c r="L367" s="188" t="str">
        <f t="shared" si="33"/>
        <v/>
      </c>
      <c r="M367" s="203" t="str">
        <f>IF($H367="USD",IF(OR($L367="",$L367="-"),"",VLOOKUP($G367,為替!$A:$AX,$L367,FALSE))+$K$3,IF(OR($L367="",$L367="-"),"",VLOOKUP($G367,為替!$A:$AX,$L367,FALSE)))</f>
        <v/>
      </c>
      <c r="N367" s="204" t="str">
        <f t="shared" si="34"/>
        <v/>
      </c>
      <c r="O367" s="205" t="str">
        <f t="shared" si="30"/>
        <v/>
      </c>
      <c r="P367" s="206" t="str">
        <f t="shared" si="35"/>
        <v/>
      </c>
    </row>
    <row r="368" spans="3:16" x14ac:dyDescent="0.4">
      <c r="C368" s="199"/>
      <c r="D368" s="200"/>
      <c r="E368" s="201"/>
      <c r="F368" s="199"/>
      <c r="H368" s="202"/>
      <c r="I368" s="185" t="str">
        <f t="shared" si="31"/>
        <v/>
      </c>
      <c r="J368" s="203" t="str">
        <f>IF($H368="USD",IF(OR($I368="",$I368="-"),"",VLOOKUP($G368,為替!$A:$AX,$I368,FALSE))+$J$3,IF(OR($I368="",$I368="-"),"",VLOOKUP($G368,為替!$A:$AX,$I368,FALSE)))</f>
        <v/>
      </c>
      <c r="K368" s="204" t="str">
        <f t="shared" si="32"/>
        <v/>
      </c>
      <c r="L368" s="188" t="str">
        <f t="shared" si="33"/>
        <v/>
      </c>
      <c r="M368" s="203" t="str">
        <f>IF($H368="USD",IF(OR($L368="",$L368="-"),"",VLOOKUP($G368,為替!$A:$AX,$L368,FALSE))+$K$3,IF(OR($L368="",$L368="-"),"",VLOOKUP($G368,為替!$A:$AX,$L368,FALSE)))</f>
        <v/>
      </c>
      <c r="N368" s="204" t="str">
        <f t="shared" si="34"/>
        <v/>
      </c>
      <c r="O368" s="205" t="str">
        <f t="shared" si="30"/>
        <v/>
      </c>
      <c r="P368" s="206" t="str">
        <f t="shared" si="35"/>
        <v/>
      </c>
    </row>
    <row r="369" spans="3:16" x14ac:dyDescent="0.4">
      <c r="C369" s="199"/>
      <c r="D369" s="200"/>
      <c r="E369" s="201"/>
      <c r="F369" s="199"/>
      <c r="H369" s="202"/>
      <c r="I369" s="185" t="str">
        <f t="shared" si="31"/>
        <v/>
      </c>
      <c r="J369" s="203" t="str">
        <f>IF($H369="USD",IF(OR($I369="",$I369="-"),"",VLOOKUP($G369,為替!$A:$AX,$I369,FALSE))+$J$3,IF(OR($I369="",$I369="-"),"",VLOOKUP($G369,為替!$A:$AX,$I369,FALSE)))</f>
        <v/>
      </c>
      <c r="K369" s="204" t="str">
        <f t="shared" si="32"/>
        <v/>
      </c>
      <c r="L369" s="188" t="str">
        <f t="shared" si="33"/>
        <v/>
      </c>
      <c r="M369" s="203" t="str">
        <f>IF($H369="USD",IF(OR($L369="",$L369="-"),"",VLOOKUP($G369,為替!$A:$AX,$L369,FALSE))+$K$3,IF(OR($L369="",$L369="-"),"",VLOOKUP($G369,為替!$A:$AX,$L369,FALSE)))</f>
        <v/>
      </c>
      <c r="N369" s="204" t="str">
        <f t="shared" si="34"/>
        <v/>
      </c>
      <c r="O369" s="205" t="str">
        <f t="shared" si="30"/>
        <v/>
      </c>
      <c r="P369" s="206" t="str">
        <f t="shared" si="35"/>
        <v/>
      </c>
    </row>
    <row r="370" spans="3:16" x14ac:dyDescent="0.4">
      <c r="C370" s="199"/>
      <c r="D370" s="200"/>
      <c r="E370" s="201"/>
      <c r="F370" s="199"/>
      <c r="H370" s="202"/>
      <c r="I370" s="185" t="str">
        <f t="shared" si="31"/>
        <v/>
      </c>
      <c r="J370" s="203" t="str">
        <f>IF($H370="USD",IF(OR($I370="",$I370="-"),"",VLOOKUP($G370,為替!$A:$AX,$I370,FALSE))+$J$3,IF(OR($I370="",$I370="-"),"",VLOOKUP($G370,為替!$A:$AX,$I370,FALSE)))</f>
        <v/>
      </c>
      <c r="K370" s="204" t="str">
        <f t="shared" si="32"/>
        <v/>
      </c>
      <c r="L370" s="188" t="str">
        <f t="shared" si="33"/>
        <v/>
      </c>
      <c r="M370" s="203" t="str">
        <f>IF($H370="USD",IF(OR($L370="",$L370="-"),"",VLOOKUP($G370,為替!$A:$AX,$L370,FALSE))+$K$3,IF(OR($L370="",$L370="-"),"",VLOOKUP($G370,為替!$A:$AX,$L370,FALSE)))</f>
        <v/>
      </c>
      <c r="N370" s="204" t="str">
        <f t="shared" si="34"/>
        <v/>
      </c>
      <c r="O370" s="205" t="str">
        <f t="shared" si="30"/>
        <v/>
      </c>
      <c r="P370" s="206" t="str">
        <f t="shared" si="35"/>
        <v/>
      </c>
    </row>
    <row r="371" spans="3:16" x14ac:dyDescent="0.4">
      <c r="C371" s="199"/>
      <c r="D371" s="200"/>
      <c r="E371" s="201"/>
      <c r="F371" s="199"/>
      <c r="H371" s="202"/>
      <c r="I371" s="185" t="str">
        <f t="shared" si="31"/>
        <v/>
      </c>
      <c r="J371" s="203" t="str">
        <f>IF($H371="USD",IF(OR($I371="",$I371="-"),"",VLOOKUP($G371,為替!$A:$AX,$I371,FALSE))+$J$3,IF(OR($I371="",$I371="-"),"",VLOOKUP($G371,為替!$A:$AX,$I371,FALSE)))</f>
        <v/>
      </c>
      <c r="K371" s="204" t="str">
        <f t="shared" si="32"/>
        <v/>
      </c>
      <c r="L371" s="188" t="str">
        <f t="shared" si="33"/>
        <v/>
      </c>
      <c r="M371" s="203" t="str">
        <f>IF($H371="USD",IF(OR($L371="",$L371="-"),"",VLOOKUP($G371,為替!$A:$AX,$L371,FALSE))+$K$3,IF(OR($L371="",$L371="-"),"",VLOOKUP($G371,為替!$A:$AX,$L371,FALSE)))</f>
        <v/>
      </c>
      <c r="N371" s="204" t="str">
        <f t="shared" si="34"/>
        <v/>
      </c>
      <c r="O371" s="205" t="str">
        <f t="shared" si="30"/>
        <v/>
      </c>
      <c r="P371" s="206" t="str">
        <f t="shared" si="35"/>
        <v/>
      </c>
    </row>
    <row r="372" spans="3:16" x14ac:dyDescent="0.4">
      <c r="C372" s="199"/>
      <c r="D372" s="200"/>
      <c r="E372" s="201"/>
      <c r="F372" s="199"/>
      <c r="H372" s="202"/>
      <c r="I372" s="185" t="str">
        <f t="shared" si="31"/>
        <v/>
      </c>
      <c r="J372" s="203" t="str">
        <f>IF($H372="USD",IF(OR($I372="",$I372="-"),"",VLOOKUP($G372,為替!$A:$AX,$I372,FALSE))+$J$3,IF(OR($I372="",$I372="-"),"",VLOOKUP($G372,為替!$A:$AX,$I372,FALSE)))</f>
        <v/>
      </c>
      <c r="K372" s="204" t="str">
        <f t="shared" si="32"/>
        <v/>
      </c>
      <c r="L372" s="188" t="str">
        <f t="shared" si="33"/>
        <v/>
      </c>
      <c r="M372" s="203" t="str">
        <f>IF($H372="USD",IF(OR($L372="",$L372="-"),"",VLOOKUP($G372,為替!$A:$AX,$L372,FALSE))+$K$3,IF(OR($L372="",$L372="-"),"",VLOOKUP($G372,為替!$A:$AX,$L372,FALSE)))</f>
        <v/>
      </c>
      <c r="N372" s="204" t="str">
        <f t="shared" si="34"/>
        <v/>
      </c>
      <c r="O372" s="205" t="str">
        <f t="shared" si="30"/>
        <v/>
      </c>
      <c r="P372" s="206" t="str">
        <f t="shared" si="35"/>
        <v/>
      </c>
    </row>
    <row r="373" spans="3:16" x14ac:dyDescent="0.4">
      <c r="C373" s="199"/>
      <c r="D373" s="200"/>
      <c r="E373" s="201"/>
      <c r="F373" s="199"/>
      <c r="H373" s="202"/>
      <c r="I373" s="185" t="str">
        <f t="shared" si="31"/>
        <v/>
      </c>
      <c r="J373" s="203" t="str">
        <f>IF($H373="USD",IF(OR($I373="",$I373="-"),"",VLOOKUP($G373,為替!$A:$AX,$I373,FALSE))+$J$3,IF(OR($I373="",$I373="-"),"",VLOOKUP($G373,為替!$A:$AX,$I373,FALSE)))</f>
        <v/>
      </c>
      <c r="K373" s="204" t="str">
        <f t="shared" si="32"/>
        <v/>
      </c>
      <c r="L373" s="188" t="str">
        <f t="shared" si="33"/>
        <v/>
      </c>
      <c r="M373" s="203" t="str">
        <f>IF($H373="USD",IF(OR($L373="",$L373="-"),"",VLOOKUP($G373,為替!$A:$AX,$L373,FALSE))+$K$3,IF(OR($L373="",$L373="-"),"",VLOOKUP($G373,為替!$A:$AX,$L373,FALSE)))</f>
        <v/>
      </c>
      <c r="N373" s="204" t="str">
        <f t="shared" si="34"/>
        <v/>
      </c>
      <c r="O373" s="205" t="str">
        <f t="shared" si="30"/>
        <v/>
      </c>
      <c r="P373" s="206" t="str">
        <f t="shared" si="35"/>
        <v/>
      </c>
    </row>
    <row r="374" spans="3:16" x14ac:dyDescent="0.4">
      <c r="C374" s="199"/>
      <c r="D374" s="200"/>
      <c r="E374" s="201"/>
      <c r="F374" s="199"/>
      <c r="H374" s="202"/>
      <c r="I374" s="185" t="str">
        <f t="shared" si="31"/>
        <v/>
      </c>
      <c r="J374" s="203" t="str">
        <f>IF($H374="USD",IF(OR($I374="",$I374="-"),"",VLOOKUP($G374,為替!$A:$AX,$I374,FALSE))+$J$3,IF(OR($I374="",$I374="-"),"",VLOOKUP($G374,為替!$A:$AX,$I374,FALSE)))</f>
        <v/>
      </c>
      <c r="K374" s="204" t="str">
        <f t="shared" si="32"/>
        <v/>
      </c>
      <c r="L374" s="188" t="str">
        <f t="shared" si="33"/>
        <v/>
      </c>
      <c r="M374" s="203" t="str">
        <f>IF($H374="USD",IF(OR($L374="",$L374="-"),"",VLOOKUP($G374,為替!$A:$AX,$L374,FALSE))+$K$3,IF(OR($L374="",$L374="-"),"",VLOOKUP($G374,為替!$A:$AX,$L374,FALSE)))</f>
        <v/>
      </c>
      <c r="N374" s="204" t="str">
        <f t="shared" si="34"/>
        <v/>
      </c>
      <c r="O374" s="205" t="str">
        <f t="shared" si="30"/>
        <v/>
      </c>
      <c r="P374" s="206" t="str">
        <f t="shared" si="35"/>
        <v/>
      </c>
    </row>
    <row r="375" spans="3:16" x14ac:dyDescent="0.4">
      <c r="C375" s="199"/>
      <c r="D375" s="200"/>
      <c r="E375" s="201"/>
      <c r="F375" s="199"/>
      <c r="H375" s="202"/>
      <c r="I375" s="185" t="str">
        <f t="shared" si="31"/>
        <v/>
      </c>
      <c r="J375" s="203" t="str">
        <f>IF($H375="USD",IF(OR($I375="",$I375="-"),"",VLOOKUP($G375,為替!$A:$AX,$I375,FALSE))+$J$3,IF(OR($I375="",$I375="-"),"",VLOOKUP($G375,為替!$A:$AX,$I375,FALSE)))</f>
        <v/>
      </c>
      <c r="K375" s="204" t="str">
        <f t="shared" si="32"/>
        <v/>
      </c>
      <c r="L375" s="188" t="str">
        <f t="shared" si="33"/>
        <v/>
      </c>
      <c r="M375" s="203" t="str">
        <f>IF($H375="USD",IF(OR($L375="",$L375="-"),"",VLOOKUP($G375,為替!$A:$AX,$L375,FALSE))+$K$3,IF(OR($L375="",$L375="-"),"",VLOOKUP($G375,為替!$A:$AX,$L375,FALSE)))</f>
        <v/>
      </c>
      <c r="N375" s="204" t="str">
        <f t="shared" si="34"/>
        <v/>
      </c>
      <c r="O375" s="205" t="str">
        <f t="shared" si="30"/>
        <v/>
      </c>
      <c r="P375" s="206" t="str">
        <f t="shared" si="35"/>
        <v/>
      </c>
    </row>
    <row r="376" spans="3:16" x14ac:dyDescent="0.4">
      <c r="C376" s="199"/>
      <c r="D376" s="200"/>
      <c r="E376" s="201"/>
      <c r="F376" s="199"/>
      <c r="H376" s="202"/>
      <c r="I376" s="185" t="str">
        <f t="shared" si="31"/>
        <v/>
      </c>
      <c r="J376" s="203" t="str">
        <f>IF($H376="USD",IF(OR($I376="",$I376="-"),"",VLOOKUP($G376,為替!$A:$AX,$I376,FALSE))+$J$3,IF(OR($I376="",$I376="-"),"",VLOOKUP($G376,為替!$A:$AX,$I376,FALSE)))</f>
        <v/>
      </c>
      <c r="K376" s="204" t="str">
        <f t="shared" si="32"/>
        <v/>
      </c>
      <c r="L376" s="188" t="str">
        <f t="shared" si="33"/>
        <v/>
      </c>
      <c r="M376" s="203" t="str">
        <f>IF($H376="USD",IF(OR($L376="",$L376="-"),"",VLOOKUP($G376,為替!$A:$AX,$L376,FALSE))+$K$3,IF(OR($L376="",$L376="-"),"",VLOOKUP($G376,為替!$A:$AX,$L376,FALSE)))</f>
        <v/>
      </c>
      <c r="N376" s="204" t="str">
        <f t="shared" si="34"/>
        <v/>
      </c>
      <c r="O376" s="205" t="str">
        <f t="shared" si="30"/>
        <v/>
      </c>
      <c r="P376" s="206" t="str">
        <f t="shared" si="35"/>
        <v/>
      </c>
    </row>
    <row r="377" spans="3:16" x14ac:dyDescent="0.4">
      <c r="C377" s="199"/>
      <c r="D377" s="200"/>
      <c r="E377" s="201"/>
      <c r="F377" s="199"/>
      <c r="H377" s="202"/>
      <c r="I377" s="185" t="str">
        <f t="shared" si="31"/>
        <v/>
      </c>
      <c r="J377" s="203" t="str">
        <f>IF($H377="USD",IF(OR($I377="",$I377="-"),"",VLOOKUP($G377,為替!$A:$AX,$I377,FALSE))+$J$3,IF(OR($I377="",$I377="-"),"",VLOOKUP($G377,為替!$A:$AX,$I377,FALSE)))</f>
        <v/>
      </c>
      <c r="K377" s="204" t="str">
        <f t="shared" si="32"/>
        <v/>
      </c>
      <c r="L377" s="188" t="str">
        <f t="shared" si="33"/>
        <v/>
      </c>
      <c r="M377" s="203" t="str">
        <f>IF($H377="USD",IF(OR($L377="",$L377="-"),"",VLOOKUP($G377,為替!$A:$AX,$L377,FALSE))+$K$3,IF(OR($L377="",$L377="-"),"",VLOOKUP($G377,為替!$A:$AX,$L377,FALSE)))</f>
        <v/>
      </c>
      <c r="N377" s="204" t="str">
        <f t="shared" si="34"/>
        <v/>
      </c>
      <c r="O377" s="205" t="str">
        <f t="shared" si="30"/>
        <v/>
      </c>
      <c r="P377" s="206" t="str">
        <f t="shared" si="35"/>
        <v/>
      </c>
    </row>
    <row r="378" spans="3:16" x14ac:dyDescent="0.4">
      <c r="C378" s="199"/>
      <c r="D378" s="200"/>
      <c r="E378" s="201"/>
      <c r="F378" s="199"/>
      <c r="H378" s="202"/>
      <c r="I378" s="185" t="str">
        <f t="shared" si="31"/>
        <v/>
      </c>
      <c r="J378" s="203" t="str">
        <f>IF($H378="USD",IF(OR($I378="",$I378="-"),"",VLOOKUP($G378,為替!$A:$AX,$I378,FALSE))+$J$3,IF(OR($I378="",$I378="-"),"",VLOOKUP($G378,為替!$A:$AX,$I378,FALSE)))</f>
        <v/>
      </c>
      <c r="K378" s="204" t="str">
        <f t="shared" si="32"/>
        <v/>
      </c>
      <c r="L378" s="188" t="str">
        <f t="shared" si="33"/>
        <v/>
      </c>
      <c r="M378" s="203" t="str">
        <f>IF($H378="USD",IF(OR($L378="",$L378="-"),"",VLOOKUP($G378,為替!$A:$AX,$L378,FALSE))+$K$3,IF(OR($L378="",$L378="-"),"",VLOOKUP($G378,為替!$A:$AX,$L378,FALSE)))</f>
        <v/>
      </c>
      <c r="N378" s="204" t="str">
        <f t="shared" si="34"/>
        <v/>
      </c>
      <c r="O378" s="205" t="str">
        <f t="shared" si="30"/>
        <v/>
      </c>
      <c r="P378" s="206" t="str">
        <f t="shared" si="35"/>
        <v/>
      </c>
    </row>
    <row r="379" spans="3:16" x14ac:dyDescent="0.4">
      <c r="C379" s="199"/>
      <c r="D379" s="200"/>
      <c r="E379" s="201"/>
      <c r="F379" s="199"/>
      <c r="H379" s="202"/>
      <c r="I379" s="185" t="str">
        <f t="shared" si="31"/>
        <v/>
      </c>
      <c r="J379" s="203" t="str">
        <f>IF($H379="USD",IF(OR($I379="",$I379="-"),"",VLOOKUP($G379,為替!$A:$AX,$I379,FALSE))+$J$3,IF(OR($I379="",$I379="-"),"",VLOOKUP($G379,為替!$A:$AX,$I379,FALSE)))</f>
        <v/>
      </c>
      <c r="K379" s="204" t="str">
        <f t="shared" si="32"/>
        <v/>
      </c>
      <c r="L379" s="188" t="str">
        <f t="shared" si="33"/>
        <v/>
      </c>
      <c r="M379" s="203" t="str">
        <f>IF($H379="USD",IF(OR($L379="",$L379="-"),"",VLOOKUP($G379,為替!$A:$AX,$L379,FALSE))+$K$3,IF(OR($L379="",$L379="-"),"",VLOOKUP($G379,為替!$A:$AX,$L379,FALSE)))</f>
        <v/>
      </c>
      <c r="N379" s="204" t="str">
        <f t="shared" si="34"/>
        <v/>
      </c>
      <c r="O379" s="205" t="str">
        <f t="shared" si="30"/>
        <v/>
      </c>
      <c r="P379" s="206" t="str">
        <f t="shared" si="35"/>
        <v/>
      </c>
    </row>
    <row r="380" spans="3:16" x14ac:dyDescent="0.4">
      <c r="C380" s="199"/>
      <c r="D380" s="200"/>
      <c r="E380" s="201"/>
      <c r="F380" s="199"/>
      <c r="H380" s="202"/>
      <c r="I380" s="185" t="str">
        <f t="shared" si="31"/>
        <v/>
      </c>
      <c r="J380" s="203" t="str">
        <f>IF($H380="USD",IF(OR($I380="",$I380="-"),"",VLOOKUP($G380,為替!$A:$AX,$I380,FALSE))+$J$3,IF(OR($I380="",$I380="-"),"",VLOOKUP($G380,為替!$A:$AX,$I380,FALSE)))</f>
        <v/>
      </c>
      <c r="K380" s="204" t="str">
        <f t="shared" si="32"/>
        <v/>
      </c>
      <c r="L380" s="188" t="str">
        <f t="shared" si="33"/>
        <v/>
      </c>
      <c r="M380" s="203" t="str">
        <f>IF($H380="USD",IF(OR($L380="",$L380="-"),"",VLOOKUP($G380,為替!$A:$AX,$L380,FALSE))+$K$3,IF(OR($L380="",$L380="-"),"",VLOOKUP($G380,為替!$A:$AX,$L380,FALSE)))</f>
        <v/>
      </c>
      <c r="N380" s="204" t="str">
        <f t="shared" si="34"/>
        <v/>
      </c>
      <c r="O380" s="205" t="str">
        <f t="shared" si="30"/>
        <v/>
      </c>
      <c r="P380" s="206" t="str">
        <f t="shared" si="35"/>
        <v/>
      </c>
    </row>
    <row r="381" spans="3:16" x14ac:dyDescent="0.4">
      <c r="C381" s="199"/>
      <c r="D381" s="200"/>
      <c r="E381" s="201"/>
      <c r="F381" s="199"/>
      <c r="H381" s="202"/>
      <c r="I381" s="185" t="str">
        <f t="shared" si="31"/>
        <v/>
      </c>
      <c r="J381" s="203" t="str">
        <f>IF($H381="USD",IF(OR($I381="",$I381="-"),"",VLOOKUP($G381,為替!$A:$AX,$I381,FALSE))+$J$3,IF(OR($I381="",$I381="-"),"",VLOOKUP($G381,為替!$A:$AX,$I381,FALSE)))</f>
        <v/>
      </c>
      <c r="K381" s="204" t="str">
        <f t="shared" si="32"/>
        <v/>
      </c>
      <c r="L381" s="188" t="str">
        <f t="shared" si="33"/>
        <v/>
      </c>
      <c r="M381" s="203" t="str">
        <f>IF($H381="USD",IF(OR($L381="",$L381="-"),"",VLOOKUP($G381,為替!$A:$AX,$L381,FALSE))+$K$3,IF(OR($L381="",$L381="-"),"",VLOOKUP($G381,為替!$A:$AX,$L381,FALSE)))</f>
        <v/>
      </c>
      <c r="N381" s="204" t="str">
        <f t="shared" si="34"/>
        <v/>
      </c>
      <c r="O381" s="205" t="str">
        <f t="shared" si="30"/>
        <v/>
      </c>
      <c r="P381" s="206" t="str">
        <f t="shared" si="35"/>
        <v/>
      </c>
    </row>
    <row r="382" spans="3:16" x14ac:dyDescent="0.4">
      <c r="C382" s="199"/>
      <c r="D382" s="200"/>
      <c r="E382" s="201"/>
      <c r="F382" s="199"/>
      <c r="H382" s="202"/>
      <c r="I382" s="185" t="str">
        <f t="shared" si="31"/>
        <v/>
      </c>
      <c r="J382" s="203" t="str">
        <f>IF($H382="USD",IF(OR($I382="",$I382="-"),"",VLOOKUP($G382,為替!$A:$AX,$I382,FALSE))+$J$3,IF(OR($I382="",$I382="-"),"",VLOOKUP($G382,為替!$A:$AX,$I382,FALSE)))</f>
        <v/>
      </c>
      <c r="K382" s="204" t="str">
        <f t="shared" si="32"/>
        <v/>
      </c>
      <c r="L382" s="188" t="str">
        <f t="shared" si="33"/>
        <v/>
      </c>
      <c r="M382" s="203" t="str">
        <f>IF($H382="USD",IF(OR($L382="",$L382="-"),"",VLOOKUP($G382,為替!$A:$AX,$L382,FALSE))+$K$3,IF(OR($L382="",$L382="-"),"",VLOOKUP($G382,為替!$A:$AX,$L382,FALSE)))</f>
        <v/>
      </c>
      <c r="N382" s="204" t="str">
        <f t="shared" si="34"/>
        <v/>
      </c>
      <c r="O382" s="205" t="str">
        <f t="shared" si="30"/>
        <v/>
      </c>
      <c r="P382" s="206" t="str">
        <f t="shared" si="35"/>
        <v/>
      </c>
    </row>
    <row r="383" spans="3:16" x14ac:dyDescent="0.4">
      <c r="C383" s="199"/>
      <c r="D383" s="200"/>
      <c r="E383" s="201"/>
      <c r="F383" s="199"/>
      <c r="H383" s="202"/>
      <c r="I383" s="185" t="str">
        <f t="shared" si="31"/>
        <v/>
      </c>
      <c r="J383" s="203" t="str">
        <f>IF($H383="USD",IF(OR($I383="",$I383="-"),"",VLOOKUP($G383,為替!$A:$AX,$I383,FALSE))+$J$3,IF(OR($I383="",$I383="-"),"",VLOOKUP($G383,為替!$A:$AX,$I383,FALSE)))</f>
        <v/>
      </c>
      <c r="K383" s="204" t="str">
        <f t="shared" si="32"/>
        <v/>
      </c>
      <c r="L383" s="188" t="str">
        <f t="shared" si="33"/>
        <v/>
      </c>
      <c r="M383" s="203" t="str">
        <f>IF($H383="USD",IF(OR($L383="",$L383="-"),"",VLOOKUP($G383,為替!$A:$AX,$L383,FALSE))+$K$3,IF(OR($L383="",$L383="-"),"",VLOOKUP($G383,為替!$A:$AX,$L383,FALSE)))</f>
        <v/>
      </c>
      <c r="N383" s="204" t="str">
        <f t="shared" si="34"/>
        <v/>
      </c>
      <c r="O383" s="205" t="str">
        <f t="shared" si="30"/>
        <v/>
      </c>
      <c r="P383" s="206" t="str">
        <f t="shared" si="35"/>
        <v/>
      </c>
    </row>
    <row r="384" spans="3:16" x14ac:dyDescent="0.4">
      <c r="C384" s="199"/>
      <c r="D384" s="200"/>
      <c r="E384" s="201"/>
      <c r="F384" s="199"/>
      <c r="H384" s="202"/>
      <c r="I384" s="185" t="str">
        <f t="shared" si="31"/>
        <v/>
      </c>
      <c r="J384" s="203" t="str">
        <f>IF($H384="USD",IF(OR($I384="",$I384="-"),"",VLOOKUP($G384,為替!$A:$AX,$I384,FALSE))+$J$3,IF(OR($I384="",$I384="-"),"",VLOOKUP($G384,為替!$A:$AX,$I384,FALSE)))</f>
        <v/>
      </c>
      <c r="K384" s="204" t="str">
        <f t="shared" si="32"/>
        <v/>
      </c>
      <c r="L384" s="188" t="str">
        <f t="shared" si="33"/>
        <v/>
      </c>
      <c r="M384" s="203" t="str">
        <f>IF($H384="USD",IF(OR($L384="",$L384="-"),"",VLOOKUP($G384,為替!$A:$AX,$L384,FALSE))+$K$3,IF(OR($L384="",$L384="-"),"",VLOOKUP($G384,為替!$A:$AX,$L384,FALSE)))</f>
        <v/>
      </c>
      <c r="N384" s="204" t="str">
        <f t="shared" si="34"/>
        <v/>
      </c>
      <c r="O384" s="205" t="str">
        <f t="shared" si="30"/>
        <v/>
      </c>
      <c r="P384" s="206" t="str">
        <f t="shared" si="35"/>
        <v/>
      </c>
    </row>
    <row r="385" spans="3:16" x14ac:dyDescent="0.4">
      <c r="C385" s="199"/>
      <c r="D385" s="200"/>
      <c r="E385" s="201"/>
      <c r="F385" s="199"/>
      <c r="H385" s="202"/>
      <c r="I385" s="185" t="str">
        <f t="shared" si="31"/>
        <v/>
      </c>
      <c r="J385" s="203" t="str">
        <f>IF($H385="USD",IF(OR($I385="",$I385="-"),"",VLOOKUP($G385,為替!$A:$AX,$I385,FALSE))+$J$3,IF(OR($I385="",$I385="-"),"",VLOOKUP($G385,為替!$A:$AX,$I385,FALSE)))</f>
        <v/>
      </c>
      <c r="K385" s="204" t="str">
        <f t="shared" si="32"/>
        <v/>
      </c>
      <c r="L385" s="188" t="str">
        <f t="shared" si="33"/>
        <v/>
      </c>
      <c r="M385" s="203" t="str">
        <f>IF($H385="USD",IF(OR($L385="",$L385="-"),"",VLOOKUP($G385,為替!$A:$AX,$L385,FALSE))+$K$3,IF(OR($L385="",$L385="-"),"",VLOOKUP($G385,為替!$A:$AX,$L385,FALSE)))</f>
        <v/>
      </c>
      <c r="N385" s="204" t="str">
        <f t="shared" si="34"/>
        <v/>
      </c>
      <c r="O385" s="205" t="str">
        <f t="shared" si="30"/>
        <v/>
      </c>
      <c r="P385" s="206" t="str">
        <f t="shared" si="35"/>
        <v/>
      </c>
    </row>
    <row r="386" spans="3:16" x14ac:dyDescent="0.4">
      <c r="C386" s="199"/>
      <c r="D386" s="200"/>
      <c r="E386" s="201"/>
      <c r="F386" s="199"/>
      <c r="H386" s="202"/>
      <c r="I386" s="185" t="str">
        <f t="shared" si="31"/>
        <v/>
      </c>
      <c r="J386" s="203" t="str">
        <f>IF($H386="USD",IF(OR($I386="",$I386="-"),"",VLOOKUP($G386,為替!$A:$AX,$I386,FALSE))+$J$3,IF(OR($I386="",$I386="-"),"",VLOOKUP($G386,為替!$A:$AX,$I386,FALSE)))</f>
        <v/>
      </c>
      <c r="K386" s="204" t="str">
        <f t="shared" si="32"/>
        <v/>
      </c>
      <c r="L386" s="188" t="str">
        <f t="shared" si="33"/>
        <v/>
      </c>
      <c r="M386" s="203" t="str">
        <f>IF($H386="USD",IF(OR($L386="",$L386="-"),"",VLOOKUP($G386,為替!$A:$AX,$L386,FALSE))+$K$3,IF(OR($L386="",$L386="-"),"",VLOOKUP($G386,為替!$A:$AX,$L386,FALSE)))</f>
        <v/>
      </c>
      <c r="N386" s="204" t="str">
        <f t="shared" si="34"/>
        <v/>
      </c>
      <c r="O386" s="205" t="str">
        <f t="shared" si="30"/>
        <v/>
      </c>
      <c r="P386" s="206" t="str">
        <f t="shared" si="35"/>
        <v/>
      </c>
    </row>
    <row r="387" spans="3:16" x14ac:dyDescent="0.4">
      <c r="C387" s="199"/>
      <c r="D387" s="200"/>
      <c r="E387" s="201"/>
      <c r="F387" s="199"/>
      <c r="H387" s="202"/>
      <c r="I387" s="185" t="str">
        <f t="shared" si="31"/>
        <v/>
      </c>
      <c r="J387" s="203" t="str">
        <f>IF($H387="USD",IF(OR($I387="",$I387="-"),"",VLOOKUP($G387,為替!$A:$AX,$I387,FALSE))+$J$3,IF(OR($I387="",$I387="-"),"",VLOOKUP($G387,為替!$A:$AX,$I387,FALSE)))</f>
        <v/>
      </c>
      <c r="K387" s="204" t="str">
        <f t="shared" si="32"/>
        <v/>
      </c>
      <c r="L387" s="188" t="str">
        <f t="shared" si="33"/>
        <v/>
      </c>
      <c r="M387" s="203" t="str">
        <f>IF($H387="USD",IF(OR($L387="",$L387="-"),"",VLOOKUP($G387,為替!$A:$AX,$L387,FALSE))+$K$3,IF(OR($L387="",$L387="-"),"",VLOOKUP($G387,為替!$A:$AX,$L387,FALSE)))</f>
        <v/>
      </c>
      <c r="N387" s="204" t="str">
        <f t="shared" si="34"/>
        <v/>
      </c>
      <c r="O387" s="205" t="str">
        <f t="shared" si="30"/>
        <v/>
      </c>
      <c r="P387" s="206" t="str">
        <f t="shared" si="35"/>
        <v/>
      </c>
    </row>
    <row r="388" spans="3:16" x14ac:dyDescent="0.4">
      <c r="C388" s="199"/>
      <c r="D388" s="200"/>
      <c r="E388" s="201"/>
      <c r="F388" s="199"/>
      <c r="H388" s="202"/>
      <c r="I388" s="185" t="str">
        <f t="shared" si="31"/>
        <v/>
      </c>
      <c r="J388" s="203" t="str">
        <f>IF($H388="USD",IF(OR($I388="",$I388="-"),"",VLOOKUP($G388,為替!$A:$AX,$I388,FALSE))+$J$3,IF(OR($I388="",$I388="-"),"",VLOOKUP($G388,為替!$A:$AX,$I388,FALSE)))</f>
        <v/>
      </c>
      <c r="K388" s="204" t="str">
        <f t="shared" si="32"/>
        <v/>
      </c>
      <c r="L388" s="188" t="str">
        <f t="shared" si="33"/>
        <v/>
      </c>
      <c r="M388" s="203" t="str">
        <f>IF($H388="USD",IF(OR($L388="",$L388="-"),"",VLOOKUP($G388,為替!$A:$AX,$L388,FALSE))+$K$3,IF(OR($L388="",$L388="-"),"",VLOOKUP($G388,為替!$A:$AX,$L388,FALSE)))</f>
        <v/>
      </c>
      <c r="N388" s="204" t="str">
        <f t="shared" si="34"/>
        <v/>
      </c>
      <c r="O388" s="205" t="str">
        <f t="shared" si="30"/>
        <v/>
      </c>
      <c r="P388" s="206" t="str">
        <f t="shared" si="35"/>
        <v/>
      </c>
    </row>
    <row r="389" spans="3:16" x14ac:dyDescent="0.4">
      <c r="C389" s="199"/>
      <c r="D389" s="200"/>
      <c r="E389" s="201"/>
      <c r="F389" s="199"/>
      <c r="H389" s="202"/>
      <c r="I389" s="185" t="str">
        <f t="shared" si="31"/>
        <v/>
      </c>
      <c r="J389" s="203" t="str">
        <f>IF($H389="USD",IF(OR($I389="",$I389="-"),"",VLOOKUP($G389,為替!$A:$AX,$I389,FALSE))+$J$3,IF(OR($I389="",$I389="-"),"",VLOOKUP($G389,為替!$A:$AX,$I389,FALSE)))</f>
        <v/>
      </c>
      <c r="K389" s="204" t="str">
        <f t="shared" si="32"/>
        <v/>
      </c>
      <c r="L389" s="188" t="str">
        <f t="shared" si="33"/>
        <v/>
      </c>
      <c r="M389" s="203" t="str">
        <f>IF($H389="USD",IF(OR($L389="",$L389="-"),"",VLOOKUP($G389,為替!$A:$AX,$L389,FALSE))+$K$3,IF(OR($L389="",$L389="-"),"",VLOOKUP($G389,為替!$A:$AX,$L389,FALSE)))</f>
        <v/>
      </c>
      <c r="N389" s="204" t="str">
        <f t="shared" si="34"/>
        <v/>
      </c>
      <c r="O389" s="205" t="str">
        <f t="shared" si="30"/>
        <v/>
      </c>
      <c r="P389" s="206" t="str">
        <f t="shared" si="35"/>
        <v/>
      </c>
    </row>
    <row r="390" spans="3:16" x14ac:dyDescent="0.4">
      <c r="C390" s="199"/>
      <c r="D390" s="200"/>
      <c r="E390" s="201"/>
      <c r="F390" s="199"/>
      <c r="H390" s="202"/>
      <c r="I390" s="185" t="str">
        <f t="shared" si="31"/>
        <v/>
      </c>
      <c r="J390" s="203" t="str">
        <f>IF($H390="USD",IF(OR($I390="",$I390="-"),"",VLOOKUP($G390,為替!$A:$AX,$I390,FALSE))+$J$3,IF(OR($I390="",$I390="-"),"",VLOOKUP($G390,為替!$A:$AX,$I390,FALSE)))</f>
        <v/>
      </c>
      <c r="K390" s="204" t="str">
        <f t="shared" si="32"/>
        <v/>
      </c>
      <c r="L390" s="188" t="str">
        <f t="shared" si="33"/>
        <v/>
      </c>
      <c r="M390" s="203" t="str">
        <f>IF($H390="USD",IF(OR($L390="",$L390="-"),"",VLOOKUP($G390,為替!$A:$AX,$L390,FALSE))+$K$3,IF(OR($L390="",$L390="-"),"",VLOOKUP($G390,為替!$A:$AX,$L390,FALSE)))</f>
        <v/>
      </c>
      <c r="N390" s="204" t="str">
        <f t="shared" si="34"/>
        <v/>
      </c>
      <c r="O390" s="205" t="str">
        <f t="shared" ref="O390:O400" si="36">IF(OR(K390="",N390=""),"",K390-N390)</f>
        <v/>
      </c>
      <c r="P390" s="206" t="str">
        <f t="shared" si="35"/>
        <v/>
      </c>
    </row>
    <row r="391" spans="3:16" x14ac:dyDescent="0.4">
      <c r="C391" s="199"/>
      <c r="D391" s="200"/>
      <c r="E391" s="201"/>
      <c r="F391" s="199"/>
      <c r="H391" s="202"/>
      <c r="I391" s="185" t="str">
        <f t="shared" ref="I391:I400" si="37">IF(H391="","",IF(H391="JPY","",IF($H391="USD",4, IF(H391="EUR",7,IF(H391="CNY",47,IF(H391="HKD",34))))))</f>
        <v/>
      </c>
      <c r="J391" s="203" t="str">
        <f>IF($H391="USD",IF(OR($I391="",$I391="-"),"",VLOOKUP($G391,為替!$A:$AX,$I391,FALSE))+$J$3,IF(OR($I391="",$I391="-"),"",VLOOKUP($G391,為替!$A:$AX,$I391,FALSE)))</f>
        <v/>
      </c>
      <c r="K391" s="204" t="str">
        <f t="shared" ref="K391:K400" si="38">IF($H391="JPY",$F391,IF($H391="","",$F391*$J391))</f>
        <v/>
      </c>
      <c r="L391" s="188" t="str">
        <f t="shared" ref="L391:L400" si="39">IF(H391="","",IF(H391="JPY","",IF($H391="USD",3, IF(H391="EUR",6,IF(H391="CNY",46,IF(H391="HKD",33))))))</f>
        <v/>
      </c>
      <c r="M391" s="203" t="str">
        <f>IF($H391="USD",IF(OR($L391="",$L391="-"),"",VLOOKUP($G391,為替!$A:$AX,$L391,FALSE))+$K$3,IF(OR($L391="",$L391="-"),"",VLOOKUP($G391,為替!$A:$AX,$L391,FALSE)))</f>
        <v/>
      </c>
      <c r="N391" s="204" t="str">
        <f t="shared" ref="N391:N400" si="40">IF($E391="JPY",($C391+$D391),IF($E391="","",($C391+$D391)*$M391))</f>
        <v/>
      </c>
      <c r="O391" s="205" t="str">
        <f t="shared" si="36"/>
        <v/>
      </c>
      <c r="P391" s="206" t="str">
        <f t="shared" ref="P391:P400" si="41">IF(OR(K391="",O391=""),"",O391/K391)</f>
        <v/>
      </c>
    </row>
    <row r="392" spans="3:16" x14ac:dyDescent="0.4">
      <c r="C392" s="199"/>
      <c r="D392" s="200"/>
      <c r="E392" s="201"/>
      <c r="F392" s="199"/>
      <c r="H392" s="202"/>
      <c r="I392" s="185" t="str">
        <f t="shared" si="37"/>
        <v/>
      </c>
      <c r="J392" s="203" t="str">
        <f>IF($H392="USD",IF(OR($I392="",$I392="-"),"",VLOOKUP($G392,為替!$A:$AX,$I392,FALSE))+$J$3,IF(OR($I392="",$I392="-"),"",VLOOKUP($G392,為替!$A:$AX,$I392,FALSE)))</f>
        <v/>
      </c>
      <c r="K392" s="204" t="str">
        <f t="shared" si="38"/>
        <v/>
      </c>
      <c r="L392" s="188" t="str">
        <f t="shared" si="39"/>
        <v/>
      </c>
      <c r="M392" s="203" t="str">
        <f>IF($H392="USD",IF(OR($L392="",$L392="-"),"",VLOOKUP($G392,為替!$A:$AX,$L392,FALSE))+$K$3,IF(OR($L392="",$L392="-"),"",VLOOKUP($G392,為替!$A:$AX,$L392,FALSE)))</f>
        <v/>
      </c>
      <c r="N392" s="204" t="str">
        <f t="shared" si="40"/>
        <v/>
      </c>
      <c r="O392" s="205" t="str">
        <f t="shared" si="36"/>
        <v/>
      </c>
      <c r="P392" s="206" t="str">
        <f t="shared" si="41"/>
        <v/>
      </c>
    </row>
    <row r="393" spans="3:16" x14ac:dyDescent="0.4">
      <c r="C393" s="199"/>
      <c r="D393" s="200"/>
      <c r="E393" s="201"/>
      <c r="F393" s="199"/>
      <c r="H393" s="202"/>
      <c r="I393" s="185" t="str">
        <f t="shared" si="37"/>
        <v/>
      </c>
      <c r="J393" s="203" t="str">
        <f>IF($H393="USD",IF(OR($I393="",$I393="-"),"",VLOOKUP($G393,為替!$A:$AX,$I393,FALSE))+$J$3,IF(OR($I393="",$I393="-"),"",VLOOKUP($G393,為替!$A:$AX,$I393,FALSE)))</f>
        <v/>
      </c>
      <c r="K393" s="204" t="str">
        <f t="shared" si="38"/>
        <v/>
      </c>
      <c r="L393" s="188" t="str">
        <f t="shared" si="39"/>
        <v/>
      </c>
      <c r="M393" s="203" t="str">
        <f>IF($H393="USD",IF(OR($L393="",$L393="-"),"",VLOOKUP($G393,為替!$A:$AX,$L393,FALSE))+$K$3,IF(OR($L393="",$L393="-"),"",VLOOKUP($G393,為替!$A:$AX,$L393,FALSE)))</f>
        <v/>
      </c>
      <c r="N393" s="204" t="str">
        <f t="shared" si="40"/>
        <v/>
      </c>
      <c r="O393" s="205" t="str">
        <f t="shared" si="36"/>
        <v/>
      </c>
      <c r="P393" s="206" t="str">
        <f t="shared" si="41"/>
        <v/>
      </c>
    </row>
    <row r="394" spans="3:16" x14ac:dyDescent="0.4">
      <c r="C394" s="199"/>
      <c r="D394" s="200"/>
      <c r="E394" s="201"/>
      <c r="F394" s="199"/>
      <c r="H394" s="202"/>
      <c r="I394" s="185" t="str">
        <f t="shared" si="37"/>
        <v/>
      </c>
      <c r="J394" s="203" t="str">
        <f>IF($H394="USD",IF(OR($I394="",$I394="-"),"",VLOOKUP($G394,為替!$A:$AX,$I394,FALSE))+$J$3,IF(OR($I394="",$I394="-"),"",VLOOKUP($G394,為替!$A:$AX,$I394,FALSE)))</f>
        <v/>
      </c>
      <c r="K394" s="204" t="str">
        <f t="shared" si="38"/>
        <v/>
      </c>
      <c r="L394" s="188" t="str">
        <f t="shared" si="39"/>
        <v/>
      </c>
      <c r="M394" s="203" t="str">
        <f>IF($H394="USD",IF(OR($L394="",$L394="-"),"",VLOOKUP($G394,為替!$A:$AX,$L394,FALSE))+$K$3,IF(OR($L394="",$L394="-"),"",VLOOKUP($G394,為替!$A:$AX,$L394,FALSE)))</f>
        <v/>
      </c>
      <c r="N394" s="204" t="str">
        <f t="shared" si="40"/>
        <v/>
      </c>
      <c r="O394" s="205" t="str">
        <f t="shared" si="36"/>
        <v/>
      </c>
      <c r="P394" s="206" t="str">
        <f t="shared" si="41"/>
        <v/>
      </c>
    </row>
    <row r="395" spans="3:16" x14ac:dyDescent="0.4">
      <c r="C395" s="199"/>
      <c r="D395" s="200"/>
      <c r="E395" s="201"/>
      <c r="F395" s="199"/>
      <c r="H395" s="202"/>
      <c r="I395" s="185" t="str">
        <f t="shared" si="37"/>
        <v/>
      </c>
      <c r="J395" s="203" t="str">
        <f>IF($H395="USD",IF(OR($I395="",$I395="-"),"",VLOOKUP($G395,為替!$A:$AX,$I395,FALSE))+$J$3,IF(OR($I395="",$I395="-"),"",VLOOKUP($G395,為替!$A:$AX,$I395,FALSE)))</f>
        <v/>
      </c>
      <c r="K395" s="204" t="str">
        <f t="shared" si="38"/>
        <v/>
      </c>
      <c r="L395" s="188" t="str">
        <f t="shared" si="39"/>
        <v/>
      </c>
      <c r="M395" s="203" t="str">
        <f>IF($H395="USD",IF(OR($L395="",$L395="-"),"",VLOOKUP($G395,為替!$A:$AX,$L395,FALSE))+$K$3,IF(OR($L395="",$L395="-"),"",VLOOKUP($G395,為替!$A:$AX,$L395,FALSE)))</f>
        <v/>
      </c>
      <c r="N395" s="204" t="str">
        <f t="shared" si="40"/>
        <v/>
      </c>
      <c r="O395" s="205" t="str">
        <f t="shared" si="36"/>
        <v/>
      </c>
      <c r="P395" s="206" t="str">
        <f t="shared" si="41"/>
        <v/>
      </c>
    </row>
    <row r="396" spans="3:16" x14ac:dyDescent="0.4">
      <c r="C396" s="199"/>
      <c r="D396" s="200"/>
      <c r="E396" s="201"/>
      <c r="F396" s="199"/>
      <c r="H396" s="202"/>
      <c r="I396" s="185" t="str">
        <f t="shared" si="37"/>
        <v/>
      </c>
      <c r="J396" s="203" t="str">
        <f>IF($H396="USD",IF(OR($I396="",$I396="-"),"",VLOOKUP($G396,為替!$A:$AX,$I396,FALSE))+$J$3,IF(OR($I396="",$I396="-"),"",VLOOKUP($G396,為替!$A:$AX,$I396,FALSE)))</f>
        <v/>
      </c>
      <c r="K396" s="204" t="str">
        <f t="shared" si="38"/>
        <v/>
      </c>
      <c r="L396" s="188" t="str">
        <f t="shared" si="39"/>
        <v/>
      </c>
      <c r="M396" s="203" t="str">
        <f>IF($H396="USD",IF(OR($L396="",$L396="-"),"",VLOOKUP($G396,為替!$A:$AX,$L396,FALSE))+$K$3,IF(OR($L396="",$L396="-"),"",VLOOKUP($G396,為替!$A:$AX,$L396,FALSE)))</f>
        <v/>
      </c>
      <c r="N396" s="204" t="str">
        <f t="shared" si="40"/>
        <v/>
      </c>
      <c r="O396" s="205" t="str">
        <f t="shared" si="36"/>
        <v/>
      </c>
      <c r="P396" s="206" t="str">
        <f t="shared" si="41"/>
        <v/>
      </c>
    </row>
    <row r="397" spans="3:16" x14ac:dyDescent="0.4">
      <c r="C397" s="199"/>
      <c r="D397" s="200"/>
      <c r="E397" s="201"/>
      <c r="F397" s="199"/>
      <c r="H397" s="202"/>
      <c r="I397" s="185" t="str">
        <f t="shared" si="37"/>
        <v/>
      </c>
      <c r="J397" s="203" t="str">
        <f>IF($H397="USD",IF(OR($I397="",$I397="-"),"",VLOOKUP($G397,為替!$A:$AX,$I397,FALSE))+$J$3,IF(OR($I397="",$I397="-"),"",VLOOKUP($G397,為替!$A:$AX,$I397,FALSE)))</f>
        <v/>
      </c>
      <c r="K397" s="204" t="str">
        <f t="shared" si="38"/>
        <v/>
      </c>
      <c r="L397" s="188" t="str">
        <f t="shared" si="39"/>
        <v/>
      </c>
      <c r="M397" s="203" t="str">
        <f>IF($H397="USD",IF(OR($L397="",$L397="-"),"",VLOOKUP($G397,為替!$A:$AX,$L397,FALSE))+$K$3,IF(OR($L397="",$L397="-"),"",VLOOKUP($G397,為替!$A:$AX,$L397,FALSE)))</f>
        <v/>
      </c>
      <c r="N397" s="204" t="str">
        <f t="shared" si="40"/>
        <v/>
      </c>
      <c r="O397" s="205" t="str">
        <f t="shared" si="36"/>
        <v/>
      </c>
      <c r="P397" s="206" t="str">
        <f t="shared" si="41"/>
        <v/>
      </c>
    </row>
    <row r="398" spans="3:16" x14ac:dyDescent="0.4">
      <c r="C398" s="199"/>
      <c r="D398" s="200"/>
      <c r="E398" s="201"/>
      <c r="F398" s="199"/>
      <c r="H398" s="202"/>
      <c r="I398" s="185" t="str">
        <f t="shared" si="37"/>
        <v/>
      </c>
      <c r="J398" s="203" t="str">
        <f>IF($H398="USD",IF(OR($I398="",$I398="-"),"",VLOOKUP($G398,為替!$A:$AX,$I398,FALSE))+$J$3,IF(OR($I398="",$I398="-"),"",VLOOKUP($G398,為替!$A:$AX,$I398,FALSE)))</f>
        <v/>
      </c>
      <c r="K398" s="204" t="str">
        <f t="shared" si="38"/>
        <v/>
      </c>
      <c r="L398" s="188" t="str">
        <f t="shared" si="39"/>
        <v/>
      </c>
      <c r="M398" s="203" t="str">
        <f>IF($H398="USD",IF(OR($L398="",$L398="-"),"",VLOOKUP($G398,為替!$A:$AX,$L398,FALSE))+$K$3,IF(OR($L398="",$L398="-"),"",VLOOKUP($G398,為替!$A:$AX,$L398,FALSE)))</f>
        <v/>
      </c>
      <c r="N398" s="204" t="str">
        <f t="shared" si="40"/>
        <v/>
      </c>
      <c r="O398" s="205" t="str">
        <f t="shared" si="36"/>
        <v/>
      </c>
      <c r="P398" s="206" t="str">
        <f t="shared" si="41"/>
        <v/>
      </c>
    </row>
    <row r="399" spans="3:16" x14ac:dyDescent="0.4">
      <c r="C399" s="199"/>
      <c r="D399" s="200"/>
      <c r="E399" s="201"/>
      <c r="F399" s="199"/>
      <c r="H399" s="202"/>
      <c r="I399" s="185" t="str">
        <f t="shared" si="37"/>
        <v/>
      </c>
      <c r="J399" s="203" t="str">
        <f>IF($H399="USD",IF(OR($I399="",$I399="-"),"",VLOOKUP($G399,為替!$A:$AX,$I399,FALSE))+$J$3,IF(OR($I399="",$I399="-"),"",VLOOKUP($G399,為替!$A:$AX,$I399,FALSE)))</f>
        <v/>
      </c>
      <c r="K399" s="204" t="str">
        <f t="shared" si="38"/>
        <v/>
      </c>
      <c r="L399" s="188" t="str">
        <f t="shared" si="39"/>
        <v/>
      </c>
      <c r="M399" s="203" t="str">
        <f>IF($H399="USD",IF(OR($L399="",$L399="-"),"",VLOOKUP($G399,為替!$A:$AX,$L399,FALSE))+$K$3,IF(OR($L399="",$L399="-"),"",VLOOKUP($G399,為替!$A:$AX,$L399,FALSE)))</f>
        <v/>
      </c>
      <c r="N399" s="204" t="str">
        <f t="shared" si="40"/>
        <v/>
      </c>
      <c r="O399" s="205" t="str">
        <f t="shared" si="36"/>
        <v/>
      </c>
      <c r="P399" s="206" t="str">
        <f t="shared" si="41"/>
        <v/>
      </c>
    </row>
    <row r="400" spans="3:16" x14ac:dyDescent="0.4">
      <c r="C400" s="199"/>
      <c r="D400" s="200"/>
      <c r="E400" s="201"/>
      <c r="F400" s="199"/>
      <c r="H400" s="202"/>
      <c r="I400" s="185" t="str">
        <f t="shared" si="37"/>
        <v/>
      </c>
      <c r="J400" s="203" t="str">
        <f>IF($H400="USD",IF(OR($I400="",$I400="-"),"",VLOOKUP($G400,為替!$A:$AX,$I400,FALSE))+$J$3,IF(OR($I400="",$I400="-"),"",VLOOKUP($G400,為替!$A:$AX,$I400,FALSE)))</f>
        <v/>
      </c>
      <c r="K400" s="204" t="str">
        <f t="shared" si="38"/>
        <v/>
      </c>
      <c r="L400" s="188" t="str">
        <f t="shared" si="39"/>
        <v/>
      </c>
      <c r="M400" s="203" t="str">
        <f>IF($H400="USD",IF(OR($L400="",$L400="-"),"",VLOOKUP($G400,為替!$A:$AX,$L400,FALSE))+$K$3,IF(OR($L400="",$L400="-"),"",VLOOKUP($G400,為替!$A:$AX,$L400,FALSE)))</f>
        <v/>
      </c>
      <c r="N400" s="204" t="str">
        <f t="shared" si="40"/>
        <v/>
      </c>
      <c r="O400" s="205" t="str">
        <f t="shared" si="36"/>
        <v/>
      </c>
      <c r="P400" s="206" t="str">
        <f t="shared" si="41"/>
        <v/>
      </c>
    </row>
  </sheetData>
  <mergeCells count="1">
    <mergeCell ref="A1:E2"/>
  </mergeCells>
  <phoneticPr fontId="2"/>
  <conditionalFormatting sqref="P6:P400">
    <cfRule type="cellIs" dxfId="5" priority="1" operator="greaterThan">
      <formula>$P$3</formula>
    </cfRule>
  </conditionalFormatting>
  <dataValidations count="2">
    <dataValidation type="list" allowBlank="1" showInputMessage="1" showErrorMessage="1" sqref="A6:A400" xr:uid="{A4C4C99A-381A-4FD9-B1EC-E621B14CF10A}">
      <formula1>$M$3:$O$3</formula1>
    </dataValidation>
    <dataValidation type="list" allowBlank="1" showInputMessage="1" showErrorMessage="1" sqref="E6:E400 H6:H400" xr:uid="{562A84E5-EAD8-4F02-9337-6378D75E82A0}">
      <formula1>"JPY,USD,EUR,CNY,HKD"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28723-202B-49EE-9B6E-548B9A6ECC10}">
  <sheetPr codeName="Sheet11">
    <tabColor theme="3" tint="0.89999084444715716"/>
  </sheetPr>
  <dimension ref="A1:S59"/>
  <sheetViews>
    <sheetView showGridLines="0" zoomScale="70" zoomScaleNormal="70" workbookViewId="0">
      <selection activeCell="E14" sqref="E14:P14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55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/>
    <row r="5" spans="1:19" ht="19.5" customHeight="1" thickBot="1" x14ac:dyDescent="0.45">
      <c r="A5" s="467" t="s">
        <v>34</v>
      </c>
      <c r="B5" s="468"/>
      <c r="C5" s="442" t="s">
        <v>23</v>
      </c>
      <c r="D5" s="443"/>
      <c r="E5" s="421" t="s">
        <v>19</v>
      </c>
      <c r="F5" s="422"/>
      <c r="G5" s="422"/>
      <c r="H5" s="422"/>
      <c r="I5" s="422"/>
      <c r="J5" s="423"/>
      <c r="K5" s="421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45444</v>
      </c>
      <c r="F6" s="215">
        <v>45474</v>
      </c>
      <c r="G6" s="215">
        <v>45505</v>
      </c>
      <c r="H6" s="215">
        <v>45536</v>
      </c>
      <c r="I6" s="215">
        <v>45566</v>
      </c>
      <c r="J6" s="216">
        <v>45597</v>
      </c>
      <c r="K6" s="217">
        <v>45627</v>
      </c>
      <c r="L6" s="215">
        <v>45658</v>
      </c>
      <c r="M6" s="215">
        <v>45689</v>
      </c>
      <c r="N6" s="215">
        <v>45717</v>
      </c>
      <c r="O6" s="215">
        <v>45748</v>
      </c>
      <c r="P6" s="218">
        <v>45778</v>
      </c>
      <c r="Q6" s="455"/>
      <c r="R6" s="153" t="s">
        <v>190</v>
      </c>
      <c r="S6" s="67" t="s">
        <v>191</v>
      </c>
    </row>
    <row r="7" spans="1:19" x14ac:dyDescent="0.4">
      <c r="A7" s="446" t="s">
        <v>209</v>
      </c>
      <c r="B7" s="449" t="s">
        <v>130</v>
      </c>
      <c r="C7" s="433" t="s">
        <v>15</v>
      </c>
      <c r="D7" s="111" t="s">
        <v>13</v>
      </c>
      <c r="E7" s="112">
        <v>1836</v>
      </c>
      <c r="F7" s="113">
        <v>1963.36</v>
      </c>
      <c r="G7" s="113">
        <v>1596.14</v>
      </c>
      <c r="H7" s="113">
        <v>1348.9</v>
      </c>
      <c r="I7" s="113">
        <v>1108.94</v>
      </c>
      <c r="J7" s="114">
        <v>1348.9</v>
      </c>
      <c r="K7" s="115">
        <v>1232.7</v>
      </c>
      <c r="L7" s="113">
        <v>1108.94</v>
      </c>
      <c r="M7" s="113">
        <v>741.72</v>
      </c>
      <c r="N7" s="113">
        <v>1228.92</v>
      </c>
      <c r="O7" s="113">
        <v>1419.88</v>
      </c>
      <c r="P7" s="116">
        <v>861.7</v>
      </c>
      <c r="Q7" s="117">
        <f>SUM(E7:P7)</f>
        <v>15796.100000000002</v>
      </c>
      <c r="R7" s="465">
        <v>14892</v>
      </c>
      <c r="S7" s="68">
        <f>IFERROR(Q7/R7,"")</f>
        <v>1.060710448562987</v>
      </c>
    </row>
    <row r="8" spans="1:19" ht="19.5" thickBot="1" x14ac:dyDescent="0.45">
      <c r="A8" s="447"/>
      <c r="B8" s="450"/>
      <c r="C8" s="433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687.96335020000004</v>
      </c>
      <c r="F8" s="135">
        <f ca="1">SUMIFS(INDIRECT($B$1&amp;"INV!$K:$K"),INDIRECT($B$1&amp;"INV!$A:$A"),$A7,INDIRECT($B$1&amp;"INV!$G:$G"),"&gt;="&amp;F$6,INDIRECT($B$1&amp;"INV!$G:$G"),"&lt;"&amp;EOMONTH(F$6,0)+1)/1000</f>
        <v>5853.6477177000006</v>
      </c>
      <c r="G8" s="135">
        <f ca="1">SUMIFS(INDIRECT($B$1&amp;"INV!$K:$K"),INDIRECT($B$1&amp;"INV!$A:$A"),$A7,INDIRECT($B$1&amp;"INV!$G:$G"),"&gt;="&amp;G$6,INDIRECT($B$1&amp;"INV!$G:$G"),"&lt;"&amp;EOMONTH(G$6,0)+1)/1000</f>
        <v>0</v>
      </c>
      <c r="H8" s="135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5">
        <f t="shared" ca="1" si="0"/>
        <v>0</v>
      </c>
      <c r="J8" s="138">
        <f t="shared" ca="1" si="0"/>
        <v>0</v>
      </c>
      <c r="K8" s="134">
        <f t="shared" ca="1" si="0"/>
        <v>0</v>
      </c>
      <c r="L8" s="135">
        <f t="shared" ca="1" si="0"/>
        <v>0</v>
      </c>
      <c r="M8" s="135">
        <f t="shared" ca="1" si="0"/>
        <v>0</v>
      </c>
      <c r="N8" s="135">
        <f t="shared" ca="1" si="0"/>
        <v>0</v>
      </c>
      <c r="O8" s="135">
        <f t="shared" ca="1" si="0"/>
        <v>0</v>
      </c>
      <c r="P8" s="136">
        <f t="shared" ca="1" si="0"/>
        <v>0</v>
      </c>
      <c r="Q8" s="139">
        <f ca="1">SUM(E8:P8)</f>
        <v>6541.6110679000003</v>
      </c>
      <c r="R8" s="466"/>
      <c r="S8" s="69">
        <f ca="1">IFERROR(Q8/R7,"")</f>
        <v>0.43927014960381416</v>
      </c>
    </row>
    <row r="9" spans="1:19" x14ac:dyDescent="0.4">
      <c r="A9" s="447"/>
      <c r="B9" s="450"/>
      <c r="C9" s="433"/>
      <c r="D9" s="21" t="s">
        <v>17</v>
      </c>
      <c r="E9" s="11">
        <f ca="1">E8/E7</f>
        <v>0.37470770708061002</v>
      </c>
      <c r="F9" s="4">
        <f t="shared" ref="F9:Q9" ca="1" si="1">F8/F7</f>
        <v>2.9814439113051101</v>
      </c>
      <c r="G9" s="4">
        <f t="shared" ca="1" si="1"/>
        <v>0</v>
      </c>
      <c r="H9" s="4">
        <f t="shared" ca="1" si="1"/>
        <v>0</v>
      </c>
      <c r="I9" s="4">
        <f t="shared" ca="1" si="1"/>
        <v>0</v>
      </c>
      <c r="J9" s="6">
        <f t="shared" ca="1" si="1"/>
        <v>0</v>
      </c>
      <c r="K9" s="8">
        <f t="shared" ca="1" si="1"/>
        <v>0</v>
      </c>
      <c r="L9" s="4">
        <f t="shared" ca="1" si="1"/>
        <v>0</v>
      </c>
      <c r="M9" s="4">
        <f t="shared" ca="1" si="1"/>
        <v>0</v>
      </c>
      <c r="N9" s="4">
        <f t="shared" ca="1" si="1"/>
        <v>0</v>
      </c>
      <c r="O9" s="4">
        <f t="shared" ca="1" si="1"/>
        <v>0</v>
      </c>
      <c r="P9" s="16">
        <f t="shared" ca="1" si="1"/>
        <v>0</v>
      </c>
      <c r="Q9" s="26">
        <f t="shared" ca="1" si="1"/>
        <v>0.41412823848291663</v>
      </c>
    </row>
    <row r="10" spans="1:19" x14ac:dyDescent="0.4">
      <c r="A10" s="447"/>
      <c r="B10" s="450"/>
      <c r="C10" s="434"/>
      <c r="D10" s="22" t="s">
        <v>18</v>
      </c>
      <c r="E10" s="12">
        <f ca="1">SUM($E8:E8)/SUM($E7:E7)</f>
        <v>0.37470770708061002</v>
      </c>
      <c r="F10" s="5">
        <f ca="1">SUM($E8:F8)/SUM($E7:F7)</f>
        <v>1.7217665785553358</v>
      </c>
      <c r="G10" s="5">
        <f ca="1">SUM($E8:G8)/SUM($E7:G7)</f>
        <v>1.2124198068575665</v>
      </c>
      <c r="H10" s="5">
        <f ca="1">SUM($E8:H8)/SUM($E7:H7)</f>
        <v>0.96993225014827122</v>
      </c>
      <c r="I10" s="5">
        <f ca="1">SUM($E8:I8)/SUM($E7:I7)</f>
        <v>0.83297183973952482</v>
      </c>
      <c r="J10" s="13">
        <f ca="1">SUM($E8:J8)/SUM($E7:J7)</f>
        <v>0.71087159951272738</v>
      </c>
      <c r="K10" s="9">
        <f ca="1">SUM($E8:K8)/SUM($E7:K7)</f>
        <v>0.62689493834176335</v>
      </c>
      <c r="L10" s="5">
        <f ca="1">SUM($E8:L8)/SUM($E7:L7)</f>
        <v>0.56667351600155236</v>
      </c>
      <c r="M10" s="5">
        <f ca="1">SUM($E8:M8)/SUM($E7:M7)</f>
        <v>0.5324616679608648</v>
      </c>
      <c r="N10" s="5">
        <f ca="1">SUM($E8:N8)/SUM($E7:N7)</f>
        <v>0.48404316748948539</v>
      </c>
      <c r="O10" s="5">
        <f ca="1">SUM($E8:O8)/SUM($E7:O7)</f>
        <v>0.43802302522364472</v>
      </c>
      <c r="P10" s="17">
        <f ca="1">SUM($E8:P8)/SUM($E7:P7)</f>
        <v>0.41412823848291663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119">
        <v>1285</v>
      </c>
      <c r="F11" s="120">
        <v>1374.3519999999999</v>
      </c>
      <c r="G11" s="120">
        <v>1117.298</v>
      </c>
      <c r="H11" s="120">
        <v>944.23</v>
      </c>
      <c r="I11" s="120">
        <v>776.25800000000004</v>
      </c>
      <c r="J11" s="121">
        <v>944.23</v>
      </c>
      <c r="K11" s="122">
        <v>862.89</v>
      </c>
      <c r="L11" s="120">
        <v>776.25800000000004</v>
      </c>
      <c r="M11" s="120">
        <v>519.20399999999995</v>
      </c>
      <c r="N11" s="120">
        <v>860.24400000000003</v>
      </c>
      <c r="O11" s="120">
        <v>993.91600000000005</v>
      </c>
      <c r="P11" s="123">
        <v>603.18999999999994</v>
      </c>
      <c r="Q11" s="124">
        <f>SUM(E11:P11)</f>
        <v>11057.07</v>
      </c>
      <c r="R11" s="465">
        <v>9846</v>
      </c>
      <c r="S11" s="68">
        <f>IFERROR(Q11/R11,"")</f>
        <v>1.1230012187690432</v>
      </c>
    </row>
    <row r="12" spans="1:19" x14ac:dyDescent="0.4">
      <c r="A12" s="447"/>
      <c r="B12" s="450"/>
      <c r="C12" s="453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381.00299999999999</v>
      </c>
      <c r="F12" s="141">
        <f t="shared" ref="F12:P12" ca="1" si="2">SUMIFS(INDIRECT($B$1&amp;"INV!$N:$N"),INDIRECT($B$1&amp;"INV!$A:$A"),$A7,INDIRECT($B$1&amp;"INV!$G:$G"),"&gt;="&amp;F$6,INDIRECT($B$1&amp;"INV!$G:$G"),"&lt;"&amp;EOMONTH(F$6,0)+1)/1000</f>
        <v>3715.6219999999998</v>
      </c>
      <c r="G12" s="141">
        <f t="shared" ca="1" si="2"/>
        <v>0</v>
      </c>
      <c r="H12" s="141">
        <f t="shared" ca="1" si="2"/>
        <v>0</v>
      </c>
      <c r="I12" s="141">
        <f t="shared" ca="1" si="2"/>
        <v>0</v>
      </c>
      <c r="J12" s="144">
        <f t="shared" ca="1" si="2"/>
        <v>0</v>
      </c>
      <c r="K12" s="146">
        <f t="shared" ca="1" si="2"/>
        <v>0</v>
      </c>
      <c r="L12" s="141">
        <f t="shared" ca="1" si="2"/>
        <v>0</v>
      </c>
      <c r="M12" s="141">
        <f t="shared" ca="1" si="2"/>
        <v>0</v>
      </c>
      <c r="N12" s="141">
        <f t="shared" ca="1" si="2"/>
        <v>0</v>
      </c>
      <c r="O12" s="141">
        <f t="shared" ca="1" si="2"/>
        <v>0</v>
      </c>
      <c r="P12" s="142">
        <f t="shared" ca="1" si="2"/>
        <v>0</v>
      </c>
      <c r="Q12" s="145">
        <f ca="1">SUM(E12:P12)</f>
        <v>4096.625</v>
      </c>
      <c r="R12" s="471"/>
      <c r="S12" s="70">
        <f ca="1">IFERROR(Q12/R11,"")</f>
        <v>0.41606997765590087</v>
      </c>
    </row>
    <row r="13" spans="1:19" x14ac:dyDescent="0.4">
      <c r="A13" s="447"/>
      <c r="B13" s="450"/>
      <c r="C13" s="435" t="s">
        <v>16</v>
      </c>
      <c r="D13" s="118" t="s">
        <v>13</v>
      </c>
      <c r="E13" s="119">
        <f>E7-E11</f>
        <v>551</v>
      </c>
      <c r="F13" s="120">
        <f t="shared" ref="F13:P14" si="3">F7-F11</f>
        <v>589.00800000000004</v>
      </c>
      <c r="G13" s="120">
        <f t="shared" si="3"/>
        <v>478.8420000000001</v>
      </c>
      <c r="H13" s="120">
        <f t="shared" si="3"/>
        <v>404.67000000000007</v>
      </c>
      <c r="I13" s="120">
        <f t="shared" si="3"/>
        <v>332.68200000000002</v>
      </c>
      <c r="J13" s="121">
        <f t="shared" si="3"/>
        <v>404.67000000000007</v>
      </c>
      <c r="K13" s="122">
        <f t="shared" si="3"/>
        <v>369.81000000000006</v>
      </c>
      <c r="L13" s="120">
        <f t="shared" si="3"/>
        <v>332.68200000000002</v>
      </c>
      <c r="M13" s="120">
        <f t="shared" si="3"/>
        <v>222.51600000000008</v>
      </c>
      <c r="N13" s="120">
        <f t="shared" si="3"/>
        <v>368.67600000000004</v>
      </c>
      <c r="O13" s="120">
        <f t="shared" si="3"/>
        <v>425.96400000000006</v>
      </c>
      <c r="P13" s="123">
        <f t="shared" si="3"/>
        <v>258.5100000000001</v>
      </c>
      <c r="Q13" s="124">
        <f>SUM(E13:P13)</f>
        <v>4739.0300000000007</v>
      </c>
      <c r="R13" s="465">
        <f>R7-R11</f>
        <v>5046</v>
      </c>
      <c r="S13" s="149">
        <f>IFERROR(Q13/R13,"")</f>
        <v>0.93916567578279841</v>
      </c>
    </row>
    <row r="14" spans="1:19" ht="19.5" thickBot="1" x14ac:dyDescent="0.45">
      <c r="A14" s="447"/>
      <c r="B14" s="450"/>
      <c r="C14" s="436"/>
      <c r="D14" s="133" t="s">
        <v>14</v>
      </c>
      <c r="E14" s="134">
        <f ca="1">E8-E12</f>
        <v>306.96035020000005</v>
      </c>
      <c r="F14" s="135">
        <f t="shared" ca="1" si="3"/>
        <v>2138.0257177000008</v>
      </c>
      <c r="G14" s="135">
        <f t="shared" ca="1" si="3"/>
        <v>0</v>
      </c>
      <c r="H14" s="135">
        <f t="shared" ca="1" si="3"/>
        <v>0</v>
      </c>
      <c r="I14" s="135">
        <f t="shared" ca="1" si="3"/>
        <v>0</v>
      </c>
      <c r="J14" s="138">
        <f t="shared" ca="1" si="3"/>
        <v>0</v>
      </c>
      <c r="K14" s="134">
        <f t="shared" ca="1" si="3"/>
        <v>0</v>
      </c>
      <c r="L14" s="135">
        <f t="shared" ca="1" si="3"/>
        <v>0</v>
      </c>
      <c r="M14" s="135">
        <f t="shared" ca="1" si="3"/>
        <v>0</v>
      </c>
      <c r="N14" s="135">
        <f t="shared" ca="1" si="3"/>
        <v>0</v>
      </c>
      <c r="O14" s="135">
        <f t="shared" ca="1" si="3"/>
        <v>0</v>
      </c>
      <c r="P14" s="136">
        <f t="shared" ca="1" si="3"/>
        <v>0</v>
      </c>
      <c r="Q14" s="139">
        <f ca="1">SUM(E14:P14)</f>
        <v>2444.9860679000008</v>
      </c>
      <c r="R14" s="466"/>
      <c r="S14" s="69">
        <f ca="1">IFERROR(Q14/R13,"")</f>
        <v>0.48453945063416581</v>
      </c>
    </row>
    <row r="15" spans="1:19" x14ac:dyDescent="0.4">
      <c r="A15" s="447"/>
      <c r="B15" s="450"/>
      <c r="C15" s="436"/>
      <c r="D15" s="21" t="s">
        <v>17</v>
      </c>
      <c r="E15" s="11">
        <f ca="1">E14/E13</f>
        <v>0.55709682431941931</v>
      </c>
      <c r="F15" s="4">
        <f t="shared" ref="F15:Q15" ca="1" si="4">F14/F13</f>
        <v>3.6298755156126923</v>
      </c>
      <c r="G15" s="4">
        <f t="shared" ca="1" si="4"/>
        <v>0</v>
      </c>
      <c r="H15" s="4">
        <f t="shared" ca="1" si="4"/>
        <v>0</v>
      </c>
      <c r="I15" s="4">
        <f t="shared" ca="1" si="4"/>
        <v>0</v>
      </c>
      <c r="J15" s="6">
        <f t="shared" ca="1" si="4"/>
        <v>0</v>
      </c>
      <c r="K15" s="8">
        <f t="shared" ca="1" si="4"/>
        <v>0</v>
      </c>
      <c r="L15" s="4">
        <f t="shared" ca="1" si="4"/>
        <v>0</v>
      </c>
      <c r="M15" s="4">
        <f t="shared" ca="1" si="4"/>
        <v>0</v>
      </c>
      <c r="N15" s="4">
        <f t="shared" ca="1" si="4"/>
        <v>0</v>
      </c>
      <c r="O15" s="4">
        <f t="shared" ca="1" si="4"/>
        <v>0</v>
      </c>
      <c r="P15" s="16">
        <f t="shared" ca="1" si="4"/>
        <v>0</v>
      </c>
      <c r="Q15" s="26">
        <f t="shared" ca="1" si="4"/>
        <v>0.5159254252241493</v>
      </c>
    </row>
    <row r="16" spans="1:19" ht="19.5" thickBot="1" x14ac:dyDescent="0.45">
      <c r="A16" s="448"/>
      <c r="B16" s="451"/>
      <c r="C16" s="437"/>
      <c r="D16" s="23" t="s">
        <v>18</v>
      </c>
      <c r="E16" s="14">
        <f ca="1">SUM($E14:E14)/SUM($E13:E13)</f>
        <v>0.55709682431941931</v>
      </c>
      <c r="F16" s="7">
        <f ca="1">SUM($E14:F14)/SUM($E13:F13)</f>
        <v>2.1447095703714365</v>
      </c>
      <c r="G16" s="7">
        <f ca="1">SUM($E14:G14)/SUM($E13:G13)</f>
        <v>1.5103228019272945</v>
      </c>
      <c r="H16" s="7">
        <f ca="1">SUM($E14:H14)/SUM($E13:H13)</f>
        <v>1.2082836185953194</v>
      </c>
      <c r="I16" s="7">
        <f ca="1">SUM($E14:I14)/SUM($E13:I13)</f>
        <v>1.0376810086316881</v>
      </c>
      <c r="J16" s="15">
        <f ca="1">SUM($E14:J14)/SUM($E13:J13)</f>
        <v>0.88558472392055865</v>
      </c>
      <c r="K16" s="10">
        <f ca="1">SUM($E14:K14)/SUM($E13:K13)</f>
        <v>0.78097554076076736</v>
      </c>
      <c r="L16" s="7">
        <f ca="1">SUM($E14:L14)/SUM($E13:L13)</f>
        <v>0.70595700246927562</v>
      </c>
      <c r="M16" s="7">
        <f ca="1">SUM($E14:M14)/SUM($E13:M13)</f>
        <v>0.66333848847493693</v>
      </c>
      <c r="N16" s="7">
        <f ca="1">SUM($E14:N14)/SUM($E13:N13)</f>
        <v>0.60302190126366495</v>
      </c>
      <c r="O16" s="7">
        <f ca="1">SUM($E14:O14)/SUM($E13:O13)</f>
        <v>0.54569247942203147</v>
      </c>
      <c r="P16" s="18">
        <f ca="1">SUM($E14:P14)/SUM($E13:P13)</f>
        <v>0.5159254252241493</v>
      </c>
      <c r="Q16" s="28" t="s">
        <v>22</v>
      </c>
      <c r="R16" s="59"/>
      <c r="S16"/>
    </row>
    <row r="17" spans="1:19" x14ac:dyDescent="0.4">
      <c r="A17" s="446" t="s">
        <v>210</v>
      </c>
      <c r="B17" s="449" t="s">
        <v>130</v>
      </c>
      <c r="C17" s="433" t="s">
        <v>15</v>
      </c>
      <c r="D17" s="111" t="s">
        <v>13</v>
      </c>
      <c r="E17" s="112">
        <v>170.65439999999998</v>
      </c>
      <c r="F17" s="113">
        <v>3500</v>
      </c>
      <c r="G17" s="113">
        <v>2366</v>
      </c>
      <c r="H17" s="113">
        <v>2842</v>
      </c>
      <c r="I17" s="113">
        <v>2212</v>
      </c>
      <c r="J17" s="114">
        <v>2842</v>
      </c>
      <c r="K17" s="115">
        <v>3500</v>
      </c>
      <c r="L17" s="113">
        <v>2968</v>
      </c>
      <c r="M17" s="113">
        <v>1932</v>
      </c>
      <c r="N17" s="113">
        <v>3080</v>
      </c>
      <c r="O17" s="113">
        <v>4284</v>
      </c>
      <c r="P17" s="116">
        <v>3360</v>
      </c>
      <c r="Q17" s="117">
        <f>SUM(E17:P17)</f>
        <v>33056.654399999999</v>
      </c>
      <c r="R17" s="465">
        <v>19470</v>
      </c>
      <c r="S17" s="68">
        <f>IFERROR(Q17/R17,"")</f>
        <v>1.6978250847457628</v>
      </c>
    </row>
    <row r="18" spans="1:19" ht="19.5" thickBot="1" x14ac:dyDescent="0.45">
      <c r="A18" s="447"/>
      <c r="B18" s="450"/>
      <c r="C18" s="433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190.5145129</v>
      </c>
      <c r="F18" s="135">
        <f ca="1">SUMIFS(INDIRECT($B$1&amp;"INV!$K:$K"),INDIRECT($B$1&amp;"INV!$A:$A"),$A17,INDIRECT($B$1&amp;"INV!$G:$G"),"&gt;="&amp;F$6,INDIRECT($B$1&amp;"INV!$G:$G"),"&lt;"&amp;EOMONTH(F$6,0)+1)/1000</f>
        <v>3770.5440352999995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:P18" ca="1" si="5">SUMIFS(INDIRECT($B$1&amp;"INV!$K:$K"),INDIRECT($B$1&amp;"INV!$A:$A"),$A17,INDIRECT($B$1&amp;"INV!$G:$G"),"&gt;="&amp;H$6,INDIRECT($B$1&amp;"INV!$G:$G"),"&lt;"&amp;EOMONTH(H$6,0)+1)/1000</f>
        <v>0</v>
      </c>
      <c r="I18" s="135">
        <f t="shared" ca="1" si="5"/>
        <v>0</v>
      </c>
      <c r="J18" s="138">
        <f t="shared" ca="1" si="5"/>
        <v>0</v>
      </c>
      <c r="K18" s="134">
        <f t="shared" ca="1" si="5"/>
        <v>0</v>
      </c>
      <c r="L18" s="135">
        <f t="shared" ca="1" si="5"/>
        <v>0</v>
      </c>
      <c r="M18" s="135">
        <f t="shared" ca="1" si="5"/>
        <v>0</v>
      </c>
      <c r="N18" s="135">
        <f t="shared" ca="1" si="5"/>
        <v>0</v>
      </c>
      <c r="O18" s="135">
        <f t="shared" ca="1" si="5"/>
        <v>0</v>
      </c>
      <c r="P18" s="136">
        <f t="shared" ca="1" si="5"/>
        <v>0</v>
      </c>
      <c r="Q18" s="139">
        <f ca="1">SUM(E18:P18)</f>
        <v>3961.0585481999997</v>
      </c>
      <c r="R18" s="466"/>
      <c r="S18" s="69">
        <f ca="1">IFERROR(Q18/R17,"")</f>
        <v>0.20344419867488442</v>
      </c>
    </row>
    <row r="19" spans="1:19" x14ac:dyDescent="0.4">
      <c r="A19" s="447"/>
      <c r="B19" s="450"/>
      <c r="C19" s="433"/>
      <c r="D19" s="21" t="s">
        <v>17</v>
      </c>
      <c r="E19" s="11">
        <f ca="1">E18/E17</f>
        <v>1.1163762135637876</v>
      </c>
      <c r="F19" s="4">
        <f t="shared" ref="F19:Q19" ca="1" si="6">F18/F17</f>
        <v>1.0772982957999999</v>
      </c>
      <c r="G19" s="4">
        <f t="shared" ca="1" si="6"/>
        <v>0</v>
      </c>
      <c r="H19" s="4">
        <f t="shared" ca="1" si="6"/>
        <v>0</v>
      </c>
      <c r="I19" s="4">
        <f t="shared" ca="1" si="6"/>
        <v>0</v>
      </c>
      <c r="J19" s="6">
        <f t="shared" ca="1" si="6"/>
        <v>0</v>
      </c>
      <c r="K19" s="8">
        <f t="shared" ca="1" si="6"/>
        <v>0</v>
      </c>
      <c r="L19" s="4">
        <f t="shared" ca="1" si="6"/>
        <v>0</v>
      </c>
      <c r="M19" s="4">
        <f t="shared" ca="1" si="6"/>
        <v>0</v>
      </c>
      <c r="N19" s="4">
        <f t="shared" ca="1" si="6"/>
        <v>0</v>
      </c>
      <c r="O19" s="4">
        <f t="shared" ca="1" si="6"/>
        <v>0</v>
      </c>
      <c r="P19" s="16">
        <f t="shared" ca="1" si="6"/>
        <v>0</v>
      </c>
      <c r="Q19" s="26">
        <f t="shared" ca="1" si="6"/>
        <v>0.11982635932449352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12">
        <f ca="1">SUM($E18:E18)/SUM($E17:E17)</f>
        <v>1.1163762135637876</v>
      </c>
      <c r="F20" s="5">
        <f ca="1">SUM($E18:F18)/SUM($E17:F17)</f>
        <v>1.0791150886337868</v>
      </c>
      <c r="G20" s="5">
        <f ca="1">SUM($E18:G18)/SUM($E17:G17)</f>
        <v>0.6561678515503554</v>
      </c>
      <c r="H20" s="5">
        <f ca="1">SUM($E18:H18)/SUM($E17:H17)</f>
        <v>0.44613275500395644</v>
      </c>
      <c r="I20" s="5">
        <f ca="1">SUM($E18:I18)/SUM($E17:I17)</f>
        <v>0.35715282483241023</v>
      </c>
      <c r="J20" s="13">
        <f ca="1">SUM($E18:J18)/SUM($E17:J17)</f>
        <v>0.28430035185542246</v>
      </c>
      <c r="K20" s="9">
        <f ca="1">SUM($E18:K18)/SUM($E17:K17)</f>
        <v>0.22722062041223051</v>
      </c>
      <c r="L20" s="5">
        <f ca="1">SUM($E18:L18)/SUM($E17:L17)</f>
        <v>0.1941633082221127</v>
      </c>
      <c r="M20" s="5">
        <f ca="1">SUM($E18:M18)/SUM($E17:M17)</f>
        <v>0.17736622244958036</v>
      </c>
      <c r="N20" s="5">
        <f ca="1">SUM($E18:N18)/SUM($E17:N17)</f>
        <v>0.15586953199977407</v>
      </c>
      <c r="O20" s="5">
        <f ca="1">SUM($E18:O18)/SUM($E17:O17)</f>
        <v>0.1333839999229004</v>
      </c>
      <c r="P20" s="17">
        <f ca="1">SUM($E18:P18)/SUM($E17:P17)</f>
        <v>0.11982635932449352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119">
        <v>80</v>
      </c>
      <c r="F21" s="120">
        <v>2275</v>
      </c>
      <c r="G21" s="120">
        <v>1537.9</v>
      </c>
      <c r="H21" s="120">
        <v>1847.3</v>
      </c>
      <c r="I21" s="120">
        <v>1437.8</v>
      </c>
      <c r="J21" s="121">
        <v>1847.3</v>
      </c>
      <c r="K21" s="122">
        <v>2275</v>
      </c>
      <c r="L21" s="120">
        <v>1929.2</v>
      </c>
      <c r="M21" s="120">
        <v>1255.8</v>
      </c>
      <c r="N21" s="120">
        <v>2002</v>
      </c>
      <c r="O21" s="120">
        <v>2784.6</v>
      </c>
      <c r="P21" s="123">
        <v>2184</v>
      </c>
      <c r="Q21" s="124">
        <f>SUM(E21:P21)</f>
        <v>21455.899999999998</v>
      </c>
      <c r="R21" s="465">
        <v>10796</v>
      </c>
      <c r="S21" s="68">
        <f>IFERROR(Q21/R21,"")</f>
        <v>1.9873934790663206</v>
      </c>
    </row>
    <row r="22" spans="1:19" x14ac:dyDescent="0.4">
      <c r="A22" s="447"/>
      <c r="B22" s="450"/>
      <c r="C22" s="453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89.593000000000004</v>
      </c>
      <c r="F22" s="141">
        <f t="shared" ref="F22:P22" ca="1" si="7">SUMIFS(INDIRECT($B$1&amp;"INV!$N:$N"),INDIRECT($B$1&amp;"INV!$A:$A"),$A17,INDIRECT($B$1&amp;"INV!$G:$G"),"&gt;="&amp;F$6,INDIRECT($B$1&amp;"INV!$G:$G"),"&lt;"&amp;EOMONTH(F$6,0)+1)/1000</f>
        <v>1658.9280000000001</v>
      </c>
      <c r="G22" s="141">
        <f t="shared" ca="1" si="7"/>
        <v>0</v>
      </c>
      <c r="H22" s="141">
        <f t="shared" ca="1" si="7"/>
        <v>0</v>
      </c>
      <c r="I22" s="141">
        <f t="shared" ca="1" si="7"/>
        <v>0</v>
      </c>
      <c r="J22" s="144">
        <f t="shared" ca="1" si="7"/>
        <v>0</v>
      </c>
      <c r="K22" s="146">
        <f t="shared" ca="1" si="7"/>
        <v>0</v>
      </c>
      <c r="L22" s="141">
        <f t="shared" ca="1" si="7"/>
        <v>0</v>
      </c>
      <c r="M22" s="141">
        <f t="shared" ca="1" si="7"/>
        <v>0</v>
      </c>
      <c r="N22" s="141">
        <f t="shared" ca="1" si="7"/>
        <v>0</v>
      </c>
      <c r="O22" s="141">
        <f t="shared" ca="1" si="7"/>
        <v>0</v>
      </c>
      <c r="P22" s="142">
        <f t="shared" ca="1" si="7"/>
        <v>0</v>
      </c>
      <c r="Q22" s="145">
        <f ca="1">SUM(E22:P22)</f>
        <v>1748.5210000000002</v>
      </c>
      <c r="R22" s="471"/>
      <c r="S22" s="70">
        <f ca="1">IFERROR(Q22/R21,"")</f>
        <v>0.16196007780659505</v>
      </c>
    </row>
    <row r="23" spans="1:19" x14ac:dyDescent="0.4">
      <c r="A23" s="447"/>
      <c r="B23" s="450"/>
      <c r="C23" s="435" t="s">
        <v>16</v>
      </c>
      <c r="D23" s="118" t="s">
        <v>13</v>
      </c>
      <c r="E23" s="119">
        <f>E17-E21</f>
        <v>90.654399999999981</v>
      </c>
      <c r="F23" s="120">
        <f t="shared" ref="F23:P24" si="8">F17-F21</f>
        <v>1225</v>
      </c>
      <c r="G23" s="120">
        <f t="shared" si="8"/>
        <v>828.09999999999991</v>
      </c>
      <c r="H23" s="120">
        <f t="shared" si="8"/>
        <v>994.7</v>
      </c>
      <c r="I23" s="120">
        <f t="shared" si="8"/>
        <v>774.2</v>
      </c>
      <c r="J23" s="121">
        <f t="shared" si="8"/>
        <v>994.7</v>
      </c>
      <c r="K23" s="122">
        <f t="shared" si="8"/>
        <v>1225</v>
      </c>
      <c r="L23" s="120">
        <f t="shared" si="8"/>
        <v>1038.8</v>
      </c>
      <c r="M23" s="120">
        <f t="shared" si="8"/>
        <v>676.2</v>
      </c>
      <c r="N23" s="120">
        <f t="shared" si="8"/>
        <v>1078</v>
      </c>
      <c r="O23" s="120">
        <f t="shared" si="8"/>
        <v>1499.4</v>
      </c>
      <c r="P23" s="123">
        <f t="shared" si="8"/>
        <v>1176</v>
      </c>
      <c r="Q23" s="124">
        <f>SUM(E23:P23)</f>
        <v>11600.7544</v>
      </c>
      <c r="R23" s="465">
        <f>R17-R21</f>
        <v>8674</v>
      </c>
      <c r="S23" s="149">
        <f>IFERROR(Q23/R23,"")</f>
        <v>1.3374169241411114</v>
      </c>
    </row>
    <row r="24" spans="1:19" ht="19.5" thickBot="1" x14ac:dyDescent="0.45">
      <c r="A24" s="447"/>
      <c r="B24" s="450"/>
      <c r="C24" s="436"/>
      <c r="D24" s="133" t="s">
        <v>14</v>
      </c>
      <c r="E24" s="134">
        <f ca="1">E18-E22</f>
        <v>100.9215129</v>
      </c>
      <c r="F24" s="135">
        <f t="shared" ca="1" si="8"/>
        <v>2111.6160352999996</v>
      </c>
      <c r="G24" s="135">
        <f t="shared" ca="1" si="8"/>
        <v>0</v>
      </c>
      <c r="H24" s="135">
        <f t="shared" ca="1" si="8"/>
        <v>0</v>
      </c>
      <c r="I24" s="135">
        <f t="shared" ca="1" si="8"/>
        <v>0</v>
      </c>
      <c r="J24" s="138">
        <f t="shared" ca="1" si="8"/>
        <v>0</v>
      </c>
      <c r="K24" s="134">
        <f t="shared" ca="1" si="8"/>
        <v>0</v>
      </c>
      <c r="L24" s="135">
        <f t="shared" ca="1" si="8"/>
        <v>0</v>
      </c>
      <c r="M24" s="135">
        <f t="shared" ca="1" si="8"/>
        <v>0</v>
      </c>
      <c r="N24" s="135">
        <f t="shared" ca="1" si="8"/>
        <v>0</v>
      </c>
      <c r="O24" s="135">
        <f t="shared" ca="1" si="8"/>
        <v>0</v>
      </c>
      <c r="P24" s="136">
        <f t="shared" ca="1" si="8"/>
        <v>0</v>
      </c>
      <c r="Q24" s="139">
        <f ca="1">SUM(E24:P24)</f>
        <v>2212.5375481999995</v>
      </c>
      <c r="R24" s="466"/>
      <c r="S24" s="69">
        <f ca="1">IFERROR(Q24/R23,"")</f>
        <v>0.2550769596725847</v>
      </c>
    </row>
    <row r="25" spans="1:19" x14ac:dyDescent="0.4">
      <c r="A25" s="447"/>
      <c r="B25" s="450"/>
      <c r="C25" s="436"/>
      <c r="D25" s="21" t="s">
        <v>17</v>
      </c>
      <c r="E25" s="11">
        <f ca="1">E24/E23</f>
        <v>1.1132555386169896</v>
      </c>
      <c r="F25" s="4">
        <f t="shared" ref="F25:Q25" ca="1" si="9">F24/F23</f>
        <v>1.7237681920816323</v>
      </c>
      <c r="G25" s="4">
        <f t="shared" ca="1" si="9"/>
        <v>0</v>
      </c>
      <c r="H25" s="4">
        <f t="shared" ca="1" si="9"/>
        <v>0</v>
      </c>
      <c r="I25" s="4">
        <f t="shared" ca="1" si="9"/>
        <v>0</v>
      </c>
      <c r="J25" s="6">
        <f t="shared" ca="1" si="9"/>
        <v>0</v>
      </c>
      <c r="K25" s="8">
        <f t="shared" ca="1" si="9"/>
        <v>0</v>
      </c>
      <c r="L25" s="4">
        <f t="shared" ca="1" si="9"/>
        <v>0</v>
      </c>
      <c r="M25" s="4">
        <f t="shared" ca="1" si="9"/>
        <v>0</v>
      </c>
      <c r="N25" s="4">
        <f t="shared" ca="1" si="9"/>
        <v>0</v>
      </c>
      <c r="O25" s="4">
        <f t="shared" ca="1" si="9"/>
        <v>0</v>
      </c>
      <c r="P25" s="16">
        <f t="shared" ca="1" si="9"/>
        <v>0</v>
      </c>
      <c r="Q25" s="26">
        <f t="shared" ca="1" si="9"/>
        <v>0.19072359192433205</v>
      </c>
    </row>
    <row r="26" spans="1:19" ht="19.5" thickBot="1" x14ac:dyDescent="0.45">
      <c r="A26" s="448"/>
      <c r="B26" s="451"/>
      <c r="C26" s="437"/>
      <c r="D26" s="23" t="s">
        <v>18</v>
      </c>
      <c r="E26" s="14">
        <f ca="1">SUM($E24:E24)/SUM($E23:E23)</f>
        <v>1.1132555386169896</v>
      </c>
      <c r="F26" s="7">
        <f ca="1">SUM($E24:F24)/SUM($E23:F23)</f>
        <v>1.681701173347651</v>
      </c>
      <c r="G26" s="7">
        <f ca="1">SUM($E24:G24)/SUM($E23:G23)</f>
        <v>1.0320853677081665</v>
      </c>
      <c r="H26" s="7">
        <f ca="1">SUM($E24:H24)/SUM($E23:H23)</f>
        <v>0.70497680265802165</v>
      </c>
      <c r="I26" s="7">
        <f ca="1">SUM($E24:I24)/SUM($E23:I23)</f>
        <v>0.56548248886996</v>
      </c>
      <c r="J26" s="15">
        <f ca="1">SUM($E24:J24)/SUM($E23:J23)</f>
        <v>0.4508615779206816</v>
      </c>
      <c r="K26" s="10">
        <f ca="1">SUM($E24:K24)/SUM($E23:K23)</f>
        <v>0.36079740404435851</v>
      </c>
      <c r="L26" s="7">
        <f ca="1">SUM($E24:L24)/SUM($E23:L23)</f>
        <v>0.30853296760700055</v>
      </c>
      <c r="M26" s="7">
        <f ca="1">SUM($E24:M24)/SUM($E23:M23)</f>
        <v>0.28194693847393965</v>
      </c>
      <c r="N26" s="7">
        <f ca="1">SUM($E24:N24)/SUM($E23:N23)</f>
        <v>0.24789352321964936</v>
      </c>
      <c r="O26" s="7">
        <f ca="1">SUM($E24:O24)/SUM($E23:O23)</f>
        <v>0.21223881765502309</v>
      </c>
      <c r="P26" s="18">
        <f ca="1">SUM($E24:P24)/SUM($E23:P23)</f>
        <v>0.19072359192433205</v>
      </c>
      <c r="Q26" s="28" t="s">
        <v>22</v>
      </c>
      <c r="R26" s="59"/>
      <c r="S26"/>
    </row>
    <row r="27" spans="1:19" x14ac:dyDescent="0.4">
      <c r="A27" s="446" t="s">
        <v>211</v>
      </c>
      <c r="B27" s="450" t="s">
        <v>130</v>
      </c>
      <c r="C27" s="433" t="s">
        <v>15</v>
      </c>
      <c r="D27" s="111" t="s">
        <v>13</v>
      </c>
      <c r="E27" s="112">
        <v>357</v>
      </c>
      <c r="F27" s="113">
        <v>50</v>
      </c>
      <c r="G27" s="113">
        <v>500</v>
      </c>
      <c r="H27" s="113">
        <v>500</v>
      </c>
      <c r="I27" s="113">
        <v>800</v>
      </c>
      <c r="J27" s="114">
        <v>993.2</v>
      </c>
      <c r="K27" s="115">
        <v>1500</v>
      </c>
      <c r="L27" s="113">
        <v>1500</v>
      </c>
      <c r="M27" s="113">
        <v>2000</v>
      </c>
      <c r="N27" s="113">
        <v>3000</v>
      </c>
      <c r="O27" s="113">
        <v>2897.7000000000003</v>
      </c>
      <c r="P27" s="116">
        <v>497.90000000000003</v>
      </c>
      <c r="Q27" s="117">
        <f>SUM(E27:P27)</f>
        <v>14595.800000000001</v>
      </c>
      <c r="R27" s="465">
        <v>11302</v>
      </c>
      <c r="S27" s="68">
        <f>IFERROR(Q27/R27,"")</f>
        <v>1.2914351442222616</v>
      </c>
    </row>
    <row r="28" spans="1:19" ht="19.5" thickBot="1" x14ac:dyDescent="0.45">
      <c r="A28" s="447"/>
      <c r="B28" s="450"/>
      <c r="C28" s="433"/>
      <c r="D28" s="133" t="s">
        <v>14</v>
      </c>
      <c r="E28" s="134">
        <f ca="1">SUMIFS(INDIRECT($B$1&amp;"INV!$K:$K"),INDIRECT($B$1&amp;"INV!$A:$A"),$A27,INDIRECT($B$1&amp;"INV!$G:$G"),"&gt;="&amp;E$6,INDIRECT($B$1&amp;"INV!$G:$G"),"&lt;"&amp;EOMONTH(E$6,0)+1)/1000</f>
        <v>572.42378510000015</v>
      </c>
      <c r="F28" s="135">
        <f ca="1">SUMIFS(INDIRECT($B$1&amp;"INV!$K:$K"),INDIRECT($B$1&amp;"INV!$A:$A"),$A27,INDIRECT($B$1&amp;"INV!$G:$G"),"&gt;="&amp;F$6,INDIRECT($B$1&amp;"INV!$G:$G"),"&lt;"&amp;EOMONTH(F$6,0)+1)/1000</f>
        <v>0</v>
      </c>
      <c r="G28" s="135">
        <f ca="1">SUMIFS(INDIRECT($B$1&amp;"INV!$K:$K"),INDIRECT($B$1&amp;"INV!$A:$A"),$A27,INDIRECT($B$1&amp;"INV!$G:$G"),"&gt;="&amp;G$6,INDIRECT($B$1&amp;"INV!$G:$G"),"&lt;"&amp;EOMONTH(G$6,0)+1)/1000</f>
        <v>0</v>
      </c>
      <c r="H28" s="135">
        <f t="shared" ref="H28:P28" ca="1" si="10">SUMIFS(INDIRECT($B$1&amp;"INV!$K:$K"),INDIRECT($B$1&amp;"INV!$A:$A"),$A27,INDIRECT($B$1&amp;"INV!$G:$G"),"&gt;="&amp;H$6,INDIRECT($B$1&amp;"INV!$G:$G"),"&lt;"&amp;EOMONTH(H$6,0)+1)/1000</f>
        <v>0</v>
      </c>
      <c r="I28" s="135">
        <f t="shared" ca="1" si="10"/>
        <v>0</v>
      </c>
      <c r="J28" s="138">
        <f t="shared" ca="1" si="10"/>
        <v>0</v>
      </c>
      <c r="K28" s="134">
        <f t="shared" ca="1" si="10"/>
        <v>0</v>
      </c>
      <c r="L28" s="135">
        <f t="shared" ca="1" si="10"/>
        <v>0</v>
      </c>
      <c r="M28" s="135">
        <f t="shared" ca="1" si="10"/>
        <v>0</v>
      </c>
      <c r="N28" s="135">
        <f t="shared" ca="1" si="10"/>
        <v>0</v>
      </c>
      <c r="O28" s="135">
        <f t="shared" ca="1" si="10"/>
        <v>0</v>
      </c>
      <c r="P28" s="136">
        <f t="shared" ca="1" si="10"/>
        <v>0</v>
      </c>
      <c r="Q28" s="139">
        <f ca="1">SUM(E28:P28)</f>
        <v>572.42378510000015</v>
      </c>
      <c r="R28" s="466"/>
      <c r="S28" s="69">
        <f ca="1">IFERROR(Q28/R27,"")</f>
        <v>5.0648007883560442E-2</v>
      </c>
    </row>
    <row r="29" spans="1:19" x14ac:dyDescent="0.4">
      <c r="A29" s="447"/>
      <c r="B29" s="450"/>
      <c r="C29" s="433"/>
      <c r="D29" s="21" t="s">
        <v>17</v>
      </c>
      <c r="E29" s="11">
        <f ca="1">E28/E27</f>
        <v>1.6034279694677875</v>
      </c>
      <c r="F29" s="4">
        <f t="shared" ref="F29:Q29" ca="1" si="11">F28/F27</f>
        <v>0</v>
      </c>
      <c r="G29" s="4">
        <f t="shared" ca="1" si="11"/>
        <v>0</v>
      </c>
      <c r="H29" s="4">
        <f t="shared" ca="1" si="11"/>
        <v>0</v>
      </c>
      <c r="I29" s="4">
        <f t="shared" ca="1" si="11"/>
        <v>0</v>
      </c>
      <c r="J29" s="6">
        <f t="shared" ca="1" si="11"/>
        <v>0</v>
      </c>
      <c r="K29" s="8">
        <f t="shared" ca="1" si="11"/>
        <v>0</v>
      </c>
      <c r="L29" s="4">
        <f t="shared" ca="1" si="11"/>
        <v>0</v>
      </c>
      <c r="M29" s="4">
        <f t="shared" ca="1" si="11"/>
        <v>0</v>
      </c>
      <c r="N29" s="4">
        <f t="shared" ca="1" si="11"/>
        <v>0</v>
      </c>
      <c r="O29" s="4">
        <f t="shared" ca="1" si="11"/>
        <v>0</v>
      </c>
      <c r="P29" s="16">
        <f t="shared" ca="1" si="11"/>
        <v>0</v>
      </c>
      <c r="Q29" s="26">
        <f t="shared" ca="1" si="11"/>
        <v>3.9218390571260232E-2</v>
      </c>
      <c r="R29" s="59"/>
      <c r="S29"/>
    </row>
    <row r="30" spans="1:19" x14ac:dyDescent="0.4">
      <c r="A30" s="447"/>
      <c r="B30" s="450"/>
      <c r="C30" s="434"/>
      <c r="D30" s="22" t="s">
        <v>18</v>
      </c>
      <c r="E30" s="12">
        <f ca="1">SUM($E28:E28)/SUM($E27:E27)</f>
        <v>1.6034279694677875</v>
      </c>
      <c r="F30" s="5">
        <f ca="1">SUM($E28:F28)/SUM($E27:F27)</f>
        <v>1.4064466464373468</v>
      </c>
      <c r="G30" s="5">
        <f ca="1">SUM($E28:G28)/SUM($E27:G27)</f>
        <v>0.63111773439911811</v>
      </c>
      <c r="H30" s="5">
        <f ca="1">SUM($E28:H28)/SUM($E27:H27)</f>
        <v>0.40683993255152817</v>
      </c>
      <c r="I30" s="5">
        <f ca="1">SUM($E28:I28)/SUM($E27:I27)</f>
        <v>0.25936736977797925</v>
      </c>
      <c r="J30" s="13">
        <f ca="1">SUM($E28:J28)/SUM($E27:J27)</f>
        <v>0.17887125339041315</v>
      </c>
      <c r="K30" s="9">
        <f ca="1">SUM($E28:K28)/SUM($E27:K27)</f>
        <v>0.12178711227181825</v>
      </c>
      <c r="L30" s="5">
        <f ca="1">SUM($E28:L28)/SUM($E27:L27)</f>
        <v>9.232343877616854E-2</v>
      </c>
      <c r="M30" s="5">
        <f ca="1">SUM($E28:M28)/SUM($E27:M27)</f>
        <v>6.9806076083510166E-2</v>
      </c>
      <c r="N30" s="5">
        <f ca="1">SUM($E28:N28)/SUM($E27:N27)</f>
        <v>5.1108353877609335E-2</v>
      </c>
      <c r="O30" s="5">
        <f ca="1">SUM($E28:O28)/SUM($E27:O27)</f>
        <v>4.0603478894019683E-2</v>
      </c>
      <c r="P30" s="17">
        <f ca="1">SUM($E28:P28)/SUM($E27:P27)</f>
        <v>3.9218390571260232E-2</v>
      </c>
      <c r="Q30" s="27" t="s">
        <v>22</v>
      </c>
      <c r="R30" s="59"/>
      <c r="S30"/>
    </row>
    <row r="31" spans="1:19" x14ac:dyDescent="0.4">
      <c r="A31" s="447"/>
      <c r="B31" s="450"/>
      <c r="C31" s="452" t="s">
        <v>192</v>
      </c>
      <c r="D31" s="118" t="s">
        <v>13</v>
      </c>
      <c r="E31" s="119">
        <v>190</v>
      </c>
      <c r="F31" s="120">
        <v>32.5</v>
      </c>
      <c r="G31" s="120">
        <v>325</v>
      </c>
      <c r="H31" s="120">
        <v>325</v>
      </c>
      <c r="I31" s="120">
        <v>520</v>
      </c>
      <c r="J31" s="121">
        <v>645.58000000000004</v>
      </c>
      <c r="K31" s="122">
        <v>975</v>
      </c>
      <c r="L31" s="120">
        <v>975</v>
      </c>
      <c r="M31" s="120">
        <v>1950</v>
      </c>
      <c r="N31" s="120">
        <v>1950</v>
      </c>
      <c r="O31" s="120">
        <v>1883.5050000000003</v>
      </c>
      <c r="P31" s="123">
        <v>323.63500000000005</v>
      </c>
      <c r="Q31" s="124">
        <f>SUM(E31:P31)</f>
        <v>10095.220000000001</v>
      </c>
      <c r="R31" s="465">
        <v>6345</v>
      </c>
      <c r="S31" s="68">
        <f>IFERROR(Q31/R31,"")</f>
        <v>1.5910512214342003</v>
      </c>
    </row>
    <row r="32" spans="1:19" x14ac:dyDescent="0.4">
      <c r="A32" s="447"/>
      <c r="B32" s="450"/>
      <c r="C32" s="453"/>
      <c r="D32" s="140" t="s">
        <v>14</v>
      </c>
      <c r="E32" s="146">
        <f ca="1">SUMIFS(INDIRECT($B$1&amp;"INV!$N:$N"),INDIRECT($B$1&amp;"INV!$A:$A"),$A27,INDIRECT($B$1&amp;"INV!$G:$G"),"&gt;="&amp;E$6,INDIRECT($B$1&amp;"INV!$G:$G"),"&lt;"&amp;EOMONTH(E$6,0)+1)/1000</f>
        <v>281.76400000000001</v>
      </c>
      <c r="F32" s="141">
        <f t="shared" ref="F32:P32" ca="1" si="12">SUMIFS(INDIRECT($B$1&amp;"INV!$N:$N"),INDIRECT($B$1&amp;"INV!$A:$A"),$A27,INDIRECT($B$1&amp;"INV!$G:$G"),"&gt;="&amp;F$6,INDIRECT($B$1&amp;"INV!$G:$G"),"&lt;"&amp;EOMONTH(F$6,0)+1)/1000</f>
        <v>0</v>
      </c>
      <c r="G32" s="141">
        <f t="shared" ca="1" si="12"/>
        <v>0</v>
      </c>
      <c r="H32" s="141">
        <f t="shared" ca="1" si="12"/>
        <v>0</v>
      </c>
      <c r="I32" s="141">
        <f t="shared" ca="1" si="12"/>
        <v>0</v>
      </c>
      <c r="J32" s="144">
        <f t="shared" ca="1" si="12"/>
        <v>0</v>
      </c>
      <c r="K32" s="146">
        <f t="shared" ca="1" si="12"/>
        <v>0</v>
      </c>
      <c r="L32" s="141">
        <f t="shared" ca="1" si="12"/>
        <v>0</v>
      </c>
      <c r="M32" s="141">
        <f t="shared" ca="1" si="12"/>
        <v>0</v>
      </c>
      <c r="N32" s="141">
        <f t="shared" ca="1" si="12"/>
        <v>0</v>
      </c>
      <c r="O32" s="141">
        <f t="shared" ca="1" si="12"/>
        <v>0</v>
      </c>
      <c r="P32" s="142">
        <f t="shared" ca="1" si="12"/>
        <v>0</v>
      </c>
      <c r="Q32" s="145">
        <f ca="1">SUM(E32:P32)</f>
        <v>281.76400000000001</v>
      </c>
      <c r="R32" s="471"/>
      <c r="S32" s="70">
        <f ca="1">IFERROR(Q32/R31,"")</f>
        <v>4.4407249802994486E-2</v>
      </c>
    </row>
    <row r="33" spans="1:19" x14ac:dyDescent="0.4">
      <c r="A33" s="447"/>
      <c r="B33" s="450"/>
      <c r="C33" s="435" t="s">
        <v>16</v>
      </c>
      <c r="D33" s="118" t="s">
        <v>13</v>
      </c>
      <c r="E33" s="119">
        <f>E27-E31</f>
        <v>167</v>
      </c>
      <c r="F33" s="120">
        <f t="shared" ref="F33:P34" si="13">F27-F31</f>
        <v>17.5</v>
      </c>
      <c r="G33" s="120">
        <f t="shared" si="13"/>
        <v>175</v>
      </c>
      <c r="H33" s="120">
        <f t="shared" si="13"/>
        <v>175</v>
      </c>
      <c r="I33" s="120">
        <f t="shared" si="13"/>
        <v>280</v>
      </c>
      <c r="J33" s="121">
        <f t="shared" si="13"/>
        <v>347.62</v>
      </c>
      <c r="K33" s="122">
        <f t="shared" si="13"/>
        <v>525</v>
      </c>
      <c r="L33" s="120">
        <f t="shared" si="13"/>
        <v>525</v>
      </c>
      <c r="M33" s="120">
        <f t="shared" si="13"/>
        <v>50</v>
      </c>
      <c r="N33" s="120">
        <f t="shared" si="13"/>
        <v>1050</v>
      </c>
      <c r="O33" s="120">
        <f t="shared" si="13"/>
        <v>1014.1949999999999</v>
      </c>
      <c r="P33" s="123">
        <f>P27-P31</f>
        <v>174.26499999999999</v>
      </c>
      <c r="Q33" s="124">
        <f>SUM(E33:P33)</f>
        <v>4500.58</v>
      </c>
      <c r="R33" s="465">
        <f>R27-R31</f>
        <v>4957</v>
      </c>
      <c r="S33" s="149">
        <f>IFERROR(Q33/R33,"")</f>
        <v>0.90792414766996166</v>
      </c>
    </row>
    <row r="34" spans="1:19" ht="19.5" thickBot="1" x14ac:dyDescent="0.45">
      <c r="A34" s="447"/>
      <c r="B34" s="450"/>
      <c r="C34" s="436"/>
      <c r="D34" s="133" t="s">
        <v>14</v>
      </c>
      <c r="E34" s="134">
        <f ca="1">E28-E32</f>
        <v>290.65978510000014</v>
      </c>
      <c r="F34" s="135">
        <f t="shared" ca="1" si="13"/>
        <v>0</v>
      </c>
      <c r="G34" s="135">
        <f t="shared" ca="1" si="13"/>
        <v>0</v>
      </c>
      <c r="H34" s="135">
        <f t="shared" ca="1" si="13"/>
        <v>0</v>
      </c>
      <c r="I34" s="135">
        <f t="shared" ca="1" si="13"/>
        <v>0</v>
      </c>
      <c r="J34" s="138">
        <f t="shared" ca="1" si="13"/>
        <v>0</v>
      </c>
      <c r="K34" s="134">
        <f t="shared" ca="1" si="13"/>
        <v>0</v>
      </c>
      <c r="L34" s="135">
        <f t="shared" ca="1" si="13"/>
        <v>0</v>
      </c>
      <c r="M34" s="135">
        <f t="shared" ca="1" si="13"/>
        <v>0</v>
      </c>
      <c r="N34" s="135">
        <f t="shared" ca="1" si="13"/>
        <v>0</v>
      </c>
      <c r="O34" s="135">
        <f t="shared" ca="1" si="13"/>
        <v>0</v>
      </c>
      <c r="P34" s="136">
        <f t="shared" ca="1" si="13"/>
        <v>0</v>
      </c>
      <c r="Q34" s="139">
        <f ca="1">SUM(E34:P34)</f>
        <v>290.65978510000014</v>
      </c>
      <c r="R34" s="466"/>
      <c r="S34" s="69">
        <f ca="1">IFERROR(Q34/R33,"")</f>
        <v>5.8636228585838238E-2</v>
      </c>
    </row>
    <row r="35" spans="1:19" x14ac:dyDescent="0.4">
      <c r="A35" s="447"/>
      <c r="B35" s="450"/>
      <c r="C35" s="436"/>
      <c r="D35" s="21" t="s">
        <v>17</v>
      </c>
      <c r="E35" s="11">
        <f ca="1">E34/E33</f>
        <v>1.7404777550898212</v>
      </c>
      <c r="F35" s="4">
        <f t="shared" ref="F35:Q35" ca="1" si="14">F34/F33</f>
        <v>0</v>
      </c>
      <c r="G35" s="4">
        <f t="shared" ca="1" si="14"/>
        <v>0</v>
      </c>
      <c r="H35" s="4">
        <f t="shared" ca="1" si="14"/>
        <v>0</v>
      </c>
      <c r="I35" s="4">
        <f t="shared" ca="1" si="14"/>
        <v>0</v>
      </c>
      <c r="J35" s="6">
        <f t="shared" ca="1" si="14"/>
        <v>0</v>
      </c>
      <c r="K35" s="8">
        <f t="shared" ca="1" si="14"/>
        <v>0</v>
      </c>
      <c r="L35" s="4">
        <f t="shared" ca="1" si="14"/>
        <v>0</v>
      </c>
      <c r="M35" s="4">
        <f t="shared" ca="1" si="14"/>
        <v>0</v>
      </c>
      <c r="N35" s="4">
        <f t="shared" ca="1" si="14"/>
        <v>0</v>
      </c>
      <c r="O35" s="4">
        <f t="shared" ca="1" si="14"/>
        <v>0</v>
      </c>
      <c r="P35" s="16">
        <f t="shared" ca="1" si="14"/>
        <v>0</v>
      </c>
      <c r="Q35" s="26">
        <f t="shared" ca="1" si="14"/>
        <v>6.4582739358038335E-2</v>
      </c>
    </row>
    <row r="36" spans="1:19" ht="19.5" thickBot="1" x14ac:dyDescent="0.45">
      <c r="A36" s="448"/>
      <c r="B36" s="451"/>
      <c r="C36" s="437"/>
      <c r="D36" s="23" t="s">
        <v>18</v>
      </c>
      <c r="E36" s="14">
        <f ca="1">SUM($E34:E34)/SUM($E33:E33)</f>
        <v>1.7404777550898212</v>
      </c>
      <c r="F36" s="7">
        <f ca="1">SUM($E34:F34)/SUM($E33:F33)</f>
        <v>1.5753917891598923</v>
      </c>
      <c r="G36" s="7">
        <f ca="1">SUM($E34:G34)/SUM($E33:G33)</f>
        <v>0.80851122420027854</v>
      </c>
      <c r="H36" s="7">
        <f ca="1">SUM($E34:H34)/SUM($E33:H33)</f>
        <v>0.54379753994387303</v>
      </c>
      <c r="I36" s="7">
        <f ca="1">SUM($E34:I34)/SUM($E33:I33)</f>
        <v>0.35685670362185407</v>
      </c>
      <c r="J36" s="15">
        <f ca="1">SUM($E34:J34)/SUM($E33:J33)</f>
        <v>0.25011167960279501</v>
      </c>
      <c r="K36" s="10">
        <f ca="1">SUM($E34:K34)/SUM($E33:K33)</f>
        <v>0.17228163088576992</v>
      </c>
      <c r="L36" s="7">
        <f ca="1">SUM($E34:L34)/SUM($E33:L33)</f>
        <v>0.13139422142560084</v>
      </c>
      <c r="M36" s="7">
        <f ca="1">SUM($E34:M34)/SUM($E33:M33)</f>
        <v>0.12848999394373425</v>
      </c>
      <c r="N36" s="7">
        <f ca="1">SUM($E34:N34)/SUM($E33:N33)</f>
        <v>8.7756417370143641E-2</v>
      </c>
      <c r="O36" s="7">
        <f ca="1">SUM($E34:O34)/SUM($E33:O33)</f>
        <v>6.7184147501973421E-2</v>
      </c>
      <c r="P36" s="18">
        <f ca="1">SUM($E34:P34)/SUM($E33:P33)</f>
        <v>6.4582739358038335E-2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 t="shared" ref="E37:Q38" si="15">SUM(E7,E17,E27)</f>
        <v>2363.6543999999999</v>
      </c>
      <c r="F37" s="127">
        <f t="shared" si="15"/>
        <v>5513.36</v>
      </c>
      <c r="G37" s="128">
        <f t="shared" si="15"/>
        <v>4462.1400000000003</v>
      </c>
      <c r="H37" s="127">
        <f t="shared" si="15"/>
        <v>4690.8999999999996</v>
      </c>
      <c r="I37" s="127">
        <f t="shared" si="15"/>
        <v>4120.9400000000005</v>
      </c>
      <c r="J37" s="129">
        <f t="shared" si="15"/>
        <v>5184.0999999999995</v>
      </c>
      <c r="K37" s="126">
        <f t="shared" si="15"/>
        <v>6232.7</v>
      </c>
      <c r="L37" s="127">
        <f t="shared" si="15"/>
        <v>5576.9400000000005</v>
      </c>
      <c r="M37" s="128">
        <f t="shared" si="15"/>
        <v>4673.72</v>
      </c>
      <c r="N37" s="127">
        <f t="shared" si="15"/>
        <v>7308.92</v>
      </c>
      <c r="O37" s="127">
        <f t="shared" si="15"/>
        <v>8601.58</v>
      </c>
      <c r="P37" s="129">
        <f t="shared" si="15"/>
        <v>4719.5999999999995</v>
      </c>
      <c r="Q37" s="130">
        <f t="shared" si="15"/>
        <v>63448.554400000008</v>
      </c>
      <c r="R37" s="465">
        <f>SUM(R7,R17,R27)</f>
        <v>45664</v>
      </c>
      <c r="S37" s="68">
        <f>IFERROR(Q37/R37,"")</f>
        <v>1.3894655395935531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 t="shared" ca="1" si="15"/>
        <v>1450.9016482000002</v>
      </c>
      <c r="F38" s="135">
        <f t="shared" ca="1" si="15"/>
        <v>9624.1917529999992</v>
      </c>
      <c r="G38" s="138">
        <f t="shared" ca="1" si="15"/>
        <v>0</v>
      </c>
      <c r="H38" s="135">
        <f t="shared" ca="1" si="15"/>
        <v>0</v>
      </c>
      <c r="I38" s="135">
        <f t="shared" ca="1" si="15"/>
        <v>0</v>
      </c>
      <c r="J38" s="136">
        <f t="shared" ca="1" si="15"/>
        <v>0</v>
      </c>
      <c r="K38" s="134">
        <f t="shared" ca="1" si="15"/>
        <v>0</v>
      </c>
      <c r="L38" s="135">
        <f t="shared" ca="1" si="15"/>
        <v>0</v>
      </c>
      <c r="M38" s="138">
        <f t="shared" ca="1" si="15"/>
        <v>0</v>
      </c>
      <c r="N38" s="135">
        <f t="shared" ca="1" si="15"/>
        <v>0</v>
      </c>
      <c r="O38" s="135">
        <f t="shared" ca="1" si="15"/>
        <v>0</v>
      </c>
      <c r="P38" s="136">
        <f t="shared" ca="1" si="15"/>
        <v>0</v>
      </c>
      <c r="Q38" s="148">
        <f t="shared" ca="1" si="15"/>
        <v>11075.0934012</v>
      </c>
      <c r="R38" s="466"/>
      <c r="S38" s="69">
        <f ca="1">IFERROR(Q38/R37,"")</f>
        <v>0.24253445605290819</v>
      </c>
    </row>
    <row r="39" spans="1:19" x14ac:dyDescent="0.4">
      <c r="A39" s="19"/>
      <c r="B39" s="430"/>
      <c r="C39" s="433"/>
      <c r="D39" s="24" t="s">
        <v>17</v>
      </c>
      <c r="E39" s="11">
        <f ca="1">E38/E37</f>
        <v>0.61383832094912028</v>
      </c>
      <c r="F39" s="4">
        <f t="shared" ref="F39:Q39" ca="1" si="16">F38/F37</f>
        <v>1.7456127938317105</v>
      </c>
      <c r="G39" s="16">
        <f t="shared" ca="1" si="16"/>
        <v>0</v>
      </c>
      <c r="H39" s="4">
        <f t="shared" ca="1" si="16"/>
        <v>0</v>
      </c>
      <c r="I39" s="4">
        <f t="shared" ca="1" si="16"/>
        <v>0</v>
      </c>
      <c r="J39" s="6">
        <f t="shared" ca="1" si="16"/>
        <v>0</v>
      </c>
      <c r="K39" s="11">
        <f t="shared" ca="1" si="16"/>
        <v>0</v>
      </c>
      <c r="L39" s="4">
        <f t="shared" ca="1" si="16"/>
        <v>0</v>
      </c>
      <c r="M39" s="16">
        <f t="shared" ca="1" si="16"/>
        <v>0</v>
      </c>
      <c r="N39" s="4">
        <f t="shared" ca="1" si="16"/>
        <v>0</v>
      </c>
      <c r="O39" s="4">
        <f t="shared" ca="1" si="16"/>
        <v>0</v>
      </c>
      <c r="P39" s="6">
        <f t="shared" ca="1" si="16"/>
        <v>0</v>
      </c>
      <c r="Q39" s="26">
        <f t="shared" ca="1" si="16"/>
        <v>0.17455233623415695</v>
      </c>
    </row>
    <row r="40" spans="1:19" x14ac:dyDescent="0.4">
      <c r="A40" s="19"/>
      <c r="B40" s="430"/>
      <c r="C40" s="434"/>
      <c r="D40" s="25" t="s">
        <v>18</v>
      </c>
      <c r="E40" s="12">
        <f ca="1">SUM($E38:E38)/SUM($E37:E37)</f>
        <v>0.61383832094912028</v>
      </c>
      <c r="F40" s="5">
        <f ca="1">SUM($E38:F38)/SUM($E37:F37)</f>
        <v>1.4060014161203005</v>
      </c>
      <c r="G40" s="17">
        <f ca="1">SUM($E38:G38)/SUM($E37:G37)</f>
        <v>0.89755691858430753</v>
      </c>
      <c r="H40" s="5">
        <f ca="1">SUM($E38:H38)/SUM($E37:H37)</f>
        <v>0.65032636661454235</v>
      </c>
      <c r="I40" s="5">
        <f ca="1">SUM($E38:I38)/SUM($E37:I37)</f>
        <v>0.5236204592442234</v>
      </c>
      <c r="J40" s="13">
        <f ca="1">SUM($E38:J38)/SUM($E37:J37)</f>
        <v>0.42054504278518928</v>
      </c>
      <c r="K40" s="12">
        <f ca="1">SUM($E38:K38)/SUM($E37:K37)</f>
        <v>0.34006274005463505</v>
      </c>
      <c r="L40" s="5">
        <f ca="1">SUM($E38:L38)/SUM($E37:L37)</f>
        <v>0.29034396425630898</v>
      </c>
      <c r="M40" s="17">
        <f ca="1">SUM($E38:M38)/SUM($E37:M37)</f>
        <v>0.25865233942680566</v>
      </c>
      <c r="N40" s="5">
        <f ca="1">SUM($E38:N38)/SUM($E37:N37)</f>
        <v>0.22093902850016417</v>
      </c>
      <c r="O40" s="5">
        <f ca="1">SUM($E38:O38)/SUM($E37:O37)</f>
        <v>0.18857978171666545</v>
      </c>
      <c r="P40" s="13">
        <f ca="1">SUM($E38:P38)/SUM($E37:P37)</f>
        <v>0.17455233623415697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 t="shared" ref="E41:Q42" si="17">SUM(E13,E23,E33)</f>
        <v>808.65440000000001</v>
      </c>
      <c r="F41" s="113">
        <f t="shared" si="17"/>
        <v>1831.508</v>
      </c>
      <c r="G41" s="116">
        <f t="shared" si="17"/>
        <v>1481.942</v>
      </c>
      <c r="H41" s="113">
        <f t="shared" si="17"/>
        <v>1574.3700000000001</v>
      </c>
      <c r="I41" s="113">
        <f t="shared" si="17"/>
        <v>1386.8820000000001</v>
      </c>
      <c r="J41" s="114">
        <f t="shared" si="17"/>
        <v>1746.9900000000002</v>
      </c>
      <c r="K41" s="112">
        <f t="shared" si="17"/>
        <v>2119.81</v>
      </c>
      <c r="L41" s="113">
        <f t="shared" si="17"/>
        <v>1896.482</v>
      </c>
      <c r="M41" s="116">
        <f t="shared" si="17"/>
        <v>948.71600000000012</v>
      </c>
      <c r="N41" s="113">
        <f t="shared" si="17"/>
        <v>2496.6759999999999</v>
      </c>
      <c r="O41" s="113">
        <f t="shared" si="17"/>
        <v>2939.5590000000002</v>
      </c>
      <c r="P41" s="114">
        <f t="shared" si="17"/>
        <v>1608.7750000000001</v>
      </c>
      <c r="Q41" s="132">
        <f t="shared" si="17"/>
        <v>20840.364399999999</v>
      </c>
      <c r="R41" s="465">
        <f>SUM(R13,R23,R33)</f>
        <v>18677</v>
      </c>
      <c r="S41" s="68">
        <f>IFERROR(Q41/R41,"")</f>
        <v>1.1158304010280022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 t="shared" ca="1" si="17"/>
        <v>698.54164820000017</v>
      </c>
      <c r="F42" s="135">
        <f t="shared" ca="1" si="17"/>
        <v>4249.6417529999999</v>
      </c>
      <c r="G42" s="138">
        <f t="shared" ca="1" si="17"/>
        <v>0</v>
      </c>
      <c r="H42" s="135">
        <f t="shared" ca="1" si="17"/>
        <v>0</v>
      </c>
      <c r="I42" s="135">
        <f t="shared" ca="1" si="17"/>
        <v>0</v>
      </c>
      <c r="J42" s="136">
        <f t="shared" ca="1" si="17"/>
        <v>0</v>
      </c>
      <c r="K42" s="134">
        <f t="shared" ca="1" si="17"/>
        <v>0</v>
      </c>
      <c r="L42" s="135">
        <f t="shared" ca="1" si="17"/>
        <v>0</v>
      </c>
      <c r="M42" s="138">
        <f t="shared" ca="1" si="17"/>
        <v>0</v>
      </c>
      <c r="N42" s="135">
        <f t="shared" ca="1" si="17"/>
        <v>0</v>
      </c>
      <c r="O42" s="135">
        <f t="shared" ca="1" si="17"/>
        <v>0</v>
      </c>
      <c r="P42" s="136">
        <f t="shared" ca="1" si="17"/>
        <v>0</v>
      </c>
      <c r="Q42" s="148">
        <f t="shared" ca="1" si="17"/>
        <v>4948.1834011999999</v>
      </c>
      <c r="R42" s="466"/>
      <c r="S42" s="69">
        <f ca="1">IFERROR(Q42/R41,"")</f>
        <v>0.26493459341435993</v>
      </c>
    </row>
    <row r="43" spans="1:19" x14ac:dyDescent="0.4">
      <c r="A43" s="19"/>
      <c r="B43" s="430"/>
      <c r="C43" s="436"/>
      <c r="D43" s="24" t="s">
        <v>17</v>
      </c>
      <c r="E43" s="11">
        <f ca="1">E42/E41</f>
        <v>0.86383212432900902</v>
      </c>
      <c r="F43" s="4">
        <f t="shared" ref="F43:Q43" ca="1" si="18">F42/F41</f>
        <v>2.3202965823791106</v>
      </c>
      <c r="G43" s="16">
        <f t="shared" ca="1" si="18"/>
        <v>0</v>
      </c>
      <c r="H43" s="4">
        <f t="shared" ca="1" si="18"/>
        <v>0</v>
      </c>
      <c r="I43" s="4">
        <f t="shared" ca="1" si="18"/>
        <v>0</v>
      </c>
      <c r="J43" s="6">
        <f t="shared" ca="1" si="18"/>
        <v>0</v>
      </c>
      <c r="K43" s="11">
        <f t="shared" ca="1" si="18"/>
        <v>0</v>
      </c>
      <c r="L43" s="4">
        <f t="shared" ca="1" si="18"/>
        <v>0</v>
      </c>
      <c r="M43" s="16">
        <f t="shared" ca="1" si="18"/>
        <v>0</v>
      </c>
      <c r="N43" s="4">
        <f t="shared" ca="1" si="18"/>
        <v>0</v>
      </c>
      <c r="O43" s="4">
        <f t="shared" ca="1" si="18"/>
        <v>0</v>
      </c>
      <c r="P43" s="6">
        <f t="shared" ca="1" si="18"/>
        <v>0</v>
      </c>
      <c r="Q43" s="26">
        <f t="shared" ca="1" si="18"/>
        <v>0.2374326718202682</v>
      </c>
    </row>
    <row r="44" spans="1:19" ht="19.5" thickBot="1" x14ac:dyDescent="0.45">
      <c r="A44" s="19"/>
      <c r="B44" s="431"/>
      <c r="C44" s="437"/>
      <c r="D44" s="30" t="s">
        <v>18</v>
      </c>
      <c r="E44" s="14">
        <f ca="1">SUM($E42:E42)/SUM($E41:E41)</f>
        <v>0.86383212432900902</v>
      </c>
      <c r="F44" s="7">
        <f ca="1">SUM($E42:F42)/SUM($E41:F41)</f>
        <v>1.8741966029059423</v>
      </c>
      <c r="G44" s="18">
        <f ca="1">SUM($E42:G42)/SUM($E41:G41)</f>
        <v>1.2004022511414314</v>
      </c>
      <c r="H44" s="7">
        <f ca="1">SUM($E42:H42)/SUM($E41:H41)</f>
        <v>0.86863962755630042</v>
      </c>
      <c r="I44" s="7">
        <f ca="1">SUM($E42:I42)/SUM($E41:I41)</f>
        <v>0.69856479354900169</v>
      </c>
      <c r="J44" s="15">
        <f ca="1">SUM($E42:J42)/SUM($E41:J41)</f>
        <v>0.56036118823152847</v>
      </c>
      <c r="K44" s="14">
        <f ca="1">SUM($E42:K42)/SUM($E41:K41)</f>
        <v>0.45188244080239803</v>
      </c>
      <c r="L44" s="7">
        <f ca="1">SUM($E42:L42)/SUM($E41:L41)</f>
        <v>0.38517340078630996</v>
      </c>
      <c r="M44" s="18">
        <f ca="1">SUM($E42:M42)/SUM($E41:M41)</f>
        <v>0.35868476138605038</v>
      </c>
      <c r="N44" s="7">
        <f ca="1">SUM($E42:N42)/SUM($E41:N41)</f>
        <v>0.30371803143701476</v>
      </c>
      <c r="O44" s="7">
        <f ca="1">SUM($E42:O42)/SUM($E41:O41)</f>
        <v>0.25729456355801772</v>
      </c>
      <c r="P44" s="15">
        <f ca="1">SUM($E42:P42)/SUM($E41:P41)</f>
        <v>0.23743267182026814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23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97" t="s">
        <v>152</v>
      </c>
      <c r="F48" s="98" t="s">
        <v>152</v>
      </c>
      <c r="G48" s="98" t="s">
        <v>153</v>
      </c>
      <c r="H48" s="98" t="s">
        <v>154</v>
      </c>
      <c r="I48" s="98" t="s">
        <v>155</v>
      </c>
      <c r="J48" s="99" t="s">
        <v>156</v>
      </c>
      <c r="K48" s="97"/>
      <c r="L48" s="74" t="s">
        <v>157</v>
      </c>
      <c r="M48" s="95"/>
      <c r="N48" s="74" t="s">
        <v>158</v>
      </c>
      <c r="O48" s="74" t="s">
        <v>159</v>
      </c>
      <c r="P48" s="74" t="s">
        <v>160</v>
      </c>
    </row>
    <row r="49" spans="1:16" ht="39" customHeight="1" x14ac:dyDescent="0.4">
      <c r="A49" s="424"/>
      <c r="B49" s="425"/>
      <c r="C49" s="484" t="str">
        <f>A7</f>
        <v>米国(NY)
アパレル</v>
      </c>
      <c r="D49" s="81" t="s">
        <v>38</v>
      </c>
      <c r="E49" s="82"/>
      <c r="F49" s="83"/>
      <c r="G49" s="83" t="s">
        <v>161</v>
      </c>
      <c r="H49" s="83" t="s">
        <v>162</v>
      </c>
      <c r="I49" s="83"/>
      <c r="J49" s="84" t="s">
        <v>162</v>
      </c>
      <c r="K49" s="100" t="s">
        <v>163</v>
      </c>
      <c r="L49" s="83" t="s">
        <v>162</v>
      </c>
      <c r="M49" s="101" t="s">
        <v>164</v>
      </c>
      <c r="N49" s="83" t="s">
        <v>162</v>
      </c>
      <c r="O49" s="101" t="s">
        <v>165</v>
      </c>
      <c r="P49" s="83" t="s">
        <v>162</v>
      </c>
    </row>
    <row r="50" spans="1:16" ht="39" customHeight="1" x14ac:dyDescent="0.4">
      <c r="A50" s="424"/>
      <c r="B50" s="425"/>
      <c r="C50" s="485"/>
      <c r="D50" s="85" t="s">
        <v>36</v>
      </c>
      <c r="E50" s="86"/>
      <c r="F50" s="87"/>
      <c r="G50" s="87"/>
      <c r="H50" s="87"/>
      <c r="I50" s="87"/>
      <c r="J50" s="102"/>
      <c r="K50" s="86"/>
      <c r="L50" s="87"/>
      <c r="M50" s="87"/>
      <c r="N50" s="87"/>
      <c r="O50" s="87"/>
      <c r="P50" s="88"/>
    </row>
    <row r="51" spans="1:16" ht="39" customHeight="1" thickBot="1" x14ac:dyDescent="0.45">
      <c r="A51" s="424"/>
      <c r="B51" s="425"/>
      <c r="C51" s="151" t="str">
        <f>B7</f>
        <v>リボン・テープ等</v>
      </c>
      <c r="D51" s="89" t="s">
        <v>37</v>
      </c>
      <c r="E51" s="90"/>
      <c r="F51" s="91"/>
      <c r="G51" s="91"/>
      <c r="H51" s="91"/>
      <c r="I51" s="91"/>
      <c r="J51" s="103"/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7" t="s">
        <v>152</v>
      </c>
      <c r="F52" s="104" t="s">
        <v>152</v>
      </c>
      <c r="G52" s="74" t="s">
        <v>153</v>
      </c>
      <c r="H52" s="74" t="s">
        <v>154</v>
      </c>
      <c r="I52" s="74" t="s">
        <v>155</v>
      </c>
      <c r="J52" s="95" t="s">
        <v>156</v>
      </c>
      <c r="K52" s="93"/>
      <c r="L52" s="74" t="s">
        <v>157</v>
      </c>
      <c r="M52" s="74"/>
      <c r="N52" s="74" t="s">
        <v>158</v>
      </c>
      <c r="O52" s="74" t="s">
        <v>159</v>
      </c>
      <c r="P52" s="74" t="s">
        <v>160</v>
      </c>
    </row>
    <row r="53" spans="1:16" ht="39" customHeight="1" x14ac:dyDescent="0.4">
      <c r="A53" s="424"/>
      <c r="B53" s="425"/>
      <c r="C53" s="484" t="str">
        <f>A17</f>
        <v>米国(LA)
アパレル</v>
      </c>
      <c r="D53" s="81" t="s">
        <v>38</v>
      </c>
      <c r="E53" s="82"/>
      <c r="F53" s="83"/>
      <c r="G53" s="83" t="s">
        <v>161</v>
      </c>
      <c r="H53" s="83" t="s">
        <v>162</v>
      </c>
      <c r="I53" s="83"/>
      <c r="J53" s="105" t="s">
        <v>162</v>
      </c>
      <c r="K53" s="100" t="s">
        <v>163</v>
      </c>
      <c r="L53" s="83" t="s">
        <v>162</v>
      </c>
      <c r="M53" s="101" t="s">
        <v>164</v>
      </c>
      <c r="N53" s="83" t="s">
        <v>162</v>
      </c>
      <c r="O53" s="101" t="s">
        <v>165</v>
      </c>
      <c r="P53" s="83" t="s">
        <v>162</v>
      </c>
    </row>
    <row r="54" spans="1:16" ht="39" customHeight="1" x14ac:dyDescent="0.4">
      <c r="A54" s="424"/>
      <c r="B54" s="425"/>
      <c r="C54" s="485"/>
      <c r="D54" s="85" t="s">
        <v>36</v>
      </c>
      <c r="E54" s="86"/>
      <c r="F54" s="87"/>
      <c r="G54" s="87"/>
      <c r="H54" s="87"/>
      <c r="I54" s="87"/>
      <c r="J54" s="102"/>
      <c r="K54" s="86"/>
      <c r="L54" s="87"/>
      <c r="M54" s="87"/>
      <c r="N54" s="87"/>
      <c r="O54" s="87"/>
      <c r="P54" s="88"/>
    </row>
    <row r="55" spans="1:16" ht="39" customHeight="1" thickBot="1" x14ac:dyDescent="0.45">
      <c r="A55" s="424"/>
      <c r="B55" s="425"/>
      <c r="C55" s="151" t="str">
        <f>B17</f>
        <v>リボン・テープ等</v>
      </c>
      <c r="D55" s="89" t="s">
        <v>37</v>
      </c>
      <c r="E55" s="90"/>
      <c r="F55" s="91"/>
      <c r="G55" s="91"/>
      <c r="H55" s="91"/>
      <c r="I55" s="91"/>
      <c r="J55" s="103"/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97" t="s">
        <v>166</v>
      </c>
      <c r="F56" s="104" t="s">
        <v>152</v>
      </c>
      <c r="G56" s="74" t="s">
        <v>153</v>
      </c>
      <c r="H56" s="74" t="s">
        <v>154</v>
      </c>
      <c r="I56" s="74"/>
      <c r="J56" s="95" t="s">
        <v>167</v>
      </c>
      <c r="K56" s="93"/>
      <c r="L56" s="74" t="s">
        <v>157</v>
      </c>
      <c r="M56" s="74"/>
      <c r="N56" s="74" t="s">
        <v>158</v>
      </c>
      <c r="O56" s="74"/>
      <c r="P56" s="74" t="s">
        <v>160</v>
      </c>
    </row>
    <row r="57" spans="1:16" ht="39" customHeight="1" x14ac:dyDescent="0.4">
      <c r="A57" s="424"/>
      <c r="B57" s="425"/>
      <c r="C57" s="484" t="str">
        <f>A27</f>
        <v>欧州
アパレル</v>
      </c>
      <c r="D57" s="81" t="s">
        <v>38</v>
      </c>
      <c r="E57" s="82"/>
      <c r="F57" s="83"/>
      <c r="G57" s="83" t="s">
        <v>161</v>
      </c>
      <c r="H57" s="83" t="s">
        <v>162</v>
      </c>
      <c r="I57" s="83"/>
      <c r="J57" s="105" t="s">
        <v>162</v>
      </c>
      <c r="K57" s="100" t="s">
        <v>168</v>
      </c>
      <c r="L57" s="83" t="s">
        <v>162</v>
      </c>
      <c r="M57" s="101" t="s">
        <v>169</v>
      </c>
      <c r="N57" s="83" t="s">
        <v>162</v>
      </c>
      <c r="O57" s="101" t="s">
        <v>170</v>
      </c>
      <c r="P57" s="83" t="s">
        <v>162</v>
      </c>
    </row>
    <row r="58" spans="1:16" ht="39" customHeight="1" x14ac:dyDescent="0.4">
      <c r="A58" s="424"/>
      <c r="B58" s="425"/>
      <c r="C58" s="485"/>
      <c r="D58" s="85" t="s">
        <v>36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 x14ac:dyDescent="0.45">
      <c r="A59" s="426"/>
      <c r="B59" s="427"/>
      <c r="C59" s="151" t="str">
        <f>B27</f>
        <v>リボン・テープ等</v>
      </c>
      <c r="D59" s="89" t="s">
        <v>37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BAAF-25FA-42C6-8642-723B12C66334}">
  <sheetPr codeName="Sheet12">
    <tabColor theme="3" tint="0.89999084444715716"/>
  </sheetPr>
  <dimension ref="A1:R400"/>
  <sheetViews>
    <sheetView workbookViewId="0">
      <selection activeCell="E14" sqref="E14:P14"/>
    </sheetView>
  </sheetViews>
  <sheetFormatPr defaultColWidth="9" defaultRowHeight="18.75" x14ac:dyDescent="0.4"/>
  <cols>
    <col min="1" max="2" width="15.875" style="162" customWidth="1"/>
    <col min="3" max="4" width="15.875" style="160" customWidth="1"/>
    <col min="5" max="5" width="9" style="208"/>
    <col min="6" max="6" width="15.625" style="160" customWidth="1"/>
    <col min="7" max="7" width="15.625" style="161" customWidth="1"/>
    <col min="8" max="8" width="9" style="162"/>
    <col min="9" max="9" width="5.25" style="168" bestFit="1" customWidth="1"/>
    <col min="10" max="10" width="14.5" style="164" customWidth="1"/>
    <col min="11" max="11" width="14.5" style="165" customWidth="1"/>
    <col min="12" max="12" width="5.25" style="165" bestFit="1" customWidth="1"/>
    <col min="13" max="15" width="14.5" style="165" customWidth="1"/>
    <col min="16" max="16" width="7.125" style="167" bestFit="1" customWidth="1"/>
    <col min="17" max="19" width="15.625" style="162" customWidth="1"/>
    <col min="20" max="16384" width="9" style="162"/>
  </cols>
  <sheetData>
    <row r="1" spans="1:18" ht="18.75" customHeight="1" x14ac:dyDescent="0.4">
      <c r="A1" s="492" t="s">
        <v>218</v>
      </c>
      <c r="B1" s="492"/>
      <c r="C1" s="492"/>
      <c r="D1" s="492"/>
      <c r="E1" s="492"/>
      <c r="I1" s="163" t="s">
        <v>219</v>
      </c>
      <c r="M1" s="163"/>
      <c r="N1" s="166"/>
      <c r="O1" s="166"/>
    </row>
    <row r="2" spans="1:18" ht="18.75" customHeight="1" x14ac:dyDescent="0.4">
      <c r="A2" s="492"/>
      <c r="B2" s="492"/>
      <c r="C2" s="492"/>
      <c r="D2" s="492"/>
      <c r="E2" s="492"/>
      <c r="J2" s="169" t="s">
        <v>220</v>
      </c>
      <c r="K2" s="169" t="s">
        <v>221</v>
      </c>
      <c r="L2" s="166"/>
      <c r="M2" s="170" t="s">
        <v>222</v>
      </c>
      <c r="N2" s="170" t="s">
        <v>223</v>
      </c>
      <c r="O2" s="170" t="s">
        <v>224</v>
      </c>
      <c r="P2" s="171" t="s">
        <v>225</v>
      </c>
    </row>
    <row r="3" spans="1:18" ht="18.75" customHeight="1" x14ac:dyDescent="0.4">
      <c r="A3" s="172" t="s">
        <v>226</v>
      </c>
      <c r="B3" s="173"/>
      <c r="C3" s="173"/>
      <c r="D3" s="173"/>
      <c r="E3" s="173"/>
      <c r="F3" s="174"/>
      <c r="G3" s="175"/>
      <c r="H3" s="175"/>
      <c r="I3" s="176"/>
      <c r="J3" s="169">
        <v>0.5</v>
      </c>
      <c r="K3" s="169">
        <v>-0.5</v>
      </c>
      <c r="L3" s="177"/>
      <c r="M3" s="178" t="str">
        <f>千葉!A7</f>
        <v>米国(NY)
アパレル</v>
      </c>
      <c r="N3" s="179" t="str">
        <f>千葉!A17</f>
        <v>米国(LA)
アパレル</v>
      </c>
      <c r="O3" s="179" t="str">
        <f>千葉!A27</f>
        <v>欧州
アパレル</v>
      </c>
      <c r="P3" s="171">
        <v>0.6</v>
      </c>
    </row>
    <row r="4" spans="1:18" x14ac:dyDescent="0.4">
      <c r="A4" s="180" t="s">
        <v>227</v>
      </c>
      <c r="B4" s="162" t="s">
        <v>228</v>
      </c>
      <c r="C4" s="181" t="s">
        <v>227</v>
      </c>
      <c r="D4" s="182" t="s">
        <v>227</v>
      </c>
      <c r="E4" s="183" t="s">
        <v>227</v>
      </c>
      <c r="F4" s="181" t="s">
        <v>227</v>
      </c>
      <c r="G4" s="184" t="s">
        <v>227</v>
      </c>
      <c r="H4" s="183" t="s">
        <v>227</v>
      </c>
      <c r="I4" s="185"/>
      <c r="J4" s="186" t="s">
        <v>230</v>
      </c>
      <c r="K4" s="187"/>
      <c r="L4" s="188"/>
      <c r="M4" s="186" t="s">
        <v>229</v>
      </c>
      <c r="N4" s="187"/>
      <c r="O4" s="185"/>
      <c r="P4" s="187"/>
    </row>
    <row r="5" spans="1:18" x14ac:dyDescent="0.4">
      <c r="A5" s="175" t="s">
        <v>231</v>
      </c>
      <c r="B5" s="175" t="s">
        <v>232</v>
      </c>
      <c r="C5" s="189" t="s">
        <v>233</v>
      </c>
      <c r="D5" s="174" t="s">
        <v>234</v>
      </c>
      <c r="E5" s="190" t="s">
        <v>235</v>
      </c>
      <c r="F5" s="189" t="s">
        <v>236</v>
      </c>
      <c r="G5" s="191" t="s">
        <v>237</v>
      </c>
      <c r="H5" s="192" t="s">
        <v>238</v>
      </c>
      <c r="I5" s="193" t="s">
        <v>239</v>
      </c>
      <c r="J5" s="194" t="s">
        <v>240</v>
      </c>
      <c r="K5" s="195" t="s">
        <v>241</v>
      </c>
      <c r="L5" s="196" t="s">
        <v>239</v>
      </c>
      <c r="M5" s="197" t="s">
        <v>242</v>
      </c>
      <c r="N5" s="195" t="s">
        <v>243</v>
      </c>
      <c r="O5" s="196" t="s">
        <v>244</v>
      </c>
      <c r="P5" s="198" t="s">
        <v>245</v>
      </c>
    </row>
    <row r="6" spans="1:18" x14ac:dyDescent="0.4">
      <c r="A6" s="162" t="s">
        <v>313</v>
      </c>
      <c r="B6" s="162" t="s">
        <v>315</v>
      </c>
      <c r="C6" s="199">
        <v>4735</v>
      </c>
      <c r="D6" s="200">
        <v>0</v>
      </c>
      <c r="E6" s="201" t="s">
        <v>247</v>
      </c>
      <c r="F6" s="199">
        <v>65.569999999999993</v>
      </c>
      <c r="G6" s="161">
        <v>45447</v>
      </c>
      <c r="H6" s="202" t="s">
        <v>246</v>
      </c>
      <c r="I6" s="185">
        <f>IF(H6="","",IF(H6="JPY","",IF($H6="USD",4, IF(H6="EUR",7,IF(H6="CNY",47,IF(H6="HKD",34))))))</f>
        <v>4</v>
      </c>
      <c r="J6" s="203">
        <f>IF($H6="USD",IF(OR($I6="",$I6="-"),"",VLOOKUP($G6,為替!$A:$AX,$I6,FALSE))+$J$3,IF(OR($I6="",$I6="-"),"",VLOOKUP($G6,為替!$A:$AX,$I6,FALSE)))</f>
        <v>155.97</v>
      </c>
      <c r="K6" s="204">
        <f>IF($H6="JPY",$F6,IF($H6="","",$F6*$J6))</f>
        <v>10226.952899999998</v>
      </c>
      <c r="L6" s="188">
        <f>IF(H6="","",IF(H6="JPY","",IF($H6="USD",3, IF(H6="EUR",6,IF(H6="CNY",46,IF(H6="HKD",33))))))</f>
        <v>3</v>
      </c>
      <c r="M6" s="203">
        <f>IF($H6="USD",IF(OR($L6="",$L6="-"),"",VLOOKUP($G6,為替!$A:$AX,$L6,FALSE))+$K$3,IF(OR($L6="",$L6="-"),"",VLOOKUP($G6,為替!$A:$AX,$L6,FALSE)))</f>
        <v>156.97</v>
      </c>
      <c r="N6" s="204">
        <f>IF($E6="JPY",($C6+$D6),IF($E6="","",($C6+$D6)*$M6))</f>
        <v>4735</v>
      </c>
      <c r="O6" s="205">
        <f t="shared" ref="O6" si="0">IF(OR(K6="",N6=""),"",K6-N6)</f>
        <v>5491.9528999999984</v>
      </c>
      <c r="P6" s="206">
        <f>IF(OR(K6="",O6=""),"",O6/K6)</f>
        <v>0.53700774352837777</v>
      </c>
    </row>
    <row r="7" spans="1:18" x14ac:dyDescent="0.4">
      <c r="A7" s="162" t="s">
        <v>314</v>
      </c>
      <c r="B7" s="162" t="s">
        <v>316</v>
      </c>
      <c r="C7" s="199">
        <v>2420</v>
      </c>
      <c r="D7" s="200">
        <v>0</v>
      </c>
      <c r="E7" s="201" t="s">
        <v>247</v>
      </c>
      <c r="F7" s="199">
        <v>37.450000000000003</v>
      </c>
      <c r="G7" s="161">
        <v>45447</v>
      </c>
      <c r="H7" s="202" t="s">
        <v>246</v>
      </c>
      <c r="I7" s="185">
        <f t="shared" ref="I7:I70" si="1">IF(H7="","",IF(H7="JPY","",IF($H7="USD",4, IF(H7="EUR",7,IF(H7="CNY",47,IF(H7="HKD",34))))))</f>
        <v>4</v>
      </c>
      <c r="J7" s="203">
        <f>IF($H7="USD",IF(OR($I7="",$I7="-"),"",VLOOKUP($G7,為替!$A:$AX,$I7,FALSE))+$J$3,IF(OR($I7="",$I7="-"),"",VLOOKUP($G7,為替!$A:$AX,$I7,FALSE)))</f>
        <v>155.97</v>
      </c>
      <c r="K7" s="204">
        <f t="shared" ref="K7:K70" si="2">IF($H7="JPY",$F7,IF($H7="","",$F7*$J7))</f>
        <v>5841.0765000000001</v>
      </c>
      <c r="L7" s="188">
        <f t="shared" ref="L7:L17" si="3">IF(H7="","",IF(H7="JPY","",IF($H7="USD",3, IF(H7="EUR",6,IF(H7="CNY",46,IF(H7="HKD",33))))))</f>
        <v>3</v>
      </c>
      <c r="M7" s="203">
        <f>IF($H7="USD",IF(OR($L7="",$L7="-"),"",VLOOKUP($G7,為替!$A:$AX,$L7,FALSE))+$K$3,IF(OR($L7="",$L7="-"),"",VLOOKUP($G7,為替!$A:$AX,$L7,FALSE)))</f>
        <v>156.97</v>
      </c>
      <c r="N7" s="204">
        <f t="shared" ref="N7:N70" si="4">IF($E7="JPY",($C7+$D7),IF($E7="","",($C7+$D7)*$M7))</f>
        <v>2420</v>
      </c>
      <c r="O7" s="205">
        <f t="shared" ref="O7:O17" si="5">IF(OR(K7="",N7=""),"",K7-N7)</f>
        <v>3421.0765000000001</v>
      </c>
      <c r="P7" s="206">
        <f t="shared" ref="P7:P17" si="6">IF(OR(K7="",O7=""),"",O7/K7)</f>
        <v>0.58569280850884253</v>
      </c>
      <c r="R7" s="207"/>
    </row>
    <row r="8" spans="1:18" x14ac:dyDescent="0.4">
      <c r="A8" s="162" t="s">
        <v>313</v>
      </c>
      <c r="B8" s="162" t="s">
        <v>317</v>
      </c>
      <c r="C8" s="199">
        <v>38851</v>
      </c>
      <c r="D8" s="200">
        <v>5447</v>
      </c>
      <c r="E8" s="201" t="s">
        <v>247</v>
      </c>
      <c r="F8" s="199">
        <v>669.74</v>
      </c>
      <c r="G8" s="161">
        <v>45450</v>
      </c>
      <c r="H8" s="202" t="s">
        <v>246</v>
      </c>
      <c r="I8" s="185">
        <f t="shared" si="1"/>
        <v>4</v>
      </c>
      <c r="J8" s="203">
        <f>IF($H8="USD",IF(OR($I8="",$I8="-"),"",VLOOKUP($G8,為替!$A:$AX,$I8,FALSE))+$J$3,IF(OR($I8="",$I8="-"),"",VLOOKUP($G8,為替!$A:$AX,$I8,FALSE)))</f>
        <v>155.31</v>
      </c>
      <c r="K8" s="204">
        <f t="shared" si="2"/>
        <v>104017.31940000001</v>
      </c>
      <c r="L8" s="188">
        <f t="shared" si="3"/>
        <v>3</v>
      </c>
      <c r="M8" s="203">
        <f>IF($H8="USD",IF(OR($L8="",$L8="-"),"",VLOOKUP($G8,為替!$A:$AX,$L8,FALSE))+$K$3,IF(OR($L8="",$L8="-"),"",VLOOKUP($G8,為替!$A:$AX,$L8,FALSE)))</f>
        <v>156.31</v>
      </c>
      <c r="N8" s="204">
        <f t="shared" si="4"/>
        <v>44298</v>
      </c>
      <c r="O8" s="205">
        <f t="shared" si="5"/>
        <v>59719.319400000008</v>
      </c>
      <c r="P8" s="206">
        <f t="shared" si="6"/>
        <v>0.57412861381621039</v>
      </c>
    </row>
    <row r="9" spans="1:18" x14ac:dyDescent="0.4">
      <c r="A9" s="162" t="s">
        <v>313</v>
      </c>
      <c r="B9" s="162" t="s">
        <v>318</v>
      </c>
      <c r="C9" s="199">
        <v>12080</v>
      </c>
      <c r="D9" s="200">
        <v>0</v>
      </c>
      <c r="E9" s="201" t="s">
        <v>247</v>
      </c>
      <c r="F9" s="199">
        <v>114.68</v>
      </c>
      <c r="G9" s="161">
        <v>45450</v>
      </c>
      <c r="H9" s="202" t="s">
        <v>246</v>
      </c>
      <c r="I9" s="185">
        <f t="shared" si="1"/>
        <v>4</v>
      </c>
      <c r="J9" s="203">
        <f>IF($H9="USD",IF(OR($I9="",$I9="-"),"",VLOOKUP($G9,為替!$A:$AX,$I9,FALSE))+$J$3,IF(OR($I9="",$I9="-"),"",VLOOKUP($G9,為替!$A:$AX,$I9,FALSE)))</f>
        <v>155.31</v>
      </c>
      <c r="K9" s="204">
        <f t="shared" si="2"/>
        <v>17810.950800000002</v>
      </c>
      <c r="L9" s="188">
        <f t="shared" si="3"/>
        <v>3</v>
      </c>
      <c r="M9" s="203">
        <f>IF($H9="USD",IF(OR($L9="",$L9="-"),"",VLOOKUP($G9,為替!$A:$AX,$L9,FALSE))+$K$3,IF(OR($L9="",$L9="-"),"",VLOOKUP($G9,為替!$A:$AX,$L9,FALSE)))</f>
        <v>156.31</v>
      </c>
      <c r="N9" s="204">
        <f t="shared" si="4"/>
        <v>12080</v>
      </c>
      <c r="O9" s="205">
        <f t="shared" si="5"/>
        <v>5730.9508000000023</v>
      </c>
      <c r="P9" s="206">
        <f t="shared" si="6"/>
        <v>0.32176557357061486</v>
      </c>
    </row>
    <row r="10" spans="1:18" x14ac:dyDescent="0.4">
      <c r="A10" s="162" t="s">
        <v>314</v>
      </c>
      <c r="B10" s="162" t="s">
        <v>319</v>
      </c>
      <c r="C10" s="199">
        <v>41464</v>
      </c>
      <c r="D10" s="200">
        <v>0</v>
      </c>
      <c r="E10" s="201" t="s">
        <v>247</v>
      </c>
      <c r="F10" s="199">
        <v>413.03</v>
      </c>
      <c r="G10" s="161">
        <v>45450</v>
      </c>
      <c r="H10" s="202" t="s">
        <v>246</v>
      </c>
      <c r="I10" s="185">
        <f t="shared" si="1"/>
        <v>4</v>
      </c>
      <c r="J10" s="203">
        <f>IF($H10="USD",IF(OR($I10="",$I10="-"),"",VLOOKUP($G10,為替!$A:$AX,$I10,FALSE))+$J$3,IF(OR($I10="",$I10="-"),"",VLOOKUP($G10,為替!$A:$AX,$I10,FALSE)))</f>
        <v>155.31</v>
      </c>
      <c r="K10" s="204">
        <f t="shared" si="2"/>
        <v>64147.689299999998</v>
      </c>
      <c r="L10" s="188">
        <f t="shared" si="3"/>
        <v>3</v>
      </c>
      <c r="M10" s="203">
        <f>IF($H10="USD",IF(OR($L10="",$L10="-"),"",VLOOKUP($G10,為替!$A:$AX,$L10,FALSE))+$K$3,IF(OR($L10="",$L10="-"),"",VLOOKUP($G10,為替!$A:$AX,$L10,FALSE)))</f>
        <v>156.31</v>
      </c>
      <c r="N10" s="204">
        <f t="shared" si="4"/>
        <v>41464</v>
      </c>
      <c r="O10" s="205">
        <f t="shared" si="5"/>
        <v>22683.689299999998</v>
      </c>
      <c r="P10" s="206">
        <f t="shared" si="6"/>
        <v>0.35361662356869961</v>
      </c>
    </row>
    <row r="11" spans="1:18" x14ac:dyDescent="0.4">
      <c r="A11" s="162" t="s">
        <v>314</v>
      </c>
      <c r="B11" s="162" t="s">
        <v>320</v>
      </c>
      <c r="C11" s="199">
        <v>208</v>
      </c>
      <c r="D11" s="200">
        <v>1198</v>
      </c>
      <c r="E11" s="201" t="s">
        <v>247</v>
      </c>
      <c r="F11" s="199">
        <v>24.490000000000002</v>
      </c>
      <c r="G11" s="161">
        <v>45453</v>
      </c>
      <c r="H11" s="202" t="s">
        <v>246</v>
      </c>
      <c r="I11" s="185">
        <f t="shared" si="1"/>
        <v>4</v>
      </c>
      <c r="J11" s="203">
        <f>IF($H11="USD",IF(OR($I11="",$I11="-"),"",VLOOKUP($G11,為替!$A:$AX,$I11,FALSE))+$J$3,IF(OR($I11="",$I11="-"),"",VLOOKUP($G11,為替!$A:$AX,$I11,FALSE)))</f>
        <v>156.51</v>
      </c>
      <c r="K11" s="204">
        <f t="shared" si="2"/>
        <v>3832.9299000000001</v>
      </c>
      <c r="L11" s="188">
        <f t="shared" si="3"/>
        <v>3</v>
      </c>
      <c r="M11" s="203">
        <f>IF($H11="USD",IF(OR($L11="",$L11="-"),"",VLOOKUP($G11,為替!$A:$AX,$L11,FALSE))+$K$3,IF(OR($L11="",$L11="-"),"",VLOOKUP($G11,為替!$A:$AX,$L11,FALSE)))</f>
        <v>157.51</v>
      </c>
      <c r="N11" s="204">
        <f t="shared" si="4"/>
        <v>1406</v>
      </c>
      <c r="O11" s="205">
        <f t="shared" si="5"/>
        <v>2426.9299000000001</v>
      </c>
      <c r="P11" s="206">
        <f t="shared" si="6"/>
        <v>0.63317878576386177</v>
      </c>
    </row>
    <row r="12" spans="1:18" x14ac:dyDescent="0.4">
      <c r="A12" s="162" t="s">
        <v>314</v>
      </c>
      <c r="B12" s="162" t="s">
        <v>321</v>
      </c>
      <c r="C12" s="199">
        <v>25195</v>
      </c>
      <c r="D12" s="200">
        <v>8649</v>
      </c>
      <c r="E12" s="201" t="s">
        <v>247</v>
      </c>
      <c r="F12" s="199">
        <v>373.15</v>
      </c>
      <c r="G12" s="161">
        <v>45453</v>
      </c>
      <c r="H12" s="202" t="s">
        <v>246</v>
      </c>
      <c r="I12" s="185">
        <f t="shared" si="1"/>
        <v>4</v>
      </c>
      <c r="J12" s="203">
        <f>IF($H12="USD",IF(OR($I12="",$I12="-"),"",VLOOKUP($G12,為替!$A:$AX,$I12,FALSE))+$J$3,IF(OR($I12="",$I12="-"),"",VLOOKUP($G12,為替!$A:$AX,$I12,FALSE)))</f>
        <v>156.51</v>
      </c>
      <c r="K12" s="204">
        <f t="shared" si="2"/>
        <v>58401.706499999993</v>
      </c>
      <c r="L12" s="188">
        <f t="shared" si="3"/>
        <v>3</v>
      </c>
      <c r="M12" s="203">
        <f>IF($H12="USD",IF(OR($L12="",$L12="-"),"",VLOOKUP($G12,為替!$A:$AX,$L12,FALSE))+$K$3,IF(OR($L12="",$L12="-"),"",VLOOKUP($G12,為替!$A:$AX,$L12,FALSE)))</f>
        <v>157.51</v>
      </c>
      <c r="N12" s="204">
        <f t="shared" si="4"/>
        <v>33844</v>
      </c>
      <c r="O12" s="205">
        <f t="shared" si="5"/>
        <v>24557.706499999993</v>
      </c>
      <c r="P12" s="206">
        <f t="shared" si="6"/>
        <v>0.42049638566640163</v>
      </c>
    </row>
    <row r="13" spans="1:18" x14ac:dyDescent="0.4">
      <c r="A13" s="162" t="s">
        <v>314</v>
      </c>
      <c r="B13" s="162" t="s">
        <v>322</v>
      </c>
      <c r="C13" s="199">
        <v>22200</v>
      </c>
      <c r="D13" s="200">
        <v>0</v>
      </c>
      <c r="E13" s="201" t="s">
        <v>247</v>
      </c>
      <c r="F13" s="199">
        <v>213.8</v>
      </c>
      <c r="G13" s="161">
        <v>45453</v>
      </c>
      <c r="H13" s="202" t="s">
        <v>246</v>
      </c>
      <c r="I13" s="185">
        <f t="shared" si="1"/>
        <v>4</v>
      </c>
      <c r="J13" s="203">
        <f>IF($H13="USD",IF(OR($I13="",$I13="-"),"",VLOOKUP($G13,為替!$A:$AX,$I13,FALSE))+$J$3,IF(OR($I13="",$I13="-"),"",VLOOKUP($G13,為替!$A:$AX,$I13,FALSE)))</f>
        <v>156.51</v>
      </c>
      <c r="K13" s="204">
        <f t="shared" si="2"/>
        <v>33461.838000000003</v>
      </c>
      <c r="L13" s="188">
        <f t="shared" si="3"/>
        <v>3</v>
      </c>
      <c r="M13" s="203">
        <f>IF($H13="USD",IF(OR($L13="",$L13="-"),"",VLOOKUP($G13,為替!$A:$AX,$L13,FALSE))+$K$3,IF(OR($L13="",$L13="-"),"",VLOOKUP($G13,為替!$A:$AX,$L13,FALSE)))</f>
        <v>157.51</v>
      </c>
      <c r="N13" s="204">
        <f t="shared" si="4"/>
        <v>22200</v>
      </c>
      <c r="O13" s="205">
        <f t="shared" si="5"/>
        <v>11261.838000000003</v>
      </c>
      <c r="P13" s="206">
        <f t="shared" si="6"/>
        <v>0.33655766309071256</v>
      </c>
    </row>
    <row r="14" spans="1:18" x14ac:dyDescent="0.4">
      <c r="A14" s="162" t="s">
        <v>314</v>
      </c>
      <c r="B14" s="162" t="s">
        <v>323</v>
      </c>
      <c r="C14" s="199">
        <v>141750</v>
      </c>
      <c r="D14" s="200">
        <v>9769</v>
      </c>
      <c r="E14" s="201" t="s">
        <v>247</v>
      </c>
      <c r="F14" s="199">
        <v>1813</v>
      </c>
      <c r="G14" s="161">
        <v>45453</v>
      </c>
      <c r="H14" s="202" t="s">
        <v>246</v>
      </c>
      <c r="I14" s="185">
        <f t="shared" si="1"/>
        <v>4</v>
      </c>
      <c r="J14" s="203">
        <f>IF($H14="USD",IF(OR($I14="",$I14="-"),"",VLOOKUP($G14,為替!$A:$AX,$I14,FALSE))+$J$3,IF(OR($I14="",$I14="-"),"",VLOOKUP($G14,為替!$A:$AX,$I14,FALSE)))</f>
        <v>156.51</v>
      </c>
      <c r="K14" s="204">
        <f t="shared" si="2"/>
        <v>283752.63</v>
      </c>
      <c r="L14" s="188">
        <f t="shared" si="3"/>
        <v>3</v>
      </c>
      <c r="M14" s="203">
        <f>IF($H14="USD",IF(OR($L14="",$L14="-"),"",VLOOKUP($G14,為替!$A:$AX,$L14,FALSE))+$K$3,IF(OR($L14="",$L14="-"),"",VLOOKUP($G14,為替!$A:$AX,$L14,FALSE)))</f>
        <v>157.51</v>
      </c>
      <c r="N14" s="204">
        <f t="shared" si="4"/>
        <v>151519</v>
      </c>
      <c r="O14" s="205">
        <f t="shared" si="5"/>
        <v>132233.63</v>
      </c>
      <c r="P14" s="206">
        <f t="shared" si="6"/>
        <v>0.46601728413935761</v>
      </c>
    </row>
    <row r="15" spans="1:18" x14ac:dyDescent="0.4">
      <c r="A15" s="162" t="s">
        <v>313</v>
      </c>
      <c r="B15" s="162" t="s">
        <v>324</v>
      </c>
      <c r="C15" s="199">
        <v>2700</v>
      </c>
      <c r="D15" s="200">
        <v>0</v>
      </c>
      <c r="E15" s="201" t="s">
        <v>247</v>
      </c>
      <c r="F15" s="199">
        <v>40</v>
      </c>
      <c r="G15" s="161">
        <v>45454</v>
      </c>
      <c r="H15" s="202" t="s">
        <v>246</v>
      </c>
      <c r="I15" s="185">
        <f t="shared" si="1"/>
        <v>4</v>
      </c>
      <c r="J15" s="203">
        <f>IF($H15="USD",IF(OR($I15="",$I15="-"),"",VLOOKUP($G15,為替!$A:$AX,$I15,FALSE))+$J$3,IF(OR($I15="",$I15="-"),"",VLOOKUP($G15,為替!$A:$AX,$I15,FALSE)))</f>
        <v>156.83000000000001</v>
      </c>
      <c r="K15" s="204">
        <f t="shared" si="2"/>
        <v>6273.2000000000007</v>
      </c>
      <c r="L15" s="188">
        <f t="shared" si="3"/>
        <v>3</v>
      </c>
      <c r="M15" s="203">
        <f>IF($H15="USD",IF(OR($L15="",$L15="-"),"",VLOOKUP($G15,為替!$A:$AX,$L15,FALSE))+$K$3,IF(OR($L15="",$L15="-"),"",VLOOKUP($G15,為替!$A:$AX,$L15,FALSE)))</f>
        <v>157.83000000000001</v>
      </c>
      <c r="N15" s="204">
        <f t="shared" si="4"/>
        <v>2700</v>
      </c>
      <c r="O15" s="205">
        <f t="shared" si="5"/>
        <v>3573.2000000000007</v>
      </c>
      <c r="P15" s="206">
        <f t="shared" si="6"/>
        <v>0.56959765351017033</v>
      </c>
    </row>
    <row r="16" spans="1:18" x14ac:dyDescent="0.4">
      <c r="A16" s="162" t="s">
        <v>314</v>
      </c>
      <c r="B16" s="162" t="s">
        <v>325</v>
      </c>
      <c r="C16" s="199">
        <v>16512</v>
      </c>
      <c r="D16" s="200">
        <v>4583</v>
      </c>
      <c r="E16" s="201" t="s">
        <v>247</v>
      </c>
      <c r="F16" s="199">
        <v>250.4</v>
      </c>
      <c r="G16" s="161">
        <v>45462</v>
      </c>
      <c r="H16" s="202" t="s">
        <v>246</v>
      </c>
      <c r="I16" s="185">
        <f t="shared" si="1"/>
        <v>4</v>
      </c>
      <c r="J16" s="203">
        <f>IF($H16="USD",IF(OR($I16="",$I16="-"),"",VLOOKUP($G16,為替!$A:$AX,$I16,FALSE))+$J$3,IF(OR($I16="",$I16="-"),"",VLOOKUP($G16,為替!$A:$AX,$I16,FALSE)))</f>
        <v>157.46</v>
      </c>
      <c r="K16" s="204">
        <f t="shared" si="2"/>
        <v>39427.984000000004</v>
      </c>
      <c r="L16" s="188">
        <f t="shared" si="3"/>
        <v>3</v>
      </c>
      <c r="M16" s="203">
        <f>IF($H16="USD",IF(OR($L16="",$L16="-"),"",VLOOKUP($G16,為替!$A:$AX,$L16,FALSE))+$K$3,IF(OR($L16="",$L16="-"),"",VLOOKUP($G16,為替!$A:$AX,$L16,FALSE)))</f>
        <v>158.46</v>
      </c>
      <c r="N16" s="204">
        <f t="shared" si="4"/>
        <v>21095</v>
      </c>
      <c r="O16" s="205">
        <f t="shared" si="5"/>
        <v>18332.984000000004</v>
      </c>
      <c r="P16" s="206">
        <f t="shared" si="6"/>
        <v>0.46497391294467405</v>
      </c>
    </row>
    <row r="17" spans="1:16" x14ac:dyDescent="0.4">
      <c r="A17" s="162" t="s">
        <v>314</v>
      </c>
      <c r="B17" s="162" t="s">
        <v>326</v>
      </c>
      <c r="C17" s="199">
        <v>50880</v>
      </c>
      <c r="D17" s="200">
        <v>11217</v>
      </c>
      <c r="E17" s="201" t="s">
        <v>247</v>
      </c>
      <c r="F17" s="199">
        <v>715.6</v>
      </c>
      <c r="G17" s="161">
        <v>45467</v>
      </c>
      <c r="H17" s="202" t="s">
        <v>246</v>
      </c>
      <c r="I17" s="185">
        <f t="shared" si="1"/>
        <v>4</v>
      </c>
      <c r="J17" s="203">
        <f>IF($H17="USD",IF(OR($I17="",$I17="-"),"",VLOOKUP($G17,為替!$A:$AX,$I17,FALSE))+$J$3,IF(OR($I17="",$I17="-"),"",VLOOKUP($G17,為替!$A:$AX,$I17,FALSE)))</f>
        <v>159.38</v>
      </c>
      <c r="K17" s="204">
        <f t="shared" si="2"/>
        <v>114052.32799999999</v>
      </c>
      <c r="L17" s="188">
        <f t="shared" si="3"/>
        <v>3</v>
      </c>
      <c r="M17" s="203">
        <f>IF($H17="USD",IF(OR($L17="",$L17="-"),"",VLOOKUP($G17,為替!$A:$AX,$L17,FALSE))+$K$3,IF(OR($L17="",$L17="-"),"",VLOOKUP($G17,為替!$A:$AX,$L17,FALSE)))</f>
        <v>160.38</v>
      </c>
      <c r="N17" s="204">
        <f t="shared" si="4"/>
        <v>62097</v>
      </c>
      <c r="O17" s="205">
        <f t="shared" si="5"/>
        <v>51955.327999999994</v>
      </c>
      <c r="P17" s="206">
        <f t="shared" si="6"/>
        <v>0.45553939065583998</v>
      </c>
    </row>
    <row r="18" spans="1:16" x14ac:dyDescent="0.4">
      <c r="A18" s="162" t="s">
        <v>314</v>
      </c>
      <c r="B18" s="162" t="s">
        <v>327</v>
      </c>
      <c r="C18" s="199">
        <v>39540</v>
      </c>
      <c r="D18" s="200">
        <v>5418</v>
      </c>
      <c r="E18" s="201" t="s">
        <v>247</v>
      </c>
      <c r="F18" s="199">
        <v>533.6</v>
      </c>
      <c r="G18" s="161">
        <v>45467</v>
      </c>
      <c r="H18" s="202" t="s">
        <v>246</v>
      </c>
      <c r="I18" s="185">
        <f t="shared" si="1"/>
        <v>4</v>
      </c>
      <c r="J18" s="203">
        <f>IF($H18="USD",IF(OR($I18="",$I18="-"),"",VLOOKUP($G18,為替!$A:$AX,$I18,FALSE))+$J$3,IF(OR($I18="",$I18="-"),"",VLOOKUP($G18,為替!$A:$AX,$I18,FALSE)))</f>
        <v>159.38</v>
      </c>
      <c r="K18" s="204">
        <f t="shared" si="2"/>
        <v>85045.168000000005</v>
      </c>
      <c r="L18" s="188">
        <f t="shared" ref="L18:L81" si="7">IF(H18="","",IF(H18="JPY","",IF($H18="USD",3, IF(H18="EUR",6,IF(H18="CNY",46,IF(H18="HKD",33))))))</f>
        <v>3</v>
      </c>
      <c r="M18" s="203">
        <f>IF($H18="USD",IF(OR($L18="",$L18="-"),"",VLOOKUP($G18,為替!$A:$AX,$L18,FALSE))+$K$3,IF(OR($L18="",$L18="-"),"",VLOOKUP($G18,為替!$A:$AX,$L18,FALSE)))</f>
        <v>160.38</v>
      </c>
      <c r="N18" s="204">
        <f t="shared" si="4"/>
        <v>44958</v>
      </c>
      <c r="O18" s="205">
        <f t="shared" ref="O18:O81" si="8">IF(OR(K18="",N18=""),"",K18-N18)</f>
        <v>40087.168000000005</v>
      </c>
      <c r="P18" s="206">
        <f t="shared" ref="P18:P81" si="9">IF(OR(K18="",O18=""),"",O18/K18)</f>
        <v>0.47136326428328063</v>
      </c>
    </row>
    <row r="19" spans="1:16" x14ac:dyDescent="0.4">
      <c r="A19" s="162" t="s">
        <v>313</v>
      </c>
      <c r="B19" s="162" t="s">
        <v>328</v>
      </c>
      <c r="C19" s="199">
        <v>4460</v>
      </c>
      <c r="D19" s="200">
        <v>3950</v>
      </c>
      <c r="E19" s="201" t="s">
        <v>247</v>
      </c>
      <c r="F19" s="199">
        <v>97.67</v>
      </c>
      <c r="G19" s="161">
        <v>45461</v>
      </c>
      <c r="H19" s="202" t="s">
        <v>246</v>
      </c>
      <c r="I19" s="185">
        <f t="shared" si="1"/>
        <v>4</v>
      </c>
      <c r="J19" s="203">
        <f>IF($H19="USD",IF(OR($I19="",$I19="-"),"",VLOOKUP($G19,為替!$A:$AX,$I19,FALSE))+$J$3,IF(OR($I19="",$I19="-"),"",VLOOKUP($G19,為替!$A:$AX,$I19,FALSE)))</f>
        <v>157.24</v>
      </c>
      <c r="K19" s="204">
        <f t="shared" si="2"/>
        <v>15357.630800000001</v>
      </c>
      <c r="L19" s="188">
        <f t="shared" si="7"/>
        <v>3</v>
      </c>
      <c r="M19" s="203">
        <f>IF($H19="USD",IF(OR($L19="",$L19="-"),"",VLOOKUP($G19,為替!$A:$AX,$L19,FALSE))+$K$3,IF(OR($L19="",$L19="-"),"",VLOOKUP($G19,為替!$A:$AX,$L19,FALSE)))</f>
        <v>158.24</v>
      </c>
      <c r="N19" s="204">
        <f t="shared" si="4"/>
        <v>8410</v>
      </c>
      <c r="O19" s="205">
        <f t="shared" si="8"/>
        <v>6947.6308000000008</v>
      </c>
      <c r="P19" s="206">
        <f t="shared" si="9"/>
        <v>0.45238949226465325</v>
      </c>
    </row>
    <row r="20" spans="1:16" x14ac:dyDescent="0.4">
      <c r="A20" s="162" t="s">
        <v>313</v>
      </c>
      <c r="B20" s="162" t="s">
        <v>329</v>
      </c>
      <c r="C20" s="199">
        <v>14925</v>
      </c>
      <c r="D20" s="200">
        <v>0</v>
      </c>
      <c r="E20" s="201" t="s">
        <v>247</v>
      </c>
      <c r="F20" s="199">
        <v>200.25</v>
      </c>
      <c r="G20" s="161">
        <v>45468</v>
      </c>
      <c r="H20" s="202" t="s">
        <v>246</v>
      </c>
      <c r="I20" s="185">
        <f t="shared" si="1"/>
        <v>4</v>
      </c>
      <c r="J20" s="203">
        <f>IF($H20="USD",IF(OR($I20="",$I20="-"),"",VLOOKUP($G20,為替!$A:$AX,$I20,FALSE))+$J$3,IF(OR($I20="",$I20="-"),"",VLOOKUP($G20,為替!$A:$AX,$I20,FALSE)))</f>
        <v>159.06</v>
      </c>
      <c r="K20" s="204">
        <f t="shared" si="2"/>
        <v>31851.764999999999</v>
      </c>
      <c r="L20" s="188">
        <f t="shared" si="7"/>
        <v>3</v>
      </c>
      <c r="M20" s="203">
        <f>IF($H20="USD",IF(OR($L20="",$L20="-"),"",VLOOKUP($G20,為替!$A:$AX,$L20,FALSE))+$K$3,IF(OR($L20="",$L20="-"),"",VLOOKUP($G20,為替!$A:$AX,$L20,FALSE)))</f>
        <v>160.06</v>
      </c>
      <c r="N20" s="204">
        <f t="shared" si="4"/>
        <v>14925</v>
      </c>
      <c r="O20" s="205">
        <f t="shared" si="8"/>
        <v>16926.764999999999</v>
      </c>
      <c r="P20" s="206">
        <f t="shared" si="9"/>
        <v>0.53142314091542497</v>
      </c>
    </row>
    <row r="21" spans="1:16" x14ac:dyDescent="0.4">
      <c r="A21" s="162" t="s">
        <v>313</v>
      </c>
      <c r="B21" s="162" t="s">
        <v>330</v>
      </c>
      <c r="C21" s="199">
        <v>2445</v>
      </c>
      <c r="D21" s="200">
        <v>0</v>
      </c>
      <c r="E21" s="201" t="s">
        <v>247</v>
      </c>
      <c r="F21" s="199">
        <v>31.05</v>
      </c>
      <c r="G21" s="161">
        <v>45470</v>
      </c>
      <c r="H21" s="202" t="s">
        <v>246</v>
      </c>
      <c r="I21" s="185">
        <f t="shared" si="1"/>
        <v>4</v>
      </c>
      <c r="J21" s="203">
        <f>IF($H21="USD",IF(OR($I21="",$I21="-"),"",VLOOKUP($G21,為替!$A:$AX,$I21,FALSE))+$J$3,IF(OR($I21="",$I21="-"),"",VLOOKUP($G21,為替!$A:$AX,$I21,FALSE)))</f>
        <v>160.28</v>
      </c>
      <c r="K21" s="204">
        <f t="shared" si="2"/>
        <v>4976.6940000000004</v>
      </c>
      <c r="L21" s="188">
        <f t="shared" si="7"/>
        <v>3</v>
      </c>
      <c r="M21" s="203">
        <f>IF($H21="USD",IF(OR($L21="",$L21="-"),"",VLOOKUP($G21,為替!$A:$AX,$L21,FALSE))+$K$3,IF(OR($L21="",$L21="-"),"",VLOOKUP($G21,為替!$A:$AX,$L21,FALSE)))</f>
        <v>161.28</v>
      </c>
      <c r="N21" s="204">
        <f t="shared" si="4"/>
        <v>2445</v>
      </c>
      <c r="O21" s="205">
        <f t="shared" si="8"/>
        <v>2531.6940000000004</v>
      </c>
      <c r="P21" s="206">
        <f t="shared" si="9"/>
        <v>0.50870999904756053</v>
      </c>
    </row>
    <row r="22" spans="1:16" x14ac:dyDescent="0.4">
      <c r="A22" s="162" t="s">
        <v>363</v>
      </c>
      <c r="B22" s="162">
        <v>6167</v>
      </c>
      <c r="C22" s="199">
        <v>7339</v>
      </c>
      <c r="D22" s="200">
        <v>0</v>
      </c>
      <c r="E22" s="201" t="s">
        <v>247</v>
      </c>
      <c r="F22" s="199">
        <v>88.72</v>
      </c>
      <c r="G22" s="161">
        <v>45446</v>
      </c>
      <c r="H22" s="202" t="s">
        <v>311</v>
      </c>
      <c r="I22" s="185">
        <f t="shared" si="1"/>
        <v>7</v>
      </c>
      <c r="J22" s="203">
        <f>IF($H22="USD",IF(OR($I22="",$I22="-"),"",VLOOKUP($G22,為替!$A:$AX,$I22,FALSE))+$J$3,IF(OR($I22="",$I22="-"),"",VLOOKUP($G22,為替!$A:$AX,$I22,FALSE)))</f>
        <v>169.12</v>
      </c>
      <c r="K22" s="204">
        <f t="shared" si="2"/>
        <v>15004.3264</v>
      </c>
      <c r="L22" s="188">
        <f t="shared" si="7"/>
        <v>6</v>
      </c>
      <c r="M22" s="203">
        <f>IF($H22="USD",IF(OR($L22="",$L22="-"),"",VLOOKUP($G22,為替!$A:$AX,$L22,FALSE))+$K$3,IF(OR($L22="",$L22="-"),"",VLOOKUP($G22,為替!$A:$AX,$L22,FALSE)))</f>
        <v>172.12</v>
      </c>
      <c r="N22" s="204">
        <f t="shared" si="4"/>
        <v>7339</v>
      </c>
      <c r="O22" s="205">
        <f t="shared" si="8"/>
        <v>7665.3263999999999</v>
      </c>
      <c r="P22" s="206">
        <f t="shared" si="9"/>
        <v>0.51087441019678159</v>
      </c>
    </row>
    <row r="23" spans="1:16" x14ac:dyDescent="0.4">
      <c r="A23" s="162" t="s">
        <v>363</v>
      </c>
      <c r="B23" s="162">
        <v>6192</v>
      </c>
      <c r="C23" s="199">
        <v>2090</v>
      </c>
      <c r="D23" s="200">
        <v>0</v>
      </c>
      <c r="E23" s="201" t="s">
        <v>247</v>
      </c>
      <c r="F23" s="199">
        <v>36.9</v>
      </c>
      <c r="G23" s="161">
        <v>45448</v>
      </c>
      <c r="H23" s="202" t="s">
        <v>311</v>
      </c>
      <c r="I23" s="185">
        <f t="shared" si="1"/>
        <v>7</v>
      </c>
      <c r="J23" s="203">
        <f>IF($H23="USD",IF(OR($I23="",$I23="-"),"",VLOOKUP($G23,為替!$A:$AX,$I23,FALSE))+$J$3,IF(OR($I23="",$I23="-"),"",VLOOKUP($G23,為替!$A:$AX,$I23,FALSE)))</f>
        <v>167.51</v>
      </c>
      <c r="K23" s="204">
        <f t="shared" si="2"/>
        <v>6181.1189999999997</v>
      </c>
      <c r="L23" s="188">
        <f t="shared" si="7"/>
        <v>6</v>
      </c>
      <c r="M23" s="203">
        <f>IF($H23="USD",IF(OR($L23="",$L23="-"),"",VLOOKUP($G23,為替!$A:$AX,$L23,FALSE))+$K$3,IF(OR($L23="",$L23="-"),"",VLOOKUP($G23,為替!$A:$AX,$L23,FALSE)))</f>
        <v>170.51</v>
      </c>
      <c r="N23" s="204">
        <f t="shared" si="4"/>
        <v>2090</v>
      </c>
      <c r="O23" s="205">
        <f t="shared" si="8"/>
        <v>4091.1189999999997</v>
      </c>
      <c r="P23" s="206">
        <f t="shared" si="9"/>
        <v>0.66187352160668644</v>
      </c>
    </row>
    <row r="24" spans="1:16" x14ac:dyDescent="0.4">
      <c r="A24" s="162" t="s">
        <v>363</v>
      </c>
      <c r="B24" s="162">
        <v>6193</v>
      </c>
      <c r="C24" s="199">
        <v>224600</v>
      </c>
      <c r="D24" s="200">
        <v>0</v>
      </c>
      <c r="E24" s="201" t="s">
        <v>247</v>
      </c>
      <c r="F24" s="199">
        <v>2619</v>
      </c>
      <c r="G24" s="161">
        <v>45449</v>
      </c>
      <c r="H24" s="202" t="s">
        <v>311</v>
      </c>
      <c r="I24" s="185">
        <f t="shared" si="1"/>
        <v>7</v>
      </c>
      <c r="J24" s="203">
        <f>IF($H24="USD",IF(OR($I24="",$I24="-"),"",VLOOKUP($G24,為替!$A:$AX,$I24,FALSE))+$J$3,IF(OR($I24="",$I24="-"),"",VLOOKUP($G24,為替!$A:$AX,$I24,FALSE)))</f>
        <v>168</v>
      </c>
      <c r="K24" s="204">
        <f t="shared" si="2"/>
        <v>439992</v>
      </c>
      <c r="L24" s="188">
        <f t="shared" si="7"/>
        <v>6</v>
      </c>
      <c r="M24" s="203">
        <f>IF($H24="USD",IF(OR($L24="",$L24="-"),"",VLOOKUP($G24,為替!$A:$AX,$L24,FALSE))+$K$3,IF(OR($L24="",$L24="-"),"",VLOOKUP($G24,為替!$A:$AX,$L24,FALSE)))</f>
        <v>171</v>
      </c>
      <c r="N24" s="204">
        <f t="shared" si="4"/>
        <v>224600</v>
      </c>
      <c r="O24" s="205">
        <f t="shared" si="8"/>
        <v>215392</v>
      </c>
      <c r="P24" s="206">
        <f t="shared" si="9"/>
        <v>0.48953617338497063</v>
      </c>
    </row>
    <row r="25" spans="1:16" x14ac:dyDescent="0.4">
      <c r="A25" s="162" t="s">
        <v>363</v>
      </c>
      <c r="B25" s="162">
        <v>6229</v>
      </c>
      <c r="C25" s="199">
        <v>17520</v>
      </c>
      <c r="D25" s="200">
        <v>0</v>
      </c>
      <c r="E25" s="201" t="s">
        <v>247</v>
      </c>
      <c r="F25" s="199">
        <v>352.5</v>
      </c>
      <c r="G25" s="161">
        <v>45460</v>
      </c>
      <c r="H25" s="202" t="s">
        <v>246</v>
      </c>
      <c r="I25" s="185">
        <f t="shared" si="1"/>
        <v>4</v>
      </c>
      <c r="J25" s="203">
        <f>IF($H25="USD",IF(OR($I25="",$I25="-"),"",VLOOKUP($G25,為替!$A:$AX,$I25,FALSE))+$J$3,IF(OR($I25="",$I25="-"),"",VLOOKUP($G25,為替!$A:$AX,$I25,FALSE)))</f>
        <v>157.03</v>
      </c>
      <c r="K25" s="204">
        <f t="shared" si="2"/>
        <v>55353.074999999997</v>
      </c>
      <c r="L25" s="188">
        <f t="shared" si="7"/>
        <v>3</v>
      </c>
      <c r="M25" s="203">
        <f>IF($H25="USD",IF(OR($L25="",$L25="-"),"",VLOOKUP($G25,為替!$A:$AX,$L25,FALSE))+$K$3,IF(OR($L25="",$L25="-"),"",VLOOKUP($G25,為替!$A:$AX,$L25,FALSE)))</f>
        <v>158.03</v>
      </c>
      <c r="N25" s="204">
        <f t="shared" si="4"/>
        <v>17520</v>
      </c>
      <c r="O25" s="205">
        <f t="shared" si="8"/>
        <v>37833.074999999997</v>
      </c>
      <c r="P25" s="206">
        <f t="shared" si="9"/>
        <v>0.68348641877619265</v>
      </c>
    </row>
    <row r="26" spans="1:16" x14ac:dyDescent="0.4">
      <c r="A26" s="162" t="s">
        <v>363</v>
      </c>
      <c r="B26" s="162">
        <v>6237</v>
      </c>
      <c r="C26" s="199">
        <v>23316</v>
      </c>
      <c r="D26" s="200">
        <v>0</v>
      </c>
      <c r="E26" s="201" t="s">
        <v>247</v>
      </c>
      <c r="F26" s="199">
        <v>261.43</v>
      </c>
      <c r="G26" s="161">
        <v>45462</v>
      </c>
      <c r="H26" s="202" t="s">
        <v>311</v>
      </c>
      <c r="I26" s="185">
        <f t="shared" si="1"/>
        <v>7</v>
      </c>
      <c r="J26" s="203">
        <f>IF($H26="USD",IF(OR($I26="",$I26="-"),"",VLOOKUP($G26,為替!$A:$AX,$I26,FALSE))+$J$3,IF(OR($I26="",$I26="-"),"",VLOOKUP($G26,為替!$A:$AX,$I26,FALSE)))</f>
        <v>168.09</v>
      </c>
      <c r="K26" s="204">
        <f t="shared" si="2"/>
        <v>43943.768700000001</v>
      </c>
      <c r="L26" s="188">
        <f t="shared" si="7"/>
        <v>6</v>
      </c>
      <c r="M26" s="203">
        <f>IF($H26="USD",IF(OR($L26="",$L26="-"),"",VLOOKUP($G26,為替!$A:$AX,$L26,FALSE))+$K$3,IF(OR($L26="",$L26="-"),"",VLOOKUP($G26,為替!$A:$AX,$L26,FALSE)))</f>
        <v>171.09</v>
      </c>
      <c r="N26" s="204">
        <f t="shared" si="4"/>
        <v>23316</v>
      </c>
      <c r="O26" s="205">
        <f t="shared" si="8"/>
        <v>20627.768700000001</v>
      </c>
      <c r="P26" s="206">
        <f t="shared" si="9"/>
        <v>0.4694128271251346</v>
      </c>
    </row>
    <row r="27" spans="1:16" x14ac:dyDescent="0.4">
      <c r="A27" s="162" t="s">
        <v>363</v>
      </c>
      <c r="B27" s="162">
        <v>6233</v>
      </c>
      <c r="C27" s="199">
        <v>3250</v>
      </c>
      <c r="D27" s="200">
        <v>3649</v>
      </c>
      <c r="E27" s="201" t="s">
        <v>247</v>
      </c>
      <c r="F27" s="199">
        <v>71.2</v>
      </c>
      <c r="G27" s="161">
        <v>45461</v>
      </c>
      <c r="H27" s="202" t="s">
        <v>311</v>
      </c>
      <c r="I27" s="185">
        <f t="shared" si="1"/>
        <v>7</v>
      </c>
      <c r="J27" s="203">
        <f>IF($H27="USD",IF(OR($I27="",$I27="-"),"",VLOOKUP($G27,為替!$A:$AX,$I27,FALSE))+$J$3,IF(OR($I27="",$I27="-"),"",VLOOKUP($G27,為替!$A:$AX,$I27,FALSE)))</f>
        <v>167.83</v>
      </c>
      <c r="K27" s="204">
        <f t="shared" si="2"/>
        <v>11949.496000000001</v>
      </c>
      <c r="L27" s="188">
        <f t="shared" si="7"/>
        <v>6</v>
      </c>
      <c r="M27" s="203">
        <f>IF($H27="USD",IF(OR($L27="",$L27="-"),"",VLOOKUP($G27,為替!$A:$AX,$L27,FALSE))+$K$3,IF(OR($L27="",$L27="-"),"",VLOOKUP($G27,為替!$A:$AX,$L27,FALSE)))</f>
        <v>170.83</v>
      </c>
      <c r="N27" s="204">
        <f t="shared" si="4"/>
        <v>6899</v>
      </c>
      <c r="O27" s="205">
        <f t="shared" si="8"/>
        <v>5050.496000000001</v>
      </c>
      <c r="P27" s="206">
        <f t="shared" si="9"/>
        <v>0.42265347425531591</v>
      </c>
    </row>
    <row r="28" spans="1:16" x14ac:dyDescent="0.4">
      <c r="A28" s="162" t="s">
        <v>313</v>
      </c>
      <c r="B28" s="162" t="s">
        <v>331</v>
      </c>
      <c r="C28" s="199">
        <v>0</v>
      </c>
      <c r="D28" s="200">
        <v>0</v>
      </c>
      <c r="E28" s="201" t="s">
        <v>247</v>
      </c>
      <c r="F28" s="199">
        <v>20</v>
      </c>
      <c r="G28" s="161">
        <v>45475</v>
      </c>
      <c r="H28" s="202" t="s">
        <v>246</v>
      </c>
      <c r="I28" s="185">
        <f t="shared" si="1"/>
        <v>4</v>
      </c>
      <c r="J28" s="203">
        <f>IF($H28="USD",IF(OR($I28="",$I28="-"),"",VLOOKUP($G28,為替!$A:$AX,$I28,FALSE))+$J$3,IF(OR($I28="",$I28="-"),"",VLOOKUP($G28,為替!$A:$AX,$I28,FALSE)))</f>
        <v>161.21</v>
      </c>
      <c r="K28" s="204">
        <f t="shared" si="2"/>
        <v>3224.2000000000003</v>
      </c>
      <c r="L28" s="188">
        <f t="shared" si="7"/>
        <v>3</v>
      </c>
      <c r="M28" s="203">
        <f>IF($H28="USD",IF(OR($L28="",$L28="-"),"",VLOOKUP($G28,為替!$A:$AX,$L28,FALSE))+$K$3,IF(OR($L28="",$L28="-"),"",VLOOKUP($G28,為替!$A:$AX,$L28,FALSE)))</f>
        <v>162.21</v>
      </c>
      <c r="N28" s="204">
        <f t="shared" si="4"/>
        <v>0</v>
      </c>
      <c r="O28" s="205">
        <f t="shared" si="8"/>
        <v>3224.2000000000003</v>
      </c>
      <c r="P28" s="206">
        <f t="shared" si="9"/>
        <v>1</v>
      </c>
    </row>
    <row r="29" spans="1:16" x14ac:dyDescent="0.4">
      <c r="A29" s="162" t="s">
        <v>314</v>
      </c>
      <c r="B29" s="162" t="s">
        <v>332</v>
      </c>
      <c r="C29" s="199">
        <v>16220</v>
      </c>
      <c r="D29" s="200">
        <v>0</v>
      </c>
      <c r="E29" s="201" t="s">
        <v>247</v>
      </c>
      <c r="F29" s="199">
        <v>192.6</v>
      </c>
      <c r="G29" s="161">
        <v>45475</v>
      </c>
      <c r="H29" s="202" t="s">
        <v>246</v>
      </c>
      <c r="I29" s="185">
        <f t="shared" si="1"/>
        <v>4</v>
      </c>
      <c r="J29" s="203">
        <f>IF($H29="USD",IF(OR($I29="",$I29="-"),"",VLOOKUP($G29,為替!$A:$AX,$I29,FALSE))+$J$3,IF(OR($I29="",$I29="-"),"",VLOOKUP($G29,為替!$A:$AX,$I29,FALSE)))</f>
        <v>161.21</v>
      </c>
      <c r="K29" s="204">
        <f t="shared" si="2"/>
        <v>31049.046000000002</v>
      </c>
      <c r="L29" s="188">
        <f t="shared" si="7"/>
        <v>3</v>
      </c>
      <c r="M29" s="203">
        <f>IF($H29="USD",IF(OR($L29="",$L29="-"),"",VLOOKUP($G29,為替!$A:$AX,$L29,FALSE))+$K$3,IF(OR($L29="",$L29="-"),"",VLOOKUP($G29,為替!$A:$AX,$L29,FALSE)))</f>
        <v>162.21</v>
      </c>
      <c r="N29" s="204">
        <f t="shared" si="4"/>
        <v>16220</v>
      </c>
      <c r="O29" s="205">
        <f t="shared" si="8"/>
        <v>14829.046000000002</v>
      </c>
      <c r="P29" s="206">
        <f t="shared" si="9"/>
        <v>0.47760069665264437</v>
      </c>
    </row>
    <row r="30" spans="1:16" x14ac:dyDescent="0.4">
      <c r="A30" s="162" t="s">
        <v>314</v>
      </c>
      <c r="B30" s="162" t="s">
        <v>333</v>
      </c>
      <c r="C30" s="199">
        <v>22200</v>
      </c>
      <c r="D30" s="200">
        <v>0</v>
      </c>
      <c r="E30" s="201" t="s">
        <v>247</v>
      </c>
      <c r="F30" s="199">
        <v>266.36</v>
      </c>
      <c r="G30" s="161">
        <v>45475</v>
      </c>
      <c r="H30" s="202" t="s">
        <v>246</v>
      </c>
      <c r="I30" s="185">
        <f t="shared" si="1"/>
        <v>4</v>
      </c>
      <c r="J30" s="203">
        <f>IF($H30="USD",IF(OR($I30="",$I30="-"),"",VLOOKUP($G30,為替!$A:$AX,$I30,FALSE))+$J$3,IF(OR($I30="",$I30="-"),"",VLOOKUP($G30,為替!$A:$AX,$I30,FALSE)))</f>
        <v>161.21</v>
      </c>
      <c r="K30" s="204">
        <f t="shared" si="2"/>
        <v>42939.895600000003</v>
      </c>
      <c r="L30" s="188">
        <f t="shared" si="7"/>
        <v>3</v>
      </c>
      <c r="M30" s="203">
        <f>IF($H30="USD",IF(OR($L30="",$L30="-"),"",VLOOKUP($G30,為替!$A:$AX,$L30,FALSE))+$K$3,IF(OR($L30="",$L30="-"),"",VLOOKUP($G30,為替!$A:$AX,$L30,FALSE)))</f>
        <v>162.21</v>
      </c>
      <c r="N30" s="204">
        <f t="shared" si="4"/>
        <v>22200</v>
      </c>
      <c r="O30" s="205">
        <f t="shared" si="8"/>
        <v>20739.895600000003</v>
      </c>
      <c r="P30" s="206">
        <f t="shared" si="9"/>
        <v>0.48299827724779104</v>
      </c>
    </row>
    <row r="31" spans="1:16" x14ac:dyDescent="0.4">
      <c r="A31" s="162" t="s">
        <v>314</v>
      </c>
      <c r="B31" s="162" t="s">
        <v>334</v>
      </c>
      <c r="C31" s="199">
        <v>1999004</v>
      </c>
      <c r="D31" s="200">
        <v>0</v>
      </c>
      <c r="E31" s="201" t="s">
        <v>247</v>
      </c>
      <c r="F31" s="199">
        <v>19756.13</v>
      </c>
      <c r="G31" s="161">
        <v>45475</v>
      </c>
      <c r="H31" s="202" t="s">
        <v>246</v>
      </c>
      <c r="I31" s="185">
        <f t="shared" si="1"/>
        <v>4</v>
      </c>
      <c r="J31" s="203">
        <f>IF($H31="USD",IF(OR($I31="",$I31="-"),"",VLOOKUP($G31,為替!$A:$AX,$I31,FALSE))+$J$3,IF(OR($I31="",$I31="-"),"",VLOOKUP($G31,為替!$A:$AX,$I31,FALSE)))</f>
        <v>161.21</v>
      </c>
      <c r="K31" s="204">
        <f t="shared" si="2"/>
        <v>3184885.7173000001</v>
      </c>
      <c r="L31" s="188">
        <f t="shared" si="7"/>
        <v>3</v>
      </c>
      <c r="M31" s="203">
        <f>IF($H31="USD",IF(OR($L31="",$L31="-"),"",VLOOKUP($G31,為替!$A:$AX,$L31,FALSE))+$K$3,IF(OR($L31="",$L31="-"),"",VLOOKUP($G31,為替!$A:$AX,$L31,FALSE)))</f>
        <v>162.21</v>
      </c>
      <c r="N31" s="204">
        <f t="shared" si="4"/>
        <v>1999004</v>
      </c>
      <c r="O31" s="205">
        <f t="shared" si="8"/>
        <v>1185881.7173000001</v>
      </c>
      <c r="P31" s="206">
        <f t="shared" si="9"/>
        <v>0.37234670960355093</v>
      </c>
    </row>
    <row r="32" spans="1:16" x14ac:dyDescent="0.4">
      <c r="A32" s="162" t="s">
        <v>313</v>
      </c>
      <c r="B32" s="162" t="s">
        <v>335</v>
      </c>
      <c r="C32" s="199">
        <v>2955</v>
      </c>
      <c r="D32" s="200">
        <v>0</v>
      </c>
      <c r="E32" s="201" t="s">
        <v>247</v>
      </c>
      <c r="F32" s="199">
        <v>41</v>
      </c>
      <c r="G32" s="161">
        <v>45476</v>
      </c>
      <c r="H32" s="202" t="s">
        <v>246</v>
      </c>
      <c r="I32" s="185">
        <f t="shared" si="1"/>
        <v>4</v>
      </c>
      <c r="J32" s="203">
        <f>IF($H32="USD",IF(OR($I32="",$I32="-"),"",VLOOKUP($G32,為替!$A:$AX,$I32,FALSE))+$J$3,IF(OR($I32="",$I32="-"),"",VLOOKUP($G32,為替!$A:$AX,$I32,FALSE)))</f>
        <v>161.11000000000001</v>
      </c>
      <c r="K32" s="204">
        <f t="shared" si="2"/>
        <v>6605.51</v>
      </c>
      <c r="L32" s="188">
        <f t="shared" si="7"/>
        <v>3</v>
      </c>
      <c r="M32" s="203">
        <f>IF($H32="USD",IF(OR($L32="",$L32="-"),"",VLOOKUP($G32,為替!$A:$AX,$L32,FALSE))+$K$3,IF(OR($L32="",$L32="-"),"",VLOOKUP($G32,為替!$A:$AX,$L32,FALSE)))</f>
        <v>162.11000000000001</v>
      </c>
      <c r="N32" s="204">
        <f t="shared" si="4"/>
        <v>2955</v>
      </c>
      <c r="O32" s="205">
        <f t="shared" si="8"/>
        <v>3650.51</v>
      </c>
      <c r="P32" s="206">
        <f t="shared" si="9"/>
        <v>0.55264619991491948</v>
      </c>
    </row>
    <row r="33" spans="1:16" x14ac:dyDescent="0.4">
      <c r="A33" s="162" t="s">
        <v>314</v>
      </c>
      <c r="B33" s="162" t="s">
        <v>336</v>
      </c>
      <c r="C33" s="199">
        <v>262800</v>
      </c>
      <c r="D33" s="200">
        <v>0</v>
      </c>
      <c r="E33" s="201" t="s">
        <v>247</v>
      </c>
      <c r="F33" s="199">
        <v>2499.5</v>
      </c>
      <c r="G33" s="161">
        <v>45476</v>
      </c>
      <c r="H33" s="202" t="s">
        <v>246</v>
      </c>
      <c r="I33" s="185">
        <f t="shared" si="1"/>
        <v>4</v>
      </c>
      <c r="J33" s="203">
        <f>IF($H33="USD",IF(OR($I33="",$I33="-"),"",VLOOKUP($G33,為替!$A:$AX,$I33,FALSE))+$J$3,IF(OR($I33="",$I33="-"),"",VLOOKUP($G33,為替!$A:$AX,$I33,FALSE)))</f>
        <v>161.11000000000001</v>
      </c>
      <c r="K33" s="204">
        <f t="shared" si="2"/>
        <v>402694.44500000001</v>
      </c>
      <c r="L33" s="188">
        <f t="shared" si="7"/>
        <v>3</v>
      </c>
      <c r="M33" s="203">
        <f>IF($H33="USD",IF(OR($L33="",$L33="-"),"",VLOOKUP($G33,為替!$A:$AX,$L33,FALSE))+$K$3,IF(OR($L33="",$L33="-"),"",VLOOKUP($G33,為替!$A:$AX,$L33,FALSE)))</f>
        <v>162.11000000000001</v>
      </c>
      <c r="N33" s="204">
        <f t="shared" si="4"/>
        <v>262800</v>
      </c>
      <c r="O33" s="205">
        <f t="shared" si="8"/>
        <v>139894.44500000001</v>
      </c>
      <c r="P33" s="206">
        <f t="shared" si="9"/>
        <v>0.34739601386853003</v>
      </c>
    </row>
    <row r="34" spans="1:16" x14ac:dyDescent="0.4">
      <c r="A34" s="162" t="s">
        <v>314</v>
      </c>
      <c r="B34" s="162" t="s">
        <v>337</v>
      </c>
      <c r="C34" s="199">
        <v>175800</v>
      </c>
      <c r="D34" s="200">
        <v>0</v>
      </c>
      <c r="E34" s="201" t="s">
        <v>247</v>
      </c>
      <c r="F34" s="199">
        <v>1673</v>
      </c>
      <c r="G34" s="161">
        <v>45476</v>
      </c>
      <c r="H34" s="202" t="s">
        <v>246</v>
      </c>
      <c r="I34" s="185">
        <f t="shared" si="1"/>
        <v>4</v>
      </c>
      <c r="J34" s="203">
        <f>IF($H34="USD",IF(OR($I34="",$I34="-"),"",VLOOKUP($G34,為替!$A:$AX,$I34,FALSE))+$J$3,IF(OR($I34="",$I34="-"),"",VLOOKUP($G34,為替!$A:$AX,$I34,FALSE)))</f>
        <v>161.11000000000001</v>
      </c>
      <c r="K34" s="204">
        <f t="shared" si="2"/>
        <v>269537.03000000003</v>
      </c>
      <c r="L34" s="188">
        <f t="shared" si="7"/>
        <v>3</v>
      </c>
      <c r="M34" s="203">
        <f>IF($H34="USD",IF(OR($L34="",$L34="-"),"",VLOOKUP($G34,為替!$A:$AX,$L34,FALSE))+$K$3,IF(OR($L34="",$L34="-"),"",VLOOKUP($G34,為替!$A:$AX,$L34,FALSE)))</f>
        <v>162.11000000000001</v>
      </c>
      <c r="N34" s="204">
        <f t="shared" si="4"/>
        <v>175800</v>
      </c>
      <c r="O34" s="205">
        <f t="shared" si="8"/>
        <v>93737.030000000028</v>
      </c>
      <c r="P34" s="206">
        <f t="shared" si="9"/>
        <v>0.34777050856425928</v>
      </c>
    </row>
    <row r="35" spans="1:16" x14ac:dyDescent="0.4">
      <c r="A35" s="162" t="s">
        <v>313</v>
      </c>
      <c r="B35" s="162" t="s">
        <v>338</v>
      </c>
      <c r="C35" s="199">
        <v>6340</v>
      </c>
      <c r="D35" s="200">
        <v>3097</v>
      </c>
      <c r="E35" s="201" t="s">
        <v>247</v>
      </c>
      <c r="F35" s="199">
        <v>113.29</v>
      </c>
      <c r="G35" s="161">
        <v>45477</v>
      </c>
      <c r="H35" s="202" t="s">
        <v>246</v>
      </c>
      <c r="I35" s="185">
        <f t="shared" si="1"/>
        <v>4</v>
      </c>
      <c r="J35" s="203">
        <f>IF($H35="USD",IF(OR($I35="",$I35="-"),"",VLOOKUP($G35,為替!$A:$AX,$I35,FALSE))+$J$3,IF(OR($I35="",$I35="-"),"",VLOOKUP($G35,為替!$A:$AX,$I35,FALSE)))</f>
        <v>160.97</v>
      </c>
      <c r="K35" s="204">
        <f t="shared" si="2"/>
        <v>18236.291300000001</v>
      </c>
      <c r="L35" s="188">
        <f t="shared" si="7"/>
        <v>3</v>
      </c>
      <c r="M35" s="203">
        <f>IF($H35="USD",IF(OR($L35="",$L35="-"),"",VLOOKUP($G35,為替!$A:$AX,$L35,FALSE))+$K$3,IF(OR($L35="",$L35="-"),"",VLOOKUP($G35,為替!$A:$AX,$L35,FALSE)))</f>
        <v>161.97</v>
      </c>
      <c r="N35" s="204">
        <f t="shared" si="4"/>
        <v>9437</v>
      </c>
      <c r="O35" s="205">
        <f t="shared" si="8"/>
        <v>8799.2913000000008</v>
      </c>
      <c r="P35" s="206">
        <f t="shared" si="9"/>
        <v>0.48251539500249158</v>
      </c>
    </row>
    <row r="36" spans="1:16" x14ac:dyDescent="0.4">
      <c r="A36" s="162" t="s">
        <v>313</v>
      </c>
      <c r="B36" s="162" t="s">
        <v>339</v>
      </c>
      <c r="C36" s="199">
        <v>3048</v>
      </c>
      <c r="D36" s="200">
        <v>0</v>
      </c>
      <c r="E36" s="201" t="s">
        <v>247</v>
      </c>
      <c r="F36" s="199">
        <v>49.2</v>
      </c>
      <c r="G36" s="161">
        <v>45478</v>
      </c>
      <c r="H36" s="202" t="s">
        <v>246</v>
      </c>
      <c r="I36" s="185">
        <f t="shared" si="1"/>
        <v>4</v>
      </c>
      <c r="J36" s="203">
        <f>IF($H36="USD",IF(OR($I36="",$I36="-"),"",VLOOKUP($G36,為替!$A:$AX,$I36,FALSE))+$J$3,IF(OR($I36="",$I36="-"),"",VLOOKUP($G36,為替!$A:$AX,$I36,FALSE)))</f>
        <v>160.66999999999999</v>
      </c>
      <c r="K36" s="204">
        <f t="shared" si="2"/>
        <v>7904.9639999999999</v>
      </c>
      <c r="L36" s="188">
        <f t="shared" si="7"/>
        <v>3</v>
      </c>
      <c r="M36" s="203">
        <f>IF($H36="USD",IF(OR($L36="",$L36="-"),"",VLOOKUP($G36,為替!$A:$AX,$L36,FALSE))+$K$3,IF(OR($L36="",$L36="-"),"",VLOOKUP($G36,為替!$A:$AX,$L36,FALSE)))</f>
        <v>161.66999999999999</v>
      </c>
      <c r="N36" s="204">
        <f t="shared" si="4"/>
        <v>3048</v>
      </c>
      <c r="O36" s="205">
        <f t="shared" si="8"/>
        <v>4856.9639999999999</v>
      </c>
      <c r="P36" s="206">
        <f t="shared" si="9"/>
        <v>0.61441949640757376</v>
      </c>
    </row>
    <row r="37" spans="1:16" x14ac:dyDescent="0.4">
      <c r="A37" s="162" t="s">
        <v>313</v>
      </c>
      <c r="B37" s="162" t="s">
        <v>340</v>
      </c>
      <c r="C37" s="199">
        <v>118440</v>
      </c>
      <c r="D37" s="200">
        <v>6799</v>
      </c>
      <c r="E37" s="201" t="s">
        <v>247</v>
      </c>
      <c r="F37" s="199">
        <v>1626.14</v>
      </c>
      <c r="G37" s="161">
        <v>45478</v>
      </c>
      <c r="H37" s="202" t="s">
        <v>246</v>
      </c>
      <c r="I37" s="185">
        <f t="shared" si="1"/>
        <v>4</v>
      </c>
      <c r="J37" s="203">
        <f>IF($H37="USD",IF(OR($I37="",$I37="-"),"",VLOOKUP($G37,為替!$A:$AX,$I37,FALSE))+$J$3,IF(OR($I37="",$I37="-"),"",VLOOKUP($G37,為替!$A:$AX,$I37,FALSE)))</f>
        <v>160.66999999999999</v>
      </c>
      <c r="K37" s="204">
        <f t="shared" si="2"/>
        <v>261271.91380000001</v>
      </c>
      <c r="L37" s="188">
        <f t="shared" si="7"/>
        <v>3</v>
      </c>
      <c r="M37" s="203">
        <f>IF($H37="USD",IF(OR($L37="",$L37="-"),"",VLOOKUP($G37,為替!$A:$AX,$L37,FALSE))+$K$3,IF(OR($L37="",$L37="-"),"",VLOOKUP($G37,為替!$A:$AX,$L37,FALSE)))</f>
        <v>161.66999999999999</v>
      </c>
      <c r="N37" s="204">
        <f t="shared" si="4"/>
        <v>125239</v>
      </c>
      <c r="O37" s="205">
        <f t="shared" si="8"/>
        <v>136032.91380000001</v>
      </c>
      <c r="P37" s="206">
        <f t="shared" si="9"/>
        <v>0.52065647555263561</v>
      </c>
    </row>
    <row r="38" spans="1:16" x14ac:dyDescent="0.4">
      <c r="A38" s="162" t="s">
        <v>313</v>
      </c>
      <c r="B38" s="162" t="s">
        <v>341</v>
      </c>
      <c r="C38" s="199">
        <v>3080</v>
      </c>
      <c r="D38" s="200">
        <v>2049</v>
      </c>
      <c r="E38" s="201" t="s">
        <v>247</v>
      </c>
      <c r="F38" s="199">
        <v>107</v>
      </c>
      <c r="G38" s="161">
        <v>45483</v>
      </c>
      <c r="H38" s="202" t="s">
        <v>246</v>
      </c>
      <c r="I38" s="185">
        <f t="shared" si="1"/>
        <v>4</v>
      </c>
      <c r="J38" s="203">
        <f>IF($H38="USD",IF(OR($I38="",$I38="-"),"",VLOOKUP($G38,為替!$A:$AX,$I38,FALSE))+$J$3,IF(OR($I38="",$I38="-"),"",VLOOKUP($G38,為替!$A:$AX,$I38,FALSE)))</f>
        <v>161.05000000000001</v>
      </c>
      <c r="K38" s="204">
        <f t="shared" si="2"/>
        <v>17232.350000000002</v>
      </c>
      <c r="L38" s="188">
        <f t="shared" si="7"/>
        <v>3</v>
      </c>
      <c r="M38" s="203">
        <f>IF($H38="USD",IF(OR($L38="",$L38="-"),"",VLOOKUP($G38,為替!$A:$AX,$L38,FALSE))+$K$3,IF(OR($L38="",$L38="-"),"",VLOOKUP($G38,為替!$A:$AX,$L38,FALSE)))</f>
        <v>162.05000000000001</v>
      </c>
      <c r="N38" s="204">
        <f t="shared" si="4"/>
        <v>5129</v>
      </c>
      <c r="O38" s="205">
        <f t="shared" si="8"/>
        <v>12103.350000000002</v>
      </c>
      <c r="P38" s="206">
        <f t="shared" si="9"/>
        <v>0.70236212704593404</v>
      </c>
    </row>
    <row r="39" spans="1:16" x14ac:dyDescent="0.4">
      <c r="A39" s="162" t="s">
        <v>313</v>
      </c>
      <c r="B39" s="162" t="s">
        <v>342</v>
      </c>
      <c r="C39" s="199">
        <v>1142450</v>
      </c>
      <c r="D39" s="200">
        <v>123329</v>
      </c>
      <c r="E39" s="201" t="s">
        <v>247</v>
      </c>
      <c r="F39" s="199">
        <v>18203.96</v>
      </c>
      <c r="G39" s="161">
        <v>45483</v>
      </c>
      <c r="H39" s="202" t="s">
        <v>246</v>
      </c>
      <c r="I39" s="185">
        <f t="shared" si="1"/>
        <v>4</v>
      </c>
      <c r="J39" s="203">
        <f>IF($H39="USD",IF(OR($I39="",$I39="-"),"",VLOOKUP($G39,為替!$A:$AX,$I39,FALSE))+$J$3,IF(OR($I39="",$I39="-"),"",VLOOKUP($G39,為替!$A:$AX,$I39,FALSE)))</f>
        <v>161.05000000000001</v>
      </c>
      <c r="K39" s="204">
        <f t="shared" si="2"/>
        <v>2931747.7579999999</v>
      </c>
      <c r="L39" s="188">
        <f t="shared" si="7"/>
        <v>3</v>
      </c>
      <c r="M39" s="203">
        <f>IF($H39="USD",IF(OR($L39="",$L39="-"),"",VLOOKUP($G39,為替!$A:$AX,$L39,FALSE))+$K$3,IF(OR($L39="",$L39="-"),"",VLOOKUP($G39,為替!$A:$AX,$L39,FALSE)))</f>
        <v>162.05000000000001</v>
      </c>
      <c r="N39" s="204">
        <f t="shared" si="4"/>
        <v>1265779</v>
      </c>
      <c r="O39" s="205">
        <f t="shared" si="8"/>
        <v>1665968.7579999999</v>
      </c>
      <c r="P39" s="206">
        <f t="shared" si="9"/>
        <v>0.56825105551935406</v>
      </c>
    </row>
    <row r="40" spans="1:16" x14ac:dyDescent="0.4">
      <c r="A40" s="162" t="s">
        <v>313</v>
      </c>
      <c r="B40" s="162" t="s">
        <v>343</v>
      </c>
      <c r="C40" s="199">
        <v>11600</v>
      </c>
      <c r="D40" s="200">
        <v>3181</v>
      </c>
      <c r="E40" s="201" t="s">
        <v>247</v>
      </c>
      <c r="F40" s="199">
        <v>187</v>
      </c>
      <c r="G40" s="161">
        <v>45484</v>
      </c>
      <c r="H40" s="202" t="s">
        <v>246</v>
      </c>
      <c r="I40" s="185">
        <f t="shared" si="1"/>
        <v>4</v>
      </c>
      <c r="J40" s="203">
        <f>IF($H40="USD",IF(OR($I40="",$I40="-"),"",VLOOKUP($G40,為替!$A:$AX,$I40,FALSE))+$J$3,IF(OR($I40="",$I40="-"),"",VLOOKUP($G40,為替!$A:$AX,$I40,FALSE)))</f>
        <v>161.22999999999999</v>
      </c>
      <c r="K40" s="204">
        <f t="shared" si="2"/>
        <v>30150.01</v>
      </c>
      <c r="L40" s="188">
        <f t="shared" si="7"/>
        <v>3</v>
      </c>
      <c r="M40" s="203">
        <f>IF($H40="USD",IF(OR($L40="",$L40="-"),"",VLOOKUP($G40,為替!$A:$AX,$L40,FALSE))+$K$3,IF(OR($L40="",$L40="-"),"",VLOOKUP($G40,為替!$A:$AX,$L40,FALSE)))</f>
        <v>162.22999999999999</v>
      </c>
      <c r="N40" s="204">
        <f t="shared" si="4"/>
        <v>14781</v>
      </c>
      <c r="O40" s="205">
        <f t="shared" si="8"/>
        <v>15369.009999999998</v>
      </c>
      <c r="P40" s="206">
        <f t="shared" si="9"/>
        <v>0.50975140638427652</v>
      </c>
    </row>
    <row r="41" spans="1:16" x14ac:dyDescent="0.4">
      <c r="A41" s="162" t="s">
        <v>314</v>
      </c>
      <c r="B41" s="162" t="s">
        <v>344</v>
      </c>
      <c r="C41" s="199">
        <v>3172</v>
      </c>
      <c r="D41" s="200">
        <v>0</v>
      </c>
      <c r="E41" s="201" t="s">
        <v>247</v>
      </c>
      <c r="F41" s="199">
        <v>50</v>
      </c>
      <c r="G41" s="161">
        <v>45485</v>
      </c>
      <c r="H41" s="202" t="s">
        <v>246</v>
      </c>
      <c r="I41" s="185">
        <f t="shared" si="1"/>
        <v>4</v>
      </c>
      <c r="J41" s="203">
        <f>IF($H41="USD",IF(OR($I41="",$I41="-"),"",VLOOKUP($G41,為替!$A:$AX,$I41,FALSE))+$J$3,IF(OR($I41="",$I41="-"),"",VLOOKUP($G41,為替!$A:$AX,$I41,FALSE)))</f>
        <v>158.61000000000001</v>
      </c>
      <c r="K41" s="204">
        <f t="shared" si="2"/>
        <v>7930.5000000000009</v>
      </c>
      <c r="L41" s="188">
        <f t="shared" si="7"/>
        <v>3</v>
      </c>
      <c r="M41" s="203">
        <f>IF($H41="USD",IF(OR($L41="",$L41="-"),"",VLOOKUP($G41,為替!$A:$AX,$L41,FALSE))+$K$3,IF(OR($L41="",$L41="-"),"",VLOOKUP($G41,為替!$A:$AX,$L41,FALSE)))</f>
        <v>159.61000000000001</v>
      </c>
      <c r="N41" s="204">
        <f t="shared" si="4"/>
        <v>3172</v>
      </c>
      <c r="O41" s="205">
        <f t="shared" si="8"/>
        <v>4758.5000000000009</v>
      </c>
      <c r="P41" s="206">
        <f t="shared" si="9"/>
        <v>0.60002521909085182</v>
      </c>
    </row>
    <row r="42" spans="1:16" x14ac:dyDescent="0.4">
      <c r="A42" s="162" t="s">
        <v>314</v>
      </c>
      <c r="B42" s="162" t="s">
        <v>345</v>
      </c>
      <c r="C42" s="199">
        <v>71824</v>
      </c>
      <c r="D42" s="200">
        <v>7091</v>
      </c>
      <c r="E42" s="201" t="s">
        <v>247</v>
      </c>
      <c r="F42" s="199">
        <v>850.6</v>
      </c>
      <c r="G42" s="161">
        <v>45485</v>
      </c>
      <c r="H42" s="202" t="s">
        <v>246</v>
      </c>
      <c r="I42" s="185">
        <f t="shared" si="1"/>
        <v>4</v>
      </c>
      <c r="J42" s="203">
        <f>IF($H42="USD",IF(OR($I42="",$I42="-"),"",VLOOKUP($G42,為替!$A:$AX,$I42,FALSE))+$J$3,IF(OR($I42="",$I42="-"),"",VLOOKUP($G42,為替!$A:$AX,$I42,FALSE)))</f>
        <v>158.61000000000001</v>
      </c>
      <c r="K42" s="204">
        <f t="shared" si="2"/>
        <v>134913.66600000003</v>
      </c>
      <c r="L42" s="188">
        <f t="shared" si="7"/>
        <v>3</v>
      </c>
      <c r="M42" s="203">
        <f>IF($H42="USD",IF(OR($L42="",$L42="-"),"",VLOOKUP($G42,為替!$A:$AX,$L42,FALSE))+$K$3,IF(OR($L42="",$L42="-"),"",VLOOKUP($G42,為替!$A:$AX,$L42,FALSE)))</f>
        <v>159.61000000000001</v>
      </c>
      <c r="N42" s="204">
        <f t="shared" si="4"/>
        <v>78915</v>
      </c>
      <c r="O42" s="205">
        <f t="shared" si="8"/>
        <v>55998.666000000027</v>
      </c>
      <c r="P42" s="206">
        <f t="shared" si="9"/>
        <v>0.41507037545032699</v>
      </c>
    </row>
    <row r="43" spans="1:16" x14ac:dyDescent="0.4">
      <c r="A43" s="162" t="s">
        <v>313</v>
      </c>
      <c r="B43" s="162" t="s">
        <v>346</v>
      </c>
      <c r="C43" s="199">
        <v>100400</v>
      </c>
      <c r="D43" s="200">
        <v>42081</v>
      </c>
      <c r="E43" s="201" t="s">
        <v>247</v>
      </c>
      <c r="F43" s="199">
        <v>1842</v>
      </c>
      <c r="G43" s="161">
        <v>45489</v>
      </c>
      <c r="H43" s="202" t="s">
        <v>246</v>
      </c>
      <c r="I43" s="185">
        <f t="shared" si="1"/>
        <v>4</v>
      </c>
      <c r="J43" s="203">
        <f>IF($H43="USD",IF(OR($I43="",$I43="-"),"",VLOOKUP($G43,為替!$A:$AX,$I43,FALSE))+$J$3,IF(OR($I43="",$I43="-"),"",VLOOKUP($G43,為替!$A:$AX,$I43,FALSE)))</f>
        <v>157.94999999999999</v>
      </c>
      <c r="K43" s="204">
        <f t="shared" si="2"/>
        <v>290943.89999999997</v>
      </c>
      <c r="L43" s="188">
        <f t="shared" si="7"/>
        <v>3</v>
      </c>
      <c r="M43" s="203">
        <f>IF($H43="USD",IF(OR($L43="",$L43="-"),"",VLOOKUP($G43,為替!$A:$AX,$L43,FALSE))+$K$3,IF(OR($L43="",$L43="-"),"",VLOOKUP($G43,為替!$A:$AX,$L43,FALSE)))</f>
        <v>158.94999999999999</v>
      </c>
      <c r="N43" s="204">
        <f t="shared" si="4"/>
        <v>142481</v>
      </c>
      <c r="O43" s="205">
        <f t="shared" si="8"/>
        <v>148462.89999999997</v>
      </c>
      <c r="P43" s="206">
        <f t="shared" si="9"/>
        <v>0.51028016053954039</v>
      </c>
    </row>
    <row r="44" spans="1:16" x14ac:dyDescent="0.4">
      <c r="A44" s="162" t="s">
        <v>313</v>
      </c>
      <c r="B44" s="162" t="s">
        <v>347</v>
      </c>
      <c r="C44" s="199">
        <v>3435</v>
      </c>
      <c r="D44" s="200">
        <v>0</v>
      </c>
      <c r="E44" s="201" t="s">
        <v>247</v>
      </c>
      <c r="F44" s="199">
        <v>43.05</v>
      </c>
      <c r="G44" s="161">
        <v>45490</v>
      </c>
      <c r="H44" s="202" t="s">
        <v>246</v>
      </c>
      <c r="I44" s="185">
        <f t="shared" si="1"/>
        <v>4</v>
      </c>
      <c r="J44" s="203">
        <f>IF($H44="USD",IF(OR($I44="",$I44="-"),"",VLOOKUP($G44,為替!$A:$AX,$I44,FALSE))+$J$3,IF(OR($I44="",$I44="-"),"",VLOOKUP($G44,為替!$A:$AX,$I44,FALSE)))</f>
        <v>158.06</v>
      </c>
      <c r="K44" s="204">
        <f t="shared" si="2"/>
        <v>6804.4829999999993</v>
      </c>
      <c r="L44" s="188">
        <f t="shared" si="7"/>
        <v>3</v>
      </c>
      <c r="M44" s="203">
        <f>IF($H44="USD",IF(OR($L44="",$L44="-"),"",VLOOKUP($G44,為替!$A:$AX,$L44,FALSE))+$K$3,IF(OR($L44="",$L44="-"),"",VLOOKUP($G44,為替!$A:$AX,$L44,FALSE)))</f>
        <v>159.06</v>
      </c>
      <c r="N44" s="204">
        <f t="shared" si="4"/>
        <v>3435</v>
      </c>
      <c r="O44" s="205">
        <f t="shared" si="8"/>
        <v>3369.4829999999993</v>
      </c>
      <c r="P44" s="206">
        <f t="shared" si="9"/>
        <v>0.49518574739623855</v>
      </c>
    </row>
    <row r="45" spans="1:16" x14ac:dyDescent="0.4">
      <c r="A45" s="162" t="s">
        <v>313</v>
      </c>
      <c r="B45" s="162" t="s">
        <v>348</v>
      </c>
      <c r="C45" s="199">
        <v>8880</v>
      </c>
      <c r="D45" s="200">
        <v>5356</v>
      </c>
      <c r="E45" s="201" t="s">
        <v>247</v>
      </c>
      <c r="F45" s="199">
        <v>264</v>
      </c>
      <c r="G45" s="161">
        <v>45490</v>
      </c>
      <c r="H45" s="202" t="s">
        <v>246</v>
      </c>
      <c r="I45" s="185">
        <f t="shared" si="1"/>
        <v>4</v>
      </c>
      <c r="J45" s="203">
        <f>IF($H45="USD",IF(OR($I45="",$I45="-"),"",VLOOKUP($G45,為替!$A:$AX,$I45,FALSE))+$J$3,IF(OR($I45="",$I45="-"),"",VLOOKUP($G45,為替!$A:$AX,$I45,FALSE)))</f>
        <v>158.06</v>
      </c>
      <c r="K45" s="204">
        <f t="shared" si="2"/>
        <v>41727.840000000004</v>
      </c>
      <c r="L45" s="188">
        <f t="shared" si="7"/>
        <v>3</v>
      </c>
      <c r="M45" s="203">
        <f>IF($H45="USD",IF(OR($L45="",$L45="-"),"",VLOOKUP($G45,為替!$A:$AX,$L45,FALSE))+$K$3,IF(OR($L45="",$L45="-"),"",VLOOKUP($G45,為替!$A:$AX,$L45,FALSE)))</f>
        <v>159.06</v>
      </c>
      <c r="N45" s="204">
        <f t="shared" si="4"/>
        <v>14236</v>
      </c>
      <c r="O45" s="205">
        <f t="shared" si="8"/>
        <v>27491.840000000004</v>
      </c>
      <c r="P45" s="206">
        <f t="shared" si="9"/>
        <v>0.65883688204325941</v>
      </c>
    </row>
    <row r="46" spans="1:16" x14ac:dyDescent="0.4">
      <c r="A46" s="162" t="s">
        <v>314</v>
      </c>
      <c r="B46" s="162" t="s">
        <v>349</v>
      </c>
      <c r="C46" s="199">
        <v>282800</v>
      </c>
      <c r="D46" s="200">
        <v>125005</v>
      </c>
      <c r="E46" s="201" t="s">
        <v>247</v>
      </c>
      <c r="F46" s="199">
        <v>3723.5</v>
      </c>
      <c r="G46" s="161">
        <v>45490</v>
      </c>
      <c r="H46" s="202" t="s">
        <v>246</v>
      </c>
      <c r="I46" s="185">
        <f t="shared" si="1"/>
        <v>4</v>
      </c>
      <c r="J46" s="203">
        <f>IF($H46="USD",IF(OR($I46="",$I46="-"),"",VLOOKUP($G46,為替!$A:$AX,$I46,FALSE))+$J$3,IF(OR($I46="",$I46="-"),"",VLOOKUP($G46,為替!$A:$AX,$I46,FALSE)))</f>
        <v>158.06</v>
      </c>
      <c r="K46" s="204">
        <f t="shared" si="2"/>
        <v>588536.41</v>
      </c>
      <c r="L46" s="188">
        <f t="shared" si="7"/>
        <v>3</v>
      </c>
      <c r="M46" s="203">
        <f>IF($H46="USD",IF(OR($L46="",$L46="-"),"",VLOOKUP($G46,為替!$A:$AX,$L46,FALSE))+$K$3,IF(OR($L46="",$L46="-"),"",VLOOKUP($G46,為替!$A:$AX,$L46,FALSE)))</f>
        <v>159.06</v>
      </c>
      <c r="N46" s="204">
        <f t="shared" si="4"/>
        <v>407805</v>
      </c>
      <c r="O46" s="205">
        <f t="shared" si="8"/>
        <v>180731.41000000003</v>
      </c>
      <c r="P46" s="206">
        <f t="shared" si="9"/>
        <v>0.30708620049522511</v>
      </c>
    </row>
    <row r="47" spans="1:16" x14ac:dyDescent="0.4">
      <c r="A47" s="162" t="s">
        <v>313</v>
      </c>
      <c r="B47" s="162" t="s">
        <v>350</v>
      </c>
      <c r="C47" s="199">
        <v>1170</v>
      </c>
      <c r="D47" s="200">
        <v>1226</v>
      </c>
      <c r="E47" s="201" t="s">
        <v>247</v>
      </c>
      <c r="F47" s="199">
        <v>26.3</v>
      </c>
      <c r="G47" s="161">
        <v>45491</v>
      </c>
      <c r="H47" s="202" t="s">
        <v>246</v>
      </c>
      <c r="I47" s="185">
        <f t="shared" si="1"/>
        <v>4</v>
      </c>
      <c r="J47" s="203">
        <f>IF($H47="USD",IF(OR($I47="",$I47="-"),"",VLOOKUP($G47,為替!$A:$AX,$I47,FALSE))+$J$3,IF(OR($I47="",$I47="-"),"",VLOOKUP($G47,為替!$A:$AX,$I47,FALSE)))</f>
        <v>155.36000000000001</v>
      </c>
      <c r="K47" s="204">
        <f t="shared" si="2"/>
        <v>4085.9680000000003</v>
      </c>
      <c r="L47" s="188">
        <f t="shared" si="7"/>
        <v>3</v>
      </c>
      <c r="M47" s="203">
        <f>IF($H47="USD",IF(OR($L47="",$L47="-"),"",VLOOKUP($G47,為替!$A:$AX,$L47,FALSE))+$K$3,IF(OR($L47="",$L47="-"),"",VLOOKUP($G47,為替!$A:$AX,$L47,FALSE)))</f>
        <v>156.36000000000001</v>
      </c>
      <c r="N47" s="204">
        <f t="shared" si="4"/>
        <v>2396</v>
      </c>
      <c r="O47" s="205">
        <f t="shared" si="8"/>
        <v>1689.9680000000003</v>
      </c>
      <c r="P47" s="206">
        <f t="shared" si="9"/>
        <v>0.41360284759939386</v>
      </c>
    </row>
    <row r="48" spans="1:16" x14ac:dyDescent="0.4">
      <c r="A48" s="162" t="s">
        <v>314</v>
      </c>
      <c r="B48" s="162" t="s">
        <v>351</v>
      </c>
      <c r="C48" s="199">
        <v>198575</v>
      </c>
      <c r="D48" s="200">
        <v>77049</v>
      </c>
      <c r="E48" s="201" t="s">
        <v>247</v>
      </c>
      <c r="F48" s="199">
        <v>3044.15</v>
      </c>
      <c r="G48" s="161">
        <v>45491</v>
      </c>
      <c r="H48" s="202" t="s">
        <v>246</v>
      </c>
      <c r="I48" s="185">
        <f t="shared" si="1"/>
        <v>4</v>
      </c>
      <c r="J48" s="203">
        <f>IF($H48="USD",IF(OR($I48="",$I48="-"),"",VLOOKUP($G48,為替!$A:$AX,$I48,FALSE))+$J$3,IF(OR($I48="",$I48="-"),"",VLOOKUP($G48,為替!$A:$AX,$I48,FALSE)))</f>
        <v>155.36000000000001</v>
      </c>
      <c r="K48" s="204">
        <f t="shared" si="2"/>
        <v>472939.14400000003</v>
      </c>
      <c r="L48" s="188">
        <f t="shared" si="7"/>
        <v>3</v>
      </c>
      <c r="M48" s="203">
        <f>IF($H48="USD",IF(OR($L48="",$L48="-"),"",VLOOKUP($G48,為替!$A:$AX,$L48,FALSE))+$K$3,IF(OR($L48="",$L48="-"),"",VLOOKUP($G48,為替!$A:$AX,$L48,FALSE)))</f>
        <v>156.36000000000001</v>
      </c>
      <c r="N48" s="204">
        <f t="shared" si="4"/>
        <v>275624</v>
      </c>
      <c r="O48" s="205">
        <f t="shared" si="8"/>
        <v>197315.14400000003</v>
      </c>
      <c r="P48" s="206">
        <f t="shared" si="9"/>
        <v>0.41721043077796077</v>
      </c>
    </row>
    <row r="49" spans="1:16" x14ac:dyDescent="0.4">
      <c r="A49" s="162" t="s">
        <v>314</v>
      </c>
      <c r="B49" s="162" t="s">
        <v>352</v>
      </c>
      <c r="C49" s="199">
        <v>27100</v>
      </c>
      <c r="D49" s="200">
        <v>9258</v>
      </c>
      <c r="E49" s="201" t="s">
        <v>247</v>
      </c>
      <c r="F49" s="199">
        <v>458.56</v>
      </c>
      <c r="G49" s="161">
        <v>45492</v>
      </c>
      <c r="H49" s="202" t="s">
        <v>246</v>
      </c>
      <c r="I49" s="185">
        <f t="shared" si="1"/>
        <v>4</v>
      </c>
      <c r="J49" s="203">
        <f>IF($H49="USD",IF(OR($I49="",$I49="-"),"",VLOOKUP($G49,為替!$A:$AX,$I49,FALSE))+$J$3,IF(OR($I49="",$I49="-"),"",VLOOKUP($G49,為替!$A:$AX,$I49,FALSE)))</f>
        <v>156.99</v>
      </c>
      <c r="K49" s="204">
        <f t="shared" si="2"/>
        <v>71989.334400000007</v>
      </c>
      <c r="L49" s="188">
        <f t="shared" si="7"/>
        <v>3</v>
      </c>
      <c r="M49" s="203">
        <f>IF($H49="USD",IF(OR($L49="",$L49="-"),"",VLOOKUP($G49,為替!$A:$AX,$L49,FALSE))+$K$3,IF(OR($L49="",$L49="-"),"",VLOOKUP($G49,為替!$A:$AX,$L49,FALSE)))</f>
        <v>157.99</v>
      </c>
      <c r="N49" s="204">
        <f t="shared" si="4"/>
        <v>36358</v>
      </c>
      <c r="O49" s="205">
        <f t="shared" si="8"/>
        <v>35631.334400000007</v>
      </c>
      <c r="P49" s="206">
        <f t="shared" si="9"/>
        <v>0.49495296347676754</v>
      </c>
    </row>
    <row r="50" spans="1:16" x14ac:dyDescent="0.4">
      <c r="A50" s="162" t="s">
        <v>313</v>
      </c>
      <c r="B50" s="162" t="s">
        <v>353</v>
      </c>
      <c r="C50" s="199">
        <v>-43500</v>
      </c>
      <c r="D50" s="200">
        <v>0</v>
      </c>
      <c r="E50" s="201" t="s">
        <v>247</v>
      </c>
      <c r="F50" s="199">
        <v>-803.88</v>
      </c>
      <c r="G50" s="161">
        <v>45490</v>
      </c>
      <c r="H50" s="202" t="s">
        <v>246</v>
      </c>
      <c r="I50" s="185">
        <f t="shared" si="1"/>
        <v>4</v>
      </c>
      <c r="J50" s="203">
        <f>IF($H50="USD",IF(OR($I50="",$I50="-"),"",VLOOKUP($G50,為替!$A:$AX,$I50,FALSE))+$J$3,IF(OR($I50="",$I50="-"),"",VLOOKUP($G50,為替!$A:$AX,$I50,FALSE)))</f>
        <v>158.06</v>
      </c>
      <c r="K50" s="204">
        <f t="shared" si="2"/>
        <v>-127061.27280000001</v>
      </c>
      <c r="L50" s="188">
        <f t="shared" si="7"/>
        <v>3</v>
      </c>
      <c r="M50" s="203">
        <f>IF($H50="USD",IF(OR($L50="",$L50="-"),"",VLOOKUP($G50,為替!$A:$AX,$L50,FALSE))+$K$3,IF(OR($L50="",$L50="-"),"",VLOOKUP($G50,為替!$A:$AX,$L50,FALSE)))</f>
        <v>159.06</v>
      </c>
      <c r="N50" s="204">
        <f t="shared" si="4"/>
        <v>-43500</v>
      </c>
      <c r="O50" s="205">
        <f t="shared" si="8"/>
        <v>-83561.272800000006</v>
      </c>
      <c r="P50" s="206">
        <f t="shared" si="9"/>
        <v>0.65764548834269199</v>
      </c>
    </row>
    <row r="51" spans="1:16" x14ac:dyDescent="0.4">
      <c r="A51" s="162" t="s">
        <v>314</v>
      </c>
      <c r="B51" s="162" t="s">
        <v>354</v>
      </c>
      <c r="C51" s="199">
        <v>13910</v>
      </c>
      <c r="D51" s="200">
        <v>0</v>
      </c>
      <c r="E51" s="201" t="s">
        <v>247</v>
      </c>
      <c r="F51" s="199">
        <v>166</v>
      </c>
      <c r="G51" s="161">
        <v>45496</v>
      </c>
      <c r="H51" s="202" t="s">
        <v>246</v>
      </c>
      <c r="I51" s="185">
        <f t="shared" si="1"/>
        <v>4</v>
      </c>
      <c r="J51" s="203">
        <f>IF($H51="USD",IF(OR($I51="",$I51="-"),"",VLOOKUP($G51,為替!$A:$AX,$I51,FALSE))+$J$3,IF(OR($I51="",$I51="-"),"",VLOOKUP($G51,為替!$A:$AX,$I51,FALSE)))</f>
        <v>156.24</v>
      </c>
      <c r="K51" s="204">
        <f t="shared" si="2"/>
        <v>25935.84</v>
      </c>
      <c r="L51" s="188">
        <f t="shared" si="7"/>
        <v>3</v>
      </c>
      <c r="M51" s="203">
        <f>IF($H51="USD",IF(OR($L51="",$L51="-"),"",VLOOKUP($G51,為替!$A:$AX,$L51,FALSE))+$K$3,IF(OR($L51="",$L51="-"),"",VLOOKUP($G51,為替!$A:$AX,$L51,FALSE)))</f>
        <v>157.24</v>
      </c>
      <c r="N51" s="204">
        <f t="shared" si="4"/>
        <v>13910</v>
      </c>
      <c r="O51" s="205">
        <f t="shared" si="8"/>
        <v>12025.84</v>
      </c>
      <c r="P51" s="206">
        <f t="shared" si="9"/>
        <v>0.46367651867068888</v>
      </c>
    </row>
    <row r="52" spans="1:16" x14ac:dyDescent="0.4">
      <c r="A52" s="162" t="s">
        <v>314</v>
      </c>
      <c r="B52" s="162" t="s">
        <v>355</v>
      </c>
      <c r="C52" s="199">
        <v>6300</v>
      </c>
      <c r="D52" s="200">
        <v>0</v>
      </c>
      <c r="E52" s="201" t="s">
        <v>247</v>
      </c>
      <c r="F52" s="199">
        <v>76.8</v>
      </c>
      <c r="G52" s="161">
        <v>45497</v>
      </c>
      <c r="H52" s="202" t="s">
        <v>246</v>
      </c>
      <c r="I52" s="185">
        <f t="shared" si="1"/>
        <v>4</v>
      </c>
      <c r="J52" s="203">
        <f>IF($H52="USD",IF(OR($I52="",$I52="-"),"",VLOOKUP($G52,為替!$A:$AX,$I52,FALSE))+$J$3,IF(OR($I52="",$I52="-"),"",VLOOKUP($G52,為替!$A:$AX,$I52,FALSE)))</f>
        <v>155.37</v>
      </c>
      <c r="K52" s="204">
        <f t="shared" si="2"/>
        <v>11932.415999999999</v>
      </c>
      <c r="L52" s="188">
        <f t="shared" si="7"/>
        <v>3</v>
      </c>
      <c r="M52" s="203">
        <f>IF($H52="USD",IF(OR($L52="",$L52="-"),"",VLOOKUP($G52,為替!$A:$AX,$L52,FALSE))+$K$3,IF(OR($L52="",$L52="-"),"",VLOOKUP($G52,為替!$A:$AX,$L52,FALSE)))</f>
        <v>156.37</v>
      </c>
      <c r="N52" s="204">
        <f t="shared" si="4"/>
        <v>6300</v>
      </c>
      <c r="O52" s="205">
        <f t="shared" si="8"/>
        <v>5632.4159999999993</v>
      </c>
      <c r="P52" s="206">
        <f t="shared" si="9"/>
        <v>0.47202645298320134</v>
      </c>
    </row>
    <row r="53" spans="1:16" x14ac:dyDescent="0.4">
      <c r="A53" s="162" t="s">
        <v>313</v>
      </c>
      <c r="B53" s="162" t="s">
        <v>356</v>
      </c>
      <c r="C53" s="199">
        <v>103500</v>
      </c>
      <c r="D53" s="200">
        <v>0</v>
      </c>
      <c r="E53" s="201" t="s">
        <v>247</v>
      </c>
      <c r="F53" s="199">
        <v>1687.5</v>
      </c>
      <c r="G53" s="161">
        <v>45498</v>
      </c>
      <c r="H53" s="202" t="s">
        <v>246</v>
      </c>
      <c r="I53" s="185">
        <f t="shared" si="1"/>
        <v>4</v>
      </c>
      <c r="J53" s="203">
        <f>IF($H53="USD",IF(OR($I53="",$I53="-"),"",VLOOKUP($G53,為替!$A:$AX,$I53,FALSE))+$J$3,IF(OR($I53="",$I53="-"),"",VLOOKUP($G53,為替!$A:$AX,$I53,FALSE)))</f>
        <v>152.86000000000001</v>
      </c>
      <c r="K53" s="204">
        <f t="shared" si="2"/>
        <v>257951.25000000003</v>
      </c>
      <c r="L53" s="188">
        <f t="shared" si="7"/>
        <v>3</v>
      </c>
      <c r="M53" s="203">
        <f>IF($H53="USD",IF(OR($L53="",$L53="-"),"",VLOOKUP($G53,為替!$A:$AX,$L53,FALSE))+$K$3,IF(OR($L53="",$L53="-"),"",VLOOKUP($G53,為替!$A:$AX,$L53,FALSE)))</f>
        <v>153.86000000000001</v>
      </c>
      <c r="N53" s="204">
        <f t="shared" si="4"/>
        <v>103500</v>
      </c>
      <c r="O53" s="205">
        <f t="shared" si="8"/>
        <v>154451.25000000003</v>
      </c>
      <c r="P53" s="206">
        <f t="shared" si="9"/>
        <v>0.5987613938680274</v>
      </c>
    </row>
    <row r="54" spans="1:16" x14ac:dyDescent="0.4">
      <c r="A54" s="162" t="s">
        <v>313</v>
      </c>
      <c r="B54" s="162" t="s">
        <v>357</v>
      </c>
      <c r="C54" s="199">
        <v>1350</v>
      </c>
      <c r="D54" s="200">
        <v>2362</v>
      </c>
      <c r="E54" s="201" t="s">
        <v>247</v>
      </c>
      <c r="F54" s="199">
        <v>50.5</v>
      </c>
      <c r="G54" s="161">
        <v>45502</v>
      </c>
      <c r="H54" s="202" t="s">
        <v>246</v>
      </c>
      <c r="I54" s="185">
        <f t="shared" si="1"/>
        <v>4</v>
      </c>
      <c r="J54" s="203">
        <f>IF($H54="USD",IF(OR($I54="",$I54="-"),"",VLOOKUP($G54,為替!$A:$AX,$I54,FALSE))+$J$3,IF(OR($I54="",$I54="-"),"",VLOOKUP($G54,為替!$A:$AX,$I54,FALSE)))</f>
        <v>153.26</v>
      </c>
      <c r="K54" s="204">
        <f t="shared" si="2"/>
        <v>7739.6299999999992</v>
      </c>
      <c r="L54" s="188">
        <f t="shared" si="7"/>
        <v>3</v>
      </c>
      <c r="M54" s="203">
        <f>IF($H54="USD",IF(OR($L54="",$L54="-"),"",VLOOKUP($G54,為替!$A:$AX,$L54,FALSE))+$K$3,IF(OR($L54="",$L54="-"),"",VLOOKUP($G54,為替!$A:$AX,$L54,FALSE)))</f>
        <v>154.26</v>
      </c>
      <c r="N54" s="204">
        <f t="shared" si="4"/>
        <v>3712</v>
      </c>
      <c r="O54" s="205">
        <f t="shared" si="8"/>
        <v>4027.6299999999992</v>
      </c>
      <c r="P54" s="206">
        <f t="shared" si="9"/>
        <v>0.52039050962384503</v>
      </c>
    </row>
    <row r="55" spans="1:16" x14ac:dyDescent="0.4">
      <c r="A55" s="162" t="s">
        <v>314</v>
      </c>
      <c r="B55" s="162" t="s">
        <v>358</v>
      </c>
      <c r="C55" s="199">
        <v>4169</v>
      </c>
      <c r="D55" s="200">
        <v>0</v>
      </c>
      <c r="E55" s="201" t="s">
        <v>247</v>
      </c>
      <c r="F55" s="199">
        <v>61.8</v>
      </c>
      <c r="G55" s="161">
        <v>45503</v>
      </c>
      <c r="H55" s="202" t="s">
        <v>246</v>
      </c>
      <c r="I55" s="185">
        <f t="shared" si="1"/>
        <v>4</v>
      </c>
      <c r="J55" s="203">
        <f>IF($H55="USD",IF(OR($I55="",$I55="-"),"",VLOOKUP($G55,為替!$A:$AX,$I55,FALSE))+$J$3,IF(OR($I55="",$I55="-"),"",VLOOKUP($G55,為替!$A:$AX,$I55,FALSE)))</f>
        <v>153.58000000000001</v>
      </c>
      <c r="K55" s="204">
        <f t="shared" si="2"/>
        <v>9491.2440000000006</v>
      </c>
      <c r="L55" s="188">
        <f t="shared" si="7"/>
        <v>3</v>
      </c>
      <c r="M55" s="203">
        <f>IF($H55="USD",IF(OR($L55="",$L55="-"),"",VLOOKUP($G55,為替!$A:$AX,$L55,FALSE))+$K$3,IF(OR($L55="",$L55="-"),"",VLOOKUP($G55,為替!$A:$AX,$L55,FALSE)))</f>
        <v>154.58000000000001</v>
      </c>
      <c r="N55" s="204">
        <f t="shared" si="4"/>
        <v>4169</v>
      </c>
      <c r="O55" s="205">
        <f t="shared" si="8"/>
        <v>5322.2440000000006</v>
      </c>
      <c r="P55" s="206">
        <f t="shared" si="9"/>
        <v>0.56075304775643742</v>
      </c>
    </row>
    <row r="56" spans="1:16" x14ac:dyDescent="0.4">
      <c r="A56" s="162" t="s">
        <v>313</v>
      </c>
      <c r="B56" s="162" t="s">
        <v>359</v>
      </c>
      <c r="C56" s="199">
        <v>6300</v>
      </c>
      <c r="D56" s="200">
        <v>0</v>
      </c>
      <c r="E56" s="201" t="s">
        <v>247</v>
      </c>
      <c r="F56" s="199">
        <v>78</v>
      </c>
      <c r="G56" s="161">
        <v>45503</v>
      </c>
      <c r="H56" s="202" t="s">
        <v>246</v>
      </c>
      <c r="I56" s="185">
        <f t="shared" si="1"/>
        <v>4</v>
      </c>
      <c r="J56" s="203">
        <f>IF($H56="USD",IF(OR($I56="",$I56="-"),"",VLOOKUP($G56,為替!$A:$AX,$I56,FALSE))+$J$3,IF(OR($I56="",$I56="-"),"",VLOOKUP($G56,為替!$A:$AX,$I56,FALSE)))</f>
        <v>153.58000000000001</v>
      </c>
      <c r="K56" s="204">
        <f t="shared" si="2"/>
        <v>11979.240000000002</v>
      </c>
      <c r="L56" s="188">
        <f t="shared" si="7"/>
        <v>3</v>
      </c>
      <c r="M56" s="203">
        <f>IF($H56="USD",IF(OR($L56="",$L56="-"),"",VLOOKUP($G56,為替!$A:$AX,$L56,FALSE))+$K$3,IF(OR($L56="",$L56="-"),"",VLOOKUP($G56,為替!$A:$AX,$L56,FALSE)))</f>
        <v>154.58000000000001</v>
      </c>
      <c r="N56" s="204">
        <f t="shared" si="4"/>
        <v>6300</v>
      </c>
      <c r="O56" s="205">
        <f t="shared" si="8"/>
        <v>5679.2400000000016</v>
      </c>
      <c r="P56" s="206">
        <f t="shared" si="9"/>
        <v>0.47409017600448783</v>
      </c>
    </row>
    <row r="57" spans="1:16" x14ac:dyDescent="0.4">
      <c r="A57" s="162" t="s">
        <v>314</v>
      </c>
      <c r="B57" s="162" t="s">
        <v>360</v>
      </c>
      <c r="C57" s="199">
        <v>4181</v>
      </c>
      <c r="D57" s="200">
        <v>0</v>
      </c>
      <c r="E57" s="201" t="s">
        <v>247</v>
      </c>
      <c r="F57" s="199">
        <v>57.05</v>
      </c>
      <c r="G57" s="161">
        <v>45504</v>
      </c>
      <c r="H57" s="202" t="s">
        <v>246</v>
      </c>
      <c r="I57" s="185">
        <f t="shared" si="1"/>
        <v>4</v>
      </c>
      <c r="J57" s="203">
        <f>IF($H57="USD",IF(OR($I57="",$I57="-"),"",VLOOKUP($G57,為替!$A:$AX,$I57,FALSE))+$J$3,IF(OR($I57="",$I57="-"),"",VLOOKUP($G57,為替!$A:$AX,$I57,FALSE)))</f>
        <v>151.94</v>
      </c>
      <c r="K57" s="204">
        <f t="shared" si="2"/>
        <v>8668.1769999999997</v>
      </c>
      <c r="L57" s="188">
        <f t="shared" si="7"/>
        <v>3</v>
      </c>
      <c r="M57" s="203">
        <f>IF($H57="USD",IF(OR($L57="",$L57="-"),"",VLOOKUP($G57,為替!$A:$AX,$L57,FALSE))+$K$3,IF(OR($L57="",$L57="-"),"",VLOOKUP($G57,為替!$A:$AX,$L57,FALSE)))</f>
        <v>152.94</v>
      </c>
      <c r="N57" s="204">
        <f t="shared" si="4"/>
        <v>4181</v>
      </c>
      <c r="O57" s="205">
        <f t="shared" si="8"/>
        <v>4487.1769999999997</v>
      </c>
      <c r="P57" s="206">
        <f t="shared" si="9"/>
        <v>0.51766097992692117</v>
      </c>
    </row>
    <row r="58" spans="1:16" x14ac:dyDescent="0.4">
      <c r="A58" s="162" t="s">
        <v>314</v>
      </c>
      <c r="B58" s="162" t="s">
        <v>361</v>
      </c>
      <c r="C58" s="199">
        <v>83496</v>
      </c>
      <c r="D58" s="200">
        <v>26868</v>
      </c>
      <c r="E58" s="201" t="s">
        <v>247</v>
      </c>
      <c r="F58" s="199">
        <v>1034.8600000000001</v>
      </c>
      <c r="G58" s="161">
        <v>45504</v>
      </c>
      <c r="H58" s="202" t="s">
        <v>246</v>
      </c>
      <c r="I58" s="185">
        <f t="shared" si="1"/>
        <v>4</v>
      </c>
      <c r="J58" s="203">
        <f>IF($H58="USD",IF(OR($I58="",$I58="-"),"",VLOOKUP($G58,為替!$A:$AX,$I58,FALSE))+$J$3,IF(OR($I58="",$I58="-"),"",VLOOKUP($G58,為替!$A:$AX,$I58,FALSE)))</f>
        <v>151.94</v>
      </c>
      <c r="K58" s="204">
        <f t="shared" si="2"/>
        <v>157236.62840000002</v>
      </c>
      <c r="L58" s="188">
        <f t="shared" si="7"/>
        <v>3</v>
      </c>
      <c r="M58" s="203">
        <f>IF($H58="USD",IF(OR($L58="",$L58="-"),"",VLOOKUP($G58,為替!$A:$AX,$L58,FALSE))+$K$3,IF(OR($L58="",$L58="-"),"",VLOOKUP($G58,為替!$A:$AX,$L58,FALSE)))</f>
        <v>152.94</v>
      </c>
      <c r="N58" s="204">
        <f t="shared" si="4"/>
        <v>110364</v>
      </c>
      <c r="O58" s="205">
        <f t="shared" si="8"/>
        <v>46872.628400000016</v>
      </c>
      <c r="P58" s="206">
        <f t="shared" si="9"/>
        <v>0.29810247699256831</v>
      </c>
    </row>
    <row r="59" spans="1:16" x14ac:dyDescent="0.4">
      <c r="A59" s="162" t="s">
        <v>314</v>
      </c>
      <c r="B59" s="162" t="s">
        <v>362</v>
      </c>
      <c r="C59" s="199">
        <v>298800</v>
      </c>
      <c r="D59" s="200">
        <v>0</v>
      </c>
      <c r="E59" s="201" t="s">
        <v>247</v>
      </c>
      <c r="F59" s="199">
        <v>2849.6</v>
      </c>
      <c r="G59" s="161">
        <v>45504</v>
      </c>
      <c r="H59" s="202" t="s">
        <v>246</v>
      </c>
      <c r="I59" s="185">
        <f t="shared" si="1"/>
        <v>4</v>
      </c>
      <c r="J59" s="203">
        <f>IF($H59="USD",IF(OR($I59="",$I59="-"),"",VLOOKUP($G59,為替!$A:$AX,$I59,FALSE))+$J$3,IF(OR($I59="",$I59="-"),"",VLOOKUP($G59,為替!$A:$AX,$I59,FALSE)))</f>
        <v>151.94</v>
      </c>
      <c r="K59" s="204">
        <f t="shared" si="2"/>
        <v>432968.22399999999</v>
      </c>
      <c r="L59" s="188">
        <f t="shared" si="7"/>
        <v>3</v>
      </c>
      <c r="M59" s="203">
        <f>IF($H59="USD",IF(OR($L59="",$L59="-"),"",VLOOKUP($G59,為替!$A:$AX,$L59,FALSE))+$K$3,IF(OR($L59="",$L59="-"),"",VLOOKUP($G59,為替!$A:$AX,$L59,FALSE)))</f>
        <v>152.94</v>
      </c>
      <c r="N59" s="204">
        <f t="shared" si="4"/>
        <v>298800</v>
      </c>
      <c r="O59" s="205">
        <f t="shared" si="8"/>
        <v>134168.22399999999</v>
      </c>
      <c r="P59" s="206">
        <f t="shared" si="9"/>
        <v>0.30988007101417214</v>
      </c>
    </row>
    <row r="60" spans="1:16" x14ac:dyDescent="0.4">
      <c r="C60" s="199"/>
      <c r="D60" s="200"/>
      <c r="E60" s="201"/>
      <c r="F60" s="199"/>
      <c r="H60" s="202"/>
      <c r="I60" s="185" t="str">
        <f t="shared" si="1"/>
        <v/>
      </c>
      <c r="J60" s="203" t="str">
        <f>IF($H60="USD",IF(OR($I60="",$I60="-"),"",VLOOKUP($G60,為替!$A:$AX,$I60,FALSE))+$J$3,IF(OR($I60="",$I60="-"),"",VLOOKUP($G60,為替!$A:$AX,$I60,FALSE)))</f>
        <v/>
      </c>
      <c r="K60" s="204" t="str">
        <f t="shared" si="2"/>
        <v/>
      </c>
      <c r="L60" s="188" t="str">
        <f t="shared" si="7"/>
        <v/>
      </c>
      <c r="M60" s="203" t="str">
        <f>IF($H60="USD",IF(OR($L60="",$L60="-"),"",VLOOKUP($G60,為替!$A:$AX,$L60,FALSE))+$K$3,IF(OR($L60="",$L60="-"),"",VLOOKUP($G60,為替!$A:$AX,$L60,FALSE)))</f>
        <v/>
      </c>
      <c r="N60" s="204" t="str">
        <f t="shared" si="4"/>
        <v/>
      </c>
      <c r="O60" s="205" t="str">
        <f t="shared" si="8"/>
        <v/>
      </c>
      <c r="P60" s="206" t="str">
        <f t="shared" si="9"/>
        <v/>
      </c>
    </row>
    <row r="61" spans="1:16" x14ac:dyDescent="0.4">
      <c r="C61" s="199"/>
      <c r="D61" s="200"/>
      <c r="E61" s="201"/>
      <c r="F61" s="199"/>
      <c r="H61" s="202"/>
      <c r="I61" s="185" t="str">
        <f t="shared" si="1"/>
        <v/>
      </c>
      <c r="J61" s="203" t="str">
        <f>IF($H61="USD",IF(OR($I61="",$I61="-"),"",VLOOKUP($G61,為替!$A:$AX,$I61,FALSE))+$J$3,IF(OR($I61="",$I61="-"),"",VLOOKUP($G61,為替!$A:$AX,$I61,FALSE)))</f>
        <v/>
      </c>
      <c r="K61" s="204" t="str">
        <f t="shared" si="2"/>
        <v/>
      </c>
      <c r="L61" s="188" t="str">
        <f t="shared" si="7"/>
        <v/>
      </c>
      <c r="M61" s="203" t="str">
        <f>IF($H61="USD",IF(OR($L61="",$L61="-"),"",VLOOKUP($G61,為替!$A:$AX,$L61,FALSE))+$K$3,IF(OR($L61="",$L61="-"),"",VLOOKUP($G61,為替!$A:$AX,$L61,FALSE)))</f>
        <v/>
      </c>
      <c r="N61" s="204" t="str">
        <f t="shared" si="4"/>
        <v/>
      </c>
      <c r="O61" s="205" t="str">
        <f t="shared" si="8"/>
        <v/>
      </c>
      <c r="P61" s="206" t="str">
        <f t="shared" si="9"/>
        <v/>
      </c>
    </row>
    <row r="62" spans="1:16" x14ac:dyDescent="0.4">
      <c r="C62" s="199"/>
      <c r="D62" s="200"/>
      <c r="E62" s="201"/>
      <c r="F62" s="199"/>
      <c r="H62" s="202"/>
      <c r="I62" s="185" t="str">
        <f t="shared" si="1"/>
        <v/>
      </c>
      <c r="J62" s="203" t="str">
        <f>IF($H62="USD",IF(OR($I62="",$I62="-"),"",VLOOKUP($G62,為替!$A:$AX,$I62,FALSE))+$J$3,IF(OR($I62="",$I62="-"),"",VLOOKUP($G62,為替!$A:$AX,$I62,FALSE)))</f>
        <v/>
      </c>
      <c r="K62" s="204" t="str">
        <f t="shared" si="2"/>
        <v/>
      </c>
      <c r="L62" s="188" t="str">
        <f t="shared" si="7"/>
        <v/>
      </c>
      <c r="M62" s="203" t="str">
        <f>IF($H62="USD",IF(OR($L62="",$L62="-"),"",VLOOKUP($G62,為替!$A:$AX,$L62,FALSE))+$K$3,IF(OR($L62="",$L62="-"),"",VLOOKUP($G62,為替!$A:$AX,$L62,FALSE)))</f>
        <v/>
      </c>
      <c r="N62" s="204" t="str">
        <f t="shared" si="4"/>
        <v/>
      </c>
      <c r="O62" s="205" t="str">
        <f t="shared" si="8"/>
        <v/>
      </c>
      <c r="P62" s="206" t="str">
        <f t="shared" si="9"/>
        <v/>
      </c>
    </row>
    <row r="63" spans="1:16" x14ac:dyDescent="0.4">
      <c r="C63" s="199"/>
      <c r="D63" s="200"/>
      <c r="E63" s="201"/>
      <c r="F63" s="199"/>
      <c r="H63" s="202"/>
      <c r="I63" s="185" t="str">
        <f t="shared" si="1"/>
        <v/>
      </c>
      <c r="J63" s="203" t="str">
        <f>IF($H63="USD",IF(OR($I63="",$I63="-"),"",VLOOKUP($G63,為替!$A:$AX,$I63,FALSE))+$J$3,IF(OR($I63="",$I63="-"),"",VLOOKUP($G63,為替!$A:$AX,$I63,FALSE)))</f>
        <v/>
      </c>
      <c r="K63" s="204" t="str">
        <f t="shared" si="2"/>
        <v/>
      </c>
      <c r="L63" s="188" t="str">
        <f t="shared" si="7"/>
        <v/>
      </c>
      <c r="M63" s="203" t="str">
        <f>IF($H63="USD",IF(OR($L63="",$L63="-"),"",VLOOKUP($G63,為替!$A:$AX,$L63,FALSE))+$K$3,IF(OR($L63="",$L63="-"),"",VLOOKUP($G63,為替!$A:$AX,$L63,FALSE)))</f>
        <v/>
      </c>
      <c r="N63" s="204" t="str">
        <f t="shared" si="4"/>
        <v/>
      </c>
      <c r="O63" s="205" t="str">
        <f t="shared" si="8"/>
        <v/>
      </c>
      <c r="P63" s="206" t="str">
        <f t="shared" si="9"/>
        <v/>
      </c>
    </row>
    <row r="64" spans="1:16" x14ac:dyDescent="0.4">
      <c r="C64" s="199"/>
      <c r="D64" s="200"/>
      <c r="E64" s="201"/>
      <c r="F64" s="199"/>
      <c r="H64" s="202"/>
      <c r="I64" s="185" t="str">
        <f t="shared" si="1"/>
        <v/>
      </c>
      <c r="J64" s="203" t="str">
        <f>IF($H64="USD",IF(OR($I64="",$I64="-"),"",VLOOKUP($G64,為替!$A:$AX,$I64,FALSE))+$J$3,IF(OR($I64="",$I64="-"),"",VLOOKUP($G64,為替!$A:$AX,$I64,FALSE)))</f>
        <v/>
      </c>
      <c r="K64" s="204" t="str">
        <f t="shared" si="2"/>
        <v/>
      </c>
      <c r="L64" s="188" t="str">
        <f t="shared" si="7"/>
        <v/>
      </c>
      <c r="M64" s="203" t="str">
        <f>IF($H64="USD",IF(OR($L64="",$L64="-"),"",VLOOKUP($G64,為替!$A:$AX,$L64,FALSE))+$K$3,IF(OR($L64="",$L64="-"),"",VLOOKUP($G64,為替!$A:$AX,$L64,FALSE)))</f>
        <v/>
      </c>
      <c r="N64" s="204" t="str">
        <f t="shared" si="4"/>
        <v/>
      </c>
      <c r="O64" s="205" t="str">
        <f t="shared" si="8"/>
        <v/>
      </c>
      <c r="P64" s="206" t="str">
        <f t="shared" si="9"/>
        <v/>
      </c>
    </row>
    <row r="65" spans="3:16" x14ac:dyDescent="0.4">
      <c r="C65" s="199"/>
      <c r="D65" s="200"/>
      <c r="E65" s="201"/>
      <c r="F65" s="199"/>
      <c r="H65" s="202"/>
      <c r="I65" s="185" t="str">
        <f t="shared" si="1"/>
        <v/>
      </c>
      <c r="J65" s="203" t="str">
        <f>IF($H65="USD",IF(OR($I65="",$I65="-"),"",VLOOKUP($G65,為替!$A:$AX,$I65,FALSE))+$J$3,IF(OR($I65="",$I65="-"),"",VLOOKUP($G65,為替!$A:$AX,$I65,FALSE)))</f>
        <v/>
      </c>
      <c r="K65" s="204" t="str">
        <f t="shared" si="2"/>
        <v/>
      </c>
      <c r="L65" s="188" t="str">
        <f t="shared" si="7"/>
        <v/>
      </c>
      <c r="M65" s="203" t="str">
        <f>IF($H65="USD",IF(OR($L65="",$L65="-"),"",VLOOKUP($G65,為替!$A:$AX,$L65,FALSE))+$K$3,IF(OR($L65="",$L65="-"),"",VLOOKUP($G65,為替!$A:$AX,$L65,FALSE)))</f>
        <v/>
      </c>
      <c r="N65" s="204" t="str">
        <f t="shared" si="4"/>
        <v/>
      </c>
      <c r="O65" s="205" t="str">
        <f t="shared" si="8"/>
        <v/>
      </c>
      <c r="P65" s="206" t="str">
        <f t="shared" si="9"/>
        <v/>
      </c>
    </row>
    <row r="66" spans="3:16" x14ac:dyDescent="0.4">
      <c r="C66" s="199"/>
      <c r="D66" s="200"/>
      <c r="E66" s="201"/>
      <c r="F66" s="199"/>
      <c r="H66" s="202"/>
      <c r="I66" s="185" t="str">
        <f t="shared" si="1"/>
        <v/>
      </c>
      <c r="J66" s="203" t="str">
        <f>IF($H66="USD",IF(OR($I66="",$I66="-"),"",VLOOKUP($G66,為替!$A:$AX,$I66,FALSE))+$J$3,IF(OR($I66="",$I66="-"),"",VLOOKUP($G66,為替!$A:$AX,$I66,FALSE)))</f>
        <v/>
      </c>
      <c r="K66" s="204" t="str">
        <f t="shared" si="2"/>
        <v/>
      </c>
      <c r="L66" s="188" t="str">
        <f t="shared" si="7"/>
        <v/>
      </c>
      <c r="M66" s="203" t="str">
        <f>IF($H66="USD",IF(OR($L66="",$L66="-"),"",VLOOKUP($G66,為替!$A:$AX,$L66,FALSE))+$K$3,IF(OR($L66="",$L66="-"),"",VLOOKUP($G66,為替!$A:$AX,$L66,FALSE)))</f>
        <v/>
      </c>
      <c r="N66" s="204" t="str">
        <f t="shared" si="4"/>
        <v/>
      </c>
      <c r="O66" s="205" t="str">
        <f t="shared" si="8"/>
        <v/>
      </c>
      <c r="P66" s="206" t="str">
        <f t="shared" si="9"/>
        <v/>
      </c>
    </row>
    <row r="67" spans="3:16" x14ac:dyDescent="0.4">
      <c r="C67" s="199"/>
      <c r="D67" s="200"/>
      <c r="E67" s="201"/>
      <c r="F67" s="199"/>
      <c r="H67" s="202"/>
      <c r="I67" s="185" t="str">
        <f t="shared" si="1"/>
        <v/>
      </c>
      <c r="J67" s="203" t="str">
        <f>IF($H67="USD",IF(OR($I67="",$I67="-"),"",VLOOKUP($G67,為替!$A:$AX,$I67,FALSE))+$J$3,IF(OR($I67="",$I67="-"),"",VLOOKUP($G67,為替!$A:$AX,$I67,FALSE)))</f>
        <v/>
      </c>
      <c r="K67" s="204" t="str">
        <f t="shared" si="2"/>
        <v/>
      </c>
      <c r="L67" s="188" t="str">
        <f t="shared" si="7"/>
        <v/>
      </c>
      <c r="M67" s="203" t="str">
        <f>IF($H67="USD",IF(OR($L67="",$L67="-"),"",VLOOKUP($G67,為替!$A:$AX,$L67,FALSE))+$K$3,IF(OR($L67="",$L67="-"),"",VLOOKUP($G67,為替!$A:$AX,$L67,FALSE)))</f>
        <v/>
      </c>
      <c r="N67" s="204" t="str">
        <f t="shared" si="4"/>
        <v/>
      </c>
      <c r="O67" s="205" t="str">
        <f t="shared" si="8"/>
        <v/>
      </c>
      <c r="P67" s="206" t="str">
        <f t="shared" si="9"/>
        <v/>
      </c>
    </row>
    <row r="68" spans="3:16" x14ac:dyDescent="0.4">
      <c r="C68" s="199"/>
      <c r="D68" s="200"/>
      <c r="E68" s="201"/>
      <c r="F68" s="199"/>
      <c r="H68" s="202"/>
      <c r="I68" s="185" t="str">
        <f t="shared" si="1"/>
        <v/>
      </c>
      <c r="J68" s="203" t="str">
        <f>IF($H68="USD",IF(OR($I68="",$I68="-"),"",VLOOKUP($G68,為替!$A:$AX,$I68,FALSE))+$J$3,IF(OR($I68="",$I68="-"),"",VLOOKUP($G68,為替!$A:$AX,$I68,FALSE)))</f>
        <v/>
      </c>
      <c r="K68" s="204" t="str">
        <f t="shared" si="2"/>
        <v/>
      </c>
      <c r="L68" s="188" t="str">
        <f t="shared" si="7"/>
        <v/>
      </c>
      <c r="M68" s="203" t="str">
        <f>IF($H68="USD",IF(OR($L68="",$L68="-"),"",VLOOKUP($G68,為替!$A:$AX,$L68,FALSE))+$K$3,IF(OR($L68="",$L68="-"),"",VLOOKUP($G68,為替!$A:$AX,$L68,FALSE)))</f>
        <v/>
      </c>
      <c r="N68" s="204" t="str">
        <f t="shared" si="4"/>
        <v/>
      </c>
      <c r="O68" s="205" t="str">
        <f t="shared" si="8"/>
        <v/>
      </c>
      <c r="P68" s="206" t="str">
        <f t="shared" si="9"/>
        <v/>
      </c>
    </row>
    <row r="69" spans="3:16" x14ac:dyDescent="0.4">
      <c r="C69" s="199"/>
      <c r="D69" s="200"/>
      <c r="E69" s="201"/>
      <c r="F69" s="199"/>
      <c r="H69" s="202"/>
      <c r="I69" s="185" t="str">
        <f t="shared" si="1"/>
        <v/>
      </c>
      <c r="J69" s="203" t="str">
        <f>IF($H69="USD",IF(OR($I69="",$I69="-"),"",VLOOKUP($G69,為替!$A:$AX,$I69,FALSE))+$J$3,IF(OR($I69="",$I69="-"),"",VLOOKUP($G69,為替!$A:$AX,$I69,FALSE)))</f>
        <v/>
      </c>
      <c r="K69" s="204" t="str">
        <f t="shared" si="2"/>
        <v/>
      </c>
      <c r="L69" s="188" t="str">
        <f t="shared" si="7"/>
        <v/>
      </c>
      <c r="M69" s="203" t="str">
        <f>IF($H69="USD",IF(OR($L69="",$L69="-"),"",VLOOKUP($G69,為替!$A:$AX,$L69,FALSE))+$K$3,IF(OR($L69="",$L69="-"),"",VLOOKUP($G69,為替!$A:$AX,$L69,FALSE)))</f>
        <v/>
      </c>
      <c r="N69" s="204" t="str">
        <f t="shared" si="4"/>
        <v/>
      </c>
      <c r="O69" s="205" t="str">
        <f t="shared" si="8"/>
        <v/>
      </c>
      <c r="P69" s="206" t="str">
        <f t="shared" si="9"/>
        <v/>
      </c>
    </row>
    <row r="70" spans="3:16" x14ac:dyDescent="0.4">
      <c r="C70" s="199"/>
      <c r="D70" s="200"/>
      <c r="E70" s="201"/>
      <c r="F70" s="199"/>
      <c r="H70" s="202"/>
      <c r="I70" s="185" t="str">
        <f t="shared" si="1"/>
        <v/>
      </c>
      <c r="J70" s="203" t="str">
        <f>IF($H70="USD",IF(OR($I70="",$I70="-"),"",VLOOKUP($G70,為替!$A:$AX,$I70,FALSE))+$J$3,IF(OR($I70="",$I70="-"),"",VLOOKUP($G70,為替!$A:$AX,$I70,FALSE)))</f>
        <v/>
      </c>
      <c r="K70" s="204" t="str">
        <f t="shared" si="2"/>
        <v/>
      </c>
      <c r="L70" s="188" t="str">
        <f t="shared" si="7"/>
        <v/>
      </c>
      <c r="M70" s="203" t="str">
        <f>IF($H70="USD",IF(OR($L70="",$L70="-"),"",VLOOKUP($G70,為替!$A:$AX,$L70,FALSE))+$K$3,IF(OR($L70="",$L70="-"),"",VLOOKUP($G70,為替!$A:$AX,$L70,FALSE)))</f>
        <v/>
      </c>
      <c r="N70" s="204" t="str">
        <f t="shared" si="4"/>
        <v/>
      </c>
      <c r="O70" s="205" t="str">
        <f t="shared" si="8"/>
        <v/>
      </c>
      <c r="P70" s="206" t="str">
        <f t="shared" si="9"/>
        <v/>
      </c>
    </row>
    <row r="71" spans="3:16" x14ac:dyDescent="0.4">
      <c r="C71" s="199"/>
      <c r="D71" s="200"/>
      <c r="E71" s="201"/>
      <c r="F71" s="199"/>
      <c r="H71" s="202"/>
      <c r="I71" s="185" t="str">
        <f t="shared" ref="I71:I134" si="10">IF(H71="","",IF(H71="JPY","",IF($H71="USD",4, IF(H71="EUR",7,IF(H71="CNY",47,IF(H71="HKD",34))))))</f>
        <v/>
      </c>
      <c r="J71" s="203" t="str">
        <f>IF($H71="USD",IF(OR($I71="",$I71="-"),"",VLOOKUP($G71,為替!$A:$AX,$I71,FALSE))+$J$3,IF(OR($I71="",$I71="-"),"",VLOOKUP($G71,為替!$A:$AX,$I71,FALSE)))</f>
        <v/>
      </c>
      <c r="K71" s="204" t="str">
        <f t="shared" ref="K71:K134" si="11">IF($H71="JPY",$F71,IF($H71="","",$F71*$J71))</f>
        <v/>
      </c>
      <c r="L71" s="188" t="str">
        <f t="shared" si="7"/>
        <v/>
      </c>
      <c r="M71" s="203" t="str">
        <f>IF($H71="USD",IF(OR($L71="",$L71="-"),"",VLOOKUP($G71,為替!$A:$AX,$L71,FALSE))+$K$3,IF(OR($L71="",$L71="-"),"",VLOOKUP($G71,為替!$A:$AX,$L71,FALSE)))</f>
        <v/>
      </c>
      <c r="N71" s="204" t="str">
        <f t="shared" ref="N71:N134" si="12">IF($E71="JPY",($C71+$D71),IF($E71="","",($C71+$D71)*$M71))</f>
        <v/>
      </c>
      <c r="O71" s="205" t="str">
        <f t="shared" si="8"/>
        <v/>
      </c>
      <c r="P71" s="206" t="str">
        <f t="shared" si="9"/>
        <v/>
      </c>
    </row>
    <row r="72" spans="3:16" x14ac:dyDescent="0.4">
      <c r="C72" s="199"/>
      <c r="D72" s="200"/>
      <c r="E72" s="201"/>
      <c r="F72" s="199"/>
      <c r="H72" s="202"/>
      <c r="I72" s="185" t="str">
        <f t="shared" si="10"/>
        <v/>
      </c>
      <c r="J72" s="203" t="str">
        <f>IF($H72="USD",IF(OR($I72="",$I72="-"),"",VLOOKUP($G72,為替!$A:$AX,$I72,FALSE))+$J$3,IF(OR($I72="",$I72="-"),"",VLOOKUP($G72,為替!$A:$AX,$I72,FALSE)))</f>
        <v/>
      </c>
      <c r="K72" s="204" t="str">
        <f t="shared" si="11"/>
        <v/>
      </c>
      <c r="L72" s="188" t="str">
        <f t="shared" si="7"/>
        <v/>
      </c>
      <c r="M72" s="203" t="str">
        <f>IF($H72="USD",IF(OR($L72="",$L72="-"),"",VLOOKUP($G72,為替!$A:$AX,$L72,FALSE))+$K$3,IF(OR($L72="",$L72="-"),"",VLOOKUP($G72,為替!$A:$AX,$L72,FALSE)))</f>
        <v/>
      </c>
      <c r="N72" s="204" t="str">
        <f t="shared" si="12"/>
        <v/>
      </c>
      <c r="O72" s="205" t="str">
        <f t="shared" si="8"/>
        <v/>
      </c>
      <c r="P72" s="206" t="str">
        <f t="shared" si="9"/>
        <v/>
      </c>
    </row>
    <row r="73" spans="3:16" x14ac:dyDescent="0.4">
      <c r="C73" s="199"/>
      <c r="D73" s="200"/>
      <c r="E73" s="201"/>
      <c r="F73" s="199"/>
      <c r="H73" s="202"/>
      <c r="I73" s="185" t="str">
        <f t="shared" si="10"/>
        <v/>
      </c>
      <c r="J73" s="203" t="str">
        <f>IF($H73="USD",IF(OR($I73="",$I73="-"),"",VLOOKUP($G73,為替!$A:$AX,$I73,FALSE))+$J$3,IF(OR($I73="",$I73="-"),"",VLOOKUP($G73,為替!$A:$AX,$I73,FALSE)))</f>
        <v/>
      </c>
      <c r="K73" s="204" t="str">
        <f t="shared" si="11"/>
        <v/>
      </c>
      <c r="L73" s="188" t="str">
        <f t="shared" si="7"/>
        <v/>
      </c>
      <c r="M73" s="203" t="str">
        <f>IF($H73="USD",IF(OR($L73="",$L73="-"),"",VLOOKUP($G73,為替!$A:$AX,$L73,FALSE))+$K$3,IF(OR($L73="",$L73="-"),"",VLOOKUP($G73,為替!$A:$AX,$L73,FALSE)))</f>
        <v/>
      </c>
      <c r="N73" s="204" t="str">
        <f t="shared" si="12"/>
        <v/>
      </c>
      <c r="O73" s="205" t="str">
        <f t="shared" si="8"/>
        <v/>
      </c>
      <c r="P73" s="206" t="str">
        <f t="shared" si="9"/>
        <v/>
      </c>
    </row>
    <row r="74" spans="3:16" x14ac:dyDescent="0.4">
      <c r="C74" s="199"/>
      <c r="D74" s="200"/>
      <c r="E74" s="201"/>
      <c r="F74" s="199"/>
      <c r="H74" s="202"/>
      <c r="I74" s="185" t="str">
        <f t="shared" si="10"/>
        <v/>
      </c>
      <c r="J74" s="203" t="str">
        <f>IF($H74="USD",IF(OR($I74="",$I74="-"),"",VLOOKUP($G74,為替!$A:$AX,$I74,FALSE))+$J$3,IF(OR($I74="",$I74="-"),"",VLOOKUP($G74,為替!$A:$AX,$I74,FALSE)))</f>
        <v/>
      </c>
      <c r="K74" s="204" t="str">
        <f t="shared" si="11"/>
        <v/>
      </c>
      <c r="L74" s="188" t="str">
        <f t="shared" si="7"/>
        <v/>
      </c>
      <c r="M74" s="203" t="str">
        <f>IF($H74="USD",IF(OR($L74="",$L74="-"),"",VLOOKUP($G74,為替!$A:$AX,$L74,FALSE))+$K$3,IF(OR($L74="",$L74="-"),"",VLOOKUP($G74,為替!$A:$AX,$L74,FALSE)))</f>
        <v/>
      </c>
      <c r="N74" s="204" t="str">
        <f t="shared" si="12"/>
        <v/>
      </c>
      <c r="O74" s="205" t="str">
        <f t="shared" si="8"/>
        <v/>
      </c>
      <c r="P74" s="206" t="str">
        <f t="shared" si="9"/>
        <v/>
      </c>
    </row>
    <row r="75" spans="3:16" x14ac:dyDescent="0.4">
      <c r="C75" s="199"/>
      <c r="D75" s="200"/>
      <c r="E75" s="201"/>
      <c r="F75" s="199"/>
      <c r="H75" s="202"/>
      <c r="I75" s="185" t="str">
        <f t="shared" si="10"/>
        <v/>
      </c>
      <c r="J75" s="203" t="str">
        <f>IF($H75="USD",IF(OR($I75="",$I75="-"),"",VLOOKUP($G75,為替!$A:$AX,$I75,FALSE))+$J$3,IF(OR($I75="",$I75="-"),"",VLOOKUP($G75,為替!$A:$AX,$I75,FALSE)))</f>
        <v/>
      </c>
      <c r="K75" s="204" t="str">
        <f t="shared" si="11"/>
        <v/>
      </c>
      <c r="L75" s="188" t="str">
        <f t="shared" si="7"/>
        <v/>
      </c>
      <c r="M75" s="203" t="str">
        <f>IF($H75="USD",IF(OR($L75="",$L75="-"),"",VLOOKUP($G75,為替!$A:$AX,$L75,FALSE))+$K$3,IF(OR($L75="",$L75="-"),"",VLOOKUP($G75,為替!$A:$AX,$L75,FALSE)))</f>
        <v/>
      </c>
      <c r="N75" s="204" t="str">
        <f t="shared" si="12"/>
        <v/>
      </c>
      <c r="O75" s="205" t="str">
        <f t="shared" si="8"/>
        <v/>
      </c>
      <c r="P75" s="206" t="str">
        <f t="shared" si="9"/>
        <v/>
      </c>
    </row>
    <row r="76" spans="3:16" x14ac:dyDescent="0.4">
      <c r="C76" s="199"/>
      <c r="D76" s="200"/>
      <c r="E76" s="201"/>
      <c r="F76" s="199"/>
      <c r="H76" s="202"/>
      <c r="I76" s="185" t="str">
        <f t="shared" si="10"/>
        <v/>
      </c>
      <c r="J76" s="203" t="str">
        <f>IF($H76="USD",IF(OR($I76="",$I76="-"),"",VLOOKUP($G76,為替!$A:$AX,$I76,FALSE))+$J$3,IF(OR($I76="",$I76="-"),"",VLOOKUP($G76,為替!$A:$AX,$I76,FALSE)))</f>
        <v/>
      </c>
      <c r="K76" s="204" t="str">
        <f t="shared" si="11"/>
        <v/>
      </c>
      <c r="L76" s="188" t="str">
        <f t="shared" si="7"/>
        <v/>
      </c>
      <c r="M76" s="203" t="str">
        <f>IF($H76="USD",IF(OR($L76="",$L76="-"),"",VLOOKUP($G76,為替!$A:$AX,$L76,FALSE))+$K$3,IF(OR($L76="",$L76="-"),"",VLOOKUP($G76,為替!$A:$AX,$L76,FALSE)))</f>
        <v/>
      </c>
      <c r="N76" s="204" t="str">
        <f t="shared" si="12"/>
        <v/>
      </c>
      <c r="O76" s="205" t="str">
        <f t="shared" si="8"/>
        <v/>
      </c>
      <c r="P76" s="206" t="str">
        <f t="shared" si="9"/>
        <v/>
      </c>
    </row>
    <row r="77" spans="3:16" x14ac:dyDescent="0.4">
      <c r="C77" s="199"/>
      <c r="D77" s="200"/>
      <c r="E77" s="201"/>
      <c r="F77" s="199"/>
      <c r="H77" s="202"/>
      <c r="I77" s="185" t="str">
        <f t="shared" si="10"/>
        <v/>
      </c>
      <c r="J77" s="203" t="str">
        <f>IF($H77="USD",IF(OR($I77="",$I77="-"),"",VLOOKUP($G77,為替!$A:$AX,$I77,FALSE))+$J$3,IF(OR($I77="",$I77="-"),"",VLOOKUP($G77,為替!$A:$AX,$I77,FALSE)))</f>
        <v/>
      </c>
      <c r="K77" s="204" t="str">
        <f t="shared" si="11"/>
        <v/>
      </c>
      <c r="L77" s="188" t="str">
        <f t="shared" si="7"/>
        <v/>
      </c>
      <c r="M77" s="203" t="str">
        <f>IF($H77="USD",IF(OR($L77="",$L77="-"),"",VLOOKUP($G77,為替!$A:$AX,$L77,FALSE))+$K$3,IF(OR($L77="",$L77="-"),"",VLOOKUP($G77,為替!$A:$AX,$L77,FALSE)))</f>
        <v/>
      </c>
      <c r="N77" s="204" t="str">
        <f t="shared" si="12"/>
        <v/>
      </c>
      <c r="O77" s="205" t="str">
        <f t="shared" si="8"/>
        <v/>
      </c>
      <c r="P77" s="206" t="str">
        <f t="shared" si="9"/>
        <v/>
      </c>
    </row>
    <row r="78" spans="3:16" x14ac:dyDescent="0.4">
      <c r="C78" s="199"/>
      <c r="D78" s="200"/>
      <c r="E78" s="201"/>
      <c r="F78" s="199"/>
      <c r="H78" s="202"/>
      <c r="I78" s="185" t="str">
        <f t="shared" si="10"/>
        <v/>
      </c>
      <c r="J78" s="203" t="str">
        <f>IF($H78="USD",IF(OR($I78="",$I78="-"),"",VLOOKUP($G78,為替!$A:$AX,$I78,FALSE))+$J$3,IF(OR($I78="",$I78="-"),"",VLOOKUP($G78,為替!$A:$AX,$I78,FALSE)))</f>
        <v/>
      </c>
      <c r="K78" s="204" t="str">
        <f t="shared" si="11"/>
        <v/>
      </c>
      <c r="L78" s="188" t="str">
        <f t="shared" si="7"/>
        <v/>
      </c>
      <c r="M78" s="203" t="str">
        <f>IF($H78="USD",IF(OR($L78="",$L78="-"),"",VLOOKUP($G78,為替!$A:$AX,$L78,FALSE))+$K$3,IF(OR($L78="",$L78="-"),"",VLOOKUP($G78,為替!$A:$AX,$L78,FALSE)))</f>
        <v/>
      </c>
      <c r="N78" s="204" t="str">
        <f t="shared" si="12"/>
        <v/>
      </c>
      <c r="O78" s="205" t="str">
        <f t="shared" si="8"/>
        <v/>
      </c>
      <c r="P78" s="206" t="str">
        <f t="shared" si="9"/>
        <v/>
      </c>
    </row>
    <row r="79" spans="3:16" x14ac:dyDescent="0.4">
      <c r="C79" s="199"/>
      <c r="D79" s="200"/>
      <c r="E79" s="201"/>
      <c r="F79" s="199"/>
      <c r="H79" s="202"/>
      <c r="I79" s="185" t="str">
        <f t="shared" si="10"/>
        <v/>
      </c>
      <c r="J79" s="203" t="str">
        <f>IF($H79="USD",IF(OR($I79="",$I79="-"),"",VLOOKUP($G79,為替!$A:$AX,$I79,FALSE))+$J$3,IF(OR($I79="",$I79="-"),"",VLOOKUP($G79,為替!$A:$AX,$I79,FALSE)))</f>
        <v/>
      </c>
      <c r="K79" s="204" t="str">
        <f t="shared" si="11"/>
        <v/>
      </c>
      <c r="L79" s="188" t="str">
        <f t="shared" si="7"/>
        <v/>
      </c>
      <c r="M79" s="203" t="str">
        <f>IF($H79="USD",IF(OR($L79="",$L79="-"),"",VLOOKUP($G79,為替!$A:$AX,$L79,FALSE))+$K$3,IF(OR($L79="",$L79="-"),"",VLOOKUP($G79,為替!$A:$AX,$L79,FALSE)))</f>
        <v/>
      </c>
      <c r="N79" s="204" t="str">
        <f t="shared" si="12"/>
        <v/>
      </c>
      <c r="O79" s="205" t="str">
        <f t="shared" si="8"/>
        <v/>
      </c>
      <c r="P79" s="206" t="str">
        <f t="shared" si="9"/>
        <v/>
      </c>
    </row>
    <row r="80" spans="3:16" x14ac:dyDescent="0.4">
      <c r="C80" s="199"/>
      <c r="D80" s="200"/>
      <c r="E80" s="201"/>
      <c r="F80" s="199"/>
      <c r="H80" s="202"/>
      <c r="I80" s="185" t="str">
        <f t="shared" si="10"/>
        <v/>
      </c>
      <c r="J80" s="203" t="str">
        <f>IF($H80="USD",IF(OR($I80="",$I80="-"),"",VLOOKUP($G80,為替!$A:$AX,$I80,FALSE))+$J$3,IF(OR($I80="",$I80="-"),"",VLOOKUP($G80,為替!$A:$AX,$I80,FALSE)))</f>
        <v/>
      </c>
      <c r="K80" s="204" t="str">
        <f t="shared" si="11"/>
        <v/>
      </c>
      <c r="L80" s="188" t="str">
        <f t="shared" si="7"/>
        <v/>
      </c>
      <c r="M80" s="203" t="str">
        <f>IF($H80="USD",IF(OR($L80="",$L80="-"),"",VLOOKUP($G80,為替!$A:$AX,$L80,FALSE))+$K$3,IF(OR($L80="",$L80="-"),"",VLOOKUP($G80,為替!$A:$AX,$L80,FALSE)))</f>
        <v/>
      </c>
      <c r="N80" s="204" t="str">
        <f t="shared" si="12"/>
        <v/>
      </c>
      <c r="O80" s="205" t="str">
        <f t="shared" si="8"/>
        <v/>
      </c>
      <c r="P80" s="206" t="str">
        <f t="shared" si="9"/>
        <v/>
      </c>
    </row>
    <row r="81" spans="3:16" x14ac:dyDescent="0.4">
      <c r="C81" s="199"/>
      <c r="D81" s="200"/>
      <c r="E81" s="201"/>
      <c r="F81" s="199"/>
      <c r="H81" s="202"/>
      <c r="I81" s="185" t="str">
        <f t="shared" si="10"/>
        <v/>
      </c>
      <c r="J81" s="203" t="str">
        <f>IF($H81="USD",IF(OR($I81="",$I81="-"),"",VLOOKUP($G81,為替!$A:$AX,$I81,FALSE))+$J$3,IF(OR($I81="",$I81="-"),"",VLOOKUP($G81,為替!$A:$AX,$I81,FALSE)))</f>
        <v/>
      </c>
      <c r="K81" s="204" t="str">
        <f t="shared" si="11"/>
        <v/>
      </c>
      <c r="L81" s="188" t="str">
        <f t="shared" si="7"/>
        <v/>
      </c>
      <c r="M81" s="203" t="str">
        <f>IF($H81="USD",IF(OR($L81="",$L81="-"),"",VLOOKUP($G81,為替!$A:$AX,$L81,FALSE))+$K$3,IF(OR($L81="",$L81="-"),"",VLOOKUP($G81,為替!$A:$AX,$L81,FALSE)))</f>
        <v/>
      </c>
      <c r="N81" s="204" t="str">
        <f t="shared" si="12"/>
        <v/>
      </c>
      <c r="O81" s="205" t="str">
        <f t="shared" si="8"/>
        <v/>
      </c>
      <c r="P81" s="206" t="str">
        <f t="shared" si="9"/>
        <v/>
      </c>
    </row>
    <row r="82" spans="3:16" x14ac:dyDescent="0.4">
      <c r="C82" s="199"/>
      <c r="D82" s="200"/>
      <c r="E82" s="201"/>
      <c r="F82" s="199"/>
      <c r="H82" s="202"/>
      <c r="I82" s="185" t="str">
        <f t="shared" si="10"/>
        <v/>
      </c>
      <c r="J82" s="203" t="str">
        <f>IF($H82="USD",IF(OR($I82="",$I82="-"),"",VLOOKUP($G82,為替!$A:$AX,$I82,FALSE))+$J$3,IF(OR($I82="",$I82="-"),"",VLOOKUP($G82,為替!$A:$AX,$I82,FALSE)))</f>
        <v/>
      </c>
      <c r="K82" s="204" t="str">
        <f t="shared" si="11"/>
        <v/>
      </c>
      <c r="L82" s="188" t="str">
        <f t="shared" ref="L82:L145" si="13">IF(H82="","",IF(H82="JPY","",IF($H82="USD",3, IF(H82="EUR",6,IF(H82="CNY",46,IF(H82="HKD",33))))))</f>
        <v/>
      </c>
      <c r="M82" s="203" t="str">
        <f>IF($H82="USD",IF(OR($L82="",$L82="-"),"",VLOOKUP($G82,為替!$A:$AX,$L82,FALSE))+$K$3,IF(OR($L82="",$L82="-"),"",VLOOKUP($G82,為替!$A:$AX,$L82,FALSE)))</f>
        <v/>
      </c>
      <c r="N82" s="204" t="str">
        <f t="shared" si="12"/>
        <v/>
      </c>
      <c r="O82" s="205" t="str">
        <f t="shared" ref="O82:O145" si="14">IF(OR(K82="",N82=""),"",K82-N82)</f>
        <v/>
      </c>
      <c r="P82" s="206" t="str">
        <f t="shared" ref="P82:P145" si="15">IF(OR(K82="",O82=""),"",O82/K82)</f>
        <v/>
      </c>
    </row>
    <row r="83" spans="3:16" x14ac:dyDescent="0.4">
      <c r="C83" s="199"/>
      <c r="D83" s="200"/>
      <c r="E83" s="201"/>
      <c r="F83" s="199"/>
      <c r="H83" s="202"/>
      <c r="I83" s="185" t="str">
        <f t="shared" si="10"/>
        <v/>
      </c>
      <c r="J83" s="203" t="str">
        <f>IF($H83="USD",IF(OR($I83="",$I83="-"),"",VLOOKUP($G83,為替!$A:$AX,$I83,FALSE))+$J$3,IF(OR($I83="",$I83="-"),"",VLOOKUP($G83,為替!$A:$AX,$I83,FALSE)))</f>
        <v/>
      </c>
      <c r="K83" s="204" t="str">
        <f t="shared" si="11"/>
        <v/>
      </c>
      <c r="L83" s="188" t="str">
        <f t="shared" si="13"/>
        <v/>
      </c>
      <c r="M83" s="203" t="str">
        <f>IF($H83="USD",IF(OR($L83="",$L83="-"),"",VLOOKUP($G83,為替!$A:$AX,$L83,FALSE))+$K$3,IF(OR($L83="",$L83="-"),"",VLOOKUP($G83,為替!$A:$AX,$L83,FALSE)))</f>
        <v/>
      </c>
      <c r="N83" s="204" t="str">
        <f t="shared" si="12"/>
        <v/>
      </c>
      <c r="O83" s="205" t="str">
        <f t="shared" si="14"/>
        <v/>
      </c>
      <c r="P83" s="206" t="str">
        <f t="shared" si="15"/>
        <v/>
      </c>
    </row>
    <row r="84" spans="3:16" x14ac:dyDescent="0.4">
      <c r="C84" s="199"/>
      <c r="D84" s="200"/>
      <c r="E84" s="201"/>
      <c r="F84" s="199"/>
      <c r="H84" s="202"/>
      <c r="I84" s="185" t="str">
        <f t="shared" si="10"/>
        <v/>
      </c>
      <c r="J84" s="203" t="str">
        <f>IF($H84="USD",IF(OR($I84="",$I84="-"),"",VLOOKUP($G84,為替!$A:$AX,$I84,FALSE))+$J$3,IF(OR($I84="",$I84="-"),"",VLOOKUP($G84,為替!$A:$AX,$I84,FALSE)))</f>
        <v/>
      </c>
      <c r="K84" s="204" t="str">
        <f t="shared" si="11"/>
        <v/>
      </c>
      <c r="L84" s="188" t="str">
        <f t="shared" si="13"/>
        <v/>
      </c>
      <c r="M84" s="203" t="str">
        <f>IF($H84="USD",IF(OR($L84="",$L84="-"),"",VLOOKUP($G84,為替!$A:$AX,$L84,FALSE))+$K$3,IF(OR($L84="",$L84="-"),"",VLOOKUP($G84,為替!$A:$AX,$L84,FALSE)))</f>
        <v/>
      </c>
      <c r="N84" s="204" t="str">
        <f t="shared" si="12"/>
        <v/>
      </c>
      <c r="O84" s="205" t="str">
        <f t="shared" si="14"/>
        <v/>
      </c>
      <c r="P84" s="206" t="str">
        <f t="shared" si="15"/>
        <v/>
      </c>
    </row>
    <row r="85" spans="3:16" x14ac:dyDescent="0.4">
      <c r="C85" s="199"/>
      <c r="D85" s="200"/>
      <c r="E85" s="201"/>
      <c r="F85" s="199"/>
      <c r="H85" s="202"/>
      <c r="I85" s="185" t="str">
        <f t="shared" si="10"/>
        <v/>
      </c>
      <c r="J85" s="203" t="str">
        <f>IF($H85="USD",IF(OR($I85="",$I85="-"),"",VLOOKUP($G85,為替!$A:$AX,$I85,FALSE))+$J$3,IF(OR($I85="",$I85="-"),"",VLOOKUP($G85,為替!$A:$AX,$I85,FALSE)))</f>
        <v/>
      </c>
      <c r="K85" s="204" t="str">
        <f t="shared" si="11"/>
        <v/>
      </c>
      <c r="L85" s="188" t="str">
        <f t="shared" si="13"/>
        <v/>
      </c>
      <c r="M85" s="203" t="str">
        <f>IF($H85="USD",IF(OR($L85="",$L85="-"),"",VLOOKUP($G85,為替!$A:$AX,$L85,FALSE))+$K$3,IF(OR($L85="",$L85="-"),"",VLOOKUP($G85,為替!$A:$AX,$L85,FALSE)))</f>
        <v/>
      </c>
      <c r="N85" s="204" t="str">
        <f t="shared" si="12"/>
        <v/>
      </c>
      <c r="O85" s="205" t="str">
        <f t="shared" si="14"/>
        <v/>
      </c>
      <c r="P85" s="206" t="str">
        <f t="shared" si="15"/>
        <v/>
      </c>
    </row>
    <row r="86" spans="3:16" x14ac:dyDescent="0.4">
      <c r="C86" s="199"/>
      <c r="D86" s="200"/>
      <c r="E86" s="201"/>
      <c r="F86" s="199"/>
      <c r="H86" s="202"/>
      <c r="I86" s="185" t="str">
        <f t="shared" si="10"/>
        <v/>
      </c>
      <c r="J86" s="203" t="str">
        <f>IF($H86="USD",IF(OR($I86="",$I86="-"),"",VLOOKUP($G86,為替!$A:$AX,$I86,FALSE))+$J$3,IF(OR($I86="",$I86="-"),"",VLOOKUP($G86,為替!$A:$AX,$I86,FALSE)))</f>
        <v/>
      </c>
      <c r="K86" s="204" t="str">
        <f t="shared" si="11"/>
        <v/>
      </c>
      <c r="L86" s="188" t="str">
        <f t="shared" si="13"/>
        <v/>
      </c>
      <c r="M86" s="203" t="str">
        <f>IF($H86="USD",IF(OR($L86="",$L86="-"),"",VLOOKUP($G86,為替!$A:$AX,$L86,FALSE))+$K$3,IF(OR($L86="",$L86="-"),"",VLOOKUP($G86,為替!$A:$AX,$L86,FALSE)))</f>
        <v/>
      </c>
      <c r="N86" s="204" t="str">
        <f t="shared" si="12"/>
        <v/>
      </c>
      <c r="O86" s="205" t="str">
        <f t="shared" si="14"/>
        <v/>
      </c>
      <c r="P86" s="206" t="str">
        <f t="shared" si="15"/>
        <v/>
      </c>
    </row>
    <row r="87" spans="3:16" x14ac:dyDescent="0.4">
      <c r="C87" s="199"/>
      <c r="D87" s="200"/>
      <c r="E87" s="201"/>
      <c r="F87" s="199"/>
      <c r="H87" s="202"/>
      <c r="I87" s="185" t="str">
        <f t="shared" si="10"/>
        <v/>
      </c>
      <c r="J87" s="203" t="str">
        <f>IF($H87="USD",IF(OR($I87="",$I87="-"),"",VLOOKUP($G87,為替!$A:$AX,$I87,FALSE))+$J$3,IF(OR($I87="",$I87="-"),"",VLOOKUP($G87,為替!$A:$AX,$I87,FALSE)))</f>
        <v/>
      </c>
      <c r="K87" s="204" t="str">
        <f t="shared" si="11"/>
        <v/>
      </c>
      <c r="L87" s="188" t="str">
        <f t="shared" si="13"/>
        <v/>
      </c>
      <c r="M87" s="203" t="str">
        <f>IF($H87="USD",IF(OR($L87="",$L87="-"),"",VLOOKUP($G87,為替!$A:$AX,$L87,FALSE))+$K$3,IF(OR($L87="",$L87="-"),"",VLOOKUP($G87,為替!$A:$AX,$L87,FALSE)))</f>
        <v/>
      </c>
      <c r="N87" s="204" t="str">
        <f t="shared" si="12"/>
        <v/>
      </c>
      <c r="O87" s="205" t="str">
        <f t="shared" si="14"/>
        <v/>
      </c>
      <c r="P87" s="206" t="str">
        <f t="shared" si="15"/>
        <v/>
      </c>
    </row>
    <row r="88" spans="3:16" x14ac:dyDescent="0.4">
      <c r="C88" s="199"/>
      <c r="D88" s="200"/>
      <c r="E88" s="201"/>
      <c r="F88" s="199"/>
      <c r="H88" s="202"/>
      <c r="I88" s="185" t="str">
        <f t="shared" si="10"/>
        <v/>
      </c>
      <c r="J88" s="203" t="str">
        <f>IF($H88="USD",IF(OR($I88="",$I88="-"),"",VLOOKUP($G88,為替!$A:$AX,$I88,FALSE))+$J$3,IF(OR($I88="",$I88="-"),"",VLOOKUP($G88,為替!$A:$AX,$I88,FALSE)))</f>
        <v/>
      </c>
      <c r="K88" s="204" t="str">
        <f t="shared" si="11"/>
        <v/>
      </c>
      <c r="L88" s="188" t="str">
        <f t="shared" si="13"/>
        <v/>
      </c>
      <c r="M88" s="203" t="str">
        <f>IF($H88="USD",IF(OR($L88="",$L88="-"),"",VLOOKUP($G88,為替!$A:$AX,$L88,FALSE))+$K$3,IF(OR($L88="",$L88="-"),"",VLOOKUP($G88,為替!$A:$AX,$L88,FALSE)))</f>
        <v/>
      </c>
      <c r="N88" s="204" t="str">
        <f t="shared" si="12"/>
        <v/>
      </c>
      <c r="O88" s="205" t="str">
        <f t="shared" si="14"/>
        <v/>
      </c>
      <c r="P88" s="206" t="str">
        <f t="shared" si="15"/>
        <v/>
      </c>
    </row>
    <row r="89" spans="3:16" x14ac:dyDescent="0.4">
      <c r="C89" s="199"/>
      <c r="D89" s="200"/>
      <c r="E89" s="201"/>
      <c r="F89" s="199"/>
      <c r="H89" s="202"/>
      <c r="I89" s="185" t="str">
        <f t="shared" si="10"/>
        <v/>
      </c>
      <c r="J89" s="203" t="str">
        <f>IF($H89="USD",IF(OR($I89="",$I89="-"),"",VLOOKUP($G89,為替!$A:$AX,$I89,FALSE))+$J$3,IF(OR($I89="",$I89="-"),"",VLOOKUP($G89,為替!$A:$AX,$I89,FALSE)))</f>
        <v/>
      </c>
      <c r="K89" s="204" t="str">
        <f t="shared" si="11"/>
        <v/>
      </c>
      <c r="L89" s="188" t="str">
        <f t="shared" si="13"/>
        <v/>
      </c>
      <c r="M89" s="203" t="str">
        <f>IF($H89="USD",IF(OR($L89="",$L89="-"),"",VLOOKUP($G89,為替!$A:$AX,$L89,FALSE))+$K$3,IF(OR($L89="",$L89="-"),"",VLOOKUP($G89,為替!$A:$AX,$L89,FALSE)))</f>
        <v/>
      </c>
      <c r="N89" s="204" t="str">
        <f t="shared" si="12"/>
        <v/>
      </c>
      <c r="O89" s="205" t="str">
        <f t="shared" si="14"/>
        <v/>
      </c>
      <c r="P89" s="206" t="str">
        <f t="shared" si="15"/>
        <v/>
      </c>
    </row>
    <row r="90" spans="3:16" x14ac:dyDescent="0.4">
      <c r="C90" s="199"/>
      <c r="D90" s="200"/>
      <c r="E90" s="201"/>
      <c r="F90" s="199"/>
      <c r="H90" s="202"/>
      <c r="I90" s="185" t="str">
        <f t="shared" si="10"/>
        <v/>
      </c>
      <c r="J90" s="203" t="str">
        <f>IF($H90="USD",IF(OR($I90="",$I90="-"),"",VLOOKUP($G90,為替!$A:$AX,$I90,FALSE))+$J$3,IF(OR($I90="",$I90="-"),"",VLOOKUP($G90,為替!$A:$AX,$I90,FALSE)))</f>
        <v/>
      </c>
      <c r="K90" s="204" t="str">
        <f t="shared" si="11"/>
        <v/>
      </c>
      <c r="L90" s="188" t="str">
        <f t="shared" si="13"/>
        <v/>
      </c>
      <c r="M90" s="203" t="str">
        <f>IF($H90="USD",IF(OR($L90="",$L90="-"),"",VLOOKUP($G90,為替!$A:$AX,$L90,FALSE))+$K$3,IF(OR($L90="",$L90="-"),"",VLOOKUP($G90,為替!$A:$AX,$L90,FALSE)))</f>
        <v/>
      </c>
      <c r="N90" s="204" t="str">
        <f t="shared" si="12"/>
        <v/>
      </c>
      <c r="O90" s="205" t="str">
        <f t="shared" si="14"/>
        <v/>
      </c>
      <c r="P90" s="206" t="str">
        <f t="shared" si="15"/>
        <v/>
      </c>
    </row>
    <row r="91" spans="3:16" x14ac:dyDescent="0.4">
      <c r="C91" s="199"/>
      <c r="D91" s="200"/>
      <c r="E91" s="201"/>
      <c r="F91" s="199"/>
      <c r="H91" s="202"/>
      <c r="I91" s="185" t="str">
        <f t="shared" si="10"/>
        <v/>
      </c>
      <c r="J91" s="203" t="str">
        <f>IF($H91="USD",IF(OR($I91="",$I91="-"),"",VLOOKUP($G91,為替!$A:$AX,$I91,FALSE))+$J$3,IF(OR($I91="",$I91="-"),"",VLOOKUP($G91,為替!$A:$AX,$I91,FALSE)))</f>
        <v/>
      </c>
      <c r="K91" s="204" t="str">
        <f t="shared" si="11"/>
        <v/>
      </c>
      <c r="L91" s="188" t="str">
        <f t="shared" si="13"/>
        <v/>
      </c>
      <c r="M91" s="203" t="str">
        <f>IF($H91="USD",IF(OR($L91="",$L91="-"),"",VLOOKUP($G91,為替!$A:$AX,$L91,FALSE))+$K$3,IF(OR($L91="",$L91="-"),"",VLOOKUP($G91,為替!$A:$AX,$L91,FALSE)))</f>
        <v/>
      </c>
      <c r="N91" s="204" t="str">
        <f t="shared" si="12"/>
        <v/>
      </c>
      <c r="O91" s="205" t="str">
        <f t="shared" si="14"/>
        <v/>
      </c>
      <c r="P91" s="206" t="str">
        <f t="shared" si="15"/>
        <v/>
      </c>
    </row>
    <row r="92" spans="3:16" x14ac:dyDescent="0.4">
      <c r="C92" s="199"/>
      <c r="D92" s="200"/>
      <c r="E92" s="201"/>
      <c r="F92" s="199"/>
      <c r="H92" s="202"/>
      <c r="I92" s="185" t="str">
        <f t="shared" si="10"/>
        <v/>
      </c>
      <c r="J92" s="203" t="str">
        <f>IF($H92="USD",IF(OR($I92="",$I92="-"),"",VLOOKUP($G92,為替!$A:$AX,$I92,FALSE))+$J$3,IF(OR($I92="",$I92="-"),"",VLOOKUP($G92,為替!$A:$AX,$I92,FALSE)))</f>
        <v/>
      </c>
      <c r="K92" s="204" t="str">
        <f t="shared" si="11"/>
        <v/>
      </c>
      <c r="L92" s="188" t="str">
        <f t="shared" si="13"/>
        <v/>
      </c>
      <c r="M92" s="203" t="str">
        <f>IF($H92="USD",IF(OR($L92="",$L92="-"),"",VLOOKUP($G92,為替!$A:$AX,$L92,FALSE))+$K$3,IF(OR($L92="",$L92="-"),"",VLOOKUP($G92,為替!$A:$AX,$L92,FALSE)))</f>
        <v/>
      </c>
      <c r="N92" s="204" t="str">
        <f t="shared" si="12"/>
        <v/>
      </c>
      <c r="O92" s="205" t="str">
        <f t="shared" si="14"/>
        <v/>
      </c>
      <c r="P92" s="206" t="str">
        <f t="shared" si="15"/>
        <v/>
      </c>
    </row>
    <row r="93" spans="3:16" x14ac:dyDescent="0.4">
      <c r="C93" s="199"/>
      <c r="D93" s="200"/>
      <c r="E93" s="201"/>
      <c r="F93" s="199"/>
      <c r="H93" s="202"/>
      <c r="I93" s="185" t="str">
        <f t="shared" si="10"/>
        <v/>
      </c>
      <c r="J93" s="203" t="str">
        <f>IF($H93="USD",IF(OR($I93="",$I93="-"),"",VLOOKUP($G93,為替!$A:$AX,$I93,FALSE))+$J$3,IF(OR($I93="",$I93="-"),"",VLOOKUP($G93,為替!$A:$AX,$I93,FALSE)))</f>
        <v/>
      </c>
      <c r="K93" s="204" t="str">
        <f t="shared" si="11"/>
        <v/>
      </c>
      <c r="L93" s="188" t="str">
        <f t="shared" si="13"/>
        <v/>
      </c>
      <c r="M93" s="203" t="str">
        <f>IF($H93="USD",IF(OR($L93="",$L93="-"),"",VLOOKUP($G93,為替!$A:$AX,$L93,FALSE))+$K$3,IF(OR($L93="",$L93="-"),"",VLOOKUP($G93,為替!$A:$AX,$L93,FALSE)))</f>
        <v/>
      </c>
      <c r="N93" s="204" t="str">
        <f t="shared" si="12"/>
        <v/>
      </c>
      <c r="O93" s="205" t="str">
        <f t="shared" si="14"/>
        <v/>
      </c>
      <c r="P93" s="206" t="str">
        <f t="shared" si="15"/>
        <v/>
      </c>
    </row>
    <row r="94" spans="3:16" x14ac:dyDescent="0.4">
      <c r="C94" s="199"/>
      <c r="D94" s="200"/>
      <c r="E94" s="201"/>
      <c r="F94" s="199"/>
      <c r="H94" s="202"/>
      <c r="I94" s="185" t="str">
        <f t="shared" si="10"/>
        <v/>
      </c>
      <c r="J94" s="203" t="str">
        <f>IF($H94="USD",IF(OR($I94="",$I94="-"),"",VLOOKUP($G94,為替!$A:$AX,$I94,FALSE))+$J$3,IF(OR($I94="",$I94="-"),"",VLOOKUP($G94,為替!$A:$AX,$I94,FALSE)))</f>
        <v/>
      </c>
      <c r="K94" s="204" t="str">
        <f t="shared" si="11"/>
        <v/>
      </c>
      <c r="L94" s="188" t="str">
        <f t="shared" si="13"/>
        <v/>
      </c>
      <c r="M94" s="203" t="str">
        <f>IF($H94="USD",IF(OR($L94="",$L94="-"),"",VLOOKUP($G94,為替!$A:$AX,$L94,FALSE))+$K$3,IF(OR($L94="",$L94="-"),"",VLOOKUP($G94,為替!$A:$AX,$L94,FALSE)))</f>
        <v/>
      </c>
      <c r="N94" s="204" t="str">
        <f t="shared" si="12"/>
        <v/>
      </c>
      <c r="O94" s="205" t="str">
        <f t="shared" si="14"/>
        <v/>
      </c>
      <c r="P94" s="206" t="str">
        <f t="shared" si="15"/>
        <v/>
      </c>
    </row>
    <row r="95" spans="3:16" x14ac:dyDescent="0.4">
      <c r="C95" s="199"/>
      <c r="D95" s="200"/>
      <c r="E95" s="201"/>
      <c r="F95" s="199"/>
      <c r="H95" s="202"/>
      <c r="I95" s="185" t="str">
        <f t="shared" si="10"/>
        <v/>
      </c>
      <c r="J95" s="203" t="str">
        <f>IF($H95="USD",IF(OR($I95="",$I95="-"),"",VLOOKUP($G95,為替!$A:$AX,$I95,FALSE))+$J$3,IF(OR($I95="",$I95="-"),"",VLOOKUP($G95,為替!$A:$AX,$I95,FALSE)))</f>
        <v/>
      </c>
      <c r="K95" s="204" t="str">
        <f t="shared" si="11"/>
        <v/>
      </c>
      <c r="L95" s="188" t="str">
        <f t="shared" si="13"/>
        <v/>
      </c>
      <c r="M95" s="203" t="str">
        <f>IF($H95="USD",IF(OR($L95="",$L95="-"),"",VLOOKUP($G95,為替!$A:$AX,$L95,FALSE))+$K$3,IF(OR($L95="",$L95="-"),"",VLOOKUP($G95,為替!$A:$AX,$L95,FALSE)))</f>
        <v/>
      </c>
      <c r="N95" s="204" t="str">
        <f t="shared" si="12"/>
        <v/>
      </c>
      <c r="O95" s="205" t="str">
        <f t="shared" si="14"/>
        <v/>
      </c>
      <c r="P95" s="206" t="str">
        <f t="shared" si="15"/>
        <v/>
      </c>
    </row>
    <row r="96" spans="3:16" x14ac:dyDescent="0.4">
      <c r="C96" s="199"/>
      <c r="D96" s="200"/>
      <c r="E96" s="201"/>
      <c r="F96" s="199"/>
      <c r="H96" s="202"/>
      <c r="I96" s="185" t="str">
        <f t="shared" si="10"/>
        <v/>
      </c>
      <c r="J96" s="203" t="str">
        <f>IF($H96="USD",IF(OR($I96="",$I96="-"),"",VLOOKUP($G96,為替!$A:$AX,$I96,FALSE))+$J$3,IF(OR($I96="",$I96="-"),"",VLOOKUP($G96,為替!$A:$AX,$I96,FALSE)))</f>
        <v/>
      </c>
      <c r="K96" s="204" t="str">
        <f t="shared" si="11"/>
        <v/>
      </c>
      <c r="L96" s="188" t="str">
        <f t="shared" si="13"/>
        <v/>
      </c>
      <c r="M96" s="203" t="str">
        <f>IF($H96="USD",IF(OR($L96="",$L96="-"),"",VLOOKUP($G96,為替!$A:$AX,$L96,FALSE))+$K$3,IF(OR($L96="",$L96="-"),"",VLOOKUP($G96,為替!$A:$AX,$L96,FALSE)))</f>
        <v/>
      </c>
      <c r="N96" s="204" t="str">
        <f t="shared" si="12"/>
        <v/>
      </c>
      <c r="O96" s="205" t="str">
        <f t="shared" si="14"/>
        <v/>
      </c>
      <c r="P96" s="206" t="str">
        <f t="shared" si="15"/>
        <v/>
      </c>
    </row>
    <row r="97" spans="3:16" x14ac:dyDescent="0.4">
      <c r="C97" s="199"/>
      <c r="D97" s="200"/>
      <c r="E97" s="201"/>
      <c r="F97" s="199"/>
      <c r="H97" s="202"/>
      <c r="I97" s="185" t="str">
        <f t="shared" si="10"/>
        <v/>
      </c>
      <c r="J97" s="203" t="str">
        <f>IF($H97="USD",IF(OR($I97="",$I97="-"),"",VLOOKUP($G97,為替!$A:$AX,$I97,FALSE))+$J$3,IF(OR($I97="",$I97="-"),"",VLOOKUP($G97,為替!$A:$AX,$I97,FALSE)))</f>
        <v/>
      </c>
      <c r="K97" s="204" t="str">
        <f t="shared" si="11"/>
        <v/>
      </c>
      <c r="L97" s="188" t="str">
        <f t="shared" si="13"/>
        <v/>
      </c>
      <c r="M97" s="203" t="str">
        <f>IF($H97="USD",IF(OR($L97="",$L97="-"),"",VLOOKUP($G97,為替!$A:$AX,$L97,FALSE))+$K$3,IF(OR($L97="",$L97="-"),"",VLOOKUP($G97,為替!$A:$AX,$L97,FALSE)))</f>
        <v/>
      </c>
      <c r="N97" s="204" t="str">
        <f t="shared" si="12"/>
        <v/>
      </c>
      <c r="O97" s="205" t="str">
        <f t="shared" si="14"/>
        <v/>
      </c>
      <c r="P97" s="206" t="str">
        <f t="shared" si="15"/>
        <v/>
      </c>
    </row>
    <row r="98" spans="3:16" x14ac:dyDescent="0.4">
      <c r="C98" s="199"/>
      <c r="D98" s="200"/>
      <c r="E98" s="201"/>
      <c r="F98" s="199"/>
      <c r="H98" s="202"/>
      <c r="I98" s="185" t="str">
        <f t="shared" si="10"/>
        <v/>
      </c>
      <c r="J98" s="203" t="str">
        <f>IF($H98="USD",IF(OR($I98="",$I98="-"),"",VLOOKUP($G98,為替!$A:$AX,$I98,FALSE))+$J$3,IF(OR($I98="",$I98="-"),"",VLOOKUP($G98,為替!$A:$AX,$I98,FALSE)))</f>
        <v/>
      </c>
      <c r="K98" s="204" t="str">
        <f t="shared" si="11"/>
        <v/>
      </c>
      <c r="L98" s="188" t="str">
        <f t="shared" si="13"/>
        <v/>
      </c>
      <c r="M98" s="203" t="str">
        <f>IF($H98="USD",IF(OR($L98="",$L98="-"),"",VLOOKUP($G98,為替!$A:$AX,$L98,FALSE))+$K$3,IF(OR($L98="",$L98="-"),"",VLOOKUP($G98,為替!$A:$AX,$L98,FALSE)))</f>
        <v/>
      </c>
      <c r="N98" s="204" t="str">
        <f t="shared" si="12"/>
        <v/>
      </c>
      <c r="O98" s="205" t="str">
        <f t="shared" si="14"/>
        <v/>
      </c>
      <c r="P98" s="206" t="str">
        <f t="shared" si="15"/>
        <v/>
      </c>
    </row>
    <row r="99" spans="3:16" x14ac:dyDescent="0.4">
      <c r="C99" s="199"/>
      <c r="D99" s="200"/>
      <c r="E99" s="201"/>
      <c r="F99" s="199"/>
      <c r="H99" s="202"/>
      <c r="I99" s="185" t="str">
        <f t="shared" si="10"/>
        <v/>
      </c>
      <c r="J99" s="203" t="str">
        <f>IF($H99="USD",IF(OR($I99="",$I99="-"),"",VLOOKUP($G99,為替!$A:$AX,$I99,FALSE))+$J$3,IF(OR($I99="",$I99="-"),"",VLOOKUP($G99,為替!$A:$AX,$I99,FALSE)))</f>
        <v/>
      </c>
      <c r="K99" s="204" t="str">
        <f t="shared" si="11"/>
        <v/>
      </c>
      <c r="L99" s="188" t="str">
        <f t="shared" si="13"/>
        <v/>
      </c>
      <c r="M99" s="203" t="str">
        <f>IF($H99="USD",IF(OR($L99="",$L99="-"),"",VLOOKUP($G99,為替!$A:$AX,$L99,FALSE))+$K$3,IF(OR($L99="",$L99="-"),"",VLOOKUP($G99,為替!$A:$AX,$L99,FALSE)))</f>
        <v/>
      </c>
      <c r="N99" s="204" t="str">
        <f t="shared" si="12"/>
        <v/>
      </c>
      <c r="O99" s="205" t="str">
        <f t="shared" si="14"/>
        <v/>
      </c>
      <c r="P99" s="206" t="str">
        <f t="shared" si="15"/>
        <v/>
      </c>
    </row>
    <row r="100" spans="3:16" x14ac:dyDescent="0.4">
      <c r="C100" s="199"/>
      <c r="D100" s="200"/>
      <c r="E100" s="201"/>
      <c r="F100" s="199"/>
      <c r="H100" s="202"/>
      <c r="I100" s="185" t="str">
        <f t="shared" si="10"/>
        <v/>
      </c>
      <c r="J100" s="203" t="str">
        <f>IF($H100="USD",IF(OR($I100="",$I100="-"),"",VLOOKUP($G100,為替!$A:$AX,$I100,FALSE))+$J$3,IF(OR($I100="",$I100="-"),"",VLOOKUP($G100,為替!$A:$AX,$I100,FALSE)))</f>
        <v/>
      </c>
      <c r="K100" s="204" t="str">
        <f t="shared" si="11"/>
        <v/>
      </c>
      <c r="L100" s="188" t="str">
        <f t="shared" si="13"/>
        <v/>
      </c>
      <c r="M100" s="203" t="str">
        <f>IF($H100="USD",IF(OR($L100="",$L100="-"),"",VLOOKUP($G100,為替!$A:$AX,$L100,FALSE))+$K$3,IF(OR($L100="",$L100="-"),"",VLOOKUP($G100,為替!$A:$AX,$L100,FALSE)))</f>
        <v/>
      </c>
      <c r="N100" s="204" t="str">
        <f t="shared" si="12"/>
        <v/>
      </c>
      <c r="O100" s="205" t="str">
        <f t="shared" si="14"/>
        <v/>
      </c>
      <c r="P100" s="206" t="str">
        <f t="shared" si="15"/>
        <v/>
      </c>
    </row>
    <row r="101" spans="3:16" x14ac:dyDescent="0.4">
      <c r="C101" s="199"/>
      <c r="D101" s="200"/>
      <c r="E101" s="201"/>
      <c r="F101" s="199"/>
      <c r="H101" s="202"/>
      <c r="I101" s="185" t="str">
        <f t="shared" si="10"/>
        <v/>
      </c>
      <c r="J101" s="203" t="str">
        <f>IF($H101="USD",IF(OR($I101="",$I101="-"),"",VLOOKUP($G101,為替!$A:$AX,$I101,FALSE))+$J$3,IF(OR($I101="",$I101="-"),"",VLOOKUP($G101,為替!$A:$AX,$I101,FALSE)))</f>
        <v/>
      </c>
      <c r="K101" s="204" t="str">
        <f t="shared" si="11"/>
        <v/>
      </c>
      <c r="L101" s="188" t="str">
        <f t="shared" si="13"/>
        <v/>
      </c>
      <c r="M101" s="203" t="str">
        <f>IF($H101="USD",IF(OR($L101="",$L101="-"),"",VLOOKUP($G101,為替!$A:$AX,$L101,FALSE))+$K$3,IF(OR($L101="",$L101="-"),"",VLOOKUP($G101,為替!$A:$AX,$L101,FALSE)))</f>
        <v/>
      </c>
      <c r="N101" s="204" t="str">
        <f t="shared" si="12"/>
        <v/>
      </c>
      <c r="O101" s="205" t="str">
        <f t="shared" si="14"/>
        <v/>
      </c>
      <c r="P101" s="206" t="str">
        <f t="shared" si="15"/>
        <v/>
      </c>
    </row>
    <row r="102" spans="3:16" x14ac:dyDescent="0.4">
      <c r="C102" s="199"/>
      <c r="D102" s="200"/>
      <c r="E102" s="201"/>
      <c r="F102" s="199"/>
      <c r="H102" s="202"/>
      <c r="I102" s="185" t="str">
        <f t="shared" si="10"/>
        <v/>
      </c>
      <c r="J102" s="203" t="str">
        <f>IF($H102="USD",IF(OR($I102="",$I102="-"),"",VLOOKUP($G102,為替!$A:$AX,$I102,FALSE))+$J$3,IF(OR($I102="",$I102="-"),"",VLOOKUP($G102,為替!$A:$AX,$I102,FALSE)))</f>
        <v/>
      </c>
      <c r="K102" s="204" t="str">
        <f t="shared" si="11"/>
        <v/>
      </c>
      <c r="L102" s="188" t="str">
        <f t="shared" si="13"/>
        <v/>
      </c>
      <c r="M102" s="203" t="str">
        <f>IF($H102="USD",IF(OR($L102="",$L102="-"),"",VLOOKUP($G102,為替!$A:$AX,$L102,FALSE))+$K$3,IF(OR($L102="",$L102="-"),"",VLOOKUP($G102,為替!$A:$AX,$L102,FALSE)))</f>
        <v/>
      </c>
      <c r="N102" s="204" t="str">
        <f t="shared" si="12"/>
        <v/>
      </c>
      <c r="O102" s="205" t="str">
        <f t="shared" si="14"/>
        <v/>
      </c>
      <c r="P102" s="206" t="str">
        <f t="shared" si="15"/>
        <v/>
      </c>
    </row>
    <row r="103" spans="3:16" x14ac:dyDescent="0.4">
      <c r="C103" s="199"/>
      <c r="D103" s="200"/>
      <c r="E103" s="201"/>
      <c r="F103" s="199"/>
      <c r="H103" s="202"/>
      <c r="I103" s="185" t="str">
        <f t="shared" si="10"/>
        <v/>
      </c>
      <c r="J103" s="203" t="str">
        <f>IF($H103="USD",IF(OR($I103="",$I103="-"),"",VLOOKUP($G103,為替!$A:$AX,$I103,FALSE))+$J$3,IF(OR($I103="",$I103="-"),"",VLOOKUP($G103,為替!$A:$AX,$I103,FALSE)))</f>
        <v/>
      </c>
      <c r="K103" s="204" t="str">
        <f t="shared" si="11"/>
        <v/>
      </c>
      <c r="L103" s="188" t="str">
        <f t="shared" si="13"/>
        <v/>
      </c>
      <c r="M103" s="203" t="str">
        <f>IF($H103="USD",IF(OR($L103="",$L103="-"),"",VLOOKUP($G103,為替!$A:$AX,$L103,FALSE))+$K$3,IF(OR($L103="",$L103="-"),"",VLOOKUP($G103,為替!$A:$AX,$L103,FALSE)))</f>
        <v/>
      </c>
      <c r="N103" s="204" t="str">
        <f t="shared" si="12"/>
        <v/>
      </c>
      <c r="O103" s="205" t="str">
        <f t="shared" si="14"/>
        <v/>
      </c>
      <c r="P103" s="206" t="str">
        <f t="shared" si="15"/>
        <v/>
      </c>
    </row>
    <row r="104" spans="3:16" x14ac:dyDescent="0.4">
      <c r="C104" s="199"/>
      <c r="D104" s="200"/>
      <c r="E104" s="201"/>
      <c r="F104" s="199"/>
      <c r="H104" s="202"/>
      <c r="I104" s="185" t="str">
        <f t="shared" si="10"/>
        <v/>
      </c>
      <c r="J104" s="203" t="str">
        <f>IF($H104="USD",IF(OR($I104="",$I104="-"),"",VLOOKUP($G104,為替!$A:$AX,$I104,FALSE))+$J$3,IF(OR($I104="",$I104="-"),"",VLOOKUP($G104,為替!$A:$AX,$I104,FALSE)))</f>
        <v/>
      </c>
      <c r="K104" s="204" t="str">
        <f t="shared" si="11"/>
        <v/>
      </c>
      <c r="L104" s="188" t="str">
        <f t="shared" si="13"/>
        <v/>
      </c>
      <c r="M104" s="203" t="str">
        <f>IF($H104="USD",IF(OR($L104="",$L104="-"),"",VLOOKUP($G104,為替!$A:$AX,$L104,FALSE))+$K$3,IF(OR($L104="",$L104="-"),"",VLOOKUP($G104,為替!$A:$AX,$L104,FALSE)))</f>
        <v/>
      </c>
      <c r="N104" s="204" t="str">
        <f t="shared" si="12"/>
        <v/>
      </c>
      <c r="O104" s="205" t="str">
        <f t="shared" si="14"/>
        <v/>
      </c>
      <c r="P104" s="206" t="str">
        <f t="shared" si="15"/>
        <v/>
      </c>
    </row>
    <row r="105" spans="3:16" x14ac:dyDescent="0.4">
      <c r="C105" s="199"/>
      <c r="D105" s="200"/>
      <c r="E105" s="201"/>
      <c r="F105" s="199"/>
      <c r="H105" s="202"/>
      <c r="I105" s="185" t="str">
        <f t="shared" si="10"/>
        <v/>
      </c>
      <c r="J105" s="203" t="str">
        <f>IF($H105="USD",IF(OR($I105="",$I105="-"),"",VLOOKUP($G105,為替!$A:$AX,$I105,FALSE))+$J$3,IF(OR($I105="",$I105="-"),"",VLOOKUP($G105,為替!$A:$AX,$I105,FALSE)))</f>
        <v/>
      </c>
      <c r="K105" s="204" t="str">
        <f t="shared" si="11"/>
        <v/>
      </c>
      <c r="L105" s="188" t="str">
        <f t="shared" si="13"/>
        <v/>
      </c>
      <c r="M105" s="203" t="str">
        <f>IF($H105="USD",IF(OR($L105="",$L105="-"),"",VLOOKUP($G105,為替!$A:$AX,$L105,FALSE))+$K$3,IF(OR($L105="",$L105="-"),"",VLOOKUP($G105,為替!$A:$AX,$L105,FALSE)))</f>
        <v/>
      </c>
      <c r="N105" s="204" t="str">
        <f t="shared" si="12"/>
        <v/>
      </c>
      <c r="O105" s="205" t="str">
        <f t="shared" si="14"/>
        <v/>
      </c>
      <c r="P105" s="206" t="str">
        <f t="shared" si="15"/>
        <v/>
      </c>
    </row>
    <row r="106" spans="3:16" x14ac:dyDescent="0.4">
      <c r="C106" s="199"/>
      <c r="D106" s="200"/>
      <c r="E106" s="201"/>
      <c r="F106" s="199"/>
      <c r="H106" s="202"/>
      <c r="I106" s="185" t="str">
        <f t="shared" si="10"/>
        <v/>
      </c>
      <c r="J106" s="203" t="str">
        <f>IF($H106="USD",IF(OR($I106="",$I106="-"),"",VLOOKUP($G106,為替!$A:$AX,$I106,FALSE))+$J$3,IF(OR($I106="",$I106="-"),"",VLOOKUP($G106,為替!$A:$AX,$I106,FALSE)))</f>
        <v/>
      </c>
      <c r="K106" s="204" t="str">
        <f t="shared" si="11"/>
        <v/>
      </c>
      <c r="L106" s="188" t="str">
        <f t="shared" si="13"/>
        <v/>
      </c>
      <c r="M106" s="203" t="str">
        <f>IF($H106="USD",IF(OR($L106="",$L106="-"),"",VLOOKUP($G106,為替!$A:$AX,$L106,FALSE))+$K$3,IF(OR($L106="",$L106="-"),"",VLOOKUP($G106,為替!$A:$AX,$L106,FALSE)))</f>
        <v/>
      </c>
      <c r="N106" s="204" t="str">
        <f t="shared" si="12"/>
        <v/>
      </c>
      <c r="O106" s="205" t="str">
        <f t="shared" si="14"/>
        <v/>
      </c>
      <c r="P106" s="206" t="str">
        <f t="shared" si="15"/>
        <v/>
      </c>
    </row>
    <row r="107" spans="3:16" x14ac:dyDescent="0.4">
      <c r="C107" s="199"/>
      <c r="D107" s="200"/>
      <c r="E107" s="201"/>
      <c r="F107" s="199"/>
      <c r="H107" s="202"/>
      <c r="I107" s="185" t="str">
        <f t="shared" si="10"/>
        <v/>
      </c>
      <c r="J107" s="203" t="str">
        <f>IF($H107="USD",IF(OR($I107="",$I107="-"),"",VLOOKUP($G107,為替!$A:$AX,$I107,FALSE))+$J$3,IF(OR($I107="",$I107="-"),"",VLOOKUP($G107,為替!$A:$AX,$I107,FALSE)))</f>
        <v/>
      </c>
      <c r="K107" s="204" t="str">
        <f t="shared" si="11"/>
        <v/>
      </c>
      <c r="L107" s="188" t="str">
        <f t="shared" si="13"/>
        <v/>
      </c>
      <c r="M107" s="203" t="str">
        <f>IF($H107="USD",IF(OR($L107="",$L107="-"),"",VLOOKUP($G107,為替!$A:$AX,$L107,FALSE))+$K$3,IF(OR($L107="",$L107="-"),"",VLOOKUP($G107,為替!$A:$AX,$L107,FALSE)))</f>
        <v/>
      </c>
      <c r="N107" s="204" t="str">
        <f t="shared" si="12"/>
        <v/>
      </c>
      <c r="O107" s="205" t="str">
        <f t="shared" si="14"/>
        <v/>
      </c>
      <c r="P107" s="206" t="str">
        <f t="shared" si="15"/>
        <v/>
      </c>
    </row>
    <row r="108" spans="3:16" x14ac:dyDescent="0.4">
      <c r="C108" s="199"/>
      <c r="D108" s="200"/>
      <c r="E108" s="201"/>
      <c r="F108" s="199"/>
      <c r="H108" s="202"/>
      <c r="I108" s="185" t="str">
        <f t="shared" si="10"/>
        <v/>
      </c>
      <c r="J108" s="203" t="str">
        <f>IF($H108="USD",IF(OR($I108="",$I108="-"),"",VLOOKUP($G108,為替!$A:$AX,$I108,FALSE))+$J$3,IF(OR($I108="",$I108="-"),"",VLOOKUP($G108,為替!$A:$AX,$I108,FALSE)))</f>
        <v/>
      </c>
      <c r="K108" s="204" t="str">
        <f t="shared" si="11"/>
        <v/>
      </c>
      <c r="L108" s="188" t="str">
        <f t="shared" si="13"/>
        <v/>
      </c>
      <c r="M108" s="203" t="str">
        <f>IF($H108="USD",IF(OR($L108="",$L108="-"),"",VLOOKUP($G108,為替!$A:$AX,$L108,FALSE))+$K$3,IF(OR($L108="",$L108="-"),"",VLOOKUP($G108,為替!$A:$AX,$L108,FALSE)))</f>
        <v/>
      </c>
      <c r="N108" s="204" t="str">
        <f t="shared" si="12"/>
        <v/>
      </c>
      <c r="O108" s="205" t="str">
        <f t="shared" si="14"/>
        <v/>
      </c>
      <c r="P108" s="206" t="str">
        <f t="shared" si="15"/>
        <v/>
      </c>
    </row>
    <row r="109" spans="3:16" x14ac:dyDescent="0.4">
      <c r="C109" s="199"/>
      <c r="D109" s="200"/>
      <c r="E109" s="201"/>
      <c r="F109" s="199"/>
      <c r="H109" s="202"/>
      <c r="I109" s="185" t="str">
        <f t="shared" si="10"/>
        <v/>
      </c>
      <c r="J109" s="203" t="str">
        <f>IF($H109="USD",IF(OR($I109="",$I109="-"),"",VLOOKUP($G109,為替!$A:$AX,$I109,FALSE))+$J$3,IF(OR($I109="",$I109="-"),"",VLOOKUP($G109,為替!$A:$AX,$I109,FALSE)))</f>
        <v/>
      </c>
      <c r="K109" s="204" t="str">
        <f t="shared" si="11"/>
        <v/>
      </c>
      <c r="L109" s="188" t="str">
        <f t="shared" si="13"/>
        <v/>
      </c>
      <c r="M109" s="203" t="str">
        <f>IF($H109="USD",IF(OR($L109="",$L109="-"),"",VLOOKUP($G109,為替!$A:$AX,$L109,FALSE))+$K$3,IF(OR($L109="",$L109="-"),"",VLOOKUP($G109,為替!$A:$AX,$L109,FALSE)))</f>
        <v/>
      </c>
      <c r="N109" s="204" t="str">
        <f t="shared" si="12"/>
        <v/>
      </c>
      <c r="O109" s="205" t="str">
        <f t="shared" si="14"/>
        <v/>
      </c>
      <c r="P109" s="206" t="str">
        <f t="shared" si="15"/>
        <v/>
      </c>
    </row>
    <row r="110" spans="3:16" x14ac:dyDescent="0.4">
      <c r="C110" s="199"/>
      <c r="D110" s="200"/>
      <c r="E110" s="201"/>
      <c r="F110" s="199"/>
      <c r="H110" s="202"/>
      <c r="I110" s="185" t="str">
        <f t="shared" si="10"/>
        <v/>
      </c>
      <c r="J110" s="203" t="str">
        <f>IF($H110="USD",IF(OR($I110="",$I110="-"),"",VLOOKUP($G110,為替!$A:$AX,$I110,FALSE))+$J$3,IF(OR($I110="",$I110="-"),"",VLOOKUP($G110,為替!$A:$AX,$I110,FALSE)))</f>
        <v/>
      </c>
      <c r="K110" s="204" t="str">
        <f t="shared" si="11"/>
        <v/>
      </c>
      <c r="L110" s="188" t="str">
        <f t="shared" si="13"/>
        <v/>
      </c>
      <c r="M110" s="203" t="str">
        <f>IF($H110="USD",IF(OR($L110="",$L110="-"),"",VLOOKUP($G110,為替!$A:$AX,$L110,FALSE))+$K$3,IF(OR($L110="",$L110="-"),"",VLOOKUP($G110,為替!$A:$AX,$L110,FALSE)))</f>
        <v/>
      </c>
      <c r="N110" s="204" t="str">
        <f t="shared" si="12"/>
        <v/>
      </c>
      <c r="O110" s="205" t="str">
        <f t="shared" si="14"/>
        <v/>
      </c>
      <c r="P110" s="206" t="str">
        <f t="shared" si="15"/>
        <v/>
      </c>
    </row>
    <row r="111" spans="3:16" x14ac:dyDescent="0.4">
      <c r="C111" s="199"/>
      <c r="D111" s="200"/>
      <c r="E111" s="201"/>
      <c r="F111" s="199"/>
      <c r="H111" s="202"/>
      <c r="I111" s="185" t="str">
        <f t="shared" si="10"/>
        <v/>
      </c>
      <c r="J111" s="203" t="str">
        <f>IF($H111="USD",IF(OR($I111="",$I111="-"),"",VLOOKUP($G111,為替!$A:$AX,$I111,FALSE))+$J$3,IF(OR($I111="",$I111="-"),"",VLOOKUP($G111,為替!$A:$AX,$I111,FALSE)))</f>
        <v/>
      </c>
      <c r="K111" s="204" t="str">
        <f t="shared" si="11"/>
        <v/>
      </c>
      <c r="L111" s="188" t="str">
        <f t="shared" si="13"/>
        <v/>
      </c>
      <c r="M111" s="203" t="str">
        <f>IF($H111="USD",IF(OR($L111="",$L111="-"),"",VLOOKUP($G111,為替!$A:$AX,$L111,FALSE))+$K$3,IF(OR($L111="",$L111="-"),"",VLOOKUP($G111,為替!$A:$AX,$L111,FALSE)))</f>
        <v/>
      </c>
      <c r="N111" s="204" t="str">
        <f t="shared" si="12"/>
        <v/>
      </c>
      <c r="O111" s="205" t="str">
        <f t="shared" si="14"/>
        <v/>
      </c>
      <c r="P111" s="206" t="str">
        <f t="shared" si="15"/>
        <v/>
      </c>
    </row>
    <row r="112" spans="3:16" x14ac:dyDescent="0.4">
      <c r="C112" s="199"/>
      <c r="D112" s="200"/>
      <c r="E112" s="201"/>
      <c r="F112" s="199"/>
      <c r="H112" s="202"/>
      <c r="I112" s="185" t="str">
        <f t="shared" si="10"/>
        <v/>
      </c>
      <c r="J112" s="203" t="str">
        <f>IF($H112="USD",IF(OR($I112="",$I112="-"),"",VLOOKUP($G112,為替!$A:$AX,$I112,FALSE))+$J$3,IF(OR($I112="",$I112="-"),"",VLOOKUP($G112,為替!$A:$AX,$I112,FALSE)))</f>
        <v/>
      </c>
      <c r="K112" s="204" t="str">
        <f t="shared" si="11"/>
        <v/>
      </c>
      <c r="L112" s="188" t="str">
        <f t="shared" si="13"/>
        <v/>
      </c>
      <c r="M112" s="203" t="str">
        <f>IF($H112="USD",IF(OR($L112="",$L112="-"),"",VLOOKUP($G112,為替!$A:$AX,$L112,FALSE))+$K$3,IF(OR($L112="",$L112="-"),"",VLOOKUP($G112,為替!$A:$AX,$L112,FALSE)))</f>
        <v/>
      </c>
      <c r="N112" s="204" t="str">
        <f t="shared" si="12"/>
        <v/>
      </c>
      <c r="O112" s="205" t="str">
        <f t="shared" si="14"/>
        <v/>
      </c>
      <c r="P112" s="206" t="str">
        <f t="shared" si="15"/>
        <v/>
      </c>
    </row>
    <row r="113" spans="3:16" x14ac:dyDescent="0.4">
      <c r="C113" s="199"/>
      <c r="D113" s="200"/>
      <c r="E113" s="201"/>
      <c r="F113" s="199"/>
      <c r="H113" s="202"/>
      <c r="I113" s="185" t="str">
        <f t="shared" si="10"/>
        <v/>
      </c>
      <c r="J113" s="203" t="str">
        <f>IF($H113="USD",IF(OR($I113="",$I113="-"),"",VLOOKUP($G113,為替!$A:$AX,$I113,FALSE))+$J$3,IF(OR($I113="",$I113="-"),"",VLOOKUP($G113,為替!$A:$AX,$I113,FALSE)))</f>
        <v/>
      </c>
      <c r="K113" s="204" t="str">
        <f t="shared" si="11"/>
        <v/>
      </c>
      <c r="L113" s="188" t="str">
        <f t="shared" si="13"/>
        <v/>
      </c>
      <c r="M113" s="203" t="str">
        <f>IF($H113="USD",IF(OR($L113="",$L113="-"),"",VLOOKUP($G113,為替!$A:$AX,$L113,FALSE))+$K$3,IF(OR($L113="",$L113="-"),"",VLOOKUP($G113,為替!$A:$AX,$L113,FALSE)))</f>
        <v/>
      </c>
      <c r="N113" s="204" t="str">
        <f t="shared" si="12"/>
        <v/>
      </c>
      <c r="O113" s="205" t="str">
        <f t="shared" si="14"/>
        <v/>
      </c>
      <c r="P113" s="206" t="str">
        <f t="shared" si="15"/>
        <v/>
      </c>
    </row>
    <row r="114" spans="3:16" x14ac:dyDescent="0.4">
      <c r="C114" s="199"/>
      <c r="D114" s="200"/>
      <c r="E114" s="201"/>
      <c r="F114" s="199"/>
      <c r="H114" s="202"/>
      <c r="I114" s="185" t="str">
        <f t="shared" si="10"/>
        <v/>
      </c>
      <c r="J114" s="203" t="str">
        <f>IF($H114="USD",IF(OR($I114="",$I114="-"),"",VLOOKUP($G114,為替!$A:$AX,$I114,FALSE))+$J$3,IF(OR($I114="",$I114="-"),"",VLOOKUP($G114,為替!$A:$AX,$I114,FALSE)))</f>
        <v/>
      </c>
      <c r="K114" s="204" t="str">
        <f t="shared" si="11"/>
        <v/>
      </c>
      <c r="L114" s="188" t="str">
        <f t="shared" si="13"/>
        <v/>
      </c>
      <c r="M114" s="203" t="str">
        <f>IF($H114="USD",IF(OR($L114="",$L114="-"),"",VLOOKUP($G114,為替!$A:$AX,$L114,FALSE))+$K$3,IF(OR($L114="",$L114="-"),"",VLOOKUP($G114,為替!$A:$AX,$L114,FALSE)))</f>
        <v/>
      </c>
      <c r="N114" s="204" t="str">
        <f t="shared" si="12"/>
        <v/>
      </c>
      <c r="O114" s="205" t="str">
        <f t="shared" si="14"/>
        <v/>
      </c>
      <c r="P114" s="206" t="str">
        <f t="shared" si="15"/>
        <v/>
      </c>
    </row>
    <row r="115" spans="3:16" x14ac:dyDescent="0.4">
      <c r="C115" s="199"/>
      <c r="D115" s="200"/>
      <c r="E115" s="201"/>
      <c r="F115" s="199"/>
      <c r="H115" s="202"/>
      <c r="I115" s="185" t="str">
        <f t="shared" si="10"/>
        <v/>
      </c>
      <c r="J115" s="203" t="str">
        <f>IF($H115="USD",IF(OR($I115="",$I115="-"),"",VLOOKUP($G115,為替!$A:$AX,$I115,FALSE))+$J$3,IF(OR($I115="",$I115="-"),"",VLOOKUP($G115,為替!$A:$AX,$I115,FALSE)))</f>
        <v/>
      </c>
      <c r="K115" s="204" t="str">
        <f t="shared" si="11"/>
        <v/>
      </c>
      <c r="L115" s="188" t="str">
        <f t="shared" si="13"/>
        <v/>
      </c>
      <c r="M115" s="203" t="str">
        <f>IF($H115="USD",IF(OR($L115="",$L115="-"),"",VLOOKUP($G115,為替!$A:$AX,$L115,FALSE))+$K$3,IF(OR($L115="",$L115="-"),"",VLOOKUP($G115,為替!$A:$AX,$L115,FALSE)))</f>
        <v/>
      </c>
      <c r="N115" s="204" t="str">
        <f t="shared" si="12"/>
        <v/>
      </c>
      <c r="O115" s="205" t="str">
        <f t="shared" si="14"/>
        <v/>
      </c>
      <c r="P115" s="206" t="str">
        <f t="shared" si="15"/>
        <v/>
      </c>
    </row>
    <row r="116" spans="3:16" x14ac:dyDescent="0.4">
      <c r="C116" s="199"/>
      <c r="D116" s="200"/>
      <c r="E116" s="201"/>
      <c r="F116" s="199"/>
      <c r="H116" s="202"/>
      <c r="I116" s="185" t="str">
        <f t="shared" si="10"/>
        <v/>
      </c>
      <c r="J116" s="203" t="str">
        <f>IF($H116="USD",IF(OR($I116="",$I116="-"),"",VLOOKUP($G116,為替!$A:$AX,$I116,FALSE))+$J$3,IF(OR($I116="",$I116="-"),"",VLOOKUP($G116,為替!$A:$AX,$I116,FALSE)))</f>
        <v/>
      </c>
      <c r="K116" s="204" t="str">
        <f t="shared" si="11"/>
        <v/>
      </c>
      <c r="L116" s="188" t="str">
        <f t="shared" si="13"/>
        <v/>
      </c>
      <c r="M116" s="203" t="str">
        <f>IF($H116="USD",IF(OR($L116="",$L116="-"),"",VLOOKUP($G116,為替!$A:$AX,$L116,FALSE))+$K$3,IF(OR($L116="",$L116="-"),"",VLOOKUP($G116,為替!$A:$AX,$L116,FALSE)))</f>
        <v/>
      </c>
      <c r="N116" s="204" t="str">
        <f t="shared" si="12"/>
        <v/>
      </c>
      <c r="O116" s="205" t="str">
        <f t="shared" si="14"/>
        <v/>
      </c>
      <c r="P116" s="206" t="str">
        <f t="shared" si="15"/>
        <v/>
      </c>
    </row>
    <row r="117" spans="3:16" x14ac:dyDescent="0.4">
      <c r="C117" s="199"/>
      <c r="D117" s="200"/>
      <c r="E117" s="201"/>
      <c r="F117" s="199"/>
      <c r="H117" s="202"/>
      <c r="I117" s="185" t="str">
        <f t="shared" si="10"/>
        <v/>
      </c>
      <c r="J117" s="203" t="str">
        <f>IF($H117="USD",IF(OR($I117="",$I117="-"),"",VLOOKUP($G117,為替!$A:$AX,$I117,FALSE))+$J$3,IF(OR($I117="",$I117="-"),"",VLOOKUP($G117,為替!$A:$AX,$I117,FALSE)))</f>
        <v/>
      </c>
      <c r="K117" s="204" t="str">
        <f t="shared" si="11"/>
        <v/>
      </c>
      <c r="L117" s="188" t="str">
        <f t="shared" si="13"/>
        <v/>
      </c>
      <c r="M117" s="203" t="str">
        <f>IF($H117="USD",IF(OR($L117="",$L117="-"),"",VLOOKUP($G117,為替!$A:$AX,$L117,FALSE))+$K$3,IF(OR($L117="",$L117="-"),"",VLOOKUP($G117,為替!$A:$AX,$L117,FALSE)))</f>
        <v/>
      </c>
      <c r="N117" s="204" t="str">
        <f t="shared" si="12"/>
        <v/>
      </c>
      <c r="O117" s="205" t="str">
        <f t="shared" si="14"/>
        <v/>
      </c>
      <c r="P117" s="206" t="str">
        <f t="shared" si="15"/>
        <v/>
      </c>
    </row>
    <row r="118" spans="3:16" x14ac:dyDescent="0.4">
      <c r="C118" s="199"/>
      <c r="D118" s="200"/>
      <c r="E118" s="201"/>
      <c r="F118" s="199"/>
      <c r="H118" s="202"/>
      <c r="I118" s="185" t="str">
        <f t="shared" si="10"/>
        <v/>
      </c>
      <c r="J118" s="203" t="str">
        <f>IF($H118="USD",IF(OR($I118="",$I118="-"),"",VLOOKUP($G118,為替!$A:$AX,$I118,FALSE))+$J$3,IF(OR($I118="",$I118="-"),"",VLOOKUP($G118,為替!$A:$AX,$I118,FALSE)))</f>
        <v/>
      </c>
      <c r="K118" s="204" t="str">
        <f t="shared" si="11"/>
        <v/>
      </c>
      <c r="L118" s="188" t="str">
        <f t="shared" si="13"/>
        <v/>
      </c>
      <c r="M118" s="203" t="str">
        <f>IF($H118="USD",IF(OR($L118="",$L118="-"),"",VLOOKUP($G118,為替!$A:$AX,$L118,FALSE))+$K$3,IF(OR($L118="",$L118="-"),"",VLOOKUP($G118,為替!$A:$AX,$L118,FALSE)))</f>
        <v/>
      </c>
      <c r="N118" s="204" t="str">
        <f t="shared" si="12"/>
        <v/>
      </c>
      <c r="O118" s="205" t="str">
        <f t="shared" si="14"/>
        <v/>
      </c>
      <c r="P118" s="206" t="str">
        <f t="shared" si="15"/>
        <v/>
      </c>
    </row>
    <row r="119" spans="3:16" x14ac:dyDescent="0.4">
      <c r="C119" s="199"/>
      <c r="D119" s="200"/>
      <c r="E119" s="201"/>
      <c r="F119" s="199"/>
      <c r="H119" s="202"/>
      <c r="I119" s="185" t="str">
        <f t="shared" si="10"/>
        <v/>
      </c>
      <c r="J119" s="203" t="str">
        <f>IF($H119="USD",IF(OR($I119="",$I119="-"),"",VLOOKUP($G119,為替!$A:$AX,$I119,FALSE))+$J$3,IF(OR($I119="",$I119="-"),"",VLOOKUP($G119,為替!$A:$AX,$I119,FALSE)))</f>
        <v/>
      </c>
      <c r="K119" s="204" t="str">
        <f t="shared" si="11"/>
        <v/>
      </c>
      <c r="L119" s="188" t="str">
        <f t="shared" si="13"/>
        <v/>
      </c>
      <c r="M119" s="203" t="str">
        <f>IF($H119="USD",IF(OR($L119="",$L119="-"),"",VLOOKUP($G119,為替!$A:$AX,$L119,FALSE))+$K$3,IF(OR($L119="",$L119="-"),"",VLOOKUP($G119,為替!$A:$AX,$L119,FALSE)))</f>
        <v/>
      </c>
      <c r="N119" s="204" t="str">
        <f t="shared" si="12"/>
        <v/>
      </c>
      <c r="O119" s="205" t="str">
        <f t="shared" si="14"/>
        <v/>
      </c>
      <c r="P119" s="206" t="str">
        <f t="shared" si="15"/>
        <v/>
      </c>
    </row>
    <row r="120" spans="3:16" x14ac:dyDescent="0.4">
      <c r="C120" s="199"/>
      <c r="D120" s="200"/>
      <c r="E120" s="201"/>
      <c r="F120" s="199"/>
      <c r="H120" s="202"/>
      <c r="I120" s="185" t="str">
        <f t="shared" si="10"/>
        <v/>
      </c>
      <c r="J120" s="203" t="str">
        <f>IF($H120="USD",IF(OR($I120="",$I120="-"),"",VLOOKUP($G120,為替!$A:$AX,$I120,FALSE))+$J$3,IF(OR($I120="",$I120="-"),"",VLOOKUP($G120,為替!$A:$AX,$I120,FALSE)))</f>
        <v/>
      </c>
      <c r="K120" s="204" t="str">
        <f t="shared" si="11"/>
        <v/>
      </c>
      <c r="L120" s="188" t="str">
        <f t="shared" si="13"/>
        <v/>
      </c>
      <c r="M120" s="203" t="str">
        <f>IF($H120="USD",IF(OR($L120="",$L120="-"),"",VLOOKUP($G120,為替!$A:$AX,$L120,FALSE))+$K$3,IF(OR($L120="",$L120="-"),"",VLOOKUP($G120,為替!$A:$AX,$L120,FALSE)))</f>
        <v/>
      </c>
      <c r="N120" s="204" t="str">
        <f t="shared" si="12"/>
        <v/>
      </c>
      <c r="O120" s="205" t="str">
        <f t="shared" si="14"/>
        <v/>
      </c>
      <c r="P120" s="206" t="str">
        <f t="shared" si="15"/>
        <v/>
      </c>
    </row>
    <row r="121" spans="3:16" x14ac:dyDescent="0.4">
      <c r="C121" s="199"/>
      <c r="D121" s="200"/>
      <c r="E121" s="201"/>
      <c r="F121" s="199"/>
      <c r="H121" s="202"/>
      <c r="I121" s="185" t="str">
        <f t="shared" si="10"/>
        <v/>
      </c>
      <c r="J121" s="203" t="str">
        <f>IF($H121="USD",IF(OR($I121="",$I121="-"),"",VLOOKUP($G121,為替!$A:$AX,$I121,FALSE))+$J$3,IF(OR($I121="",$I121="-"),"",VLOOKUP($G121,為替!$A:$AX,$I121,FALSE)))</f>
        <v/>
      </c>
      <c r="K121" s="204" t="str">
        <f t="shared" si="11"/>
        <v/>
      </c>
      <c r="L121" s="188" t="str">
        <f t="shared" si="13"/>
        <v/>
      </c>
      <c r="M121" s="203" t="str">
        <f>IF($H121="USD",IF(OR($L121="",$L121="-"),"",VLOOKUP($G121,為替!$A:$AX,$L121,FALSE))+$K$3,IF(OR($L121="",$L121="-"),"",VLOOKUP($G121,為替!$A:$AX,$L121,FALSE)))</f>
        <v/>
      </c>
      <c r="N121" s="204" t="str">
        <f t="shared" si="12"/>
        <v/>
      </c>
      <c r="O121" s="205" t="str">
        <f t="shared" si="14"/>
        <v/>
      </c>
      <c r="P121" s="206" t="str">
        <f t="shared" si="15"/>
        <v/>
      </c>
    </row>
    <row r="122" spans="3:16" x14ac:dyDescent="0.4">
      <c r="C122" s="199"/>
      <c r="D122" s="200"/>
      <c r="E122" s="201"/>
      <c r="F122" s="199"/>
      <c r="H122" s="202"/>
      <c r="I122" s="185" t="str">
        <f t="shared" si="10"/>
        <v/>
      </c>
      <c r="J122" s="203" t="str">
        <f>IF($H122="USD",IF(OR($I122="",$I122="-"),"",VLOOKUP($G122,為替!$A:$AX,$I122,FALSE))+$J$3,IF(OR($I122="",$I122="-"),"",VLOOKUP($G122,為替!$A:$AX,$I122,FALSE)))</f>
        <v/>
      </c>
      <c r="K122" s="204" t="str">
        <f t="shared" si="11"/>
        <v/>
      </c>
      <c r="L122" s="188" t="str">
        <f t="shared" si="13"/>
        <v/>
      </c>
      <c r="M122" s="203" t="str">
        <f>IF($H122="USD",IF(OR($L122="",$L122="-"),"",VLOOKUP($G122,為替!$A:$AX,$L122,FALSE))+$K$3,IF(OR($L122="",$L122="-"),"",VLOOKUP($G122,為替!$A:$AX,$L122,FALSE)))</f>
        <v/>
      </c>
      <c r="N122" s="204" t="str">
        <f t="shared" si="12"/>
        <v/>
      </c>
      <c r="O122" s="205" t="str">
        <f t="shared" si="14"/>
        <v/>
      </c>
      <c r="P122" s="206" t="str">
        <f t="shared" si="15"/>
        <v/>
      </c>
    </row>
    <row r="123" spans="3:16" x14ac:dyDescent="0.4">
      <c r="C123" s="199"/>
      <c r="D123" s="200"/>
      <c r="E123" s="201"/>
      <c r="F123" s="199"/>
      <c r="H123" s="202"/>
      <c r="I123" s="185" t="str">
        <f t="shared" si="10"/>
        <v/>
      </c>
      <c r="J123" s="203" t="str">
        <f>IF($H123="USD",IF(OR($I123="",$I123="-"),"",VLOOKUP($G123,為替!$A:$AX,$I123,FALSE))+$J$3,IF(OR($I123="",$I123="-"),"",VLOOKUP($G123,為替!$A:$AX,$I123,FALSE)))</f>
        <v/>
      </c>
      <c r="K123" s="204" t="str">
        <f t="shared" si="11"/>
        <v/>
      </c>
      <c r="L123" s="188" t="str">
        <f t="shared" si="13"/>
        <v/>
      </c>
      <c r="M123" s="203" t="str">
        <f>IF($H123="USD",IF(OR($L123="",$L123="-"),"",VLOOKUP($G123,為替!$A:$AX,$L123,FALSE))+$K$3,IF(OR($L123="",$L123="-"),"",VLOOKUP($G123,為替!$A:$AX,$L123,FALSE)))</f>
        <v/>
      </c>
      <c r="N123" s="204" t="str">
        <f t="shared" si="12"/>
        <v/>
      </c>
      <c r="O123" s="205" t="str">
        <f t="shared" si="14"/>
        <v/>
      </c>
      <c r="P123" s="206" t="str">
        <f t="shared" si="15"/>
        <v/>
      </c>
    </row>
    <row r="124" spans="3:16" x14ac:dyDescent="0.4">
      <c r="C124" s="199"/>
      <c r="D124" s="200"/>
      <c r="E124" s="201"/>
      <c r="F124" s="199"/>
      <c r="H124" s="202"/>
      <c r="I124" s="185" t="str">
        <f t="shared" si="10"/>
        <v/>
      </c>
      <c r="J124" s="203" t="str">
        <f>IF($H124="USD",IF(OR($I124="",$I124="-"),"",VLOOKUP($G124,為替!$A:$AX,$I124,FALSE))+$J$3,IF(OR($I124="",$I124="-"),"",VLOOKUP($G124,為替!$A:$AX,$I124,FALSE)))</f>
        <v/>
      </c>
      <c r="K124" s="204" t="str">
        <f t="shared" si="11"/>
        <v/>
      </c>
      <c r="L124" s="188" t="str">
        <f t="shared" si="13"/>
        <v/>
      </c>
      <c r="M124" s="203" t="str">
        <f>IF($H124="USD",IF(OR($L124="",$L124="-"),"",VLOOKUP($G124,為替!$A:$AX,$L124,FALSE))+$K$3,IF(OR($L124="",$L124="-"),"",VLOOKUP($G124,為替!$A:$AX,$L124,FALSE)))</f>
        <v/>
      </c>
      <c r="N124" s="204" t="str">
        <f t="shared" si="12"/>
        <v/>
      </c>
      <c r="O124" s="205" t="str">
        <f t="shared" si="14"/>
        <v/>
      </c>
      <c r="P124" s="206" t="str">
        <f t="shared" si="15"/>
        <v/>
      </c>
    </row>
    <row r="125" spans="3:16" x14ac:dyDescent="0.4">
      <c r="C125" s="199"/>
      <c r="D125" s="200"/>
      <c r="E125" s="201"/>
      <c r="F125" s="199"/>
      <c r="H125" s="202"/>
      <c r="I125" s="185" t="str">
        <f t="shared" si="10"/>
        <v/>
      </c>
      <c r="J125" s="203" t="str">
        <f>IF($H125="USD",IF(OR($I125="",$I125="-"),"",VLOOKUP($G125,為替!$A:$AX,$I125,FALSE))+$J$3,IF(OR($I125="",$I125="-"),"",VLOOKUP($G125,為替!$A:$AX,$I125,FALSE)))</f>
        <v/>
      </c>
      <c r="K125" s="204" t="str">
        <f t="shared" si="11"/>
        <v/>
      </c>
      <c r="L125" s="188" t="str">
        <f t="shared" si="13"/>
        <v/>
      </c>
      <c r="M125" s="203" t="str">
        <f>IF($H125="USD",IF(OR($L125="",$L125="-"),"",VLOOKUP($G125,為替!$A:$AX,$L125,FALSE))+$K$3,IF(OR($L125="",$L125="-"),"",VLOOKUP($G125,為替!$A:$AX,$L125,FALSE)))</f>
        <v/>
      </c>
      <c r="N125" s="204" t="str">
        <f t="shared" si="12"/>
        <v/>
      </c>
      <c r="O125" s="205" t="str">
        <f t="shared" si="14"/>
        <v/>
      </c>
      <c r="P125" s="206" t="str">
        <f t="shared" si="15"/>
        <v/>
      </c>
    </row>
    <row r="126" spans="3:16" x14ac:dyDescent="0.4">
      <c r="C126" s="199"/>
      <c r="D126" s="200"/>
      <c r="E126" s="201"/>
      <c r="F126" s="199"/>
      <c r="H126" s="202"/>
      <c r="I126" s="185" t="str">
        <f t="shared" si="10"/>
        <v/>
      </c>
      <c r="J126" s="203" t="str">
        <f>IF($H126="USD",IF(OR($I126="",$I126="-"),"",VLOOKUP($G126,為替!$A:$AX,$I126,FALSE))+$J$3,IF(OR($I126="",$I126="-"),"",VLOOKUP($G126,為替!$A:$AX,$I126,FALSE)))</f>
        <v/>
      </c>
      <c r="K126" s="204" t="str">
        <f t="shared" si="11"/>
        <v/>
      </c>
      <c r="L126" s="188" t="str">
        <f t="shared" si="13"/>
        <v/>
      </c>
      <c r="M126" s="203" t="str">
        <f>IF($H126="USD",IF(OR($L126="",$L126="-"),"",VLOOKUP($G126,為替!$A:$AX,$L126,FALSE))+$K$3,IF(OR($L126="",$L126="-"),"",VLOOKUP($G126,為替!$A:$AX,$L126,FALSE)))</f>
        <v/>
      </c>
      <c r="N126" s="204" t="str">
        <f t="shared" si="12"/>
        <v/>
      </c>
      <c r="O126" s="205" t="str">
        <f t="shared" si="14"/>
        <v/>
      </c>
      <c r="P126" s="206" t="str">
        <f t="shared" si="15"/>
        <v/>
      </c>
    </row>
    <row r="127" spans="3:16" x14ac:dyDescent="0.4">
      <c r="C127" s="199"/>
      <c r="D127" s="200"/>
      <c r="E127" s="201"/>
      <c r="F127" s="199"/>
      <c r="H127" s="202"/>
      <c r="I127" s="185" t="str">
        <f t="shared" si="10"/>
        <v/>
      </c>
      <c r="J127" s="203" t="str">
        <f>IF($H127="USD",IF(OR($I127="",$I127="-"),"",VLOOKUP($G127,為替!$A:$AX,$I127,FALSE))+$J$3,IF(OR($I127="",$I127="-"),"",VLOOKUP($G127,為替!$A:$AX,$I127,FALSE)))</f>
        <v/>
      </c>
      <c r="K127" s="204" t="str">
        <f t="shared" si="11"/>
        <v/>
      </c>
      <c r="L127" s="188" t="str">
        <f t="shared" si="13"/>
        <v/>
      </c>
      <c r="M127" s="203" t="str">
        <f>IF($H127="USD",IF(OR($L127="",$L127="-"),"",VLOOKUP($G127,為替!$A:$AX,$L127,FALSE))+$K$3,IF(OR($L127="",$L127="-"),"",VLOOKUP($G127,為替!$A:$AX,$L127,FALSE)))</f>
        <v/>
      </c>
      <c r="N127" s="204" t="str">
        <f t="shared" si="12"/>
        <v/>
      </c>
      <c r="O127" s="205" t="str">
        <f t="shared" si="14"/>
        <v/>
      </c>
      <c r="P127" s="206" t="str">
        <f t="shared" si="15"/>
        <v/>
      </c>
    </row>
    <row r="128" spans="3:16" x14ac:dyDescent="0.4">
      <c r="C128" s="199"/>
      <c r="D128" s="200"/>
      <c r="E128" s="201"/>
      <c r="F128" s="199"/>
      <c r="H128" s="202"/>
      <c r="I128" s="185" t="str">
        <f t="shared" si="10"/>
        <v/>
      </c>
      <c r="J128" s="203" t="str">
        <f>IF($H128="USD",IF(OR($I128="",$I128="-"),"",VLOOKUP($G128,為替!$A:$AX,$I128,FALSE))+$J$3,IF(OR($I128="",$I128="-"),"",VLOOKUP($G128,為替!$A:$AX,$I128,FALSE)))</f>
        <v/>
      </c>
      <c r="K128" s="204" t="str">
        <f t="shared" si="11"/>
        <v/>
      </c>
      <c r="L128" s="188" t="str">
        <f t="shared" si="13"/>
        <v/>
      </c>
      <c r="M128" s="203" t="str">
        <f>IF($H128="USD",IF(OR($L128="",$L128="-"),"",VLOOKUP($G128,為替!$A:$AX,$L128,FALSE))+$K$3,IF(OR($L128="",$L128="-"),"",VLOOKUP($G128,為替!$A:$AX,$L128,FALSE)))</f>
        <v/>
      </c>
      <c r="N128" s="204" t="str">
        <f t="shared" si="12"/>
        <v/>
      </c>
      <c r="O128" s="205" t="str">
        <f t="shared" si="14"/>
        <v/>
      </c>
      <c r="P128" s="206" t="str">
        <f t="shared" si="15"/>
        <v/>
      </c>
    </row>
    <row r="129" spans="3:16" x14ac:dyDescent="0.4">
      <c r="C129" s="199"/>
      <c r="D129" s="200"/>
      <c r="E129" s="201"/>
      <c r="F129" s="199"/>
      <c r="H129" s="202"/>
      <c r="I129" s="185" t="str">
        <f t="shared" si="10"/>
        <v/>
      </c>
      <c r="J129" s="203" t="str">
        <f>IF($H129="USD",IF(OR($I129="",$I129="-"),"",VLOOKUP($G129,為替!$A:$AX,$I129,FALSE))+$J$3,IF(OR($I129="",$I129="-"),"",VLOOKUP($G129,為替!$A:$AX,$I129,FALSE)))</f>
        <v/>
      </c>
      <c r="K129" s="204" t="str">
        <f t="shared" si="11"/>
        <v/>
      </c>
      <c r="L129" s="188" t="str">
        <f t="shared" si="13"/>
        <v/>
      </c>
      <c r="M129" s="203" t="str">
        <f>IF($H129="USD",IF(OR($L129="",$L129="-"),"",VLOOKUP($G129,為替!$A:$AX,$L129,FALSE))+$K$3,IF(OR($L129="",$L129="-"),"",VLOOKUP($G129,為替!$A:$AX,$L129,FALSE)))</f>
        <v/>
      </c>
      <c r="N129" s="204" t="str">
        <f t="shared" si="12"/>
        <v/>
      </c>
      <c r="O129" s="205" t="str">
        <f t="shared" si="14"/>
        <v/>
      </c>
      <c r="P129" s="206" t="str">
        <f t="shared" si="15"/>
        <v/>
      </c>
    </row>
    <row r="130" spans="3:16" x14ac:dyDescent="0.4">
      <c r="C130" s="199"/>
      <c r="D130" s="200"/>
      <c r="E130" s="201"/>
      <c r="F130" s="199"/>
      <c r="H130" s="202"/>
      <c r="I130" s="185" t="str">
        <f t="shared" si="10"/>
        <v/>
      </c>
      <c r="J130" s="203" t="str">
        <f>IF($H130="USD",IF(OR($I130="",$I130="-"),"",VLOOKUP($G130,為替!$A:$AX,$I130,FALSE))+$J$3,IF(OR($I130="",$I130="-"),"",VLOOKUP($G130,為替!$A:$AX,$I130,FALSE)))</f>
        <v/>
      </c>
      <c r="K130" s="204" t="str">
        <f t="shared" si="11"/>
        <v/>
      </c>
      <c r="L130" s="188" t="str">
        <f t="shared" si="13"/>
        <v/>
      </c>
      <c r="M130" s="203" t="str">
        <f>IF($H130="USD",IF(OR($L130="",$L130="-"),"",VLOOKUP($G130,為替!$A:$AX,$L130,FALSE))+$K$3,IF(OR($L130="",$L130="-"),"",VLOOKUP($G130,為替!$A:$AX,$L130,FALSE)))</f>
        <v/>
      </c>
      <c r="N130" s="204" t="str">
        <f t="shared" si="12"/>
        <v/>
      </c>
      <c r="O130" s="205" t="str">
        <f t="shared" si="14"/>
        <v/>
      </c>
      <c r="P130" s="206" t="str">
        <f t="shared" si="15"/>
        <v/>
      </c>
    </row>
    <row r="131" spans="3:16" x14ac:dyDescent="0.4">
      <c r="C131" s="199"/>
      <c r="D131" s="200"/>
      <c r="E131" s="201"/>
      <c r="F131" s="199"/>
      <c r="H131" s="202"/>
      <c r="I131" s="185" t="str">
        <f t="shared" si="10"/>
        <v/>
      </c>
      <c r="J131" s="203" t="str">
        <f>IF($H131="USD",IF(OR($I131="",$I131="-"),"",VLOOKUP($G131,為替!$A:$AX,$I131,FALSE))+$J$3,IF(OR($I131="",$I131="-"),"",VLOOKUP($G131,為替!$A:$AX,$I131,FALSE)))</f>
        <v/>
      </c>
      <c r="K131" s="204" t="str">
        <f t="shared" si="11"/>
        <v/>
      </c>
      <c r="L131" s="188" t="str">
        <f t="shared" si="13"/>
        <v/>
      </c>
      <c r="M131" s="203" t="str">
        <f>IF($H131="USD",IF(OR($L131="",$L131="-"),"",VLOOKUP($G131,為替!$A:$AX,$L131,FALSE))+$K$3,IF(OR($L131="",$L131="-"),"",VLOOKUP($G131,為替!$A:$AX,$L131,FALSE)))</f>
        <v/>
      </c>
      <c r="N131" s="204" t="str">
        <f t="shared" si="12"/>
        <v/>
      </c>
      <c r="O131" s="205" t="str">
        <f t="shared" si="14"/>
        <v/>
      </c>
      <c r="P131" s="206" t="str">
        <f t="shared" si="15"/>
        <v/>
      </c>
    </row>
    <row r="132" spans="3:16" x14ac:dyDescent="0.4">
      <c r="C132" s="199"/>
      <c r="D132" s="200"/>
      <c r="E132" s="201"/>
      <c r="F132" s="199"/>
      <c r="H132" s="202"/>
      <c r="I132" s="185" t="str">
        <f t="shared" si="10"/>
        <v/>
      </c>
      <c r="J132" s="203" t="str">
        <f>IF($H132="USD",IF(OR($I132="",$I132="-"),"",VLOOKUP($G132,為替!$A:$AX,$I132,FALSE))+$J$3,IF(OR($I132="",$I132="-"),"",VLOOKUP($G132,為替!$A:$AX,$I132,FALSE)))</f>
        <v/>
      </c>
      <c r="K132" s="204" t="str">
        <f t="shared" si="11"/>
        <v/>
      </c>
      <c r="L132" s="188" t="str">
        <f t="shared" si="13"/>
        <v/>
      </c>
      <c r="M132" s="203" t="str">
        <f>IF($H132="USD",IF(OR($L132="",$L132="-"),"",VLOOKUP($G132,為替!$A:$AX,$L132,FALSE))+$K$3,IF(OR($L132="",$L132="-"),"",VLOOKUP($G132,為替!$A:$AX,$L132,FALSE)))</f>
        <v/>
      </c>
      <c r="N132" s="204" t="str">
        <f t="shared" si="12"/>
        <v/>
      </c>
      <c r="O132" s="205" t="str">
        <f t="shared" si="14"/>
        <v/>
      </c>
      <c r="P132" s="206" t="str">
        <f t="shared" si="15"/>
        <v/>
      </c>
    </row>
    <row r="133" spans="3:16" x14ac:dyDescent="0.4">
      <c r="C133" s="199"/>
      <c r="D133" s="200"/>
      <c r="E133" s="201"/>
      <c r="F133" s="199"/>
      <c r="H133" s="202"/>
      <c r="I133" s="185" t="str">
        <f t="shared" si="10"/>
        <v/>
      </c>
      <c r="J133" s="203" t="str">
        <f>IF($H133="USD",IF(OR($I133="",$I133="-"),"",VLOOKUP($G133,為替!$A:$AX,$I133,FALSE))+$J$3,IF(OR($I133="",$I133="-"),"",VLOOKUP($G133,為替!$A:$AX,$I133,FALSE)))</f>
        <v/>
      </c>
      <c r="K133" s="204" t="str">
        <f t="shared" si="11"/>
        <v/>
      </c>
      <c r="L133" s="188" t="str">
        <f t="shared" si="13"/>
        <v/>
      </c>
      <c r="M133" s="203" t="str">
        <f>IF($H133="USD",IF(OR($L133="",$L133="-"),"",VLOOKUP($G133,為替!$A:$AX,$L133,FALSE))+$K$3,IF(OR($L133="",$L133="-"),"",VLOOKUP($G133,為替!$A:$AX,$L133,FALSE)))</f>
        <v/>
      </c>
      <c r="N133" s="204" t="str">
        <f t="shared" si="12"/>
        <v/>
      </c>
      <c r="O133" s="205" t="str">
        <f t="shared" si="14"/>
        <v/>
      </c>
      <c r="P133" s="206" t="str">
        <f t="shared" si="15"/>
        <v/>
      </c>
    </row>
    <row r="134" spans="3:16" x14ac:dyDescent="0.4">
      <c r="C134" s="199"/>
      <c r="D134" s="200"/>
      <c r="E134" s="201"/>
      <c r="F134" s="199"/>
      <c r="H134" s="202"/>
      <c r="I134" s="185" t="str">
        <f t="shared" si="10"/>
        <v/>
      </c>
      <c r="J134" s="203" t="str">
        <f>IF($H134="USD",IF(OR($I134="",$I134="-"),"",VLOOKUP($G134,為替!$A:$AX,$I134,FALSE))+$J$3,IF(OR($I134="",$I134="-"),"",VLOOKUP($G134,為替!$A:$AX,$I134,FALSE)))</f>
        <v/>
      </c>
      <c r="K134" s="204" t="str">
        <f t="shared" si="11"/>
        <v/>
      </c>
      <c r="L134" s="188" t="str">
        <f t="shared" si="13"/>
        <v/>
      </c>
      <c r="M134" s="203" t="str">
        <f>IF($H134="USD",IF(OR($L134="",$L134="-"),"",VLOOKUP($G134,為替!$A:$AX,$L134,FALSE))+$K$3,IF(OR($L134="",$L134="-"),"",VLOOKUP($G134,為替!$A:$AX,$L134,FALSE)))</f>
        <v/>
      </c>
      <c r="N134" s="204" t="str">
        <f t="shared" si="12"/>
        <v/>
      </c>
      <c r="O134" s="205" t="str">
        <f t="shared" si="14"/>
        <v/>
      </c>
      <c r="P134" s="206" t="str">
        <f t="shared" si="15"/>
        <v/>
      </c>
    </row>
    <row r="135" spans="3:16" x14ac:dyDescent="0.4">
      <c r="C135" s="199"/>
      <c r="D135" s="200"/>
      <c r="E135" s="201"/>
      <c r="F135" s="199"/>
      <c r="H135" s="202"/>
      <c r="I135" s="185" t="str">
        <f t="shared" ref="I135:I198" si="16">IF(H135="","",IF(H135="JPY","",IF($H135="USD",4, IF(H135="EUR",7,IF(H135="CNY",47,IF(H135="HKD",34))))))</f>
        <v/>
      </c>
      <c r="J135" s="203" t="str">
        <f>IF($H135="USD",IF(OR($I135="",$I135="-"),"",VLOOKUP($G135,為替!$A:$AX,$I135,FALSE))+$J$3,IF(OR($I135="",$I135="-"),"",VLOOKUP($G135,為替!$A:$AX,$I135,FALSE)))</f>
        <v/>
      </c>
      <c r="K135" s="204" t="str">
        <f t="shared" ref="K135:K198" si="17">IF($H135="JPY",$F135,IF($H135="","",$F135*$J135))</f>
        <v/>
      </c>
      <c r="L135" s="188" t="str">
        <f t="shared" si="13"/>
        <v/>
      </c>
      <c r="M135" s="203" t="str">
        <f>IF($H135="USD",IF(OR($L135="",$L135="-"),"",VLOOKUP($G135,為替!$A:$AX,$L135,FALSE))+$K$3,IF(OR($L135="",$L135="-"),"",VLOOKUP($G135,為替!$A:$AX,$L135,FALSE)))</f>
        <v/>
      </c>
      <c r="N135" s="204" t="str">
        <f t="shared" ref="N135:N198" si="18">IF($E135="JPY",($C135+$D135),IF($E135="","",($C135+$D135)*$M135))</f>
        <v/>
      </c>
      <c r="O135" s="205" t="str">
        <f t="shared" si="14"/>
        <v/>
      </c>
      <c r="P135" s="206" t="str">
        <f t="shared" si="15"/>
        <v/>
      </c>
    </row>
    <row r="136" spans="3:16" x14ac:dyDescent="0.4">
      <c r="C136" s="199"/>
      <c r="D136" s="200"/>
      <c r="E136" s="201"/>
      <c r="F136" s="199"/>
      <c r="H136" s="202"/>
      <c r="I136" s="185" t="str">
        <f t="shared" si="16"/>
        <v/>
      </c>
      <c r="J136" s="203" t="str">
        <f>IF($H136="USD",IF(OR($I136="",$I136="-"),"",VLOOKUP($G136,為替!$A:$AX,$I136,FALSE))+$J$3,IF(OR($I136="",$I136="-"),"",VLOOKUP($G136,為替!$A:$AX,$I136,FALSE)))</f>
        <v/>
      </c>
      <c r="K136" s="204" t="str">
        <f t="shared" si="17"/>
        <v/>
      </c>
      <c r="L136" s="188" t="str">
        <f t="shared" si="13"/>
        <v/>
      </c>
      <c r="M136" s="203" t="str">
        <f>IF($H136="USD",IF(OR($L136="",$L136="-"),"",VLOOKUP($G136,為替!$A:$AX,$L136,FALSE))+$K$3,IF(OR($L136="",$L136="-"),"",VLOOKUP($G136,為替!$A:$AX,$L136,FALSE)))</f>
        <v/>
      </c>
      <c r="N136" s="204" t="str">
        <f t="shared" si="18"/>
        <v/>
      </c>
      <c r="O136" s="205" t="str">
        <f t="shared" si="14"/>
        <v/>
      </c>
      <c r="P136" s="206" t="str">
        <f t="shared" si="15"/>
        <v/>
      </c>
    </row>
    <row r="137" spans="3:16" x14ac:dyDescent="0.4">
      <c r="C137" s="199"/>
      <c r="D137" s="200"/>
      <c r="E137" s="201"/>
      <c r="F137" s="199"/>
      <c r="H137" s="202"/>
      <c r="I137" s="185" t="str">
        <f t="shared" si="16"/>
        <v/>
      </c>
      <c r="J137" s="203" t="str">
        <f>IF($H137="USD",IF(OR($I137="",$I137="-"),"",VLOOKUP($G137,為替!$A:$AX,$I137,FALSE))+$J$3,IF(OR($I137="",$I137="-"),"",VLOOKUP($G137,為替!$A:$AX,$I137,FALSE)))</f>
        <v/>
      </c>
      <c r="K137" s="204" t="str">
        <f t="shared" si="17"/>
        <v/>
      </c>
      <c r="L137" s="188" t="str">
        <f t="shared" si="13"/>
        <v/>
      </c>
      <c r="M137" s="203" t="str">
        <f>IF($H137="USD",IF(OR($L137="",$L137="-"),"",VLOOKUP($G137,為替!$A:$AX,$L137,FALSE))+$K$3,IF(OR($L137="",$L137="-"),"",VLOOKUP($G137,為替!$A:$AX,$L137,FALSE)))</f>
        <v/>
      </c>
      <c r="N137" s="204" t="str">
        <f t="shared" si="18"/>
        <v/>
      </c>
      <c r="O137" s="205" t="str">
        <f t="shared" si="14"/>
        <v/>
      </c>
      <c r="P137" s="206" t="str">
        <f t="shared" si="15"/>
        <v/>
      </c>
    </row>
    <row r="138" spans="3:16" x14ac:dyDescent="0.4">
      <c r="C138" s="199"/>
      <c r="D138" s="200"/>
      <c r="E138" s="201"/>
      <c r="F138" s="199"/>
      <c r="H138" s="202"/>
      <c r="I138" s="185" t="str">
        <f t="shared" si="16"/>
        <v/>
      </c>
      <c r="J138" s="203" t="str">
        <f>IF($H138="USD",IF(OR($I138="",$I138="-"),"",VLOOKUP($G138,為替!$A:$AX,$I138,FALSE))+$J$3,IF(OR($I138="",$I138="-"),"",VLOOKUP($G138,為替!$A:$AX,$I138,FALSE)))</f>
        <v/>
      </c>
      <c r="K138" s="204" t="str">
        <f t="shared" si="17"/>
        <v/>
      </c>
      <c r="L138" s="188" t="str">
        <f t="shared" si="13"/>
        <v/>
      </c>
      <c r="M138" s="203" t="str">
        <f>IF($H138="USD",IF(OR($L138="",$L138="-"),"",VLOOKUP($G138,為替!$A:$AX,$L138,FALSE))+$K$3,IF(OR($L138="",$L138="-"),"",VLOOKUP($G138,為替!$A:$AX,$L138,FALSE)))</f>
        <v/>
      </c>
      <c r="N138" s="204" t="str">
        <f t="shared" si="18"/>
        <v/>
      </c>
      <c r="O138" s="205" t="str">
        <f t="shared" si="14"/>
        <v/>
      </c>
      <c r="P138" s="206" t="str">
        <f t="shared" si="15"/>
        <v/>
      </c>
    </row>
    <row r="139" spans="3:16" x14ac:dyDescent="0.4">
      <c r="C139" s="199"/>
      <c r="D139" s="200"/>
      <c r="E139" s="201"/>
      <c r="F139" s="199"/>
      <c r="H139" s="202"/>
      <c r="I139" s="185" t="str">
        <f t="shared" si="16"/>
        <v/>
      </c>
      <c r="J139" s="203" t="str">
        <f>IF($H139="USD",IF(OR($I139="",$I139="-"),"",VLOOKUP($G139,為替!$A:$AX,$I139,FALSE))+$J$3,IF(OR($I139="",$I139="-"),"",VLOOKUP($G139,為替!$A:$AX,$I139,FALSE)))</f>
        <v/>
      </c>
      <c r="K139" s="204" t="str">
        <f t="shared" si="17"/>
        <v/>
      </c>
      <c r="L139" s="188" t="str">
        <f t="shared" si="13"/>
        <v/>
      </c>
      <c r="M139" s="203" t="str">
        <f>IF($H139="USD",IF(OR($L139="",$L139="-"),"",VLOOKUP($G139,為替!$A:$AX,$L139,FALSE))+$K$3,IF(OR($L139="",$L139="-"),"",VLOOKUP($G139,為替!$A:$AX,$L139,FALSE)))</f>
        <v/>
      </c>
      <c r="N139" s="204" t="str">
        <f t="shared" si="18"/>
        <v/>
      </c>
      <c r="O139" s="205" t="str">
        <f t="shared" si="14"/>
        <v/>
      </c>
      <c r="P139" s="206" t="str">
        <f t="shared" si="15"/>
        <v/>
      </c>
    </row>
    <row r="140" spans="3:16" x14ac:dyDescent="0.4">
      <c r="C140" s="199"/>
      <c r="D140" s="200"/>
      <c r="E140" s="201"/>
      <c r="F140" s="199"/>
      <c r="H140" s="202"/>
      <c r="I140" s="185" t="str">
        <f t="shared" si="16"/>
        <v/>
      </c>
      <c r="J140" s="203" t="str">
        <f>IF($H140="USD",IF(OR($I140="",$I140="-"),"",VLOOKUP($G140,為替!$A:$AX,$I140,FALSE))+$J$3,IF(OR($I140="",$I140="-"),"",VLOOKUP($G140,為替!$A:$AX,$I140,FALSE)))</f>
        <v/>
      </c>
      <c r="K140" s="204" t="str">
        <f t="shared" si="17"/>
        <v/>
      </c>
      <c r="L140" s="188" t="str">
        <f t="shared" si="13"/>
        <v/>
      </c>
      <c r="M140" s="203" t="str">
        <f>IF($H140="USD",IF(OR($L140="",$L140="-"),"",VLOOKUP($G140,為替!$A:$AX,$L140,FALSE))+$K$3,IF(OR($L140="",$L140="-"),"",VLOOKUP($G140,為替!$A:$AX,$L140,FALSE)))</f>
        <v/>
      </c>
      <c r="N140" s="204" t="str">
        <f t="shared" si="18"/>
        <v/>
      </c>
      <c r="O140" s="205" t="str">
        <f t="shared" si="14"/>
        <v/>
      </c>
      <c r="P140" s="206" t="str">
        <f t="shared" si="15"/>
        <v/>
      </c>
    </row>
    <row r="141" spans="3:16" x14ac:dyDescent="0.4">
      <c r="C141" s="199"/>
      <c r="D141" s="200"/>
      <c r="E141" s="201"/>
      <c r="F141" s="199"/>
      <c r="H141" s="202"/>
      <c r="I141" s="185" t="str">
        <f t="shared" si="16"/>
        <v/>
      </c>
      <c r="J141" s="203" t="str">
        <f>IF($H141="USD",IF(OR($I141="",$I141="-"),"",VLOOKUP($G141,為替!$A:$AX,$I141,FALSE))+$J$3,IF(OR($I141="",$I141="-"),"",VLOOKUP($G141,為替!$A:$AX,$I141,FALSE)))</f>
        <v/>
      </c>
      <c r="K141" s="204" t="str">
        <f t="shared" si="17"/>
        <v/>
      </c>
      <c r="L141" s="188" t="str">
        <f t="shared" si="13"/>
        <v/>
      </c>
      <c r="M141" s="203" t="str">
        <f>IF($H141="USD",IF(OR($L141="",$L141="-"),"",VLOOKUP($G141,為替!$A:$AX,$L141,FALSE))+$K$3,IF(OR($L141="",$L141="-"),"",VLOOKUP($G141,為替!$A:$AX,$L141,FALSE)))</f>
        <v/>
      </c>
      <c r="N141" s="204" t="str">
        <f t="shared" si="18"/>
        <v/>
      </c>
      <c r="O141" s="205" t="str">
        <f t="shared" si="14"/>
        <v/>
      </c>
      <c r="P141" s="206" t="str">
        <f t="shared" si="15"/>
        <v/>
      </c>
    </row>
    <row r="142" spans="3:16" x14ac:dyDescent="0.4">
      <c r="C142" s="199"/>
      <c r="D142" s="200"/>
      <c r="E142" s="201"/>
      <c r="F142" s="199"/>
      <c r="H142" s="202"/>
      <c r="I142" s="185" t="str">
        <f t="shared" si="16"/>
        <v/>
      </c>
      <c r="J142" s="203" t="str">
        <f>IF($H142="USD",IF(OR($I142="",$I142="-"),"",VLOOKUP($G142,為替!$A:$AX,$I142,FALSE))+$J$3,IF(OR($I142="",$I142="-"),"",VLOOKUP($G142,為替!$A:$AX,$I142,FALSE)))</f>
        <v/>
      </c>
      <c r="K142" s="204" t="str">
        <f t="shared" si="17"/>
        <v/>
      </c>
      <c r="L142" s="188" t="str">
        <f t="shared" si="13"/>
        <v/>
      </c>
      <c r="M142" s="203" t="str">
        <f>IF($H142="USD",IF(OR($L142="",$L142="-"),"",VLOOKUP($G142,為替!$A:$AX,$L142,FALSE))+$K$3,IF(OR($L142="",$L142="-"),"",VLOOKUP($G142,為替!$A:$AX,$L142,FALSE)))</f>
        <v/>
      </c>
      <c r="N142" s="204" t="str">
        <f t="shared" si="18"/>
        <v/>
      </c>
      <c r="O142" s="205" t="str">
        <f t="shared" si="14"/>
        <v/>
      </c>
      <c r="P142" s="206" t="str">
        <f t="shared" si="15"/>
        <v/>
      </c>
    </row>
    <row r="143" spans="3:16" x14ac:dyDescent="0.4">
      <c r="C143" s="199"/>
      <c r="D143" s="200"/>
      <c r="E143" s="201"/>
      <c r="F143" s="199"/>
      <c r="H143" s="202"/>
      <c r="I143" s="185" t="str">
        <f t="shared" si="16"/>
        <v/>
      </c>
      <c r="J143" s="203" t="str">
        <f>IF($H143="USD",IF(OR($I143="",$I143="-"),"",VLOOKUP($G143,為替!$A:$AX,$I143,FALSE))+$J$3,IF(OR($I143="",$I143="-"),"",VLOOKUP($G143,為替!$A:$AX,$I143,FALSE)))</f>
        <v/>
      </c>
      <c r="K143" s="204" t="str">
        <f t="shared" si="17"/>
        <v/>
      </c>
      <c r="L143" s="188" t="str">
        <f t="shared" si="13"/>
        <v/>
      </c>
      <c r="M143" s="203" t="str">
        <f>IF($H143="USD",IF(OR($L143="",$L143="-"),"",VLOOKUP($G143,為替!$A:$AX,$L143,FALSE))+$K$3,IF(OR($L143="",$L143="-"),"",VLOOKUP($G143,為替!$A:$AX,$L143,FALSE)))</f>
        <v/>
      </c>
      <c r="N143" s="204" t="str">
        <f t="shared" si="18"/>
        <v/>
      </c>
      <c r="O143" s="205" t="str">
        <f t="shared" si="14"/>
        <v/>
      </c>
      <c r="P143" s="206" t="str">
        <f t="shared" si="15"/>
        <v/>
      </c>
    </row>
    <row r="144" spans="3:16" x14ac:dyDescent="0.4">
      <c r="C144" s="199"/>
      <c r="D144" s="200"/>
      <c r="E144" s="201"/>
      <c r="F144" s="199"/>
      <c r="H144" s="202"/>
      <c r="I144" s="185" t="str">
        <f t="shared" si="16"/>
        <v/>
      </c>
      <c r="J144" s="203" t="str">
        <f>IF($H144="USD",IF(OR($I144="",$I144="-"),"",VLOOKUP($G144,為替!$A:$AX,$I144,FALSE))+$J$3,IF(OR($I144="",$I144="-"),"",VLOOKUP($G144,為替!$A:$AX,$I144,FALSE)))</f>
        <v/>
      </c>
      <c r="K144" s="204" t="str">
        <f t="shared" si="17"/>
        <v/>
      </c>
      <c r="L144" s="188" t="str">
        <f t="shared" si="13"/>
        <v/>
      </c>
      <c r="M144" s="203" t="str">
        <f>IF($H144="USD",IF(OR($L144="",$L144="-"),"",VLOOKUP($G144,為替!$A:$AX,$L144,FALSE))+$K$3,IF(OR($L144="",$L144="-"),"",VLOOKUP($G144,為替!$A:$AX,$L144,FALSE)))</f>
        <v/>
      </c>
      <c r="N144" s="204" t="str">
        <f t="shared" si="18"/>
        <v/>
      </c>
      <c r="O144" s="205" t="str">
        <f t="shared" si="14"/>
        <v/>
      </c>
      <c r="P144" s="206" t="str">
        <f t="shared" si="15"/>
        <v/>
      </c>
    </row>
    <row r="145" spans="3:16" x14ac:dyDescent="0.4">
      <c r="C145" s="199"/>
      <c r="D145" s="200"/>
      <c r="E145" s="201"/>
      <c r="F145" s="199"/>
      <c r="H145" s="202"/>
      <c r="I145" s="185" t="str">
        <f t="shared" si="16"/>
        <v/>
      </c>
      <c r="J145" s="203" t="str">
        <f>IF($H145="USD",IF(OR($I145="",$I145="-"),"",VLOOKUP($G145,為替!$A:$AX,$I145,FALSE))+$J$3,IF(OR($I145="",$I145="-"),"",VLOOKUP($G145,為替!$A:$AX,$I145,FALSE)))</f>
        <v/>
      </c>
      <c r="K145" s="204" t="str">
        <f t="shared" si="17"/>
        <v/>
      </c>
      <c r="L145" s="188" t="str">
        <f t="shared" si="13"/>
        <v/>
      </c>
      <c r="M145" s="203" t="str">
        <f>IF($H145="USD",IF(OR($L145="",$L145="-"),"",VLOOKUP($G145,為替!$A:$AX,$L145,FALSE))+$K$3,IF(OR($L145="",$L145="-"),"",VLOOKUP($G145,為替!$A:$AX,$L145,FALSE)))</f>
        <v/>
      </c>
      <c r="N145" s="204" t="str">
        <f t="shared" si="18"/>
        <v/>
      </c>
      <c r="O145" s="205" t="str">
        <f t="shared" si="14"/>
        <v/>
      </c>
      <c r="P145" s="206" t="str">
        <f t="shared" si="15"/>
        <v/>
      </c>
    </row>
    <row r="146" spans="3:16" x14ac:dyDescent="0.4">
      <c r="C146" s="199"/>
      <c r="D146" s="200"/>
      <c r="E146" s="201"/>
      <c r="F146" s="199"/>
      <c r="H146" s="202"/>
      <c r="I146" s="185" t="str">
        <f t="shared" si="16"/>
        <v/>
      </c>
      <c r="J146" s="203" t="str">
        <f>IF($H146="USD",IF(OR($I146="",$I146="-"),"",VLOOKUP($G146,為替!$A:$AX,$I146,FALSE))+$J$3,IF(OR($I146="",$I146="-"),"",VLOOKUP($G146,為替!$A:$AX,$I146,FALSE)))</f>
        <v/>
      </c>
      <c r="K146" s="204" t="str">
        <f t="shared" si="17"/>
        <v/>
      </c>
      <c r="L146" s="188" t="str">
        <f t="shared" ref="L146:L209" si="19">IF(H146="","",IF(H146="JPY","",IF($H146="USD",3, IF(H146="EUR",6,IF(H146="CNY",46,IF(H146="HKD",33))))))</f>
        <v/>
      </c>
      <c r="M146" s="203" t="str">
        <f>IF($H146="USD",IF(OR($L146="",$L146="-"),"",VLOOKUP($G146,為替!$A:$AX,$L146,FALSE))+$K$3,IF(OR($L146="",$L146="-"),"",VLOOKUP($G146,為替!$A:$AX,$L146,FALSE)))</f>
        <v/>
      </c>
      <c r="N146" s="204" t="str">
        <f t="shared" si="18"/>
        <v/>
      </c>
      <c r="O146" s="205" t="str">
        <f t="shared" ref="O146:O209" si="20">IF(OR(K146="",N146=""),"",K146-N146)</f>
        <v/>
      </c>
      <c r="P146" s="206" t="str">
        <f t="shared" ref="P146:P209" si="21">IF(OR(K146="",O146=""),"",O146/K146)</f>
        <v/>
      </c>
    </row>
    <row r="147" spans="3:16" x14ac:dyDescent="0.4">
      <c r="C147" s="199"/>
      <c r="D147" s="200"/>
      <c r="E147" s="201"/>
      <c r="F147" s="199"/>
      <c r="H147" s="202"/>
      <c r="I147" s="185" t="str">
        <f t="shared" si="16"/>
        <v/>
      </c>
      <c r="J147" s="203" t="str">
        <f>IF($H147="USD",IF(OR($I147="",$I147="-"),"",VLOOKUP($G147,為替!$A:$AX,$I147,FALSE))+$J$3,IF(OR($I147="",$I147="-"),"",VLOOKUP($G147,為替!$A:$AX,$I147,FALSE)))</f>
        <v/>
      </c>
      <c r="K147" s="204" t="str">
        <f t="shared" si="17"/>
        <v/>
      </c>
      <c r="L147" s="188" t="str">
        <f t="shared" si="19"/>
        <v/>
      </c>
      <c r="M147" s="203" t="str">
        <f>IF($H147="USD",IF(OR($L147="",$L147="-"),"",VLOOKUP($G147,為替!$A:$AX,$L147,FALSE))+$K$3,IF(OR($L147="",$L147="-"),"",VLOOKUP($G147,為替!$A:$AX,$L147,FALSE)))</f>
        <v/>
      </c>
      <c r="N147" s="204" t="str">
        <f t="shared" si="18"/>
        <v/>
      </c>
      <c r="O147" s="205" t="str">
        <f t="shared" si="20"/>
        <v/>
      </c>
      <c r="P147" s="206" t="str">
        <f t="shared" si="21"/>
        <v/>
      </c>
    </row>
    <row r="148" spans="3:16" x14ac:dyDescent="0.4">
      <c r="C148" s="199"/>
      <c r="D148" s="200"/>
      <c r="E148" s="201"/>
      <c r="F148" s="199"/>
      <c r="H148" s="202"/>
      <c r="I148" s="185" t="str">
        <f t="shared" si="16"/>
        <v/>
      </c>
      <c r="J148" s="203" t="str">
        <f>IF($H148="USD",IF(OR($I148="",$I148="-"),"",VLOOKUP($G148,為替!$A:$AX,$I148,FALSE))+$J$3,IF(OR($I148="",$I148="-"),"",VLOOKUP($G148,為替!$A:$AX,$I148,FALSE)))</f>
        <v/>
      </c>
      <c r="K148" s="204" t="str">
        <f t="shared" si="17"/>
        <v/>
      </c>
      <c r="L148" s="188" t="str">
        <f t="shared" si="19"/>
        <v/>
      </c>
      <c r="M148" s="203" t="str">
        <f>IF($H148="USD",IF(OR($L148="",$L148="-"),"",VLOOKUP($G148,為替!$A:$AX,$L148,FALSE))+$K$3,IF(OR($L148="",$L148="-"),"",VLOOKUP($G148,為替!$A:$AX,$L148,FALSE)))</f>
        <v/>
      </c>
      <c r="N148" s="204" t="str">
        <f t="shared" si="18"/>
        <v/>
      </c>
      <c r="O148" s="205" t="str">
        <f t="shared" si="20"/>
        <v/>
      </c>
      <c r="P148" s="206" t="str">
        <f t="shared" si="21"/>
        <v/>
      </c>
    </row>
    <row r="149" spans="3:16" x14ac:dyDescent="0.4">
      <c r="C149" s="199"/>
      <c r="D149" s="200"/>
      <c r="E149" s="201"/>
      <c r="F149" s="199"/>
      <c r="H149" s="202"/>
      <c r="I149" s="185" t="str">
        <f t="shared" si="16"/>
        <v/>
      </c>
      <c r="J149" s="203" t="str">
        <f>IF($H149="USD",IF(OR($I149="",$I149="-"),"",VLOOKUP($G149,為替!$A:$AX,$I149,FALSE))+$J$3,IF(OR($I149="",$I149="-"),"",VLOOKUP($G149,為替!$A:$AX,$I149,FALSE)))</f>
        <v/>
      </c>
      <c r="K149" s="204" t="str">
        <f t="shared" si="17"/>
        <v/>
      </c>
      <c r="L149" s="188" t="str">
        <f t="shared" si="19"/>
        <v/>
      </c>
      <c r="M149" s="203" t="str">
        <f>IF($H149="USD",IF(OR($L149="",$L149="-"),"",VLOOKUP($G149,為替!$A:$AX,$L149,FALSE))+$K$3,IF(OR($L149="",$L149="-"),"",VLOOKUP($G149,為替!$A:$AX,$L149,FALSE)))</f>
        <v/>
      </c>
      <c r="N149" s="204" t="str">
        <f t="shared" si="18"/>
        <v/>
      </c>
      <c r="O149" s="205" t="str">
        <f t="shared" si="20"/>
        <v/>
      </c>
      <c r="P149" s="206" t="str">
        <f t="shared" si="21"/>
        <v/>
      </c>
    </row>
    <row r="150" spans="3:16" x14ac:dyDescent="0.4">
      <c r="C150" s="199"/>
      <c r="D150" s="200"/>
      <c r="E150" s="201"/>
      <c r="F150" s="199"/>
      <c r="H150" s="202"/>
      <c r="I150" s="185" t="str">
        <f t="shared" si="16"/>
        <v/>
      </c>
      <c r="J150" s="203" t="str">
        <f>IF($H150="USD",IF(OR($I150="",$I150="-"),"",VLOOKUP($G150,為替!$A:$AX,$I150,FALSE))+$J$3,IF(OR($I150="",$I150="-"),"",VLOOKUP($G150,為替!$A:$AX,$I150,FALSE)))</f>
        <v/>
      </c>
      <c r="K150" s="204" t="str">
        <f t="shared" si="17"/>
        <v/>
      </c>
      <c r="L150" s="188" t="str">
        <f t="shared" si="19"/>
        <v/>
      </c>
      <c r="M150" s="203" t="str">
        <f>IF($H150="USD",IF(OR($L150="",$L150="-"),"",VLOOKUP($G150,為替!$A:$AX,$L150,FALSE))+$K$3,IF(OR($L150="",$L150="-"),"",VLOOKUP($G150,為替!$A:$AX,$L150,FALSE)))</f>
        <v/>
      </c>
      <c r="N150" s="204" t="str">
        <f t="shared" si="18"/>
        <v/>
      </c>
      <c r="O150" s="205" t="str">
        <f t="shared" si="20"/>
        <v/>
      </c>
      <c r="P150" s="206" t="str">
        <f t="shared" si="21"/>
        <v/>
      </c>
    </row>
    <row r="151" spans="3:16" x14ac:dyDescent="0.4">
      <c r="C151" s="199"/>
      <c r="D151" s="200"/>
      <c r="E151" s="201"/>
      <c r="F151" s="199"/>
      <c r="H151" s="202"/>
      <c r="I151" s="185" t="str">
        <f t="shared" si="16"/>
        <v/>
      </c>
      <c r="J151" s="203" t="str">
        <f>IF($H151="USD",IF(OR($I151="",$I151="-"),"",VLOOKUP($G151,為替!$A:$AX,$I151,FALSE))+$J$3,IF(OR($I151="",$I151="-"),"",VLOOKUP($G151,為替!$A:$AX,$I151,FALSE)))</f>
        <v/>
      </c>
      <c r="K151" s="204" t="str">
        <f t="shared" si="17"/>
        <v/>
      </c>
      <c r="L151" s="188" t="str">
        <f t="shared" si="19"/>
        <v/>
      </c>
      <c r="M151" s="203" t="str">
        <f>IF($H151="USD",IF(OR($L151="",$L151="-"),"",VLOOKUP($G151,為替!$A:$AX,$L151,FALSE))+$K$3,IF(OR($L151="",$L151="-"),"",VLOOKUP($G151,為替!$A:$AX,$L151,FALSE)))</f>
        <v/>
      </c>
      <c r="N151" s="204" t="str">
        <f t="shared" si="18"/>
        <v/>
      </c>
      <c r="O151" s="205" t="str">
        <f t="shared" si="20"/>
        <v/>
      </c>
      <c r="P151" s="206" t="str">
        <f t="shared" si="21"/>
        <v/>
      </c>
    </row>
    <row r="152" spans="3:16" x14ac:dyDescent="0.4">
      <c r="C152" s="199"/>
      <c r="D152" s="200"/>
      <c r="E152" s="201"/>
      <c r="F152" s="199"/>
      <c r="H152" s="202"/>
      <c r="I152" s="185" t="str">
        <f t="shared" si="16"/>
        <v/>
      </c>
      <c r="J152" s="203" t="str">
        <f>IF($H152="USD",IF(OR($I152="",$I152="-"),"",VLOOKUP($G152,為替!$A:$AX,$I152,FALSE))+$J$3,IF(OR($I152="",$I152="-"),"",VLOOKUP($G152,為替!$A:$AX,$I152,FALSE)))</f>
        <v/>
      </c>
      <c r="K152" s="204" t="str">
        <f t="shared" si="17"/>
        <v/>
      </c>
      <c r="L152" s="188" t="str">
        <f t="shared" si="19"/>
        <v/>
      </c>
      <c r="M152" s="203" t="str">
        <f>IF($H152="USD",IF(OR($L152="",$L152="-"),"",VLOOKUP($G152,為替!$A:$AX,$L152,FALSE))+$K$3,IF(OR($L152="",$L152="-"),"",VLOOKUP($G152,為替!$A:$AX,$L152,FALSE)))</f>
        <v/>
      </c>
      <c r="N152" s="204" t="str">
        <f t="shared" si="18"/>
        <v/>
      </c>
      <c r="O152" s="205" t="str">
        <f t="shared" si="20"/>
        <v/>
      </c>
      <c r="P152" s="206" t="str">
        <f t="shared" si="21"/>
        <v/>
      </c>
    </row>
    <row r="153" spans="3:16" x14ac:dyDescent="0.4">
      <c r="C153" s="199"/>
      <c r="D153" s="200"/>
      <c r="E153" s="201"/>
      <c r="F153" s="199"/>
      <c r="H153" s="202"/>
      <c r="I153" s="185" t="str">
        <f t="shared" si="16"/>
        <v/>
      </c>
      <c r="J153" s="203" t="str">
        <f>IF($H153="USD",IF(OR($I153="",$I153="-"),"",VLOOKUP($G153,為替!$A:$AX,$I153,FALSE))+$J$3,IF(OR($I153="",$I153="-"),"",VLOOKUP($G153,為替!$A:$AX,$I153,FALSE)))</f>
        <v/>
      </c>
      <c r="K153" s="204" t="str">
        <f t="shared" si="17"/>
        <v/>
      </c>
      <c r="L153" s="188" t="str">
        <f t="shared" si="19"/>
        <v/>
      </c>
      <c r="M153" s="203" t="str">
        <f>IF($H153="USD",IF(OR($L153="",$L153="-"),"",VLOOKUP($G153,為替!$A:$AX,$L153,FALSE))+$K$3,IF(OR($L153="",$L153="-"),"",VLOOKUP($G153,為替!$A:$AX,$L153,FALSE)))</f>
        <v/>
      </c>
      <c r="N153" s="204" t="str">
        <f t="shared" si="18"/>
        <v/>
      </c>
      <c r="O153" s="205" t="str">
        <f t="shared" si="20"/>
        <v/>
      </c>
      <c r="P153" s="206" t="str">
        <f t="shared" si="21"/>
        <v/>
      </c>
    </row>
    <row r="154" spans="3:16" x14ac:dyDescent="0.4">
      <c r="C154" s="199"/>
      <c r="D154" s="200"/>
      <c r="E154" s="201"/>
      <c r="F154" s="199"/>
      <c r="H154" s="202"/>
      <c r="I154" s="185" t="str">
        <f t="shared" si="16"/>
        <v/>
      </c>
      <c r="J154" s="203" t="str">
        <f>IF($H154="USD",IF(OR($I154="",$I154="-"),"",VLOOKUP($G154,為替!$A:$AX,$I154,FALSE))+$J$3,IF(OR($I154="",$I154="-"),"",VLOOKUP($G154,為替!$A:$AX,$I154,FALSE)))</f>
        <v/>
      </c>
      <c r="K154" s="204" t="str">
        <f t="shared" si="17"/>
        <v/>
      </c>
      <c r="L154" s="188" t="str">
        <f t="shared" si="19"/>
        <v/>
      </c>
      <c r="M154" s="203" t="str">
        <f>IF($H154="USD",IF(OR($L154="",$L154="-"),"",VLOOKUP($G154,為替!$A:$AX,$L154,FALSE))+$K$3,IF(OR($L154="",$L154="-"),"",VLOOKUP($G154,為替!$A:$AX,$L154,FALSE)))</f>
        <v/>
      </c>
      <c r="N154" s="204" t="str">
        <f t="shared" si="18"/>
        <v/>
      </c>
      <c r="O154" s="205" t="str">
        <f t="shared" si="20"/>
        <v/>
      </c>
      <c r="P154" s="206" t="str">
        <f t="shared" si="21"/>
        <v/>
      </c>
    </row>
    <row r="155" spans="3:16" x14ac:dyDescent="0.4">
      <c r="C155" s="199"/>
      <c r="D155" s="200"/>
      <c r="E155" s="201"/>
      <c r="F155" s="199"/>
      <c r="H155" s="202"/>
      <c r="I155" s="185" t="str">
        <f t="shared" si="16"/>
        <v/>
      </c>
      <c r="J155" s="203" t="str">
        <f>IF($H155="USD",IF(OR($I155="",$I155="-"),"",VLOOKUP($G155,為替!$A:$AX,$I155,FALSE))+$J$3,IF(OR($I155="",$I155="-"),"",VLOOKUP($G155,為替!$A:$AX,$I155,FALSE)))</f>
        <v/>
      </c>
      <c r="K155" s="204" t="str">
        <f t="shared" si="17"/>
        <v/>
      </c>
      <c r="L155" s="188" t="str">
        <f t="shared" si="19"/>
        <v/>
      </c>
      <c r="M155" s="203" t="str">
        <f>IF($H155="USD",IF(OR($L155="",$L155="-"),"",VLOOKUP($G155,為替!$A:$AX,$L155,FALSE))+$K$3,IF(OR($L155="",$L155="-"),"",VLOOKUP($G155,為替!$A:$AX,$L155,FALSE)))</f>
        <v/>
      </c>
      <c r="N155" s="204" t="str">
        <f t="shared" si="18"/>
        <v/>
      </c>
      <c r="O155" s="205" t="str">
        <f t="shared" si="20"/>
        <v/>
      </c>
      <c r="P155" s="206" t="str">
        <f t="shared" si="21"/>
        <v/>
      </c>
    </row>
    <row r="156" spans="3:16" x14ac:dyDescent="0.4">
      <c r="C156" s="199"/>
      <c r="D156" s="200"/>
      <c r="E156" s="201"/>
      <c r="F156" s="199"/>
      <c r="H156" s="202"/>
      <c r="I156" s="185" t="str">
        <f t="shared" si="16"/>
        <v/>
      </c>
      <c r="J156" s="203" t="str">
        <f>IF($H156="USD",IF(OR($I156="",$I156="-"),"",VLOOKUP($G156,為替!$A:$AX,$I156,FALSE))+$J$3,IF(OR($I156="",$I156="-"),"",VLOOKUP($G156,為替!$A:$AX,$I156,FALSE)))</f>
        <v/>
      </c>
      <c r="K156" s="204" t="str">
        <f t="shared" si="17"/>
        <v/>
      </c>
      <c r="L156" s="188" t="str">
        <f t="shared" si="19"/>
        <v/>
      </c>
      <c r="M156" s="203" t="str">
        <f>IF($H156="USD",IF(OR($L156="",$L156="-"),"",VLOOKUP($G156,為替!$A:$AX,$L156,FALSE))+$K$3,IF(OR($L156="",$L156="-"),"",VLOOKUP($G156,為替!$A:$AX,$L156,FALSE)))</f>
        <v/>
      </c>
      <c r="N156" s="204" t="str">
        <f t="shared" si="18"/>
        <v/>
      </c>
      <c r="O156" s="205" t="str">
        <f t="shared" si="20"/>
        <v/>
      </c>
      <c r="P156" s="206" t="str">
        <f t="shared" si="21"/>
        <v/>
      </c>
    </row>
    <row r="157" spans="3:16" x14ac:dyDescent="0.4">
      <c r="C157" s="199"/>
      <c r="D157" s="200"/>
      <c r="E157" s="201"/>
      <c r="F157" s="199"/>
      <c r="H157" s="202"/>
      <c r="I157" s="185" t="str">
        <f t="shared" si="16"/>
        <v/>
      </c>
      <c r="J157" s="203" t="str">
        <f>IF($H157="USD",IF(OR($I157="",$I157="-"),"",VLOOKUP($G157,為替!$A:$AX,$I157,FALSE))+$J$3,IF(OR($I157="",$I157="-"),"",VLOOKUP($G157,為替!$A:$AX,$I157,FALSE)))</f>
        <v/>
      </c>
      <c r="K157" s="204" t="str">
        <f t="shared" si="17"/>
        <v/>
      </c>
      <c r="L157" s="188" t="str">
        <f t="shared" si="19"/>
        <v/>
      </c>
      <c r="M157" s="203" t="str">
        <f>IF($H157="USD",IF(OR($L157="",$L157="-"),"",VLOOKUP($G157,為替!$A:$AX,$L157,FALSE))+$K$3,IF(OR($L157="",$L157="-"),"",VLOOKUP($G157,為替!$A:$AX,$L157,FALSE)))</f>
        <v/>
      </c>
      <c r="N157" s="204" t="str">
        <f t="shared" si="18"/>
        <v/>
      </c>
      <c r="O157" s="205" t="str">
        <f t="shared" si="20"/>
        <v/>
      </c>
      <c r="P157" s="206" t="str">
        <f t="shared" si="21"/>
        <v/>
      </c>
    </row>
    <row r="158" spans="3:16" x14ac:dyDescent="0.4">
      <c r="C158" s="199"/>
      <c r="D158" s="200"/>
      <c r="E158" s="201"/>
      <c r="F158" s="199"/>
      <c r="H158" s="202"/>
      <c r="I158" s="185" t="str">
        <f t="shared" si="16"/>
        <v/>
      </c>
      <c r="J158" s="203" t="str">
        <f>IF($H158="USD",IF(OR($I158="",$I158="-"),"",VLOOKUP($G158,為替!$A:$AX,$I158,FALSE))+$J$3,IF(OR($I158="",$I158="-"),"",VLOOKUP($G158,為替!$A:$AX,$I158,FALSE)))</f>
        <v/>
      </c>
      <c r="K158" s="204" t="str">
        <f t="shared" si="17"/>
        <v/>
      </c>
      <c r="L158" s="188" t="str">
        <f t="shared" si="19"/>
        <v/>
      </c>
      <c r="M158" s="203" t="str">
        <f>IF($H158="USD",IF(OR($L158="",$L158="-"),"",VLOOKUP($G158,為替!$A:$AX,$L158,FALSE))+$K$3,IF(OR($L158="",$L158="-"),"",VLOOKUP($G158,為替!$A:$AX,$L158,FALSE)))</f>
        <v/>
      </c>
      <c r="N158" s="204" t="str">
        <f t="shared" si="18"/>
        <v/>
      </c>
      <c r="O158" s="205" t="str">
        <f t="shared" si="20"/>
        <v/>
      </c>
      <c r="P158" s="206" t="str">
        <f t="shared" si="21"/>
        <v/>
      </c>
    </row>
    <row r="159" spans="3:16" x14ac:dyDescent="0.4">
      <c r="C159" s="199"/>
      <c r="D159" s="200"/>
      <c r="E159" s="201"/>
      <c r="F159" s="199"/>
      <c r="H159" s="202"/>
      <c r="I159" s="185" t="str">
        <f t="shared" si="16"/>
        <v/>
      </c>
      <c r="J159" s="203" t="str">
        <f>IF($H159="USD",IF(OR($I159="",$I159="-"),"",VLOOKUP($G159,為替!$A:$AX,$I159,FALSE))+$J$3,IF(OR($I159="",$I159="-"),"",VLOOKUP($G159,為替!$A:$AX,$I159,FALSE)))</f>
        <v/>
      </c>
      <c r="K159" s="204" t="str">
        <f t="shared" si="17"/>
        <v/>
      </c>
      <c r="L159" s="188" t="str">
        <f t="shared" si="19"/>
        <v/>
      </c>
      <c r="M159" s="203" t="str">
        <f>IF($H159="USD",IF(OR($L159="",$L159="-"),"",VLOOKUP($G159,為替!$A:$AX,$L159,FALSE))+$K$3,IF(OR($L159="",$L159="-"),"",VLOOKUP($G159,為替!$A:$AX,$L159,FALSE)))</f>
        <v/>
      </c>
      <c r="N159" s="204" t="str">
        <f t="shared" si="18"/>
        <v/>
      </c>
      <c r="O159" s="205" t="str">
        <f t="shared" si="20"/>
        <v/>
      </c>
      <c r="P159" s="206" t="str">
        <f t="shared" si="21"/>
        <v/>
      </c>
    </row>
    <row r="160" spans="3:16" x14ac:dyDescent="0.4">
      <c r="C160" s="199"/>
      <c r="D160" s="200"/>
      <c r="E160" s="201"/>
      <c r="F160" s="199"/>
      <c r="H160" s="202"/>
      <c r="I160" s="185" t="str">
        <f t="shared" si="16"/>
        <v/>
      </c>
      <c r="J160" s="203" t="str">
        <f>IF($H160="USD",IF(OR($I160="",$I160="-"),"",VLOOKUP($G160,為替!$A:$AX,$I160,FALSE))+$J$3,IF(OR($I160="",$I160="-"),"",VLOOKUP($G160,為替!$A:$AX,$I160,FALSE)))</f>
        <v/>
      </c>
      <c r="K160" s="204" t="str">
        <f t="shared" si="17"/>
        <v/>
      </c>
      <c r="L160" s="188" t="str">
        <f t="shared" si="19"/>
        <v/>
      </c>
      <c r="M160" s="203" t="str">
        <f>IF($H160="USD",IF(OR($L160="",$L160="-"),"",VLOOKUP($G160,為替!$A:$AX,$L160,FALSE))+$K$3,IF(OR($L160="",$L160="-"),"",VLOOKUP($G160,為替!$A:$AX,$L160,FALSE)))</f>
        <v/>
      </c>
      <c r="N160" s="204" t="str">
        <f t="shared" si="18"/>
        <v/>
      </c>
      <c r="O160" s="205" t="str">
        <f t="shared" si="20"/>
        <v/>
      </c>
      <c r="P160" s="206" t="str">
        <f t="shared" si="21"/>
        <v/>
      </c>
    </row>
    <row r="161" spans="3:16" x14ac:dyDescent="0.4">
      <c r="C161" s="199"/>
      <c r="D161" s="200"/>
      <c r="E161" s="201"/>
      <c r="F161" s="199"/>
      <c r="H161" s="202"/>
      <c r="I161" s="185" t="str">
        <f t="shared" si="16"/>
        <v/>
      </c>
      <c r="J161" s="203" t="str">
        <f>IF($H161="USD",IF(OR($I161="",$I161="-"),"",VLOOKUP($G161,為替!$A:$AX,$I161,FALSE))+$J$3,IF(OR($I161="",$I161="-"),"",VLOOKUP($G161,為替!$A:$AX,$I161,FALSE)))</f>
        <v/>
      </c>
      <c r="K161" s="204" t="str">
        <f t="shared" si="17"/>
        <v/>
      </c>
      <c r="L161" s="188" t="str">
        <f t="shared" si="19"/>
        <v/>
      </c>
      <c r="M161" s="203" t="str">
        <f>IF($H161="USD",IF(OR($L161="",$L161="-"),"",VLOOKUP($G161,為替!$A:$AX,$L161,FALSE))+$K$3,IF(OR($L161="",$L161="-"),"",VLOOKUP($G161,為替!$A:$AX,$L161,FALSE)))</f>
        <v/>
      </c>
      <c r="N161" s="204" t="str">
        <f t="shared" si="18"/>
        <v/>
      </c>
      <c r="O161" s="205" t="str">
        <f t="shared" si="20"/>
        <v/>
      </c>
      <c r="P161" s="206" t="str">
        <f t="shared" si="21"/>
        <v/>
      </c>
    </row>
    <row r="162" spans="3:16" x14ac:dyDescent="0.4">
      <c r="C162" s="199"/>
      <c r="D162" s="200"/>
      <c r="E162" s="201"/>
      <c r="F162" s="199"/>
      <c r="H162" s="202"/>
      <c r="I162" s="185" t="str">
        <f t="shared" si="16"/>
        <v/>
      </c>
      <c r="J162" s="203" t="str">
        <f>IF($H162="USD",IF(OR($I162="",$I162="-"),"",VLOOKUP($G162,為替!$A:$AX,$I162,FALSE))+$J$3,IF(OR($I162="",$I162="-"),"",VLOOKUP($G162,為替!$A:$AX,$I162,FALSE)))</f>
        <v/>
      </c>
      <c r="K162" s="204" t="str">
        <f t="shared" si="17"/>
        <v/>
      </c>
      <c r="L162" s="188" t="str">
        <f t="shared" si="19"/>
        <v/>
      </c>
      <c r="M162" s="203" t="str">
        <f>IF($H162="USD",IF(OR($L162="",$L162="-"),"",VLOOKUP($G162,為替!$A:$AX,$L162,FALSE))+$K$3,IF(OR($L162="",$L162="-"),"",VLOOKUP($G162,為替!$A:$AX,$L162,FALSE)))</f>
        <v/>
      </c>
      <c r="N162" s="204" t="str">
        <f t="shared" si="18"/>
        <v/>
      </c>
      <c r="O162" s="205" t="str">
        <f t="shared" si="20"/>
        <v/>
      </c>
      <c r="P162" s="206" t="str">
        <f t="shared" si="21"/>
        <v/>
      </c>
    </row>
    <row r="163" spans="3:16" x14ac:dyDescent="0.4">
      <c r="C163" s="199"/>
      <c r="D163" s="200"/>
      <c r="E163" s="201"/>
      <c r="F163" s="199"/>
      <c r="H163" s="202"/>
      <c r="I163" s="185" t="str">
        <f t="shared" si="16"/>
        <v/>
      </c>
      <c r="J163" s="203" t="str">
        <f>IF($H163="USD",IF(OR($I163="",$I163="-"),"",VLOOKUP($G163,為替!$A:$AX,$I163,FALSE))+$J$3,IF(OR($I163="",$I163="-"),"",VLOOKUP($G163,為替!$A:$AX,$I163,FALSE)))</f>
        <v/>
      </c>
      <c r="K163" s="204" t="str">
        <f t="shared" si="17"/>
        <v/>
      </c>
      <c r="L163" s="188" t="str">
        <f t="shared" si="19"/>
        <v/>
      </c>
      <c r="M163" s="203" t="str">
        <f>IF($H163="USD",IF(OR($L163="",$L163="-"),"",VLOOKUP($G163,為替!$A:$AX,$L163,FALSE))+$K$3,IF(OR($L163="",$L163="-"),"",VLOOKUP($G163,為替!$A:$AX,$L163,FALSE)))</f>
        <v/>
      </c>
      <c r="N163" s="204" t="str">
        <f t="shared" si="18"/>
        <v/>
      </c>
      <c r="O163" s="205" t="str">
        <f t="shared" si="20"/>
        <v/>
      </c>
      <c r="P163" s="206" t="str">
        <f t="shared" si="21"/>
        <v/>
      </c>
    </row>
    <row r="164" spans="3:16" x14ac:dyDescent="0.4">
      <c r="C164" s="199"/>
      <c r="D164" s="200"/>
      <c r="E164" s="201"/>
      <c r="F164" s="199"/>
      <c r="H164" s="202"/>
      <c r="I164" s="185" t="str">
        <f t="shared" si="16"/>
        <v/>
      </c>
      <c r="J164" s="203" t="str">
        <f>IF($H164="USD",IF(OR($I164="",$I164="-"),"",VLOOKUP($G164,為替!$A:$AX,$I164,FALSE))+$J$3,IF(OR($I164="",$I164="-"),"",VLOOKUP($G164,為替!$A:$AX,$I164,FALSE)))</f>
        <v/>
      </c>
      <c r="K164" s="204" t="str">
        <f t="shared" si="17"/>
        <v/>
      </c>
      <c r="L164" s="188" t="str">
        <f t="shared" si="19"/>
        <v/>
      </c>
      <c r="M164" s="203" t="str">
        <f>IF($H164="USD",IF(OR($L164="",$L164="-"),"",VLOOKUP($G164,為替!$A:$AX,$L164,FALSE))+$K$3,IF(OR($L164="",$L164="-"),"",VLOOKUP($G164,為替!$A:$AX,$L164,FALSE)))</f>
        <v/>
      </c>
      <c r="N164" s="204" t="str">
        <f t="shared" si="18"/>
        <v/>
      </c>
      <c r="O164" s="205" t="str">
        <f t="shared" si="20"/>
        <v/>
      </c>
      <c r="P164" s="206" t="str">
        <f t="shared" si="21"/>
        <v/>
      </c>
    </row>
    <row r="165" spans="3:16" x14ac:dyDescent="0.4">
      <c r="C165" s="199"/>
      <c r="D165" s="200"/>
      <c r="E165" s="201"/>
      <c r="F165" s="199"/>
      <c r="H165" s="202"/>
      <c r="I165" s="185" t="str">
        <f t="shared" si="16"/>
        <v/>
      </c>
      <c r="J165" s="203" t="str">
        <f>IF($H165="USD",IF(OR($I165="",$I165="-"),"",VLOOKUP($G165,為替!$A:$AX,$I165,FALSE))+$J$3,IF(OR($I165="",$I165="-"),"",VLOOKUP($G165,為替!$A:$AX,$I165,FALSE)))</f>
        <v/>
      </c>
      <c r="K165" s="204" t="str">
        <f t="shared" si="17"/>
        <v/>
      </c>
      <c r="L165" s="188" t="str">
        <f t="shared" si="19"/>
        <v/>
      </c>
      <c r="M165" s="203" t="str">
        <f>IF($H165="USD",IF(OR($L165="",$L165="-"),"",VLOOKUP($G165,為替!$A:$AX,$L165,FALSE))+$K$3,IF(OR($L165="",$L165="-"),"",VLOOKUP($G165,為替!$A:$AX,$L165,FALSE)))</f>
        <v/>
      </c>
      <c r="N165" s="204" t="str">
        <f t="shared" si="18"/>
        <v/>
      </c>
      <c r="O165" s="205" t="str">
        <f t="shared" si="20"/>
        <v/>
      </c>
      <c r="P165" s="206" t="str">
        <f t="shared" si="21"/>
        <v/>
      </c>
    </row>
    <row r="166" spans="3:16" x14ac:dyDescent="0.4">
      <c r="C166" s="199"/>
      <c r="D166" s="200"/>
      <c r="E166" s="201"/>
      <c r="F166" s="199"/>
      <c r="H166" s="202"/>
      <c r="I166" s="185" t="str">
        <f t="shared" si="16"/>
        <v/>
      </c>
      <c r="J166" s="203" t="str">
        <f>IF($H166="USD",IF(OR($I166="",$I166="-"),"",VLOOKUP($G166,為替!$A:$AX,$I166,FALSE))+$J$3,IF(OR($I166="",$I166="-"),"",VLOOKUP($G166,為替!$A:$AX,$I166,FALSE)))</f>
        <v/>
      </c>
      <c r="K166" s="204" t="str">
        <f t="shared" si="17"/>
        <v/>
      </c>
      <c r="L166" s="188" t="str">
        <f t="shared" si="19"/>
        <v/>
      </c>
      <c r="M166" s="203" t="str">
        <f>IF($H166="USD",IF(OR($L166="",$L166="-"),"",VLOOKUP($G166,為替!$A:$AX,$L166,FALSE))+$K$3,IF(OR($L166="",$L166="-"),"",VLOOKUP($G166,為替!$A:$AX,$L166,FALSE)))</f>
        <v/>
      </c>
      <c r="N166" s="204" t="str">
        <f t="shared" si="18"/>
        <v/>
      </c>
      <c r="O166" s="205" t="str">
        <f t="shared" si="20"/>
        <v/>
      </c>
      <c r="P166" s="206" t="str">
        <f t="shared" si="21"/>
        <v/>
      </c>
    </row>
    <row r="167" spans="3:16" x14ac:dyDescent="0.4">
      <c r="C167" s="199"/>
      <c r="D167" s="200"/>
      <c r="E167" s="201"/>
      <c r="F167" s="199"/>
      <c r="H167" s="202"/>
      <c r="I167" s="185" t="str">
        <f t="shared" si="16"/>
        <v/>
      </c>
      <c r="J167" s="203" t="str">
        <f>IF($H167="USD",IF(OR($I167="",$I167="-"),"",VLOOKUP($G167,為替!$A:$AX,$I167,FALSE))+$J$3,IF(OR($I167="",$I167="-"),"",VLOOKUP($G167,為替!$A:$AX,$I167,FALSE)))</f>
        <v/>
      </c>
      <c r="K167" s="204" t="str">
        <f t="shared" si="17"/>
        <v/>
      </c>
      <c r="L167" s="188" t="str">
        <f t="shared" si="19"/>
        <v/>
      </c>
      <c r="M167" s="203" t="str">
        <f>IF($H167="USD",IF(OR($L167="",$L167="-"),"",VLOOKUP($G167,為替!$A:$AX,$L167,FALSE))+$K$3,IF(OR($L167="",$L167="-"),"",VLOOKUP($G167,為替!$A:$AX,$L167,FALSE)))</f>
        <v/>
      </c>
      <c r="N167" s="204" t="str">
        <f t="shared" si="18"/>
        <v/>
      </c>
      <c r="O167" s="205" t="str">
        <f t="shared" si="20"/>
        <v/>
      </c>
      <c r="P167" s="206" t="str">
        <f t="shared" si="21"/>
        <v/>
      </c>
    </row>
    <row r="168" spans="3:16" x14ac:dyDescent="0.4">
      <c r="C168" s="199"/>
      <c r="D168" s="200"/>
      <c r="E168" s="201"/>
      <c r="F168" s="199"/>
      <c r="H168" s="202"/>
      <c r="I168" s="185" t="str">
        <f t="shared" si="16"/>
        <v/>
      </c>
      <c r="J168" s="203" t="str">
        <f>IF($H168="USD",IF(OR($I168="",$I168="-"),"",VLOOKUP($G168,為替!$A:$AX,$I168,FALSE))+$J$3,IF(OR($I168="",$I168="-"),"",VLOOKUP($G168,為替!$A:$AX,$I168,FALSE)))</f>
        <v/>
      </c>
      <c r="K168" s="204" t="str">
        <f t="shared" si="17"/>
        <v/>
      </c>
      <c r="L168" s="188" t="str">
        <f t="shared" si="19"/>
        <v/>
      </c>
      <c r="M168" s="203" t="str">
        <f>IF($H168="USD",IF(OR($L168="",$L168="-"),"",VLOOKUP($G168,為替!$A:$AX,$L168,FALSE))+$K$3,IF(OR($L168="",$L168="-"),"",VLOOKUP($G168,為替!$A:$AX,$L168,FALSE)))</f>
        <v/>
      </c>
      <c r="N168" s="204" t="str">
        <f t="shared" si="18"/>
        <v/>
      </c>
      <c r="O168" s="205" t="str">
        <f t="shared" si="20"/>
        <v/>
      </c>
      <c r="P168" s="206" t="str">
        <f t="shared" si="21"/>
        <v/>
      </c>
    </row>
    <row r="169" spans="3:16" x14ac:dyDescent="0.4">
      <c r="C169" s="199"/>
      <c r="D169" s="200"/>
      <c r="E169" s="201"/>
      <c r="F169" s="199"/>
      <c r="H169" s="202"/>
      <c r="I169" s="185" t="str">
        <f t="shared" si="16"/>
        <v/>
      </c>
      <c r="J169" s="203" t="str">
        <f>IF($H169="USD",IF(OR($I169="",$I169="-"),"",VLOOKUP($G169,為替!$A:$AX,$I169,FALSE))+$J$3,IF(OR($I169="",$I169="-"),"",VLOOKUP($G169,為替!$A:$AX,$I169,FALSE)))</f>
        <v/>
      </c>
      <c r="K169" s="204" t="str">
        <f t="shared" si="17"/>
        <v/>
      </c>
      <c r="L169" s="188" t="str">
        <f t="shared" si="19"/>
        <v/>
      </c>
      <c r="M169" s="203" t="str">
        <f>IF($H169="USD",IF(OR($L169="",$L169="-"),"",VLOOKUP($G169,為替!$A:$AX,$L169,FALSE))+$K$3,IF(OR($L169="",$L169="-"),"",VLOOKUP($G169,為替!$A:$AX,$L169,FALSE)))</f>
        <v/>
      </c>
      <c r="N169" s="204" t="str">
        <f t="shared" si="18"/>
        <v/>
      </c>
      <c r="O169" s="205" t="str">
        <f t="shared" si="20"/>
        <v/>
      </c>
      <c r="P169" s="206" t="str">
        <f t="shared" si="21"/>
        <v/>
      </c>
    </row>
    <row r="170" spans="3:16" x14ac:dyDescent="0.4">
      <c r="C170" s="199"/>
      <c r="D170" s="200"/>
      <c r="E170" s="201"/>
      <c r="F170" s="199"/>
      <c r="H170" s="202"/>
      <c r="I170" s="185" t="str">
        <f t="shared" si="16"/>
        <v/>
      </c>
      <c r="J170" s="203" t="str">
        <f>IF($H170="USD",IF(OR($I170="",$I170="-"),"",VLOOKUP($G170,為替!$A:$AX,$I170,FALSE))+$J$3,IF(OR($I170="",$I170="-"),"",VLOOKUP($G170,為替!$A:$AX,$I170,FALSE)))</f>
        <v/>
      </c>
      <c r="K170" s="204" t="str">
        <f t="shared" si="17"/>
        <v/>
      </c>
      <c r="L170" s="188" t="str">
        <f t="shared" si="19"/>
        <v/>
      </c>
      <c r="M170" s="203" t="str">
        <f>IF($H170="USD",IF(OR($L170="",$L170="-"),"",VLOOKUP($G170,為替!$A:$AX,$L170,FALSE))+$K$3,IF(OR($L170="",$L170="-"),"",VLOOKUP($G170,為替!$A:$AX,$L170,FALSE)))</f>
        <v/>
      </c>
      <c r="N170" s="204" t="str">
        <f t="shared" si="18"/>
        <v/>
      </c>
      <c r="O170" s="205" t="str">
        <f t="shared" si="20"/>
        <v/>
      </c>
      <c r="P170" s="206" t="str">
        <f t="shared" si="21"/>
        <v/>
      </c>
    </row>
    <row r="171" spans="3:16" x14ac:dyDescent="0.4">
      <c r="C171" s="199"/>
      <c r="D171" s="200"/>
      <c r="E171" s="201"/>
      <c r="F171" s="199"/>
      <c r="H171" s="202"/>
      <c r="I171" s="185" t="str">
        <f t="shared" si="16"/>
        <v/>
      </c>
      <c r="J171" s="203" t="str">
        <f>IF($H171="USD",IF(OR($I171="",$I171="-"),"",VLOOKUP($G171,為替!$A:$AX,$I171,FALSE))+$J$3,IF(OR($I171="",$I171="-"),"",VLOOKUP($G171,為替!$A:$AX,$I171,FALSE)))</f>
        <v/>
      </c>
      <c r="K171" s="204" t="str">
        <f t="shared" si="17"/>
        <v/>
      </c>
      <c r="L171" s="188" t="str">
        <f t="shared" si="19"/>
        <v/>
      </c>
      <c r="M171" s="203" t="str">
        <f>IF($H171="USD",IF(OR($L171="",$L171="-"),"",VLOOKUP($G171,為替!$A:$AX,$L171,FALSE))+$K$3,IF(OR($L171="",$L171="-"),"",VLOOKUP($G171,為替!$A:$AX,$L171,FALSE)))</f>
        <v/>
      </c>
      <c r="N171" s="204" t="str">
        <f t="shared" si="18"/>
        <v/>
      </c>
      <c r="O171" s="205" t="str">
        <f t="shared" si="20"/>
        <v/>
      </c>
      <c r="P171" s="206" t="str">
        <f t="shared" si="21"/>
        <v/>
      </c>
    </row>
    <row r="172" spans="3:16" x14ac:dyDescent="0.4">
      <c r="C172" s="199"/>
      <c r="D172" s="200"/>
      <c r="E172" s="201"/>
      <c r="F172" s="199"/>
      <c r="H172" s="202"/>
      <c r="I172" s="185" t="str">
        <f t="shared" si="16"/>
        <v/>
      </c>
      <c r="J172" s="203" t="str">
        <f>IF($H172="USD",IF(OR($I172="",$I172="-"),"",VLOOKUP($G172,為替!$A:$AX,$I172,FALSE))+$J$3,IF(OR($I172="",$I172="-"),"",VLOOKUP($G172,為替!$A:$AX,$I172,FALSE)))</f>
        <v/>
      </c>
      <c r="K172" s="204" t="str">
        <f t="shared" si="17"/>
        <v/>
      </c>
      <c r="L172" s="188" t="str">
        <f t="shared" si="19"/>
        <v/>
      </c>
      <c r="M172" s="203" t="str">
        <f>IF($H172="USD",IF(OR($L172="",$L172="-"),"",VLOOKUP($G172,為替!$A:$AX,$L172,FALSE))+$K$3,IF(OR($L172="",$L172="-"),"",VLOOKUP($G172,為替!$A:$AX,$L172,FALSE)))</f>
        <v/>
      </c>
      <c r="N172" s="204" t="str">
        <f t="shared" si="18"/>
        <v/>
      </c>
      <c r="O172" s="205" t="str">
        <f t="shared" si="20"/>
        <v/>
      </c>
      <c r="P172" s="206" t="str">
        <f t="shared" si="21"/>
        <v/>
      </c>
    </row>
    <row r="173" spans="3:16" x14ac:dyDescent="0.4">
      <c r="C173" s="199"/>
      <c r="D173" s="200"/>
      <c r="E173" s="201"/>
      <c r="F173" s="199"/>
      <c r="H173" s="202"/>
      <c r="I173" s="185" t="str">
        <f t="shared" si="16"/>
        <v/>
      </c>
      <c r="J173" s="203" t="str">
        <f>IF($H173="USD",IF(OR($I173="",$I173="-"),"",VLOOKUP($G173,為替!$A:$AX,$I173,FALSE))+$J$3,IF(OR($I173="",$I173="-"),"",VLOOKUP($G173,為替!$A:$AX,$I173,FALSE)))</f>
        <v/>
      </c>
      <c r="K173" s="204" t="str">
        <f t="shared" si="17"/>
        <v/>
      </c>
      <c r="L173" s="188" t="str">
        <f t="shared" si="19"/>
        <v/>
      </c>
      <c r="M173" s="203" t="str">
        <f>IF($H173="USD",IF(OR($L173="",$L173="-"),"",VLOOKUP($G173,為替!$A:$AX,$L173,FALSE))+$K$3,IF(OR($L173="",$L173="-"),"",VLOOKUP($G173,為替!$A:$AX,$L173,FALSE)))</f>
        <v/>
      </c>
      <c r="N173" s="204" t="str">
        <f t="shared" si="18"/>
        <v/>
      </c>
      <c r="O173" s="205" t="str">
        <f t="shared" si="20"/>
        <v/>
      </c>
      <c r="P173" s="206" t="str">
        <f t="shared" si="21"/>
        <v/>
      </c>
    </row>
    <row r="174" spans="3:16" x14ac:dyDescent="0.4">
      <c r="C174" s="199"/>
      <c r="D174" s="200"/>
      <c r="E174" s="201"/>
      <c r="F174" s="199"/>
      <c r="H174" s="202"/>
      <c r="I174" s="185" t="str">
        <f t="shared" si="16"/>
        <v/>
      </c>
      <c r="J174" s="203" t="str">
        <f>IF($H174="USD",IF(OR($I174="",$I174="-"),"",VLOOKUP($G174,為替!$A:$AX,$I174,FALSE))+$J$3,IF(OR($I174="",$I174="-"),"",VLOOKUP($G174,為替!$A:$AX,$I174,FALSE)))</f>
        <v/>
      </c>
      <c r="K174" s="204" t="str">
        <f t="shared" si="17"/>
        <v/>
      </c>
      <c r="L174" s="188" t="str">
        <f t="shared" si="19"/>
        <v/>
      </c>
      <c r="M174" s="203" t="str">
        <f>IF($H174="USD",IF(OR($L174="",$L174="-"),"",VLOOKUP($G174,為替!$A:$AX,$L174,FALSE))+$K$3,IF(OR($L174="",$L174="-"),"",VLOOKUP($G174,為替!$A:$AX,$L174,FALSE)))</f>
        <v/>
      </c>
      <c r="N174" s="204" t="str">
        <f t="shared" si="18"/>
        <v/>
      </c>
      <c r="O174" s="205" t="str">
        <f t="shared" si="20"/>
        <v/>
      </c>
      <c r="P174" s="206" t="str">
        <f t="shared" si="21"/>
        <v/>
      </c>
    </row>
    <row r="175" spans="3:16" x14ac:dyDescent="0.4">
      <c r="C175" s="199"/>
      <c r="D175" s="200"/>
      <c r="E175" s="201"/>
      <c r="F175" s="199"/>
      <c r="H175" s="202"/>
      <c r="I175" s="185" t="str">
        <f t="shared" si="16"/>
        <v/>
      </c>
      <c r="J175" s="203" t="str">
        <f>IF($H175="USD",IF(OR($I175="",$I175="-"),"",VLOOKUP($G175,為替!$A:$AX,$I175,FALSE))+$J$3,IF(OR($I175="",$I175="-"),"",VLOOKUP($G175,為替!$A:$AX,$I175,FALSE)))</f>
        <v/>
      </c>
      <c r="K175" s="204" t="str">
        <f t="shared" si="17"/>
        <v/>
      </c>
      <c r="L175" s="188" t="str">
        <f t="shared" si="19"/>
        <v/>
      </c>
      <c r="M175" s="203" t="str">
        <f>IF($H175="USD",IF(OR($L175="",$L175="-"),"",VLOOKUP($G175,為替!$A:$AX,$L175,FALSE))+$K$3,IF(OR($L175="",$L175="-"),"",VLOOKUP($G175,為替!$A:$AX,$L175,FALSE)))</f>
        <v/>
      </c>
      <c r="N175" s="204" t="str">
        <f t="shared" si="18"/>
        <v/>
      </c>
      <c r="O175" s="205" t="str">
        <f t="shared" si="20"/>
        <v/>
      </c>
      <c r="P175" s="206" t="str">
        <f t="shared" si="21"/>
        <v/>
      </c>
    </row>
    <row r="176" spans="3:16" x14ac:dyDescent="0.4">
      <c r="C176" s="199"/>
      <c r="D176" s="200"/>
      <c r="E176" s="201"/>
      <c r="F176" s="199"/>
      <c r="H176" s="202"/>
      <c r="I176" s="185" t="str">
        <f t="shared" si="16"/>
        <v/>
      </c>
      <c r="J176" s="203" t="str">
        <f>IF($H176="USD",IF(OR($I176="",$I176="-"),"",VLOOKUP($G176,為替!$A:$AX,$I176,FALSE))+$J$3,IF(OR($I176="",$I176="-"),"",VLOOKUP($G176,為替!$A:$AX,$I176,FALSE)))</f>
        <v/>
      </c>
      <c r="K176" s="204" t="str">
        <f t="shared" si="17"/>
        <v/>
      </c>
      <c r="L176" s="188" t="str">
        <f t="shared" si="19"/>
        <v/>
      </c>
      <c r="M176" s="203" t="str">
        <f>IF($H176="USD",IF(OR($L176="",$L176="-"),"",VLOOKUP($G176,為替!$A:$AX,$L176,FALSE))+$K$3,IF(OR($L176="",$L176="-"),"",VLOOKUP($G176,為替!$A:$AX,$L176,FALSE)))</f>
        <v/>
      </c>
      <c r="N176" s="204" t="str">
        <f t="shared" si="18"/>
        <v/>
      </c>
      <c r="O176" s="205" t="str">
        <f t="shared" si="20"/>
        <v/>
      </c>
      <c r="P176" s="206" t="str">
        <f t="shared" si="21"/>
        <v/>
      </c>
    </row>
    <row r="177" spans="3:16" x14ac:dyDescent="0.4">
      <c r="C177" s="199"/>
      <c r="D177" s="200"/>
      <c r="E177" s="201"/>
      <c r="F177" s="199"/>
      <c r="H177" s="202"/>
      <c r="I177" s="185" t="str">
        <f t="shared" si="16"/>
        <v/>
      </c>
      <c r="J177" s="203" t="str">
        <f>IF($H177="USD",IF(OR($I177="",$I177="-"),"",VLOOKUP($G177,為替!$A:$AX,$I177,FALSE))+$J$3,IF(OR($I177="",$I177="-"),"",VLOOKUP($G177,為替!$A:$AX,$I177,FALSE)))</f>
        <v/>
      </c>
      <c r="K177" s="204" t="str">
        <f t="shared" si="17"/>
        <v/>
      </c>
      <c r="L177" s="188" t="str">
        <f t="shared" si="19"/>
        <v/>
      </c>
      <c r="M177" s="203" t="str">
        <f>IF($H177="USD",IF(OR($L177="",$L177="-"),"",VLOOKUP($G177,為替!$A:$AX,$L177,FALSE))+$K$3,IF(OR($L177="",$L177="-"),"",VLOOKUP($G177,為替!$A:$AX,$L177,FALSE)))</f>
        <v/>
      </c>
      <c r="N177" s="204" t="str">
        <f t="shared" si="18"/>
        <v/>
      </c>
      <c r="O177" s="205" t="str">
        <f t="shared" si="20"/>
        <v/>
      </c>
      <c r="P177" s="206" t="str">
        <f t="shared" si="21"/>
        <v/>
      </c>
    </row>
    <row r="178" spans="3:16" x14ac:dyDescent="0.4">
      <c r="C178" s="199"/>
      <c r="D178" s="200"/>
      <c r="E178" s="201"/>
      <c r="F178" s="199"/>
      <c r="H178" s="202"/>
      <c r="I178" s="185" t="str">
        <f t="shared" si="16"/>
        <v/>
      </c>
      <c r="J178" s="203" t="str">
        <f>IF($H178="USD",IF(OR($I178="",$I178="-"),"",VLOOKUP($G178,為替!$A:$AX,$I178,FALSE))+$J$3,IF(OR($I178="",$I178="-"),"",VLOOKUP($G178,為替!$A:$AX,$I178,FALSE)))</f>
        <v/>
      </c>
      <c r="K178" s="204" t="str">
        <f t="shared" si="17"/>
        <v/>
      </c>
      <c r="L178" s="188" t="str">
        <f t="shared" si="19"/>
        <v/>
      </c>
      <c r="M178" s="203" t="str">
        <f>IF($H178="USD",IF(OR($L178="",$L178="-"),"",VLOOKUP($G178,為替!$A:$AX,$L178,FALSE))+$K$3,IF(OR($L178="",$L178="-"),"",VLOOKUP($G178,為替!$A:$AX,$L178,FALSE)))</f>
        <v/>
      </c>
      <c r="N178" s="204" t="str">
        <f t="shared" si="18"/>
        <v/>
      </c>
      <c r="O178" s="205" t="str">
        <f t="shared" si="20"/>
        <v/>
      </c>
      <c r="P178" s="206" t="str">
        <f t="shared" si="21"/>
        <v/>
      </c>
    </row>
    <row r="179" spans="3:16" x14ac:dyDescent="0.4">
      <c r="C179" s="199"/>
      <c r="D179" s="200"/>
      <c r="E179" s="201"/>
      <c r="F179" s="199"/>
      <c r="H179" s="202"/>
      <c r="I179" s="185" t="str">
        <f t="shared" si="16"/>
        <v/>
      </c>
      <c r="J179" s="203" t="str">
        <f>IF($H179="USD",IF(OR($I179="",$I179="-"),"",VLOOKUP($G179,為替!$A:$AX,$I179,FALSE))+$J$3,IF(OR($I179="",$I179="-"),"",VLOOKUP($G179,為替!$A:$AX,$I179,FALSE)))</f>
        <v/>
      </c>
      <c r="K179" s="204" t="str">
        <f t="shared" si="17"/>
        <v/>
      </c>
      <c r="L179" s="188" t="str">
        <f t="shared" si="19"/>
        <v/>
      </c>
      <c r="M179" s="203" t="str">
        <f>IF($H179="USD",IF(OR($L179="",$L179="-"),"",VLOOKUP($G179,為替!$A:$AX,$L179,FALSE))+$K$3,IF(OR($L179="",$L179="-"),"",VLOOKUP($G179,為替!$A:$AX,$L179,FALSE)))</f>
        <v/>
      </c>
      <c r="N179" s="204" t="str">
        <f t="shared" si="18"/>
        <v/>
      </c>
      <c r="O179" s="205" t="str">
        <f t="shared" si="20"/>
        <v/>
      </c>
      <c r="P179" s="206" t="str">
        <f t="shared" si="21"/>
        <v/>
      </c>
    </row>
    <row r="180" spans="3:16" x14ac:dyDescent="0.4">
      <c r="C180" s="199"/>
      <c r="D180" s="200"/>
      <c r="E180" s="201"/>
      <c r="F180" s="199"/>
      <c r="H180" s="202"/>
      <c r="I180" s="185" t="str">
        <f t="shared" si="16"/>
        <v/>
      </c>
      <c r="J180" s="203" t="str">
        <f>IF($H180="USD",IF(OR($I180="",$I180="-"),"",VLOOKUP($G180,為替!$A:$AX,$I180,FALSE))+$J$3,IF(OR($I180="",$I180="-"),"",VLOOKUP($G180,為替!$A:$AX,$I180,FALSE)))</f>
        <v/>
      </c>
      <c r="K180" s="204" t="str">
        <f t="shared" si="17"/>
        <v/>
      </c>
      <c r="L180" s="188" t="str">
        <f t="shared" si="19"/>
        <v/>
      </c>
      <c r="M180" s="203" t="str">
        <f>IF($H180="USD",IF(OR($L180="",$L180="-"),"",VLOOKUP($G180,為替!$A:$AX,$L180,FALSE))+$K$3,IF(OR($L180="",$L180="-"),"",VLOOKUP($G180,為替!$A:$AX,$L180,FALSE)))</f>
        <v/>
      </c>
      <c r="N180" s="204" t="str">
        <f t="shared" si="18"/>
        <v/>
      </c>
      <c r="O180" s="205" t="str">
        <f t="shared" si="20"/>
        <v/>
      </c>
      <c r="P180" s="206" t="str">
        <f t="shared" si="21"/>
        <v/>
      </c>
    </row>
    <row r="181" spans="3:16" x14ac:dyDescent="0.4">
      <c r="C181" s="199"/>
      <c r="D181" s="200"/>
      <c r="E181" s="201"/>
      <c r="F181" s="199"/>
      <c r="H181" s="202"/>
      <c r="I181" s="185" t="str">
        <f t="shared" si="16"/>
        <v/>
      </c>
      <c r="J181" s="203" t="str">
        <f>IF($H181="USD",IF(OR($I181="",$I181="-"),"",VLOOKUP($G181,為替!$A:$AX,$I181,FALSE))+$J$3,IF(OR($I181="",$I181="-"),"",VLOOKUP($G181,為替!$A:$AX,$I181,FALSE)))</f>
        <v/>
      </c>
      <c r="K181" s="204" t="str">
        <f t="shared" si="17"/>
        <v/>
      </c>
      <c r="L181" s="188" t="str">
        <f t="shared" si="19"/>
        <v/>
      </c>
      <c r="M181" s="203" t="str">
        <f>IF($H181="USD",IF(OR($L181="",$L181="-"),"",VLOOKUP($G181,為替!$A:$AX,$L181,FALSE))+$K$3,IF(OR($L181="",$L181="-"),"",VLOOKUP($G181,為替!$A:$AX,$L181,FALSE)))</f>
        <v/>
      </c>
      <c r="N181" s="204" t="str">
        <f t="shared" si="18"/>
        <v/>
      </c>
      <c r="O181" s="205" t="str">
        <f t="shared" si="20"/>
        <v/>
      </c>
      <c r="P181" s="206" t="str">
        <f t="shared" si="21"/>
        <v/>
      </c>
    </row>
    <row r="182" spans="3:16" x14ac:dyDescent="0.4">
      <c r="C182" s="199"/>
      <c r="D182" s="200"/>
      <c r="E182" s="201"/>
      <c r="F182" s="199"/>
      <c r="H182" s="202"/>
      <c r="I182" s="185" t="str">
        <f t="shared" si="16"/>
        <v/>
      </c>
      <c r="J182" s="203" t="str">
        <f>IF($H182="USD",IF(OR($I182="",$I182="-"),"",VLOOKUP($G182,為替!$A:$AX,$I182,FALSE))+$J$3,IF(OR($I182="",$I182="-"),"",VLOOKUP($G182,為替!$A:$AX,$I182,FALSE)))</f>
        <v/>
      </c>
      <c r="K182" s="204" t="str">
        <f t="shared" si="17"/>
        <v/>
      </c>
      <c r="L182" s="188" t="str">
        <f t="shared" si="19"/>
        <v/>
      </c>
      <c r="M182" s="203" t="str">
        <f>IF($H182="USD",IF(OR($L182="",$L182="-"),"",VLOOKUP($G182,為替!$A:$AX,$L182,FALSE))+$K$3,IF(OR($L182="",$L182="-"),"",VLOOKUP($G182,為替!$A:$AX,$L182,FALSE)))</f>
        <v/>
      </c>
      <c r="N182" s="204" t="str">
        <f t="shared" si="18"/>
        <v/>
      </c>
      <c r="O182" s="205" t="str">
        <f t="shared" si="20"/>
        <v/>
      </c>
      <c r="P182" s="206" t="str">
        <f t="shared" si="21"/>
        <v/>
      </c>
    </row>
    <row r="183" spans="3:16" x14ac:dyDescent="0.4">
      <c r="C183" s="199"/>
      <c r="D183" s="200"/>
      <c r="E183" s="201"/>
      <c r="F183" s="199"/>
      <c r="H183" s="202"/>
      <c r="I183" s="185" t="str">
        <f t="shared" si="16"/>
        <v/>
      </c>
      <c r="J183" s="203" t="str">
        <f>IF($H183="USD",IF(OR($I183="",$I183="-"),"",VLOOKUP($G183,為替!$A:$AX,$I183,FALSE))+$J$3,IF(OR($I183="",$I183="-"),"",VLOOKUP($G183,為替!$A:$AX,$I183,FALSE)))</f>
        <v/>
      </c>
      <c r="K183" s="204" t="str">
        <f t="shared" si="17"/>
        <v/>
      </c>
      <c r="L183" s="188" t="str">
        <f t="shared" si="19"/>
        <v/>
      </c>
      <c r="M183" s="203" t="str">
        <f>IF($H183="USD",IF(OR($L183="",$L183="-"),"",VLOOKUP($G183,為替!$A:$AX,$L183,FALSE))+$K$3,IF(OR($L183="",$L183="-"),"",VLOOKUP($G183,為替!$A:$AX,$L183,FALSE)))</f>
        <v/>
      </c>
      <c r="N183" s="204" t="str">
        <f t="shared" si="18"/>
        <v/>
      </c>
      <c r="O183" s="205" t="str">
        <f t="shared" si="20"/>
        <v/>
      </c>
      <c r="P183" s="206" t="str">
        <f t="shared" si="21"/>
        <v/>
      </c>
    </row>
    <row r="184" spans="3:16" x14ac:dyDescent="0.4">
      <c r="C184" s="199"/>
      <c r="D184" s="200"/>
      <c r="E184" s="201"/>
      <c r="F184" s="199"/>
      <c r="H184" s="202"/>
      <c r="I184" s="185" t="str">
        <f t="shared" si="16"/>
        <v/>
      </c>
      <c r="J184" s="203" t="str">
        <f>IF($H184="USD",IF(OR($I184="",$I184="-"),"",VLOOKUP($G184,為替!$A:$AX,$I184,FALSE))+$J$3,IF(OR($I184="",$I184="-"),"",VLOOKUP($G184,為替!$A:$AX,$I184,FALSE)))</f>
        <v/>
      </c>
      <c r="K184" s="204" t="str">
        <f t="shared" si="17"/>
        <v/>
      </c>
      <c r="L184" s="188" t="str">
        <f t="shared" si="19"/>
        <v/>
      </c>
      <c r="M184" s="203" t="str">
        <f>IF($H184="USD",IF(OR($L184="",$L184="-"),"",VLOOKUP($G184,為替!$A:$AX,$L184,FALSE))+$K$3,IF(OR($L184="",$L184="-"),"",VLOOKUP($G184,為替!$A:$AX,$L184,FALSE)))</f>
        <v/>
      </c>
      <c r="N184" s="204" t="str">
        <f t="shared" si="18"/>
        <v/>
      </c>
      <c r="O184" s="205" t="str">
        <f t="shared" si="20"/>
        <v/>
      </c>
      <c r="P184" s="206" t="str">
        <f t="shared" si="21"/>
        <v/>
      </c>
    </row>
    <row r="185" spans="3:16" x14ac:dyDescent="0.4">
      <c r="C185" s="199"/>
      <c r="D185" s="200"/>
      <c r="E185" s="201"/>
      <c r="F185" s="199"/>
      <c r="H185" s="202"/>
      <c r="I185" s="185" t="str">
        <f t="shared" si="16"/>
        <v/>
      </c>
      <c r="J185" s="203" t="str">
        <f>IF($H185="USD",IF(OR($I185="",$I185="-"),"",VLOOKUP($G185,為替!$A:$AX,$I185,FALSE))+$J$3,IF(OR($I185="",$I185="-"),"",VLOOKUP($G185,為替!$A:$AX,$I185,FALSE)))</f>
        <v/>
      </c>
      <c r="K185" s="204" t="str">
        <f t="shared" si="17"/>
        <v/>
      </c>
      <c r="L185" s="188" t="str">
        <f t="shared" si="19"/>
        <v/>
      </c>
      <c r="M185" s="203" t="str">
        <f>IF($H185="USD",IF(OR($L185="",$L185="-"),"",VLOOKUP($G185,為替!$A:$AX,$L185,FALSE))+$K$3,IF(OR($L185="",$L185="-"),"",VLOOKUP($G185,為替!$A:$AX,$L185,FALSE)))</f>
        <v/>
      </c>
      <c r="N185" s="204" t="str">
        <f t="shared" si="18"/>
        <v/>
      </c>
      <c r="O185" s="205" t="str">
        <f t="shared" si="20"/>
        <v/>
      </c>
      <c r="P185" s="206" t="str">
        <f t="shared" si="21"/>
        <v/>
      </c>
    </row>
    <row r="186" spans="3:16" x14ac:dyDescent="0.4">
      <c r="C186" s="199"/>
      <c r="D186" s="200"/>
      <c r="E186" s="201"/>
      <c r="F186" s="199"/>
      <c r="H186" s="202"/>
      <c r="I186" s="185" t="str">
        <f t="shared" si="16"/>
        <v/>
      </c>
      <c r="J186" s="203" t="str">
        <f>IF($H186="USD",IF(OR($I186="",$I186="-"),"",VLOOKUP($G186,為替!$A:$AX,$I186,FALSE))+$J$3,IF(OR($I186="",$I186="-"),"",VLOOKUP($G186,為替!$A:$AX,$I186,FALSE)))</f>
        <v/>
      </c>
      <c r="K186" s="204" t="str">
        <f t="shared" si="17"/>
        <v/>
      </c>
      <c r="L186" s="188" t="str">
        <f t="shared" si="19"/>
        <v/>
      </c>
      <c r="M186" s="203" t="str">
        <f>IF($H186="USD",IF(OR($L186="",$L186="-"),"",VLOOKUP($G186,為替!$A:$AX,$L186,FALSE))+$K$3,IF(OR($L186="",$L186="-"),"",VLOOKUP($G186,為替!$A:$AX,$L186,FALSE)))</f>
        <v/>
      </c>
      <c r="N186" s="204" t="str">
        <f t="shared" si="18"/>
        <v/>
      </c>
      <c r="O186" s="205" t="str">
        <f t="shared" si="20"/>
        <v/>
      </c>
      <c r="P186" s="206" t="str">
        <f t="shared" si="21"/>
        <v/>
      </c>
    </row>
    <row r="187" spans="3:16" x14ac:dyDescent="0.4">
      <c r="C187" s="199"/>
      <c r="D187" s="200"/>
      <c r="E187" s="201"/>
      <c r="F187" s="199"/>
      <c r="H187" s="202"/>
      <c r="I187" s="185" t="str">
        <f t="shared" si="16"/>
        <v/>
      </c>
      <c r="J187" s="203" t="str">
        <f>IF($H187="USD",IF(OR($I187="",$I187="-"),"",VLOOKUP($G187,為替!$A:$AX,$I187,FALSE))+$J$3,IF(OR($I187="",$I187="-"),"",VLOOKUP($G187,為替!$A:$AX,$I187,FALSE)))</f>
        <v/>
      </c>
      <c r="K187" s="204" t="str">
        <f t="shared" si="17"/>
        <v/>
      </c>
      <c r="L187" s="188" t="str">
        <f t="shared" si="19"/>
        <v/>
      </c>
      <c r="M187" s="203" t="str">
        <f>IF($H187="USD",IF(OR($L187="",$L187="-"),"",VLOOKUP($G187,為替!$A:$AX,$L187,FALSE))+$K$3,IF(OR($L187="",$L187="-"),"",VLOOKUP($G187,為替!$A:$AX,$L187,FALSE)))</f>
        <v/>
      </c>
      <c r="N187" s="204" t="str">
        <f t="shared" si="18"/>
        <v/>
      </c>
      <c r="O187" s="205" t="str">
        <f t="shared" si="20"/>
        <v/>
      </c>
      <c r="P187" s="206" t="str">
        <f t="shared" si="21"/>
        <v/>
      </c>
    </row>
    <row r="188" spans="3:16" x14ac:dyDescent="0.4">
      <c r="C188" s="199"/>
      <c r="D188" s="200"/>
      <c r="E188" s="201"/>
      <c r="F188" s="199"/>
      <c r="H188" s="202"/>
      <c r="I188" s="185" t="str">
        <f t="shared" si="16"/>
        <v/>
      </c>
      <c r="J188" s="203" t="str">
        <f>IF($H188="USD",IF(OR($I188="",$I188="-"),"",VLOOKUP($G188,為替!$A:$AX,$I188,FALSE))+$J$3,IF(OR($I188="",$I188="-"),"",VLOOKUP($G188,為替!$A:$AX,$I188,FALSE)))</f>
        <v/>
      </c>
      <c r="K188" s="204" t="str">
        <f t="shared" si="17"/>
        <v/>
      </c>
      <c r="L188" s="188" t="str">
        <f t="shared" si="19"/>
        <v/>
      </c>
      <c r="M188" s="203" t="str">
        <f>IF($H188="USD",IF(OR($L188="",$L188="-"),"",VLOOKUP($G188,為替!$A:$AX,$L188,FALSE))+$K$3,IF(OR($L188="",$L188="-"),"",VLOOKUP($G188,為替!$A:$AX,$L188,FALSE)))</f>
        <v/>
      </c>
      <c r="N188" s="204" t="str">
        <f t="shared" si="18"/>
        <v/>
      </c>
      <c r="O188" s="205" t="str">
        <f t="shared" si="20"/>
        <v/>
      </c>
      <c r="P188" s="206" t="str">
        <f t="shared" si="21"/>
        <v/>
      </c>
    </row>
    <row r="189" spans="3:16" x14ac:dyDescent="0.4">
      <c r="C189" s="199"/>
      <c r="D189" s="200"/>
      <c r="E189" s="201"/>
      <c r="F189" s="199"/>
      <c r="H189" s="202"/>
      <c r="I189" s="185" t="str">
        <f t="shared" si="16"/>
        <v/>
      </c>
      <c r="J189" s="203" t="str">
        <f>IF($H189="USD",IF(OR($I189="",$I189="-"),"",VLOOKUP($G189,為替!$A:$AX,$I189,FALSE))+$J$3,IF(OR($I189="",$I189="-"),"",VLOOKUP($G189,為替!$A:$AX,$I189,FALSE)))</f>
        <v/>
      </c>
      <c r="K189" s="204" t="str">
        <f t="shared" si="17"/>
        <v/>
      </c>
      <c r="L189" s="188" t="str">
        <f t="shared" si="19"/>
        <v/>
      </c>
      <c r="M189" s="203" t="str">
        <f>IF($H189="USD",IF(OR($L189="",$L189="-"),"",VLOOKUP($G189,為替!$A:$AX,$L189,FALSE))+$K$3,IF(OR($L189="",$L189="-"),"",VLOOKUP($G189,為替!$A:$AX,$L189,FALSE)))</f>
        <v/>
      </c>
      <c r="N189" s="204" t="str">
        <f t="shared" si="18"/>
        <v/>
      </c>
      <c r="O189" s="205" t="str">
        <f t="shared" si="20"/>
        <v/>
      </c>
      <c r="P189" s="206" t="str">
        <f t="shared" si="21"/>
        <v/>
      </c>
    </row>
    <row r="190" spans="3:16" x14ac:dyDescent="0.4">
      <c r="C190" s="199"/>
      <c r="D190" s="200"/>
      <c r="E190" s="201"/>
      <c r="F190" s="199"/>
      <c r="H190" s="202"/>
      <c r="I190" s="185" t="str">
        <f t="shared" si="16"/>
        <v/>
      </c>
      <c r="J190" s="203" t="str">
        <f>IF($H190="USD",IF(OR($I190="",$I190="-"),"",VLOOKUP($G190,為替!$A:$AX,$I190,FALSE))+$J$3,IF(OR($I190="",$I190="-"),"",VLOOKUP($G190,為替!$A:$AX,$I190,FALSE)))</f>
        <v/>
      </c>
      <c r="K190" s="204" t="str">
        <f t="shared" si="17"/>
        <v/>
      </c>
      <c r="L190" s="188" t="str">
        <f t="shared" si="19"/>
        <v/>
      </c>
      <c r="M190" s="203" t="str">
        <f>IF($H190="USD",IF(OR($L190="",$L190="-"),"",VLOOKUP($G190,為替!$A:$AX,$L190,FALSE))+$K$3,IF(OR($L190="",$L190="-"),"",VLOOKUP($G190,為替!$A:$AX,$L190,FALSE)))</f>
        <v/>
      </c>
      <c r="N190" s="204" t="str">
        <f t="shared" si="18"/>
        <v/>
      </c>
      <c r="O190" s="205" t="str">
        <f t="shared" si="20"/>
        <v/>
      </c>
      <c r="P190" s="206" t="str">
        <f t="shared" si="21"/>
        <v/>
      </c>
    </row>
    <row r="191" spans="3:16" x14ac:dyDescent="0.4">
      <c r="C191" s="199"/>
      <c r="D191" s="200"/>
      <c r="E191" s="201"/>
      <c r="F191" s="199"/>
      <c r="H191" s="202"/>
      <c r="I191" s="185" t="str">
        <f t="shared" si="16"/>
        <v/>
      </c>
      <c r="J191" s="203" t="str">
        <f>IF($H191="USD",IF(OR($I191="",$I191="-"),"",VLOOKUP($G191,為替!$A:$AX,$I191,FALSE))+$J$3,IF(OR($I191="",$I191="-"),"",VLOOKUP($G191,為替!$A:$AX,$I191,FALSE)))</f>
        <v/>
      </c>
      <c r="K191" s="204" t="str">
        <f t="shared" si="17"/>
        <v/>
      </c>
      <c r="L191" s="188" t="str">
        <f t="shared" si="19"/>
        <v/>
      </c>
      <c r="M191" s="203" t="str">
        <f>IF($H191="USD",IF(OR($L191="",$L191="-"),"",VLOOKUP($G191,為替!$A:$AX,$L191,FALSE))+$K$3,IF(OR($L191="",$L191="-"),"",VLOOKUP($G191,為替!$A:$AX,$L191,FALSE)))</f>
        <v/>
      </c>
      <c r="N191" s="204" t="str">
        <f t="shared" si="18"/>
        <v/>
      </c>
      <c r="O191" s="205" t="str">
        <f t="shared" si="20"/>
        <v/>
      </c>
      <c r="P191" s="206" t="str">
        <f t="shared" si="21"/>
        <v/>
      </c>
    </row>
    <row r="192" spans="3:16" x14ac:dyDescent="0.4">
      <c r="C192" s="199"/>
      <c r="D192" s="200"/>
      <c r="E192" s="201"/>
      <c r="F192" s="199"/>
      <c r="H192" s="202"/>
      <c r="I192" s="185" t="str">
        <f t="shared" si="16"/>
        <v/>
      </c>
      <c r="J192" s="203" t="str">
        <f>IF($H192="USD",IF(OR($I192="",$I192="-"),"",VLOOKUP($G192,為替!$A:$AX,$I192,FALSE))+$J$3,IF(OR($I192="",$I192="-"),"",VLOOKUP($G192,為替!$A:$AX,$I192,FALSE)))</f>
        <v/>
      </c>
      <c r="K192" s="204" t="str">
        <f t="shared" si="17"/>
        <v/>
      </c>
      <c r="L192" s="188" t="str">
        <f t="shared" si="19"/>
        <v/>
      </c>
      <c r="M192" s="203" t="str">
        <f>IF($H192="USD",IF(OR($L192="",$L192="-"),"",VLOOKUP($G192,為替!$A:$AX,$L192,FALSE))+$K$3,IF(OR($L192="",$L192="-"),"",VLOOKUP($G192,為替!$A:$AX,$L192,FALSE)))</f>
        <v/>
      </c>
      <c r="N192" s="204" t="str">
        <f t="shared" si="18"/>
        <v/>
      </c>
      <c r="O192" s="205" t="str">
        <f t="shared" si="20"/>
        <v/>
      </c>
      <c r="P192" s="206" t="str">
        <f t="shared" si="21"/>
        <v/>
      </c>
    </row>
    <row r="193" spans="3:16" x14ac:dyDescent="0.4">
      <c r="C193" s="199"/>
      <c r="D193" s="200"/>
      <c r="E193" s="201"/>
      <c r="F193" s="199"/>
      <c r="H193" s="202"/>
      <c r="I193" s="185" t="str">
        <f t="shared" si="16"/>
        <v/>
      </c>
      <c r="J193" s="203" t="str">
        <f>IF($H193="USD",IF(OR($I193="",$I193="-"),"",VLOOKUP($G193,為替!$A:$AX,$I193,FALSE))+$J$3,IF(OR($I193="",$I193="-"),"",VLOOKUP($G193,為替!$A:$AX,$I193,FALSE)))</f>
        <v/>
      </c>
      <c r="K193" s="204" t="str">
        <f t="shared" si="17"/>
        <v/>
      </c>
      <c r="L193" s="188" t="str">
        <f t="shared" si="19"/>
        <v/>
      </c>
      <c r="M193" s="203" t="str">
        <f>IF($H193="USD",IF(OR($L193="",$L193="-"),"",VLOOKUP($G193,為替!$A:$AX,$L193,FALSE))+$K$3,IF(OR($L193="",$L193="-"),"",VLOOKUP($G193,為替!$A:$AX,$L193,FALSE)))</f>
        <v/>
      </c>
      <c r="N193" s="204" t="str">
        <f t="shared" si="18"/>
        <v/>
      </c>
      <c r="O193" s="205" t="str">
        <f t="shared" si="20"/>
        <v/>
      </c>
      <c r="P193" s="206" t="str">
        <f t="shared" si="21"/>
        <v/>
      </c>
    </row>
    <row r="194" spans="3:16" x14ac:dyDescent="0.4">
      <c r="C194" s="199"/>
      <c r="D194" s="200"/>
      <c r="E194" s="201"/>
      <c r="F194" s="199"/>
      <c r="H194" s="202"/>
      <c r="I194" s="185" t="str">
        <f t="shared" si="16"/>
        <v/>
      </c>
      <c r="J194" s="203" t="str">
        <f>IF($H194="USD",IF(OR($I194="",$I194="-"),"",VLOOKUP($G194,為替!$A:$AX,$I194,FALSE))+$J$3,IF(OR($I194="",$I194="-"),"",VLOOKUP($G194,為替!$A:$AX,$I194,FALSE)))</f>
        <v/>
      </c>
      <c r="K194" s="204" t="str">
        <f t="shared" si="17"/>
        <v/>
      </c>
      <c r="L194" s="188" t="str">
        <f t="shared" si="19"/>
        <v/>
      </c>
      <c r="M194" s="203" t="str">
        <f>IF($H194="USD",IF(OR($L194="",$L194="-"),"",VLOOKUP($G194,為替!$A:$AX,$L194,FALSE))+$K$3,IF(OR($L194="",$L194="-"),"",VLOOKUP($G194,為替!$A:$AX,$L194,FALSE)))</f>
        <v/>
      </c>
      <c r="N194" s="204" t="str">
        <f t="shared" si="18"/>
        <v/>
      </c>
      <c r="O194" s="205" t="str">
        <f t="shared" si="20"/>
        <v/>
      </c>
      <c r="P194" s="206" t="str">
        <f t="shared" si="21"/>
        <v/>
      </c>
    </row>
    <row r="195" spans="3:16" x14ac:dyDescent="0.4">
      <c r="C195" s="199"/>
      <c r="D195" s="200"/>
      <c r="E195" s="201"/>
      <c r="F195" s="199"/>
      <c r="H195" s="202"/>
      <c r="I195" s="185" t="str">
        <f t="shared" si="16"/>
        <v/>
      </c>
      <c r="J195" s="203" t="str">
        <f>IF($H195="USD",IF(OR($I195="",$I195="-"),"",VLOOKUP($G195,為替!$A:$AX,$I195,FALSE))+$J$3,IF(OR($I195="",$I195="-"),"",VLOOKUP($G195,為替!$A:$AX,$I195,FALSE)))</f>
        <v/>
      </c>
      <c r="K195" s="204" t="str">
        <f t="shared" si="17"/>
        <v/>
      </c>
      <c r="L195" s="188" t="str">
        <f t="shared" si="19"/>
        <v/>
      </c>
      <c r="M195" s="203" t="str">
        <f>IF($H195="USD",IF(OR($L195="",$L195="-"),"",VLOOKUP($G195,為替!$A:$AX,$L195,FALSE))+$K$3,IF(OR($L195="",$L195="-"),"",VLOOKUP($G195,為替!$A:$AX,$L195,FALSE)))</f>
        <v/>
      </c>
      <c r="N195" s="204" t="str">
        <f t="shared" si="18"/>
        <v/>
      </c>
      <c r="O195" s="205" t="str">
        <f t="shared" si="20"/>
        <v/>
      </c>
      <c r="P195" s="206" t="str">
        <f t="shared" si="21"/>
        <v/>
      </c>
    </row>
    <row r="196" spans="3:16" x14ac:dyDescent="0.4">
      <c r="C196" s="199"/>
      <c r="D196" s="200"/>
      <c r="E196" s="201"/>
      <c r="F196" s="199"/>
      <c r="H196" s="202"/>
      <c r="I196" s="185" t="str">
        <f t="shared" si="16"/>
        <v/>
      </c>
      <c r="J196" s="203" t="str">
        <f>IF($H196="USD",IF(OR($I196="",$I196="-"),"",VLOOKUP($G196,為替!$A:$AX,$I196,FALSE))+$J$3,IF(OR($I196="",$I196="-"),"",VLOOKUP($G196,為替!$A:$AX,$I196,FALSE)))</f>
        <v/>
      </c>
      <c r="K196" s="204" t="str">
        <f t="shared" si="17"/>
        <v/>
      </c>
      <c r="L196" s="188" t="str">
        <f t="shared" si="19"/>
        <v/>
      </c>
      <c r="M196" s="203" t="str">
        <f>IF($H196="USD",IF(OR($L196="",$L196="-"),"",VLOOKUP($G196,為替!$A:$AX,$L196,FALSE))+$K$3,IF(OR($L196="",$L196="-"),"",VLOOKUP($G196,為替!$A:$AX,$L196,FALSE)))</f>
        <v/>
      </c>
      <c r="N196" s="204" t="str">
        <f t="shared" si="18"/>
        <v/>
      </c>
      <c r="O196" s="205" t="str">
        <f t="shared" si="20"/>
        <v/>
      </c>
      <c r="P196" s="206" t="str">
        <f t="shared" si="21"/>
        <v/>
      </c>
    </row>
    <row r="197" spans="3:16" x14ac:dyDescent="0.4">
      <c r="C197" s="199"/>
      <c r="D197" s="200"/>
      <c r="E197" s="201"/>
      <c r="F197" s="199"/>
      <c r="H197" s="202"/>
      <c r="I197" s="185" t="str">
        <f t="shared" si="16"/>
        <v/>
      </c>
      <c r="J197" s="203" t="str">
        <f>IF($H197="USD",IF(OR($I197="",$I197="-"),"",VLOOKUP($G197,為替!$A:$AX,$I197,FALSE))+$J$3,IF(OR($I197="",$I197="-"),"",VLOOKUP($G197,為替!$A:$AX,$I197,FALSE)))</f>
        <v/>
      </c>
      <c r="K197" s="204" t="str">
        <f t="shared" si="17"/>
        <v/>
      </c>
      <c r="L197" s="188" t="str">
        <f t="shared" si="19"/>
        <v/>
      </c>
      <c r="M197" s="203" t="str">
        <f>IF($H197="USD",IF(OR($L197="",$L197="-"),"",VLOOKUP($G197,為替!$A:$AX,$L197,FALSE))+$K$3,IF(OR($L197="",$L197="-"),"",VLOOKUP($G197,為替!$A:$AX,$L197,FALSE)))</f>
        <v/>
      </c>
      <c r="N197" s="204" t="str">
        <f t="shared" si="18"/>
        <v/>
      </c>
      <c r="O197" s="205" t="str">
        <f t="shared" si="20"/>
        <v/>
      </c>
      <c r="P197" s="206" t="str">
        <f t="shared" si="21"/>
        <v/>
      </c>
    </row>
    <row r="198" spans="3:16" x14ac:dyDescent="0.4">
      <c r="C198" s="199"/>
      <c r="D198" s="200"/>
      <c r="E198" s="201"/>
      <c r="F198" s="199"/>
      <c r="H198" s="202"/>
      <c r="I198" s="185" t="str">
        <f t="shared" si="16"/>
        <v/>
      </c>
      <c r="J198" s="203" t="str">
        <f>IF($H198="USD",IF(OR($I198="",$I198="-"),"",VLOOKUP($G198,為替!$A:$AX,$I198,FALSE))+$J$3,IF(OR($I198="",$I198="-"),"",VLOOKUP($G198,為替!$A:$AX,$I198,FALSE)))</f>
        <v/>
      </c>
      <c r="K198" s="204" t="str">
        <f t="shared" si="17"/>
        <v/>
      </c>
      <c r="L198" s="188" t="str">
        <f t="shared" si="19"/>
        <v/>
      </c>
      <c r="M198" s="203" t="str">
        <f>IF($H198="USD",IF(OR($L198="",$L198="-"),"",VLOOKUP($G198,為替!$A:$AX,$L198,FALSE))+$K$3,IF(OR($L198="",$L198="-"),"",VLOOKUP($G198,為替!$A:$AX,$L198,FALSE)))</f>
        <v/>
      </c>
      <c r="N198" s="204" t="str">
        <f t="shared" si="18"/>
        <v/>
      </c>
      <c r="O198" s="205" t="str">
        <f t="shared" si="20"/>
        <v/>
      </c>
      <c r="P198" s="206" t="str">
        <f t="shared" si="21"/>
        <v/>
      </c>
    </row>
    <row r="199" spans="3:16" x14ac:dyDescent="0.4">
      <c r="C199" s="199"/>
      <c r="D199" s="200"/>
      <c r="E199" s="201"/>
      <c r="F199" s="199"/>
      <c r="H199" s="202"/>
      <c r="I199" s="185" t="str">
        <f t="shared" ref="I199:I262" si="22">IF(H199="","",IF(H199="JPY","",IF($H199="USD",4, IF(H199="EUR",7,IF(H199="CNY",47,IF(H199="HKD",34))))))</f>
        <v/>
      </c>
      <c r="J199" s="203" t="str">
        <f>IF($H199="USD",IF(OR($I199="",$I199="-"),"",VLOOKUP($G199,為替!$A:$AX,$I199,FALSE))+$J$3,IF(OR($I199="",$I199="-"),"",VLOOKUP($G199,為替!$A:$AX,$I199,FALSE)))</f>
        <v/>
      </c>
      <c r="K199" s="204" t="str">
        <f t="shared" ref="K199:K262" si="23">IF($H199="JPY",$F199,IF($H199="","",$F199*$J199))</f>
        <v/>
      </c>
      <c r="L199" s="188" t="str">
        <f t="shared" si="19"/>
        <v/>
      </c>
      <c r="M199" s="203" t="str">
        <f>IF($H199="USD",IF(OR($L199="",$L199="-"),"",VLOOKUP($G199,為替!$A:$AX,$L199,FALSE))+$K$3,IF(OR($L199="",$L199="-"),"",VLOOKUP($G199,為替!$A:$AX,$L199,FALSE)))</f>
        <v/>
      </c>
      <c r="N199" s="204" t="str">
        <f t="shared" ref="N199:N262" si="24">IF($E199="JPY",($C199+$D199),IF($E199="","",($C199+$D199)*$M199))</f>
        <v/>
      </c>
      <c r="O199" s="205" t="str">
        <f t="shared" si="20"/>
        <v/>
      </c>
      <c r="P199" s="206" t="str">
        <f t="shared" si="21"/>
        <v/>
      </c>
    </row>
    <row r="200" spans="3:16" x14ac:dyDescent="0.4">
      <c r="C200" s="199"/>
      <c r="D200" s="200"/>
      <c r="E200" s="201"/>
      <c r="F200" s="199"/>
      <c r="H200" s="202"/>
      <c r="I200" s="185" t="str">
        <f t="shared" si="22"/>
        <v/>
      </c>
      <c r="J200" s="203" t="str">
        <f>IF($H200="USD",IF(OR($I200="",$I200="-"),"",VLOOKUP($G200,為替!$A:$AX,$I200,FALSE))+$J$3,IF(OR($I200="",$I200="-"),"",VLOOKUP($G200,為替!$A:$AX,$I200,FALSE)))</f>
        <v/>
      </c>
      <c r="K200" s="204" t="str">
        <f t="shared" si="23"/>
        <v/>
      </c>
      <c r="L200" s="188" t="str">
        <f t="shared" si="19"/>
        <v/>
      </c>
      <c r="M200" s="203" t="str">
        <f>IF($H200="USD",IF(OR($L200="",$L200="-"),"",VLOOKUP($G200,為替!$A:$AX,$L200,FALSE))+$K$3,IF(OR($L200="",$L200="-"),"",VLOOKUP($G200,為替!$A:$AX,$L200,FALSE)))</f>
        <v/>
      </c>
      <c r="N200" s="204" t="str">
        <f t="shared" si="24"/>
        <v/>
      </c>
      <c r="O200" s="205" t="str">
        <f t="shared" si="20"/>
        <v/>
      </c>
      <c r="P200" s="206" t="str">
        <f t="shared" si="21"/>
        <v/>
      </c>
    </row>
    <row r="201" spans="3:16" x14ac:dyDescent="0.4">
      <c r="C201" s="199"/>
      <c r="D201" s="200"/>
      <c r="E201" s="201"/>
      <c r="F201" s="199"/>
      <c r="H201" s="202"/>
      <c r="I201" s="185" t="str">
        <f t="shared" si="22"/>
        <v/>
      </c>
      <c r="J201" s="203" t="str">
        <f>IF($H201="USD",IF(OR($I201="",$I201="-"),"",VLOOKUP($G201,為替!$A:$AX,$I201,FALSE))+$J$3,IF(OR($I201="",$I201="-"),"",VLOOKUP($G201,為替!$A:$AX,$I201,FALSE)))</f>
        <v/>
      </c>
      <c r="K201" s="204" t="str">
        <f t="shared" si="23"/>
        <v/>
      </c>
      <c r="L201" s="188" t="str">
        <f t="shared" si="19"/>
        <v/>
      </c>
      <c r="M201" s="203" t="str">
        <f>IF($H201="USD",IF(OR($L201="",$L201="-"),"",VLOOKUP($G201,為替!$A:$AX,$L201,FALSE))+$K$3,IF(OR($L201="",$L201="-"),"",VLOOKUP($G201,為替!$A:$AX,$L201,FALSE)))</f>
        <v/>
      </c>
      <c r="N201" s="204" t="str">
        <f t="shared" si="24"/>
        <v/>
      </c>
      <c r="O201" s="205" t="str">
        <f t="shared" si="20"/>
        <v/>
      </c>
      <c r="P201" s="206" t="str">
        <f t="shared" si="21"/>
        <v/>
      </c>
    </row>
    <row r="202" spans="3:16" x14ac:dyDescent="0.4">
      <c r="C202" s="199"/>
      <c r="D202" s="200"/>
      <c r="E202" s="201"/>
      <c r="F202" s="199"/>
      <c r="H202" s="202"/>
      <c r="I202" s="185" t="str">
        <f t="shared" si="22"/>
        <v/>
      </c>
      <c r="J202" s="203" t="str">
        <f>IF($H202="USD",IF(OR($I202="",$I202="-"),"",VLOOKUP($G202,為替!$A:$AX,$I202,FALSE))+$J$3,IF(OR($I202="",$I202="-"),"",VLOOKUP($G202,為替!$A:$AX,$I202,FALSE)))</f>
        <v/>
      </c>
      <c r="K202" s="204" t="str">
        <f t="shared" si="23"/>
        <v/>
      </c>
      <c r="L202" s="188" t="str">
        <f t="shared" si="19"/>
        <v/>
      </c>
      <c r="M202" s="203" t="str">
        <f>IF($H202="USD",IF(OR($L202="",$L202="-"),"",VLOOKUP($G202,為替!$A:$AX,$L202,FALSE))+$K$3,IF(OR($L202="",$L202="-"),"",VLOOKUP($G202,為替!$A:$AX,$L202,FALSE)))</f>
        <v/>
      </c>
      <c r="N202" s="204" t="str">
        <f t="shared" si="24"/>
        <v/>
      </c>
      <c r="O202" s="205" t="str">
        <f t="shared" si="20"/>
        <v/>
      </c>
      <c r="P202" s="206" t="str">
        <f t="shared" si="21"/>
        <v/>
      </c>
    </row>
    <row r="203" spans="3:16" x14ac:dyDescent="0.4">
      <c r="C203" s="199"/>
      <c r="D203" s="200"/>
      <c r="E203" s="201"/>
      <c r="F203" s="199"/>
      <c r="H203" s="202"/>
      <c r="I203" s="185" t="str">
        <f t="shared" si="22"/>
        <v/>
      </c>
      <c r="J203" s="203" t="str">
        <f>IF($H203="USD",IF(OR($I203="",$I203="-"),"",VLOOKUP($G203,為替!$A:$AX,$I203,FALSE))+$J$3,IF(OR($I203="",$I203="-"),"",VLOOKUP($G203,為替!$A:$AX,$I203,FALSE)))</f>
        <v/>
      </c>
      <c r="K203" s="204" t="str">
        <f t="shared" si="23"/>
        <v/>
      </c>
      <c r="L203" s="188" t="str">
        <f t="shared" si="19"/>
        <v/>
      </c>
      <c r="M203" s="203" t="str">
        <f>IF($H203="USD",IF(OR($L203="",$L203="-"),"",VLOOKUP($G203,為替!$A:$AX,$L203,FALSE))+$K$3,IF(OR($L203="",$L203="-"),"",VLOOKUP($G203,為替!$A:$AX,$L203,FALSE)))</f>
        <v/>
      </c>
      <c r="N203" s="204" t="str">
        <f t="shared" si="24"/>
        <v/>
      </c>
      <c r="O203" s="205" t="str">
        <f t="shared" si="20"/>
        <v/>
      </c>
      <c r="P203" s="206" t="str">
        <f t="shared" si="21"/>
        <v/>
      </c>
    </row>
    <row r="204" spans="3:16" x14ac:dyDescent="0.4">
      <c r="C204" s="199"/>
      <c r="D204" s="200"/>
      <c r="E204" s="201"/>
      <c r="F204" s="199"/>
      <c r="H204" s="202"/>
      <c r="I204" s="185" t="str">
        <f t="shared" si="22"/>
        <v/>
      </c>
      <c r="J204" s="203" t="str">
        <f>IF($H204="USD",IF(OR($I204="",$I204="-"),"",VLOOKUP($G204,為替!$A:$AX,$I204,FALSE))+$J$3,IF(OR($I204="",$I204="-"),"",VLOOKUP($G204,為替!$A:$AX,$I204,FALSE)))</f>
        <v/>
      </c>
      <c r="K204" s="204" t="str">
        <f t="shared" si="23"/>
        <v/>
      </c>
      <c r="L204" s="188" t="str">
        <f t="shared" si="19"/>
        <v/>
      </c>
      <c r="M204" s="203" t="str">
        <f>IF($H204="USD",IF(OR($L204="",$L204="-"),"",VLOOKUP($G204,為替!$A:$AX,$L204,FALSE))+$K$3,IF(OR($L204="",$L204="-"),"",VLOOKUP($G204,為替!$A:$AX,$L204,FALSE)))</f>
        <v/>
      </c>
      <c r="N204" s="204" t="str">
        <f t="shared" si="24"/>
        <v/>
      </c>
      <c r="O204" s="205" t="str">
        <f t="shared" si="20"/>
        <v/>
      </c>
      <c r="P204" s="206" t="str">
        <f t="shared" si="21"/>
        <v/>
      </c>
    </row>
    <row r="205" spans="3:16" x14ac:dyDescent="0.4">
      <c r="C205" s="199"/>
      <c r="D205" s="200"/>
      <c r="E205" s="201"/>
      <c r="F205" s="199"/>
      <c r="H205" s="202"/>
      <c r="I205" s="185" t="str">
        <f t="shared" si="22"/>
        <v/>
      </c>
      <c r="J205" s="203" t="str">
        <f>IF($H205="USD",IF(OR($I205="",$I205="-"),"",VLOOKUP($G205,為替!$A:$AX,$I205,FALSE))+$J$3,IF(OR($I205="",$I205="-"),"",VLOOKUP($G205,為替!$A:$AX,$I205,FALSE)))</f>
        <v/>
      </c>
      <c r="K205" s="204" t="str">
        <f t="shared" si="23"/>
        <v/>
      </c>
      <c r="L205" s="188" t="str">
        <f t="shared" si="19"/>
        <v/>
      </c>
      <c r="M205" s="203" t="str">
        <f>IF($H205="USD",IF(OR($L205="",$L205="-"),"",VLOOKUP($G205,為替!$A:$AX,$L205,FALSE))+$K$3,IF(OR($L205="",$L205="-"),"",VLOOKUP($G205,為替!$A:$AX,$L205,FALSE)))</f>
        <v/>
      </c>
      <c r="N205" s="204" t="str">
        <f t="shared" si="24"/>
        <v/>
      </c>
      <c r="O205" s="205" t="str">
        <f t="shared" si="20"/>
        <v/>
      </c>
      <c r="P205" s="206" t="str">
        <f t="shared" si="21"/>
        <v/>
      </c>
    </row>
    <row r="206" spans="3:16" x14ac:dyDescent="0.4">
      <c r="C206" s="199"/>
      <c r="D206" s="200"/>
      <c r="E206" s="201"/>
      <c r="F206" s="199"/>
      <c r="H206" s="202"/>
      <c r="I206" s="185" t="str">
        <f t="shared" si="22"/>
        <v/>
      </c>
      <c r="J206" s="203" t="str">
        <f>IF($H206="USD",IF(OR($I206="",$I206="-"),"",VLOOKUP($G206,為替!$A:$AX,$I206,FALSE))+$J$3,IF(OR($I206="",$I206="-"),"",VLOOKUP($G206,為替!$A:$AX,$I206,FALSE)))</f>
        <v/>
      </c>
      <c r="K206" s="204" t="str">
        <f t="shared" si="23"/>
        <v/>
      </c>
      <c r="L206" s="188" t="str">
        <f t="shared" si="19"/>
        <v/>
      </c>
      <c r="M206" s="203" t="str">
        <f>IF($H206="USD",IF(OR($L206="",$L206="-"),"",VLOOKUP($G206,為替!$A:$AX,$L206,FALSE))+$K$3,IF(OR($L206="",$L206="-"),"",VLOOKUP($G206,為替!$A:$AX,$L206,FALSE)))</f>
        <v/>
      </c>
      <c r="N206" s="204" t="str">
        <f t="shared" si="24"/>
        <v/>
      </c>
      <c r="O206" s="205" t="str">
        <f t="shared" si="20"/>
        <v/>
      </c>
      <c r="P206" s="206" t="str">
        <f t="shared" si="21"/>
        <v/>
      </c>
    </row>
    <row r="207" spans="3:16" x14ac:dyDescent="0.4">
      <c r="C207" s="199"/>
      <c r="D207" s="200"/>
      <c r="E207" s="201"/>
      <c r="F207" s="199"/>
      <c r="H207" s="202"/>
      <c r="I207" s="185" t="str">
        <f t="shared" si="22"/>
        <v/>
      </c>
      <c r="J207" s="203" t="str">
        <f>IF($H207="USD",IF(OR($I207="",$I207="-"),"",VLOOKUP($G207,為替!$A:$AX,$I207,FALSE))+$J$3,IF(OR($I207="",$I207="-"),"",VLOOKUP($G207,為替!$A:$AX,$I207,FALSE)))</f>
        <v/>
      </c>
      <c r="K207" s="204" t="str">
        <f t="shared" si="23"/>
        <v/>
      </c>
      <c r="L207" s="188" t="str">
        <f t="shared" si="19"/>
        <v/>
      </c>
      <c r="M207" s="203" t="str">
        <f>IF($H207="USD",IF(OR($L207="",$L207="-"),"",VLOOKUP($G207,為替!$A:$AX,$L207,FALSE))+$K$3,IF(OR($L207="",$L207="-"),"",VLOOKUP($G207,為替!$A:$AX,$L207,FALSE)))</f>
        <v/>
      </c>
      <c r="N207" s="204" t="str">
        <f t="shared" si="24"/>
        <v/>
      </c>
      <c r="O207" s="205" t="str">
        <f t="shared" si="20"/>
        <v/>
      </c>
      <c r="P207" s="206" t="str">
        <f t="shared" si="21"/>
        <v/>
      </c>
    </row>
    <row r="208" spans="3:16" x14ac:dyDescent="0.4">
      <c r="C208" s="199"/>
      <c r="D208" s="200"/>
      <c r="E208" s="201"/>
      <c r="F208" s="199"/>
      <c r="H208" s="202"/>
      <c r="I208" s="185" t="str">
        <f t="shared" si="22"/>
        <v/>
      </c>
      <c r="J208" s="203" t="str">
        <f>IF($H208="USD",IF(OR($I208="",$I208="-"),"",VLOOKUP($G208,為替!$A:$AX,$I208,FALSE))+$J$3,IF(OR($I208="",$I208="-"),"",VLOOKUP($G208,為替!$A:$AX,$I208,FALSE)))</f>
        <v/>
      </c>
      <c r="K208" s="204" t="str">
        <f t="shared" si="23"/>
        <v/>
      </c>
      <c r="L208" s="188" t="str">
        <f t="shared" si="19"/>
        <v/>
      </c>
      <c r="M208" s="203" t="str">
        <f>IF($H208="USD",IF(OR($L208="",$L208="-"),"",VLOOKUP($G208,為替!$A:$AX,$L208,FALSE))+$K$3,IF(OR($L208="",$L208="-"),"",VLOOKUP($G208,為替!$A:$AX,$L208,FALSE)))</f>
        <v/>
      </c>
      <c r="N208" s="204" t="str">
        <f t="shared" si="24"/>
        <v/>
      </c>
      <c r="O208" s="205" t="str">
        <f t="shared" si="20"/>
        <v/>
      </c>
      <c r="P208" s="206" t="str">
        <f t="shared" si="21"/>
        <v/>
      </c>
    </row>
    <row r="209" spans="3:16" x14ac:dyDescent="0.4">
      <c r="C209" s="199"/>
      <c r="D209" s="200"/>
      <c r="E209" s="201"/>
      <c r="F209" s="199"/>
      <c r="H209" s="202"/>
      <c r="I209" s="185" t="str">
        <f t="shared" si="22"/>
        <v/>
      </c>
      <c r="J209" s="203" t="str">
        <f>IF($H209="USD",IF(OR($I209="",$I209="-"),"",VLOOKUP($G209,為替!$A:$AX,$I209,FALSE))+$J$3,IF(OR($I209="",$I209="-"),"",VLOOKUP($G209,為替!$A:$AX,$I209,FALSE)))</f>
        <v/>
      </c>
      <c r="K209" s="204" t="str">
        <f t="shared" si="23"/>
        <v/>
      </c>
      <c r="L209" s="188" t="str">
        <f t="shared" si="19"/>
        <v/>
      </c>
      <c r="M209" s="203" t="str">
        <f>IF($H209="USD",IF(OR($L209="",$L209="-"),"",VLOOKUP($G209,為替!$A:$AX,$L209,FALSE))+$K$3,IF(OR($L209="",$L209="-"),"",VLOOKUP($G209,為替!$A:$AX,$L209,FALSE)))</f>
        <v/>
      </c>
      <c r="N209" s="204" t="str">
        <f t="shared" si="24"/>
        <v/>
      </c>
      <c r="O209" s="205" t="str">
        <f t="shared" si="20"/>
        <v/>
      </c>
      <c r="P209" s="206" t="str">
        <f t="shared" si="21"/>
        <v/>
      </c>
    </row>
    <row r="210" spans="3:16" x14ac:dyDescent="0.4">
      <c r="C210" s="199"/>
      <c r="D210" s="200"/>
      <c r="E210" s="201"/>
      <c r="F210" s="199"/>
      <c r="H210" s="202"/>
      <c r="I210" s="185" t="str">
        <f t="shared" si="22"/>
        <v/>
      </c>
      <c r="J210" s="203" t="str">
        <f>IF($H210="USD",IF(OR($I210="",$I210="-"),"",VLOOKUP($G210,為替!$A:$AX,$I210,FALSE))+$J$3,IF(OR($I210="",$I210="-"),"",VLOOKUP($G210,為替!$A:$AX,$I210,FALSE)))</f>
        <v/>
      </c>
      <c r="K210" s="204" t="str">
        <f t="shared" si="23"/>
        <v/>
      </c>
      <c r="L210" s="188" t="str">
        <f t="shared" ref="L210:L273" si="25">IF(H210="","",IF(H210="JPY","",IF($H210="USD",3, IF(H210="EUR",6,IF(H210="CNY",46,IF(H210="HKD",33))))))</f>
        <v/>
      </c>
      <c r="M210" s="203" t="str">
        <f>IF($H210="USD",IF(OR($L210="",$L210="-"),"",VLOOKUP($G210,為替!$A:$AX,$L210,FALSE))+$K$3,IF(OR($L210="",$L210="-"),"",VLOOKUP($G210,為替!$A:$AX,$L210,FALSE)))</f>
        <v/>
      </c>
      <c r="N210" s="204" t="str">
        <f t="shared" si="24"/>
        <v/>
      </c>
      <c r="O210" s="205" t="str">
        <f t="shared" ref="O210:O273" si="26">IF(OR(K210="",N210=""),"",K210-N210)</f>
        <v/>
      </c>
      <c r="P210" s="206" t="str">
        <f t="shared" ref="P210:P273" si="27">IF(OR(K210="",O210=""),"",O210/K210)</f>
        <v/>
      </c>
    </row>
    <row r="211" spans="3:16" x14ac:dyDescent="0.4">
      <c r="C211" s="199"/>
      <c r="D211" s="200"/>
      <c r="E211" s="201"/>
      <c r="F211" s="199"/>
      <c r="H211" s="202"/>
      <c r="I211" s="185" t="str">
        <f t="shared" si="22"/>
        <v/>
      </c>
      <c r="J211" s="203" t="str">
        <f>IF($H211="USD",IF(OR($I211="",$I211="-"),"",VLOOKUP($G211,為替!$A:$AX,$I211,FALSE))+$J$3,IF(OR($I211="",$I211="-"),"",VLOOKUP($G211,為替!$A:$AX,$I211,FALSE)))</f>
        <v/>
      </c>
      <c r="K211" s="204" t="str">
        <f t="shared" si="23"/>
        <v/>
      </c>
      <c r="L211" s="188" t="str">
        <f t="shared" si="25"/>
        <v/>
      </c>
      <c r="M211" s="203" t="str">
        <f>IF($H211="USD",IF(OR($L211="",$L211="-"),"",VLOOKUP($G211,為替!$A:$AX,$L211,FALSE))+$K$3,IF(OR($L211="",$L211="-"),"",VLOOKUP($G211,為替!$A:$AX,$L211,FALSE)))</f>
        <v/>
      </c>
      <c r="N211" s="204" t="str">
        <f t="shared" si="24"/>
        <v/>
      </c>
      <c r="O211" s="205" t="str">
        <f t="shared" si="26"/>
        <v/>
      </c>
      <c r="P211" s="206" t="str">
        <f t="shared" si="27"/>
        <v/>
      </c>
    </row>
    <row r="212" spans="3:16" x14ac:dyDescent="0.4">
      <c r="C212" s="199"/>
      <c r="D212" s="200"/>
      <c r="E212" s="201"/>
      <c r="F212" s="199"/>
      <c r="H212" s="202"/>
      <c r="I212" s="185" t="str">
        <f t="shared" si="22"/>
        <v/>
      </c>
      <c r="J212" s="203" t="str">
        <f>IF($H212="USD",IF(OR($I212="",$I212="-"),"",VLOOKUP($G212,為替!$A:$AX,$I212,FALSE))+$J$3,IF(OR($I212="",$I212="-"),"",VLOOKUP($G212,為替!$A:$AX,$I212,FALSE)))</f>
        <v/>
      </c>
      <c r="K212" s="204" t="str">
        <f t="shared" si="23"/>
        <v/>
      </c>
      <c r="L212" s="188" t="str">
        <f t="shared" si="25"/>
        <v/>
      </c>
      <c r="M212" s="203" t="str">
        <f>IF($H212="USD",IF(OR($L212="",$L212="-"),"",VLOOKUP($G212,為替!$A:$AX,$L212,FALSE))+$K$3,IF(OR($L212="",$L212="-"),"",VLOOKUP($G212,為替!$A:$AX,$L212,FALSE)))</f>
        <v/>
      </c>
      <c r="N212" s="204" t="str">
        <f t="shared" si="24"/>
        <v/>
      </c>
      <c r="O212" s="205" t="str">
        <f t="shared" si="26"/>
        <v/>
      </c>
      <c r="P212" s="206" t="str">
        <f t="shared" si="27"/>
        <v/>
      </c>
    </row>
    <row r="213" spans="3:16" x14ac:dyDescent="0.4">
      <c r="C213" s="199"/>
      <c r="D213" s="200"/>
      <c r="E213" s="201"/>
      <c r="F213" s="199"/>
      <c r="H213" s="202"/>
      <c r="I213" s="185" t="str">
        <f t="shared" si="22"/>
        <v/>
      </c>
      <c r="J213" s="203" t="str">
        <f>IF($H213="USD",IF(OR($I213="",$I213="-"),"",VLOOKUP($G213,為替!$A:$AX,$I213,FALSE))+$J$3,IF(OR($I213="",$I213="-"),"",VLOOKUP($G213,為替!$A:$AX,$I213,FALSE)))</f>
        <v/>
      </c>
      <c r="K213" s="204" t="str">
        <f t="shared" si="23"/>
        <v/>
      </c>
      <c r="L213" s="188" t="str">
        <f t="shared" si="25"/>
        <v/>
      </c>
      <c r="M213" s="203" t="str">
        <f>IF($H213="USD",IF(OR($L213="",$L213="-"),"",VLOOKUP($G213,為替!$A:$AX,$L213,FALSE))+$K$3,IF(OR($L213="",$L213="-"),"",VLOOKUP($G213,為替!$A:$AX,$L213,FALSE)))</f>
        <v/>
      </c>
      <c r="N213" s="204" t="str">
        <f t="shared" si="24"/>
        <v/>
      </c>
      <c r="O213" s="205" t="str">
        <f t="shared" si="26"/>
        <v/>
      </c>
      <c r="P213" s="206" t="str">
        <f t="shared" si="27"/>
        <v/>
      </c>
    </row>
    <row r="214" spans="3:16" x14ac:dyDescent="0.4">
      <c r="C214" s="199"/>
      <c r="D214" s="200"/>
      <c r="E214" s="201"/>
      <c r="F214" s="199"/>
      <c r="H214" s="202"/>
      <c r="I214" s="185" t="str">
        <f t="shared" si="22"/>
        <v/>
      </c>
      <c r="J214" s="203" t="str">
        <f>IF($H214="USD",IF(OR($I214="",$I214="-"),"",VLOOKUP($G214,為替!$A:$AX,$I214,FALSE))+$J$3,IF(OR($I214="",$I214="-"),"",VLOOKUP($G214,為替!$A:$AX,$I214,FALSE)))</f>
        <v/>
      </c>
      <c r="K214" s="204" t="str">
        <f t="shared" si="23"/>
        <v/>
      </c>
      <c r="L214" s="188" t="str">
        <f t="shared" si="25"/>
        <v/>
      </c>
      <c r="M214" s="203" t="str">
        <f>IF($H214="USD",IF(OR($L214="",$L214="-"),"",VLOOKUP($G214,為替!$A:$AX,$L214,FALSE))+$K$3,IF(OR($L214="",$L214="-"),"",VLOOKUP($G214,為替!$A:$AX,$L214,FALSE)))</f>
        <v/>
      </c>
      <c r="N214" s="204" t="str">
        <f t="shared" si="24"/>
        <v/>
      </c>
      <c r="O214" s="205" t="str">
        <f t="shared" si="26"/>
        <v/>
      </c>
      <c r="P214" s="206" t="str">
        <f t="shared" si="27"/>
        <v/>
      </c>
    </row>
    <row r="215" spans="3:16" x14ac:dyDescent="0.4">
      <c r="C215" s="199"/>
      <c r="D215" s="200"/>
      <c r="E215" s="201"/>
      <c r="F215" s="199"/>
      <c r="H215" s="202"/>
      <c r="I215" s="185" t="str">
        <f t="shared" si="22"/>
        <v/>
      </c>
      <c r="J215" s="203" t="str">
        <f>IF($H215="USD",IF(OR($I215="",$I215="-"),"",VLOOKUP($G215,為替!$A:$AX,$I215,FALSE))+$J$3,IF(OR($I215="",$I215="-"),"",VLOOKUP($G215,為替!$A:$AX,$I215,FALSE)))</f>
        <v/>
      </c>
      <c r="K215" s="204" t="str">
        <f t="shared" si="23"/>
        <v/>
      </c>
      <c r="L215" s="188" t="str">
        <f t="shared" si="25"/>
        <v/>
      </c>
      <c r="M215" s="203" t="str">
        <f>IF($H215="USD",IF(OR($L215="",$L215="-"),"",VLOOKUP($G215,為替!$A:$AX,$L215,FALSE))+$K$3,IF(OR($L215="",$L215="-"),"",VLOOKUP($G215,為替!$A:$AX,$L215,FALSE)))</f>
        <v/>
      </c>
      <c r="N215" s="204" t="str">
        <f t="shared" si="24"/>
        <v/>
      </c>
      <c r="O215" s="205" t="str">
        <f t="shared" si="26"/>
        <v/>
      </c>
      <c r="P215" s="206" t="str">
        <f t="shared" si="27"/>
        <v/>
      </c>
    </row>
    <row r="216" spans="3:16" x14ac:dyDescent="0.4">
      <c r="C216" s="199"/>
      <c r="D216" s="200"/>
      <c r="E216" s="201"/>
      <c r="F216" s="199"/>
      <c r="H216" s="202"/>
      <c r="I216" s="185" t="str">
        <f t="shared" si="22"/>
        <v/>
      </c>
      <c r="J216" s="203" t="str">
        <f>IF($H216="USD",IF(OR($I216="",$I216="-"),"",VLOOKUP($G216,為替!$A:$AX,$I216,FALSE))+$J$3,IF(OR($I216="",$I216="-"),"",VLOOKUP($G216,為替!$A:$AX,$I216,FALSE)))</f>
        <v/>
      </c>
      <c r="K216" s="204" t="str">
        <f t="shared" si="23"/>
        <v/>
      </c>
      <c r="L216" s="188" t="str">
        <f t="shared" si="25"/>
        <v/>
      </c>
      <c r="M216" s="203" t="str">
        <f>IF($H216="USD",IF(OR($L216="",$L216="-"),"",VLOOKUP($G216,為替!$A:$AX,$L216,FALSE))+$K$3,IF(OR($L216="",$L216="-"),"",VLOOKUP($G216,為替!$A:$AX,$L216,FALSE)))</f>
        <v/>
      </c>
      <c r="N216" s="204" t="str">
        <f t="shared" si="24"/>
        <v/>
      </c>
      <c r="O216" s="205" t="str">
        <f t="shared" si="26"/>
        <v/>
      </c>
      <c r="P216" s="206" t="str">
        <f t="shared" si="27"/>
        <v/>
      </c>
    </row>
    <row r="217" spans="3:16" x14ac:dyDescent="0.4">
      <c r="C217" s="199"/>
      <c r="D217" s="200"/>
      <c r="E217" s="201"/>
      <c r="F217" s="199"/>
      <c r="H217" s="202"/>
      <c r="I217" s="185" t="str">
        <f t="shared" si="22"/>
        <v/>
      </c>
      <c r="J217" s="203" t="str">
        <f>IF($H217="USD",IF(OR($I217="",$I217="-"),"",VLOOKUP($G217,為替!$A:$AX,$I217,FALSE))+$J$3,IF(OR($I217="",$I217="-"),"",VLOOKUP($G217,為替!$A:$AX,$I217,FALSE)))</f>
        <v/>
      </c>
      <c r="K217" s="204" t="str">
        <f t="shared" si="23"/>
        <v/>
      </c>
      <c r="L217" s="188" t="str">
        <f t="shared" si="25"/>
        <v/>
      </c>
      <c r="M217" s="203" t="str">
        <f>IF($H217="USD",IF(OR($L217="",$L217="-"),"",VLOOKUP($G217,為替!$A:$AX,$L217,FALSE))+$K$3,IF(OR($L217="",$L217="-"),"",VLOOKUP($G217,為替!$A:$AX,$L217,FALSE)))</f>
        <v/>
      </c>
      <c r="N217" s="204" t="str">
        <f t="shared" si="24"/>
        <v/>
      </c>
      <c r="O217" s="205" t="str">
        <f t="shared" si="26"/>
        <v/>
      </c>
      <c r="P217" s="206" t="str">
        <f t="shared" si="27"/>
        <v/>
      </c>
    </row>
    <row r="218" spans="3:16" x14ac:dyDescent="0.4">
      <c r="C218" s="199"/>
      <c r="D218" s="200"/>
      <c r="E218" s="201"/>
      <c r="F218" s="199"/>
      <c r="H218" s="202"/>
      <c r="I218" s="185" t="str">
        <f t="shared" si="22"/>
        <v/>
      </c>
      <c r="J218" s="203" t="str">
        <f>IF($H218="USD",IF(OR($I218="",$I218="-"),"",VLOOKUP($G218,為替!$A:$AX,$I218,FALSE))+$J$3,IF(OR($I218="",$I218="-"),"",VLOOKUP($G218,為替!$A:$AX,$I218,FALSE)))</f>
        <v/>
      </c>
      <c r="K218" s="204" t="str">
        <f t="shared" si="23"/>
        <v/>
      </c>
      <c r="L218" s="188" t="str">
        <f t="shared" si="25"/>
        <v/>
      </c>
      <c r="M218" s="203" t="str">
        <f>IF($H218="USD",IF(OR($L218="",$L218="-"),"",VLOOKUP($G218,為替!$A:$AX,$L218,FALSE))+$K$3,IF(OR($L218="",$L218="-"),"",VLOOKUP($G218,為替!$A:$AX,$L218,FALSE)))</f>
        <v/>
      </c>
      <c r="N218" s="204" t="str">
        <f t="shared" si="24"/>
        <v/>
      </c>
      <c r="O218" s="205" t="str">
        <f t="shared" si="26"/>
        <v/>
      </c>
      <c r="P218" s="206" t="str">
        <f t="shared" si="27"/>
        <v/>
      </c>
    </row>
    <row r="219" spans="3:16" x14ac:dyDescent="0.4">
      <c r="C219" s="199"/>
      <c r="D219" s="200"/>
      <c r="E219" s="201"/>
      <c r="F219" s="199"/>
      <c r="H219" s="202"/>
      <c r="I219" s="185" t="str">
        <f t="shared" si="22"/>
        <v/>
      </c>
      <c r="J219" s="203" t="str">
        <f>IF($H219="USD",IF(OR($I219="",$I219="-"),"",VLOOKUP($G219,為替!$A:$AX,$I219,FALSE))+$J$3,IF(OR($I219="",$I219="-"),"",VLOOKUP($G219,為替!$A:$AX,$I219,FALSE)))</f>
        <v/>
      </c>
      <c r="K219" s="204" t="str">
        <f t="shared" si="23"/>
        <v/>
      </c>
      <c r="L219" s="188" t="str">
        <f t="shared" si="25"/>
        <v/>
      </c>
      <c r="M219" s="203" t="str">
        <f>IF($H219="USD",IF(OR($L219="",$L219="-"),"",VLOOKUP($G219,為替!$A:$AX,$L219,FALSE))+$K$3,IF(OR($L219="",$L219="-"),"",VLOOKUP($G219,為替!$A:$AX,$L219,FALSE)))</f>
        <v/>
      </c>
      <c r="N219" s="204" t="str">
        <f t="shared" si="24"/>
        <v/>
      </c>
      <c r="O219" s="205" t="str">
        <f t="shared" si="26"/>
        <v/>
      </c>
      <c r="P219" s="206" t="str">
        <f t="shared" si="27"/>
        <v/>
      </c>
    </row>
    <row r="220" spans="3:16" x14ac:dyDescent="0.4">
      <c r="C220" s="199"/>
      <c r="D220" s="200"/>
      <c r="E220" s="201"/>
      <c r="F220" s="199"/>
      <c r="H220" s="202"/>
      <c r="I220" s="185" t="str">
        <f t="shared" si="22"/>
        <v/>
      </c>
      <c r="J220" s="203" t="str">
        <f>IF($H220="USD",IF(OR($I220="",$I220="-"),"",VLOOKUP($G220,為替!$A:$AX,$I220,FALSE))+$J$3,IF(OR($I220="",$I220="-"),"",VLOOKUP($G220,為替!$A:$AX,$I220,FALSE)))</f>
        <v/>
      </c>
      <c r="K220" s="204" t="str">
        <f t="shared" si="23"/>
        <v/>
      </c>
      <c r="L220" s="188" t="str">
        <f t="shared" si="25"/>
        <v/>
      </c>
      <c r="M220" s="203" t="str">
        <f>IF($H220="USD",IF(OR($L220="",$L220="-"),"",VLOOKUP($G220,為替!$A:$AX,$L220,FALSE))+$K$3,IF(OR($L220="",$L220="-"),"",VLOOKUP($G220,為替!$A:$AX,$L220,FALSE)))</f>
        <v/>
      </c>
      <c r="N220" s="204" t="str">
        <f t="shared" si="24"/>
        <v/>
      </c>
      <c r="O220" s="205" t="str">
        <f t="shared" si="26"/>
        <v/>
      </c>
      <c r="P220" s="206" t="str">
        <f t="shared" si="27"/>
        <v/>
      </c>
    </row>
    <row r="221" spans="3:16" x14ac:dyDescent="0.4">
      <c r="C221" s="199"/>
      <c r="D221" s="200"/>
      <c r="E221" s="201"/>
      <c r="F221" s="199"/>
      <c r="H221" s="202"/>
      <c r="I221" s="185" t="str">
        <f t="shared" si="22"/>
        <v/>
      </c>
      <c r="J221" s="203" t="str">
        <f>IF($H221="USD",IF(OR($I221="",$I221="-"),"",VLOOKUP($G221,為替!$A:$AX,$I221,FALSE))+$J$3,IF(OR($I221="",$I221="-"),"",VLOOKUP($G221,為替!$A:$AX,$I221,FALSE)))</f>
        <v/>
      </c>
      <c r="K221" s="204" t="str">
        <f t="shared" si="23"/>
        <v/>
      </c>
      <c r="L221" s="188" t="str">
        <f t="shared" si="25"/>
        <v/>
      </c>
      <c r="M221" s="203" t="str">
        <f>IF($H221="USD",IF(OR($L221="",$L221="-"),"",VLOOKUP($G221,為替!$A:$AX,$L221,FALSE))+$K$3,IF(OR($L221="",$L221="-"),"",VLOOKUP($G221,為替!$A:$AX,$L221,FALSE)))</f>
        <v/>
      </c>
      <c r="N221" s="204" t="str">
        <f t="shared" si="24"/>
        <v/>
      </c>
      <c r="O221" s="205" t="str">
        <f t="shared" si="26"/>
        <v/>
      </c>
      <c r="P221" s="206" t="str">
        <f t="shared" si="27"/>
        <v/>
      </c>
    </row>
    <row r="222" spans="3:16" x14ac:dyDescent="0.4">
      <c r="C222" s="199"/>
      <c r="D222" s="200"/>
      <c r="E222" s="201"/>
      <c r="F222" s="199"/>
      <c r="H222" s="202"/>
      <c r="I222" s="185" t="str">
        <f t="shared" si="22"/>
        <v/>
      </c>
      <c r="J222" s="203" t="str">
        <f>IF($H222="USD",IF(OR($I222="",$I222="-"),"",VLOOKUP($G222,為替!$A:$AX,$I222,FALSE))+$J$3,IF(OR($I222="",$I222="-"),"",VLOOKUP($G222,為替!$A:$AX,$I222,FALSE)))</f>
        <v/>
      </c>
      <c r="K222" s="204" t="str">
        <f t="shared" si="23"/>
        <v/>
      </c>
      <c r="L222" s="188" t="str">
        <f t="shared" si="25"/>
        <v/>
      </c>
      <c r="M222" s="203" t="str">
        <f>IF($H222="USD",IF(OR($L222="",$L222="-"),"",VLOOKUP($G222,為替!$A:$AX,$L222,FALSE))+$K$3,IF(OR($L222="",$L222="-"),"",VLOOKUP($G222,為替!$A:$AX,$L222,FALSE)))</f>
        <v/>
      </c>
      <c r="N222" s="204" t="str">
        <f t="shared" si="24"/>
        <v/>
      </c>
      <c r="O222" s="205" t="str">
        <f t="shared" si="26"/>
        <v/>
      </c>
      <c r="P222" s="206" t="str">
        <f t="shared" si="27"/>
        <v/>
      </c>
    </row>
    <row r="223" spans="3:16" x14ac:dyDescent="0.4">
      <c r="C223" s="199"/>
      <c r="D223" s="200"/>
      <c r="E223" s="201"/>
      <c r="F223" s="199"/>
      <c r="H223" s="202"/>
      <c r="I223" s="185" t="str">
        <f t="shared" si="22"/>
        <v/>
      </c>
      <c r="J223" s="203" t="str">
        <f>IF($H223="USD",IF(OR($I223="",$I223="-"),"",VLOOKUP($G223,為替!$A:$AX,$I223,FALSE))+$J$3,IF(OR($I223="",$I223="-"),"",VLOOKUP($G223,為替!$A:$AX,$I223,FALSE)))</f>
        <v/>
      </c>
      <c r="K223" s="204" t="str">
        <f t="shared" si="23"/>
        <v/>
      </c>
      <c r="L223" s="188" t="str">
        <f t="shared" si="25"/>
        <v/>
      </c>
      <c r="M223" s="203" t="str">
        <f>IF($H223="USD",IF(OR($L223="",$L223="-"),"",VLOOKUP($G223,為替!$A:$AX,$L223,FALSE))+$K$3,IF(OR($L223="",$L223="-"),"",VLOOKUP($G223,為替!$A:$AX,$L223,FALSE)))</f>
        <v/>
      </c>
      <c r="N223" s="204" t="str">
        <f t="shared" si="24"/>
        <v/>
      </c>
      <c r="O223" s="205" t="str">
        <f t="shared" si="26"/>
        <v/>
      </c>
      <c r="P223" s="206" t="str">
        <f t="shared" si="27"/>
        <v/>
      </c>
    </row>
    <row r="224" spans="3:16" x14ac:dyDescent="0.4">
      <c r="C224" s="199"/>
      <c r="D224" s="200"/>
      <c r="E224" s="201"/>
      <c r="F224" s="199"/>
      <c r="H224" s="202"/>
      <c r="I224" s="185" t="str">
        <f t="shared" si="22"/>
        <v/>
      </c>
      <c r="J224" s="203" t="str">
        <f>IF($H224="USD",IF(OR($I224="",$I224="-"),"",VLOOKUP($G224,為替!$A:$AX,$I224,FALSE))+$J$3,IF(OR($I224="",$I224="-"),"",VLOOKUP($G224,為替!$A:$AX,$I224,FALSE)))</f>
        <v/>
      </c>
      <c r="K224" s="204" t="str">
        <f t="shared" si="23"/>
        <v/>
      </c>
      <c r="L224" s="188" t="str">
        <f t="shared" si="25"/>
        <v/>
      </c>
      <c r="M224" s="203" t="str">
        <f>IF($H224="USD",IF(OR($L224="",$L224="-"),"",VLOOKUP($G224,為替!$A:$AX,$L224,FALSE))+$K$3,IF(OR($L224="",$L224="-"),"",VLOOKUP($G224,為替!$A:$AX,$L224,FALSE)))</f>
        <v/>
      </c>
      <c r="N224" s="204" t="str">
        <f t="shared" si="24"/>
        <v/>
      </c>
      <c r="O224" s="205" t="str">
        <f t="shared" si="26"/>
        <v/>
      </c>
      <c r="P224" s="206" t="str">
        <f t="shared" si="27"/>
        <v/>
      </c>
    </row>
    <row r="225" spans="3:16" x14ac:dyDescent="0.4">
      <c r="C225" s="199"/>
      <c r="D225" s="200"/>
      <c r="E225" s="201"/>
      <c r="F225" s="199"/>
      <c r="H225" s="202"/>
      <c r="I225" s="185" t="str">
        <f t="shared" si="22"/>
        <v/>
      </c>
      <c r="J225" s="203" t="str">
        <f>IF($H225="USD",IF(OR($I225="",$I225="-"),"",VLOOKUP($G225,為替!$A:$AX,$I225,FALSE))+$J$3,IF(OR($I225="",$I225="-"),"",VLOOKUP($G225,為替!$A:$AX,$I225,FALSE)))</f>
        <v/>
      </c>
      <c r="K225" s="204" t="str">
        <f t="shared" si="23"/>
        <v/>
      </c>
      <c r="L225" s="188" t="str">
        <f t="shared" si="25"/>
        <v/>
      </c>
      <c r="M225" s="203" t="str">
        <f>IF($H225="USD",IF(OR($L225="",$L225="-"),"",VLOOKUP($G225,為替!$A:$AX,$L225,FALSE))+$K$3,IF(OR($L225="",$L225="-"),"",VLOOKUP($G225,為替!$A:$AX,$L225,FALSE)))</f>
        <v/>
      </c>
      <c r="N225" s="204" t="str">
        <f t="shared" si="24"/>
        <v/>
      </c>
      <c r="O225" s="205" t="str">
        <f t="shared" si="26"/>
        <v/>
      </c>
      <c r="P225" s="206" t="str">
        <f t="shared" si="27"/>
        <v/>
      </c>
    </row>
    <row r="226" spans="3:16" x14ac:dyDescent="0.4">
      <c r="C226" s="199"/>
      <c r="D226" s="200"/>
      <c r="E226" s="201"/>
      <c r="F226" s="199"/>
      <c r="H226" s="202"/>
      <c r="I226" s="185" t="str">
        <f t="shared" si="22"/>
        <v/>
      </c>
      <c r="J226" s="203" t="str">
        <f>IF($H226="USD",IF(OR($I226="",$I226="-"),"",VLOOKUP($G226,為替!$A:$AX,$I226,FALSE))+$J$3,IF(OR($I226="",$I226="-"),"",VLOOKUP($G226,為替!$A:$AX,$I226,FALSE)))</f>
        <v/>
      </c>
      <c r="K226" s="204" t="str">
        <f t="shared" si="23"/>
        <v/>
      </c>
      <c r="L226" s="188" t="str">
        <f t="shared" si="25"/>
        <v/>
      </c>
      <c r="M226" s="203" t="str">
        <f>IF($H226="USD",IF(OR($L226="",$L226="-"),"",VLOOKUP($G226,為替!$A:$AX,$L226,FALSE))+$K$3,IF(OR($L226="",$L226="-"),"",VLOOKUP($G226,為替!$A:$AX,$L226,FALSE)))</f>
        <v/>
      </c>
      <c r="N226" s="204" t="str">
        <f t="shared" si="24"/>
        <v/>
      </c>
      <c r="O226" s="205" t="str">
        <f t="shared" si="26"/>
        <v/>
      </c>
      <c r="P226" s="206" t="str">
        <f t="shared" si="27"/>
        <v/>
      </c>
    </row>
    <row r="227" spans="3:16" x14ac:dyDescent="0.4">
      <c r="C227" s="199"/>
      <c r="D227" s="200"/>
      <c r="E227" s="201"/>
      <c r="F227" s="199"/>
      <c r="H227" s="202"/>
      <c r="I227" s="185" t="str">
        <f t="shared" si="22"/>
        <v/>
      </c>
      <c r="J227" s="203" t="str">
        <f>IF($H227="USD",IF(OR($I227="",$I227="-"),"",VLOOKUP($G227,為替!$A:$AX,$I227,FALSE))+$J$3,IF(OR($I227="",$I227="-"),"",VLOOKUP($G227,為替!$A:$AX,$I227,FALSE)))</f>
        <v/>
      </c>
      <c r="K227" s="204" t="str">
        <f t="shared" si="23"/>
        <v/>
      </c>
      <c r="L227" s="188" t="str">
        <f t="shared" si="25"/>
        <v/>
      </c>
      <c r="M227" s="203" t="str">
        <f>IF($H227="USD",IF(OR($L227="",$L227="-"),"",VLOOKUP($G227,為替!$A:$AX,$L227,FALSE))+$K$3,IF(OR($L227="",$L227="-"),"",VLOOKUP($G227,為替!$A:$AX,$L227,FALSE)))</f>
        <v/>
      </c>
      <c r="N227" s="204" t="str">
        <f t="shared" si="24"/>
        <v/>
      </c>
      <c r="O227" s="205" t="str">
        <f t="shared" si="26"/>
        <v/>
      </c>
      <c r="P227" s="206" t="str">
        <f t="shared" si="27"/>
        <v/>
      </c>
    </row>
    <row r="228" spans="3:16" x14ac:dyDescent="0.4">
      <c r="C228" s="199"/>
      <c r="D228" s="200"/>
      <c r="E228" s="201"/>
      <c r="F228" s="199"/>
      <c r="H228" s="202"/>
      <c r="I228" s="185" t="str">
        <f t="shared" si="22"/>
        <v/>
      </c>
      <c r="J228" s="203" t="str">
        <f>IF($H228="USD",IF(OR($I228="",$I228="-"),"",VLOOKUP($G228,為替!$A:$AX,$I228,FALSE))+$J$3,IF(OR($I228="",$I228="-"),"",VLOOKUP($G228,為替!$A:$AX,$I228,FALSE)))</f>
        <v/>
      </c>
      <c r="K228" s="204" t="str">
        <f t="shared" si="23"/>
        <v/>
      </c>
      <c r="L228" s="188" t="str">
        <f t="shared" si="25"/>
        <v/>
      </c>
      <c r="M228" s="203" t="str">
        <f>IF($H228="USD",IF(OR($L228="",$L228="-"),"",VLOOKUP($G228,為替!$A:$AX,$L228,FALSE))+$K$3,IF(OR($L228="",$L228="-"),"",VLOOKUP($G228,為替!$A:$AX,$L228,FALSE)))</f>
        <v/>
      </c>
      <c r="N228" s="204" t="str">
        <f t="shared" si="24"/>
        <v/>
      </c>
      <c r="O228" s="205" t="str">
        <f t="shared" si="26"/>
        <v/>
      </c>
      <c r="P228" s="206" t="str">
        <f t="shared" si="27"/>
        <v/>
      </c>
    </row>
    <row r="229" spans="3:16" x14ac:dyDescent="0.4">
      <c r="C229" s="199"/>
      <c r="D229" s="200"/>
      <c r="E229" s="201"/>
      <c r="F229" s="199"/>
      <c r="H229" s="202"/>
      <c r="I229" s="185" t="str">
        <f t="shared" si="22"/>
        <v/>
      </c>
      <c r="J229" s="203" t="str">
        <f>IF($H229="USD",IF(OR($I229="",$I229="-"),"",VLOOKUP($G229,為替!$A:$AX,$I229,FALSE))+$J$3,IF(OR($I229="",$I229="-"),"",VLOOKUP($G229,為替!$A:$AX,$I229,FALSE)))</f>
        <v/>
      </c>
      <c r="K229" s="204" t="str">
        <f t="shared" si="23"/>
        <v/>
      </c>
      <c r="L229" s="188" t="str">
        <f t="shared" si="25"/>
        <v/>
      </c>
      <c r="M229" s="203" t="str">
        <f>IF($H229="USD",IF(OR($L229="",$L229="-"),"",VLOOKUP($G229,為替!$A:$AX,$L229,FALSE))+$K$3,IF(OR($L229="",$L229="-"),"",VLOOKUP($G229,為替!$A:$AX,$L229,FALSE)))</f>
        <v/>
      </c>
      <c r="N229" s="204" t="str">
        <f t="shared" si="24"/>
        <v/>
      </c>
      <c r="O229" s="205" t="str">
        <f t="shared" si="26"/>
        <v/>
      </c>
      <c r="P229" s="206" t="str">
        <f t="shared" si="27"/>
        <v/>
      </c>
    </row>
    <row r="230" spans="3:16" x14ac:dyDescent="0.4">
      <c r="C230" s="199"/>
      <c r="D230" s="200"/>
      <c r="E230" s="201"/>
      <c r="F230" s="199"/>
      <c r="H230" s="202"/>
      <c r="I230" s="185" t="str">
        <f t="shared" si="22"/>
        <v/>
      </c>
      <c r="J230" s="203" t="str">
        <f>IF($H230="USD",IF(OR($I230="",$I230="-"),"",VLOOKUP($G230,為替!$A:$AX,$I230,FALSE))+$J$3,IF(OR($I230="",$I230="-"),"",VLOOKUP($G230,為替!$A:$AX,$I230,FALSE)))</f>
        <v/>
      </c>
      <c r="K230" s="204" t="str">
        <f t="shared" si="23"/>
        <v/>
      </c>
      <c r="L230" s="188" t="str">
        <f t="shared" si="25"/>
        <v/>
      </c>
      <c r="M230" s="203" t="str">
        <f>IF($H230="USD",IF(OR($L230="",$L230="-"),"",VLOOKUP($G230,為替!$A:$AX,$L230,FALSE))+$K$3,IF(OR($L230="",$L230="-"),"",VLOOKUP($G230,為替!$A:$AX,$L230,FALSE)))</f>
        <v/>
      </c>
      <c r="N230" s="204" t="str">
        <f t="shared" si="24"/>
        <v/>
      </c>
      <c r="O230" s="205" t="str">
        <f t="shared" si="26"/>
        <v/>
      </c>
      <c r="P230" s="206" t="str">
        <f t="shared" si="27"/>
        <v/>
      </c>
    </row>
    <row r="231" spans="3:16" x14ac:dyDescent="0.4">
      <c r="C231" s="199"/>
      <c r="D231" s="200"/>
      <c r="E231" s="201"/>
      <c r="F231" s="199"/>
      <c r="H231" s="202"/>
      <c r="I231" s="185" t="str">
        <f t="shared" si="22"/>
        <v/>
      </c>
      <c r="J231" s="203" t="str">
        <f>IF($H231="USD",IF(OR($I231="",$I231="-"),"",VLOOKUP($G231,為替!$A:$AX,$I231,FALSE))+$J$3,IF(OR($I231="",$I231="-"),"",VLOOKUP($G231,為替!$A:$AX,$I231,FALSE)))</f>
        <v/>
      </c>
      <c r="K231" s="204" t="str">
        <f t="shared" si="23"/>
        <v/>
      </c>
      <c r="L231" s="188" t="str">
        <f t="shared" si="25"/>
        <v/>
      </c>
      <c r="M231" s="203" t="str">
        <f>IF($H231="USD",IF(OR($L231="",$L231="-"),"",VLOOKUP($G231,為替!$A:$AX,$L231,FALSE))+$K$3,IF(OR($L231="",$L231="-"),"",VLOOKUP($G231,為替!$A:$AX,$L231,FALSE)))</f>
        <v/>
      </c>
      <c r="N231" s="204" t="str">
        <f t="shared" si="24"/>
        <v/>
      </c>
      <c r="O231" s="205" t="str">
        <f t="shared" si="26"/>
        <v/>
      </c>
      <c r="P231" s="206" t="str">
        <f t="shared" si="27"/>
        <v/>
      </c>
    </row>
    <row r="232" spans="3:16" x14ac:dyDescent="0.4">
      <c r="C232" s="199"/>
      <c r="D232" s="200"/>
      <c r="E232" s="201"/>
      <c r="F232" s="199"/>
      <c r="H232" s="202"/>
      <c r="I232" s="185" t="str">
        <f t="shared" si="22"/>
        <v/>
      </c>
      <c r="J232" s="203" t="str">
        <f>IF($H232="USD",IF(OR($I232="",$I232="-"),"",VLOOKUP($G232,為替!$A:$AX,$I232,FALSE))+$J$3,IF(OR($I232="",$I232="-"),"",VLOOKUP($G232,為替!$A:$AX,$I232,FALSE)))</f>
        <v/>
      </c>
      <c r="K232" s="204" t="str">
        <f t="shared" si="23"/>
        <v/>
      </c>
      <c r="L232" s="188" t="str">
        <f t="shared" si="25"/>
        <v/>
      </c>
      <c r="M232" s="203" t="str">
        <f>IF($H232="USD",IF(OR($L232="",$L232="-"),"",VLOOKUP($G232,為替!$A:$AX,$L232,FALSE))+$K$3,IF(OR($L232="",$L232="-"),"",VLOOKUP($G232,為替!$A:$AX,$L232,FALSE)))</f>
        <v/>
      </c>
      <c r="N232" s="204" t="str">
        <f t="shared" si="24"/>
        <v/>
      </c>
      <c r="O232" s="205" t="str">
        <f t="shared" si="26"/>
        <v/>
      </c>
      <c r="P232" s="206" t="str">
        <f t="shared" si="27"/>
        <v/>
      </c>
    </row>
    <row r="233" spans="3:16" x14ac:dyDescent="0.4">
      <c r="C233" s="199"/>
      <c r="D233" s="200"/>
      <c r="E233" s="201"/>
      <c r="F233" s="199"/>
      <c r="H233" s="202"/>
      <c r="I233" s="185" t="str">
        <f t="shared" si="22"/>
        <v/>
      </c>
      <c r="J233" s="203" t="str">
        <f>IF($H233="USD",IF(OR($I233="",$I233="-"),"",VLOOKUP($G233,為替!$A:$AX,$I233,FALSE))+$J$3,IF(OR($I233="",$I233="-"),"",VLOOKUP($G233,為替!$A:$AX,$I233,FALSE)))</f>
        <v/>
      </c>
      <c r="K233" s="204" t="str">
        <f t="shared" si="23"/>
        <v/>
      </c>
      <c r="L233" s="188" t="str">
        <f t="shared" si="25"/>
        <v/>
      </c>
      <c r="M233" s="203" t="str">
        <f>IF($H233="USD",IF(OR($L233="",$L233="-"),"",VLOOKUP($G233,為替!$A:$AX,$L233,FALSE))+$K$3,IF(OR($L233="",$L233="-"),"",VLOOKUP($G233,為替!$A:$AX,$L233,FALSE)))</f>
        <v/>
      </c>
      <c r="N233" s="204" t="str">
        <f t="shared" si="24"/>
        <v/>
      </c>
      <c r="O233" s="205" t="str">
        <f t="shared" si="26"/>
        <v/>
      </c>
      <c r="P233" s="206" t="str">
        <f t="shared" si="27"/>
        <v/>
      </c>
    </row>
    <row r="234" spans="3:16" x14ac:dyDescent="0.4">
      <c r="C234" s="199"/>
      <c r="D234" s="200"/>
      <c r="E234" s="201"/>
      <c r="F234" s="199"/>
      <c r="H234" s="202"/>
      <c r="I234" s="185" t="str">
        <f t="shared" si="22"/>
        <v/>
      </c>
      <c r="J234" s="203" t="str">
        <f>IF($H234="USD",IF(OR($I234="",$I234="-"),"",VLOOKUP($G234,為替!$A:$AX,$I234,FALSE))+$J$3,IF(OR($I234="",$I234="-"),"",VLOOKUP($G234,為替!$A:$AX,$I234,FALSE)))</f>
        <v/>
      </c>
      <c r="K234" s="204" t="str">
        <f t="shared" si="23"/>
        <v/>
      </c>
      <c r="L234" s="188" t="str">
        <f t="shared" si="25"/>
        <v/>
      </c>
      <c r="M234" s="203" t="str">
        <f>IF($H234="USD",IF(OR($L234="",$L234="-"),"",VLOOKUP($G234,為替!$A:$AX,$L234,FALSE))+$K$3,IF(OR($L234="",$L234="-"),"",VLOOKUP($G234,為替!$A:$AX,$L234,FALSE)))</f>
        <v/>
      </c>
      <c r="N234" s="204" t="str">
        <f t="shared" si="24"/>
        <v/>
      </c>
      <c r="O234" s="205" t="str">
        <f t="shared" si="26"/>
        <v/>
      </c>
      <c r="P234" s="206" t="str">
        <f t="shared" si="27"/>
        <v/>
      </c>
    </row>
    <row r="235" spans="3:16" x14ac:dyDescent="0.4">
      <c r="C235" s="199"/>
      <c r="D235" s="200"/>
      <c r="E235" s="201"/>
      <c r="F235" s="199"/>
      <c r="H235" s="202"/>
      <c r="I235" s="185" t="str">
        <f t="shared" si="22"/>
        <v/>
      </c>
      <c r="J235" s="203" t="str">
        <f>IF($H235="USD",IF(OR($I235="",$I235="-"),"",VLOOKUP($G235,為替!$A:$AX,$I235,FALSE))+$J$3,IF(OR($I235="",$I235="-"),"",VLOOKUP($G235,為替!$A:$AX,$I235,FALSE)))</f>
        <v/>
      </c>
      <c r="K235" s="204" t="str">
        <f t="shared" si="23"/>
        <v/>
      </c>
      <c r="L235" s="188" t="str">
        <f t="shared" si="25"/>
        <v/>
      </c>
      <c r="M235" s="203" t="str">
        <f>IF($H235="USD",IF(OR($L235="",$L235="-"),"",VLOOKUP($G235,為替!$A:$AX,$L235,FALSE))+$K$3,IF(OR($L235="",$L235="-"),"",VLOOKUP($G235,為替!$A:$AX,$L235,FALSE)))</f>
        <v/>
      </c>
      <c r="N235" s="204" t="str">
        <f t="shared" si="24"/>
        <v/>
      </c>
      <c r="O235" s="205" t="str">
        <f t="shared" si="26"/>
        <v/>
      </c>
      <c r="P235" s="206" t="str">
        <f t="shared" si="27"/>
        <v/>
      </c>
    </row>
    <row r="236" spans="3:16" x14ac:dyDescent="0.4">
      <c r="C236" s="199"/>
      <c r="D236" s="200"/>
      <c r="E236" s="201"/>
      <c r="F236" s="199"/>
      <c r="H236" s="202"/>
      <c r="I236" s="185" t="str">
        <f t="shared" si="22"/>
        <v/>
      </c>
      <c r="J236" s="203" t="str">
        <f>IF($H236="USD",IF(OR($I236="",$I236="-"),"",VLOOKUP($G236,為替!$A:$AX,$I236,FALSE))+$J$3,IF(OR($I236="",$I236="-"),"",VLOOKUP($G236,為替!$A:$AX,$I236,FALSE)))</f>
        <v/>
      </c>
      <c r="K236" s="204" t="str">
        <f t="shared" si="23"/>
        <v/>
      </c>
      <c r="L236" s="188" t="str">
        <f t="shared" si="25"/>
        <v/>
      </c>
      <c r="M236" s="203" t="str">
        <f>IF($H236="USD",IF(OR($L236="",$L236="-"),"",VLOOKUP($G236,為替!$A:$AX,$L236,FALSE))+$K$3,IF(OR($L236="",$L236="-"),"",VLOOKUP($G236,為替!$A:$AX,$L236,FALSE)))</f>
        <v/>
      </c>
      <c r="N236" s="204" t="str">
        <f t="shared" si="24"/>
        <v/>
      </c>
      <c r="O236" s="205" t="str">
        <f t="shared" si="26"/>
        <v/>
      </c>
      <c r="P236" s="206" t="str">
        <f t="shared" si="27"/>
        <v/>
      </c>
    </row>
    <row r="237" spans="3:16" x14ac:dyDescent="0.4">
      <c r="C237" s="199"/>
      <c r="D237" s="200"/>
      <c r="E237" s="201"/>
      <c r="F237" s="199"/>
      <c r="H237" s="202"/>
      <c r="I237" s="185" t="str">
        <f t="shared" si="22"/>
        <v/>
      </c>
      <c r="J237" s="203" t="str">
        <f>IF($H237="USD",IF(OR($I237="",$I237="-"),"",VLOOKUP($G237,為替!$A:$AX,$I237,FALSE))+$J$3,IF(OR($I237="",$I237="-"),"",VLOOKUP($G237,為替!$A:$AX,$I237,FALSE)))</f>
        <v/>
      </c>
      <c r="K237" s="204" t="str">
        <f t="shared" si="23"/>
        <v/>
      </c>
      <c r="L237" s="188" t="str">
        <f t="shared" si="25"/>
        <v/>
      </c>
      <c r="M237" s="203" t="str">
        <f>IF($H237="USD",IF(OR($L237="",$L237="-"),"",VLOOKUP($G237,為替!$A:$AX,$L237,FALSE))+$K$3,IF(OR($L237="",$L237="-"),"",VLOOKUP($G237,為替!$A:$AX,$L237,FALSE)))</f>
        <v/>
      </c>
      <c r="N237" s="204" t="str">
        <f t="shared" si="24"/>
        <v/>
      </c>
      <c r="O237" s="205" t="str">
        <f t="shared" si="26"/>
        <v/>
      </c>
      <c r="P237" s="206" t="str">
        <f t="shared" si="27"/>
        <v/>
      </c>
    </row>
    <row r="238" spans="3:16" x14ac:dyDescent="0.4">
      <c r="C238" s="199"/>
      <c r="D238" s="200"/>
      <c r="E238" s="201"/>
      <c r="F238" s="199"/>
      <c r="H238" s="202"/>
      <c r="I238" s="185" t="str">
        <f t="shared" si="22"/>
        <v/>
      </c>
      <c r="J238" s="203" t="str">
        <f>IF($H238="USD",IF(OR($I238="",$I238="-"),"",VLOOKUP($G238,為替!$A:$AX,$I238,FALSE))+$J$3,IF(OR($I238="",$I238="-"),"",VLOOKUP($G238,為替!$A:$AX,$I238,FALSE)))</f>
        <v/>
      </c>
      <c r="K238" s="204" t="str">
        <f t="shared" si="23"/>
        <v/>
      </c>
      <c r="L238" s="188" t="str">
        <f t="shared" si="25"/>
        <v/>
      </c>
      <c r="M238" s="203" t="str">
        <f>IF($H238="USD",IF(OR($L238="",$L238="-"),"",VLOOKUP($G238,為替!$A:$AX,$L238,FALSE))+$K$3,IF(OR($L238="",$L238="-"),"",VLOOKUP($G238,為替!$A:$AX,$L238,FALSE)))</f>
        <v/>
      </c>
      <c r="N238" s="204" t="str">
        <f t="shared" si="24"/>
        <v/>
      </c>
      <c r="O238" s="205" t="str">
        <f t="shared" si="26"/>
        <v/>
      </c>
      <c r="P238" s="206" t="str">
        <f t="shared" si="27"/>
        <v/>
      </c>
    </row>
    <row r="239" spans="3:16" x14ac:dyDescent="0.4">
      <c r="C239" s="199"/>
      <c r="D239" s="200"/>
      <c r="E239" s="201"/>
      <c r="F239" s="199"/>
      <c r="H239" s="202"/>
      <c r="I239" s="185" t="str">
        <f t="shared" si="22"/>
        <v/>
      </c>
      <c r="J239" s="203" t="str">
        <f>IF($H239="USD",IF(OR($I239="",$I239="-"),"",VLOOKUP($G239,為替!$A:$AX,$I239,FALSE))+$J$3,IF(OR($I239="",$I239="-"),"",VLOOKUP($G239,為替!$A:$AX,$I239,FALSE)))</f>
        <v/>
      </c>
      <c r="K239" s="204" t="str">
        <f t="shared" si="23"/>
        <v/>
      </c>
      <c r="L239" s="188" t="str">
        <f t="shared" si="25"/>
        <v/>
      </c>
      <c r="M239" s="203" t="str">
        <f>IF($H239="USD",IF(OR($L239="",$L239="-"),"",VLOOKUP($G239,為替!$A:$AX,$L239,FALSE))+$K$3,IF(OR($L239="",$L239="-"),"",VLOOKUP($G239,為替!$A:$AX,$L239,FALSE)))</f>
        <v/>
      </c>
      <c r="N239" s="204" t="str">
        <f t="shared" si="24"/>
        <v/>
      </c>
      <c r="O239" s="205" t="str">
        <f t="shared" si="26"/>
        <v/>
      </c>
      <c r="P239" s="206" t="str">
        <f t="shared" si="27"/>
        <v/>
      </c>
    </row>
    <row r="240" spans="3:16" x14ac:dyDescent="0.4">
      <c r="C240" s="199"/>
      <c r="D240" s="200"/>
      <c r="E240" s="201"/>
      <c r="F240" s="199"/>
      <c r="H240" s="202"/>
      <c r="I240" s="185" t="str">
        <f t="shared" si="22"/>
        <v/>
      </c>
      <c r="J240" s="203" t="str">
        <f>IF($H240="USD",IF(OR($I240="",$I240="-"),"",VLOOKUP($G240,為替!$A:$AX,$I240,FALSE))+$J$3,IF(OR($I240="",$I240="-"),"",VLOOKUP($G240,為替!$A:$AX,$I240,FALSE)))</f>
        <v/>
      </c>
      <c r="K240" s="204" t="str">
        <f t="shared" si="23"/>
        <v/>
      </c>
      <c r="L240" s="188" t="str">
        <f t="shared" si="25"/>
        <v/>
      </c>
      <c r="M240" s="203" t="str">
        <f>IF($H240="USD",IF(OR($L240="",$L240="-"),"",VLOOKUP($G240,為替!$A:$AX,$L240,FALSE))+$K$3,IF(OR($L240="",$L240="-"),"",VLOOKUP($G240,為替!$A:$AX,$L240,FALSE)))</f>
        <v/>
      </c>
      <c r="N240" s="204" t="str">
        <f t="shared" si="24"/>
        <v/>
      </c>
      <c r="O240" s="205" t="str">
        <f t="shared" si="26"/>
        <v/>
      </c>
      <c r="P240" s="206" t="str">
        <f t="shared" si="27"/>
        <v/>
      </c>
    </row>
    <row r="241" spans="3:16" x14ac:dyDescent="0.4">
      <c r="C241" s="199"/>
      <c r="D241" s="200"/>
      <c r="E241" s="201"/>
      <c r="F241" s="199"/>
      <c r="H241" s="202"/>
      <c r="I241" s="185" t="str">
        <f t="shared" si="22"/>
        <v/>
      </c>
      <c r="J241" s="203" t="str">
        <f>IF($H241="USD",IF(OR($I241="",$I241="-"),"",VLOOKUP($G241,為替!$A:$AX,$I241,FALSE))+$J$3,IF(OR($I241="",$I241="-"),"",VLOOKUP($G241,為替!$A:$AX,$I241,FALSE)))</f>
        <v/>
      </c>
      <c r="K241" s="204" t="str">
        <f t="shared" si="23"/>
        <v/>
      </c>
      <c r="L241" s="188" t="str">
        <f t="shared" si="25"/>
        <v/>
      </c>
      <c r="M241" s="203" t="str">
        <f>IF($H241="USD",IF(OR($L241="",$L241="-"),"",VLOOKUP($G241,為替!$A:$AX,$L241,FALSE))+$K$3,IF(OR($L241="",$L241="-"),"",VLOOKUP($G241,為替!$A:$AX,$L241,FALSE)))</f>
        <v/>
      </c>
      <c r="N241" s="204" t="str">
        <f t="shared" si="24"/>
        <v/>
      </c>
      <c r="O241" s="205" t="str">
        <f t="shared" si="26"/>
        <v/>
      </c>
      <c r="P241" s="206" t="str">
        <f t="shared" si="27"/>
        <v/>
      </c>
    </row>
    <row r="242" spans="3:16" x14ac:dyDescent="0.4">
      <c r="C242" s="199"/>
      <c r="D242" s="200"/>
      <c r="E242" s="201"/>
      <c r="F242" s="199"/>
      <c r="H242" s="202"/>
      <c r="I242" s="185" t="str">
        <f t="shared" si="22"/>
        <v/>
      </c>
      <c r="J242" s="203" t="str">
        <f>IF($H242="USD",IF(OR($I242="",$I242="-"),"",VLOOKUP($G242,為替!$A:$AX,$I242,FALSE))+$J$3,IF(OR($I242="",$I242="-"),"",VLOOKUP($G242,為替!$A:$AX,$I242,FALSE)))</f>
        <v/>
      </c>
      <c r="K242" s="204" t="str">
        <f t="shared" si="23"/>
        <v/>
      </c>
      <c r="L242" s="188" t="str">
        <f t="shared" si="25"/>
        <v/>
      </c>
      <c r="M242" s="203" t="str">
        <f>IF($H242="USD",IF(OR($L242="",$L242="-"),"",VLOOKUP($G242,為替!$A:$AX,$L242,FALSE))+$K$3,IF(OR($L242="",$L242="-"),"",VLOOKUP($G242,為替!$A:$AX,$L242,FALSE)))</f>
        <v/>
      </c>
      <c r="N242" s="204" t="str">
        <f t="shared" si="24"/>
        <v/>
      </c>
      <c r="O242" s="205" t="str">
        <f t="shared" si="26"/>
        <v/>
      </c>
      <c r="P242" s="206" t="str">
        <f t="shared" si="27"/>
        <v/>
      </c>
    </row>
    <row r="243" spans="3:16" x14ac:dyDescent="0.4">
      <c r="C243" s="199"/>
      <c r="D243" s="200"/>
      <c r="E243" s="201"/>
      <c r="F243" s="199"/>
      <c r="H243" s="202"/>
      <c r="I243" s="185" t="str">
        <f t="shared" si="22"/>
        <v/>
      </c>
      <c r="J243" s="203" t="str">
        <f>IF($H243="USD",IF(OR($I243="",$I243="-"),"",VLOOKUP($G243,為替!$A:$AX,$I243,FALSE))+$J$3,IF(OR($I243="",$I243="-"),"",VLOOKUP($G243,為替!$A:$AX,$I243,FALSE)))</f>
        <v/>
      </c>
      <c r="K243" s="204" t="str">
        <f t="shared" si="23"/>
        <v/>
      </c>
      <c r="L243" s="188" t="str">
        <f t="shared" si="25"/>
        <v/>
      </c>
      <c r="M243" s="203" t="str">
        <f>IF($H243="USD",IF(OR($L243="",$L243="-"),"",VLOOKUP($G243,為替!$A:$AX,$L243,FALSE))+$K$3,IF(OR($L243="",$L243="-"),"",VLOOKUP($G243,為替!$A:$AX,$L243,FALSE)))</f>
        <v/>
      </c>
      <c r="N243" s="204" t="str">
        <f t="shared" si="24"/>
        <v/>
      </c>
      <c r="O243" s="205" t="str">
        <f t="shared" si="26"/>
        <v/>
      </c>
      <c r="P243" s="206" t="str">
        <f t="shared" si="27"/>
        <v/>
      </c>
    </row>
    <row r="244" spans="3:16" x14ac:dyDescent="0.4">
      <c r="C244" s="199"/>
      <c r="D244" s="200"/>
      <c r="E244" s="201"/>
      <c r="F244" s="199"/>
      <c r="H244" s="202"/>
      <c r="I244" s="185" t="str">
        <f t="shared" si="22"/>
        <v/>
      </c>
      <c r="J244" s="203" t="str">
        <f>IF($H244="USD",IF(OR($I244="",$I244="-"),"",VLOOKUP($G244,為替!$A:$AX,$I244,FALSE))+$J$3,IF(OR($I244="",$I244="-"),"",VLOOKUP($G244,為替!$A:$AX,$I244,FALSE)))</f>
        <v/>
      </c>
      <c r="K244" s="204" t="str">
        <f t="shared" si="23"/>
        <v/>
      </c>
      <c r="L244" s="188" t="str">
        <f t="shared" si="25"/>
        <v/>
      </c>
      <c r="M244" s="203" t="str">
        <f>IF($H244="USD",IF(OR($L244="",$L244="-"),"",VLOOKUP($G244,為替!$A:$AX,$L244,FALSE))+$K$3,IF(OR($L244="",$L244="-"),"",VLOOKUP($G244,為替!$A:$AX,$L244,FALSE)))</f>
        <v/>
      </c>
      <c r="N244" s="204" t="str">
        <f t="shared" si="24"/>
        <v/>
      </c>
      <c r="O244" s="205" t="str">
        <f t="shared" si="26"/>
        <v/>
      </c>
      <c r="P244" s="206" t="str">
        <f t="shared" si="27"/>
        <v/>
      </c>
    </row>
    <row r="245" spans="3:16" x14ac:dyDescent="0.4">
      <c r="C245" s="199"/>
      <c r="D245" s="200"/>
      <c r="E245" s="201"/>
      <c r="F245" s="199"/>
      <c r="H245" s="202"/>
      <c r="I245" s="185" t="str">
        <f t="shared" si="22"/>
        <v/>
      </c>
      <c r="J245" s="203" t="str">
        <f>IF($H245="USD",IF(OR($I245="",$I245="-"),"",VLOOKUP($G245,為替!$A:$AX,$I245,FALSE))+$J$3,IF(OR($I245="",$I245="-"),"",VLOOKUP($G245,為替!$A:$AX,$I245,FALSE)))</f>
        <v/>
      </c>
      <c r="K245" s="204" t="str">
        <f t="shared" si="23"/>
        <v/>
      </c>
      <c r="L245" s="188" t="str">
        <f t="shared" si="25"/>
        <v/>
      </c>
      <c r="M245" s="203" t="str">
        <f>IF($H245="USD",IF(OR($L245="",$L245="-"),"",VLOOKUP($G245,為替!$A:$AX,$L245,FALSE))+$K$3,IF(OR($L245="",$L245="-"),"",VLOOKUP($G245,為替!$A:$AX,$L245,FALSE)))</f>
        <v/>
      </c>
      <c r="N245" s="204" t="str">
        <f t="shared" si="24"/>
        <v/>
      </c>
      <c r="O245" s="205" t="str">
        <f t="shared" si="26"/>
        <v/>
      </c>
      <c r="P245" s="206" t="str">
        <f t="shared" si="27"/>
        <v/>
      </c>
    </row>
    <row r="246" spans="3:16" x14ac:dyDescent="0.4">
      <c r="C246" s="199"/>
      <c r="D246" s="200"/>
      <c r="E246" s="201"/>
      <c r="F246" s="199"/>
      <c r="H246" s="202"/>
      <c r="I246" s="185" t="str">
        <f t="shared" si="22"/>
        <v/>
      </c>
      <c r="J246" s="203" t="str">
        <f>IF($H246="USD",IF(OR($I246="",$I246="-"),"",VLOOKUP($G246,為替!$A:$AX,$I246,FALSE))+$J$3,IF(OR($I246="",$I246="-"),"",VLOOKUP($G246,為替!$A:$AX,$I246,FALSE)))</f>
        <v/>
      </c>
      <c r="K246" s="204" t="str">
        <f t="shared" si="23"/>
        <v/>
      </c>
      <c r="L246" s="188" t="str">
        <f t="shared" si="25"/>
        <v/>
      </c>
      <c r="M246" s="203" t="str">
        <f>IF($H246="USD",IF(OR($L246="",$L246="-"),"",VLOOKUP($G246,為替!$A:$AX,$L246,FALSE))+$K$3,IF(OR($L246="",$L246="-"),"",VLOOKUP($G246,為替!$A:$AX,$L246,FALSE)))</f>
        <v/>
      </c>
      <c r="N246" s="204" t="str">
        <f t="shared" si="24"/>
        <v/>
      </c>
      <c r="O246" s="205" t="str">
        <f t="shared" si="26"/>
        <v/>
      </c>
      <c r="P246" s="206" t="str">
        <f t="shared" si="27"/>
        <v/>
      </c>
    </row>
    <row r="247" spans="3:16" x14ac:dyDescent="0.4">
      <c r="C247" s="199"/>
      <c r="D247" s="200"/>
      <c r="E247" s="201"/>
      <c r="F247" s="199"/>
      <c r="H247" s="202"/>
      <c r="I247" s="185" t="str">
        <f t="shared" si="22"/>
        <v/>
      </c>
      <c r="J247" s="203" t="str">
        <f>IF($H247="USD",IF(OR($I247="",$I247="-"),"",VLOOKUP($G247,為替!$A:$AX,$I247,FALSE))+$J$3,IF(OR($I247="",$I247="-"),"",VLOOKUP($G247,為替!$A:$AX,$I247,FALSE)))</f>
        <v/>
      </c>
      <c r="K247" s="204" t="str">
        <f t="shared" si="23"/>
        <v/>
      </c>
      <c r="L247" s="188" t="str">
        <f t="shared" si="25"/>
        <v/>
      </c>
      <c r="M247" s="203" t="str">
        <f>IF($H247="USD",IF(OR($L247="",$L247="-"),"",VLOOKUP($G247,為替!$A:$AX,$L247,FALSE))+$K$3,IF(OR($L247="",$L247="-"),"",VLOOKUP($G247,為替!$A:$AX,$L247,FALSE)))</f>
        <v/>
      </c>
      <c r="N247" s="204" t="str">
        <f t="shared" si="24"/>
        <v/>
      </c>
      <c r="O247" s="205" t="str">
        <f t="shared" si="26"/>
        <v/>
      </c>
      <c r="P247" s="206" t="str">
        <f t="shared" si="27"/>
        <v/>
      </c>
    </row>
    <row r="248" spans="3:16" x14ac:dyDescent="0.4">
      <c r="C248" s="199"/>
      <c r="D248" s="200"/>
      <c r="E248" s="201"/>
      <c r="F248" s="199"/>
      <c r="H248" s="202"/>
      <c r="I248" s="185" t="str">
        <f t="shared" si="22"/>
        <v/>
      </c>
      <c r="J248" s="203" t="str">
        <f>IF($H248="USD",IF(OR($I248="",$I248="-"),"",VLOOKUP($G248,為替!$A:$AX,$I248,FALSE))+$J$3,IF(OR($I248="",$I248="-"),"",VLOOKUP($G248,為替!$A:$AX,$I248,FALSE)))</f>
        <v/>
      </c>
      <c r="K248" s="204" t="str">
        <f t="shared" si="23"/>
        <v/>
      </c>
      <c r="L248" s="188" t="str">
        <f t="shared" si="25"/>
        <v/>
      </c>
      <c r="M248" s="203" t="str">
        <f>IF($H248="USD",IF(OR($L248="",$L248="-"),"",VLOOKUP($G248,為替!$A:$AX,$L248,FALSE))+$K$3,IF(OR($L248="",$L248="-"),"",VLOOKUP($G248,為替!$A:$AX,$L248,FALSE)))</f>
        <v/>
      </c>
      <c r="N248" s="204" t="str">
        <f t="shared" si="24"/>
        <v/>
      </c>
      <c r="O248" s="205" t="str">
        <f t="shared" si="26"/>
        <v/>
      </c>
      <c r="P248" s="206" t="str">
        <f t="shared" si="27"/>
        <v/>
      </c>
    </row>
    <row r="249" spans="3:16" x14ac:dyDescent="0.4">
      <c r="C249" s="199"/>
      <c r="D249" s="200"/>
      <c r="E249" s="201"/>
      <c r="F249" s="199"/>
      <c r="H249" s="202"/>
      <c r="I249" s="185" t="str">
        <f t="shared" si="22"/>
        <v/>
      </c>
      <c r="J249" s="203" t="str">
        <f>IF($H249="USD",IF(OR($I249="",$I249="-"),"",VLOOKUP($G249,為替!$A:$AX,$I249,FALSE))+$J$3,IF(OR($I249="",$I249="-"),"",VLOOKUP($G249,為替!$A:$AX,$I249,FALSE)))</f>
        <v/>
      </c>
      <c r="K249" s="204" t="str">
        <f t="shared" si="23"/>
        <v/>
      </c>
      <c r="L249" s="188" t="str">
        <f t="shared" si="25"/>
        <v/>
      </c>
      <c r="M249" s="203" t="str">
        <f>IF($H249="USD",IF(OR($L249="",$L249="-"),"",VLOOKUP($G249,為替!$A:$AX,$L249,FALSE))+$K$3,IF(OR($L249="",$L249="-"),"",VLOOKUP($G249,為替!$A:$AX,$L249,FALSE)))</f>
        <v/>
      </c>
      <c r="N249" s="204" t="str">
        <f t="shared" si="24"/>
        <v/>
      </c>
      <c r="O249" s="205" t="str">
        <f t="shared" si="26"/>
        <v/>
      </c>
      <c r="P249" s="206" t="str">
        <f t="shared" si="27"/>
        <v/>
      </c>
    </row>
    <row r="250" spans="3:16" x14ac:dyDescent="0.4">
      <c r="C250" s="199"/>
      <c r="D250" s="200"/>
      <c r="E250" s="201"/>
      <c r="F250" s="199"/>
      <c r="H250" s="202"/>
      <c r="I250" s="185" t="str">
        <f t="shared" si="22"/>
        <v/>
      </c>
      <c r="J250" s="203" t="str">
        <f>IF($H250="USD",IF(OR($I250="",$I250="-"),"",VLOOKUP($G250,為替!$A:$AX,$I250,FALSE))+$J$3,IF(OR($I250="",$I250="-"),"",VLOOKUP($G250,為替!$A:$AX,$I250,FALSE)))</f>
        <v/>
      </c>
      <c r="K250" s="204" t="str">
        <f t="shared" si="23"/>
        <v/>
      </c>
      <c r="L250" s="188" t="str">
        <f t="shared" si="25"/>
        <v/>
      </c>
      <c r="M250" s="203" t="str">
        <f>IF($H250="USD",IF(OR($L250="",$L250="-"),"",VLOOKUP($G250,為替!$A:$AX,$L250,FALSE))+$K$3,IF(OR($L250="",$L250="-"),"",VLOOKUP($G250,為替!$A:$AX,$L250,FALSE)))</f>
        <v/>
      </c>
      <c r="N250" s="204" t="str">
        <f t="shared" si="24"/>
        <v/>
      </c>
      <c r="O250" s="205" t="str">
        <f t="shared" si="26"/>
        <v/>
      </c>
      <c r="P250" s="206" t="str">
        <f t="shared" si="27"/>
        <v/>
      </c>
    </row>
    <row r="251" spans="3:16" x14ac:dyDescent="0.4">
      <c r="C251" s="199"/>
      <c r="D251" s="200"/>
      <c r="E251" s="201"/>
      <c r="F251" s="199"/>
      <c r="H251" s="202"/>
      <c r="I251" s="185" t="str">
        <f t="shared" si="22"/>
        <v/>
      </c>
      <c r="J251" s="203" t="str">
        <f>IF($H251="USD",IF(OR($I251="",$I251="-"),"",VLOOKUP($G251,為替!$A:$AX,$I251,FALSE))+$J$3,IF(OR($I251="",$I251="-"),"",VLOOKUP($G251,為替!$A:$AX,$I251,FALSE)))</f>
        <v/>
      </c>
      <c r="K251" s="204" t="str">
        <f t="shared" si="23"/>
        <v/>
      </c>
      <c r="L251" s="188" t="str">
        <f t="shared" si="25"/>
        <v/>
      </c>
      <c r="M251" s="203" t="str">
        <f>IF($H251="USD",IF(OR($L251="",$L251="-"),"",VLOOKUP($G251,為替!$A:$AX,$L251,FALSE))+$K$3,IF(OR($L251="",$L251="-"),"",VLOOKUP($G251,為替!$A:$AX,$L251,FALSE)))</f>
        <v/>
      </c>
      <c r="N251" s="204" t="str">
        <f t="shared" si="24"/>
        <v/>
      </c>
      <c r="O251" s="205" t="str">
        <f t="shared" si="26"/>
        <v/>
      </c>
      <c r="P251" s="206" t="str">
        <f t="shared" si="27"/>
        <v/>
      </c>
    </row>
    <row r="252" spans="3:16" x14ac:dyDescent="0.4">
      <c r="C252" s="199"/>
      <c r="D252" s="200"/>
      <c r="E252" s="201"/>
      <c r="F252" s="199"/>
      <c r="H252" s="202"/>
      <c r="I252" s="185" t="str">
        <f t="shared" si="22"/>
        <v/>
      </c>
      <c r="J252" s="203" t="str">
        <f>IF($H252="USD",IF(OR($I252="",$I252="-"),"",VLOOKUP($G252,為替!$A:$AX,$I252,FALSE))+$J$3,IF(OR($I252="",$I252="-"),"",VLOOKUP($G252,為替!$A:$AX,$I252,FALSE)))</f>
        <v/>
      </c>
      <c r="K252" s="204" t="str">
        <f t="shared" si="23"/>
        <v/>
      </c>
      <c r="L252" s="188" t="str">
        <f t="shared" si="25"/>
        <v/>
      </c>
      <c r="M252" s="203" t="str">
        <f>IF($H252="USD",IF(OR($L252="",$L252="-"),"",VLOOKUP($G252,為替!$A:$AX,$L252,FALSE))+$K$3,IF(OR($L252="",$L252="-"),"",VLOOKUP($G252,為替!$A:$AX,$L252,FALSE)))</f>
        <v/>
      </c>
      <c r="N252" s="204" t="str">
        <f t="shared" si="24"/>
        <v/>
      </c>
      <c r="O252" s="205" t="str">
        <f t="shared" si="26"/>
        <v/>
      </c>
      <c r="P252" s="206" t="str">
        <f t="shared" si="27"/>
        <v/>
      </c>
    </row>
    <row r="253" spans="3:16" x14ac:dyDescent="0.4">
      <c r="C253" s="199"/>
      <c r="D253" s="200"/>
      <c r="E253" s="201"/>
      <c r="F253" s="199"/>
      <c r="H253" s="202"/>
      <c r="I253" s="185" t="str">
        <f t="shared" si="22"/>
        <v/>
      </c>
      <c r="J253" s="203" t="str">
        <f>IF($H253="USD",IF(OR($I253="",$I253="-"),"",VLOOKUP($G253,為替!$A:$AX,$I253,FALSE))+$J$3,IF(OR($I253="",$I253="-"),"",VLOOKUP($G253,為替!$A:$AX,$I253,FALSE)))</f>
        <v/>
      </c>
      <c r="K253" s="204" t="str">
        <f t="shared" si="23"/>
        <v/>
      </c>
      <c r="L253" s="188" t="str">
        <f t="shared" si="25"/>
        <v/>
      </c>
      <c r="M253" s="203" t="str">
        <f>IF($H253="USD",IF(OR($L253="",$L253="-"),"",VLOOKUP($G253,為替!$A:$AX,$L253,FALSE))+$K$3,IF(OR($L253="",$L253="-"),"",VLOOKUP($G253,為替!$A:$AX,$L253,FALSE)))</f>
        <v/>
      </c>
      <c r="N253" s="204" t="str">
        <f t="shared" si="24"/>
        <v/>
      </c>
      <c r="O253" s="205" t="str">
        <f t="shared" si="26"/>
        <v/>
      </c>
      <c r="P253" s="206" t="str">
        <f t="shared" si="27"/>
        <v/>
      </c>
    </row>
    <row r="254" spans="3:16" x14ac:dyDescent="0.4">
      <c r="C254" s="199"/>
      <c r="D254" s="200"/>
      <c r="E254" s="201"/>
      <c r="F254" s="199"/>
      <c r="H254" s="202"/>
      <c r="I254" s="185" t="str">
        <f t="shared" si="22"/>
        <v/>
      </c>
      <c r="J254" s="203" t="str">
        <f>IF($H254="USD",IF(OR($I254="",$I254="-"),"",VLOOKUP($G254,為替!$A:$AX,$I254,FALSE))+$J$3,IF(OR($I254="",$I254="-"),"",VLOOKUP($G254,為替!$A:$AX,$I254,FALSE)))</f>
        <v/>
      </c>
      <c r="K254" s="204" t="str">
        <f t="shared" si="23"/>
        <v/>
      </c>
      <c r="L254" s="188" t="str">
        <f t="shared" si="25"/>
        <v/>
      </c>
      <c r="M254" s="203" t="str">
        <f>IF($H254="USD",IF(OR($L254="",$L254="-"),"",VLOOKUP($G254,為替!$A:$AX,$L254,FALSE))+$K$3,IF(OR($L254="",$L254="-"),"",VLOOKUP($G254,為替!$A:$AX,$L254,FALSE)))</f>
        <v/>
      </c>
      <c r="N254" s="204" t="str">
        <f t="shared" si="24"/>
        <v/>
      </c>
      <c r="O254" s="205" t="str">
        <f t="shared" si="26"/>
        <v/>
      </c>
      <c r="P254" s="206" t="str">
        <f t="shared" si="27"/>
        <v/>
      </c>
    </row>
    <row r="255" spans="3:16" x14ac:dyDescent="0.4">
      <c r="C255" s="199"/>
      <c r="D255" s="200"/>
      <c r="E255" s="201"/>
      <c r="F255" s="199"/>
      <c r="H255" s="202"/>
      <c r="I255" s="185" t="str">
        <f t="shared" si="22"/>
        <v/>
      </c>
      <c r="J255" s="203" t="str">
        <f>IF($H255="USD",IF(OR($I255="",$I255="-"),"",VLOOKUP($G255,為替!$A:$AX,$I255,FALSE))+$J$3,IF(OR($I255="",$I255="-"),"",VLOOKUP($G255,為替!$A:$AX,$I255,FALSE)))</f>
        <v/>
      </c>
      <c r="K255" s="204" t="str">
        <f t="shared" si="23"/>
        <v/>
      </c>
      <c r="L255" s="188" t="str">
        <f t="shared" si="25"/>
        <v/>
      </c>
      <c r="M255" s="203" t="str">
        <f>IF($H255="USD",IF(OR($L255="",$L255="-"),"",VLOOKUP($G255,為替!$A:$AX,$L255,FALSE))+$K$3,IF(OR($L255="",$L255="-"),"",VLOOKUP($G255,為替!$A:$AX,$L255,FALSE)))</f>
        <v/>
      </c>
      <c r="N255" s="204" t="str">
        <f t="shared" si="24"/>
        <v/>
      </c>
      <c r="O255" s="205" t="str">
        <f t="shared" si="26"/>
        <v/>
      </c>
      <c r="P255" s="206" t="str">
        <f t="shared" si="27"/>
        <v/>
      </c>
    </row>
    <row r="256" spans="3:16" x14ac:dyDescent="0.4">
      <c r="C256" s="199"/>
      <c r="D256" s="200"/>
      <c r="E256" s="201"/>
      <c r="F256" s="199"/>
      <c r="H256" s="202"/>
      <c r="I256" s="185" t="str">
        <f t="shared" si="22"/>
        <v/>
      </c>
      <c r="J256" s="203" t="str">
        <f>IF($H256="USD",IF(OR($I256="",$I256="-"),"",VLOOKUP($G256,為替!$A:$AX,$I256,FALSE))+$J$3,IF(OR($I256="",$I256="-"),"",VLOOKUP($G256,為替!$A:$AX,$I256,FALSE)))</f>
        <v/>
      </c>
      <c r="K256" s="204" t="str">
        <f t="shared" si="23"/>
        <v/>
      </c>
      <c r="L256" s="188" t="str">
        <f t="shared" si="25"/>
        <v/>
      </c>
      <c r="M256" s="203" t="str">
        <f>IF($H256="USD",IF(OR($L256="",$L256="-"),"",VLOOKUP($G256,為替!$A:$AX,$L256,FALSE))+$K$3,IF(OR($L256="",$L256="-"),"",VLOOKUP($G256,為替!$A:$AX,$L256,FALSE)))</f>
        <v/>
      </c>
      <c r="N256" s="204" t="str">
        <f t="shared" si="24"/>
        <v/>
      </c>
      <c r="O256" s="205" t="str">
        <f t="shared" si="26"/>
        <v/>
      </c>
      <c r="P256" s="206" t="str">
        <f t="shared" si="27"/>
        <v/>
      </c>
    </row>
    <row r="257" spans="3:16" x14ac:dyDescent="0.4">
      <c r="C257" s="199"/>
      <c r="D257" s="200"/>
      <c r="E257" s="201"/>
      <c r="F257" s="199"/>
      <c r="H257" s="202"/>
      <c r="I257" s="185" t="str">
        <f t="shared" si="22"/>
        <v/>
      </c>
      <c r="J257" s="203" t="str">
        <f>IF($H257="USD",IF(OR($I257="",$I257="-"),"",VLOOKUP($G257,為替!$A:$AX,$I257,FALSE))+$J$3,IF(OR($I257="",$I257="-"),"",VLOOKUP($G257,為替!$A:$AX,$I257,FALSE)))</f>
        <v/>
      </c>
      <c r="K257" s="204" t="str">
        <f t="shared" si="23"/>
        <v/>
      </c>
      <c r="L257" s="188" t="str">
        <f t="shared" si="25"/>
        <v/>
      </c>
      <c r="M257" s="203" t="str">
        <f>IF($H257="USD",IF(OR($L257="",$L257="-"),"",VLOOKUP($G257,為替!$A:$AX,$L257,FALSE))+$K$3,IF(OR($L257="",$L257="-"),"",VLOOKUP($G257,為替!$A:$AX,$L257,FALSE)))</f>
        <v/>
      </c>
      <c r="N257" s="204" t="str">
        <f t="shared" si="24"/>
        <v/>
      </c>
      <c r="O257" s="205" t="str">
        <f t="shared" si="26"/>
        <v/>
      </c>
      <c r="P257" s="206" t="str">
        <f t="shared" si="27"/>
        <v/>
      </c>
    </row>
    <row r="258" spans="3:16" x14ac:dyDescent="0.4">
      <c r="C258" s="199"/>
      <c r="D258" s="200"/>
      <c r="E258" s="201"/>
      <c r="F258" s="199"/>
      <c r="H258" s="202"/>
      <c r="I258" s="185" t="str">
        <f t="shared" si="22"/>
        <v/>
      </c>
      <c r="J258" s="203" t="str">
        <f>IF($H258="USD",IF(OR($I258="",$I258="-"),"",VLOOKUP($G258,為替!$A:$AX,$I258,FALSE))+$J$3,IF(OR($I258="",$I258="-"),"",VLOOKUP($G258,為替!$A:$AX,$I258,FALSE)))</f>
        <v/>
      </c>
      <c r="K258" s="204" t="str">
        <f t="shared" si="23"/>
        <v/>
      </c>
      <c r="L258" s="188" t="str">
        <f t="shared" si="25"/>
        <v/>
      </c>
      <c r="M258" s="203" t="str">
        <f>IF($H258="USD",IF(OR($L258="",$L258="-"),"",VLOOKUP($G258,為替!$A:$AX,$L258,FALSE))+$K$3,IF(OR($L258="",$L258="-"),"",VLOOKUP($G258,為替!$A:$AX,$L258,FALSE)))</f>
        <v/>
      </c>
      <c r="N258" s="204" t="str">
        <f t="shared" si="24"/>
        <v/>
      </c>
      <c r="O258" s="205" t="str">
        <f t="shared" si="26"/>
        <v/>
      </c>
      <c r="P258" s="206" t="str">
        <f t="shared" si="27"/>
        <v/>
      </c>
    </row>
    <row r="259" spans="3:16" x14ac:dyDescent="0.4">
      <c r="C259" s="199"/>
      <c r="D259" s="200"/>
      <c r="E259" s="201"/>
      <c r="F259" s="199"/>
      <c r="H259" s="202"/>
      <c r="I259" s="185" t="str">
        <f t="shared" si="22"/>
        <v/>
      </c>
      <c r="J259" s="203" t="str">
        <f>IF($H259="USD",IF(OR($I259="",$I259="-"),"",VLOOKUP($G259,為替!$A:$AX,$I259,FALSE))+$J$3,IF(OR($I259="",$I259="-"),"",VLOOKUP($G259,為替!$A:$AX,$I259,FALSE)))</f>
        <v/>
      </c>
      <c r="K259" s="204" t="str">
        <f t="shared" si="23"/>
        <v/>
      </c>
      <c r="L259" s="188" t="str">
        <f t="shared" si="25"/>
        <v/>
      </c>
      <c r="M259" s="203" t="str">
        <f>IF($H259="USD",IF(OR($L259="",$L259="-"),"",VLOOKUP($G259,為替!$A:$AX,$L259,FALSE))+$K$3,IF(OR($L259="",$L259="-"),"",VLOOKUP($G259,為替!$A:$AX,$L259,FALSE)))</f>
        <v/>
      </c>
      <c r="N259" s="204" t="str">
        <f t="shared" si="24"/>
        <v/>
      </c>
      <c r="O259" s="205" t="str">
        <f t="shared" si="26"/>
        <v/>
      </c>
      <c r="P259" s="206" t="str">
        <f t="shared" si="27"/>
        <v/>
      </c>
    </row>
    <row r="260" spans="3:16" x14ac:dyDescent="0.4">
      <c r="C260" s="199"/>
      <c r="D260" s="200"/>
      <c r="E260" s="201"/>
      <c r="F260" s="199"/>
      <c r="H260" s="202"/>
      <c r="I260" s="185" t="str">
        <f t="shared" si="22"/>
        <v/>
      </c>
      <c r="J260" s="203" t="str">
        <f>IF($H260="USD",IF(OR($I260="",$I260="-"),"",VLOOKUP($G260,為替!$A:$AX,$I260,FALSE))+$J$3,IF(OR($I260="",$I260="-"),"",VLOOKUP($G260,為替!$A:$AX,$I260,FALSE)))</f>
        <v/>
      </c>
      <c r="K260" s="204" t="str">
        <f t="shared" si="23"/>
        <v/>
      </c>
      <c r="L260" s="188" t="str">
        <f t="shared" si="25"/>
        <v/>
      </c>
      <c r="M260" s="203" t="str">
        <f>IF($H260="USD",IF(OR($L260="",$L260="-"),"",VLOOKUP($G260,為替!$A:$AX,$L260,FALSE))+$K$3,IF(OR($L260="",$L260="-"),"",VLOOKUP($G260,為替!$A:$AX,$L260,FALSE)))</f>
        <v/>
      </c>
      <c r="N260" s="204" t="str">
        <f t="shared" si="24"/>
        <v/>
      </c>
      <c r="O260" s="205" t="str">
        <f t="shared" si="26"/>
        <v/>
      </c>
      <c r="P260" s="206" t="str">
        <f t="shared" si="27"/>
        <v/>
      </c>
    </row>
    <row r="261" spans="3:16" x14ac:dyDescent="0.4">
      <c r="C261" s="199"/>
      <c r="D261" s="200"/>
      <c r="E261" s="201"/>
      <c r="F261" s="199"/>
      <c r="H261" s="202"/>
      <c r="I261" s="185" t="str">
        <f t="shared" si="22"/>
        <v/>
      </c>
      <c r="J261" s="203" t="str">
        <f>IF($H261="USD",IF(OR($I261="",$I261="-"),"",VLOOKUP($G261,為替!$A:$AX,$I261,FALSE))+$J$3,IF(OR($I261="",$I261="-"),"",VLOOKUP($G261,為替!$A:$AX,$I261,FALSE)))</f>
        <v/>
      </c>
      <c r="K261" s="204" t="str">
        <f t="shared" si="23"/>
        <v/>
      </c>
      <c r="L261" s="188" t="str">
        <f t="shared" si="25"/>
        <v/>
      </c>
      <c r="M261" s="203" t="str">
        <f>IF($H261="USD",IF(OR($L261="",$L261="-"),"",VLOOKUP($G261,為替!$A:$AX,$L261,FALSE))+$K$3,IF(OR($L261="",$L261="-"),"",VLOOKUP($G261,為替!$A:$AX,$L261,FALSE)))</f>
        <v/>
      </c>
      <c r="N261" s="204" t="str">
        <f t="shared" si="24"/>
        <v/>
      </c>
      <c r="O261" s="205" t="str">
        <f t="shared" si="26"/>
        <v/>
      </c>
      <c r="P261" s="206" t="str">
        <f t="shared" si="27"/>
        <v/>
      </c>
    </row>
    <row r="262" spans="3:16" x14ac:dyDescent="0.4">
      <c r="C262" s="199"/>
      <c r="D262" s="200"/>
      <c r="E262" s="201"/>
      <c r="F262" s="199"/>
      <c r="H262" s="202"/>
      <c r="I262" s="185" t="str">
        <f t="shared" si="22"/>
        <v/>
      </c>
      <c r="J262" s="203" t="str">
        <f>IF($H262="USD",IF(OR($I262="",$I262="-"),"",VLOOKUP($G262,為替!$A:$AX,$I262,FALSE))+$J$3,IF(OR($I262="",$I262="-"),"",VLOOKUP($G262,為替!$A:$AX,$I262,FALSE)))</f>
        <v/>
      </c>
      <c r="K262" s="204" t="str">
        <f t="shared" si="23"/>
        <v/>
      </c>
      <c r="L262" s="188" t="str">
        <f t="shared" si="25"/>
        <v/>
      </c>
      <c r="M262" s="203" t="str">
        <f>IF($H262="USD",IF(OR($L262="",$L262="-"),"",VLOOKUP($G262,為替!$A:$AX,$L262,FALSE))+$K$3,IF(OR($L262="",$L262="-"),"",VLOOKUP($G262,為替!$A:$AX,$L262,FALSE)))</f>
        <v/>
      </c>
      <c r="N262" s="204" t="str">
        <f t="shared" si="24"/>
        <v/>
      </c>
      <c r="O262" s="205" t="str">
        <f t="shared" si="26"/>
        <v/>
      </c>
      <c r="P262" s="206" t="str">
        <f t="shared" si="27"/>
        <v/>
      </c>
    </row>
    <row r="263" spans="3:16" x14ac:dyDescent="0.4">
      <c r="C263" s="199"/>
      <c r="D263" s="200"/>
      <c r="E263" s="201"/>
      <c r="F263" s="199"/>
      <c r="H263" s="202"/>
      <c r="I263" s="185" t="str">
        <f t="shared" ref="I263:I326" si="28">IF(H263="","",IF(H263="JPY","",IF($H263="USD",4, IF(H263="EUR",7,IF(H263="CNY",47,IF(H263="HKD",34))))))</f>
        <v/>
      </c>
      <c r="J263" s="203" t="str">
        <f>IF($H263="USD",IF(OR($I263="",$I263="-"),"",VLOOKUP($G263,為替!$A:$AX,$I263,FALSE))+$J$3,IF(OR($I263="",$I263="-"),"",VLOOKUP($G263,為替!$A:$AX,$I263,FALSE)))</f>
        <v/>
      </c>
      <c r="K263" s="204" t="str">
        <f t="shared" ref="K263:K326" si="29">IF($H263="JPY",$F263,IF($H263="","",$F263*$J263))</f>
        <v/>
      </c>
      <c r="L263" s="188" t="str">
        <f t="shared" si="25"/>
        <v/>
      </c>
      <c r="M263" s="203" t="str">
        <f>IF($H263="USD",IF(OR($L263="",$L263="-"),"",VLOOKUP($G263,為替!$A:$AX,$L263,FALSE))+$K$3,IF(OR($L263="",$L263="-"),"",VLOOKUP($G263,為替!$A:$AX,$L263,FALSE)))</f>
        <v/>
      </c>
      <c r="N263" s="204" t="str">
        <f t="shared" ref="N263:N326" si="30">IF($E263="JPY",($C263+$D263),IF($E263="","",($C263+$D263)*$M263))</f>
        <v/>
      </c>
      <c r="O263" s="205" t="str">
        <f t="shared" si="26"/>
        <v/>
      </c>
      <c r="P263" s="206" t="str">
        <f t="shared" si="27"/>
        <v/>
      </c>
    </row>
    <row r="264" spans="3:16" x14ac:dyDescent="0.4">
      <c r="C264" s="199"/>
      <c r="D264" s="200"/>
      <c r="E264" s="201"/>
      <c r="F264" s="199"/>
      <c r="H264" s="202"/>
      <c r="I264" s="185" t="str">
        <f t="shared" si="28"/>
        <v/>
      </c>
      <c r="J264" s="203" t="str">
        <f>IF($H264="USD",IF(OR($I264="",$I264="-"),"",VLOOKUP($G264,為替!$A:$AX,$I264,FALSE))+$J$3,IF(OR($I264="",$I264="-"),"",VLOOKUP($G264,為替!$A:$AX,$I264,FALSE)))</f>
        <v/>
      </c>
      <c r="K264" s="204" t="str">
        <f t="shared" si="29"/>
        <v/>
      </c>
      <c r="L264" s="188" t="str">
        <f t="shared" si="25"/>
        <v/>
      </c>
      <c r="M264" s="203" t="str">
        <f>IF($H264="USD",IF(OR($L264="",$L264="-"),"",VLOOKUP($G264,為替!$A:$AX,$L264,FALSE))+$K$3,IF(OR($L264="",$L264="-"),"",VLOOKUP($G264,為替!$A:$AX,$L264,FALSE)))</f>
        <v/>
      </c>
      <c r="N264" s="204" t="str">
        <f t="shared" si="30"/>
        <v/>
      </c>
      <c r="O264" s="205" t="str">
        <f t="shared" si="26"/>
        <v/>
      </c>
      <c r="P264" s="206" t="str">
        <f t="shared" si="27"/>
        <v/>
      </c>
    </row>
    <row r="265" spans="3:16" x14ac:dyDescent="0.4">
      <c r="C265" s="199"/>
      <c r="D265" s="200"/>
      <c r="E265" s="201"/>
      <c r="F265" s="199"/>
      <c r="H265" s="202"/>
      <c r="I265" s="185" t="str">
        <f t="shared" si="28"/>
        <v/>
      </c>
      <c r="J265" s="203" t="str">
        <f>IF($H265="USD",IF(OR($I265="",$I265="-"),"",VLOOKUP($G265,為替!$A:$AX,$I265,FALSE))+$J$3,IF(OR($I265="",$I265="-"),"",VLOOKUP($G265,為替!$A:$AX,$I265,FALSE)))</f>
        <v/>
      </c>
      <c r="K265" s="204" t="str">
        <f t="shared" si="29"/>
        <v/>
      </c>
      <c r="L265" s="188" t="str">
        <f t="shared" si="25"/>
        <v/>
      </c>
      <c r="M265" s="203" t="str">
        <f>IF($H265="USD",IF(OR($L265="",$L265="-"),"",VLOOKUP($G265,為替!$A:$AX,$L265,FALSE))+$K$3,IF(OR($L265="",$L265="-"),"",VLOOKUP($G265,為替!$A:$AX,$L265,FALSE)))</f>
        <v/>
      </c>
      <c r="N265" s="204" t="str">
        <f t="shared" si="30"/>
        <v/>
      </c>
      <c r="O265" s="205" t="str">
        <f t="shared" si="26"/>
        <v/>
      </c>
      <c r="P265" s="206" t="str">
        <f t="shared" si="27"/>
        <v/>
      </c>
    </row>
    <row r="266" spans="3:16" x14ac:dyDescent="0.4">
      <c r="C266" s="199"/>
      <c r="D266" s="200"/>
      <c r="E266" s="201"/>
      <c r="F266" s="199"/>
      <c r="H266" s="202"/>
      <c r="I266" s="185" t="str">
        <f t="shared" si="28"/>
        <v/>
      </c>
      <c r="J266" s="203" t="str">
        <f>IF($H266="USD",IF(OR($I266="",$I266="-"),"",VLOOKUP($G266,為替!$A:$AX,$I266,FALSE))+$J$3,IF(OR($I266="",$I266="-"),"",VLOOKUP($G266,為替!$A:$AX,$I266,FALSE)))</f>
        <v/>
      </c>
      <c r="K266" s="204" t="str">
        <f t="shared" si="29"/>
        <v/>
      </c>
      <c r="L266" s="188" t="str">
        <f t="shared" si="25"/>
        <v/>
      </c>
      <c r="M266" s="203" t="str">
        <f>IF($H266="USD",IF(OR($L266="",$L266="-"),"",VLOOKUP($G266,為替!$A:$AX,$L266,FALSE))+$K$3,IF(OR($L266="",$L266="-"),"",VLOOKUP($G266,為替!$A:$AX,$L266,FALSE)))</f>
        <v/>
      </c>
      <c r="N266" s="204" t="str">
        <f t="shared" si="30"/>
        <v/>
      </c>
      <c r="O266" s="205" t="str">
        <f t="shared" si="26"/>
        <v/>
      </c>
      <c r="P266" s="206" t="str">
        <f t="shared" si="27"/>
        <v/>
      </c>
    </row>
    <row r="267" spans="3:16" x14ac:dyDescent="0.4">
      <c r="C267" s="199"/>
      <c r="D267" s="200"/>
      <c r="E267" s="201"/>
      <c r="F267" s="199"/>
      <c r="H267" s="202"/>
      <c r="I267" s="185" t="str">
        <f t="shared" si="28"/>
        <v/>
      </c>
      <c r="J267" s="203" t="str">
        <f>IF($H267="USD",IF(OR($I267="",$I267="-"),"",VLOOKUP($G267,為替!$A:$AX,$I267,FALSE))+$J$3,IF(OR($I267="",$I267="-"),"",VLOOKUP($G267,為替!$A:$AX,$I267,FALSE)))</f>
        <v/>
      </c>
      <c r="K267" s="204" t="str">
        <f t="shared" si="29"/>
        <v/>
      </c>
      <c r="L267" s="188" t="str">
        <f t="shared" si="25"/>
        <v/>
      </c>
      <c r="M267" s="203" t="str">
        <f>IF($H267="USD",IF(OR($L267="",$L267="-"),"",VLOOKUP($G267,為替!$A:$AX,$L267,FALSE))+$K$3,IF(OR($L267="",$L267="-"),"",VLOOKUP($G267,為替!$A:$AX,$L267,FALSE)))</f>
        <v/>
      </c>
      <c r="N267" s="204" t="str">
        <f t="shared" si="30"/>
        <v/>
      </c>
      <c r="O267" s="205" t="str">
        <f t="shared" si="26"/>
        <v/>
      </c>
      <c r="P267" s="206" t="str">
        <f t="shared" si="27"/>
        <v/>
      </c>
    </row>
    <row r="268" spans="3:16" x14ac:dyDescent="0.4">
      <c r="C268" s="199"/>
      <c r="D268" s="200"/>
      <c r="E268" s="201"/>
      <c r="F268" s="199"/>
      <c r="H268" s="202"/>
      <c r="I268" s="185" t="str">
        <f t="shared" si="28"/>
        <v/>
      </c>
      <c r="J268" s="203" t="str">
        <f>IF($H268="USD",IF(OR($I268="",$I268="-"),"",VLOOKUP($G268,為替!$A:$AX,$I268,FALSE))+$J$3,IF(OR($I268="",$I268="-"),"",VLOOKUP($G268,為替!$A:$AX,$I268,FALSE)))</f>
        <v/>
      </c>
      <c r="K268" s="204" t="str">
        <f t="shared" si="29"/>
        <v/>
      </c>
      <c r="L268" s="188" t="str">
        <f t="shared" si="25"/>
        <v/>
      </c>
      <c r="M268" s="203" t="str">
        <f>IF($H268="USD",IF(OR($L268="",$L268="-"),"",VLOOKUP($G268,為替!$A:$AX,$L268,FALSE))+$K$3,IF(OR($L268="",$L268="-"),"",VLOOKUP($G268,為替!$A:$AX,$L268,FALSE)))</f>
        <v/>
      </c>
      <c r="N268" s="204" t="str">
        <f t="shared" si="30"/>
        <v/>
      </c>
      <c r="O268" s="205" t="str">
        <f t="shared" si="26"/>
        <v/>
      </c>
      <c r="P268" s="206" t="str">
        <f t="shared" si="27"/>
        <v/>
      </c>
    </row>
    <row r="269" spans="3:16" x14ac:dyDescent="0.4">
      <c r="C269" s="199"/>
      <c r="D269" s="200"/>
      <c r="E269" s="201"/>
      <c r="F269" s="199"/>
      <c r="H269" s="202"/>
      <c r="I269" s="185" t="str">
        <f t="shared" si="28"/>
        <v/>
      </c>
      <c r="J269" s="203" t="str">
        <f>IF($H269="USD",IF(OR($I269="",$I269="-"),"",VLOOKUP($G269,為替!$A:$AX,$I269,FALSE))+$J$3,IF(OR($I269="",$I269="-"),"",VLOOKUP($G269,為替!$A:$AX,$I269,FALSE)))</f>
        <v/>
      </c>
      <c r="K269" s="204" t="str">
        <f t="shared" si="29"/>
        <v/>
      </c>
      <c r="L269" s="188" t="str">
        <f t="shared" si="25"/>
        <v/>
      </c>
      <c r="M269" s="203" t="str">
        <f>IF($H269="USD",IF(OR($L269="",$L269="-"),"",VLOOKUP($G269,為替!$A:$AX,$L269,FALSE))+$K$3,IF(OR($L269="",$L269="-"),"",VLOOKUP($G269,為替!$A:$AX,$L269,FALSE)))</f>
        <v/>
      </c>
      <c r="N269" s="204" t="str">
        <f t="shared" si="30"/>
        <v/>
      </c>
      <c r="O269" s="205" t="str">
        <f t="shared" si="26"/>
        <v/>
      </c>
      <c r="P269" s="206" t="str">
        <f t="shared" si="27"/>
        <v/>
      </c>
    </row>
    <row r="270" spans="3:16" x14ac:dyDescent="0.4">
      <c r="C270" s="199"/>
      <c r="D270" s="200"/>
      <c r="E270" s="201"/>
      <c r="F270" s="199"/>
      <c r="H270" s="202"/>
      <c r="I270" s="185" t="str">
        <f t="shared" si="28"/>
        <v/>
      </c>
      <c r="J270" s="203" t="str">
        <f>IF($H270="USD",IF(OR($I270="",$I270="-"),"",VLOOKUP($G270,為替!$A:$AX,$I270,FALSE))+$J$3,IF(OR($I270="",$I270="-"),"",VLOOKUP($G270,為替!$A:$AX,$I270,FALSE)))</f>
        <v/>
      </c>
      <c r="K270" s="204" t="str">
        <f t="shared" si="29"/>
        <v/>
      </c>
      <c r="L270" s="188" t="str">
        <f t="shared" si="25"/>
        <v/>
      </c>
      <c r="M270" s="203" t="str">
        <f>IF($H270="USD",IF(OR($L270="",$L270="-"),"",VLOOKUP($G270,為替!$A:$AX,$L270,FALSE))+$K$3,IF(OR($L270="",$L270="-"),"",VLOOKUP($G270,為替!$A:$AX,$L270,FALSE)))</f>
        <v/>
      </c>
      <c r="N270" s="204" t="str">
        <f t="shared" si="30"/>
        <v/>
      </c>
      <c r="O270" s="205" t="str">
        <f t="shared" si="26"/>
        <v/>
      </c>
      <c r="P270" s="206" t="str">
        <f t="shared" si="27"/>
        <v/>
      </c>
    </row>
    <row r="271" spans="3:16" x14ac:dyDescent="0.4">
      <c r="C271" s="199"/>
      <c r="D271" s="200"/>
      <c r="E271" s="201"/>
      <c r="F271" s="199"/>
      <c r="H271" s="202"/>
      <c r="I271" s="185" t="str">
        <f t="shared" si="28"/>
        <v/>
      </c>
      <c r="J271" s="203" t="str">
        <f>IF($H271="USD",IF(OR($I271="",$I271="-"),"",VLOOKUP($G271,為替!$A:$AX,$I271,FALSE))+$J$3,IF(OR($I271="",$I271="-"),"",VLOOKUP($G271,為替!$A:$AX,$I271,FALSE)))</f>
        <v/>
      </c>
      <c r="K271" s="204" t="str">
        <f t="shared" si="29"/>
        <v/>
      </c>
      <c r="L271" s="188" t="str">
        <f t="shared" si="25"/>
        <v/>
      </c>
      <c r="M271" s="203" t="str">
        <f>IF($H271="USD",IF(OR($L271="",$L271="-"),"",VLOOKUP($G271,為替!$A:$AX,$L271,FALSE))+$K$3,IF(OR($L271="",$L271="-"),"",VLOOKUP($G271,為替!$A:$AX,$L271,FALSE)))</f>
        <v/>
      </c>
      <c r="N271" s="204" t="str">
        <f t="shared" si="30"/>
        <v/>
      </c>
      <c r="O271" s="205" t="str">
        <f t="shared" si="26"/>
        <v/>
      </c>
      <c r="P271" s="206" t="str">
        <f t="shared" si="27"/>
        <v/>
      </c>
    </row>
    <row r="272" spans="3:16" x14ac:dyDescent="0.4">
      <c r="C272" s="199"/>
      <c r="D272" s="200"/>
      <c r="E272" s="201"/>
      <c r="F272" s="199"/>
      <c r="H272" s="202"/>
      <c r="I272" s="185" t="str">
        <f t="shared" si="28"/>
        <v/>
      </c>
      <c r="J272" s="203" t="str">
        <f>IF($H272="USD",IF(OR($I272="",$I272="-"),"",VLOOKUP($G272,為替!$A:$AX,$I272,FALSE))+$J$3,IF(OR($I272="",$I272="-"),"",VLOOKUP($G272,為替!$A:$AX,$I272,FALSE)))</f>
        <v/>
      </c>
      <c r="K272" s="204" t="str">
        <f t="shared" si="29"/>
        <v/>
      </c>
      <c r="L272" s="188" t="str">
        <f t="shared" si="25"/>
        <v/>
      </c>
      <c r="M272" s="203" t="str">
        <f>IF($H272="USD",IF(OR($L272="",$L272="-"),"",VLOOKUP($G272,為替!$A:$AX,$L272,FALSE))+$K$3,IF(OR($L272="",$L272="-"),"",VLOOKUP($G272,為替!$A:$AX,$L272,FALSE)))</f>
        <v/>
      </c>
      <c r="N272" s="204" t="str">
        <f t="shared" si="30"/>
        <v/>
      </c>
      <c r="O272" s="205" t="str">
        <f t="shared" si="26"/>
        <v/>
      </c>
      <c r="P272" s="206" t="str">
        <f t="shared" si="27"/>
        <v/>
      </c>
    </row>
    <row r="273" spans="3:16" x14ac:dyDescent="0.4">
      <c r="C273" s="199"/>
      <c r="D273" s="200"/>
      <c r="E273" s="201"/>
      <c r="F273" s="199"/>
      <c r="H273" s="202"/>
      <c r="I273" s="185" t="str">
        <f t="shared" si="28"/>
        <v/>
      </c>
      <c r="J273" s="203" t="str">
        <f>IF($H273="USD",IF(OR($I273="",$I273="-"),"",VLOOKUP($G273,為替!$A:$AX,$I273,FALSE))+$J$3,IF(OR($I273="",$I273="-"),"",VLOOKUP($G273,為替!$A:$AX,$I273,FALSE)))</f>
        <v/>
      </c>
      <c r="K273" s="204" t="str">
        <f t="shared" si="29"/>
        <v/>
      </c>
      <c r="L273" s="188" t="str">
        <f t="shared" si="25"/>
        <v/>
      </c>
      <c r="M273" s="203" t="str">
        <f>IF($H273="USD",IF(OR($L273="",$L273="-"),"",VLOOKUP($G273,為替!$A:$AX,$L273,FALSE))+$K$3,IF(OR($L273="",$L273="-"),"",VLOOKUP($G273,為替!$A:$AX,$L273,FALSE)))</f>
        <v/>
      </c>
      <c r="N273" s="204" t="str">
        <f t="shared" si="30"/>
        <v/>
      </c>
      <c r="O273" s="205" t="str">
        <f t="shared" si="26"/>
        <v/>
      </c>
      <c r="P273" s="206" t="str">
        <f t="shared" si="27"/>
        <v/>
      </c>
    </row>
    <row r="274" spans="3:16" x14ac:dyDescent="0.4">
      <c r="C274" s="199"/>
      <c r="D274" s="200"/>
      <c r="E274" s="201"/>
      <c r="F274" s="199"/>
      <c r="H274" s="202"/>
      <c r="I274" s="185" t="str">
        <f t="shared" si="28"/>
        <v/>
      </c>
      <c r="J274" s="203" t="str">
        <f>IF($H274="USD",IF(OR($I274="",$I274="-"),"",VLOOKUP($G274,為替!$A:$AX,$I274,FALSE))+$J$3,IF(OR($I274="",$I274="-"),"",VLOOKUP($G274,為替!$A:$AX,$I274,FALSE)))</f>
        <v/>
      </c>
      <c r="K274" s="204" t="str">
        <f t="shared" si="29"/>
        <v/>
      </c>
      <c r="L274" s="188" t="str">
        <f t="shared" ref="L274:L337" si="31">IF(H274="","",IF(H274="JPY","",IF($H274="USD",3, IF(H274="EUR",6,IF(H274="CNY",46,IF(H274="HKD",33))))))</f>
        <v/>
      </c>
      <c r="M274" s="203" t="str">
        <f>IF($H274="USD",IF(OR($L274="",$L274="-"),"",VLOOKUP($G274,為替!$A:$AX,$L274,FALSE))+$K$3,IF(OR($L274="",$L274="-"),"",VLOOKUP($G274,為替!$A:$AX,$L274,FALSE)))</f>
        <v/>
      </c>
      <c r="N274" s="204" t="str">
        <f t="shared" si="30"/>
        <v/>
      </c>
      <c r="O274" s="205" t="str">
        <f t="shared" ref="O274:O337" si="32">IF(OR(K274="",N274=""),"",K274-N274)</f>
        <v/>
      </c>
      <c r="P274" s="206" t="str">
        <f t="shared" ref="P274:P337" si="33">IF(OR(K274="",O274=""),"",O274/K274)</f>
        <v/>
      </c>
    </row>
    <row r="275" spans="3:16" x14ac:dyDescent="0.4">
      <c r="C275" s="199"/>
      <c r="D275" s="200"/>
      <c r="E275" s="201"/>
      <c r="F275" s="199"/>
      <c r="H275" s="202"/>
      <c r="I275" s="185" t="str">
        <f t="shared" si="28"/>
        <v/>
      </c>
      <c r="J275" s="203" t="str">
        <f>IF($H275="USD",IF(OR($I275="",$I275="-"),"",VLOOKUP($G275,為替!$A:$AX,$I275,FALSE))+$J$3,IF(OR($I275="",$I275="-"),"",VLOOKUP($G275,為替!$A:$AX,$I275,FALSE)))</f>
        <v/>
      </c>
      <c r="K275" s="204" t="str">
        <f t="shared" si="29"/>
        <v/>
      </c>
      <c r="L275" s="188" t="str">
        <f t="shared" si="31"/>
        <v/>
      </c>
      <c r="M275" s="203" t="str">
        <f>IF($H275="USD",IF(OR($L275="",$L275="-"),"",VLOOKUP($G275,為替!$A:$AX,$L275,FALSE))+$K$3,IF(OR($L275="",$L275="-"),"",VLOOKUP($G275,為替!$A:$AX,$L275,FALSE)))</f>
        <v/>
      </c>
      <c r="N275" s="204" t="str">
        <f t="shared" si="30"/>
        <v/>
      </c>
      <c r="O275" s="205" t="str">
        <f t="shared" si="32"/>
        <v/>
      </c>
      <c r="P275" s="206" t="str">
        <f t="shared" si="33"/>
        <v/>
      </c>
    </row>
    <row r="276" spans="3:16" x14ac:dyDescent="0.4">
      <c r="C276" s="199"/>
      <c r="D276" s="200"/>
      <c r="E276" s="201"/>
      <c r="F276" s="199"/>
      <c r="H276" s="202"/>
      <c r="I276" s="185" t="str">
        <f t="shared" si="28"/>
        <v/>
      </c>
      <c r="J276" s="203" t="str">
        <f>IF($H276="USD",IF(OR($I276="",$I276="-"),"",VLOOKUP($G276,為替!$A:$AX,$I276,FALSE))+$J$3,IF(OR($I276="",$I276="-"),"",VLOOKUP($G276,為替!$A:$AX,$I276,FALSE)))</f>
        <v/>
      </c>
      <c r="K276" s="204" t="str">
        <f t="shared" si="29"/>
        <v/>
      </c>
      <c r="L276" s="188" t="str">
        <f t="shared" si="31"/>
        <v/>
      </c>
      <c r="M276" s="203" t="str">
        <f>IF($H276="USD",IF(OR($L276="",$L276="-"),"",VLOOKUP($G276,為替!$A:$AX,$L276,FALSE))+$K$3,IF(OR($L276="",$L276="-"),"",VLOOKUP($G276,為替!$A:$AX,$L276,FALSE)))</f>
        <v/>
      </c>
      <c r="N276" s="204" t="str">
        <f t="shared" si="30"/>
        <v/>
      </c>
      <c r="O276" s="205" t="str">
        <f t="shared" si="32"/>
        <v/>
      </c>
      <c r="P276" s="206" t="str">
        <f t="shared" si="33"/>
        <v/>
      </c>
    </row>
    <row r="277" spans="3:16" x14ac:dyDescent="0.4">
      <c r="C277" s="199"/>
      <c r="D277" s="200"/>
      <c r="E277" s="201"/>
      <c r="F277" s="199"/>
      <c r="H277" s="202"/>
      <c r="I277" s="185" t="str">
        <f t="shared" si="28"/>
        <v/>
      </c>
      <c r="J277" s="203" t="str">
        <f>IF($H277="USD",IF(OR($I277="",$I277="-"),"",VLOOKUP($G277,為替!$A:$AX,$I277,FALSE))+$J$3,IF(OR($I277="",$I277="-"),"",VLOOKUP($G277,為替!$A:$AX,$I277,FALSE)))</f>
        <v/>
      </c>
      <c r="K277" s="204" t="str">
        <f t="shared" si="29"/>
        <v/>
      </c>
      <c r="L277" s="188" t="str">
        <f t="shared" si="31"/>
        <v/>
      </c>
      <c r="M277" s="203" t="str">
        <f>IF($H277="USD",IF(OR($L277="",$L277="-"),"",VLOOKUP($G277,為替!$A:$AX,$L277,FALSE))+$K$3,IF(OR($L277="",$L277="-"),"",VLOOKUP($G277,為替!$A:$AX,$L277,FALSE)))</f>
        <v/>
      </c>
      <c r="N277" s="204" t="str">
        <f t="shared" si="30"/>
        <v/>
      </c>
      <c r="O277" s="205" t="str">
        <f t="shared" si="32"/>
        <v/>
      </c>
      <c r="P277" s="206" t="str">
        <f t="shared" si="33"/>
        <v/>
      </c>
    </row>
    <row r="278" spans="3:16" x14ac:dyDescent="0.4">
      <c r="C278" s="199"/>
      <c r="D278" s="200"/>
      <c r="E278" s="201"/>
      <c r="F278" s="199"/>
      <c r="H278" s="202"/>
      <c r="I278" s="185" t="str">
        <f t="shared" si="28"/>
        <v/>
      </c>
      <c r="J278" s="203" t="str">
        <f>IF($H278="USD",IF(OR($I278="",$I278="-"),"",VLOOKUP($G278,為替!$A:$AX,$I278,FALSE))+$J$3,IF(OR($I278="",$I278="-"),"",VLOOKUP($G278,為替!$A:$AX,$I278,FALSE)))</f>
        <v/>
      </c>
      <c r="K278" s="204" t="str">
        <f t="shared" si="29"/>
        <v/>
      </c>
      <c r="L278" s="188" t="str">
        <f t="shared" si="31"/>
        <v/>
      </c>
      <c r="M278" s="203" t="str">
        <f>IF($H278="USD",IF(OR($L278="",$L278="-"),"",VLOOKUP($G278,為替!$A:$AX,$L278,FALSE))+$K$3,IF(OR($L278="",$L278="-"),"",VLOOKUP($G278,為替!$A:$AX,$L278,FALSE)))</f>
        <v/>
      </c>
      <c r="N278" s="204" t="str">
        <f t="shared" si="30"/>
        <v/>
      </c>
      <c r="O278" s="205" t="str">
        <f t="shared" si="32"/>
        <v/>
      </c>
      <c r="P278" s="206" t="str">
        <f t="shared" si="33"/>
        <v/>
      </c>
    </row>
    <row r="279" spans="3:16" x14ac:dyDescent="0.4">
      <c r="C279" s="199"/>
      <c r="D279" s="200"/>
      <c r="E279" s="201"/>
      <c r="F279" s="199"/>
      <c r="H279" s="202"/>
      <c r="I279" s="185" t="str">
        <f t="shared" si="28"/>
        <v/>
      </c>
      <c r="J279" s="203" t="str">
        <f>IF($H279="USD",IF(OR($I279="",$I279="-"),"",VLOOKUP($G279,為替!$A:$AX,$I279,FALSE))+$J$3,IF(OR($I279="",$I279="-"),"",VLOOKUP($G279,為替!$A:$AX,$I279,FALSE)))</f>
        <v/>
      </c>
      <c r="K279" s="204" t="str">
        <f t="shared" si="29"/>
        <v/>
      </c>
      <c r="L279" s="188" t="str">
        <f t="shared" si="31"/>
        <v/>
      </c>
      <c r="M279" s="203" t="str">
        <f>IF($H279="USD",IF(OR($L279="",$L279="-"),"",VLOOKUP($G279,為替!$A:$AX,$L279,FALSE))+$K$3,IF(OR($L279="",$L279="-"),"",VLOOKUP($G279,為替!$A:$AX,$L279,FALSE)))</f>
        <v/>
      </c>
      <c r="N279" s="204" t="str">
        <f t="shared" si="30"/>
        <v/>
      </c>
      <c r="O279" s="205" t="str">
        <f t="shared" si="32"/>
        <v/>
      </c>
      <c r="P279" s="206" t="str">
        <f t="shared" si="33"/>
        <v/>
      </c>
    </row>
    <row r="280" spans="3:16" x14ac:dyDescent="0.4">
      <c r="C280" s="199"/>
      <c r="D280" s="200"/>
      <c r="E280" s="201"/>
      <c r="F280" s="199"/>
      <c r="H280" s="202"/>
      <c r="I280" s="185" t="str">
        <f t="shared" si="28"/>
        <v/>
      </c>
      <c r="J280" s="203" t="str">
        <f>IF($H280="USD",IF(OR($I280="",$I280="-"),"",VLOOKUP($G280,為替!$A:$AX,$I280,FALSE))+$J$3,IF(OR($I280="",$I280="-"),"",VLOOKUP($G280,為替!$A:$AX,$I280,FALSE)))</f>
        <v/>
      </c>
      <c r="K280" s="204" t="str">
        <f t="shared" si="29"/>
        <v/>
      </c>
      <c r="L280" s="188" t="str">
        <f t="shared" si="31"/>
        <v/>
      </c>
      <c r="M280" s="203" t="str">
        <f>IF($H280="USD",IF(OR($L280="",$L280="-"),"",VLOOKUP($G280,為替!$A:$AX,$L280,FALSE))+$K$3,IF(OR($L280="",$L280="-"),"",VLOOKUP($G280,為替!$A:$AX,$L280,FALSE)))</f>
        <v/>
      </c>
      <c r="N280" s="204" t="str">
        <f t="shared" si="30"/>
        <v/>
      </c>
      <c r="O280" s="205" t="str">
        <f t="shared" si="32"/>
        <v/>
      </c>
      <c r="P280" s="206" t="str">
        <f t="shared" si="33"/>
        <v/>
      </c>
    </row>
    <row r="281" spans="3:16" x14ac:dyDescent="0.4">
      <c r="C281" s="199"/>
      <c r="D281" s="200"/>
      <c r="E281" s="201"/>
      <c r="F281" s="199"/>
      <c r="H281" s="202"/>
      <c r="I281" s="185" t="str">
        <f t="shared" si="28"/>
        <v/>
      </c>
      <c r="J281" s="203" t="str">
        <f>IF($H281="USD",IF(OR($I281="",$I281="-"),"",VLOOKUP($G281,為替!$A:$AX,$I281,FALSE))+$J$3,IF(OR($I281="",$I281="-"),"",VLOOKUP($G281,為替!$A:$AX,$I281,FALSE)))</f>
        <v/>
      </c>
      <c r="K281" s="204" t="str">
        <f t="shared" si="29"/>
        <v/>
      </c>
      <c r="L281" s="188" t="str">
        <f t="shared" si="31"/>
        <v/>
      </c>
      <c r="M281" s="203" t="str">
        <f>IF($H281="USD",IF(OR($L281="",$L281="-"),"",VLOOKUP($G281,為替!$A:$AX,$L281,FALSE))+$K$3,IF(OR($L281="",$L281="-"),"",VLOOKUP($G281,為替!$A:$AX,$L281,FALSE)))</f>
        <v/>
      </c>
      <c r="N281" s="204" t="str">
        <f t="shared" si="30"/>
        <v/>
      </c>
      <c r="O281" s="205" t="str">
        <f t="shared" si="32"/>
        <v/>
      </c>
      <c r="P281" s="206" t="str">
        <f t="shared" si="33"/>
        <v/>
      </c>
    </row>
    <row r="282" spans="3:16" x14ac:dyDescent="0.4">
      <c r="C282" s="199"/>
      <c r="D282" s="200"/>
      <c r="E282" s="201"/>
      <c r="F282" s="199"/>
      <c r="H282" s="202"/>
      <c r="I282" s="185" t="str">
        <f t="shared" si="28"/>
        <v/>
      </c>
      <c r="J282" s="203" t="str">
        <f>IF($H282="USD",IF(OR($I282="",$I282="-"),"",VLOOKUP($G282,為替!$A:$AX,$I282,FALSE))+$J$3,IF(OR($I282="",$I282="-"),"",VLOOKUP($G282,為替!$A:$AX,$I282,FALSE)))</f>
        <v/>
      </c>
      <c r="K282" s="204" t="str">
        <f t="shared" si="29"/>
        <v/>
      </c>
      <c r="L282" s="188" t="str">
        <f t="shared" si="31"/>
        <v/>
      </c>
      <c r="M282" s="203" t="str">
        <f>IF($H282="USD",IF(OR($L282="",$L282="-"),"",VLOOKUP($G282,為替!$A:$AX,$L282,FALSE))+$K$3,IF(OR($L282="",$L282="-"),"",VLOOKUP($G282,為替!$A:$AX,$L282,FALSE)))</f>
        <v/>
      </c>
      <c r="N282" s="204" t="str">
        <f t="shared" si="30"/>
        <v/>
      </c>
      <c r="O282" s="205" t="str">
        <f t="shared" si="32"/>
        <v/>
      </c>
      <c r="P282" s="206" t="str">
        <f t="shared" si="33"/>
        <v/>
      </c>
    </row>
    <row r="283" spans="3:16" x14ac:dyDescent="0.4">
      <c r="C283" s="199"/>
      <c r="D283" s="200"/>
      <c r="E283" s="201"/>
      <c r="F283" s="199"/>
      <c r="H283" s="202"/>
      <c r="I283" s="185" t="str">
        <f t="shared" si="28"/>
        <v/>
      </c>
      <c r="J283" s="203" t="str">
        <f>IF($H283="USD",IF(OR($I283="",$I283="-"),"",VLOOKUP($G283,為替!$A:$AX,$I283,FALSE))+$J$3,IF(OR($I283="",$I283="-"),"",VLOOKUP($G283,為替!$A:$AX,$I283,FALSE)))</f>
        <v/>
      </c>
      <c r="K283" s="204" t="str">
        <f t="shared" si="29"/>
        <v/>
      </c>
      <c r="L283" s="188" t="str">
        <f t="shared" si="31"/>
        <v/>
      </c>
      <c r="M283" s="203" t="str">
        <f>IF($H283="USD",IF(OR($L283="",$L283="-"),"",VLOOKUP($G283,為替!$A:$AX,$L283,FALSE))+$K$3,IF(OR($L283="",$L283="-"),"",VLOOKUP($G283,為替!$A:$AX,$L283,FALSE)))</f>
        <v/>
      </c>
      <c r="N283" s="204" t="str">
        <f t="shared" si="30"/>
        <v/>
      </c>
      <c r="O283" s="205" t="str">
        <f t="shared" si="32"/>
        <v/>
      </c>
      <c r="P283" s="206" t="str">
        <f t="shared" si="33"/>
        <v/>
      </c>
    </row>
    <row r="284" spans="3:16" x14ac:dyDescent="0.4">
      <c r="C284" s="199"/>
      <c r="D284" s="200"/>
      <c r="E284" s="201"/>
      <c r="F284" s="199"/>
      <c r="H284" s="202"/>
      <c r="I284" s="185" t="str">
        <f t="shared" si="28"/>
        <v/>
      </c>
      <c r="J284" s="203" t="str">
        <f>IF($H284="USD",IF(OR($I284="",$I284="-"),"",VLOOKUP($G284,為替!$A:$AX,$I284,FALSE))+$J$3,IF(OR($I284="",$I284="-"),"",VLOOKUP($G284,為替!$A:$AX,$I284,FALSE)))</f>
        <v/>
      </c>
      <c r="K284" s="204" t="str">
        <f t="shared" si="29"/>
        <v/>
      </c>
      <c r="L284" s="188" t="str">
        <f t="shared" si="31"/>
        <v/>
      </c>
      <c r="M284" s="203" t="str">
        <f>IF($H284="USD",IF(OR($L284="",$L284="-"),"",VLOOKUP($G284,為替!$A:$AX,$L284,FALSE))+$K$3,IF(OR($L284="",$L284="-"),"",VLOOKUP($G284,為替!$A:$AX,$L284,FALSE)))</f>
        <v/>
      </c>
      <c r="N284" s="204" t="str">
        <f t="shared" si="30"/>
        <v/>
      </c>
      <c r="O284" s="205" t="str">
        <f t="shared" si="32"/>
        <v/>
      </c>
      <c r="P284" s="206" t="str">
        <f t="shared" si="33"/>
        <v/>
      </c>
    </row>
    <row r="285" spans="3:16" x14ac:dyDescent="0.4">
      <c r="C285" s="199"/>
      <c r="D285" s="200"/>
      <c r="E285" s="201"/>
      <c r="F285" s="199"/>
      <c r="H285" s="202"/>
      <c r="I285" s="185" t="str">
        <f t="shared" si="28"/>
        <v/>
      </c>
      <c r="J285" s="203" t="str">
        <f>IF($H285="USD",IF(OR($I285="",$I285="-"),"",VLOOKUP($G285,為替!$A:$AX,$I285,FALSE))+$J$3,IF(OR($I285="",$I285="-"),"",VLOOKUP($G285,為替!$A:$AX,$I285,FALSE)))</f>
        <v/>
      </c>
      <c r="K285" s="204" t="str">
        <f t="shared" si="29"/>
        <v/>
      </c>
      <c r="L285" s="188" t="str">
        <f t="shared" si="31"/>
        <v/>
      </c>
      <c r="M285" s="203" t="str">
        <f>IF($H285="USD",IF(OR($L285="",$L285="-"),"",VLOOKUP($G285,為替!$A:$AX,$L285,FALSE))+$K$3,IF(OR($L285="",$L285="-"),"",VLOOKUP($G285,為替!$A:$AX,$L285,FALSE)))</f>
        <v/>
      </c>
      <c r="N285" s="204" t="str">
        <f t="shared" si="30"/>
        <v/>
      </c>
      <c r="O285" s="205" t="str">
        <f t="shared" si="32"/>
        <v/>
      </c>
      <c r="P285" s="206" t="str">
        <f t="shared" si="33"/>
        <v/>
      </c>
    </row>
    <row r="286" spans="3:16" x14ac:dyDescent="0.4">
      <c r="C286" s="199"/>
      <c r="D286" s="200"/>
      <c r="E286" s="201"/>
      <c r="F286" s="199"/>
      <c r="H286" s="202"/>
      <c r="I286" s="185" t="str">
        <f t="shared" si="28"/>
        <v/>
      </c>
      <c r="J286" s="203" t="str">
        <f>IF($H286="USD",IF(OR($I286="",$I286="-"),"",VLOOKUP($G286,為替!$A:$AX,$I286,FALSE))+$J$3,IF(OR($I286="",$I286="-"),"",VLOOKUP($G286,為替!$A:$AX,$I286,FALSE)))</f>
        <v/>
      </c>
      <c r="K286" s="204" t="str">
        <f t="shared" si="29"/>
        <v/>
      </c>
      <c r="L286" s="188" t="str">
        <f t="shared" si="31"/>
        <v/>
      </c>
      <c r="M286" s="203" t="str">
        <f>IF($H286="USD",IF(OR($L286="",$L286="-"),"",VLOOKUP($G286,為替!$A:$AX,$L286,FALSE))+$K$3,IF(OR($L286="",$L286="-"),"",VLOOKUP($G286,為替!$A:$AX,$L286,FALSE)))</f>
        <v/>
      </c>
      <c r="N286" s="204" t="str">
        <f t="shared" si="30"/>
        <v/>
      </c>
      <c r="O286" s="205" t="str">
        <f t="shared" si="32"/>
        <v/>
      </c>
      <c r="P286" s="206" t="str">
        <f t="shared" si="33"/>
        <v/>
      </c>
    </row>
    <row r="287" spans="3:16" x14ac:dyDescent="0.4">
      <c r="C287" s="199"/>
      <c r="D287" s="200"/>
      <c r="E287" s="201"/>
      <c r="F287" s="199"/>
      <c r="H287" s="202"/>
      <c r="I287" s="185" t="str">
        <f t="shared" si="28"/>
        <v/>
      </c>
      <c r="J287" s="203" t="str">
        <f>IF($H287="USD",IF(OR($I287="",$I287="-"),"",VLOOKUP($G287,為替!$A:$AX,$I287,FALSE))+$J$3,IF(OR($I287="",$I287="-"),"",VLOOKUP($G287,為替!$A:$AX,$I287,FALSE)))</f>
        <v/>
      </c>
      <c r="K287" s="204" t="str">
        <f t="shared" si="29"/>
        <v/>
      </c>
      <c r="L287" s="188" t="str">
        <f t="shared" si="31"/>
        <v/>
      </c>
      <c r="M287" s="203" t="str">
        <f>IF($H287="USD",IF(OR($L287="",$L287="-"),"",VLOOKUP($G287,為替!$A:$AX,$L287,FALSE))+$K$3,IF(OR($L287="",$L287="-"),"",VLOOKUP($G287,為替!$A:$AX,$L287,FALSE)))</f>
        <v/>
      </c>
      <c r="N287" s="204" t="str">
        <f t="shared" si="30"/>
        <v/>
      </c>
      <c r="O287" s="205" t="str">
        <f t="shared" si="32"/>
        <v/>
      </c>
      <c r="P287" s="206" t="str">
        <f t="shared" si="33"/>
        <v/>
      </c>
    </row>
    <row r="288" spans="3:16" x14ac:dyDescent="0.4">
      <c r="C288" s="199"/>
      <c r="D288" s="200"/>
      <c r="E288" s="201"/>
      <c r="F288" s="199"/>
      <c r="H288" s="202"/>
      <c r="I288" s="185" t="str">
        <f t="shared" si="28"/>
        <v/>
      </c>
      <c r="J288" s="203" t="str">
        <f>IF($H288="USD",IF(OR($I288="",$I288="-"),"",VLOOKUP($G288,為替!$A:$AX,$I288,FALSE))+$J$3,IF(OR($I288="",$I288="-"),"",VLOOKUP($G288,為替!$A:$AX,$I288,FALSE)))</f>
        <v/>
      </c>
      <c r="K288" s="204" t="str">
        <f t="shared" si="29"/>
        <v/>
      </c>
      <c r="L288" s="188" t="str">
        <f t="shared" si="31"/>
        <v/>
      </c>
      <c r="M288" s="203" t="str">
        <f>IF($H288="USD",IF(OR($L288="",$L288="-"),"",VLOOKUP($G288,為替!$A:$AX,$L288,FALSE))+$K$3,IF(OR($L288="",$L288="-"),"",VLOOKUP($G288,為替!$A:$AX,$L288,FALSE)))</f>
        <v/>
      </c>
      <c r="N288" s="204" t="str">
        <f t="shared" si="30"/>
        <v/>
      </c>
      <c r="O288" s="205" t="str">
        <f t="shared" si="32"/>
        <v/>
      </c>
      <c r="P288" s="206" t="str">
        <f t="shared" si="33"/>
        <v/>
      </c>
    </row>
    <row r="289" spans="3:16" x14ac:dyDescent="0.4">
      <c r="C289" s="199"/>
      <c r="D289" s="200"/>
      <c r="E289" s="201"/>
      <c r="F289" s="199"/>
      <c r="H289" s="202"/>
      <c r="I289" s="185" t="str">
        <f t="shared" si="28"/>
        <v/>
      </c>
      <c r="J289" s="203" t="str">
        <f>IF($H289="USD",IF(OR($I289="",$I289="-"),"",VLOOKUP($G289,為替!$A:$AX,$I289,FALSE))+$J$3,IF(OR($I289="",$I289="-"),"",VLOOKUP($G289,為替!$A:$AX,$I289,FALSE)))</f>
        <v/>
      </c>
      <c r="K289" s="204" t="str">
        <f t="shared" si="29"/>
        <v/>
      </c>
      <c r="L289" s="188" t="str">
        <f t="shared" si="31"/>
        <v/>
      </c>
      <c r="M289" s="203" t="str">
        <f>IF($H289="USD",IF(OR($L289="",$L289="-"),"",VLOOKUP($G289,為替!$A:$AX,$L289,FALSE))+$K$3,IF(OR($L289="",$L289="-"),"",VLOOKUP($G289,為替!$A:$AX,$L289,FALSE)))</f>
        <v/>
      </c>
      <c r="N289" s="204" t="str">
        <f t="shared" si="30"/>
        <v/>
      </c>
      <c r="O289" s="205" t="str">
        <f t="shared" si="32"/>
        <v/>
      </c>
      <c r="P289" s="206" t="str">
        <f t="shared" si="33"/>
        <v/>
      </c>
    </row>
    <row r="290" spans="3:16" x14ac:dyDescent="0.4">
      <c r="C290" s="199"/>
      <c r="D290" s="200"/>
      <c r="E290" s="201"/>
      <c r="F290" s="199"/>
      <c r="H290" s="202"/>
      <c r="I290" s="185" t="str">
        <f t="shared" si="28"/>
        <v/>
      </c>
      <c r="J290" s="203" t="str">
        <f>IF($H290="USD",IF(OR($I290="",$I290="-"),"",VLOOKUP($G290,為替!$A:$AX,$I290,FALSE))+$J$3,IF(OR($I290="",$I290="-"),"",VLOOKUP($G290,為替!$A:$AX,$I290,FALSE)))</f>
        <v/>
      </c>
      <c r="K290" s="204" t="str">
        <f t="shared" si="29"/>
        <v/>
      </c>
      <c r="L290" s="188" t="str">
        <f t="shared" si="31"/>
        <v/>
      </c>
      <c r="M290" s="203" t="str">
        <f>IF($H290="USD",IF(OR($L290="",$L290="-"),"",VLOOKUP($G290,為替!$A:$AX,$L290,FALSE))+$K$3,IF(OR($L290="",$L290="-"),"",VLOOKUP($G290,為替!$A:$AX,$L290,FALSE)))</f>
        <v/>
      </c>
      <c r="N290" s="204" t="str">
        <f t="shared" si="30"/>
        <v/>
      </c>
      <c r="O290" s="205" t="str">
        <f t="shared" si="32"/>
        <v/>
      </c>
      <c r="P290" s="206" t="str">
        <f t="shared" si="33"/>
        <v/>
      </c>
    </row>
    <row r="291" spans="3:16" x14ac:dyDescent="0.4">
      <c r="C291" s="199"/>
      <c r="D291" s="200"/>
      <c r="E291" s="201"/>
      <c r="F291" s="199"/>
      <c r="H291" s="202"/>
      <c r="I291" s="185" t="str">
        <f t="shared" si="28"/>
        <v/>
      </c>
      <c r="J291" s="203" t="str">
        <f>IF($H291="USD",IF(OR($I291="",$I291="-"),"",VLOOKUP($G291,為替!$A:$AX,$I291,FALSE))+$J$3,IF(OR($I291="",$I291="-"),"",VLOOKUP($G291,為替!$A:$AX,$I291,FALSE)))</f>
        <v/>
      </c>
      <c r="K291" s="204" t="str">
        <f t="shared" si="29"/>
        <v/>
      </c>
      <c r="L291" s="188" t="str">
        <f t="shared" si="31"/>
        <v/>
      </c>
      <c r="M291" s="203" t="str">
        <f>IF($H291="USD",IF(OR($L291="",$L291="-"),"",VLOOKUP($G291,為替!$A:$AX,$L291,FALSE))+$K$3,IF(OR($L291="",$L291="-"),"",VLOOKUP($G291,為替!$A:$AX,$L291,FALSE)))</f>
        <v/>
      </c>
      <c r="N291" s="204" t="str">
        <f t="shared" si="30"/>
        <v/>
      </c>
      <c r="O291" s="205" t="str">
        <f t="shared" si="32"/>
        <v/>
      </c>
      <c r="P291" s="206" t="str">
        <f t="shared" si="33"/>
        <v/>
      </c>
    </row>
    <row r="292" spans="3:16" x14ac:dyDescent="0.4">
      <c r="C292" s="199"/>
      <c r="D292" s="200"/>
      <c r="E292" s="201"/>
      <c r="F292" s="199"/>
      <c r="H292" s="202"/>
      <c r="I292" s="185" t="str">
        <f t="shared" si="28"/>
        <v/>
      </c>
      <c r="J292" s="203" t="str">
        <f>IF($H292="USD",IF(OR($I292="",$I292="-"),"",VLOOKUP($G292,為替!$A:$AX,$I292,FALSE))+$J$3,IF(OR($I292="",$I292="-"),"",VLOOKUP($G292,為替!$A:$AX,$I292,FALSE)))</f>
        <v/>
      </c>
      <c r="K292" s="204" t="str">
        <f t="shared" si="29"/>
        <v/>
      </c>
      <c r="L292" s="188" t="str">
        <f t="shared" si="31"/>
        <v/>
      </c>
      <c r="M292" s="203" t="str">
        <f>IF($H292="USD",IF(OR($L292="",$L292="-"),"",VLOOKUP($G292,為替!$A:$AX,$L292,FALSE))+$K$3,IF(OR($L292="",$L292="-"),"",VLOOKUP($G292,為替!$A:$AX,$L292,FALSE)))</f>
        <v/>
      </c>
      <c r="N292" s="204" t="str">
        <f t="shared" si="30"/>
        <v/>
      </c>
      <c r="O292" s="205" t="str">
        <f t="shared" si="32"/>
        <v/>
      </c>
      <c r="P292" s="206" t="str">
        <f t="shared" si="33"/>
        <v/>
      </c>
    </row>
    <row r="293" spans="3:16" x14ac:dyDescent="0.4">
      <c r="C293" s="199"/>
      <c r="D293" s="200"/>
      <c r="E293" s="201"/>
      <c r="F293" s="199"/>
      <c r="H293" s="202"/>
      <c r="I293" s="185" t="str">
        <f t="shared" si="28"/>
        <v/>
      </c>
      <c r="J293" s="203" t="str">
        <f>IF($H293="USD",IF(OR($I293="",$I293="-"),"",VLOOKUP($G293,為替!$A:$AX,$I293,FALSE))+$J$3,IF(OR($I293="",$I293="-"),"",VLOOKUP($G293,為替!$A:$AX,$I293,FALSE)))</f>
        <v/>
      </c>
      <c r="K293" s="204" t="str">
        <f t="shared" si="29"/>
        <v/>
      </c>
      <c r="L293" s="188" t="str">
        <f t="shared" si="31"/>
        <v/>
      </c>
      <c r="M293" s="203" t="str">
        <f>IF($H293="USD",IF(OR($L293="",$L293="-"),"",VLOOKUP($G293,為替!$A:$AX,$L293,FALSE))+$K$3,IF(OR($L293="",$L293="-"),"",VLOOKUP($G293,為替!$A:$AX,$L293,FALSE)))</f>
        <v/>
      </c>
      <c r="N293" s="204" t="str">
        <f t="shared" si="30"/>
        <v/>
      </c>
      <c r="O293" s="205" t="str">
        <f t="shared" si="32"/>
        <v/>
      </c>
      <c r="P293" s="206" t="str">
        <f t="shared" si="33"/>
        <v/>
      </c>
    </row>
    <row r="294" spans="3:16" x14ac:dyDescent="0.4">
      <c r="C294" s="199"/>
      <c r="D294" s="200"/>
      <c r="E294" s="201"/>
      <c r="F294" s="199"/>
      <c r="H294" s="202"/>
      <c r="I294" s="185" t="str">
        <f t="shared" si="28"/>
        <v/>
      </c>
      <c r="J294" s="203" t="str">
        <f>IF($H294="USD",IF(OR($I294="",$I294="-"),"",VLOOKUP($G294,為替!$A:$AX,$I294,FALSE))+$J$3,IF(OR($I294="",$I294="-"),"",VLOOKUP($G294,為替!$A:$AX,$I294,FALSE)))</f>
        <v/>
      </c>
      <c r="K294" s="204" t="str">
        <f t="shared" si="29"/>
        <v/>
      </c>
      <c r="L294" s="188" t="str">
        <f t="shared" si="31"/>
        <v/>
      </c>
      <c r="M294" s="203" t="str">
        <f>IF($H294="USD",IF(OR($L294="",$L294="-"),"",VLOOKUP($G294,為替!$A:$AX,$L294,FALSE))+$K$3,IF(OR($L294="",$L294="-"),"",VLOOKUP($G294,為替!$A:$AX,$L294,FALSE)))</f>
        <v/>
      </c>
      <c r="N294" s="204" t="str">
        <f t="shared" si="30"/>
        <v/>
      </c>
      <c r="O294" s="205" t="str">
        <f t="shared" si="32"/>
        <v/>
      </c>
      <c r="P294" s="206" t="str">
        <f t="shared" si="33"/>
        <v/>
      </c>
    </row>
    <row r="295" spans="3:16" x14ac:dyDescent="0.4">
      <c r="C295" s="199"/>
      <c r="D295" s="200"/>
      <c r="E295" s="201"/>
      <c r="F295" s="199"/>
      <c r="H295" s="202"/>
      <c r="I295" s="185" t="str">
        <f t="shared" si="28"/>
        <v/>
      </c>
      <c r="J295" s="203" t="str">
        <f>IF($H295="USD",IF(OR($I295="",$I295="-"),"",VLOOKUP($G295,為替!$A:$AX,$I295,FALSE))+$J$3,IF(OR($I295="",$I295="-"),"",VLOOKUP($G295,為替!$A:$AX,$I295,FALSE)))</f>
        <v/>
      </c>
      <c r="K295" s="204" t="str">
        <f t="shared" si="29"/>
        <v/>
      </c>
      <c r="L295" s="188" t="str">
        <f t="shared" si="31"/>
        <v/>
      </c>
      <c r="M295" s="203" t="str">
        <f>IF($H295="USD",IF(OR($L295="",$L295="-"),"",VLOOKUP($G295,為替!$A:$AX,$L295,FALSE))+$K$3,IF(OR($L295="",$L295="-"),"",VLOOKUP($G295,為替!$A:$AX,$L295,FALSE)))</f>
        <v/>
      </c>
      <c r="N295" s="204" t="str">
        <f t="shared" si="30"/>
        <v/>
      </c>
      <c r="O295" s="205" t="str">
        <f t="shared" si="32"/>
        <v/>
      </c>
      <c r="P295" s="206" t="str">
        <f t="shared" si="33"/>
        <v/>
      </c>
    </row>
    <row r="296" spans="3:16" x14ac:dyDescent="0.4">
      <c r="C296" s="199"/>
      <c r="D296" s="200"/>
      <c r="E296" s="201"/>
      <c r="F296" s="199"/>
      <c r="H296" s="202"/>
      <c r="I296" s="185" t="str">
        <f t="shared" si="28"/>
        <v/>
      </c>
      <c r="J296" s="203" t="str">
        <f>IF($H296="USD",IF(OR($I296="",$I296="-"),"",VLOOKUP($G296,為替!$A:$AX,$I296,FALSE))+$J$3,IF(OR($I296="",$I296="-"),"",VLOOKUP($G296,為替!$A:$AX,$I296,FALSE)))</f>
        <v/>
      </c>
      <c r="K296" s="204" t="str">
        <f t="shared" si="29"/>
        <v/>
      </c>
      <c r="L296" s="188" t="str">
        <f t="shared" si="31"/>
        <v/>
      </c>
      <c r="M296" s="203" t="str">
        <f>IF($H296="USD",IF(OR($L296="",$L296="-"),"",VLOOKUP($G296,為替!$A:$AX,$L296,FALSE))+$K$3,IF(OR($L296="",$L296="-"),"",VLOOKUP($G296,為替!$A:$AX,$L296,FALSE)))</f>
        <v/>
      </c>
      <c r="N296" s="204" t="str">
        <f t="shared" si="30"/>
        <v/>
      </c>
      <c r="O296" s="205" t="str">
        <f t="shared" si="32"/>
        <v/>
      </c>
      <c r="P296" s="206" t="str">
        <f t="shared" si="33"/>
        <v/>
      </c>
    </row>
    <row r="297" spans="3:16" x14ac:dyDescent="0.4">
      <c r="C297" s="199"/>
      <c r="D297" s="200"/>
      <c r="E297" s="201"/>
      <c r="F297" s="199"/>
      <c r="H297" s="202"/>
      <c r="I297" s="185" t="str">
        <f t="shared" si="28"/>
        <v/>
      </c>
      <c r="J297" s="203" t="str">
        <f>IF($H297="USD",IF(OR($I297="",$I297="-"),"",VLOOKUP($G297,為替!$A:$AX,$I297,FALSE))+$J$3,IF(OR($I297="",$I297="-"),"",VLOOKUP($G297,為替!$A:$AX,$I297,FALSE)))</f>
        <v/>
      </c>
      <c r="K297" s="204" t="str">
        <f t="shared" si="29"/>
        <v/>
      </c>
      <c r="L297" s="188" t="str">
        <f t="shared" si="31"/>
        <v/>
      </c>
      <c r="M297" s="203" t="str">
        <f>IF($H297="USD",IF(OR($L297="",$L297="-"),"",VLOOKUP($G297,為替!$A:$AX,$L297,FALSE))+$K$3,IF(OR($L297="",$L297="-"),"",VLOOKUP($G297,為替!$A:$AX,$L297,FALSE)))</f>
        <v/>
      </c>
      <c r="N297" s="204" t="str">
        <f t="shared" si="30"/>
        <v/>
      </c>
      <c r="O297" s="205" t="str">
        <f t="shared" si="32"/>
        <v/>
      </c>
      <c r="P297" s="206" t="str">
        <f t="shared" si="33"/>
        <v/>
      </c>
    </row>
    <row r="298" spans="3:16" x14ac:dyDescent="0.4">
      <c r="C298" s="199"/>
      <c r="D298" s="200"/>
      <c r="E298" s="201"/>
      <c r="F298" s="199"/>
      <c r="H298" s="202"/>
      <c r="I298" s="185" t="str">
        <f t="shared" si="28"/>
        <v/>
      </c>
      <c r="J298" s="203" t="str">
        <f>IF($H298="USD",IF(OR($I298="",$I298="-"),"",VLOOKUP($G298,為替!$A:$AX,$I298,FALSE))+$J$3,IF(OR($I298="",$I298="-"),"",VLOOKUP($G298,為替!$A:$AX,$I298,FALSE)))</f>
        <v/>
      </c>
      <c r="K298" s="204" t="str">
        <f t="shared" si="29"/>
        <v/>
      </c>
      <c r="L298" s="188" t="str">
        <f t="shared" si="31"/>
        <v/>
      </c>
      <c r="M298" s="203" t="str">
        <f>IF($H298="USD",IF(OR($L298="",$L298="-"),"",VLOOKUP($G298,為替!$A:$AX,$L298,FALSE))+$K$3,IF(OR($L298="",$L298="-"),"",VLOOKUP($G298,為替!$A:$AX,$L298,FALSE)))</f>
        <v/>
      </c>
      <c r="N298" s="204" t="str">
        <f t="shared" si="30"/>
        <v/>
      </c>
      <c r="O298" s="205" t="str">
        <f t="shared" si="32"/>
        <v/>
      </c>
      <c r="P298" s="206" t="str">
        <f t="shared" si="33"/>
        <v/>
      </c>
    </row>
    <row r="299" spans="3:16" x14ac:dyDescent="0.4">
      <c r="C299" s="199"/>
      <c r="D299" s="200"/>
      <c r="E299" s="201"/>
      <c r="F299" s="199"/>
      <c r="H299" s="202"/>
      <c r="I299" s="185" t="str">
        <f t="shared" si="28"/>
        <v/>
      </c>
      <c r="J299" s="203" t="str">
        <f>IF($H299="USD",IF(OR($I299="",$I299="-"),"",VLOOKUP($G299,為替!$A:$AX,$I299,FALSE))+$J$3,IF(OR($I299="",$I299="-"),"",VLOOKUP($G299,為替!$A:$AX,$I299,FALSE)))</f>
        <v/>
      </c>
      <c r="K299" s="204" t="str">
        <f t="shared" si="29"/>
        <v/>
      </c>
      <c r="L299" s="188" t="str">
        <f t="shared" si="31"/>
        <v/>
      </c>
      <c r="M299" s="203" t="str">
        <f>IF($H299="USD",IF(OR($L299="",$L299="-"),"",VLOOKUP($G299,為替!$A:$AX,$L299,FALSE))+$K$3,IF(OR($L299="",$L299="-"),"",VLOOKUP($G299,為替!$A:$AX,$L299,FALSE)))</f>
        <v/>
      </c>
      <c r="N299" s="204" t="str">
        <f t="shared" si="30"/>
        <v/>
      </c>
      <c r="O299" s="205" t="str">
        <f t="shared" si="32"/>
        <v/>
      </c>
      <c r="P299" s="206" t="str">
        <f t="shared" si="33"/>
        <v/>
      </c>
    </row>
    <row r="300" spans="3:16" x14ac:dyDescent="0.4">
      <c r="C300" s="199"/>
      <c r="D300" s="200"/>
      <c r="E300" s="201"/>
      <c r="F300" s="199"/>
      <c r="H300" s="202"/>
      <c r="I300" s="185" t="str">
        <f t="shared" si="28"/>
        <v/>
      </c>
      <c r="J300" s="203" t="str">
        <f>IF($H300="USD",IF(OR($I300="",$I300="-"),"",VLOOKUP($G300,為替!$A:$AX,$I300,FALSE))+$J$3,IF(OR($I300="",$I300="-"),"",VLOOKUP($G300,為替!$A:$AX,$I300,FALSE)))</f>
        <v/>
      </c>
      <c r="K300" s="204" t="str">
        <f t="shared" si="29"/>
        <v/>
      </c>
      <c r="L300" s="188" t="str">
        <f t="shared" si="31"/>
        <v/>
      </c>
      <c r="M300" s="203" t="str">
        <f>IF($H300="USD",IF(OR($L300="",$L300="-"),"",VLOOKUP($G300,為替!$A:$AX,$L300,FALSE))+$K$3,IF(OR($L300="",$L300="-"),"",VLOOKUP($G300,為替!$A:$AX,$L300,FALSE)))</f>
        <v/>
      </c>
      <c r="N300" s="204" t="str">
        <f t="shared" si="30"/>
        <v/>
      </c>
      <c r="O300" s="205" t="str">
        <f t="shared" si="32"/>
        <v/>
      </c>
      <c r="P300" s="206" t="str">
        <f t="shared" si="33"/>
        <v/>
      </c>
    </row>
    <row r="301" spans="3:16" x14ac:dyDescent="0.4">
      <c r="C301" s="199"/>
      <c r="D301" s="200"/>
      <c r="E301" s="201"/>
      <c r="F301" s="199"/>
      <c r="H301" s="202"/>
      <c r="I301" s="185" t="str">
        <f t="shared" si="28"/>
        <v/>
      </c>
      <c r="J301" s="203" t="str">
        <f>IF($H301="USD",IF(OR($I301="",$I301="-"),"",VLOOKUP($G301,為替!$A:$AX,$I301,FALSE))+$J$3,IF(OR($I301="",$I301="-"),"",VLOOKUP($G301,為替!$A:$AX,$I301,FALSE)))</f>
        <v/>
      </c>
      <c r="K301" s="204" t="str">
        <f t="shared" si="29"/>
        <v/>
      </c>
      <c r="L301" s="188" t="str">
        <f t="shared" si="31"/>
        <v/>
      </c>
      <c r="M301" s="203" t="str">
        <f>IF($H301="USD",IF(OR($L301="",$L301="-"),"",VLOOKUP($G301,為替!$A:$AX,$L301,FALSE))+$K$3,IF(OR($L301="",$L301="-"),"",VLOOKUP($G301,為替!$A:$AX,$L301,FALSE)))</f>
        <v/>
      </c>
      <c r="N301" s="204" t="str">
        <f t="shared" si="30"/>
        <v/>
      </c>
      <c r="O301" s="205" t="str">
        <f t="shared" si="32"/>
        <v/>
      </c>
      <c r="P301" s="206" t="str">
        <f t="shared" si="33"/>
        <v/>
      </c>
    </row>
    <row r="302" spans="3:16" x14ac:dyDescent="0.4">
      <c r="C302" s="199"/>
      <c r="D302" s="200"/>
      <c r="E302" s="201"/>
      <c r="F302" s="199"/>
      <c r="H302" s="202"/>
      <c r="I302" s="185" t="str">
        <f t="shared" si="28"/>
        <v/>
      </c>
      <c r="J302" s="203" t="str">
        <f>IF($H302="USD",IF(OR($I302="",$I302="-"),"",VLOOKUP($G302,為替!$A:$AX,$I302,FALSE))+$J$3,IF(OR($I302="",$I302="-"),"",VLOOKUP($G302,為替!$A:$AX,$I302,FALSE)))</f>
        <v/>
      </c>
      <c r="K302" s="204" t="str">
        <f t="shared" si="29"/>
        <v/>
      </c>
      <c r="L302" s="188" t="str">
        <f t="shared" si="31"/>
        <v/>
      </c>
      <c r="M302" s="203" t="str">
        <f>IF($H302="USD",IF(OR($L302="",$L302="-"),"",VLOOKUP($G302,為替!$A:$AX,$L302,FALSE))+$K$3,IF(OR($L302="",$L302="-"),"",VLOOKUP($G302,為替!$A:$AX,$L302,FALSE)))</f>
        <v/>
      </c>
      <c r="N302" s="204" t="str">
        <f t="shared" si="30"/>
        <v/>
      </c>
      <c r="O302" s="205" t="str">
        <f t="shared" si="32"/>
        <v/>
      </c>
      <c r="P302" s="206" t="str">
        <f t="shared" si="33"/>
        <v/>
      </c>
    </row>
    <row r="303" spans="3:16" x14ac:dyDescent="0.4">
      <c r="C303" s="199"/>
      <c r="D303" s="200"/>
      <c r="E303" s="201"/>
      <c r="F303" s="199"/>
      <c r="H303" s="202"/>
      <c r="I303" s="185" t="str">
        <f t="shared" si="28"/>
        <v/>
      </c>
      <c r="J303" s="203" t="str">
        <f>IF($H303="USD",IF(OR($I303="",$I303="-"),"",VLOOKUP($G303,為替!$A:$AX,$I303,FALSE))+$J$3,IF(OR($I303="",$I303="-"),"",VLOOKUP($G303,為替!$A:$AX,$I303,FALSE)))</f>
        <v/>
      </c>
      <c r="K303" s="204" t="str">
        <f t="shared" si="29"/>
        <v/>
      </c>
      <c r="L303" s="188" t="str">
        <f t="shared" si="31"/>
        <v/>
      </c>
      <c r="M303" s="203" t="str">
        <f>IF($H303="USD",IF(OR($L303="",$L303="-"),"",VLOOKUP($G303,為替!$A:$AX,$L303,FALSE))+$K$3,IF(OR($L303="",$L303="-"),"",VLOOKUP($G303,為替!$A:$AX,$L303,FALSE)))</f>
        <v/>
      </c>
      <c r="N303" s="204" t="str">
        <f t="shared" si="30"/>
        <v/>
      </c>
      <c r="O303" s="205" t="str">
        <f t="shared" si="32"/>
        <v/>
      </c>
      <c r="P303" s="206" t="str">
        <f t="shared" si="33"/>
        <v/>
      </c>
    </row>
    <row r="304" spans="3:16" x14ac:dyDescent="0.4">
      <c r="C304" s="199"/>
      <c r="D304" s="200"/>
      <c r="E304" s="201"/>
      <c r="F304" s="199"/>
      <c r="H304" s="202"/>
      <c r="I304" s="185" t="str">
        <f t="shared" si="28"/>
        <v/>
      </c>
      <c r="J304" s="203" t="str">
        <f>IF($H304="USD",IF(OR($I304="",$I304="-"),"",VLOOKUP($G304,為替!$A:$AX,$I304,FALSE))+$J$3,IF(OR($I304="",$I304="-"),"",VLOOKUP($G304,為替!$A:$AX,$I304,FALSE)))</f>
        <v/>
      </c>
      <c r="K304" s="204" t="str">
        <f t="shared" si="29"/>
        <v/>
      </c>
      <c r="L304" s="188" t="str">
        <f t="shared" si="31"/>
        <v/>
      </c>
      <c r="M304" s="203" t="str">
        <f>IF($H304="USD",IF(OR($L304="",$L304="-"),"",VLOOKUP($G304,為替!$A:$AX,$L304,FALSE))+$K$3,IF(OR($L304="",$L304="-"),"",VLOOKUP($G304,為替!$A:$AX,$L304,FALSE)))</f>
        <v/>
      </c>
      <c r="N304" s="204" t="str">
        <f t="shared" si="30"/>
        <v/>
      </c>
      <c r="O304" s="205" t="str">
        <f t="shared" si="32"/>
        <v/>
      </c>
      <c r="P304" s="206" t="str">
        <f t="shared" si="33"/>
        <v/>
      </c>
    </row>
    <row r="305" spans="3:16" x14ac:dyDescent="0.4">
      <c r="C305" s="199"/>
      <c r="D305" s="200"/>
      <c r="E305" s="201"/>
      <c r="F305" s="199"/>
      <c r="H305" s="202"/>
      <c r="I305" s="185" t="str">
        <f t="shared" si="28"/>
        <v/>
      </c>
      <c r="J305" s="203" t="str">
        <f>IF($H305="USD",IF(OR($I305="",$I305="-"),"",VLOOKUP($G305,為替!$A:$AX,$I305,FALSE))+$J$3,IF(OR($I305="",$I305="-"),"",VLOOKUP($G305,為替!$A:$AX,$I305,FALSE)))</f>
        <v/>
      </c>
      <c r="K305" s="204" t="str">
        <f t="shared" si="29"/>
        <v/>
      </c>
      <c r="L305" s="188" t="str">
        <f t="shared" si="31"/>
        <v/>
      </c>
      <c r="M305" s="203" t="str">
        <f>IF($H305="USD",IF(OR($L305="",$L305="-"),"",VLOOKUP($G305,為替!$A:$AX,$L305,FALSE))+$K$3,IF(OR($L305="",$L305="-"),"",VLOOKUP($G305,為替!$A:$AX,$L305,FALSE)))</f>
        <v/>
      </c>
      <c r="N305" s="204" t="str">
        <f t="shared" si="30"/>
        <v/>
      </c>
      <c r="O305" s="205" t="str">
        <f t="shared" si="32"/>
        <v/>
      </c>
      <c r="P305" s="206" t="str">
        <f t="shared" si="33"/>
        <v/>
      </c>
    </row>
    <row r="306" spans="3:16" x14ac:dyDescent="0.4">
      <c r="C306" s="199"/>
      <c r="D306" s="200"/>
      <c r="E306" s="201"/>
      <c r="F306" s="199"/>
      <c r="H306" s="202"/>
      <c r="I306" s="185" t="str">
        <f t="shared" si="28"/>
        <v/>
      </c>
      <c r="J306" s="203" t="str">
        <f>IF($H306="USD",IF(OR($I306="",$I306="-"),"",VLOOKUP($G306,為替!$A:$AX,$I306,FALSE))+$J$3,IF(OR($I306="",$I306="-"),"",VLOOKUP($G306,為替!$A:$AX,$I306,FALSE)))</f>
        <v/>
      </c>
      <c r="K306" s="204" t="str">
        <f t="shared" si="29"/>
        <v/>
      </c>
      <c r="L306" s="188" t="str">
        <f t="shared" si="31"/>
        <v/>
      </c>
      <c r="M306" s="203" t="str">
        <f>IF($H306="USD",IF(OR($L306="",$L306="-"),"",VLOOKUP($G306,為替!$A:$AX,$L306,FALSE))+$K$3,IF(OR($L306="",$L306="-"),"",VLOOKUP($G306,為替!$A:$AX,$L306,FALSE)))</f>
        <v/>
      </c>
      <c r="N306" s="204" t="str">
        <f t="shared" si="30"/>
        <v/>
      </c>
      <c r="O306" s="205" t="str">
        <f t="shared" si="32"/>
        <v/>
      </c>
      <c r="P306" s="206" t="str">
        <f t="shared" si="33"/>
        <v/>
      </c>
    </row>
    <row r="307" spans="3:16" x14ac:dyDescent="0.4">
      <c r="C307" s="199"/>
      <c r="D307" s="200"/>
      <c r="E307" s="201"/>
      <c r="F307" s="199"/>
      <c r="H307" s="202"/>
      <c r="I307" s="185" t="str">
        <f t="shared" si="28"/>
        <v/>
      </c>
      <c r="J307" s="203" t="str">
        <f>IF($H307="USD",IF(OR($I307="",$I307="-"),"",VLOOKUP($G307,為替!$A:$AX,$I307,FALSE))+$J$3,IF(OR($I307="",$I307="-"),"",VLOOKUP($G307,為替!$A:$AX,$I307,FALSE)))</f>
        <v/>
      </c>
      <c r="K307" s="204" t="str">
        <f t="shared" si="29"/>
        <v/>
      </c>
      <c r="L307" s="188" t="str">
        <f t="shared" si="31"/>
        <v/>
      </c>
      <c r="M307" s="203" t="str">
        <f>IF($H307="USD",IF(OR($L307="",$L307="-"),"",VLOOKUP($G307,為替!$A:$AX,$L307,FALSE))+$K$3,IF(OR($L307="",$L307="-"),"",VLOOKUP($G307,為替!$A:$AX,$L307,FALSE)))</f>
        <v/>
      </c>
      <c r="N307" s="204" t="str">
        <f t="shared" si="30"/>
        <v/>
      </c>
      <c r="O307" s="205" t="str">
        <f t="shared" si="32"/>
        <v/>
      </c>
      <c r="P307" s="206" t="str">
        <f t="shared" si="33"/>
        <v/>
      </c>
    </row>
    <row r="308" spans="3:16" x14ac:dyDescent="0.4">
      <c r="C308" s="199"/>
      <c r="D308" s="200"/>
      <c r="E308" s="201"/>
      <c r="F308" s="199"/>
      <c r="H308" s="202"/>
      <c r="I308" s="185" t="str">
        <f t="shared" si="28"/>
        <v/>
      </c>
      <c r="J308" s="203" t="str">
        <f>IF($H308="USD",IF(OR($I308="",$I308="-"),"",VLOOKUP($G308,為替!$A:$AX,$I308,FALSE))+$J$3,IF(OR($I308="",$I308="-"),"",VLOOKUP($G308,為替!$A:$AX,$I308,FALSE)))</f>
        <v/>
      </c>
      <c r="K308" s="204" t="str">
        <f t="shared" si="29"/>
        <v/>
      </c>
      <c r="L308" s="188" t="str">
        <f t="shared" si="31"/>
        <v/>
      </c>
      <c r="M308" s="203" t="str">
        <f>IF($H308="USD",IF(OR($L308="",$L308="-"),"",VLOOKUP($G308,為替!$A:$AX,$L308,FALSE))+$K$3,IF(OR($L308="",$L308="-"),"",VLOOKUP($G308,為替!$A:$AX,$L308,FALSE)))</f>
        <v/>
      </c>
      <c r="N308" s="204" t="str">
        <f t="shared" si="30"/>
        <v/>
      </c>
      <c r="O308" s="205" t="str">
        <f t="shared" si="32"/>
        <v/>
      </c>
      <c r="P308" s="206" t="str">
        <f t="shared" si="33"/>
        <v/>
      </c>
    </row>
    <row r="309" spans="3:16" x14ac:dyDescent="0.4">
      <c r="C309" s="199"/>
      <c r="D309" s="200"/>
      <c r="E309" s="201"/>
      <c r="F309" s="199"/>
      <c r="H309" s="202"/>
      <c r="I309" s="185" t="str">
        <f t="shared" si="28"/>
        <v/>
      </c>
      <c r="J309" s="203" t="str">
        <f>IF($H309="USD",IF(OR($I309="",$I309="-"),"",VLOOKUP($G309,為替!$A:$AX,$I309,FALSE))+$J$3,IF(OR($I309="",$I309="-"),"",VLOOKUP($G309,為替!$A:$AX,$I309,FALSE)))</f>
        <v/>
      </c>
      <c r="K309" s="204" t="str">
        <f t="shared" si="29"/>
        <v/>
      </c>
      <c r="L309" s="188" t="str">
        <f t="shared" si="31"/>
        <v/>
      </c>
      <c r="M309" s="203" t="str">
        <f>IF($H309="USD",IF(OR($L309="",$L309="-"),"",VLOOKUP($G309,為替!$A:$AX,$L309,FALSE))+$K$3,IF(OR($L309="",$L309="-"),"",VLOOKUP($G309,為替!$A:$AX,$L309,FALSE)))</f>
        <v/>
      </c>
      <c r="N309" s="204" t="str">
        <f t="shared" si="30"/>
        <v/>
      </c>
      <c r="O309" s="205" t="str">
        <f t="shared" si="32"/>
        <v/>
      </c>
      <c r="P309" s="206" t="str">
        <f t="shared" si="33"/>
        <v/>
      </c>
    </row>
    <row r="310" spans="3:16" x14ac:dyDescent="0.4">
      <c r="C310" s="199"/>
      <c r="D310" s="200"/>
      <c r="E310" s="201"/>
      <c r="F310" s="199"/>
      <c r="H310" s="202"/>
      <c r="I310" s="185" t="str">
        <f t="shared" si="28"/>
        <v/>
      </c>
      <c r="J310" s="203" t="str">
        <f>IF($H310="USD",IF(OR($I310="",$I310="-"),"",VLOOKUP($G310,為替!$A:$AX,$I310,FALSE))+$J$3,IF(OR($I310="",$I310="-"),"",VLOOKUP($G310,為替!$A:$AX,$I310,FALSE)))</f>
        <v/>
      </c>
      <c r="K310" s="204" t="str">
        <f t="shared" si="29"/>
        <v/>
      </c>
      <c r="L310" s="188" t="str">
        <f t="shared" si="31"/>
        <v/>
      </c>
      <c r="M310" s="203" t="str">
        <f>IF($H310="USD",IF(OR($L310="",$L310="-"),"",VLOOKUP($G310,為替!$A:$AX,$L310,FALSE))+$K$3,IF(OR($L310="",$L310="-"),"",VLOOKUP($G310,為替!$A:$AX,$L310,FALSE)))</f>
        <v/>
      </c>
      <c r="N310" s="204" t="str">
        <f t="shared" si="30"/>
        <v/>
      </c>
      <c r="O310" s="205" t="str">
        <f t="shared" si="32"/>
        <v/>
      </c>
      <c r="P310" s="206" t="str">
        <f t="shared" si="33"/>
        <v/>
      </c>
    </row>
    <row r="311" spans="3:16" x14ac:dyDescent="0.4">
      <c r="C311" s="199"/>
      <c r="D311" s="200"/>
      <c r="E311" s="201"/>
      <c r="F311" s="199"/>
      <c r="H311" s="202"/>
      <c r="I311" s="185" t="str">
        <f t="shared" si="28"/>
        <v/>
      </c>
      <c r="J311" s="203" t="str">
        <f>IF($H311="USD",IF(OR($I311="",$I311="-"),"",VLOOKUP($G311,為替!$A:$AX,$I311,FALSE))+$J$3,IF(OR($I311="",$I311="-"),"",VLOOKUP($G311,為替!$A:$AX,$I311,FALSE)))</f>
        <v/>
      </c>
      <c r="K311" s="204" t="str">
        <f t="shared" si="29"/>
        <v/>
      </c>
      <c r="L311" s="188" t="str">
        <f t="shared" si="31"/>
        <v/>
      </c>
      <c r="M311" s="203" t="str">
        <f>IF($H311="USD",IF(OR($L311="",$L311="-"),"",VLOOKUP($G311,為替!$A:$AX,$L311,FALSE))+$K$3,IF(OR($L311="",$L311="-"),"",VLOOKUP($G311,為替!$A:$AX,$L311,FALSE)))</f>
        <v/>
      </c>
      <c r="N311" s="204" t="str">
        <f t="shared" si="30"/>
        <v/>
      </c>
      <c r="O311" s="205" t="str">
        <f t="shared" si="32"/>
        <v/>
      </c>
      <c r="P311" s="206" t="str">
        <f t="shared" si="33"/>
        <v/>
      </c>
    </row>
    <row r="312" spans="3:16" x14ac:dyDescent="0.4">
      <c r="C312" s="199"/>
      <c r="D312" s="200"/>
      <c r="E312" s="201"/>
      <c r="F312" s="199"/>
      <c r="H312" s="202"/>
      <c r="I312" s="185" t="str">
        <f t="shared" si="28"/>
        <v/>
      </c>
      <c r="J312" s="203" t="str">
        <f>IF($H312="USD",IF(OR($I312="",$I312="-"),"",VLOOKUP($G312,為替!$A:$AX,$I312,FALSE))+$J$3,IF(OR($I312="",$I312="-"),"",VLOOKUP($G312,為替!$A:$AX,$I312,FALSE)))</f>
        <v/>
      </c>
      <c r="K312" s="204" t="str">
        <f t="shared" si="29"/>
        <v/>
      </c>
      <c r="L312" s="188" t="str">
        <f t="shared" si="31"/>
        <v/>
      </c>
      <c r="M312" s="203" t="str">
        <f>IF($H312="USD",IF(OR($L312="",$L312="-"),"",VLOOKUP($G312,為替!$A:$AX,$L312,FALSE))+$K$3,IF(OR($L312="",$L312="-"),"",VLOOKUP($G312,為替!$A:$AX,$L312,FALSE)))</f>
        <v/>
      </c>
      <c r="N312" s="204" t="str">
        <f t="shared" si="30"/>
        <v/>
      </c>
      <c r="O312" s="205" t="str">
        <f t="shared" si="32"/>
        <v/>
      </c>
      <c r="P312" s="206" t="str">
        <f t="shared" si="33"/>
        <v/>
      </c>
    </row>
    <row r="313" spans="3:16" x14ac:dyDescent="0.4">
      <c r="C313" s="199"/>
      <c r="D313" s="200"/>
      <c r="E313" s="201"/>
      <c r="F313" s="199"/>
      <c r="H313" s="202"/>
      <c r="I313" s="185" t="str">
        <f t="shared" si="28"/>
        <v/>
      </c>
      <c r="J313" s="203" t="str">
        <f>IF($H313="USD",IF(OR($I313="",$I313="-"),"",VLOOKUP($G313,為替!$A:$AX,$I313,FALSE))+$J$3,IF(OR($I313="",$I313="-"),"",VLOOKUP($G313,為替!$A:$AX,$I313,FALSE)))</f>
        <v/>
      </c>
      <c r="K313" s="204" t="str">
        <f t="shared" si="29"/>
        <v/>
      </c>
      <c r="L313" s="188" t="str">
        <f t="shared" si="31"/>
        <v/>
      </c>
      <c r="M313" s="203" t="str">
        <f>IF($H313="USD",IF(OR($L313="",$L313="-"),"",VLOOKUP($G313,為替!$A:$AX,$L313,FALSE))+$K$3,IF(OR($L313="",$L313="-"),"",VLOOKUP($G313,為替!$A:$AX,$L313,FALSE)))</f>
        <v/>
      </c>
      <c r="N313" s="204" t="str">
        <f t="shared" si="30"/>
        <v/>
      </c>
      <c r="O313" s="205" t="str">
        <f t="shared" si="32"/>
        <v/>
      </c>
      <c r="P313" s="206" t="str">
        <f t="shared" si="33"/>
        <v/>
      </c>
    </row>
    <row r="314" spans="3:16" x14ac:dyDescent="0.4">
      <c r="C314" s="199"/>
      <c r="D314" s="200"/>
      <c r="E314" s="201"/>
      <c r="F314" s="199"/>
      <c r="H314" s="202"/>
      <c r="I314" s="185" t="str">
        <f t="shared" si="28"/>
        <v/>
      </c>
      <c r="J314" s="203" t="str">
        <f>IF($H314="USD",IF(OR($I314="",$I314="-"),"",VLOOKUP($G314,為替!$A:$AX,$I314,FALSE))+$J$3,IF(OR($I314="",$I314="-"),"",VLOOKUP($G314,為替!$A:$AX,$I314,FALSE)))</f>
        <v/>
      </c>
      <c r="K314" s="204" t="str">
        <f t="shared" si="29"/>
        <v/>
      </c>
      <c r="L314" s="188" t="str">
        <f t="shared" si="31"/>
        <v/>
      </c>
      <c r="M314" s="203" t="str">
        <f>IF($H314="USD",IF(OR($L314="",$L314="-"),"",VLOOKUP($G314,為替!$A:$AX,$L314,FALSE))+$K$3,IF(OR($L314="",$L314="-"),"",VLOOKUP($G314,為替!$A:$AX,$L314,FALSE)))</f>
        <v/>
      </c>
      <c r="N314" s="204" t="str">
        <f t="shared" si="30"/>
        <v/>
      </c>
      <c r="O314" s="205" t="str">
        <f t="shared" si="32"/>
        <v/>
      </c>
      <c r="P314" s="206" t="str">
        <f t="shared" si="33"/>
        <v/>
      </c>
    </row>
    <row r="315" spans="3:16" x14ac:dyDescent="0.4">
      <c r="C315" s="199"/>
      <c r="D315" s="200"/>
      <c r="E315" s="201"/>
      <c r="F315" s="199"/>
      <c r="H315" s="202"/>
      <c r="I315" s="185" t="str">
        <f t="shared" si="28"/>
        <v/>
      </c>
      <c r="J315" s="203" t="str">
        <f>IF($H315="USD",IF(OR($I315="",$I315="-"),"",VLOOKUP($G315,為替!$A:$AX,$I315,FALSE))+$J$3,IF(OR($I315="",$I315="-"),"",VLOOKUP($G315,為替!$A:$AX,$I315,FALSE)))</f>
        <v/>
      </c>
      <c r="K315" s="204" t="str">
        <f t="shared" si="29"/>
        <v/>
      </c>
      <c r="L315" s="188" t="str">
        <f t="shared" si="31"/>
        <v/>
      </c>
      <c r="M315" s="203" t="str">
        <f>IF($H315="USD",IF(OR($L315="",$L315="-"),"",VLOOKUP($G315,為替!$A:$AX,$L315,FALSE))+$K$3,IF(OR($L315="",$L315="-"),"",VLOOKUP($G315,為替!$A:$AX,$L315,FALSE)))</f>
        <v/>
      </c>
      <c r="N315" s="204" t="str">
        <f t="shared" si="30"/>
        <v/>
      </c>
      <c r="O315" s="205" t="str">
        <f t="shared" si="32"/>
        <v/>
      </c>
      <c r="P315" s="206" t="str">
        <f t="shared" si="33"/>
        <v/>
      </c>
    </row>
    <row r="316" spans="3:16" x14ac:dyDescent="0.4">
      <c r="C316" s="199"/>
      <c r="D316" s="200"/>
      <c r="E316" s="201"/>
      <c r="F316" s="199"/>
      <c r="H316" s="202"/>
      <c r="I316" s="185" t="str">
        <f t="shared" si="28"/>
        <v/>
      </c>
      <c r="J316" s="203" t="str">
        <f>IF($H316="USD",IF(OR($I316="",$I316="-"),"",VLOOKUP($G316,為替!$A:$AX,$I316,FALSE))+$J$3,IF(OR($I316="",$I316="-"),"",VLOOKUP($G316,為替!$A:$AX,$I316,FALSE)))</f>
        <v/>
      </c>
      <c r="K316" s="204" t="str">
        <f t="shared" si="29"/>
        <v/>
      </c>
      <c r="L316" s="188" t="str">
        <f t="shared" si="31"/>
        <v/>
      </c>
      <c r="M316" s="203" t="str">
        <f>IF($H316="USD",IF(OR($L316="",$L316="-"),"",VLOOKUP($G316,為替!$A:$AX,$L316,FALSE))+$K$3,IF(OR($L316="",$L316="-"),"",VLOOKUP($G316,為替!$A:$AX,$L316,FALSE)))</f>
        <v/>
      </c>
      <c r="N316" s="204" t="str">
        <f t="shared" si="30"/>
        <v/>
      </c>
      <c r="O316" s="205" t="str">
        <f t="shared" si="32"/>
        <v/>
      </c>
      <c r="P316" s="206" t="str">
        <f t="shared" si="33"/>
        <v/>
      </c>
    </row>
    <row r="317" spans="3:16" x14ac:dyDescent="0.4">
      <c r="C317" s="199"/>
      <c r="D317" s="200"/>
      <c r="E317" s="201"/>
      <c r="F317" s="199"/>
      <c r="H317" s="202"/>
      <c r="I317" s="185" t="str">
        <f t="shared" si="28"/>
        <v/>
      </c>
      <c r="J317" s="203" t="str">
        <f>IF($H317="USD",IF(OR($I317="",$I317="-"),"",VLOOKUP($G317,為替!$A:$AX,$I317,FALSE))+$J$3,IF(OR($I317="",$I317="-"),"",VLOOKUP($G317,為替!$A:$AX,$I317,FALSE)))</f>
        <v/>
      </c>
      <c r="K317" s="204" t="str">
        <f t="shared" si="29"/>
        <v/>
      </c>
      <c r="L317" s="188" t="str">
        <f t="shared" si="31"/>
        <v/>
      </c>
      <c r="M317" s="203" t="str">
        <f>IF($H317="USD",IF(OR($L317="",$L317="-"),"",VLOOKUP($G317,為替!$A:$AX,$L317,FALSE))+$K$3,IF(OR($L317="",$L317="-"),"",VLOOKUP($G317,為替!$A:$AX,$L317,FALSE)))</f>
        <v/>
      </c>
      <c r="N317" s="204" t="str">
        <f t="shared" si="30"/>
        <v/>
      </c>
      <c r="O317" s="205" t="str">
        <f t="shared" si="32"/>
        <v/>
      </c>
      <c r="P317" s="206" t="str">
        <f t="shared" si="33"/>
        <v/>
      </c>
    </row>
    <row r="318" spans="3:16" x14ac:dyDescent="0.4">
      <c r="C318" s="199"/>
      <c r="D318" s="200"/>
      <c r="E318" s="201"/>
      <c r="F318" s="199"/>
      <c r="H318" s="202"/>
      <c r="I318" s="185" t="str">
        <f t="shared" si="28"/>
        <v/>
      </c>
      <c r="J318" s="203" t="str">
        <f>IF($H318="USD",IF(OR($I318="",$I318="-"),"",VLOOKUP($G318,為替!$A:$AX,$I318,FALSE))+$J$3,IF(OR($I318="",$I318="-"),"",VLOOKUP($G318,為替!$A:$AX,$I318,FALSE)))</f>
        <v/>
      </c>
      <c r="K318" s="204" t="str">
        <f t="shared" si="29"/>
        <v/>
      </c>
      <c r="L318" s="188" t="str">
        <f t="shared" si="31"/>
        <v/>
      </c>
      <c r="M318" s="203" t="str">
        <f>IF($H318="USD",IF(OR($L318="",$L318="-"),"",VLOOKUP($G318,為替!$A:$AX,$L318,FALSE))+$K$3,IF(OR($L318="",$L318="-"),"",VLOOKUP($G318,為替!$A:$AX,$L318,FALSE)))</f>
        <v/>
      </c>
      <c r="N318" s="204" t="str">
        <f t="shared" si="30"/>
        <v/>
      </c>
      <c r="O318" s="205" t="str">
        <f t="shared" si="32"/>
        <v/>
      </c>
      <c r="P318" s="206" t="str">
        <f t="shared" si="33"/>
        <v/>
      </c>
    </row>
    <row r="319" spans="3:16" x14ac:dyDescent="0.4">
      <c r="C319" s="199"/>
      <c r="D319" s="200"/>
      <c r="E319" s="201"/>
      <c r="F319" s="199"/>
      <c r="H319" s="202"/>
      <c r="I319" s="185" t="str">
        <f t="shared" si="28"/>
        <v/>
      </c>
      <c r="J319" s="203" t="str">
        <f>IF($H319="USD",IF(OR($I319="",$I319="-"),"",VLOOKUP($G319,為替!$A:$AX,$I319,FALSE))+$J$3,IF(OR($I319="",$I319="-"),"",VLOOKUP($G319,為替!$A:$AX,$I319,FALSE)))</f>
        <v/>
      </c>
      <c r="K319" s="204" t="str">
        <f t="shared" si="29"/>
        <v/>
      </c>
      <c r="L319" s="188" t="str">
        <f t="shared" si="31"/>
        <v/>
      </c>
      <c r="M319" s="203" t="str">
        <f>IF($H319="USD",IF(OR($L319="",$L319="-"),"",VLOOKUP($G319,為替!$A:$AX,$L319,FALSE))+$K$3,IF(OR($L319="",$L319="-"),"",VLOOKUP($G319,為替!$A:$AX,$L319,FALSE)))</f>
        <v/>
      </c>
      <c r="N319" s="204" t="str">
        <f t="shared" si="30"/>
        <v/>
      </c>
      <c r="O319" s="205" t="str">
        <f t="shared" si="32"/>
        <v/>
      </c>
      <c r="P319" s="206" t="str">
        <f t="shared" si="33"/>
        <v/>
      </c>
    </row>
    <row r="320" spans="3:16" x14ac:dyDescent="0.4">
      <c r="C320" s="199"/>
      <c r="D320" s="200"/>
      <c r="E320" s="201"/>
      <c r="F320" s="199"/>
      <c r="H320" s="202"/>
      <c r="I320" s="185" t="str">
        <f t="shared" si="28"/>
        <v/>
      </c>
      <c r="J320" s="203" t="str">
        <f>IF($H320="USD",IF(OR($I320="",$I320="-"),"",VLOOKUP($G320,為替!$A:$AX,$I320,FALSE))+$J$3,IF(OR($I320="",$I320="-"),"",VLOOKUP($G320,為替!$A:$AX,$I320,FALSE)))</f>
        <v/>
      </c>
      <c r="K320" s="204" t="str">
        <f t="shared" si="29"/>
        <v/>
      </c>
      <c r="L320" s="188" t="str">
        <f t="shared" si="31"/>
        <v/>
      </c>
      <c r="M320" s="203" t="str">
        <f>IF($H320="USD",IF(OR($L320="",$L320="-"),"",VLOOKUP($G320,為替!$A:$AX,$L320,FALSE))+$K$3,IF(OR($L320="",$L320="-"),"",VLOOKUP($G320,為替!$A:$AX,$L320,FALSE)))</f>
        <v/>
      </c>
      <c r="N320" s="204" t="str">
        <f t="shared" si="30"/>
        <v/>
      </c>
      <c r="O320" s="205" t="str">
        <f t="shared" si="32"/>
        <v/>
      </c>
      <c r="P320" s="206" t="str">
        <f t="shared" si="33"/>
        <v/>
      </c>
    </row>
    <row r="321" spans="3:16" x14ac:dyDescent="0.4">
      <c r="C321" s="199"/>
      <c r="D321" s="200"/>
      <c r="E321" s="201"/>
      <c r="F321" s="199"/>
      <c r="H321" s="202"/>
      <c r="I321" s="185" t="str">
        <f t="shared" si="28"/>
        <v/>
      </c>
      <c r="J321" s="203" t="str">
        <f>IF($H321="USD",IF(OR($I321="",$I321="-"),"",VLOOKUP($G321,為替!$A:$AX,$I321,FALSE))+$J$3,IF(OR($I321="",$I321="-"),"",VLOOKUP($G321,為替!$A:$AX,$I321,FALSE)))</f>
        <v/>
      </c>
      <c r="K321" s="204" t="str">
        <f t="shared" si="29"/>
        <v/>
      </c>
      <c r="L321" s="188" t="str">
        <f t="shared" si="31"/>
        <v/>
      </c>
      <c r="M321" s="203" t="str">
        <f>IF($H321="USD",IF(OR($L321="",$L321="-"),"",VLOOKUP($G321,為替!$A:$AX,$L321,FALSE))+$K$3,IF(OR($L321="",$L321="-"),"",VLOOKUP($G321,為替!$A:$AX,$L321,FALSE)))</f>
        <v/>
      </c>
      <c r="N321" s="204" t="str">
        <f t="shared" si="30"/>
        <v/>
      </c>
      <c r="O321" s="205" t="str">
        <f t="shared" si="32"/>
        <v/>
      </c>
      <c r="P321" s="206" t="str">
        <f t="shared" si="33"/>
        <v/>
      </c>
    </row>
    <row r="322" spans="3:16" x14ac:dyDescent="0.4">
      <c r="C322" s="199"/>
      <c r="D322" s="200"/>
      <c r="E322" s="201"/>
      <c r="F322" s="199"/>
      <c r="H322" s="202"/>
      <c r="I322" s="185" t="str">
        <f t="shared" si="28"/>
        <v/>
      </c>
      <c r="J322" s="203" t="str">
        <f>IF($H322="USD",IF(OR($I322="",$I322="-"),"",VLOOKUP($G322,為替!$A:$AX,$I322,FALSE))+$J$3,IF(OR($I322="",$I322="-"),"",VLOOKUP($G322,為替!$A:$AX,$I322,FALSE)))</f>
        <v/>
      </c>
      <c r="K322" s="204" t="str">
        <f t="shared" si="29"/>
        <v/>
      </c>
      <c r="L322" s="188" t="str">
        <f t="shared" si="31"/>
        <v/>
      </c>
      <c r="M322" s="203" t="str">
        <f>IF($H322="USD",IF(OR($L322="",$L322="-"),"",VLOOKUP($G322,為替!$A:$AX,$L322,FALSE))+$K$3,IF(OR($L322="",$L322="-"),"",VLOOKUP($G322,為替!$A:$AX,$L322,FALSE)))</f>
        <v/>
      </c>
      <c r="N322" s="204" t="str">
        <f t="shared" si="30"/>
        <v/>
      </c>
      <c r="O322" s="205" t="str">
        <f t="shared" si="32"/>
        <v/>
      </c>
      <c r="P322" s="206" t="str">
        <f t="shared" si="33"/>
        <v/>
      </c>
    </row>
    <row r="323" spans="3:16" x14ac:dyDescent="0.4">
      <c r="C323" s="199"/>
      <c r="D323" s="200"/>
      <c r="E323" s="201"/>
      <c r="F323" s="199"/>
      <c r="H323" s="202"/>
      <c r="I323" s="185" t="str">
        <f t="shared" si="28"/>
        <v/>
      </c>
      <c r="J323" s="203" t="str">
        <f>IF($H323="USD",IF(OR($I323="",$I323="-"),"",VLOOKUP($G323,為替!$A:$AX,$I323,FALSE))+$J$3,IF(OR($I323="",$I323="-"),"",VLOOKUP($G323,為替!$A:$AX,$I323,FALSE)))</f>
        <v/>
      </c>
      <c r="K323" s="204" t="str">
        <f t="shared" si="29"/>
        <v/>
      </c>
      <c r="L323" s="188" t="str">
        <f t="shared" si="31"/>
        <v/>
      </c>
      <c r="M323" s="203" t="str">
        <f>IF($H323="USD",IF(OR($L323="",$L323="-"),"",VLOOKUP($G323,為替!$A:$AX,$L323,FALSE))+$K$3,IF(OR($L323="",$L323="-"),"",VLOOKUP($G323,為替!$A:$AX,$L323,FALSE)))</f>
        <v/>
      </c>
      <c r="N323" s="204" t="str">
        <f t="shared" si="30"/>
        <v/>
      </c>
      <c r="O323" s="205" t="str">
        <f t="shared" si="32"/>
        <v/>
      </c>
      <c r="P323" s="206" t="str">
        <f t="shared" si="33"/>
        <v/>
      </c>
    </row>
    <row r="324" spans="3:16" x14ac:dyDescent="0.4">
      <c r="C324" s="199"/>
      <c r="D324" s="200"/>
      <c r="E324" s="201"/>
      <c r="F324" s="199"/>
      <c r="H324" s="202"/>
      <c r="I324" s="185" t="str">
        <f t="shared" si="28"/>
        <v/>
      </c>
      <c r="J324" s="203" t="str">
        <f>IF($H324="USD",IF(OR($I324="",$I324="-"),"",VLOOKUP($G324,為替!$A:$AX,$I324,FALSE))+$J$3,IF(OR($I324="",$I324="-"),"",VLOOKUP($G324,為替!$A:$AX,$I324,FALSE)))</f>
        <v/>
      </c>
      <c r="K324" s="204" t="str">
        <f t="shared" si="29"/>
        <v/>
      </c>
      <c r="L324" s="188" t="str">
        <f t="shared" si="31"/>
        <v/>
      </c>
      <c r="M324" s="203" t="str">
        <f>IF($H324="USD",IF(OR($L324="",$L324="-"),"",VLOOKUP($G324,為替!$A:$AX,$L324,FALSE))+$K$3,IF(OR($L324="",$L324="-"),"",VLOOKUP($G324,為替!$A:$AX,$L324,FALSE)))</f>
        <v/>
      </c>
      <c r="N324" s="204" t="str">
        <f t="shared" si="30"/>
        <v/>
      </c>
      <c r="O324" s="205" t="str">
        <f t="shared" si="32"/>
        <v/>
      </c>
      <c r="P324" s="206" t="str">
        <f t="shared" si="33"/>
        <v/>
      </c>
    </row>
    <row r="325" spans="3:16" x14ac:dyDescent="0.4">
      <c r="C325" s="199"/>
      <c r="D325" s="200"/>
      <c r="E325" s="201"/>
      <c r="F325" s="199"/>
      <c r="H325" s="202"/>
      <c r="I325" s="185" t="str">
        <f t="shared" si="28"/>
        <v/>
      </c>
      <c r="J325" s="203" t="str">
        <f>IF($H325="USD",IF(OR($I325="",$I325="-"),"",VLOOKUP($G325,為替!$A:$AX,$I325,FALSE))+$J$3,IF(OR($I325="",$I325="-"),"",VLOOKUP($G325,為替!$A:$AX,$I325,FALSE)))</f>
        <v/>
      </c>
      <c r="K325" s="204" t="str">
        <f t="shared" si="29"/>
        <v/>
      </c>
      <c r="L325" s="188" t="str">
        <f t="shared" si="31"/>
        <v/>
      </c>
      <c r="M325" s="203" t="str">
        <f>IF($H325="USD",IF(OR($L325="",$L325="-"),"",VLOOKUP($G325,為替!$A:$AX,$L325,FALSE))+$K$3,IF(OR($L325="",$L325="-"),"",VLOOKUP($G325,為替!$A:$AX,$L325,FALSE)))</f>
        <v/>
      </c>
      <c r="N325" s="204" t="str">
        <f t="shared" si="30"/>
        <v/>
      </c>
      <c r="O325" s="205" t="str">
        <f t="shared" si="32"/>
        <v/>
      </c>
      <c r="P325" s="206" t="str">
        <f t="shared" si="33"/>
        <v/>
      </c>
    </row>
    <row r="326" spans="3:16" x14ac:dyDescent="0.4">
      <c r="C326" s="199"/>
      <c r="D326" s="200"/>
      <c r="E326" s="201"/>
      <c r="F326" s="199"/>
      <c r="H326" s="202"/>
      <c r="I326" s="185" t="str">
        <f t="shared" si="28"/>
        <v/>
      </c>
      <c r="J326" s="203" t="str">
        <f>IF($H326="USD",IF(OR($I326="",$I326="-"),"",VLOOKUP($G326,為替!$A:$AX,$I326,FALSE))+$J$3,IF(OR($I326="",$I326="-"),"",VLOOKUP($G326,為替!$A:$AX,$I326,FALSE)))</f>
        <v/>
      </c>
      <c r="K326" s="204" t="str">
        <f t="shared" si="29"/>
        <v/>
      </c>
      <c r="L326" s="188" t="str">
        <f t="shared" si="31"/>
        <v/>
      </c>
      <c r="M326" s="203" t="str">
        <f>IF($H326="USD",IF(OR($L326="",$L326="-"),"",VLOOKUP($G326,為替!$A:$AX,$L326,FALSE))+$K$3,IF(OR($L326="",$L326="-"),"",VLOOKUP($G326,為替!$A:$AX,$L326,FALSE)))</f>
        <v/>
      </c>
      <c r="N326" s="204" t="str">
        <f t="shared" si="30"/>
        <v/>
      </c>
      <c r="O326" s="205" t="str">
        <f t="shared" si="32"/>
        <v/>
      </c>
      <c r="P326" s="206" t="str">
        <f t="shared" si="33"/>
        <v/>
      </c>
    </row>
    <row r="327" spans="3:16" x14ac:dyDescent="0.4">
      <c r="C327" s="199"/>
      <c r="D327" s="200"/>
      <c r="E327" s="201"/>
      <c r="F327" s="199"/>
      <c r="H327" s="202"/>
      <c r="I327" s="185" t="str">
        <f t="shared" ref="I327:I390" si="34">IF(H327="","",IF(H327="JPY","",IF($H327="USD",4, IF(H327="EUR",7,IF(H327="CNY",47,IF(H327="HKD",34))))))</f>
        <v/>
      </c>
      <c r="J327" s="203" t="str">
        <f>IF($H327="USD",IF(OR($I327="",$I327="-"),"",VLOOKUP($G327,為替!$A:$AX,$I327,FALSE))+$J$3,IF(OR($I327="",$I327="-"),"",VLOOKUP($G327,為替!$A:$AX,$I327,FALSE)))</f>
        <v/>
      </c>
      <c r="K327" s="204" t="str">
        <f t="shared" ref="K327:K390" si="35">IF($H327="JPY",$F327,IF($H327="","",$F327*$J327))</f>
        <v/>
      </c>
      <c r="L327" s="188" t="str">
        <f t="shared" si="31"/>
        <v/>
      </c>
      <c r="M327" s="203" t="str">
        <f>IF($H327="USD",IF(OR($L327="",$L327="-"),"",VLOOKUP($G327,為替!$A:$AX,$L327,FALSE))+$K$3,IF(OR($L327="",$L327="-"),"",VLOOKUP($G327,為替!$A:$AX,$L327,FALSE)))</f>
        <v/>
      </c>
      <c r="N327" s="204" t="str">
        <f t="shared" ref="N327:N390" si="36">IF($E327="JPY",($C327+$D327),IF($E327="","",($C327+$D327)*$M327))</f>
        <v/>
      </c>
      <c r="O327" s="205" t="str">
        <f t="shared" si="32"/>
        <v/>
      </c>
      <c r="P327" s="206" t="str">
        <f t="shared" si="33"/>
        <v/>
      </c>
    </row>
    <row r="328" spans="3:16" x14ac:dyDescent="0.4">
      <c r="C328" s="199"/>
      <c r="D328" s="200"/>
      <c r="E328" s="201"/>
      <c r="F328" s="199"/>
      <c r="H328" s="202"/>
      <c r="I328" s="185" t="str">
        <f t="shared" si="34"/>
        <v/>
      </c>
      <c r="J328" s="203" t="str">
        <f>IF($H328="USD",IF(OR($I328="",$I328="-"),"",VLOOKUP($G328,為替!$A:$AX,$I328,FALSE))+$J$3,IF(OR($I328="",$I328="-"),"",VLOOKUP($G328,為替!$A:$AX,$I328,FALSE)))</f>
        <v/>
      </c>
      <c r="K328" s="204" t="str">
        <f t="shared" si="35"/>
        <v/>
      </c>
      <c r="L328" s="188" t="str">
        <f t="shared" si="31"/>
        <v/>
      </c>
      <c r="M328" s="203" t="str">
        <f>IF($H328="USD",IF(OR($L328="",$L328="-"),"",VLOOKUP($G328,為替!$A:$AX,$L328,FALSE))+$K$3,IF(OR($L328="",$L328="-"),"",VLOOKUP($G328,為替!$A:$AX,$L328,FALSE)))</f>
        <v/>
      </c>
      <c r="N328" s="204" t="str">
        <f t="shared" si="36"/>
        <v/>
      </c>
      <c r="O328" s="205" t="str">
        <f t="shared" si="32"/>
        <v/>
      </c>
      <c r="P328" s="206" t="str">
        <f t="shared" si="33"/>
        <v/>
      </c>
    </row>
    <row r="329" spans="3:16" x14ac:dyDescent="0.4">
      <c r="C329" s="199"/>
      <c r="D329" s="200"/>
      <c r="E329" s="201"/>
      <c r="F329" s="199"/>
      <c r="H329" s="202"/>
      <c r="I329" s="185" t="str">
        <f t="shared" si="34"/>
        <v/>
      </c>
      <c r="J329" s="203" t="str">
        <f>IF($H329="USD",IF(OR($I329="",$I329="-"),"",VLOOKUP($G329,為替!$A:$AX,$I329,FALSE))+$J$3,IF(OR($I329="",$I329="-"),"",VLOOKUP($G329,為替!$A:$AX,$I329,FALSE)))</f>
        <v/>
      </c>
      <c r="K329" s="204" t="str">
        <f t="shared" si="35"/>
        <v/>
      </c>
      <c r="L329" s="188" t="str">
        <f t="shared" si="31"/>
        <v/>
      </c>
      <c r="M329" s="203" t="str">
        <f>IF($H329="USD",IF(OR($L329="",$L329="-"),"",VLOOKUP($G329,為替!$A:$AX,$L329,FALSE))+$K$3,IF(OR($L329="",$L329="-"),"",VLOOKUP($G329,為替!$A:$AX,$L329,FALSE)))</f>
        <v/>
      </c>
      <c r="N329" s="204" t="str">
        <f t="shared" si="36"/>
        <v/>
      </c>
      <c r="O329" s="205" t="str">
        <f t="shared" si="32"/>
        <v/>
      </c>
      <c r="P329" s="206" t="str">
        <f t="shared" si="33"/>
        <v/>
      </c>
    </row>
    <row r="330" spans="3:16" x14ac:dyDescent="0.4">
      <c r="C330" s="199"/>
      <c r="D330" s="200"/>
      <c r="E330" s="201"/>
      <c r="F330" s="199"/>
      <c r="H330" s="202"/>
      <c r="I330" s="185" t="str">
        <f t="shared" si="34"/>
        <v/>
      </c>
      <c r="J330" s="203" t="str">
        <f>IF($H330="USD",IF(OR($I330="",$I330="-"),"",VLOOKUP($G330,為替!$A:$AX,$I330,FALSE))+$J$3,IF(OR($I330="",$I330="-"),"",VLOOKUP($G330,為替!$A:$AX,$I330,FALSE)))</f>
        <v/>
      </c>
      <c r="K330" s="204" t="str">
        <f t="shared" si="35"/>
        <v/>
      </c>
      <c r="L330" s="188" t="str">
        <f t="shared" si="31"/>
        <v/>
      </c>
      <c r="M330" s="203" t="str">
        <f>IF($H330="USD",IF(OR($L330="",$L330="-"),"",VLOOKUP($G330,為替!$A:$AX,$L330,FALSE))+$K$3,IF(OR($L330="",$L330="-"),"",VLOOKUP($G330,為替!$A:$AX,$L330,FALSE)))</f>
        <v/>
      </c>
      <c r="N330" s="204" t="str">
        <f t="shared" si="36"/>
        <v/>
      </c>
      <c r="O330" s="205" t="str">
        <f t="shared" si="32"/>
        <v/>
      </c>
      <c r="P330" s="206" t="str">
        <f t="shared" si="33"/>
        <v/>
      </c>
    </row>
    <row r="331" spans="3:16" x14ac:dyDescent="0.4">
      <c r="C331" s="199"/>
      <c r="D331" s="200"/>
      <c r="E331" s="201"/>
      <c r="F331" s="199"/>
      <c r="H331" s="202"/>
      <c r="I331" s="185" t="str">
        <f t="shared" si="34"/>
        <v/>
      </c>
      <c r="J331" s="203" t="str">
        <f>IF($H331="USD",IF(OR($I331="",$I331="-"),"",VLOOKUP($G331,為替!$A:$AX,$I331,FALSE))+$J$3,IF(OR($I331="",$I331="-"),"",VLOOKUP($G331,為替!$A:$AX,$I331,FALSE)))</f>
        <v/>
      </c>
      <c r="K331" s="204" t="str">
        <f t="shared" si="35"/>
        <v/>
      </c>
      <c r="L331" s="188" t="str">
        <f t="shared" si="31"/>
        <v/>
      </c>
      <c r="M331" s="203" t="str">
        <f>IF($H331="USD",IF(OR($L331="",$L331="-"),"",VLOOKUP($G331,為替!$A:$AX,$L331,FALSE))+$K$3,IF(OR($L331="",$L331="-"),"",VLOOKUP($G331,為替!$A:$AX,$L331,FALSE)))</f>
        <v/>
      </c>
      <c r="N331" s="204" t="str">
        <f t="shared" si="36"/>
        <v/>
      </c>
      <c r="O331" s="205" t="str">
        <f t="shared" si="32"/>
        <v/>
      </c>
      <c r="P331" s="206" t="str">
        <f t="shared" si="33"/>
        <v/>
      </c>
    </row>
    <row r="332" spans="3:16" x14ac:dyDescent="0.4">
      <c r="C332" s="199"/>
      <c r="D332" s="200"/>
      <c r="E332" s="201"/>
      <c r="F332" s="199"/>
      <c r="H332" s="202"/>
      <c r="I332" s="185" t="str">
        <f t="shared" si="34"/>
        <v/>
      </c>
      <c r="J332" s="203" t="str">
        <f>IF($H332="USD",IF(OR($I332="",$I332="-"),"",VLOOKUP($G332,為替!$A:$AX,$I332,FALSE))+$J$3,IF(OR($I332="",$I332="-"),"",VLOOKUP($G332,為替!$A:$AX,$I332,FALSE)))</f>
        <v/>
      </c>
      <c r="K332" s="204" t="str">
        <f t="shared" si="35"/>
        <v/>
      </c>
      <c r="L332" s="188" t="str">
        <f t="shared" si="31"/>
        <v/>
      </c>
      <c r="M332" s="203" t="str">
        <f>IF($H332="USD",IF(OR($L332="",$L332="-"),"",VLOOKUP($G332,為替!$A:$AX,$L332,FALSE))+$K$3,IF(OR($L332="",$L332="-"),"",VLOOKUP($G332,為替!$A:$AX,$L332,FALSE)))</f>
        <v/>
      </c>
      <c r="N332" s="204" t="str">
        <f t="shared" si="36"/>
        <v/>
      </c>
      <c r="O332" s="205" t="str">
        <f t="shared" si="32"/>
        <v/>
      </c>
      <c r="P332" s="206" t="str">
        <f t="shared" si="33"/>
        <v/>
      </c>
    </row>
    <row r="333" spans="3:16" x14ac:dyDescent="0.4">
      <c r="C333" s="199"/>
      <c r="D333" s="200"/>
      <c r="E333" s="201"/>
      <c r="F333" s="199"/>
      <c r="H333" s="202"/>
      <c r="I333" s="185" t="str">
        <f t="shared" si="34"/>
        <v/>
      </c>
      <c r="J333" s="203" t="str">
        <f>IF($H333="USD",IF(OR($I333="",$I333="-"),"",VLOOKUP($G333,為替!$A:$AX,$I333,FALSE))+$J$3,IF(OR($I333="",$I333="-"),"",VLOOKUP($G333,為替!$A:$AX,$I333,FALSE)))</f>
        <v/>
      </c>
      <c r="K333" s="204" t="str">
        <f t="shared" si="35"/>
        <v/>
      </c>
      <c r="L333" s="188" t="str">
        <f t="shared" si="31"/>
        <v/>
      </c>
      <c r="M333" s="203" t="str">
        <f>IF($H333="USD",IF(OR($L333="",$L333="-"),"",VLOOKUP($G333,為替!$A:$AX,$L333,FALSE))+$K$3,IF(OR($L333="",$L333="-"),"",VLOOKUP($G333,為替!$A:$AX,$L333,FALSE)))</f>
        <v/>
      </c>
      <c r="N333" s="204" t="str">
        <f t="shared" si="36"/>
        <v/>
      </c>
      <c r="O333" s="205" t="str">
        <f t="shared" si="32"/>
        <v/>
      </c>
      <c r="P333" s="206" t="str">
        <f t="shared" si="33"/>
        <v/>
      </c>
    </row>
    <row r="334" spans="3:16" x14ac:dyDescent="0.4">
      <c r="C334" s="199"/>
      <c r="D334" s="200"/>
      <c r="E334" s="201"/>
      <c r="F334" s="199"/>
      <c r="H334" s="202"/>
      <c r="I334" s="185" t="str">
        <f t="shared" si="34"/>
        <v/>
      </c>
      <c r="J334" s="203" t="str">
        <f>IF($H334="USD",IF(OR($I334="",$I334="-"),"",VLOOKUP($G334,為替!$A:$AX,$I334,FALSE))+$J$3,IF(OR($I334="",$I334="-"),"",VLOOKUP($G334,為替!$A:$AX,$I334,FALSE)))</f>
        <v/>
      </c>
      <c r="K334" s="204" t="str">
        <f t="shared" si="35"/>
        <v/>
      </c>
      <c r="L334" s="188" t="str">
        <f t="shared" si="31"/>
        <v/>
      </c>
      <c r="M334" s="203" t="str">
        <f>IF($H334="USD",IF(OR($L334="",$L334="-"),"",VLOOKUP($G334,為替!$A:$AX,$L334,FALSE))+$K$3,IF(OR($L334="",$L334="-"),"",VLOOKUP($G334,為替!$A:$AX,$L334,FALSE)))</f>
        <v/>
      </c>
      <c r="N334" s="204" t="str">
        <f t="shared" si="36"/>
        <v/>
      </c>
      <c r="O334" s="205" t="str">
        <f t="shared" si="32"/>
        <v/>
      </c>
      <c r="P334" s="206" t="str">
        <f t="shared" si="33"/>
        <v/>
      </c>
    </row>
    <row r="335" spans="3:16" x14ac:dyDescent="0.4">
      <c r="C335" s="199"/>
      <c r="D335" s="200"/>
      <c r="E335" s="201"/>
      <c r="F335" s="199"/>
      <c r="H335" s="202"/>
      <c r="I335" s="185" t="str">
        <f t="shared" si="34"/>
        <v/>
      </c>
      <c r="J335" s="203" t="str">
        <f>IF($H335="USD",IF(OR($I335="",$I335="-"),"",VLOOKUP($G335,為替!$A:$AX,$I335,FALSE))+$J$3,IF(OR($I335="",$I335="-"),"",VLOOKUP($G335,為替!$A:$AX,$I335,FALSE)))</f>
        <v/>
      </c>
      <c r="K335" s="204" t="str">
        <f t="shared" si="35"/>
        <v/>
      </c>
      <c r="L335" s="188" t="str">
        <f t="shared" si="31"/>
        <v/>
      </c>
      <c r="M335" s="203" t="str">
        <f>IF($H335="USD",IF(OR($L335="",$L335="-"),"",VLOOKUP($G335,為替!$A:$AX,$L335,FALSE))+$K$3,IF(OR($L335="",$L335="-"),"",VLOOKUP($G335,為替!$A:$AX,$L335,FALSE)))</f>
        <v/>
      </c>
      <c r="N335" s="204" t="str">
        <f t="shared" si="36"/>
        <v/>
      </c>
      <c r="O335" s="205" t="str">
        <f t="shared" si="32"/>
        <v/>
      </c>
      <c r="P335" s="206" t="str">
        <f t="shared" si="33"/>
        <v/>
      </c>
    </row>
    <row r="336" spans="3:16" x14ac:dyDescent="0.4">
      <c r="C336" s="199"/>
      <c r="D336" s="200"/>
      <c r="E336" s="201"/>
      <c r="F336" s="199"/>
      <c r="H336" s="202"/>
      <c r="I336" s="185" t="str">
        <f t="shared" si="34"/>
        <v/>
      </c>
      <c r="J336" s="203" t="str">
        <f>IF($H336="USD",IF(OR($I336="",$I336="-"),"",VLOOKUP($G336,為替!$A:$AX,$I336,FALSE))+$J$3,IF(OR($I336="",$I336="-"),"",VLOOKUP($G336,為替!$A:$AX,$I336,FALSE)))</f>
        <v/>
      </c>
      <c r="K336" s="204" t="str">
        <f t="shared" si="35"/>
        <v/>
      </c>
      <c r="L336" s="188" t="str">
        <f t="shared" si="31"/>
        <v/>
      </c>
      <c r="M336" s="203" t="str">
        <f>IF($H336="USD",IF(OR($L336="",$L336="-"),"",VLOOKUP($G336,為替!$A:$AX,$L336,FALSE))+$K$3,IF(OR($L336="",$L336="-"),"",VLOOKUP($G336,為替!$A:$AX,$L336,FALSE)))</f>
        <v/>
      </c>
      <c r="N336" s="204" t="str">
        <f t="shared" si="36"/>
        <v/>
      </c>
      <c r="O336" s="205" t="str">
        <f t="shared" si="32"/>
        <v/>
      </c>
      <c r="P336" s="206" t="str">
        <f t="shared" si="33"/>
        <v/>
      </c>
    </row>
    <row r="337" spans="3:16" x14ac:dyDescent="0.4">
      <c r="C337" s="199"/>
      <c r="D337" s="200"/>
      <c r="E337" s="201"/>
      <c r="F337" s="199"/>
      <c r="H337" s="202"/>
      <c r="I337" s="185" t="str">
        <f t="shared" si="34"/>
        <v/>
      </c>
      <c r="J337" s="203" t="str">
        <f>IF($H337="USD",IF(OR($I337="",$I337="-"),"",VLOOKUP($G337,為替!$A:$AX,$I337,FALSE))+$J$3,IF(OR($I337="",$I337="-"),"",VLOOKUP($G337,為替!$A:$AX,$I337,FALSE)))</f>
        <v/>
      </c>
      <c r="K337" s="204" t="str">
        <f t="shared" si="35"/>
        <v/>
      </c>
      <c r="L337" s="188" t="str">
        <f t="shared" si="31"/>
        <v/>
      </c>
      <c r="M337" s="203" t="str">
        <f>IF($H337="USD",IF(OR($L337="",$L337="-"),"",VLOOKUP($G337,為替!$A:$AX,$L337,FALSE))+$K$3,IF(OR($L337="",$L337="-"),"",VLOOKUP($G337,為替!$A:$AX,$L337,FALSE)))</f>
        <v/>
      </c>
      <c r="N337" s="204" t="str">
        <f t="shared" si="36"/>
        <v/>
      </c>
      <c r="O337" s="205" t="str">
        <f t="shared" si="32"/>
        <v/>
      </c>
      <c r="P337" s="206" t="str">
        <f t="shared" si="33"/>
        <v/>
      </c>
    </row>
    <row r="338" spans="3:16" x14ac:dyDescent="0.4">
      <c r="C338" s="199"/>
      <c r="D338" s="200"/>
      <c r="E338" s="201"/>
      <c r="F338" s="199"/>
      <c r="H338" s="202"/>
      <c r="I338" s="185" t="str">
        <f t="shared" si="34"/>
        <v/>
      </c>
      <c r="J338" s="203" t="str">
        <f>IF($H338="USD",IF(OR($I338="",$I338="-"),"",VLOOKUP($G338,為替!$A:$AX,$I338,FALSE))+$J$3,IF(OR($I338="",$I338="-"),"",VLOOKUP($G338,為替!$A:$AX,$I338,FALSE)))</f>
        <v/>
      </c>
      <c r="K338" s="204" t="str">
        <f t="shared" si="35"/>
        <v/>
      </c>
      <c r="L338" s="188" t="str">
        <f t="shared" ref="L338:L400" si="37">IF(H338="","",IF(H338="JPY","",IF($H338="USD",3, IF(H338="EUR",6,IF(H338="CNY",46,IF(H338="HKD",33))))))</f>
        <v/>
      </c>
      <c r="M338" s="203" t="str">
        <f>IF($H338="USD",IF(OR($L338="",$L338="-"),"",VLOOKUP($G338,為替!$A:$AX,$L338,FALSE))+$K$3,IF(OR($L338="",$L338="-"),"",VLOOKUP($G338,為替!$A:$AX,$L338,FALSE)))</f>
        <v/>
      </c>
      <c r="N338" s="204" t="str">
        <f t="shared" si="36"/>
        <v/>
      </c>
      <c r="O338" s="205" t="str">
        <f t="shared" ref="O338:O400" si="38">IF(OR(K338="",N338=""),"",K338-N338)</f>
        <v/>
      </c>
      <c r="P338" s="206" t="str">
        <f t="shared" ref="P338:P400" si="39">IF(OR(K338="",O338=""),"",O338/K338)</f>
        <v/>
      </c>
    </row>
    <row r="339" spans="3:16" x14ac:dyDescent="0.4">
      <c r="C339" s="199"/>
      <c r="D339" s="200"/>
      <c r="E339" s="201"/>
      <c r="F339" s="199"/>
      <c r="H339" s="202"/>
      <c r="I339" s="185" t="str">
        <f t="shared" si="34"/>
        <v/>
      </c>
      <c r="J339" s="203" t="str">
        <f>IF($H339="USD",IF(OR($I339="",$I339="-"),"",VLOOKUP($G339,為替!$A:$AX,$I339,FALSE))+$J$3,IF(OR($I339="",$I339="-"),"",VLOOKUP($G339,為替!$A:$AX,$I339,FALSE)))</f>
        <v/>
      </c>
      <c r="K339" s="204" t="str">
        <f t="shared" si="35"/>
        <v/>
      </c>
      <c r="L339" s="188" t="str">
        <f t="shared" si="37"/>
        <v/>
      </c>
      <c r="M339" s="203" t="str">
        <f>IF($H339="USD",IF(OR($L339="",$L339="-"),"",VLOOKUP($G339,為替!$A:$AX,$L339,FALSE))+$K$3,IF(OR($L339="",$L339="-"),"",VLOOKUP($G339,為替!$A:$AX,$L339,FALSE)))</f>
        <v/>
      </c>
      <c r="N339" s="204" t="str">
        <f t="shared" si="36"/>
        <v/>
      </c>
      <c r="O339" s="205" t="str">
        <f t="shared" si="38"/>
        <v/>
      </c>
      <c r="P339" s="206" t="str">
        <f t="shared" si="39"/>
        <v/>
      </c>
    </row>
    <row r="340" spans="3:16" x14ac:dyDescent="0.4">
      <c r="C340" s="199"/>
      <c r="D340" s="200"/>
      <c r="E340" s="201"/>
      <c r="F340" s="199"/>
      <c r="H340" s="202"/>
      <c r="I340" s="185" t="str">
        <f t="shared" si="34"/>
        <v/>
      </c>
      <c r="J340" s="203" t="str">
        <f>IF($H340="USD",IF(OR($I340="",$I340="-"),"",VLOOKUP($G340,為替!$A:$AX,$I340,FALSE))+$J$3,IF(OR($I340="",$I340="-"),"",VLOOKUP($G340,為替!$A:$AX,$I340,FALSE)))</f>
        <v/>
      </c>
      <c r="K340" s="204" t="str">
        <f t="shared" si="35"/>
        <v/>
      </c>
      <c r="L340" s="188" t="str">
        <f t="shared" si="37"/>
        <v/>
      </c>
      <c r="M340" s="203" t="str">
        <f>IF($H340="USD",IF(OR($L340="",$L340="-"),"",VLOOKUP($G340,為替!$A:$AX,$L340,FALSE))+$K$3,IF(OR($L340="",$L340="-"),"",VLOOKUP($G340,為替!$A:$AX,$L340,FALSE)))</f>
        <v/>
      </c>
      <c r="N340" s="204" t="str">
        <f t="shared" si="36"/>
        <v/>
      </c>
      <c r="O340" s="205" t="str">
        <f t="shared" si="38"/>
        <v/>
      </c>
      <c r="P340" s="206" t="str">
        <f t="shared" si="39"/>
        <v/>
      </c>
    </row>
    <row r="341" spans="3:16" x14ac:dyDescent="0.4">
      <c r="C341" s="199"/>
      <c r="D341" s="200"/>
      <c r="E341" s="201"/>
      <c r="F341" s="199"/>
      <c r="H341" s="202"/>
      <c r="I341" s="185" t="str">
        <f t="shared" si="34"/>
        <v/>
      </c>
      <c r="J341" s="203" t="str">
        <f>IF($H341="USD",IF(OR($I341="",$I341="-"),"",VLOOKUP($G341,為替!$A:$AX,$I341,FALSE))+$J$3,IF(OR($I341="",$I341="-"),"",VLOOKUP($G341,為替!$A:$AX,$I341,FALSE)))</f>
        <v/>
      </c>
      <c r="K341" s="204" t="str">
        <f t="shared" si="35"/>
        <v/>
      </c>
      <c r="L341" s="188" t="str">
        <f t="shared" si="37"/>
        <v/>
      </c>
      <c r="M341" s="203" t="str">
        <f>IF($H341="USD",IF(OR($L341="",$L341="-"),"",VLOOKUP($G341,為替!$A:$AX,$L341,FALSE))+$K$3,IF(OR($L341="",$L341="-"),"",VLOOKUP($G341,為替!$A:$AX,$L341,FALSE)))</f>
        <v/>
      </c>
      <c r="N341" s="204" t="str">
        <f t="shared" si="36"/>
        <v/>
      </c>
      <c r="O341" s="205" t="str">
        <f t="shared" si="38"/>
        <v/>
      </c>
      <c r="P341" s="206" t="str">
        <f t="shared" si="39"/>
        <v/>
      </c>
    </row>
    <row r="342" spans="3:16" x14ac:dyDescent="0.4">
      <c r="C342" s="199"/>
      <c r="D342" s="200"/>
      <c r="E342" s="201"/>
      <c r="F342" s="199"/>
      <c r="H342" s="202"/>
      <c r="I342" s="185" t="str">
        <f t="shared" si="34"/>
        <v/>
      </c>
      <c r="J342" s="203" t="str">
        <f>IF($H342="USD",IF(OR($I342="",$I342="-"),"",VLOOKUP($G342,為替!$A:$AX,$I342,FALSE))+$J$3,IF(OR($I342="",$I342="-"),"",VLOOKUP($G342,為替!$A:$AX,$I342,FALSE)))</f>
        <v/>
      </c>
      <c r="K342" s="204" t="str">
        <f t="shared" si="35"/>
        <v/>
      </c>
      <c r="L342" s="188" t="str">
        <f t="shared" si="37"/>
        <v/>
      </c>
      <c r="M342" s="203" t="str">
        <f>IF($H342="USD",IF(OR($L342="",$L342="-"),"",VLOOKUP($G342,為替!$A:$AX,$L342,FALSE))+$K$3,IF(OR($L342="",$L342="-"),"",VLOOKUP($G342,為替!$A:$AX,$L342,FALSE)))</f>
        <v/>
      </c>
      <c r="N342" s="204" t="str">
        <f t="shared" si="36"/>
        <v/>
      </c>
      <c r="O342" s="205" t="str">
        <f t="shared" si="38"/>
        <v/>
      </c>
      <c r="P342" s="206" t="str">
        <f t="shared" si="39"/>
        <v/>
      </c>
    </row>
    <row r="343" spans="3:16" x14ac:dyDescent="0.4">
      <c r="C343" s="199"/>
      <c r="D343" s="200"/>
      <c r="E343" s="201"/>
      <c r="F343" s="199"/>
      <c r="H343" s="202"/>
      <c r="I343" s="185" t="str">
        <f t="shared" si="34"/>
        <v/>
      </c>
      <c r="J343" s="203" t="str">
        <f>IF($H343="USD",IF(OR($I343="",$I343="-"),"",VLOOKUP($G343,為替!$A:$AX,$I343,FALSE))+$J$3,IF(OR($I343="",$I343="-"),"",VLOOKUP($G343,為替!$A:$AX,$I343,FALSE)))</f>
        <v/>
      </c>
      <c r="K343" s="204" t="str">
        <f t="shared" si="35"/>
        <v/>
      </c>
      <c r="L343" s="188" t="str">
        <f t="shared" si="37"/>
        <v/>
      </c>
      <c r="M343" s="203" t="str">
        <f>IF($H343="USD",IF(OR($L343="",$L343="-"),"",VLOOKUP($G343,為替!$A:$AX,$L343,FALSE))+$K$3,IF(OR($L343="",$L343="-"),"",VLOOKUP($G343,為替!$A:$AX,$L343,FALSE)))</f>
        <v/>
      </c>
      <c r="N343" s="204" t="str">
        <f t="shared" si="36"/>
        <v/>
      </c>
      <c r="O343" s="205" t="str">
        <f t="shared" si="38"/>
        <v/>
      </c>
      <c r="P343" s="206" t="str">
        <f t="shared" si="39"/>
        <v/>
      </c>
    </row>
    <row r="344" spans="3:16" x14ac:dyDescent="0.4">
      <c r="C344" s="199"/>
      <c r="D344" s="200"/>
      <c r="E344" s="201"/>
      <c r="F344" s="199"/>
      <c r="H344" s="202"/>
      <c r="I344" s="185" t="str">
        <f t="shared" si="34"/>
        <v/>
      </c>
      <c r="J344" s="203" t="str">
        <f>IF($H344="USD",IF(OR($I344="",$I344="-"),"",VLOOKUP($G344,為替!$A:$AX,$I344,FALSE))+$J$3,IF(OR($I344="",$I344="-"),"",VLOOKUP($G344,為替!$A:$AX,$I344,FALSE)))</f>
        <v/>
      </c>
      <c r="K344" s="204" t="str">
        <f t="shared" si="35"/>
        <v/>
      </c>
      <c r="L344" s="188" t="str">
        <f t="shared" si="37"/>
        <v/>
      </c>
      <c r="M344" s="203" t="str">
        <f>IF($H344="USD",IF(OR($L344="",$L344="-"),"",VLOOKUP($G344,為替!$A:$AX,$L344,FALSE))+$K$3,IF(OR($L344="",$L344="-"),"",VLOOKUP($G344,為替!$A:$AX,$L344,FALSE)))</f>
        <v/>
      </c>
      <c r="N344" s="204" t="str">
        <f t="shared" si="36"/>
        <v/>
      </c>
      <c r="O344" s="205" t="str">
        <f t="shared" si="38"/>
        <v/>
      </c>
      <c r="P344" s="206" t="str">
        <f t="shared" si="39"/>
        <v/>
      </c>
    </row>
    <row r="345" spans="3:16" x14ac:dyDescent="0.4">
      <c r="C345" s="199"/>
      <c r="D345" s="200"/>
      <c r="E345" s="201"/>
      <c r="F345" s="199"/>
      <c r="H345" s="202"/>
      <c r="I345" s="185" t="str">
        <f t="shared" si="34"/>
        <v/>
      </c>
      <c r="J345" s="203" t="str">
        <f>IF($H345="USD",IF(OR($I345="",$I345="-"),"",VLOOKUP($G345,為替!$A:$AX,$I345,FALSE))+$J$3,IF(OR($I345="",$I345="-"),"",VLOOKUP($G345,為替!$A:$AX,$I345,FALSE)))</f>
        <v/>
      </c>
      <c r="K345" s="204" t="str">
        <f t="shared" si="35"/>
        <v/>
      </c>
      <c r="L345" s="188" t="str">
        <f t="shared" si="37"/>
        <v/>
      </c>
      <c r="M345" s="203" t="str">
        <f>IF($H345="USD",IF(OR($L345="",$L345="-"),"",VLOOKUP($G345,為替!$A:$AX,$L345,FALSE))+$K$3,IF(OR($L345="",$L345="-"),"",VLOOKUP($G345,為替!$A:$AX,$L345,FALSE)))</f>
        <v/>
      </c>
      <c r="N345" s="204" t="str">
        <f t="shared" si="36"/>
        <v/>
      </c>
      <c r="O345" s="205" t="str">
        <f t="shared" si="38"/>
        <v/>
      </c>
      <c r="P345" s="206" t="str">
        <f t="shared" si="39"/>
        <v/>
      </c>
    </row>
    <row r="346" spans="3:16" x14ac:dyDescent="0.4">
      <c r="C346" s="199"/>
      <c r="D346" s="200"/>
      <c r="E346" s="201"/>
      <c r="F346" s="199"/>
      <c r="H346" s="202"/>
      <c r="I346" s="185" t="str">
        <f t="shared" si="34"/>
        <v/>
      </c>
      <c r="J346" s="203" t="str">
        <f>IF($H346="USD",IF(OR($I346="",$I346="-"),"",VLOOKUP($G346,為替!$A:$AX,$I346,FALSE))+$J$3,IF(OR($I346="",$I346="-"),"",VLOOKUP($G346,為替!$A:$AX,$I346,FALSE)))</f>
        <v/>
      </c>
      <c r="K346" s="204" t="str">
        <f t="shared" si="35"/>
        <v/>
      </c>
      <c r="L346" s="188" t="str">
        <f t="shared" si="37"/>
        <v/>
      </c>
      <c r="M346" s="203" t="str">
        <f>IF($H346="USD",IF(OR($L346="",$L346="-"),"",VLOOKUP($G346,為替!$A:$AX,$L346,FALSE))+$K$3,IF(OR($L346="",$L346="-"),"",VLOOKUP($G346,為替!$A:$AX,$L346,FALSE)))</f>
        <v/>
      </c>
      <c r="N346" s="204" t="str">
        <f t="shared" si="36"/>
        <v/>
      </c>
      <c r="O346" s="205" t="str">
        <f t="shared" si="38"/>
        <v/>
      </c>
      <c r="P346" s="206" t="str">
        <f t="shared" si="39"/>
        <v/>
      </c>
    </row>
    <row r="347" spans="3:16" x14ac:dyDescent="0.4">
      <c r="C347" s="199"/>
      <c r="D347" s="200"/>
      <c r="E347" s="201"/>
      <c r="F347" s="199"/>
      <c r="H347" s="202"/>
      <c r="I347" s="185" t="str">
        <f t="shared" si="34"/>
        <v/>
      </c>
      <c r="J347" s="203" t="str">
        <f>IF($H347="USD",IF(OR($I347="",$I347="-"),"",VLOOKUP($G347,為替!$A:$AX,$I347,FALSE))+$J$3,IF(OR($I347="",$I347="-"),"",VLOOKUP($G347,為替!$A:$AX,$I347,FALSE)))</f>
        <v/>
      </c>
      <c r="K347" s="204" t="str">
        <f t="shared" si="35"/>
        <v/>
      </c>
      <c r="L347" s="188" t="str">
        <f t="shared" si="37"/>
        <v/>
      </c>
      <c r="M347" s="203" t="str">
        <f>IF($H347="USD",IF(OR($L347="",$L347="-"),"",VLOOKUP($G347,為替!$A:$AX,$L347,FALSE))+$K$3,IF(OR($L347="",$L347="-"),"",VLOOKUP($G347,為替!$A:$AX,$L347,FALSE)))</f>
        <v/>
      </c>
      <c r="N347" s="204" t="str">
        <f t="shared" si="36"/>
        <v/>
      </c>
      <c r="O347" s="205" t="str">
        <f t="shared" si="38"/>
        <v/>
      </c>
      <c r="P347" s="206" t="str">
        <f t="shared" si="39"/>
        <v/>
      </c>
    </row>
    <row r="348" spans="3:16" x14ac:dyDescent="0.4">
      <c r="C348" s="199"/>
      <c r="D348" s="200"/>
      <c r="E348" s="201"/>
      <c r="F348" s="199"/>
      <c r="H348" s="202"/>
      <c r="I348" s="185" t="str">
        <f t="shared" si="34"/>
        <v/>
      </c>
      <c r="J348" s="203" t="str">
        <f>IF($H348="USD",IF(OR($I348="",$I348="-"),"",VLOOKUP($G348,為替!$A:$AX,$I348,FALSE))+$J$3,IF(OR($I348="",$I348="-"),"",VLOOKUP($G348,為替!$A:$AX,$I348,FALSE)))</f>
        <v/>
      </c>
      <c r="K348" s="204" t="str">
        <f t="shared" si="35"/>
        <v/>
      </c>
      <c r="L348" s="188" t="str">
        <f t="shared" si="37"/>
        <v/>
      </c>
      <c r="M348" s="203" t="str">
        <f>IF($H348="USD",IF(OR($L348="",$L348="-"),"",VLOOKUP($G348,為替!$A:$AX,$L348,FALSE))+$K$3,IF(OR($L348="",$L348="-"),"",VLOOKUP($G348,為替!$A:$AX,$L348,FALSE)))</f>
        <v/>
      </c>
      <c r="N348" s="204" t="str">
        <f t="shared" si="36"/>
        <v/>
      </c>
      <c r="O348" s="205" t="str">
        <f t="shared" si="38"/>
        <v/>
      </c>
      <c r="P348" s="206" t="str">
        <f t="shared" si="39"/>
        <v/>
      </c>
    </row>
    <row r="349" spans="3:16" x14ac:dyDescent="0.4">
      <c r="C349" s="199"/>
      <c r="D349" s="200"/>
      <c r="E349" s="201"/>
      <c r="F349" s="199"/>
      <c r="H349" s="202"/>
      <c r="I349" s="185" t="str">
        <f t="shared" si="34"/>
        <v/>
      </c>
      <c r="J349" s="203" t="str">
        <f>IF($H349="USD",IF(OR($I349="",$I349="-"),"",VLOOKUP($G349,為替!$A:$AX,$I349,FALSE))+$J$3,IF(OR($I349="",$I349="-"),"",VLOOKUP($G349,為替!$A:$AX,$I349,FALSE)))</f>
        <v/>
      </c>
      <c r="K349" s="204" t="str">
        <f t="shared" si="35"/>
        <v/>
      </c>
      <c r="L349" s="188" t="str">
        <f t="shared" si="37"/>
        <v/>
      </c>
      <c r="M349" s="203" t="str">
        <f>IF($H349="USD",IF(OR($L349="",$L349="-"),"",VLOOKUP($G349,為替!$A:$AX,$L349,FALSE))+$K$3,IF(OR($L349="",$L349="-"),"",VLOOKUP($G349,為替!$A:$AX,$L349,FALSE)))</f>
        <v/>
      </c>
      <c r="N349" s="204" t="str">
        <f t="shared" si="36"/>
        <v/>
      </c>
      <c r="O349" s="205" t="str">
        <f t="shared" si="38"/>
        <v/>
      </c>
      <c r="P349" s="206" t="str">
        <f t="shared" si="39"/>
        <v/>
      </c>
    </row>
    <row r="350" spans="3:16" x14ac:dyDescent="0.4">
      <c r="C350" s="199"/>
      <c r="D350" s="200"/>
      <c r="E350" s="201"/>
      <c r="F350" s="199"/>
      <c r="H350" s="202"/>
      <c r="I350" s="185" t="str">
        <f t="shared" si="34"/>
        <v/>
      </c>
      <c r="J350" s="203" t="str">
        <f>IF($H350="USD",IF(OR($I350="",$I350="-"),"",VLOOKUP($G350,為替!$A:$AX,$I350,FALSE))+$J$3,IF(OR($I350="",$I350="-"),"",VLOOKUP($G350,為替!$A:$AX,$I350,FALSE)))</f>
        <v/>
      </c>
      <c r="K350" s="204" t="str">
        <f t="shared" si="35"/>
        <v/>
      </c>
      <c r="L350" s="188" t="str">
        <f t="shared" si="37"/>
        <v/>
      </c>
      <c r="M350" s="203" t="str">
        <f>IF($H350="USD",IF(OR($L350="",$L350="-"),"",VLOOKUP($G350,為替!$A:$AX,$L350,FALSE))+$K$3,IF(OR($L350="",$L350="-"),"",VLOOKUP($G350,為替!$A:$AX,$L350,FALSE)))</f>
        <v/>
      </c>
      <c r="N350" s="204" t="str">
        <f t="shared" si="36"/>
        <v/>
      </c>
      <c r="O350" s="205" t="str">
        <f t="shared" si="38"/>
        <v/>
      </c>
      <c r="P350" s="206" t="str">
        <f t="shared" si="39"/>
        <v/>
      </c>
    </row>
    <row r="351" spans="3:16" x14ac:dyDescent="0.4">
      <c r="C351" s="199"/>
      <c r="D351" s="200"/>
      <c r="E351" s="201"/>
      <c r="F351" s="199"/>
      <c r="H351" s="202"/>
      <c r="I351" s="185" t="str">
        <f t="shared" si="34"/>
        <v/>
      </c>
      <c r="J351" s="203" t="str">
        <f>IF($H351="USD",IF(OR($I351="",$I351="-"),"",VLOOKUP($G351,為替!$A:$AX,$I351,FALSE))+$J$3,IF(OR($I351="",$I351="-"),"",VLOOKUP($G351,為替!$A:$AX,$I351,FALSE)))</f>
        <v/>
      </c>
      <c r="K351" s="204" t="str">
        <f t="shared" si="35"/>
        <v/>
      </c>
      <c r="L351" s="188" t="str">
        <f t="shared" si="37"/>
        <v/>
      </c>
      <c r="M351" s="203" t="str">
        <f>IF($H351="USD",IF(OR($L351="",$L351="-"),"",VLOOKUP($G351,為替!$A:$AX,$L351,FALSE))+$K$3,IF(OR($L351="",$L351="-"),"",VLOOKUP($G351,為替!$A:$AX,$L351,FALSE)))</f>
        <v/>
      </c>
      <c r="N351" s="204" t="str">
        <f t="shared" si="36"/>
        <v/>
      </c>
      <c r="O351" s="205" t="str">
        <f t="shared" si="38"/>
        <v/>
      </c>
      <c r="P351" s="206" t="str">
        <f t="shared" si="39"/>
        <v/>
      </c>
    </row>
    <row r="352" spans="3:16" x14ac:dyDescent="0.4">
      <c r="C352" s="199"/>
      <c r="D352" s="200"/>
      <c r="E352" s="201"/>
      <c r="F352" s="199"/>
      <c r="H352" s="202"/>
      <c r="I352" s="185" t="str">
        <f t="shared" si="34"/>
        <v/>
      </c>
      <c r="J352" s="203" t="str">
        <f>IF($H352="USD",IF(OR($I352="",$I352="-"),"",VLOOKUP($G352,為替!$A:$AX,$I352,FALSE))+$J$3,IF(OR($I352="",$I352="-"),"",VLOOKUP($G352,為替!$A:$AX,$I352,FALSE)))</f>
        <v/>
      </c>
      <c r="K352" s="204" t="str">
        <f t="shared" si="35"/>
        <v/>
      </c>
      <c r="L352" s="188" t="str">
        <f t="shared" si="37"/>
        <v/>
      </c>
      <c r="M352" s="203" t="str">
        <f>IF($H352="USD",IF(OR($L352="",$L352="-"),"",VLOOKUP($G352,為替!$A:$AX,$L352,FALSE))+$K$3,IF(OR($L352="",$L352="-"),"",VLOOKUP($G352,為替!$A:$AX,$L352,FALSE)))</f>
        <v/>
      </c>
      <c r="N352" s="204" t="str">
        <f t="shared" si="36"/>
        <v/>
      </c>
      <c r="O352" s="205" t="str">
        <f t="shared" si="38"/>
        <v/>
      </c>
      <c r="P352" s="206" t="str">
        <f t="shared" si="39"/>
        <v/>
      </c>
    </row>
    <row r="353" spans="3:16" x14ac:dyDescent="0.4">
      <c r="C353" s="199"/>
      <c r="D353" s="200"/>
      <c r="E353" s="201"/>
      <c r="F353" s="199"/>
      <c r="H353" s="202"/>
      <c r="I353" s="185" t="str">
        <f t="shared" si="34"/>
        <v/>
      </c>
      <c r="J353" s="203" t="str">
        <f>IF($H353="USD",IF(OR($I353="",$I353="-"),"",VLOOKUP($G353,為替!$A:$AX,$I353,FALSE))+$J$3,IF(OR($I353="",$I353="-"),"",VLOOKUP($G353,為替!$A:$AX,$I353,FALSE)))</f>
        <v/>
      </c>
      <c r="K353" s="204" t="str">
        <f t="shared" si="35"/>
        <v/>
      </c>
      <c r="L353" s="188" t="str">
        <f t="shared" si="37"/>
        <v/>
      </c>
      <c r="M353" s="203" t="str">
        <f>IF($H353="USD",IF(OR($L353="",$L353="-"),"",VLOOKUP($G353,為替!$A:$AX,$L353,FALSE))+$K$3,IF(OR($L353="",$L353="-"),"",VLOOKUP($G353,為替!$A:$AX,$L353,FALSE)))</f>
        <v/>
      </c>
      <c r="N353" s="204" t="str">
        <f t="shared" si="36"/>
        <v/>
      </c>
      <c r="O353" s="205" t="str">
        <f t="shared" si="38"/>
        <v/>
      </c>
      <c r="P353" s="206" t="str">
        <f t="shared" si="39"/>
        <v/>
      </c>
    </row>
    <row r="354" spans="3:16" x14ac:dyDescent="0.4">
      <c r="C354" s="199"/>
      <c r="D354" s="200"/>
      <c r="E354" s="201"/>
      <c r="F354" s="199"/>
      <c r="H354" s="202"/>
      <c r="I354" s="185" t="str">
        <f t="shared" si="34"/>
        <v/>
      </c>
      <c r="J354" s="203" t="str">
        <f>IF($H354="USD",IF(OR($I354="",$I354="-"),"",VLOOKUP($G354,為替!$A:$AX,$I354,FALSE))+$J$3,IF(OR($I354="",$I354="-"),"",VLOOKUP($G354,為替!$A:$AX,$I354,FALSE)))</f>
        <v/>
      </c>
      <c r="K354" s="204" t="str">
        <f t="shared" si="35"/>
        <v/>
      </c>
      <c r="L354" s="188" t="str">
        <f t="shared" si="37"/>
        <v/>
      </c>
      <c r="M354" s="203" t="str">
        <f>IF($H354="USD",IF(OR($L354="",$L354="-"),"",VLOOKUP($G354,為替!$A:$AX,$L354,FALSE))+$K$3,IF(OR($L354="",$L354="-"),"",VLOOKUP($G354,為替!$A:$AX,$L354,FALSE)))</f>
        <v/>
      </c>
      <c r="N354" s="204" t="str">
        <f t="shared" si="36"/>
        <v/>
      </c>
      <c r="O354" s="205" t="str">
        <f t="shared" si="38"/>
        <v/>
      </c>
      <c r="P354" s="206" t="str">
        <f t="shared" si="39"/>
        <v/>
      </c>
    </row>
    <row r="355" spans="3:16" x14ac:dyDescent="0.4">
      <c r="C355" s="199"/>
      <c r="D355" s="200"/>
      <c r="E355" s="201"/>
      <c r="F355" s="199"/>
      <c r="H355" s="202"/>
      <c r="I355" s="185" t="str">
        <f t="shared" si="34"/>
        <v/>
      </c>
      <c r="J355" s="203" t="str">
        <f>IF($H355="USD",IF(OR($I355="",$I355="-"),"",VLOOKUP($G355,為替!$A:$AX,$I355,FALSE))+$J$3,IF(OR($I355="",$I355="-"),"",VLOOKUP($G355,為替!$A:$AX,$I355,FALSE)))</f>
        <v/>
      </c>
      <c r="K355" s="204" t="str">
        <f t="shared" si="35"/>
        <v/>
      </c>
      <c r="L355" s="188" t="str">
        <f t="shared" si="37"/>
        <v/>
      </c>
      <c r="M355" s="203" t="str">
        <f>IF($H355="USD",IF(OR($L355="",$L355="-"),"",VLOOKUP($G355,為替!$A:$AX,$L355,FALSE))+$K$3,IF(OR($L355="",$L355="-"),"",VLOOKUP($G355,為替!$A:$AX,$L355,FALSE)))</f>
        <v/>
      </c>
      <c r="N355" s="204" t="str">
        <f t="shared" si="36"/>
        <v/>
      </c>
      <c r="O355" s="205" t="str">
        <f t="shared" si="38"/>
        <v/>
      </c>
      <c r="P355" s="206" t="str">
        <f t="shared" si="39"/>
        <v/>
      </c>
    </row>
    <row r="356" spans="3:16" x14ac:dyDescent="0.4">
      <c r="C356" s="199"/>
      <c r="D356" s="200"/>
      <c r="E356" s="201"/>
      <c r="F356" s="199"/>
      <c r="H356" s="202"/>
      <c r="I356" s="185" t="str">
        <f t="shared" si="34"/>
        <v/>
      </c>
      <c r="J356" s="203" t="str">
        <f>IF($H356="USD",IF(OR($I356="",$I356="-"),"",VLOOKUP($G356,為替!$A:$AX,$I356,FALSE))+$J$3,IF(OR($I356="",$I356="-"),"",VLOOKUP($G356,為替!$A:$AX,$I356,FALSE)))</f>
        <v/>
      </c>
      <c r="K356" s="204" t="str">
        <f t="shared" si="35"/>
        <v/>
      </c>
      <c r="L356" s="188" t="str">
        <f t="shared" si="37"/>
        <v/>
      </c>
      <c r="M356" s="203" t="str">
        <f>IF($H356="USD",IF(OR($L356="",$L356="-"),"",VLOOKUP($G356,為替!$A:$AX,$L356,FALSE))+$K$3,IF(OR($L356="",$L356="-"),"",VLOOKUP($G356,為替!$A:$AX,$L356,FALSE)))</f>
        <v/>
      </c>
      <c r="N356" s="204" t="str">
        <f t="shared" si="36"/>
        <v/>
      </c>
      <c r="O356" s="205" t="str">
        <f t="shared" si="38"/>
        <v/>
      </c>
      <c r="P356" s="206" t="str">
        <f t="shared" si="39"/>
        <v/>
      </c>
    </row>
    <row r="357" spans="3:16" x14ac:dyDescent="0.4">
      <c r="C357" s="199"/>
      <c r="D357" s="200"/>
      <c r="E357" s="201"/>
      <c r="F357" s="199"/>
      <c r="H357" s="202"/>
      <c r="I357" s="185" t="str">
        <f t="shared" si="34"/>
        <v/>
      </c>
      <c r="J357" s="203" t="str">
        <f>IF($H357="USD",IF(OR($I357="",$I357="-"),"",VLOOKUP($G357,為替!$A:$AX,$I357,FALSE))+$J$3,IF(OR($I357="",$I357="-"),"",VLOOKUP($G357,為替!$A:$AX,$I357,FALSE)))</f>
        <v/>
      </c>
      <c r="K357" s="204" t="str">
        <f t="shared" si="35"/>
        <v/>
      </c>
      <c r="L357" s="188" t="str">
        <f t="shared" si="37"/>
        <v/>
      </c>
      <c r="M357" s="203" t="str">
        <f>IF($H357="USD",IF(OR($L357="",$L357="-"),"",VLOOKUP($G357,為替!$A:$AX,$L357,FALSE))+$K$3,IF(OR($L357="",$L357="-"),"",VLOOKUP($G357,為替!$A:$AX,$L357,FALSE)))</f>
        <v/>
      </c>
      <c r="N357" s="204" t="str">
        <f t="shared" si="36"/>
        <v/>
      </c>
      <c r="O357" s="205" t="str">
        <f t="shared" si="38"/>
        <v/>
      </c>
      <c r="P357" s="206" t="str">
        <f t="shared" si="39"/>
        <v/>
      </c>
    </row>
    <row r="358" spans="3:16" x14ac:dyDescent="0.4">
      <c r="C358" s="199"/>
      <c r="D358" s="200"/>
      <c r="E358" s="201"/>
      <c r="F358" s="199"/>
      <c r="H358" s="202"/>
      <c r="I358" s="185" t="str">
        <f t="shared" si="34"/>
        <v/>
      </c>
      <c r="J358" s="203" t="str">
        <f>IF($H358="USD",IF(OR($I358="",$I358="-"),"",VLOOKUP($G358,為替!$A:$AX,$I358,FALSE))+$J$3,IF(OR($I358="",$I358="-"),"",VLOOKUP($G358,為替!$A:$AX,$I358,FALSE)))</f>
        <v/>
      </c>
      <c r="K358" s="204" t="str">
        <f t="shared" si="35"/>
        <v/>
      </c>
      <c r="L358" s="188" t="str">
        <f t="shared" si="37"/>
        <v/>
      </c>
      <c r="M358" s="203" t="str">
        <f>IF($H358="USD",IF(OR($L358="",$L358="-"),"",VLOOKUP($G358,為替!$A:$AX,$L358,FALSE))+$K$3,IF(OR($L358="",$L358="-"),"",VLOOKUP($G358,為替!$A:$AX,$L358,FALSE)))</f>
        <v/>
      </c>
      <c r="N358" s="204" t="str">
        <f t="shared" si="36"/>
        <v/>
      </c>
      <c r="O358" s="205" t="str">
        <f t="shared" si="38"/>
        <v/>
      </c>
      <c r="P358" s="206" t="str">
        <f t="shared" si="39"/>
        <v/>
      </c>
    </row>
    <row r="359" spans="3:16" x14ac:dyDescent="0.4">
      <c r="C359" s="199"/>
      <c r="D359" s="200"/>
      <c r="E359" s="201"/>
      <c r="F359" s="199"/>
      <c r="H359" s="202"/>
      <c r="I359" s="185" t="str">
        <f t="shared" si="34"/>
        <v/>
      </c>
      <c r="J359" s="203" t="str">
        <f>IF($H359="USD",IF(OR($I359="",$I359="-"),"",VLOOKUP($G359,為替!$A:$AX,$I359,FALSE))+$J$3,IF(OR($I359="",$I359="-"),"",VLOOKUP($G359,為替!$A:$AX,$I359,FALSE)))</f>
        <v/>
      </c>
      <c r="K359" s="204" t="str">
        <f t="shared" si="35"/>
        <v/>
      </c>
      <c r="L359" s="188" t="str">
        <f t="shared" si="37"/>
        <v/>
      </c>
      <c r="M359" s="203" t="str">
        <f>IF($H359="USD",IF(OR($L359="",$L359="-"),"",VLOOKUP($G359,為替!$A:$AX,$L359,FALSE))+$K$3,IF(OR($L359="",$L359="-"),"",VLOOKUP($G359,為替!$A:$AX,$L359,FALSE)))</f>
        <v/>
      </c>
      <c r="N359" s="204" t="str">
        <f t="shared" si="36"/>
        <v/>
      </c>
      <c r="O359" s="205" t="str">
        <f t="shared" si="38"/>
        <v/>
      </c>
      <c r="P359" s="206" t="str">
        <f t="shared" si="39"/>
        <v/>
      </c>
    </row>
    <row r="360" spans="3:16" x14ac:dyDescent="0.4">
      <c r="C360" s="199"/>
      <c r="D360" s="200"/>
      <c r="E360" s="201"/>
      <c r="F360" s="199"/>
      <c r="H360" s="202"/>
      <c r="I360" s="185" t="str">
        <f t="shared" si="34"/>
        <v/>
      </c>
      <c r="J360" s="203" t="str">
        <f>IF($H360="USD",IF(OR($I360="",$I360="-"),"",VLOOKUP($G360,為替!$A:$AX,$I360,FALSE))+$J$3,IF(OR($I360="",$I360="-"),"",VLOOKUP($G360,為替!$A:$AX,$I360,FALSE)))</f>
        <v/>
      </c>
      <c r="K360" s="204" t="str">
        <f t="shared" si="35"/>
        <v/>
      </c>
      <c r="L360" s="188" t="str">
        <f t="shared" si="37"/>
        <v/>
      </c>
      <c r="M360" s="203" t="str">
        <f>IF($H360="USD",IF(OR($L360="",$L360="-"),"",VLOOKUP($G360,為替!$A:$AX,$L360,FALSE))+$K$3,IF(OR($L360="",$L360="-"),"",VLOOKUP($G360,為替!$A:$AX,$L360,FALSE)))</f>
        <v/>
      </c>
      <c r="N360" s="204" t="str">
        <f t="shared" si="36"/>
        <v/>
      </c>
      <c r="O360" s="205" t="str">
        <f t="shared" si="38"/>
        <v/>
      </c>
      <c r="P360" s="206" t="str">
        <f t="shared" si="39"/>
        <v/>
      </c>
    </row>
    <row r="361" spans="3:16" x14ac:dyDescent="0.4">
      <c r="C361" s="199"/>
      <c r="D361" s="200"/>
      <c r="E361" s="201"/>
      <c r="F361" s="199"/>
      <c r="H361" s="202"/>
      <c r="I361" s="185" t="str">
        <f t="shared" si="34"/>
        <v/>
      </c>
      <c r="J361" s="203" t="str">
        <f>IF($H361="USD",IF(OR($I361="",$I361="-"),"",VLOOKUP($G361,為替!$A:$AX,$I361,FALSE))+$J$3,IF(OR($I361="",$I361="-"),"",VLOOKUP($G361,為替!$A:$AX,$I361,FALSE)))</f>
        <v/>
      </c>
      <c r="K361" s="204" t="str">
        <f t="shared" si="35"/>
        <v/>
      </c>
      <c r="L361" s="188" t="str">
        <f t="shared" si="37"/>
        <v/>
      </c>
      <c r="M361" s="203" t="str">
        <f>IF($H361="USD",IF(OR($L361="",$L361="-"),"",VLOOKUP($G361,為替!$A:$AX,$L361,FALSE))+$K$3,IF(OR($L361="",$L361="-"),"",VLOOKUP($G361,為替!$A:$AX,$L361,FALSE)))</f>
        <v/>
      </c>
      <c r="N361" s="204" t="str">
        <f t="shared" si="36"/>
        <v/>
      </c>
      <c r="O361" s="205" t="str">
        <f t="shared" si="38"/>
        <v/>
      </c>
      <c r="P361" s="206" t="str">
        <f t="shared" si="39"/>
        <v/>
      </c>
    </row>
    <row r="362" spans="3:16" x14ac:dyDescent="0.4">
      <c r="C362" s="199"/>
      <c r="D362" s="200"/>
      <c r="E362" s="201"/>
      <c r="F362" s="199"/>
      <c r="H362" s="202"/>
      <c r="I362" s="185" t="str">
        <f t="shared" si="34"/>
        <v/>
      </c>
      <c r="J362" s="203" t="str">
        <f>IF($H362="USD",IF(OR($I362="",$I362="-"),"",VLOOKUP($G362,為替!$A:$AX,$I362,FALSE))+$J$3,IF(OR($I362="",$I362="-"),"",VLOOKUP($G362,為替!$A:$AX,$I362,FALSE)))</f>
        <v/>
      </c>
      <c r="K362" s="204" t="str">
        <f t="shared" si="35"/>
        <v/>
      </c>
      <c r="L362" s="188" t="str">
        <f t="shared" si="37"/>
        <v/>
      </c>
      <c r="M362" s="203" t="str">
        <f>IF($H362="USD",IF(OR($L362="",$L362="-"),"",VLOOKUP($G362,為替!$A:$AX,$L362,FALSE))+$K$3,IF(OR($L362="",$L362="-"),"",VLOOKUP($G362,為替!$A:$AX,$L362,FALSE)))</f>
        <v/>
      </c>
      <c r="N362" s="204" t="str">
        <f t="shared" si="36"/>
        <v/>
      </c>
      <c r="O362" s="205" t="str">
        <f t="shared" si="38"/>
        <v/>
      </c>
      <c r="P362" s="206" t="str">
        <f t="shared" si="39"/>
        <v/>
      </c>
    </row>
    <row r="363" spans="3:16" x14ac:dyDescent="0.4">
      <c r="C363" s="199"/>
      <c r="D363" s="200"/>
      <c r="E363" s="201"/>
      <c r="F363" s="199"/>
      <c r="H363" s="202"/>
      <c r="I363" s="185" t="str">
        <f t="shared" si="34"/>
        <v/>
      </c>
      <c r="J363" s="203" t="str">
        <f>IF($H363="USD",IF(OR($I363="",$I363="-"),"",VLOOKUP($G363,為替!$A:$AX,$I363,FALSE))+$J$3,IF(OR($I363="",$I363="-"),"",VLOOKUP($G363,為替!$A:$AX,$I363,FALSE)))</f>
        <v/>
      </c>
      <c r="K363" s="204" t="str">
        <f t="shared" si="35"/>
        <v/>
      </c>
      <c r="L363" s="188" t="str">
        <f t="shared" si="37"/>
        <v/>
      </c>
      <c r="M363" s="203" t="str">
        <f>IF($H363="USD",IF(OR($L363="",$L363="-"),"",VLOOKUP($G363,為替!$A:$AX,$L363,FALSE))+$K$3,IF(OR($L363="",$L363="-"),"",VLOOKUP($G363,為替!$A:$AX,$L363,FALSE)))</f>
        <v/>
      </c>
      <c r="N363" s="204" t="str">
        <f t="shared" si="36"/>
        <v/>
      </c>
      <c r="O363" s="205" t="str">
        <f t="shared" si="38"/>
        <v/>
      </c>
      <c r="P363" s="206" t="str">
        <f t="shared" si="39"/>
        <v/>
      </c>
    </row>
    <row r="364" spans="3:16" x14ac:dyDescent="0.4">
      <c r="C364" s="199"/>
      <c r="D364" s="200"/>
      <c r="E364" s="201"/>
      <c r="F364" s="199"/>
      <c r="H364" s="202"/>
      <c r="I364" s="185" t="str">
        <f t="shared" si="34"/>
        <v/>
      </c>
      <c r="J364" s="203" t="str">
        <f>IF($H364="USD",IF(OR($I364="",$I364="-"),"",VLOOKUP($G364,為替!$A:$AX,$I364,FALSE))+$J$3,IF(OR($I364="",$I364="-"),"",VLOOKUP($G364,為替!$A:$AX,$I364,FALSE)))</f>
        <v/>
      </c>
      <c r="K364" s="204" t="str">
        <f t="shared" si="35"/>
        <v/>
      </c>
      <c r="L364" s="188" t="str">
        <f t="shared" si="37"/>
        <v/>
      </c>
      <c r="M364" s="203" t="str">
        <f>IF($H364="USD",IF(OR($L364="",$L364="-"),"",VLOOKUP($G364,為替!$A:$AX,$L364,FALSE))+$K$3,IF(OR($L364="",$L364="-"),"",VLOOKUP($G364,為替!$A:$AX,$L364,FALSE)))</f>
        <v/>
      </c>
      <c r="N364" s="204" t="str">
        <f t="shared" si="36"/>
        <v/>
      </c>
      <c r="O364" s="205" t="str">
        <f t="shared" si="38"/>
        <v/>
      </c>
      <c r="P364" s="206" t="str">
        <f t="shared" si="39"/>
        <v/>
      </c>
    </row>
    <row r="365" spans="3:16" x14ac:dyDescent="0.4">
      <c r="C365" s="199"/>
      <c r="D365" s="200"/>
      <c r="E365" s="201"/>
      <c r="F365" s="199"/>
      <c r="H365" s="202"/>
      <c r="I365" s="185" t="str">
        <f t="shared" si="34"/>
        <v/>
      </c>
      <c r="J365" s="203" t="str">
        <f>IF($H365="USD",IF(OR($I365="",$I365="-"),"",VLOOKUP($G365,為替!$A:$AX,$I365,FALSE))+$J$3,IF(OR($I365="",$I365="-"),"",VLOOKUP($G365,為替!$A:$AX,$I365,FALSE)))</f>
        <v/>
      </c>
      <c r="K365" s="204" t="str">
        <f t="shared" si="35"/>
        <v/>
      </c>
      <c r="L365" s="188" t="str">
        <f t="shared" si="37"/>
        <v/>
      </c>
      <c r="M365" s="203" t="str">
        <f>IF($H365="USD",IF(OR($L365="",$L365="-"),"",VLOOKUP($G365,為替!$A:$AX,$L365,FALSE))+$K$3,IF(OR($L365="",$L365="-"),"",VLOOKUP($G365,為替!$A:$AX,$L365,FALSE)))</f>
        <v/>
      </c>
      <c r="N365" s="204" t="str">
        <f t="shared" si="36"/>
        <v/>
      </c>
      <c r="O365" s="205" t="str">
        <f t="shared" si="38"/>
        <v/>
      </c>
      <c r="P365" s="206" t="str">
        <f t="shared" si="39"/>
        <v/>
      </c>
    </row>
    <row r="366" spans="3:16" x14ac:dyDescent="0.4">
      <c r="C366" s="199"/>
      <c r="D366" s="200"/>
      <c r="E366" s="201"/>
      <c r="F366" s="199"/>
      <c r="H366" s="202"/>
      <c r="I366" s="185" t="str">
        <f t="shared" si="34"/>
        <v/>
      </c>
      <c r="J366" s="203" t="str">
        <f>IF($H366="USD",IF(OR($I366="",$I366="-"),"",VLOOKUP($G366,為替!$A:$AX,$I366,FALSE))+$J$3,IF(OR($I366="",$I366="-"),"",VLOOKUP($G366,為替!$A:$AX,$I366,FALSE)))</f>
        <v/>
      </c>
      <c r="K366" s="204" t="str">
        <f t="shared" si="35"/>
        <v/>
      </c>
      <c r="L366" s="188" t="str">
        <f t="shared" si="37"/>
        <v/>
      </c>
      <c r="M366" s="203" t="str">
        <f>IF($H366="USD",IF(OR($L366="",$L366="-"),"",VLOOKUP($G366,為替!$A:$AX,$L366,FALSE))+$K$3,IF(OR($L366="",$L366="-"),"",VLOOKUP($G366,為替!$A:$AX,$L366,FALSE)))</f>
        <v/>
      </c>
      <c r="N366" s="204" t="str">
        <f t="shared" si="36"/>
        <v/>
      </c>
      <c r="O366" s="205" t="str">
        <f t="shared" si="38"/>
        <v/>
      </c>
      <c r="P366" s="206" t="str">
        <f t="shared" si="39"/>
        <v/>
      </c>
    </row>
    <row r="367" spans="3:16" x14ac:dyDescent="0.4">
      <c r="C367" s="199"/>
      <c r="D367" s="200"/>
      <c r="E367" s="201"/>
      <c r="F367" s="199"/>
      <c r="H367" s="202"/>
      <c r="I367" s="185" t="str">
        <f t="shared" si="34"/>
        <v/>
      </c>
      <c r="J367" s="203" t="str">
        <f>IF($H367="USD",IF(OR($I367="",$I367="-"),"",VLOOKUP($G367,為替!$A:$AX,$I367,FALSE))+$J$3,IF(OR($I367="",$I367="-"),"",VLOOKUP($G367,為替!$A:$AX,$I367,FALSE)))</f>
        <v/>
      </c>
      <c r="K367" s="204" t="str">
        <f t="shared" si="35"/>
        <v/>
      </c>
      <c r="L367" s="188" t="str">
        <f t="shared" si="37"/>
        <v/>
      </c>
      <c r="M367" s="203" t="str">
        <f>IF($H367="USD",IF(OR($L367="",$L367="-"),"",VLOOKUP($G367,為替!$A:$AX,$L367,FALSE))+$K$3,IF(OR($L367="",$L367="-"),"",VLOOKUP($G367,為替!$A:$AX,$L367,FALSE)))</f>
        <v/>
      </c>
      <c r="N367" s="204" t="str">
        <f t="shared" si="36"/>
        <v/>
      </c>
      <c r="O367" s="205" t="str">
        <f t="shared" si="38"/>
        <v/>
      </c>
      <c r="P367" s="206" t="str">
        <f t="shared" si="39"/>
        <v/>
      </c>
    </row>
    <row r="368" spans="3:16" x14ac:dyDescent="0.4">
      <c r="C368" s="199"/>
      <c r="D368" s="200"/>
      <c r="E368" s="201"/>
      <c r="F368" s="199"/>
      <c r="H368" s="202"/>
      <c r="I368" s="185" t="str">
        <f t="shared" si="34"/>
        <v/>
      </c>
      <c r="J368" s="203" t="str">
        <f>IF($H368="USD",IF(OR($I368="",$I368="-"),"",VLOOKUP($G368,為替!$A:$AX,$I368,FALSE))+$J$3,IF(OR($I368="",$I368="-"),"",VLOOKUP($G368,為替!$A:$AX,$I368,FALSE)))</f>
        <v/>
      </c>
      <c r="K368" s="204" t="str">
        <f t="shared" si="35"/>
        <v/>
      </c>
      <c r="L368" s="188" t="str">
        <f t="shared" si="37"/>
        <v/>
      </c>
      <c r="M368" s="203" t="str">
        <f>IF($H368="USD",IF(OR($L368="",$L368="-"),"",VLOOKUP($G368,為替!$A:$AX,$L368,FALSE))+$K$3,IF(OR($L368="",$L368="-"),"",VLOOKUP($G368,為替!$A:$AX,$L368,FALSE)))</f>
        <v/>
      </c>
      <c r="N368" s="204" t="str">
        <f t="shared" si="36"/>
        <v/>
      </c>
      <c r="O368" s="205" t="str">
        <f t="shared" si="38"/>
        <v/>
      </c>
      <c r="P368" s="206" t="str">
        <f t="shared" si="39"/>
        <v/>
      </c>
    </row>
    <row r="369" spans="3:16" x14ac:dyDescent="0.4">
      <c r="C369" s="199"/>
      <c r="D369" s="200"/>
      <c r="E369" s="201"/>
      <c r="F369" s="199"/>
      <c r="H369" s="202"/>
      <c r="I369" s="185" t="str">
        <f t="shared" si="34"/>
        <v/>
      </c>
      <c r="J369" s="203" t="str">
        <f>IF($H369="USD",IF(OR($I369="",$I369="-"),"",VLOOKUP($G369,為替!$A:$AX,$I369,FALSE))+$J$3,IF(OR($I369="",$I369="-"),"",VLOOKUP($G369,為替!$A:$AX,$I369,FALSE)))</f>
        <v/>
      </c>
      <c r="K369" s="204" t="str">
        <f t="shared" si="35"/>
        <v/>
      </c>
      <c r="L369" s="188" t="str">
        <f t="shared" si="37"/>
        <v/>
      </c>
      <c r="M369" s="203" t="str">
        <f>IF($H369="USD",IF(OR($L369="",$L369="-"),"",VLOOKUP($G369,為替!$A:$AX,$L369,FALSE))+$K$3,IF(OR($L369="",$L369="-"),"",VLOOKUP($G369,為替!$A:$AX,$L369,FALSE)))</f>
        <v/>
      </c>
      <c r="N369" s="204" t="str">
        <f t="shared" si="36"/>
        <v/>
      </c>
      <c r="O369" s="205" t="str">
        <f t="shared" si="38"/>
        <v/>
      </c>
      <c r="P369" s="206" t="str">
        <f t="shared" si="39"/>
        <v/>
      </c>
    </row>
    <row r="370" spans="3:16" x14ac:dyDescent="0.4">
      <c r="C370" s="199"/>
      <c r="D370" s="200"/>
      <c r="E370" s="201"/>
      <c r="F370" s="199"/>
      <c r="H370" s="202"/>
      <c r="I370" s="185" t="str">
        <f t="shared" si="34"/>
        <v/>
      </c>
      <c r="J370" s="203" t="str">
        <f>IF($H370="USD",IF(OR($I370="",$I370="-"),"",VLOOKUP($G370,為替!$A:$AX,$I370,FALSE))+$J$3,IF(OR($I370="",$I370="-"),"",VLOOKUP($G370,為替!$A:$AX,$I370,FALSE)))</f>
        <v/>
      </c>
      <c r="K370" s="204" t="str">
        <f t="shared" si="35"/>
        <v/>
      </c>
      <c r="L370" s="188" t="str">
        <f t="shared" si="37"/>
        <v/>
      </c>
      <c r="M370" s="203" t="str">
        <f>IF($H370="USD",IF(OR($L370="",$L370="-"),"",VLOOKUP($G370,為替!$A:$AX,$L370,FALSE))+$K$3,IF(OR($L370="",$L370="-"),"",VLOOKUP($G370,為替!$A:$AX,$L370,FALSE)))</f>
        <v/>
      </c>
      <c r="N370" s="204" t="str">
        <f t="shared" si="36"/>
        <v/>
      </c>
      <c r="O370" s="205" t="str">
        <f t="shared" si="38"/>
        <v/>
      </c>
      <c r="P370" s="206" t="str">
        <f t="shared" si="39"/>
        <v/>
      </c>
    </row>
    <row r="371" spans="3:16" x14ac:dyDescent="0.4">
      <c r="C371" s="199"/>
      <c r="D371" s="200"/>
      <c r="E371" s="201"/>
      <c r="F371" s="199"/>
      <c r="H371" s="202"/>
      <c r="I371" s="185" t="str">
        <f t="shared" si="34"/>
        <v/>
      </c>
      <c r="J371" s="203" t="str">
        <f>IF($H371="USD",IF(OR($I371="",$I371="-"),"",VLOOKUP($G371,為替!$A:$AX,$I371,FALSE))+$J$3,IF(OR($I371="",$I371="-"),"",VLOOKUP($G371,為替!$A:$AX,$I371,FALSE)))</f>
        <v/>
      </c>
      <c r="K371" s="204" t="str">
        <f t="shared" si="35"/>
        <v/>
      </c>
      <c r="L371" s="188" t="str">
        <f t="shared" si="37"/>
        <v/>
      </c>
      <c r="M371" s="203" t="str">
        <f>IF($H371="USD",IF(OR($L371="",$L371="-"),"",VLOOKUP($G371,為替!$A:$AX,$L371,FALSE))+$K$3,IF(OR($L371="",$L371="-"),"",VLOOKUP($G371,為替!$A:$AX,$L371,FALSE)))</f>
        <v/>
      </c>
      <c r="N371" s="204" t="str">
        <f t="shared" si="36"/>
        <v/>
      </c>
      <c r="O371" s="205" t="str">
        <f t="shared" si="38"/>
        <v/>
      </c>
      <c r="P371" s="206" t="str">
        <f t="shared" si="39"/>
        <v/>
      </c>
    </row>
    <row r="372" spans="3:16" x14ac:dyDescent="0.4">
      <c r="C372" s="199"/>
      <c r="D372" s="200"/>
      <c r="E372" s="201"/>
      <c r="F372" s="199"/>
      <c r="H372" s="202"/>
      <c r="I372" s="185" t="str">
        <f t="shared" si="34"/>
        <v/>
      </c>
      <c r="J372" s="203" t="str">
        <f>IF($H372="USD",IF(OR($I372="",$I372="-"),"",VLOOKUP($G372,為替!$A:$AX,$I372,FALSE))+$J$3,IF(OR($I372="",$I372="-"),"",VLOOKUP($G372,為替!$A:$AX,$I372,FALSE)))</f>
        <v/>
      </c>
      <c r="K372" s="204" t="str">
        <f t="shared" si="35"/>
        <v/>
      </c>
      <c r="L372" s="188" t="str">
        <f t="shared" si="37"/>
        <v/>
      </c>
      <c r="M372" s="203" t="str">
        <f>IF($H372="USD",IF(OR($L372="",$L372="-"),"",VLOOKUP($G372,為替!$A:$AX,$L372,FALSE))+$K$3,IF(OR($L372="",$L372="-"),"",VLOOKUP($G372,為替!$A:$AX,$L372,FALSE)))</f>
        <v/>
      </c>
      <c r="N372" s="204" t="str">
        <f t="shared" si="36"/>
        <v/>
      </c>
      <c r="O372" s="205" t="str">
        <f t="shared" si="38"/>
        <v/>
      </c>
      <c r="P372" s="206" t="str">
        <f t="shared" si="39"/>
        <v/>
      </c>
    </row>
    <row r="373" spans="3:16" x14ac:dyDescent="0.4">
      <c r="C373" s="199"/>
      <c r="D373" s="200"/>
      <c r="E373" s="201"/>
      <c r="F373" s="199"/>
      <c r="H373" s="202"/>
      <c r="I373" s="185" t="str">
        <f t="shared" si="34"/>
        <v/>
      </c>
      <c r="J373" s="203" t="str">
        <f>IF($H373="USD",IF(OR($I373="",$I373="-"),"",VLOOKUP($G373,為替!$A:$AX,$I373,FALSE))+$J$3,IF(OR($I373="",$I373="-"),"",VLOOKUP($G373,為替!$A:$AX,$I373,FALSE)))</f>
        <v/>
      </c>
      <c r="K373" s="204" t="str">
        <f t="shared" si="35"/>
        <v/>
      </c>
      <c r="L373" s="188" t="str">
        <f t="shared" si="37"/>
        <v/>
      </c>
      <c r="M373" s="203" t="str">
        <f>IF($H373="USD",IF(OR($L373="",$L373="-"),"",VLOOKUP($G373,為替!$A:$AX,$L373,FALSE))+$K$3,IF(OR($L373="",$L373="-"),"",VLOOKUP($G373,為替!$A:$AX,$L373,FALSE)))</f>
        <v/>
      </c>
      <c r="N373" s="204" t="str">
        <f t="shared" si="36"/>
        <v/>
      </c>
      <c r="O373" s="205" t="str">
        <f t="shared" si="38"/>
        <v/>
      </c>
      <c r="P373" s="206" t="str">
        <f t="shared" si="39"/>
        <v/>
      </c>
    </row>
    <row r="374" spans="3:16" x14ac:dyDescent="0.4">
      <c r="C374" s="199"/>
      <c r="D374" s="200"/>
      <c r="E374" s="201"/>
      <c r="F374" s="199"/>
      <c r="H374" s="202"/>
      <c r="I374" s="185" t="str">
        <f t="shared" si="34"/>
        <v/>
      </c>
      <c r="J374" s="203" t="str">
        <f>IF($H374="USD",IF(OR($I374="",$I374="-"),"",VLOOKUP($G374,為替!$A:$AX,$I374,FALSE))+$J$3,IF(OR($I374="",$I374="-"),"",VLOOKUP($G374,為替!$A:$AX,$I374,FALSE)))</f>
        <v/>
      </c>
      <c r="K374" s="204" t="str">
        <f t="shared" si="35"/>
        <v/>
      </c>
      <c r="L374" s="188" t="str">
        <f t="shared" si="37"/>
        <v/>
      </c>
      <c r="M374" s="203" t="str">
        <f>IF($H374="USD",IF(OR($L374="",$L374="-"),"",VLOOKUP($G374,為替!$A:$AX,$L374,FALSE))+$K$3,IF(OR($L374="",$L374="-"),"",VLOOKUP($G374,為替!$A:$AX,$L374,FALSE)))</f>
        <v/>
      </c>
      <c r="N374" s="204" t="str">
        <f t="shared" si="36"/>
        <v/>
      </c>
      <c r="O374" s="205" t="str">
        <f t="shared" si="38"/>
        <v/>
      </c>
      <c r="P374" s="206" t="str">
        <f t="shared" si="39"/>
        <v/>
      </c>
    </row>
    <row r="375" spans="3:16" x14ac:dyDescent="0.4">
      <c r="C375" s="199"/>
      <c r="D375" s="200"/>
      <c r="E375" s="201"/>
      <c r="F375" s="199"/>
      <c r="H375" s="202"/>
      <c r="I375" s="185" t="str">
        <f t="shared" si="34"/>
        <v/>
      </c>
      <c r="J375" s="203" t="str">
        <f>IF($H375="USD",IF(OR($I375="",$I375="-"),"",VLOOKUP($G375,為替!$A:$AX,$I375,FALSE))+$J$3,IF(OR($I375="",$I375="-"),"",VLOOKUP($G375,為替!$A:$AX,$I375,FALSE)))</f>
        <v/>
      </c>
      <c r="K375" s="204" t="str">
        <f t="shared" si="35"/>
        <v/>
      </c>
      <c r="L375" s="188" t="str">
        <f t="shared" si="37"/>
        <v/>
      </c>
      <c r="M375" s="203" t="str">
        <f>IF($H375="USD",IF(OR($L375="",$L375="-"),"",VLOOKUP($G375,為替!$A:$AX,$L375,FALSE))+$K$3,IF(OR($L375="",$L375="-"),"",VLOOKUP($G375,為替!$A:$AX,$L375,FALSE)))</f>
        <v/>
      </c>
      <c r="N375" s="204" t="str">
        <f t="shared" si="36"/>
        <v/>
      </c>
      <c r="O375" s="205" t="str">
        <f t="shared" si="38"/>
        <v/>
      </c>
      <c r="P375" s="206" t="str">
        <f t="shared" si="39"/>
        <v/>
      </c>
    </row>
    <row r="376" spans="3:16" x14ac:dyDescent="0.4">
      <c r="C376" s="199"/>
      <c r="D376" s="200"/>
      <c r="E376" s="201"/>
      <c r="F376" s="199"/>
      <c r="H376" s="202"/>
      <c r="I376" s="185" t="str">
        <f t="shared" si="34"/>
        <v/>
      </c>
      <c r="J376" s="203" t="str">
        <f>IF($H376="USD",IF(OR($I376="",$I376="-"),"",VLOOKUP($G376,為替!$A:$AX,$I376,FALSE))+$J$3,IF(OR($I376="",$I376="-"),"",VLOOKUP($G376,為替!$A:$AX,$I376,FALSE)))</f>
        <v/>
      </c>
      <c r="K376" s="204" t="str">
        <f t="shared" si="35"/>
        <v/>
      </c>
      <c r="L376" s="188" t="str">
        <f t="shared" si="37"/>
        <v/>
      </c>
      <c r="M376" s="203" t="str">
        <f>IF($H376="USD",IF(OR($L376="",$L376="-"),"",VLOOKUP($G376,為替!$A:$AX,$L376,FALSE))+$K$3,IF(OR($L376="",$L376="-"),"",VLOOKUP($G376,為替!$A:$AX,$L376,FALSE)))</f>
        <v/>
      </c>
      <c r="N376" s="204" t="str">
        <f t="shared" si="36"/>
        <v/>
      </c>
      <c r="O376" s="205" t="str">
        <f t="shared" si="38"/>
        <v/>
      </c>
      <c r="P376" s="206" t="str">
        <f t="shared" si="39"/>
        <v/>
      </c>
    </row>
    <row r="377" spans="3:16" x14ac:dyDescent="0.4">
      <c r="C377" s="199"/>
      <c r="D377" s="200"/>
      <c r="E377" s="201"/>
      <c r="F377" s="199"/>
      <c r="H377" s="202"/>
      <c r="I377" s="185" t="str">
        <f t="shared" si="34"/>
        <v/>
      </c>
      <c r="J377" s="203" t="str">
        <f>IF($H377="USD",IF(OR($I377="",$I377="-"),"",VLOOKUP($G377,為替!$A:$AX,$I377,FALSE))+$J$3,IF(OR($I377="",$I377="-"),"",VLOOKUP($G377,為替!$A:$AX,$I377,FALSE)))</f>
        <v/>
      </c>
      <c r="K377" s="204" t="str">
        <f t="shared" si="35"/>
        <v/>
      </c>
      <c r="L377" s="188" t="str">
        <f t="shared" si="37"/>
        <v/>
      </c>
      <c r="M377" s="203" t="str">
        <f>IF($H377="USD",IF(OR($L377="",$L377="-"),"",VLOOKUP($G377,為替!$A:$AX,$L377,FALSE))+$K$3,IF(OR($L377="",$L377="-"),"",VLOOKUP($G377,為替!$A:$AX,$L377,FALSE)))</f>
        <v/>
      </c>
      <c r="N377" s="204" t="str">
        <f t="shared" si="36"/>
        <v/>
      </c>
      <c r="O377" s="205" t="str">
        <f t="shared" si="38"/>
        <v/>
      </c>
      <c r="P377" s="206" t="str">
        <f t="shared" si="39"/>
        <v/>
      </c>
    </row>
    <row r="378" spans="3:16" x14ac:dyDescent="0.4">
      <c r="C378" s="199"/>
      <c r="D378" s="200"/>
      <c r="E378" s="201"/>
      <c r="F378" s="199"/>
      <c r="H378" s="202"/>
      <c r="I378" s="185" t="str">
        <f t="shared" si="34"/>
        <v/>
      </c>
      <c r="J378" s="203" t="str">
        <f>IF($H378="USD",IF(OR($I378="",$I378="-"),"",VLOOKUP($G378,為替!$A:$AX,$I378,FALSE))+$J$3,IF(OR($I378="",$I378="-"),"",VLOOKUP($G378,為替!$A:$AX,$I378,FALSE)))</f>
        <v/>
      </c>
      <c r="K378" s="204" t="str">
        <f t="shared" si="35"/>
        <v/>
      </c>
      <c r="L378" s="188" t="str">
        <f t="shared" si="37"/>
        <v/>
      </c>
      <c r="M378" s="203" t="str">
        <f>IF($H378="USD",IF(OR($L378="",$L378="-"),"",VLOOKUP($G378,為替!$A:$AX,$L378,FALSE))+$K$3,IF(OR($L378="",$L378="-"),"",VLOOKUP($G378,為替!$A:$AX,$L378,FALSE)))</f>
        <v/>
      </c>
      <c r="N378" s="204" t="str">
        <f t="shared" si="36"/>
        <v/>
      </c>
      <c r="O378" s="205" t="str">
        <f t="shared" si="38"/>
        <v/>
      </c>
      <c r="P378" s="206" t="str">
        <f t="shared" si="39"/>
        <v/>
      </c>
    </row>
    <row r="379" spans="3:16" x14ac:dyDescent="0.4">
      <c r="C379" s="199"/>
      <c r="D379" s="200"/>
      <c r="E379" s="201"/>
      <c r="F379" s="199"/>
      <c r="H379" s="202"/>
      <c r="I379" s="185" t="str">
        <f t="shared" si="34"/>
        <v/>
      </c>
      <c r="J379" s="203" t="str">
        <f>IF($H379="USD",IF(OR($I379="",$I379="-"),"",VLOOKUP($G379,為替!$A:$AX,$I379,FALSE))+$J$3,IF(OR($I379="",$I379="-"),"",VLOOKUP($G379,為替!$A:$AX,$I379,FALSE)))</f>
        <v/>
      </c>
      <c r="K379" s="204" t="str">
        <f t="shared" si="35"/>
        <v/>
      </c>
      <c r="L379" s="188" t="str">
        <f t="shared" si="37"/>
        <v/>
      </c>
      <c r="M379" s="203" t="str">
        <f>IF($H379="USD",IF(OR($L379="",$L379="-"),"",VLOOKUP($G379,為替!$A:$AX,$L379,FALSE))+$K$3,IF(OR($L379="",$L379="-"),"",VLOOKUP($G379,為替!$A:$AX,$L379,FALSE)))</f>
        <v/>
      </c>
      <c r="N379" s="204" t="str">
        <f t="shared" si="36"/>
        <v/>
      </c>
      <c r="O379" s="205" t="str">
        <f t="shared" si="38"/>
        <v/>
      </c>
      <c r="P379" s="206" t="str">
        <f t="shared" si="39"/>
        <v/>
      </c>
    </row>
    <row r="380" spans="3:16" x14ac:dyDescent="0.4">
      <c r="C380" s="199"/>
      <c r="D380" s="200"/>
      <c r="E380" s="201"/>
      <c r="F380" s="199"/>
      <c r="H380" s="202"/>
      <c r="I380" s="185" t="str">
        <f t="shared" si="34"/>
        <v/>
      </c>
      <c r="J380" s="203" t="str">
        <f>IF($H380="USD",IF(OR($I380="",$I380="-"),"",VLOOKUP($G380,為替!$A:$AX,$I380,FALSE))+$J$3,IF(OR($I380="",$I380="-"),"",VLOOKUP($G380,為替!$A:$AX,$I380,FALSE)))</f>
        <v/>
      </c>
      <c r="K380" s="204" t="str">
        <f t="shared" si="35"/>
        <v/>
      </c>
      <c r="L380" s="188" t="str">
        <f t="shared" si="37"/>
        <v/>
      </c>
      <c r="M380" s="203" t="str">
        <f>IF($H380="USD",IF(OR($L380="",$L380="-"),"",VLOOKUP($G380,為替!$A:$AX,$L380,FALSE))+$K$3,IF(OR($L380="",$L380="-"),"",VLOOKUP($G380,為替!$A:$AX,$L380,FALSE)))</f>
        <v/>
      </c>
      <c r="N380" s="204" t="str">
        <f t="shared" si="36"/>
        <v/>
      </c>
      <c r="O380" s="205" t="str">
        <f t="shared" si="38"/>
        <v/>
      </c>
      <c r="P380" s="206" t="str">
        <f t="shared" si="39"/>
        <v/>
      </c>
    </row>
    <row r="381" spans="3:16" x14ac:dyDescent="0.4">
      <c r="C381" s="199"/>
      <c r="D381" s="200"/>
      <c r="E381" s="201"/>
      <c r="F381" s="199"/>
      <c r="H381" s="202"/>
      <c r="I381" s="185" t="str">
        <f t="shared" si="34"/>
        <v/>
      </c>
      <c r="J381" s="203" t="str">
        <f>IF($H381="USD",IF(OR($I381="",$I381="-"),"",VLOOKUP($G381,為替!$A:$AX,$I381,FALSE))+$J$3,IF(OR($I381="",$I381="-"),"",VLOOKUP($G381,為替!$A:$AX,$I381,FALSE)))</f>
        <v/>
      </c>
      <c r="K381" s="204" t="str">
        <f t="shared" si="35"/>
        <v/>
      </c>
      <c r="L381" s="188" t="str">
        <f t="shared" si="37"/>
        <v/>
      </c>
      <c r="M381" s="203" t="str">
        <f>IF($H381="USD",IF(OR($L381="",$L381="-"),"",VLOOKUP($G381,為替!$A:$AX,$L381,FALSE))+$K$3,IF(OR($L381="",$L381="-"),"",VLOOKUP($G381,為替!$A:$AX,$L381,FALSE)))</f>
        <v/>
      </c>
      <c r="N381" s="204" t="str">
        <f t="shared" si="36"/>
        <v/>
      </c>
      <c r="O381" s="205" t="str">
        <f t="shared" si="38"/>
        <v/>
      </c>
      <c r="P381" s="206" t="str">
        <f t="shared" si="39"/>
        <v/>
      </c>
    </row>
    <row r="382" spans="3:16" x14ac:dyDescent="0.4">
      <c r="C382" s="199"/>
      <c r="D382" s="200"/>
      <c r="E382" s="201"/>
      <c r="F382" s="199"/>
      <c r="H382" s="202"/>
      <c r="I382" s="185" t="str">
        <f t="shared" si="34"/>
        <v/>
      </c>
      <c r="J382" s="203" t="str">
        <f>IF($H382="USD",IF(OR($I382="",$I382="-"),"",VLOOKUP($G382,為替!$A:$AX,$I382,FALSE))+$J$3,IF(OR($I382="",$I382="-"),"",VLOOKUP($G382,為替!$A:$AX,$I382,FALSE)))</f>
        <v/>
      </c>
      <c r="K382" s="204" t="str">
        <f t="shared" si="35"/>
        <v/>
      </c>
      <c r="L382" s="188" t="str">
        <f t="shared" si="37"/>
        <v/>
      </c>
      <c r="M382" s="203" t="str">
        <f>IF($H382="USD",IF(OR($L382="",$L382="-"),"",VLOOKUP($G382,為替!$A:$AX,$L382,FALSE))+$K$3,IF(OR($L382="",$L382="-"),"",VLOOKUP($G382,為替!$A:$AX,$L382,FALSE)))</f>
        <v/>
      </c>
      <c r="N382" s="204" t="str">
        <f t="shared" si="36"/>
        <v/>
      </c>
      <c r="O382" s="205" t="str">
        <f t="shared" si="38"/>
        <v/>
      </c>
      <c r="P382" s="206" t="str">
        <f t="shared" si="39"/>
        <v/>
      </c>
    </row>
    <row r="383" spans="3:16" x14ac:dyDescent="0.4">
      <c r="C383" s="199"/>
      <c r="D383" s="200"/>
      <c r="E383" s="201"/>
      <c r="F383" s="199"/>
      <c r="H383" s="202"/>
      <c r="I383" s="185" t="str">
        <f t="shared" si="34"/>
        <v/>
      </c>
      <c r="J383" s="203" t="str">
        <f>IF($H383="USD",IF(OR($I383="",$I383="-"),"",VLOOKUP($G383,為替!$A:$AX,$I383,FALSE))+$J$3,IF(OR($I383="",$I383="-"),"",VLOOKUP($G383,為替!$A:$AX,$I383,FALSE)))</f>
        <v/>
      </c>
      <c r="K383" s="204" t="str">
        <f t="shared" si="35"/>
        <v/>
      </c>
      <c r="L383" s="188" t="str">
        <f t="shared" si="37"/>
        <v/>
      </c>
      <c r="M383" s="203" t="str">
        <f>IF($H383="USD",IF(OR($L383="",$L383="-"),"",VLOOKUP($G383,為替!$A:$AX,$L383,FALSE))+$K$3,IF(OR($L383="",$L383="-"),"",VLOOKUP($G383,為替!$A:$AX,$L383,FALSE)))</f>
        <v/>
      </c>
      <c r="N383" s="204" t="str">
        <f t="shared" si="36"/>
        <v/>
      </c>
      <c r="O383" s="205" t="str">
        <f t="shared" si="38"/>
        <v/>
      </c>
      <c r="P383" s="206" t="str">
        <f t="shared" si="39"/>
        <v/>
      </c>
    </row>
    <row r="384" spans="3:16" x14ac:dyDescent="0.4">
      <c r="C384" s="199"/>
      <c r="D384" s="200"/>
      <c r="E384" s="201"/>
      <c r="F384" s="199"/>
      <c r="H384" s="202"/>
      <c r="I384" s="185" t="str">
        <f t="shared" si="34"/>
        <v/>
      </c>
      <c r="J384" s="203" t="str">
        <f>IF($H384="USD",IF(OR($I384="",$I384="-"),"",VLOOKUP($G384,為替!$A:$AX,$I384,FALSE))+$J$3,IF(OR($I384="",$I384="-"),"",VLOOKUP($G384,為替!$A:$AX,$I384,FALSE)))</f>
        <v/>
      </c>
      <c r="K384" s="204" t="str">
        <f t="shared" si="35"/>
        <v/>
      </c>
      <c r="L384" s="188" t="str">
        <f t="shared" si="37"/>
        <v/>
      </c>
      <c r="M384" s="203" t="str">
        <f>IF($H384="USD",IF(OR($L384="",$L384="-"),"",VLOOKUP($G384,為替!$A:$AX,$L384,FALSE))+$K$3,IF(OR($L384="",$L384="-"),"",VLOOKUP($G384,為替!$A:$AX,$L384,FALSE)))</f>
        <v/>
      </c>
      <c r="N384" s="204" t="str">
        <f t="shared" si="36"/>
        <v/>
      </c>
      <c r="O384" s="205" t="str">
        <f t="shared" si="38"/>
        <v/>
      </c>
      <c r="P384" s="206" t="str">
        <f t="shared" si="39"/>
        <v/>
      </c>
    </row>
    <row r="385" spans="3:16" x14ac:dyDescent="0.4">
      <c r="C385" s="199"/>
      <c r="D385" s="200"/>
      <c r="E385" s="201"/>
      <c r="F385" s="199"/>
      <c r="H385" s="202"/>
      <c r="I385" s="185" t="str">
        <f t="shared" si="34"/>
        <v/>
      </c>
      <c r="J385" s="203" t="str">
        <f>IF($H385="USD",IF(OR($I385="",$I385="-"),"",VLOOKUP($G385,為替!$A:$AX,$I385,FALSE))+$J$3,IF(OR($I385="",$I385="-"),"",VLOOKUP($G385,為替!$A:$AX,$I385,FALSE)))</f>
        <v/>
      </c>
      <c r="K385" s="204" t="str">
        <f t="shared" si="35"/>
        <v/>
      </c>
      <c r="L385" s="188" t="str">
        <f t="shared" si="37"/>
        <v/>
      </c>
      <c r="M385" s="203" t="str">
        <f>IF($H385="USD",IF(OR($L385="",$L385="-"),"",VLOOKUP($G385,為替!$A:$AX,$L385,FALSE))+$K$3,IF(OR($L385="",$L385="-"),"",VLOOKUP($G385,為替!$A:$AX,$L385,FALSE)))</f>
        <v/>
      </c>
      <c r="N385" s="204" t="str">
        <f t="shared" si="36"/>
        <v/>
      </c>
      <c r="O385" s="205" t="str">
        <f t="shared" si="38"/>
        <v/>
      </c>
      <c r="P385" s="206" t="str">
        <f t="shared" si="39"/>
        <v/>
      </c>
    </row>
    <row r="386" spans="3:16" x14ac:dyDescent="0.4">
      <c r="C386" s="199"/>
      <c r="D386" s="200"/>
      <c r="E386" s="201"/>
      <c r="F386" s="199"/>
      <c r="H386" s="202"/>
      <c r="I386" s="185" t="str">
        <f t="shared" si="34"/>
        <v/>
      </c>
      <c r="J386" s="203" t="str">
        <f>IF($H386="USD",IF(OR($I386="",$I386="-"),"",VLOOKUP($G386,為替!$A:$AX,$I386,FALSE))+$J$3,IF(OR($I386="",$I386="-"),"",VLOOKUP($G386,為替!$A:$AX,$I386,FALSE)))</f>
        <v/>
      </c>
      <c r="K386" s="204" t="str">
        <f t="shared" si="35"/>
        <v/>
      </c>
      <c r="L386" s="188" t="str">
        <f t="shared" si="37"/>
        <v/>
      </c>
      <c r="M386" s="203" t="str">
        <f>IF($H386="USD",IF(OR($L386="",$L386="-"),"",VLOOKUP($G386,為替!$A:$AX,$L386,FALSE))+$K$3,IF(OR($L386="",$L386="-"),"",VLOOKUP($G386,為替!$A:$AX,$L386,FALSE)))</f>
        <v/>
      </c>
      <c r="N386" s="204" t="str">
        <f t="shared" si="36"/>
        <v/>
      </c>
      <c r="O386" s="205" t="str">
        <f t="shared" si="38"/>
        <v/>
      </c>
      <c r="P386" s="206" t="str">
        <f t="shared" si="39"/>
        <v/>
      </c>
    </row>
    <row r="387" spans="3:16" x14ac:dyDescent="0.4">
      <c r="C387" s="199"/>
      <c r="D387" s="200"/>
      <c r="E387" s="201"/>
      <c r="F387" s="199"/>
      <c r="H387" s="202"/>
      <c r="I387" s="185" t="str">
        <f t="shared" si="34"/>
        <v/>
      </c>
      <c r="J387" s="203" t="str">
        <f>IF($H387="USD",IF(OR($I387="",$I387="-"),"",VLOOKUP($G387,為替!$A:$AX,$I387,FALSE))+$J$3,IF(OR($I387="",$I387="-"),"",VLOOKUP($G387,為替!$A:$AX,$I387,FALSE)))</f>
        <v/>
      </c>
      <c r="K387" s="204" t="str">
        <f t="shared" si="35"/>
        <v/>
      </c>
      <c r="L387" s="188" t="str">
        <f t="shared" si="37"/>
        <v/>
      </c>
      <c r="M387" s="203" t="str">
        <f>IF($H387="USD",IF(OR($L387="",$L387="-"),"",VLOOKUP($G387,為替!$A:$AX,$L387,FALSE))+$K$3,IF(OR($L387="",$L387="-"),"",VLOOKUP($G387,為替!$A:$AX,$L387,FALSE)))</f>
        <v/>
      </c>
      <c r="N387" s="204" t="str">
        <f t="shared" si="36"/>
        <v/>
      </c>
      <c r="O387" s="205" t="str">
        <f t="shared" si="38"/>
        <v/>
      </c>
      <c r="P387" s="206" t="str">
        <f t="shared" si="39"/>
        <v/>
      </c>
    </row>
    <row r="388" spans="3:16" x14ac:dyDescent="0.4">
      <c r="C388" s="199"/>
      <c r="D388" s="200"/>
      <c r="E388" s="201"/>
      <c r="F388" s="199"/>
      <c r="H388" s="202"/>
      <c r="I388" s="185" t="str">
        <f t="shared" si="34"/>
        <v/>
      </c>
      <c r="J388" s="203" t="str">
        <f>IF($H388="USD",IF(OR($I388="",$I388="-"),"",VLOOKUP($G388,為替!$A:$AX,$I388,FALSE))+$J$3,IF(OR($I388="",$I388="-"),"",VLOOKUP($G388,為替!$A:$AX,$I388,FALSE)))</f>
        <v/>
      </c>
      <c r="K388" s="204" t="str">
        <f t="shared" si="35"/>
        <v/>
      </c>
      <c r="L388" s="188" t="str">
        <f t="shared" si="37"/>
        <v/>
      </c>
      <c r="M388" s="203" t="str">
        <f>IF($H388="USD",IF(OR($L388="",$L388="-"),"",VLOOKUP($G388,為替!$A:$AX,$L388,FALSE))+$K$3,IF(OR($L388="",$L388="-"),"",VLOOKUP($G388,為替!$A:$AX,$L388,FALSE)))</f>
        <v/>
      </c>
      <c r="N388" s="204" t="str">
        <f t="shared" si="36"/>
        <v/>
      </c>
      <c r="O388" s="205" t="str">
        <f t="shared" si="38"/>
        <v/>
      </c>
      <c r="P388" s="206" t="str">
        <f t="shared" si="39"/>
        <v/>
      </c>
    </row>
    <row r="389" spans="3:16" x14ac:dyDescent="0.4">
      <c r="C389" s="199"/>
      <c r="D389" s="200"/>
      <c r="E389" s="201"/>
      <c r="F389" s="199"/>
      <c r="H389" s="202"/>
      <c r="I389" s="185" t="str">
        <f t="shared" si="34"/>
        <v/>
      </c>
      <c r="J389" s="203" t="str">
        <f>IF($H389="USD",IF(OR($I389="",$I389="-"),"",VLOOKUP($G389,為替!$A:$AX,$I389,FALSE))+$J$3,IF(OR($I389="",$I389="-"),"",VLOOKUP($G389,為替!$A:$AX,$I389,FALSE)))</f>
        <v/>
      </c>
      <c r="K389" s="204" t="str">
        <f t="shared" si="35"/>
        <v/>
      </c>
      <c r="L389" s="188" t="str">
        <f t="shared" si="37"/>
        <v/>
      </c>
      <c r="M389" s="203" t="str">
        <f>IF($H389="USD",IF(OR($L389="",$L389="-"),"",VLOOKUP($G389,為替!$A:$AX,$L389,FALSE))+$K$3,IF(OR($L389="",$L389="-"),"",VLOOKUP($G389,為替!$A:$AX,$L389,FALSE)))</f>
        <v/>
      </c>
      <c r="N389" s="204" t="str">
        <f t="shared" si="36"/>
        <v/>
      </c>
      <c r="O389" s="205" t="str">
        <f t="shared" si="38"/>
        <v/>
      </c>
      <c r="P389" s="206" t="str">
        <f t="shared" si="39"/>
        <v/>
      </c>
    </row>
    <row r="390" spans="3:16" x14ac:dyDescent="0.4">
      <c r="C390" s="199"/>
      <c r="D390" s="200"/>
      <c r="E390" s="201"/>
      <c r="F390" s="199"/>
      <c r="H390" s="202"/>
      <c r="I390" s="185" t="str">
        <f t="shared" si="34"/>
        <v/>
      </c>
      <c r="J390" s="203" t="str">
        <f>IF($H390="USD",IF(OR($I390="",$I390="-"),"",VLOOKUP($G390,為替!$A:$AX,$I390,FALSE))+$J$3,IF(OR($I390="",$I390="-"),"",VLOOKUP($G390,為替!$A:$AX,$I390,FALSE)))</f>
        <v/>
      </c>
      <c r="K390" s="204" t="str">
        <f t="shared" si="35"/>
        <v/>
      </c>
      <c r="L390" s="188" t="str">
        <f t="shared" si="37"/>
        <v/>
      </c>
      <c r="M390" s="203" t="str">
        <f>IF($H390="USD",IF(OR($L390="",$L390="-"),"",VLOOKUP($G390,為替!$A:$AX,$L390,FALSE))+$K$3,IF(OR($L390="",$L390="-"),"",VLOOKUP($G390,為替!$A:$AX,$L390,FALSE)))</f>
        <v/>
      </c>
      <c r="N390" s="204" t="str">
        <f t="shared" si="36"/>
        <v/>
      </c>
      <c r="O390" s="205" t="str">
        <f t="shared" si="38"/>
        <v/>
      </c>
      <c r="P390" s="206" t="str">
        <f t="shared" si="39"/>
        <v/>
      </c>
    </row>
    <row r="391" spans="3:16" x14ac:dyDescent="0.4">
      <c r="C391" s="199"/>
      <c r="D391" s="200"/>
      <c r="E391" s="201"/>
      <c r="F391" s="199"/>
      <c r="H391" s="202"/>
      <c r="I391" s="185" t="str">
        <f t="shared" ref="I391:I400" si="40">IF(H391="","",IF(H391="JPY","",IF($H391="USD",4, IF(H391="EUR",7,IF(H391="CNY",47,IF(H391="HKD",34))))))</f>
        <v/>
      </c>
      <c r="J391" s="203" t="str">
        <f>IF($H391="USD",IF(OR($I391="",$I391="-"),"",VLOOKUP($G391,為替!$A:$AX,$I391,FALSE))+$J$3,IF(OR($I391="",$I391="-"),"",VLOOKUP($G391,為替!$A:$AX,$I391,FALSE)))</f>
        <v/>
      </c>
      <c r="K391" s="204" t="str">
        <f t="shared" ref="K391:K400" si="41">IF($H391="JPY",$F391,IF($H391="","",$F391*$J391))</f>
        <v/>
      </c>
      <c r="L391" s="188" t="str">
        <f t="shared" si="37"/>
        <v/>
      </c>
      <c r="M391" s="203" t="str">
        <f>IF($H391="USD",IF(OR($L391="",$L391="-"),"",VLOOKUP($G391,為替!$A:$AX,$L391,FALSE))+$K$3,IF(OR($L391="",$L391="-"),"",VLOOKUP($G391,為替!$A:$AX,$L391,FALSE)))</f>
        <v/>
      </c>
      <c r="N391" s="204" t="str">
        <f t="shared" ref="N391:N400" si="42">IF($E391="JPY",($C391+$D391),IF($E391="","",($C391+$D391)*$M391))</f>
        <v/>
      </c>
      <c r="O391" s="205" t="str">
        <f t="shared" si="38"/>
        <v/>
      </c>
      <c r="P391" s="206" t="str">
        <f t="shared" si="39"/>
        <v/>
      </c>
    </row>
    <row r="392" spans="3:16" x14ac:dyDescent="0.4">
      <c r="C392" s="199"/>
      <c r="D392" s="200"/>
      <c r="E392" s="201"/>
      <c r="F392" s="199"/>
      <c r="H392" s="202"/>
      <c r="I392" s="185" t="str">
        <f t="shared" si="40"/>
        <v/>
      </c>
      <c r="J392" s="203" t="str">
        <f>IF($H392="USD",IF(OR($I392="",$I392="-"),"",VLOOKUP($G392,為替!$A:$AX,$I392,FALSE))+$J$3,IF(OR($I392="",$I392="-"),"",VLOOKUP($G392,為替!$A:$AX,$I392,FALSE)))</f>
        <v/>
      </c>
      <c r="K392" s="204" t="str">
        <f t="shared" si="41"/>
        <v/>
      </c>
      <c r="L392" s="188" t="str">
        <f t="shared" si="37"/>
        <v/>
      </c>
      <c r="M392" s="203" t="str">
        <f>IF($H392="USD",IF(OR($L392="",$L392="-"),"",VLOOKUP($G392,為替!$A:$AX,$L392,FALSE))+$K$3,IF(OR($L392="",$L392="-"),"",VLOOKUP($G392,為替!$A:$AX,$L392,FALSE)))</f>
        <v/>
      </c>
      <c r="N392" s="204" t="str">
        <f t="shared" si="42"/>
        <v/>
      </c>
      <c r="O392" s="205" t="str">
        <f t="shared" si="38"/>
        <v/>
      </c>
      <c r="P392" s="206" t="str">
        <f t="shared" si="39"/>
        <v/>
      </c>
    </row>
    <row r="393" spans="3:16" x14ac:dyDescent="0.4">
      <c r="C393" s="199"/>
      <c r="D393" s="200"/>
      <c r="E393" s="201"/>
      <c r="F393" s="199"/>
      <c r="H393" s="202"/>
      <c r="I393" s="185" t="str">
        <f t="shared" si="40"/>
        <v/>
      </c>
      <c r="J393" s="203" t="str">
        <f>IF($H393="USD",IF(OR($I393="",$I393="-"),"",VLOOKUP($G393,為替!$A:$AX,$I393,FALSE))+$J$3,IF(OR($I393="",$I393="-"),"",VLOOKUP($G393,為替!$A:$AX,$I393,FALSE)))</f>
        <v/>
      </c>
      <c r="K393" s="204" t="str">
        <f t="shared" si="41"/>
        <v/>
      </c>
      <c r="L393" s="188" t="str">
        <f t="shared" si="37"/>
        <v/>
      </c>
      <c r="M393" s="203" t="str">
        <f>IF($H393="USD",IF(OR($L393="",$L393="-"),"",VLOOKUP($G393,為替!$A:$AX,$L393,FALSE))+$K$3,IF(OR($L393="",$L393="-"),"",VLOOKUP($G393,為替!$A:$AX,$L393,FALSE)))</f>
        <v/>
      </c>
      <c r="N393" s="204" t="str">
        <f t="shared" si="42"/>
        <v/>
      </c>
      <c r="O393" s="205" t="str">
        <f t="shared" si="38"/>
        <v/>
      </c>
      <c r="P393" s="206" t="str">
        <f t="shared" si="39"/>
        <v/>
      </c>
    </row>
    <row r="394" spans="3:16" x14ac:dyDescent="0.4">
      <c r="C394" s="199"/>
      <c r="D394" s="200"/>
      <c r="E394" s="201"/>
      <c r="F394" s="199"/>
      <c r="H394" s="202"/>
      <c r="I394" s="185" t="str">
        <f t="shared" si="40"/>
        <v/>
      </c>
      <c r="J394" s="203" t="str">
        <f>IF($H394="USD",IF(OR($I394="",$I394="-"),"",VLOOKUP($G394,為替!$A:$AX,$I394,FALSE))+$J$3,IF(OR($I394="",$I394="-"),"",VLOOKUP($G394,為替!$A:$AX,$I394,FALSE)))</f>
        <v/>
      </c>
      <c r="K394" s="204" t="str">
        <f t="shared" si="41"/>
        <v/>
      </c>
      <c r="L394" s="188" t="str">
        <f t="shared" si="37"/>
        <v/>
      </c>
      <c r="M394" s="203" t="str">
        <f>IF($H394="USD",IF(OR($L394="",$L394="-"),"",VLOOKUP($G394,為替!$A:$AX,$L394,FALSE))+$K$3,IF(OR($L394="",$L394="-"),"",VLOOKUP($G394,為替!$A:$AX,$L394,FALSE)))</f>
        <v/>
      </c>
      <c r="N394" s="204" t="str">
        <f t="shared" si="42"/>
        <v/>
      </c>
      <c r="O394" s="205" t="str">
        <f t="shared" si="38"/>
        <v/>
      </c>
      <c r="P394" s="206" t="str">
        <f t="shared" si="39"/>
        <v/>
      </c>
    </row>
    <row r="395" spans="3:16" x14ac:dyDescent="0.4">
      <c r="C395" s="199"/>
      <c r="D395" s="200"/>
      <c r="E395" s="201"/>
      <c r="F395" s="199"/>
      <c r="H395" s="202"/>
      <c r="I395" s="185" t="str">
        <f t="shared" si="40"/>
        <v/>
      </c>
      <c r="J395" s="203" t="str">
        <f>IF($H395="USD",IF(OR($I395="",$I395="-"),"",VLOOKUP($G395,為替!$A:$AX,$I395,FALSE))+$J$3,IF(OR($I395="",$I395="-"),"",VLOOKUP($G395,為替!$A:$AX,$I395,FALSE)))</f>
        <v/>
      </c>
      <c r="K395" s="204" t="str">
        <f t="shared" si="41"/>
        <v/>
      </c>
      <c r="L395" s="188" t="str">
        <f t="shared" si="37"/>
        <v/>
      </c>
      <c r="M395" s="203" t="str">
        <f>IF($H395="USD",IF(OR($L395="",$L395="-"),"",VLOOKUP($G395,為替!$A:$AX,$L395,FALSE))+$K$3,IF(OR($L395="",$L395="-"),"",VLOOKUP($G395,為替!$A:$AX,$L395,FALSE)))</f>
        <v/>
      </c>
      <c r="N395" s="204" t="str">
        <f t="shared" si="42"/>
        <v/>
      </c>
      <c r="O395" s="205" t="str">
        <f t="shared" si="38"/>
        <v/>
      </c>
      <c r="P395" s="206" t="str">
        <f t="shared" si="39"/>
        <v/>
      </c>
    </row>
    <row r="396" spans="3:16" x14ac:dyDescent="0.4">
      <c r="C396" s="199"/>
      <c r="D396" s="200"/>
      <c r="E396" s="201"/>
      <c r="F396" s="199"/>
      <c r="H396" s="202"/>
      <c r="I396" s="185" t="str">
        <f t="shared" si="40"/>
        <v/>
      </c>
      <c r="J396" s="203" t="str">
        <f>IF($H396="USD",IF(OR($I396="",$I396="-"),"",VLOOKUP($G396,為替!$A:$AX,$I396,FALSE))+$J$3,IF(OR($I396="",$I396="-"),"",VLOOKUP($G396,為替!$A:$AX,$I396,FALSE)))</f>
        <v/>
      </c>
      <c r="K396" s="204" t="str">
        <f t="shared" si="41"/>
        <v/>
      </c>
      <c r="L396" s="188" t="str">
        <f t="shared" si="37"/>
        <v/>
      </c>
      <c r="M396" s="203" t="str">
        <f>IF($H396="USD",IF(OR($L396="",$L396="-"),"",VLOOKUP($G396,為替!$A:$AX,$L396,FALSE))+$K$3,IF(OR($L396="",$L396="-"),"",VLOOKUP($G396,為替!$A:$AX,$L396,FALSE)))</f>
        <v/>
      </c>
      <c r="N396" s="204" t="str">
        <f t="shared" si="42"/>
        <v/>
      </c>
      <c r="O396" s="205" t="str">
        <f t="shared" si="38"/>
        <v/>
      </c>
      <c r="P396" s="206" t="str">
        <f t="shared" si="39"/>
        <v/>
      </c>
    </row>
    <row r="397" spans="3:16" x14ac:dyDescent="0.4">
      <c r="C397" s="199"/>
      <c r="D397" s="200"/>
      <c r="E397" s="201"/>
      <c r="F397" s="199"/>
      <c r="H397" s="202"/>
      <c r="I397" s="185" t="str">
        <f t="shared" si="40"/>
        <v/>
      </c>
      <c r="J397" s="203" t="str">
        <f>IF($H397="USD",IF(OR($I397="",$I397="-"),"",VLOOKUP($G397,為替!$A:$AX,$I397,FALSE))+$J$3,IF(OR($I397="",$I397="-"),"",VLOOKUP($G397,為替!$A:$AX,$I397,FALSE)))</f>
        <v/>
      </c>
      <c r="K397" s="204" t="str">
        <f t="shared" si="41"/>
        <v/>
      </c>
      <c r="L397" s="188" t="str">
        <f t="shared" si="37"/>
        <v/>
      </c>
      <c r="M397" s="203" t="str">
        <f>IF($H397="USD",IF(OR($L397="",$L397="-"),"",VLOOKUP($G397,為替!$A:$AX,$L397,FALSE))+$K$3,IF(OR($L397="",$L397="-"),"",VLOOKUP($G397,為替!$A:$AX,$L397,FALSE)))</f>
        <v/>
      </c>
      <c r="N397" s="204" t="str">
        <f t="shared" si="42"/>
        <v/>
      </c>
      <c r="O397" s="205" t="str">
        <f t="shared" si="38"/>
        <v/>
      </c>
      <c r="P397" s="206" t="str">
        <f t="shared" si="39"/>
        <v/>
      </c>
    </row>
    <row r="398" spans="3:16" x14ac:dyDescent="0.4">
      <c r="C398" s="199"/>
      <c r="D398" s="200"/>
      <c r="E398" s="201"/>
      <c r="F398" s="199"/>
      <c r="H398" s="202"/>
      <c r="I398" s="185" t="str">
        <f t="shared" si="40"/>
        <v/>
      </c>
      <c r="J398" s="203" t="str">
        <f>IF($H398="USD",IF(OR($I398="",$I398="-"),"",VLOOKUP($G398,為替!$A:$AX,$I398,FALSE))+$J$3,IF(OR($I398="",$I398="-"),"",VLOOKUP($G398,為替!$A:$AX,$I398,FALSE)))</f>
        <v/>
      </c>
      <c r="K398" s="204" t="str">
        <f t="shared" si="41"/>
        <v/>
      </c>
      <c r="L398" s="188" t="str">
        <f t="shared" si="37"/>
        <v/>
      </c>
      <c r="M398" s="203" t="str">
        <f>IF($H398="USD",IF(OR($L398="",$L398="-"),"",VLOOKUP($G398,為替!$A:$AX,$L398,FALSE))+$K$3,IF(OR($L398="",$L398="-"),"",VLOOKUP($G398,為替!$A:$AX,$L398,FALSE)))</f>
        <v/>
      </c>
      <c r="N398" s="204" t="str">
        <f t="shared" si="42"/>
        <v/>
      </c>
      <c r="O398" s="205" t="str">
        <f t="shared" si="38"/>
        <v/>
      </c>
      <c r="P398" s="206" t="str">
        <f t="shared" si="39"/>
        <v/>
      </c>
    </row>
    <row r="399" spans="3:16" x14ac:dyDescent="0.4">
      <c r="C399" s="199"/>
      <c r="D399" s="200"/>
      <c r="E399" s="201"/>
      <c r="F399" s="199"/>
      <c r="H399" s="202"/>
      <c r="I399" s="185" t="str">
        <f t="shared" si="40"/>
        <v/>
      </c>
      <c r="J399" s="203" t="str">
        <f>IF($H399="USD",IF(OR($I399="",$I399="-"),"",VLOOKUP($G399,為替!$A:$AX,$I399,FALSE))+$J$3,IF(OR($I399="",$I399="-"),"",VLOOKUP($G399,為替!$A:$AX,$I399,FALSE)))</f>
        <v/>
      </c>
      <c r="K399" s="204" t="str">
        <f t="shared" si="41"/>
        <v/>
      </c>
      <c r="L399" s="188" t="str">
        <f t="shared" si="37"/>
        <v/>
      </c>
      <c r="M399" s="203" t="str">
        <f>IF($H399="USD",IF(OR($L399="",$L399="-"),"",VLOOKUP($G399,為替!$A:$AX,$L399,FALSE))+$K$3,IF(OR($L399="",$L399="-"),"",VLOOKUP($G399,為替!$A:$AX,$L399,FALSE)))</f>
        <v/>
      </c>
      <c r="N399" s="204" t="str">
        <f t="shared" si="42"/>
        <v/>
      </c>
      <c r="O399" s="205" t="str">
        <f t="shared" si="38"/>
        <v/>
      </c>
      <c r="P399" s="206" t="str">
        <f t="shared" si="39"/>
        <v/>
      </c>
    </row>
    <row r="400" spans="3:16" x14ac:dyDescent="0.4">
      <c r="C400" s="199"/>
      <c r="D400" s="200"/>
      <c r="E400" s="201"/>
      <c r="F400" s="199"/>
      <c r="H400" s="202"/>
      <c r="I400" s="185" t="str">
        <f t="shared" si="40"/>
        <v/>
      </c>
      <c r="J400" s="203" t="str">
        <f>IF($H400="USD",IF(OR($I400="",$I400="-"),"",VLOOKUP($G400,為替!$A:$AX,$I400,FALSE))+$J$3,IF(OR($I400="",$I400="-"),"",VLOOKUP($G400,為替!$A:$AX,$I400,FALSE)))</f>
        <v/>
      </c>
      <c r="K400" s="204" t="str">
        <f t="shared" si="41"/>
        <v/>
      </c>
      <c r="L400" s="188" t="str">
        <f t="shared" si="37"/>
        <v/>
      </c>
      <c r="M400" s="203" t="str">
        <f>IF($H400="USD",IF(OR($L400="",$L400="-"),"",VLOOKUP($G400,為替!$A:$AX,$L400,FALSE))+$K$3,IF(OR($L400="",$L400="-"),"",VLOOKUP($G400,為替!$A:$AX,$L400,FALSE)))</f>
        <v/>
      </c>
      <c r="N400" s="204" t="str">
        <f t="shared" si="42"/>
        <v/>
      </c>
      <c r="O400" s="205" t="str">
        <f t="shared" si="38"/>
        <v/>
      </c>
      <c r="P400" s="206" t="str">
        <f t="shared" si="39"/>
        <v/>
      </c>
    </row>
  </sheetData>
  <mergeCells count="1">
    <mergeCell ref="A1:E2"/>
  </mergeCells>
  <phoneticPr fontId="2"/>
  <conditionalFormatting sqref="P6:P400">
    <cfRule type="cellIs" dxfId="4" priority="1" operator="greaterThan">
      <formula>$P$3</formula>
    </cfRule>
  </conditionalFormatting>
  <dataValidations count="2">
    <dataValidation type="list" allowBlank="1" showInputMessage="1" showErrorMessage="1" sqref="A6:A400" xr:uid="{4A464C5A-4B4D-4C85-998F-2F9AC6382A49}">
      <formula1>$M$3:$O$3</formula1>
    </dataValidation>
    <dataValidation type="list" allowBlank="1" showInputMessage="1" showErrorMessage="1" sqref="E6:E400 H6:H400" xr:uid="{6CCBC872-249B-4934-B264-8B1993775748}">
      <formula1>"JPY,USD,EUR,CNY,HKD"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81DD-91B9-45EE-950E-D105EB888CF2}">
  <sheetPr codeName="Sheet15">
    <tabColor theme="4" tint="0.79998168889431442"/>
  </sheetPr>
  <dimension ref="A1:S68"/>
  <sheetViews>
    <sheetView showGridLines="0" topLeftCell="A3" zoomScale="70" zoomScaleNormal="70" workbookViewId="0">
      <selection activeCell="E14" sqref="E14:P14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187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  <c r="F2" s="44" t="s">
        <v>113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/>
    <row r="5" spans="1:19" ht="19.5" customHeight="1" thickBot="1" x14ac:dyDescent="0.45">
      <c r="A5" s="467" t="s">
        <v>34</v>
      </c>
      <c r="B5" s="468"/>
      <c r="C5" s="442" t="s">
        <v>23</v>
      </c>
      <c r="D5" s="443"/>
      <c r="E5" s="421" t="s">
        <v>19</v>
      </c>
      <c r="F5" s="422"/>
      <c r="G5" s="422"/>
      <c r="H5" s="422"/>
      <c r="I5" s="422"/>
      <c r="J5" s="423"/>
      <c r="K5" s="421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45444</v>
      </c>
      <c r="F6" s="215">
        <v>45474</v>
      </c>
      <c r="G6" s="215">
        <v>45505</v>
      </c>
      <c r="H6" s="215">
        <v>45536</v>
      </c>
      <c r="I6" s="215">
        <v>45566</v>
      </c>
      <c r="J6" s="216">
        <v>45597</v>
      </c>
      <c r="K6" s="217">
        <v>45627</v>
      </c>
      <c r="L6" s="215">
        <v>45658</v>
      </c>
      <c r="M6" s="215">
        <v>45689</v>
      </c>
      <c r="N6" s="215">
        <v>45717</v>
      </c>
      <c r="O6" s="215">
        <v>45748</v>
      </c>
      <c r="P6" s="218">
        <v>45778</v>
      </c>
      <c r="Q6" s="455"/>
      <c r="R6" s="153" t="s">
        <v>190</v>
      </c>
      <c r="S6" s="67" t="s">
        <v>191</v>
      </c>
    </row>
    <row r="7" spans="1:19" x14ac:dyDescent="0.4">
      <c r="A7" s="447" t="s">
        <v>66</v>
      </c>
      <c r="B7" s="449" t="s">
        <v>130</v>
      </c>
      <c r="C7" s="433" t="s">
        <v>15</v>
      </c>
      <c r="D7" s="111" t="s">
        <v>13</v>
      </c>
      <c r="E7" s="112">
        <f>E65*1.1</f>
        <v>431.20000000000005</v>
      </c>
      <c r="F7" s="113">
        <f t="shared" ref="F7:P7" si="0">F65*1.1</f>
        <v>359.70000000000005</v>
      </c>
      <c r="G7" s="113">
        <f t="shared" si="0"/>
        <v>444.40000000000003</v>
      </c>
      <c r="H7" s="113">
        <f t="shared" si="0"/>
        <v>709.50000000000011</v>
      </c>
      <c r="I7" s="113">
        <f t="shared" si="0"/>
        <v>311.3</v>
      </c>
      <c r="J7" s="114">
        <f t="shared" si="0"/>
        <v>597.30000000000007</v>
      </c>
      <c r="K7" s="115">
        <f t="shared" si="0"/>
        <v>313.5</v>
      </c>
      <c r="L7" s="113">
        <f t="shared" si="0"/>
        <v>254.10000000000002</v>
      </c>
      <c r="M7" s="113">
        <f t="shared" si="0"/>
        <v>256.3</v>
      </c>
      <c r="N7" s="113">
        <f t="shared" si="0"/>
        <v>328.90000000000003</v>
      </c>
      <c r="O7" s="113">
        <f t="shared" si="0"/>
        <v>548.90000000000009</v>
      </c>
      <c r="P7" s="116">
        <f t="shared" si="0"/>
        <v>110.00000000000001</v>
      </c>
      <c r="Q7" s="117">
        <f>SUM(E7:P7)</f>
        <v>4665.1000000000004</v>
      </c>
      <c r="R7" s="465">
        <v>4241</v>
      </c>
      <c r="S7" s="68">
        <f>IFERROR(Q7/R7,"")</f>
        <v>1.1000000000000001</v>
      </c>
    </row>
    <row r="8" spans="1:19" ht="19.5" thickBot="1" x14ac:dyDescent="0.45">
      <c r="A8" s="447"/>
      <c r="B8" s="450"/>
      <c r="C8" s="433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0</v>
      </c>
      <c r="F8" s="135">
        <f ca="1">SUMIFS(INDIRECT($B$1&amp;"INV!$K:$K"),INDIRECT($B$1&amp;"INV!$A:$A"),$A7,INDIRECT($B$1&amp;"INV!$G:$G"),"&gt;="&amp;F$6,INDIRECT($B$1&amp;"INV!$G:$G"),"&lt;"&amp;EOMONTH(F$6,0)+1)/1000</f>
        <v>0</v>
      </c>
      <c r="G8" s="135">
        <f ca="1">SUMIFS(INDIRECT($B$1&amp;"INV!$K:$K"),INDIRECT($B$1&amp;"INV!$A:$A"),$A7,INDIRECT($B$1&amp;"INV!$G:$G"),"&gt;="&amp;G$6,INDIRECT($B$1&amp;"INV!$G:$G"),"&lt;"&amp;EOMONTH(G$6,0)+1)/1000</f>
        <v>0</v>
      </c>
      <c r="H8" s="135">
        <f t="shared" ref="H8:P8" ca="1" si="1">SUMIFS(INDIRECT($B$1&amp;"INV!$K:$K"),INDIRECT($B$1&amp;"INV!$A:$A"),$A7,INDIRECT($B$1&amp;"INV!$G:$G"),"&gt;="&amp;H$6,INDIRECT($B$1&amp;"INV!$G:$G"),"&lt;"&amp;EOMONTH(H$6,0)+1)/1000</f>
        <v>0</v>
      </c>
      <c r="I8" s="135">
        <f t="shared" ca="1" si="1"/>
        <v>0</v>
      </c>
      <c r="J8" s="138">
        <f t="shared" ca="1" si="1"/>
        <v>0</v>
      </c>
      <c r="K8" s="134">
        <f t="shared" ca="1" si="1"/>
        <v>0</v>
      </c>
      <c r="L8" s="135">
        <f t="shared" ca="1" si="1"/>
        <v>0</v>
      </c>
      <c r="M8" s="135">
        <f t="shared" ca="1" si="1"/>
        <v>0</v>
      </c>
      <c r="N8" s="135">
        <f t="shared" ca="1" si="1"/>
        <v>0</v>
      </c>
      <c r="O8" s="135">
        <f t="shared" ca="1" si="1"/>
        <v>0</v>
      </c>
      <c r="P8" s="136">
        <f t="shared" ca="1" si="1"/>
        <v>0</v>
      </c>
      <c r="Q8" s="139">
        <f ca="1">SUM(E8:P8)</f>
        <v>0</v>
      </c>
      <c r="R8" s="466"/>
      <c r="S8" s="69">
        <f ca="1">IFERROR(Q8/R7,"")</f>
        <v>0</v>
      </c>
    </row>
    <row r="9" spans="1:19" x14ac:dyDescent="0.4">
      <c r="A9" s="447"/>
      <c r="B9" s="450"/>
      <c r="C9" s="433"/>
      <c r="D9" s="21" t="s">
        <v>17</v>
      </c>
      <c r="E9" s="11">
        <f ca="1">E8/E7</f>
        <v>0</v>
      </c>
      <c r="F9" s="4">
        <f t="shared" ref="F9:Q9" ca="1" si="2">F8/F7</f>
        <v>0</v>
      </c>
      <c r="G9" s="4">
        <f t="shared" ca="1" si="2"/>
        <v>0</v>
      </c>
      <c r="H9" s="4">
        <f t="shared" ca="1" si="2"/>
        <v>0</v>
      </c>
      <c r="I9" s="4">
        <f t="shared" ca="1" si="2"/>
        <v>0</v>
      </c>
      <c r="J9" s="6">
        <f t="shared" ca="1" si="2"/>
        <v>0</v>
      </c>
      <c r="K9" s="8">
        <f t="shared" ca="1" si="2"/>
        <v>0</v>
      </c>
      <c r="L9" s="4">
        <f t="shared" ca="1" si="2"/>
        <v>0</v>
      </c>
      <c r="M9" s="4">
        <f t="shared" ca="1" si="2"/>
        <v>0</v>
      </c>
      <c r="N9" s="4">
        <f t="shared" ca="1" si="2"/>
        <v>0</v>
      </c>
      <c r="O9" s="4">
        <f t="shared" ca="1" si="2"/>
        <v>0</v>
      </c>
      <c r="P9" s="16">
        <f t="shared" ca="1" si="2"/>
        <v>0</v>
      </c>
      <c r="Q9" s="26">
        <f t="shared" ca="1" si="2"/>
        <v>0</v>
      </c>
    </row>
    <row r="10" spans="1:19" x14ac:dyDescent="0.4">
      <c r="A10" s="447"/>
      <c r="B10" s="450"/>
      <c r="C10" s="434"/>
      <c r="D10" s="22" t="s">
        <v>18</v>
      </c>
      <c r="E10" s="12">
        <f ca="1">SUM($E8:E8)/SUM($E7:E7)</f>
        <v>0</v>
      </c>
      <c r="F10" s="5">
        <f ca="1">SUM($E8:F8)/SUM($E7:F7)</f>
        <v>0</v>
      </c>
      <c r="G10" s="5">
        <f ca="1">SUM($E8:G8)/SUM($E7:G7)</f>
        <v>0</v>
      </c>
      <c r="H10" s="5">
        <f ca="1">SUM($E8:H8)/SUM($E7:H7)</f>
        <v>0</v>
      </c>
      <c r="I10" s="5">
        <f ca="1">SUM($E8:I8)/SUM($E7:I7)</f>
        <v>0</v>
      </c>
      <c r="J10" s="13">
        <f ca="1">SUM($E8:J8)/SUM($E7:J7)</f>
        <v>0</v>
      </c>
      <c r="K10" s="9">
        <f ca="1">SUM($E8:K8)/SUM($E7:K7)</f>
        <v>0</v>
      </c>
      <c r="L10" s="5">
        <f ca="1">SUM($E8:L8)/SUM($E7:L7)</f>
        <v>0</v>
      </c>
      <c r="M10" s="5">
        <f ca="1">SUM($E8:M8)/SUM($E7:M7)</f>
        <v>0</v>
      </c>
      <c r="N10" s="5">
        <f ca="1">SUM($E8:N8)/SUM($E7:N7)</f>
        <v>0</v>
      </c>
      <c r="O10" s="5">
        <f ca="1">SUM($E8:O8)/SUM($E7:O7)</f>
        <v>0</v>
      </c>
      <c r="P10" s="17">
        <f ca="1">SUM($E8:P8)/SUM($E7:P7)</f>
        <v>0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119">
        <f>E67*1.1</f>
        <v>385.00000000000006</v>
      </c>
      <c r="F11" s="120">
        <f t="shared" ref="F11:P11" si="3">F67*1.1</f>
        <v>306.90000000000003</v>
      </c>
      <c r="G11" s="120">
        <f t="shared" si="3"/>
        <v>381.70000000000005</v>
      </c>
      <c r="H11" s="120">
        <f t="shared" si="3"/>
        <v>596.20000000000005</v>
      </c>
      <c r="I11" s="120">
        <f t="shared" si="3"/>
        <v>261.8</v>
      </c>
      <c r="J11" s="121">
        <f t="shared" si="3"/>
        <v>497.20000000000005</v>
      </c>
      <c r="K11" s="122">
        <f t="shared" si="3"/>
        <v>259.60000000000002</v>
      </c>
      <c r="L11" s="120">
        <f t="shared" si="3"/>
        <v>205.70000000000002</v>
      </c>
      <c r="M11" s="120">
        <f t="shared" si="3"/>
        <v>216.70000000000002</v>
      </c>
      <c r="N11" s="120">
        <f t="shared" si="3"/>
        <v>271.70000000000005</v>
      </c>
      <c r="O11" s="120">
        <f t="shared" si="3"/>
        <v>464.20000000000005</v>
      </c>
      <c r="P11" s="123">
        <f t="shared" si="3"/>
        <v>88</v>
      </c>
      <c r="Q11" s="124">
        <f>SUM(E11:P11)</f>
        <v>3934.7</v>
      </c>
      <c r="R11" s="465">
        <v>3577</v>
      </c>
      <c r="S11" s="68">
        <f>IFERROR(Q11/R11,"")</f>
        <v>1.0999999999999999</v>
      </c>
    </row>
    <row r="12" spans="1:19" x14ac:dyDescent="0.4">
      <c r="A12" s="447"/>
      <c r="B12" s="450"/>
      <c r="C12" s="453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0</v>
      </c>
      <c r="F12" s="141">
        <f t="shared" ref="F12:P12" ca="1" si="4">SUMIFS(INDIRECT($B$1&amp;"INV!$N:$N"),INDIRECT($B$1&amp;"INV!$A:$A"),$A7,INDIRECT($B$1&amp;"INV!$G:$G"),"&gt;="&amp;F$6,INDIRECT($B$1&amp;"INV!$G:$G"),"&lt;"&amp;EOMONTH(F$6,0)+1)/1000</f>
        <v>0</v>
      </c>
      <c r="G12" s="141">
        <f t="shared" ca="1" si="4"/>
        <v>0</v>
      </c>
      <c r="H12" s="141">
        <f t="shared" ca="1" si="4"/>
        <v>0</v>
      </c>
      <c r="I12" s="141">
        <f t="shared" ca="1" si="4"/>
        <v>0</v>
      </c>
      <c r="J12" s="144">
        <f t="shared" ca="1" si="4"/>
        <v>0</v>
      </c>
      <c r="K12" s="146">
        <f t="shared" ca="1" si="4"/>
        <v>0</v>
      </c>
      <c r="L12" s="141">
        <f t="shared" ca="1" si="4"/>
        <v>0</v>
      </c>
      <c r="M12" s="141">
        <f t="shared" ca="1" si="4"/>
        <v>0</v>
      </c>
      <c r="N12" s="141">
        <f t="shared" ca="1" si="4"/>
        <v>0</v>
      </c>
      <c r="O12" s="141">
        <f t="shared" ca="1" si="4"/>
        <v>0</v>
      </c>
      <c r="P12" s="142">
        <f t="shared" ca="1" si="4"/>
        <v>0</v>
      </c>
      <c r="Q12" s="145">
        <f ca="1">SUM(E12:P12)</f>
        <v>0</v>
      </c>
      <c r="R12" s="471"/>
      <c r="S12" s="70">
        <f ca="1">IFERROR(Q12/R11,"")</f>
        <v>0</v>
      </c>
    </row>
    <row r="13" spans="1:19" x14ac:dyDescent="0.4">
      <c r="A13" s="447"/>
      <c r="B13" s="450"/>
      <c r="C13" s="435" t="s">
        <v>16</v>
      </c>
      <c r="D13" s="118" t="s">
        <v>13</v>
      </c>
      <c r="E13" s="119">
        <f>E7-E11</f>
        <v>46.199999999999989</v>
      </c>
      <c r="F13" s="120">
        <f t="shared" ref="F13:P14" si="5">F7-F11</f>
        <v>52.800000000000011</v>
      </c>
      <c r="G13" s="120">
        <f t="shared" si="5"/>
        <v>62.699999999999989</v>
      </c>
      <c r="H13" s="120">
        <f t="shared" si="5"/>
        <v>113.30000000000007</v>
      </c>
      <c r="I13" s="120">
        <f t="shared" si="5"/>
        <v>49.5</v>
      </c>
      <c r="J13" s="121">
        <f t="shared" si="5"/>
        <v>100.10000000000002</v>
      </c>
      <c r="K13" s="122">
        <f t="shared" si="5"/>
        <v>53.899999999999977</v>
      </c>
      <c r="L13" s="120">
        <f t="shared" si="5"/>
        <v>48.400000000000006</v>
      </c>
      <c r="M13" s="120">
        <f t="shared" si="5"/>
        <v>39.599999999999994</v>
      </c>
      <c r="N13" s="120">
        <f t="shared" si="5"/>
        <v>57.199999999999989</v>
      </c>
      <c r="O13" s="120">
        <f t="shared" si="5"/>
        <v>84.700000000000045</v>
      </c>
      <c r="P13" s="123">
        <f t="shared" si="5"/>
        <v>22.000000000000014</v>
      </c>
      <c r="Q13" s="124">
        <f>SUM(E13:P13)</f>
        <v>730.40000000000009</v>
      </c>
      <c r="R13" s="465">
        <f>R7-R11</f>
        <v>664</v>
      </c>
      <c r="S13" s="149">
        <f>IFERROR(Q13/R13,"")</f>
        <v>1.1000000000000001</v>
      </c>
    </row>
    <row r="14" spans="1:19" ht="19.5" thickBot="1" x14ac:dyDescent="0.45">
      <c r="A14" s="447"/>
      <c r="B14" s="450"/>
      <c r="C14" s="436"/>
      <c r="D14" s="133" t="s">
        <v>14</v>
      </c>
      <c r="E14" s="134">
        <f ca="1">E8-E12</f>
        <v>0</v>
      </c>
      <c r="F14" s="135">
        <f t="shared" ca="1" si="5"/>
        <v>0</v>
      </c>
      <c r="G14" s="135">
        <f t="shared" ca="1" si="5"/>
        <v>0</v>
      </c>
      <c r="H14" s="135">
        <f t="shared" ca="1" si="5"/>
        <v>0</v>
      </c>
      <c r="I14" s="135">
        <f t="shared" ca="1" si="5"/>
        <v>0</v>
      </c>
      <c r="J14" s="138">
        <f t="shared" ca="1" si="5"/>
        <v>0</v>
      </c>
      <c r="K14" s="134">
        <f t="shared" ca="1" si="5"/>
        <v>0</v>
      </c>
      <c r="L14" s="135">
        <f t="shared" ca="1" si="5"/>
        <v>0</v>
      </c>
      <c r="M14" s="135">
        <f t="shared" ca="1" si="5"/>
        <v>0</v>
      </c>
      <c r="N14" s="135">
        <f t="shared" ca="1" si="5"/>
        <v>0</v>
      </c>
      <c r="O14" s="135">
        <f t="shared" ca="1" si="5"/>
        <v>0</v>
      </c>
      <c r="P14" s="136">
        <f t="shared" ca="1" si="5"/>
        <v>0</v>
      </c>
      <c r="Q14" s="139">
        <f ca="1">SUM(E14:P14)</f>
        <v>0</v>
      </c>
      <c r="R14" s="466"/>
      <c r="S14" s="69">
        <f ca="1">IFERROR(Q14/R13,"")</f>
        <v>0</v>
      </c>
    </row>
    <row r="15" spans="1:19" x14ac:dyDescent="0.4">
      <c r="A15" s="447"/>
      <c r="B15" s="450"/>
      <c r="C15" s="436"/>
      <c r="D15" s="21" t="s">
        <v>17</v>
      </c>
      <c r="E15" s="11">
        <f ca="1">E14/E13</f>
        <v>0</v>
      </c>
      <c r="F15" s="4">
        <f t="shared" ref="F15:Q15" ca="1" si="6">F14/F13</f>
        <v>0</v>
      </c>
      <c r="G15" s="4">
        <f t="shared" ca="1" si="6"/>
        <v>0</v>
      </c>
      <c r="H15" s="4">
        <f t="shared" ca="1" si="6"/>
        <v>0</v>
      </c>
      <c r="I15" s="4">
        <f t="shared" ca="1" si="6"/>
        <v>0</v>
      </c>
      <c r="J15" s="6">
        <f t="shared" ca="1" si="6"/>
        <v>0</v>
      </c>
      <c r="K15" s="8">
        <f t="shared" ca="1" si="6"/>
        <v>0</v>
      </c>
      <c r="L15" s="4">
        <f t="shared" ca="1" si="6"/>
        <v>0</v>
      </c>
      <c r="M15" s="4">
        <f t="shared" ca="1" si="6"/>
        <v>0</v>
      </c>
      <c r="N15" s="4">
        <f t="shared" ca="1" si="6"/>
        <v>0</v>
      </c>
      <c r="O15" s="4">
        <f t="shared" ca="1" si="6"/>
        <v>0</v>
      </c>
      <c r="P15" s="16">
        <f t="shared" ca="1" si="6"/>
        <v>0</v>
      </c>
      <c r="Q15" s="26">
        <f t="shared" ca="1" si="6"/>
        <v>0</v>
      </c>
    </row>
    <row r="16" spans="1:19" ht="19.5" thickBot="1" x14ac:dyDescent="0.45">
      <c r="A16" s="448"/>
      <c r="B16" s="451"/>
      <c r="C16" s="437"/>
      <c r="D16" s="23" t="s">
        <v>18</v>
      </c>
      <c r="E16" s="14">
        <f ca="1">SUM($E14:E14)/SUM($E13:E13)</f>
        <v>0</v>
      </c>
      <c r="F16" s="7">
        <f ca="1">SUM($E14:F14)/SUM($E13:F13)</f>
        <v>0</v>
      </c>
      <c r="G16" s="7">
        <f ca="1">SUM($E14:G14)/SUM($E13:G13)</f>
        <v>0</v>
      </c>
      <c r="H16" s="7">
        <f ca="1">SUM($E14:H14)/SUM($E13:H13)</f>
        <v>0</v>
      </c>
      <c r="I16" s="7">
        <f ca="1">SUM($E14:I14)/SUM($E13:I13)</f>
        <v>0</v>
      </c>
      <c r="J16" s="15">
        <f ca="1">SUM($E14:J14)/SUM($E13:J13)</f>
        <v>0</v>
      </c>
      <c r="K16" s="10">
        <f ca="1">SUM($E14:K14)/SUM($E13:K13)</f>
        <v>0</v>
      </c>
      <c r="L16" s="7">
        <f ca="1">SUM($E14:L14)/SUM($E13:L13)</f>
        <v>0</v>
      </c>
      <c r="M16" s="7">
        <f ca="1">SUM($E14:M14)/SUM($E13:M13)</f>
        <v>0</v>
      </c>
      <c r="N16" s="7">
        <f ca="1">SUM($E14:N14)/SUM($E13:N13)</f>
        <v>0</v>
      </c>
      <c r="O16" s="7">
        <f ca="1">SUM($E14:O14)/SUM($E13:O13)</f>
        <v>0</v>
      </c>
      <c r="P16" s="18">
        <f ca="1">SUM($E14:P14)/SUM($E13:P13)</f>
        <v>0</v>
      </c>
      <c r="Q16" s="28" t="s">
        <v>22</v>
      </c>
      <c r="R16" s="59"/>
      <c r="S16"/>
    </row>
    <row r="17" spans="1:19" x14ac:dyDescent="0.4">
      <c r="A17" s="446" t="s">
        <v>133</v>
      </c>
      <c r="B17" s="449" t="s">
        <v>130</v>
      </c>
      <c r="C17" s="433" t="s">
        <v>15</v>
      </c>
      <c r="D17" s="111" t="s">
        <v>13</v>
      </c>
      <c r="E17" s="112">
        <f>E66*0.9</f>
        <v>564.30000000000007</v>
      </c>
      <c r="F17" s="113">
        <f t="shared" ref="F17:P17" si="7">F66*0.9</f>
        <v>431.1</v>
      </c>
      <c r="G17" s="113">
        <f t="shared" si="7"/>
        <v>453.6</v>
      </c>
      <c r="H17" s="113">
        <f t="shared" si="7"/>
        <v>482.40000000000003</v>
      </c>
      <c r="I17" s="113">
        <f t="shared" si="7"/>
        <v>730.80000000000007</v>
      </c>
      <c r="J17" s="114">
        <f t="shared" si="7"/>
        <v>732.6</v>
      </c>
      <c r="K17" s="115">
        <f t="shared" si="7"/>
        <v>916.2</v>
      </c>
      <c r="L17" s="113">
        <f t="shared" si="7"/>
        <v>906.30000000000007</v>
      </c>
      <c r="M17" s="113">
        <f t="shared" si="7"/>
        <v>852.30000000000007</v>
      </c>
      <c r="N17" s="113">
        <f t="shared" si="7"/>
        <v>549</v>
      </c>
      <c r="O17" s="113">
        <f t="shared" si="7"/>
        <v>552.6</v>
      </c>
      <c r="P17" s="116">
        <f t="shared" si="7"/>
        <v>810</v>
      </c>
      <c r="Q17" s="117">
        <f>SUM(E17:P17)</f>
        <v>7981.2000000000007</v>
      </c>
      <c r="R17" s="465">
        <v>8868</v>
      </c>
      <c r="S17" s="68">
        <f>IFERROR(Q17/R17,"")</f>
        <v>0.90000000000000013</v>
      </c>
    </row>
    <row r="18" spans="1:19" ht="19.5" thickBot="1" x14ac:dyDescent="0.45">
      <c r="A18" s="447"/>
      <c r="B18" s="450"/>
      <c r="C18" s="433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0</v>
      </c>
      <c r="F18" s="135">
        <f ca="1">SUMIFS(INDIRECT($B$1&amp;"INV!$K:$K"),INDIRECT($B$1&amp;"INV!$A:$A"),$A17,INDIRECT($B$1&amp;"INV!$G:$G"),"&gt;="&amp;F$6,INDIRECT($B$1&amp;"INV!$G:$G"),"&lt;"&amp;EOMONTH(F$6,0)+1)/1000</f>
        <v>0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:P18" ca="1" si="8">SUMIFS(INDIRECT($B$1&amp;"INV!$K:$K"),INDIRECT($B$1&amp;"INV!$A:$A"),$A17,INDIRECT($B$1&amp;"INV!$G:$G"),"&gt;="&amp;H$6,INDIRECT($B$1&amp;"INV!$G:$G"),"&lt;"&amp;EOMONTH(H$6,0)+1)/1000</f>
        <v>0</v>
      </c>
      <c r="I18" s="135">
        <f t="shared" ca="1" si="8"/>
        <v>0</v>
      </c>
      <c r="J18" s="138">
        <f t="shared" ca="1" si="8"/>
        <v>0</v>
      </c>
      <c r="K18" s="134">
        <f t="shared" ca="1" si="8"/>
        <v>0</v>
      </c>
      <c r="L18" s="135">
        <f t="shared" ca="1" si="8"/>
        <v>0</v>
      </c>
      <c r="M18" s="135">
        <f t="shared" ca="1" si="8"/>
        <v>0</v>
      </c>
      <c r="N18" s="135">
        <f t="shared" ca="1" si="8"/>
        <v>0</v>
      </c>
      <c r="O18" s="135">
        <f t="shared" ca="1" si="8"/>
        <v>0</v>
      </c>
      <c r="P18" s="136">
        <f t="shared" ca="1" si="8"/>
        <v>0</v>
      </c>
      <c r="Q18" s="139">
        <f ca="1">SUM(E18:P18)</f>
        <v>0</v>
      </c>
      <c r="R18" s="466"/>
      <c r="S18" s="69">
        <f ca="1">IFERROR(Q18/R17,"")</f>
        <v>0</v>
      </c>
    </row>
    <row r="19" spans="1:19" x14ac:dyDescent="0.4">
      <c r="A19" s="447"/>
      <c r="B19" s="450"/>
      <c r="C19" s="433"/>
      <c r="D19" s="21" t="s">
        <v>17</v>
      </c>
      <c r="E19" s="11">
        <f ca="1">E18/E17</f>
        <v>0</v>
      </c>
      <c r="F19" s="4">
        <f t="shared" ref="F19:Q19" ca="1" si="9">F18/F17</f>
        <v>0</v>
      </c>
      <c r="G19" s="4">
        <f t="shared" ca="1" si="9"/>
        <v>0</v>
      </c>
      <c r="H19" s="4">
        <f t="shared" ca="1" si="9"/>
        <v>0</v>
      </c>
      <c r="I19" s="4">
        <f t="shared" ca="1" si="9"/>
        <v>0</v>
      </c>
      <c r="J19" s="6">
        <f t="shared" ca="1" si="9"/>
        <v>0</v>
      </c>
      <c r="K19" s="8">
        <f t="shared" ca="1" si="9"/>
        <v>0</v>
      </c>
      <c r="L19" s="4">
        <f t="shared" ca="1" si="9"/>
        <v>0</v>
      </c>
      <c r="M19" s="4">
        <f t="shared" ca="1" si="9"/>
        <v>0</v>
      </c>
      <c r="N19" s="4">
        <f t="shared" ca="1" si="9"/>
        <v>0</v>
      </c>
      <c r="O19" s="4">
        <f t="shared" ca="1" si="9"/>
        <v>0</v>
      </c>
      <c r="P19" s="16">
        <f t="shared" ca="1" si="9"/>
        <v>0</v>
      </c>
      <c r="Q19" s="26">
        <f t="shared" ca="1" si="9"/>
        <v>0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12">
        <f ca="1">SUM($E18:E18)/SUM($E17:E17)</f>
        <v>0</v>
      </c>
      <c r="F20" s="5">
        <f ca="1">SUM($E18:F18)/SUM($E17:F17)</f>
        <v>0</v>
      </c>
      <c r="G20" s="5">
        <f ca="1">SUM($E18:G18)/SUM($E17:G17)</f>
        <v>0</v>
      </c>
      <c r="H20" s="5">
        <f ca="1">SUM($E18:H18)/SUM($E17:H17)</f>
        <v>0</v>
      </c>
      <c r="I20" s="5">
        <f ca="1">SUM($E18:I18)/SUM($E17:I17)</f>
        <v>0</v>
      </c>
      <c r="J20" s="13">
        <f ca="1">SUM($E18:J18)/SUM($E17:J17)</f>
        <v>0</v>
      </c>
      <c r="K20" s="9">
        <f ca="1">SUM($E18:K18)/SUM($E17:K17)</f>
        <v>0</v>
      </c>
      <c r="L20" s="5">
        <f ca="1">SUM($E18:L18)/SUM($E17:L17)</f>
        <v>0</v>
      </c>
      <c r="M20" s="5">
        <f ca="1">SUM($E18:M18)/SUM($E17:M17)</f>
        <v>0</v>
      </c>
      <c r="N20" s="5">
        <f ca="1">SUM($E18:N18)/SUM($E17:N17)</f>
        <v>0</v>
      </c>
      <c r="O20" s="5">
        <f ca="1">SUM($E18:O18)/SUM($E17:O17)</f>
        <v>0</v>
      </c>
      <c r="P20" s="17">
        <f ca="1">SUM($E18:P18)/SUM($E17:P17)</f>
        <v>0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119">
        <f>E68*0.9</f>
        <v>450</v>
      </c>
      <c r="F21" s="120">
        <f t="shared" ref="F21:P21" si="10">F68*0.9</f>
        <v>346.5</v>
      </c>
      <c r="G21" s="120">
        <f t="shared" si="10"/>
        <v>360</v>
      </c>
      <c r="H21" s="120">
        <f t="shared" si="10"/>
        <v>411.3</v>
      </c>
      <c r="I21" s="120">
        <f t="shared" si="10"/>
        <v>587.70000000000005</v>
      </c>
      <c r="J21" s="121">
        <f t="shared" si="10"/>
        <v>591.30000000000007</v>
      </c>
      <c r="K21" s="122">
        <f t="shared" si="10"/>
        <v>733.5</v>
      </c>
      <c r="L21" s="120">
        <f t="shared" si="10"/>
        <v>709.2</v>
      </c>
      <c r="M21" s="120">
        <f t="shared" si="10"/>
        <v>614.70000000000005</v>
      </c>
      <c r="N21" s="120">
        <f t="shared" si="10"/>
        <v>424.8</v>
      </c>
      <c r="O21" s="120">
        <f t="shared" si="10"/>
        <v>439.2</v>
      </c>
      <c r="P21" s="123">
        <f t="shared" si="10"/>
        <v>630</v>
      </c>
      <c r="Q21" s="124">
        <f>SUM(E21:P21)</f>
        <v>6298.2</v>
      </c>
      <c r="R21" s="465">
        <v>6998</v>
      </c>
      <c r="S21" s="68">
        <f>IFERROR(Q21/R21,"")</f>
        <v>0.9</v>
      </c>
    </row>
    <row r="22" spans="1:19" x14ac:dyDescent="0.4">
      <c r="A22" s="447"/>
      <c r="B22" s="450"/>
      <c r="C22" s="453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0</v>
      </c>
      <c r="F22" s="141">
        <f t="shared" ref="F22:P22" ca="1" si="11">SUMIFS(INDIRECT($B$1&amp;"INV!$N:$N"),INDIRECT($B$1&amp;"INV!$A:$A"),$A17,INDIRECT($B$1&amp;"INV!$G:$G"),"&gt;="&amp;F$6,INDIRECT($B$1&amp;"INV!$G:$G"),"&lt;"&amp;EOMONTH(F$6,0)+1)/1000</f>
        <v>0</v>
      </c>
      <c r="G22" s="141">
        <f t="shared" ca="1" si="11"/>
        <v>0</v>
      </c>
      <c r="H22" s="141">
        <f t="shared" ca="1" si="11"/>
        <v>0</v>
      </c>
      <c r="I22" s="141">
        <f t="shared" ca="1" si="11"/>
        <v>0</v>
      </c>
      <c r="J22" s="144">
        <f t="shared" ca="1" si="11"/>
        <v>0</v>
      </c>
      <c r="K22" s="146">
        <f t="shared" ca="1" si="11"/>
        <v>0</v>
      </c>
      <c r="L22" s="141">
        <f t="shared" ca="1" si="11"/>
        <v>0</v>
      </c>
      <c r="M22" s="141">
        <f t="shared" ca="1" si="11"/>
        <v>0</v>
      </c>
      <c r="N22" s="141">
        <f t="shared" ca="1" si="11"/>
        <v>0</v>
      </c>
      <c r="O22" s="141">
        <f t="shared" ca="1" si="11"/>
        <v>0</v>
      </c>
      <c r="P22" s="142">
        <f t="shared" ca="1" si="11"/>
        <v>0</v>
      </c>
      <c r="Q22" s="145">
        <f ca="1">SUM(E22:P22)</f>
        <v>0</v>
      </c>
      <c r="R22" s="471"/>
      <c r="S22" s="70">
        <f ca="1">IFERROR(Q22/R21,"")</f>
        <v>0</v>
      </c>
    </row>
    <row r="23" spans="1:19" x14ac:dyDescent="0.4">
      <c r="A23" s="447"/>
      <c r="B23" s="450"/>
      <c r="C23" s="435" t="s">
        <v>16</v>
      </c>
      <c r="D23" s="118" t="s">
        <v>13</v>
      </c>
      <c r="E23" s="119">
        <f>E17-E21</f>
        <v>114.30000000000007</v>
      </c>
      <c r="F23" s="120">
        <f t="shared" ref="F23:P24" si="12">F17-F21</f>
        <v>84.600000000000023</v>
      </c>
      <c r="G23" s="120">
        <f t="shared" si="12"/>
        <v>93.600000000000023</v>
      </c>
      <c r="H23" s="120">
        <f t="shared" si="12"/>
        <v>71.100000000000023</v>
      </c>
      <c r="I23" s="120">
        <f t="shared" si="12"/>
        <v>143.10000000000002</v>
      </c>
      <c r="J23" s="121">
        <f t="shared" si="12"/>
        <v>141.29999999999995</v>
      </c>
      <c r="K23" s="122">
        <f t="shared" si="12"/>
        <v>182.70000000000005</v>
      </c>
      <c r="L23" s="120">
        <f t="shared" si="12"/>
        <v>197.10000000000002</v>
      </c>
      <c r="M23" s="120">
        <f t="shared" si="12"/>
        <v>237.60000000000002</v>
      </c>
      <c r="N23" s="120">
        <f t="shared" si="12"/>
        <v>124.19999999999999</v>
      </c>
      <c r="O23" s="120">
        <f t="shared" si="12"/>
        <v>113.40000000000003</v>
      </c>
      <c r="P23" s="123">
        <f t="shared" si="12"/>
        <v>180</v>
      </c>
      <c r="Q23" s="124">
        <f>SUM(E23:P23)</f>
        <v>1683.0000000000002</v>
      </c>
      <c r="R23" s="465">
        <f>R17-R21</f>
        <v>1870</v>
      </c>
      <c r="S23" s="149">
        <f>IFERROR(Q23/R23,"")</f>
        <v>0.90000000000000013</v>
      </c>
    </row>
    <row r="24" spans="1:19" ht="19.5" thickBot="1" x14ac:dyDescent="0.45">
      <c r="A24" s="447"/>
      <c r="B24" s="450"/>
      <c r="C24" s="436"/>
      <c r="D24" s="133" t="s">
        <v>14</v>
      </c>
      <c r="E24" s="134">
        <f ca="1">E18-E22</f>
        <v>0</v>
      </c>
      <c r="F24" s="135">
        <f t="shared" ca="1" si="12"/>
        <v>0</v>
      </c>
      <c r="G24" s="135">
        <f t="shared" ca="1" si="12"/>
        <v>0</v>
      </c>
      <c r="H24" s="135">
        <f t="shared" ca="1" si="12"/>
        <v>0</v>
      </c>
      <c r="I24" s="135">
        <f t="shared" ca="1" si="12"/>
        <v>0</v>
      </c>
      <c r="J24" s="138">
        <f t="shared" ca="1" si="12"/>
        <v>0</v>
      </c>
      <c r="K24" s="134">
        <f t="shared" ca="1" si="12"/>
        <v>0</v>
      </c>
      <c r="L24" s="135">
        <f t="shared" ca="1" si="12"/>
        <v>0</v>
      </c>
      <c r="M24" s="135">
        <f t="shared" ca="1" si="12"/>
        <v>0</v>
      </c>
      <c r="N24" s="135">
        <f t="shared" ca="1" si="12"/>
        <v>0</v>
      </c>
      <c r="O24" s="135">
        <f t="shared" ca="1" si="12"/>
        <v>0</v>
      </c>
      <c r="P24" s="136">
        <f t="shared" ca="1" si="12"/>
        <v>0</v>
      </c>
      <c r="Q24" s="139">
        <f ca="1">SUM(E24:P24)</f>
        <v>0</v>
      </c>
      <c r="R24" s="466"/>
      <c r="S24" s="69">
        <f ca="1">IFERROR(Q24/R23,"")</f>
        <v>0</v>
      </c>
    </row>
    <row r="25" spans="1:19" x14ac:dyDescent="0.4">
      <c r="A25" s="447"/>
      <c r="B25" s="450"/>
      <c r="C25" s="436"/>
      <c r="D25" s="21" t="s">
        <v>17</v>
      </c>
      <c r="E25" s="11">
        <f ca="1">E24/E23</f>
        <v>0</v>
      </c>
      <c r="F25" s="4">
        <f t="shared" ref="F25:Q25" ca="1" si="13">F24/F23</f>
        <v>0</v>
      </c>
      <c r="G25" s="4">
        <f t="shared" ca="1" si="13"/>
        <v>0</v>
      </c>
      <c r="H25" s="4">
        <f t="shared" ca="1" si="13"/>
        <v>0</v>
      </c>
      <c r="I25" s="4">
        <f t="shared" ca="1" si="13"/>
        <v>0</v>
      </c>
      <c r="J25" s="6">
        <f t="shared" ca="1" si="13"/>
        <v>0</v>
      </c>
      <c r="K25" s="8">
        <f t="shared" ca="1" si="13"/>
        <v>0</v>
      </c>
      <c r="L25" s="4">
        <f t="shared" ca="1" si="13"/>
        <v>0</v>
      </c>
      <c r="M25" s="4">
        <f t="shared" ca="1" si="13"/>
        <v>0</v>
      </c>
      <c r="N25" s="4">
        <f t="shared" ca="1" si="13"/>
        <v>0</v>
      </c>
      <c r="O25" s="4">
        <f t="shared" ca="1" si="13"/>
        <v>0</v>
      </c>
      <c r="P25" s="16">
        <f t="shared" ca="1" si="13"/>
        <v>0</v>
      </c>
      <c r="Q25" s="26">
        <f t="shared" ca="1" si="13"/>
        <v>0</v>
      </c>
    </row>
    <row r="26" spans="1:19" ht="19.5" thickBot="1" x14ac:dyDescent="0.45">
      <c r="A26" s="448"/>
      <c r="B26" s="451"/>
      <c r="C26" s="437"/>
      <c r="D26" s="23" t="s">
        <v>18</v>
      </c>
      <c r="E26" s="14">
        <f ca="1">SUM($E24:E24)/SUM($E23:E23)</f>
        <v>0</v>
      </c>
      <c r="F26" s="7">
        <f ca="1">SUM($E24:F24)/SUM($E23:F23)</f>
        <v>0</v>
      </c>
      <c r="G26" s="7">
        <f ca="1">SUM($E24:G24)/SUM($E23:G23)</f>
        <v>0</v>
      </c>
      <c r="H26" s="7">
        <f ca="1">SUM($E24:H24)/SUM($E23:H23)</f>
        <v>0</v>
      </c>
      <c r="I26" s="7">
        <f ca="1">SUM($E24:I24)/SUM($E23:I23)</f>
        <v>0</v>
      </c>
      <c r="J26" s="15">
        <f ca="1">SUM($E24:J24)/SUM($E23:J23)</f>
        <v>0</v>
      </c>
      <c r="K26" s="10">
        <f ca="1">SUM($E24:K24)/SUM($E23:K23)</f>
        <v>0</v>
      </c>
      <c r="L26" s="7">
        <f ca="1">SUM($E24:L24)/SUM($E23:L23)</f>
        <v>0</v>
      </c>
      <c r="M26" s="7">
        <f ca="1">SUM($E24:M24)/SUM($E23:M23)</f>
        <v>0</v>
      </c>
      <c r="N26" s="7">
        <f ca="1">SUM($E24:N24)/SUM($E23:N23)</f>
        <v>0</v>
      </c>
      <c r="O26" s="7">
        <f ca="1">SUM($E24:O24)/SUM($E23:O23)</f>
        <v>0</v>
      </c>
      <c r="P26" s="18">
        <f ca="1">SUM($E24:P24)/SUM($E23:P23)</f>
        <v>0</v>
      </c>
      <c r="Q26" s="28" t="s">
        <v>22</v>
      </c>
      <c r="R26" s="59"/>
      <c r="S26"/>
    </row>
    <row r="27" spans="1:19" x14ac:dyDescent="0.4">
      <c r="A27" s="447" t="s">
        <v>198</v>
      </c>
      <c r="B27" s="449" t="s">
        <v>198</v>
      </c>
      <c r="C27" s="433" t="s">
        <v>15</v>
      </c>
      <c r="D27" s="111" t="s">
        <v>13</v>
      </c>
      <c r="E27" s="112"/>
      <c r="F27" s="113"/>
      <c r="G27" s="113"/>
      <c r="H27" s="113"/>
      <c r="I27" s="113"/>
      <c r="J27" s="114"/>
      <c r="K27" s="115"/>
      <c r="L27" s="113"/>
      <c r="M27" s="113"/>
      <c r="N27" s="113"/>
      <c r="O27" s="113"/>
      <c r="P27" s="116"/>
      <c r="Q27" s="117">
        <f>SUM(E27:P27)</f>
        <v>0</v>
      </c>
      <c r="R27" s="465">
        <v>7</v>
      </c>
      <c r="S27" s="68">
        <f>IFERROR(Q27/R27,"")</f>
        <v>0</v>
      </c>
    </row>
    <row r="28" spans="1:19" ht="19.5" thickBot="1" x14ac:dyDescent="0.45">
      <c r="A28" s="447"/>
      <c r="B28" s="450"/>
      <c r="C28" s="433"/>
      <c r="D28" s="133" t="s">
        <v>14</v>
      </c>
      <c r="E28" s="134"/>
      <c r="F28" s="135"/>
      <c r="G28" s="135"/>
      <c r="H28" s="135"/>
      <c r="I28" s="135"/>
      <c r="J28" s="138"/>
      <c r="K28" s="134"/>
      <c r="L28" s="135"/>
      <c r="M28" s="135"/>
      <c r="N28" s="135"/>
      <c r="O28" s="135"/>
      <c r="P28" s="136"/>
      <c r="Q28" s="139">
        <f>SUM(E28:P28)</f>
        <v>0</v>
      </c>
      <c r="R28" s="466"/>
      <c r="S28" s="69">
        <f>IFERROR(Q28/R27,"")</f>
        <v>0</v>
      </c>
    </row>
    <row r="29" spans="1:19" x14ac:dyDescent="0.4">
      <c r="A29" s="447"/>
      <c r="B29" s="450"/>
      <c r="C29" s="433"/>
      <c r="D29" s="21" t="s">
        <v>17</v>
      </c>
      <c r="E29" s="11" t="e">
        <f>E28/E27</f>
        <v>#DIV/0!</v>
      </c>
      <c r="F29" s="4" t="e">
        <f t="shared" ref="F29:Q29" si="14">F28/F27</f>
        <v>#DIV/0!</v>
      </c>
      <c r="G29" s="4" t="e">
        <f t="shared" si="14"/>
        <v>#DIV/0!</v>
      </c>
      <c r="H29" s="4" t="e">
        <f t="shared" si="14"/>
        <v>#DIV/0!</v>
      </c>
      <c r="I29" s="4" t="e">
        <f t="shared" si="14"/>
        <v>#DIV/0!</v>
      </c>
      <c r="J29" s="6" t="e">
        <f t="shared" si="14"/>
        <v>#DIV/0!</v>
      </c>
      <c r="K29" s="8" t="e">
        <f t="shared" si="14"/>
        <v>#DIV/0!</v>
      </c>
      <c r="L29" s="4" t="e">
        <f t="shared" si="14"/>
        <v>#DIV/0!</v>
      </c>
      <c r="M29" s="4" t="e">
        <f t="shared" si="14"/>
        <v>#DIV/0!</v>
      </c>
      <c r="N29" s="4" t="e">
        <f t="shared" si="14"/>
        <v>#DIV/0!</v>
      </c>
      <c r="O29" s="4" t="e">
        <f t="shared" si="14"/>
        <v>#DIV/0!</v>
      </c>
      <c r="P29" s="16" t="e">
        <f t="shared" si="14"/>
        <v>#DIV/0!</v>
      </c>
      <c r="Q29" s="26" t="e">
        <f t="shared" si="14"/>
        <v>#DIV/0!</v>
      </c>
      <c r="R29" s="59"/>
      <c r="S29"/>
    </row>
    <row r="30" spans="1:19" x14ac:dyDescent="0.4">
      <c r="A30" s="447"/>
      <c r="B30" s="450"/>
      <c r="C30" s="434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</row>
    <row r="31" spans="1:19" x14ac:dyDescent="0.4">
      <c r="A31" s="447"/>
      <c r="B31" s="450"/>
      <c r="C31" s="452" t="s">
        <v>192</v>
      </c>
      <c r="D31" s="118" t="s">
        <v>13</v>
      </c>
      <c r="E31" s="119"/>
      <c r="F31" s="120"/>
      <c r="G31" s="120"/>
      <c r="H31" s="120"/>
      <c r="I31" s="120"/>
      <c r="J31" s="121"/>
      <c r="K31" s="122"/>
      <c r="L31" s="120"/>
      <c r="M31" s="120"/>
      <c r="N31" s="120"/>
      <c r="O31" s="120"/>
      <c r="P31" s="123"/>
      <c r="Q31" s="124">
        <f>SUM(E31:P31)</f>
        <v>0</v>
      </c>
      <c r="R31" s="465"/>
      <c r="S31" s="68" t="str">
        <f>IFERROR(Q31/R31,"")</f>
        <v/>
      </c>
    </row>
    <row r="32" spans="1:19" x14ac:dyDescent="0.4">
      <c r="A32" s="447"/>
      <c r="B32" s="450"/>
      <c r="C32" s="453"/>
      <c r="D32" s="140" t="s">
        <v>14</v>
      </c>
      <c r="E32" s="146"/>
      <c r="F32" s="141"/>
      <c r="G32" s="141"/>
      <c r="H32" s="141"/>
      <c r="I32" s="141"/>
      <c r="J32" s="144"/>
      <c r="K32" s="146"/>
      <c r="L32" s="141"/>
      <c r="M32" s="141"/>
      <c r="N32" s="141"/>
      <c r="O32" s="141"/>
      <c r="P32" s="142"/>
      <c r="Q32" s="145">
        <f>SUM(E32:P32)</f>
        <v>0</v>
      </c>
      <c r="R32" s="471"/>
      <c r="S32" s="70" t="str">
        <f>IFERROR(Q32/R31,"")</f>
        <v/>
      </c>
    </row>
    <row r="33" spans="1:19" x14ac:dyDescent="0.4">
      <c r="A33" s="447"/>
      <c r="B33" s="450"/>
      <c r="C33" s="435" t="s">
        <v>16</v>
      </c>
      <c r="D33" s="118" t="s">
        <v>13</v>
      </c>
      <c r="E33" s="119"/>
      <c r="F33" s="120"/>
      <c r="G33" s="120"/>
      <c r="H33" s="120"/>
      <c r="I33" s="120"/>
      <c r="J33" s="121"/>
      <c r="K33" s="122"/>
      <c r="L33" s="120"/>
      <c r="M33" s="120"/>
      <c r="N33" s="120"/>
      <c r="O33" s="120"/>
      <c r="P33" s="123"/>
      <c r="Q33" s="124">
        <f>SUM(E33:P33)</f>
        <v>0</v>
      </c>
      <c r="R33" s="465">
        <f>R27-R31</f>
        <v>7</v>
      </c>
      <c r="S33" s="149">
        <f>IFERROR(Q33/R33,"")</f>
        <v>0</v>
      </c>
    </row>
    <row r="34" spans="1:19" ht="19.5" thickBot="1" x14ac:dyDescent="0.45">
      <c r="A34" s="447"/>
      <c r="B34" s="450"/>
      <c r="C34" s="436"/>
      <c r="D34" s="133" t="s">
        <v>14</v>
      </c>
      <c r="E34" s="134"/>
      <c r="F34" s="135"/>
      <c r="G34" s="135"/>
      <c r="H34" s="135"/>
      <c r="I34" s="135"/>
      <c r="J34" s="136"/>
      <c r="K34" s="137"/>
      <c r="L34" s="135"/>
      <c r="M34" s="135"/>
      <c r="N34" s="135"/>
      <c r="O34" s="135"/>
      <c r="P34" s="138"/>
      <c r="Q34" s="139">
        <f>SUM(E34:P34)</f>
        <v>0</v>
      </c>
      <c r="R34" s="466"/>
      <c r="S34" s="69">
        <f>IFERROR(Q34/R33,"")</f>
        <v>0</v>
      </c>
    </row>
    <row r="35" spans="1:19" x14ac:dyDescent="0.4">
      <c r="A35" s="447"/>
      <c r="B35" s="450"/>
      <c r="C35" s="436"/>
      <c r="D35" s="21" t="s">
        <v>17</v>
      </c>
      <c r="E35" s="11" t="e">
        <f>E34/E33</f>
        <v>#DIV/0!</v>
      </c>
      <c r="F35" s="4" t="e">
        <f t="shared" ref="F35:Q35" si="15">F34/F33</f>
        <v>#DIV/0!</v>
      </c>
      <c r="G35" s="4" t="e">
        <f t="shared" si="15"/>
        <v>#DIV/0!</v>
      </c>
      <c r="H35" s="4" t="e">
        <f t="shared" si="15"/>
        <v>#DIV/0!</v>
      </c>
      <c r="I35" s="4" t="e">
        <f t="shared" si="15"/>
        <v>#DIV/0!</v>
      </c>
      <c r="J35" s="6" t="e">
        <f t="shared" si="15"/>
        <v>#DIV/0!</v>
      </c>
      <c r="K35" s="8" t="e">
        <f t="shared" si="15"/>
        <v>#DIV/0!</v>
      </c>
      <c r="L35" s="4" t="e">
        <f t="shared" si="15"/>
        <v>#DIV/0!</v>
      </c>
      <c r="M35" s="4" t="e">
        <f t="shared" si="15"/>
        <v>#DIV/0!</v>
      </c>
      <c r="N35" s="4" t="e">
        <f t="shared" si="15"/>
        <v>#DIV/0!</v>
      </c>
      <c r="O35" s="4" t="e">
        <f t="shared" si="15"/>
        <v>#DIV/0!</v>
      </c>
      <c r="P35" s="16" t="e">
        <f t="shared" si="15"/>
        <v>#DIV/0!</v>
      </c>
      <c r="Q35" s="26" t="e">
        <f t="shared" si="15"/>
        <v>#DIV/0!</v>
      </c>
    </row>
    <row r="36" spans="1:19" ht="19.5" thickBot="1" x14ac:dyDescent="0.45">
      <c r="A36" s="448"/>
      <c r="B36" s="451"/>
      <c r="C36" s="437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>SUM(E7,E17,E27)</f>
        <v>995.50000000000011</v>
      </c>
      <c r="F37" s="127">
        <f t="shared" ref="F37:Q38" si="16">SUM(F7,F17,F27)</f>
        <v>790.80000000000007</v>
      </c>
      <c r="G37" s="128">
        <f t="shared" si="16"/>
        <v>898</v>
      </c>
      <c r="H37" s="127">
        <f t="shared" si="16"/>
        <v>1191.9000000000001</v>
      </c>
      <c r="I37" s="127">
        <f t="shared" si="16"/>
        <v>1042.1000000000001</v>
      </c>
      <c r="J37" s="129">
        <f t="shared" si="16"/>
        <v>1329.9</v>
      </c>
      <c r="K37" s="126">
        <f t="shared" si="16"/>
        <v>1229.7</v>
      </c>
      <c r="L37" s="127">
        <f t="shared" si="16"/>
        <v>1160.4000000000001</v>
      </c>
      <c r="M37" s="128">
        <f t="shared" si="16"/>
        <v>1108.6000000000001</v>
      </c>
      <c r="N37" s="127">
        <f t="shared" si="16"/>
        <v>877.90000000000009</v>
      </c>
      <c r="O37" s="127">
        <f t="shared" si="16"/>
        <v>1101.5</v>
      </c>
      <c r="P37" s="129">
        <f t="shared" si="16"/>
        <v>920</v>
      </c>
      <c r="Q37" s="130">
        <f t="shared" si="16"/>
        <v>12646.300000000001</v>
      </c>
      <c r="R37" s="465">
        <f>SUM(R7,R17,R27)</f>
        <v>13116</v>
      </c>
      <c r="S37" s="68">
        <f>IFERROR(Q37/R37,"")</f>
        <v>0.96418877706617878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 ca="1">SUM(E8,E18,E28)</f>
        <v>0</v>
      </c>
      <c r="F38" s="135">
        <f t="shared" ca="1" si="16"/>
        <v>0</v>
      </c>
      <c r="G38" s="138">
        <f t="shared" ca="1" si="16"/>
        <v>0</v>
      </c>
      <c r="H38" s="135">
        <f t="shared" ca="1" si="16"/>
        <v>0</v>
      </c>
      <c r="I38" s="135">
        <f t="shared" ca="1" si="16"/>
        <v>0</v>
      </c>
      <c r="J38" s="136">
        <f t="shared" ca="1" si="16"/>
        <v>0</v>
      </c>
      <c r="K38" s="134">
        <f t="shared" ca="1" si="16"/>
        <v>0</v>
      </c>
      <c r="L38" s="135">
        <f t="shared" ca="1" si="16"/>
        <v>0</v>
      </c>
      <c r="M38" s="138">
        <f t="shared" ca="1" si="16"/>
        <v>0</v>
      </c>
      <c r="N38" s="135">
        <f t="shared" ca="1" si="16"/>
        <v>0</v>
      </c>
      <c r="O38" s="135">
        <f t="shared" ca="1" si="16"/>
        <v>0</v>
      </c>
      <c r="P38" s="136">
        <f t="shared" ca="1" si="16"/>
        <v>0</v>
      </c>
      <c r="Q38" s="148">
        <f t="shared" ca="1" si="16"/>
        <v>0</v>
      </c>
      <c r="R38" s="466"/>
      <c r="S38" s="69">
        <f ca="1">IFERROR(Q38/R37,"")</f>
        <v>0</v>
      </c>
    </row>
    <row r="39" spans="1:19" x14ac:dyDescent="0.4">
      <c r="A39" s="19"/>
      <c r="B39" s="430"/>
      <c r="C39" s="433"/>
      <c r="D39" s="24" t="s">
        <v>17</v>
      </c>
      <c r="E39" s="11">
        <f ca="1">E38/E37</f>
        <v>0</v>
      </c>
      <c r="F39" s="4">
        <f t="shared" ref="F39:Q39" ca="1" si="17">F38/F37</f>
        <v>0</v>
      </c>
      <c r="G39" s="16">
        <f t="shared" ca="1" si="17"/>
        <v>0</v>
      </c>
      <c r="H39" s="4">
        <f t="shared" ca="1" si="17"/>
        <v>0</v>
      </c>
      <c r="I39" s="4">
        <f t="shared" ca="1" si="17"/>
        <v>0</v>
      </c>
      <c r="J39" s="6">
        <f t="shared" ca="1" si="17"/>
        <v>0</v>
      </c>
      <c r="K39" s="11">
        <f t="shared" ca="1" si="17"/>
        <v>0</v>
      </c>
      <c r="L39" s="4">
        <f t="shared" ca="1" si="17"/>
        <v>0</v>
      </c>
      <c r="M39" s="16">
        <f t="shared" ca="1" si="17"/>
        <v>0</v>
      </c>
      <c r="N39" s="4">
        <f t="shared" ca="1" si="17"/>
        <v>0</v>
      </c>
      <c r="O39" s="4">
        <f t="shared" ca="1" si="17"/>
        <v>0</v>
      </c>
      <c r="P39" s="6">
        <f t="shared" ca="1" si="17"/>
        <v>0</v>
      </c>
      <c r="Q39" s="26">
        <f t="shared" ca="1" si="17"/>
        <v>0</v>
      </c>
    </row>
    <row r="40" spans="1:19" x14ac:dyDescent="0.4">
      <c r="A40" s="19"/>
      <c r="B40" s="430"/>
      <c r="C40" s="434"/>
      <c r="D40" s="25" t="s">
        <v>18</v>
      </c>
      <c r="E40" s="12">
        <f ca="1">SUM($E38:E38)/SUM($E37:E37)</f>
        <v>0</v>
      </c>
      <c r="F40" s="5">
        <f ca="1">SUM($E38:F38)/SUM($E37:F37)</f>
        <v>0</v>
      </c>
      <c r="G40" s="17">
        <f ca="1">SUM($E38:G38)/SUM($E37:G37)</f>
        <v>0</v>
      </c>
      <c r="H40" s="5">
        <f ca="1">SUM($E38:H38)/SUM($E37:H37)</f>
        <v>0</v>
      </c>
      <c r="I40" s="5">
        <f ca="1">SUM($E38:I38)/SUM($E37:I37)</f>
        <v>0</v>
      </c>
      <c r="J40" s="13">
        <f ca="1">SUM($E38:J38)/SUM($E37:J37)</f>
        <v>0</v>
      </c>
      <c r="K40" s="12">
        <f ca="1">SUM($E38:K38)/SUM($E37:K37)</f>
        <v>0</v>
      </c>
      <c r="L40" s="5">
        <f ca="1">SUM($E38:L38)/SUM($E37:L37)</f>
        <v>0</v>
      </c>
      <c r="M40" s="17">
        <f ca="1">SUM($E38:M38)/SUM($E37:M37)</f>
        <v>0</v>
      </c>
      <c r="N40" s="5">
        <f ca="1">SUM($E38:N38)/SUM($E37:N37)</f>
        <v>0</v>
      </c>
      <c r="O40" s="5">
        <f ca="1">SUM($E38:O38)/SUM($E37:O37)</f>
        <v>0</v>
      </c>
      <c r="P40" s="13">
        <f ca="1">SUM($E38:P38)/SUM($E37:P37)</f>
        <v>0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>SUM(E13,E23,E33)</f>
        <v>160.50000000000006</v>
      </c>
      <c r="F41" s="113">
        <f t="shared" ref="F41:Q42" si="18">SUM(F13,F23,F33)</f>
        <v>137.40000000000003</v>
      </c>
      <c r="G41" s="116">
        <f t="shared" si="18"/>
        <v>156.30000000000001</v>
      </c>
      <c r="H41" s="113">
        <f t="shared" si="18"/>
        <v>184.40000000000009</v>
      </c>
      <c r="I41" s="113">
        <f t="shared" si="18"/>
        <v>192.60000000000002</v>
      </c>
      <c r="J41" s="114">
        <f t="shared" si="18"/>
        <v>241.39999999999998</v>
      </c>
      <c r="K41" s="112">
        <f t="shared" si="18"/>
        <v>236.60000000000002</v>
      </c>
      <c r="L41" s="113">
        <f t="shared" si="18"/>
        <v>245.50000000000003</v>
      </c>
      <c r="M41" s="116">
        <f t="shared" si="18"/>
        <v>277.20000000000005</v>
      </c>
      <c r="N41" s="113">
        <f t="shared" si="18"/>
        <v>181.39999999999998</v>
      </c>
      <c r="O41" s="113">
        <f t="shared" si="18"/>
        <v>198.10000000000008</v>
      </c>
      <c r="P41" s="114">
        <f t="shared" si="18"/>
        <v>202</v>
      </c>
      <c r="Q41" s="132">
        <f t="shared" si="18"/>
        <v>2413.4000000000005</v>
      </c>
      <c r="R41" s="465">
        <f>SUM(R13,R23,R33)</f>
        <v>2541</v>
      </c>
      <c r="S41" s="68">
        <f>IFERROR(Q41/R41,"")</f>
        <v>0.94978354978354995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 ca="1">SUM(E14,E24,E34)</f>
        <v>0</v>
      </c>
      <c r="F42" s="135">
        <f t="shared" ca="1" si="18"/>
        <v>0</v>
      </c>
      <c r="G42" s="138">
        <f t="shared" ca="1" si="18"/>
        <v>0</v>
      </c>
      <c r="H42" s="135">
        <f t="shared" ca="1" si="18"/>
        <v>0</v>
      </c>
      <c r="I42" s="135">
        <f t="shared" ca="1" si="18"/>
        <v>0</v>
      </c>
      <c r="J42" s="136">
        <f t="shared" ca="1" si="18"/>
        <v>0</v>
      </c>
      <c r="K42" s="134">
        <f t="shared" ca="1" si="18"/>
        <v>0</v>
      </c>
      <c r="L42" s="135">
        <f t="shared" ca="1" si="18"/>
        <v>0</v>
      </c>
      <c r="M42" s="138">
        <f t="shared" ca="1" si="18"/>
        <v>0</v>
      </c>
      <c r="N42" s="135">
        <f t="shared" ca="1" si="18"/>
        <v>0</v>
      </c>
      <c r="O42" s="135">
        <f t="shared" ca="1" si="18"/>
        <v>0</v>
      </c>
      <c r="P42" s="136">
        <f t="shared" ca="1" si="18"/>
        <v>0</v>
      </c>
      <c r="Q42" s="148">
        <f t="shared" ca="1" si="18"/>
        <v>0</v>
      </c>
      <c r="R42" s="466"/>
      <c r="S42" s="69">
        <f ca="1">IFERROR(Q42/R41,"")</f>
        <v>0</v>
      </c>
    </row>
    <row r="43" spans="1:19" x14ac:dyDescent="0.4">
      <c r="A43" s="19"/>
      <c r="B43" s="430"/>
      <c r="C43" s="436"/>
      <c r="D43" s="24" t="s">
        <v>17</v>
      </c>
      <c r="E43" s="11">
        <f ca="1">E42/E41</f>
        <v>0</v>
      </c>
      <c r="F43" s="4">
        <f t="shared" ref="F43:Q43" ca="1" si="19">F42/F41</f>
        <v>0</v>
      </c>
      <c r="G43" s="16">
        <f t="shared" ca="1" si="19"/>
        <v>0</v>
      </c>
      <c r="H43" s="4">
        <f t="shared" ca="1" si="19"/>
        <v>0</v>
      </c>
      <c r="I43" s="4">
        <f t="shared" ca="1" si="19"/>
        <v>0</v>
      </c>
      <c r="J43" s="6">
        <f t="shared" ca="1" si="19"/>
        <v>0</v>
      </c>
      <c r="K43" s="11">
        <f t="shared" ca="1" si="19"/>
        <v>0</v>
      </c>
      <c r="L43" s="4">
        <f t="shared" ca="1" si="19"/>
        <v>0</v>
      </c>
      <c r="M43" s="16">
        <f t="shared" ca="1" si="19"/>
        <v>0</v>
      </c>
      <c r="N43" s="4">
        <f t="shared" ca="1" si="19"/>
        <v>0</v>
      </c>
      <c r="O43" s="4">
        <f t="shared" ca="1" si="19"/>
        <v>0</v>
      </c>
      <c r="P43" s="6">
        <f t="shared" ca="1" si="19"/>
        <v>0</v>
      </c>
      <c r="Q43" s="26">
        <f t="shared" ca="1" si="19"/>
        <v>0</v>
      </c>
    </row>
    <row r="44" spans="1:19" ht="19.5" thickBot="1" x14ac:dyDescent="0.45">
      <c r="A44" s="19"/>
      <c r="B44" s="431"/>
      <c r="C44" s="437"/>
      <c r="D44" s="30" t="s">
        <v>18</v>
      </c>
      <c r="E44" s="14">
        <f ca="1">SUM($E42:E42)/SUM($E41:E41)</f>
        <v>0</v>
      </c>
      <c r="F44" s="7">
        <f ca="1">SUM($E42:F42)/SUM($E41:F41)</f>
        <v>0</v>
      </c>
      <c r="G44" s="18">
        <f ca="1">SUM($E42:G42)/SUM($E41:G41)</f>
        <v>0</v>
      </c>
      <c r="H44" s="7">
        <f ca="1">SUM($E42:H42)/SUM($E41:H41)</f>
        <v>0</v>
      </c>
      <c r="I44" s="7">
        <f ca="1">SUM($E42:I42)/SUM($E41:I41)</f>
        <v>0</v>
      </c>
      <c r="J44" s="15">
        <f ca="1">SUM($E42:J42)/SUM($E41:J41)</f>
        <v>0</v>
      </c>
      <c r="K44" s="14">
        <f ca="1">SUM($E42:K42)/SUM($E41:K41)</f>
        <v>0</v>
      </c>
      <c r="L44" s="7">
        <f ca="1">SUM($E42:L42)/SUM($E41:L41)</f>
        <v>0</v>
      </c>
      <c r="M44" s="18">
        <f ca="1">SUM($E42:M42)/SUM($E41:M41)</f>
        <v>0</v>
      </c>
      <c r="N44" s="7">
        <f ca="1">SUM($E42:N42)/SUM($E41:N41)</f>
        <v>0</v>
      </c>
      <c r="O44" s="7">
        <f ca="1">SUM($E42:O42)/SUM($E41:O41)</f>
        <v>0</v>
      </c>
      <c r="P44" s="15">
        <f ca="1">SUM($E42:P42)/SUM($E41:P41)</f>
        <v>0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23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 x14ac:dyDescent="0.4">
      <c r="A49" s="424"/>
      <c r="B49" s="425"/>
      <c r="C49" s="484" t="str">
        <f>A7</f>
        <v>SF上海</v>
      </c>
      <c r="D49" s="81" t="s">
        <v>38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 x14ac:dyDescent="0.4">
      <c r="A50" s="424"/>
      <c r="B50" s="425"/>
      <c r="C50" s="485"/>
      <c r="D50" s="85" t="s">
        <v>36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 x14ac:dyDescent="0.45">
      <c r="A51" s="424"/>
      <c r="B51" s="425"/>
      <c r="C51" s="151" t="str">
        <f>B7</f>
        <v>リボン・テープ等</v>
      </c>
      <c r="D51" s="89" t="s">
        <v>37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3"/>
      <c r="F52" s="75"/>
      <c r="G52" s="74"/>
      <c r="H52" s="74"/>
      <c r="I52" s="75"/>
      <c r="J52" s="80"/>
      <c r="K52" s="93"/>
      <c r="L52" s="75"/>
      <c r="M52" s="74"/>
      <c r="N52" s="74"/>
      <c r="O52" s="75"/>
      <c r="P52" s="80"/>
    </row>
    <row r="53" spans="1:16" ht="39" customHeight="1" x14ac:dyDescent="0.4">
      <c r="A53" s="424"/>
      <c r="B53" s="425"/>
      <c r="C53" s="484" t="str">
        <f>A17</f>
        <v>GCGA</v>
      </c>
      <c r="D53" s="81" t="s">
        <v>38</v>
      </c>
      <c r="E53" s="82"/>
      <c r="F53" s="83"/>
      <c r="G53" s="83"/>
      <c r="H53" s="83"/>
      <c r="I53" s="83"/>
      <c r="J53" s="83"/>
      <c r="K53" s="82"/>
      <c r="L53" s="83"/>
      <c r="M53" s="83"/>
      <c r="N53" s="83"/>
      <c r="O53" s="83"/>
      <c r="P53" s="84"/>
    </row>
    <row r="54" spans="1:16" ht="39" customHeight="1" x14ac:dyDescent="0.4">
      <c r="A54" s="424"/>
      <c r="B54" s="425"/>
      <c r="C54" s="485"/>
      <c r="D54" s="85" t="s">
        <v>36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 x14ac:dyDescent="0.45">
      <c r="A55" s="424"/>
      <c r="B55" s="425"/>
      <c r="C55" s="151" t="str">
        <f>B17</f>
        <v>リボン・テープ等</v>
      </c>
      <c r="D55" s="89" t="s">
        <v>37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93"/>
      <c r="F56" s="75"/>
      <c r="G56" s="74"/>
      <c r="H56" s="74"/>
      <c r="I56" s="75"/>
      <c r="J56" s="80"/>
      <c r="K56" s="93"/>
      <c r="L56" s="75"/>
      <c r="M56" s="74"/>
      <c r="N56" s="74"/>
      <c r="O56" s="75"/>
      <c r="P56" s="80"/>
    </row>
    <row r="57" spans="1:16" ht="39" customHeight="1" x14ac:dyDescent="0.4">
      <c r="A57" s="424"/>
      <c r="B57" s="425"/>
      <c r="C57" s="484" t="str">
        <f>A27</f>
        <v>　</v>
      </c>
      <c r="D57" s="81" t="s">
        <v>38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 x14ac:dyDescent="0.4">
      <c r="A58" s="424"/>
      <c r="B58" s="425"/>
      <c r="C58" s="485"/>
      <c r="D58" s="85" t="s">
        <v>36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 x14ac:dyDescent="0.45">
      <c r="A59" s="426"/>
      <c r="B59" s="427"/>
      <c r="C59" s="151" t="str">
        <f>B27</f>
        <v>　</v>
      </c>
      <c r="D59" s="89" t="s">
        <v>37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  <row r="65" spans="4:17" x14ac:dyDescent="0.4">
      <c r="D65" s="20" t="s">
        <v>141</v>
      </c>
      <c r="E65" s="2">
        <v>392</v>
      </c>
      <c r="F65" s="2">
        <v>327</v>
      </c>
      <c r="G65" s="2">
        <v>404</v>
      </c>
      <c r="H65" s="2">
        <v>645</v>
      </c>
      <c r="I65" s="2">
        <v>283</v>
      </c>
      <c r="J65" s="2">
        <v>543</v>
      </c>
      <c r="K65" s="2">
        <v>285</v>
      </c>
      <c r="L65" s="2">
        <v>231</v>
      </c>
      <c r="M65" s="2">
        <v>233</v>
      </c>
      <c r="N65" s="2">
        <v>299</v>
      </c>
      <c r="O65" s="2">
        <v>499</v>
      </c>
      <c r="P65" s="2">
        <v>100</v>
      </c>
      <c r="Q65" s="3">
        <f>SUM(E65:P65)</f>
        <v>4241</v>
      </c>
    </row>
    <row r="66" spans="4:17" x14ac:dyDescent="0.4">
      <c r="D66" s="20" t="s">
        <v>142</v>
      </c>
      <c r="E66" s="2">
        <v>627</v>
      </c>
      <c r="F66" s="2">
        <v>479</v>
      </c>
      <c r="G66" s="2">
        <v>504</v>
      </c>
      <c r="H66" s="2">
        <v>536</v>
      </c>
      <c r="I66" s="2">
        <v>812</v>
      </c>
      <c r="J66" s="2">
        <v>814</v>
      </c>
      <c r="K66" s="2">
        <v>1018</v>
      </c>
      <c r="L66" s="2">
        <v>1007</v>
      </c>
      <c r="M66" s="2">
        <v>947</v>
      </c>
      <c r="N66" s="2">
        <v>610</v>
      </c>
      <c r="O66" s="2">
        <v>614</v>
      </c>
      <c r="P66" s="2">
        <v>900</v>
      </c>
      <c r="Q66" s="3">
        <f t="shared" ref="Q66:Q68" si="20">SUM(E66:P66)</f>
        <v>8868</v>
      </c>
    </row>
    <row r="67" spans="4:17" x14ac:dyDescent="0.4">
      <c r="D67" s="20" t="s">
        <v>143</v>
      </c>
      <c r="E67" s="2">
        <v>350</v>
      </c>
      <c r="F67" s="2">
        <v>279</v>
      </c>
      <c r="G67" s="2">
        <v>347</v>
      </c>
      <c r="H67" s="2">
        <v>542</v>
      </c>
      <c r="I67" s="2">
        <v>238</v>
      </c>
      <c r="J67" s="2">
        <v>452</v>
      </c>
      <c r="K67" s="2">
        <v>236</v>
      </c>
      <c r="L67" s="2">
        <v>187</v>
      </c>
      <c r="M67" s="2">
        <v>197</v>
      </c>
      <c r="N67" s="2">
        <v>247</v>
      </c>
      <c r="O67" s="2">
        <v>422</v>
      </c>
      <c r="P67" s="2">
        <v>80</v>
      </c>
      <c r="Q67" s="3">
        <f t="shared" si="20"/>
        <v>3577</v>
      </c>
    </row>
    <row r="68" spans="4:17" x14ac:dyDescent="0.4">
      <c r="D68" s="20" t="s">
        <v>144</v>
      </c>
      <c r="E68" s="2">
        <v>500</v>
      </c>
      <c r="F68" s="2">
        <v>385</v>
      </c>
      <c r="G68" s="2">
        <v>400</v>
      </c>
      <c r="H68" s="2">
        <v>457</v>
      </c>
      <c r="I68" s="2">
        <v>653</v>
      </c>
      <c r="J68" s="2">
        <v>657</v>
      </c>
      <c r="K68" s="2">
        <v>815</v>
      </c>
      <c r="L68" s="2">
        <v>788</v>
      </c>
      <c r="M68" s="2">
        <v>683</v>
      </c>
      <c r="N68" s="2">
        <v>472</v>
      </c>
      <c r="O68" s="2">
        <v>488</v>
      </c>
      <c r="P68" s="2">
        <v>700</v>
      </c>
      <c r="Q68" s="3">
        <f t="shared" si="20"/>
        <v>6998</v>
      </c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D96C-B387-4AB2-95B5-C8367821181A}">
  <sheetPr codeName="Sheet16">
    <tabColor theme="4" tint="0.79998168889431442"/>
  </sheetPr>
  <dimension ref="A1:R400"/>
  <sheetViews>
    <sheetView workbookViewId="0">
      <selection activeCell="E14" sqref="E14:P14"/>
    </sheetView>
  </sheetViews>
  <sheetFormatPr defaultColWidth="9" defaultRowHeight="18.75" x14ac:dyDescent="0.4"/>
  <cols>
    <col min="1" max="2" width="15.875" style="162" customWidth="1"/>
    <col min="3" max="4" width="15.875" style="160" customWidth="1"/>
    <col min="5" max="5" width="9" style="208"/>
    <col min="6" max="6" width="15.625" style="160" customWidth="1"/>
    <col min="7" max="7" width="15.625" style="161" customWidth="1"/>
    <col min="8" max="8" width="9" style="162"/>
    <col min="9" max="9" width="5.25" style="168" bestFit="1" customWidth="1"/>
    <col min="10" max="10" width="14.5" style="164" customWidth="1"/>
    <col min="11" max="11" width="14.5" style="165" customWidth="1"/>
    <col min="12" max="12" width="5.25" style="165" bestFit="1" customWidth="1"/>
    <col min="13" max="15" width="14.5" style="165" customWidth="1"/>
    <col min="16" max="16" width="7.125" style="167" bestFit="1" customWidth="1"/>
    <col min="17" max="19" width="15.625" style="162" customWidth="1"/>
    <col min="20" max="16384" width="9" style="162"/>
  </cols>
  <sheetData>
    <row r="1" spans="1:18" ht="18.75" customHeight="1" x14ac:dyDescent="0.4">
      <c r="A1" s="492" t="s">
        <v>218</v>
      </c>
      <c r="B1" s="492"/>
      <c r="C1" s="492"/>
      <c r="D1" s="492"/>
      <c r="E1" s="492"/>
      <c r="I1" s="163" t="s">
        <v>219</v>
      </c>
      <c r="M1" s="163"/>
      <c r="N1" s="166"/>
      <c r="O1" s="166"/>
    </row>
    <row r="2" spans="1:18" ht="18.75" customHeight="1" x14ac:dyDescent="0.4">
      <c r="A2" s="492"/>
      <c r="B2" s="492"/>
      <c r="C2" s="492"/>
      <c r="D2" s="492"/>
      <c r="E2" s="492"/>
      <c r="J2" s="169" t="s">
        <v>220</v>
      </c>
      <c r="K2" s="169" t="s">
        <v>221</v>
      </c>
      <c r="L2" s="166"/>
      <c r="M2" s="170" t="s">
        <v>222</v>
      </c>
      <c r="N2" s="170" t="s">
        <v>223</v>
      </c>
      <c r="O2" s="170" t="s">
        <v>224</v>
      </c>
      <c r="P2" s="171" t="s">
        <v>225</v>
      </c>
    </row>
    <row r="3" spans="1:18" ht="18.75" customHeight="1" x14ac:dyDescent="0.4">
      <c r="A3" s="172" t="s">
        <v>226</v>
      </c>
      <c r="B3" s="173"/>
      <c r="C3" s="173"/>
      <c r="D3" s="173"/>
      <c r="E3" s="173"/>
      <c r="F3" s="174"/>
      <c r="G3" s="175"/>
      <c r="H3" s="175"/>
      <c r="I3" s="176"/>
      <c r="J3" s="169">
        <v>0.5</v>
      </c>
      <c r="K3" s="169">
        <v>-0.5</v>
      </c>
      <c r="L3" s="177"/>
      <c r="M3" s="178" t="str">
        <f>中国!A7</f>
        <v>SF上海</v>
      </c>
      <c r="N3" s="179" t="str">
        <f>中国!A17</f>
        <v>GCGA</v>
      </c>
      <c r="O3" s="179"/>
      <c r="P3" s="171">
        <v>0.6</v>
      </c>
    </row>
    <row r="4" spans="1:18" x14ac:dyDescent="0.4">
      <c r="A4" s="180" t="s">
        <v>227</v>
      </c>
      <c r="B4" s="162" t="s">
        <v>228</v>
      </c>
      <c r="C4" s="181" t="s">
        <v>227</v>
      </c>
      <c r="D4" s="182" t="s">
        <v>227</v>
      </c>
      <c r="E4" s="183" t="s">
        <v>227</v>
      </c>
      <c r="F4" s="181" t="s">
        <v>227</v>
      </c>
      <c r="G4" s="184" t="s">
        <v>227</v>
      </c>
      <c r="H4" s="183" t="s">
        <v>227</v>
      </c>
      <c r="I4" s="185"/>
      <c r="J4" s="186" t="s">
        <v>230</v>
      </c>
      <c r="K4" s="187"/>
      <c r="L4" s="188"/>
      <c r="M4" s="186" t="s">
        <v>229</v>
      </c>
      <c r="N4" s="187"/>
      <c r="O4" s="185"/>
      <c r="P4" s="187"/>
    </row>
    <row r="5" spans="1:18" x14ac:dyDescent="0.4">
      <c r="A5" s="175" t="s">
        <v>231</v>
      </c>
      <c r="B5" s="175" t="s">
        <v>232</v>
      </c>
      <c r="C5" s="189" t="s">
        <v>233</v>
      </c>
      <c r="D5" s="174" t="s">
        <v>234</v>
      </c>
      <c r="E5" s="190" t="s">
        <v>235</v>
      </c>
      <c r="F5" s="189" t="s">
        <v>236</v>
      </c>
      <c r="G5" s="191" t="s">
        <v>237</v>
      </c>
      <c r="H5" s="192" t="s">
        <v>238</v>
      </c>
      <c r="I5" s="193" t="s">
        <v>239</v>
      </c>
      <c r="J5" s="194" t="s">
        <v>240</v>
      </c>
      <c r="K5" s="195" t="s">
        <v>241</v>
      </c>
      <c r="L5" s="196" t="s">
        <v>239</v>
      </c>
      <c r="M5" s="197" t="s">
        <v>242</v>
      </c>
      <c r="N5" s="195" t="s">
        <v>243</v>
      </c>
      <c r="O5" s="196" t="s">
        <v>244</v>
      </c>
      <c r="P5" s="198" t="s">
        <v>245</v>
      </c>
    </row>
    <row r="6" spans="1:18" x14ac:dyDescent="0.4">
      <c r="C6" s="199"/>
      <c r="D6" s="200"/>
      <c r="E6" s="201"/>
      <c r="F6" s="199"/>
      <c r="H6" s="202"/>
      <c r="I6" s="185" t="str">
        <f>IF(H6="","",IF(H6="JPY","",IF($H6="USD",4, IF(H6="EUR",7,IF(H6="CNY",47,IF(H6="HKD",34))))))</f>
        <v/>
      </c>
      <c r="J6" s="203" t="str">
        <f>IF($H6="USD",IF(OR($I6="",$I6="-"),"",VLOOKUP($G6,為替!$A:$AX,$I6,FALSE))+$J$3,IF(OR($I6="",$I6="-"),"",VLOOKUP($G6,為替!$A:$AX,$I6,FALSE)))</f>
        <v/>
      </c>
      <c r="K6" s="204" t="str">
        <f>IF($H6="JPY",$F6,IF($H6="","",$F6*$J6))</f>
        <v/>
      </c>
      <c r="L6" s="188" t="str">
        <f>IF(H6="","",IF(H6="JPY","",IF($H6="USD",3, IF(H6="EUR",6,IF(H6="CNY",46,IF(H6="HKD",33))))))</f>
        <v/>
      </c>
      <c r="M6" s="203" t="str">
        <f>IF($H6="USD",IF(OR($L6="",$L6="-"),"",VLOOKUP($G6,為替!$A:$AX,$L6,FALSE))+$K$3,IF(OR($L6="",$L6="-"),"",VLOOKUP($G6,為替!$A:$AX,$L6,FALSE)))</f>
        <v/>
      </c>
      <c r="N6" s="204" t="str">
        <f>IF($E6="JPY",($C6+$D6),IF($E6="","",($C6+$D6)*$M6))</f>
        <v/>
      </c>
      <c r="O6" s="205" t="str">
        <f t="shared" ref="O6:O69" si="0">IF(OR(K6="",N6=""),"",K6-N6)</f>
        <v/>
      </c>
      <c r="P6" s="206" t="str">
        <f>IF(OR(K6="",O6=""),"",O6/K6)</f>
        <v/>
      </c>
    </row>
    <row r="7" spans="1:18" x14ac:dyDescent="0.4">
      <c r="C7" s="199"/>
      <c r="D7" s="200"/>
      <c r="E7" s="201"/>
      <c r="F7" s="199"/>
      <c r="H7" s="202"/>
      <c r="I7" s="185" t="str">
        <f t="shared" ref="I7:I70" si="1">IF(H7="","",IF(H7="JPY","",IF($H7="USD",4, IF(H7="EUR",7,IF(H7="CNY",47,IF(H7="HKD",34))))))</f>
        <v/>
      </c>
      <c r="J7" s="203" t="str">
        <f>IF($H7="USD",IF(OR($I7="",$I7="-"),"",VLOOKUP($G7,為替!$A:$AX,$I7,FALSE))+$J$3,IF(OR($I7="",$I7="-"),"",VLOOKUP($G7,為替!$A:$AX,$I7,FALSE)))</f>
        <v/>
      </c>
      <c r="K7" s="204" t="str">
        <f t="shared" ref="K7:K70" si="2">IF($H7="JPY",$F7,IF($H7="","",$F7*$J7))</f>
        <v/>
      </c>
      <c r="L7" s="188" t="str">
        <f t="shared" ref="L7:L70" si="3">IF(H7="","",IF(H7="JPY","",IF($H7="USD",3, IF(H7="EUR",6,IF(H7="CNY",46,IF(H7="HKD",33))))))</f>
        <v/>
      </c>
      <c r="M7" s="203" t="str">
        <f>IF($H7="USD",IF(OR($L7="",$L7="-"),"",VLOOKUP($G7,為替!$A:$AX,$L7,FALSE))+$K$3,IF(OR($L7="",$L7="-"),"",VLOOKUP($G7,為替!$A:$AX,$L7,FALSE)))</f>
        <v/>
      </c>
      <c r="N7" s="204" t="str">
        <f t="shared" ref="N7:N70" si="4">IF($E7="JPY",($C7+$D7),IF($E7="","",($C7+$D7)*$M7))</f>
        <v/>
      </c>
      <c r="O7" s="205" t="str">
        <f t="shared" si="0"/>
        <v/>
      </c>
      <c r="P7" s="206" t="str">
        <f t="shared" ref="P7:P70" si="5">IF(OR(K7="",O7=""),"",O7/K7)</f>
        <v/>
      </c>
      <c r="R7" s="207"/>
    </row>
    <row r="8" spans="1:18" x14ac:dyDescent="0.4">
      <c r="C8" s="199"/>
      <c r="D8" s="200"/>
      <c r="E8" s="201"/>
      <c r="F8" s="199"/>
      <c r="H8" s="202"/>
      <c r="I8" s="185" t="str">
        <f t="shared" si="1"/>
        <v/>
      </c>
      <c r="J8" s="203" t="str">
        <f>IF($H8="USD",IF(OR($I8="",$I8="-"),"",VLOOKUP($G8,為替!$A:$AX,$I8,FALSE))+$J$3,IF(OR($I8="",$I8="-"),"",VLOOKUP($G8,為替!$A:$AX,$I8,FALSE)))</f>
        <v/>
      </c>
      <c r="K8" s="204" t="str">
        <f t="shared" si="2"/>
        <v/>
      </c>
      <c r="L8" s="188" t="str">
        <f t="shared" si="3"/>
        <v/>
      </c>
      <c r="M8" s="203" t="str">
        <f>IF($H8="USD",IF(OR($L8="",$L8="-"),"",VLOOKUP($G8,為替!$A:$AX,$L8,FALSE))+$K$3,IF(OR($L8="",$L8="-"),"",VLOOKUP($G8,為替!$A:$AX,$L8,FALSE)))</f>
        <v/>
      </c>
      <c r="N8" s="204" t="str">
        <f t="shared" si="4"/>
        <v/>
      </c>
      <c r="O8" s="205" t="str">
        <f t="shared" si="0"/>
        <v/>
      </c>
      <c r="P8" s="206" t="str">
        <f t="shared" si="5"/>
        <v/>
      </c>
    </row>
    <row r="9" spans="1:18" x14ac:dyDescent="0.4">
      <c r="C9" s="199"/>
      <c r="D9" s="200"/>
      <c r="E9" s="201"/>
      <c r="F9" s="199"/>
      <c r="H9" s="202"/>
      <c r="I9" s="185" t="str">
        <f t="shared" si="1"/>
        <v/>
      </c>
      <c r="J9" s="203" t="str">
        <f>IF($H9="USD",IF(OR($I9="",$I9="-"),"",VLOOKUP($G9,為替!$A:$AX,$I9,FALSE))+$J$3,IF(OR($I9="",$I9="-"),"",VLOOKUP($G9,為替!$A:$AX,$I9,FALSE)))</f>
        <v/>
      </c>
      <c r="K9" s="204" t="str">
        <f t="shared" si="2"/>
        <v/>
      </c>
      <c r="L9" s="188" t="str">
        <f t="shared" si="3"/>
        <v/>
      </c>
      <c r="M9" s="203" t="str">
        <f>IF($H9="USD",IF(OR($L9="",$L9="-"),"",VLOOKUP($G9,為替!$A:$AX,$L9,FALSE))+$K$3,IF(OR($L9="",$L9="-"),"",VLOOKUP($G9,為替!$A:$AX,$L9,FALSE)))</f>
        <v/>
      </c>
      <c r="N9" s="204" t="str">
        <f t="shared" si="4"/>
        <v/>
      </c>
      <c r="O9" s="205" t="str">
        <f t="shared" si="0"/>
        <v/>
      </c>
      <c r="P9" s="206" t="str">
        <f t="shared" si="5"/>
        <v/>
      </c>
    </row>
    <row r="10" spans="1:18" x14ac:dyDescent="0.4">
      <c r="C10" s="199"/>
      <c r="D10" s="200"/>
      <c r="E10" s="201"/>
      <c r="F10" s="199"/>
      <c r="H10" s="202"/>
      <c r="I10" s="185" t="str">
        <f t="shared" si="1"/>
        <v/>
      </c>
      <c r="J10" s="203" t="str">
        <f>IF($H10="USD",IF(OR($I10="",$I10="-"),"",VLOOKUP($G10,為替!$A:$AX,$I10,FALSE))+$J$3,IF(OR($I10="",$I10="-"),"",VLOOKUP($G10,為替!$A:$AX,$I10,FALSE)))</f>
        <v/>
      </c>
      <c r="K10" s="204" t="str">
        <f t="shared" si="2"/>
        <v/>
      </c>
      <c r="L10" s="188" t="str">
        <f t="shared" si="3"/>
        <v/>
      </c>
      <c r="M10" s="203" t="str">
        <f>IF($H10="USD",IF(OR($L10="",$L10="-"),"",VLOOKUP($G10,為替!$A:$AX,$L10,FALSE))+$K$3,IF(OR($L10="",$L10="-"),"",VLOOKUP($G10,為替!$A:$AX,$L10,FALSE)))</f>
        <v/>
      </c>
      <c r="N10" s="204" t="str">
        <f t="shared" si="4"/>
        <v/>
      </c>
      <c r="O10" s="205" t="str">
        <f t="shared" si="0"/>
        <v/>
      </c>
      <c r="P10" s="206" t="str">
        <f t="shared" si="5"/>
        <v/>
      </c>
    </row>
    <row r="11" spans="1:18" x14ac:dyDescent="0.4">
      <c r="C11" s="199"/>
      <c r="D11" s="200"/>
      <c r="E11" s="201"/>
      <c r="F11" s="199"/>
      <c r="H11" s="202"/>
      <c r="I11" s="185" t="str">
        <f t="shared" si="1"/>
        <v/>
      </c>
      <c r="J11" s="203" t="str">
        <f>IF($H11="USD",IF(OR($I11="",$I11="-"),"",VLOOKUP($G11,為替!$A:$AX,$I11,FALSE))+$J$3,IF(OR($I11="",$I11="-"),"",VLOOKUP($G11,為替!$A:$AX,$I11,FALSE)))</f>
        <v/>
      </c>
      <c r="K11" s="204" t="str">
        <f t="shared" si="2"/>
        <v/>
      </c>
      <c r="L11" s="188" t="str">
        <f t="shared" si="3"/>
        <v/>
      </c>
      <c r="M11" s="203" t="str">
        <f>IF($H11="USD",IF(OR($L11="",$L11="-"),"",VLOOKUP($G11,為替!$A:$AX,$L11,FALSE))+$K$3,IF(OR($L11="",$L11="-"),"",VLOOKUP($G11,為替!$A:$AX,$L11,FALSE)))</f>
        <v/>
      </c>
      <c r="N11" s="204" t="str">
        <f t="shared" si="4"/>
        <v/>
      </c>
      <c r="O11" s="205" t="str">
        <f t="shared" si="0"/>
        <v/>
      </c>
      <c r="P11" s="206" t="str">
        <f t="shared" si="5"/>
        <v/>
      </c>
    </row>
    <row r="12" spans="1:18" x14ac:dyDescent="0.4">
      <c r="C12" s="199"/>
      <c r="D12" s="200"/>
      <c r="E12" s="201"/>
      <c r="F12" s="199"/>
      <c r="H12" s="202"/>
      <c r="I12" s="185" t="str">
        <f t="shared" si="1"/>
        <v/>
      </c>
      <c r="J12" s="203" t="str">
        <f>IF($H12="USD",IF(OR($I12="",$I12="-"),"",VLOOKUP($G12,為替!$A:$AX,$I12,FALSE))+$J$3,IF(OR($I12="",$I12="-"),"",VLOOKUP($G12,為替!$A:$AX,$I12,FALSE)))</f>
        <v/>
      </c>
      <c r="K12" s="204" t="str">
        <f t="shared" si="2"/>
        <v/>
      </c>
      <c r="L12" s="188" t="str">
        <f t="shared" si="3"/>
        <v/>
      </c>
      <c r="M12" s="203" t="str">
        <f>IF($H12="USD",IF(OR($L12="",$L12="-"),"",VLOOKUP($G12,為替!$A:$AX,$L12,FALSE))+$K$3,IF(OR($L12="",$L12="-"),"",VLOOKUP($G12,為替!$A:$AX,$L12,FALSE)))</f>
        <v/>
      </c>
      <c r="N12" s="204" t="str">
        <f t="shared" si="4"/>
        <v/>
      </c>
      <c r="O12" s="205" t="str">
        <f t="shared" si="0"/>
        <v/>
      </c>
      <c r="P12" s="206" t="str">
        <f t="shared" si="5"/>
        <v/>
      </c>
    </row>
    <row r="13" spans="1:18" x14ac:dyDescent="0.4">
      <c r="C13" s="199"/>
      <c r="D13" s="200"/>
      <c r="E13" s="201"/>
      <c r="F13" s="199"/>
      <c r="H13" s="202"/>
      <c r="I13" s="185" t="str">
        <f t="shared" si="1"/>
        <v/>
      </c>
      <c r="J13" s="203" t="str">
        <f>IF($H13="USD",IF(OR($I13="",$I13="-"),"",VLOOKUP($G13,為替!$A:$AX,$I13,FALSE))+$J$3,IF(OR($I13="",$I13="-"),"",VLOOKUP($G13,為替!$A:$AX,$I13,FALSE)))</f>
        <v/>
      </c>
      <c r="K13" s="204" t="str">
        <f t="shared" si="2"/>
        <v/>
      </c>
      <c r="L13" s="188" t="str">
        <f t="shared" si="3"/>
        <v/>
      </c>
      <c r="M13" s="203" t="str">
        <f>IF($H13="USD",IF(OR($L13="",$L13="-"),"",VLOOKUP($G13,為替!$A:$AX,$L13,FALSE))+$K$3,IF(OR($L13="",$L13="-"),"",VLOOKUP($G13,為替!$A:$AX,$L13,FALSE)))</f>
        <v/>
      </c>
      <c r="N13" s="204" t="str">
        <f t="shared" si="4"/>
        <v/>
      </c>
      <c r="O13" s="205" t="str">
        <f t="shared" si="0"/>
        <v/>
      </c>
      <c r="P13" s="206" t="str">
        <f t="shared" si="5"/>
        <v/>
      </c>
    </row>
    <row r="14" spans="1:18" x14ac:dyDescent="0.4">
      <c r="C14" s="199"/>
      <c r="D14" s="200"/>
      <c r="E14" s="201"/>
      <c r="F14" s="199"/>
      <c r="H14" s="202"/>
      <c r="I14" s="185" t="str">
        <f t="shared" si="1"/>
        <v/>
      </c>
      <c r="J14" s="203" t="str">
        <f>IF($H14="USD",IF(OR($I14="",$I14="-"),"",VLOOKUP($G14,為替!$A:$AX,$I14,FALSE))+$J$3,IF(OR($I14="",$I14="-"),"",VLOOKUP($G14,為替!$A:$AX,$I14,FALSE)))</f>
        <v/>
      </c>
      <c r="K14" s="204" t="str">
        <f t="shared" si="2"/>
        <v/>
      </c>
      <c r="L14" s="188" t="str">
        <f t="shared" si="3"/>
        <v/>
      </c>
      <c r="M14" s="203" t="str">
        <f>IF($H14="USD",IF(OR($L14="",$L14="-"),"",VLOOKUP($G14,為替!$A:$AX,$L14,FALSE))+$K$3,IF(OR($L14="",$L14="-"),"",VLOOKUP($G14,為替!$A:$AX,$L14,FALSE)))</f>
        <v/>
      </c>
      <c r="N14" s="204" t="str">
        <f t="shared" si="4"/>
        <v/>
      </c>
      <c r="O14" s="205" t="str">
        <f t="shared" si="0"/>
        <v/>
      </c>
      <c r="P14" s="206" t="str">
        <f t="shared" si="5"/>
        <v/>
      </c>
    </row>
    <row r="15" spans="1:18" x14ac:dyDescent="0.4">
      <c r="C15" s="199"/>
      <c r="D15" s="200"/>
      <c r="E15" s="201"/>
      <c r="F15" s="199"/>
      <c r="H15" s="202"/>
      <c r="I15" s="185" t="str">
        <f t="shared" si="1"/>
        <v/>
      </c>
      <c r="J15" s="203" t="str">
        <f>IF($H15="USD",IF(OR($I15="",$I15="-"),"",VLOOKUP($G15,為替!$A:$AX,$I15,FALSE))+$J$3,IF(OR($I15="",$I15="-"),"",VLOOKUP($G15,為替!$A:$AX,$I15,FALSE)))</f>
        <v/>
      </c>
      <c r="K15" s="204" t="str">
        <f t="shared" si="2"/>
        <v/>
      </c>
      <c r="L15" s="188" t="str">
        <f t="shared" si="3"/>
        <v/>
      </c>
      <c r="M15" s="203" t="str">
        <f>IF($H15="USD",IF(OR($L15="",$L15="-"),"",VLOOKUP($G15,為替!$A:$AX,$L15,FALSE))+$K$3,IF(OR($L15="",$L15="-"),"",VLOOKUP($G15,為替!$A:$AX,$L15,FALSE)))</f>
        <v/>
      </c>
      <c r="N15" s="204" t="str">
        <f t="shared" si="4"/>
        <v/>
      </c>
      <c r="O15" s="205" t="str">
        <f t="shared" si="0"/>
        <v/>
      </c>
      <c r="P15" s="206" t="str">
        <f t="shared" si="5"/>
        <v/>
      </c>
    </row>
    <row r="16" spans="1:18" x14ac:dyDescent="0.4">
      <c r="C16" s="199"/>
      <c r="D16" s="200"/>
      <c r="E16" s="201"/>
      <c r="F16" s="199"/>
      <c r="H16" s="202"/>
      <c r="I16" s="185" t="str">
        <f t="shared" si="1"/>
        <v/>
      </c>
      <c r="J16" s="203" t="str">
        <f>IF($H16="USD",IF(OR($I16="",$I16="-"),"",VLOOKUP($G16,為替!$A:$AX,$I16,FALSE))+$J$3,IF(OR($I16="",$I16="-"),"",VLOOKUP($G16,為替!$A:$AX,$I16,FALSE)))</f>
        <v/>
      </c>
      <c r="K16" s="204" t="str">
        <f t="shared" si="2"/>
        <v/>
      </c>
      <c r="L16" s="188" t="str">
        <f t="shared" si="3"/>
        <v/>
      </c>
      <c r="M16" s="203" t="str">
        <f>IF($H16="USD",IF(OR($L16="",$L16="-"),"",VLOOKUP($G16,為替!$A:$AX,$L16,FALSE))+$K$3,IF(OR($L16="",$L16="-"),"",VLOOKUP($G16,為替!$A:$AX,$L16,FALSE)))</f>
        <v/>
      </c>
      <c r="N16" s="204" t="str">
        <f t="shared" si="4"/>
        <v/>
      </c>
      <c r="O16" s="205" t="str">
        <f t="shared" si="0"/>
        <v/>
      </c>
      <c r="P16" s="206" t="str">
        <f t="shared" si="5"/>
        <v/>
      </c>
    </row>
    <row r="17" spans="3:16" x14ac:dyDescent="0.4">
      <c r="C17" s="199"/>
      <c r="D17" s="200"/>
      <c r="E17" s="201"/>
      <c r="F17" s="199"/>
      <c r="H17" s="202"/>
      <c r="I17" s="185" t="str">
        <f t="shared" si="1"/>
        <v/>
      </c>
      <c r="J17" s="203" t="str">
        <f>IF($H17="USD",IF(OR($I17="",$I17="-"),"",VLOOKUP($G17,為替!$A:$AX,$I17,FALSE))+$J$3,IF(OR($I17="",$I17="-"),"",VLOOKUP($G17,為替!$A:$AX,$I17,FALSE)))</f>
        <v/>
      </c>
      <c r="K17" s="204" t="str">
        <f t="shared" si="2"/>
        <v/>
      </c>
      <c r="L17" s="188" t="str">
        <f t="shared" si="3"/>
        <v/>
      </c>
      <c r="M17" s="203" t="str">
        <f>IF($H17="USD",IF(OR($L17="",$L17="-"),"",VLOOKUP($G17,為替!$A:$AX,$L17,FALSE))+$K$3,IF(OR($L17="",$L17="-"),"",VLOOKUP($G17,為替!$A:$AX,$L17,FALSE)))</f>
        <v/>
      </c>
      <c r="N17" s="204" t="str">
        <f t="shared" si="4"/>
        <v/>
      </c>
      <c r="O17" s="205" t="str">
        <f t="shared" si="0"/>
        <v/>
      </c>
      <c r="P17" s="206" t="str">
        <f t="shared" si="5"/>
        <v/>
      </c>
    </row>
    <row r="18" spans="3:16" x14ac:dyDescent="0.4">
      <c r="C18" s="199"/>
      <c r="D18" s="200"/>
      <c r="E18" s="201"/>
      <c r="F18" s="199"/>
      <c r="H18" s="202"/>
      <c r="I18" s="185" t="str">
        <f t="shared" si="1"/>
        <v/>
      </c>
      <c r="J18" s="203" t="str">
        <f>IF($H18="USD",IF(OR($I18="",$I18="-"),"",VLOOKUP($G18,為替!$A:$AX,$I18,FALSE))+$J$3,IF(OR($I18="",$I18="-"),"",VLOOKUP($G18,為替!$A:$AX,$I18,FALSE)))</f>
        <v/>
      </c>
      <c r="K18" s="204" t="str">
        <f t="shared" si="2"/>
        <v/>
      </c>
      <c r="L18" s="188" t="str">
        <f t="shared" si="3"/>
        <v/>
      </c>
      <c r="M18" s="203" t="str">
        <f>IF($H18="USD",IF(OR($L18="",$L18="-"),"",VLOOKUP($G18,為替!$A:$AX,$L18,FALSE))+$K$3,IF(OR($L18="",$L18="-"),"",VLOOKUP($G18,為替!$A:$AX,$L18,FALSE)))</f>
        <v/>
      </c>
      <c r="N18" s="204" t="str">
        <f t="shared" si="4"/>
        <v/>
      </c>
      <c r="O18" s="205" t="str">
        <f t="shared" si="0"/>
        <v/>
      </c>
      <c r="P18" s="206" t="str">
        <f t="shared" si="5"/>
        <v/>
      </c>
    </row>
    <row r="19" spans="3:16" x14ac:dyDescent="0.4">
      <c r="C19" s="199"/>
      <c r="D19" s="200"/>
      <c r="E19" s="201"/>
      <c r="F19" s="199"/>
      <c r="H19" s="202"/>
      <c r="I19" s="185" t="str">
        <f t="shared" si="1"/>
        <v/>
      </c>
      <c r="J19" s="203" t="str">
        <f>IF($H19="USD",IF(OR($I19="",$I19="-"),"",VLOOKUP($G19,為替!$A:$AX,$I19,FALSE))+$J$3,IF(OR($I19="",$I19="-"),"",VLOOKUP($G19,為替!$A:$AX,$I19,FALSE)))</f>
        <v/>
      </c>
      <c r="K19" s="204" t="str">
        <f t="shared" si="2"/>
        <v/>
      </c>
      <c r="L19" s="188" t="str">
        <f t="shared" si="3"/>
        <v/>
      </c>
      <c r="M19" s="203" t="str">
        <f>IF($H19="USD",IF(OR($L19="",$L19="-"),"",VLOOKUP($G19,為替!$A:$AX,$L19,FALSE))+$K$3,IF(OR($L19="",$L19="-"),"",VLOOKUP($G19,為替!$A:$AX,$L19,FALSE)))</f>
        <v/>
      </c>
      <c r="N19" s="204" t="str">
        <f t="shared" si="4"/>
        <v/>
      </c>
      <c r="O19" s="205" t="str">
        <f t="shared" si="0"/>
        <v/>
      </c>
      <c r="P19" s="206" t="str">
        <f t="shared" si="5"/>
        <v/>
      </c>
    </row>
    <row r="20" spans="3:16" x14ac:dyDescent="0.4">
      <c r="C20" s="199"/>
      <c r="D20" s="200"/>
      <c r="E20" s="201"/>
      <c r="F20" s="199"/>
      <c r="H20" s="202"/>
      <c r="I20" s="185" t="str">
        <f t="shared" si="1"/>
        <v/>
      </c>
      <c r="J20" s="203" t="str">
        <f>IF($H20="USD",IF(OR($I20="",$I20="-"),"",VLOOKUP($G20,為替!$A:$AX,$I20,FALSE))+$J$3,IF(OR($I20="",$I20="-"),"",VLOOKUP($G20,為替!$A:$AX,$I20,FALSE)))</f>
        <v/>
      </c>
      <c r="K20" s="204" t="str">
        <f t="shared" si="2"/>
        <v/>
      </c>
      <c r="L20" s="188" t="str">
        <f t="shared" si="3"/>
        <v/>
      </c>
      <c r="M20" s="203" t="str">
        <f>IF($H20="USD",IF(OR($L20="",$L20="-"),"",VLOOKUP($G20,為替!$A:$AX,$L20,FALSE))+$K$3,IF(OR($L20="",$L20="-"),"",VLOOKUP($G20,為替!$A:$AX,$L20,FALSE)))</f>
        <v/>
      </c>
      <c r="N20" s="204" t="str">
        <f t="shared" si="4"/>
        <v/>
      </c>
      <c r="O20" s="205" t="str">
        <f t="shared" si="0"/>
        <v/>
      </c>
      <c r="P20" s="206" t="str">
        <f t="shared" si="5"/>
        <v/>
      </c>
    </row>
    <row r="21" spans="3:16" x14ac:dyDescent="0.4">
      <c r="C21" s="199"/>
      <c r="D21" s="200"/>
      <c r="E21" s="201"/>
      <c r="F21" s="199"/>
      <c r="H21" s="202"/>
      <c r="I21" s="185" t="str">
        <f t="shared" si="1"/>
        <v/>
      </c>
      <c r="J21" s="203" t="str">
        <f>IF($H21="USD",IF(OR($I21="",$I21="-"),"",VLOOKUP($G21,為替!$A:$AX,$I21,FALSE))+$J$3,IF(OR($I21="",$I21="-"),"",VLOOKUP($G21,為替!$A:$AX,$I21,FALSE)))</f>
        <v/>
      </c>
      <c r="K21" s="204" t="str">
        <f t="shared" si="2"/>
        <v/>
      </c>
      <c r="L21" s="188" t="str">
        <f t="shared" si="3"/>
        <v/>
      </c>
      <c r="M21" s="203" t="str">
        <f>IF($H21="USD",IF(OR($L21="",$L21="-"),"",VLOOKUP($G21,為替!$A:$AX,$L21,FALSE))+$K$3,IF(OR($L21="",$L21="-"),"",VLOOKUP($G21,為替!$A:$AX,$L21,FALSE)))</f>
        <v/>
      </c>
      <c r="N21" s="204" t="str">
        <f t="shared" si="4"/>
        <v/>
      </c>
      <c r="O21" s="205" t="str">
        <f t="shared" si="0"/>
        <v/>
      </c>
      <c r="P21" s="206" t="str">
        <f t="shared" si="5"/>
        <v/>
      </c>
    </row>
    <row r="22" spans="3:16" x14ac:dyDescent="0.4">
      <c r="C22" s="199"/>
      <c r="D22" s="200"/>
      <c r="E22" s="201"/>
      <c r="F22" s="199"/>
      <c r="H22" s="202"/>
      <c r="I22" s="185" t="str">
        <f t="shared" si="1"/>
        <v/>
      </c>
      <c r="J22" s="203" t="str">
        <f>IF($H22="USD",IF(OR($I22="",$I22="-"),"",VLOOKUP($G22,為替!$A:$AX,$I22,FALSE))+$J$3,IF(OR($I22="",$I22="-"),"",VLOOKUP($G22,為替!$A:$AX,$I22,FALSE)))</f>
        <v/>
      </c>
      <c r="K22" s="204" t="str">
        <f t="shared" si="2"/>
        <v/>
      </c>
      <c r="L22" s="188" t="str">
        <f t="shared" si="3"/>
        <v/>
      </c>
      <c r="M22" s="203" t="str">
        <f>IF($H22="USD",IF(OR($L22="",$L22="-"),"",VLOOKUP($G22,為替!$A:$AX,$L22,FALSE))+$K$3,IF(OR($L22="",$L22="-"),"",VLOOKUP($G22,為替!$A:$AX,$L22,FALSE)))</f>
        <v/>
      </c>
      <c r="N22" s="204" t="str">
        <f t="shared" si="4"/>
        <v/>
      </c>
      <c r="O22" s="205" t="str">
        <f t="shared" si="0"/>
        <v/>
      </c>
      <c r="P22" s="206" t="str">
        <f t="shared" si="5"/>
        <v/>
      </c>
    </row>
    <row r="23" spans="3:16" x14ac:dyDescent="0.4">
      <c r="C23" s="199"/>
      <c r="D23" s="200"/>
      <c r="E23" s="201"/>
      <c r="F23" s="199"/>
      <c r="H23" s="202"/>
      <c r="I23" s="185" t="str">
        <f t="shared" si="1"/>
        <v/>
      </c>
      <c r="J23" s="203" t="str">
        <f>IF($H23="USD",IF(OR($I23="",$I23="-"),"",VLOOKUP($G23,為替!$A:$AX,$I23,FALSE))+$J$3,IF(OR($I23="",$I23="-"),"",VLOOKUP($G23,為替!$A:$AX,$I23,FALSE)))</f>
        <v/>
      </c>
      <c r="K23" s="204" t="str">
        <f t="shared" si="2"/>
        <v/>
      </c>
      <c r="L23" s="188" t="str">
        <f t="shared" si="3"/>
        <v/>
      </c>
      <c r="M23" s="203" t="str">
        <f>IF($H23="USD",IF(OR($L23="",$L23="-"),"",VLOOKUP($G23,為替!$A:$AX,$L23,FALSE))+$K$3,IF(OR($L23="",$L23="-"),"",VLOOKUP($G23,為替!$A:$AX,$L23,FALSE)))</f>
        <v/>
      </c>
      <c r="N23" s="204" t="str">
        <f t="shared" si="4"/>
        <v/>
      </c>
      <c r="O23" s="205" t="str">
        <f t="shared" si="0"/>
        <v/>
      </c>
      <c r="P23" s="206" t="str">
        <f t="shared" si="5"/>
        <v/>
      </c>
    </row>
    <row r="24" spans="3:16" x14ac:dyDescent="0.4">
      <c r="C24" s="199"/>
      <c r="D24" s="200"/>
      <c r="E24" s="201"/>
      <c r="F24" s="199"/>
      <c r="H24" s="202"/>
      <c r="I24" s="185" t="str">
        <f t="shared" si="1"/>
        <v/>
      </c>
      <c r="J24" s="203" t="str">
        <f>IF($H24="USD",IF(OR($I24="",$I24="-"),"",VLOOKUP($G24,為替!$A:$AX,$I24,FALSE))+$J$3,IF(OR($I24="",$I24="-"),"",VLOOKUP($G24,為替!$A:$AX,$I24,FALSE)))</f>
        <v/>
      </c>
      <c r="K24" s="204" t="str">
        <f t="shared" si="2"/>
        <v/>
      </c>
      <c r="L24" s="188" t="str">
        <f t="shared" si="3"/>
        <v/>
      </c>
      <c r="M24" s="203" t="str">
        <f>IF($H24="USD",IF(OR($L24="",$L24="-"),"",VLOOKUP($G24,為替!$A:$AX,$L24,FALSE))+$K$3,IF(OR($L24="",$L24="-"),"",VLOOKUP($G24,為替!$A:$AX,$L24,FALSE)))</f>
        <v/>
      </c>
      <c r="N24" s="204" t="str">
        <f t="shared" si="4"/>
        <v/>
      </c>
      <c r="O24" s="205" t="str">
        <f t="shared" si="0"/>
        <v/>
      </c>
      <c r="P24" s="206" t="str">
        <f t="shared" si="5"/>
        <v/>
      </c>
    </row>
    <row r="25" spans="3:16" x14ac:dyDescent="0.4">
      <c r="C25" s="199"/>
      <c r="D25" s="200"/>
      <c r="E25" s="201"/>
      <c r="F25" s="199"/>
      <c r="H25" s="202"/>
      <c r="I25" s="185" t="str">
        <f t="shared" si="1"/>
        <v/>
      </c>
      <c r="J25" s="203" t="str">
        <f>IF($H25="USD",IF(OR($I25="",$I25="-"),"",VLOOKUP($G25,為替!$A:$AX,$I25,FALSE))+$J$3,IF(OR($I25="",$I25="-"),"",VLOOKUP($G25,為替!$A:$AX,$I25,FALSE)))</f>
        <v/>
      </c>
      <c r="K25" s="204" t="str">
        <f t="shared" si="2"/>
        <v/>
      </c>
      <c r="L25" s="188" t="str">
        <f t="shared" si="3"/>
        <v/>
      </c>
      <c r="M25" s="203" t="str">
        <f>IF($H25="USD",IF(OR($L25="",$L25="-"),"",VLOOKUP($G25,為替!$A:$AX,$L25,FALSE))+$K$3,IF(OR($L25="",$L25="-"),"",VLOOKUP($G25,為替!$A:$AX,$L25,FALSE)))</f>
        <v/>
      </c>
      <c r="N25" s="204" t="str">
        <f t="shared" si="4"/>
        <v/>
      </c>
      <c r="O25" s="205" t="str">
        <f t="shared" si="0"/>
        <v/>
      </c>
      <c r="P25" s="206" t="str">
        <f t="shared" si="5"/>
        <v/>
      </c>
    </row>
    <row r="26" spans="3:16" x14ac:dyDescent="0.4">
      <c r="C26" s="199"/>
      <c r="D26" s="200"/>
      <c r="E26" s="201"/>
      <c r="F26" s="199"/>
      <c r="H26" s="202"/>
      <c r="I26" s="185" t="str">
        <f t="shared" si="1"/>
        <v/>
      </c>
      <c r="J26" s="203" t="str">
        <f>IF($H26="USD",IF(OR($I26="",$I26="-"),"",VLOOKUP($G26,為替!$A:$AX,$I26,FALSE))+$J$3,IF(OR($I26="",$I26="-"),"",VLOOKUP($G26,為替!$A:$AX,$I26,FALSE)))</f>
        <v/>
      </c>
      <c r="K26" s="204" t="str">
        <f t="shared" si="2"/>
        <v/>
      </c>
      <c r="L26" s="188" t="str">
        <f t="shared" si="3"/>
        <v/>
      </c>
      <c r="M26" s="203" t="str">
        <f>IF($H26="USD",IF(OR($L26="",$L26="-"),"",VLOOKUP($G26,為替!$A:$AX,$L26,FALSE))+$K$3,IF(OR($L26="",$L26="-"),"",VLOOKUP($G26,為替!$A:$AX,$L26,FALSE)))</f>
        <v/>
      </c>
      <c r="N26" s="204" t="str">
        <f t="shared" si="4"/>
        <v/>
      </c>
      <c r="O26" s="205" t="str">
        <f t="shared" si="0"/>
        <v/>
      </c>
      <c r="P26" s="206" t="str">
        <f t="shared" si="5"/>
        <v/>
      </c>
    </row>
    <row r="27" spans="3:16" x14ac:dyDescent="0.4">
      <c r="C27" s="199"/>
      <c r="D27" s="200"/>
      <c r="E27" s="201"/>
      <c r="F27" s="199"/>
      <c r="H27" s="202"/>
      <c r="I27" s="185" t="str">
        <f t="shared" si="1"/>
        <v/>
      </c>
      <c r="J27" s="203" t="str">
        <f>IF($H27="USD",IF(OR($I27="",$I27="-"),"",VLOOKUP($G27,為替!$A:$AX,$I27,FALSE))+$J$3,IF(OR($I27="",$I27="-"),"",VLOOKUP($G27,為替!$A:$AX,$I27,FALSE)))</f>
        <v/>
      </c>
      <c r="K27" s="204" t="str">
        <f t="shared" si="2"/>
        <v/>
      </c>
      <c r="L27" s="188" t="str">
        <f t="shared" si="3"/>
        <v/>
      </c>
      <c r="M27" s="203" t="str">
        <f>IF($H27="USD",IF(OR($L27="",$L27="-"),"",VLOOKUP($G27,為替!$A:$AX,$L27,FALSE))+$K$3,IF(OR($L27="",$L27="-"),"",VLOOKUP($G27,為替!$A:$AX,$L27,FALSE)))</f>
        <v/>
      </c>
      <c r="N27" s="204" t="str">
        <f t="shared" si="4"/>
        <v/>
      </c>
      <c r="O27" s="205" t="str">
        <f t="shared" si="0"/>
        <v/>
      </c>
      <c r="P27" s="206" t="str">
        <f t="shared" si="5"/>
        <v/>
      </c>
    </row>
    <row r="28" spans="3:16" x14ac:dyDescent="0.4">
      <c r="C28" s="199"/>
      <c r="D28" s="200"/>
      <c r="E28" s="201"/>
      <c r="F28" s="199"/>
      <c r="H28" s="202"/>
      <c r="I28" s="185" t="str">
        <f t="shared" si="1"/>
        <v/>
      </c>
      <c r="J28" s="203" t="str">
        <f>IF($H28="USD",IF(OR($I28="",$I28="-"),"",VLOOKUP($G28,為替!$A:$AX,$I28,FALSE))+$J$3,IF(OR($I28="",$I28="-"),"",VLOOKUP($G28,為替!$A:$AX,$I28,FALSE)))</f>
        <v/>
      </c>
      <c r="K28" s="204" t="str">
        <f t="shared" si="2"/>
        <v/>
      </c>
      <c r="L28" s="188" t="str">
        <f t="shared" si="3"/>
        <v/>
      </c>
      <c r="M28" s="203" t="str">
        <f>IF($H28="USD",IF(OR($L28="",$L28="-"),"",VLOOKUP($G28,為替!$A:$AX,$L28,FALSE))+$K$3,IF(OR($L28="",$L28="-"),"",VLOOKUP($G28,為替!$A:$AX,$L28,FALSE)))</f>
        <v/>
      </c>
      <c r="N28" s="204" t="str">
        <f t="shared" si="4"/>
        <v/>
      </c>
      <c r="O28" s="205" t="str">
        <f t="shared" si="0"/>
        <v/>
      </c>
      <c r="P28" s="206" t="str">
        <f t="shared" si="5"/>
        <v/>
      </c>
    </row>
    <row r="29" spans="3:16" x14ac:dyDescent="0.4">
      <c r="C29" s="199"/>
      <c r="D29" s="200"/>
      <c r="E29" s="201"/>
      <c r="F29" s="199"/>
      <c r="H29" s="202"/>
      <c r="I29" s="185" t="str">
        <f t="shared" si="1"/>
        <v/>
      </c>
      <c r="J29" s="203" t="str">
        <f>IF($H29="USD",IF(OR($I29="",$I29="-"),"",VLOOKUP($G29,為替!$A:$AX,$I29,FALSE))+$J$3,IF(OR($I29="",$I29="-"),"",VLOOKUP($G29,為替!$A:$AX,$I29,FALSE)))</f>
        <v/>
      </c>
      <c r="K29" s="204" t="str">
        <f t="shared" si="2"/>
        <v/>
      </c>
      <c r="L29" s="188" t="str">
        <f t="shared" si="3"/>
        <v/>
      </c>
      <c r="M29" s="203" t="str">
        <f>IF($H29="USD",IF(OR($L29="",$L29="-"),"",VLOOKUP($G29,為替!$A:$AX,$L29,FALSE))+$K$3,IF(OR($L29="",$L29="-"),"",VLOOKUP($G29,為替!$A:$AX,$L29,FALSE)))</f>
        <v/>
      </c>
      <c r="N29" s="204" t="str">
        <f t="shared" si="4"/>
        <v/>
      </c>
      <c r="O29" s="205" t="str">
        <f t="shared" si="0"/>
        <v/>
      </c>
      <c r="P29" s="206" t="str">
        <f t="shared" si="5"/>
        <v/>
      </c>
    </row>
    <row r="30" spans="3:16" x14ac:dyDescent="0.4">
      <c r="C30" s="199"/>
      <c r="D30" s="200"/>
      <c r="E30" s="201"/>
      <c r="F30" s="199"/>
      <c r="H30" s="202"/>
      <c r="I30" s="185" t="str">
        <f t="shared" si="1"/>
        <v/>
      </c>
      <c r="J30" s="203" t="str">
        <f>IF($H30="USD",IF(OR($I30="",$I30="-"),"",VLOOKUP($G30,為替!$A:$AX,$I30,FALSE))+$J$3,IF(OR($I30="",$I30="-"),"",VLOOKUP($G30,為替!$A:$AX,$I30,FALSE)))</f>
        <v/>
      </c>
      <c r="K30" s="204" t="str">
        <f t="shared" si="2"/>
        <v/>
      </c>
      <c r="L30" s="188" t="str">
        <f t="shared" si="3"/>
        <v/>
      </c>
      <c r="M30" s="203" t="str">
        <f>IF($H30="USD",IF(OR($L30="",$L30="-"),"",VLOOKUP($G30,為替!$A:$AX,$L30,FALSE))+$K$3,IF(OR($L30="",$L30="-"),"",VLOOKUP($G30,為替!$A:$AX,$L30,FALSE)))</f>
        <v/>
      </c>
      <c r="N30" s="204" t="str">
        <f t="shared" si="4"/>
        <v/>
      </c>
      <c r="O30" s="205" t="str">
        <f t="shared" si="0"/>
        <v/>
      </c>
      <c r="P30" s="206" t="str">
        <f t="shared" si="5"/>
        <v/>
      </c>
    </row>
    <row r="31" spans="3:16" x14ac:dyDescent="0.4">
      <c r="C31" s="199"/>
      <c r="D31" s="200"/>
      <c r="E31" s="201"/>
      <c r="F31" s="199"/>
      <c r="H31" s="202"/>
      <c r="I31" s="185" t="str">
        <f t="shared" si="1"/>
        <v/>
      </c>
      <c r="J31" s="203" t="str">
        <f>IF($H31="USD",IF(OR($I31="",$I31="-"),"",VLOOKUP($G31,為替!$A:$AX,$I31,FALSE))+$J$3,IF(OR($I31="",$I31="-"),"",VLOOKUP($G31,為替!$A:$AX,$I31,FALSE)))</f>
        <v/>
      </c>
      <c r="K31" s="204" t="str">
        <f t="shared" si="2"/>
        <v/>
      </c>
      <c r="L31" s="188" t="str">
        <f t="shared" si="3"/>
        <v/>
      </c>
      <c r="M31" s="203" t="str">
        <f>IF($H31="USD",IF(OR($L31="",$L31="-"),"",VLOOKUP($G31,為替!$A:$AX,$L31,FALSE))+$K$3,IF(OR($L31="",$L31="-"),"",VLOOKUP($G31,為替!$A:$AX,$L31,FALSE)))</f>
        <v/>
      </c>
      <c r="N31" s="204" t="str">
        <f t="shared" si="4"/>
        <v/>
      </c>
      <c r="O31" s="205" t="str">
        <f t="shared" si="0"/>
        <v/>
      </c>
      <c r="P31" s="206" t="str">
        <f t="shared" si="5"/>
        <v/>
      </c>
    </row>
    <row r="32" spans="3:16" x14ac:dyDescent="0.4">
      <c r="C32" s="199"/>
      <c r="D32" s="200"/>
      <c r="E32" s="201"/>
      <c r="F32" s="199"/>
      <c r="H32" s="202"/>
      <c r="I32" s="185" t="str">
        <f t="shared" si="1"/>
        <v/>
      </c>
      <c r="J32" s="203" t="str">
        <f>IF($H32="USD",IF(OR($I32="",$I32="-"),"",VLOOKUP($G32,為替!$A:$AX,$I32,FALSE))+$J$3,IF(OR($I32="",$I32="-"),"",VLOOKUP($G32,為替!$A:$AX,$I32,FALSE)))</f>
        <v/>
      </c>
      <c r="K32" s="204" t="str">
        <f t="shared" si="2"/>
        <v/>
      </c>
      <c r="L32" s="188" t="str">
        <f t="shared" si="3"/>
        <v/>
      </c>
      <c r="M32" s="203" t="str">
        <f>IF($H32="USD",IF(OR($L32="",$L32="-"),"",VLOOKUP($G32,為替!$A:$AX,$L32,FALSE))+$K$3,IF(OR($L32="",$L32="-"),"",VLOOKUP($G32,為替!$A:$AX,$L32,FALSE)))</f>
        <v/>
      </c>
      <c r="N32" s="204" t="str">
        <f t="shared" si="4"/>
        <v/>
      </c>
      <c r="O32" s="205" t="str">
        <f t="shared" si="0"/>
        <v/>
      </c>
      <c r="P32" s="206" t="str">
        <f t="shared" si="5"/>
        <v/>
      </c>
    </row>
    <row r="33" spans="3:16" x14ac:dyDescent="0.4">
      <c r="C33" s="199"/>
      <c r="D33" s="200"/>
      <c r="E33" s="201"/>
      <c r="F33" s="199"/>
      <c r="H33" s="202"/>
      <c r="I33" s="185" t="str">
        <f t="shared" si="1"/>
        <v/>
      </c>
      <c r="J33" s="203" t="str">
        <f>IF($H33="USD",IF(OR($I33="",$I33="-"),"",VLOOKUP($G33,為替!$A:$AX,$I33,FALSE))+$J$3,IF(OR($I33="",$I33="-"),"",VLOOKUP($G33,為替!$A:$AX,$I33,FALSE)))</f>
        <v/>
      </c>
      <c r="K33" s="204" t="str">
        <f t="shared" si="2"/>
        <v/>
      </c>
      <c r="L33" s="188" t="str">
        <f t="shared" si="3"/>
        <v/>
      </c>
      <c r="M33" s="203" t="str">
        <f>IF($H33="USD",IF(OR($L33="",$L33="-"),"",VLOOKUP($G33,為替!$A:$AX,$L33,FALSE))+$K$3,IF(OR($L33="",$L33="-"),"",VLOOKUP($G33,為替!$A:$AX,$L33,FALSE)))</f>
        <v/>
      </c>
      <c r="N33" s="204" t="str">
        <f t="shared" si="4"/>
        <v/>
      </c>
      <c r="O33" s="205" t="str">
        <f t="shared" si="0"/>
        <v/>
      </c>
      <c r="P33" s="206" t="str">
        <f t="shared" si="5"/>
        <v/>
      </c>
    </row>
    <row r="34" spans="3:16" x14ac:dyDescent="0.4">
      <c r="C34" s="199"/>
      <c r="D34" s="200"/>
      <c r="E34" s="201"/>
      <c r="F34" s="199"/>
      <c r="H34" s="202"/>
      <c r="I34" s="185" t="str">
        <f t="shared" si="1"/>
        <v/>
      </c>
      <c r="J34" s="203" t="str">
        <f>IF($H34="USD",IF(OR($I34="",$I34="-"),"",VLOOKUP($G34,為替!$A:$AX,$I34,FALSE))+$J$3,IF(OR($I34="",$I34="-"),"",VLOOKUP($G34,為替!$A:$AX,$I34,FALSE)))</f>
        <v/>
      </c>
      <c r="K34" s="204" t="str">
        <f t="shared" si="2"/>
        <v/>
      </c>
      <c r="L34" s="188" t="str">
        <f t="shared" si="3"/>
        <v/>
      </c>
      <c r="M34" s="203" t="str">
        <f>IF($H34="USD",IF(OR($L34="",$L34="-"),"",VLOOKUP($G34,為替!$A:$AX,$L34,FALSE))+$K$3,IF(OR($L34="",$L34="-"),"",VLOOKUP($G34,為替!$A:$AX,$L34,FALSE)))</f>
        <v/>
      </c>
      <c r="N34" s="204" t="str">
        <f t="shared" si="4"/>
        <v/>
      </c>
      <c r="O34" s="205" t="str">
        <f t="shared" si="0"/>
        <v/>
      </c>
      <c r="P34" s="206" t="str">
        <f t="shared" si="5"/>
        <v/>
      </c>
    </row>
    <row r="35" spans="3:16" x14ac:dyDescent="0.4">
      <c r="C35" s="199"/>
      <c r="D35" s="200"/>
      <c r="E35" s="201"/>
      <c r="F35" s="199"/>
      <c r="H35" s="202"/>
      <c r="I35" s="185" t="str">
        <f t="shared" si="1"/>
        <v/>
      </c>
      <c r="J35" s="203" t="str">
        <f>IF($H35="USD",IF(OR($I35="",$I35="-"),"",VLOOKUP($G35,為替!$A:$AX,$I35,FALSE))+$J$3,IF(OR($I35="",$I35="-"),"",VLOOKUP($G35,為替!$A:$AX,$I35,FALSE)))</f>
        <v/>
      </c>
      <c r="K35" s="204" t="str">
        <f t="shared" si="2"/>
        <v/>
      </c>
      <c r="L35" s="188" t="str">
        <f t="shared" si="3"/>
        <v/>
      </c>
      <c r="M35" s="203" t="str">
        <f>IF($H35="USD",IF(OR($L35="",$L35="-"),"",VLOOKUP($G35,為替!$A:$AX,$L35,FALSE))+$K$3,IF(OR($L35="",$L35="-"),"",VLOOKUP($G35,為替!$A:$AX,$L35,FALSE)))</f>
        <v/>
      </c>
      <c r="N35" s="204" t="str">
        <f t="shared" si="4"/>
        <v/>
      </c>
      <c r="O35" s="205" t="str">
        <f t="shared" si="0"/>
        <v/>
      </c>
      <c r="P35" s="206" t="str">
        <f t="shared" si="5"/>
        <v/>
      </c>
    </row>
    <row r="36" spans="3:16" x14ac:dyDescent="0.4">
      <c r="C36" s="199"/>
      <c r="D36" s="200"/>
      <c r="E36" s="201"/>
      <c r="F36" s="199"/>
      <c r="H36" s="202"/>
      <c r="I36" s="185" t="str">
        <f t="shared" si="1"/>
        <v/>
      </c>
      <c r="J36" s="203" t="str">
        <f>IF($H36="USD",IF(OR($I36="",$I36="-"),"",VLOOKUP($G36,為替!$A:$AX,$I36,FALSE))+$J$3,IF(OR($I36="",$I36="-"),"",VLOOKUP($G36,為替!$A:$AX,$I36,FALSE)))</f>
        <v/>
      </c>
      <c r="K36" s="204" t="str">
        <f t="shared" si="2"/>
        <v/>
      </c>
      <c r="L36" s="188" t="str">
        <f t="shared" si="3"/>
        <v/>
      </c>
      <c r="M36" s="203" t="str">
        <f>IF($H36="USD",IF(OR($L36="",$L36="-"),"",VLOOKUP($G36,為替!$A:$AX,$L36,FALSE))+$K$3,IF(OR($L36="",$L36="-"),"",VLOOKUP($G36,為替!$A:$AX,$L36,FALSE)))</f>
        <v/>
      </c>
      <c r="N36" s="204" t="str">
        <f t="shared" si="4"/>
        <v/>
      </c>
      <c r="O36" s="205" t="str">
        <f t="shared" si="0"/>
        <v/>
      </c>
      <c r="P36" s="206" t="str">
        <f t="shared" si="5"/>
        <v/>
      </c>
    </row>
    <row r="37" spans="3:16" x14ac:dyDescent="0.4">
      <c r="C37" s="199"/>
      <c r="D37" s="200"/>
      <c r="E37" s="201"/>
      <c r="F37" s="199"/>
      <c r="H37" s="202"/>
      <c r="I37" s="185" t="str">
        <f t="shared" si="1"/>
        <v/>
      </c>
      <c r="J37" s="203" t="str">
        <f>IF($H37="USD",IF(OR($I37="",$I37="-"),"",VLOOKUP($G37,為替!$A:$AX,$I37,FALSE))+$J$3,IF(OR($I37="",$I37="-"),"",VLOOKUP($G37,為替!$A:$AX,$I37,FALSE)))</f>
        <v/>
      </c>
      <c r="K37" s="204" t="str">
        <f t="shared" si="2"/>
        <v/>
      </c>
      <c r="L37" s="188" t="str">
        <f t="shared" si="3"/>
        <v/>
      </c>
      <c r="M37" s="203" t="str">
        <f>IF($H37="USD",IF(OR($L37="",$L37="-"),"",VLOOKUP($G37,為替!$A:$AX,$L37,FALSE))+$K$3,IF(OR($L37="",$L37="-"),"",VLOOKUP($G37,為替!$A:$AX,$L37,FALSE)))</f>
        <v/>
      </c>
      <c r="N37" s="204" t="str">
        <f t="shared" si="4"/>
        <v/>
      </c>
      <c r="O37" s="205" t="str">
        <f t="shared" si="0"/>
        <v/>
      </c>
      <c r="P37" s="206" t="str">
        <f t="shared" si="5"/>
        <v/>
      </c>
    </row>
    <row r="38" spans="3:16" x14ac:dyDescent="0.4">
      <c r="C38" s="199"/>
      <c r="D38" s="200"/>
      <c r="E38" s="201"/>
      <c r="F38" s="199"/>
      <c r="H38" s="202"/>
      <c r="I38" s="185" t="str">
        <f t="shared" si="1"/>
        <v/>
      </c>
      <c r="J38" s="203" t="str">
        <f>IF($H38="USD",IF(OR($I38="",$I38="-"),"",VLOOKUP($G38,為替!$A:$AX,$I38,FALSE))+$J$3,IF(OR($I38="",$I38="-"),"",VLOOKUP($G38,為替!$A:$AX,$I38,FALSE)))</f>
        <v/>
      </c>
      <c r="K38" s="204" t="str">
        <f t="shared" si="2"/>
        <v/>
      </c>
      <c r="L38" s="188" t="str">
        <f t="shared" si="3"/>
        <v/>
      </c>
      <c r="M38" s="203" t="str">
        <f>IF($H38="USD",IF(OR($L38="",$L38="-"),"",VLOOKUP($G38,為替!$A:$AX,$L38,FALSE))+$K$3,IF(OR($L38="",$L38="-"),"",VLOOKUP($G38,為替!$A:$AX,$L38,FALSE)))</f>
        <v/>
      </c>
      <c r="N38" s="204" t="str">
        <f t="shared" si="4"/>
        <v/>
      </c>
      <c r="O38" s="205" t="str">
        <f t="shared" si="0"/>
        <v/>
      </c>
      <c r="P38" s="206" t="str">
        <f t="shared" si="5"/>
        <v/>
      </c>
    </row>
    <row r="39" spans="3:16" x14ac:dyDescent="0.4">
      <c r="C39" s="199"/>
      <c r="D39" s="200"/>
      <c r="E39" s="201"/>
      <c r="F39" s="199"/>
      <c r="H39" s="202"/>
      <c r="I39" s="185" t="str">
        <f t="shared" si="1"/>
        <v/>
      </c>
      <c r="J39" s="203" t="str">
        <f>IF($H39="USD",IF(OR($I39="",$I39="-"),"",VLOOKUP($G39,為替!$A:$AX,$I39,FALSE))+$J$3,IF(OR($I39="",$I39="-"),"",VLOOKUP($G39,為替!$A:$AX,$I39,FALSE)))</f>
        <v/>
      </c>
      <c r="K39" s="204" t="str">
        <f t="shared" si="2"/>
        <v/>
      </c>
      <c r="L39" s="188" t="str">
        <f t="shared" si="3"/>
        <v/>
      </c>
      <c r="M39" s="203" t="str">
        <f>IF($H39="USD",IF(OR($L39="",$L39="-"),"",VLOOKUP($G39,為替!$A:$AX,$L39,FALSE))+$K$3,IF(OR($L39="",$L39="-"),"",VLOOKUP($G39,為替!$A:$AX,$L39,FALSE)))</f>
        <v/>
      </c>
      <c r="N39" s="204" t="str">
        <f t="shared" si="4"/>
        <v/>
      </c>
      <c r="O39" s="205" t="str">
        <f t="shared" si="0"/>
        <v/>
      </c>
      <c r="P39" s="206" t="str">
        <f t="shared" si="5"/>
        <v/>
      </c>
    </row>
    <row r="40" spans="3:16" x14ac:dyDescent="0.4">
      <c r="C40" s="199"/>
      <c r="D40" s="200"/>
      <c r="E40" s="201"/>
      <c r="F40" s="199"/>
      <c r="H40" s="202"/>
      <c r="I40" s="185" t="str">
        <f t="shared" si="1"/>
        <v/>
      </c>
      <c r="J40" s="203" t="str">
        <f>IF($H40="USD",IF(OR($I40="",$I40="-"),"",VLOOKUP($G40,為替!$A:$AX,$I40,FALSE))+$J$3,IF(OR($I40="",$I40="-"),"",VLOOKUP($G40,為替!$A:$AX,$I40,FALSE)))</f>
        <v/>
      </c>
      <c r="K40" s="204" t="str">
        <f t="shared" si="2"/>
        <v/>
      </c>
      <c r="L40" s="188" t="str">
        <f t="shared" si="3"/>
        <v/>
      </c>
      <c r="M40" s="203" t="str">
        <f>IF($H40="USD",IF(OR($L40="",$L40="-"),"",VLOOKUP($G40,為替!$A:$AX,$L40,FALSE))+$K$3,IF(OR($L40="",$L40="-"),"",VLOOKUP($G40,為替!$A:$AX,$L40,FALSE)))</f>
        <v/>
      </c>
      <c r="N40" s="204" t="str">
        <f t="shared" si="4"/>
        <v/>
      </c>
      <c r="O40" s="205" t="str">
        <f t="shared" si="0"/>
        <v/>
      </c>
      <c r="P40" s="206" t="str">
        <f t="shared" si="5"/>
        <v/>
      </c>
    </row>
    <row r="41" spans="3:16" x14ac:dyDescent="0.4">
      <c r="C41" s="199"/>
      <c r="D41" s="200"/>
      <c r="E41" s="201"/>
      <c r="F41" s="199"/>
      <c r="H41" s="202"/>
      <c r="I41" s="185" t="str">
        <f t="shared" si="1"/>
        <v/>
      </c>
      <c r="J41" s="203" t="str">
        <f>IF($H41="USD",IF(OR($I41="",$I41="-"),"",VLOOKUP($G41,為替!$A:$AX,$I41,FALSE))+$J$3,IF(OR($I41="",$I41="-"),"",VLOOKUP($G41,為替!$A:$AX,$I41,FALSE)))</f>
        <v/>
      </c>
      <c r="K41" s="204" t="str">
        <f t="shared" si="2"/>
        <v/>
      </c>
      <c r="L41" s="188" t="str">
        <f t="shared" si="3"/>
        <v/>
      </c>
      <c r="M41" s="203" t="str">
        <f>IF($H41="USD",IF(OR($L41="",$L41="-"),"",VLOOKUP($G41,為替!$A:$AX,$L41,FALSE))+$K$3,IF(OR($L41="",$L41="-"),"",VLOOKUP($G41,為替!$A:$AX,$L41,FALSE)))</f>
        <v/>
      </c>
      <c r="N41" s="204" t="str">
        <f t="shared" si="4"/>
        <v/>
      </c>
      <c r="O41" s="205" t="str">
        <f t="shared" si="0"/>
        <v/>
      </c>
      <c r="P41" s="206" t="str">
        <f t="shared" si="5"/>
        <v/>
      </c>
    </row>
    <row r="42" spans="3:16" x14ac:dyDescent="0.4">
      <c r="C42" s="199"/>
      <c r="D42" s="200"/>
      <c r="E42" s="201"/>
      <c r="F42" s="199"/>
      <c r="H42" s="202"/>
      <c r="I42" s="185" t="str">
        <f t="shared" si="1"/>
        <v/>
      </c>
      <c r="J42" s="203" t="str">
        <f>IF($H42="USD",IF(OR($I42="",$I42="-"),"",VLOOKUP($G42,為替!$A:$AX,$I42,FALSE))+$J$3,IF(OR($I42="",$I42="-"),"",VLOOKUP($G42,為替!$A:$AX,$I42,FALSE)))</f>
        <v/>
      </c>
      <c r="K42" s="204" t="str">
        <f t="shared" si="2"/>
        <v/>
      </c>
      <c r="L42" s="188" t="str">
        <f t="shared" si="3"/>
        <v/>
      </c>
      <c r="M42" s="203" t="str">
        <f>IF($H42="USD",IF(OR($L42="",$L42="-"),"",VLOOKUP($G42,為替!$A:$AX,$L42,FALSE))+$K$3,IF(OR($L42="",$L42="-"),"",VLOOKUP($G42,為替!$A:$AX,$L42,FALSE)))</f>
        <v/>
      </c>
      <c r="N42" s="204" t="str">
        <f t="shared" si="4"/>
        <v/>
      </c>
      <c r="O42" s="205" t="str">
        <f t="shared" si="0"/>
        <v/>
      </c>
      <c r="P42" s="206" t="str">
        <f t="shared" si="5"/>
        <v/>
      </c>
    </row>
    <row r="43" spans="3:16" x14ac:dyDescent="0.4">
      <c r="C43" s="199"/>
      <c r="D43" s="200"/>
      <c r="E43" s="201"/>
      <c r="F43" s="199"/>
      <c r="H43" s="202"/>
      <c r="I43" s="185" t="str">
        <f t="shared" si="1"/>
        <v/>
      </c>
      <c r="J43" s="203" t="str">
        <f>IF($H43="USD",IF(OR($I43="",$I43="-"),"",VLOOKUP($G43,為替!$A:$AX,$I43,FALSE))+$J$3,IF(OR($I43="",$I43="-"),"",VLOOKUP($G43,為替!$A:$AX,$I43,FALSE)))</f>
        <v/>
      </c>
      <c r="K43" s="204" t="str">
        <f t="shared" si="2"/>
        <v/>
      </c>
      <c r="L43" s="188" t="str">
        <f t="shared" si="3"/>
        <v/>
      </c>
      <c r="M43" s="203" t="str">
        <f>IF($H43="USD",IF(OR($L43="",$L43="-"),"",VLOOKUP($G43,為替!$A:$AX,$L43,FALSE))+$K$3,IF(OR($L43="",$L43="-"),"",VLOOKUP($G43,為替!$A:$AX,$L43,FALSE)))</f>
        <v/>
      </c>
      <c r="N43" s="204" t="str">
        <f t="shared" si="4"/>
        <v/>
      </c>
      <c r="O43" s="205" t="str">
        <f t="shared" si="0"/>
        <v/>
      </c>
      <c r="P43" s="206" t="str">
        <f t="shared" si="5"/>
        <v/>
      </c>
    </row>
    <row r="44" spans="3:16" x14ac:dyDescent="0.4">
      <c r="C44" s="199"/>
      <c r="D44" s="200"/>
      <c r="E44" s="201"/>
      <c r="F44" s="199"/>
      <c r="H44" s="202"/>
      <c r="I44" s="185" t="str">
        <f t="shared" si="1"/>
        <v/>
      </c>
      <c r="J44" s="203" t="str">
        <f>IF($H44="USD",IF(OR($I44="",$I44="-"),"",VLOOKUP($G44,為替!$A:$AX,$I44,FALSE))+$J$3,IF(OR($I44="",$I44="-"),"",VLOOKUP($G44,為替!$A:$AX,$I44,FALSE)))</f>
        <v/>
      </c>
      <c r="K44" s="204" t="str">
        <f t="shared" si="2"/>
        <v/>
      </c>
      <c r="L44" s="188" t="str">
        <f t="shared" si="3"/>
        <v/>
      </c>
      <c r="M44" s="203" t="str">
        <f>IF($H44="USD",IF(OR($L44="",$L44="-"),"",VLOOKUP($G44,為替!$A:$AX,$L44,FALSE))+$K$3,IF(OR($L44="",$L44="-"),"",VLOOKUP($G44,為替!$A:$AX,$L44,FALSE)))</f>
        <v/>
      </c>
      <c r="N44" s="204" t="str">
        <f t="shared" si="4"/>
        <v/>
      </c>
      <c r="O44" s="205" t="str">
        <f t="shared" si="0"/>
        <v/>
      </c>
      <c r="P44" s="206" t="str">
        <f t="shared" si="5"/>
        <v/>
      </c>
    </row>
    <row r="45" spans="3:16" x14ac:dyDescent="0.4">
      <c r="C45" s="199"/>
      <c r="D45" s="200"/>
      <c r="E45" s="201"/>
      <c r="F45" s="199"/>
      <c r="H45" s="202"/>
      <c r="I45" s="185" t="str">
        <f t="shared" si="1"/>
        <v/>
      </c>
      <c r="J45" s="203" t="str">
        <f>IF($H45="USD",IF(OR($I45="",$I45="-"),"",VLOOKUP($G45,為替!$A:$AX,$I45,FALSE))+$J$3,IF(OR($I45="",$I45="-"),"",VLOOKUP($G45,為替!$A:$AX,$I45,FALSE)))</f>
        <v/>
      </c>
      <c r="K45" s="204" t="str">
        <f t="shared" si="2"/>
        <v/>
      </c>
      <c r="L45" s="188" t="str">
        <f t="shared" si="3"/>
        <v/>
      </c>
      <c r="M45" s="203" t="str">
        <f>IF($H45="USD",IF(OR($L45="",$L45="-"),"",VLOOKUP($G45,為替!$A:$AX,$L45,FALSE))+$K$3,IF(OR($L45="",$L45="-"),"",VLOOKUP($G45,為替!$A:$AX,$L45,FALSE)))</f>
        <v/>
      </c>
      <c r="N45" s="204" t="str">
        <f t="shared" si="4"/>
        <v/>
      </c>
      <c r="O45" s="205" t="str">
        <f t="shared" si="0"/>
        <v/>
      </c>
      <c r="P45" s="206" t="str">
        <f t="shared" si="5"/>
        <v/>
      </c>
    </row>
    <row r="46" spans="3:16" x14ac:dyDescent="0.4">
      <c r="C46" s="199"/>
      <c r="D46" s="200"/>
      <c r="E46" s="201"/>
      <c r="F46" s="199"/>
      <c r="H46" s="202"/>
      <c r="I46" s="185" t="str">
        <f t="shared" si="1"/>
        <v/>
      </c>
      <c r="J46" s="203" t="str">
        <f>IF($H46="USD",IF(OR($I46="",$I46="-"),"",VLOOKUP($G46,為替!$A:$AX,$I46,FALSE))+$J$3,IF(OR($I46="",$I46="-"),"",VLOOKUP($G46,為替!$A:$AX,$I46,FALSE)))</f>
        <v/>
      </c>
      <c r="K46" s="204" t="str">
        <f t="shared" si="2"/>
        <v/>
      </c>
      <c r="L46" s="188" t="str">
        <f t="shared" si="3"/>
        <v/>
      </c>
      <c r="M46" s="203" t="str">
        <f>IF($H46="USD",IF(OR($L46="",$L46="-"),"",VLOOKUP($G46,為替!$A:$AX,$L46,FALSE))+$K$3,IF(OR($L46="",$L46="-"),"",VLOOKUP($G46,為替!$A:$AX,$L46,FALSE)))</f>
        <v/>
      </c>
      <c r="N46" s="204" t="str">
        <f t="shared" si="4"/>
        <v/>
      </c>
      <c r="O46" s="205" t="str">
        <f t="shared" si="0"/>
        <v/>
      </c>
      <c r="P46" s="206" t="str">
        <f t="shared" si="5"/>
        <v/>
      </c>
    </row>
    <row r="47" spans="3:16" x14ac:dyDescent="0.4">
      <c r="C47" s="199"/>
      <c r="D47" s="200"/>
      <c r="E47" s="201"/>
      <c r="F47" s="199"/>
      <c r="H47" s="202"/>
      <c r="I47" s="185" t="str">
        <f t="shared" si="1"/>
        <v/>
      </c>
      <c r="J47" s="203" t="str">
        <f>IF($H47="USD",IF(OR($I47="",$I47="-"),"",VLOOKUP($G47,為替!$A:$AX,$I47,FALSE))+$J$3,IF(OR($I47="",$I47="-"),"",VLOOKUP($G47,為替!$A:$AX,$I47,FALSE)))</f>
        <v/>
      </c>
      <c r="K47" s="204" t="str">
        <f t="shared" si="2"/>
        <v/>
      </c>
      <c r="L47" s="188" t="str">
        <f t="shared" si="3"/>
        <v/>
      </c>
      <c r="M47" s="203" t="str">
        <f>IF($H47="USD",IF(OR($L47="",$L47="-"),"",VLOOKUP($G47,為替!$A:$AX,$L47,FALSE))+$K$3,IF(OR($L47="",$L47="-"),"",VLOOKUP($G47,為替!$A:$AX,$L47,FALSE)))</f>
        <v/>
      </c>
      <c r="N47" s="204" t="str">
        <f t="shared" si="4"/>
        <v/>
      </c>
      <c r="O47" s="205" t="str">
        <f t="shared" si="0"/>
        <v/>
      </c>
      <c r="P47" s="206" t="str">
        <f t="shared" si="5"/>
        <v/>
      </c>
    </row>
    <row r="48" spans="3:16" x14ac:dyDescent="0.4">
      <c r="C48" s="199"/>
      <c r="D48" s="200"/>
      <c r="E48" s="201"/>
      <c r="F48" s="199"/>
      <c r="H48" s="202"/>
      <c r="I48" s="185" t="str">
        <f t="shared" si="1"/>
        <v/>
      </c>
      <c r="J48" s="203" t="str">
        <f>IF($H48="USD",IF(OR($I48="",$I48="-"),"",VLOOKUP($G48,為替!$A:$AX,$I48,FALSE))+$J$3,IF(OR($I48="",$I48="-"),"",VLOOKUP($G48,為替!$A:$AX,$I48,FALSE)))</f>
        <v/>
      </c>
      <c r="K48" s="204" t="str">
        <f t="shared" si="2"/>
        <v/>
      </c>
      <c r="L48" s="188" t="str">
        <f t="shared" si="3"/>
        <v/>
      </c>
      <c r="M48" s="203" t="str">
        <f>IF($H48="USD",IF(OR($L48="",$L48="-"),"",VLOOKUP($G48,為替!$A:$AX,$L48,FALSE))+$K$3,IF(OR($L48="",$L48="-"),"",VLOOKUP($G48,為替!$A:$AX,$L48,FALSE)))</f>
        <v/>
      </c>
      <c r="N48" s="204" t="str">
        <f t="shared" si="4"/>
        <v/>
      </c>
      <c r="O48" s="205" t="str">
        <f t="shared" si="0"/>
        <v/>
      </c>
      <c r="P48" s="206" t="str">
        <f t="shared" si="5"/>
        <v/>
      </c>
    </row>
    <row r="49" spans="3:16" x14ac:dyDescent="0.4">
      <c r="C49" s="199"/>
      <c r="D49" s="200"/>
      <c r="E49" s="201"/>
      <c r="F49" s="199"/>
      <c r="H49" s="202"/>
      <c r="I49" s="185" t="str">
        <f t="shared" si="1"/>
        <v/>
      </c>
      <c r="J49" s="203" t="str">
        <f>IF($H49="USD",IF(OR($I49="",$I49="-"),"",VLOOKUP($G49,為替!$A:$AX,$I49,FALSE))+$J$3,IF(OR($I49="",$I49="-"),"",VLOOKUP($G49,為替!$A:$AX,$I49,FALSE)))</f>
        <v/>
      </c>
      <c r="K49" s="204" t="str">
        <f t="shared" si="2"/>
        <v/>
      </c>
      <c r="L49" s="188" t="str">
        <f t="shared" si="3"/>
        <v/>
      </c>
      <c r="M49" s="203" t="str">
        <f>IF($H49="USD",IF(OR($L49="",$L49="-"),"",VLOOKUP($G49,為替!$A:$AX,$L49,FALSE))+$K$3,IF(OR($L49="",$L49="-"),"",VLOOKUP($G49,為替!$A:$AX,$L49,FALSE)))</f>
        <v/>
      </c>
      <c r="N49" s="204" t="str">
        <f t="shared" si="4"/>
        <v/>
      </c>
      <c r="O49" s="205" t="str">
        <f t="shared" si="0"/>
        <v/>
      </c>
      <c r="P49" s="206" t="str">
        <f t="shared" si="5"/>
        <v/>
      </c>
    </row>
    <row r="50" spans="3:16" x14ac:dyDescent="0.4">
      <c r="C50" s="199"/>
      <c r="D50" s="200"/>
      <c r="E50" s="201"/>
      <c r="F50" s="199"/>
      <c r="H50" s="202"/>
      <c r="I50" s="185" t="str">
        <f t="shared" si="1"/>
        <v/>
      </c>
      <c r="J50" s="203" t="str">
        <f>IF($H50="USD",IF(OR($I50="",$I50="-"),"",VLOOKUP($G50,為替!$A:$AX,$I50,FALSE))+$J$3,IF(OR($I50="",$I50="-"),"",VLOOKUP($G50,為替!$A:$AX,$I50,FALSE)))</f>
        <v/>
      </c>
      <c r="K50" s="204" t="str">
        <f t="shared" si="2"/>
        <v/>
      </c>
      <c r="L50" s="188" t="str">
        <f t="shared" si="3"/>
        <v/>
      </c>
      <c r="M50" s="203" t="str">
        <f>IF($H50="USD",IF(OR($L50="",$L50="-"),"",VLOOKUP($G50,為替!$A:$AX,$L50,FALSE))+$K$3,IF(OR($L50="",$L50="-"),"",VLOOKUP($G50,為替!$A:$AX,$L50,FALSE)))</f>
        <v/>
      </c>
      <c r="N50" s="204" t="str">
        <f t="shared" si="4"/>
        <v/>
      </c>
      <c r="O50" s="205" t="str">
        <f t="shared" si="0"/>
        <v/>
      </c>
      <c r="P50" s="206" t="str">
        <f t="shared" si="5"/>
        <v/>
      </c>
    </row>
    <row r="51" spans="3:16" x14ac:dyDescent="0.4">
      <c r="C51" s="199"/>
      <c r="D51" s="200"/>
      <c r="E51" s="201"/>
      <c r="F51" s="199"/>
      <c r="H51" s="202"/>
      <c r="I51" s="185" t="str">
        <f t="shared" si="1"/>
        <v/>
      </c>
      <c r="J51" s="203" t="str">
        <f>IF($H51="USD",IF(OR($I51="",$I51="-"),"",VLOOKUP($G51,為替!$A:$AX,$I51,FALSE))+$J$3,IF(OR($I51="",$I51="-"),"",VLOOKUP($G51,為替!$A:$AX,$I51,FALSE)))</f>
        <v/>
      </c>
      <c r="K51" s="204" t="str">
        <f t="shared" si="2"/>
        <v/>
      </c>
      <c r="L51" s="188" t="str">
        <f t="shared" si="3"/>
        <v/>
      </c>
      <c r="M51" s="203" t="str">
        <f>IF($H51="USD",IF(OR($L51="",$L51="-"),"",VLOOKUP($G51,為替!$A:$AX,$L51,FALSE))+$K$3,IF(OR($L51="",$L51="-"),"",VLOOKUP($G51,為替!$A:$AX,$L51,FALSE)))</f>
        <v/>
      </c>
      <c r="N51" s="204" t="str">
        <f t="shared" si="4"/>
        <v/>
      </c>
      <c r="O51" s="205" t="str">
        <f t="shared" si="0"/>
        <v/>
      </c>
      <c r="P51" s="206" t="str">
        <f t="shared" si="5"/>
        <v/>
      </c>
    </row>
    <row r="52" spans="3:16" x14ac:dyDescent="0.4">
      <c r="C52" s="199"/>
      <c r="D52" s="200"/>
      <c r="E52" s="201"/>
      <c r="F52" s="199"/>
      <c r="H52" s="202"/>
      <c r="I52" s="185" t="str">
        <f t="shared" si="1"/>
        <v/>
      </c>
      <c r="J52" s="203" t="str">
        <f>IF($H52="USD",IF(OR($I52="",$I52="-"),"",VLOOKUP($G52,為替!$A:$AX,$I52,FALSE))+$J$3,IF(OR($I52="",$I52="-"),"",VLOOKUP($G52,為替!$A:$AX,$I52,FALSE)))</f>
        <v/>
      </c>
      <c r="K52" s="204" t="str">
        <f t="shared" si="2"/>
        <v/>
      </c>
      <c r="L52" s="188" t="str">
        <f t="shared" si="3"/>
        <v/>
      </c>
      <c r="M52" s="203" t="str">
        <f>IF($H52="USD",IF(OR($L52="",$L52="-"),"",VLOOKUP($G52,為替!$A:$AX,$L52,FALSE))+$K$3,IF(OR($L52="",$L52="-"),"",VLOOKUP($G52,為替!$A:$AX,$L52,FALSE)))</f>
        <v/>
      </c>
      <c r="N52" s="204" t="str">
        <f t="shared" si="4"/>
        <v/>
      </c>
      <c r="O52" s="205" t="str">
        <f t="shared" si="0"/>
        <v/>
      </c>
      <c r="P52" s="206" t="str">
        <f t="shared" si="5"/>
        <v/>
      </c>
    </row>
    <row r="53" spans="3:16" x14ac:dyDescent="0.4">
      <c r="C53" s="199"/>
      <c r="D53" s="200"/>
      <c r="E53" s="201"/>
      <c r="F53" s="199"/>
      <c r="H53" s="202"/>
      <c r="I53" s="185" t="str">
        <f t="shared" si="1"/>
        <v/>
      </c>
      <c r="J53" s="203" t="str">
        <f>IF($H53="USD",IF(OR($I53="",$I53="-"),"",VLOOKUP($G53,為替!$A:$AX,$I53,FALSE))+$J$3,IF(OR($I53="",$I53="-"),"",VLOOKUP($G53,為替!$A:$AX,$I53,FALSE)))</f>
        <v/>
      </c>
      <c r="K53" s="204" t="str">
        <f t="shared" si="2"/>
        <v/>
      </c>
      <c r="L53" s="188" t="str">
        <f t="shared" si="3"/>
        <v/>
      </c>
      <c r="M53" s="203" t="str">
        <f>IF($H53="USD",IF(OR($L53="",$L53="-"),"",VLOOKUP($G53,為替!$A:$AX,$L53,FALSE))+$K$3,IF(OR($L53="",$L53="-"),"",VLOOKUP($G53,為替!$A:$AX,$L53,FALSE)))</f>
        <v/>
      </c>
      <c r="N53" s="204" t="str">
        <f t="shared" si="4"/>
        <v/>
      </c>
      <c r="O53" s="205" t="str">
        <f t="shared" si="0"/>
        <v/>
      </c>
      <c r="P53" s="206" t="str">
        <f t="shared" si="5"/>
        <v/>
      </c>
    </row>
    <row r="54" spans="3:16" x14ac:dyDescent="0.4">
      <c r="C54" s="199"/>
      <c r="D54" s="200"/>
      <c r="E54" s="201"/>
      <c r="F54" s="199"/>
      <c r="H54" s="202"/>
      <c r="I54" s="185" t="str">
        <f t="shared" si="1"/>
        <v/>
      </c>
      <c r="J54" s="203" t="str">
        <f>IF($H54="USD",IF(OR($I54="",$I54="-"),"",VLOOKUP($G54,為替!$A:$AX,$I54,FALSE))+$J$3,IF(OR($I54="",$I54="-"),"",VLOOKUP($G54,為替!$A:$AX,$I54,FALSE)))</f>
        <v/>
      </c>
      <c r="K54" s="204" t="str">
        <f t="shared" si="2"/>
        <v/>
      </c>
      <c r="L54" s="188" t="str">
        <f t="shared" si="3"/>
        <v/>
      </c>
      <c r="M54" s="203" t="str">
        <f>IF($H54="USD",IF(OR($L54="",$L54="-"),"",VLOOKUP($G54,為替!$A:$AX,$L54,FALSE))+$K$3,IF(OR($L54="",$L54="-"),"",VLOOKUP($G54,為替!$A:$AX,$L54,FALSE)))</f>
        <v/>
      </c>
      <c r="N54" s="204" t="str">
        <f t="shared" si="4"/>
        <v/>
      </c>
      <c r="O54" s="205" t="str">
        <f t="shared" si="0"/>
        <v/>
      </c>
      <c r="P54" s="206" t="str">
        <f t="shared" si="5"/>
        <v/>
      </c>
    </row>
    <row r="55" spans="3:16" x14ac:dyDescent="0.4">
      <c r="C55" s="199"/>
      <c r="D55" s="200"/>
      <c r="E55" s="201"/>
      <c r="F55" s="199"/>
      <c r="H55" s="202"/>
      <c r="I55" s="185" t="str">
        <f t="shared" si="1"/>
        <v/>
      </c>
      <c r="J55" s="203" t="str">
        <f>IF($H55="USD",IF(OR($I55="",$I55="-"),"",VLOOKUP($G55,為替!$A:$AX,$I55,FALSE))+$J$3,IF(OR($I55="",$I55="-"),"",VLOOKUP($G55,為替!$A:$AX,$I55,FALSE)))</f>
        <v/>
      </c>
      <c r="K55" s="204" t="str">
        <f t="shared" si="2"/>
        <v/>
      </c>
      <c r="L55" s="188" t="str">
        <f t="shared" si="3"/>
        <v/>
      </c>
      <c r="M55" s="203" t="str">
        <f>IF($H55="USD",IF(OR($L55="",$L55="-"),"",VLOOKUP($G55,為替!$A:$AX,$L55,FALSE))+$K$3,IF(OR($L55="",$L55="-"),"",VLOOKUP($G55,為替!$A:$AX,$L55,FALSE)))</f>
        <v/>
      </c>
      <c r="N55" s="204" t="str">
        <f t="shared" si="4"/>
        <v/>
      </c>
      <c r="O55" s="205" t="str">
        <f t="shared" si="0"/>
        <v/>
      </c>
      <c r="P55" s="206" t="str">
        <f t="shared" si="5"/>
        <v/>
      </c>
    </row>
    <row r="56" spans="3:16" x14ac:dyDescent="0.4">
      <c r="C56" s="199"/>
      <c r="D56" s="200"/>
      <c r="E56" s="201"/>
      <c r="F56" s="199"/>
      <c r="H56" s="202"/>
      <c r="I56" s="185" t="str">
        <f t="shared" si="1"/>
        <v/>
      </c>
      <c r="J56" s="203" t="str">
        <f>IF($H56="USD",IF(OR($I56="",$I56="-"),"",VLOOKUP($G56,為替!$A:$AX,$I56,FALSE))+$J$3,IF(OR($I56="",$I56="-"),"",VLOOKUP($G56,為替!$A:$AX,$I56,FALSE)))</f>
        <v/>
      </c>
      <c r="K56" s="204" t="str">
        <f t="shared" si="2"/>
        <v/>
      </c>
      <c r="L56" s="188" t="str">
        <f t="shared" si="3"/>
        <v/>
      </c>
      <c r="M56" s="203" t="str">
        <f>IF($H56="USD",IF(OR($L56="",$L56="-"),"",VLOOKUP($G56,為替!$A:$AX,$L56,FALSE))+$K$3,IF(OR($L56="",$L56="-"),"",VLOOKUP($G56,為替!$A:$AX,$L56,FALSE)))</f>
        <v/>
      </c>
      <c r="N56" s="204" t="str">
        <f t="shared" si="4"/>
        <v/>
      </c>
      <c r="O56" s="205" t="str">
        <f t="shared" si="0"/>
        <v/>
      </c>
      <c r="P56" s="206" t="str">
        <f t="shared" si="5"/>
        <v/>
      </c>
    </row>
    <row r="57" spans="3:16" x14ac:dyDescent="0.4">
      <c r="C57" s="199"/>
      <c r="D57" s="200"/>
      <c r="E57" s="201"/>
      <c r="F57" s="199"/>
      <c r="H57" s="202"/>
      <c r="I57" s="185" t="str">
        <f t="shared" si="1"/>
        <v/>
      </c>
      <c r="J57" s="203" t="str">
        <f>IF($H57="USD",IF(OR($I57="",$I57="-"),"",VLOOKUP($G57,為替!$A:$AX,$I57,FALSE))+$J$3,IF(OR($I57="",$I57="-"),"",VLOOKUP($G57,為替!$A:$AX,$I57,FALSE)))</f>
        <v/>
      </c>
      <c r="K57" s="204" t="str">
        <f t="shared" si="2"/>
        <v/>
      </c>
      <c r="L57" s="188" t="str">
        <f t="shared" si="3"/>
        <v/>
      </c>
      <c r="M57" s="203" t="str">
        <f>IF($H57="USD",IF(OR($L57="",$L57="-"),"",VLOOKUP($G57,為替!$A:$AX,$L57,FALSE))+$K$3,IF(OR($L57="",$L57="-"),"",VLOOKUP($G57,為替!$A:$AX,$L57,FALSE)))</f>
        <v/>
      </c>
      <c r="N57" s="204" t="str">
        <f t="shared" si="4"/>
        <v/>
      </c>
      <c r="O57" s="205" t="str">
        <f t="shared" si="0"/>
        <v/>
      </c>
      <c r="P57" s="206" t="str">
        <f t="shared" si="5"/>
        <v/>
      </c>
    </row>
    <row r="58" spans="3:16" x14ac:dyDescent="0.4">
      <c r="C58" s="199"/>
      <c r="D58" s="200"/>
      <c r="E58" s="201"/>
      <c r="F58" s="199"/>
      <c r="H58" s="202"/>
      <c r="I58" s="185" t="str">
        <f t="shared" si="1"/>
        <v/>
      </c>
      <c r="J58" s="203" t="str">
        <f>IF($H58="USD",IF(OR($I58="",$I58="-"),"",VLOOKUP($G58,為替!$A:$AX,$I58,FALSE))+$J$3,IF(OR($I58="",$I58="-"),"",VLOOKUP($G58,為替!$A:$AX,$I58,FALSE)))</f>
        <v/>
      </c>
      <c r="K58" s="204" t="str">
        <f t="shared" si="2"/>
        <v/>
      </c>
      <c r="L58" s="188" t="str">
        <f t="shared" si="3"/>
        <v/>
      </c>
      <c r="M58" s="203" t="str">
        <f>IF($H58="USD",IF(OR($L58="",$L58="-"),"",VLOOKUP($G58,為替!$A:$AX,$L58,FALSE))+$K$3,IF(OR($L58="",$L58="-"),"",VLOOKUP($G58,為替!$A:$AX,$L58,FALSE)))</f>
        <v/>
      </c>
      <c r="N58" s="204" t="str">
        <f t="shared" si="4"/>
        <v/>
      </c>
      <c r="O58" s="205" t="str">
        <f t="shared" si="0"/>
        <v/>
      </c>
      <c r="P58" s="206" t="str">
        <f t="shared" si="5"/>
        <v/>
      </c>
    </row>
    <row r="59" spans="3:16" x14ac:dyDescent="0.4">
      <c r="C59" s="199"/>
      <c r="D59" s="200"/>
      <c r="E59" s="201"/>
      <c r="F59" s="199"/>
      <c r="H59" s="202"/>
      <c r="I59" s="185" t="str">
        <f t="shared" si="1"/>
        <v/>
      </c>
      <c r="J59" s="203" t="str">
        <f>IF($H59="USD",IF(OR($I59="",$I59="-"),"",VLOOKUP($G59,為替!$A:$AX,$I59,FALSE))+$J$3,IF(OR($I59="",$I59="-"),"",VLOOKUP($G59,為替!$A:$AX,$I59,FALSE)))</f>
        <v/>
      </c>
      <c r="K59" s="204" t="str">
        <f t="shared" si="2"/>
        <v/>
      </c>
      <c r="L59" s="188" t="str">
        <f t="shared" si="3"/>
        <v/>
      </c>
      <c r="M59" s="203" t="str">
        <f>IF($H59="USD",IF(OR($L59="",$L59="-"),"",VLOOKUP($G59,為替!$A:$AX,$L59,FALSE))+$K$3,IF(OR($L59="",$L59="-"),"",VLOOKUP($G59,為替!$A:$AX,$L59,FALSE)))</f>
        <v/>
      </c>
      <c r="N59" s="204" t="str">
        <f t="shared" si="4"/>
        <v/>
      </c>
      <c r="O59" s="205" t="str">
        <f t="shared" si="0"/>
        <v/>
      </c>
      <c r="P59" s="206" t="str">
        <f t="shared" si="5"/>
        <v/>
      </c>
    </row>
    <row r="60" spans="3:16" x14ac:dyDescent="0.4">
      <c r="C60" s="199"/>
      <c r="D60" s="200"/>
      <c r="E60" s="201"/>
      <c r="F60" s="199"/>
      <c r="H60" s="202"/>
      <c r="I60" s="185" t="str">
        <f t="shared" si="1"/>
        <v/>
      </c>
      <c r="J60" s="203" t="str">
        <f>IF($H60="USD",IF(OR($I60="",$I60="-"),"",VLOOKUP($G60,為替!$A:$AX,$I60,FALSE))+$J$3,IF(OR($I60="",$I60="-"),"",VLOOKUP($G60,為替!$A:$AX,$I60,FALSE)))</f>
        <v/>
      </c>
      <c r="K60" s="204" t="str">
        <f t="shared" si="2"/>
        <v/>
      </c>
      <c r="L60" s="188" t="str">
        <f t="shared" si="3"/>
        <v/>
      </c>
      <c r="M60" s="203" t="str">
        <f>IF($H60="USD",IF(OR($L60="",$L60="-"),"",VLOOKUP($G60,為替!$A:$AX,$L60,FALSE))+$K$3,IF(OR($L60="",$L60="-"),"",VLOOKUP($G60,為替!$A:$AX,$L60,FALSE)))</f>
        <v/>
      </c>
      <c r="N60" s="204" t="str">
        <f t="shared" si="4"/>
        <v/>
      </c>
      <c r="O60" s="205" t="str">
        <f t="shared" si="0"/>
        <v/>
      </c>
      <c r="P60" s="206" t="str">
        <f t="shared" si="5"/>
        <v/>
      </c>
    </row>
    <row r="61" spans="3:16" x14ac:dyDescent="0.4">
      <c r="C61" s="199"/>
      <c r="D61" s="200"/>
      <c r="E61" s="201"/>
      <c r="F61" s="199"/>
      <c r="H61" s="202"/>
      <c r="I61" s="185" t="str">
        <f t="shared" si="1"/>
        <v/>
      </c>
      <c r="J61" s="203" t="str">
        <f>IF($H61="USD",IF(OR($I61="",$I61="-"),"",VLOOKUP($G61,為替!$A:$AX,$I61,FALSE))+$J$3,IF(OR($I61="",$I61="-"),"",VLOOKUP($G61,為替!$A:$AX,$I61,FALSE)))</f>
        <v/>
      </c>
      <c r="K61" s="204" t="str">
        <f t="shared" si="2"/>
        <v/>
      </c>
      <c r="L61" s="188" t="str">
        <f t="shared" si="3"/>
        <v/>
      </c>
      <c r="M61" s="203" t="str">
        <f>IF($H61="USD",IF(OR($L61="",$L61="-"),"",VLOOKUP($G61,為替!$A:$AX,$L61,FALSE))+$K$3,IF(OR($L61="",$L61="-"),"",VLOOKUP($G61,為替!$A:$AX,$L61,FALSE)))</f>
        <v/>
      </c>
      <c r="N61" s="204" t="str">
        <f t="shared" si="4"/>
        <v/>
      </c>
      <c r="O61" s="205" t="str">
        <f t="shared" si="0"/>
        <v/>
      </c>
      <c r="P61" s="206" t="str">
        <f t="shared" si="5"/>
        <v/>
      </c>
    </row>
    <row r="62" spans="3:16" x14ac:dyDescent="0.4">
      <c r="C62" s="199"/>
      <c r="D62" s="200"/>
      <c r="E62" s="201"/>
      <c r="F62" s="199"/>
      <c r="H62" s="202"/>
      <c r="I62" s="185" t="str">
        <f t="shared" si="1"/>
        <v/>
      </c>
      <c r="J62" s="203" t="str">
        <f>IF($H62="USD",IF(OR($I62="",$I62="-"),"",VLOOKUP($G62,為替!$A:$AX,$I62,FALSE))+$J$3,IF(OR($I62="",$I62="-"),"",VLOOKUP($G62,為替!$A:$AX,$I62,FALSE)))</f>
        <v/>
      </c>
      <c r="K62" s="204" t="str">
        <f t="shared" si="2"/>
        <v/>
      </c>
      <c r="L62" s="188" t="str">
        <f t="shared" si="3"/>
        <v/>
      </c>
      <c r="M62" s="203" t="str">
        <f>IF($H62="USD",IF(OR($L62="",$L62="-"),"",VLOOKUP($G62,為替!$A:$AX,$L62,FALSE))+$K$3,IF(OR($L62="",$L62="-"),"",VLOOKUP($G62,為替!$A:$AX,$L62,FALSE)))</f>
        <v/>
      </c>
      <c r="N62" s="204" t="str">
        <f t="shared" si="4"/>
        <v/>
      </c>
      <c r="O62" s="205" t="str">
        <f t="shared" si="0"/>
        <v/>
      </c>
      <c r="P62" s="206" t="str">
        <f t="shared" si="5"/>
        <v/>
      </c>
    </row>
    <row r="63" spans="3:16" x14ac:dyDescent="0.4">
      <c r="C63" s="199"/>
      <c r="D63" s="200"/>
      <c r="E63" s="201"/>
      <c r="F63" s="199"/>
      <c r="H63" s="202"/>
      <c r="I63" s="185" t="str">
        <f t="shared" si="1"/>
        <v/>
      </c>
      <c r="J63" s="203" t="str">
        <f>IF($H63="USD",IF(OR($I63="",$I63="-"),"",VLOOKUP($G63,為替!$A:$AX,$I63,FALSE))+$J$3,IF(OR($I63="",$I63="-"),"",VLOOKUP($G63,為替!$A:$AX,$I63,FALSE)))</f>
        <v/>
      </c>
      <c r="K63" s="204" t="str">
        <f t="shared" si="2"/>
        <v/>
      </c>
      <c r="L63" s="188" t="str">
        <f t="shared" si="3"/>
        <v/>
      </c>
      <c r="M63" s="203" t="str">
        <f>IF($H63="USD",IF(OR($L63="",$L63="-"),"",VLOOKUP($G63,為替!$A:$AX,$L63,FALSE))+$K$3,IF(OR($L63="",$L63="-"),"",VLOOKUP($G63,為替!$A:$AX,$L63,FALSE)))</f>
        <v/>
      </c>
      <c r="N63" s="204" t="str">
        <f t="shared" si="4"/>
        <v/>
      </c>
      <c r="O63" s="205" t="str">
        <f t="shared" si="0"/>
        <v/>
      </c>
      <c r="P63" s="206" t="str">
        <f t="shared" si="5"/>
        <v/>
      </c>
    </row>
    <row r="64" spans="3:16" x14ac:dyDescent="0.4">
      <c r="C64" s="199"/>
      <c r="D64" s="200"/>
      <c r="E64" s="201"/>
      <c r="F64" s="199"/>
      <c r="H64" s="202"/>
      <c r="I64" s="185" t="str">
        <f t="shared" si="1"/>
        <v/>
      </c>
      <c r="J64" s="203" t="str">
        <f>IF($H64="USD",IF(OR($I64="",$I64="-"),"",VLOOKUP($G64,為替!$A:$AX,$I64,FALSE))+$J$3,IF(OR($I64="",$I64="-"),"",VLOOKUP($G64,為替!$A:$AX,$I64,FALSE)))</f>
        <v/>
      </c>
      <c r="K64" s="204" t="str">
        <f t="shared" si="2"/>
        <v/>
      </c>
      <c r="L64" s="188" t="str">
        <f t="shared" si="3"/>
        <v/>
      </c>
      <c r="M64" s="203" t="str">
        <f>IF($H64="USD",IF(OR($L64="",$L64="-"),"",VLOOKUP($G64,為替!$A:$AX,$L64,FALSE))+$K$3,IF(OR($L64="",$L64="-"),"",VLOOKUP($G64,為替!$A:$AX,$L64,FALSE)))</f>
        <v/>
      </c>
      <c r="N64" s="204" t="str">
        <f t="shared" si="4"/>
        <v/>
      </c>
      <c r="O64" s="205" t="str">
        <f t="shared" si="0"/>
        <v/>
      </c>
      <c r="P64" s="206" t="str">
        <f t="shared" si="5"/>
        <v/>
      </c>
    </row>
    <row r="65" spans="3:16" x14ac:dyDescent="0.4">
      <c r="C65" s="199"/>
      <c r="D65" s="200"/>
      <c r="E65" s="201"/>
      <c r="F65" s="199"/>
      <c r="H65" s="202"/>
      <c r="I65" s="185" t="str">
        <f t="shared" si="1"/>
        <v/>
      </c>
      <c r="J65" s="203" t="str">
        <f>IF($H65="USD",IF(OR($I65="",$I65="-"),"",VLOOKUP($G65,為替!$A:$AX,$I65,FALSE))+$J$3,IF(OR($I65="",$I65="-"),"",VLOOKUP($G65,為替!$A:$AX,$I65,FALSE)))</f>
        <v/>
      </c>
      <c r="K65" s="204" t="str">
        <f t="shared" si="2"/>
        <v/>
      </c>
      <c r="L65" s="188" t="str">
        <f t="shared" si="3"/>
        <v/>
      </c>
      <c r="M65" s="203" t="str">
        <f>IF($H65="USD",IF(OR($L65="",$L65="-"),"",VLOOKUP($G65,為替!$A:$AX,$L65,FALSE))+$K$3,IF(OR($L65="",$L65="-"),"",VLOOKUP($G65,為替!$A:$AX,$L65,FALSE)))</f>
        <v/>
      </c>
      <c r="N65" s="204" t="str">
        <f t="shared" si="4"/>
        <v/>
      </c>
      <c r="O65" s="205" t="str">
        <f t="shared" si="0"/>
        <v/>
      </c>
      <c r="P65" s="206" t="str">
        <f t="shared" si="5"/>
        <v/>
      </c>
    </row>
    <row r="66" spans="3:16" x14ac:dyDescent="0.4">
      <c r="C66" s="199"/>
      <c r="D66" s="200"/>
      <c r="E66" s="201"/>
      <c r="F66" s="199"/>
      <c r="H66" s="202"/>
      <c r="I66" s="185" t="str">
        <f t="shared" si="1"/>
        <v/>
      </c>
      <c r="J66" s="203" t="str">
        <f>IF($H66="USD",IF(OR($I66="",$I66="-"),"",VLOOKUP($G66,為替!$A:$AX,$I66,FALSE))+$J$3,IF(OR($I66="",$I66="-"),"",VLOOKUP($G66,為替!$A:$AX,$I66,FALSE)))</f>
        <v/>
      </c>
      <c r="K66" s="204" t="str">
        <f t="shared" si="2"/>
        <v/>
      </c>
      <c r="L66" s="188" t="str">
        <f t="shared" si="3"/>
        <v/>
      </c>
      <c r="M66" s="203" t="str">
        <f>IF($H66="USD",IF(OR($L66="",$L66="-"),"",VLOOKUP($G66,為替!$A:$AX,$L66,FALSE))+$K$3,IF(OR($L66="",$L66="-"),"",VLOOKUP($G66,為替!$A:$AX,$L66,FALSE)))</f>
        <v/>
      </c>
      <c r="N66" s="204" t="str">
        <f t="shared" si="4"/>
        <v/>
      </c>
      <c r="O66" s="205" t="str">
        <f t="shared" si="0"/>
        <v/>
      </c>
      <c r="P66" s="206" t="str">
        <f t="shared" si="5"/>
        <v/>
      </c>
    </row>
    <row r="67" spans="3:16" x14ac:dyDescent="0.4">
      <c r="C67" s="199"/>
      <c r="D67" s="200"/>
      <c r="E67" s="201"/>
      <c r="F67" s="199"/>
      <c r="H67" s="202"/>
      <c r="I67" s="185" t="str">
        <f t="shared" si="1"/>
        <v/>
      </c>
      <c r="J67" s="203" t="str">
        <f>IF($H67="USD",IF(OR($I67="",$I67="-"),"",VLOOKUP($G67,為替!$A:$AX,$I67,FALSE))+$J$3,IF(OR($I67="",$I67="-"),"",VLOOKUP($G67,為替!$A:$AX,$I67,FALSE)))</f>
        <v/>
      </c>
      <c r="K67" s="204" t="str">
        <f t="shared" si="2"/>
        <v/>
      </c>
      <c r="L67" s="188" t="str">
        <f t="shared" si="3"/>
        <v/>
      </c>
      <c r="M67" s="203" t="str">
        <f>IF($H67="USD",IF(OR($L67="",$L67="-"),"",VLOOKUP($G67,為替!$A:$AX,$L67,FALSE))+$K$3,IF(OR($L67="",$L67="-"),"",VLOOKUP($G67,為替!$A:$AX,$L67,FALSE)))</f>
        <v/>
      </c>
      <c r="N67" s="204" t="str">
        <f t="shared" si="4"/>
        <v/>
      </c>
      <c r="O67" s="205" t="str">
        <f t="shared" si="0"/>
        <v/>
      </c>
      <c r="P67" s="206" t="str">
        <f t="shared" si="5"/>
        <v/>
      </c>
    </row>
    <row r="68" spans="3:16" x14ac:dyDescent="0.4">
      <c r="C68" s="199"/>
      <c r="D68" s="200"/>
      <c r="E68" s="201"/>
      <c r="F68" s="199"/>
      <c r="H68" s="202"/>
      <c r="I68" s="185" t="str">
        <f t="shared" si="1"/>
        <v/>
      </c>
      <c r="J68" s="203" t="str">
        <f>IF($H68="USD",IF(OR($I68="",$I68="-"),"",VLOOKUP($G68,為替!$A:$AX,$I68,FALSE))+$J$3,IF(OR($I68="",$I68="-"),"",VLOOKUP($G68,為替!$A:$AX,$I68,FALSE)))</f>
        <v/>
      </c>
      <c r="K68" s="204" t="str">
        <f t="shared" si="2"/>
        <v/>
      </c>
      <c r="L68" s="188" t="str">
        <f t="shared" si="3"/>
        <v/>
      </c>
      <c r="M68" s="203" t="str">
        <f>IF($H68="USD",IF(OR($L68="",$L68="-"),"",VLOOKUP($G68,為替!$A:$AX,$L68,FALSE))+$K$3,IF(OR($L68="",$L68="-"),"",VLOOKUP($G68,為替!$A:$AX,$L68,FALSE)))</f>
        <v/>
      </c>
      <c r="N68" s="204" t="str">
        <f t="shared" si="4"/>
        <v/>
      </c>
      <c r="O68" s="205" t="str">
        <f t="shared" si="0"/>
        <v/>
      </c>
      <c r="P68" s="206" t="str">
        <f t="shared" si="5"/>
        <v/>
      </c>
    </row>
    <row r="69" spans="3:16" x14ac:dyDescent="0.4">
      <c r="C69" s="199"/>
      <c r="D69" s="200"/>
      <c r="E69" s="201"/>
      <c r="F69" s="199"/>
      <c r="H69" s="202"/>
      <c r="I69" s="185" t="str">
        <f t="shared" si="1"/>
        <v/>
      </c>
      <c r="J69" s="203" t="str">
        <f>IF($H69="USD",IF(OR($I69="",$I69="-"),"",VLOOKUP($G69,為替!$A:$AX,$I69,FALSE))+$J$3,IF(OR($I69="",$I69="-"),"",VLOOKUP($G69,為替!$A:$AX,$I69,FALSE)))</f>
        <v/>
      </c>
      <c r="K69" s="204" t="str">
        <f t="shared" si="2"/>
        <v/>
      </c>
      <c r="L69" s="188" t="str">
        <f t="shared" si="3"/>
        <v/>
      </c>
      <c r="M69" s="203" t="str">
        <f>IF($H69="USD",IF(OR($L69="",$L69="-"),"",VLOOKUP($G69,為替!$A:$AX,$L69,FALSE))+$K$3,IF(OR($L69="",$L69="-"),"",VLOOKUP($G69,為替!$A:$AX,$L69,FALSE)))</f>
        <v/>
      </c>
      <c r="N69" s="204" t="str">
        <f t="shared" si="4"/>
        <v/>
      </c>
      <c r="O69" s="205" t="str">
        <f t="shared" si="0"/>
        <v/>
      </c>
      <c r="P69" s="206" t="str">
        <f t="shared" si="5"/>
        <v/>
      </c>
    </row>
    <row r="70" spans="3:16" x14ac:dyDescent="0.4">
      <c r="C70" s="199"/>
      <c r="D70" s="200"/>
      <c r="E70" s="201"/>
      <c r="F70" s="199"/>
      <c r="H70" s="202"/>
      <c r="I70" s="185" t="str">
        <f t="shared" si="1"/>
        <v/>
      </c>
      <c r="J70" s="203" t="str">
        <f>IF($H70="USD",IF(OR($I70="",$I70="-"),"",VLOOKUP($G70,為替!$A:$AX,$I70,FALSE))+$J$3,IF(OR($I70="",$I70="-"),"",VLOOKUP($G70,為替!$A:$AX,$I70,FALSE)))</f>
        <v/>
      </c>
      <c r="K70" s="204" t="str">
        <f t="shared" si="2"/>
        <v/>
      </c>
      <c r="L70" s="188" t="str">
        <f t="shared" si="3"/>
        <v/>
      </c>
      <c r="M70" s="203" t="str">
        <f>IF($H70="USD",IF(OR($L70="",$L70="-"),"",VLOOKUP($G70,為替!$A:$AX,$L70,FALSE))+$K$3,IF(OR($L70="",$L70="-"),"",VLOOKUP($G70,為替!$A:$AX,$L70,FALSE)))</f>
        <v/>
      </c>
      <c r="N70" s="204" t="str">
        <f t="shared" si="4"/>
        <v/>
      </c>
      <c r="O70" s="205" t="str">
        <f t="shared" ref="O70:O133" si="6">IF(OR(K70="",N70=""),"",K70-N70)</f>
        <v/>
      </c>
      <c r="P70" s="206" t="str">
        <f t="shared" si="5"/>
        <v/>
      </c>
    </row>
    <row r="71" spans="3:16" x14ac:dyDescent="0.4">
      <c r="C71" s="199"/>
      <c r="D71" s="200"/>
      <c r="E71" s="201"/>
      <c r="F71" s="199"/>
      <c r="H71" s="202"/>
      <c r="I71" s="185" t="str">
        <f t="shared" ref="I71:I134" si="7">IF(H71="","",IF(H71="JPY","",IF($H71="USD",4, IF(H71="EUR",7,IF(H71="CNY",47,IF(H71="HKD",34))))))</f>
        <v/>
      </c>
      <c r="J71" s="203" t="str">
        <f>IF($H71="USD",IF(OR($I71="",$I71="-"),"",VLOOKUP($G71,為替!$A:$AX,$I71,FALSE))+$J$3,IF(OR($I71="",$I71="-"),"",VLOOKUP($G71,為替!$A:$AX,$I71,FALSE)))</f>
        <v/>
      </c>
      <c r="K71" s="204" t="str">
        <f t="shared" ref="K71:K134" si="8">IF($H71="JPY",$F71,IF($H71="","",$F71*$J71))</f>
        <v/>
      </c>
      <c r="L71" s="188" t="str">
        <f t="shared" ref="L71:L134" si="9">IF(H71="","",IF(H71="JPY","",IF($H71="USD",3, IF(H71="EUR",6,IF(H71="CNY",46,IF(H71="HKD",33))))))</f>
        <v/>
      </c>
      <c r="M71" s="203" t="str">
        <f>IF($H71="USD",IF(OR($L71="",$L71="-"),"",VLOOKUP($G71,為替!$A:$AX,$L71,FALSE))+$K$3,IF(OR($L71="",$L71="-"),"",VLOOKUP($G71,為替!$A:$AX,$L71,FALSE)))</f>
        <v/>
      </c>
      <c r="N71" s="204" t="str">
        <f t="shared" ref="N71:N134" si="10">IF($E71="JPY",($C71+$D71),IF($E71="","",($C71+$D71)*$M71))</f>
        <v/>
      </c>
      <c r="O71" s="205" t="str">
        <f t="shared" si="6"/>
        <v/>
      </c>
      <c r="P71" s="206" t="str">
        <f t="shared" ref="P71:P134" si="11">IF(OR(K71="",O71=""),"",O71/K71)</f>
        <v/>
      </c>
    </row>
    <row r="72" spans="3:16" x14ac:dyDescent="0.4">
      <c r="C72" s="199"/>
      <c r="D72" s="200"/>
      <c r="E72" s="201"/>
      <c r="F72" s="199"/>
      <c r="H72" s="202"/>
      <c r="I72" s="185" t="str">
        <f t="shared" si="7"/>
        <v/>
      </c>
      <c r="J72" s="203" t="str">
        <f>IF($H72="USD",IF(OR($I72="",$I72="-"),"",VLOOKUP($G72,為替!$A:$AX,$I72,FALSE))+$J$3,IF(OR($I72="",$I72="-"),"",VLOOKUP($G72,為替!$A:$AX,$I72,FALSE)))</f>
        <v/>
      </c>
      <c r="K72" s="204" t="str">
        <f t="shared" si="8"/>
        <v/>
      </c>
      <c r="L72" s="188" t="str">
        <f t="shared" si="9"/>
        <v/>
      </c>
      <c r="M72" s="203" t="str">
        <f>IF($H72="USD",IF(OR($L72="",$L72="-"),"",VLOOKUP($G72,為替!$A:$AX,$L72,FALSE))+$K$3,IF(OR($L72="",$L72="-"),"",VLOOKUP($G72,為替!$A:$AX,$L72,FALSE)))</f>
        <v/>
      </c>
      <c r="N72" s="204" t="str">
        <f t="shared" si="10"/>
        <v/>
      </c>
      <c r="O72" s="205" t="str">
        <f t="shared" si="6"/>
        <v/>
      </c>
      <c r="P72" s="206" t="str">
        <f t="shared" si="11"/>
        <v/>
      </c>
    </row>
    <row r="73" spans="3:16" x14ac:dyDescent="0.4">
      <c r="C73" s="199"/>
      <c r="D73" s="200"/>
      <c r="E73" s="201"/>
      <c r="F73" s="199"/>
      <c r="H73" s="202"/>
      <c r="I73" s="185" t="str">
        <f t="shared" si="7"/>
        <v/>
      </c>
      <c r="J73" s="203" t="str">
        <f>IF($H73="USD",IF(OR($I73="",$I73="-"),"",VLOOKUP($G73,為替!$A:$AX,$I73,FALSE))+$J$3,IF(OR($I73="",$I73="-"),"",VLOOKUP($G73,為替!$A:$AX,$I73,FALSE)))</f>
        <v/>
      </c>
      <c r="K73" s="204" t="str">
        <f t="shared" si="8"/>
        <v/>
      </c>
      <c r="L73" s="188" t="str">
        <f t="shared" si="9"/>
        <v/>
      </c>
      <c r="M73" s="203" t="str">
        <f>IF($H73="USD",IF(OR($L73="",$L73="-"),"",VLOOKUP($G73,為替!$A:$AX,$L73,FALSE))+$K$3,IF(OR($L73="",$L73="-"),"",VLOOKUP($G73,為替!$A:$AX,$L73,FALSE)))</f>
        <v/>
      </c>
      <c r="N73" s="204" t="str">
        <f t="shared" si="10"/>
        <v/>
      </c>
      <c r="O73" s="205" t="str">
        <f t="shared" si="6"/>
        <v/>
      </c>
      <c r="P73" s="206" t="str">
        <f t="shared" si="11"/>
        <v/>
      </c>
    </row>
    <row r="74" spans="3:16" x14ac:dyDescent="0.4">
      <c r="C74" s="199"/>
      <c r="D74" s="200"/>
      <c r="E74" s="201"/>
      <c r="F74" s="199"/>
      <c r="H74" s="202"/>
      <c r="I74" s="185" t="str">
        <f t="shared" si="7"/>
        <v/>
      </c>
      <c r="J74" s="203" t="str">
        <f>IF($H74="USD",IF(OR($I74="",$I74="-"),"",VLOOKUP($G74,為替!$A:$AX,$I74,FALSE))+$J$3,IF(OR($I74="",$I74="-"),"",VLOOKUP($G74,為替!$A:$AX,$I74,FALSE)))</f>
        <v/>
      </c>
      <c r="K74" s="204" t="str">
        <f t="shared" si="8"/>
        <v/>
      </c>
      <c r="L74" s="188" t="str">
        <f t="shared" si="9"/>
        <v/>
      </c>
      <c r="M74" s="203" t="str">
        <f>IF($H74="USD",IF(OR($L74="",$L74="-"),"",VLOOKUP($G74,為替!$A:$AX,$L74,FALSE))+$K$3,IF(OR($L74="",$L74="-"),"",VLOOKUP($G74,為替!$A:$AX,$L74,FALSE)))</f>
        <v/>
      </c>
      <c r="N74" s="204" t="str">
        <f t="shared" si="10"/>
        <v/>
      </c>
      <c r="O74" s="205" t="str">
        <f t="shared" si="6"/>
        <v/>
      </c>
      <c r="P74" s="206" t="str">
        <f t="shared" si="11"/>
        <v/>
      </c>
    </row>
    <row r="75" spans="3:16" x14ac:dyDescent="0.4">
      <c r="C75" s="199"/>
      <c r="D75" s="200"/>
      <c r="E75" s="201"/>
      <c r="F75" s="199"/>
      <c r="H75" s="202"/>
      <c r="I75" s="185" t="str">
        <f t="shared" si="7"/>
        <v/>
      </c>
      <c r="J75" s="203" t="str">
        <f>IF($H75="USD",IF(OR($I75="",$I75="-"),"",VLOOKUP($G75,為替!$A:$AX,$I75,FALSE))+$J$3,IF(OR($I75="",$I75="-"),"",VLOOKUP($G75,為替!$A:$AX,$I75,FALSE)))</f>
        <v/>
      </c>
      <c r="K75" s="204" t="str">
        <f t="shared" si="8"/>
        <v/>
      </c>
      <c r="L75" s="188" t="str">
        <f t="shared" si="9"/>
        <v/>
      </c>
      <c r="M75" s="203" t="str">
        <f>IF($H75="USD",IF(OR($L75="",$L75="-"),"",VLOOKUP($G75,為替!$A:$AX,$L75,FALSE))+$K$3,IF(OR($L75="",$L75="-"),"",VLOOKUP($G75,為替!$A:$AX,$L75,FALSE)))</f>
        <v/>
      </c>
      <c r="N75" s="204" t="str">
        <f t="shared" si="10"/>
        <v/>
      </c>
      <c r="O75" s="205" t="str">
        <f t="shared" si="6"/>
        <v/>
      </c>
      <c r="P75" s="206" t="str">
        <f t="shared" si="11"/>
        <v/>
      </c>
    </row>
    <row r="76" spans="3:16" x14ac:dyDescent="0.4">
      <c r="C76" s="199"/>
      <c r="D76" s="200"/>
      <c r="E76" s="201"/>
      <c r="F76" s="199"/>
      <c r="H76" s="202"/>
      <c r="I76" s="185" t="str">
        <f t="shared" si="7"/>
        <v/>
      </c>
      <c r="J76" s="203" t="str">
        <f>IF($H76="USD",IF(OR($I76="",$I76="-"),"",VLOOKUP($G76,為替!$A:$AX,$I76,FALSE))+$J$3,IF(OR($I76="",$I76="-"),"",VLOOKUP($G76,為替!$A:$AX,$I76,FALSE)))</f>
        <v/>
      </c>
      <c r="K76" s="204" t="str">
        <f t="shared" si="8"/>
        <v/>
      </c>
      <c r="L76" s="188" t="str">
        <f t="shared" si="9"/>
        <v/>
      </c>
      <c r="M76" s="203" t="str">
        <f>IF($H76="USD",IF(OR($L76="",$L76="-"),"",VLOOKUP($G76,為替!$A:$AX,$L76,FALSE))+$K$3,IF(OR($L76="",$L76="-"),"",VLOOKUP($G76,為替!$A:$AX,$L76,FALSE)))</f>
        <v/>
      </c>
      <c r="N76" s="204" t="str">
        <f t="shared" si="10"/>
        <v/>
      </c>
      <c r="O76" s="205" t="str">
        <f t="shared" si="6"/>
        <v/>
      </c>
      <c r="P76" s="206" t="str">
        <f t="shared" si="11"/>
        <v/>
      </c>
    </row>
    <row r="77" spans="3:16" x14ac:dyDescent="0.4">
      <c r="C77" s="199"/>
      <c r="D77" s="200"/>
      <c r="E77" s="201"/>
      <c r="F77" s="199"/>
      <c r="H77" s="202"/>
      <c r="I77" s="185" t="str">
        <f t="shared" si="7"/>
        <v/>
      </c>
      <c r="J77" s="203" t="str">
        <f>IF($H77="USD",IF(OR($I77="",$I77="-"),"",VLOOKUP($G77,為替!$A:$AX,$I77,FALSE))+$J$3,IF(OR($I77="",$I77="-"),"",VLOOKUP($G77,為替!$A:$AX,$I77,FALSE)))</f>
        <v/>
      </c>
      <c r="K77" s="204" t="str">
        <f t="shared" si="8"/>
        <v/>
      </c>
      <c r="L77" s="188" t="str">
        <f t="shared" si="9"/>
        <v/>
      </c>
      <c r="M77" s="203" t="str">
        <f>IF($H77="USD",IF(OR($L77="",$L77="-"),"",VLOOKUP($G77,為替!$A:$AX,$L77,FALSE))+$K$3,IF(OR($L77="",$L77="-"),"",VLOOKUP($G77,為替!$A:$AX,$L77,FALSE)))</f>
        <v/>
      </c>
      <c r="N77" s="204" t="str">
        <f t="shared" si="10"/>
        <v/>
      </c>
      <c r="O77" s="205" t="str">
        <f t="shared" si="6"/>
        <v/>
      </c>
      <c r="P77" s="206" t="str">
        <f t="shared" si="11"/>
        <v/>
      </c>
    </row>
    <row r="78" spans="3:16" x14ac:dyDescent="0.4">
      <c r="C78" s="199"/>
      <c r="D78" s="200"/>
      <c r="E78" s="201"/>
      <c r="F78" s="199"/>
      <c r="H78" s="202"/>
      <c r="I78" s="185" t="str">
        <f t="shared" si="7"/>
        <v/>
      </c>
      <c r="J78" s="203" t="str">
        <f>IF($H78="USD",IF(OR($I78="",$I78="-"),"",VLOOKUP($G78,為替!$A:$AX,$I78,FALSE))+$J$3,IF(OR($I78="",$I78="-"),"",VLOOKUP($G78,為替!$A:$AX,$I78,FALSE)))</f>
        <v/>
      </c>
      <c r="K78" s="204" t="str">
        <f t="shared" si="8"/>
        <v/>
      </c>
      <c r="L78" s="188" t="str">
        <f t="shared" si="9"/>
        <v/>
      </c>
      <c r="M78" s="203" t="str">
        <f>IF($H78="USD",IF(OR($L78="",$L78="-"),"",VLOOKUP($G78,為替!$A:$AX,$L78,FALSE))+$K$3,IF(OR($L78="",$L78="-"),"",VLOOKUP($G78,為替!$A:$AX,$L78,FALSE)))</f>
        <v/>
      </c>
      <c r="N78" s="204" t="str">
        <f t="shared" si="10"/>
        <v/>
      </c>
      <c r="O78" s="205" t="str">
        <f t="shared" si="6"/>
        <v/>
      </c>
      <c r="P78" s="206" t="str">
        <f t="shared" si="11"/>
        <v/>
      </c>
    </row>
    <row r="79" spans="3:16" x14ac:dyDescent="0.4">
      <c r="C79" s="199"/>
      <c r="D79" s="200"/>
      <c r="E79" s="201"/>
      <c r="F79" s="199"/>
      <c r="H79" s="202"/>
      <c r="I79" s="185" t="str">
        <f t="shared" si="7"/>
        <v/>
      </c>
      <c r="J79" s="203" t="str">
        <f>IF($H79="USD",IF(OR($I79="",$I79="-"),"",VLOOKUP($G79,為替!$A:$AX,$I79,FALSE))+$J$3,IF(OR($I79="",$I79="-"),"",VLOOKUP($G79,為替!$A:$AX,$I79,FALSE)))</f>
        <v/>
      </c>
      <c r="K79" s="204" t="str">
        <f t="shared" si="8"/>
        <v/>
      </c>
      <c r="L79" s="188" t="str">
        <f t="shared" si="9"/>
        <v/>
      </c>
      <c r="M79" s="203" t="str">
        <f>IF($H79="USD",IF(OR($L79="",$L79="-"),"",VLOOKUP($G79,為替!$A:$AX,$L79,FALSE))+$K$3,IF(OR($L79="",$L79="-"),"",VLOOKUP($G79,為替!$A:$AX,$L79,FALSE)))</f>
        <v/>
      </c>
      <c r="N79" s="204" t="str">
        <f t="shared" si="10"/>
        <v/>
      </c>
      <c r="O79" s="205" t="str">
        <f t="shared" si="6"/>
        <v/>
      </c>
      <c r="P79" s="206" t="str">
        <f t="shared" si="11"/>
        <v/>
      </c>
    </row>
    <row r="80" spans="3:16" x14ac:dyDescent="0.4">
      <c r="C80" s="199"/>
      <c r="D80" s="200"/>
      <c r="E80" s="201"/>
      <c r="F80" s="199"/>
      <c r="H80" s="202"/>
      <c r="I80" s="185" t="str">
        <f t="shared" si="7"/>
        <v/>
      </c>
      <c r="J80" s="203" t="str">
        <f>IF($H80="USD",IF(OR($I80="",$I80="-"),"",VLOOKUP($G80,為替!$A:$AX,$I80,FALSE))+$J$3,IF(OR($I80="",$I80="-"),"",VLOOKUP($G80,為替!$A:$AX,$I80,FALSE)))</f>
        <v/>
      </c>
      <c r="K80" s="204" t="str">
        <f t="shared" si="8"/>
        <v/>
      </c>
      <c r="L80" s="188" t="str">
        <f t="shared" si="9"/>
        <v/>
      </c>
      <c r="M80" s="203" t="str">
        <f>IF($H80="USD",IF(OR($L80="",$L80="-"),"",VLOOKUP($G80,為替!$A:$AX,$L80,FALSE))+$K$3,IF(OR($L80="",$L80="-"),"",VLOOKUP($G80,為替!$A:$AX,$L80,FALSE)))</f>
        <v/>
      </c>
      <c r="N80" s="204" t="str">
        <f t="shared" si="10"/>
        <v/>
      </c>
      <c r="O80" s="205" t="str">
        <f t="shared" si="6"/>
        <v/>
      </c>
      <c r="P80" s="206" t="str">
        <f t="shared" si="11"/>
        <v/>
      </c>
    </row>
    <row r="81" spans="3:16" x14ac:dyDescent="0.4">
      <c r="C81" s="199"/>
      <c r="D81" s="200"/>
      <c r="E81" s="201"/>
      <c r="F81" s="199"/>
      <c r="H81" s="202"/>
      <c r="I81" s="185" t="str">
        <f t="shared" si="7"/>
        <v/>
      </c>
      <c r="J81" s="203" t="str">
        <f>IF($H81="USD",IF(OR($I81="",$I81="-"),"",VLOOKUP($G81,為替!$A:$AX,$I81,FALSE))+$J$3,IF(OR($I81="",$I81="-"),"",VLOOKUP($G81,為替!$A:$AX,$I81,FALSE)))</f>
        <v/>
      </c>
      <c r="K81" s="204" t="str">
        <f t="shared" si="8"/>
        <v/>
      </c>
      <c r="L81" s="188" t="str">
        <f t="shared" si="9"/>
        <v/>
      </c>
      <c r="M81" s="203" t="str">
        <f>IF($H81="USD",IF(OR($L81="",$L81="-"),"",VLOOKUP($G81,為替!$A:$AX,$L81,FALSE))+$K$3,IF(OR($L81="",$L81="-"),"",VLOOKUP($G81,為替!$A:$AX,$L81,FALSE)))</f>
        <v/>
      </c>
      <c r="N81" s="204" t="str">
        <f t="shared" si="10"/>
        <v/>
      </c>
      <c r="O81" s="205" t="str">
        <f t="shared" si="6"/>
        <v/>
      </c>
      <c r="P81" s="206" t="str">
        <f t="shared" si="11"/>
        <v/>
      </c>
    </row>
    <row r="82" spans="3:16" x14ac:dyDescent="0.4">
      <c r="C82" s="199"/>
      <c r="D82" s="200"/>
      <c r="E82" s="201"/>
      <c r="F82" s="199"/>
      <c r="H82" s="202"/>
      <c r="I82" s="185" t="str">
        <f t="shared" si="7"/>
        <v/>
      </c>
      <c r="J82" s="203" t="str">
        <f>IF($H82="USD",IF(OR($I82="",$I82="-"),"",VLOOKUP($G82,為替!$A:$AX,$I82,FALSE))+$J$3,IF(OR($I82="",$I82="-"),"",VLOOKUP($G82,為替!$A:$AX,$I82,FALSE)))</f>
        <v/>
      </c>
      <c r="K82" s="204" t="str">
        <f t="shared" si="8"/>
        <v/>
      </c>
      <c r="L82" s="188" t="str">
        <f t="shared" si="9"/>
        <v/>
      </c>
      <c r="M82" s="203" t="str">
        <f>IF($H82="USD",IF(OR($L82="",$L82="-"),"",VLOOKUP($G82,為替!$A:$AX,$L82,FALSE))+$K$3,IF(OR($L82="",$L82="-"),"",VLOOKUP($G82,為替!$A:$AX,$L82,FALSE)))</f>
        <v/>
      </c>
      <c r="N82" s="204" t="str">
        <f t="shared" si="10"/>
        <v/>
      </c>
      <c r="O82" s="205" t="str">
        <f t="shared" si="6"/>
        <v/>
      </c>
      <c r="P82" s="206" t="str">
        <f t="shared" si="11"/>
        <v/>
      </c>
    </row>
    <row r="83" spans="3:16" x14ac:dyDescent="0.4">
      <c r="C83" s="199"/>
      <c r="D83" s="200"/>
      <c r="E83" s="201"/>
      <c r="F83" s="199"/>
      <c r="H83" s="202"/>
      <c r="I83" s="185" t="str">
        <f t="shared" si="7"/>
        <v/>
      </c>
      <c r="J83" s="203" t="str">
        <f>IF($H83="USD",IF(OR($I83="",$I83="-"),"",VLOOKUP($G83,為替!$A:$AX,$I83,FALSE))+$J$3,IF(OR($I83="",$I83="-"),"",VLOOKUP($G83,為替!$A:$AX,$I83,FALSE)))</f>
        <v/>
      </c>
      <c r="K83" s="204" t="str">
        <f t="shared" si="8"/>
        <v/>
      </c>
      <c r="L83" s="188" t="str">
        <f t="shared" si="9"/>
        <v/>
      </c>
      <c r="M83" s="203" t="str">
        <f>IF($H83="USD",IF(OR($L83="",$L83="-"),"",VLOOKUP($G83,為替!$A:$AX,$L83,FALSE))+$K$3,IF(OR($L83="",$L83="-"),"",VLOOKUP($G83,為替!$A:$AX,$L83,FALSE)))</f>
        <v/>
      </c>
      <c r="N83" s="204" t="str">
        <f t="shared" si="10"/>
        <v/>
      </c>
      <c r="O83" s="205" t="str">
        <f t="shared" si="6"/>
        <v/>
      </c>
      <c r="P83" s="206" t="str">
        <f t="shared" si="11"/>
        <v/>
      </c>
    </row>
    <row r="84" spans="3:16" x14ac:dyDescent="0.4">
      <c r="C84" s="199"/>
      <c r="D84" s="200"/>
      <c r="E84" s="201"/>
      <c r="F84" s="199"/>
      <c r="H84" s="202"/>
      <c r="I84" s="185" t="str">
        <f t="shared" si="7"/>
        <v/>
      </c>
      <c r="J84" s="203" t="str">
        <f>IF($H84="USD",IF(OR($I84="",$I84="-"),"",VLOOKUP($G84,為替!$A:$AX,$I84,FALSE))+$J$3,IF(OR($I84="",$I84="-"),"",VLOOKUP($G84,為替!$A:$AX,$I84,FALSE)))</f>
        <v/>
      </c>
      <c r="K84" s="204" t="str">
        <f t="shared" si="8"/>
        <v/>
      </c>
      <c r="L84" s="188" t="str">
        <f t="shared" si="9"/>
        <v/>
      </c>
      <c r="M84" s="203" t="str">
        <f>IF($H84="USD",IF(OR($L84="",$L84="-"),"",VLOOKUP($G84,為替!$A:$AX,$L84,FALSE))+$K$3,IF(OR($L84="",$L84="-"),"",VLOOKUP($G84,為替!$A:$AX,$L84,FALSE)))</f>
        <v/>
      </c>
      <c r="N84" s="204" t="str">
        <f t="shared" si="10"/>
        <v/>
      </c>
      <c r="O84" s="205" t="str">
        <f t="shared" si="6"/>
        <v/>
      </c>
      <c r="P84" s="206" t="str">
        <f t="shared" si="11"/>
        <v/>
      </c>
    </row>
    <row r="85" spans="3:16" x14ac:dyDescent="0.4">
      <c r="C85" s="199"/>
      <c r="D85" s="200"/>
      <c r="E85" s="201"/>
      <c r="F85" s="199"/>
      <c r="H85" s="202"/>
      <c r="I85" s="185" t="str">
        <f t="shared" si="7"/>
        <v/>
      </c>
      <c r="J85" s="203" t="str">
        <f>IF($H85="USD",IF(OR($I85="",$I85="-"),"",VLOOKUP($G85,為替!$A:$AX,$I85,FALSE))+$J$3,IF(OR($I85="",$I85="-"),"",VLOOKUP($G85,為替!$A:$AX,$I85,FALSE)))</f>
        <v/>
      </c>
      <c r="K85" s="204" t="str">
        <f t="shared" si="8"/>
        <v/>
      </c>
      <c r="L85" s="188" t="str">
        <f t="shared" si="9"/>
        <v/>
      </c>
      <c r="M85" s="203" t="str">
        <f>IF($H85="USD",IF(OR($L85="",$L85="-"),"",VLOOKUP($G85,為替!$A:$AX,$L85,FALSE))+$K$3,IF(OR($L85="",$L85="-"),"",VLOOKUP($G85,為替!$A:$AX,$L85,FALSE)))</f>
        <v/>
      </c>
      <c r="N85" s="204" t="str">
        <f t="shared" si="10"/>
        <v/>
      </c>
      <c r="O85" s="205" t="str">
        <f t="shared" si="6"/>
        <v/>
      </c>
      <c r="P85" s="206" t="str">
        <f t="shared" si="11"/>
        <v/>
      </c>
    </row>
    <row r="86" spans="3:16" x14ac:dyDescent="0.4">
      <c r="C86" s="199"/>
      <c r="D86" s="200"/>
      <c r="E86" s="201"/>
      <c r="F86" s="199"/>
      <c r="H86" s="202"/>
      <c r="I86" s="185" t="str">
        <f t="shared" si="7"/>
        <v/>
      </c>
      <c r="J86" s="203" t="str">
        <f>IF($H86="USD",IF(OR($I86="",$I86="-"),"",VLOOKUP($G86,為替!$A:$AX,$I86,FALSE))+$J$3,IF(OR($I86="",$I86="-"),"",VLOOKUP($G86,為替!$A:$AX,$I86,FALSE)))</f>
        <v/>
      </c>
      <c r="K86" s="204" t="str">
        <f t="shared" si="8"/>
        <v/>
      </c>
      <c r="L86" s="188" t="str">
        <f t="shared" si="9"/>
        <v/>
      </c>
      <c r="M86" s="203" t="str">
        <f>IF($H86="USD",IF(OR($L86="",$L86="-"),"",VLOOKUP($G86,為替!$A:$AX,$L86,FALSE))+$K$3,IF(OR($L86="",$L86="-"),"",VLOOKUP($G86,為替!$A:$AX,$L86,FALSE)))</f>
        <v/>
      </c>
      <c r="N86" s="204" t="str">
        <f t="shared" si="10"/>
        <v/>
      </c>
      <c r="O86" s="205" t="str">
        <f t="shared" si="6"/>
        <v/>
      </c>
      <c r="P86" s="206" t="str">
        <f t="shared" si="11"/>
        <v/>
      </c>
    </row>
    <row r="87" spans="3:16" x14ac:dyDescent="0.4">
      <c r="C87" s="199"/>
      <c r="D87" s="200"/>
      <c r="E87" s="201"/>
      <c r="F87" s="199"/>
      <c r="H87" s="202"/>
      <c r="I87" s="185" t="str">
        <f t="shared" si="7"/>
        <v/>
      </c>
      <c r="J87" s="203" t="str">
        <f>IF($H87="USD",IF(OR($I87="",$I87="-"),"",VLOOKUP($G87,為替!$A:$AX,$I87,FALSE))+$J$3,IF(OR($I87="",$I87="-"),"",VLOOKUP($G87,為替!$A:$AX,$I87,FALSE)))</f>
        <v/>
      </c>
      <c r="K87" s="204" t="str">
        <f t="shared" si="8"/>
        <v/>
      </c>
      <c r="L87" s="188" t="str">
        <f t="shared" si="9"/>
        <v/>
      </c>
      <c r="M87" s="203" t="str">
        <f>IF($H87="USD",IF(OR($L87="",$L87="-"),"",VLOOKUP($G87,為替!$A:$AX,$L87,FALSE))+$K$3,IF(OR($L87="",$L87="-"),"",VLOOKUP($G87,為替!$A:$AX,$L87,FALSE)))</f>
        <v/>
      </c>
      <c r="N87" s="204" t="str">
        <f t="shared" si="10"/>
        <v/>
      </c>
      <c r="O87" s="205" t="str">
        <f t="shared" si="6"/>
        <v/>
      </c>
      <c r="P87" s="206" t="str">
        <f t="shared" si="11"/>
        <v/>
      </c>
    </row>
    <row r="88" spans="3:16" x14ac:dyDescent="0.4">
      <c r="C88" s="199"/>
      <c r="D88" s="200"/>
      <c r="E88" s="201"/>
      <c r="F88" s="199"/>
      <c r="H88" s="202"/>
      <c r="I88" s="185" t="str">
        <f t="shared" si="7"/>
        <v/>
      </c>
      <c r="J88" s="203" t="str">
        <f>IF($H88="USD",IF(OR($I88="",$I88="-"),"",VLOOKUP($G88,為替!$A:$AX,$I88,FALSE))+$J$3,IF(OR($I88="",$I88="-"),"",VLOOKUP($G88,為替!$A:$AX,$I88,FALSE)))</f>
        <v/>
      </c>
      <c r="K88" s="204" t="str">
        <f t="shared" si="8"/>
        <v/>
      </c>
      <c r="L88" s="188" t="str">
        <f t="shared" si="9"/>
        <v/>
      </c>
      <c r="M88" s="203" t="str">
        <f>IF($H88="USD",IF(OR($L88="",$L88="-"),"",VLOOKUP($G88,為替!$A:$AX,$L88,FALSE))+$K$3,IF(OR($L88="",$L88="-"),"",VLOOKUP($G88,為替!$A:$AX,$L88,FALSE)))</f>
        <v/>
      </c>
      <c r="N88" s="204" t="str">
        <f t="shared" si="10"/>
        <v/>
      </c>
      <c r="O88" s="205" t="str">
        <f t="shared" si="6"/>
        <v/>
      </c>
      <c r="P88" s="206" t="str">
        <f t="shared" si="11"/>
        <v/>
      </c>
    </row>
    <row r="89" spans="3:16" x14ac:dyDescent="0.4">
      <c r="C89" s="199"/>
      <c r="D89" s="200"/>
      <c r="E89" s="201"/>
      <c r="F89" s="199"/>
      <c r="H89" s="202"/>
      <c r="I89" s="185" t="str">
        <f t="shared" si="7"/>
        <v/>
      </c>
      <c r="J89" s="203" t="str">
        <f>IF($H89="USD",IF(OR($I89="",$I89="-"),"",VLOOKUP($G89,為替!$A:$AX,$I89,FALSE))+$J$3,IF(OR($I89="",$I89="-"),"",VLOOKUP($G89,為替!$A:$AX,$I89,FALSE)))</f>
        <v/>
      </c>
      <c r="K89" s="204" t="str">
        <f t="shared" si="8"/>
        <v/>
      </c>
      <c r="L89" s="188" t="str">
        <f t="shared" si="9"/>
        <v/>
      </c>
      <c r="M89" s="203" t="str">
        <f>IF($H89="USD",IF(OR($L89="",$L89="-"),"",VLOOKUP($G89,為替!$A:$AX,$L89,FALSE))+$K$3,IF(OR($L89="",$L89="-"),"",VLOOKUP($G89,為替!$A:$AX,$L89,FALSE)))</f>
        <v/>
      </c>
      <c r="N89" s="204" t="str">
        <f t="shared" si="10"/>
        <v/>
      </c>
      <c r="O89" s="205" t="str">
        <f t="shared" si="6"/>
        <v/>
      </c>
      <c r="P89" s="206" t="str">
        <f t="shared" si="11"/>
        <v/>
      </c>
    </row>
    <row r="90" spans="3:16" x14ac:dyDescent="0.4">
      <c r="C90" s="199"/>
      <c r="D90" s="200"/>
      <c r="E90" s="201"/>
      <c r="F90" s="199"/>
      <c r="H90" s="202"/>
      <c r="I90" s="185" t="str">
        <f t="shared" si="7"/>
        <v/>
      </c>
      <c r="J90" s="203" t="str">
        <f>IF($H90="USD",IF(OR($I90="",$I90="-"),"",VLOOKUP($G90,為替!$A:$AX,$I90,FALSE))+$J$3,IF(OR($I90="",$I90="-"),"",VLOOKUP($G90,為替!$A:$AX,$I90,FALSE)))</f>
        <v/>
      </c>
      <c r="K90" s="204" t="str">
        <f t="shared" si="8"/>
        <v/>
      </c>
      <c r="L90" s="188" t="str">
        <f t="shared" si="9"/>
        <v/>
      </c>
      <c r="M90" s="203" t="str">
        <f>IF($H90="USD",IF(OR($L90="",$L90="-"),"",VLOOKUP($G90,為替!$A:$AX,$L90,FALSE))+$K$3,IF(OR($L90="",$L90="-"),"",VLOOKUP($G90,為替!$A:$AX,$L90,FALSE)))</f>
        <v/>
      </c>
      <c r="N90" s="204" t="str">
        <f t="shared" si="10"/>
        <v/>
      </c>
      <c r="O90" s="205" t="str">
        <f t="shared" si="6"/>
        <v/>
      </c>
      <c r="P90" s="206" t="str">
        <f t="shared" si="11"/>
        <v/>
      </c>
    </row>
    <row r="91" spans="3:16" x14ac:dyDescent="0.4">
      <c r="C91" s="199"/>
      <c r="D91" s="200"/>
      <c r="E91" s="201"/>
      <c r="F91" s="199"/>
      <c r="H91" s="202"/>
      <c r="I91" s="185" t="str">
        <f t="shared" si="7"/>
        <v/>
      </c>
      <c r="J91" s="203" t="str">
        <f>IF($H91="USD",IF(OR($I91="",$I91="-"),"",VLOOKUP($G91,為替!$A:$AX,$I91,FALSE))+$J$3,IF(OR($I91="",$I91="-"),"",VLOOKUP($G91,為替!$A:$AX,$I91,FALSE)))</f>
        <v/>
      </c>
      <c r="K91" s="204" t="str">
        <f t="shared" si="8"/>
        <v/>
      </c>
      <c r="L91" s="188" t="str">
        <f t="shared" si="9"/>
        <v/>
      </c>
      <c r="M91" s="203" t="str">
        <f>IF($H91="USD",IF(OR($L91="",$L91="-"),"",VLOOKUP($G91,為替!$A:$AX,$L91,FALSE))+$K$3,IF(OR($L91="",$L91="-"),"",VLOOKUP($G91,為替!$A:$AX,$L91,FALSE)))</f>
        <v/>
      </c>
      <c r="N91" s="204" t="str">
        <f t="shared" si="10"/>
        <v/>
      </c>
      <c r="O91" s="205" t="str">
        <f t="shared" si="6"/>
        <v/>
      </c>
      <c r="P91" s="206" t="str">
        <f t="shared" si="11"/>
        <v/>
      </c>
    </row>
    <row r="92" spans="3:16" x14ac:dyDescent="0.4">
      <c r="C92" s="199"/>
      <c r="D92" s="200"/>
      <c r="E92" s="201"/>
      <c r="F92" s="199"/>
      <c r="H92" s="202"/>
      <c r="I92" s="185" t="str">
        <f t="shared" si="7"/>
        <v/>
      </c>
      <c r="J92" s="203" t="str">
        <f>IF($H92="USD",IF(OR($I92="",$I92="-"),"",VLOOKUP($G92,為替!$A:$AX,$I92,FALSE))+$J$3,IF(OR($I92="",$I92="-"),"",VLOOKUP($G92,為替!$A:$AX,$I92,FALSE)))</f>
        <v/>
      </c>
      <c r="K92" s="204" t="str">
        <f t="shared" si="8"/>
        <v/>
      </c>
      <c r="L92" s="188" t="str">
        <f t="shared" si="9"/>
        <v/>
      </c>
      <c r="M92" s="203" t="str">
        <f>IF($H92="USD",IF(OR($L92="",$L92="-"),"",VLOOKUP($G92,為替!$A:$AX,$L92,FALSE))+$K$3,IF(OR($L92="",$L92="-"),"",VLOOKUP($G92,為替!$A:$AX,$L92,FALSE)))</f>
        <v/>
      </c>
      <c r="N92" s="204" t="str">
        <f t="shared" si="10"/>
        <v/>
      </c>
      <c r="O92" s="205" t="str">
        <f t="shared" si="6"/>
        <v/>
      </c>
      <c r="P92" s="206" t="str">
        <f t="shared" si="11"/>
        <v/>
      </c>
    </row>
    <row r="93" spans="3:16" x14ac:dyDescent="0.4">
      <c r="C93" s="199"/>
      <c r="D93" s="200"/>
      <c r="E93" s="201"/>
      <c r="F93" s="199"/>
      <c r="H93" s="202"/>
      <c r="I93" s="185" t="str">
        <f t="shared" si="7"/>
        <v/>
      </c>
      <c r="J93" s="203" t="str">
        <f>IF($H93="USD",IF(OR($I93="",$I93="-"),"",VLOOKUP($G93,為替!$A:$AX,$I93,FALSE))+$J$3,IF(OR($I93="",$I93="-"),"",VLOOKUP($G93,為替!$A:$AX,$I93,FALSE)))</f>
        <v/>
      </c>
      <c r="K93" s="204" t="str">
        <f t="shared" si="8"/>
        <v/>
      </c>
      <c r="L93" s="188" t="str">
        <f t="shared" si="9"/>
        <v/>
      </c>
      <c r="M93" s="203" t="str">
        <f>IF($H93="USD",IF(OR($L93="",$L93="-"),"",VLOOKUP($G93,為替!$A:$AX,$L93,FALSE))+$K$3,IF(OR($L93="",$L93="-"),"",VLOOKUP($G93,為替!$A:$AX,$L93,FALSE)))</f>
        <v/>
      </c>
      <c r="N93" s="204" t="str">
        <f t="shared" si="10"/>
        <v/>
      </c>
      <c r="O93" s="205" t="str">
        <f t="shared" si="6"/>
        <v/>
      </c>
      <c r="P93" s="206" t="str">
        <f t="shared" si="11"/>
        <v/>
      </c>
    </row>
    <row r="94" spans="3:16" x14ac:dyDescent="0.4">
      <c r="C94" s="199"/>
      <c r="D94" s="200"/>
      <c r="E94" s="201"/>
      <c r="F94" s="199"/>
      <c r="H94" s="202"/>
      <c r="I94" s="185" t="str">
        <f t="shared" si="7"/>
        <v/>
      </c>
      <c r="J94" s="203" t="str">
        <f>IF($H94="USD",IF(OR($I94="",$I94="-"),"",VLOOKUP($G94,為替!$A:$AX,$I94,FALSE))+$J$3,IF(OR($I94="",$I94="-"),"",VLOOKUP($G94,為替!$A:$AX,$I94,FALSE)))</f>
        <v/>
      </c>
      <c r="K94" s="204" t="str">
        <f t="shared" si="8"/>
        <v/>
      </c>
      <c r="L94" s="188" t="str">
        <f t="shared" si="9"/>
        <v/>
      </c>
      <c r="M94" s="203" t="str">
        <f>IF($H94="USD",IF(OR($L94="",$L94="-"),"",VLOOKUP($G94,為替!$A:$AX,$L94,FALSE))+$K$3,IF(OR($L94="",$L94="-"),"",VLOOKUP($G94,為替!$A:$AX,$L94,FALSE)))</f>
        <v/>
      </c>
      <c r="N94" s="204" t="str">
        <f t="shared" si="10"/>
        <v/>
      </c>
      <c r="O94" s="205" t="str">
        <f t="shared" si="6"/>
        <v/>
      </c>
      <c r="P94" s="206" t="str">
        <f t="shared" si="11"/>
        <v/>
      </c>
    </row>
    <row r="95" spans="3:16" x14ac:dyDescent="0.4">
      <c r="C95" s="199"/>
      <c r="D95" s="200"/>
      <c r="E95" s="201"/>
      <c r="F95" s="199"/>
      <c r="H95" s="202"/>
      <c r="I95" s="185" t="str">
        <f t="shared" si="7"/>
        <v/>
      </c>
      <c r="J95" s="203" t="str">
        <f>IF($H95="USD",IF(OR($I95="",$I95="-"),"",VLOOKUP($G95,為替!$A:$AX,$I95,FALSE))+$J$3,IF(OR($I95="",$I95="-"),"",VLOOKUP($G95,為替!$A:$AX,$I95,FALSE)))</f>
        <v/>
      </c>
      <c r="K95" s="204" t="str">
        <f t="shared" si="8"/>
        <v/>
      </c>
      <c r="L95" s="188" t="str">
        <f t="shared" si="9"/>
        <v/>
      </c>
      <c r="M95" s="203" t="str">
        <f>IF($H95="USD",IF(OR($L95="",$L95="-"),"",VLOOKUP($G95,為替!$A:$AX,$L95,FALSE))+$K$3,IF(OR($L95="",$L95="-"),"",VLOOKUP($G95,為替!$A:$AX,$L95,FALSE)))</f>
        <v/>
      </c>
      <c r="N95" s="204" t="str">
        <f t="shared" si="10"/>
        <v/>
      </c>
      <c r="O95" s="205" t="str">
        <f t="shared" si="6"/>
        <v/>
      </c>
      <c r="P95" s="206" t="str">
        <f t="shared" si="11"/>
        <v/>
      </c>
    </row>
    <row r="96" spans="3:16" x14ac:dyDescent="0.4">
      <c r="C96" s="199"/>
      <c r="D96" s="200"/>
      <c r="E96" s="201"/>
      <c r="F96" s="199"/>
      <c r="H96" s="202"/>
      <c r="I96" s="185" t="str">
        <f t="shared" si="7"/>
        <v/>
      </c>
      <c r="J96" s="203" t="str">
        <f>IF($H96="USD",IF(OR($I96="",$I96="-"),"",VLOOKUP($G96,為替!$A:$AX,$I96,FALSE))+$J$3,IF(OR($I96="",$I96="-"),"",VLOOKUP($G96,為替!$A:$AX,$I96,FALSE)))</f>
        <v/>
      </c>
      <c r="K96" s="204" t="str">
        <f t="shared" si="8"/>
        <v/>
      </c>
      <c r="L96" s="188" t="str">
        <f t="shared" si="9"/>
        <v/>
      </c>
      <c r="M96" s="203" t="str">
        <f>IF($H96="USD",IF(OR($L96="",$L96="-"),"",VLOOKUP($G96,為替!$A:$AX,$L96,FALSE))+$K$3,IF(OR($L96="",$L96="-"),"",VLOOKUP($G96,為替!$A:$AX,$L96,FALSE)))</f>
        <v/>
      </c>
      <c r="N96" s="204" t="str">
        <f t="shared" si="10"/>
        <v/>
      </c>
      <c r="O96" s="205" t="str">
        <f t="shared" si="6"/>
        <v/>
      </c>
      <c r="P96" s="206" t="str">
        <f t="shared" si="11"/>
        <v/>
      </c>
    </row>
    <row r="97" spans="3:16" x14ac:dyDescent="0.4">
      <c r="C97" s="199"/>
      <c r="D97" s="200"/>
      <c r="E97" s="201"/>
      <c r="F97" s="199"/>
      <c r="H97" s="202"/>
      <c r="I97" s="185" t="str">
        <f t="shared" si="7"/>
        <v/>
      </c>
      <c r="J97" s="203" t="str">
        <f>IF($H97="USD",IF(OR($I97="",$I97="-"),"",VLOOKUP($G97,為替!$A:$AX,$I97,FALSE))+$J$3,IF(OR($I97="",$I97="-"),"",VLOOKUP($G97,為替!$A:$AX,$I97,FALSE)))</f>
        <v/>
      </c>
      <c r="K97" s="204" t="str">
        <f t="shared" si="8"/>
        <v/>
      </c>
      <c r="L97" s="188" t="str">
        <f t="shared" si="9"/>
        <v/>
      </c>
      <c r="M97" s="203" t="str">
        <f>IF($H97="USD",IF(OR($L97="",$L97="-"),"",VLOOKUP($G97,為替!$A:$AX,$L97,FALSE))+$K$3,IF(OR($L97="",$L97="-"),"",VLOOKUP($G97,為替!$A:$AX,$L97,FALSE)))</f>
        <v/>
      </c>
      <c r="N97" s="204" t="str">
        <f t="shared" si="10"/>
        <v/>
      </c>
      <c r="O97" s="205" t="str">
        <f t="shared" si="6"/>
        <v/>
      </c>
      <c r="P97" s="206" t="str">
        <f t="shared" si="11"/>
        <v/>
      </c>
    </row>
    <row r="98" spans="3:16" x14ac:dyDescent="0.4">
      <c r="C98" s="199"/>
      <c r="D98" s="200"/>
      <c r="E98" s="201"/>
      <c r="F98" s="199"/>
      <c r="H98" s="202"/>
      <c r="I98" s="185" t="str">
        <f t="shared" si="7"/>
        <v/>
      </c>
      <c r="J98" s="203" t="str">
        <f>IF($H98="USD",IF(OR($I98="",$I98="-"),"",VLOOKUP($G98,為替!$A:$AX,$I98,FALSE))+$J$3,IF(OR($I98="",$I98="-"),"",VLOOKUP($G98,為替!$A:$AX,$I98,FALSE)))</f>
        <v/>
      </c>
      <c r="K98" s="204" t="str">
        <f t="shared" si="8"/>
        <v/>
      </c>
      <c r="L98" s="188" t="str">
        <f t="shared" si="9"/>
        <v/>
      </c>
      <c r="M98" s="203" t="str">
        <f>IF($H98="USD",IF(OR($L98="",$L98="-"),"",VLOOKUP($G98,為替!$A:$AX,$L98,FALSE))+$K$3,IF(OR($L98="",$L98="-"),"",VLOOKUP($G98,為替!$A:$AX,$L98,FALSE)))</f>
        <v/>
      </c>
      <c r="N98" s="204" t="str">
        <f t="shared" si="10"/>
        <v/>
      </c>
      <c r="O98" s="205" t="str">
        <f t="shared" si="6"/>
        <v/>
      </c>
      <c r="P98" s="206" t="str">
        <f t="shared" si="11"/>
        <v/>
      </c>
    </row>
    <row r="99" spans="3:16" x14ac:dyDescent="0.4">
      <c r="C99" s="199"/>
      <c r="D99" s="200"/>
      <c r="E99" s="201"/>
      <c r="F99" s="199"/>
      <c r="H99" s="202"/>
      <c r="I99" s="185" t="str">
        <f t="shared" si="7"/>
        <v/>
      </c>
      <c r="J99" s="203" t="str">
        <f>IF($H99="USD",IF(OR($I99="",$I99="-"),"",VLOOKUP($G99,為替!$A:$AX,$I99,FALSE))+$J$3,IF(OR($I99="",$I99="-"),"",VLOOKUP($G99,為替!$A:$AX,$I99,FALSE)))</f>
        <v/>
      </c>
      <c r="K99" s="204" t="str">
        <f t="shared" si="8"/>
        <v/>
      </c>
      <c r="L99" s="188" t="str">
        <f t="shared" si="9"/>
        <v/>
      </c>
      <c r="M99" s="203" t="str">
        <f>IF($H99="USD",IF(OR($L99="",$L99="-"),"",VLOOKUP($G99,為替!$A:$AX,$L99,FALSE))+$K$3,IF(OR($L99="",$L99="-"),"",VLOOKUP($G99,為替!$A:$AX,$L99,FALSE)))</f>
        <v/>
      </c>
      <c r="N99" s="204" t="str">
        <f t="shared" si="10"/>
        <v/>
      </c>
      <c r="O99" s="205" t="str">
        <f t="shared" si="6"/>
        <v/>
      </c>
      <c r="P99" s="206" t="str">
        <f t="shared" si="11"/>
        <v/>
      </c>
    </row>
    <row r="100" spans="3:16" x14ac:dyDescent="0.4">
      <c r="C100" s="199"/>
      <c r="D100" s="200"/>
      <c r="E100" s="201"/>
      <c r="F100" s="199"/>
      <c r="H100" s="202"/>
      <c r="I100" s="185" t="str">
        <f t="shared" si="7"/>
        <v/>
      </c>
      <c r="J100" s="203" t="str">
        <f>IF($H100="USD",IF(OR($I100="",$I100="-"),"",VLOOKUP($G100,為替!$A:$AX,$I100,FALSE))+$J$3,IF(OR($I100="",$I100="-"),"",VLOOKUP($G100,為替!$A:$AX,$I100,FALSE)))</f>
        <v/>
      </c>
      <c r="K100" s="204" t="str">
        <f t="shared" si="8"/>
        <v/>
      </c>
      <c r="L100" s="188" t="str">
        <f t="shared" si="9"/>
        <v/>
      </c>
      <c r="M100" s="203" t="str">
        <f>IF($H100="USD",IF(OR($L100="",$L100="-"),"",VLOOKUP($G100,為替!$A:$AX,$L100,FALSE))+$K$3,IF(OR($L100="",$L100="-"),"",VLOOKUP($G100,為替!$A:$AX,$L100,FALSE)))</f>
        <v/>
      </c>
      <c r="N100" s="204" t="str">
        <f t="shared" si="10"/>
        <v/>
      </c>
      <c r="O100" s="205" t="str">
        <f t="shared" si="6"/>
        <v/>
      </c>
      <c r="P100" s="206" t="str">
        <f t="shared" si="11"/>
        <v/>
      </c>
    </row>
    <row r="101" spans="3:16" x14ac:dyDescent="0.4">
      <c r="C101" s="199"/>
      <c r="D101" s="200"/>
      <c r="E101" s="201"/>
      <c r="F101" s="199"/>
      <c r="H101" s="202"/>
      <c r="I101" s="185" t="str">
        <f t="shared" si="7"/>
        <v/>
      </c>
      <c r="J101" s="203" t="str">
        <f>IF($H101="USD",IF(OR($I101="",$I101="-"),"",VLOOKUP($G101,為替!$A:$AX,$I101,FALSE))+$J$3,IF(OR($I101="",$I101="-"),"",VLOOKUP($G101,為替!$A:$AX,$I101,FALSE)))</f>
        <v/>
      </c>
      <c r="K101" s="204" t="str">
        <f t="shared" si="8"/>
        <v/>
      </c>
      <c r="L101" s="188" t="str">
        <f t="shared" si="9"/>
        <v/>
      </c>
      <c r="M101" s="203" t="str">
        <f>IF($H101="USD",IF(OR($L101="",$L101="-"),"",VLOOKUP($G101,為替!$A:$AX,$L101,FALSE))+$K$3,IF(OR($L101="",$L101="-"),"",VLOOKUP($G101,為替!$A:$AX,$L101,FALSE)))</f>
        <v/>
      </c>
      <c r="N101" s="204" t="str">
        <f t="shared" si="10"/>
        <v/>
      </c>
      <c r="O101" s="205" t="str">
        <f t="shared" si="6"/>
        <v/>
      </c>
      <c r="P101" s="206" t="str">
        <f t="shared" si="11"/>
        <v/>
      </c>
    </row>
    <row r="102" spans="3:16" x14ac:dyDescent="0.4">
      <c r="C102" s="199"/>
      <c r="D102" s="200"/>
      <c r="E102" s="201"/>
      <c r="F102" s="199"/>
      <c r="H102" s="202"/>
      <c r="I102" s="185" t="str">
        <f t="shared" si="7"/>
        <v/>
      </c>
      <c r="J102" s="203" t="str">
        <f>IF($H102="USD",IF(OR($I102="",$I102="-"),"",VLOOKUP($G102,為替!$A:$AX,$I102,FALSE))+$J$3,IF(OR($I102="",$I102="-"),"",VLOOKUP($G102,為替!$A:$AX,$I102,FALSE)))</f>
        <v/>
      </c>
      <c r="K102" s="204" t="str">
        <f t="shared" si="8"/>
        <v/>
      </c>
      <c r="L102" s="188" t="str">
        <f t="shared" si="9"/>
        <v/>
      </c>
      <c r="M102" s="203" t="str">
        <f>IF($H102="USD",IF(OR($L102="",$L102="-"),"",VLOOKUP($G102,為替!$A:$AX,$L102,FALSE))+$K$3,IF(OR($L102="",$L102="-"),"",VLOOKUP($G102,為替!$A:$AX,$L102,FALSE)))</f>
        <v/>
      </c>
      <c r="N102" s="204" t="str">
        <f t="shared" si="10"/>
        <v/>
      </c>
      <c r="O102" s="205" t="str">
        <f t="shared" si="6"/>
        <v/>
      </c>
      <c r="P102" s="206" t="str">
        <f t="shared" si="11"/>
        <v/>
      </c>
    </row>
    <row r="103" spans="3:16" x14ac:dyDescent="0.4">
      <c r="C103" s="199"/>
      <c r="D103" s="200"/>
      <c r="E103" s="201"/>
      <c r="F103" s="199"/>
      <c r="H103" s="202"/>
      <c r="I103" s="185" t="str">
        <f t="shared" si="7"/>
        <v/>
      </c>
      <c r="J103" s="203" t="str">
        <f>IF($H103="USD",IF(OR($I103="",$I103="-"),"",VLOOKUP($G103,為替!$A:$AX,$I103,FALSE))+$J$3,IF(OR($I103="",$I103="-"),"",VLOOKUP($G103,為替!$A:$AX,$I103,FALSE)))</f>
        <v/>
      </c>
      <c r="K103" s="204" t="str">
        <f t="shared" si="8"/>
        <v/>
      </c>
      <c r="L103" s="188" t="str">
        <f t="shared" si="9"/>
        <v/>
      </c>
      <c r="M103" s="203" t="str">
        <f>IF($H103="USD",IF(OR($L103="",$L103="-"),"",VLOOKUP($G103,為替!$A:$AX,$L103,FALSE))+$K$3,IF(OR($L103="",$L103="-"),"",VLOOKUP($G103,為替!$A:$AX,$L103,FALSE)))</f>
        <v/>
      </c>
      <c r="N103" s="204" t="str">
        <f t="shared" si="10"/>
        <v/>
      </c>
      <c r="O103" s="205" t="str">
        <f t="shared" si="6"/>
        <v/>
      </c>
      <c r="P103" s="206" t="str">
        <f t="shared" si="11"/>
        <v/>
      </c>
    </row>
    <row r="104" spans="3:16" x14ac:dyDescent="0.4">
      <c r="C104" s="199"/>
      <c r="D104" s="200"/>
      <c r="E104" s="201"/>
      <c r="F104" s="199"/>
      <c r="H104" s="202"/>
      <c r="I104" s="185" t="str">
        <f t="shared" si="7"/>
        <v/>
      </c>
      <c r="J104" s="203" t="str">
        <f>IF($H104="USD",IF(OR($I104="",$I104="-"),"",VLOOKUP($G104,為替!$A:$AX,$I104,FALSE))+$J$3,IF(OR($I104="",$I104="-"),"",VLOOKUP($G104,為替!$A:$AX,$I104,FALSE)))</f>
        <v/>
      </c>
      <c r="K104" s="204" t="str">
        <f t="shared" si="8"/>
        <v/>
      </c>
      <c r="L104" s="188" t="str">
        <f t="shared" si="9"/>
        <v/>
      </c>
      <c r="M104" s="203" t="str">
        <f>IF($H104="USD",IF(OR($L104="",$L104="-"),"",VLOOKUP($G104,為替!$A:$AX,$L104,FALSE))+$K$3,IF(OR($L104="",$L104="-"),"",VLOOKUP($G104,為替!$A:$AX,$L104,FALSE)))</f>
        <v/>
      </c>
      <c r="N104" s="204" t="str">
        <f t="shared" si="10"/>
        <v/>
      </c>
      <c r="O104" s="205" t="str">
        <f t="shared" si="6"/>
        <v/>
      </c>
      <c r="P104" s="206" t="str">
        <f t="shared" si="11"/>
        <v/>
      </c>
    </row>
    <row r="105" spans="3:16" x14ac:dyDescent="0.4">
      <c r="C105" s="199"/>
      <c r="D105" s="200"/>
      <c r="E105" s="201"/>
      <c r="F105" s="199"/>
      <c r="H105" s="202"/>
      <c r="I105" s="185" t="str">
        <f t="shared" si="7"/>
        <v/>
      </c>
      <c r="J105" s="203" t="str">
        <f>IF($H105="USD",IF(OR($I105="",$I105="-"),"",VLOOKUP($G105,為替!$A:$AX,$I105,FALSE))+$J$3,IF(OR($I105="",$I105="-"),"",VLOOKUP($G105,為替!$A:$AX,$I105,FALSE)))</f>
        <v/>
      </c>
      <c r="K105" s="204" t="str">
        <f t="shared" si="8"/>
        <v/>
      </c>
      <c r="L105" s="188" t="str">
        <f t="shared" si="9"/>
        <v/>
      </c>
      <c r="M105" s="203" t="str">
        <f>IF($H105="USD",IF(OR($L105="",$L105="-"),"",VLOOKUP($G105,為替!$A:$AX,$L105,FALSE))+$K$3,IF(OR($L105="",$L105="-"),"",VLOOKUP($G105,為替!$A:$AX,$L105,FALSE)))</f>
        <v/>
      </c>
      <c r="N105" s="204" t="str">
        <f t="shared" si="10"/>
        <v/>
      </c>
      <c r="O105" s="205" t="str">
        <f t="shared" si="6"/>
        <v/>
      </c>
      <c r="P105" s="206" t="str">
        <f t="shared" si="11"/>
        <v/>
      </c>
    </row>
    <row r="106" spans="3:16" x14ac:dyDescent="0.4">
      <c r="C106" s="199"/>
      <c r="D106" s="200"/>
      <c r="E106" s="201"/>
      <c r="F106" s="199"/>
      <c r="H106" s="202"/>
      <c r="I106" s="185" t="str">
        <f t="shared" si="7"/>
        <v/>
      </c>
      <c r="J106" s="203" t="str">
        <f>IF($H106="USD",IF(OR($I106="",$I106="-"),"",VLOOKUP($G106,為替!$A:$AX,$I106,FALSE))+$J$3,IF(OR($I106="",$I106="-"),"",VLOOKUP($G106,為替!$A:$AX,$I106,FALSE)))</f>
        <v/>
      </c>
      <c r="K106" s="204" t="str">
        <f t="shared" si="8"/>
        <v/>
      </c>
      <c r="L106" s="188" t="str">
        <f t="shared" si="9"/>
        <v/>
      </c>
      <c r="M106" s="203" t="str">
        <f>IF($H106="USD",IF(OR($L106="",$L106="-"),"",VLOOKUP($G106,為替!$A:$AX,$L106,FALSE))+$K$3,IF(OR($L106="",$L106="-"),"",VLOOKUP($G106,為替!$A:$AX,$L106,FALSE)))</f>
        <v/>
      </c>
      <c r="N106" s="204" t="str">
        <f t="shared" si="10"/>
        <v/>
      </c>
      <c r="O106" s="205" t="str">
        <f t="shared" si="6"/>
        <v/>
      </c>
      <c r="P106" s="206" t="str">
        <f t="shared" si="11"/>
        <v/>
      </c>
    </row>
    <row r="107" spans="3:16" x14ac:dyDescent="0.4">
      <c r="C107" s="199"/>
      <c r="D107" s="200"/>
      <c r="E107" s="201"/>
      <c r="F107" s="199"/>
      <c r="H107" s="202"/>
      <c r="I107" s="185" t="str">
        <f t="shared" si="7"/>
        <v/>
      </c>
      <c r="J107" s="203" t="str">
        <f>IF($H107="USD",IF(OR($I107="",$I107="-"),"",VLOOKUP($G107,為替!$A:$AX,$I107,FALSE))+$J$3,IF(OR($I107="",$I107="-"),"",VLOOKUP($G107,為替!$A:$AX,$I107,FALSE)))</f>
        <v/>
      </c>
      <c r="K107" s="204" t="str">
        <f t="shared" si="8"/>
        <v/>
      </c>
      <c r="L107" s="188" t="str">
        <f t="shared" si="9"/>
        <v/>
      </c>
      <c r="M107" s="203" t="str">
        <f>IF($H107="USD",IF(OR($L107="",$L107="-"),"",VLOOKUP($G107,為替!$A:$AX,$L107,FALSE))+$K$3,IF(OR($L107="",$L107="-"),"",VLOOKUP($G107,為替!$A:$AX,$L107,FALSE)))</f>
        <v/>
      </c>
      <c r="N107" s="204" t="str">
        <f t="shared" si="10"/>
        <v/>
      </c>
      <c r="O107" s="205" t="str">
        <f t="shared" si="6"/>
        <v/>
      </c>
      <c r="P107" s="206" t="str">
        <f t="shared" si="11"/>
        <v/>
      </c>
    </row>
    <row r="108" spans="3:16" x14ac:dyDescent="0.4">
      <c r="C108" s="199"/>
      <c r="D108" s="200"/>
      <c r="E108" s="201"/>
      <c r="F108" s="199"/>
      <c r="H108" s="202"/>
      <c r="I108" s="185" t="str">
        <f t="shared" si="7"/>
        <v/>
      </c>
      <c r="J108" s="203" t="str">
        <f>IF($H108="USD",IF(OR($I108="",$I108="-"),"",VLOOKUP($G108,為替!$A:$AX,$I108,FALSE))+$J$3,IF(OR($I108="",$I108="-"),"",VLOOKUP($G108,為替!$A:$AX,$I108,FALSE)))</f>
        <v/>
      </c>
      <c r="K108" s="204" t="str">
        <f t="shared" si="8"/>
        <v/>
      </c>
      <c r="L108" s="188" t="str">
        <f t="shared" si="9"/>
        <v/>
      </c>
      <c r="M108" s="203" t="str">
        <f>IF($H108="USD",IF(OR($L108="",$L108="-"),"",VLOOKUP($G108,為替!$A:$AX,$L108,FALSE))+$K$3,IF(OR($L108="",$L108="-"),"",VLOOKUP($G108,為替!$A:$AX,$L108,FALSE)))</f>
        <v/>
      </c>
      <c r="N108" s="204" t="str">
        <f t="shared" si="10"/>
        <v/>
      </c>
      <c r="O108" s="205" t="str">
        <f t="shared" si="6"/>
        <v/>
      </c>
      <c r="P108" s="206" t="str">
        <f t="shared" si="11"/>
        <v/>
      </c>
    </row>
    <row r="109" spans="3:16" x14ac:dyDescent="0.4">
      <c r="C109" s="199"/>
      <c r="D109" s="200"/>
      <c r="E109" s="201"/>
      <c r="F109" s="199"/>
      <c r="H109" s="202"/>
      <c r="I109" s="185" t="str">
        <f t="shared" si="7"/>
        <v/>
      </c>
      <c r="J109" s="203" t="str">
        <f>IF($H109="USD",IF(OR($I109="",$I109="-"),"",VLOOKUP($G109,為替!$A:$AX,$I109,FALSE))+$J$3,IF(OR($I109="",$I109="-"),"",VLOOKUP($G109,為替!$A:$AX,$I109,FALSE)))</f>
        <v/>
      </c>
      <c r="K109" s="204" t="str">
        <f t="shared" si="8"/>
        <v/>
      </c>
      <c r="L109" s="188" t="str">
        <f t="shared" si="9"/>
        <v/>
      </c>
      <c r="M109" s="203" t="str">
        <f>IF($H109="USD",IF(OR($L109="",$L109="-"),"",VLOOKUP($G109,為替!$A:$AX,$L109,FALSE))+$K$3,IF(OR($L109="",$L109="-"),"",VLOOKUP($G109,為替!$A:$AX,$L109,FALSE)))</f>
        <v/>
      </c>
      <c r="N109" s="204" t="str">
        <f t="shared" si="10"/>
        <v/>
      </c>
      <c r="O109" s="205" t="str">
        <f t="shared" si="6"/>
        <v/>
      </c>
      <c r="P109" s="206" t="str">
        <f t="shared" si="11"/>
        <v/>
      </c>
    </row>
    <row r="110" spans="3:16" x14ac:dyDescent="0.4">
      <c r="C110" s="199"/>
      <c r="D110" s="200"/>
      <c r="E110" s="201"/>
      <c r="F110" s="199"/>
      <c r="H110" s="202"/>
      <c r="I110" s="185" t="str">
        <f t="shared" si="7"/>
        <v/>
      </c>
      <c r="J110" s="203" t="str">
        <f>IF($H110="USD",IF(OR($I110="",$I110="-"),"",VLOOKUP($G110,為替!$A:$AX,$I110,FALSE))+$J$3,IF(OR($I110="",$I110="-"),"",VLOOKUP($G110,為替!$A:$AX,$I110,FALSE)))</f>
        <v/>
      </c>
      <c r="K110" s="204" t="str">
        <f t="shared" si="8"/>
        <v/>
      </c>
      <c r="L110" s="188" t="str">
        <f t="shared" si="9"/>
        <v/>
      </c>
      <c r="M110" s="203" t="str">
        <f>IF($H110="USD",IF(OR($L110="",$L110="-"),"",VLOOKUP($G110,為替!$A:$AX,$L110,FALSE))+$K$3,IF(OR($L110="",$L110="-"),"",VLOOKUP($G110,為替!$A:$AX,$L110,FALSE)))</f>
        <v/>
      </c>
      <c r="N110" s="204" t="str">
        <f t="shared" si="10"/>
        <v/>
      </c>
      <c r="O110" s="205" t="str">
        <f t="shared" si="6"/>
        <v/>
      </c>
      <c r="P110" s="206" t="str">
        <f t="shared" si="11"/>
        <v/>
      </c>
    </row>
    <row r="111" spans="3:16" x14ac:dyDescent="0.4">
      <c r="C111" s="199"/>
      <c r="D111" s="200"/>
      <c r="E111" s="201"/>
      <c r="F111" s="199"/>
      <c r="H111" s="202"/>
      <c r="I111" s="185" t="str">
        <f t="shared" si="7"/>
        <v/>
      </c>
      <c r="J111" s="203" t="str">
        <f>IF($H111="USD",IF(OR($I111="",$I111="-"),"",VLOOKUP($G111,為替!$A:$AX,$I111,FALSE))+$J$3,IF(OR($I111="",$I111="-"),"",VLOOKUP($G111,為替!$A:$AX,$I111,FALSE)))</f>
        <v/>
      </c>
      <c r="K111" s="204" t="str">
        <f t="shared" si="8"/>
        <v/>
      </c>
      <c r="L111" s="188" t="str">
        <f t="shared" si="9"/>
        <v/>
      </c>
      <c r="M111" s="203" t="str">
        <f>IF($H111="USD",IF(OR($L111="",$L111="-"),"",VLOOKUP($G111,為替!$A:$AX,$L111,FALSE))+$K$3,IF(OR($L111="",$L111="-"),"",VLOOKUP($G111,為替!$A:$AX,$L111,FALSE)))</f>
        <v/>
      </c>
      <c r="N111" s="204" t="str">
        <f t="shared" si="10"/>
        <v/>
      </c>
      <c r="O111" s="205" t="str">
        <f t="shared" si="6"/>
        <v/>
      </c>
      <c r="P111" s="206" t="str">
        <f t="shared" si="11"/>
        <v/>
      </c>
    </row>
    <row r="112" spans="3:16" x14ac:dyDescent="0.4">
      <c r="C112" s="199"/>
      <c r="D112" s="200"/>
      <c r="E112" s="201"/>
      <c r="F112" s="199"/>
      <c r="H112" s="202"/>
      <c r="I112" s="185" t="str">
        <f t="shared" si="7"/>
        <v/>
      </c>
      <c r="J112" s="203" t="str">
        <f>IF($H112="USD",IF(OR($I112="",$I112="-"),"",VLOOKUP($G112,為替!$A:$AX,$I112,FALSE))+$J$3,IF(OR($I112="",$I112="-"),"",VLOOKUP($G112,為替!$A:$AX,$I112,FALSE)))</f>
        <v/>
      </c>
      <c r="K112" s="204" t="str">
        <f t="shared" si="8"/>
        <v/>
      </c>
      <c r="L112" s="188" t="str">
        <f t="shared" si="9"/>
        <v/>
      </c>
      <c r="M112" s="203" t="str">
        <f>IF($H112="USD",IF(OR($L112="",$L112="-"),"",VLOOKUP($G112,為替!$A:$AX,$L112,FALSE))+$K$3,IF(OR($L112="",$L112="-"),"",VLOOKUP($G112,為替!$A:$AX,$L112,FALSE)))</f>
        <v/>
      </c>
      <c r="N112" s="204" t="str">
        <f t="shared" si="10"/>
        <v/>
      </c>
      <c r="O112" s="205" t="str">
        <f t="shared" si="6"/>
        <v/>
      </c>
      <c r="P112" s="206" t="str">
        <f t="shared" si="11"/>
        <v/>
      </c>
    </row>
    <row r="113" spans="3:16" x14ac:dyDescent="0.4">
      <c r="C113" s="199"/>
      <c r="D113" s="200"/>
      <c r="E113" s="201"/>
      <c r="F113" s="199"/>
      <c r="H113" s="202"/>
      <c r="I113" s="185" t="str">
        <f t="shared" si="7"/>
        <v/>
      </c>
      <c r="J113" s="203" t="str">
        <f>IF($H113="USD",IF(OR($I113="",$I113="-"),"",VLOOKUP($G113,為替!$A:$AX,$I113,FALSE))+$J$3,IF(OR($I113="",$I113="-"),"",VLOOKUP($G113,為替!$A:$AX,$I113,FALSE)))</f>
        <v/>
      </c>
      <c r="K113" s="204" t="str">
        <f t="shared" si="8"/>
        <v/>
      </c>
      <c r="L113" s="188" t="str">
        <f t="shared" si="9"/>
        <v/>
      </c>
      <c r="M113" s="203" t="str">
        <f>IF($H113="USD",IF(OR($L113="",$L113="-"),"",VLOOKUP($G113,為替!$A:$AX,$L113,FALSE))+$K$3,IF(OR($L113="",$L113="-"),"",VLOOKUP($G113,為替!$A:$AX,$L113,FALSE)))</f>
        <v/>
      </c>
      <c r="N113" s="204" t="str">
        <f t="shared" si="10"/>
        <v/>
      </c>
      <c r="O113" s="205" t="str">
        <f t="shared" si="6"/>
        <v/>
      </c>
      <c r="P113" s="206" t="str">
        <f t="shared" si="11"/>
        <v/>
      </c>
    </row>
    <row r="114" spans="3:16" x14ac:dyDescent="0.4">
      <c r="C114" s="199"/>
      <c r="D114" s="200"/>
      <c r="E114" s="201"/>
      <c r="F114" s="199"/>
      <c r="H114" s="202"/>
      <c r="I114" s="185" t="str">
        <f t="shared" si="7"/>
        <v/>
      </c>
      <c r="J114" s="203" t="str">
        <f>IF($H114="USD",IF(OR($I114="",$I114="-"),"",VLOOKUP($G114,為替!$A:$AX,$I114,FALSE))+$J$3,IF(OR($I114="",$I114="-"),"",VLOOKUP($G114,為替!$A:$AX,$I114,FALSE)))</f>
        <v/>
      </c>
      <c r="K114" s="204" t="str">
        <f t="shared" si="8"/>
        <v/>
      </c>
      <c r="L114" s="188" t="str">
        <f t="shared" si="9"/>
        <v/>
      </c>
      <c r="M114" s="203" t="str">
        <f>IF($H114="USD",IF(OR($L114="",$L114="-"),"",VLOOKUP($G114,為替!$A:$AX,$L114,FALSE))+$K$3,IF(OR($L114="",$L114="-"),"",VLOOKUP($G114,為替!$A:$AX,$L114,FALSE)))</f>
        <v/>
      </c>
      <c r="N114" s="204" t="str">
        <f t="shared" si="10"/>
        <v/>
      </c>
      <c r="O114" s="205" t="str">
        <f t="shared" si="6"/>
        <v/>
      </c>
      <c r="P114" s="206" t="str">
        <f t="shared" si="11"/>
        <v/>
      </c>
    </row>
    <row r="115" spans="3:16" x14ac:dyDescent="0.4">
      <c r="C115" s="199"/>
      <c r="D115" s="200"/>
      <c r="E115" s="201"/>
      <c r="F115" s="199"/>
      <c r="H115" s="202"/>
      <c r="I115" s="185" t="str">
        <f t="shared" si="7"/>
        <v/>
      </c>
      <c r="J115" s="203" t="str">
        <f>IF($H115="USD",IF(OR($I115="",$I115="-"),"",VLOOKUP($G115,為替!$A:$AX,$I115,FALSE))+$J$3,IF(OR($I115="",$I115="-"),"",VLOOKUP($G115,為替!$A:$AX,$I115,FALSE)))</f>
        <v/>
      </c>
      <c r="K115" s="204" t="str">
        <f t="shared" si="8"/>
        <v/>
      </c>
      <c r="L115" s="188" t="str">
        <f t="shared" si="9"/>
        <v/>
      </c>
      <c r="M115" s="203" t="str">
        <f>IF($H115="USD",IF(OR($L115="",$L115="-"),"",VLOOKUP($G115,為替!$A:$AX,$L115,FALSE))+$K$3,IF(OR($L115="",$L115="-"),"",VLOOKUP($G115,為替!$A:$AX,$L115,FALSE)))</f>
        <v/>
      </c>
      <c r="N115" s="204" t="str">
        <f t="shared" si="10"/>
        <v/>
      </c>
      <c r="O115" s="205" t="str">
        <f t="shared" si="6"/>
        <v/>
      </c>
      <c r="P115" s="206" t="str">
        <f t="shared" si="11"/>
        <v/>
      </c>
    </row>
    <row r="116" spans="3:16" x14ac:dyDescent="0.4">
      <c r="C116" s="199"/>
      <c r="D116" s="200"/>
      <c r="E116" s="201"/>
      <c r="F116" s="199"/>
      <c r="H116" s="202"/>
      <c r="I116" s="185" t="str">
        <f t="shared" si="7"/>
        <v/>
      </c>
      <c r="J116" s="203" t="str">
        <f>IF($H116="USD",IF(OR($I116="",$I116="-"),"",VLOOKUP($G116,為替!$A:$AX,$I116,FALSE))+$J$3,IF(OR($I116="",$I116="-"),"",VLOOKUP($G116,為替!$A:$AX,$I116,FALSE)))</f>
        <v/>
      </c>
      <c r="K116" s="204" t="str">
        <f t="shared" si="8"/>
        <v/>
      </c>
      <c r="L116" s="188" t="str">
        <f t="shared" si="9"/>
        <v/>
      </c>
      <c r="M116" s="203" t="str">
        <f>IF($H116="USD",IF(OR($L116="",$L116="-"),"",VLOOKUP($G116,為替!$A:$AX,$L116,FALSE))+$K$3,IF(OR($L116="",$L116="-"),"",VLOOKUP($G116,為替!$A:$AX,$L116,FALSE)))</f>
        <v/>
      </c>
      <c r="N116" s="204" t="str">
        <f t="shared" si="10"/>
        <v/>
      </c>
      <c r="O116" s="205" t="str">
        <f t="shared" si="6"/>
        <v/>
      </c>
      <c r="P116" s="206" t="str">
        <f t="shared" si="11"/>
        <v/>
      </c>
    </row>
    <row r="117" spans="3:16" x14ac:dyDescent="0.4">
      <c r="C117" s="199"/>
      <c r="D117" s="200"/>
      <c r="E117" s="201"/>
      <c r="F117" s="199"/>
      <c r="H117" s="202"/>
      <c r="I117" s="185" t="str">
        <f t="shared" si="7"/>
        <v/>
      </c>
      <c r="J117" s="203" t="str">
        <f>IF($H117="USD",IF(OR($I117="",$I117="-"),"",VLOOKUP($G117,為替!$A:$AX,$I117,FALSE))+$J$3,IF(OR($I117="",$I117="-"),"",VLOOKUP($G117,為替!$A:$AX,$I117,FALSE)))</f>
        <v/>
      </c>
      <c r="K117" s="204" t="str">
        <f t="shared" si="8"/>
        <v/>
      </c>
      <c r="L117" s="188" t="str">
        <f t="shared" si="9"/>
        <v/>
      </c>
      <c r="M117" s="203" t="str">
        <f>IF($H117="USD",IF(OR($L117="",$L117="-"),"",VLOOKUP($G117,為替!$A:$AX,$L117,FALSE))+$K$3,IF(OR($L117="",$L117="-"),"",VLOOKUP($G117,為替!$A:$AX,$L117,FALSE)))</f>
        <v/>
      </c>
      <c r="N117" s="204" t="str">
        <f t="shared" si="10"/>
        <v/>
      </c>
      <c r="O117" s="205" t="str">
        <f t="shared" si="6"/>
        <v/>
      </c>
      <c r="P117" s="206" t="str">
        <f t="shared" si="11"/>
        <v/>
      </c>
    </row>
    <row r="118" spans="3:16" x14ac:dyDescent="0.4">
      <c r="C118" s="199"/>
      <c r="D118" s="200"/>
      <c r="E118" s="201"/>
      <c r="F118" s="199"/>
      <c r="H118" s="202"/>
      <c r="I118" s="185" t="str">
        <f t="shared" si="7"/>
        <v/>
      </c>
      <c r="J118" s="203" t="str">
        <f>IF($H118="USD",IF(OR($I118="",$I118="-"),"",VLOOKUP($G118,為替!$A:$AX,$I118,FALSE))+$J$3,IF(OR($I118="",$I118="-"),"",VLOOKUP($G118,為替!$A:$AX,$I118,FALSE)))</f>
        <v/>
      </c>
      <c r="K118" s="204" t="str">
        <f t="shared" si="8"/>
        <v/>
      </c>
      <c r="L118" s="188" t="str">
        <f t="shared" si="9"/>
        <v/>
      </c>
      <c r="M118" s="203" t="str">
        <f>IF($H118="USD",IF(OR($L118="",$L118="-"),"",VLOOKUP($G118,為替!$A:$AX,$L118,FALSE))+$K$3,IF(OR($L118="",$L118="-"),"",VLOOKUP($G118,為替!$A:$AX,$L118,FALSE)))</f>
        <v/>
      </c>
      <c r="N118" s="204" t="str">
        <f t="shared" si="10"/>
        <v/>
      </c>
      <c r="O118" s="205" t="str">
        <f t="shared" si="6"/>
        <v/>
      </c>
      <c r="P118" s="206" t="str">
        <f t="shared" si="11"/>
        <v/>
      </c>
    </row>
    <row r="119" spans="3:16" x14ac:dyDescent="0.4">
      <c r="C119" s="199"/>
      <c r="D119" s="200"/>
      <c r="E119" s="201"/>
      <c r="F119" s="199"/>
      <c r="H119" s="202"/>
      <c r="I119" s="185" t="str">
        <f t="shared" si="7"/>
        <v/>
      </c>
      <c r="J119" s="203" t="str">
        <f>IF($H119="USD",IF(OR($I119="",$I119="-"),"",VLOOKUP($G119,為替!$A:$AX,$I119,FALSE))+$J$3,IF(OR($I119="",$I119="-"),"",VLOOKUP($G119,為替!$A:$AX,$I119,FALSE)))</f>
        <v/>
      </c>
      <c r="K119" s="204" t="str">
        <f t="shared" si="8"/>
        <v/>
      </c>
      <c r="L119" s="188" t="str">
        <f t="shared" si="9"/>
        <v/>
      </c>
      <c r="M119" s="203" t="str">
        <f>IF($H119="USD",IF(OR($L119="",$L119="-"),"",VLOOKUP($G119,為替!$A:$AX,$L119,FALSE))+$K$3,IF(OR($L119="",$L119="-"),"",VLOOKUP($G119,為替!$A:$AX,$L119,FALSE)))</f>
        <v/>
      </c>
      <c r="N119" s="204" t="str">
        <f t="shared" si="10"/>
        <v/>
      </c>
      <c r="O119" s="205" t="str">
        <f t="shared" si="6"/>
        <v/>
      </c>
      <c r="P119" s="206" t="str">
        <f t="shared" si="11"/>
        <v/>
      </c>
    </row>
    <row r="120" spans="3:16" x14ac:dyDescent="0.4">
      <c r="C120" s="199"/>
      <c r="D120" s="200"/>
      <c r="E120" s="201"/>
      <c r="F120" s="199"/>
      <c r="H120" s="202"/>
      <c r="I120" s="185" t="str">
        <f t="shared" si="7"/>
        <v/>
      </c>
      <c r="J120" s="203" t="str">
        <f>IF($H120="USD",IF(OR($I120="",$I120="-"),"",VLOOKUP($G120,為替!$A:$AX,$I120,FALSE))+$J$3,IF(OR($I120="",$I120="-"),"",VLOOKUP($G120,為替!$A:$AX,$I120,FALSE)))</f>
        <v/>
      </c>
      <c r="K120" s="204" t="str">
        <f t="shared" si="8"/>
        <v/>
      </c>
      <c r="L120" s="188" t="str">
        <f t="shared" si="9"/>
        <v/>
      </c>
      <c r="M120" s="203" t="str">
        <f>IF($H120="USD",IF(OR($L120="",$L120="-"),"",VLOOKUP($G120,為替!$A:$AX,$L120,FALSE))+$K$3,IF(OR($L120="",$L120="-"),"",VLOOKUP($G120,為替!$A:$AX,$L120,FALSE)))</f>
        <v/>
      </c>
      <c r="N120" s="204" t="str">
        <f t="shared" si="10"/>
        <v/>
      </c>
      <c r="O120" s="205" t="str">
        <f t="shared" si="6"/>
        <v/>
      </c>
      <c r="P120" s="206" t="str">
        <f t="shared" si="11"/>
        <v/>
      </c>
    </row>
    <row r="121" spans="3:16" x14ac:dyDescent="0.4">
      <c r="C121" s="199"/>
      <c r="D121" s="200"/>
      <c r="E121" s="201"/>
      <c r="F121" s="199"/>
      <c r="H121" s="202"/>
      <c r="I121" s="185" t="str">
        <f t="shared" si="7"/>
        <v/>
      </c>
      <c r="J121" s="203" t="str">
        <f>IF($H121="USD",IF(OR($I121="",$I121="-"),"",VLOOKUP($G121,為替!$A:$AX,$I121,FALSE))+$J$3,IF(OR($I121="",$I121="-"),"",VLOOKUP($G121,為替!$A:$AX,$I121,FALSE)))</f>
        <v/>
      </c>
      <c r="K121" s="204" t="str">
        <f t="shared" si="8"/>
        <v/>
      </c>
      <c r="L121" s="188" t="str">
        <f t="shared" si="9"/>
        <v/>
      </c>
      <c r="M121" s="203" t="str">
        <f>IF($H121="USD",IF(OR($L121="",$L121="-"),"",VLOOKUP($G121,為替!$A:$AX,$L121,FALSE))+$K$3,IF(OR($L121="",$L121="-"),"",VLOOKUP($G121,為替!$A:$AX,$L121,FALSE)))</f>
        <v/>
      </c>
      <c r="N121" s="204" t="str">
        <f t="shared" si="10"/>
        <v/>
      </c>
      <c r="O121" s="205" t="str">
        <f t="shared" si="6"/>
        <v/>
      </c>
      <c r="P121" s="206" t="str">
        <f t="shared" si="11"/>
        <v/>
      </c>
    </row>
    <row r="122" spans="3:16" x14ac:dyDescent="0.4">
      <c r="C122" s="199"/>
      <c r="D122" s="200"/>
      <c r="E122" s="201"/>
      <c r="F122" s="199"/>
      <c r="H122" s="202"/>
      <c r="I122" s="185" t="str">
        <f t="shared" si="7"/>
        <v/>
      </c>
      <c r="J122" s="203" t="str">
        <f>IF($H122="USD",IF(OR($I122="",$I122="-"),"",VLOOKUP($G122,為替!$A:$AX,$I122,FALSE))+$J$3,IF(OR($I122="",$I122="-"),"",VLOOKUP($G122,為替!$A:$AX,$I122,FALSE)))</f>
        <v/>
      </c>
      <c r="K122" s="204" t="str">
        <f t="shared" si="8"/>
        <v/>
      </c>
      <c r="L122" s="188" t="str">
        <f t="shared" si="9"/>
        <v/>
      </c>
      <c r="M122" s="203" t="str">
        <f>IF($H122="USD",IF(OR($L122="",$L122="-"),"",VLOOKUP($G122,為替!$A:$AX,$L122,FALSE))+$K$3,IF(OR($L122="",$L122="-"),"",VLOOKUP($G122,為替!$A:$AX,$L122,FALSE)))</f>
        <v/>
      </c>
      <c r="N122" s="204" t="str">
        <f t="shared" si="10"/>
        <v/>
      </c>
      <c r="O122" s="205" t="str">
        <f t="shared" si="6"/>
        <v/>
      </c>
      <c r="P122" s="206" t="str">
        <f t="shared" si="11"/>
        <v/>
      </c>
    </row>
    <row r="123" spans="3:16" x14ac:dyDescent="0.4">
      <c r="C123" s="199"/>
      <c r="D123" s="200"/>
      <c r="E123" s="201"/>
      <c r="F123" s="199"/>
      <c r="H123" s="202"/>
      <c r="I123" s="185" t="str">
        <f t="shared" si="7"/>
        <v/>
      </c>
      <c r="J123" s="203" t="str">
        <f>IF($H123="USD",IF(OR($I123="",$I123="-"),"",VLOOKUP($G123,為替!$A:$AX,$I123,FALSE))+$J$3,IF(OR($I123="",$I123="-"),"",VLOOKUP($G123,為替!$A:$AX,$I123,FALSE)))</f>
        <v/>
      </c>
      <c r="K123" s="204" t="str">
        <f t="shared" si="8"/>
        <v/>
      </c>
      <c r="L123" s="188" t="str">
        <f t="shared" si="9"/>
        <v/>
      </c>
      <c r="M123" s="203" t="str">
        <f>IF($H123="USD",IF(OR($L123="",$L123="-"),"",VLOOKUP($G123,為替!$A:$AX,$L123,FALSE))+$K$3,IF(OR($L123="",$L123="-"),"",VLOOKUP($G123,為替!$A:$AX,$L123,FALSE)))</f>
        <v/>
      </c>
      <c r="N123" s="204" t="str">
        <f t="shared" si="10"/>
        <v/>
      </c>
      <c r="O123" s="205" t="str">
        <f t="shared" si="6"/>
        <v/>
      </c>
      <c r="P123" s="206" t="str">
        <f t="shared" si="11"/>
        <v/>
      </c>
    </row>
    <row r="124" spans="3:16" x14ac:dyDescent="0.4">
      <c r="C124" s="199"/>
      <c r="D124" s="200"/>
      <c r="E124" s="201"/>
      <c r="F124" s="199"/>
      <c r="H124" s="202"/>
      <c r="I124" s="185" t="str">
        <f t="shared" si="7"/>
        <v/>
      </c>
      <c r="J124" s="203" t="str">
        <f>IF($H124="USD",IF(OR($I124="",$I124="-"),"",VLOOKUP($G124,為替!$A:$AX,$I124,FALSE))+$J$3,IF(OR($I124="",$I124="-"),"",VLOOKUP($G124,為替!$A:$AX,$I124,FALSE)))</f>
        <v/>
      </c>
      <c r="K124" s="204" t="str">
        <f t="shared" si="8"/>
        <v/>
      </c>
      <c r="L124" s="188" t="str">
        <f t="shared" si="9"/>
        <v/>
      </c>
      <c r="M124" s="203" t="str">
        <f>IF($H124="USD",IF(OR($L124="",$L124="-"),"",VLOOKUP($G124,為替!$A:$AX,$L124,FALSE))+$K$3,IF(OR($L124="",$L124="-"),"",VLOOKUP($G124,為替!$A:$AX,$L124,FALSE)))</f>
        <v/>
      </c>
      <c r="N124" s="204" t="str">
        <f t="shared" si="10"/>
        <v/>
      </c>
      <c r="O124" s="205" t="str">
        <f t="shared" si="6"/>
        <v/>
      </c>
      <c r="P124" s="206" t="str">
        <f t="shared" si="11"/>
        <v/>
      </c>
    </row>
    <row r="125" spans="3:16" x14ac:dyDescent="0.4">
      <c r="C125" s="199"/>
      <c r="D125" s="200"/>
      <c r="E125" s="201"/>
      <c r="F125" s="199"/>
      <c r="H125" s="202"/>
      <c r="I125" s="185" t="str">
        <f t="shared" si="7"/>
        <v/>
      </c>
      <c r="J125" s="203" t="str">
        <f>IF($H125="USD",IF(OR($I125="",$I125="-"),"",VLOOKUP($G125,為替!$A:$AX,$I125,FALSE))+$J$3,IF(OR($I125="",$I125="-"),"",VLOOKUP($G125,為替!$A:$AX,$I125,FALSE)))</f>
        <v/>
      </c>
      <c r="K125" s="204" t="str">
        <f t="shared" si="8"/>
        <v/>
      </c>
      <c r="L125" s="188" t="str">
        <f t="shared" si="9"/>
        <v/>
      </c>
      <c r="M125" s="203" t="str">
        <f>IF($H125="USD",IF(OR($L125="",$L125="-"),"",VLOOKUP($G125,為替!$A:$AX,$L125,FALSE))+$K$3,IF(OR($L125="",$L125="-"),"",VLOOKUP($G125,為替!$A:$AX,$L125,FALSE)))</f>
        <v/>
      </c>
      <c r="N125" s="204" t="str">
        <f t="shared" si="10"/>
        <v/>
      </c>
      <c r="O125" s="205" t="str">
        <f t="shared" si="6"/>
        <v/>
      </c>
      <c r="P125" s="206" t="str">
        <f t="shared" si="11"/>
        <v/>
      </c>
    </row>
    <row r="126" spans="3:16" x14ac:dyDescent="0.4">
      <c r="C126" s="199"/>
      <c r="D126" s="200"/>
      <c r="E126" s="201"/>
      <c r="F126" s="199"/>
      <c r="H126" s="202"/>
      <c r="I126" s="185" t="str">
        <f t="shared" si="7"/>
        <v/>
      </c>
      <c r="J126" s="203" t="str">
        <f>IF($H126="USD",IF(OR($I126="",$I126="-"),"",VLOOKUP($G126,為替!$A:$AX,$I126,FALSE))+$J$3,IF(OR($I126="",$I126="-"),"",VLOOKUP($G126,為替!$A:$AX,$I126,FALSE)))</f>
        <v/>
      </c>
      <c r="K126" s="204" t="str">
        <f t="shared" si="8"/>
        <v/>
      </c>
      <c r="L126" s="188" t="str">
        <f t="shared" si="9"/>
        <v/>
      </c>
      <c r="M126" s="203" t="str">
        <f>IF($H126="USD",IF(OR($L126="",$L126="-"),"",VLOOKUP($G126,為替!$A:$AX,$L126,FALSE))+$K$3,IF(OR($L126="",$L126="-"),"",VLOOKUP($G126,為替!$A:$AX,$L126,FALSE)))</f>
        <v/>
      </c>
      <c r="N126" s="204" t="str">
        <f t="shared" si="10"/>
        <v/>
      </c>
      <c r="O126" s="205" t="str">
        <f t="shared" si="6"/>
        <v/>
      </c>
      <c r="P126" s="206" t="str">
        <f t="shared" si="11"/>
        <v/>
      </c>
    </row>
    <row r="127" spans="3:16" x14ac:dyDescent="0.4">
      <c r="C127" s="199"/>
      <c r="D127" s="200"/>
      <c r="E127" s="201"/>
      <c r="F127" s="199"/>
      <c r="H127" s="202"/>
      <c r="I127" s="185" t="str">
        <f t="shared" si="7"/>
        <v/>
      </c>
      <c r="J127" s="203" t="str">
        <f>IF($H127="USD",IF(OR($I127="",$I127="-"),"",VLOOKUP($G127,為替!$A:$AX,$I127,FALSE))+$J$3,IF(OR($I127="",$I127="-"),"",VLOOKUP($G127,為替!$A:$AX,$I127,FALSE)))</f>
        <v/>
      </c>
      <c r="K127" s="204" t="str">
        <f t="shared" si="8"/>
        <v/>
      </c>
      <c r="L127" s="188" t="str">
        <f t="shared" si="9"/>
        <v/>
      </c>
      <c r="M127" s="203" t="str">
        <f>IF($H127="USD",IF(OR($L127="",$L127="-"),"",VLOOKUP($G127,為替!$A:$AX,$L127,FALSE))+$K$3,IF(OR($L127="",$L127="-"),"",VLOOKUP($G127,為替!$A:$AX,$L127,FALSE)))</f>
        <v/>
      </c>
      <c r="N127" s="204" t="str">
        <f t="shared" si="10"/>
        <v/>
      </c>
      <c r="O127" s="205" t="str">
        <f t="shared" si="6"/>
        <v/>
      </c>
      <c r="P127" s="206" t="str">
        <f t="shared" si="11"/>
        <v/>
      </c>
    </row>
    <row r="128" spans="3:16" x14ac:dyDescent="0.4">
      <c r="C128" s="199"/>
      <c r="D128" s="200"/>
      <c r="E128" s="201"/>
      <c r="F128" s="199"/>
      <c r="H128" s="202"/>
      <c r="I128" s="185" t="str">
        <f t="shared" si="7"/>
        <v/>
      </c>
      <c r="J128" s="203" t="str">
        <f>IF($H128="USD",IF(OR($I128="",$I128="-"),"",VLOOKUP($G128,為替!$A:$AX,$I128,FALSE))+$J$3,IF(OR($I128="",$I128="-"),"",VLOOKUP($G128,為替!$A:$AX,$I128,FALSE)))</f>
        <v/>
      </c>
      <c r="K128" s="204" t="str">
        <f t="shared" si="8"/>
        <v/>
      </c>
      <c r="L128" s="188" t="str">
        <f t="shared" si="9"/>
        <v/>
      </c>
      <c r="M128" s="203" t="str">
        <f>IF($H128="USD",IF(OR($L128="",$L128="-"),"",VLOOKUP($G128,為替!$A:$AX,$L128,FALSE))+$K$3,IF(OR($L128="",$L128="-"),"",VLOOKUP($G128,為替!$A:$AX,$L128,FALSE)))</f>
        <v/>
      </c>
      <c r="N128" s="204" t="str">
        <f t="shared" si="10"/>
        <v/>
      </c>
      <c r="O128" s="205" t="str">
        <f t="shared" si="6"/>
        <v/>
      </c>
      <c r="P128" s="206" t="str">
        <f t="shared" si="11"/>
        <v/>
      </c>
    </row>
    <row r="129" spans="3:16" x14ac:dyDescent="0.4">
      <c r="C129" s="199"/>
      <c r="D129" s="200"/>
      <c r="E129" s="201"/>
      <c r="F129" s="199"/>
      <c r="H129" s="202"/>
      <c r="I129" s="185" t="str">
        <f t="shared" si="7"/>
        <v/>
      </c>
      <c r="J129" s="203" t="str">
        <f>IF($H129="USD",IF(OR($I129="",$I129="-"),"",VLOOKUP($G129,為替!$A:$AX,$I129,FALSE))+$J$3,IF(OR($I129="",$I129="-"),"",VLOOKUP($G129,為替!$A:$AX,$I129,FALSE)))</f>
        <v/>
      </c>
      <c r="K129" s="204" t="str">
        <f t="shared" si="8"/>
        <v/>
      </c>
      <c r="L129" s="188" t="str">
        <f t="shared" si="9"/>
        <v/>
      </c>
      <c r="M129" s="203" t="str">
        <f>IF($H129="USD",IF(OR($L129="",$L129="-"),"",VLOOKUP($G129,為替!$A:$AX,$L129,FALSE))+$K$3,IF(OR($L129="",$L129="-"),"",VLOOKUP($G129,為替!$A:$AX,$L129,FALSE)))</f>
        <v/>
      </c>
      <c r="N129" s="204" t="str">
        <f t="shared" si="10"/>
        <v/>
      </c>
      <c r="O129" s="205" t="str">
        <f t="shared" si="6"/>
        <v/>
      </c>
      <c r="P129" s="206" t="str">
        <f t="shared" si="11"/>
        <v/>
      </c>
    </row>
    <row r="130" spans="3:16" x14ac:dyDescent="0.4">
      <c r="C130" s="199"/>
      <c r="D130" s="200"/>
      <c r="E130" s="201"/>
      <c r="F130" s="199"/>
      <c r="H130" s="202"/>
      <c r="I130" s="185" t="str">
        <f t="shared" si="7"/>
        <v/>
      </c>
      <c r="J130" s="203" t="str">
        <f>IF($H130="USD",IF(OR($I130="",$I130="-"),"",VLOOKUP($G130,為替!$A:$AX,$I130,FALSE))+$J$3,IF(OR($I130="",$I130="-"),"",VLOOKUP($G130,為替!$A:$AX,$I130,FALSE)))</f>
        <v/>
      </c>
      <c r="K130" s="204" t="str">
        <f t="shared" si="8"/>
        <v/>
      </c>
      <c r="L130" s="188" t="str">
        <f t="shared" si="9"/>
        <v/>
      </c>
      <c r="M130" s="203" t="str">
        <f>IF($H130="USD",IF(OR($L130="",$L130="-"),"",VLOOKUP($G130,為替!$A:$AX,$L130,FALSE))+$K$3,IF(OR($L130="",$L130="-"),"",VLOOKUP($G130,為替!$A:$AX,$L130,FALSE)))</f>
        <v/>
      </c>
      <c r="N130" s="204" t="str">
        <f t="shared" si="10"/>
        <v/>
      </c>
      <c r="O130" s="205" t="str">
        <f t="shared" si="6"/>
        <v/>
      </c>
      <c r="P130" s="206" t="str">
        <f t="shared" si="11"/>
        <v/>
      </c>
    </row>
    <row r="131" spans="3:16" x14ac:dyDescent="0.4">
      <c r="C131" s="199"/>
      <c r="D131" s="200"/>
      <c r="E131" s="201"/>
      <c r="F131" s="199"/>
      <c r="H131" s="202"/>
      <c r="I131" s="185" t="str">
        <f t="shared" si="7"/>
        <v/>
      </c>
      <c r="J131" s="203" t="str">
        <f>IF($H131="USD",IF(OR($I131="",$I131="-"),"",VLOOKUP($G131,為替!$A:$AX,$I131,FALSE))+$J$3,IF(OR($I131="",$I131="-"),"",VLOOKUP($G131,為替!$A:$AX,$I131,FALSE)))</f>
        <v/>
      </c>
      <c r="K131" s="204" t="str">
        <f t="shared" si="8"/>
        <v/>
      </c>
      <c r="L131" s="188" t="str">
        <f t="shared" si="9"/>
        <v/>
      </c>
      <c r="M131" s="203" t="str">
        <f>IF($H131="USD",IF(OR($L131="",$L131="-"),"",VLOOKUP($G131,為替!$A:$AX,$L131,FALSE))+$K$3,IF(OR($L131="",$L131="-"),"",VLOOKUP($G131,為替!$A:$AX,$L131,FALSE)))</f>
        <v/>
      </c>
      <c r="N131" s="204" t="str">
        <f t="shared" si="10"/>
        <v/>
      </c>
      <c r="O131" s="205" t="str">
        <f t="shared" si="6"/>
        <v/>
      </c>
      <c r="P131" s="206" t="str">
        <f t="shared" si="11"/>
        <v/>
      </c>
    </row>
    <row r="132" spans="3:16" x14ac:dyDescent="0.4">
      <c r="C132" s="199"/>
      <c r="D132" s="200"/>
      <c r="E132" s="201"/>
      <c r="F132" s="199"/>
      <c r="H132" s="202"/>
      <c r="I132" s="185" t="str">
        <f t="shared" si="7"/>
        <v/>
      </c>
      <c r="J132" s="203" t="str">
        <f>IF($H132="USD",IF(OR($I132="",$I132="-"),"",VLOOKUP($G132,為替!$A:$AX,$I132,FALSE))+$J$3,IF(OR($I132="",$I132="-"),"",VLOOKUP($G132,為替!$A:$AX,$I132,FALSE)))</f>
        <v/>
      </c>
      <c r="K132" s="204" t="str">
        <f t="shared" si="8"/>
        <v/>
      </c>
      <c r="L132" s="188" t="str">
        <f t="shared" si="9"/>
        <v/>
      </c>
      <c r="M132" s="203" t="str">
        <f>IF($H132="USD",IF(OR($L132="",$L132="-"),"",VLOOKUP($G132,為替!$A:$AX,$L132,FALSE))+$K$3,IF(OR($L132="",$L132="-"),"",VLOOKUP($G132,為替!$A:$AX,$L132,FALSE)))</f>
        <v/>
      </c>
      <c r="N132" s="204" t="str">
        <f t="shared" si="10"/>
        <v/>
      </c>
      <c r="O132" s="205" t="str">
        <f t="shared" si="6"/>
        <v/>
      </c>
      <c r="P132" s="206" t="str">
        <f t="shared" si="11"/>
        <v/>
      </c>
    </row>
    <row r="133" spans="3:16" x14ac:dyDescent="0.4">
      <c r="C133" s="199"/>
      <c r="D133" s="200"/>
      <c r="E133" s="201"/>
      <c r="F133" s="199"/>
      <c r="H133" s="202"/>
      <c r="I133" s="185" t="str">
        <f t="shared" si="7"/>
        <v/>
      </c>
      <c r="J133" s="203" t="str">
        <f>IF($H133="USD",IF(OR($I133="",$I133="-"),"",VLOOKUP($G133,為替!$A:$AX,$I133,FALSE))+$J$3,IF(OR($I133="",$I133="-"),"",VLOOKUP($G133,為替!$A:$AX,$I133,FALSE)))</f>
        <v/>
      </c>
      <c r="K133" s="204" t="str">
        <f t="shared" si="8"/>
        <v/>
      </c>
      <c r="L133" s="188" t="str">
        <f t="shared" si="9"/>
        <v/>
      </c>
      <c r="M133" s="203" t="str">
        <f>IF($H133="USD",IF(OR($L133="",$L133="-"),"",VLOOKUP($G133,為替!$A:$AX,$L133,FALSE))+$K$3,IF(OR($L133="",$L133="-"),"",VLOOKUP($G133,為替!$A:$AX,$L133,FALSE)))</f>
        <v/>
      </c>
      <c r="N133" s="204" t="str">
        <f t="shared" si="10"/>
        <v/>
      </c>
      <c r="O133" s="205" t="str">
        <f t="shared" si="6"/>
        <v/>
      </c>
      <c r="P133" s="206" t="str">
        <f t="shared" si="11"/>
        <v/>
      </c>
    </row>
    <row r="134" spans="3:16" x14ac:dyDescent="0.4">
      <c r="C134" s="199"/>
      <c r="D134" s="200"/>
      <c r="E134" s="201"/>
      <c r="F134" s="199"/>
      <c r="H134" s="202"/>
      <c r="I134" s="185" t="str">
        <f t="shared" si="7"/>
        <v/>
      </c>
      <c r="J134" s="203" t="str">
        <f>IF($H134="USD",IF(OR($I134="",$I134="-"),"",VLOOKUP($G134,為替!$A:$AX,$I134,FALSE))+$J$3,IF(OR($I134="",$I134="-"),"",VLOOKUP($G134,為替!$A:$AX,$I134,FALSE)))</f>
        <v/>
      </c>
      <c r="K134" s="204" t="str">
        <f t="shared" si="8"/>
        <v/>
      </c>
      <c r="L134" s="188" t="str">
        <f t="shared" si="9"/>
        <v/>
      </c>
      <c r="M134" s="203" t="str">
        <f>IF($H134="USD",IF(OR($L134="",$L134="-"),"",VLOOKUP($G134,為替!$A:$AX,$L134,FALSE))+$K$3,IF(OR($L134="",$L134="-"),"",VLOOKUP($G134,為替!$A:$AX,$L134,FALSE)))</f>
        <v/>
      </c>
      <c r="N134" s="204" t="str">
        <f t="shared" si="10"/>
        <v/>
      </c>
      <c r="O134" s="205" t="str">
        <f t="shared" ref="O134:O197" si="12">IF(OR(K134="",N134=""),"",K134-N134)</f>
        <v/>
      </c>
      <c r="P134" s="206" t="str">
        <f t="shared" si="11"/>
        <v/>
      </c>
    </row>
    <row r="135" spans="3:16" x14ac:dyDescent="0.4">
      <c r="C135" s="199"/>
      <c r="D135" s="200"/>
      <c r="E135" s="201"/>
      <c r="F135" s="199"/>
      <c r="H135" s="202"/>
      <c r="I135" s="185" t="str">
        <f t="shared" ref="I135:I198" si="13">IF(H135="","",IF(H135="JPY","",IF($H135="USD",4, IF(H135="EUR",7,IF(H135="CNY",47,IF(H135="HKD",34))))))</f>
        <v/>
      </c>
      <c r="J135" s="203" t="str">
        <f>IF($H135="USD",IF(OR($I135="",$I135="-"),"",VLOOKUP($G135,為替!$A:$AX,$I135,FALSE))+$J$3,IF(OR($I135="",$I135="-"),"",VLOOKUP($G135,為替!$A:$AX,$I135,FALSE)))</f>
        <v/>
      </c>
      <c r="K135" s="204" t="str">
        <f t="shared" ref="K135:K198" si="14">IF($H135="JPY",$F135,IF($H135="","",$F135*$J135))</f>
        <v/>
      </c>
      <c r="L135" s="188" t="str">
        <f t="shared" ref="L135:L198" si="15">IF(H135="","",IF(H135="JPY","",IF($H135="USD",3, IF(H135="EUR",6,IF(H135="CNY",46,IF(H135="HKD",33))))))</f>
        <v/>
      </c>
      <c r="M135" s="203" t="str">
        <f>IF($H135="USD",IF(OR($L135="",$L135="-"),"",VLOOKUP($G135,為替!$A:$AX,$L135,FALSE))+$K$3,IF(OR($L135="",$L135="-"),"",VLOOKUP($G135,為替!$A:$AX,$L135,FALSE)))</f>
        <v/>
      </c>
      <c r="N135" s="204" t="str">
        <f t="shared" ref="N135:N198" si="16">IF($E135="JPY",($C135+$D135),IF($E135="","",($C135+$D135)*$M135))</f>
        <v/>
      </c>
      <c r="O135" s="205" t="str">
        <f t="shared" si="12"/>
        <v/>
      </c>
      <c r="P135" s="206" t="str">
        <f t="shared" ref="P135:P198" si="17">IF(OR(K135="",O135=""),"",O135/K135)</f>
        <v/>
      </c>
    </row>
    <row r="136" spans="3:16" x14ac:dyDescent="0.4">
      <c r="C136" s="199"/>
      <c r="D136" s="200"/>
      <c r="E136" s="201"/>
      <c r="F136" s="199"/>
      <c r="H136" s="202"/>
      <c r="I136" s="185" t="str">
        <f t="shared" si="13"/>
        <v/>
      </c>
      <c r="J136" s="203" t="str">
        <f>IF($H136="USD",IF(OR($I136="",$I136="-"),"",VLOOKUP($G136,為替!$A:$AX,$I136,FALSE))+$J$3,IF(OR($I136="",$I136="-"),"",VLOOKUP($G136,為替!$A:$AX,$I136,FALSE)))</f>
        <v/>
      </c>
      <c r="K136" s="204" t="str">
        <f t="shared" si="14"/>
        <v/>
      </c>
      <c r="L136" s="188" t="str">
        <f t="shared" si="15"/>
        <v/>
      </c>
      <c r="M136" s="203" t="str">
        <f>IF($H136="USD",IF(OR($L136="",$L136="-"),"",VLOOKUP($G136,為替!$A:$AX,$L136,FALSE))+$K$3,IF(OR($L136="",$L136="-"),"",VLOOKUP($G136,為替!$A:$AX,$L136,FALSE)))</f>
        <v/>
      </c>
      <c r="N136" s="204" t="str">
        <f t="shared" si="16"/>
        <v/>
      </c>
      <c r="O136" s="205" t="str">
        <f t="shared" si="12"/>
        <v/>
      </c>
      <c r="P136" s="206" t="str">
        <f t="shared" si="17"/>
        <v/>
      </c>
    </row>
    <row r="137" spans="3:16" x14ac:dyDescent="0.4">
      <c r="C137" s="199"/>
      <c r="D137" s="200"/>
      <c r="E137" s="201"/>
      <c r="F137" s="199"/>
      <c r="H137" s="202"/>
      <c r="I137" s="185" t="str">
        <f t="shared" si="13"/>
        <v/>
      </c>
      <c r="J137" s="203" t="str">
        <f>IF($H137="USD",IF(OR($I137="",$I137="-"),"",VLOOKUP($G137,為替!$A:$AX,$I137,FALSE))+$J$3,IF(OR($I137="",$I137="-"),"",VLOOKUP($G137,為替!$A:$AX,$I137,FALSE)))</f>
        <v/>
      </c>
      <c r="K137" s="204" t="str">
        <f t="shared" si="14"/>
        <v/>
      </c>
      <c r="L137" s="188" t="str">
        <f t="shared" si="15"/>
        <v/>
      </c>
      <c r="M137" s="203" t="str">
        <f>IF($H137="USD",IF(OR($L137="",$L137="-"),"",VLOOKUP($G137,為替!$A:$AX,$L137,FALSE))+$K$3,IF(OR($L137="",$L137="-"),"",VLOOKUP($G137,為替!$A:$AX,$L137,FALSE)))</f>
        <v/>
      </c>
      <c r="N137" s="204" t="str">
        <f t="shared" si="16"/>
        <v/>
      </c>
      <c r="O137" s="205" t="str">
        <f t="shared" si="12"/>
        <v/>
      </c>
      <c r="P137" s="206" t="str">
        <f t="shared" si="17"/>
        <v/>
      </c>
    </row>
    <row r="138" spans="3:16" x14ac:dyDescent="0.4">
      <c r="C138" s="199"/>
      <c r="D138" s="200"/>
      <c r="E138" s="201"/>
      <c r="F138" s="199"/>
      <c r="H138" s="202"/>
      <c r="I138" s="185" t="str">
        <f t="shared" si="13"/>
        <v/>
      </c>
      <c r="J138" s="203" t="str">
        <f>IF($H138="USD",IF(OR($I138="",$I138="-"),"",VLOOKUP($G138,為替!$A:$AX,$I138,FALSE))+$J$3,IF(OR($I138="",$I138="-"),"",VLOOKUP($G138,為替!$A:$AX,$I138,FALSE)))</f>
        <v/>
      </c>
      <c r="K138" s="204" t="str">
        <f t="shared" si="14"/>
        <v/>
      </c>
      <c r="L138" s="188" t="str">
        <f t="shared" si="15"/>
        <v/>
      </c>
      <c r="M138" s="203" t="str">
        <f>IF($H138="USD",IF(OR($L138="",$L138="-"),"",VLOOKUP($G138,為替!$A:$AX,$L138,FALSE))+$K$3,IF(OR($L138="",$L138="-"),"",VLOOKUP($G138,為替!$A:$AX,$L138,FALSE)))</f>
        <v/>
      </c>
      <c r="N138" s="204" t="str">
        <f t="shared" si="16"/>
        <v/>
      </c>
      <c r="O138" s="205" t="str">
        <f t="shared" si="12"/>
        <v/>
      </c>
      <c r="P138" s="206" t="str">
        <f t="shared" si="17"/>
        <v/>
      </c>
    </row>
    <row r="139" spans="3:16" x14ac:dyDescent="0.4">
      <c r="C139" s="199"/>
      <c r="D139" s="200"/>
      <c r="E139" s="201"/>
      <c r="F139" s="199"/>
      <c r="H139" s="202"/>
      <c r="I139" s="185" t="str">
        <f t="shared" si="13"/>
        <v/>
      </c>
      <c r="J139" s="203" t="str">
        <f>IF($H139="USD",IF(OR($I139="",$I139="-"),"",VLOOKUP($G139,為替!$A:$AX,$I139,FALSE))+$J$3,IF(OR($I139="",$I139="-"),"",VLOOKUP($G139,為替!$A:$AX,$I139,FALSE)))</f>
        <v/>
      </c>
      <c r="K139" s="204" t="str">
        <f t="shared" si="14"/>
        <v/>
      </c>
      <c r="L139" s="188" t="str">
        <f t="shared" si="15"/>
        <v/>
      </c>
      <c r="M139" s="203" t="str">
        <f>IF($H139="USD",IF(OR($L139="",$L139="-"),"",VLOOKUP($G139,為替!$A:$AX,$L139,FALSE))+$K$3,IF(OR($L139="",$L139="-"),"",VLOOKUP($G139,為替!$A:$AX,$L139,FALSE)))</f>
        <v/>
      </c>
      <c r="N139" s="204" t="str">
        <f t="shared" si="16"/>
        <v/>
      </c>
      <c r="O139" s="205" t="str">
        <f t="shared" si="12"/>
        <v/>
      </c>
      <c r="P139" s="206" t="str">
        <f t="shared" si="17"/>
        <v/>
      </c>
    </row>
    <row r="140" spans="3:16" x14ac:dyDescent="0.4">
      <c r="C140" s="199"/>
      <c r="D140" s="200"/>
      <c r="E140" s="201"/>
      <c r="F140" s="199"/>
      <c r="H140" s="202"/>
      <c r="I140" s="185" t="str">
        <f t="shared" si="13"/>
        <v/>
      </c>
      <c r="J140" s="203" t="str">
        <f>IF($H140="USD",IF(OR($I140="",$I140="-"),"",VLOOKUP($G140,為替!$A:$AX,$I140,FALSE))+$J$3,IF(OR($I140="",$I140="-"),"",VLOOKUP($G140,為替!$A:$AX,$I140,FALSE)))</f>
        <v/>
      </c>
      <c r="K140" s="204" t="str">
        <f t="shared" si="14"/>
        <v/>
      </c>
      <c r="L140" s="188" t="str">
        <f t="shared" si="15"/>
        <v/>
      </c>
      <c r="M140" s="203" t="str">
        <f>IF($H140="USD",IF(OR($L140="",$L140="-"),"",VLOOKUP($G140,為替!$A:$AX,$L140,FALSE))+$K$3,IF(OR($L140="",$L140="-"),"",VLOOKUP($G140,為替!$A:$AX,$L140,FALSE)))</f>
        <v/>
      </c>
      <c r="N140" s="204" t="str">
        <f t="shared" si="16"/>
        <v/>
      </c>
      <c r="O140" s="205" t="str">
        <f t="shared" si="12"/>
        <v/>
      </c>
      <c r="P140" s="206" t="str">
        <f t="shared" si="17"/>
        <v/>
      </c>
    </row>
    <row r="141" spans="3:16" x14ac:dyDescent="0.4">
      <c r="C141" s="199"/>
      <c r="D141" s="200"/>
      <c r="E141" s="201"/>
      <c r="F141" s="199"/>
      <c r="H141" s="202"/>
      <c r="I141" s="185" t="str">
        <f t="shared" si="13"/>
        <v/>
      </c>
      <c r="J141" s="203" t="str">
        <f>IF($H141="USD",IF(OR($I141="",$I141="-"),"",VLOOKUP($G141,為替!$A:$AX,$I141,FALSE))+$J$3,IF(OR($I141="",$I141="-"),"",VLOOKUP($G141,為替!$A:$AX,$I141,FALSE)))</f>
        <v/>
      </c>
      <c r="K141" s="204" t="str">
        <f t="shared" si="14"/>
        <v/>
      </c>
      <c r="L141" s="188" t="str">
        <f t="shared" si="15"/>
        <v/>
      </c>
      <c r="M141" s="203" t="str">
        <f>IF($H141="USD",IF(OR($L141="",$L141="-"),"",VLOOKUP($G141,為替!$A:$AX,$L141,FALSE))+$K$3,IF(OR($L141="",$L141="-"),"",VLOOKUP($G141,為替!$A:$AX,$L141,FALSE)))</f>
        <v/>
      </c>
      <c r="N141" s="204" t="str">
        <f t="shared" si="16"/>
        <v/>
      </c>
      <c r="O141" s="205" t="str">
        <f t="shared" si="12"/>
        <v/>
      </c>
      <c r="P141" s="206" t="str">
        <f t="shared" si="17"/>
        <v/>
      </c>
    </row>
    <row r="142" spans="3:16" x14ac:dyDescent="0.4">
      <c r="C142" s="199"/>
      <c r="D142" s="200"/>
      <c r="E142" s="201"/>
      <c r="F142" s="199"/>
      <c r="H142" s="202"/>
      <c r="I142" s="185" t="str">
        <f t="shared" si="13"/>
        <v/>
      </c>
      <c r="J142" s="203" t="str">
        <f>IF($H142="USD",IF(OR($I142="",$I142="-"),"",VLOOKUP($G142,為替!$A:$AX,$I142,FALSE))+$J$3,IF(OR($I142="",$I142="-"),"",VLOOKUP($G142,為替!$A:$AX,$I142,FALSE)))</f>
        <v/>
      </c>
      <c r="K142" s="204" t="str">
        <f t="shared" si="14"/>
        <v/>
      </c>
      <c r="L142" s="188" t="str">
        <f t="shared" si="15"/>
        <v/>
      </c>
      <c r="M142" s="203" t="str">
        <f>IF($H142="USD",IF(OR($L142="",$L142="-"),"",VLOOKUP($G142,為替!$A:$AX,$L142,FALSE))+$K$3,IF(OR($L142="",$L142="-"),"",VLOOKUP($G142,為替!$A:$AX,$L142,FALSE)))</f>
        <v/>
      </c>
      <c r="N142" s="204" t="str">
        <f t="shared" si="16"/>
        <v/>
      </c>
      <c r="O142" s="205" t="str">
        <f t="shared" si="12"/>
        <v/>
      </c>
      <c r="P142" s="206" t="str">
        <f t="shared" si="17"/>
        <v/>
      </c>
    </row>
    <row r="143" spans="3:16" x14ac:dyDescent="0.4">
      <c r="C143" s="199"/>
      <c r="D143" s="200"/>
      <c r="E143" s="201"/>
      <c r="F143" s="199"/>
      <c r="H143" s="202"/>
      <c r="I143" s="185" t="str">
        <f t="shared" si="13"/>
        <v/>
      </c>
      <c r="J143" s="203" t="str">
        <f>IF($H143="USD",IF(OR($I143="",$I143="-"),"",VLOOKUP($G143,為替!$A:$AX,$I143,FALSE))+$J$3,IF(OR($I143="",$I143="-"),"",VLOOKUP($G143,為替!$A:$AX,$I143,FALSE)))</f>
        <v/>
      </c>
      <c r="K143" s="204" t="str">
        <f t="shared" si="14"/>
        <v/>
      </c>
      <c r="L143" s="188" t="str">
        <f t="shared" si="15"/>
        <v/>
      </c>
      <c r="M143" s="203" t="str">
        <f>IF($H143="USD",IF(OR($L143="",$L143="-"),"",VLOOKUP($G143,為替!$A:$AX,$L143,FALSE))+$K$3,IF(OR($L143="",$L143="-"),"",VLOOKUP($G143,為替!$A:$AX,$L143,FALSE)))</f>
        <v/>
      </c>
      <c r="N143" s="204" t="str">
        <f t="shared" si="16"/>
        <v/>
      </c>
      <c r="O143" s="205" t="str">
        <f t="shared" si="12"/>
        <v/>
      </c>
      <c r="P143" s="206" t="str">
        <f t="shared" si="17"/>
        <v/>
      </c>
    </row>
    <row r="144" spans="3:16" x14ac:dyDescent="0.4">
      <c r="C144" s="199"/>
      <c r="D144" s="200"/>
      <c r="E144" s="201"/>
      <c r="F144" s="199"/>
      <c r="H144" s="202"/>
      <c r="I144" s="185" t="str">
        <f t="shared" si="13"/>
        <v/>
      </c>
      <c r="J144" s="203" t="str">
        <f>IF($H144="USD",IF(OR($I144="",$I144="-"),"",VLOOKUP($G144,為替!$A:$AX,$I144,FALSE))+$J$3,IF(OR($I144="",$I144="-"),"",VLOOKUP($G144,為替!$A:$AX,$I144,FALSE)))</f>
        <v/>
      </c>
      <c r="K144" s="204" t="str">
        <f t="shared" si="14"/>
        <v/>
      </c>
      <c r="L144" s="188" t="str">
        <f t="shared" si="15"/>
        <v/>
      </c>
      <c r="M144" s="203" t="str">
        <f>IF($H144="USD",IF(OR($L144="",$L144="-"),"",VLOOKUP($G144,為替!$A:$AX,$L144,FALSE))+$K$3,IF(OR($L144="",$L144="-"),"",VLOOKUP($G144,為替!$A:$AX,$L144,FALSE)))</f>
        <v/>
      </c>
      <c r="N144" s="204" t="str">
        <f t="shared" si="16"/>
        <v/>
      </c>
      <c r="O144" s="205" t="str">
        <f t="shared" si="12"/>
        <v/>
      </c>
      <c r="P144" s="206" t="str">
        <f t="shared" si="17"/>
        <v/>
      </c>
    </row>
    <row r="145" spans="3:16" x14ac:dyDescent="0.4">
      <c r="C145" s="199"/>
      <c r="D145" s="200"/>
      <c r="E145" s="201"/>
      <c r="F145" s="199"/>
      <c r="H145" s="202"/>
      <c r="I145" s="185" t="str">
        <f t="shared" si="13"/>
        <v/>
      </c>
      <c r="J145" s="203" t="str">
        <f>IF($H145="USD",IF(OR($I145="",$I145="-"),"",VLOOKUP($G145,為替!$A:$AX,$I145,FALSE))+$J$3,IF(OR($I145="",$I145="-"),"",VLOOKUP($G145,為替!$A:$AX,$I145,FALSE)))</f>
        <v/>
      </c>
      <c r="K145" s="204" t="str">
        <f t="shared" si="14"/>
        <v/>
      </c>
      <c r="L145" s="188" t="str">
        <f t="shared" si="15"/>
        <v/>
      </c>
      <c r="M145" s="203" t="str">
        <f>IF($H145="USD",IF(OR($L145="",$L145="-"),"",VLOOKUP($G145,為替!$A:$AX,$L145,FALSE))+$K$3,IF(OR($L145="",$L145="-"),"",VLOOKUP($G145,為替!$A:$AX,$L145,FALSE)))</f>
        <v/>
      </c>
      <c r="N145" s="204" t="str">
        <f t="shared" si="16"/>
        <v/>
      </c>
      <c r="O145" s="205" t="str">
        <f t="shared" si="12"/>
        <v/>
      </c>
      <c r="P145" s="206" t="str">
        <f t="shared" si="17"/>
        <v/>
      </c>
    </row>
    <row r="146" spans="3:16" x14ac:dyDescent="0.4">
      <c r="C146" s="199"/>
      <c r="D146" s="200"/>
      <c r="E146" s="201"/>
      <c r="F146" s="199"/>
      <c r="H146" s="202"/>
      <c r="I146" s="185" t="str">
        <f t="shared" si="13"/>
        <v/>
      </c>
      <c r="J146" s="203" t="str">
        <f>IF($H146="USD",IF(OR($I146="",$I146="-"),"",VLOOKUP($G146,為替!$A:$AX,$I146,FALSE))+$J$3,IF(OR($I146="",$I146="-"),"",VLOOKUP($G146,為替!$A:$AX,$I146,FALSE)))</f>
        <v/>
      </c>
      <c r="K146" s="204" t="str">
        <f t="shared" si="14"/>
        <v/>
      </c>
      <c r="L146" s="188" t="str">
        <f t="shared" si="15"/>
        <v/>
      </c>
      <c r="M146" s="203" t="str">
        <f>IF($H146="USD",IF(OR($L146="",$L146="-"),"",VLOOKUP($G146,為替!$A:$AX,$L146,FALSE))+$K$3,IF(OR($L146="",$L146="-"),"",VLOOKUP($G146,為替!$A:$AX,$L146,FALSE)))</f>
        <v/>
      </c>
      <c r="N146" s="204" t="str">
        <f t="shared" si="16"/>
        <v/>
      </c>
      <c r="O146" s="205" t="str">
        <f t="shared" si="12"/>
        <v/>
      </c>
      <c r="P146" s="206" t="str">
        <f t="shared" si="17"/>
        <v/>
      </c>
    </row>
    <row r="147" spans="3:16" x14ac:dyDescent="0.4">
      <c r="C147" s="199"/>
      <c r="D147" s="200"/>
      <c r="E147" s="201"/>
      <c r="F147" s="199"/>
      <c r="H147" s="202"/>
      <c r="I147" s="185" t="str">
        <f t="shared" si="13"/>
        <v/>
      </c>
      <c r="J147" s="203" t="str">
        <f>IF($H147="USD",IF(OR($I147="",$I147="-"),"",VLOOKUP($G147,為替!$A:$AX,$I147,FALSE))+$J$3,IF(OR($I147="",$I147="-"),"",VLOOKUP($G147,為替!$A:$AX,$I147,FALSE)))</f>
        <v/>
      </c>
      <c r="K147" s="204" t="str">
        <f t="shared" si="14"/>
        <v/>
      </c>
      <c r="L147" s="188" t="str">
        <f t="shared" si="15"/>
        <v/>
      </c>
      <c r="M147" s="203" t="str">
        <f>IF($H147="USD",IF(OR($L147="",$L147="-"),"",VLOOKUP($G147,為替!$A:$AX,$L147,FALSE))+$K$3,IF(OR($L147="",$L147="-"),"",VLOOKUP($G147,為替!$A:$AX,$L147,FALSE)))</f>
        <v/>
      </c>
      <c r="N147" s="204" t="str">
        <f t="shared" si="16"/>
        <v/>
      </c>
      <c r="O147" s="205" t="str">
        <f t="shared" si="12"/>
        <v/>
      </c>
      <c r="P147" s="206" t="str">
        <f t="shared" si="17"/>
        <v/>
      </c>
    </row>
    <row r="148" spans="3:16" x14ac:dyDescent="0.4">
      <c r="C148" s="199"/>
      <c r="D148" s="200"/>
      <c r="E148" s="201"/>
      <c r="F148" s="199"/>
      <c r="H148" s="202"/>
      <c r="I148" s="185" t="str">
        <f t="shared" si="13"/>
        <v/>
      </c>
      <c r="J148" s="203" t="str">
        <f>IF($H148="USD",IF(OR($I148="",$I148="-"),"",VLOOKUP($G148,為替!$A:$AX,$I148,FALSE))+$J$3,IF(OR($I148="",$I148="-"),"",VLOOKUP($G148,為替!$A:$AX,$I148,FALSE)))</f>
        <v/>
      </c>
      <c r="K148" s="204" t="str">
        <f t="shared" si="14"/>
        <v/>
      </c>
      <c r="L148" s="188" t="str">
        <f t="shared" si="15"/>
        <v/>
      </c>
      <c r="M148" s="203" t="str">
        <f>IF($H148="USD",IF(OR($L148="",$L148="-"),"",VLOOKUP($G148,為替!$A:$AX,$L148,FALSE))+$K$3,IF(OR($L148="",$L148="-"),"",VLOOKUP($G148,為替!$A:$AX,$L148,FALSE)))</f>
        <v/>
      </c>
      <c r="N148" s="204" t="str">
        <f t="shared" si="16"/>
        <v/>
      </c>
      <c r="O148" s="205" t="str">
        <f t="shared" si="12"/>
        <v/>
      </c>
      <c r="P148" s="206" t="str">
        <f t="shared" si="17"/>
        <v/>
      </c>
    </row>
    <row r="149" spans="3:16" x14ac:dyDescent="0.4">
      <c r="C149" s="199"/>
      <c r="D149" s="200"/>
      <c r="E149" s="201"/>
      <c r="F149" s="199"/>
      <c r="H149" s="202"/>
      <c r="I149" s="185" t="str">
        <f t="shared" si="13"/>
        <v/>
      </c>
      <c r="J149" s="203" t="str">
        <f>IF($H149="USD",IF(OR($I149="",$I149="-"),"",VLOOKUP($G149,為替!$A:$AX,$I149,FALSE))+$J$3,IF(OR($I149="",$I149="-"),"",VLOOKUP($G149,為替!$A:$AX,$I149,FALSE)))</f>
        <v/>
      </c>
      <c r="K149" s="204" t="str">
        <f t="shared" si="14"/>
        <v/>
      </c>
      <c r="L149" s="188" t="str">
        <f t="shared" si="15"/>
        <v/>
      </c>
      <c r="M149" s="203" t="str">
        <f>IF($H149="USD",IF(OR($L149="",$L149="-"),"",VLOOKUP($G149,為替!$A:$AX,$L149,FALSE))+$K$3,IF(OR($L149="",$L149="-"),"",VLOOKUP($G149,為替!$A:$AX,$L149,FALSE)))</f>
        <v/>
      </c>
      <c r="N149" s="204" t="str">
        <f t="shared" si="16"/>
        <v/>
      </c>
      <c r="O149" s="205" t="str">
        <f t="shared" si="12"/>
        <v/>
      </c>
      <c r="P149" s="206" t="str">
        <f t="shared" si="17"/>
        <v/>
      </c>
    </row>
    <row r="150" spans="3:16" x14ac:dyDescent="0.4">
      <c r="C150" s="199"/>
      <c r="D150" s="200"/>
      <c r="E150" s="201"/>
      <c r="F150" s="199"/>
      <c r="H150" s="202"/>
      <c r="I150" s="185" t="str">
        <f t="shared" si="13"/>
        <v/>
      </c>
      <c r="J150" s="203" t="str">
        <f>IF($H150="USD",IF(OR($I150="",$I150="-"),"",VLOOKUP($G150,為替!$A:$AX,$I150,FALSE))+$J$3,IF(OR($I150="",$I150="-"),"",VLOOKUP($G150,為替!$A:$AX,$I150,FALSE)))</f>
        <v/>
      </c>
      <c r="K150" s="204" t="str">
        <f t="shared" si="14"/>
        <v/>
      </c>
      <c r="L150" s="188" t="str">
        <f t="shared" si="15"/>
        <v/>
      </c>
      <c r="M150" s="203" t="str">
        <f>IF($H150="USD",IF(OR($L150="",$L150="-"),"",VLOOKUP($G150,為替!$A:$AX,$L150,FALSE))+$K$3,IF(OR($L150="",$L150="-"),"",VLOOKUP($G150,為替!$A:$AX,$L150,FALSE)))</f>
        <v/>
      </c>
      <c r="N150" s="204" t="str">
        <f t="shared" si="16"/>
        <v/>
      </c>
      <c r="O150" s="205" t="str">
        <f t="shared" si="12"/>
        <v/>
      </c>
      <c r="P150" s="206" t="str">
        <f t="shared" si="17"/>
        <v/>
      </c>
    </row>
    <row r="151" spans="3:16" x14ac:dyDescent="0.4">
      <c r="C151" s="199"/>
      <c r="D151" s="200"/>
      <c r="E151" s="201"/>
      <c r="F151" s="199"/>
      <c r="H151" s="202"/>
      <c r="I151" s="185" t="str">
        <f t="shared" si="13"/>
        <v/>
      </c>
      <c r="J151" s="203" t="str">
        <f>IF($H151="USD",IF(OR($I151="",$I151="-"),"",VLOOKUP($G151,為替!$A:$AX,$I151,FALSE))+$J$3,IF(OR($I151="",$I151="-"),"",VLOOKUP($G151,為替!$A:$AX,$I151,FALSE)))</f>
        <v/>
      </c>
      <c r="K151" s="204" t="str">
        <f t="shared" si="14"/>
        <v/>
      </c>
      <c r="L151" s="188" t="str">
        <f t="shared" si="15"/>
        <v/>
      </c>
      <c r="M151" s="203" t="str">
        <f>IF($H151="USD",IF(OR($L151="",$L151="-"),"",VLOOKUP($G151,為替!$A:$AX,$L151,FALSE))+$K$3,IF(OR($L151="",$L151="-"),"",VLOOKUP($G151,為替!$A:$AX,$L151,FALSE)))</f>
        <v/>
      </c>
      <c r="N151" s="204" t="str">
        <f t="shared" si="16"/>
        <v/>
      </c>
      <c r="O151" s="205" t="str">
        <f t="shared" si="12"/>
        <v/>
      </c>
      <c r="P151" s="206" t="str">
        <f t="shared" si="17"/>
        <v/>
      </c>
    </row>
    <row r="152" spans="3:16" x14ac:dyDescent="0.4">
      <c r="C152" s="199"/>
      <c r="D152" s="200"/>
      <c r="E152" s="201"/>
      <c r="F152" s="199"/>
      <c r="H152" s="202"/>
      <c r="I152" s="185" t="str">
        <f t="shared" si="13"/>
        <v/>
      </c>
      <c r="J152" s="203" t="str">
        <f>IF($H152="USD",IF(OR($I152="",$I152="-"),"",VLOOKUP($G152,為替!$A:$AX,$I152,FALSE))+$J$3,IF(OR($I152="",$I152="-"),"",VLOOKUP($G152,為替!$A:$AX,$I152,FALSE)))</f>
        <v/>
      </c>
      <c r="K152" s="204" t="str">
        <f t="shared" si="14"/>
        <v/>
      </c>
      <c r="L152" s="188" t="str">
        <f t="shared" si="15"/>
        <v/>
      </c>
      <c r="M152" s="203" t="str">
        <f>IF($H152="USD",IF(OR($L152="",$L152="-"),"",VLOOKUP($G152,為替!$A:$AX,$L152,FALSE))+$K$3,IF(OR($L152="",$L152="-"),"",VLOOKUP($G152,為替!$A:$AX,$L152,FALSE)))</f>
        <v/>
      </c>
      <c r="N152" s="204" t="str">
        <f t="shared" si="16"/>
        <v/>
      </c>
      <c r="O152" s="205" t="str">
        <f t="shared" si="12"/>
        <v/>
      </c>
      <c r="P152" s="206" t="str">
        <f t="shared" si="17"/>
        <v/>
      </c>
    </row>
    <row r="153" spans="3:16" x14ac:dyDescent="0.4">
      <c r="C153" s="199"/>
      <c r="D153" s="200"/>
      <c r="E153" s="201"/>
      <c r="F153" s="199"/>
      <c r="H153" s="202"/>
      <c r="I153" s="185" t="str">
        <f t="shared" si="13"/>
        <v/>
      </c>
      <c r="J153" s="203" t="str">
        <f>IF($H153="USD",IF(OR($I153="",$I153="-"),"",VLOOKUP($G153,為替!$A:$AX,$I153,FALSE))+$J$3,IF(OR($I153="",$I153="-"),"",VLOOKUP($G153,為替!$A:$AX,$I153,FALSE)))</f>
        <v/>
      </c>
      <c r="K153" s="204" t="str">
        <f t="shared" si="14"/>
        <v/>
      </c>
      <c r="L153" s="188" t="str">
        <f t="shared" si="15"/>
        <v/>
      </c>
      <c r="M153" s="203" t="str">
        <f>IF($H153="USD",IF(OR($L153="",$L153="-"),"",VLOOKUP($G153,為替!$A:$AX,$L153,FALSE))+$K$3,IF(OR($L153="",$L153="-"),"",VLOOKUP($G153,為替!$A:$AX,$L153,FALSE)))</f>
        <v/>
      </c>
      <c r="N153" s="204" t="str">
        <f t="shared" si="16"/>
        <v/>
      </c>
      <c r="O153" s="205" t="str">
        <f t="shared" si="12"/>
        <v/>
      </c>
      <c r="P153" s="206" t="str">
        <f t="shared" si="17"/>
        <v/>
      </c>
    </row>
    <row r="154" spans="3:16" x14ac:dyDescent="0.4">
      <c r="C154" s="199"/>
      <c r="D154" s="200"/>
      <c r="E154" s="201"/>
      <c r="F154" s="199"/>
      <c r="H154" s="202"/>
      <c r="I154" s="185" t="str">
        <f t="shared" si="13"/>
        <v/>
      </c>
      <c r="J154" s="203" t="str">
        <f>IF($H154="USD",IF(OR($I154="",$I154="-"),"",VLOOKUP($G154,為替!$A:$AX,$I154,FALSE))+$J$3,IF(OR($I154="",$I154="-"),"",VLOOKUP($G154,為替!$A:$AX,$I154,FALSE)))</f>
        <v/>
      </c>
      <c r="K154" s="204" t="str">
        <f t="shared" si="14"/>
        <v/>
      </c>
      <c r="L154" s="188" t="str">
        <f t="shared" si="15"/>
        <v/>
      </c>
      <c r="M154" s="203" t="str">
        <f>IF($H154="USD",IF(OR($L154="",$L154="-"),"",VLOOKUP($G154,為替!$A:$AX,$L154,FALSE))+$K$3,IF(OR($L154="",$L154="-"),"",VLOOKUP($G154,為替!$A:$AX,$L154,FALSE)))</f>
        <v/>
      </c>
      <c r="N154" s="204" t="str">
        <f t="shared" si="16"/>
        <v/>
      </c>
      <c r="O154" s="205" t="str">
        <f t="shared" si="12"/>
        <v/>
      </c>
      <c r="P154" s="206" t="str">
        <f t="shared" si="17"/>
        <v/>
      </c>
    </row>
    <row r="155" spans="3:16" x14ac:dyDescent="0.4">
      <c r="C155" s="199"/>
      <c r="D155" s="200"/>
      <c r="E155" s="201"/>
      <c r="F155" s="199"/>
      <c r="H155" s="202"/>
      <c r="I155" s="185" t="str">
        <f t="shared" si="13"/>
        <v/>
      </c>
      <c r="J155" s="203" t="str">
        <f>IF($H155="USD",IF(OR($I155="",$I155="-"),"",VLOOKUP($G155,為替!$A:$AX,$I155,FALSE))+$J$3,IF(OR($I155="",$I155="-"),"",VLOOKUP($G155,為替!$A:$AX,$I155,FALSE)))</f>
        <v/>
      </c>
      <c r="K155" s="204" t="str">
        <f t="shared" si="14"/>
        <v/>
      </c>
      <c r="L155" s="188" t="str">
        <f t="shared" si="15"/>
        <v/>
      </c>
      <c r="M155" s="203" t="str">
        <f>IF($H155="USD",IF(OR($L155="",$L155="-"),"",VLOOKUP($G155,為替!$A:$AX,$L155,FALSE))+$K$3,IF(OR($L155="",$L155="-"),"",VLOOKUP($G155,為替!$A:$AX,$L155,FALSE)))</f>
        <v/>
      </c>
      <c r="N155" s="204" t="str">
        <f t="shared" si="16"/>
        <v/>
      </c>
      <c r="O155" s="205" t="str">
        <f t="shared" si="12"/>
        <v/>
      </c>
      <c r="P155" s="206" t="str">
        <f t="shared" si="17"/>
        <v/>
      </c>
    </row>
    <row r="156" spans="3:16" x14ac:dyDescent="0.4">
      <c r="C156" s="199"/>
      <c r="D156" s="200"/>
      <c r="E156" s="201"/>
      <c r="F156" s="199"/>
      <c r="H156" s="202"/>
      <c r="I156" s="185" t="str">
        <f t="shared" si="13"/>
        <v/>
      </c>
      <c r="J156" s="203" t="str">
        <f>IF($H156="USD",IF(OR($I156="",$I156="-"),"",VLOOKUP($G156,為替!$A:$AX,$I156,FALSE))+$J$3,IF(OR($I156="",$I156="-"),"",VLOOKUP($G156,為替!$A:$AX,$I156,FALSE)))</f>
        <v/>
      </c>
      <c r="K156" s="204" t="str">
        <f t="shared" si="14"/>
        <v/>
      </c>
      <c r="L156" s="188" t="str">
        <f t="shared" si="15"/>
        <v/>
      </c>
      <c r="M156" s="203" t="str">
        <f>IF($H156="USD",IF(OR($L156="",$L156="-"),"",VLOOKUP($G156,為替!$A:$AX,$L156,FALSE))+$K$3,IF(OR($L156="",$L156="-"),"",VLOOKUP($G156,為替!$A:$AX,$L156,FALSE)))</f>
        <v/>
      </c>
      <c r="N156" s="204" t="str">
        <f t="shared" si="16"/>
        <v/>
      </c>
      <c r="O156" s="205" t="str">
        <f t="shared" si="12"/>
        <v/>
      </c>
      <c r="P156" s="206" t="str">
        <f t="shared" si="17"/>
        <v/>
      </c>
    </row>
    <row r="157" spans="3:16" x14ac:dyDescent="0.4">
      <c r="C157" s="199"/>
      <c r="D157" s="200"/>
      <c r="E157" s="201"/>
      <c r="F157" s="199"/>
      <c r="H157" s="202"/>
      <c r="I157" s="185" t="str">
        <f t="shared" si="13"/>
        <v/>
      </c>
      <c r="J157" s="203" t="str">
        <f>IF($H157="USD",IF(OR($I157="",$I157="-"),"",VLOOKUP($G157,為替!$A:$AX,$I157,FALSE))+$J$3,IF(OR($I157="",$I157="-"),"",VLOOKUP($G157,為替!$A:$AX,$I157,FALSE)))</f>
        <v/>
      </c>
      <c r="K157" s="204" t="str">
        <f t="shared" si="14"/>
        <v/>
      </c>
      <c r="L157" s="188" t="str">
        <f t="shared" si="15"/>
        <v/>
      </c>
      <c r="M157" s="203" t="str">
        <f>IF($H157="USD",IF(OR($L157="",$L157="-"),"",VLOOKUP($G157,為替!$A:$AX,$L157,FALSE))+$K$3,IF(OR($L157="",$L157="-"),"",VLOOKUP($G157,為替!$A:$AX,$L157,FALSE)))</f>
        <v/>
      </c>
      <c r="N157" s="204" t="str">
        <f t="shared" si="16"/>
        <v/>
      </c>
      <c r="O157" s="205" t="str">
        <f t="shared" si="12"/>
        <v/>
      </c>
      <c r="P157" s="206" t="str">
        <f t="shared" si="17"/>
        <v/>
      </c>
    </row>
    <row r="158" spans="3:16" x14ac:dyDescent="0.4">
      <c r="C158" s="199"/>
      <c r="D158" s="200"/>
      <c r="E158" s="201"/>
      <c r="F158" s="199"/>
      <c r="H158" s="202"/>
      <c r="I158" s="185" t="str">
        <f t="shared" si="13"/>
        <v/>
      </c>
      <c r="J158" s="203" t="str">
        <f>IF($H158="USD",IF(OR($I158="",$I158="-"),"",VLOOKUP($G158,為替!$A:$AX,$I158,FALSE))+$J$3,IF(OR($I158="",$I158="-"),"",VLOOKUP($G158,為替!$A:$AX,$I158,FALSE)))</f>
        <v/>
      </c>
      <c r="K158" s="204" t="str">
        <f t="shared" si="14"/>
        <v/>
      </c>
      <c r="L158" s="188" t="str">
        <f t="shared" si="15"/>
        <v/>
      </c>
      <c r="M158" s="203" t="str">
        <f>IF($H158="USD",IF(OR($L158="",$L158="-"),"",VLOOKUP($G158,為替!$A:$AX,$L158,FALSE))+$K$3,IF(OR($L158="",$L158="-"),"",VLOOKUP($G158,為替!$A:$AX,$L158,FALSE)))</f>
        <v/>
      </c>
      <c r="N158" s="204" t="str">
        <f t="shared" si="16"/>
        <v/>
      </c>
      <c r="O158" s="205" t="str">
        <f t="shared" si="12"/>
        <v/>
      </c>
      <c r="P158" s="206" t="str">
        <f t="shared" si="17"/>
        <v/>
      </c>
    </row>
    <row r="159" spans="3:16" x14ac:dyDescent="0.4">
      <c r="C159" s="199"/>
      <c r="D159" s="200"/>
      <c r="E159" s="201"/>
      <c r="F159" s="199"/>
      <c r="H159" s="202"/>
      <c r="I159" s="185" t="str">
        <f t="shared" si="13"/>
        <v/>
      </c>
      <c r="J159" s="203" t="str">
        <f>IF($H159="USD",IF(OR($I159="",$I159="-"),"",VLOOKUP($G159,為替!$A:$AX,$I159,FALSE))+$J$3,IF(OR($I159="",$I159="-"),"",VLOOKUP($G159,為替!$A:$AX,$I159,FALSE)))</f>
        <v/>
      </c>
      <c r="K159" s="204" t="str">
        <f t="shared" si="14"/>
        <v/>
      </c>
      <c r="L159" s="188" t="str">
        <f t="shared" si="15"/>
        <v/>
      </c>
      <c r="M159" s="203" t="str">
        <f>IF($H159="USD",IF(OR($L159="",$L159="-"),"",VLOOKUP($G159,為替!$A:$AX,$L159,FALSE))+$K$3,IF(OR($L159="",$L159="-"),"",VLOOKUP($G159,為替!$A:$AX,$L159,FALSE)))</f>
        <v/>
      </c>
      <c r="N159" s="204" t="str">
        <f t="shared" si="16"/>
        <v/>
      </c>
      <c r="O159" s="205" t="str">
        <f t="shared" si="12"/>
        <v/>
      </c>
      <c r="P159" s="206" t="str">
        <f t="shared" si="17"/>
        <v/>
      </c>
    </row>
    <row r="160" spans="3:16" x14ac:dyDescent="0.4">
      <c r="C160" s="199"/>
      <c r="D160" s="200"/>
      <c r="E160" s="201"/>
      <c r="F160" s="199"/>
      <c r="H160" s="202"/>
      <c r="I160" s="185" t="str">
        <f t="shared" si="13"/>
        <v/>
      </c>
      <c r="J160" s="203" t="str">
        <f>IF($H160="USD",IF(OR($I160="",$I160="-"),"",VLOOKUP($G160,為替!$A:$AX,$I160,FALSE))+$J$3,IF(OR($I160="",$I160="-"),"",VLOOKUP($G160,為替!$A:$AX,$I160,FALSE)))</f>
        <v/>
      </c>
      <c r="K160" s="204" t="str">
        <f t="shared" si="14"/>
        <v/>
      </c>
      <c r="L160" s="188" t="str">
        <f t="shared" si="15"/>
        <v/>
      </c>
      <c r="M160" s="203" t="str">
        <f>IF($H160="USD",IF(OR($L160="",$L160="-"),"",VLOOKUP($G160,為替!$A:$AX,$L160,FALSE))+$K$3,IF(OR($L160="",$L160="-"),"",VLOOKUP($G160,為替!$A:$AX,$L160,FALSE)))</f>
        <v/>
      </c>
      <c r="N160" s="204" t="str">
        <f t="shared" si="16"/>
        <v/>
      </c>
      <c r="O160" s="205" t="str">
        <f t="shared" si="12"/>
        <v/>
      </c>
      <c r="P160" s="206" t="str">
        <f t="shared" si="17"/>
        <v/>
      </c>
    </row>
    <row r="161" spans="3:16" x14ac:dyDescent="0.4">
      <c r="C161" s="199"/>
      <c r="D161" s="200"/>
      <c r="E161" s="201"/>
      <c r="F161" s="199"/>
      <c r="H161" s="202"/>
      <c r="I161" s="185" t="str">
        <f t="shared" si="13"/>
        <v/>
      </c>
      <c r="J161" s="203" t="str">
        <f>IF($H161="USD",IF(OR($I161="",$I161="-"),"",VLOOKUP($G161,為替!$A:$AX,$I161,FALSE))+$J$3,IF(OR($I161="",$I161="-"),"",VLOOKUP($G161,為替!$A:$AX,$I161,FALSE)))</f>
        <v/>
      </c>
      <c r="K161" s="204" t="str">
        <f t="shared" si="14"/>
        <v/>
      </c>
      <c r="L161" s="188" t="str">
        <f t="shared" si="15"/>
        <v/>
      </c>
      <c r="M161" s="203" t="str">
        <f>IF($H161="USD",IF(OR($L161="",$L161="-"),"",VLOOKUP($G161,為替!$A:$AX,$L161,FALSE))+$K$3,IF(OR($L161="",$L161="-"),"",VLOOKUP($G161,為替!$A:$AX,$L161,FALSE)))</f>
        <v/>
      </c>
      <c r="N161" s="204" t="str">
        <f t="shared" si="16"/>
        <v/>
      </c>
      <c r="O161" s="205" t="str">
        <f t="shared" si="12"/>
        <v/>
      </c>
      <c r="P161" s="206" t="str">
        <f t="shared" si="17"/>
        <v/>
      </c>
    </row>
    <row r="162" spans="3:16" x14ac:dyDescent="0.4">
      <c r="C162" s="199"/>
      <c r="D162" s="200"/>
      <c r="E162" s="201"/>
      <c r="F162" s="199"/>
      <c r="H162" s="202"/>
      <c r="I162" s="185" t="str">
        <f t="shared" si="13"/>
        <v/>
      </c>
      <c r="J162" s="203" t="str">
        <f>IF($H162="USD",IF(OR($I162="",$I162="-"),"",VLOOKUP($G162,為替!$A:$AX,$I162,FALSE))+$J$3,IF(OR($I162="",$I162="-"),"",VLOOKUP($G162,為替!$A:$AX,$I162,FALSE)))</f>
        <v/>
      </c>
      <c r="K162" s="204" t="str">
        <f t="shared" si="14"/>
        <v/>
      </c>
      <c r="L162" s="188" t="str">
        <f t="shared" si="15"/>
        <v/>
      </c>
      <c r="M162" s="203" t="str">
        <f>IF($H162="USD",IF(OR($L162="",$L162="-"),"",VLOOKUP($G162,為替!$A:$AX,$L162,FALSE))+$K$3,IF(OR($L162="",$L162="-"),"",VLOOKUP($G162,為替!$A:$AX,$L162,FALSE)))</f>
        <v/>
      </c>
      <c r="N162" s="204" t="str">
        <f t="shared" si="16"/>
        <v/>
      </c>
      <c r="O162" s="205" t="str">
        <f t="shared" si="12"/>
        <v/>
      </c>
      <c r="P162" s="206" t="str">
        <f t="shared" si="17"/>
        <v/>
      </c>
    </row>
    <row r="163" spans="3:16" x14ac:dyDescent="0.4">
      <c r="C163" s="199"/>
      <c r="D163" s="200"/>
      <c r="E163" s="201"/>
      <c r="F163" s="199"/>
      <c r="H163" s="202"/>
      <c r="I163" s="185" t="str">
        <f t="shared" si="13"/>
        <v/>
      </c>
      <c r="J163" s="203" t="str">
        <f>IF($H163="USD",IF(OR($I163="",$I163="-"),"",VLOOKUP($G163,為替!$A:$AX,$I163,FALSE))+$J$3,IF(OR($I163="",$I163="-"),"",VLOOKUP($G163,為替!$A:$AX,$I163,FALSE)))</f>
        <v/>
      </c>
      <c r="K163" s="204" t="str">
        <f t="shared" si="14"/>
        <v/>
      </c>
      <c r="L163" s="188" t="str">
        <f t="shared" si="15"/>
        <v/>
      </c>
      <c r="M163" s="203" t="str">
        <f>IF($H163="USD",IF(OR($L163="",$L163="-"),"",VLOOKUP($G163,為替!$A:$AX,$L163,FALSE))+$K$3,IF(OR($L163="",$L163="-"),"",VLOOKUP($G163,為替!$A:$AX,$L163,FALSE)))</f>
        <v/>
      </c>
      <c r="N163" s="204" t="str">
        <f t="shared" si="16"/>
        <v/>
      </c>
      <c r="O163" s="205" t="str">
        <f t="shared" si="12"/>
        <v/>
      </c>
      <c r="P163" s="206" t="str">
        <f t="shared" si="17"/>
        <v/>
      </c>
    </row>
    <row r="164" spans="3:16" x14ac:dyDescent="0.4">
      <c r="C164" s="199"/>
      <c r="D164" s="200"/>
      <c r="E164" s="201"/>
      <c r="F164" s="199"/>
      <c r="H164" s="202"/>
      <c r="I164" s="185" t="str">
        <f t="shared" si="13"/>
        <v/>
      </c>
      <c r="J164" s="203" t="str">
        <f>IF($H164="USD",IF(OR($I164="",$I164="-"),"",VLOOKUP($G164,為替!$A:$AX,$I164,FALSE))+$J$3,IF(OR($I164="",$I164="-"),"",VLOOKUP($G164,為替!$A:$AX,$I164,FALSE)))</f>
        <v/>
      </c>
      <c r="K164" s="204" t="str">
        <f t="shared" si="14"/>
        <v/>
      </c>
      <c r="L164" s="188" t="str">
        <f t="shared" si="15"/>
        <v/>
      </c>
      <c r="M164" s="203" t="str">
        <f>IF($H164="USD",IF(OR($L164="",$L164="-"),"",VLOOKUP($G164,為替!$A:$AX,$L164,FALSE))+$K$3,IF(OR($L164="",$L164="-"),"",VLOOKUP($G164,為替!$A:$AX,$L164,FALSE)))</f>
        <v/>
      </c>
      <c r="N164" s="204" t="str">
        <f t="shared" si="16"/>
        <v/>
      </c>
      <c r="O164" s="205" t="str">
        <f t="shared" si="12"/>
        <v/>
      </c>
      <c r="P164" s="206" t="str">
        <f t="shared" si="17"/>
        <v/>
      </c>
    </row>
    <row r="165" spans="3:16" x14ac:dyDescent="0.4">
      <c r="C165" s="199"/>
      <c r="D165" s="200"/>
      <c r="E165" s="201"/>
      <c r="F165" s="199"/>
      <c r="H165" s="202"/>
      <c r="I165" s="185" t="str">
        <f t="shared" si="13"/>
        <v/>
      </c>
      <c r="J165" s="203" t="str">
        <f>IF($H165="USD",IF(OR($I165="",$I165="-"),"",VLOOKUP($G165,為替!$A:$AX,$I165,FALSE))+$J$3,IF(OR($I165="",$I165="-"),"",VLOOKUP($G165,為替!$A:$AX,$I165,FALSE)))</f>
        <v/>
      </c>
      <c r="K165" s="204" t="str">
        <f t="shared" si="14"/>
        <v/>
      </c>
      <c r="L165" s="188" t="str">
        <f t="shared" si="15"/>
        <v/>
      </c>
      <c r="M165" s="203" t="str">
        <f>IF($H165="USD",IF(OR($L165="",$L165="-"),"",VLOOKUP($G165,為替!$A:$AX,$L165,FALSE))+$K$3,IF(OR($L165="",$L165="-"),"",VLOOKUP($G165,為替!$A:$AX,$L165,FALSE)))</f>
        <v/>
      </c>
      <c r="N165" s="204" t="str">
        <f t="shared" si="16"/>
        <v/>
      </c>
      <c r="O165" s="205" t="str">
        <f t="shared" si="12"/>
        <v/>
      </c>
      <c r="P165" s="206" t="str">
        <f t="shared" si="17"/>
        <v/>
      </c>
    </row>
    <row r="166" spans="3:16" x14ac:dyDescent="0.4">
      <c r="C166" s="199"/>
      <c r="D166" s="200"/>
      <c r="E166" s="201"/>
      <c r="F166" s="199"/>
      <c r="H166" s="202"/>
      <c r="I166" s="185" t="str">
        <f t="shared" si="13"/>
        <v/>
      </c>
      <c r="J166" s="203" t="str">
        <f>IF($H166="USD",IF(OR($I166="",$I166="-"),"",VLOOKUP($G166,為替!$A:$AX,$I166,FALSE))+$J$3,IF(OR($I166="",$I166="-"),"",VLOOKUP($G166,為替!$A:$AX,$I166,FALSE)))</f>
        <v/>
      </c>
      <c r="K166" s="204" t="str">
        <f t="shared" si="14"/>
        <v/>
      </c>
      <c r="L166" s="188" t="str">
        <f t="shared" si="15"/>
        <v/>
      </c>
      <c r="M166" s="203" t="str">
        <f>IF($H166="USD",IF(OR($L166="",$L166="-"),"",VLOOKUP($G166,為替!$A:$AX,$L166,FALSE))+$K$3,IF(OR($L166="",$L166="-"),"",VLOOKUP($G166,為替!$A:$AX,$L166,FALSE)))</f>
        <v/>
      </c>
      <c r="N166" s="204" t="str">
        <f t="shared" si="16"/>
        <v/>
      </c>
      <c r="O166" s="205" t="str">
        <f t="shared" si="12"/>
        <v/>
      </c>
      <c r="P166" s="206" t="str">
        <f t="shared" si="17"/>
        <v/>
      </c>
    </row>
    <row r="167" spans="3:16" x14ac:dyDescent="0.4">
      <c r="C167" s="199"/>
      <c r="D167" s="200"/>
      <c r="E167" s="201"/>
      <c r="F167" s="199"/>
      <c r="H167" s="202"/>
      <c r="I167" s="185" t="str">
        <f t="shared" si="13"/>
        <v/>
      </c>
      <c r="J167" s="203" t="str">
        <f>IF($H167="USD",IF(OR($I167="",$I167="-"),"",VLOOKUP($G167,為替!$A:$AX,$I167,FALSE))+$J$3,IF(OR($I167="",$I167="-"),"",VLOOKUP($G167,為替!$A:$AX,$I167,FALSE)))</f>
        <v/>
      </c>
      <c r="K167" s="204" t="str">
        <f t="shared" si="14"/>
        <v/>
      </c>
      <c r="L167" s="188" t="str">
        <f t="shared" si="15"/>
        <v/>
      </c>
      <c r="M167" s="203" t="str">
        <f>IF($H167="USD",IF(OR($L167="",$L167="-"),"",VLOOKUP($G167,為替!$A:$AX,$L167,FALSE))+$K$3,IF(OR($L167="",$L167="-"),"",VLOOKUP($G167,為替!$A:$AX,$L167,FALSE)))</f>
        <v/>
      </c>
      <c r="N167" s="204" t="str">
        <f t="shared" si="16"/>
        <v/>
      </c>
      <c r="O167" s="205" t="str">
        <f t="shared" si="12"/>
        <v/>
      </c>
      <c r="P167" s="206" t="str">
        <f t="shared" si="17"/>
        <v/>
      </c>
    </row>
    <row r="168" spans="3:16" x14ac:dyDescent="0.4">
      <c r="C168" s="199"/>
      <c r="D168" s="200"/>
      <c r="E168" s="201"/>
      <c r="F168" s="199"/>
      <c r="H168" s="202"/>
      <c r="I168" s="185" t="str">
        <f t="shared" si="13"/>
        <v/>
      </c>
      <c r="J168" s="203" t="str">
        <f>IF($H168="USD",IF(OR($I168="",$I168="-"),"",VLOOKUP($G168,為替!$A:$AX,$I168,FALSE))+$J$3,IF(OR($I168="",$I168="-"),"",VLOOKUP($G168,為替!$A:$AX,$I168,FALSE)))</f>
        <v/>
      </c>
      <c r="K168" s="204" t="str">
        <f t="shared" si="14"/>
        <v/>
      </c>
      <c r="L168" s="188" t="str">
        <f t="shared" si="15"/>
        <v/>
      </c>
      <c r="M168" s="203" t="str">
        <f>IF($H168="USD",IF(OR($L168="",$L168="-"),"",VLOOKUP($G168,為替!$A:$AX,$L168,FALSE))+$K$3,IF(OR($L168="",$L168="-"),"",VLOOKUP($G168,為替!$A:$AX,$L168,FALSE)))</f>
        <v/>
      </c>
      <c r="N168" s="204" t="str">
        <f t="shared" si="16"/>
        <v/>
      </c>
      <c r="O168" s="205" t="str">
        <f t="shared" si="12"/>
        <v/>
      </c>
      <c r="P168" s="206" t="str">
        <f t="shared" si="17"/>
        <v/>
      </c>
    </row>
    <row r="169" spans="3:16" x14ac:dyDescent="0.4">
      <c r="C169" s="199"/>
      <c r="D169" s="200"/>
      <c r="E169" s="201"/>
      <c r="F169" s="199"/>
      <c r="H169" s="202"/>
      <c r="I169" s="185" t="str">
        <f t="shared" si="13"/>
        <v/>
      </c>
      <c r="J169" s="203" t="str">
        <f>IF($H169="USD",IF(OR($I169="",$I169="-"),"",VLOOKUP($G169,為替!$A:$AX,$I169,FALSE))+$J$3,IF(OR($I169="",$I169="-"),"",VLOOKUP($G169,為替!$A:$AX,$I169,FALSE)))</f>
        <v/>
      </c>
      <c r="K169" s="204" t="str">
        <f t="shared" si="14"/>
        <v/>
      </c>
      <c r="L169" s="188" t="str">
        <f t="shared" si="15"/>
        <v/>
      </c>
      <c r="M169" s="203" t="str">
        <f>IF($H169="USD",IF(OR($L169="",$L169="-"),"",VLOOKUP($G169,為替!$A:$AX,$L169,FALSE))+$K$3,IF(OR($L169="",$L169="-"),"",VLOOKUP($G169,為替!$A:$AX,$L169,FALSE)))</f>
        <v/>
      </c>
      <c r="N169" s="204" t="str">
        <f t="shared" si="16"/>
        <v/>
      </c>
      <c r="O169" s="205" t="str">
        <f t="shared" si="12"/>
        <v/>
      </c>
      <c r="P169" s="206" t="str">
        <f t="shared" si="17"/>
        <v/>
      </c>
    </row>
    <row r="170" spans="3:16" x14ac:dyDescent="0.4">
      <c r="C170" s="199"/>
      <c r="D170" s="200"/>
      <c r="E170" s="201"/>
      <c r="F170" s="199"/>
      <c r="H170" s="202"/>
      <c r="I170" s="185" t="str">
        <f t="shared" si="13"/>
        <v/>
      </c>
      <c r="J170" s="203" t="str">
        <f>IF($H170="USD",IF(OR($I170="",$I170="-"),"",VLOOKUP($G170,為替!$A:$AX,$I170,FALSE))+$J$3,IF(OR($I170="",$I170="-"),"",VLOOKUP($G170,為替!$A:$AX,$I170,FALSE)))</f>
        <v/>
      </c>
      <c r="K170" s="204" t="str">
        <f t="shared" si="14"/>
        <v/>
      </c>
      <c r="L170" s="188" t="str">
        <f t="shared" si="15"/>
        <v/>
      </c>
      <c r="M170" s="203" t="str">
        <f>IF($H170="USD",IF(OR($L170="",$L170="-"),"",VLOOKUP($G170,為替!$A:$AX,$L170,FALSE))+$K$3,IF(OR($L170="",$L170="-"),"",VLOOKUP($G170,為替!$A:$AX,$L170,FALSE)))</f>
        <v/>
      </c>
      <c r="N170" s="204" t="str">
        <f t="shared" si="16"/>
        <v/>
      </c>
      <c r="O170" s="205" t="str">
        <f t="shared" si="12"/>
        <v/>
      </c>
      <c r="P170" s="206" t="str">
        <f t="shared" si="17"/>
        <v/>
      </c>
    </row>
    <row r="171" spans="3:16" x14ac:dyDescent="0.4">
      <c r="C171" s="199"/>
      <c r="D171" s="200"/>
      <c r="E171" s="201"/>
      <c r="F171" s="199"/>
      <c r="H171" s="202"/>
      <c r="I171" s="185" t="str">
        <f t="shared" si="13"/>
        <v/>
      </c>
      <c r="J171" s="203" t="str">
        <f>IF($H171="USD",IF(OR($I171="",$I171="-"),"",VLOOKUP($G171,為替!$A:$AX,$I171,FALSE))+$J$3,IF(OR($I171="",$I171="-"),"",VLOOKUP($G171,為替!$A:$AX,$I171,FALSE)))</f>
        <v/>
      </c>
      <c r="K171" s="204" t="str">
        <f t="shared" si="14"/>
        <v/>
      </c>
      <c r="L171" s="188" t="str">
        <f t="shared" si="15"/>
        <v/>
      </c>
      <c r="M171" s="203" t="str">
        <f>IF($H171="USD",IF(OR($L171="",$L171="-"),"",VLOOKUP($G171,為替!$A:$AX,$L171,FALSE))+$K$3,IF(OR($L171="",$L171="-"),"",VLOOKUP($G171,為替!$A:$AX,$L171,FALSE)))</f>
        <v/>
      </c>
      <c r="N171" s="204" t="str">
        <f t="shared" si="16"/>
        <v/>
      </c>
      <c r="O171" s="205" t="str">
        <f t="shared" si="12"/>
        <v/>
      </c>
      <c r="P171" s="206" t="str">
        <f t="shared" si="17"/>
        <v/>
      </c>
    </row>
    <row r="172" spans="3:16" x14ac:dyDescent="0.4">
      <c r="C172" s="199"/>
      <c r="D172" s="200"/>
      <c r="E172" s="201"/>
      <c r="F172" s="199"/>
      <c r="H172" s="202"/>
      <c r="I172" s="185" t="str">
        <f t="shared" si="13"/>
        <v/>
      </c>
      <c r="J172" s="203" t="str">
        <f>IF($H172="USD",IF(OR($I172="",$I172="-"),"",VLOOKUP($G172,為替!$A:$AX,$I172,FALSE))+$J$3,IF(OR($I172="",$I172="-"),"",VLOOKUP($G172,為替!$A:$AX,$I172,FALSE)))</f>
        <v/>
      </c>
      <c r="K172" s="204" t="str">
        <f t="shared" si="14"/>
        <v/>
      </c>
      <c r="L172" s="188" t="str">
        <f t="shared" si="15"/>
        <v/>
      </c>
      <c r="M172" s="203" t="str">
        <f>IF($H172="USD",IF(OR($L172="",$L172="-"),"",VLOOKUP($G172,為替!$A:$AX,$L172,FALSE))+$K$3,IF(OR($L172="",$L172="-"),"",VLOOKUP($G172,為替!$A:$AX,$L172,FALSE)))</f>
        <v/>
      </c>
      <c r="N172" s="204" t="str">
        <f t="shared" si="16"/>
        <v/>
      </c>
      <c r="O172" s="205" t="str">
        <f t="shared" si="12"/>
        <v/>
      </c>
      <c r="P172" s="206" t="str">
        <f t="shared" si="17"/>
        <v/>
      </c>
    </row>
    <row r="173" spans="3:16" x14ac:dyDescent="0.4">
      <c r="C173" s="199"/>
      <c r="D173" s="200"/>
      <c r="E173" s="201"/>
      <c r="F173" s="199"/>
      <c r="H173" s="202"/>
      <c r="I173" s="185" t="str">
        <f t="shared" si="13"/>
        <v/>
      </c>
      <c r="J173" s="203" t="str">
        <f>IF($H173="USD",IF(OR($I173="",$I173="-"),"",VLOOKUP($G173,為替!$A:$AX,$I173,FALSE))+$J$3,IF(OR($I173="",$I173="-"),"",VLOOKUP($G173,為替!$A:$AX,$I173,FALSE)))</f>
        <v/>
      </c>
      <c r="K173" s="204" t="str">
        <f t="shared" si="14"/>
        <v/>
      </c>
      <c r="L173" s="188" t="str">
        <f t="shared" si="15"/>
        <v/>
      </c>
      <c r="M173" s="203" t="str">
        <f>IF($H173="USD",IF(OR($L173="",$L173="-"),"",VLOOKUP($G173,為替!$A:$AX,$L173,FALSE))+$K$3,IF(OR($L173="",$L173="-"),"",VLOOKUP($G173,為替!$A:$AX,$L173,FALSE)))</f>
        <v/>
      </c>
      <c r="N173" s="204" t="str">
        <f t="shared" si="16"/>
        <v/>
      </c>
      <c r="O173" s="205" t="str">
        <f t="shared" si="12"/>
        <v/>
      </c>
      <c r="P173" s="206" t="str">
        <f t="shared" si="17"/>
        <v/>
      </c>
    </row>
    <row r="174" spans="3:16" x14ac:dyDescent="0.4">
      <c r="C174" s="199"/>
      <c r="D174" s="200"/>
      <c r="E174" s="201"/>
      <c r="F174" s="199"/>
      <c r="H174" s="202"/>
      <c r="I174" s="185" t="str">
        <f t="shared" si="13"/>
        <v/>
      </c>
      <c r="J174" s="203" t="str">
        <f>IF($H174="USD",IF(OR($I174="",$I174="-"),"",VLOOKUP($G174,為替!$A:$AX,$I174,FALSE))+$J$3,IF(OR($I174="",$I174="-"),"",VLOOKUP($G174,為替!$A:$AX,$I174,FALSE)))</f>
        <v/>
      </c>
      <c r="K174" s="204" t="str">
        <f t="shared" si="14"/>
        <v/>
      </c>
      <c r="L174" s="188" t="str">
        <f t="shared" si="15"/>
        <v/>
      </c>
      <c r="M174" s="203" t="str">
        <f>IF($H174="USD",IF(OR($L174="",$L174="-"),"",VLOOKUP($G174,為替!$A:$AX,$L174,FALSE))+$K$3,IF(OR($L174="",$L174="-"),"",VLOOKUP($G174,為替!$A:$AX,$L174,FALSE)))</f>
        <v/>
      </c>
      <c r="N174" s="204" t="str">
        <f t="shared" si="16"/>
        <v/>
      </c>
      <c r="O174" s="205" t="str">
        <f t="shared" si="12"/>
        <v/>
      </c>
      <c r="P174" s="206" t="str">
        <f t="shared" si="17"/>
        <v/>
      </c>
    </row>
    <row r="175" spans="3:16" x14ac:dyDescent="0.4">
      <c r="C175" s="199"/>
      <c r="D175" s="200"/>
      <c r="E175" s="201"/>
      <c r="F175" s="199"/>
      <c r="H175" s="202"/>
      <c r="I175" s="185" t="str">
        <f t="shared" si="13"/>
        <v/>
      </c>
      <c r="J175" s="203" t="str">
        <f>IF($H175="USD",IF(OR($I175="",$I175="-"),"",VLOOKUP($G175,為替!$A:$AX,$I175,FALSE))+$J$3,IF(OR($I175="",$I175="-"),"",VLOOKUP($G175,為替!$A:$AX,$I175,FALSE)))</f>
        <v/>
      </c>
      <c r="K175" s="204" t="str">
        <f t="shared" si="14"/>
        <v/>
      </c>
      <c r="L175" s="188" t="str">
        <f t="shared" si="15"/>
        <v/>
      </c>
      <c r="M175" s="203" t="str">
        <f>IF($H175="USD",IF(OR($L175="",$L175="-"),"",VLOOKUP($G175,為替!$A:$AX,$L175,FALSE))+$K$3,IF(OR($L175="",$L175="-"),"",VLOOKUP($G175,為替!$A:$AX,$L175,FALSE)))</f>
        <v/>
      </c>
      <c r="N175" s="204" t="str">
        <f t="shared" si="16"/>
        <v/>
      </c>
      <c r="O175" s="205" t="str">
        <f t="shared" si="12"/>
        <v/>
      </c>
      <c r="P175" s="206" t="str">
        <f t="shared" si="17"/>
        <v/>
      </c>
    </row>
    <row r="176" spans="3:16" x14ac:dyDescent="0.4">
      <c r="C176" s="199"/>
      <c r="D176" s="200"/>
      <c r="E176" s="201"/>
      <c r="F176" s="199"/>
      <c r="H176" s="202"/>
      <c r="I176" s="185" t="str">
        <f t="shared" si="13"/>
        <v/>
      </c>
      <c r="J176" s="203" t="str">
        <f>IF($H176="USD",IF(OR($I176="",$I176="-"),"",VLOOKUP($G176,為替!$A:$AX,$I176,FALSE))+$J$3,IF(OR($I176="",$I176="-"),"",VLOOKUP($G176,為替!$A:$AX,$I176,FALSE)))</f>
        <v/>
      </c>
      <c r="K176" s="204" t="str">
        <f t="shared" si="14"/>
        <v/>
      </c>
      <c r="L176" s="188" t="str">
        <f t="shared" si="15"/>
        <v/>
      </c>
      <c r="M176" s="203" t="str">
        <f>IF($H176="USD",IF(OR($L176="",$L176="-"),"",VLOOKUP($G176,為替!$A:$AX,$L176,FALSE))+$K$3,IF(OR($L176="",$L176="-"),"",VLOOKUP($G176,為替!$A:$AX,$L176,FALSE)))</f>
        <v/>
      </c>
      <c r="N176" s="204" t="str">
        <f t="shared" si="16"/>
        <v/>
      </c>
      <c r="O176" s="205" t="str">
        <f t="shared" si="12"/>
        <v/>
      </c>
      <c r="P176" s="206" t="str">
        <f t="shared" si="17"/>
        <v/>
      </c>
    </row>
    <row r="177" spans="3:16" x14ac:dyDescent="0.4">
      <c r="C177" s="199"/>
      <c r="D177" s="200"/>
      <c r="E177" s="201"/>
      <c r="F177" s="199"/>
      <c r="H177" s="202"/>
      <c r="I177" s="185" t="str">
        <f t="shared" si="13"/>
        <v/>
      </c>
      <c r="J177" s="203" t="str">
        <f>IF($H177="USD",IF(OR($I177="",$I177="-"),"",VLOOKUP($G177,為替!$A:$AX,$I177,FALSE))+$J$3,IF(OR($I177="",$I177="-"),"",VLOOKUP($G177,為替!$A:$AX,$I177,FALSE)))</f>
        <v/>
      </c>
      <c r="K177" s="204" t="str">
        <f t="shared" si="14"/>
        <v/>
      </c>
      <c r="L177" s="188" t="str">
        <f t="shared" si="15"/>
        <v/>
      </c>
      <c r="M177" s="203" t="str">
        <f>IF($H177="USD",IF(OR($L177="",$L177="-"),"",VLOOKUP($G177,為替!$A:$AX,$L177,FALSE))+$K$3,IF(OR($L177="",$L177="-"),"",VLOOKUP($G177,為替!$A:$AX,$L177,FALSE)))</f>
        <v/>
      </c>
      <c r="N177" s="204" t="str">
        <f t="shared" si="16"/>
        <v/>
      </c>
      <c r="O177" s="205" t="str">
        <f t="shared" si="12"/>
        <v/>
      </c>
      <c r="P177" s="206" t="str">
        <f t="shared" si="17"/>
        <v/>
      </c>
    </row>
    <row r="178" spans="3:16" x14ac:dyDescent="0.4">
      <c r="C178" s="199"/>
      <c r="D178" s="200"/>
      <c r="E178" s="201"/>
      <c r="F178" s="199"/>
      <c r="H178" s="202"/>
      <c r="I178" s="185" t="str">
        <f t="shared" si="13"/>
        <v/>
      </c>
      <c r="J178" s="203" t="str">
        <f>IF($H178="USD",IF(OR($I178="",$I178="-"),"",VLOOKUP($G178,為替!$A:$AX,$I178,FALSE))+$J$3,IF(OR($I178="",$I178="-"),"",VLOOKUP($G178,為替!$A:$AX,$I178,FALSE)))</f>
        <v/>
      </c>
      <c r="K178" s="204" t="str">
        <f t="shared" si="14"/>
        <v/>
      </c>
      <c r="L178" s="188" t="str">
        <f t="shared" si="15"/>
        <v/>
      </c>
      <c r="M178" s="203" t="str">
        <f>IF($H178="USD",IF(OR($L178="",$L178="-"),"",VLOOKUP($G178,為替!$A:$AX,$L178,FALSE))+$K$3,IF(OR($L178="",$L178="-"),"",VLOOKUP($G178,為替!$A:$AX,$L178,FALSE)))</f>
        <v/>
      </c>
      <c r="N178" s="204" t="str">
        <f t="shared" si="16"/>
        <v/>
      </c>
      <c r="O178" s="205" t="str">
        <f t="shared" si="12"/>
        <v/>
      </c>
      <c r="P178" s="206" t="str">
        <f t="shared" si="17"/>
        <v/>
      </c>
    </row>
    <row r="179" spans="3:16" x14ac:dyDescent="0.4">
      <c r="C179" s="199"/>
      <c r="D179" s="200"/>
      <c r="E179" s="201"/>
      <c r="F179" s="199"/>
      <c r="H179" s="202"/>
      <c r="I179" s="185" t="str">
        <f t="shared" si="13"/>
        <v/>
      </c>
      <c r="J179" s="203" t="str">
        <f>IF($H179="USD",IF(OR($I179="",$I179="-"),"",VLOOKUP($G179,為替!$A:$AX,$I179,FALSE))+$J$3,IF(OR($I179="",$I179="-"),"",VLOOKUP($G179,為替!$A:$AX,$I179,FALSE)))</f>
        <v/>
      </c>
      <c r="K179" s="204" t="str">
        <f t="shared" si="14"/>
        <v/>
      </c>
      <c r="L179" s="188" t="str">
        <f t="shared" si="15"/>
        <v/>
      </c>
      <c r="M179" s="203" t="str">
        <f>IF($H179="USD",IF(OR($L179="",$L179="-"),"",VLOOKUP($G179,為替!$A:$AX,$L179,FALSE))+$K$3,IF(OR($L179="",$L179="-"),"",VLOOKUP($G179,為替!$A:$AX,$L179,FALSE)))</f>
        <v/>
      </c>
      <c r="N179" s="204" t="str">
        <f t="shared" si="16"/>
        <v/>
      </c>
      <c r="O179" s="205" t="str">
        <f t="shared" si="12"/>
        <v/>
      </c>
      <c r="P179" s="206" t="str">
        <f t="shared" si="17"/>
        <v/>
      </c>
    </row>
    <row r="180" spans="3:16" x14ac:dyDescent="0.4">
      <c r="C180" s="199"/>
      <c r="D180" s="200"/>
      <c r="E180" s="201"/>
      <c r="F180" s="199"/>
      <c r="H180" s="202"/>
      <c r="I180" s="185" t="str">
        <f t="shared" si="13"/>
        <v/>
      </c>
      <c r="J180" s="203" t="str">
        <f>IF($H180="USD",IF(OR($I180="",$I180="-"),"",VLOOKUP($G180,為替!$A:$AX,$I180,FALSE))+$J$3,IF(OR($I180="",$I180="-"),"",VLOOKUP($G180,為替!$A:$AX,$I180,FALSE)))</f>
        <v/>
      </c>
      <c r="K180" s="204" t="str">
        <f t="shared" si="14"/>
        <v/>
      </c>
      <c r="L180" s="188" t="str">
        <f t="shared" si="15"/>
        <v/>
      </c>
      <c r="M180" s="203" t="str">
        <f>IF($H180="USD",IF(OR($L180="",$L180="-"),"",VLOOKUP($G180,為替!$A:$AX,$L180,FALSE))+$K$3,IF(OR($L180="",$L180="-"),"",VLOOKUP($G180,為替!$A:$AX,$L180,FALSE)))</f>
        <v/>
      </c>
      <c r="N180" s="204" t="str">
        <f t="shared" si="16"/>
        <v/>
      </c>
      <c r="O180" s="205" t="str">
        <f t="shared" si="12"/>
        <v/>
      </c>
      <c r="P180" s="206" t="str">
        <f t="shared" si="17"/>
        <v/>
      </c>
    </row>
    <row r="181" spans="3:16" x14ac:dyDescent="0.4">
      <c r="C181" s="199"/>
      <c r="D181" s="200"/>
      <c r="E181" s="201"/>
      <c r="F181" s="199"/>
      <c r="H181" s="202"/>
      <c r="I181" s="185" t="str">
        <f t="shared" si="13"/>
        <v/>
      </c>
      <c r="J181" s="203" t="str">
        <f>IF($H181="USD",IF(OR($I181="",$I181="-"),"",VLOOKUP($G181,為替!$A:$AX,$I181,FALSE))+$J$3,IF(OR($I181="",$I181="-"),"",VLOOKUP($G181,為替!$A:$AX,$I181,FALSE)))</f>
        <v/>
      </c>
      <c r="K181" s="204" t="str">
        <f t="shared" si="14"/>
        <v/>
      </c>
      <c r="L181" s="188" t="str">
        <f t="shared" si="15"/>
        <v/>
      </c>
      <c r="M181" s="203" t="str">
        <f>IF($H181="USD",IF(OR($L181="",$L181="-"),"",VLOOKUP($G181,為替!$A:$AX,$L181,FALSE))+$K$3,IF(OR($L181="",$L181="-"),"",VLOOKUP($G181,為替!$A:$AX,$L181,FALSE)))</f>
        <v/>
      </c>
      <c r="N181" s="204" t="str">
        <f t="shared" si="16"/>
        <v/>
      </c>
      <c r="O181" s="205" t="str">
        <f t="shared" si="12"/>
        <v/>
      </c>
      <c r="P181" s="206" t="str">
        <f t="shared" si="17"/>
        <v/>
      </c>
    </row>
    <row r="182" spans="3:16" x14ac:dyDescent="0.4">
      <c r="C182" s="199"/>
      <c r="D182" s="200"/>
      <c r="E182" s="201"/>
      <c r="F182" s="199"/>
      <c r="H182" s="202"/>
      <c r="I182" s="185" t="str">
        <f t="shared" si="13"/>
        <v/>
      </c>
      <c r="J182" s="203" t="str">
        <f>IF($H182="USD",IF(OR($I182="",$I182="-"),"",VLOOKUP($G182,為替!$A:$AX,$I182,FALSE))+$J$3,IF(OR($I182="",$I182="-"),"",VLOOKUP($G182,為替!$A:$AX,$I182,FALSE)))</f>
        <v/>
      </c>
      <c r="K182" s="204" t="str">
        <f t="shared" si="14"/>
        <v/>
      </c>
      <c r="L182" s="188" t="str">
        <f t="shared" si="15"/>
        <v/>
      </c>
      <c r="M182" s="203" t="str">
        <f>IF($H182="USD",IF(OR($L182="",$L182="-"),"",VLOOKUP($G182,為替!$A:$AX,$L182,FALSE))+$K$3,IF(OR($L182="",$L182="-"),"",VLOOKUP($G182,為替!$A:$AX,$L182,FALSE)))</f>
        <v/>
      </c>
      <c r="N182" s="204" t="str">
        <f t="shared" si="16"/>
        <v/>
      </c>
      <c r="O182" s="205" t="str">
        <f t="shared" si="12"/>
        <v/>
      </c>
      <c r="P182" s="206" t="str">
        <f t="shared" si="17"/>
        <v/>
      </c>
    </row>
    <row r="183" spans="3:16" x14ac:dyDescent="0.4">
      <c r="C183" s="199"/>
      <c r="D183" s="200"/>
      <c r="E183" s="201"/>
      <c r="F183" s="199"/>
      <c r="H183" s="202"/>
      <c r="I183" s="185" t="str">
        <f t="shared" si="13"/>
        <v/>
      </c>
      <c r="J183" s="203" t="str">
        <f>IF($H183="USD",IF(OR($I183="",$I183="-"),"",VLOOKUP($G183,為替!$A:$AX,$I183,FALSE))+$J$3,IF(OR($I183="",$I183="-"),"",VLOOKUP($G183,為替!$A:$AX,$I183,FALSE)))</f>
        <v/>
      </c>
      <c r="K183" s="204" t="str">
        <f t="shared" si="14"/>
        <v/>
      </c>
      <c r="L183" s="188" t="str">
        <f t="shared" si="15"/>
        <v/>
      </c>
      <c r="M183" s="203" t="str">
        <f>IF($H183="USD",IF(OR($L183="",$L183="-"),"",VLOOKUP($G183,為替!$A:$AX,$L183,FALSE))+$K$3,IF(OR($L183="",$L183="-"),"",VLOOKUP($G183,為替!$A:$AX,$L183,FALSE)))</f>
        <v/>
      </c>
      <c r="N183" s="204" t="str">
        <f t="shared" si="16"/>
        <v/>
      </c>
      <c r="O183" s="205" t="str">
        <f t="shared" si="12"/>
        <v/>
      </c>
      <c r="P183" s="206" t="str">
        <f t="shared" si="17"/>
        <v/>
      </c>
    </row>
    <row r="184" spans="3:16" x14ac:dyDescent="0.4">
      <c r="C184" s="199"/>
      <c r="D184" s="200"/>
      <c r="E184" s="201"/>
      <c r="F184" s="199"/>
      <c r="H184" s="202"/>
      <c r="I184" s="185" t="str">
        <f t="shared" si="13"/>
        <v/>
      </c>
      <c r="J184" s="203" t="str">
        <f>IF($H184="USD",IF(OR($I184="",$I184="-"),"",VLOOKUP($G184,為替!$A:$AX,$I184,FALSE))+$J$3,IF(OR($I184="",$I184="-"),"",VLOOKUP($G184,為替!$A:$AX,$I184,FALSE)))</f>
        <v/>
      </c>
      <c r="K184" s="204" t="str">
        <f t="shared" si="14"/>
        <v/>
      </c>
      <c r="L184" s="188" t="str">
        <f t="shared" si="15"/>
        <v/>
      </c>
      <c r="M184" s="203" t="str">
        <f>IF($H184="USD",IF(OR($L184="",$L184="-"),"",VLOOKUP($G184,為替!$A:$AX,$L184,FALSE))+$K$3,IF(OR($L184="",$L184="-"),"",VLOOKUP($G184,為替!$A:$AX,$L184,FALSE)))</f>
        <v/>
      </c>
      <c r="N184" s="204" t="str">
        <f t="shared" si="16"/>
        <v/>
      </c>
      <c r="O184" s="205" t="str">
        <f t="shared" si="12"/>
        <v/>
      </c>
      <c r="P184" s="206" t="str">
        <f t="shared" si="17"/>
        <v/>
      </c>
    </row>
    <row r="185" spans="3:16" x14ac:dyDescent="0.4">
      <c r="C185" s="199"/>
      <c r="D185" s="200"/>
      <c r="E185" s="201"/>
      <c r="F185" s="199"/>
      <c r="H185" s="202"/>
      <c r="I185" s="185" t="str">
        <f t="shared" si="13"/>
        <v/>
      </c>
      <c r="J185" s="203" t="str">
        <f>IF($H185="USD",IF(OR($I185="",$I185="-"),"",VLOOKUP($G185,為替!$A:$AX,$I185,FALSE))+$J$3,IF(OR($I185="",$I185="-"),"",VLOOKUP($G185,為替!$A:$AX,$I185,FALSE)))</f>
        <v/>
      </c>
      <c r="K185" s="204" t="str">
        <f t="shared" si="14"/>
        <v/>
      </c>
      <c r="L185" s="188" t="str">
        <f t="shared" si="15"/>
        <v/>
      </c>
      <c r="M185" s="203" t="str">
        <f>IF($H185="USD",IF(OR($L185="",$L185="-"),"",VLOOKUP($G185,為替!$A:$AX,$L185,FALSE))+$K$3,IF(OR($L185="",$L185="-"),"",VLOOKUP($G185,為替!$A:$AX,$L185,FALSE)))</f>
        <v/>
      </c>
      <c r="N185" s="204" t="str">
        <f t="shared" si="16"/>
        <v/>
      </c>
      <c r="O185" s="205" t="str">
        <f t="shared" si="12"/>
        <v/>
      </c>
      <c r="P185" s="206" t="str">
        <f t="shared" si="17"/>
        <v/>
      </c>
    </row>
    <row r="186" spans="3:16" x14ac:dyDescent="0.4">
      <c r="C186" s="199"/>
      <c r="D186" s="200"/>
      <c r="E186" s="201"/>
      <c r="F186" s="199"/>
      <c r="H186" s="202"/>
      <c r="I186" s="185" t="str">
        <f t="shared" si="13"/>
        <v/>
      </c>
      <c r="J186" s="203" t="str">
        <f>IF($H186="USD",IF(OR($I186="",$I186="-"),"",VLOOKUP($G186,為替!$A:$AX,$I186,FALSE))+$J$3,IF(OR($I186="",$I186="-"),"",VLOOKUP($G186,為替!$A:$AX,$I186,FALSE)))</f>
        <v/>
      </c>
      <c r="K186" s="204" t="str">
        <f t="shared" si="14"/>
        <v/>
      </c>
      <c r="L186" s="188" t="str">
        <f t="shared" si="15"/>
        <v/>
      </c>
      <c r="M186" s="203" t="str">
        <f>IF($H186="USD",IF(OR($L186="",$L186="-"),"",VLOOKUP($G186,為替!$A:$AX,$L186,FALSE))+$K$3,IF(OR($L186="",$L186="-"),"",VLOOKUP($G186,為替!$A:$AX,$L186,FALSE)))</f>
        <v/>
      </c>
      <c r="N186" s="204" t="str">
        <f t="shared" si="16"/>
        <v/>
      </c>
      <c r="O186" s="205" t="str">
        <f t="shared" si="12"/>
        <v/>
      </c>
      <c r="P186" s="206" t="str">
        <f t="shared" si="17"/>
        <v/>
      </c>
    </row>
    <row r="187" spans="3:16" x14ac:dyDescent="0.4">
      <c r="C187" s="199"/>
      <c r="D187" s="200"/>
      <c r="E187" s="201"/>
      <c r="F187" s="199"/>
      <c r="H187" s="202"/>
      <c r="I187" s="185" t="str">
        <f t="shared" si="13"/>
        <v/>
      </c>
      <c r="J187" s="203" t="str">
        <f>IF($H187="USD",IF(OR($I187="",$I187="-"),"",VLOOKUP($G187,為替!$A:$AX,$I187,FALSE))+$J$3,IF(OR($I187="",$I187="-"),"",VLOOKUP($G187,為替!$A:$AX,$I187,FALSE)))</f>
        <v/>
      </c>
      <c r="K187" s="204" t="str">
        <f t="shared" si="14"/>
        <v/>
      </c>
      <c r="L187" s="188" t="str">
        <f t="shared" si="15"/>
        <v/>
      </c>
      <c r="M187" s="203" t="str">
        <f>IF($H187="USD",IF(OR($L187="",$L187="-"),"",VLOOKUP($G187,為替!$A:$AX,$L187,FALSE))+$K$3,IF(OR($L187="",$L187="-"),"",VLOOKUP($G187,為替!$A:$AX,$L187,FALSE)))</f>
        <v/>
      </c>
      <c r="N187" s="204" t="str">
        <f t="shared" si="16"/>
        <v/>
      </c>
      <c r="O187" s="205" t="str">
        <f t="shared" si="12"/>
        <v/>
      </c>
      <c r="P187" s="206" t="str">
        <f t="shared" si="17"/>
        <v/>
      </c>
    </row>
    <row r="188" spans="3:16" x14ac:dyDescent="0.4">
      <c r="C188" s="199"/>
      <c r="D188" s="200"/>
      <c r="E188" s="201"/>
      <c r="F188" s="199"/>
      <c r="H188" s="202"/>
      <c r="I188" s="185" t="str">
        <f t="shared" si="13"/>
        <v/>
      </c>
      <c r="J188" s="203" t="str">
        <f>IF($H188="USD",IF(OR($I188="",$I188="-"),"",VLOOKUP($G188,為替!$A:$AX,$I188,FALSE))+$J$3,IF(OR($I188="",$I188="-"),"",VLOOKUP($G188,為替!$A:$AX,$I188,FALSE)))</f>
        <v/>
      </c>
      <c r="K188" s="204" t="str">
        <f t="shared" si="14"/>
        <v/>
      </c>
      <c r="L188" s="188" t="str">
        <f t="shared" si="15"/>
        <v/>
      </c>
      <c r="M188" s="203" t="str">
        <f>IF($H188="USD",IF(OR($L188="",$L188="-"),"",VLOOKUP($G188,為替!$A:$AX,$L188,FALSE))+$K$3,IF(OR($L188="",$L188="-"),"",VLOOKUP($G188,為替!$A:$AX,$L188,FALSE)))</f>
        <v/>
      </c>
      <c r="N188" s="204" t="str">
        <f t="shared" si="16"/>
        <v/>
      </c>
      <c r="O188" s="205" t="str">
        <f t="shared" si="12"/>
        <v/>
      </c>
      <c r="P188" s="206" t="str">
        <f t="shared" si="17"/>
        <v/>
      </c>
    </row>
    <row r="189" spans="3:16" x14ac:dyDescent="0.4">
      <c r="C189" s="199"/>
      <c r="D189" s="200"/>
      <c r="E189" s="201"/>
      <c r="F189" s="199"/>
      <c r="H189" s="202"/>
      <c r="I189" s="185" t="str">
        <f t="shared" si="13"/>
        <v/>
      </c>
      <c r="J189" s="203" t="str">
        <f>IF($H189="USD",IF(OR($I189="",$I189="-"),"",VLOOKUP($G189,為替!$A:$AX,$I189,FALSE))+$J$3,IF(OR($I189="",$I189="-"),"",VLOOKUP($G189,為替!$A:$AX,$I189,FALSE)))</f>
        <v/>
      </c>
      <c r="K189" s="204" t="str">
        <f t="shared" si="14"/>
        <v/>
      </c>
      <c r="L189" s="188" t="str">
        <f t="shared" si="15"/>
        <v/>
      </c>
      <c r="M189" s="203" t="str">
        <f>IF($H189="USD",IF(OR($L189="",$L189="-"),"",VLOOKUP($G189,為替!$A:$AX,$L189,FALSE))+$K$3,IF(OR($L189="",$L189="-"),"",VLOOKUP($G189,為替!$A:$AX,$L189,FALSE)))</f>
        <v/>
      </c>
      <c r="N189" s="204" t="str">
        <f t="shared" si="16"/>
        <v/>
      </c>
      <c r="O189" s="205" t="str">
        <f t="shared" si="12"/>
        <v/>
      </c>
      <c r="P189" s="206" t="str">
        <f t="shared" si="17"/>
        <v/>
      </c>
    </row>
    <row r="190" spans="3:16" x14ac:dyDescent="0.4">
      <c r="C190" s="199"/>
      <c r="D190" s="200"/>
      <c r="E190" s="201"/>
      <c r="F190" s="199"/>
      <c r="H190" s="202"/>
      <c r="I190" s="185" t="str">
        <f t="shared" si="13"/>
        <v/>
      </c>
      <c r="J190" s="203" t="str">
        <f>IF($H190="USD",IF(OR($I190="",$I190="-"),"",VLOOKUP($G190,為替!$A:$AX,$I190,FALSE))+$J$3,IF(OR($I190="",$I190="-"),"",VLOOKUP($G190,為替!$A:$AX,$I190,FALSE)))</f>
        <v/>
      </c>
      <c r="K190" s="204" t="str">
        <f t="shared" si="14"/>
        <v/>
      </c>
      <c r="L190" s="188" t="str">
        <f t="shared" si="15"/>
        <v/>
      </c>
      <c r="M190" s="203" t="str">
        <f>IF($H190="USD",IF(OR($L190="",$L190="-"),"",VLOOKUP($G190,為替!$A:$AX,$L190,FALSE))+$K$3,IF(OR($L190="",$L190="-"),"",VLOOKUP($G190,為替!$A:$AX,$L190,FALSE)))</f>
        <v/>
      </c>
      <c r="N190" s="204" t="str">
        <f t="shared" si="16"/>
        <v/>
      </c>
      <c r="O190" s="205" t="str">
        <f t="shared" si="12"/>
        <v/>
      </c>
      <c r="P190" s="206" t="str">
        <f t="shared" si="17"/>
        <v/>
      </c>
    </row>
    <row r="191" spans="3:16" x14ac:dyDescent="0.4">
      <c r="C191" s="199"/>
      <c r="D191" s="200"/>
      <c r="E191" s="201"/>
      <c r="F191" s="199"/>
      <c r="H191" s="202"/>
      <c r="I191" s="185" t="str">
        <f t="shared" si="13"/>
        <v/>
      </c>
      <c r="J191" s="203" t="str">
        <f>IF($H191="USD",IF(OR($I191="",$I191="-"),"",VLOOKUP($G191,為替!$A:$AX,$I191,FALSE))+$J$3,IF(OR($I191="",$I191="-"),"",VLOOKUP($G191,為替!$A:$AX,$I191,FALSE)))</f>
        <v/>
      </c>
      <c r="K191" s="204" t="str">
        <f t="shared" si="14"/>
        <v/>
      </c>
      <c r="L191" s="188" t="str">
        <f t="shared" si="15"/>
        <v/>
      </c>
      <c r="M191" s="203" t="str">
        <f>IF($H191="USD",IF(OR($L191="",$L191="-"),"",VLOOKUP($G191,為替!$A:$AX,$L191,FALSE))+$K$3,IF(OR($L191="",$L191="-"),"",VLOOKUP($G191,為替!$A:$AX,$L191,FALSE)))</f>
        <v/>
      </c>
      <c r="N191" s="204" t="str">
        <f t="shared" si="16"/>
        <v/>
      </c>
      <c r="O191" s="205" t="str">
        <f t="shared" si="12"/>
        <v/>
      </c>
      <c r="P191" s="206" t="str">
        <f t="shared" si="17"/>
        <v/>
      </c>
    </row>
    <row r="192" spans="3:16" x14ac:dyDescent="0.4">
      <c r="C192" s="199"/>
      <c r="D192" s="200"/>
      <c r="E192" s="201"/>
      <c r="F192" s="199"/>
      <c r="H192" s="202"/>
      <c r="I192" s="185" t="str">
        <f t="shared" si="13"/>
        <v/>
      </c>
      <c r="J192" s="203" t="str">
        <f>IF($H192="USD",IF(OR($I192="",$I192="-"),"",VLOOKUP($G192,為替!$A:$AX,$I192,FALSE))+$J$3,IF(OR($I192="",$I192="-"),"",VLOOKUP($G192,為替!$A:$AX,$I192,FALSE)))</f>
        <v/>
      </c>
      <c r="K192" s="204" t="str">
        <f t="shared" si="14"/>
        <v/>
      </c>
      <c r="L192" s="188" t="str">
        <f t="shared" si="15"/>
        <v/>
      </c>
      <c r="M192" s="203" t="str">
        <f>IF($H192="USD",IF(OR($L192="",$L192="-"),"",VLOOKUP($G192,為替!$A:$AX,$L192,FALSE))+$K$3,IF(OR($L192="",$L192="-"),"",VLOOKUP($G192,為替!$A:$AX,$L192,FALSE)))</f>
        <v/>
      </c>
      <c r="N192" s="204" t="str">
        <f t="shared" si="16"/>
        <v/>
      </c>
      <c r="O192" s="205" t="str">
        <f t="shared" si="12"/>
        <v/>
      </c>
      <c r="P192" s="206" t="str">
        <f t="shared" si="17"/>
        <v/>
      </c>
    </row>
    <row r="193" spans="3:16" x14ac:dyDescent="0.4">
      <c r="C193" s="199"/>
      <c r="D193" s="200"/>
      <c r="E193" s="201"/>
      <c r="F193" s="199"/>
      <c r="H193" s="202"/>
      <c r="I193" s="185" t="str">
        <f t="shared" si="13"/>
        <v/>
      </c>
      <c r="J193" s="203" t="str">
        <f>IF($H193="USD",IF(OR($I193="",$I193="-"),"",VLOOKUP($G193,為替!$A:$AX,$I193,FALSE))+$J$3,IF(OR($I193="",$I193="-"),"",VLOOKUP($G193,為替!$A:$AX,$I193,FALSE)))</f>
        <v/>
      </c>
      <c r="K193" s="204" t="str">
        <f t="shared" si="14"/>
        <v/>
      </c>
      <c r="L193" s="188" t="str">
        <f t="shared" si="15"/>
        <v/>
      </c>
      <c r="M193" s="203" t="str">
        <f>IF($H193="USD",IF(OR($L193="",$L193="-"),"",VLOOKUP($G193,為替!$A:$AX,$L193,FALSE))+$K$3,IF(OR($L193="",$L193="-"),"",VLOOKUP($G193,為替!$A:$AX,$L193,FALSE)))</f>
        <v/>
      </c>
      <c r="N193" s="204" t="str">
        <f t="shared" si="16"/>
        <v/>
      </c>
      <c r="O193" s="205" t="str">
        <f t="shared" si="12"/>
        <v/>
      </c>
      <c r="P193" s="206" t="str">
        <f t="shared" si="17"/>
        <v/>
      </c>
    </row>
    <row r="194" spans="3:16" x14ac:dyDescent="0.4">
      <c r="C194" s="199"/>
      <c r="D194" s="200"/>
      <c r="E194" s="201"/>
      <c r="F194" s="199"/>
      <c r="H194" s="202"/>
      <c r="I194" s="185" t="str">
        <f t="shared" si="13"/>
        <v/>
      </c>
      <c r="J194" s="203" t="str">
        <f>IF($H194="USD",IF(OR($I194="",$I194="-"),"",VLOOKUP($G194,為替!$A:$AX,$I194,FALSE))+$J$3,IF(OR($I194="",$I194="-"),"",VLOOKUP($G194,為替!$A:$AX,$I194,FALSE)))</f>
        <v/>
      </c>
      <c r="K194" s="204" t="str">
        <f t="shared" si="14"/>
        <v/>
      </c>
      <c r="L194" s="188" t="str">
        <f t="shared" si="15"/>
        <v/>
      </c>
      <c r="M194" s="203" t="str">
        <f>IF($H194="USD",IF(OR($L194="",$L194="-"),"",VLOOKUP($G194,為替!$A:$AX,$L194,FALSE))+$K$3,IF(OR($L194="",$L194="-"),"",VLOOKUP($G194,為替!$A:$AX,$L194,FALSE)))</f>
        <v/>
      </c>
      <c r="N194" s="204" t="str">
        <f t="shared" si="16"/>
        <v/>
      </c>
      <c r="O194" s="205" t="str">
        <f t="shared" si="12"/>
        <v/>
      </c>
      <c r="P194" s="206" t="str">
        <f t="shared" si="17"/>
        <v/>
      </c>
    </row>
    <row r="195" spans="3:16" x14ac:dyDescent="0.4">
      <c r="C195" s="199"/>
      <c r="D195" s="200"/>
      <c r="E195" s="201"/>
      <c r="F195" s="199"/>
      <c r="H195" s="202"/>
      <c r="I195" s="185" t="str">
        <f t="shared" si="13"/>
        <v/>
      </c>
      <c r="J195" s="203" t="str">
        <f>IF($H195="USD",IF(OR($I195="",$I195="-"),"",VLOOKUP($G195,為替!$A:$AX,$I195,FALSE))+$J$3,IF(OR($I195="",$I195="-"),"",VLOOKUP($G195,為替!$A:$AX,$I195,FALSE)))</f>
        <v/>
      </c>
      <c r="K195" s="204" t="str">
        <f t="shared" si="14"/>
        <v/>
      </c>
      <c r="L195" s="188" t="str">
        <f t="shared" si="15"/>
        <v/>
      </c>
      <c r="M195" s="203" t="str">
        <f>IF($H195="USD",IF(OR($L195="",$L195="-"),"",VLOOKUP($G195,為替!$A:$AX,$L195,FALSE))+$K$3,IF(OR($L195="",$L195="-"),"",VLOOKUP($G195,為替!$A:$AX,$L195,FALSE)))</f>
        <v/>
      </c>
      <c r="N195" s="204" t="str">
        <f t="shared" si="16"/>
        <v/>
      </c>
      <c r="O195" s="205" t="str">
        <f t="shared" si="12"/>
        <v/>
      </c>
      <c r="P195" s="206" t="str">
        <f t="shared" si="17"/>
        <v/>
      </c>
    </row>
    <row r="196" spans="3:16" x14ac:dyDescent="0.4">
      <c r="C196" s="199"/>
      <c r="D196" s="200"/>
      <c r="E196" s="201"/>
      <c r="F196" s="199"/>
      <c r="H196" s="202"/>
      <c r="I196" s="185" t="str">
        <f t="shared" si="13"/>
        <v/>
      </c>
      <c r="J196" s="203" t="str">
        <f>IF($H196="USD",IF(OR($I196="",$I196="-"),"",VLOOKUP($G196,為替!$A:$AX,$I196,FALSE))+$J$3,IF(OR($I196="",$I196="-"),"",VLOOKUP($G196,為替!$A:$AX,$I196,FALSE)))</f>
        <v/>
      </c>
      <c r="K196" s="204" t="str">
        <f t="shared" si="14"/>
        <v/>
      </c>
      <c r="L196" s="188" t="str">
        <f t="shared" si="15"/>
        <v/>
      </c>
      <c r="M196" s="203" t="str">
        <f>IF($H196="USD",IF(OR($L196="",$L196="-"),"",VLOOKUP($G196,為替!$A:$AX,$L196,FALSE))+$K$3,IF(OR($L196="",$L196="-"),"",VLOOKUP($G196,為替!$A:$AX,$L196,FALSE)))</f>
        <v/>
      </c>
      <c r="N196" s="204" t="str">
        <f t="shared" si="16"/>
        <v/>
      </c>
      <c r="O196" s="205" t="str">
        <f t="shared" si="12"/>
        <v/>
      </c>
      <c r="P196" s="206" t="str">
        <f t="shared" si="17"/>
        <v/>
      </c>
    </row>
    <row r="197" spans="3:16" x14ac:dyDescent="0.4">
      <c r="C197" s="199"/>
      <c r="D197" s="200"/>
      <c r="E197" s="201"/>
      <c r="F197" s="199"/>
      <c r="H197" s="202"/>
      <c r="I197" s="185" t="str">
        <f t="shared" si="13"/>
        <v/>
      </c>
      <c r="J197" s="203" t="str">
        <f>IF($H197="USD",IF(OR($I197="",$I197="-"),"",VLOOKUP($G197,為替!$A:$AX,$I197,FALSE))+$J$3,IF(OR($I197="",$I197="-"),"",VLOOKUP($G197,為替!$A:$AX,$I197,FALSE)))</f>
        <v/>
      </c>
      <c r="K197" s="204" t="str">
        <f t="shared" si="14"/>
        <v/>
      </c>
      <c r="L197" s="188" t="str">
        <f t="shared" si="15"/>
        <v/>
      </c>
      <c r="M197" s="203" t="str">
        <f>IF($H197="USD",IF(OR($L197="",$L197="-"),"",VLOOKUP($G197,為替!$A:$AX,$L197,FALSE))+$K$3,IF(OR($L197="",$L197="-"),"",VLOOKUP($G197,為替!$A:$AX,$L197,FALSE)))</f>
        <v/>
      </c>
      <c r="N197" s="204" t="str">
        <f t="shared" si="16"/>
        <v/>
      </c>
      <c r="O197" s="205" t="str">
        <f t="shared" si="12"/>
        <v/>
      </c>
      <c r="P197" s="206" t="str">
        <f t="shared" si="17"/>
        <v/>
      </c>
    </row>
    <row r="198" spans="3:16" x14ac:dyDescent="0.4">
      <c r="C198" s="199"/>
      <c r="D198" s="200"/>
      <c r="E198" s="201"/>
      <c r="F198" s="199"/>
      <c r="H198" s="202"/>
      <c r="I198" s="185" t="str">
        <f t="shared" si="13"/>
        <v/>
      </c>
      <c r="J198" s="203" t="str">
        <f>IF($H198="USD",IF(OR($I198="",$I198="-"),"",VLOOKUP($G198,為替!$A:$AX,$I198,FALSE))+$J$3,IF(OR($I198="",$I198="-"),"",VLOOKUP($G198,為替!$A:$AX,$I198,FALSE)))</f>
        <v/>
      </c>
      <c r="K198" s="204" t="str">
        <f t="shared" si="14"/>
        <v/>
      </c>
      <c r="L198" s="188" t="str">
        <f t="shared" si="15"/>
        <v/>
      </c>
      <c r="M198" s="203" t="str">
        <f>IF($H198="USD",IF(OR($L198="",$L198="-"),"",VLOOKUP($G198,為替!$A:$AX,$L198,FALSE))+$K$3,IF(OR($L198="",$L198="-"),"",VLOOKUP($G198,為替!$A:$AX,$L198,FALSE)))</f>
        <v/>
      </c>
      <c r="N198" s="204" t="str">
        <f t="shared" si="16"/>
        <v/>
      </c>
      <c r="O198" s="205" t="str">
        <f t="shared" ref="O198:O261" si="18">IF(OR(K198="",N198=""),"",K198-N198)</f>
        <v/>
      </c>
      <c r="P198" s="206" t="str">
        <f t="shared" si="17"/>
        <v/>
      </c>
    </row>
    <row r="199" spans="3:16" x14ac:dyDescent="0.4">
      <c r="C199" s="199"/>
      <c r="D199" s="200"/>
      <c r="E199" s="201"/>
      <c r="F199" s="199"/>
      <c r="H199" s="202"/>
      <c r="I199" s="185" t="str">
        <f t="shared" ref="I199:I262" si="19">IF(H199="","",IF(H199="JPY","",IF($H199="USD",4, IF(H199="EUR",7,IF(H199="CNY",47,IF(H199="HKD",34))))))</f>
        <v/>
      </c>
      <c r="J199" s="203" t="str">
        <f>IF($H199="USD",IF(OR($I199="",$I199="-"),"",VLOOKUP($G199,為替!$A:$AX,$I199,FALSE))+$J$3,IF(OR($I199="",$I199="-"),"",VLOOKUP($G199,為替!$A:$AX,$I199,FALSE)))</f>
        <v/>
      </c>
      <c r="K199" s="204" t="str">
        <f t="shared" ref="K199:K262" si="20">IF($H199="JPY",$F199,IF($H199="","",$F199*$J199))</f>
        <v/>
      </c>
      <c r="L199" s="188" t="str">
        <f t="shared" ref="L199:L262" si="21">IF(H199="","",IF(H199="JPY","",IF($H199="USD",3, IF(H199="EUR",6,IF(H199="CNY",46,IF(H199="HKD",33))))))</f>
        <v/>
      </c>
      <c r="M199" s="203" t="str">
        <f>IF($H199="USD",IF(OR($L199="",$L199="-"),"",VLOOKUP($G199,為替!$A:$AX,$L199,FALSE))+$K$3,IF(OR($L199="",$L199="-"),"",VLOOKUP($G199,為替!$A:$AX,$L199,FALSE)))</f>
        <v/>
      </c>
      <c r="N199" s="204" t="str">
        <f t="shared" ref="N199:N262" si="22">IF($E199="JPY",($C199+$D199),IF($E199="","",($C199+$D199)*$M199))</f>
        <v/>
      </c>
      <c r="O199" s="205" t="str">
        <f t="shared" si="18"/>
        <v/>
      </c>
      <c r="P199" s="206" t="str">
        <f t="shared" ref="P199:P262" si="23">IF(OR(K199="",O199=""),"",O199/K199)</f>
        <v/>
      </c>
    </row>
    <row r="200" spans="3:16" x14ac:dyDescent="0.4">
      <c r="C200" s="199"/>
      <c r="D200" s="200"/>
      <c r="E200" s="201"/>
      <c r="F200" s="199"/>
      <c r="H200" s="202"/>
      <c r="I200" s="185" t="str">
        <f t="shared" si="19"/>
        <v/>
      </c>
      <c r="J200" s="203" t="str">
        <f>IF($H200="USD",IF(OR($I200="",$I200="-"),"",VLOOKUP($G200,為替!$A:$AX,$I200,FALSE))+$J$3,IF(OR($I200="",$I200="-"),"",VLOOKUP($G200,為替!$A:$AX,$I200,FALSE)))</f>
        <v/>
      </c>
      <c r="K200" s="204" t="str">
        <f t="shared" si="20"/>
        <v/>
      </c>
      <c r="L200" s="188" t="str">
        <f t="shared" si="21"/>
        <v/>
      </c>
      <c r="M200" s="203" t="str">
        <f>IF($H200="USD",IF(OR($L200="",$L200="-"),"",VLOOKUP($G200,為替!$A:$AX,$L200,FALSE))+$K$3,IF(OR($L200="",$L200="-"),"",VLOOKUP($G200,為替!$A:$AX,$L200,FALSE)))</f>
        <v/>
      </c>
      <c r="N200" s="204" t="str">
        <f t="shared" si="22"/>
        <v/>
      </c>
      <c r="O200" s="205" t="str">
        <f t="shared" si="18"/>
        <v/>
      </c>
      <c r="P200" s="206" t="str">
        <f t="shared" si="23"/>
        <v/>
      </c>
    </row>
    <row r="201" spans="3:16" x14ac:dyDescent="0.4">
      <c r="C201" s="199"/>
      <c r="D201" s="200"/>
      <c r="E201" s="201"/>
      <c r="F201" s="199"/>
      <c r="H201" s="202"/>
      <c r="I201" s="185" t="str">
        <f t="shared" si="19"/>
        <v/>
      </c>
      <c r="J201" s="203" t="str">
        <f>IF($H201="USD",IF(OR($I201="",$I201="-"),"",VLOOKUP($G201,為替!$A:$AX,$I201,FALSE))+$J$3,IF(OR($I201="",$I201="-"),"",VLOOKUP($G201,為替!$A:$AX,$I201,FALSE)))</f>
        <v/>
      </c>
      <c r="K201" s="204" t="str">
        <f t="shared" si="20"/>
        <v/>
      </c>
      <c r="L201" s="188" t="str">
        <f t="shared" si="21"/>
        <v/>
      </c>
      <c r="M201" s="203" t="str">
        <f>IF($H201="USD",IF(OR($L201="",$L201="-"),"",VLOOKUP($G201,為替!$A:$AX,$L201,FALSE))+$K$3,IF(OR($L201="",$L201="-"),"",VLOOKUP($G201,為替!$A:$AX,$L201,FALSE)))</f>
        <v/>
      </c>
      <c r="N201" s="204" t="str">
        <f t="shared" si="22"/>
        <v/>
      </c>
      <c r="O201" s="205" t="str">
        <f t="shared" si="18"/>
        <v/>
      </c>
      <c r="P201" s="206" t="str">
        <f t="shared" si="23"/>
        <v/>
      </c>
    </row>
    <row r="202" spans="3:16" x14ac:dyDescent="0.4">
      <c r="C202" s="199"/>
      <c r="D202" s="200"/>
      <c r="E202" s="201"/>
      <c r="F202" s="199"/>
      <c r="H202" s="202"/>
      <c r="I202" s="185" t="str">
        <f t="shared" si="19"/>
        <v/>
      </c>
      <c r="J202" s="203" t="str">
        <f>IF($H202="USD",IF(OR($I202="",$I202="-"),"",VLOOKUP($G202,為替!$A:$AX,$I202,FALSE))+$J$3,IF(OR($I202="",$I202="-"),"",VLOOKUP($G202,為替!$A:$AX,$I202,FALSE)))</f>
        <v/>
      </c>
      <c r="K202" s="204" t="str">
        <f t="shared" si="20"/>
        <v/>
      </c>
      <c r="L202" s="188" t="str">
        <f t="shared" si="21"/>
        <v/>
      </c>
      <c r="M202" s="203" t="str">
        <f>IF($H202="USD",IF(OR($L202="",$L202="-"),"",VLOOKUP($G202,為替!$A:$AX,$L202,FALSE))+$K$3,IF(OR($L202="",$L202="-"),"",VLOOKUP($G202,為替!$A:$AX,$L202,FALSE)))</f>
        <v/>
      </c>
      <c r="N202" s="204" t="str">
        <f t="shared" si="22"/>
        <v/>
      </c>
      <c r="O202" s="205" t="str">
        <f t="shared" si="18"/>
        <v/>
      </c>
      <c r="P202" s="206" t="str">
        <f t="shared" si="23"/>
        <v/>
      </c>
    </row>
    <row r="203" spans="3:16" x14ac:dyDescent="0.4">
      <c r="C203" s="199"/>
      <c r="D203" s="200"/>
      <c r="E203" s="201"/>
      <c r="F203" s="199"/>
      <c r="H203" s="202"/>
      <c r="I203" s="185" t="str">
        <f t="shared" si="19"/>
        <v/>
      </c>
      <c r="J203" s="203" t="str">
        <f>IF($H203="USD",IF(OR($I203="",$I203="-"),"",VLOOKUP($G203,為替!$A:$AX,$I203,FALSE))+$J$3,IF(OR($I203="",$I203="-"),"",VLOOKUP($G203,為替!$A:$AX,$I203,FALSE)))</f>
        <v/>
      </c>
      <c r="K203" s="204" t="str">
        <f t="shared" si="20"/>
        <v/>
      </c>
      <c r="L203" s="188" t="str">
        <f t="shared" si="21"/>
        <v/>
      </c>
      <c r="M203" s="203" t="str">
        <f>IF($H203="USD",IF(OR($L203="",$L203="-"),"",VLOOKUP($G203,為替!$A:$AX,$L203,FALSE))+$K$3,IF(OR($L203="",$L203="-"),"",VLOOKUP($G203,為替!$A:$AX,$L203,FALSE)))</f>
        <v/>
      </c>
      <c r="N203" s="204" t="str">
        <f t="shared" si="22"/>
        <v/>
      </c>
      <c r="O203" s="205" t="str">
        <f t="shared" si="18"/>
        <v/>
      </c>
      <c r="P203" s="206" t="str">
        <f t="shared" si="23"/>
        <v/>
      </c>
    </row>
    <row r="204" spans="3:16" x14ac:dyDescent="0.4">
      <c r="C204" s="199"/>
      <c r="D204" s="200"/>
      <c r="E204" s="201"/>
      <c r="F204" s="199"/>
      <c r="H204" s="202"/>
      <c r="I204" s="185" t="str">
        <f t="shared" si="19"/>
        <v/>
      </c>
      <c r="J204" s="203" t="str">
        <f>IF($H204="USD",IF(OR($I204="",$I204="-"),"",VLOOKUP($G204,為替!$A:$AX,$I204,FALSE))+$J$3,IF(OR($I204="",$I204="-"),"",VLOOKUP($G204,為替!$A:$AX,$I204,FALSE)))</f>
        <v/>
      </c>
      <c r="K204" s="204" t="str">
        <f t="shared" si="20"/>
        <v/>
      </c>
      <c r="L204" s="188" t="str">
        <f t="shared" si="21"/>
        <v/>
      </c>
      <c r="M204" s="203" t="str">
        <f>IF($H204="USD",IF(OR($L204="",$L204="-"),"",VLOOKUP($G204,為替!$A:$AX,$L204,FALSE))+$K$3,IF(OR($L204="",$L204="-"),"",VLOOKUP($G204,為替!$A:$AX,$L204,FALSE)))</f>
        <v/>
      </c>
      <c r="N204" s="204" t="str">
        <f t="shared" si="22"/>
        <v/>
      </c>
      <c r="O204" s="205" t="str">
        <f t="shared" si="18"/>
        <v/>
      </c>
      <c r="P204" s="206" t="str">
        <f t="shared" si="23"/>
        <v/>
      </c>
    </row>
    <row r="205" spans="3:16" x14ac:dyDescent="0.4">
      <c r="C205" s="199"/>
      <c r="D205" s="200"/>
      <c r="E205" s="201"/>
      <c r="F205" s="199"/>
      <c r="H205" s="202"/>
      <c r="I205" s="185" t="str">
        <f t="shared" si="19"/>
        <v/>
      </c>
      <c r="J205" s="203" t="str">
        <f>IF($H205="USD",IF(OR($I205="",$I205="-"),"",VLOOKUP($G205,為替!$A:$AX,$I205,FALSE))+$J$3,IF(OR($I205="",$I205="-"),"",VLOOKUP($G205,為替!$A:$AX,$I205,FALSE)))</f>
        <v/>
      </c>
      <c r="K205" s="204" t="str">
        <f t="shared" si="20"/>
        <v/>
      </c>
      <c r="L205" s="188" t="str">
        <f t="shared" si="21"/>
        <v/>
      </c>
      <c r="M205" s="203" t="str">
        <f>IF($H205="USD",IF(OR($L205="",$L205="-"),"",VLOOKUP($G205,為替!$A:$AX,$L205,FALSE))+$K$3,IF(OR($L205="",$L205="-"),"",VLOOKUP($G205,為替!$A:$AX,$L205,FALSE)))</f>
        <v/>
      </c>
      <c r="N205" s="204" t="str">
        <f t="shared" si="22"/>
        <v/>
      </c>
      <c r="O205" s="205" t="str">
        <f t="shared" si="18"/>
        <v/>
      </c>
      <c r="P205" s="206" t="str">
        <f t="shared" si="23"/>
        <v/>
      </c>
    </row>
    <row r="206" spans="3:16" x14ac:dyDescent="0.4">
      <c r="C206" s="199"/>
      <c r="D206" s="200"/>
      <c r="E206" s="201"/>
      <c r="F206" s="199"/>
      <c r="H206" s="202"/>
      <c r="I206" s="185" t="str">
        <f t="shared" si="19"/>
        <v/>
      </c>
      <c r="J206" s="203" t="str">
        <f>IF($H206="USD",IF(OR($I206="",$I206="-"),"",VLOOKUP($G206,為替!$A:$AX,$I206,FALSE))+$J$3,IF(OR($I206="",$I206="-"),"",VLOOKUP($G206,為替!$A:$AX,$I206,FALSE)))</f>
        <v/>
      </c>
      <c r="K206" s="204" t="str">
        <f t="shared" si="20"/>
        <v/>
      </c>
      <c r="L206" s="188" t="str">
        <f t="shared" si="21"/>
        <v/>
      </c>
      <c r="M206" s="203" t="str">
        <f>IF($H206="USD",IF(OR($L206="",$L206="-"),"",VLOOKUP($G206,為替!$A:$AX,$L206,FALSE))+$K$3,IF(OR($L206="",$L206="-"),"",VLOOKUP($G206,為替!$A:$AX,$L206,FALSE)))</f>
        <v/>
      </c>
      <c r="N206" s="204" t="str">
        <f t="shared" si="22"/>
        <v/>
      </c>
      <c r="O206" s="205" t="str">
        <f t="shared" si="18"/>
        <v/>
      </c>
      <c r="P206" s="206" t="str">
        <f t="shared" si="23"/>
        <v/>
      </c>
    </row>
    <row r="207" spans="3:16" x14ac:dyDescent="0.4">
      <c r="C207" s="199"/>
      <c r="D207" s="200"/>
      <c r="E207" s="201"/>
      <c r="F207" s="199"/>
      <c r="H207" s="202"/>
      <c r="I207" s="185" t="str">
        <f t="shared" si="19"/>
        <v/>
      </c>
      <c r="J207" s="203" t="str">
        <f>IF($H207="USD",IF(OR($I207="",$I207="-"),"",VLOOKUP($G207,為替!$A:$AX,$I207,FALSE))+$J$3,IF(OR($I207="",$I207="-"),"",VLOOKUP($G207,為替!$A:$AX,$I207,FALSE)))</f>
        <v/>
      </c>
      <c r="K207" s="204" t="str">
        <f t="shared" si="20"/>
        <v/>
      </c>
      <c r="L207" s="188" t="str">
        <f t="shared" si="21"/>
        <v/>
      </c>
      <c r="M207" s="203" t="str">
        <f>IF($H207="USD",IF(OR($L207="",$L207="-"),"",VLOOKUP($G207,為替!$A:$AX,$L207,FALSE))+$K$3,IF(OR($L207="",$L207="-"),"",VLOOKUP($G207,為替!$A:$AX,$L207,FALSE)))</f>
        <v/>
      </c>
      <c r="N207" s="204" t="str">
        <f t="shared" si="22"/>
        <v/>
      </c>
      <c r="O207" s="205" t="str">
        <f t="shared" si="18"/>
        <v/>
      </c>
      <c r="P207" s="206" t="str">
        <f t="shared" si="23"/>
        <v/>
      </c>
    </row>
    <row r="208" spans="3:16" x14ac:dyDescent="0.4">
      <c r="C208" s="199"/>
      <c r="D208" s="200"/>
      <c r="E208" s="201"/>
      <c r="F208" s="199"/>
      <c r="H208" s="202"/>
      <c r="I208" s="185" t="str">
        <f t="shared" si="19"/>
        <v/>
      </c>
      <c r="J208" s="203" t="str">
        <f>IF($H208="USD",IF(OR($I208="",$I208="-"),"",VLOOKUP($G208,為替!$A:$AX,$I208,FALSE))+$J$3,IF(OR($I208="",$I208="-"),"",VLOOKUP($G208,為替!$A:$AX,$I208,FALSE)))</f>
        <v/>
      </c>
      <c r="K208" s="204" t="str">
        <f t="shared" si="20"/>
        <v/>
      </c>
      <c r="L208" s="188" t="str">
        <f t="shared" si="21"/>
        <v/>
      </c>
      <c r="M208" s="203" t="str">
        <f>IF($H208="USD",IF(OR($L208="",$L208="-"),"",VLOOKUP($G208,為替!$A:$AX,$L208,FALSE))+$K$3,IF(OR($L208="",$L208="-"),"",VLOOKUP($G208,為替!$A:$AX,$L208,FALSE)))</f>
        <v/>
      </c>
      <c r="N208" s="204" t="str">
        <f t="shared" si="22"/>
        <v/>
      </c>
      <c r="O208" s="205" t="str">
        <f t="shared" si="18"/>
        <v/>
      </c>
      <c r="P208" s="206" t="str">
        <f t="shared" si="23"/>
        <v/>
      </c>
    </row>
    <row r="209" spans="3:16" x14ac:dyDescent="0.4">
      <c r="C209" s="199"/>
      <c r="D209" s="200"/>
      <c r="E209" s="201"/>
      <c r="F209" s="199"/>
      <c r="H209" s="202"/>
      <c r="I209" s="185" t="str">
        <f t="shared" si="19"/>
        <v/>
      </c>
      <c r="J209" s="203" t="str">
        <f>IF($H209="USD",IF(OR($I209="",$I209="-"),"",VLOOKUP($G209,為替!$A:$AX,$I209,FALSE))+$J$3,IF(OR($I209="",$I209="-"),"",VLOOKUP($G209,為替!$A:$AX,$I209,FALSE)))</f>
        <v/>
      </c>
      <c r="K209" s="204" t="str">
        <f t="shared" si="20"/>
        <v/>
      </c>
      <c r="L209" s="188" t="str">
        <f t="shared" si="21"/>
        <v/>
      </c>
      <c r="M209" s="203" t="str">
        <f>IF($H209="USD",IF(OR($L209="",$L209="-"),"",VLOOKUP($G209,為替!$A:$AX,$L209,FALSE))+$K$3,IF(OR($L209="",$L209="-"),"",VLOOKUP($G209,為替!$A:$AX,$L209,FALSE)))</f>
        <v/>
      </c>
      <c r="N209" s="204" t="str">
        <f t="shared" si="22"/>
        <v/>
      </c>
      <c r="O209" s="205" t="str">
        <f t="shared" si="18"/>
        <v/>
      </c>
      <c r="P209" s="206" t="str">
        <f t="shared" si="23"/>
        <v/>
      </c>
    </row>
    <row r="210" spans="3:16" x14ac:dyDescent="0.4">
      <c r="C210" s="199"/>
      <c r="D210" s="200"/>
      <c r="E210" s="201"/>
      <c r="F210" s="199"/>
      <c r="H210" s="202"/>
      <c r="I210" s="185" t="str">
        <f t="shared" si="19"/>
        <v/>
      </c>
      <c r="J210" s="203" t="str">
        <f>IF($H210="USD",IF(OR($I210="",$I210="-"),"",VLOOKUP($G210,為替!$A:$AX,$I210,FALSE))+$J$3,IF(OR($I210="",$I210="-"),"",VLOOKUP($G210,為替!$A:$AX,$I210,FALSE)))</f>
        <v/>
      </c>
      <c r="K210" s="204" t="str">
        <f t="shared" si="20"/>
        <v/>
      </c>
      <c r="L210" s="188" t="str">
        <f t="shared" si="21"/>
        <v/>
      </c>
      <c r="M210" s="203" t="str">
        <f>IF($H210="USD",IF(OR($L210="",$L210="-"),"",VLOOKUP($G210,為替!$A:$AX,$L210,FALSE))+$K$3,IF(OR($L210="",$L210="-"),"",VLOOKUP($G210,為替!$A:$AX,$L210,FALSE)))</f>
        <v/>
      </c>
      <c r="N210" s="204" t="str">
        <f t="shared" si="22"/>
        <v/>
      </c>
      <c r="O210" s="205" t="str">
        <f t="shared" si="18"/>
        <v/>
      </c>
      <c r="P210" s="206" t="str">
        <f t="shared" si="23"/>
        <v/>
      </c>
    </row>
    <row r="211" spans="3:16" x14ac:dyDescent="0.4">
      <c r="C211" s="199"/>
      <c r="D211" s="200"/>
      <c r="E211" s="201"/>
      <c r="F211" s="199"/>
      <c r="H211" s="202"/>
      <c r="I211" s="185" t="str">
        <f t="shared" si="19"/>
        <v/>
      </c>
      <c r="J211" s="203" t="str">
        <f>IF($H211="USD",IF(OR($I211="",$I211="-"),"",VLOOKUP($G211,為替!$A:$AX,$I211,FALSE))+$J$3,IF(OR($I211="",$I211="-"),"",VLOOKUP($G211,為替!$A:$AX,$I211,FALSE)))</f>
        <v/>
      </c>
      <c r="K211" s="204" t="str">
        <f t="shared" si="20"/>
        <v/>
      </c>
      <c r="L211" s="188" t="str">
        <f t="shared" si="21"/>
        <v/>
      </c>
      <c r="M211" s="203" t="str">
        <f>IF($H211="USD",IF(OR($L211="",$L211="-"),"",VLOOKUP($G211,為替!$A:$AX,$L211,FALSE))+$K$3,IF(OR($L211="",$L211="-"),"",VLOOKUP($G211,為替!$A:$AX,$L211,FALSE)))</f>
        <v/>
      </c>
      <c r="N211" s="204" t="str">
        <f t="shared" si="22"/>
        <v/>
      </c>
      <c r="O211" s="205" t="str">
        <f t="shared" si="18"/>
        <v/>
      </c>
      <c r="P211" s="206" t="str">
        <f t="shared" si="23"/>
        <v/>
      </c>
    </row>
    <row r="212" spans="3:16" x14ac:dyDescent="0.4">
      <c r="C212" s="199"/>
      <c r="D212" s="200"/>
      <c r="E212" s="201"/>
      <c r="F212" s="199"/>
      <c r="H212" s="202"/>
      <c r="I212" s="185" t="str">
        <f t="shared" si="19"/>
        <v/>
      </c>
      <c r="J212" s="203" t="str">
        <f>IF($H212="USD",IF(OR($I212="",$I212="-"),"",VLOOKUP($G212,為替!$A:$AX,$I212,FALSE))+$J$3,IF(OR($I212="",$I212="-"),"",VLOOKUP($G212,為替!$A:$AX,$I212,FALSE)))</f>
        <v/>
      </c>
      <c r="K212" s="204" t="str">
        <f t="shared" si="20"/>
        <v/>
      </c>
      <c r="L212" s="188" t="str">
        <f t="shared" si="21"/>
        <v/>
      </c>
      <c r="M212" s="203" t="str">
        <f>IF($H212="USD",IF(OR($L212="",$L212="-"),"",VLOOKUP($G212,為替!$A:$AX,$L212,FALSE))+$K$3,IF(OR($L212="",$L212="-"),"",VLOOKUP($G212,為替!$A:$AX,$L212,FALSE)))</f>
        <v/>
      </c>
      <c r="N212" s="204" t="str">
        <f t="shared" si="22"/>
        <v/>
      </c>
      <c r="O212" s="205" t="str">
        <f t="shared" si="18"/>
        <v/>
      </c>
      <c r="P212" s="206" t="str">
        <f t="shared" si="23"/>
        <v/>
      </c>
    </row>
    <row r="213" spans="3:16" x14ac:dyDescent="0.4">
      <c r="C213" s="199"/>
      <c r="D213" s="200"/>
      <c r="E213" s="201"/>
      <c r="F213" s="199"/>
      <c r="H213" s="202"/>
      <c r="I213" s="185" t="str">
        <f t="shared" si="19"/>
        <v/>
      </c>
      <c r="J213" s="203" t="str">
        <f>IF($H213="USD",IF(OR($I213="",$I213="-"),"",VLOOKUP($G213,為替!$A:$AX,$I213,FALSE))+$J$3,IF(OR($I213="",$I213="-"),"",VLOOKUP($G213,為替!$A:$AX,$I213,FALSE)))</f>
        <v/>
      </c>
      <c r="K213" s="204" t="str">
        <f t="shared" si="20"/>
        <v/>
      </c>
      <c r="L213" s="188" t="str">
        <f t="shared" si="21"/>
        <v/>
      </c>
      <c r="M213" s="203" t="str">
        <f>IF($H213="USD",IF(OR($L213="",$L213="-"),"",VLOOKUP($G213,為替!$A:$AX,$L213,FALSE))+$K$3,IF(OR($L213="",$L213="-"),"",VLOOKUP($G213,為替!$A:$AX,$L213,FALSE)))</f>
        <v/>
      </c>
      <c r="N213" s="204" t="str">
        <f t="shared" si="22"/>
        <v/>
      </c>
      <c r="O213" s="205" t="str">
        <f t="shared" si="18"/>
        <v/>
      </c>
      <c r="P213" s="206" t="str">
        <f t="shared" si="23"/>
        <v/>
      </c>
    </row>
    <row r="214" spans="3:16" x14ac:dyDescent="0.4">
      <c r="C214" s="199"/>
      <c r="D214" s="200"/>
      <c r="E214" s="201"/>
      <c r="F214" s="199"/>
      <c r="H214" s="202"/>
      <c r="I214" s="185" t="str">
        <f t="shared" si="19"/>
        <v/>
      </c>
      <c r="J214" s="203" t="str">
        <f>IF($H214="USD",IF(OR($I214="",$I214="-"),"",VLOOKUP($G214,為替!$A:$AX,$I214,FALSE))+$J$3,IF(OR($I214="",$I214="-"),"",VLOOKUP($G214,為替!$A:$AX,$I214,FALSE)))</f>
        <v/>
      </c>
      <c r="K214" s="204" t="str">
        <f t="shared" si="20"/>
        <v/>
      </c>
      <c r="L214" s="188" t="str">
        <f t="shared" si="21"/>
        <v/>
      </c>
      <c r="M214" s="203" t="str">
        <f>IF($H214="USD",IF(OR($L214="",$L214="-"),"",VLOOKUP($G214,為替!$A:$AX,$L214,FALSE))+$K$3,IF(OR($L214="",$L214="-"),"",VLOOKUP($G214,為替!$A:$AX,$L214,FALSE)))</f>
        <v/>
      </c>
      <c r="N214" s="204" t="str">
        <f t="shared" si="22"/>
        <v/>
      </c>
      <c r="O214" s="205" t="str">
        <f t="shared" si="18"/>
        <v/>
      </c>
      <c r="P214" s="206" t="str">
        <f t="shared" si="23"/>
        <v/>
      </c>
    </row>
    <row r="215" spans="3:16" x14ac:dyDescent="0.4">
      <c r="C215" s="199"/>
      <c r="D215" s="200"/>
      <c r="E215" s="201"/>
      <c r="F215" s="199"/>
      <c r="H215" s="202"/>
      <c r="I215" s="185" t="str">
        <f t="shared" si="19"/>
        <v/>
      </c>
      <c r="J215" s="203" t="str">
        <f>IF($H215="USD",IF(OR($I215="",$I215="-"),"",VLOOKUP($G215,為替!$A:$AX,$I215,FALSE))+$J$3,IF(OR($I215="",$I215="-"),"",VLOOKUP($G215,為替!$A:$AX,$I215,FALSE)))</f>
        <v/>
      </c>
      <c r="K215" s="204" t="str">
        <f t="shared" si="20"/>
        <v/>
      </c>
      <c r="L215" s="188" t="str">
        <f t="shared" si="21"/>
        <v/>
      </c>
      <c r="M215" s="203" t="str">
        <f>IF($H215="USD",IF(OR($L215="",$L215="-"),"",VLOOKUP($G215,為替!$A:$AX,$L215,FALSE))+$K$3,IF(OR($L215="",$L215="-"),"",VLOOKUP($G215,為替!$A:$AX,$L215,FALSE)))</f>
        <v/>
      </c>
      <c r="N215" s="204" t="str">
        <f t="shared" si="22"/>
        <v/>
      </c>
      <c r="O215" s="205" t="str">
        <f t="shared" si="18"/>
        <v/>
      </c>
      <c r="P215" s="206" t="str">
        <f t="shared" si="23"/>
        <v/>
      </c>
    </row>
    <row r="216" spans="3:16" x14ac:dyDescent="0.4">
      <c r="C216" s="199"/>
      <c r="D216" s="200"/>
      <c r="E216" s="201"/>
      <c r="F216" s="199"/>
      <c r="H216" s="202"/>
      <c r="I216" s="185" t="str">
        <f t="shared" si="19"/>
        <v/>
      </c>
      <c r="J216" s="203" t="str">
        <f>IF($H216="USD",IF(OR($I216="",$I216="-"),"",VLOOKUP($G216,為替!$A:$AX,$I216,FALSE))+$J$3,IF(OR($I216="",$I216="-"),"",VLOOKUP($G216,為替!$A:$AX,$I216,FALSE)))</f>
        <v/>
      </c>
      <c r="K216" s="204" t="str">
        <f t="shared" si="20"/>
        <v/>
      </c>
      <c r="L216" s="188" t="str">
        <f t="shared" si="21"/>
        <v/>
      </c>
      <c r="M216" s="203" t="str">
        <f>IF($H216="USD",IF(OR($L216="",$L216="-"),"",VLOOKUP($G216,為替!$A:$AX,$L216,FALSE))+$K$3,IF(OR($L216="",$L216="-"),"",VLOOKUP($G216,為替!$A:$AX,$L216,FALSE)))</f>
        <v/>
      </c>
      <c r="N216" s="204" t="str">
        <f t="shared" si="22"/>
        <v/>
      </c>
      <c r="O216" s="205" t="str">
        <f t="shared" si="18"/>
        <v/>
      </c>
      <c r="P216" s="206" t="str">
        <f t="shared" si="23"/>
        <v/>
      </c>
    </row>
    <row r="217" spans="3:16" x14ac:dyDescent="0.4">
      <c r="C217" s="199"/>
      <c r="D217" s="200"/>
      <c r="E217" s="201"/>
      <c r="F217" s="199"/>
      <c r="H217" s="202"/>
      <c r="I217" s="185" t="str">
        <f t="shared" si="19"/>
        <v/>
      </c>
      <c r="J217" s="203" t="str">
        <f>IF($H217="USD",IF(OR($I217="",$I217="-"),"",VLOOKUP($G217,為替!$A:$AX,$I217,FALSE))+$J$3,IF(OR($I217="",$I217="-"),"",VLOOKUP($G217,為替!$A:$AX,$I217,FALSE)))</f>
        <v/>
      </c>
      <c r="K217" s="204" t="str">
        <f t="shared" si="20"/>
        <v/>
      </c>
      <c r="L217" s="188" t="str">
        <f t="shared" si="21"/>
        <v/>
      </c>
      <c r="M217" s="203" t="str">
        <f>IF($H217="USD",IF(OR($L217="",$L217="-"),"",VLOOKUP($G217,為替!$A:$AX,$L217,FALSE))+$K$3,IF(OR($L217="",$L217="-"),"",VLOOKUP($G217,為替!$A:$AX,$L217,FALSE)))</f>
        <v/>
      </c>
      <c r="N217" s="204" t="str">
        <f t="shared" si="22"/>
        <v/>
      </c>
      <c r="O217" s="205" t="str">
        <f t="shared" si="18"/>
        <v/>
      </c>
      <c r="P217" s="206" t="str">
        <f t="shared" si="23"/>
        <v/>
      </c>
    </row>
    <row r="218" spans="3:16" x14ac:dyDescent="0.4">
      <c r="C218" s="199"/>
      <c r="D218" s="200"/>
      <c r="E218" s="201"/>
      <c r="F218" s="199"/>
      <c r="H218" s="202"/>
      <c r="I218" s="185" t="str">
        <f t="shared" si="19"/>
        <v/>
      </c>
      <c r="J218" s="203" t="str">
        <f>IF($H218="USD",IF(OR($I218="",$I218="-"),"",VLOOKUP($G218,為替!$A:$AX,$I218,FALSE))+$J$3,IF(OR($I218="",$I218="-"),"",VLOOKUP($G218,為替!$A:$AX,$I218,FALSE)))</f>
        <v/>
      </c>
      <c r="K218" s="204" t="str">
        <f t="shared" si="20"/>
        <v/>
      </c>
      <c r="L218" s="188" t="str">
        <f t="shared" si="21"/>
        <v/>
      </c>
      <c r="M218" s="203" t="str">
        <f>IF($H218="USD",IF(OR($L218="",$L218="-"),"",VLOOKUP($G218,為替!$A:$AX,$L218,FALSE))+$K$3,IF(OR($L218="",$L218="-"),"",VLOOKUP($G218,為替!$A:$AX,$L218,FALSE)))</f>
        <v/>
      </c>
      <c r="N218" s="204" t="str">
        <f t="shared" si="22"/>
        <v/>
      </c>
      <c r="O218" s="205" t="str">
        <f t="shared" si="18"/>
        <v/>
      </c>
      <c r="P218" s="206" t="str">
        <f t="shared" si="23"/>
        <v/>
      </c>
    </row>
    <row r="219" spans="3:16" x14ac:dyDescent="0.4">
      <c r="C219" s="199"/>
      <c r="D219" s="200"/>
      <c r="E219" s="201"/>
      <c r="F219" s="199"/>
      <c r="H219" s="202"/>
      <c r="I219" s="185" t="str">
        <f t="shared" si="19"/>
        <v/>
      </c>
      <c r="J219" s="203" t="str">
        <f>IF($H219="USD",IF(OR($I219="",$I219="-"),"",VLOOKUP($G219,為替!$A:$AX,$I219,FALSE))+$J$3,IF(OR($I219="",$I219="-"),"",VLOOKUP($G219,為替!$A:$AX,$I219,FALSE)))</f>
        <v/>
      </c>
      <c r="K219" s="204" t="str">
        <f t="shared" si="20"/>
        <v/>
      </c>
      <c r="L219" s="188" t="str">
        <f t="shared" si="21"/>
        <v/>
      </c>
      <c r="M219" s="203" t="str">
        <f>IF($H219="USD",IF(OR($L219="",$L219="-"),"",VLOOKUP($G219,為替!$A:$AX,$L219,FALSE))+$K$3,IF(OR($L219="",$L219="-"),"",VLOOKUP($G219,為替!$A:$AX,$L219,FALSE)))</f>
        <v/>
      </c>
      <c r="N219" s="204" t="str">
        <f t="shared" si="22"/>
        <v/>
      </c>
      <c r="O219" s="205" t="str">
        <f t="shared" si="18"/>
        <v/>
      </c>
      <c r="P219" s="206" t="str">
        <f t="shared" si="23"/>
        <v/>
      </c>
    </row>
    <row r="220" spans="3:16" x14ac:dyDescent="0.4">
      <c r="C220" s="199"/>
      <c r="D220" s="200"/>
      <c r="E220" s="201"/>
      <c r="F220" s="199"/>
      <c r="H220" s="202"/>
      <c r="I220" s="185" t="str">
        <f t="shared" si="19"/>
        <v/>
      </c>
      <c r="J220" s="203" t="str">
        <f>IF($H220="USD",IF(OR($I220="",$I220="-"),"",VLOOKUP($G220,為替!$A:$AX,$I220,FALSE))+$J$3,IF(OR($I220="",$I220="-"),"",VLOOKUP($G220,為替!$A:$AX,$I220,FALSE)))</f>
        <v/>
      </c>
      <c r="K220" s="204" t="str">
        <f t="shared" si="20"/>
        <v/>
      </c>
      <c r="L220" s="188" t="str">
        <f t="shared" si="21"/>
        <v/>
      </c>
      <c r="M220" s="203" t="str">
        <f>IF($H220="USD",IF(OR($L220="",$L220="-"),"",VLOOKUP($G220,為替!$A:$AX,$L220,FALSE))+$K$3,IF(OR($L220="",$L220="-"),"",VLOOKUP($G220,為替!$A:$AX,$L220,FALSE)))</f>
        <v/>
      </c>
      <c r="N220" s="204" t="str">
        <f t="shared" si="22"/>
        <v/>
      </c>
      <c r="O220" s="205" t="str">
        <f t="shared" si="18"/>
        <v/>
      </c>
      <c r="P220" s="206" t="str">
        <f t="shared" si="23"/>
        <v/>
      </c>
    </row>
    <row r="221" spans="3:16" x14ac:dyDescent="0.4">
      <c r="C221" s="199"/>
      <c r="D221" s="200"/>
      <c r="E221" s="201"/>
      <c r="F221" s="199"/>
      <c r="H221" s="202"/>
      <c r="I221" s="185" t="str">
        <f t="shared" si="19"/>
        <v/>
      </c>
      <c r="J221" s="203" t="str">
        <f>IF($H221="USD",IF(OR($I221="",$I221="-"),"",VLOOKUP($G221,為替!$A:$AX,$I221,FALSE))+$J$3,IF(OR($I221="",$I221="-"),"",VLOOKUP($G221,為替!$A:$AX,$I221,FALSE)))</f>
        <v/>
      </c>
      <c r="K221" s="204" t="str">
        <f t="shared" si="20"/>
        <v/>
      </c>
      <c r="L221" s="188" t="str">
        <f t="shared" si="21"/>
        <v/>
      </c>
      <c r="M221" s="203" t="str">
        <f>IF($H221="USD",IF(OR($L221="",$L221="-"),"",VLOOKUP($G221,為替!$A:$AX,$L221,FALSE))+$K$3,IF(OR($L221="",$L221="-"),"",VLOOKUP($G221,為替!$A:$AX,$L221,FALSE)))</f>
        <v/>
      </c>
      <c r="N221" s="204" t="str">
        <f t="shared" si="22"/>
        <v/>
      </c>
      <c r="O221" s="205" t="str">
        <f t="shared" si="18"/>
        <v/>
      </c>
      <c r="P221" s="206" t="str">
        <f t="shared" si="23"/>
        <v/>
      </c>
    </row>
    <row r="222" spans="3:16" x14ac:dyDescent="0.4">
      <c r="C222" s="199"/>
      <c r="D222" s="200"/>
      <c r="E222" s="201"/>
      <c r="F222" s="199"/>
      <c r="H222" s="202"/>
      <c r="I222" s="185" t="str">
        <f t="shared" si="19"/>
        <v/>
      </c>
      <c r="J222" s="203" t="str">
        <f>IF($H222="USD",IF(OR($I222="",$I222="-"),"",VLOOKUP($G222,為替!$A:$AX,$I222,FALSE))+$J$3,IF(OR($I222="",$I222="-"),"",VLOOKUP($G222,為替!$A:$AX,$I222,FALSE)))</f>
        <v/>
      </c>
      <c r="K222" s="204" t="str">
        <f t="shared" si="20"/>
        <v/>
      </c>
      <c r="L222" s="188" t="str">
        <f t="shared" si="21"/>
        <v/>
      </c>
      <c r="M222" s="203" t="str">
        <f>IF($H222="USD",IF(OR($L222="",$L222="-"),"",VLOOKUP($G222,為替!$A:$AX,$L222,FALSE))+$K$3,IF(OR($L222="",$L222="-"),"",VLOOKUP($G222,為替!$A:$AX,$L222,FALSE)))</f>
        <v/>
      </c>
      <c r="N222" s="204" t="str">
        <f t="shared" si="22"/>
        <v/>
      </c>
      <c r="O222" s="205" t="str">
        <f t="shared" si="18"/>
        <v/>
      </c>
      <c r="P222" s="206" t="str">
        <f t="shared" si="23"/>
        <v/>
      </c>
    </row>
    <row r="223" spans="3:16" x14ac:dyDescent="0.4">
      <c r="C223" s="199"/>
      <c r="D223" s="200"/>
      <c r="E223" s="201"/>
      <c r="F223" s="199"/>
      <c r="H223" s="202"/>
      <c r="I223" s="185" t="str">
        <f t="shared" si="19"/>
        <v/>
      </c>
      <c r="J223" s="203" t="str">
        <f>IF($H223="USD",IF(OR($I223="",$I223="-"),"",VLOOKUP($G223,為替!$A:$AX,$I223,FALSE))+$J$3,IF(OR($I223="",$I223="-"),"",VLOOKUP($G223,為替!$A:$AX,$I223,FALSE)))</f>
        <v/>
      </c>
      <c r="K223" s="204" t="str">
        <f t="shared" si="20"/>
        <v/>
      </c>
      <c r="L223" s="188" t="str">
        <f t="shared" si="21"/>
        <v/>
      </c>
      <c r="M223" s="203" t="str">
        <f>IF($H223="USD",IF(OR($L223="",$L223="-"),"",VLOOKUP($G223,為替!$A:$AX,$L223,FALSE))+$K$3,IF(OR($L223="",$L223="-"),"",VLOOKUP($G223,為替!$A:$AX,$L223,FALSE)))</f>
        <v/>
      </c>
      <c r="N223" s="204" t="str">
        <f t="shared" si="22"/>
        <v/>
      </c>
      <c r="O223" s="205" t="str">
        <f t="shared" si="18"/>
        <v/>
      </c>
      <c r="P223" s="206" t="str">
        <f t="shared" si="23"/>
        <v/>
      </c>
    </row>
    <row r="224" spans="3:16" x14ac:dyDescent="0.4">
      <c r="C224" s="199"/>
      <c r="D224" s="200"/>
      <c r="E224" s="201"/>
      <c r="F224" s="199"/>
      <c r="H224" s="202"/>
      <c r="I224" s="185" t="str">
        <f t="shared" si="19"/>
        <v/>
      </c>
      <c r="J224" s="203" t="str">
        <f>IF($H224="USD",IF(OR($I224="",$I224="-"),"",VLOOKUP($G224,為替!$A:$AX,$I224,FALSE))+$J$3,IF(OR($I224="",$I224="-"),"",VLOOKUP($G224,為替!$A:$AX,$I224,FALSE)))</f>
        <v/>
      </c>
      <c r="K224" s="204" t="str">
        <f t="shared" si="20"/>
        <v/>
      </c>
      <c r="L224" s="188" t="str">
        <f t="shared" si="21"/>
        <v/>
      </c>
      <c r="M224" s="203" t="str">
        <f>IF($H224="USD",IF(OR($L224="",$L224="-"),"",VLOOKUP($G224,為替!$A:$AX,$L224,FALSE))+$K$3,IF(OR($L224="",$L224="-"),"",VLOOKUP($G224,為替!$A:$AX,$L224,FALSE)))</f>
        <v/>
      </c>
      <c r="N224" s="204" t="str">
        <f t="shared" si="22"/>
        <v/>
      </c>
      <c r="O224" s="205" t="str">
        <f t="shared" si="18"/>
        <v/>
      </c>
      <c r="P224" s="206" t="str">
        <f t="shared" si="23"/>
        <v/>
      </c>
    </row>
    <row r="225" spans="3:16" x14ac:dyDescent="0.4">
      <c r="C225" s="199"/>
      <c r="D225" s="200"/>
      <c r="E225" s="201"/>
      <c r="F225" s="199"/>
      <c r="H225" s="202"/>
      <c r="I225" s="185" t="str">
        <f t="shared" si="19"/>
        <v/>
      </c>
      <c r="J225" s="203" t="str">
        <f>IF($H225="USD",IF(OR($I225="",$I225="-"),"",VLOOKUP($G225,為替!$A:$AX,$I225,FALSE))+$J$3,IF(OR($I225="",$I225="-"),"",VLOOKUP($G225,為替!$A:$AX,$I225,FALSE)))</f>
        <v/>
      </c>
      <c r="K225" s="204" t="str">
        <f t="shared" si="20"/>
        <v/>
      </c>
      <c r="L225" s="188" t="str">
        <f t="shared" si="21"/>
        <v/>
      </c>
      <c r="M225" s="203" t="str">
        <f>IF($H225="USD",IF(OR($L225="",$L225="-"),"",VLOOKUP($G225,為替!$A:$AX,$L225,FALSE))+$K$3,IF(OR($L225="",$L225="-"),"",VLOOKUP($G225,為替!$A:$AX,$L225,FALSE)))</f>
        <v/>
      </c>
      <c r="N225" s="204" t="str">
        <f t="shared" si="22"/>
        <v/>
      </c>
      <c r="O225" s="205" t="str">
        <f t="shared" si="18"/>
        <v/>
      </c>
      <c r="P225" s="206" t="str">
        <f t="shared" si="23"/>
        <v/>
      </c>
    </row>
    <row r="226" spans="3:16" x14ac:dyDescent="0.4">
      <c r="C226" s="199"/>
      <c r="D226" s="200"/>
      <c r="E226" s="201"/>
      <c r="F226" s="199"/>
      <c r="H226" s="202"/>
      <c r="I226" s="185" t="str">
        <f t="shared" si="19"/>
        <v/>
      </c>
      <c r="J226" s="203" t="str">
        <f>IF($H226="USD",IF(OR($I226="",$I226="-"),"",VLOOKUP($G226,為替!$A:$AX,$I226,FALSE))+$J$3,IF(OR($I226="",$I226="-"),"",VLOOKUP($G226,為替!$A:$AX,$I226,FALSE)))</f>
        <v/>
      </c>
      <c r="K226" s="204" t="str">
        <f t="shared" si="20"/>
        <v/>
      </c>
      <c r="L226" s="188" t="str">
        <f t="shared" si="21"/>
        <v/>
      </c>
      <c r="M226" s="203" t="str">
        <f>IF($H226="USD",IF(OR($L226="",$L226="-"),"",VLOOKUP($G226,為替!$A:$AX,$L226,FALSE))+$K$3,IF(OR($L226="",$L226="-"),"",VLOOKUP($G226,為替!$A:$AX,$L226,FALSE)))</f>
        <v/>
      </c>
      <c r="N226" s="204" t="str">
        <f t="shared" si="22"/>
        <v/>
      </c>
      <c r="O226" s="205" t="str">
        <f t="shared" si="18"/>
        <v/>
      </c>
      <c r="P226" s="206" t="str">
        <f t="shared" si="23"/>
        <v/>
      </c>
    </row>
    <row r="227" spans="3:16" x14ac:dyDescent="0.4">
      <c r="C227" s="199"/>
      <c r="D227" s="200"/>
      <c r="E227" s="201"/>
      <c r="F227" s="199"/>
      <c r="H227" s="202"/>
      <c r="I227" s="185" t="str">
        <f t="shared" si="19"/>
        <v/>
      </c>
      <c r="J227" s="203" t="str">
        <f>IF($H227="USD",IF(OR($I227="",$I227="-"),"",VLOOKUP($G227,為替!$A:$AX,$I227,FALSE))+$J$3,IF(OR($I227="",$I227="-"),"",VLOOKUP($G227,為替!$A:$AX,$I227,FALSE)))</f>
        <v/>
      </c>
      <c r="K227" s="204" t="str">
        <f t="shared" si="20"/>
        <v/>
      </c>
      <c r="L227" s="188" t="str">
        <f t="shared" si="21"/>
        <v/>
      </c>
      <c r="M227" s="203" t="str">
        <f>IF($H227="USD",IF(OR($L227="",$L227="-"),"",VLOOKUP($G227,為替!$A:$AX,$L227,FALSE))+$K$3,IF(OR($L227="",$L227="-"),"",VLOOKUP($G227,為替!$A:$AX,$L227,FALSE)))</f>
        <v/>
      </c>
      <c r="N227" s="204" t="str">
        <f t="shared" si="22"/>
        <v/>
      </c>
      <c r="O227" s="205" t="str">
        <f t="shared" si="18"/>
        <v/>
      </c>
      <c r="P227" s="206" t="str">
        <f t="shared" si="23"/>
        <v/>
      </c>
    </row>
    <row r="228" spans="3:16" x14ac:dyDescent="0.4">
      <c r="C228" s="199"/>
      <c r="D228" s="200"/>
      <c r="E228" s="201"/>
      <c r="F228" s="199"/>
      <c r="H228" s="202"/>
      <c r="I228" s="185" t="str">
        <f t="shared" si="19"/>
        <v/>
      </c>
      <c r="J228" s="203" t="str">
        <f>IF($H228="USD",IF(OR($I228="",$I228="-"),"",VLOOKUP($G228,為替!$A:$AX,$I228,FALSE))+$J$3,IF(OR($I228="",$I228="-"),"",VLOOKUP($G228,為替!$A:$AX,$I228,FALSE)))</f>
        <v/>
      </c>
      <c r="K228" s="204" t="str">
        <f t="shared" si="20"/>
        <v/>
      </c>
      <c r="L228" s="188" t="str">
        <f t="shared" si="21"/>
        <v/>
      </c>
      <c r="M228" s="203" t="str">
        <f>IF($H228="USD",IF(OR($L228="",$L228="-"),"",VLOOKUP($G228,為替!$A:$AX,$L228,FALSE))+$K$3,IF(OR($L228="",$L228="-"),"",VLOOKUP($G228,為替!$A:$AX,$L228,FALSE)))</f>
        <v/>
      </c>
      <c r="N228" s="204" t="str">
        <f t="shared" si="22"/>
        <v/>
      </c>
      <c r="O228" s="205" t="str">
        <f t="shared" si="18"/>
        <v/>
      </c>
      <c r="P228" s="206" t="str">
        <f t="shared" si="23"/>
        <v/>
      </c>
    </row>
    <row r="229" spans="3:16" x14ac:dyDescent="0.4">
      <c r="C229" s="199"/>
      <c r="D229" s="200"/>
      <c r="E229" s="201"/>
      <c r="F229" s="199"/>
      <c r="H229" s="202"/>
      <c r="I229" s="185" t="str">
        <f t="shared" si="19"/>
        <v/>
      </c>
      <c r="J229" s="203" t="str">
        <f>IF($H229="USD",IF(OR($I229="",$I229="-"),"",VLOOKUP($G229,為替!$A:$AX,$I229,FALSE))+$J$3,IF(OR($I229="",$I229="-"),"",VLOOKUP($G229,為替!$A:$AX,$I229,FALSE)))</f>
        <v/>
      </c>
      <c r="K229" s="204" t="str">
        <f t="shared" si="20"/>
        <v/>
      </c>
      <c r="L229" s="188" t="str">
        <f t="shared" si="21"/>
        <v/>
      </c>
      <c r="M229" s="203" t="str">
        <f>IF($H229="USD",IF(OR($L229="",$L229="-"),"",VLOOKUP($G229,為替!$A:$AX,$L229,FALSE))+$K$3,IF(OR($L229="",$L229="-"),"",VLOOKUP($G229,為替!$A:$AX,$L229,FALSE)))</f>
        <v/>
      </c>
      <c r="N229" s="204" t="str">
        <f t="shared" si="22"/>
        <v/>
      </c>
      <c r="O229" s="205" t="str">
        <f t="shared" si="18"/>
        <v/>
      </c>
      <c r="P229" s="206" t="str">
        <f t="shared" si="23"/>
        <v/>
      </c>
    </row>
    <row r="230" spans="3:16" x14ac:dyDescent="0.4">
      <c r="C230" s="199"/>
      <c r="D230" s="200"/>
      <c r="E230" s="201"/>
      <c r="F230" s="199"/>
      <c r="H230" s="202"/>
      <c r="I230" s="185" t="str">
        <f t="shared" si="19"/>
        <v/>
      </c>
      <c r="J230" s="203" t="str">
        <f>IF($H230="USD",IF(OR($I230="",$I230="-"),"",VLOOKUP($G230,為替!$A:$AX,$I230,FALSE))+$J$3,IF(OR($I230="",$I230="-"),"",VLOOKUP($G230,為替!$A:$AX,$I230,FALSE)))</f>
        <v/>
      </c>
      <c r="K230" s="204" t="str">
        <f t="shared" si="20"/>
        <v/>
      </c>
      <c r="L230" s="188" t="str">
        <f t="shared" si="21"/>
        <v/>
      </c>
      <c r="M230" s="203" t="str">
        <f>IF($H230="USD",IF(OR($L230="",$L230="-"),"",VLOOKUP($G230,為替!$A:$AX,$L230,FALSE))+$K$3,IF(OR($L230="",$L230="-"),"",VLOOKUP($G230,為替!$A:$AX,$L230,FALSE)))</f>
        <v/>
      </c>
      <c r="N230" s="204" t="str">
        <f t="shared" si="22"/>
        <v/>
      </c>
      <c r="O230" s="205" t="str">
        <f t="shared" si="18"/>
        <v/>
      </c>
      <c r="P230" s="206" t="str">
        <f t="shared" si="23"/>
        <v/>
      </c>
    </row>
    <row r="231" spans="3:16" x14ac:dyDescent="0.4">
      <c r="C231" s="199"/>
      <c r="D231" s="200"/>
      <c r="E231" s="201"/>
      <c r="F231" s="199"/>
      <c r="H231" s="202"/>
      <c r="I231" s="185" t="str">
        <f t="shared" si="19"/>
        <v/>
      </c>
      <c r="J231" s="203" t="str">
        <f>IF($H231="USD",IF(OR($I231="",$I231="-"),"",VLOOKUP($G231,為替!$A:$AX,$I231,FALSE))+$J$3,IF(OR($I231="",$I231="-"),"",VLOOKUP($G231,為替!$A:$AX,$I231,FALSE)))</f>
        <v/>
      </c>
      <c r="K231" s="204" t="str">
        <f t="shared" si="20"/>
        <v/>
      </c>
      <c r="L231" s="188" t="str">
        <f t="shared" si="21"/>
        <v/>
      </c>
      <c r="M231" s="203" t="str">
        <f>IF($H231="USD",IF(OR($L231="",$L231="-"),"",VLOOKUP($G231,為替!$A:$AX,$L231,FALSE))+$K$3,IF(OR($L231="",$L231="-"),"",VLOOKUP($G231,為替!$A:$AX,$L231,FALSE)))</f>
        <v/>
      </c>
      <c r="N231" s="204" t="str">
        <f t="shared" si="22"/>
        <v/>
      </c>
      <c r="O231" s="205" t="str">
        <f t="shared" si="18"/>
        <v/>
      </c>
      <c r="P231" s="206" t="str">
        <f t="shared" si="23"/>
        <v/>
      </c>
    </row>
    <row r="232" spans="3:16" x14ac:dyDescent="0.4">
      <c r="C232" s="199"/>
      <c r="D232" s="200"/>
      <c r="E232" s="201"/>
      <c r="F232" s="199"/>
      <c r="H232" s="202"/>
      <c r="I232" s="185" t="str">
        <f t="shared" si="19"/>
        <v/>
      </c>
      <c r="J232" s="203" t="str">
        <f>IF($H232="USD",IF(OR($I232="",$I232="-"),"",VLOOKUP($G232,為替!$A:$AX,$I232,FALSE))+$J$3,IF(OR($I232="",$I232="-"),"",VLOOKUP($G232,為替!$A:$AX,$I232,FALSE)))</f>
        <v/>
      </c>
      <c r="K232" s="204" t="str">
        <f t="shared" si="20"/>
        <v/>
      </c>
      <c r="L232" s="188" t="str">
        <f t="shared" si="21"/>
        <v/>
      </c>
      <c r="M232" s="203" t="str">
        <f>IF($H232="USD",IF(OR($L232="",$L232="-"),"",VLOOKUP($G232,為替!$A:$AX,$L232,FALSE))+$K$3,IF(OR($L232="",$L232="-"),"",VLOOKUP($G232,為替!$A:$AX,$L232,FALSE)))</f>
        <v/>
      </c>
      <c r="N232" s="204" t="str">
        <f t="shared" si="22"/>
        <v/>
      </c>
      <c r="O232" s="205" t="str">
        <f t="shared" si="18"/>
        <v/>
      </c>
      <c r="P232" s="206" t="str">
        <f t="shared" si="23"/>
        <v/>
      </c>
    </row>
    <row r="233" spans="3:16" x14ac:dyDescent="0.4">
      <c r="C233" s="199"/>
      <c r="D233" s="200"/>
      <c r="E233" s="201"/>
      <c r="F233" s="199"/>
      <c r="H233" s="202"/>
      <c r="I233" s="185" t="str">
        <f t="shared" si="19"/>
        <v/>
      </c>
      <c r="J233" s="203" t="str">
        <f>IF($H233="USD",IF(OR($I233="",$I233="-"),"",VLOOKUP($G233,為替!$A:$AX,$I233,FALSE))+$J$3,IF(OR($I233="",$I233="-"),"",VLOOKUP($G233,為替!$A:$AX,$I233,FALSE)))</f>
        <v/>
      </c>
      <c r="K233" s="204" t="str">
        <f t="shared" si="20"/>
        <v/>
      </c>
      <c r="L233" s="188" t="str">
        <f t="shared" si="21"/>
        <v/>
      </c>
      <c r="M233" s="203" t="str">
        <f>IF($H233="USD",IF(OR($L233="",$L233="-"),"",VLOOKUP($G233,為替!$A:$AX,$L233,FALSE))+$K$3,IF(OR($L233="",$L233="-"),"",VLOOKUP($G233,為替!$A:$AX,$L233,FALSE)))</f>
        <v/>
      </c>
      <c r="N233" s="204" t="str">
        <f t="shared" si="22"/>
        <v/>
      </c>
      <c r="O233" s="205" t="str">
        <f t="shared" si="18"/>
        <v/>
      </c>
      <c r="P233" s="206" t="str">
        <f t="shared" si="23"/>
        <v/>
      </c>
    </row>
    <row r="234" spans="3:16" x14ac:dyDescent="0.4">
      <c r="C234" s="199"/>
      <c r="D234" s="200"/>
      <c r="E234" s="201"/>
      <c r="F234" s="199"/>
      <c r="H234" s="202"/>
      <c r="I234" s="185" t="str">
        <f t="shared" si="19"/>
        <v/>
      </c>
      <c r="J234" s="203" t="str">
        <f>IF($H234="USD",IF(OR($I234="",$I234="-"),"",VLOOKUP($G234,為替!$A:$AX,$I234,FALSE))+$J$3,IF(OR($I234="",$I234="-"),"",VLOOKUP($G234,為替!$A:$AX,$I234,FALSE)))</f>
        <v/>
      </c>
      <c r="K234" s="204" t="str">
        <f t="shared" si="20"/>
        <v/>
      </c>
      <c r="L234" s="188" t="str">
        <f t="shared" si="21"/>
        <v/>
      </c>
      <c r="M234" s="203" t="str">
        <f>IF($H234="USD",IF(OR($L234="",$L234="-"),"",VLOOKUP($G234,為替!$A:$AX,$L234,FALSE))+$K$3,IF(OR($L234="",$L234="-"),"",VLOOKUP($G234,為替!$A:$AX,$L234,FALSE)))</f>
        <v/>
      </c>
      <c r="N234" s="204" t="str">
        <f t="shared" si="22"/>
        <v/>
      </c>
      <c r="O234" s="205" t="str">
        <f t="shared" si="18"/>
        <v/>
      </c>
      <c r="P234" s="206" t="str">
        <f t="shared" si="23"/>
        <v/>
      </c>
    </row>
    <row r="235" spans="3:16" x14ac:dyDescent="0.4">
      <c r="C235" s="199"/>
      <c r="D235" s="200"/>
      <c r="E235" s="201"/>
      <c r="F235" s="199"/>
      <c r="H235" s="202"/>
      <c r="I235" s="185" t="str">
        <f t="shared" si="19"/>
        <v/>
      </c>
      <c r="J235" s="203" t="str">
        <f>IF($H235="USD",IF(OR($I235="",$I235="-"),"",VLOOKUP($G235,為替!$A:$AX,$I235,FALSE))+$J$3,IF(OR($I235="",$I235="-"),"",VLOOKUP($G235,為替!$A:$AX,$I235,FALSE)))</f>
        <v/>
      </c>
      <c r="K235" s="204" t="str">
        <f t="shared" si="20"/>
        <v/>
      </c>
      <c r="L235" s="188" t="str">
        <f t="shared" si="21"/>
        <v/>
      </c>
      <c r="M235" s="203" t="str">
        <f>IF($H235="USD",IF(OR($L235="",$L235="-"),"",VLOOKUP($G235,為替!$A:$AX,$L235,FALSE))+$K$3,IF(OR($L235="",$L235="-"),"",VLOOKUP($G235,為替!$A:$AX,$L235,FALSE)))</f>
        <v/>
      </c>
      <c r="N235" s="204" t="str">
        <f t="shared" si="22"/>
        <v/>
      </c>
      <c r="O235" s="205" t="str">
        <f t="shared" si="18"/>
        <v/>
      </c>
      <c r="P235" s="206" t="str">
        <f t="shared" si="23"/>
        <v/>
      </c>
    </row>
    <row r="236" spans="3:16" x14ac:dyDescent="0.4">
      <c r="C236" s="199"/>
      <c r="D236" s="200"/>
      <c r="E236" s="201"/>
      <c r="F236" s="199"/>
      <c r="H236" s="202"/>
      <c r="I236" s="185" t="str">
        <f t="shared" si="19"/>
        <v/>
      </c>
      <c r="J236" s="203" t="str">
        <f>IF($H236="USD",IF(OR($I236="",$I236="-"),"",VLOOKUP($G236,為替!$A:$AX,$I236,FALSE))+$J$3,IF(OR($I236="",$I236="-"),"",VLOOKUP($G236,為替!$A:$AX,$I236,FALSE)))</f>
        <v/>
      </c>
      <c r="K236" s="204" t="str">
        <f t="shared" si="20"/>
        <v/>
      </c>
      <c r="L236" s="188" t="str">
        <f t="shared" si="21"/>
        <v/>
      </c>
      <c r="M236" s="203" t="str">
        <f>IF($H236="USD",IF(OR($L236="",$L236="-"),"",VLOOKUP($G236,為替!$A:$AX,$L236,FALSE))+$K$3,IF(OR($L236="",$L236="-"),"",VLOOKUP($G236,為替!$A:$AX,$L236,FALSE)))</f>
        <v/>
      </c>
      <c r="N236" s="204" t="str">
        <f t="shared" si="22"/>
        <v/>
      </c>
      <c r="O236" s="205" t="str">
        <f t="shared" si="18"/>
        <v/>
      </c>
      <c r="P236" s="206" t="str">
        <f t="shared" si="23"/>
        <v/>
      </c>
    </row>
    <row r="237" spans="3:16" x14ac:dyDescent="0.4">
      <c r="C237" s="199"/>
      <c r="D237" s="200"/>
      <c r="E237" s="201"/>
      <c r="F237" s="199"/>
      <c r="H237" s="202"/>
      <c r="I237" s="185" t="str">
        <f t="shared" si="19"/>
        <v/>
      </c>
      <c r="J237" s="203" t="str">
        <f>IF($H237="USD",IF(OR($I237="",$I237="-"),"",VLOOKUP($G237,為替!$A:$AX,$I237,FALSE))+$J$3,IF(OR($I237="",$I237="-"),"",VLOOKUP($G237,為替!$A:$AX,$I237,FALSE)))</f>
        <v/>
      </c>
      <c r="K237" s="204" t="str">
        <f t="shared" si="20"/>
        <v/>
      </c>
      <c r="L237" s="188" t="str">
        <f t="shared" si="21"/>
        <v/>
      </c>
      <c r="M237" s="203" t="str">
        <f>IF($H237="USD",IF(OR($L237="",$L237="-"),"",VLOOKUP($G237,為替!$A:$AX,$L237,FALSE))+$K$3,IF(OR($L237="",$L237="-"),"",VLOOKUP($G237,為替!$A:$AX,$L237,FALSE)))</f>
        <v/>
      </c>
      <c r="N237" s="204" t="str">
        <f t="shared" si="22"/>
        <v/>
      </c>
      <c r="O237" s="205" t="str">
        <f t="shared" si="18"/>
        <v/>
      </c>
      <c r="P237" s="206" t="str">
        <f t="shared" si="23"/>
        <v/>
      </c>
    </row>
    <row r="238" spans="3:16" x14ac:dyDescent="0.4">
      <c r="C238" s="199"/>
      <c r="D238" s="200"/>
      <c r="E238" s="201"/>
      <c r="F238" s="199"/>
      <c r="H238" s="202"/>
      <c r="I238" s="185" t="str">
        <f t="shared" si="19"/>
        <v/>
      </c>
      <c r="J238" s="203" t="str">
        <f>IF($H238="USD",IF(OR($I238="",$I238="-"),"",VLOOKUP($G238,為替!$A:$AX,$I238,FALSE))+$J$3,IF(OR($I238="",$I238="-"),"",VLOOKUP($G238,為替!$A:$AX,$I238,FALSE)))</f>
        <v/>
      </c>
      <c r="K238" s="204" t="str">
        <f t="shared" si="20"/>
        <v/>
      </c>
      <c r="L238" s="188" t="str">
        <f t="shared" si="21"/>
        <v/>
      </c>
      <c r="M238" s="203" t="str">
        <f>IF($H238="USD",IF(OR($L238="",$L238="-"),"",VLOOKUP($G238,為替!$A:$AX,$L238,FALSE))+$K$3,IF(OR($L238="",$L238="-"),"",VLOOKUP($G238,為替!$A:$AX,$L238,FALSE)))</f>
        <v/>
      </c>
      <c r="N238" s="204" t="str">
        <f t="shared" si="22"/>
        <v/>
      </c>
      <c r="O238" s="205" t="str">
        <f t="shared" si="18"/>
        <v/>
      </c>
      <c r="P238" s="206" t="str">
        <f t="shared" si="23"/>
        <v/>
      </c>
    </row>
    <row r="239" spans="3:16" x14ac:dyDescent="0.4">
      <c r="C239" s="199"/>
      <c r="D239" s="200"/>
      <c r="E239" s="201"/>
      <c r="F239" s="199"/>
      <c r="H239" s="202"/>
      <c r="I239" s="185" t="str">
        <f t="shared" si="19"/>
        <v/>
      </c>
      <c r="J239" s="203" t="str">
        <f>IF($H239="USD",IF(OR($I239="",$I239="-"),"",VLOOKUP($G239,為替!$A:$AX,$I239,FALSE))+$J$3,IF(OR($I239="",$I239="-"),"",VLOOKUP($G239,為替!$A:$AX,$I239,FALSE)))</f>
        <v/>
      </c>
      <c r="K239" s="204" t="str">
        <f t="shared" si="20"/>
        <v/>
      </c>
      <c r="L239" s="188" t="str">
        <f t="shared" si="21"/>
        <v/>
      </c>
      <c r="M239" s="203" t="str">
        <f>IF($H239="USD",IF(OR($L239="",$L239="-"),"",VLOOKUP($G239,為替!$A:$AX,$L239,FALSE))+$K$3,IF(OR($L239="",$L239="-"),"",VLOOKUP($G239,為替!$A:$AX,$L239,FALSE)))</f>
        <v/>
      </c>
      <c r="N239" s="204" t="str">
        <f t="shared" si="22"/>
        <v/>
      </c>
      <c r="O239" s="205" t="str">
        <f t="shared" si="18"/>
        <v/>
      </c>
      <c r="P239" s="206" t="str">
        <f t="shared" si="23"/>
        <v/>
      </c>
    </row>
    <row r="240" spans="3:16" x14ac:dyDescent="0.4">
      <c r="C240" s="199"/>
      <c r="D240" s="200"/>
      <c r="E240" s="201"/>
      <c r="F240" s="199"/>
      <c r="H240" s="202"/>
      <c r="I240" s="185" t="str">
        <f t="shared" si="19"/>
        <v/>
      </c>
      <c r="J240" s="203" t="str">
        <f>IF($H240="USD",IF(OR($I240="",$I240="-"),"",VLOOKUP($G240,為替!$A:$AX,$I240,FALSE))+$J$3,IF(OR($I240="",$I240="-"),"",VLOOKUP($G240,為替!$A:$AX,$I240,FALSE)))</f>
        <v/>
      </c>
      <c r="K240" s="204" t="str">
        <f t="shared" si="20"/>
        <v/>
      </c>
      <c r="L240" s="188" t="str">
        <f t="shared" si="21"/>
        <v/>
      </c>
      <c r="M240" s="203" t="str">
        <f>IF($H240="USD",IF(OR($L240="",$L240="-"),"",VLOOKUP($G240,為替!$A:$AX,$L240,FALSE))+$K$3,IF(OR($L240="",$L240="-"),"",VLOOKUP($G240,為替!$A:$AX,$L240,FALSE)))</f>
        <v/>
      </c>
      <c r="N240" s="204" t="str">
        <f t="shared" si="22"/>
        <v/>
      </c>
      <c r="O240" s="205" t="str">
        <f t="shared" si="18"/>
        <v/>
      </c>
      <c r="P240" s="206" t="str">
        <f t="shared" si="23"/>
        <v/>
      </c>
    </row>
    <row r="241" spans="3:16" x14ac:dyDescent="0.4">
      <c r="C241" s="199"/>
      <c r="D241" s="200"/>
      <c r="E241" s="201"/>
      <c r="F241" s="199"/>
      <c r="H241" s="202"/>
      <c r="I241" s="185" t="str">
        <f t="shared" si="19"/>
        <v/>
      </c>
      <c r="J241" s="203" t="str">
        <f>IF($H241="USD",IF(OR($I241="",$I241="-"),"",VLOOKUP($G241,為替!$A:$AX,$I241,FALSE))+$J$3,IF(OR($I241="",$I241="-"),"",VLOOKUP($G241,為替!$A:$AX,$I241,FALSE)))</f>
        <v/>
      </c>
      <c r="K241" s="204" t="str">
        <f t="shared" si="20"/>
        <v/>
      </c>
      <c r="L241" s="188" t="str">
        <f t="shared" si="21"/>
        <v/>
      </c>
      <c r="M241" s="203" t="str">
        <f>IF($H241="USD",IF(OR($L241="",$L241="-"),"",VLOOKUP($G241,為替!$A:$AX,$L241,FALSE))+$K$3,IF(OR($L241="",$L241="-"),"",VLOOKUP($G241,為替!$A:$AX,$L241,FALSE)))</f>
        <v/>
      </c>
      <c r="N241" s="204" t="str">
        <f t="shared" si="22"/>
        <v/>
      </c>
      <c r="O241" s="205" t="str">
        <f t="shared" si="18"/>
        <v/>
      </c>
      <c r="P241" s="206" t="str">
        <f t="shared" si="23"/>
        <v/>
      </c>
    </row>
    <row r="242" spans="3:16" x14ac:dyDescent="0.4">
      <c r="C242" s="199"/>
      <c r="D242" s="200"/>
      <c r="E242" s="201"/>
      <c r="F242" s="199"/>
      <c r="H242" s="202"/>
      <c r="I242" s="185" t="str">
        <f t="shared" si="19"/>
        <v/>
      </c>
      <c r="J242" s="203" t="str">
        <f>IF($H242="USD",IF(OR($I242="",$I242="-"),"",VLOOKUP($G242,為替!$A:$AX,$I242,FALSE))+$J$3,IF(OR($I242="",$I242="-"),"",VLOOKUP($G242,為替!$A:$AX,$I242,FALSE)))</f>
        <v/>
      </c>
      <c r="K242" s="204" t="str">
        <f t="shared" si="20"/>
        <v/>
      </c>
      <c r="L242" s="188" t="str">
        <f t="shared" si="21"/>
        <v/>
      </c>
      <c r="M242" s="203" t="str">
        <f>IF($H242="USD",IF(OR($L242="",$L242="-"),"",VLOOKUP($G242,為替!$A:$AX,$L242,FALSE))+$K$3,IF(OR($L242="",$L242="-"),"",VLOOKUP($G242,為替!$A:$AX,$L242,FALSE)))</f>
        <v/>
      </c>
      <c r="N242" s="204" t="str">
        <f t="shared" si="22"/>
        <v/>
      </c>
      <c r="O242" s="205" t="str">
        <f t="shared" si="18"/>
        <v/>
      </c>
      <c r="P242" s="206" t="str">
        <f t="shared" si="23"/>
        <v/>
      </c>
    </row>
    <row r="243" spans="3:16" x14ac:dyDescent="0.4">
      <c r="C243" s="199"/>
      <c r="D243" s="200"/>
      <c r="E243" s="201"/>
      <c r="F243" s="199"/>
      <c r="H243" s="202"/>
      <c r="I243" s="185" t="str">
        <f t="shared" si="19"/>
        <v/>
      </c>
      <c r="J243" s="203" t="str">
        <f>IF($H243="USD",IF(OR($I243="",$I243="-"),"",VLOOKUP($G243,為替!$A:$AX,$I243,FALSE))+$J$3,IF(OR($I243="",$I243="-"),"",VLOOKUP($G243,為替!$A:$AX,$I243,FALSE)))</f>
        <v/>
      </c>
      <c r="K243" s="204" t="str">
        <f t="shared" si="20"/>
        <v/>
      </c>
      <c r="L243" s="188" t="str">
        <f t="shared" si="21"/>
        <v/>
      </c>
      <c r="M243" s="203" t="str">
        <f>IF($H243="USD",IF(OR($L243="",$L243="-"),"",VLOOKUP($G243,為替!$A:$AX,$L243,FALSE))+$K$3,IF(OR($L243="",$L243="-"),"",VLOOKUP($G243,為替!$A:$AX,$L243,FALSE)))</f>
        <v/>
      </c>
      <c r="N243" s="204" t="str">
        <f t="shared" si="22"/>
        <v/>
      </c>
      <c r="O243" s="205" t="str">
        <f t="shared" si="18"/>
        <v/>
      </c>
      <c r="P243" s="206" t="str">
        <f t="shared" si="23"/>
        <v/>
      </c>
    </row>
    <row r="244" spans="3:16" x14ac:dyDescent="0.4">
      <c r="C244" s="199"/>
      <c r="D244" s="200"/>
      <c r="E244" s="201"/>
      <c r="F244" s="199"/>
      <c r="H244" s="202"/>
      <c r="I244" s="185" t="str">
        <f t="shared" si="19"/>
        <v/>
      </c>
      <c r="J244" s="203" t="str">
        <f>IF($H244="USD",IF(OR($I244="",$I244="-"),"",VLOOKUP($G244,為替!$A:$AX,$I244,FALSE))+$J$3,IF(OR($I244="",$I244="-"),"",VLOOKUP($G244,為替!$A:$AX,$I244,FALSE)))</f>
        <v/>
      </c>
      <c r="K244" s="204" t="str">
        <f t="shared" si="20"/>
        <v/>
      </c>
      <c r="L244" s="188" t="str">
        <f t="shared" si="21"/>
        <v/>
      </c>
      <c r="M244" s="203" t="str">
        <f>IF($H244="USD",IF(OR($L244="",$L244="-"),"",VLOOKUP($G244,為替!$A:$AX,$L244,FALSE))+$K$3,IF(OR($L244="",$L244="-"),"",VLOOKUP($G244,為替!$A:$AX,$L244,FALSE)))</f>
        <v/>
      </c>
      <c r="N244" s="204" t="str">
        <f t="shared" si="22"/>
        <v/>
      </c>
      <c r="O244" s="205" t="str">
        <f t="shared" si="18"/>
        <v/>
      </c>
      <c r="P244" s="206" t="str">
        <f t="shared" si="23"/>
        <v/>
      </c>
    </row>
    <row r="245" spans="3:16" x14ac:dyDescent="0.4">
      <c r="C245" s="199"/>
      <c r="D245" s="200"/>
      <c r="E245" s="201"/>
      <c r="F245" s="199"/>
      <c r="H245" s="202"/>
      <c r="I245" s="185" t="str">
        <f t="shared" si="19"/>
        <v/>
      </c>
      <c r="J245" s="203" t="str">
        <f>IF($H245="USD",IF(OR($I245="",$I245="-"),"",VLOOKUP($G245,為替!$A:$AX,$I245,FALSE))+$J$3,IF(OR($I245="",$I245="-"),"",VLOOKUP($G245,為替!$A:$AX,$I245,FALSE)))</f>
        <v/>
      </c>
      <c r="K245" s="204" t="str">
        <f t="shared" si="20"/>
        <v/>
      </c>
      <c r="L245" s="188" t="str">
        <f t="shared" si="21"/>
        <v/>
      </c>
      <c r="M245" s="203" t="str">
        <f>IF($H245="USD",IF(OR($L245="",$L245="-"),"",VLOOKUP($G245,為替!$A:$AX,$L245,FALSE))+$K$3,IF(OR($L245="",$L245="-"),"",VLOOKUP($G245,為替!$A:$AX,$L245,FALSE)))</f>
        <v/>
      </c>
      <c r="N245" s="204" t="str">
        <f t="shared" si="22"/>
        <v/>
      </c>
      <c r="O245" s="205" t="str">
        <f t="shared" si="18"/>
        <v/>
      </c>
      <c r="P245" s="206" t="str">
        <f t="shared" si="23"/>
        <v/>
      </c>
    </row>
    <row r="246" spans="3:16" x14ac:dyDescent="0.4">
      <c r="C246" s="199"/>
      <c r="D246" s="200"/>
      <c r="E246" s="201"/>
      <c r="F246" s="199"/>
      <c r="H246" s="202"/>
      <c r="I246" s="185" t="str">
        <f t="shared" si="19"/>
        <v/>
      </c>
      <c r="J246" s="203" t="str">
        <f>IF($H246="USD",IF(OR($I246="",$I246="-"),"",VLOOKUP($G246,為替!$A:$AX,$I246,FALSE))+$J$3,IF(OR($I246="",$I246="-"),"",VLOOKUP($G246,為替!$A:$AX,$I246,FALSE)))</f>
        <v/>
      </c>
      <c r="K246" s="204" t="str">
        <f t="shared" si="20"/>
        <v/>
      </c>
      <c r="L246" s="188" t="str">
        <f t="shared" si="21"/>
        <v/>
      </c>
      <c r="M246" s="203" t="str">
        <f>IF($H246="USD",IF(OR($L246="",$L246="-"),"",VLOOKUP($G246,為替!$A:$AX,$L246,FALSE))+$K$3,IF(OR($L246="",$L246="-"),"",VLOOKUP($G246,為替!$A:$AX,$L246,FALSE)))</f>
        <v/>
      </c>
      <c r="N246" s="204" t="str">
        <f t="shared" si="22"/>
        <v/>
      </c>
      <c r="O246" s="205" t="str">
        <f t="shared" si="18"/>
        <v/>
      </c>
      <c r="P246" s="206" t="str">
        <f t="shared" si="23"/>
        <v/>
      </c>
    </row>
    <row r="247" spans="3:16" x14ac:dyDescent="0.4">
      <c r="C247" s="199"/>
      <c r="D247" s="200"/>
      <c r="E247" s="201"/>
      <c r="F247" s="199"/>
      <c r="H247" s="202"/>
      <c r="I247" s="185" t="str">
        <f t="shared" si="19"/>
        <v/>
      </c>
      <c r="J247" s="203" t="str">
        <f>IF($H247="USD",IF(OR($I247="",$I247="-"),"",VLOOKUP($G247,為替!$A:$AX,$I247,FALSE))+$J$3,IF(OR($I247="",$I247="-"),"",VLOOKUP($G247,為替!$A:$AX,$I247,FALSE)))</f>
        <v/>
      </c>
      <c r="K247" s="204" t="str">
        <f t="shared" si="20"/>
        <v/>
      </c>
      <c r="L247" s="188" t="str">
        <f t="shared" si="21"/>
        <v/>
      </c>
      <c r="M247" s="203" t="str">
        <f>IF($H247="USD",IF(OR($L247="",$L247="-"),"",VLOOKUP($G247,為替!$A:$AX,$L247,FALSE))+$K$3,IF(OR($L247="",$L247="-"),"",VLOOKUP($G247,為替!$A:$AX,$L247,FALSE)))</f>
        <v/>
      </c>
      <c r="N247" s="204" t="str">
        <f t="shared" si="22"/>
        <v/>
      </c>
      <c r="O247" s="205" t="str">
        <f t="shared" si="18"/>
        <v/>
      </c>
      <c r="P247" s="206" t="str">
        <f t="shared" si="23"/>
        <v/>
      </c>
    </row>
    <row r="248" spans="3:16" x14ac:dyDescent="0.4">
      <c r="C248" s="199"/>
      <c r="D248" s="200"/>
      <c r="E248" s="201"/>
      <c r="F248" s="199"/>
      <c r="H248" s="202"/>
      <c r="I248" s="185" t="str">
        <f t="shared" si="19"/>
        <v/>
      </c>
      <c r="J248" s="203" t="str">
        <f>IF($H248="USD",IF(OR($I248="",$I248="-"),"",VLOOKUP($G248,為替!$A:$AX,$I248,FALSE))+$J$3,IF(OR($I248="",$I248="-"),"",VLOOKUP($G248,為替!$A:$AX,$I248,FALSE)))</f>
        <v/>
      </c>
      <c r="K248" s="204" t="str">
        <f t="shared" si="20"/>
        <v/>
      </c>
      <c r="L248" s="188" t="str">
        <f t="shared" si="21"/>
        <v/>
      </c>
      <c r="M248" s="203" t="str">
        <f>IF($H248="USD",IF(OR($L248="",$L248="-"),"",VLOOKUP($G248,為替!$A:$AX,$L248,FALSE))+$K$3,IF(OR($L248="",$L248="-"),"",VLOOKUP($G248,為替!$A:$AX,$L248,FALSE)))</f>
        <v/>
      </c>
      <c r="N248" s="204" t="str">
        <f t="shared" si="22"/>
        <v/>
      </c>
      <c r="O248" s="205" t="str">
        <f t="shared" si="18"/>
        <v/>
      </c>
      <c r="P248" s="206" t="str">
        <f t="shared" si="23"/>
        <v/>
      </c>
    </row>
    <row r="249" spans="3:16" x14ac:dyDescent="0.4">
      <c r="C249" s="199"/>
      <c r="D249" s="200"/>
      <c r="E249" s="201"/>
      <c r="F249" s="199"/>
      <c r="H249" s="202"/>
      <c r="I249" s="185" t="str">
        <f t="shared" si="19"/>
        <v/>
      </c>
      <c r="J249" s="203" t="str">
        <f>IF($H249="USD",IF(OR($I249="",$I249="-"),"",VLOOKUP($G249,為替!$A:$AX,$I249,FALSE))+$J$3,IF(OR($I249="",$I249="-"),"",VLOOKUP($G249,為替!$A:$AX,$I249,FALSE)))</f>
        <v/>
      </c>
      <c r="K249" s="204" t="str">
        <f t="shared" si="20"/>
        <v/>
      </c>
      <c r="L249" s="188" t="str">
        <f t="shared" si="21"/>
        <v/>
      </c>
      <c r="M249" s="203" t="str">
        <f>IF($H249="USD",IF(OR($L249="",$L249="-"),"",VLOOKUP($G249,為替!$A:$AX,$L249,FALSE))+$K$3,IF(OR($L249="",$L249="-"),"",VLOOKUP($G249,為替!$A:$AX,$L249,FALSE)))</f>
        <v/>
      </c>
      <c r="N249" s="204" t="str">
        <f t="shared" si="22"/>
        <v/>
      </c>
      <c r="O249" s="205" t="str">
        <f t="shared" si="18"/>
        <v/>
      </c>
      <c r="P249" s="206" t="str">
        <f t="shared" si="23"/>
        <v/>
      </c>
    </row>
    <row r="250" spans="3:16" x14ac:dyDescent="0.4">
      <c r="C250" s="199"/>
      <c r="D250" s="200"/>
      <c r="E250" s="201"/>
      <c r="F250" s="199"/>
      <c r="H250" s="202"/>
      <c r="I250" s="185" t="str">
        <f t="shared" si="19"/>
        <v/>
      </c>
      <c r="J250" s="203" t="str">
        <f>IF($H250="USD",IF(OR($I250="",$I250="-"),"",VLOOKUP($G250,為替!$A:$AX,$I250,FALSE))+$J$3,IF(OR($I250="",$I250="-"),"",VLOOKUP($G250,為替!$A:$AX,$I250,FALSE)))</f>
        <v/>
      </c>
      <c r="K250" s="204" t="str">
        <f t="shared" si="20"/>
        <v/>
      </c>
      <c r="L250" s="188" t="str">
        <f t="shared" si="21"/>
        <v/>
      </c>
      <c r="M250" s="203" t="str">
        <f>IF($H250="USD",IF(OR($L250="",$L250="-"),"",VLOOKUP($G250,為替!$A:$AX,$L250,FALSE))+$K$3,IF(OR($L250="",$L250="-"),"",VLOOKUP($G250,為替!$A:$AX,$L250,FALSE)))</f>
        <v/>
      </c>
      <c r="N250" s="204" t="str">
        <f t="shared" si="22"/>
        <v/>
      </c>
      <c r="O250" s="205" t="str">
        <f t="shared" si="18"/>
        <v/>
      </c>
      <c r="P250" s="206" t="str">
        <f t="shared" si="23"/>
        <v/>
      </c>
    </row>
    <row r="251" spans="3:16" x14ac:dyDescent="0.4">
      <c r="C251" s="199"/>
      <c r="D251" s="200"/>
      <c r="E251" s="201"/>
      <c r="F251" s="199"/>
      <c r="H251" s="202"/>
      <c r="I251" s="185" t="str">
        <f t="shared" si="19"/>
        <v/>
      </c>
      <c r="J251" s="203" t="str">
        <f>IF($H251="USD",IF(OR($I251="",$I251="-"),"",VLOOKUP($G251,為替!$A:$AX,$I251,FALSE))+$J$3,IF(OR($I251="",$I251="-"),"",VLOOKUP($G251,為替!$A:$AX,$I251,FALSE)))</f>
        <v/>
      </c>
      <c r="K251" s="204" t="str">
        <f t="shared" si="20"/>
        <v/>
      </c>
      <c r="L251" s="188" t="str">
        <f t="shared" si="21"/>
        <v/>
      </c>
      <c r="M251" s="203" t="str">
        <f>IF($H251="USD",IF(OR($L251="",$L251="-"),"",VLOOKUP($G251,為替!$A:$AX,$L251,FALSE))+$K$3,IF(OR($L251="",$L251="-"),"",VLOOKUP($G251,為替!$A:$AX,$L251,FALSE)))</f>
        <v/>
      </c>
      <c r="N251" s="204" t="str">
        <f t="shared" si="22"/>
        <v/>
      </c>
      <c r="O251" s="205" t="str">
        <f t="shared" si="18"/>
        <v/>
      </c>
      <c r="P251" s="206" t="str">
        <f t="shared" si="23"/>
        <v/>
      </c>
    </row>
    <row r="252" spans="3:16" x14ac:dyDescent="0.4">
      <c r="C252" s="199"/>
      <c r="D252" s="200"/>
      <c r="E252" s="201"/>
      <c r="F252" s="199"/>
      <c r="H252" s="202"/>
      <c r="I252" s="185" t="str">
        <f t="shared" si="19"/>
        <v/>
      </c>
      <c r="J252" s="203" t="str">
        <f>IF($H252="USD",IF(OR($I252="",$I252="-"),"",VLOOKUP($G252,為替!$A:$AX,$I252,FALSE))+$J$3,IF(OR($I252="",$I252="-"),"",VLOOKUP($G252,為替!$A:$AX,$I252,FALSE)))</f>
        <v/>
      </c>
      <c r="K252" s="204" t="str">
        <f t="shared" si="20"/>
        <v/>
      </c>
      <c r="L252" s="188" t="str">
        <f t="shared" si="21"/>
        <v/>
      </c>
      <c r="M252" s="203" t="str">
        <f>IF($H252="USD",IF(OR($L252="",$L252="-"),"",VLOOKUP($G252,為替!$A:$AX,$L252,FALSE))+$K$3,IF(OR($L252="",$L252="-"),"",VLOOKUP($G252,為替!$A:$AX,$L252,FALSE)))</f>
        <v/>
      </c>
      <c r="N252" s="204" t="str">
        <f t="shared" si="22"/>
        <v/>
      </c>
      <c r="O252" s="205" t="str">
        <f t="shared" si="18"/>
        <v/>
      </c>
      <c r="P252" s="206" t="str">
        <f t="shared" si="23"/>
        <v/>
      </c>
    </row>
    <row r="253" spans="3:16" x14ac:dyDescent="0.4">
      <c r="C253" s="199"/>
      <c r="D253" s="200"/>
      <c r="E253" s="201"/>
      <c r="F253" s="199"/>
      <c r="H253" s="202"/>
      <c r="I253" s="185" t="str">
        <f t="shared" si="19"/>
        <v/>
      </c>
      <c r="J253" s="203" t="str">
        <f>IF($H253="USD",IF(OR($I253="",$I253="-"),"",VLOOKUP($G253,為替!$A:$AX,$I253,FALSE))+$J$3,IF(OR($I253="",$I253="-"),"",VLOOKUP($G253,為替!$A:$AX,$I253,FALSE)))</f>
        <v/>
      </c>
      <c r="K253" s="204" t="str">
        <f t="shared" si="20"/>
        <v/>
      </c>
      <c r="L253" s="188" t="str">
        <f t="shared" si="21"/>
        <v/>
      </c>
      <c r="M253" s="203" t="str">
        <f>IF($H253="USD",IF(OR($L253="",$L253="-"),"",VLOOKUP($G253,為替!$A:$AX,$L253,FALSE))+$K$3,IF(OR($L253="",$L253="-"),"",VLOOKUP($G253,為替!$A:$AX,$L253,FALSE)))</f>
        <v/>
      </c>
      <c r="N253" s="204" t="str">
        <f t="shared" si="22"/>
        <v/>
      </c>
      <c r="O253" s="205" t="str">
        <f t="shared" si="18"/>
        <v/>
      </c>
      <c r="P253" s="206" t="str">
        <f t="shared" si="23"/>
        <v/>
      </c>
    </row>
    <row r="254" spans="3:16" x14ac:dyDescent="0.4">
      <c r="C254" s="199"/>
      <c r="D254" s="200"/>
      <c r="E254" s="201"/>
      <c r="F254" s="199"/>
      <c r="H254" s="202"/>
      <c r="I254" s="185" t="str">
        <f t="shared" si="19"/>
        <v/>
      </c>
      <c r="J254" s="203" t="str">
        <f>IF($H254="USD",IF(OR($I254="",$I254="-"),"",VLOOKUP($G254,為替!$A:$AX,$I254,FALSE))+$J$3,IF(OR($I254="",$I254="-"),"",VLOOKUP($G254,為替!$A:$AX,$I254,FALSE)))</f>
        <v/>
      </c>
      <c r="K254" s="204" t="str">
        <f t="shared" si="20"/>
        <v/>
      </c>
      <c r="L254" s="188" t="str">
        <f t="shared" si="21"/>
        <v/>
      </c>
      <c r="M254" s="203" t="str">
        <f>IF($H254="USD",IF(OR($L254="",$L254="-"),"",VLOOKUP($G254,為替!$A:$AX,$L254,FALSE))+$K$3,IF(OR($L254="",$L254="-"),"",VLOOKUP($G254,為替!$A:$AX,$L254,FALSE)))</f>
        <v/>
      </c>
      <c r="N254" s="204" t="str">
        <f t="shared" si="22"/>
        <v/>
      </c>
      <c r="O254" s="205" t="str">
        <f t="shared" si="18"/>
        <v/>
      </c>
      <c r="P254" s="206" t="str">
        <f t="shared" si="23"/>
        <v/>
      </c>
    </row>
    <row r="255" spans="3:16" x14ac:dyDescent="0.4">
      <c r="C255" s="199"/>
      <c r="D255" s="200"/>
      <c r="E255" s="201"/>
      <c r="F255" s="199"/>
      <c r="H255" s="202"/>
      <c r="I255" s="185" t="str">
        <f t="shared" si="19"/>
        <v/>
      </c>
      <c r="J255" s="203" t="str">
        <f>IF($H255="USD",IF(OR($I255="",$I255="-"),"",VLOOKUP($G255,為替!$A:$AX,$I255,FALSE))+$J$3,IF(OR($I255="",$I255="-"),"",VLOOKUP($G255,為替!$A:$AX,$I255,FALSE)))</f>
        <v/>
      </c>
      <c r="K255" s="204" t="str">
        <f t="shared" si="20"/>
        <v/>
      </c>
      <c r="L255" s="188" t="str">
        <f t="shared" si="21"/>
        <v/>
      </c>
      <c r="M255" s="203" t="str">
        <f>IF($H255="USD",IF(OR($L255="",$L255="-"),"",VLOOKUP($G255,為替!$A:$AX,$L255,FALSE))+$K$3,IF(OR($L255="",$L255="-"),"",VLOOKUP($G255,為替!$A:$AX,$L255,FALSE)))</f>
        <v/>
      </c>
      <c r="N255" s="204" t="str">
        <f t="shared" si="22"/>
        <v/>
      </c>
      <c r="O255" s="205" t="str">
        <f t="shared" si="18"/>
        <v/>
      </c>
      <c r="P255" s="206" t="str">
        <f t="shared" si="23"/>
        <v/>
      </c>
    </row>
    <row r="256" spans="3:16" x14ac:dyDescent="0.4">
      <c r="C256" s="199"/>
      <c r="D256" s="200"/>
      <c r="E256" s="201"/>
      <c r="F256" s="199"/>
      <c r="H256" s="202"/>
      <c r="I256" s="185" t="str">
        <f t="shared" si="19"/>
        <v/>
      </c>
      <c r="J256" s="203" t="str">
        <f>IF($H256="USD",IF(OR($I256="",$I256="-"),"",VLOOKUP($G256,為替!$A:$AX,$I256,FALSE))+$J$3,IF(OR($I256="",$I256="-"),"",VLOOKUP($G256,為替!$A:$AX,$I256,FALSE)))</f>
        <v/>
      </c>
      <c r="K256" s="204" t="str">
        <f t="shared" si="20"/>
        <v/>
      </c>
      <c r="L256" s="188" t="str">
        <f t="shared" si="21"/>
        <v/>
      </c>
      <c r="M256" s="203" t="str">
        <f>IF($H256="USD",IF(OR($L256="",$L256="-"),"",VLOOKUP($G256,為替!$A:$AX,$L256,FALSE))+$K$3,IF(OR($L256="",$L256="-"),"",VLOOKUP($G256,為替!$A:$AX,$L256,FALSE)))</f>
        <v/>
      </c>
      <c r="N256" s="204" t="str">
        <f t="shared" si="22"/>
        <v/>
      </c>
      <c r="O256" s="205" t="str">
        <f t="shared" si="18"/>
        <v/>
      </c>
      <c r="P256" s="206" t="str">
        <f t="shared" si="23"/>
        <v/>
      </c>
    </row>
    <row r="257" spans="3:16" x14ac:dyDescent="0.4">
      <c r="C257" s="199"/>
      <c r="D257" s="200"/>
      <c r="E257" s="201"/>
      <c r="F257" s="199"/>
      <c r="H257" s="202"/>
      <c r="I257" s="185" t="str">
        <f t="shared" si="19"/>
        <v/>
      </c>
      <c r="J257" s="203" t="str">
        <f>IF($H257="USD",IF(OR($I257="",$I257="-"),"",VLOOKUP($G257,為替!$A:$AX,$I257,FALSE))+$J$3,IF(OR($I257="",$I257="-"),"",VLOOKUP($G257,為替!$A:$AX,$I257,FALSE)))</f>
        <v/>
      </c>
      <c r="K257" s="204" t="str">
        <f t="shared" si="20"/>
        <v/>
      </c>
      <c r="L257" s="188" t="str">
        <f t="shared" si="21"/>
        <v/>
      </c>
      <c r="M257" s="203" t="str">
        <f>IF($H257="USD",IF(OR($L257="",$L257="-"),"",VLOOKUP($G257,為替!$A:$AX,$L257,FALSE))+$K$3,IF(OR($L257="",$L257="-"),"",VLOOKUP($G257,為替!$A:$AX,$L257,FALSE)))</f>
        <v/>
      </c>
      <c r="N257" s="204" t="str">
        <f t="shared" si="22"/>
        <v/>
      </c>
      <c r="O257" s="205" t="str">
        <f t="shared" si="18"/>
        <v/>
      </c>
      <c r="P257" s="206" t="str">
        <f t="shared" si="23"/>
        <v/>
      </c>
    </row>
    <row r="258" spans="3:16" x14ac:dyDescent="0.4">
      <c r="C258" s="199"/>
      <c r="D258" s="200"/>
      <c r="E258" s="201"/>
      <c r="F258" s="199"/>
      <c r="H258" s="202"/>
      <c r="I258" s="185" t="str">
        <f t="shared" si="19"/>
        <v/>
      </c>
      <c r="J258" s="203" t="str">
        <f>IF($H258="USD",IF(OR($I258="",$I258="-"),"",VLOOKUP($G258,為替!$A:$AX,$I258,FALSE))+$J$3,IF(OR($I258="",$I258="-"),"",VLOOKUP($G258,為替!$A:$AX,$I258,FALSE)))</f>
        <v/>
      </c>
      <c r="K258" s="204" t="str">
        <f t="shared" si="20"/>
        <v/>
      </c>
      <c r="L258" s="188" t="str">
        <f t="shared" si="21"/>
        <v/>
      </c>
      <c r="M258" s="203" t="str">
        <f>IF($H258="USD",IF(OR($L258="",$L258="-"),"",VLOOKUP($G258,為替!$A:$AX,$L258,FALSE))+$K$3,IF(OR($L258="",$L258="-"),"",VLOOKUP($G258,為替!$A:$AX,$L258,FALSE)))</f>
        <v/>
      </c>
      <c r="N258" s="204" t="str">
        <f t="shared" si="22"/>
        <v/>
      </c>
      <c r="O258" s="205" t="str">
        <f t="shared" si="18"/>
        <v/>
      </c>
      <c r="P258" s="206" t="str">
        <f t="shared" si="23"/>
        <v/>
      </c>
    </row>
    <row r="259" spans="3:16" x14ac:dyDescent="0.4">
      <c r="C259" s="199"/>
      <c r="D259" s="200"/>
      <c r="E259" s="201"/>
      <c r="F259" s="199"/>
      <c r="H259" s="202"/>
      <c r="I259" s="185" t="str">
        <f t="shared" si="19"/>
        <v/>
      </c>
      <c r="J259" s="203" t="str">
        <f>IF($H259="USD",IF(OR($I259="",$I259="-"),"",VLOOKUP($G259,為替!$A:$AX,$I259,FALSE))+$J$3,IF(OR($I259="",$I259="-"),"",VLOOKUP($G259,為替!$A:$AX,$I259,FALSE)))</f>
        <v/>
      </c>
      <c r="K259" s="204" t="str">
        <f t="shared" si="20"/>
        <v/>
      </c>
      <c r="L259" s="188" t="str">
        <f t="shared" si="21"/>
        <v/>
      </c>
      <c r="M259" s="203" t="str">
        <f>IF($H259="USD",IF(OR($L259="",$L259="-"),"",VLOOKUP($G259,為替!$A:$AX,$L259,FALSE))+$K$3,IF(OR($L259="",$L259="-"),"",VLOOKUP($G259,為替!$A:$AX,$L259,FALSE)))</f>
        <v/>
      </c>
      <c r="N259" s="204" t="str">
        <f t="shared" si="22"/>
        <v/>
      </c>
      <c r="O259" s="205" t="str">
        <f t="shared" si="18"/>
        <v/>
      </c>
      <c r="P259" s="206" t="str">
        <f t="shared" si="23"/>
        <v/>
      </c>
    </row>
    <row r="260" spans="3:16" x14ac:dyDescent="0.4">
      <c r="C260" s="199"/>
      <c r="D260" s="200"/>
      <c r="E260" s="201"/>
      <c r="F260" s="199"/>
      <c r="H260" s="202"/>
      <c r="I260" s="185" t="str">
        <f t="shared" si="19"/>
        <v/>
      </c>
      <c r="J260" s="203" t="str">
        <f>IF($H260="USD",IF(OR($I260="",$I260="-"),"",VLOOKUP($G260,為替!$A:$AX,$I260,FALSE))+$J$3,IF(OR($I260="",$I260="-"),"",VLOOKUP($G260,為替!$A:$AX,$I260,FALSE)))</f>
        <v/>
      </c>
      <c r="K260" s="204" t="str">
        <f t="shared" si="20"/>
        <v/>
      </c>
      <c r="L260" s="188" t="str">
        <f t="shared" si="21"/>
        <v/>
      </c>
      <c r="M260" s="203" t="str">
        <f>IF($H260="USD",IF(OR($L260="",$L260="-"),"",VLOOKUP($G260,為替!$A:$AX,$L260,FALSE))+$K$3,IF(OR($L260="",$L260="-"),"",VLOOKUP($G260,為替!$A:$AX,$L260,FALSE)))</f>
        <v/>
      </c>
      <c r="N260" s="204" t="str">
        <f t="shared" si="22"/>
        <v/>
      </c>
      <c r="O260" s="205" t="str">
        <f t="shared" si="18"/>
        <v/>
      </c>
      <c r="P260" s="206" t="str">
        <f t="shared" si="23"/>
        <v/>
      </c>
    </row>
    <row r="261" spans="3:16" x14ac:dyDescent="0.4">
      <c r="C261" s="199"/>
      <c r="D261" s="200"/>
      <c r="E261" s="201"/>
      <c r="F261" s="199"/>
      <c r="H261" s="202"/>
      <c r="I261" s="185" t="str">
        <f t="shared" si="19"/>
        <v/>
      </c>
      <c r="J261" s="203" t="str">
        <f>IF($H261="USD",IF(OR($I261="",$I261="-"),"",VLOOKUP($G261,為替!$A:$AX,$I261,FALSE))+$J$3,IF(OR($I261="",$I261="-"),"",VLOOKUP($G261,為替!$A:$AX,$I261,FALSE)))</f>
        <v/>
      </c>
      <c r="K261" s="204" t="str">
        <f t="shared" si="20"/>
        <v/>
      </c>
      <c r="L261" s="188" t="str">
        <f t="shared" si="21"/>
        <v/>
      </c>
      <c r="M261" s="203" t="str">
        <f>IF($H261="USD",IF(OR($L261="",$L261="-"),"",VLOOKUP($G261,為替!$A:$AX,$L261,FALSE))+$K$3,IF(OR($L261="",$L261="-"),"",VLOOKUP($G261,為替!$A:$AX,$L261,FALSE)))</f>
        <v/>
      </c>
      <c r="N261" s="204" t="str">
        <f t="shared" si="22"/>
        <v/>
      </c>
      <c r="O261" s="205" t="str">
        <f t="shared" si="18"/>
        <v/>
      </c>
      <c r="P261" s="206" t="str">
        <f t="shared" si="23"/>
        <v/>
      </c>
    </row>
    <row r="262" spans="3:16" x14ac:dyDescent="0.4">
      <c r="C262" s="199"/>
      <c r="D262" s="200"/>
      <c r="E262" s="201"/>
      <c r="F262" s="199"/>
      <c r="H262" s="202"/>
      <c r="I262" s="185" t="str">
        <f t="shared" si="19"/>
        <v/>
      </c>
      <c r="J262" s="203" t="str">
        <f>IF($H262="USD",IF(OR($I262="",$I262="-"),"",VLOOKUP($G262,為替!$A:$AX,$I262,FALSE))+$J$3,IF(OR($I262="",$I262="-"),"",VLOOKUP($G262,為替!$A:$AX,$I262,FALSE)))</f>
        <v/>
      </c>
      <c r="K262" s="204" t="str">
        <f t="shared" si="20"/>
        <v/>
      </c>
      <c r="L262" s="188" t="str">
        <f t="shared" si="21"/>
        <v/>
      </c>
      <c r="M262" s="203" t="str">
        <f>IF($H262="USD",IF(OR($L262="",$L262="-"),"",VLOOKUP($G262,為替!$A:$AX,$L262,FALSE))+$K$3,IF(OR($L262="",$L262="-"),"",VLOOKUP($G262,為替!$A:$AX,$L262,FALSE)))</f>
        <v/>
      </c>
      <c r="N262" s="204" t="str">
        <f t="shared" si="22"/>
        <v/>
      </c>
      <c r="O262" s="205" t="str">
        <f t="shared" ref="O262:O325" si="24">IF(OR(K262="",N262=""),"",K262-N262)</f>
        <v/>
      </c>
      <c r="P262" s="206" t="str">
        <f t="shared" si="23"/>
        <v/>
      </c>
    </row>
    <row r="263" spans="3:16" x14ac:dyDescent="0.4">
      <c r="C263" s="199"/>
      <c r="D263" s="200"/>
      <c r="E263" s="201"/>
      <c r="F263" s="199"/>
      <c r="H263" s="202"/>
      <c r="I263" s="185" t="str">
        <f t="shared" ref="I263:I326" si="25">IF(H263="","",IF(H263="JPY","",IF($H263="USD",4, IF(H263="EUR",7,IF(H263="CNY",47,IF(H263="HKD",34))))))</f>
        <v/>
      </c>
      <c r="J263" s="203" t="str">
        <f>IF($H263="USD",IF(OR($I263="",$I263="-"),"",VLOOKUP($G263,為替!$A:$AX,$I263,FALSE))+$J$3,IF(OR($I263="",$I263="-"),"",VLOOKUP($G263,為替!$A:$AX,$I263,FALSE)))</f>
        <v/>
      </c>
      <c r="K263" s="204" t="str">
        <f t="shared" ref="K263:K326" si="26">IF($H263="JPY",$F263,IF($H263="","",$F263*$J263))</f>
        <v/>
      </c>
      <c r="L263" s="188" t="str">
        <f t="shared" ref="L263:L326" si="27">IF(H263="","",IF(H263="JPY","",IF($H263="USD",3, IF(H263="EUR",6,IF(H263="CNY",46,IF(H263="HKD",33))))))</f>
        <v/>
      </c>
      <c r="M263" s="203" t="str">
        <f>IF($H263="USD",IF(OR($L263="",$L263="-"),"",VLOOKUP($G263,為替!$A:$AX,$L263,FALSE))+$K$3,IF(OR($L263="",$L263="-"),"",VLOOKUP($G263,為替!$A:$AX,$L263,FALSE)))</f>
        <v/>
      </c>
      <c r="N263" s="204" t="str">
        <f t="shared" ref="N263:N326" si="28">IF($E263="JPY",($C263+$D263),IF($E263="","",($C263+$D263)*$M263))</f>
        <v/>
      </c>
      <c r="O263" s="205" t="str">
        <f t="shared" si="24"/>
        <v/>
      </c>
      <c r="P263" s="206" t="str">
        <f t="shared" ref="P263:P326" si="29">IF(OR(K263="",O263=""),"",O263/K263)</f>
        <v/>
      </c>
    </row>
    <row r="264" spans="3:16" x14ac:dyDescent="0.4">
      <c r="C264" s="199"/>
      <c r="D264" s="200"/>
      <c r="E264" s="201"/>
      <c r="F264" s="199"/>
      <c r="H264" s="202"/>
      <c r="I264" s="185" t="str">
        <f t="shared" si="25"/>
        <v/>
      </c>
      <c r="J264" s="203" t="str">
        <f>IF($H264="USD",IF(OR($I264="",$I264="-"),"",VLOOKUP($G264,為替!$A:$AX,$I264,FALSE))+$J$3,IF(OR($I264="",$I264="-"),"",VLOOKUP($G264,為替!$A:$AX,$I264,FALSE)))</f>
        <v/>
      </c>
      <c r="K264" s="204" t="str">
        <f t="shared" si="26"/>
        <v/>
      </c>
      <c r="L264" s="188" t="str">
        <f t="shared" si="27"/>
        <v/>
      </c>
      <c r="M264" s="203" t="str">
        <f>IF($H264="USD",IF(OR($L264="",$L264="-"),"",VLOOKUP($G264,為替!$A:$AX,$L264,FALSE))+$K$3,IF(OR($L264="",$L264="-"),"",VLOOKUP($G264,為替!$A:$AX,$L264,FALSE)))</f>
        <v/>
      </c>
      <c r="N264" s="204" t="str">
        <f t="shared" si="28"/>
        <v/>
      </c>
      <c r="O264" s="205" t="str">
        <f t="shared" si="24"/>
        <v/>
      </c>
      <c r="P264" s="206" t="str">
        <f t="shared" si="29"/>
        <v/>
      </c>
    </row>
    <row r="265" spans="3:16" x14ac:dyDescent="0.4">
      <c r="C265" s="199"/>
      <c r="D265" s="200"/>
      <c r="E265" s="201"/>
      <c r="F265" s="199"/>
      <c r="H265" s="202"/>
      <c r="I265" s="185" t="str">
        <f t="shared" si="25"/>
        <v/>
      </c>
      <c r="J265" s="203" t="str">
        <f>IF($H265="USD",IF(OR($I265="",$I265="-"),"",VLOOKUP($G265,為替!$A:$AX,$I265,FALSE))+$J$3,IF(OR($I265="",$I265="-"),"",VLOOKUP($G265,為替!$A:$AX,$I265,FALSE)))</f>
        <v/>
      </c>
      <c r="K265" s="204" t="str">
        <f t="shared" si="26"/>
        <v/>
      </c>
      <c r="L265" s="188" t="str">
        <f t="shared" si="27"/>
        <v/>
      </c>
      <c r="M265" s="203" t="str">
        <f>IF($H265="USD",IF(OR($L265="",$L265="-"),"",VLOOKUP($G265,為替!$A:$AX,$L265,FALSE))+$K$3,IF(OR($L265="",$L265="-"),"",VLOOKUP($G265,為替!$A:$AX,$L265,FALSE)))</f>
        <v/>
      </c>
      <c r="N265" s="204" t="str">
        <f t="shared" si="28"/>
        <v/>
      </c>
      <c r="O265" s="205" t="str">
        <f t="shared" si="24"/>
        <v/>
      </c>
      <c r="P265" s="206" t="str">
        <f t="shared" si="29"/>
        <v/>
      </c>
    </row>
    <row r="266" spans="3:16" x14ac:dyDescent="0.4">
      <c r="C266" s="199"/>
      <c r="D266" s="200"/>
      <c r="E266" s="201"/>
      <c r="F266" s="199"/>
      <c r="H266" s="202"/>
      <c r="I266" s="185" t="str">
        <f t="shared" si="25"/>
        <v/>
      </c>
      <c r="J266" s="203" t="str">
        <f>IF($H266="USD",IF(OR($I266="",$I266="-"),"",VLOOKUP($G266,為替!$A:$AX,$I266,FALSE))+$J$3,IF(OR($I266="",$I266="-"),"",VLOOKUP($G266,為替!$A:$AX,$I266,FALSE)))</f>
        <v/>
      </c>
      <c r="K266" s="204" t="str">
        <f t="shared" si="26"/>
        <v/>
      </c>
      <c r="L266" s="188" t="str">
        <f t="shared" si="27"/>
        <v/>
      </c>
      <c r="M266" s="203" t="str">
        <f>IF($H266="USD",IF(OR($L266="",$L266="-"),"",VLOOKUP($G266,為替!$A:$AX,$L266,FALSE))+$K$3,IF(OR($L266="",$L266="-"),"",VLOOKUP($G266,為替!$A:$AX,$L266,FALSE)))</f>
        <v/>
      </c>
      <c r="N266" s="204" t="str">
        <f t="shared" si="28"/>
        <v/>
      </c>
      <c r="O266" s="205" t="str">
        <f t="shared" si="24"/>
        <v/>
      </c>
      <c r="P266" s="206" t="str">
        <f t="shared" si="29"/>
        <v/>
      </c>
    </row>
    <row r="267" spans="3:16" x14ac:dyDescent="0.4">
      <c r="C267" s="199"/>
      <c r="D267" s="200"/>
      <c r="E267" s="201"/>
      <c r="F267" s="199"/>
      <c r="H267" s="202"/>
      <c r="I267" s="185" t="str">
        <f t="shared" si="25"/>
        <v/>
      </c>
      <c r="J267" s="203" t="str">
        <f>IF($H267="USD",IF(OR($I267="",$I267="-"),"",VLOOKUP($G267,為替!$A:$AX,$I267,FALSE))+$J$3,IF(OR($I267="",$I267="-"),"",VLOOKUP($G267,為替!$A:$AX,$I267,FALSE)))</f>
        <v/>
      </c>
      <c r="K267" s="204" t="str">
        <f t="shared" si="26"/>
        <v/>
      </c>
      <c r="L267" s="188" t="str">
        <f t="shared" si="27"/>
        <v/>
      </c>
      <c r="M267" s="203" t="str">
        <f>IF($H267="USD",IF(OR($L267="",$L267="-"),"",VLOOKUP($G267,為替!$A:$AX,$L267,FALSE))+$K$3,IF(OR($L267="",$L267="-"),"",VLOOKUP($G267,為替!$A:$AX,$L267,FALSE)))</f>
        <v/>
      </c>
      <c r="N267" s="204" t="str">
        <f t="shared" si="28"/>
        <v/>
      </c>
      <c r="O267" s="205" t="str">
        <f t="shared" si="24"/>
        <v/>
      </c>
      <c r="P267" s="206" t="str">
        <f t="shared" si="29"/>
        <v/>
      </c>
    </row>
    <row r="268" spans="3:16" x14ac:dyDescent="0.4">
      <c r="C268" s="199"/>
      <c r="D268" s="200"/>
      <c r="E268" s="201"/>
      <c r="F268" s="199"/>
      <c r="H268" s="202"/>
      <c r="I268" s="185" t="str">
        <f t="shared" si="25"/>
        <v/>
      </c>
      <c r="J268" s="203" t="str">
        <f>IF($H268="USD",IF(OR($I268="",$I268="-"),"",VLOOKUP($G268,為替!$A:$AX,$I268,FALSE))+$J$3,IF(OR($I268="",$I268="-"),"",VLOOKUP($G268,為替!$A:$AX,$I268,FALSE)))</f>
        <v/>
      </c>
      <c r="K268" s="204" t="str">
        <f t="shared" si="26"/>
        <v/>
      </c>
      <c r="L268" s="188" t="str">
        <f t="shared" si="27"/>
        <v/>
      </c>
      <c r="M268" s="203" t="str">
        <f>IF($H268="USD",IF(OR($L268="",$L268="-"),"",VLOOKUP($G268,為替!$A:$AX,$L268,FALSE))+$K$3,IF(OR($L268="",$L268="-"),"",VLOOKUP($G268,為替!$A:$AX,$L268,FALSE)))</f>
        <v/>
      </c>
      <c r="N268" s="204" t="str">
        <f t="shared" si="28"/>
        <v/>
      </c>
      <c r="O268" s="205" t="str">
        <f t="shared" si="24"/>
        <v/>
      </c>
      <c r="P268" s="206" t="str">
        <f t="shared" si="29"/>
        <v/>
      </c>
    </row>
    <row r="269" spans="3:16" x14ac:dyDescent="0.4">
      <c r="C269" s="199"/>
      <c r="D269" s="200"/>
      <c r="E269" s="201"/>
      <c r="F269" s="199"/>
      <c r="H269" s="202"/>
      <c r="I269" s="185" t="str">
        <f t="shared" si="25"/>
        <v/>
      </c>
      <c r="J269" s="203" t="str">
        <f>IF($H269="USD",IF(OR($I269="",$I269="-"),"",VLOOKUP($G269,為替!$A:$AX,$I269,FALSE))+$J$3,IF(OR($I269="",$I269="-"),"",VLOOKUP($G269,為替!$A:$AX,$I269,FALSE)))</f>
        <v/>
      </c>
      <c r="K269" s="204" t="str">
        <f t="shared" si="26"/>
        <v/>
      </c>
      <c r="L269" s="188" t="str">
        <f t="shared" si="27"/>
        <v/>
      </c>
      <c r="M269" s="203" t="str">
        <f>IF($H269="USD",IF(OR($L269="",$L269="-"),"",VLOOKUP($G269,為替!$A:$AX,$L269,FALSE))+$K$3,IF(OR($L269="",$L269="-"),"",VLOOKUP($G269,為替!$A:$AX,$L269,FALSE)))</f>
        <v/>
      </c>
      <c r="N269" s="204" t="str">
        <f t="shared" si="28"/>
        <v/>
      </c>
      <c r="O269" s="205" t="str">
        <f t="shared" si="24"/>
        <v/>
      </c>
      <c r="P269" s="206" t="str">
        <f t="shared" si="29"/>
        <v/>
      </c>
    </row>
    <row r="270" spans="3:16" x14ac:dyDescent="0.4">
      <c r="C270" s="199"/>
      <c r="D270" s="200"/>
      <c r="E270" s="201"/>
      <c r="F270" s="199"/>
      <c r="H270" s="202"/>
      <c r="I270" s="185" t="str">
        <f t="shared" si="25"/>
        <v/>
      </c>
      <c r="J270" s="203" t="str">
        <f>IF($H270="USD",IF(OR($I270="",$I270="-"),"",VLOOKUP($G270,為替!$A:$AX,$I270,FALSE))+$J$3,IF(OR($I270="",$I270="-"),"",VLOOKUP($G270,為替!$A:$AX,$I270,FALSE)))</f>
        <v/>
      </c>
      <c r="K270" s="204" t="str">
        <f t="shared" si="26"/>
        <v/>
      </c>
      <c r="L270" s="188" t="str">
        <f t="shared" si="27"/>
        <v/>
      </c>
      <c r="M270" s="203" t="str">
        <f>IF($H270="USD",IF(OR($L270="",$L270="-"),"",VLOOKUP($G270,為替!$A:$AX,$L270,FALSE))+$K$3,IF(OR($L270="",$L270="-"),"",VLOOKUP($G270,為替!$A:$AX,$L270,FALSE)))</f>
        <v/>
      </c>
      <c r="N270" s="204" t="str">
        <f t="shared" si="28"/>
        <v/>
      </c>
      <c r="O270" s="205" t="str">
        <f t="shared" si="24"/>
        <v/>
      </c>
      <c r="P270" s="206" t="str">
        <f t="shared" si="29"/>
        <v/>
      </c>
    </row>
    <row r="271" spans="3:16" x14ac:dyDescent="0.4">
      <c r="C271" s="199"/>
      <c r="D271" s="200"/>
      <c r="E271" s="201"/>
      <c r="F271" s="199"/>
      <c r="H271" s="202"/>
      <c r="I271" s="185" t="str">
        <f t="shared" si="25"/>
        <v/>
      </c>
      <c r="J271" s="203" t="str">
        <f>IF($H271="USD",IF(OR($I271="",$I271="-"),"",VLOOKUP($G271,為替!$A:$AX,$I271,FALSE))+$J$3,IF(OR($I271="",$I271="-"),"",VLOOKUP($G271,為替!$A:$AX,$I271,FALSE)))</f>
        <v/>
      </c>
      <c r="K271" s="204" t="str">
        <f t="shared" si="26"/>
        <v/>
      </c>
      <c r="L271" s="188" t="str">
        <f t="shared" si="27"/>
        <v/>
      </c>
      <c r="M271" s="203" t="str">
        <f>IF($H271="USD",IF(OR($L271="",$L271="-"),"",VLOOKUP($G271,為替!$A:$AX,$L271,FALSE))+$K$3,IF(OR($L271="",$L271="-"),"",VLOOKUP($G271,為替!$A:$AX,$L271,FALSE)))</f>
        <v/>
      </c>
      <c r="N271" s="204" t="str">
        <f t="shared" si="28"/>
        <v/>
      </c>
      <c r="O271" s="205" t="str">
        <f t="shared" si="24"/>
        <v/>
      </c>
      <c r="P271" s="206" t="str">
        <f t="shared" si="29"/>
        <v/>
      </c>
    </row>
    <row r="272" spans="3:16" x14ac:dyDescent="0.4">
      <c r="C272" s="199"/>
      <c r="D272" s="200"/>
      <c r="E272" s="201"/>
      <c r="F272" s="199"/>
      <c r="H272" s="202"/>
      <c r="I272" s="185" t="str">
        <f t="shared" si="25"/>
        <v/>
      </c>
      <c r="J272" s="203" t="str">
        <f>IF($H272="USD",IF(OR($I272="",$I272="-"),"",VLOOKUP($G272,為替!$A:$AX,$I272,FALSE))+$J$3,IF(OR($I272="",$I272="-"),"",VLOOKUP($G272,為替!$A:$AX,$I272,FALSE)))</f>
        <v/>
      </c>
      <c r="K272" s="204" t="str">
        <f t="shared" si="26"/>
        <v/>
      </c>
      <c r="L272" s="188" t="str">
        <f t="shared" si="27"/>
        <v/>
      </c>
      <c r="M272" s="203" t="str">
        <f>IF($H272="USD",IF(OR($L272="",$L272="-"),"",VLOOKUP($G272,為替!$A:$AX,$L272,FALSE))+$K$3,IF(OR($L272="",$L272="-"),"",VLOOKUP($G272,為替!$A:$AX,$L272,FALSE)))</f>
        <v/>
      </c>
      <c r="N272" s="204" t="str">
        <f t="shared" si="28"/>
        <v/>
      </c>
      <c r="O272" s="205" t="str">
        <f t="shared" si="24"/>
        <v/>
      </c>
      <c r="P272" s="206" t="str">
        <f t="shared" si="29"/>
        <v/>
      </c>
    </row>
    <row r="273" spans="3:16" x14ac:dyDescent="0.4">
      <c r="C273" s="199"/>
      <c r="D273" s="200"/>
      <c r="E273" s="201"/>
      <c r="F273" s="199"/>
      <c r="H273" s="202"/>
      <c r="I273" s="185" t="str">
        <f t="shared" si="25"/>
        <v/>
      </c>
      <c r="J273" s="203" t="str">
        <f>IF($H273="USD",IF(OR($I273="",$I273="-"),"",VLOOKUP($G273,為替!$A:$AX,$I273,FALSE))+$J$3,IF(OR($I273="",$I273="-"),"",VLOOKUP($G273,為替!$A:$AX,$I273,FALSE)))</f>
        <v/>
      </c>
      <c r="K273" s="204" t="str">
        <f t="shared" si="26"/>
        <v/>
      </c>
      <c r="L273" s="188" t="str">
        <f t="shared" si="27"/>
        <v/>
      </c>
      <c r="M273" s="203" t="str">
        <f>IF($H273="USD",IF(OR($L273="",$L273="-"),"",VLOOKUP($G273,為替!$A:$AX,$L273,FALSE))+$K$3,IF(OR($L273="",$L273="-"),"",VLOOKUP($G273,為替!$A:$AX,$L273,FALSE)))</f>
        <v/>
      </c>
      <c r="N273" s="204" t="str">
        <f t="shared" si="28"/>
        <v/>
      </c>
      <c r="O273" s="205" t="str">
        <f t="shared" si="24"/>
        <v/>
      </c>
      <c r="P273" s="206" t="str">
        <f t="shared" si="29"/>
        <v/>
      </c>
    </row>
    <row r="274" spans="3:16" x14ac:dyDescent="0.4">
      <c r="C274" s="199"/>
      <c r="D274" s="200"/>
      <c r="E274" s="201"/>
      <c r="F274" s="199"/>
      <c r="H274" s="202"/>
      <c r="I274" s="185" t="str">
        <f t="shared" si="25"/>
        <v/>
      </c>
      <c r="J274" s="203" t="str">
        <f>IF($H274="USD",IF(OR($I274="",$I274="-"),"",VLOOKUP($G274,為替!$A:$AX,$I274,FALSE))+$J$3,IF(OR($I274="",$I274="-"),"",VLOOKUP($G274,為替!$A:$AX,$I274,FALSE)))</f>
        <v/>
      </c>
      <c r="K274" s="204" t="str">
        <f t="shared" si="26"/>
        <v/>
      </c>
      <c r="L274" s="188" t="str">
        <f t="shared" si="27"/>
        <v/>
      </c>
      <c r="M274" s="203" t="str">
        <f>IF($H274="USD",IF(OR($L274="",$L274="-"),"",VLOOKUP($G274,為替!$A:$AX,$L274,FALSE))+$K$3,IF(OR($L274="",$L274="-"),"",VLOOKUP($G274,為替!$A:$AX,$L274,FALSE)))</f>
        <v/>
      </c>
      <c r="N274" s="204" t="str">
        <f t="shared" si="28"/>
        <v/>
      </c>
      <c r="O274" s="205" t="str">
        <f t="shared" si="24"/>
        <v/>
      </c>
      <c r="P274" s="206" t="str">
        <f t="shared" si="29"/>
        <v/>
      </c>
    </row>
    <row r="275" spans="3:16" x14ac:dyDescent="0.4">
      <c r="C275" s="199"/>
      <c r="D275" s="200"/>
      <c r="E275" s="201"/>
      <c r="F275" s="199"/>
      <c r="H275" s="202"/>
      <c r="I275" s="185" t="str">
        <f t="shared" si="25"/>
        <v/>
      </c>
      <c r="J275" s="203" t="str">
        <f>IF($H275="USD",IF(OR($I275="",$I275="-"),"",VLOOKUP($G275,為替!$A:$AX,$I275,FALSE))+$J$3,IF(OR($I275="",$I275="-"),"",VLOOKUP($G275,為替!$A:$AX,$I275,FALSE)))</f>
        <v/>
      </c>
      <c r="K275" s="204" t="str">
        <f t="shared" si="26"/>
        <v/>
      </c>
      <c r="L275" s="188" t="str">
        <f t="shared" si="27"/>
        <v/>
      </c>
      <c r="M275" s="203" t="str">
        <f>IF($H275="USD",IF(OR($L275="",$L275="-"),"",VLOOKUP($G275,為替!$A:$AX,$L275,FALSE))+$K$3,IF(OR($L275="",$L275="-"),"",VLOOKUP($G275,為替!$A:$AX,$L275,FALSE)))</f>
        <v/>
      </c>
      <c r="N275" s="204" t="str">
        <f t="shared" si="28"/>
        <v/>
      </c>
      <c r="O275" s="205" t="str">
        <f t="shared" si="24"/>
        <v/>
      </c>
      <c r="P275" s="206" t="str">
        <f t="shared" si="29"/>
        <v/>
      </c>
    </row>
    <row r="276" spans="3:16" x14ac:dyDescent="0.4">
      <c r="C276" s="199"/>
      <c r="D276" s="200"/>
      <c r="E276" s="201"/>
      <c r="F276" s="199"/>
      <c r="H276" s="202"/>
      <c r="I276" s="185" t="str">
        <f t="shared" si="25"/>
        <v/>
      </c>
      <c r="J276" s="203" t="str">
        <f>IF($H276="USD",IF(OR($I276="",$I276="-"),"",VLOOKUP($G276,為替!$A:$AX,$I276,FALSE))+$J$3,IF(OR($I276="",$I276="-"),"",VLOOKUP($G276,為替!$A:$AX,$I276,FALSE)))</f>
        <v/>
      </c>
      <c r="K276" s="204" t="str">
        <f t="shared" si="26"/>
        <v/>
      </c>
      <c r="L276" s="188" t="str">
        <f t="shared" si="27"/>
        <v/>
      </c>
      <c r="M276" s="203" t="str">
        <f>IF($H276="USD",IF(OR($L276="",$L276="-"),"",VLOOKUP($G276,為替!$A:$AX,$L276,FALSE))+$K$3,IF(OR($L276="",$L276="-"),"",VLOOKUP($G276,為替!$A:$AX,$L276,FALSE)))</f>
        <v/>
      </c>
      <c r="N276" s="204" t="str">
        <f t="shared" si="28"/>
        <v/>
      </c>
      <c r="O276" s="205" t="str">
        <f t="shared" si="24"/>
        <v/>
      </c>
      <c r="P276" s="206" t="str">
        <f t="shared" si="29"/>
        <v/>
      </c>
    </row>
    <row r="277" spans="3:16" x14ac:dyDescent="0.4">
      <c r="C277" s="199"/>
      <c r="D277" s="200"/>
      <c r="E277" s="201"/>
      <c r="F277" s="199"/>
      <c r="H277" s="202"/>
      <c r="I277" s="185" t="str">
        <f t="shared" si="25"/>
        <v/>
      </c>
      <c r="J277" s="203" t="str">
        <f>IF($H277="USD",IF(OR($I277="",$I277="-"),"",VLOOKUP($G277,為替!$A:$AX,$I277,FALSE))+$J$3,IF(OR($I277="",$I277="-"),"",VLOOKUP($G277,為替!$A:$AX,$I277,FALSE)))</f>
        <v/>
      </c>
      <c r="K277" s="204" t="str">
        <f t="shared" si="26"/>
        <v/>
      </c>
      <c r="L277" s="188" t="str">
        <f t="shared" si="27"/>
        <v/>
      </c>
      <c r="M277" s="203" t="str">
        <f>IF($H277="USD",IF(OR($L277="",$L277="-"),"",VLOOKUP($G277,為替!$A:$AX,$L277,FALSE))+$K$3,IF(OR($L277="",$L277="-"),"",VLOOKUP($G277,為替!$A:$AX,$L277,FALSE)))</f>
        <v/>
      </c>
      <c r="N277" s="204" t="str">
        <f t="shared" si="28"/>
        <v/>
      </c>
      <c r="O277" s="205" t="str">
        <f t="shared" si="24"/>
        <v/>
      </c>
      <c r="P277" s="206" t="str">
        <f t="shared" si="29"/>
        <v/>
      </c>
    </row>
    <row r="278" spans="3:16" x14ac:dyDescent="0.4">
      <c r="C278" s="199"/>
      <c r="D278" s="200"/>
      <c r="E278" s="201"/>
      <c r="F278" s="199"/>
      <c r="H278" s="202"/>
      <c r="I278" s="185" t="str">
        <f t="shared" si="25"/>
        <v/>
      </c>
      <c r="J278" s="203" t="str">
        <f>IF($H278="USD",IF(OR($I278="",$I278="-"),"",VLOOKUP($G278,為替!$A:$AX,$I278,FALSE))+$J$3,IF(OR($I278="",$I278="-"),"",VLOOKUP($G278,為替!$A:$AX,$I278,FALSE)))</f>
        <v/>
      </c>
      <c r="K278" s="204" t="str">
        <f t="shared" si="26"/>
        <v/>
      </c>
      <c r="L278" s="188" t="str">
        <f t="shared" si="27"/>
        <v/>
      </c>
      <c r="M278" s="203" t="str">
        <f>IF($H278="USD",IF(OR($L278="",$L278="-"),"",VLOOKUP($G278,為替!$A:$AX,$L278,FALSE))+$K$3,IF(OR($L278="",$L278="-"),"",VLOOKUP($G278,為替!$A:$AX,$L278,FALSE)))</f>
        <v/>
      </c>
      <c r="N278" s="204" t="str">
        <f t="shared" si="28"/>
        <v/>
      </c>
      <c r="O278" s="205" t="str">
        <f t="shared" si="24"/>
        <v/>
      </c>
      <c r="P278" s="206" t="str">
        <f t="shared" si="29"/>
        <v/>
      </c>
    </row>
    <row r="279" spans="3:16" x14ac:dyDescent="0.4">
      <c r="C279" s="199"/>
      <c r="D279" s="200"/>
      <c r="E279" s="201"/>
      <c r="F279" s="199"/>
      <c r="H279" s="202"/>
      <c r="I279" s="185" t="str">
        <f t="shared" si="25"/>
        <v/>
      </c>
      <c r="J279" s="203" t="str">
        <f>IF($H279="USD",IF(OR($I279="",$I279="-"),"",VLOOKUP($G279,為替!$A:$AX,$I279,FALSE))+$J$3,IF(OR($I279="",$I279="-"),"",VLOOKUP($G279,為替!$A:$AX,$I279,FALSE)))</f>
        <v/>
      </c>
      <c r="K279" s="204" t="str">
        <f t="shared" si="26"/>
        <v/>
      </c>
      <c r="L279" s="188" t="str">
        <f t="shared" si="27"/>
        <v/>
      </c>
      <c r="M279" s="203" t="str">
        <f>IF($H279="USD",IF(OR($L279="",$L279="-"),"",VLOOKUP($G279,為替!$A:$AX,$L279,FALSE))+$K$3,IF(OR($L279="",$L279="-"),"",VLOOKUP($G279,為替!$A:$AX,$L279,FALSE)))</f>
        <v/>
      </c>
      <c r="N279" s="204" t="str">
        <f t="shared" si="28"/>
        <v/>
      </c>
      <c r="O279" s="205" t="str">
        <f t="shared" si="24"/>
        <v/>
      </c>
      <c r="P279" s="206" t="str">
        <f t="shared" si="29"/>
        <v/>
      </c>
    </row>
    <row r="280" spans="3:16" x14ac:dyDescent="0.4">
      <c r="C280" s="199"/>
      <c r="D280" s="200"/>
      <c r="E280" s="201"/>
      <c r="F280" s="199"/>
      <c r="H280" s="202"/>
      <c r="I280" s="185" t="str">
        <f t="shared" si="25"/>
        <v/>
      </c>
      <c r="J280" s="203" t="str">
        <f>IF($H280="USD",IF(OR($I280="",$I280="-"),"",VLOOKUP($G280,為替!$A:$AX,$I280,FALSE))+$J$3,IF(OR($I280="",$I280="-"),"",VLOOKUP($G280,為替!$A:$AX,$I280,FALSE)))</f>
        <v/>
      </c>
      <c r="K280" s="204" t="str">
        <f t="shared" si="26"/>
        <v/>
      </c>
      <c r="L280" s="188" t="str">
        <f t="shared" si="27"/>
        <v/>
      </c>
      <c r="M280" s="203" t="str">
        <f>IF($H280="USD",IF(OR($L280="",$L280="-"),"",VLOOKUP($G280,為替!$A:$AX,$L280,FALSE))+$K$3,IF(OR($L280="",$L280="-"),"",VLOOKUP($G280,為替!$A:$AX,$L280,FALSE)))</f>
        <v/>
      </c>
      <c r="N280" s="204" t="str">
        <f t="shared" si="28"/>
        <v/>
      </c>
      <c r="O280" s="205" t="str">
        <f t="shared" si="24"/>
        <v/>
      </c>
      <c r="P280" s="206" t="str">
        <f t="shared" si="29"/>
        <v/>
      </c>
    </row>
    <row r="281" spans="3:16" x14ac:dyDescent="0.4">
      <c r="C281" s="199"/>
      <c r="D281" s="200"/>
      <c r="E281" s="201"/>
      <c r="F281" s="199"/>
      <c r="H281" s="202"/>
      <c r="I281" s="185" t="str">
        <f t="shared" si="25"/>
        <v/>
      </c>
      <c r="J281" s="203" t="str">
        <f>IF($H281="USD",IF(OR($I281="",$I281="-"),"",VLOOKUP($G281,為替!$A:$AX,$I281,FALSE))+$J$3,IF(OR($I281="",$I281="-"),"",VLOOKUP($G281,為替!$A:$AX,$I281,FALSE)))</f>
        <v/>
      </c>
      <c r="K281" s="204" t="str">
        <f t="shared" si="26"/>
        <v/>
      </c>
      <c r="L281" s="188" t="str">
        <f t="shared" si="27"/>
        <v/>
      </c>
      <c r="M281" s="203" t="str">
        <f>IF($H281="USD",IF(OR($L281="",$L281="-"),"",VLOOKUP($G281,為替!$A:$AX,$L281,FALSE))+$K$3,IF(OR($L281="",$L281="-"),"",VLOOKUP($G281,為替!$A:$AX,$L281,FALSE)))</f>
        <v/>
      </c>
      <c r="N281" s="204" t="str">
        <f t="shared" si="28"/>
        <v/>
      </c>
      <c r="O281" s="205" t="str">
        <f t="shared" si="24"/>
        <v/>
      </c>
      <c r="P281" s="206" t="str">
        <f t="shared" si="29"/>
        <v/>
      </c>
    </row>
    <row r="282" spans="3:16" x14ac:dyDescent="0.4">
      <c r="C282" s="199"/>
      <c r="D282" s="200"/>
      <c r="E282" s="201"/>
      <c r="F282" s="199"/>
      <c r="H282" s="202"/>
      <c r="I282" s="185" t="str">
        <f t="shared" si="25"/>
        <v/>
      </c>
      <c r="J282" s="203" t="str">
        <f>IF($H282="USD",IF(OR($I282="",$I282="-"),"",VLOOKUP($G282,為替!$A:$AX,$I282,FALSE))+$J$3,IF(OR($I282="",$I282="-"),"",VLOOKUP($G282,為替!$A:$AX,$I282,FALSE)))</f>
        <v/>
      </c>
      <c r="K282" s="204" t="str">
        <f t="shared" si="26"/>
        <v/>
      </c>
      <c r="L282" s="188" t="str">
        <f t="shared" si="27"/>
        <v/>
      </c>
      <c r="M282" s="203" t="str">
        <f>IF($H282="USD",IF(OR($L282="",$L282="-"),"",VLOOKUP($G282,為替!$A:$AX,$L282,FALSE))+$K$3,IF(OR($L282="",$L282="-"),"",VLOOKUP($G282,為替!$A:$AX,$L282,FALSE)))</f>
        <v/>
      </c>
      <c r="N282" s="204" t="str">
        <f t="shared" si="28"/>
        <v/>
      </c>
      <c r="O282" s="205" t="str">
        <f t="shared" si="24"/>
        <v/>
      </c>
      <c r="P282" s="206" t="str">
        <f t="shared" si="29"/>
        <v/>
      </c>
    </row>
    <row r="283" spans="3:16" x14ac:dyDescent="0.4">
      <c r="C283" s="199"/>
      <c r="D283" s="200"/>
      <c r="E283" s="201"/>
      <c r="F283" s="199"/>
      <c r="H283" s="202"/>
      <c r="I283" s="185" t="str">
        <f t="shared" si="25"/>
        <v/>
      </c>
      <c r="J283" s="203" t="str">
        <f>IF($H283="USD",IF(OR($I283="",$I283="-"),"",VLOOKUP($G283,為替!$A:$AX,$I283,FALSE))+$J$3,IF(OR($I283="",$I283="-"),"",VLOOKUP($G283,為替!$A:$AX,$I283,FALSE)))</f>
        <v/>
      </c>
      <c r="K283" s="204" t="str">
        <f t="shared" si="26"/>
        <v/>
      </c>
      <c r="L283" s="188" t="str">
        <f t="shared" si="27"/>
        <v/>
      </c>
      <c r="M283" s="203" t="str">
        <f>IF($H283="USD",IF(OR($L283="",$L283="-"),"",VLOOKUP($G283,為替!$A:$AX,$L283,FALSE))+$K$3,IF(OR($L283="",$L283="-"),"",VLOOKUP($G283,為替!$A:$AX,$L283,FALSE)))</f>
        <v/>
      </c>
      <c r="N283" s="204" t="str">
        <f t="shared" si="28"/>
        <v/>
      </c>
      <c r="O283" s="205" t="str">
        <f t="shared" si="24"/>
        <v/>
      </c>
      <c r="P283" s="206" t="str">
        <f t="shared" si="29"/>
        <v/>
      </c>
    </row>
    <row r="284" spans="3:16" x14ac:dyDescent="0.4">
      <c r="C284" s="199"/>
      <c r="D284" s="200"/>
      <c r="E284" s="201"/>
      <c r="F284" s="199"/>
      <c r="H284" s="202"/>
      <c r="I284" s="185" t="str">
        <f t="shared" si="25"/>
        <v/>
      </c>
      <c r="J284" s="203" t="str">
        <f>IF($H284="USD",IF(OR($I284="",$I284="-"),"",VLOOKUP($G284,為替!$A:$AX,$I284,FALSE))+$J$3,IF(OR($I284="",$I284="-"),"",VLOOKUP($G284,為替!$A:$AX,$I284,FALSE)))</f>
        <v/>
      </c>
      <c r="K284" s="204" t="str">
        <f t="shared" si="26"/>
        <v/>
      </c>
      <c r="L284" s="188" t="str">
        <f t="shared" si="27"/>
        <v/>
      </c>
      <c r="M284" s="203" t="str">
        <f>IF($H284="USD",IF(OR($L284="",$L284="-"),"",VLOOKUP($G284,為替!$A:$AX,$L284,FALSE))+$K$3,IF(OR($L284="",$L284="-"),"",VLOOKUP($G284,為替!$A:$AX,$L284,FALSE)))</f>
        <v/>
      </c>
      <c r="N284" s="204" t="str">
        <f t="shared" si="28"/>
        <v/>
      </c>
      <c r="O284" s="205" t="str">
        <f t="shared" si="24"/>
        <v/>
      </c>
      <c r="P284" s="206" t="str">
        <f t="shared" si="29"/>
        <v/>
      </c>
    </row>
    <row r="285" spans="3:16" x14ac:dyDescent="0.4">
      <c r="C285" s="199"/>
      <c r="D285" s="200"/>
      <c r="E285" s="201"/>
      <c r="F285" s="199"/>
      <c r="H285" s="202"/>
      <c r="I285" s="185" t="str">
        <f t="shared" si="25"/>
        <v/>
      </c>
      <c r="J285" s="203" t="str">
        <f>IF($H285="USD",IF(OR($I285="",$I285="-"),"",VLOOKUP($G285,為替!$A:$AX,$I285,FALSE))+$J$3,IF(OR($I285="",$I285="-"),"",VLOOKUP($G285,為替!$A:$AX,$I285,FALSE)))</f>
        <v/>
      </c>
      <c r="K285" s="204" t="str">
        <f t="shared" si="26"/>
        <v/>
      </c>
      <c r="L285" s="188" t="str">
        <f t="shared" si="27"/>
        <v/>
      </c>
      <c r="M285" s="203" t="str">
        <f>IF($H285="USD",IF(OR($L285="",$L285="-"),"",VLOOKUP($G285,為替!$A:$AX,$L285,FALSE))+$K$3,IF(OR($L285="",$L285="-"),"",VLOOKUP($G285,為替!$A:$AX,$L285,FALSE)))</f>
        <v/>
      </c>
      <c r="N285" s="204" t="str">
        <f t="shared" si="28"/>
        <v/>
      </c>
      <c r="O285" s="205" t="str">
        <f t="shared" si="24"/>
        <v/>
      </c>
      <c r="P285" s="206" t="str">
        <f t="shared" si="29"/>
        <v/>
      </c>
    </row>
    <row r="286" spans="3:16" x14ac:dyDescent="0.4">
      <c r="C286" s="199"/>
      <c r="D286" s="200"/>
      <c r="E286" s="201"/>
      <c r="F286" s="199"/>
      <c r="H286" s="202"/>
      <c r="I286" s="185" t="str">
        <f t="shared" si="25"/>
        <v/>
      </c>
      <c r="J286" s="203" t="str">
        <f>IF($H286="USD",IF(OR($I286="",$I286="-"),"",VLOOKUP($G286,為替!$A:$AX,$I286,FALSE))+$J$3,IF(OR($I286="",$I286="-"),"",VLOOKUP($G286,為替!$A:$AX,$I286,FALSE)))</f>
        <v/>
      </c>
      <c r="K286" s="204" t="str">
        <f t="shared" si="26"/>
        <v/>
      </c>
      <c r="L286" s="188" t="str">
        <f t="shared" si="27"/>
        <v/>
      </c>
      <c r="M286" s="203" t="str">
        <f>IF($H286="USD",IF(OR($L286="",$L286="-"),"",VLOOKUP($G286,為替!$A:$AX,$L286,FALSE))+$K$3,IF(OR($L286="",$L286="-"),"",VLOOKUP($G286,為替!$A:$AX,$L286,FALSE)))</f>
        <v/>
      </c>
      <c r="N286" s="204" t="str">
        <f t="shared" si="28"/>
        <v/>
      </c>
      <c r="O286" s="205" t="str">
        <f t="shared" si="24"/>
        <v/>
      </c>
      <c r="P286" s="206" t="str">
        <f t="shared" si="29"/>
        <v/>
      </c>
    </row>
    <row r="287" spans="3:16" x14ac:dyDescent="0.4">
      <c r="C287" s="199"/>
      <c r="D287" s="200"/>
      <c r="E287" s="201"/>
      <c r="F287" s="199"/>
      <c r="H287" s="202"/>
      <c r="I287" s="185" t="str">
        <f t="shared" si="25"/>
        <v/>
      </c>
      <c r="J287" s="203" t="str">
        <f>IF($H287="USD",IF(OR($I287="",$I287="-"),"",VLOOKUP($G287,為替!$A:$AX,$I287,FALSE))+$J$3,IF(OR($I287="",$I287="-"),"",VLOOKUP($G287,為替!$A:$AX,$I287,FALSE)))</f>
        <v/>
      </c>
      <c r="K287" s="204" t="str">
        <f t="shared" si="26"/>
        <v/>
      </c>
      <c r="L287" s="188" t="str">
        <f t="shared" si="27"/>
        <v/>
      </c>
      <c r="M287" s="203" t="str">
        <f>IF($H287="USD",IF(OR($L287="",$L287="-"),"",VLOOKUP($G287,為替!$A:$AX,$L287,FALSE))+$K$3,IF(OR($L287="",$L287="-"),"",VLOOKUP($G287,為替!$A:$AX,$L287,FALSE)))</f>
        <v/>
      </c>
      <c r="N287" s="204" t="str">
        <f t="shared" si="28"/>
        <v/>
      </c>
      <c r="O287" s="205" t="str">
        <f t="shared" si="24"/>
        <v/>
      </c>
      <c r="P287" s="206" t="str">
        <f t="shared" si="29"/>
        <v/>
      </c>
    </row>
    <row r="288" spans="3:16" x14ac:dyDescent="0.4">
      <c r="C288" s="199"/>
      <c r="D288" s="200"/>
      <c r="E288" s="201"/>
      <c r="F288" s="199"/>
      <c r="H288" s="202"/>
      <c r="I288" s="185" t="str">
        <f t="shared" si="25"/>
        <v/>
      </c>
      <c r="J288" s="203" t="str">
        <f>IF($H288="USD",IF(OR($I288="",$I288="-"),"",VLOOKUP($G288,為替!$A:$AX,$I288,FALSE))+$J$3,IF(OR($I288="",$I288="-"),"",VLOOKUP($G288,為替!$A:$AX,$I288,FALSE)))</f>
        <v/>
      </c>
      <c r="K288" s="204" t="str">
        <f t="shared" si="26"/>
        <v/>
      </c>
      <c r="L288" s="188" t="str">
        <f t="shared" si="27"/>
        <v/>
      </c>
      <c r="M288" s="203" t="str">
        <f>IF($H288="USD",IF(OR($L288="",$L288="-"),"",VLOOKUP($G288,為替!$A:$AX,$L288,FALSE))+$K$3,IF(OR($L288="",$L288="-"),"",VLOOKUP($G288,為替!$A:$AX,$L288,FALSE)))</f>
        <v/>
      </c>
      <c r="N288" s="204" t="str">
        <f t="shared" si="28"/>
        <v/>
      </c>
      <c r="O288" s="205" t="str">
        <f t="shared" si="24"/>
        <v/>
      </c>
      <c r="P288" s="206" t="str">
        <f t="shared" si="29"/>
        <v/>
      </c>
    </row>
    <row r="289" spans="3:16" x14ac:dyDescent="0.4">
      <c r="C289" s="199"/>
      <c r="D289" s="200"/>
      <c r="E289" s="201"/>
      <c r="F289" s="199"/>
      <c r="H289" s="202"/>
      <c r="I289" s="185" t="str">
        <f t="shared" si="25"/>
        <v/>
      </c>
      <c r="J289" s="203" t="str">
        <f>IF($H289="USD",IF(OR($I289="",$I289="-"),"",VLOOKUP($G289,為替!$A:$AX,$I289,FALSE))+$J$3,IF(OR($I289="",$I289="-"),"",VLOOKUP($G289,為替!$A:$AX,$I289,FALSE)))</f>
        <v/>
      </c>
      <c r="K289" s="204" t="str">
        <f t="shared" si="26"/>
        <v/>
      </c>
      <c r="L289" s="188" t="str">
        <f t="shared" si="27"/>
        <v/>
      </c>
      <c r="M289" s="203" t="str">
        <f>IF($H289="USD",IF(OR($L289="",$L289="-"),"",VLOOKUP($G289,為替!$A:$AX,$L289,FALSE))+$K$3,IF(OR($L289="",$L289="-"),"",VLOOKUP($G289,為替!$A:$AX,$L289,FALSE)))</f>
        <v/>
      </c>
      <c r="N289" s="204" t="str">
        <f t="shared" si="28"/>
        <v/>
      </c>
      <c r="O289" s="205" t="str">
        <f t="shared" si="24"/>
        <v/>
      </c>
      <c r="P289" s="206" t="str">
        <f t="shared" si="29"/>
        <v/>
      </c>
    </row>
    <row r="290" spans="3:16" x14ac:dyDescent="0.4">
      <c r="C290" s="199"/>
      <c r="D290" s="200"/>
      <c r="E290" s="201"/>
      <c r="F290" s="199"/>
      <c r="H290" s="202"/>
      <c r="I290" s="185" t="str">
        <f t="shared" si="25"/>
        <v/>
      </c>
      <c r="J290" s="203" t="str">
        <f>IF($H290="USD",IF(OR($I290="",$I290="-"),"",VLOOKUP($G290,為替!$A:$AX,$I290,FALSE))+$J$3,IF(OR($I290="",$I290="-"),"",VLOOKUP($G290,為替!$A:$AX,$I290,FALSE)))</f>
        <v/>
      </c>
      <c r="K290" s="204" t="str">
        <f t="shared" si="26"/>
        <v/>
      </c>
      <c r="L290" s="188" t="str">
        <f t="shared" si="27"/>
        <v/>
      </c>
      <c r="M290" s="203" t="str">
        <f>IF($H290="USD",IF(OR($L290="",$L290="-"),"",VLOOKUP($G290,為替!$A:$AX,$L290,FALSE))+$K$3,IF(OR($L290="",$L290="-"),"",VLOOKUP($G290,為替!$A:$AX,$L290,FALSE)))</f>
        <v/>
      </c>
      <c r="N290" s="204" t="str">
        <f t="shared" si="28"/>
        <v/>
      </c>
      <c r="O290" s="205" t="str">
        <f t="shared" si="24"/>
        <v/>
      </c>
      <c r="P290" s="206" t="str">
        <f t="shared" si="29"/>
        <v/>
      </c>
    </row>
    <row r="291" spans="3:16" x14ac:dyDescent="0.4">
      <c r="C291" s="199"/>
      <c r="D291" s="200"/>
      <c r="E291" s="201"/>
      <c r="F291" s="199"/>
      <c r="H291" s="202"/>
      <c r="I291" s="185" t="str">
        <f t="shared" si="25"/>
        <v/>
      </c>
      <c r="J291" s="203" t="str">
        <f>IF($H291="USD",IF(OR($I291="",$I291="-"),"",VLOOKUP($G291,為替!$A:$AX,$I291,FALSE))+$J$3,IF(OR($I291="",$I291="-"),"",VLOOKUP($G291,為替!$A:$AX,$I291,FALSE)))</f>
        <v/>
      </c>
      <c r="K291" s="204" t="str">
        <f t="shared" si="26"/>
        <v/>
      </c>
      <c r="L291" s="188" t="str">
        <f t="shared" si="27"/>
        <v/>
      </c>
      <c r="M291" s="203" t="str">
        <f>IF($H291="USD",IF(OR($L291="",$L291="-"),"",VLOOKUP($G291,為替!$A:$AX,$L291,FALSE))+$K$3,IF(OR($L291="",$L291="-"),"",VLOOKUP($G291,為替!$A:$AX,$L291,FALSE)))</f>
        <v/>
      </c>
      <c r="N291" s="204" t="str">
        <f t="shared" si="28"/>
        <v/>
      </c>
      <c r="O291" s="205" t="str">
        <f t="shared" si="24"/>
        <v/>
      </c>
      <c r="P291" s="206" t="str">
        <f t="shared" si="29"/>
        <v/>
      </c>
    </row>
    <row r="292" spans="3:16" x14ac:dyDescent="0.4">
      <c r="C292" s="199"/>
      <c r="D292" s="200"/>
      <c r="E292" s="201"/>
      <c r="F292" s="199"/>
      <c r="H292" s="202"/>
      <c r="I292" s="185" t="str">
        <f t="shared" si="25"/>
        <v/>
      </c>
      <c r="J292" s="203" t="str">
        <f>IF($H292="USD",IF(OR($I292="",$I292="-"),"",VLOOKUP($G292,為替!$A:$AX,$I292,FALSE))+$J$3,IF(OR($I292="",$I292="-"),"",VLOOKUP($G292,為替!$A:$AX,$I292,FALSE)))</f>
        <v/>
      </c>
      <c r="K292" s="204" t="str">
        <f t="shared" si="26"/>
        <v/>
      </c>
      <c r="L292" s="188" t="str">
        <f t="shared" si="27"/>
        <v/>
      </c>
      <c r="M292" s="203" t="str">
        <f>IF($H292="USD",IF(OR($L292="",$L292="-"),"",VLOOKUP($G292,為替!$A:$AX,$L292,FALSE))+$K$3,IF(OR($L292="",$L292="-"),"",VLOOKUP($G292,為替!$A:$AX,$L292,FALSE)))</f>
        <v/>
      </c>
      <c r="N292" s="204" t="str">
        <f t="shared" si="28"/>
        <v/>
      </c>
      <c r="O292" s="205" t="str">
        <f t="shared" si="24"/>
        <v/>
      </c>
      <c r="P292" s="206" t="str">
        <f t="shared" si="29"/>
        <v/>
      </c>
    </row>
    <row r="293" spans="3:16" x14ac:dyDescent="0.4">
      <c r="C293" s="199"/>
      <c r="D293" s="200"/>
      <c r="E293" s="201"/>
      <c r="F293" s="199"/>
      <c r="H293" s="202"/>
      <c r="I293" s="185" t="str">
        <f t="shared" si="25"/>
        <v/>
      </c>
      <c r="J293" s="203" t="str">
        <f>IF($H293="USD",IF(OR($I293="",$I293="-"),"",VLOOKUP($G293,為替!$A:$AX,$I293,FALSE))+$J$3,IF(OR($I293="",$I293="-"),"",VLOOKUP($G293,為替!$A:$AX,$I293,FALSE)))</f>
        <v/>
      </c>
      <c r="K293" s="204" t="str">
        <f t="shared" si="26"/>
        <v/>
      </c>
      <c r="L293" s="188" t="str">
        <f t="shared" si="27"/>
        <v/>
      </c>
      <c r="M293" s="203" t="str">
        <f>IF($H293="USD",IF(OR($L293="",$L293="-"),"",VLOOKUP($G293,為替!$A:$AX,$L293,FALSE))+$K$3,IF(OR($L293="",$L293="-"),"",VLOOKUP($G293,為替!$A:$AX,$L293,FALSE)))</f>
        <v/>
      </c>
      <c r="N293" s="204" t="str">
        <f t="shared" si="28"/>
        <v/>
      </c>
      <c r="O293" s="205" t="str">
        <f t="shared" si="24"/>
        <v/>
      </c>
      <c r="P293" s="206" t="str">
        <f t="shared" si="29"/>
        <v/>
      </c>
    </row>
    <row r="294" spans="3:16" x14ac:dyDescent="0.4">
      <c r="C294" s="199"/>
      <c r="D294" s="200"/>
      <c r="E294" s="201"/>
      <c r="F294" s="199"/>
      <c r="H294" s="202"/>
      <c r="I294" s="185" t="str">
        <f t="shared" si="25"/>
        <v/>
      </c>
      <c r="J294" s="203" t="str">
        <f>IF($H294="USD",IF(OR($I294="",$I294="-"),"",VLOOKUP($G294,為替!$A:$AX,$I294,FALSE))+$J$3,IF(OR($I294="",$I294="-"),"",VLOOKUP($G294,為替!$A:$AX,$I294,FALSE)))</f>
        <v/>
      </c>
      <c r="K294" s="204" t="str">
        <f t="shared" si="26"/>
        <v/>
      </c>
      <c r="L294" s="188" t="str">
        <f t="shared" si="27"/>
        <v/>
      </c>
      <c r="M294" s="203" t="str">
        <f>IF($H294="USD",IF(OR($L294="",$L294="-"),"",VLOOKUP($G294,為替!$A:$AX,$L294,FALSE))+$K$3,IF(OR($L294="",$L294="-"),"",VLOOKUP($G294,為替!$A:$AX,$L294,FALSE)))</f>
        <v/>
      </c>
      <c r="N294" s="204" t="str">
        <f t="shared" si="28"/>
        <v/>
      </c>
      <c r="O294" s="205" t="str">
        <f t="shared" si="24"/>
        <v/>
      </c>
      <c r="P294" s="206" t="str">
        <f t="shared" si="29"/>
        <v/>
      </c>
    </row>
    <row r="295" spans="3:16" x14ac:dyDescent="0.4">
      <c r="C295" s="199"/>
      <c r="D295" s="200"/>
      <c r="E295" s="201"/>
      <c r="F295" s="199"/>
      <c r="H295" s="202"/>
      <c r="I295" s="185" t="str">
        <f t="shared" si="25"/>
        <v/>
      </c>
      <c r="J295" s="203" t="str">
        <f>IF($H295="USD",IF(OR($I295="",$I295="-"),"",VLOOKUP($G295,為替!$A:$AX,$I295,FALSE))+$J$3,IF(OR($I295="",$I295="-"),"",VLOOKUP($G295,為替!$A:$AX,$I295,FALSE)))</f>
        <v/>
      </c>
      <c r="K295" s="204" t="str">
        <f t="shared" si="26"/>
        <v/>
      </c>
      <c r="L295" s="188" t="str">
        <f t="shared" si="27"/>
        <v/>
      </c>
      <c r="M295" s="203" t="str">
        <f>IF($H295="USD",IF(OR($L295="",$L295="-"),"",VLOOKUP($G295,為替!$A:$AX,$L295,FALSE))+$K$3,IF(OR($L295="",$L295="-"),"",VLOOKUP($G295,為替!$A:$AX,$L295,FALSE)))</f>
        <v/>
      </c>
      <c r="N295" s="204" t="str">
        <f t="shared" si="28"/>
        <v/>
      </c>
      <c r="O295" s="205" t="str">
        <f t="shared" si="24"/>
        <v/>
      </c>
      <c r="P295" s="206" t="str">
        <f t="shared" si="29"/>
        <v/>
      </c>
    </row>
    <row r="296" spans="3:16" x14ac:dyDescent="0.4">
      <c r="C296" s="199"/>
      <c r="D296" s="200"/>
      <c r="E296" s="201"/>
      <c r="F296" s="199"/>
      <c r="H296" s="202"/>
      <c r="I296" s="185" t="str">
        <f t="shared" si="25"/>
        <v/>
      </c>
      <c r="J296" s="203" t="str">
        <f>IF($H296="USD",IF(OR($I296="",$I296="-"),"",VLOOKUP($G296,為替!$A:$AX,$I296,FALSE))+$J$3,IF(OR($I296="",$I296="-"),"",VLOOKUP($G296,為替!$A:$AX,$I296,FALSE)))</f>
        <v/>
      </c>
      <c r="K296" s="204" t="str">
        <f t="shared" si="26"/>
        <v/>
      </c>
      <c r="L296" s="188" t="str">
        <f t="shared" si="27"/>
        <v/>
      </c>
      <c r="M296" s="203" t="str">
        <f>IF($H296="USD",IF(OR($L296="",$L296="-"),"",VLOOKUP($G296,為替!$A:$AX,$L296,FALSE))+$K$3,IF(OR($L296="",$L296="-"),"",VLOOKUP($G296,為替!$A:$AX,$L296,FALSE)))</f>
        <v/>
      </c>
      <c r="N296" s="204" t="str">
        <f t="shared" si="28"/>
        <v/>
      </c>
      <c r="O296" s="205" t="str">
        <f t="shared" si="24"/>
        <v/>
      </c>
      <c r="P296" s="206" t="str">
        <f t="shared" si="29"/>
        <v/>
      </c>
    </row>
    <row r="297" spans="3:16" x14ac:dyDescent="0.4">
      <c r="C297" s="199"/>
      <c r="D297" s="200"/>
      <c r="E297" s="201"/>
      <c r="F297" s="199"/>
      <c r="H297" s="202"/>
      <c r="I297" s="185" t="str">
        <f t="shared" si="25"/>
        <v/>
      </c>
      <c r="J297" s="203" t="str">
        <f>IF($H297="USD",IF(OR($I297="",$I297="-"),"",VLOOKUP($G297,為替!$A:$AX,$I297,FALSE))+$J$3,IF(OR($I297="",$I297="-"),"",VLOOKUP($G297,為替!$A:$AX,$I297,FALSE)))</f>
        <v/>
      </c>
      <c r="K297" s="204" t="str">
        <f t="shared" si="26"/>
        <v/>
      </c>
      <c r="L297" s="188" t="str">
        <f t="shared" si="27"/>
        <v/>
      </c>
      <c r="M297" s="203" t="str">
        <f>IF($H297="USD",IF(OR($L297="",$L297="-"),"",VLOOKUP($G297,為替!$A:$AX,$L297,FALSE))+$K$3,IF(OR($L297="",$L297="-"),"",VLOOKUP($G297,為替!$A:$AX,$L297,FALSE)))</f>
        <v/>
      </c>
      <c r="N297" s="204" t="str">
        <f t="shared" si="28"/>
        <v/>
      </c>
      <c r="O297" s="205" t="str">
        <f t="shared" si="24"/>
        <v/>
      </c>
      <c r="P297" s="206" t="str">
        <f t="shared" si="29"/>
        <v/>
      </c>
    </row>
    <row r="298" spans="3:16" x14ac:dyDescent="0.4">
      <c r="C298" s="199"/>
      <c r="D298" s="200"/>
      <c r="E298" s="201"/>
      <c r="F298" s="199"/>
      <c r="H298" s="202"/>
      <c r="I298" s="185" t="str">
        <f t="shared" si="25"/>
        <v/>
      </c>
      <c r="J298" s="203" t="str">
        <f>IF($H298="USD",IF(OR($I298="",$I298="-"),"",VLOOKUP($G298,為替!$A:$AX,$I298,FALSE))+$J$3,IF(OR($I298="",$I298="-"),"",VLOOKUP($G298,為替!$A:$AX,$I298,FALSE)))</f>
        <v/>
      </c>
      <c r="K298" s="204" t="str">
        <f t="shared" si="26"/>
        <v/>
      </c>
      <c r="L298" s="188" t="str">
        <f t="shared" si="27"/>
        <v/>
      </c>
      <c r="M298" s="203" t="str">
        <f>IF($H298="USD",IF(OR($L298="",$L298="-"),"",VLOOKUP($G298,為替!$A:$AX,$L298,FALSE))+$K$3,IF(OR($L298="",$L298="-"),"",VLOOKUP($G298,為替!$A:$AX,$L298,FALSE)))</f>
        <v/>
      </c>
      <c r="N298" s="204" t="str">
        <f t="shared" si="28"/>
        <v/>
      </c>
      <c r="O298" s="205" t="str">
        <f t="shared" si="24"/>
        <v/>
      </c>
      <c r="P298" s="206" t="str">
        <f t="shared" si="29"/>
        <v/>
      </c>
    </row>
    <row r="299" spans="3:16" x14ac:dyDescent="0.4">
      <c r="C299" s="199"/>
      <c r="D299" s="200"/>
      <c r="E299" s="201"/>
      <c r="F299" s="199"/>
      <c r="H299" s="202"/>
      <c r="I299" s="185" t="str">
        <f t="shared" si="25"/>
        <v/>
      </c>
      <c r="J299" s="203" t="str">
        <f>IF($H299="USD",IF(OR($I299="",$I299="-"),"",VLOOKUP($G299,為替!$A:$AX,$I299,FALSE))+$J$3,IF(OR($I299="",$I299="-"),"",VLOOKUP($G299,為替!$A:$AX,$I299,FALSE)))</f>
        <v/>
      </c>
      <c r="K299" s="204" t="str">
        <f t="shared" si="26"/>
        <v/>
      </c>
      <c r="L299" s="188" t="str">
        <f t="shared" si="27"/>
        <v/>
      </c>
      <c r="M299" s="203" t="str">
        <f>IF($H299="USD",IF(OR($L299="",$L299="-"),"",VLOOKUP($G299,為替!$A:$AX,$L299,FALSE))+$K$3,IF(OR($L299="",$L299="-"),"",VLOOKUP($G299,為替!$A:$AX,$L299,FALSE)))</f>
        <v/>
      </c>
      <c r="N299" s="204" t="str">
        <f t="shared" si="28"/>
        <v/>
      </c>
      <c r="O299" s="205" t="str">
        <f t="shared" si="24"/>
        <v/>
      </c>
      <c r="P299" s="206" t="str">
        <f t="shared" si="29"/>
        <v/>
      </c>
    </row>
    <row r="300" spans="3:16" x14ac:dyDescent="0.4">
      <c r="C300" s="199"/>
      <c r="D300" s="200"/>
      <c r="E300" s="201"/>
      <c r="F300" s="199"/>
      <c r="H300" s="202"/>
      <c r="I300" s="185" t="str">
        <f t="shared" si="25"/>
        <v/>
      </c>
      <c r="J300" s="203" t="str">
        <f>IF($H300="USD",IF(OR($I300="",$I300="-"),"",VLOOKUP($G300,為替!$A:$AX,$I300,FALSE))+$J$3,IF(OR($I300="",$I300="-"),"",VLOOKUP($G300,為替!$A:$AX,$I300,FALSE)))</f>
        <v/>
      </c>
      <c r="K300" s="204" t="str">
        <f t="shared" si="26"/>
        <v/>
      </c>
      <c r="L300" s="188" t="str">
        <f t="shared" si="27"/>
        <v/>
      </c>
      <c r="M300" s="203" t="str">
        <f>IF($H300="USD",IF(OR($L300="",$L300="-"),"",VLOOKUP($G300,為替!$A:$AX,$L300,FALSE))+$K$3,IF(OR($L300="",$L300="-"),"",VLOOKUP($G300,為替!$A:$AX,$L300,FALSE)))</f>
        <v/>
      </c>
      <c r="N300" s="204" t="str">
        <f t="shared" si="28"/>
        <v/>
      </c>
      <c r="O300" s="205" t="str">
        <f t="shared" si="24"/>
        <v/>
      </c>
      <c r="P300" s="206" t="str">
        <f t="shared" si="29"/>
        <v/>
      </c>
    </row>
    <row r="301" spans="3:16" x14ac:dyDescent="0.4">
      <c r="C301" s="199"/>
      <c r="D301" s="200"/>
      <c r="E301" s="201"/>
      <c r="F301" s="199"/>
      <c r="H301" s="202"/>
      <c r="I301" s="185" t="str">
        <f t="shared" si="25"/>
        <v/>
      </c>
      <c r="J301" s="203" t="str">
        <f>IF($H301="USD",IF(OR($I301="",$I301="-"),"",VLOOKUP($G301,為替!$A:$AX,$I301,FALSE))+$J$3,IF(OR($I301="",$I301="-"),"",VLOOKUP($G301,為替!$A:$AX,$I301,FALSE)))</f>
        <v/>
      </c>
      <c r="K301" s="204" t="str">
        <f t="shared" si="26"/>
        <v/>
      </c>
      <c r="L301" s="188" t="str">
        <f t="shared" si="27"/>
        <v/>
      </c>
      <c r="M301" s="203" t="str">
        <f>IF($H301="USD",IF(OR($L301="",$L301="-"),"",VLOOKUP($G301,為替!$A:$AX,$L301,FALSE))+$K$3,IF(OR($L301="",$L301="-"),"",VLOOKUP($G301,為替!$A:$AX,$L301,FALSE)))</f>
        <v/>
      </c>
      <c r="N301" s="204" t="str">
        <f t="shared" si="28"/>
        <v/>
      </c>
      <c r="O301" s="205" t="str">
        <f t="shared" si="24"/>
        <v/>
      </c>
      <c r="P301" s="206" t="str">
        <f t="shared" si="29"/>
        <v/>
      </c>
    </row>
    <row r="302" spans="3:16" x14ac:dyDescent="0.4">
      <c r="C302" s="199"/>
      <c r="D302" s="200"/>
      <c r="E302" s="201"/>
      <c r="F302" s="199"/>
      <c r="H302" s="202"/>
      <c r="I302" s="185" t="str">
        <f t="shared" si="25"/>
        <v/>
      </c>
      <c r="J302" s="203" t="str">
        <f>IF($H302="USD",IF(OR($I302="",$I302="-"),"",VLOOKUP($G302,為替!$A:$AX,$I302,FALSE))+$J$3,IF(OR($I302="",$I302="-"),"",VLOOKUP($G302,為替!$A:$AX,$I302,FALSE)))</f>
        <v/>
      </c>
      <c r="K302" s="204" t="str">
        <f t="shared" si="26"/>
        <v/>
      </c>
      <c r="L302" s="188" t="str">
        <f t="shared" si="27"/>
        <v/>
      </c>
      <c r="M302" s="203" t="str">
        <f>IF($H302="USD",IF(OR($L302="",$L302="-"),"",VLOOKUP($G302,為替!$A:$AX,$L302,FALSE))+$K$3,IF(OR($L302="",$L302="-"),"",VLOOKUP($G302,為替!$A:$AX,$L302,FALSE)))</f>
        <v/>
      </c>
      <c r="N302" s="204" t="str">
        <f t="shared" si="28"/>
        <v/>
      </c>
      <c r="O302" s="205" t="str">
        <f t="shared" si="24"/>
        <v/>
      </c>
      <c r="P302" s="206" t="str">
        <f t="shared" si="29"/>
        <v/>
      </c>
    </row>
    <row r="303" spans="3:16" x14ac:dyDescent="0.4">
      <c r="C303" s="199"/>
      <c r="D303" s="200"/>
      <c r="E303" s="201"/>
      <c r="F303" s="199"/>
      <c r="H303" s="202"/>
      <c r="I303" s="185" t="str">
        <f t="shared" si="25"/>
        <v/>
      </c>
      <c r="J303" s="203" t="str">
        <f>IF($H303="USD",IF(OR($I303="",$I303="-"),"",VLOOKUP($G303,為替!$A:$AX,$I303,FALSE))+$J$3,IF(OR($I303="",$I303="-"),"",VLOOKUP($G303,為替!$A:$AX,$I303,FALSE)))</f>
        <v/>
      </c>
      <c r="K303" s="204" t="str">
        <f t="shared" si="26"/>
        <v/>
      </c>
      <c r="L303" s="188" t="str">
        <f t="shared" si="27"/>
        <v/>
      </c>
      <c r="M303" s="203" t="str">
        <f>IF($H303="USD",IF(OR($L303="",$L303="-"),"",VLOOKUP($G303,為替!$A:$AX,$L303,FALSE))+$K$3,IF(OR($L303="",$L303="-"),"",VLOOKUP($G303,為替!$A:$AX,$L303,FALSE)))</f>
        <v/>
      </c>
      <c r="N303" s="204" t="str">
        <f t="shared" si="28"/>
        <v/>
      </c>
      <c r="O303" s="205" t="str">
        <f t="shared" si="24"/>
        <v/>
      </c>
      <c r="P303" s="206" t="str">
        <f t="shared" si="29"/>
        <v/>
      </c>
    </row>
    <row r="304" spans="3:16" x14ac:dyDescent="0.4">
      <c r="C304" s="199"/>
      <c r="D304" s="200"/>
      <c r="E304" s="201"/>
      <c r="F304" s="199"/>
      <c r="H304" s="202"/>
      <c r="I304" s="185" t="str">
        <f t="shared" si="25"/>
        <v/>
      </c>
      <c r="J304" s="203" t="str">
        <f>IF($H304="USD",IF(OR($I304="",$I304="-"),"",VLOOKUP($G304,為替!$A:$AX,$I304,FALSE))+$J$3,IF(OR($I304="",$I304="-"),"",VLOOKUP($G304,為替!$A:$AX,$I304,FALSE)))</f>
        <v/>
      </c>
      <c r="K304" s="204" t="str">
        <f t="shared" si="26"/>
        <v/>
      </c>
      <c r="L304" s="188" t="str">
        <f t="shared" si="27"/>
        <v/>
      </c>
      <c r="M304" s="203" t="str">
        <f>IF($H304="USD",IF(OR($L304="",$L304="-"),"",VLOOKUP($G304,為替!$A:$AX,$L304,FALSE))+$K$3,IF(OR($L304="",$L304="-"),"",VLOOKUP($G304,為替!$A:$AX,$L304,FALSE)))</f>
        <v/>
      </c>
      <c r="N304" s="204" t="str">
        <f t="shared" si="28"/>
        <v/>
      </c>
      <c r="O304" s="205" t="str">
        <f t="shared" si="24"/>
        <v/>
      </c>
      <c r="P304" s="206" t="str">
        <f t="shared" si="29"/>
        <v/>
      </c>
    </row>
    <row r="305" spans="3:16" x14ac:dyDescent="0.4">
      <c r="C305" s="199"/>
      <c r="D305" s="200"/>
      <c r="E305" s="201"/>
      <c r="F305" s="199"/>
      <c r="H305" s="202"/>
      <c r="I305" s="185" t="str">
        <f t="shared" si="25"/>
        <v/>
      </c>
      <c r="J305" s="203" t="str">
        <f>IF($H305="USD",IF(OR($I305="",$I305="-"),"",VLOOKUP($G305,為替!$A:$AX,$I305,FALSE))+$J$3,IF(OR($I305="",$I305="-"),"",VLOOKUP($G305,為替!$A:$AX,$I305,FALSE)))</f>
        <v/>
      </c>
      <c r="K305" s="204" t="str">
        <f t="shared" si="26"/>
        <v/>
      </c>
      <c r="L305" s="188" t="str">
        <f t="shared" si="27"/>
        <v/>
      </c>
      <c r="M305" s="203" t="str">
        <f>IF($H305="USD",IF(OR($L305="",$L305="-"),"",VLOOKUP($G305,為替!$A:$AX,$L305,FALSE))+$K$3,IF(OR($L305="",$L305="-"),"",VLOOKUP($G305,為替!$A:$AX,$L305,FALSE)))</f>
        <v/>
      </c>
      <c r="N305" s="204" t="str">
        <f t="shared" si="28"/>
        <v/>
      </c>
      <c r="O305" s="205" t="str">
        <f t="shared" si="24"/>
        <v/>
      </c>
      <c r="P305" s="206" t="str">
        <f t="shared" si="29"/>
        <v/>
      </c>
    </row>
    <row r="306" spans="3:16" x14ac:dyDescent="0.4">
      <c r="C306" s="199"/>
      <c r="D306" s="200"/>
      <c r="E306" s="201"/>
      <c r="F306" s="199"/>
      <c r="H306" s="202"/>
      <c r="I306" s="185" t="str">
        <f t="shared" si="25"/>
        <v/>
      </c>
      <c r="J306" s="203" t="str">
        <f>IF($H306="USD",IF(OR($I306="",$I306="-"),"",VLOOKUP($G306,為替!$A:$AX,$I306,FALSE))+$J$3,IF(OR($I306="",$I306="-"),"",VLOOKUP($G306,為替!$A:$AX,$I306,FALSE)))</f>
        <v/>
      </c>
      <c r="K306" s="204" t="str">
        <f t="shared" si="26"/>
        <v/>
      </c>
      <c r="L306" s="188" t="str">
        <f t="shared" si="27"/>
        <v/>
      </c>
      <c r="M306" s="203" t="str">
        <f>IF($H306="USD",IF(OR($L306="",$L306="-"),"",VLOOKUP($G306,為替!$A:$AX,$L306,FALSE))+$K$3,IF(OR($L306="",$L306="-"),"",VLOOKUP($G306,為替!$A:$AX,$L306,FALSE)))</f>
        <v/>
      </c>
      <c r="N306" s="204" t="str">
        <f t="shared" si="28"/>
        <v/>
      </c>
      <c r="O306" s="205" t="str">
        <f t="shared" si="24"/>
        <v/>
      </c>
      <c r="P306" s="206" t="str">
        <f t="shared" si="29"/>
        <v/>
      </c>
    </row>
    <row r="307" spans="3:16" x14ac:dyDescent="0.4">
      <c r="C307" s="199"/>
      <c r="D307" s="200"/>
      <c r="E307" s="201"/>
      <c r="F307" s="199"/>
      <c r="H307" s="202"/>
      <c r="I307" s="185" t="str">
        <f t="shared" si="25"/>
        <v/>
      </c>
      <c r="J307" s="203" t="str">
        <f>IF($H307="USD",IF(OR($I307="",$I307="-"),"",VLOOKUP($G307,為替!$A:$AX,$I307,FALSE))+$J$3,IF(OR($I307="",$I307="-"),"",VLOOKUP($G307,為替!$A:$AX,$I307,FALSE)))</f>
        <v/>
      </c>
      <c r="K307" s="204" t="str">
        <f t="shared" si="26"/>
        <v/>
      </c>
      <c r="L307" s="188" t="str">
        <f t="shared" si="27"/>
        <v/>
      </c>
      <c r="M307" s="203" t="str">
        <f>IF($H307="USD",IF(OR($L307="",$L307="-"),"",VLOOKUP($G307,為替!$A:$AX,$L307,FALSE))+$K$3,IF(OR($L307="",$L307="-"),"",VLOOKUP($G307,為替!$A:$AX,$L307,FALSE)))</f>
        <v/>
      </c>
      <c r="N307" s="204" t="str">
        <f t="shared" si="28"/>
        <v/>
      </c>
      <c r="O307" s="205" t="str">
        <f t="shared" si="24"/>
        <v/>
      </c>
      <c r="P307" s="206" t="str">
        <f t="shared" si="29"/>
        <v/>
      </c>
    </row>
    <row r="308" spans="3:16" x14ac:dyDescent="0.4">
      <c r="C308" s="199"/>
      <c r="D308" s="200"/>
      <c r="E308" s="201"/>
      <c r="F308" s="199"/>
      <c r="H308" s="202"/>
      <c r="I308" s="185" t="str">
        <f t="shared" si="25"/>
        <v/>
      </c>
      <c r="J308" s="203" t="str">
        <f>IF($H308="USD",IF(OR($I308="",$I308="-"),"",VLOOKUP($G308,為替!$A:$AX,$I308,FALSE))+$J$3,IF(OR($I308="",$I308="-"),"",VLOOKUP($G308,為替!$A:$AX,$I308,FALSE)))</f>
        <v/>
      </c>
      <c r="K308" s="204" t="str">
        <f t="shared" si="26"/>
        <v/>
      </c>
      <c r="L308" s="188" t="str">
        <f t="shared" si="27"/>
        <v/>
      </c>
      <c r="M308" s="203" t="str">
        <f>IF($H308="USD",IF(OR($L308="",$L308="-"),"",VLOOKUP($G308,為替!$A:$AX,$L308,FALSE))+$K$3,IF(OR($L308="",$L308="-"),"",VLOOKUP($G308,為替!$A:$AX,$L308,FALSE)))</f>
        <v/>
      </c>
      <c r="N308" s="204" t="str">
        <f t="shared" si="28"/>
        <v/>
      </c>
      <c r="O308" s="205" t="str">
        <f t="shared" si="24"/>
        <v/>
      </c>
      <c r="P308" s="206" t="str">
        <f t="shared" si="29"/>
        <v/>
      </c>
    </row>
    <row r="309" spans="3:16" x14ac:dyDescent="0.4">
      <c r="C309" s="199"/>
      <c r="D309" s="200"/>
      <c r="E309" s="201"/>
      <c r="F309" s="199"/>
      <c r="H309" s="202"/>
      <c r="I309" s="185" t="str">
        <f t="shared" si="25"/>
        <v/>
      </c>
      <c r="J309" s="203" t="str">
        <f>IF($H309="USD",IF(OR($I309="",$I309="-"),"",VLOOKUP($G309,為替!$A:$AX,$I309,FALSE))+$J$3,IF(OR($I309="",$I309="-"),"",VLOOKUP($G309,為替!$A:$AX,$I309,FALSE)))</f>
        <v/>
      </c>
      <c r="K309" s="204" t="str">
        <f t="shared" si="26"/>
        <v/>
      </c>
      <c r="L309" s="188" t="str">
        <f t="shared" si="27"/>
        <v/>
      </c>
      <c r="M309" s="203" t="str">
        <f>IF($H309="USD",IF(OR($L309="",$L309="-"),"",VLOOKUP($G309,為替!$A:$AX,$L309,FALSE))+$K$3,IF(OR($L309="",$L309="-"),"",VLOOKUP($G309,為替!$A:$AX,$L309,FALSE)))</f>
        <v/>
      </c>
      <c r="N309" s="204" t="str">
        <f t="shared" si="28"/>
        <v/>
      </c>
      <c r="O309" s="205" t="str">
        <f t="shared" si="24"/>
        <v/>
      </c>
      <c r="P309" s="206" t="str">
        <f t="shared" si="29"/>
        <v/>
      </c>
    </row>
    <row r="310" spans="3:16" x14ac:dyDescent="0.4">
      <c r="C310" s="199"/>
      <c r="D310" s="200"/>
      <c r="E310" s="201"/>
      <c r="F310" s="199"/>
      <c r="H310" s="202"/>
      <c r="I310" s="185" t="str">
        <f t="shared" si="25"/>
        <v/>
      </c>
      <c r="J310" s="203" t="str">
        <f>IF($H310="USD",IF(OR($I310="",$I310="-"),"",VLOOKUP($G310,為替!$A:$AX,$I310,FALSE))+$J$3,IF(OR($I310="",$I310="-"),"",VLOOKUP($G310,為替!$A:$AX,$I310,FALSE)))</f>
        <v/>
      </c>
      <c r="K310" s="204" t="str">
        <f t="shared" si="26"/>
        <v/>
      </c>
      <c r="L310" s="188" t="str">
        <f t="shared" si="27"/>
        <v/>
      </c>
      <c r="M310" s="203" t="str">
        <f>IF($H310="USD",IF(OR($L310="",$L310="-"),"",VLOOKUP($G310,為替!$A:$AX,$L310,FALSE))+$K$3,IF(OR($L310="",$L310="-"),"",VLOOKUP($G310,為替!$A:$AX,$L310,FALSE)))</f>
        <v/>
      </c>
      <c r="N310" s="204" t="str">
        <f t="shared" si="28"/>
        <v/>
      </c>
      <c r="O310" s="205" t="str">
        <f t="shared" si="24"/>
        <v/>
      </c>
      <c r="P310" s="206" t="str">
        <f t="shared" si="29"/>
        <v/>
      </c>
    </row>
    <row r="311" spans="3:16" x14ac:dyDescent="0.4">
      <c r="C311" s="199"/>
      <c r="D311" s="200"/>
      <c r="E311" s="201"/>
      <c r="F311" s="199"/>
      <c r="H311" s="202"/>
      <c r="I311" s="185" t="str">
        <f t="shared" si="25"/>
        <v/>
      </c>
      <c r="J311" s="203" t="str">
        <f>IF($H311="USD",IF(OR($I311="",$I311="-"),"",VLOOKUP($G311,為替!$A:$AX,$I311,FALSE))+$J$3,IF(OR($I311="",$I311="-"),"",VLOOKUP($G311,為替!$A:$AX,$I311,FALSE)))</f>
        <v/>
      </c>
      <c r="K311" s="204" t="str">
        <f t="shared" si="26"/>
        <v/>
      </c>
      <c r="L311" s="188" t="str">
        <f t="shared" si="27"/>
        <v/>
      </c>
      <c r="M311" s="203" t="str">
        <f>IF($H311="USD",IF(OR($L311="",$L311="-"),"",VLOOKUP($G311,為替!$A:$AX,$L311,FALSE))+$K$3,IF(OR($L311="",$L311="-"),"",VLOOKUP($G311,為替!$A:$AX,$L311,FALSE)))</f>
        <v/>
      </c>
      <c r="N311" s="204" t="str">
        <f t="shared" si="28"/>
        <v/>
      </c>
      <c r="O311" s="205" t="str">
        <f t="shared" si="24"/>
        <v/>
      </c>
      <c r="P311" s="206" t="str">
        <f t="shared" si="29"/>
        <v/>
      </c>
    </row>
    <row r="312" spans="3:16" x14ac:dyDescent="0.4">
      <c r="C312" s="199"/>
      <c r="D312" s="200"/>
      <c r="E312" s="201"/>
      <c r="F312" s="199"/>
      <c r="H312" s="202"/>
      <c r="I312" s="185" t="str">
        <f t="shared" si="25"/>
        <v/>
      </c>
      <c r="J312" s="203" t="str">
        <f>IF($H312="USD",IF(OR($I312="",$I312="-"),"",VLOOKUP($G312,為替!$A:$AX,$I312,FALSE))+$J$3,IF(OR($I312="",$I312="-"),"",VLOOKUP($G312,為替!$A:$AX,$I312,FALSE)))</f>
        <v/>
      </c>
      <c r="K312" s="204" t="str">
        <f t="shared" si="26"/>
        <v/>
      </c>
      <c r="L312" s="188" t="str">
        <f t="shared" si="27"/>
        <v/>
      </c>
      <c r="M312" s="203" t="str">
        <f>IF($H312="USD",IF(OR($L312="",$L312="-"),"",VLOOKUP($G312,為替!$A:$AX,$L312,FALSE))+$K$3,IF(OR($L312="",$L312="-"),"",VLOOKUP($G312,為替!$A:$AX,$L312,FALSE)))</f>
        <v/>
      </c>
      <c r="N312" s="204" t="str">
        <f t="shared" si="28"/>
        <v/>
      </c>
      <c r="O312" s="205" t="str">
        <f t="shared" si="24"/>
        <v/>
      </c>
      <c r="P312" s="206" t="str">
        <f t="shared" si="29"/>
        <v/>
      </c>
    </row>
    <row r="313" spans="3:16" x14ac:dyDescent="0.4">
      <c r="C313" s="199"/>
      <c r="D313" s="200"/>
      <c r="E313" s="201"/>
      <c r="F313" s="199"/>
      <c r="H313" s="202"/>
      <c r="I313" s="185" t="str">
        <f t="shared" si="25"/>
        <v/>
      </c>
      <c r="J313" s="203" t="str">
        <f>IF($H313="USD",IF(OR($I313="",$I313="-"),"",VLOOKUP($G313,為替!$A:$AX,$I313,FALSE))+$J$3,IF(OR($I313="",$I313="-"),"",VLOOKUP($G313,為替!$A:$AX,$I313,FALSE)))</f>
        <v/>
      </c>
      <c r="K313" s="204" t="str">
        <f t="shared" si="26"/>
        <v/>
      </c>
      <c r="L313" s="188" t="str">
        <f t="shared" si="27"/>
        <v/>
      </c>
      <c r="M313" s="203" t="str">
        <f>IF($H313="USD",IF(OR($L313="",$L313="-"),"",VLOOKUP($G313,為替!$A:$AX,$L313,FALSE))+$K$3,IF(OR($L313="",$L313="-"),"",VLOOKUP($G313,為替!$A:$AX,$L313,FALSE)))</f>
        <v/>
      </c>
      <c r="N313" s="204" t="str">
        <f t="shared" si="28"/>
        <v/>
      </c>
      <c r="O313" s="205" t="str">
        <f t="shared" si="24"/>
        <v/>
      </c>
      <c r="P313" s="206" t="str">
        <f t="shared" si="29"/>
        <v/>
      </c>
    </row>
    <row r="314" spans="3:16" x14ac:dyDescent="0.4">
      <c r="C314" s="199"/>
      <c r="D314" s="200"/>
      <c r="E314" s="201"/>
      <c r="F314" s="199"/>
      <c r="H314" s="202"/>
      <c r="I314" s="185" t="str">
        <f t="shared" si="25"/>
        <v/>
      </c>
      <c r="J314" s="203" t="str">
        <f>IF($H314="USD",IF(OR($I314="",$I314="-"),"",VLOOKUP($G314,為替!$A:$AX,$I314,FALSE))+$J$3,IF(OR($I314="",$I314="-"),"",VLOOKUP($G314,為替!$A:$AX,$I314,FALSE)))</f>
        <v/>
      </c>
      <c r="K314" s="204" t="str">
        <f t="shared" si="26"/>
        <v/>
      </c>
      <c r="L314" s="188" t="str">
        <f t="shared" si="27"/>
        <v/>
      </c>
      <c r="M314" s="203" t="str">
        <f>IF($H314="USD",IF(OR($L314="",$L314="-"),"",VLOOKUP($G314,為替!$A:$AX,$L314,FALSE))+$K$3,IF(OR($L314="",$L314="-"),"",VLOOKUP($G314,為替!$A:$AX,$L314,FALSE)))</f>
        <v/>
      </c>
      <c r="N314" s="204" t="str">
        <f t="shared" si="28"/>
        <v/>
      </c>
      <c r="O314" s="205" t="str">
        <f t="shared" si="24"/>
        <v/>
      </c>
      <c r="P314" s="206" t="str">
        <f t="shared" si="29"/>
        <v/>
      </c>
    </row>
    <row r="315" spans="3:16" x14ac:dyDescent="0.4">
      <c r="C315" s="199"/>
      <c r="D315" s="200"/>
      <c r="E315" s="201"/>
      <c r="F315" s="199"/>
      <c r="H315" s="202"/>
      <c r="I315" s="185" t="str">
        <f t="shared" si="25"/>
        <v/>
      </c>
      <c r="J315" s="203" t="str">
        <f>IF($H315="USD",IF(OR($I315="",$I315="-"),"",VLOOKUP($G315,為替!$A:$AX,$I315,FALSE))+$J$3,IF(OR($I315="",$I315="-"),"",VLOOKUP($G315,為替!$A:$AX,$I315,FALSE)))</f>
        <v/>
      </c>
      <c r="K315" s="204" t="str">
        <f t="shared" si="26"/>
        <v/>
      </c>
      <c r="L315" s="188" t="str">
        <f t="shared" si="27"/>
        <v/>
      </c>
      <c r="M315" s="203" t="str">
        <f>IF($H315="USD",IF(OR($L315="",$L315="-"),"",VLOOKUP($G315,為替!$A:$AX,$L315,FALSE))+$K$3,IF(OR($L315="",$L315="-"),"",VLOOKUP($G315,為替!$A:$AX,$L315,FALSE)))</f>
        <v/>
      </c>
      <c r="N315" s="204" t="str">
        <f t="shared" si="28"/>
        <v/>
      </c>
      <c r="O315" s="205" t="str">
        <f t="shared" si="24"/>
        <v/>
      </c>
      <c r="P315" s="206" t="str">
        <f t="shared" si="29"/>
        <v/>
      </c>
    </row>
    <row r="316" spans="3:16" x14ac:dyDescent="0.4">
      <c r="C316" s="199"/>
      <c r="D316" s="200"/>
      <c r="E316" s="201"/>
      <c r="F316" s="199"/>
      <c r="H316" s="202"/>
      <c r="I316" s="185" t="str">
        <f t="shared" si="25"/>
        <v/>
      </c>
      <c r="J316" s="203" t="str">
        <f>IF($H316="USD",IF(OR($I316="",$I316="-"),"",VLOOKUP($G316,為替!$A:$AX,$I316,FALSE))+$J$3,IF(OR($I316="",$I316="-"),"",VLOOKUP($G316,為替!$A:$AX,$I316,FALSE)))</f>
        <v/>
      </c>
      <c r="K316" s="204" t="str">
        <f t="shared" si="26"/>
        <v/>
      </c>
      <c r="L316" s="188" t="str">
        <f t="shared" si="27"/>
        <v/>
      </c>
      <c r="M316" s="203" t="str">
        <f>IF($H316="USD",IF(OR($L316="",$L316="-"),"",VLOOKUP($G316,為替!$A:$AX,$L316,FALSE))+$K$3,IF(OR($L316="",$L316="-"),"",VLOOKUP($G316,為替!$A:$AX,$L316,FALSE)))</f>
        <v/>
      </c>
      <c r="N316" s="204" t="str">
        <f t="shared" si="28"/>
        <v/>
      </c>
      <c r="O316" s="205" t="str">
        <f t="shared" si="24"/>
        <v/>
      </c>
      <c r="P316" s="206" t="str">
        <f t="shared" si="29"/>
        <v/>
      </c>
    </row>
    <row r="317" spans="3:16" x14ac:dyDescent="0.4">
      <c r="C317" s="199"/>
      <c r="D317" s="200"/>
      <c r="E317" s="201"/>
      <c r="F317" s="199"/>
      <c r="H317" s="202"/>
      <c r="I317" s="185" t="str">
        <f t="shared" si="25"/>
        <v/>
      </c>
      <c r="J317" s="203" t="str">
        <f>IF($H317="USD",IF(OR($I317="",$I317="-"),"",VLOOKUP($G317,為替!$A:$AX,$I317,FALSE))+$J$3,IF(OR($I317="",$I317="-"),"",VLOOKUP($G317,為替!$A:$AX,$I317,FALSE)))</f>
        <v/>
      </c>
      <c r="K317" s="204" t="str">
        <f t="shared" si="26"/>
        <v/>
      </c>
      <c r="L317" s="188" t="str">
        <f t="shared" si="27"/>
        <v/>
      </c>
      <c r="M317" s="203" t="str">
        <f>IF($H317="USD",IF(OR($L317="",$L317="-"),"",VLOOKUP($G317,為替!$A:$AX,$L317,FALSE))+$K$3,IF(OR($L317="",$L317="-"),"",VLOOKUP($G317,為替!$A:$AX,$L317,FALSE)))</f>
        <v/>
      </c>
      <c r="N317" s="204" t="str">
        <f t="shared" si="28"/>
        <v/>
      </c>
      <c r="O317" s="205" t="str">
        <f t="shared" si="24"/>
        <v/>
      </c>
      <c r="P317" s="206" t="str">
        <f t="shared" si="29"/>
        <v/>
      </c>
    </row>
    <row r="318" spans="3:16" x14ac:dyDescent="0.4">
      <c r="C318" s="199"/>
      <c r="D318" s="200"/>
      <c r="E318" s="201"/>
      <c r="F318" s="199"/>
      <c r="H318" s="202"/>
      <c r="I318" s="185" t="str">
        <f t="shared" si="25"/>
        <v/>
      </c>
      <c r="J318" s="203" t="str">
        <f>IF($H318="USD",IF(OR($I318="",$I318="-"),"",VLOOKUP($G318,為替!$A:$AX,$I318,FALSE))+$J$3,IF(OR($I318="",$I318="-"),"",VLOOKUP($G318,為替!$A:$AX,$I318,FALSE)))</f>
        <v/>
      </c>
      <c r="K318" s="204" t="str">
        <f t="shared" si="26"/>
        <v/>
      </c>
      <c r="L318" s="188" t="str">
        <f t="shared" si="27"/>
        <v/>
      </c>
      <c r="M318" s="203" t="str">
        <f>IF($H318="USD",IF(OR($L318="",$L318="-"),"",VLOOKUP($G318,為替!$A:$AX,$L318,FALSE))+$K$3,IF(OR($L318="",$L318="-"),"",VLOOKUP($G318,為替!$A:$AX,$L318,FALSE)))</f>
        <v/>
      </c>
      <c r="N318" s="204" t="str">
        <f t="shared" si="28"/>
        <v/>
      </c>
      <c r="O318" s="205" t="str">
        <f t="shared" si="24"/>
        <v/>
      </c>
      <c r="P318" s="206" t="str">
        <f t="shared" si="29"/>
        <v/>
      </c>
    </row>
    <row r="319" spans="3:16" x14ac:dyDescent="0.4">
      <c r="C319" s="199"/>
      <c r="D319" s="200"/>
      <c r="E319" s="201"/>
      <c r="F319" s="199"/>
      <c r="H319" s="202"/>
      <c r="I319" s="185" t="str">
        <f t="shared" si="25"/>
        <v/>
      </c>
      <c r="J319" s="203" t="str">
        <f>IF($H319="USD",IF(OR($I319="",$I319="-"),"",VLOOKUP($G319,為替!$A:$AX,$I319,FALSE))+$J$3,IF(OR($I319="",$I319="-"),"",VLOOKUP($G319,為替!$A:$AX,$I319,FALSE)))</f>
        <v/>
      </c>
      <c r="K319" s="204" t="str">
        <f t="shared" si="26"/>
        <v/>
      </c>
      <c r="L319" s="188" t="str">
        <f t="shared" si="27"/>
        <v/>
      </c>
      <c r="M319" s="203" t="str">
        <f>IF($H319="USD",IF(OR($L319="",$L319="-"),"",VLOOKUP($G319,為替!$A:$AX,$L319,FALSE))+$K$3,IF(OR($L319="",$L319="-"),"",VLOOKUP($G319,為替!$A:$AX,$L319,FALSE)))</f>
        <v/>
      </c>
      <c r="N319" s="204" t="str">
        <f t="shared" si="28"/>
        <v/>
      </c>
      <c r="O319" s="205" t="str">
        <f t="shared" si="24"/>
        <v/>
      </c>
      <c r="P319" s="206" t="str">
        <f t="shared" si="29"/>
        <v/>
      </c>
    </row>
    <row r="320" spans="3:16" x14ac:dyDescent="0.4">
      <c r="C320" s="199"/>
      <c r="D320" s="200"/>
      <c r="E320" s="201"/>
      <c r="F320" s="199"/>
      <c r="H320" s="202"/>
      <c r="I320" s="185" t="str">
        <f t="shared" si="25"/>
        <v/>
      </c>
      <c r="J320" s="203" t="str">
        <f>IF($H320="USD",IF(OR($I320="",$I320="-"),"",VLOOKUP($G320,為替!$A:$AX,$I320,FALSE))+$J$3,IF(OR($I320="",$I320="-"),"",VLOOKUP($G320,為替!$A:$AX,$I320,FALSE)))</f>
        <v/>
      </c>
      <c r="K320" s="204" t="str">
        <f t="shared" si="26"/>
        <v/>
      </c>
      <c r="L320" s="188" t="str">
        <f t="shared" si="27"/>
        <v/>
      </c>
      <c r="M320" s="203" t="str">
        <f>IF($H320="USD",IF(OR($L320="",$L320="-"),"",VLOOKUP($G320,為替!$A:$AX,$L320,FALSE))+$K$3,IF(OR($L320="",$L320="-"),"",VLOOKUP($G320,為替!$A:$AX,$L320,FALSE)))</f>
        <v/>
      </c>
      <c r="N320" s="204" t="str">
        <f t="shared" si="28"/>
        <v/>
      </c>
      <c r="O320" s="205" t="str">
        <f t="shared" si="24"/>
        <v/>
      </c>
      <c r="P320" s="206" t="str">
        <f t="shared" si="29"/>
        <v/>
      </c>
    </row>
    <row r="321" spans="3:16" x14ac:dyDescent="0.4">
      <c r="C321" s="199"/>
      <c r="D321" s="200"/>
      <c r="E321" s="201"/>
      <c r="F321" s="199"/>
      <c r="H321" s="202"/>
      <c r="I321" s="185" t="str">
        <f t="shared" si="25"/>
        <v/>
      </c>
      <c r="J321" s="203" t="str">
        <f>IF($H321="USD",IF(OR($I321="",$I321="-"),"",VLOOKUP($G321,為替!$A:$AX,$I321,FALSE))+$J$3,IF(OR($I321="",$I321="-"),"",VLOOKUP($G321,為替!$A:$AX,$I321,FALSE)))</f>
        <v/>
      </c>
      <c r="K321" s="204" t="str">
        <f t="shared" si="26"/>
        <v/>
      </c>
      <c r="L321" s="188" t="str">
        <f t="shared" si="27"/>
        <v/>
      </c>
      <c r="M321" s="203" t="str">
        <f>IF($H321="USD",IF(OR($L321="",$L321="-"),"",VLOOKUP($G321,為替!$A:$AX,$L321,FALSE))+$K$3,IF(OR($L321="",$L321="-"),"",VLOOKUP($G321,為替!$A:$AX,$L321,FALSE)))</f>
        <v/>
      </c>
      <c r="N321" s="204" t="str">
        <f t="shared" si="28"/>
        <v/>
      </c>
      <c r="O321" s="205" t="str">
        <f t="shared" si="24"/>
        <v/>
      </c>
      <c r="P321" s="206" t="str">
        <f t="shared" si="29"/>
        <v/>
      </c>
    </row>
    <row r="322" spans="3:16" x14ac:dyDescent="0.4">
      <c r="C322" s="199"/>
      <c r="D322" s="200"/>
      <c r="E322" s="201"/>
      <c r="F322" s="199"/>
      <c r="H322" s="202"/>
      <c r="I322" s="185" t="str">
        <f t="shared" si="25"/>
        <v/>
      </c>
      <c r="J322" s="203" t="str">
        <f>IF($H322="USD",IF(OR($I322="",$I322="-"),"",VLOOKUP($G322,為替!$A:$AX,$I322,FALSE))+$J$3,IF(OR($I322="",$I322="-"),"",VLOOKUP($G322,為替!$A:$AX,$I322,FALSE)))</f>
        <v/>
      </c>
      <c r="K322" s="204" t="str">
        <f t="shared" si="26"/>
        <v/>
      </c>
      <c r="L322" s="188" t="str">
        <f t="shared" si="27"/>
        <v/>
      </c>
      <c r="M322" s="203" t="str">
        <f>IF($H322="USD",IF(OR($L322="",$L322="-"),"",VLOOKUP($G322,為替!$A:$AX,$L322,FALSE))+$K$3,IF(OR($L322="",$L322="-"),"",VLOOKUP($G322,為替!$A:$AX,$L322,FALSE)))</f>
        <v/>
      </c>
      <c r="N322" s="204" t="str">
        <f t="shared" si="28"/>
        <v/>
      </c>
      <c r="O322" s="205" t="str">
        <f t="shared" si="24"/>
        <v/>
      </c>
      <c r="P322" s="206" t="str">
        <f t="shared" si="29"/>
        <v/>
      </c>
    </row>
    <row r="323" spans="3:16" x14ac:dyDescent="0.4">
      <c r="C323" s="199"/>
      <c r="D323" s="200"/>
      <c r="E323" s="201"/>
      <c r="F323" s="199"/>
      <c r="H323" s="202"/>
      <c r="I323" s="185" t="str">
        <f t="shared" si="25"/>
        <v/>
      </c>
      <c r="J323" s="203" t="str">
        <f>IF($H323="USD",IF(OR($I323="",$I323="-"),"",VLOOKUP($G323,為替!$A:$AX,$I323,FALSE))+$J$3,IF(OR($I323="",$I323="-"),"",VLOOKUP($G323,為替!$A:$AX,$I323,FALSE)))</f>
        <v/>
      </c>
      <c r="K323" s="204" t="str">
        <f t="shared" si="26"/>
        <v/>
      </c>
      <c r="L323" s="188" t="str">
        <f t="shared" si="27"/>
        <v/>
      </c>
      <c r="M323" s="203" t="str">
        <f>IF($H323="USD",IF(OR($L323="",$L323="-"),"",VLOOKUP($G323,為替!$A:$AX,$L323,FALSE))+$K$3,IF(OR($L323="",$L323="-"),"",VLOOKUP($G323,為替!$A:$AX,$L323,FALSE)))</f>
        <v/>
      </c>
      <c r="N323" s="204" t="str">
        <f t="shared" si="28"/>
        <v/>
      </c>
      <c r="O323" s="205" t="str">
        <f t="shared" si="24"/>
        <v/>
      </c>
      <c r="P323" s="206" t="str">
        <f t="shared" si="29"/>
        <v/>
      </c>
    </row>
    <row r="324" spans="3:16" x14ac:dyDescent="0.4">
      <c r="C324" s="199"/>
      <c r="D324" s="200"/>
      <c r="E324" s="201"/>
      <c r="F324" s="199"/>
      <c r="H324" s="202"/>
      <c r="I324" s="185" t="str">
        <f t="shared" si="25"/>
        <v/>
      </c>
      <c r="J324" s="203" t="str">
        <f>IF($H324="USD",IF(OR($I324="",$I324="-"),"",VLOOKUP($G324,為替!$A:$AX,$I324,FALSE))+$J$3,IF(OR($I324="",$I324="-"),"",VLOOKUP($G324,為替!$A:$AX,$I324,FALSE)))</f>
        <v/>
      </c>
      <c r="K324" s="204" t="str">
        <f t="shared" si="26"/>
        <v/>
      </c>
      <c r="L324" s="188" t="str">
        <f t="shared" si="27"/>
        <v/>
      </c>
      <c r="M324" s="203" t="str">
        <f>IF($H324="USD",IF(OR($L324="",$L324="-"),"",VLOOKUP($G324,為替!$A:$AX,$L324,FALSE))+$K$3,IF(OR($L324="",$L324="-"),"",VLOOKUP($G324,為替!$A:$AX,$L324,FALSE)))</f>
        <v/>
      </c>
      <c r="N324" s="204" t="str">
        <f t="shared" si="28"/>
        <v/>
      </c>
      <c r="O324" s="205" t="str">
        <f t="shared" si="24"/>
        <v/>
      </c>
      <c r="P324" s="206" t="str">
        <f t="shared" si="29"/>
        <v/>
      </c>
    </row>
    <row r="325" spans="3:16" x14ac:dyDescent="0.4">
      <c r="C325" s="199"/>
      <c r="D325" s="200"/>
      <c r="E325" s="201"/>
      <c r="F325" s="199"/>
      <c r="H325" s="202"/>
      <c r="I325" s="185" t="str">
        <f t="shared" si="25"/>
        <v/>
      </c>
      <c r="J325" s="203" t="str">
        <f>IF($H325="USD",IF(OR($I325="",$I325="-"),"",VLOOKUP($G325,為替!$A:$AX,$I325,FALSE))+$J$3,IF(OR($I325="",$I325="-"),"",VLOOKUP($G325,為替!$A:$AX,$I325,FALSE)))</f>
        <v/>
      </c>
      <c r="K325" s="204" t="str">
        <f t="shared" si="26"/>
        <v/>
      </c>
      <c r="L325" s="188" t="str">
        <f t="shared" si="27"/>
        <v/>
      </c>
      <c r="M325" s="203" t="str">
        <f>IF($H325="USD",IF(OR($L325="",$L325="-"),"",VLOOKUP($G325,為替!$A:$AX,$L325,FALSE))+$K$3,IF(OR($L325="",$L325="-"),"",VLOOKUP($G325,為替!$A:$AX,$L325,FALSE)))</f>
        <v/>
      </c>
      <c r="N325" s="204" t="str">
        <f t="shared" si="28"/>
        <v/>
      </c>
      <c r="O325" s="205" t="str">
        <f t="shared" si="24"/>
        <v/>
      </c>
      <c r="P325" s="206" t="str">
        <f t="shared" si="29"/>
        <v/>
      </c>
    </row>
    <row r="326" spans="3:16" x14ac:dyDescent="0.4">
      <c r="C326" s="199"/>
      <c r="D326" s="200"/>
      <c r="E326" s="201"/>
      <c r="F326" s="199"/>
      <c r="H326" s="202"/>
      <c r="I326" s="185" t="str">
        <f t="shared" si="25"/>
        <v/>
      </c>
      <c r="J326" s="203" t="str">
        <f>IF($H326="USD",IF(OR($I326="",$I326="-"),"",VLOOKUP($G326,為替!$A:$AX,$I326,FALSE))+$J$3,IF(OR($I326="",$I326="-"),"",VLOOKUP($G326,為替!$A:$AX,$I326,FALSE)))</f>
        <v/>
      </c>
      <c r="K326" s="204" t="str">
        <f t="shared" si="26"/>
        <v/>
      </c>
      <c r="L326" s="188" t="str">
        <f t="shared" si="27"/>
        <v/>
      </c>
      <c r="M326" s="203" t="str">
        <f>IF($H326="USD",IF(OR($L326="",$L326="-"),"",VLOOKUP($G326,為替!$A:$AX,$L326,FALSE))+$K$3,IF(OR($L326="",$L326="-"),"",VLOOKUP($G326,為替!$A:$AX,$L326,FALSE)))</f>
        <v/>
      </c>
      <c r="N326" s="204" t="str">
        <f t="shared" si="28"/>
        <v/>
      </c>
      <c r="O326" s="205" t="str">
        <f t="shared" ref="O326:O389" si="30">IF(OR(K326="",N326=""),"",K326-N326)</f>
        <v/>
      </c>
      <c r="P326" s="206" t="str">
        <f t="shared" si="29"/>
        <v/>
      </c>
    </row>
    <row r="327" spans="3:16" x14ac:dyDescent="0.4">
      <c r="C327" s="199"/>
      <c r="D327" s="200"/>
      <c r="E327" s="201"/>
      <c r="F327" s="199"/>
      <c r="H327" s="202"/>
      <c r="I327" s="185" t="str">
        <f t="shared" ref="I327:I390" si="31">IF(H327="","",IF(H327="JPY","",IF($H327="USD",4, IF(H327="EUR",7,IF(H327="CNY",47,IF(H327="HKD",34))))))</f>
        <v/>
      </c>
      <c r="J327" s="203" t="str">
        <f>IF($H327="USD",IF(OR($I327="",$I327="-"),"",VLOOKUP($G327,為替!$A:$AX,$I327,FALSE))+$J$3,IF(OR($I327="",$I327="-"),"",VLOOKUP($G327,為替!$A:$AX,$I327,FALSE)))</f>
        <v/>
      </c>
      <c r="K327" s="204" t="str">
        <f t="shared" ref="K327:K390" si="32">IF($H327="JPY",$F327,IF($H327="","",$F327*$J327))</f>
        <v/>
      </c>
      <c r="L327" s="188" t="str">
        <f t="shared" ref="L327:L390" si="33">IF(H327="","",IF(H327="JPY","",IF($H327="USD",3, IF(H327="EUR",6,IF(H327="CNY",46,IF(H327="HKD",33))))))</f>
        <v/>
      </c>
      <c r="M327" s="203" t="str">
        <f>IF($H327="USD",IF(OR($L327="",$L327="-"),"",VLOOKUP($G327,為替!$A:$AX,$L327,FALSE))+$K$3,IF(OR($L327="",$L327="-"),"",VLOOKUP($G327,為替!$A:$AX,$L327,FALSE)))</f>
        <v/>
      </c>
      <c r="N327" s="204" t="str">
        <f t="shared" ref="N327:N390" si="34">IF($E327="JPY",($C327+$D327),IF($E327="","",($C327+$D327)*$M327))</f>
        <v/>
      </c>
      <c r="O327" s="205" t="str">
        <f t="shared" si="30"/>
        <v/>
      </c>
      <c r="P327" s="206" t="str">
        <f t="shared" ref="P327:P390" si="35">IF(OR(K327="",O327=""),"",O327/K327)</f>
        <v/>
      </c>
    </row>
    <row r="328" spans="3:16" x14ac:dyDescent="0.4">
      <c r="C328" s="199"/>
      <c r="D328" s="200"/>
      <c r="E328" s="201"/>
      <c r="F328" s="199"/>
      <c r="H328" s="202"/>
      <c r="I328" s="185" t="str">
        <f t="shared" si="31"/>
        <v/>
      </c>
      <c r="J328" s="203" t="str">
        <f>IF($H328="USD",IF(OR($I328="",$I328="-"),"",VLOOKUP($G328,為替!$A:$AX,$I328,FALSE))+$J$3,IF(OR($I328="",$I328="-"),"",VLOOKUP($G328,為替!$A:$AX,$I328,FALSE)))</f>
        <v/>
      </c>
      <c r="K328" s="204" t="str">
        <f t="shared" si="32"/>
        <v/>
      </c>
      <c r="L328" s="188" t="str">
        <f t="shared" si="33"/>
        <v/>
      </c>
      <c r="M328" s="203" t="str">
        <f>IF($H328="USD",IF(OR($L328="",$L328="-"),"",VLOOKUP($G328,為替!$A:$AX,$L328,FALSE))+$K$3,IF(OR($L328="",$L328="-"),"",VLOOKUP($G328,為替!$A:$AX,$L328,FALSE)))</f>
        <v/>
      </c>
      <c r="N328" s="204" t="str">
        <f t="shared" si="34"/>
        <v/>
      </c>
      <c r="O328" s="205" t="str">
        <f t="shared" si="30"/>
        <v/>
      </c>
      <c r="P328" s="206" t="str">
        <f t="shared" si="35"/>
        <v/>
      </c>
    </row>
    <row r="329" spans="3:16" x14ac:dyDescent="0.4">
      <c r="C329" s="199"/>
      <c r="D329" s="200"/>
      <c r="E329" s="201"/>
      <c r="F329" s="199"/>
      <c r="H329" s="202"/>
      <c r="I329" s="185" t="str">
        <f t="shared" si="31"/>
        <v/>
      </c>
      <c r="J329" s="203" t="str">
        <f>IF($H329="USD",IF(OR($I329="",$I329="-"),"",VLOOKUP($G329,為替!$A:$AX,$I329,FALSE))+$J$3,IF(OR($I329="",$I329="-"),"",VLOOKUP($G329,為替!$A:$AX,$I329,FALSE)))</f>
        <v/>
      </c>
      <c r="K329" s="204" t="str">
        <f t="shared" si="32"/>
        <v/>
      </c>
      <c r="L329" s="188" t="str">
        <f t="shared" si="33"/>
        <v/>
      </c>
      <c r="M329" s="203" t="str">
        <f>IF($H329="USD",IF(OR($L329="",$L329="-"),"",VLOOKUP($G329,為替!$A:$AX,$L329,FALSE))+$K$3,IF(OR($L329="",$L329="-"),"",VLOOKUP($G329,為替!$A:$AX,$L329,FALSE)))</f>
        <v/>
      </c>
      <c r="N329" s="204" t="str">
        <f t="shared" si="34"/>
        <v/>
      </c>
      <c r="O329" s="205" t="str">
        <f t="shared" si="30"/>
        <v/>
      </c>
      <c r="P329" s="206" t="str">
        <f t="shared" si="35"/>
        <v/>
      </c>
    </row>
    <row r="330" spans="3:16" x14ac:dyDescent="0.4">
      <c r="C330" s="199"/>
      <c r="D330" s="200"/>
      <c r="E330" s="201"/>
      <c r="F330" s="199"/>
      <c r="H330" s="202"/>
      <c r="I330" s="185" t="str">
        <f t="shared" si="31"/>
        <v/>
      </c>
      <c r="J330" s="203" t="str">
        <f>IF($H330="USD",IF(OR($I330="",$I330="-"),"",VLOOKUP($G330,為替!$A:$AX,$I330,FALSE))+$J$3,IF(OR($I330="",$I330="-"),"",VLOOKUP($G330,為替!$A:$AX,$I330,FALSE)))</f>
        <v/>
      </c>
      <c r="K330" s="204" t="str">
        <f t="shared" si="32"/>
        <v/>
      </c>
      <c r="L330" s="188" t="str">
        <f t="shared" si="33"/>
        <v/>
      </c>
      <c r="M330" s="203" t="str">
        <f>IF($H330="USD",IF(OR($L330="",$L330="-"),"",VLOOKUP($G330,為替!$A:$AX,$L330,FALSE))+$K$3,IF(OR($L330="",$L330="-"),"",VLOOKUP($G330,為替!$A:$AX,$L330,FALSE)))</f>
        <v/>
      </c>
      <c r="N330" s="204" t="str">
        <f t="shared" si="34"/>
        <v/>
      </c>
      <c r="O330" s="205" t="str">
        <f t="shared" si="30"/>
        <v/>
      </c>
      <c r="P330" s="206" t="str">
        <f t="shared" si="35"/>
        <v/>
      </c>
    </row>
    <row r="331" spans="3:16" x14ac:dyDescent="0.4">
      <c r="C331" s="199"/>
      <c r="D331" s="200"/>
      <c r="E331" s="201"/>
      <c r="F331" s="199"/>
      <c r="H331" s="202"/>
      <c r="I331" s="185" t="str">
        <f t="shared" si="31"/>
        <v/>
      </c>
      <c r="J331" s="203" t="str">
        <f>IF($H331="USD",IF(OR($I331="",$I331="-"),"",VLOOKUP($G331,為替!$A:$AX,$I331,FALSE))+$J$3,IF(OR($I331="",$I331="-"),"",VLOOKUP($G331,為替!$A:$AX,$I331,FALSE)))</f>
        <v/>
      </c>
      <c r="K331" s="204" t="str">
        <f t="shared" si="32"/>
        <v/>
      </c>
      <c r="L331" s="188" t="str">
        <f t="shared" si="33"/>
        <v/>
      </c>
      <c r="M331" s="203" t="str">
        <f>IF($H331="USD",IF(OR($L331="",$L331="-"),"",VLOOKUP($G331,為替!$A:$AX,$L331,FALSE))+$K$3,IF(OR($L331="",$L331="-"),"",VLOOKUP($G331,為替!$A:$AX,$L331,FALSE)))</f>
        <v/>
      </c>
      <c r="N331" s="204" t="str">
        <f t="shared" si="34"/>
        <v/>
      </c>
      <c r="O331" s="205" t="str">
        <f t="shared" si="30"/>
        <v/>
      </c>
      <c r="P331" s="206" t="str">
        <f t="shared" si="35"/>
        <v/>
      </c>
    </row>
    <row r="332" spans="3:16" x14ac:dyDescent="0.4">
      <c r="C332" s="199"/>
      <c r="D332" s="200"/>
      <c r="E332" s="201"/>
      <c r="F332" s="199"/>
      <c r="H332" s="202"/>
      <c r="I332" s="185" t="str">
        <f t="shared" si="31"/>
        <v/>
      </c>
      <c r="J332" s="203" t="str">
        <f>IF($H332="USD",IF(OR($I332="",$I332="-"),"",VLOOKUP($G332,為替!$A:$AX,$I332,FALSE))+$J$3,IF(OR($I332="",$I332="-"),"",VLOOKUP($G332,為替!$A:$AX,$I332,FALSE)))</f>
        <v/>
      </c>
      <c r="K332" s="204" t="str">
        <f t="shared" si="32"/>
        <v/>
      </c>
      <c r="L332" s="188" t="str">
        <f t="shared" si="33"/>
        <v/>
      </c>
      <c r="M332" s="203" t="str">
        <f>IF($H332="USD",IF(OR($L332="",$L332="-"),"",VLOOKUP($G332,為替!$A:$AX,$L332,FALSE))+$K$3,IF(OR($L332="",$L332="-"),"",VLOOKUP($G332,為替!$A:$AX,$L332,FALSE)))</f>
        <v/>
      </c>
      <c r="N332" s="204" t="str">
        <f t="shared" si="34"/>
        <v/>
      </c>
      <c r="O332" s="205" t="str">
        <f t="shared" si="30"/>
        <v/>
      </c>
      <c r="P332" s="206" t="str">
        <f t="shared" si="35"/>
        <v/>
      </c>
    </row>
    <row r="333" spans="3:16" x14ac:dyDescent="0.4">
      <c r="C333" s="199"/>
      <c r="D333" s="200"/>
      <c r="E333" s="201"/>
      <c r="F333" s="199"/>
      <c r="H333" s="202"/>
      <c r="I333" s="185" t="str">
        <f t="shared" si="31"/>
        <v/>
      </c>
      <c r="J333" s="203" t="str">
        <f>IF($H333="USD",IF(OR($I333="",$I333="-"),"",VLOOKUP($G333,為替!$A:$AX,$I333,FALSE))+$J$3,IF(OR($I333="",$I333="-"),"",VLOOKUP($G333,為替!$A:$AX,$I333,FALSE)))</f>
        <v/>
      </c>
      <c r="K333" s="204" t="str">
        <f t="shared" si="32"/>
        <v/>
      </c>
      <c r="L333" s="188" t="str">
        <f t="shared" si="33"/>
        <v/>
      </c>
      <c r="M333" s="203" t="str">
        <f>IF($H333="USD",IF(OR($L333="",$L333="-"),"",VLOOKUP($G333,為替!$A:$AX,$L333,FALSE))+$K$3,IF(OR($L333="",$L333="-"),"",VLOOKUP($G333,為替!$A:$AX,$L333,FALSE)))</f>
        <v/>
      </c>
      <c r="N333" s="204" t="str">
        <f t="shared" si="34"/>
        <v/>
      </c>
      <c r="O333" s="205" t="str">
        <f t="shared" si="30"/>
        <v/>
      </c>
      <c r="P333" s="206" t="str">
        <f t="shared" si="35"/>
        <v/>
      </c>
    </row>
    <row r="334" spans="3:16" x14ac:dyDescent="0.4">
      <c r="C334" s="199"/>
      <c r="D334" s="200"/>
      <c r="E334" s="201"/>
      <c r="F334" s="199"/>
      <c r="H334" s="202"/>
      <c r="I334" s="185" t="str">
        <f t="shared" si="31"/>
        <v/>
      </c>
      <c r="J334" s="203" t="str">
        <f>IF($H334="USD",IF(OR($I334="",$I334="-"),"",VLOOKUP($G334,為替!$A:$AX,$I334,FALSE))+$J$3,IF(OR($I334="",$I334="-"),"",VLOOKUP($G334,為替!$A:$AX,$I334,FALSE)))</f>
        <v/>
      </c>
      <c r="K334" s="204" t="str">
        <f t="shared" si="32"/>
        <v/>
      </c>
      <c r="L334" s="188" t="str">
        <f t="shared" si="33"/>
        <v/>
      </c>
      <c r="M334" s="203" t="str">
        <f>IF($H334="USD",IF(OR($L334="",$L334="-"),"",VLOOKUP($G334,為替!$A:$AX,$L334,FALSE))+$K$3,IF(OR($L334="",$L334="-"),"",VLOOKUP($G334,為替!$A:$AX,$L334,FALSE)))</f>
        <v/>
      </c>
      <c r="N334" s="204" t="str">
        <f t="shared" si="34"/>
        <v/>
      </c>
      <c r="O334" s="205" t="str">
        <f t="shared" si="30"/>
        <v/>
      </c>
      <c r="P334" s="206" t="str">
        <f t="shared" si="35"/>
        <v/>
      </c>
    </row>
    <row r="335" spans="3:16" x14ac:dyDescent="0.4">
      <c r="C335" s="199"/>
      <c r="D335" s="200"/>
      <c r="E335" s="201"/>
      <c r="F335" s="199"/>
      <c r="H335" s="202"/>
      <c r="I335" s="185" t="str">
        <f t="shared" si="31"/>
        <v/>
      </c>
      <c r="J335" s="203" t="str">
        <f>IF($H335="USD",IF(OR($I335="",$I335="-"),"",VLOOKUP($G335,為替!$A:$AX,$I335,FALSE))+$J$3,IF(OR($I335="",$I335="-"),"",VLOOKUP($G335,為替!$A:$AX,$I335,FALSE)))</f>
        <v/>
      </c>
      <c r="K335" s="204" t="str">
        <f t="shared" si="32"/>
        <v/>
      </c>
      <c r="L335" s="188" t="str">
        <f t="shared" si="33"/>
        <v/>
      </c>
      <c r="M335" s="203" t="str">
        <f>IF($H335="USD",IF(OR($L335="",$L335="-"),"",VLOOKUP($G335,為替!$A:$AX,$L335,FALSE))+$K$3,IF(OR($L335="",$L335="-"),"",VLOOKUP($G335,為替!$A:$AX,$L335,FALSE)))</f>
        <v/>
      </c>
      <c r="N335" s="204" t="str">
        <f t="shared" si="34"/>
        <v/>
      </c>
      <c r="O335" s="205" t="str">
        <f t="shared" si="30"/>
        <v/>
      </c>
      <c r="P335" s="206" t="str">
        <f t="shared" si="35"/>
        <v/>
      </c>
    </row>
    <row r="336" spans="3:16" x14ac:dyDescent="0.4">
      <c r="C336" s="199"/>
      <c r="D336" s="200"/>
      <c r="E336" s="201"/>
      <c r="F336" s="199"/>
      <c r="H336" s="202"/>
      <c r="I336" s="185" t="str">
        <f t="shared" si="31"/>
        <v/>
      </c>
      <c r="J336" s="203" t="str">
        <f>IF($H336="USD",IF(OR($I336="",$I336="-"),"",VLOOKUP($G336,為替!$A:$AX,$I336,FALSE))+$J$3,IF(OR($I336="",$I336="-"),"",VLOOKUP($G336,為替!$A:$AX,$I336,FALSE)))</f>
        <v/>
      </c>
      <c r="K336" s="204" t="str">
        <f t="shared" si="32"/>
        <v/>
      </c>
      <c r="L336" s="188" t="str">
        <f t="shared" si="33"/>
        <v/>
      </c>
      <c r="M336" s="203" t="str">
        <f>IF($H336="USD",IF(OR($L336="",$L336="-"),"",VLOOKUP($G336,為替!$A:$AX,$L336,FALSE))+$K$3,IF(OR($L336="",$L336="-"),"",VLOOKUP($G336,為替!$A:$AX,$L336,FALSE)))</f>
        <v/>
      </c>
      <c r="N336" s="204" t="str">
        <f t="shared" si="34"/>
        <v/>
      </c>
      <c r="O336" s="205" t="str">
        <f t="shared" si="30"/>
        <v/>
      </c>
      <c r="P336" s="206" t="str">
        <f t="shared" si="35"/>
        <v/>
      </c>
    </row>
    <row r="337" spans="3:16" x14ac:dyDescent="0.4">
      <c r="C337" s="199"/>
      <c r="D337" s="200"/>
      <c r="E337" s="201"/>
      <c r="F337" s="199"/>
      <c r="H337" s="202"/>
      <c r="I337" s="185" t="str">
        <f t="shared" si="31"/>
        <v/>
      </c>
      <c r="J337" s="203" t="str">
        <f>IF($H337="USD",IF(OR($I337="",$I337="-"),"",VLOOKUP($G337,為替!$A:$AX,$I337,FALSE))+$J$3,IF(OR($I337="",$I337="-"),"",VLOOKUP($G337,為替!$A:$AX,$I337,FALSE)))</f>
        <v/>
      </c>
      <c r="K337" s="204" t="str">
        <f t="shared" si="32"/>
        <v/>
      </c>
      <c r="L337" s="188" t="str">
        <f t="shared" si="33"/>
        <v/>
      </c>
      <c r="M337" s="203" t="str">
        <f>IF($H337="USD",IF(OR($L337="",$L337="-"),"",VLOOKUP($G337,為替!$A:$AX,$L337,FALSE))+$K$3,IF(OR($L337="",$L337="-"),"",VLOOKUP($G337,為替!$A:$AX,$L337,FALSE)))</f>
        <v/>
      </c>
      <c r="N337" s="204" t="str">
        <f t="shared" si="34"/>
        <v/>
      </c>
      <c r="O337" s="205" t="str">
        <f t="shared" si="30"/>
        <v/>
      </c>
      <c r="P337" s="206" t="str">
        <f t="shared" si="35"/>
        <v/>
      </c>
    </row>
    <row r="338" spans="3:16" x14ac:dyDescent="0.4">
      <c r="C338" s="199"/>
      <c r="D338" s="200"/>
      <c r="E338" s="201"/>
      <c r="F338" s="199"/>
      <c r="H338" s="202"/>
      <c r="I338" s="185" t="str">
        <f t="shared" si="31"/>
        <v/>
      </c>
      <c r="J338" s="203" t="str">
        <f>IF($H338="USD",IF(OR($I338="",$I338="-"),"",VLOOKUP($G338,為替!$A:$AX,$I338,FALSE))+$J$3,IF(OR($I338="",$I338="-"),"",VLOOKUP($G338,為替!$A:$AX,$I338,FALSE)))</f>
        <v/>
      </c>
      <c r="K338" s="204" t="str">
        <f t="shared" si="32"/>
        <v/>
      </c>
      <c r="L338" s="188" t="str">
        <f t="shared" si="33"/>
        <v/>
      </c>
      <c r="M338" s="203" t="str">
        <f>IF($H338="USD",IF(OR($L338="",$L338="-"),"",VLOOKUP($G338,為替!$A:$AX,$L338,FALSE))+$K$3,IF(OR($L338="",$L338="-"),"",VLOOKUP($G338,為替!$A:$AX,$L338,FALSE)))</f>
        <v/>
      </c>
      <c r="N338" s="204" t="str">
        <f t="shared" si="34"/>
        <v/>
      </c>
      <c r="O338" s="205" t="str">
        <f t="shared" si="30"/>
        <v/>
      </c>
      <c r="P338" s="206" t="str">
        <f t="shared" si="35"/>
        <v/>
      </c>
    </row>
    <row r="339" spans="3:16" x14ac:dyDescent="0.4">
      <c r="C339" s="199"/>
      <c r="D339" s="200"/>
      <c r="E339" s="201"/>
      <c r="F339" s="199"/>
      <c r="H339" s="202"/>
      <c r="I339" s="185" t="str">
        <f t="shared" si="31"/>
        <v/>
      </c>
      <c r="J339" s="203" t="str">
        <f>IF($H339="USD",IF(OR($I339="",$I339="-"),"",VLOOKUP($G339,為替!$A:$AX,$I339,FALSE))+$J$3,IF(OR($I339="",$I339="-"),"",VLOOKUP($G339,為替!$A:$AX,$I339,FALSE)))</f>
        <v/>
      </c>
      <c r="K339" s="204" t="str">
        <f t="shared" si="32"/>
        <v/>
      </c>
      <c r="L339" s="188" t="str">
        <f t="shared" si="33"/>
        <v/>
      </c>
      <c r="M339" s="203" t="str">
        <f>IF($H339="USD",IF(OR($L339="",$L339="-"),"",VLOOKUP($G339,為替!$A:$AX,$L339,FALSE))+$K$3,IF(OR($L339="",$L339="-"),"",VLOOKUP($G339,為替!$A:$AX,$L339,FALSE)))</f>
        <v/>
      </c>
      <c r="N339" s="204" t="str">
        <f t="shared" si="34"/>
        <v/>
      </c>
      <c r="O339" s="205" t="str">
        <f t="shared" si="30"/>
        <v/>
      </c>
      <c r="P339" s="206" t="str">
        <f t="shared" si="35"/>
        <v/>
      </c>
    </row>
    <row r="340" spans="3:16" x14ac:dyDescent="0.4">
      <c r="C340" s="199"/>
      <c r="D340" s="200"/>
      <c r="E340" s="201"/>
      <c r="F340" s="199"/>
      <c r="H340" s="202"/>
      <c r="I340" s="185" t="str">
        <f t="shared" si="31"/>
        <v/>
      </c>
      <c r="J340" s="203" t="str">
        <f>IF($H340="USD",IF(OR($I340="",$I340="-"),"",VLOOKUP($G340,為替!$A:$AX,$I340,FALSE))+$J$3,IF(OR($I340="",$I340="-"),"",VLOOKUP($G340,為替!$A:$AX,$I340,FALSE)))</f>
        <v/>
      </c>
      <c r="K340" s="204" t="str">
        <f t="shared" si="32"/>
        <v/>
      </c>
      <c r="L340" s="188" t="str">
        <f t="shared" si="33"/>
        <v/>
      </c>
      <c r="M340" s="203" t="str">
        <f>IF($H340="USD",IF(OR($L340="",$L340="-"),"",VLOOKUP($G340,為替!$A:$AX,$L340,FALSE))+$K$3,IF(OR($L340="",$L340="-"),"",VLOOKUP($G340,為替!$A:$AX,$L340,FALSE)))</f>
        <v/>
      </c>
      <c r="N340" s="204" t="str">
        <f t="shared" si="34"/>
        <v/>
      </c>
      <c r="O340" s="205" t="str">
        <f t="shared" si="30"/>
        <v/>
      </c>
      <c r="P340" s="206" t="str">
        <f t="shared" si="35"/>
        <v/>
      </c>
    </row>
    <row r="341" spans="3:16" x14ac:dyDescent="0.4">
      <c r="C341" s="199"/>
      <c r="D341" s="200"/>
      <c r="E341" s="201"/>
      <c r="F341" s="199"/>
      <c r="H341" s="202"/>
      <c r="I341" s="185" t="str">
        <f t="shared" si="31"/>
        <v/>
      </c>
      <c r="J341" s="203" t="str">
        <f>IF($H341="USD",IF(OR($I341="",$I341="-"),"",VLOOKUP($G341,為替!$A:$AX,$I341,FALSE))+$J$3,IF(OR($I341="",$I341="-"),"",VLOOKUP($G341,為替!$A:$AX,$I341,FALSE)))</f>
        <v/>
      </c>
      <c r="K341" s="204" t="str">
        <f t="shared" si="32"/>
        <v/>
      </c>
      <c r="L341" s="188" t="str">
        <f t="shared" si="33"/>
        <v/>
      </c>
      <c r="M341" s="203" t="str">
        <f>IF($H341="USD",IF(OR($L341="",$L341="-"),"",VLOOKUP($G341,為替!$A:$AX,$L341,FALSE))+$K$3,IF(OR($L341="",$L341="-"),"",VLOOKUP($G341,為替!$A:$AX,$L341,FALSE)))</f>
        <v/>
      </c>
      <c r="N341" s="204" t="str">
        <f t="shared" si="34"/>
        <v/>
      </c>
      <c r="O341" s="205" t="str">
        <f t="shared" si="30"/>
        <v/>
      </c>
      <c r="P341" s="206" t="str">
        <f t="shared" si="35"/>
        <v/>
      </c>
    </row>
    <row r="342" spans="3:16" x14ac:dyDescent="0.4">
      <c r="C342" s="199"/>
      <c r="D342" s="200"/>
      <c r="E342" s="201"/>
      <c r="F342" s="199"/>
      <c r="H342" s="202"/>
      <c r="I342" s="185" t="str">
        <f t="shared" si="31"/>
        <v/>
      </c>
      <c r="J342" s="203" t="str">
        <f>IF($H342="USD",IF(OR($I342="",$I342="-"),"",VLOOKUP($G342,為替!$A:$AX,$I342,FALSE))+$J$3,IF(OR($I342="",$I342="-"),"",VLOOKUP($G342,為替!$A:$AX,$I342,FALSE)))</f>
        <v/>
      </c>
      <c r="K342" s="204" t="str">
        <f t="shared" si="32"/>
        <v/>
      </c>
      <c r="L342" s="188" t="str">
        <f t="shared" si="33"/>
        <v/>
      </c>
      <c r="M342" s="203" t="str">
        <f>IF($H342="USD",IF(OR($L342="",$L342="-"),"",VLOOKUP($G342,為替!$A:$AX,$L342,FALSE))+$K$3,IF(OR($L342="",$L342="-"),"",VLOOKUP($G342,為替!$A:$AX,$L342,FALSE)))</f>
        <v/>
      </c>
      <c r="N342" s="204" t="str">
        <f t="shared" si="34"/>
        <v/>
      </c>
      <c r="O342" s="205" t="str">
        <f t="shared" si="30"/>
        <v/>
      </c>
      <c r="P342" s="206" t="str">
        <f t="shared" si="35"/>
        <v/>
      </c>
    </row>
    <row r="343" spans="3:16" x14ac:dyDescent="0.4">
      <c r="C343" s="199"/>
      <c r="D343" s="200"/>
      <c r="E343" s="201"/>
      <c r="F343" s="199"/>
      <c r="H343" s="202"/>
      <c r="I343" s="185" t="str">
        <f t="shared" si="31"/>
        <v/>
      </c>
      <c r="J343" s="203" t="str">
        <f>IF($H343="USD",IF(OR($I343="",$I343="-"),"",VLOOKUP($G343,為替!$A:$AX,$I343,FALSE))+$J$3,IF(OR($I343="",$I343="-"),"",VLOOKUP($G343,為替!$A:$AX,$I343,FALSE)))</f>
        <v/>
      </c>
      <c r="K343" s="204" t="str">
        <f t="shared" si="32"/>
        <v/>
      </c>
      <c r="L343" s="188" t="str">
        <f t="shared" si="33"/>
        <v/>
      </c>
      <c r="M343" s="203" t="str">
        <f>IF($H343="USD",IF(OR($L343="",$L343="-"),"",VLOOKUP($G343,為替!$A:$AX,$L343,FALSE))+$K$3,IF(OR($L343="",$L343="-"),"",VLOOKUP($G343,為替!$A:$AX,$L343,FALSE)))</f>
        <v/>
      </c>
      <c r="N343" s="204" t="str">
        <f t="shared" si="34"/>
        <v/>
      </c>
      <c r="O343" s="205" t="str">
        <f t="shared" si="30"/>
        <v/>
      </c>
      <c r="P343" s="206" t="str">
        <f t="shared" si="35"/>
        <v/>
      </c>
    </row>
    <row r="344" spans="3:16" x14ac:dyDescent="0.4">
      <c r="C344" s="199"/>
      <c r="D344" s="200"/>
      <c r="E344" s="201"/>
      <c r="F344" s="199"/>
      <c r="H344" s="202"/>
      <c r="I344" s="185" t="str">
        <f t="shared" si="31"/>
        <v/>
      </c>
      <c r="J344" s="203" t="str">
        <f>IF($H344="USD",IF(OR($I344="",$I344="-"),"",VLOOKUP($G344,為替!$A:$AX,$I344,FALSE))+$J$3,IF(OR($I344="",$I344="-"),"",VLOOKUP($G344,為替!$A:$AX,$I344,FALSE)))</f>
        <v/>
      </c>
      <c r="K344" s="204" t="str">
        <f t="shared" si="32"/>
        <v/>
      </c>
      <c r="L344" s="188" t="str">
        <f t="shared" si="33"/>
        <v/>
      </c>
      <c r="M344" s="203" t="str">
        <f>IF($H344="USD",IF(OR($L344="",$L344="-"),"",VLOOKUP($G344,為替!$A:$AX,$L344,FALSE))+$K$3,IF(OR($L344="",$L344="-"),"",VLOOKUP($G344,為替!$A:$AX,$L344,FALSE)))</f>
        <v/>
      </c>
      <c r="N344" s="204" t="str">
        <f t="shared" si="34"/>
        <v/>
      </c>
      <c r="O344" s="205" t="str">
        <f t="shared" si="30"/>
        <v/>
      </c>
      <c r="P344" s="206" t="str">
        <f t="shared" si="35"/>
        <v/>
      </c>
    </row>
    <row r="345" spans="3:16" x14ac:dyDescent="0.4">
      <c r="C345" s="199"/>
      <c r="D345" s="200"/>
      <c r="E345" s="201"/>
      <c r="F345" s="199"/>
      <c r="H345" s="202"/>
      <c r="I345" s="185" t="str">
        <f t="shared" si="31"/>
        <v/>
      </c>
      <c r="J345" s="203" t="str">
        <f>IF($H345="USD",IF(OR($I345="",$I345="-"),"",VLOOKUP($G345,為替!$A:$AX,$I345,FALSE))+$J$3,IF(OR($I345="",$I345="-"),"",VLOOKUP($G345,為替!$A:$AX,$I345,FALSE)))</f>
        <v/>
      </c>
      <c r="K345" s="204" t="str">
        <f t="shared" si="32"/>
        <v/>
      </c>
      <c r="L345" s="188" t="str">
        <f t="shared" si="33"/>
        <v/>
      </c>
      <c r="M345" s="203" t="str">
        <f>IF($H345="USD",IF(OR($L345="",$L345="-"),"",VLOOKUP($G345,為替!$A:$AX,$L345,FALSE))+$K$3,IF(OR($L345="",$L345="-"),"",VLOOKUP($G345,為替!$A:$AX,$L345,FALSE)))</f>
        <v/>
      </c>
      <c r="N345" s="204" t="str">
        <f t="shared" si="34"/>
        <v/>
      </c>
      <c r="O345" s="205" t="str">
        <f t="shared" si="30"/>
        <v/>
      </c>
      <c r="P345" s="206" t="str">
        <f t="shared" si="35"/>
        <v/>
      </c>
    </row>
    <row r="346" spans="3:16" x14ac:dyDescent="0.4">
      <c r="C346" s="199"/>
      <c r="D346" s="200"/>
      <c r="E346" s="201"/>
      <c r="F346" s="199"/>
      <c r="H346" s="202"/>
      <c r="I346" s="185" t="str">
        <f t="shared" si="31"/>
        <v/>
      </c>
      <c r="J346" s="203" t="str">
        <f>IF($H346="USD",IF(OR($I346="",$I346="-"),"",VLOOKUP($G346,為替!$A:$AX,$I346,FALSE))+$J$3,IF(OR($I346="",$I346="-"),"",VLOOKUP($G346,為替!$A:$AX,$I346,FALSE)))</f>
        <v/>
      </c>
      <c r="K346" s="204" t="str">
        <f t="shared" si="32"/>
        <v/>
      </c>
      <c r="L346" s="188" t="str">
        <f t="shared" si="33"/>
        <v/>
      </c>
      <c r="M346" s="203" t="str">
        <f>IF($H346="USD",IF(OR($L346="",$L346="-"),"",VLOOKUP($G346,為替!$A:$AX,$L346,FALSE))+$K$3,IF(OR($L346="",$L346="-"),"",VLOOKUP($G346,為替!$A:$AX,$L346,FALSE)))</f>
        <v/>
      </c>
      <c r="N346" s="204" t="str">
        <f t="shared" si="34"/>
        <v/>
      </c>
      <c r="O346" s="205" t="str">
        <f t="shared" si="30"/>
        <v/>
      </c>
      <c r="P346" s="206" t="str">
        <f t="shared" si="35"/>
        <v/>
      </c>
    </row>
    <row r="347" spans="3:16" x14ac:dyDescent="0.4">
      <c r="C347" s="199"/>
      <c r="D347" s="200"/>
      <c r="E347" s="201"/>
      <c r="F347" s="199"/>
      <c r="H347" s="202"/>
      <c r="I347" s="185" t="str">
        <f t="shared" si="31"/>
        <v/>
      </c>
      <c r="J347" s="203" t="str">
        <f>IF($H347="USD",IF(OR($I347="",$I347="-"),"",VLOOKUP($G347,為替!$A:$AX,$I347,FALSE))+$J$3,IF(OR($I347="",$I347="-"),"",VLOOKUP($G347,為替!$A:$AX,$I347,FALSE)))</f>
        <v/>
      </c>
      <c r="K347" s="204" t="str">
        <f t="shared" si="32"/>
        <v/>
      </c>
      <c r="L347" s="188" t="str">
        <f t="shared" si="33"/>
        <v/>
      </c>
      <c r="M347" s="203" t="str">
        <f>IF($H347="USD",IF(OR($L347="",$L347="-"),"",VLOOKUP($G347,為替!$A:$AX,$L347,FALSE))+$K$3,IF(OR($L347="",$L347="-"),"",VLOOKUP($G347,為替!$A:$AX,$L347,FALSE)))</f>
        <v/>
      </c>
      <c r="N347" s="204" t="str">
        <f t="shared" si="34"/>
        <v/>
      </c>
      <c r="O347" s="205" t="str">
        <f t="shared" si="30"/>
        <v/>
      </c>
      <c r="P347" s="206" t="str">
        <f t="shared" si="35"/>
        <v/>
      </c>
    </row>
    <row r="348" spans="3:16" x14ac:dyDescent="0.4">
      <c r="C348" s="199"/>
      <c r="D348" s="200"/>
      <c r="E348" s="201"/>
      <c r="F348" s="199"/>
      <c r="H348" s="202"/>
      <c r="I348" s="185" t="str">
        <f t="shared" si="31"/>
        <v/>
      </c>
      <c r="J348" s="203" t="str">
        <f>IF($H348="USD",IF(OR($I348="",$I348="-"),"",VLOOKUP($G348,為替!$A:$AX,$I348,FALSE))+$J$3,IF(OR($I348="",$I348="-"),"",VLOOKUP($G348,為替!$A:$AX,$I348,FALSE)))</f>
        <v/>
      </c>
      <c r="K348" s="204" t="str">
        <f t="shared" si="32"/>
        <v/>
      </c>
      <c r="L348" s="188" t="str">
        <f t="shared" si="33"/>
        <v/>
      </c>
      <c r="M348" s="203" t="str">
        <f>IF($H348="USD",IF(OR($L348="",$L348="-"),"",VLOOKUP($G348,為替!$A:$AX,$L348,FALSE))+$K$3,IF(OR($L348="",$L348="-"),"",VLOOKUP($G348,為替!$A:$AX,$L348,FALSE)))</f>
        <v/>
      </c>
      <c r="N348" s="204" t="str">
        <f t="shared" si="34"/>
        <v/>
      </c>
      <c r="O348" s="205" t="str">
        <f t="shared" si="30"/>
        <v/>
      </c>
      <c r="P348" s="206" t="str">
        <f t="shared" si="35"/>
        <v/>
      </c>
    </row>
    <row r="349" spans="3:16" x14ac:dyDescent="0.4">
      <c r="C349" s="199"/>
      <c r="D349" s="200"/>
      <c r="E349" s="201"/>
      <c r="F349" s="199"/>
      <c r="H349" s="202"/>
      <c r="I349" s="185" t="str">
        <f t="shared" si="31"/>
        <v/>
      </c>
      <c r="J349" s="203" t="str">
        <f>IF($H349="USD",IF(OR($I349="",$I349="-"),"",VLOOKUP($G349,為替!$A:$AX,$I349,FALSE))+$J$3,IF(OR($I349="",$I349="-"),"",VLOOKUP($G349,為替!$A:$AX,$I349,FALSE)))</f>
        <v/>
      </c>
      <c r="K349" s="204" t="str">
        <f t="shared" si="32"/>
        <v/>
      </c>
      <c r="L349" s="188" t="str">
        <f t="shared" si="33"/>
        <v/>
      </c>
      <c r="M349" s="203" t="str">
        <f>IF($H349="USD",IF(OR($L349="",$L349="-"),"",VLOOKUP($G349,為替!$A:$AX,$L349,FALSE))+$K$3,IF(OR($L349="",$L349="-"),"",VLOOKUP($G349,為替!$A:$AX,$L349,FALSE)))</f>
        <v/>
      </c>
      <c r="N349" s="204" t="str">
        <f t="shared" si="34"/>
        <v/>
      </c>
      <c r="O349" s="205" t="str">
        <f t="shared" si="30"/>
        <v/>
      </c>
      <c r="P349" s="206" t="str">
        <f t="shared" si="35"/>
        <v/>
      </c>
    </row>
    <row r="350" spans="3:16" x14ac:dyDescent="0.4">
      <c r="C350" s="199"/>
      <c r="D350" s="200"/>
      <c r="E350" s="201"/>
      <c r="F350" s="199"/>
      <c r="H350" s="202"/>
      <c r="I350" s="185" t="str">
        <f t="shared" si="31"/>
        <v/>
      </c>
      <c r="J350" s="203" t="str">
        <f>IF($H350="USD",IF(OR($I350="",$I350="-"),"",VLOOKUP($G350,為替!$A:$AX,$I350,FALSE))+$J$3,IF(OR($I350="",$I350="-"),"",VLOOKUP($G350,為替!$A:$AX,$I350,FALSE)))</f>
        <v/>
      </c>
      <c r="K350" s="204" t="str">
        <f t="shared" si="32"/>
        <v/>
      </c>
      <c r="L350" s="188" t="str">
        <f t="shared" si="33"/>
        <v/>
      </c>
      <c r="M350" s="203" t="str">
        <f>IF($H350="USD",IF(OR($L350="",$L350="-"),"",VLOOKUP($G350,為替!$A:$AX,$L350,FALSE))+$K$3,IF(OR($L350="",$L350="-"),"",VLOOKUP($G350,為替!$A:$AX,$L350,FALSE)))</f>
        <v/>
      </c>
      <c r="N350" s="204" t="str">
        <f t="shared" si="34"/>
        <v/>
      </c>
      <c r="O350" s="205" t="str">
        <f t="shared" si="30"/>
        <v/>
      </c>
      <c r="P350" s="206" t="str">
        <f t="shared" si="35"/>
        <v/>
      </c>
    </row>
    <row r="351" spans="3:16" x14ac:dyDescent="0.4">
      <c r="C351" s="199"/>
      <c r="D351" s="200"/>
      <c r="E351" s="201"/>
      <c r="F351" s="199"/>
      <c r="H351" s="202"/>
      <c r="I351" s="185" t="str">
        <f t="shared" si="31"/>
        <v/>
      </c>
      <c r="J351" s="203" t="str">
        <f>IF($H351="USD",IF(OR($I351="",$I351="-"),"",VLOOKUP($G351,為替!$A:$AX,$I351,FALSE))+$J$3,IF(OR($I351="",$I351="-"),"",VLOOKUP($G351,為替!$A:$AX,$I351,FALSE)))</f>
        <v/>
      </c>
      <c r="K351" s="204" t="str">
        <f t="shared" si="32"/>
        <v/>
      </c>
      <c r="L351" s="188" t="str">
        <f t="shared" si="33"/>
        <v/>
      </c>
      <c r="M351" s="203" t="str">
        <f>IF($H351="USD",IF(OR($L351="",$L351="-"),"",VLOOKUP($G351,為替!$A:$AX,$L351,FALSE))+$K$3,IF(OR($L351="",$L351="-"),"",VLOOKUP($G351,為替!$A:$AX,$L351,FALSE)))</f>
        <v/>
      </c>
      <c r="N351" s="204" t="str">
        <f t="shared" si="34"/>
        <v/>
      </c>
      <c r="O351" s="205" t="str">
        <f t="shared" si="30"/>
        <v/>
      </c>
      <c r="P351" s="206" t="str">
        <f t="shared" si="35"/>
        <v/>
      </c>
    </row>
    <row r="352" spans="3:16" x14ac:dyDescent="0.4">
      <c r="C352" s="199"/>
      <c r="D352" s="200"/>
      <c r="E352" s="201"/>
      <c r="F352" s="199"/>
      <c r="H352" s="202"/>
      <c r="I352" s="185" t="str">
        <f t="shared" si="31"/>
        <v/>
      </c>
      <c r="J352" s="203" t="str">
        <f>IF($H352="USD",IF(OR($I352="",$I352="-"),"",VLOOKUP($G352,為替!$A:$AX,$I352,FALSE))+$J$3,IF(OR($I352="",$I352="-"),"",VLOOKUP($G352,為替!$A:$AX,$I352,FALSE)))</f>
        <v/>
      </c>
      <c r="K352" s="204" t="str">
        <f t="shared" si="32"/>
        <v/>
      </c>
      <c r="L352" s="188" t="str">
        <f t="shared" si="33"/>
        <v/>
      </c>
      <c r="M352" s="203" t="str">
        <f>IF($H352="USD",IF(OR($L352="",$L352="-"),"",VLOOKUP($G352,為替!$A:$AX,$L352,FALSE))+$K$3,IF(OR($L352="",$L352="-"),"",VLOOKUP($G352,為替!$A:$AX,$L352,FALSE)))</f>
        <v/>
      </c>
      <c r="N352" s="204" t="str">
        <f t="shared" si="34"/>
        <v/>
      </c>
      <c r="O352" s="205" t="str">
        <f t="shared" si="30"/>
        <v/>
      </c>
      <c r="P352" s="206" t="str">
        <f t="shared" si="35"/>
        <v/>
      </c>
    </row>
    <row r="353" spans="3:16" x14ac:dyDescent="0.4">
      <c r="C353" s="199"/>
      <c r="D353" s="200"/>
      <c r="E353" s="201"/>
      <c r="F353" s="199"/>
      <c r="H353" s="202"/>
      <c r="I353" s="185" t="str">
        <f t="shared" si="31"/>
        <v/>
      </c>
      <c r="J353" s="203" t="str">
        <f>IF($H353="USD",IF(OR($I353="",$I353="-"),"",VLOOKUP($G353,為替!$A:$AX,$I353,FALSE))+$J$3,IF(OR($I353="",$I353="-"),"",VLOOKUP($G353,為替!$A:$AX,$I353,FALSE)))</f>
        <v/>
      </c>
      <c r="K353" s="204" t="str">
        <f t="shared" si="32"/>
        <v/>
      </c>
      <c r="L353" s="188" t="str">
        <f t="shared" si="33"/>
        <v/>
      </c>
      <c r="M353" s="203" t="str">
        <f>IF($H353="USD",IF(OR($L353="",$L353="-"),"",VLOOKUP($G353,為替!$A:$AX,$L353,FALSE))+$K$3,IF(OR($L353="",$L353="-"),"",VLOOKUP($G353,為替!$A:$AX,$L353,FALSE)))</f>
        <v/>
      </c>
      <c r="N353" s="204" t="str">
        <f t="shared" si="34"/>
        <v/>
      </c>
      <c r="O353" s="205" t="str">
        <f t="shared" si="30"/>
        <v/>
      </c>
      <c r="P353" s="206" t="str">
        <f t="shared" si="35"/>
        <v/>
      </c>
    </row>
    <row r="354" spans="3:16" x14ac:dyDescent="0.4">
      <c r="C354" s="199"/>
      <c r="D354" s="200"/>
      <c r="E354" s="201"/>
      <c r="F354" s="199"/>
      <c r="H354" s="202"/>
      <c r="I354" s="185" t="str">
        <f t="shared" si="31"/>
        <v/>
      </c>
      <c r="J354" s="203" t="str">
        <f>IF($H354="USD",IF(OR($I354="",$I354="-"),"",VLOOKUP($G354,為替!$A:$AX,$I354,FALSE))+$J$3,IF(OR($I354="",$I354="-"),"",VLOOKUP($G354,為替!$A:$AX,$I354,FALSE)))</f>
        <v/>
      </c>
      <c r="K354" s="204" t="str">
        <f t="shared" si="32"/>
        <v/>
      </c>
      <c r="L354" s="188" t="str">
        <f t="shared" si="33"/>
        <v/>
      </c>
      <c r="M354" s="203" t="str">
        <f>IF($H354="USD",IF(OR($L354="",$L354="-"),"",VLOOKUP($G354,為替!$A:$AX,$L354,FALSE))+$K$3,IF(OR($L354="",$L354="-"),"",VLOOKUP($G354,為替!$A:$AX,$L354,FALSE)))</f>
        <v/>
      </c>
      <c r="N354" s="204" t="str">
        <f t="shared" si="34"/>
        <v/>
      </c>
      <c r="O354" s="205" t="str">
        <f t="shared" si="30"/>
        <v/>
      </c>
      <c r="P354" s="206" t="str">
        <f t="shared" si="35"/>
        <v/>
      </c>
    </row>
    <row r="355" spans="3:16" x14ac:dyDescent="0.4">
      <c r="C355" s="199"/>
      <c r="D355" s="200"/>
      <c r="E355" s="201"/>
      <c r="F355" s="199"/>
      <c r="H355" s="202"/>
      <c r="I355" s="185" t="str">
        <f t="shared" si="31"/>
        <v/>
      </c>
      <c r="J355" s="203" t="str">
        <f>IF($H355="USD",IF(OR($I355="",$I355="-"),"",VLOOKUP($G355,為替!$A:$AX,$I355,FALSE))+$J$3,IF(OR($I355="",$I355="-"),"",VLOOKUP($G355,為替!$A:$AX,$I355,FALSE)))</f>
        <v/>
      </c>
      <c r="K355" s="204" t="str">
        <f t="shared" si="32"/>
        <v/>
      </c>
      <c r="L355" s="188" t="str">
        <f t="shared" si="33"/>
        <v/>
      </c>
      <c r="M355" s="203" t="str">
        <f>IF($H355="USD",IF(OR($L355="",$L355="-"),"",VLOOKUP($G355,為替!$A:$AX,$L355,FALSE))+$K$3,IF(OR($L355="",$L355="-"),"",VLOOKUP($G355,為替!$A:$AX,$L355,FALSE)))</f>
        <v/>
      </c>
      <c r="N355" s="204" t="str">
        <f t="shared" si="34"/>
        <v/>
      </c>
      <c r="O355" s="205" t="str">
        <f t="shared" si="30"/>
        <v/>
      </c>
      <c r="P355" s="206" t="str">
        <f t="shared" si="35"/>
        <v/>
      </c>
    </row>
    <row r="356" spans="3:16" x14ac:dyDescent="0.4">
      <c r="C356" s="199"/>
      <c r="D356" s="200"/>
      <c r="E356" s="201"/>
      <c r="F356" s="199"/>
      <c r="H356" s="202"/>
      <c r="I356" s="185" t="str">
        <f t="shared" si="31"/>
        <v/>
      </c>
      <c r="J356" s="203" t="str">
        <f>IF($H356="USD",IF(OR($I356="",$I356="-"),"",VLOOKUP($G356,為替!$A:$AX,$I356,FALSE))+$J$3,IF(OR($I356="",$I356="-"),"",VLOOKUP($G356,為替!$A:$AX,$I356,FALSE)))</f>
        <v/>
      </c>
      <c r="K356" s="204" t="str">
        <f t="shared" si="32"/>
        <v/>
      </c>
      <c r="L356" s="188" t="str">
        <f t="shared" si="33"/>
        <v/>
      </c>
      <c r="M356" s="203" t="str">
        <f>IF($H356="USD",IF(OR($L356="",$L356="-"),"",VLOOKUP($G356,為替!$A:$AX,$L356,FALSE))+$K$3,IF(OR($L356="",$L356="-"),"",VLOOKUP($G356,為替!$A:$AX,$L356,FALSE)))</f>
        <v/>
      </c>
      <c r="N356" s="204" t="str">
        <f t="shared" si="34"/>
        <v/>
      </c>
      <c r="O356" s="205" t="str">
        <f t="shared" si="30"/>
        <v/>
      </c>
      <c r="P356" s="206" t="str">
        <f t="shared" si="35"/>
        <v/>
      </c>
    </row>
    <row r="357" spans="3:16" x14ac:dyDescent="0.4">
      <c r="C357" s="199"/>
      <c r="D357" s="200"/>
      <c r="E357" s="201"/>
      <c r="F357" s="199"/>
      <c r="H357" s="202"/>
      <c r="I357" s="185" t="str">
        <f t="shared" si="31"/>
        <v/>
      </c>
      <c r="J357" s="203" t="str">
        <f>IF($H357="USD",IF(OR($I357="",$I357="-"),"",VLOOKUP($G357,為替!$A:$AX,$I357,FALSE))+$J$3,IF(OR($I357="",$I357="-"),"",VLOOKUP($G357,為替!$A:$AX,$I357,FALSE)))</f>
        <v/>
      </c>
      <c r="K357" s="204" t="str">
        <f t="shared" si="32"/>
        <v/>
      </c>
      <c r="L357" s="188" t="str">
        <f t="shared" si="33"/>
        <v/>
      </c>
      <c r="M357" s="203" t="str">
        <f>IF($H357="USD",IF(OR($L357="",$L357="-"),"",VLOOKUP($G357,為替!$A:$AX,$L357,FALSE))+$K$3,IF(OR($L357="",$L357="-"),"",VLOOKUP($G357,為替!$A:$AX,$L357,FALSE)))</f>
        <v/>
      </c>
      <c r="N357" s="204" t="str">
        <f t="shared" si="34"/>
        <v/>
      </c>
      <c r="O357" s="205" t="str">
        <f t="shared" si="30"/>
        <v/>
      </c>
      <c r="P357" s="206" t="str">
        <f t="shared" si="35"/>
        <v/>
      </c>
    </row>
    <row r="358" spans="3:16" x14ac:dyDescent="0.4">
      <c r="C358" s="199"/>
      <c r="D358" s="200"/>
      <c r="E358" s="201"/>
      <c r="F358" s="199"/>
      <c r="H358" s="202"/>
      <c r="I358" s="185" t="str">
        <f t="shared" si="31"/>
        <v/>
      </c>
      <c r="J358" s="203" t="str">
        <f>IF($H358="USD",IF(OR($I358="",$I358="-"),"",VLOOKUP($G358,為替!$A:$AX,$I358,FALSE))+$J$3,IF(OR($I358="",$I358="-"),"",VLOOKUP($G358,為替!$A:$AX,$I358,FALSE)))</f>
        <v/>
      </c>
      <c r="K358" s="204" t="str">
        <f t="shared" si="32"/>
        <v/>
      </c>
      <c r="L358" s="188" t="str">
        <f t="shared" si="33"/>
        <v/>
      </c>
      <c r="M358" s="203" t="str">
        <f>IF($H358="USD",IF(OR($L358="",$L358="-"),"",VLOOKUP($G358,為替!$A:$AX,$L358,FALSE))+$K$3,IF(OR($L358="",$L358="-"),"",VLOOKUP($G358,為替!$A:$AX,$L358,FALSE)))</f>
        <v/>
      </c>
      <c r="N358" s="204" t="str">
        <f t="shared" si="34"/>
        <v/>
      </c>
      <c r="O358" s="205" t="str">
        <f t="shared" si="30"/>
        <v/>
      </c>
      <c r="P358" s="206" t="str">
        <f t="shared" si="35"/>
        <v/>
      </c>
    </row>
    <row r="359" spans="3:16" x14ac:dyDescent="0.4">
      <c r="C359" s="199"/>
      <c r="D359" s="200"/>
      <c r="E359" s="201"/>
      <c r="F359" s="199"/>
      <c r="H359" s="202"/>
      <c r="I359" s="185" t="str">
        <f t="shared" si="31"/>
        <v/>
      </c>
      <c r="J359" s="203" t="str">
        <f>IF($H359="USD",IF(OR($I359="",$I359="-"),"",VLOOKUP($G359,為替!$A:$AX,$I359,FALSE))+$J$3,IF(OR($I359="",$I359="-"),"",VLOOKUP($G359,為替!$A:$AX,$I359,FALSE)))</f>
        <v/>
      </c>
      <c r="K359" s="204" t="str">
        <f t="shared" si="32"/>
        <v/>
      </c>
      <c r="L359" s="188" t="str">
        <f t="shared" si="33"/>
        <v/>
      </c>
      <c r="M359" s="203" t="str">
        <f>IF($H359="USD",IF(OR($L359="",$L359="-"),"",VLOOKUP($G359,為替!$A:$AX,$L359,FALSE))+$K$3,IF(OR($L359="",$L359="-"),"",VLOOKUP($G359,為替!$A:$AX,$L359,FALSE)))</f>
        <v/>
      </c>
      <c r="N359" s="204" t="str">
        <f t="shared" si="34"/>
        <v/>
      </c>
      <c r="O359" s="205" t="str">
        <f t="shared" si="30"/>
        <v/>
      </c>
      <c r="P359" s="206" t="str">
        <f t="shared" si="35"/>
        <v/>
      </c>
    </row>
    <row r="360" spans="3:16" x14ac:dyDescent="0.4">
      <c r="C360" s="199"/>
      <c r="D360" s="200"/>
      <c r="E360" s="201"/>
      <c r="F360" s="199"/>
      <c r="H360" s="202"/>
      <c r="I360" s="185" t="str">
        <f t="shared" si="31"/>
        <v/>
      </c>
      <c r="J360" s="203" t="str">
        <f>IF($H360="USD",IF(OR($I360="",$I360="-"),"",VLOOKUP($G360,為替!$A:$AX,$I360,FALSE))+$J$3,IF(OR($I360="",$I360="-"),"",VLOOKUP($G360,為替!$A:$AX,$I360,FALSE)))</f>
        <v/>
      </c>
      <c r="K360" s="204" t="str">
        <f t="shared" si="32"/>
        <v/>
      </c>
      <c r="L360" s="188" t="str">
        <f t="shared" si="33"/>
        <v/>
      </c>
      <c r="M360" s="203" t="str">
        <f>IF($H360="USD",IF(OR($L360="",$L360="-"),"",VLOOKUP($G360,為替!$A:$AX,$L360,FALSE))+$K$3,IF(OR($L360="",$L360="-"),"",VLOOKUP($G360,為替!$A:$AX,$L360,FALSE)))</f>
        <v/>
      </c>
      <c r="N360" s="204" t="str">
        <f t="shared" si="34"/>
        <v/>
      </c>
      <c r="O360" s="205" t="str">
        <f t="shared" si="30"/>
        <v/>
      </c>
      <c r="P360" s="206" t="str">
        <f t="shared" si="35"/>
        <v/>
      </c>
    </row>
    <row r="361" spans="3:16" x14ac:dyDescent="0.4">
      <c r="C361" s="199"/>
      <c r="D361" s="200"/>
      <c r="E361" s="201"/>
      <c r="F361" s="199"/>
      <c r="H361" s="202"/>
      <c r="I361" s="185" t="str">
        <f t="shared" si="31"/>
        <v/>
      </c>
      <c r="J361" s="203" t="str">
        <f>IF($H361="USD",IF(OR($I361="",$I361="-"),"",VLOOKUP($G361,為替!$A:$AX,$I361,FALSE))+$J$3,IF(OR($I361="",$I361="-"),"",VLOOKUP($G361,為替!$A:$AX,$I361,FALSE)))</f>
        <v/>
      </c>
      <c r="K361" s="204" t="str">
        <f t="shared" si="32"/>
        <v/>
      </c>
      <c r="L361" s="188" t="str">
        <f t="shared" si="33"/>
        <v/>
      </c>
      <c r="M361" s="203" t="str">
        <f>IF($H361="USD",IF(OR($L361="",$L361="-"),"",VLOOKUP($G361,為替!$A:$AX,$L361,FALSE))+$K$3,IF(OR($L361="",$L361="-"),"",VLOOKUP($G361,為替!$A:$AX,$L361,FALSE)))</f>
        <v/>
      </c>
      <c r="N361" s="204" t="str">
        <f t="shared" si="34"/>
        <v/>
      </c>
      <c r="O361" s="205" t="str">
        <f t="shared" si="30"/>
        <v/>
      </c>
      <c r="P361" s="206" t="str">
        <f t="shared" si="35"/>
        <v/>
      </c>
    </row>
    <row r="362" spans="3:16" x14ac:dyDescent="0.4">
      <c r="C362" s="199"/>
      <c r="D362" s="200"/>
      <c r="E362" s="201"/>
      <c r="F362" s="199"/>
      <c r="H362" s="202"/>
      <c r="I362" s="185" t="str">
        <f t="shared" si="31"/>
        <v/>
      </c>
      <c r="J362" s="203" t="str">
        <f>IF($H362="USD",IF(OR($I362="",$I362="-"),"",VLOOKUP($G362,為替!$A:$AX,$I362,FALSE))+$J$3,IF(OR($I362="",$I362="-"),"",VLOOKUP($G362,為替!$A:$AX,$I362,FALSE)))</f>
        <v/>
      </c>
      <c r="K362" s="204" t="str">
        <f t="shared" si="32"/>
        <v/>
      </c>
      <c r="L362" s="188" t="str">
        <f t="shared" si="33"/>
        <v/>
      </c>
      <c r="M362" s="203" t="str">
        <f>IF($H362="USD",IF(OR($L362="",$L362="-"),"",VLOOKUP($G362,為替!$A:$AX,$L362,FALSE))+$K$3,IF(OR($L362="",$L362="-"),"",VLOOKUP($G362,為替!$A:$AX,$L362,FALSE)))</f>
        <v/>
      </c>
      <c r="N362" s="204" t="str">
        <f t="shared" si="34"/>
        <v/>
      </c>
      <c r="O362" s="205" t="str">
        <f t="shared" si="30"/>
        <v/>
      </c>
      <c r="P362" s="206" t="str">
        <f t="shared" si="35"/>
        <v/>
      </c>
    </row>
    <row r="363" spans="3:16" x14ac:dyDescent="0.4">
      <c r="C363" s="199"/>
      <c r="D363" s="200"/>
      <c r="E363" s="201"/>
      <c r="F363" s="199"/>
      <c r="H363" s="202"/>
      <c r="I363" s="185" t="str">
        <f t="shared" si="31"/>
        <v/>
      </c>
      <c r="J363" s="203" t="str">
        <f>IF($H363="USD",IF(OR($I363="",$I363="-"),"",VLOOKUP($G363,為替!$A:$AX,$I363,FALSE))+$J$3,IF(OR($I363="",$I363="-"),"",VLOOKUP($G363,為替!$A:$AX,$I363,FALSE)))</f>
        <v/>
      </c>
      <c r="K363" s="204" t="str">
        <f t="shared" si="32"/>
        <v/>
      </c>
      <c r="L363" s="188" t="str">
        <f t="shared" si="33"/>
        <v/>
      </c>
      <c r="M363" s="203" t="str">
        <f>IF($H363="USD",IF(OR($L363="",$L363="-"),"",VLOOKUP($G363,為替!$A:$AX,$L363,FALSE))+$K$3,IF(OR($L363="",$L363="-"),"",VLOOKUP($G363,為替!$A:$AX,$L363,FALSE)))</f>
        <v/>
      </c>
      <c r="N363" s="204" t="str">
        <f t="shared" si="34"/>
        <v/>
      </c>
      <c r="O363" s="205" t="str">
        <f t="shared" si="30"/>
        <v/>
      </c>
      <c r="P363" s="206" t="str">
        <f t="shared" si="35"/>
        <v/>
      </c>
    </row>
    <row r="364" spans="3:16" x14ac:dyDescent="0.4">
      <c r="C364" s="199"/>
      <c r="D364" s="200"/>
      <c r="E364" s="201"/>
      <c r="F364" s="199"/>
      <c r="H364" s="202"/>
      <c r="I364" s="185" t="str">
        <f t="shared" si="31"/>
        <v/>
      </c>
      <c r="J364" s="203" t="str">
        <f>IF($H364="USD",IF(OR($I364="",$I364="-"),"",VLOOKUP($G364,為替!$A:$AX,$I364,FALSE))+$J$3,IF(OR($I364="",$I364="-"),"",VLOOKUP($G364,為替!$A:$AX,$I364,FALSE)))</f>
        <v/>
      </c>
      <c r="K364" s="204" t="str">
        <f t="shared" si="32"/>
        <v/>
      </c>
      <c r="L364" s="188" t="str">
        <f t="shared" si="33"/>
        <v/>
      </c>
      <c r="M364" s="203" t="str">
        <f>IF($H364="USD",IF(OR($L364="",$L364="-"),"",VLOOKUP($G364,為替!$A:$AX,$L364,FALSE))+$K$3,IF(OR($L364="",$L364="-"),"",VLOOKUP($G364,為替!$A:$AX,$L364,FALSE)))</f>
        <v/>
      </c>
      <c r="N364" s="204" t="str">
        <f t="shared" si="34"/>
        <v/>
      </c>
      <c r="O364" s="205" t="str">
        <f t="shared" si="30"/>
        <v/>
      </c>
      <c r="P364" s="206" t="str">
        <f t="shared" si="35"/>
        <v/>
      </c>
    </row>
    <row r="365" spans="3:16" x14ac:dyDescent="0.4">
      <c r="C365" s="199"/>
      <c r="D365" s="200"/>
      <c r="E365" s="201"/>
      <c r="F365" s="199"/>
      <c r="H365" s="202"/>
      <c r="I365" s="185" t="str">
        <f t="shared" si="31"/>
        <v/>
      </c>
      <c r="J365" s="203" t="str">
        <f>IF($H365="USD",IF(OR($I365="",$I365="-"),"",VLOOKUP($G365,為替!$A:$AX,$I365,FALSE))+$J$3,IF(OR($I365="",$I365="-"),"",VLOOKUP($G365,為替!$A:$AX,$I365,FALSE)))</f>
        <v/>
      </c>
      <c r="K365" s="204" t="str">
        <f t="shared" si="32"/>
        <v/>
      </c>
      <c r="L365" s="188" t="str">
        <f t="shared" si="33"/>
        <v/>
      </c>
      <c r="M365" s="203" t="str">
        <f>IF($H365="USD",IF(OR($L365="",$L365="-"),"",VLOOKUP($G365,為替!$A:$AX,$L365,FALSE))+$K$3,IF(OR($L365="",$L365="-"),"",VLOOKUP($G365,為替!$A:$AX,$L365,FALSE)))</f>
        <v/>
      </c>
      <c r="N365" s="204" t="str">
        <f t="shared" si="34"/>
        <v/>
      </c>
      <c r="O365" s="205" t="str">
        <f t="shared" si="30"/>
        <v/>
      </c>
      <c r="P365" s="206" t="str">
        <f t="shared" si="35"/>
        <v/>
      </c>
    </row>
    <row r="366" spans="3:16" x14ac:dyDescent="0.4">
      <c r="C366" s="199"/>
      <c r="D366" s="200"/>
      <c r="E366" s="201"/>
      <c r="F366" s="199"/>
      <c r="H366" s="202"/>
      <c r="I366" s="185" t="str">
        <f t="shared" si="31"/>
        <v/>
      </c>
      <c r="J366" s="203" t="str">
        <f>IF($H366="USD",IF(OR($I366="",$I366="-"),"",VLOOKUP($G366,為替!$A:$AX,$I366,FALSE))+$J$3,IF(OR($I366="",$I366="-"),"",VLOOKUP($G366,為替!$A:$AX,$I366,FALSE)))</f>
        <v/>
      </c>
      <c r="K366" s="204" t="str">
        <f t="shared" si="32"/>
        <v/>
      </c>
      <c r="L366" s="188" t="str">
        <f t="shared" si="33"/>
        <v/>
      </c>
      <c r="M366" s="203" t="str">
        <f>IF($H366="USD",IF(OR($L366="",$L366="-"),"",VLOOKUP($G366,為替!$A:$AX,$L366,FALSE))+$K$3,IF(OR($L366="",$L366="-"),"",VLOOKUP($G366,為替!$A:$AX,$L366,FALSE)))</f>
        <v/>
      </c>
      <c r="N366" s="204" t="str">
        <f t="shared" si="34"/>
        <v/>
      </c>
      <c r="O366" s="205" t="str">
        <f t="shared" si="30"/>
        <v/>
      </c>
      <c r="P366" s="206" t="str">
        <f t="shared" si="35"/>
        <v/>
      </c>
    </row>
    <row r="367" spans="3:16" x14ac:dyDescent="0.4">
      <c r="C367" s="199"/>
      <c r="D367" s="200"/>
      <c r="E367" s="201"/>
      <c r="F367" s="199"/>
      <c r="H367" s="202"/>
      <c r="I367" s="185" t="str">
        <f t="shared" si="31"/>
        <v/>
      </c>
      <c r="J367" s="203" t="str">
        <f>IF($H367="USD",IF(OR($I367="",$I367="-"),"",VLOOKUP($G367,為替!$A:$AX,$I367,FALSE))+$J$3,IF(OR($I367="",$I367="-"),"",VLOOKUP($G367,為替!$A:$AX,$I367,FALSE)))</f>
        <v/>
      </c>
      <c r="K367" s="204" t="str">
        <f t="shared" si="32"/>
        <v/>
      </c>
      <c r="L367" s="188" t="str">
        <f t="shared" si="33"/>
        <v/>
      </c>
      <c r="M367" s="203" t="str">
        <f>IF($H367="USD",IF(OR($L367="",$L367="-"),"",VLOOKUP($G367,為替!$A:$AX,$L367,FALSE))+$K$3,IF(OR($L367="",$L367="-"),"",VLOOKUP($G367,為替!$A:$AX,$L367,FALSE)))</f>
        <v/>
      </c>
      <c r="N367" s="204" t="str">
        <f t="shared" si="34"/>
        <v/>
      </c>
      <c r="O367" s="205" t="str">
        <f t="shared" si="30"/>
        <v/>
      </c>
      <c r="P367" s="206" t="str">
        <f t="shared" si="35"/>
        <v/>
      </c>
    </row>
    <row r="368" spans="3:16" x14ac:dyDescent="0.4">
      <c r="C368" s="199"/>
      <c r="D368" s="200"/>
      <c r="E368" s="201"/>
      <c r="F368" s="199"/>
      <c r="H368" s="202"/>
      <c r="I368" s="185" t="str">
        <f t="shared" si="31"/>
        <v/>
      </c>
      <c r="J368" s="203" t="str">
        <f>IF($H368="USD",IF(OR($I368="",$I368="-"),"",VLOOKUP($G368,為替!$A:$AX,$I368,FALSE))+$J$3,IF(OR($I368="",$I368="-"),"",VLOOKUP($G368,為替!$A:$AX,$I368,FALSE)))</f>
        <v/>
      </c>
      <c r="K368" s="204" t="str">
        <f t="shared" si="32"/>
        <v/>
      </c>
      <c r="L368" s="188" t="str">
        <f t="shared" si="33"/>
        <v/>
      </c>
      <c r="M368" s="203" t="str">
        <f>IF($H368="USD",IF(OR($L368="",$L368="-"),"",VLOOKUP($G368,為替!$A:$AX,$L368,FALSE))+$K$3,IF(OR($L368="",$L368="-"),"",VLOOKUP($G368,為替!$A:$AX,$L368,FALSE)))</f>
        <v/>
      </c>
      <c r="N368" s="204" t="str">
        <f t="shared" si="34"/>
        <v/>
      </c>
      <c r="O368" s="205" t="str">
        <f t="shared" si="30"/>
        <v/>
      </c>
      <c r="P368" s="206" t="str">
        <f t="shared" si="35"/>
        <v/>
      </c>
    </row>
    <row r="369" spans="3:16" x14ac:dyDescent="0.4">
      <c r="C369" s="199"/>
      <c r="D369" s="200"/>
      <c r="E369" s="201"/>
      <c r="F369" s="199"/>
      <c r="H369" s="202"/>
      <c r="I369" s="185" t="str">
        <f t="shared" si="31"/>
        <v/>
      </c>
      <c r="J369" s="203" t="str">
        <f>IF($H369="USD",IF(OR($I369="",$I369="-"),"",VLOOKUP($G369,為替!$A:$AX,$I369,FALSE))+$J$3,IF(OR($I369="",$I369="-"),"",VLOOKUP($G369,為替!$A:$AX,$I369,FALSE)))</f>
        <v/>
      </c>
      <c r="K369" s="204" t="str">
        <f t="shared" si="32"/>
        <v/>
      </c>
      <c r="L369" s="188" t="str">
        <f t="shared" si="33"/>
        <v/>
      </c>
      <c r="M369" s="203" t="str">
        <f>IF($H369="USD",IF(OR($L369="",$L369="-"),"",VLOOKUP($G369,為替!$A:$AX,$L369,FALSE))+$K$3,IF(OR($L369="",$L369="-"),"",VLOOKUP($G369,為替!$A:$AX,$L369,FALSE)))</f>
        <v/>
      </c>
      <c r="N369" s="204" t="str">
        <f t="shared" si="34"/>
        <v/>
      </c>
      <c r="O369" s="205" t="str">
        <f t="shared" si="30"/>
        <v/>
      </c>
      <c r="P369" s="206" t="str">
        <f t="shared" si="35"/>
        <v/>
      </c>
    </row>
    <row r="370" spans="3:16" x14ac:dyDescent="0.4">
      <c r="C370" s="199"/>
      <c r="D370" s="200"/>
      <c r="E370" s="201"/>
      <c r="F370" s="199"/>
      <c r="H370" s="202"/>
      <c r="I370" s="185" t="str">
        <f t="shared" si="31"/>
        <v/>
      </c>
      <c r="J370" s="203" t="str">
        <f>IF($H370="USD",IF(OR($I370="",$I370="-"),"",VLOOKUP($G370,為替!$A:$AX,$I370,FALSE))+$J$3,IF(OR($I370="",$I370="-"),"",VLOOKUP($G370,為替!$A:$AX,$I370,FALSE)))</f>
        <v/>
      </c>
      <c r="K370" s="204" t="str">
        <f t="shared" si="32"/>
        <v/>
      </c>
      <c r="L370" s="188" t="str">
        <f t="shared" si="33"/>
        <v/>
      </c>
      <c r="M370" s="203" t="str">
        <f>IF($H370="USD",IF(OR($L370="",$L370="-"),"",VLOOKUP($G370,為替!$A:$AX,$L370,FALSE))+$K$3,IF(OR($L370="",$L370="-"),"",VLOOKUP($G370,為替!$A:$AX,$L370,FALSE)))</f>
        <v/>
      </c>
      <c r="N370" s="204" t="str">
        <f t="shared" si="34"/>
        <v/>
      </c>
      <c r="O370" s="205" t="str">
        <f t="shared" si="30"/>
        <v/>
      </c>
      <c r="P370" s="206" t="str">
        <f t="shared" si="35"/>
        <v/>
      </c>
    </row>
    <row r="371" spans="3:16" x14ac:dyDescent="0.4">
      <c r="C371" s="199"/>
      <c r="D371" s="200"/>
      <c r="E371" s="201"/>
      <c r="F371" s="199"/>
      <c r="H371" s="202"/>
      <c r="I371" s="185" t="str">
        <f t="shared" si="31"/>
        <v/>
      </c>
      <c r="J371" s="203" t="str">
        <f>IF($H371="USD",IF(OR($I371="",$I371="-"),"",VLOOKUP($G371,為替!$A:$AX,$I371,FALSE))+$J$3,IF(OR($I371="",$I371="-"),"",VLOOKUP($G371,為替!$A:$AX,$I371,FALSE)))</f>
        <v/>
      </c>
      <c r="K371" s="204" t="str">
        <f t="shared" si="32"/>
        <v/>
      </c>
      <c r="L371" s="188" t="str">
        <f t="shared" si="33"/>
        <v/>
      </c>
      <c r="M371" s="203" t="str">
        <f>IF($H371="USD",IF(OR($L371="",$L371="-"),"",VLOOKUP($G371,為替!$A:$AX,$L371,FALSE))+$K$3,IF(OR($L371="",$L371="-"),"",VLOOKUP($G371,為替!$A:$AX,$L371,FALSE)))</f>
        <v/>
      </c>
      <c r="N371" s="204" t="str">
        <f t="shared" si="34"/>
        <v/>
      </c>
      <c r="O371" s="205" t="str">
        <f t="shared" si="30"/>
        <v/>
      </c>
      <c r="P371" s="206" t="str">
        <f t="shared" si="35"/>
        <v/>
      </c>
    </row>
    <row r="372" spans="3:16" x14ac:dyDescent="0.4">
      <c r="C372" s="199"/>
      <c r="D372" s="200"/>
      <c r="E372" s="201"/>
      <c r="F372" s="199"/>
      <c r="H372" s="202"/>
      <c r="I372" s="185" t="str">
        <f t="shared" si="31"/>
        <v/>
      </c>
      <c r="J372" s="203" t="str">
        <f>IF($H372="USD",IF(OR($I372="",$I372="-"),"",VLOOKUP($G372,為替!$A:$AX,$I372,FALSE))+$J$3,IF(OR($I372="",$I372="-"),"",VLOOKUP($G372,為替!$A:$AX,$I372,FALSE)))</f>
        <v/>
      </c>
      <c r="K372" s="204" t="str">
        <f t="shared" si="32"/>
        <v/>
      </c>
      <c r="L372" s="188" t="str">
        <f t="shared" si="33"/>
        <v/>
      </c>
      <c r="M372" s="203" t="str">
        <f>IF($H372="USD",IF(OR($L372="",$L372="-"),"",VLOOKUP($G372,為替!$A:$AX,$L372,FALSE))+$K$3,IF(OR($L372="",$L372="-"),"",VLOOKUP($G372,為替!$A:$AX,$L372,FALSE)))</f>
        <v/>
      </c>
      <c r="N372" s="204" t="str">
        <f t="shared" si="34"/>
        <v/>
      </c>
      <c r="O372" s="205" t="str">
        <f t="shared" si="30"/>
        <v/>
      </c>
      <c r="P372" s="206" t="str">
        <f t="shared" si="35"/>
        <v/>
      </c>
    </row>
    <row r="373" spans="3:16" x14ac:dyDescent="0.4">
      <c r="C373" s="199"/>
      <c r="D373" s="200"/>
      <c r="E373" s="201"/>
      <c r="F373" s="199"/>
      <c r="H373" s="202"/>
      <c r="I373" s="185" t="str">
        <f t="shared" si="31"/>
        <v/>
      </c>
      <c r="J373" s="203" t="str">
        <f>IF($H373="USD",IF(OR($I373="",$I373="-"),"",VLOOKUP($G373,為替!$A:$AX,$I373,FALSE))+$J$3,IF(OR($I373="",$I373="-"),"",VLOOKUP($G373,為替!$A:$AX,$I373,FALSE)))</f>
        <v/>
      </c>
      <c r="K373" s="204" t="str">
        <f t="shared" si="32"/>
        <v/>
      </c>
      <c r="L373" s="188" t="str">
        <f t="shared" si="33"/>
        <v/>
      </c>
      <c r="M373" s="203" t="str">
        <f>IF($H373="USD",IF(OR($L373="",$L373="-"),"",VLOOKUP($G373,為替!$A:$AX,$L373,FALSE))+$K$3,IF(OR($L373="",$L373="-"),"",VLOOKUP($G373,為替!$A:$AX,$L373,FALSE)))</f>
        <v/>
      </c>
      <c r="N373" s="204" t="str">
        <f t="shared" si="34"/>
        <v/>
      </c>
      <c r="O373" s="205" t="str">
        <f t="shared" si="30"/>
        <v/>
      </c>
      <c r="P373" s="206" t="str">
        <f t="shared" si="35"/>
        <v/>
      </c>
    </row>
    <row r="374" spans="3:16" x14ac:dyDescent="0.4">
      <c r="C374" s="199"/>
      <c r="D374" s="200"/>
      <c r="E374" s="201"/>
      <c r="F374" s="199"/>
      <c r="H374" s="202"/>
      <c r="I374" s="185" t="str">
        <f t="shared" si="31"/>
        <v/>
      </c>
      <c r="J374" s="203" t="str">
        <f>IF($H374="USD",IF(OR($I374="",$I374="-"),"",VLOOKUP($G374,為替!$A:$AX,$I374,FALSE))+$J$3,IF(OR($I374="",$I374="-"),"",VLOOKUP($G374,為替!$A:$AX,$I374,FALSE)))</f>
        <v/>
      </c>
      <c r="K374" s="204" t="str">
        <f t="shared" si="32"/>
        <v/>
      </c>
      <c r="L374" s="188" t="str">
        <f t="shared" si="33"/>
        <v/>
      </c>
      <c r="M374" s="203" t="str">
        <f>IF($H374="USD",IF(OR($L374="",$L374="-"),"",VLOOKUP($G374,為替!$A:$AX,$L374,FALSE))+$K$3,IF(OR($L374="",$L374="-"),"",VLOOKUP($G374,為替!$A:$AX,$L374,FALSE)))</f>
        <v/>
      </c>
      <c r="N374" s="204" t="str">
        <f t="shared" si="34"/>
        <v/>
      </c>
      <c r="O374" s="205" t="str">
        <f t="shared" si="30"/>
        <v/>
      </c>
      <c r="P374" s="206" t="str">
        <f t="shared" si="35"/>
        <v/>
      </c>
    </row>
    <row r="375" spans="3:16" x14ac:dyDescent="0.4">
      <c r="C375" s="199"/>
      <c r="D375" s="200"/>
      <c r="E375" s="201"/>
      <c r="F375" s="199"/>
      <c r="H375" s="202"/>
      <c r="I375" s="185" t="str">
        <f t="shared" si="31"/>
        <v/>
      </c>
      <c r="J375" s="203" t="str">
        <f>IF($H375="USD",IF(OR($I375="",$I375="-"),"",VLOOKUP($G375,為替!$A:$AX,$I375,FALSE))+$J$3,IF(OR($I375="",$I375="-"),"",VLOOKUP($G375,為替!$A:$AX,$I375,FALSE)))</f>
        <v/>
      </c>
      <c r="K375" s="204" t="str">
        <f t="shared" si="32"/>
        <v/>
      </c>
      <c r="L375" s="188" t="str">
        <f t="shared" si="33"/>
        <v/>
      </c>
      <c r="M375" s="203" t="str">
        <f>IF($H375="USD",IF(OR($L375="",$L375="-"),"",VLOOKUP($G375,為替!$A:$AX,$L375,FALSE))+$K$3,IF(OR($L375="",$L375="-"),"",VLOOKUP($G375,為替!$A:$AX,$L375,FALSE)))</f>
        <v/>
      </c>
      <c r="N375" s="204" t="str">
        <f t="shared" si="34"/>
        <v/>
      </c>
      <c r="O375" s="205" t="str">
        <f t="shared" si="30"/>
        <v/>
      </c>
      <c r="P375" s="206" t="str">
        <f t="shared" si="35"/>
        <v/>
      </c>
    </row>
    <row r="376" spans="3:16" x14ac:dyDescent="0.4">
      <c r="C376" s="199"/>
      <c r="D376" s="200"/>
      <c r="E376" s="201"/>
      <c r="F376" s="199"/>
      <c r="H376" s="202"/>
      <c r="I376" s="185" t="str">
        <f t="shared" si="31"/>
        <v/>
      </c>
      <c r="J376" s="203" t="str">
        <f>IF($H376="USD",IF(OR($I376="",$I376="-"),"",VLOOKUP($G376,為替!$A:$AX,$I376,FALSE))+$J$3,IF(OR($I376="",$I376="-"),"",VLOOKUP($G376,為替!$A:$AX,$I376,FALSE)))</f>
        <v/>
      </c>
      <c r="K376" s="204" t="str">
        <f t="shared" si="32"/>
        <v/>
      </c>
      <c r="L376" s="188" t="str">
        <f t="shared" si="33"/>
        <v/>
      </c>
      <c r="M376" s="203" t="str">
        <f>IF($H376="USD",IF(OR($L376="",$L376="-"),"",VLOOKUP($G376,為替!$A:$AX,$L376,FALSE))+$K$3,IF(OR($L376="",$L376="-"),"",VLOOKUP($G376,為替!$A:$AX,$L376,FALSE)))</f>
        <v/>
      </c>
      <c r="N376" s="204" t="str">
        <f t="shared" si="34"/>
        <v/>
      </c>
      <c r="O376" s="205" t="str">
        <f t="shared" si="30"/>
        <v/>
      </c>
      <c r="P376" s="206" t="str">
        <f t="shared" si="35"/>
        <v/>
      </c>
    </row>
    <row r="377" spans="3:16" x14ac:dyDescent="0.4">
      <c r="C377" s="199"/>
      <c r="D377" s="200"/>
      <c r="E377" s="201"/>
      <c r="F377" s="199"/>
      <c r="H377" s="202"/>
      <c r="I377" s="185" t="str">
        <f t="shared" si="31"/>
        <v/>
      </c>
      <c r="J377" s="203" t="str">
        <f>IF($H377="USD",IF(OR($I377="",$I377="-"),"",VLOOKUP($G377,為替!$A:$AX,$I377,FALSE))+$J$3,IF(OR($I377="",$I377="-"),"",VLOOKUP($G377,為替!$A:$AX,$I377,FALSE)))</f>
        <v/>
      </c>
      <c r="K377" s="204" t="str">
        <f t="shared" si="32"/>
        <v/>
      </c>
      <c r="L377" s="188" t="str">
        <f t="shared" si="33"/>
        <v/>
      </c>
      <c r="M377" s="203" t="str">
        <f>IF($H377="USD",IF(OR($L377="",$L377="-"),"",VLOOKUP($G377,為替!$A:$AX,$L377,FALSE))+$K$3,IF(OR($L377="",$L377="-"),"",VLOOKUP($G377,為替!$A:$AX,$L377,FALSE)))</f>
        <v/>
      </c>
      <c r="N377" s="204" t="str">
        <f t="shared" si="34"/>
        <v/>
      </c>
      <c r="O377" s="205" t="str">
        <f t="shared" si="30"/>
        <v/>
      </c>
      <c r="P377" s="206" t="str">
        <f t="shared" si="35"/>
        <v/>
      </c>
    </row>
    <row r="378" spans="3:16" x14ac:dyDescent="0.4">
      <c r="C378" s="199"/>
      <c r="D378" s="200"/>
      <c r="E378" s="201"/>
      <c r="F378" s="199"/>
      <c r="H378" s="202"/>
      <c r="I378" s="185" t="str">
        <f t="shared" si="31"/>
        <v/>
      </c>
      <c r="J378" s="203" t="str">
        <f>IF($H378="USD",IF(OR($I378="",$I378="-"),"",VLOOKUP($G378,為替!$A:$AX,$I378,FALSE))+$J$3,IF(OR($I378="",$I378="-"),"",VLOOKUP($G378,為替!$A:$AX,$I378,FALSE)))</f>
        <v/>
      </c>
      <c r="K378" s="204" t="str">
        <f t="shared" si="32"/>
        <v/>
      </c>
      <c r="L378" s="188" t="str">
        <f t="shared" si="33"/>
        <v/>
      </c>
      <c r="M378" s="203" t="str">
        <f>IF($H378="USD",IF(OR($L378="",$L378="-"),"",VLOOKUP($G378,為替!$A:$AX,$L378,FALSE))+$K$3,IF(OR($L378="",$L378="-"),"",VLOOKUP($G378,為替!$A:$AX,$L378,FALSE)))</f>
        <v/>
      </c>
      <c r="N378" s="204" t="str">
        <f t="shared" si="34"/>
        <v/>
      </c>
      <c r="O378" s="205" t="str">
        <f t="shared" si="30"/>
        <v/>
      </c>
      <c r="P378" s="206" t="str">
        <f t="shared" si="35"/>
        <v/>
      </c>
    </row>
    <row r="379" spans="3:16" x14ac:dyDescent="0.4">
      <c r="C379" s="199"/>
      <c r="D379" s="200"/>
      <c r="E379" s="201"/>
      <c r="F379" s="199"/>
      <c r="H379" s="202"/>
      <c r="I379" s="185" t="str">
        <f t="shared" si="31"/>
        <v/>
      </c>
      <c r="J379" s="203" t="str">
        <f>IF($H379="USD",IF(OR($I379="",$I379="-"),"",VLOOKUP($G379,為替!$A:$AX,$I379,FALSE))+$J$3,IF(OR($I379="",$I379="-"),"",VLOOKUP($G379,為替!$A:$AX,$I379,FALSE)))</f>
        <v/>
      </c>
      <c r="K379" s="204" t="str">
        <f t="shared" si="32"/>
        <v/>
      </c>
      <c r="L379" s="188" t="str">
        <f t="shared" si="33"/>
        <v/>
      </c>
      <c r="M379" s="203" t="str">
        <f>IF($H379="USD",IF(OR($L379="",$L379="-"),"",VLOOKUP($G379,為替!$A:$AX,$L379,FALSE))+$K$3,IF(OR($L379="",$L379="-"),"",VLOOKUP($G379,為替!$A:$AX,$L379,FALSE)))</f>
        <v/>
      </c>
      <c r="N379" s="204" t="str">
        <f t="shared" si="34"/>
        <v/>
      </c>
      <c r="O379" s="205" t="str">
        <f t="shared" si="30"/>
        <v/>
      </c>
      <c r="P379" s="206" t="str">
        <f t="shared" si="35"/>
        <v/>
      </c>
    </row>
    <row r="380" spans="3:16" x14ac:dyDescent="0.4">
      <c r="C380" s="199"/>
      <c r="D380" s="200"/>
      <c r="E380" s="201"/>
      <c r="F380" s="199"/>
      <c r="H380" s="202"/>
      <c r="I380" s="185" t="str">
        <f t="shared" si="31"/>
        <v/>
      </c>
      <c r="J380" s="203" t="str">
        <f>IF($H380="USD",IF(OR($I380="",$I380="-"),"",VLOOKUP($G380,為替!$A:$AX,$I380,FALSE))+$J$3,IF(OR($I380="",$I380="-"),"",VLOOKUP($G380,為替!$A:$AX,$I380,FALSE)))</f>
        <v/>
      </c>
      <c r="K380" s="204" t="str">
        <f t="shared" si="32"/>
        <v/>
      </c>
      <c r="L380" s="188" t="str">
        <f t="shared" si="33"/>
        <v/>
      </c>
      <c r="M380" s="203" t="str">
        <f>IF($H380="USD",IF(OR($L380="",$L380="-"),"",VLOOKUP($G380,為替!$A:$AX,$L380,FALSE))+$K$3,IF(OR($L380="",$L380="-"),"",VLOOKUP($G380,為替!$A:$AX,$L380,FALSE)))</f>
        <v/>
      </c>
      <c r="N380" s="204" t="str">
        <f t="shared" si="34"/>
        <v/>
      </c>
      <c r="O380" s="205" t="str">
        <f t="shared" si="30"/>
        <v/>
      </c>
      <c r="P380" s="206" t="str">
        <f t="shared" si="35"/>
        <v/>
      </c>
    </row>
    <row r="381" spans="3:16" x14ac:dyDescent="0.4">
      <c r="C381" s="199"/>
      <c r="D381" s="200"/>
      <c r="E381" s="201"/>
      <c r="F381" s="199"/>
      <c r="H381" s="202"/>
      <c r="I381" s="185" t="str">
        <f t="shared" si="31"/>
        <v/>
      </c>
      <c r="J381" s="203" t="str">
        <f>IF($H381="USD",IF(OR($I381="",$I381="-"),"",VLOOKUP($G381,為替!$A:$AX,$I381,FALSE))+$J$3,IF(OR($I381="",$I381="-"),"",VLOOKUP($G381,為替!$A:$AX,$I381,FALSE)))</f>
        <v/>
      </c>
      <c r="K381" s="204" t="str">
        <f t="shared" si="32"/>
        <v/>
      </c>
      <c r="L381" s="188" t="str">
        <f t="shared" si="33"/>
        <v/>
      </c>
      <c r="M381" s="203" t="str">
        <f>IF($H381="USD",IF(OR($L381="",$L381="-"),"",VLOOKUP($G381,為替!$A:$AX,$L381,FALSE))+$K$3,IF(OR($L381="",$L381="-"),"",VLOOKUP($G381,為替!$A:$AX,$L381,FALSE)))</f>
        <v/>
      </c>
      <c r="N381" s="204" t="str">
        <f t="shared" si="34"/>
        <v/>
      </c>
      <c r="O381" s="205" t="str">
        <f t="shared" si="30"/>
        <v/>
      </c>
      <c r="P381" s="206" t="str">
        <f t="shared" si="35"/>
        <v/>
      </c>
    </row>
    <row r="382" spans="3:16" x14ac:dyDescent="0.4">
      <c r="C382" s="199"/>
      <c r="D382" s="200"/>
      <c r="E382" s="201"/>
      <c r="F382" s="199"/>
      <c r="H382" s="202"/>
      <c r="I382" s="185" t="str">
        <f t="shared" si="31"/>
        <v/>
      </c>
      <c r="J382" s="203" t="str">
        <f>IF($H382="USD",IF(OR($I382="",$I382="-"),"",VLOOKUP($G382,為替!$A:$AX,$I382,FALSE))+$J$3,IF(OR($I382="",$I382="-"),"",VLOOKUP($G382,為替!$A:$AX,$I382,FALSE)))</f>
        <v/>
      </c>
      <c r="K382" s="204" t="str">
        <f t="shared" si="32"/>
        <v/>
      </c>
      <c r="L382" s="188" t="str">
        <f t="shared" si="33"/>
        <v/>
      </c>
      <c r="M382" s="203" t="str">
        <f>IF($H382="USD",IF(OR($L382="",$L382="-"),"",VLOOKUP($G382,為替!$A:$AX,$L382,FALSE))+$K$3,IF(OR($L382="",$L382="-"),"",VLOOKUP($G382,為替!$A:$AX,$L382,FALSE)))</f>
        <v/>
      </c>
      <c r="N382" s="204" t="str">
        <f t="shared" si="34"/>
        <v/>
      </c>
      <c r="O382" s="205" t="str">
        <f t="shared" si="30"/>
        <v/>
      </c>
      <c r="P382" s="206" t="str">
        <f t="shared" si="35"/>
        <v/>
      </c>
    </row>
    <row r="383" spans="3:16" x14ac:dyDescent="0.4">
      <c r="C383" s="199"/>
      <c r="D383" s="200"/>
      <c r="E383" s="201"/>
      <c r="F383" s="199"/>
      <c r="H383" s="202"/>
      <c r="I383" s="185" t="str">
        <f t="shared" si="31"/>
        <v/>
      </c>
      <c r="J383" s="203" t="str">
        <f>IF($H383="USD",IF(OR($I383="",$I383="-"),"",VLOOKUP($G383,為替!$A:$AX,$I383,FALSE))+$J$3,IF(OR($I383="",$I383="-"),"",VLOOKUP($G383,為替!$A:$AX,$I383,FALSE)))</f>
        <v/>
      </c>
      <c r="K383" s="204" t="str">
        <f t="shared" si="32"/>
        <v/>
      </c>
      <c r="L383" s="188" t="str">
        <f t="shared" si="33"/>
        <v/>
      </c>
      <c r="M383" s="203" t="str">
        <f>IF($H383="USD",IF(OR($L383="",$L383="-"),"",VLOOKUP($G383,為替!$A:$AX,$L383,FALSE))+$K$3,IF(OR($L383="",$L383="-"),"",VLOOKUP($G383,為替!$A:$AX,$L383,FALSE)))</f>
        <v/>
      </c>
      <c r="N383" s="204" t="str">
        <f t="shared" si="34"/>
        <v/>
      </c>
      <c r="O383" s="205" t="str">
        <f t="shared" si="30"/>
        <v/>
      </c>
      <c r="P383" s="206" t="str">
        <f t="shared" si="35"/>
        <v/>
      </c>
    </row>
    <row r="384" spans="3:16" x14ac:dyDescent="0.4">
      <c r="C384" s="199"/>
      <c r="D384" s="200"/>
      <c r="E384" s="201"/>
      <c r="F384" s="199"/>
      <c r="H384" s="202"/>
      <c r="I384" s="185" t="str">
        <f t="shared" si="31"/>
        <v/>
      </c>
      <c r="J384" s="203" t="str">
        <f>IF($H384="USD",IF(OR($I384="",$I384="-"),"",VLOOKUP($G384,為替!$A:$AX,$I384,FALSE))+$J$3,IF(OR($I384="",$I384="-"),"",VLOOKUP($G384,為替!$A:$AX,$I384,FALSE)))</f>
        <v/>
      </c>
      <c r="K384" s="204" t="str">
        <f t="shared" si="32"/>
        <v/>
      </c>
      <c r="L384" s="188" t="str">
        <f t="shared" si="33"/>
        <v/>
      </c>
      <c r="M384" s="203" t="str">
        <f>IF($H384="USD",IF(OR($L384="",$L384="-"),"",VLOOKUP($G384,為替!$A:$AX,$L384,FALSE))+$K$3,IF(OR($L384="",$L384="-"),"",VLOOKUP($G384,為替!$A:$AX,$L384,FALSE)))</f>
        <v/>
      </c>
      <c r="N384" s="204" t="str">
        <f t="shared" si="34"/>
        <v/>
      </c>
      <c r="O384" s="205" t="str">
        <f t="shared" si="30"/>
        <v/>
      </c>
      <c r="P384" s="206" t="str">
        <f t="shared" si="35"/>
        <v/>
      </c>
    </row>
    <row r="385" spans="3:16" x14ac:dyDescent="0.4">
      <c r="C385" s="199"/>
      <c r="D385" s="200"/>
      <c r="E385" s="201"/>
      <c r="F385" s="199"/>
      <c r="H385" s="202"/>
      <c r="I385" s="185" t="str">
        <f t="shared" si="31"/>
        <v/>
      </c>
      <c r="J385" s="203" t="str">
        <f>IF($H385="USD",IF(OR($I385="",$I385="-"),"",VLOOKUP($G385,為替!$A:$AX,$I385,FALSE))+$J$3,IF(OR($I385="",$I385="-"),"",VLOOKUP($G385,為替!$A:$AX,$I385,FALSE)))</f>
        <v/>
      </c>
      <c r="K385" s="204" t="str">
        <f t="shared" si="32"/>
        <v/>
      </c>
      <c r="L385" s="188" t="str">
        <f t="shared" si="33"/>
        <v/>
      </c>
      <c r="M385" s="203" t="str">
        <f>IF($H385="USD",IF(OR($L385="",$L385="-"),"",VLOOKUP($G385,為替!$A:$AX,$L385,FALSE))+$K$3,IF(OR($L385="",$L385="-"),"",VLOOKUP($G385,為替!$A:$AX,$L385,FALSE)))</f>
        <v/>
      </c>
      <c r="N385" s="204" t="str">
        <f t="shared" si="34"/>
        <v/>
      </c>
      <c r="O385" s="205" t="str">
        <f t="shared" si="30"/>
        <v/>
      </c>
      <c r="P385" s="206" t="str">
        <f t="shared" si="35"/>
        <v/>
      </c>
    </row>
    <row r="386" spans="3:16" x14ac:dyDescent="0.4">
      <c r="C386" s="199"/>
      <c r="D386" s="200"/>
      <c r="E386" s="201"/>
      <c r="F386" s="199"/>
      <c r="H386" s="202"/>
      <c r="I386" s="185" t="str">
        <f t="shared" si="31"/>
        <v/>
      </c>
      <c r="J386" s="203" t="str">
        <f>IF($H386="USD",IF(OR($I386="",$I386="-"),"",VLOOKUP($G386,為替!$A:$AX,$I386,FALSE))+$J$3,IF(OR($I386="",$I386="-"),"",VLOOKUP($G386,為替!$A:$AX,$I386,FALSE)))</f>
        <v/>
      </c>
      <c r="K386" s="204" t="str">
        <f t="shared" si="32"/>
        <v/>
      </c>
      <c r="L386" s="188" t="str">
        <f t="shared" si="33"/>
        <v/>
      </c>
      <c r="M386" s="203" t="str">
        <f>IF($H386="USD",IF(OR($L386="",$L386="-"),"",VLOOKUP($G386,為替!$A:$AX,$L386,FALSE))+$K$3,IF(OR($L386="",$L386="-"),"",VLOOKUP($G386,為替!$A:$AX,$L386,FALSE)))</f>
        <v/>
      </c>
      <c r="N386" s="204" t="str">
        <f t="shared" si="34"/>
        <v/>
      </c>
      <c r="O386" s="205" t="str">
        <f t="shared" si="30"/>
        <v/>
      </c>
      <c r="P386" s="206" t="str">
        <f t="shared" si="35"/>
        <v/>
      </c>
    </row>
    <row r="387" spans="3:16" x14ac:dyDescent="0.4">
      <c r="C387" s="199"/>
      <c r="D387" s="200"/>
      <c r="E387" s="201"/>
      <c r="F387" s="199"/>
      <c r="H387" s="202"/>
      <c r="I387" s="185" t="str">
        <f t="shared" si="31"/>
        <v/>
      </c>
      <c r="J387" s="203" t="str">
        <f>IF($H387="USD",IF(OR($I387="",$I387="-"),"",VLOOKUP($G387,為替!$A:$AX,$I387,FALSE))+$J$3,IF(OR($I387="",$I387="-"),"",VLOOKUP($G387,為替!$A:$AX,$I387,FALSE)))</f>
        <v/>
      </c>
      <c r="K387" s="204" t="str">
        <f t="shared" si="32"/>
        <v/>
      </c>
      <c r="L387" s="188" t="str">
        <f t="shared" si="33"/>
        <v/>
      </c>
      <c r="M387" s="203" t="str">
        <f>IF($H387="USD",IF(OR($L387="",$L387="-"),"",VLOOKUP($G387,為替!$A:$AX,$L387,FALSE))+$K$3,IF(OR($L387="",$L387="-"),"",VLOOKUP($G387,為替!$A:$AX,$L387,FALSE)))</f>
        <v/>
      </c>
      <c r="N387" s="204" t="str">
        <f t="shared" si="34"/>
        <v/>
      </c>
      <c r="O387" s="205" t="str">
        <f t="shared" si="30"/>
        <v/>
      </c>
      <c r="P387" s="206" t="str">
        <f t="shared" si="35"/>
        <v/>
      </c>
    </row>
    <row r="388" spans="3:16" x14ac:dyDescent="0.4">
      <c r="C388" s="199"/>
      <c r="D388" s="200"/>
      <c r="E388" s="201"/>
      <c r="F388" s="199"/>
      <c r="H388" s="202"/>
      <c r="I388" s="185" t="str">
        <f t="shared" si="31"/>
        <v/>
      </c>
      <c r="J388" s="203" t="str">
        <f>IF($H388="USD",IF(OR($I388="",$I388="-"),"",VLOOKUP($G388,為替!$A:$AX,$I388,FALSE))+$J$3,IF(OR($I388="",$I388="-"),"",VLOOKUP($G388,為替!$A:$AX,$I388,FALSE)))</f>
        <v/>
      </c>
      <c r="K388" s="204" t="str">
        <f t="shared" si="32"/>
        <v/>
      </c>
      <c r="L388" s="188" t="str">
        <f t="shared" si="33"/>
        <v/>
      </c>
      <c r="M388" s="203" t="str">
        <f>IF($H388="USD",IF(OR($L388="",$L388="-"),"",VLOOKUP($G388,為替!$A:$AX,$L388,FALSE))+$K$3,IF(OR($L388="",$L388="-"),"",VLOOKUP($G388,為替!$A:$AX,$L388,FALSE)))</f>
        <v/>
      </c>
      <c r="N388" s="204" t="str">
        <f t="shared" si="34"/>
        <v/>
      </c>
      <c r="O388" s="205" t="str">
        <f t="shared" si="30"/>
        <v/>
      </c>
      <c r="P388" s="206" t="str">
        <f t="shared" si="35"/>
        <v/>
      </c>
    </row>
    <row r="389" spans="3:16" x14ac:dyDescent="0.4">
      <c r="C389" s="199"/>
      <c r="D389" s="200"/>
      <c r="E389" s="201"/>
      <c r="F389" s="199"/>
      <c r="H389" s="202"/>
      <c r="I389" s="185" t="str">
        <f t="shared" si="31"/>
        <v/>
      </c>
      <c r="J389" s="203" t="str">
        <f>IF($H389="USD",IF(OR($I389="",$I389="-"),"",VLOOKUP($G389,為替!$A:$AX,$I389,FALSE))+$J$3,IF(OR($I389="",$I389="-"),"",VLOOKUP($G389,為替!$A:$AX,$I389,FALSE)))</f>
        <v/>
      </c>
      <c r="K389" s="204" t="str">
        <f t="shared" si="32"/>
        <v/>
      </c>
      <c r="L389" s="188" t="str">
        <f t="shared" si="33"/>
        <v/>
      </c>
      <c r="M389" s="203" t="str">
        <f>IF($H389="USD",IF(OR($L389="",$L389="-"),"",VLOOKUP($G389,為替!$A:$AX,$L389,FALSE))+$K$3,IF(OR($L389="",$L389="-"),"",VLOOKUP($G389,為替!$A:$AX,$L389,FALSE)))</f>
        <v/>
      </c>
      <c r="N389" s="204" t="str">
        <f t="shared" si="34"/>
        <v/>
      </c>
      <c r="O389" s="205" t="str">
        <f t="shared" si="30"/>
        <v/>
      </c>
      <c r="P389" s="206" t="str">
        <f t="shared" si="35"/>
        <v/>
      </c>
    </row>
    <row r="390" spans="3:16" x14ac:dyDescent="0.4">
      <c r="C390" s="199"/>
      <c r="D390" s="200"/>
      <c r="E390" s="201"/>
      <c r="F390" s="199"/>
      <c r="H390" s="202"/>
      <c r="I390" s="185" t="str">
        <f t="shared" si="31"/>
        <v/>
      </c>
      <c r="J390" s="203" t="str">
        <f>IF($H390="USD",IF(OR($I390="",$I390="-"),"",VLOOKUP($G390,為替!$A:$AX,$I390,FALSE))+$J$3,IF(OR($I390="",$I390="-"),"",VLOOKUP($G390,為替!$A:$AX,$I390,FALSE)))</f>
        <v/>
      </c>
      <c r="K390" s="204" t="str">
        <f t="shared" si="32"/>
        <v/>
      </c>
      <c r="L390" s="188" t="str">
        <f t="shared" si="33"/>
        <v/>
      </c>
      <c r="M390" s="203" t="str">
        <f>IF($H390="USD",IF(OR($L390="",$L390="-"),"",VLOOKUP($G390,為替!$A:$AX,$L390,FALSE))+$K$3,IF(OR($L390="",$L390="-"),"",VLOOKUP($G390,為替!$A:$AX,$L390,FALSE)))</f>
        <v/>
      </c>
      <c r="N390" s="204" t="str">
        <f t="shared" si="34"/>
        <v/>
      </c>
      <c r="O390" s="205" t="str">
        <f t="shared" ref="O390:O400" si="36">IF(OR(K390="",N390=""),"",K390-N390)</f>
        <v/>
      </c>
      <c r="P390" s="206" t="str">
        <f t="shared" si="35"/>
        <v/>
      </c>
    </row>
    <row r="391" spans="3:16" x14ac:dyDescent="0.4">
      <c r="C391" s="199"/>
      <c r="D391" s="200"/>
      <c r="E391" s="201"/>
      <c r="F391" s="199"/>
      <c r="H391" s="202"/>
      <c r="I391" s="185" t="str">
        <f t="shared" ref="I391:I400" si="37">IF(H391="","",IF(H391="JPY","",IF($H391="USD",4, IF(H391="EUR",7,IF(H391="CNY",47,IF(H391="HKD",34))))))</f>
        <v/>
      </c>
      <c r="J391" s="203" t="str">
        <f>IF($H391="USD",IF(OR($I391="",$I391="-"),"",VLOOKUP($G391,為替!$A:$AX,$I391,FALSE))+$J$3,IF(OR($I391="",$I391="-"),"",VLOOKUP($G391,為替!$A:$AX,$I391,FALSE)))</f>
        <v/>
      </c>
      <c r="K391" s="204" t="str">
        <f t="shared" ref="K391:K400" si="38">IF($H391="JPY",$F391,IF($H391="","",$F391*$J391))</f>
        <v/>
      </c>
      <c r="L391" s="188" t="str">
        <f t="shared" ref="L391:L400" si="39">IF(H391="","",IF(H391="JPY","",IF($H391="USD",3, IF(H391="EUR",6,IF(H391="CNY",46,IF(H391="HKD",33))))))</f>
        <v/>
      </c>
      <c r="M391" s="203" t="str">
        <f>IF($H391="USD",IF(OR($L391="",$L391="-"),"",VLOOKUP($G391,為替!$A:$AX,$L391,FALSE))+$K$3,IF(OR($L391="",$L391="-"),"",VLOOKUP($G391,為替!$A:$AX,$L391,FALSE)))</f>
        <v/>
      </c>
      <c r="N391" s="204" t="str">
        <f t="shared" ref="N391:N400" si="40">IF($E391="JPY",($C391+$D391),IF($E391="","",($C391+$D391)*$M391))</f>
        <v/>
      </c>
      <c r="O391" s="205" t="str">
        <f t="shared" si="36"/>
        <v/>
      </c>
      <c r="P391" s="206" t="str">
        <f t="shared" ref="P391:P400" si="41">IF(OR(K391="",O391=""),"",O391/K391)</f>
        <v/>
      </c>
    </row>
    <row r="392" spans="3:16" x14ac:dyDescent="0.4">
      <c r="C392" s="199"/>
      <c r="D392" s="200"/>
      <c r="E392" s="201"/>
      <c r="F392" s="199"/>
      <c r="H392" s="202"/>
      <c r="I392" s="185" t="str">
        <f t="shared" si="37"/>
        <v/>
      </c>
      <c r="J392" s="203" t="str">
        <f>IF($H392="USD",IF(OR($I392="",$I392="-"),"",VLOOKUP($G392,為替!$A:$AX,$I392,FALSE))+$J$3,IF(OR($I392="",$I392="-"),"",VLOOKUP($G392,為替!$A:$AX,$I392,FALSE)))</f>
        <v/>
      </c>
      <c r="K392" s="204" t="str">
        <f t="shared" si="38"/>
        <v/>
      </c>
      <c r="L392" s="188" t="str">
        <f t="shared" si="39"/>
        <v/>
      </c>
      <c r="M392" s="203" t="str">
        <f>IF($H392="USD",IF(OR($L392="",$L392="-"),"",VLOOKUP($G392,為替!$A:$AX,$L392,FALSE))+$K$3,IF(OR($L392="",$L392="-"),"",VLOOKUP($G392,為替!$A:$AX,$L392,FALSE)))</f>
        <v/>
      </c>
      <c r="N392" s="204" t="str">
        <f t="shared" si="40"/>
        <v/>
      </c>
      <c r="O392" s="205" t="str">
        <f t="shared" si="36"/>
        <v/>
      </c>
      <c r="P392" s="206" t="str">
        <f t="shared" si="41"/>
        <v/>
      </c>
    </row>
    <row r="393" spans="3:16" x14ac:dyDescent="0.4">
      <c r="C393" s="199"/>
      <c r="D393" s="200"/>
      <c r="E393" s="201"/>
      <c r="F393" s="199"/>
      <c r="H393" s="202"/>
      <c r="I393" s="185" t="str">
        <f t="shared" si="37"/>
        <v/>
      </c>
      <c r="J393" s="203" t="str">
        <f>IF($H393="USD",IF(OR($I393="",$I393="-"),"",VLOOKUP($G393,為替!$A:$AX,$I393,FALSE))+$J$3,IF(OR($I393="",$I393="-"),"",VLOOKUP($G393,為替!$A:$AX,$I393,FALSE)))</f>
        <v/>
      </c>
      <c r="K393" s="204" t="str">
        <f t="shared" si="38"/>
        <v/>
      </c>
      <c r="L393" s="188" t="str">
        <f t="shared" si="39"/>
        <v/>
      </c>
      <c r="M393" s="203" t="str">
        <f>IF($H393="USD",IF(OR($L393="",$L393="-"),"",VLOOKUP($G393,為替!$A:$AX,$L393,FALSE))+$K$3,IF(OR($L393="",$L393="-"),"",VLOOKUP($G393,為替!$A:$AX,$L393,FALSE)))</f>
        <v/>
      </c>
      <c r="N393" s="204" t="str">
        <f t="shared" si="40"/>
        <v/>
      </c>
      <c r="O393" s="205" t="str">
        <f t="shared" si="36"/>
        <v/>
      </c>
      <c r="P393" s="206" t="str">
        <f t="shared" si="41"/>
        <v/>
      </c>
    </row>
    <row r="394" spans="3:16" x14ac:dyDescent="0.4">
      <c r="C394" s="199"/>
      <c r="D394" s="200"/>
      <c r="E394" s="201"/>
      <c r="F394" s="199"/>
      <c r="H394" s="202"/>
      <c r="I394" s="185" t="str">
        <f t="shared" si="37"/>
        <v/>
      </c>
      <c r="J394" s="203" t="str">
        <f>IF($H394="USD",IF(OR($I394="",$I394="-"),"",VLOOKUP($G394,為替!$A:$AX,$I394,FALSE))+$J$3,IF(OR($I394="",$I394="-"),"",VLOOKUP($G394,為替!$A:$AX,$I394,FALSE)))</f>
        <v/>
      </c>
      <c r="K394" s="204" t="str">
        <f t="shared" si="38"/>
        <v/>
      </c>
      <c r="L394" s="188" t="str">
        <f t="shared" si="39"/>
        <v/>
      </c>
      <c r="M394" s="203" t="str">
        <f>IF($H394="USD",IF(OR($L394="",$L394="-"),"",VLOOKUP($G394,為替!$A:$AX,$L394,FALSE))+$K$3,IF(OR($L394="",$L394="-"),"",VLOOKUP($G394,為替!$A:$AX,$L394,FALSE)))</f>
        <v/>
      </c>
      <c r="N394" s="204" t="str">
        <f t="shared" si="40"/>
        <v/>
      </c>
      <c r="O394" s="205" t="str">
        <f t="shared" si="36"/>
        <v/>
      </c>
      <c r="P394" s="206" t="str">
        <f t="shared" si="41"/>
        <v/>
      </c>
    </row>
    <row r="395" spans="3:16" x14ac:dyDescent="0.4">
      <c r="C395" s="199"/>
      <c r="D395" s="200"/>
      <c r="E395" s="201"/>
      <c r="F395" s="199"/>
      <c r="H395" s="202"/>
      <c r="I395" s="185" t="str">
        <f t="shared" si="37"/>
        <v/>
      </c>
      <c r="J395" s="203" t="str">
        <f>IF($H395="USD",IF(OR($I395="",$I395="-"),"",VLOOKUP($G395,為替!$A:$AX,$I395,FALSE))+$J$3,IF(OR($I395="",$I395="-"),"",VLOOKUP($G395,為替!$A:$AX,$I395,FALSE)))</f>
        <v/>
      </c>
      <c r="K395" s="204" t="str">
        <f t="shared" si="38"/>
        <v/>
      </c>
      <c r="L395" s="188" t="str">
        <f t="shared" si="39"/>
        <v/>
      </c>
      <c r="M395" s="203" t="str">
        <f>IF($H395="USD",IF(OR($L395="",$L395="-"),"",VLOOKUP($G395,為替!$A:$AX,$L395,FALSE))+$K$3,IF(OR($L395="",$L395="-"),"",VLOOKUP($G395,為替!$A:$AX,$L395,FALSE)))</f>
        <v/>
      </c>
      <c r="N395" s="204" t="str">
        <f t="shared" si="40"/>
        <v/>
      </c>
      <c r="O395" s="205" t="str">
        <f t="shared" si="36"/>
        <v/>
      </c>
      <c r="P395" s="206" t="str">
        <f t="shared" si="41"/>
        <v/>
      </c>
    </row>
    <row r="396" spans="3:16" x14ac:dyDescent="0.4">
      <c r="C396" s="199"/>
      <c r="D396" s="200"/>
      <c r="E396" s="201"/>
      <c r="F396" s="199"/>
      <c r="H396" s="202"/>
      <c r="I396" s="185" t="str">
        <f t="shared" si="37"/>
        <v/>
      </c>
      <c r="J396" s="203" t="str">
        <f>IF($H396="USD",IF(OR($I396="",$I396="-"),"",VLOOKUP($G396,為替!$A:$AX,$I396,FALSE))+$J$3,IF(OR($I396="",$I396="-"),"",VLOOKUP($G396,為替!$A:$AX,$I396,FALSE)))</f>
        <v/>
      </c>
      <c r="K396" s="204" t="str">
        <f t="shared" si="38"/>
        <v/>
      </c>
      <c r="L396" s="188" t="str">
        <f t="shared" si="39"/>
        <v/>
      </c>
      <c r="M396" s="203" t="str">
        <f>IF($H396="USD",IF(OR($L396="",$L396="-"),"",VLOOKUP($G396,為替!$A:$AX,$L396,FALSE))+$K$3,IF(OR($L396="",$L396="-"),"",VLOOKUP($G396,為替!$A:$AX,$L396,FALSE)))</f>
        <v/>
      </c>
      <c r="N396" s="204" t="str">
        <f t="shared" si="40"/>
        <v/>
      </c>
      <c r="O396" s="205" t="str">
        <f t="shared" si="36"/>
        <v/>
      </c>
      <c r="P396" s="206" t="str">
        <f t="shared" si="41"/>
        <v/>
      </c>
    </row>
    <row r="397" spans="3:16" x14ac:dyDescent="0.4">
      <c r="C397" s="199"/>
      <c r="D397" s="200"/>
      <c r="E397" s="201"/>
      <c r="F397" s="199"/>
      <c r="H397" s="202"/>
      <c r="I397" s="185" t="str">
        <f t="shared" si="37"/>
        <v/>
      </c>
      <c r="J397" s="203" t="str">
        <f>IF($H397="USD",IF(OR($I397="",$I397="-"),"",VLOOKUP($G397,為替!$A:$AX,$I397,FALSE))+$J$3,IF(OR($I397="",$I397="-"),"",VLOOKUP($G397,為替!$A:$AX,$I397,FALSE)))</f>
        <v/>
      </c>
      <c r="K397" s="204" t="str">
        <f t="shared" si="38"/>
        <v/>
      </c>
      <c r="L397" s="188" t="str">
        <f t="shared" si="39"/>
        <v/>
      </c>
      <c r="M397" s="203" t="str">
        <f>IF($H397="USD",IF(OR($L397="",$L397="-"),"",VLOOKUP($G397,為替!$A:$AX,$L397,FALSE))+$K$3,IF(OR($L397="",$L397="-"),"",VLOOKUP($G397,為替!$A:$AX,$L397,FALSE)))</f>
        <v/>
      </c>
      <c r="N397" s="204" t="str">
        <f t="shared" si="40"/>
        <v/>
      </c>
      <c r="O397" s="205" t="str">
        <f t="shared" si="36"/>
        <v/>
      </c>
      <c r="P397" s="206" t="str">
        <f t="shared" si="41"/>
        <v/>
      </c>
    </row>
    <row r="398" spans="3:16" x14ac:dyDescent="0.4">
      <c r="C398" s="199"/>
      <c r="D398" s="200"/>
      <c r="E398" s="201"/>
      <c r="F398" s="199"/>
      <c r="H398" s="202"/>
      <c r="I398" s="185" t="str">
        <f t="shared" si="37"/>
        <v/>
      </c>
      <c r="J398" s="203" t="str">
        <f>IF($H398="USD",IF(OR($I398="",$I398="-"),"",VLOOKUP($G398,為替!$A:$AX,$I398,FALSE))+$J$3,IF(OR($I398="",$I398="-"),"",VLOOKUP($G398,為替!$A:$AX,$I398,FALSE)))</f>
        <v/>
      </c>
      <c r="K398" s="204" t="str">
        <f t="shared" si="38"/>
        <v/>
      </c>
      <c r="L398" s="188" t="str">
        <f t="shared" si="39"/>
        <v/>
      </c>
      <c r="M398" s="203" t="str">
        <f>IF($H398="USD",IF(OR($L398="",$L398="-"),"",VLOOKUP($G398,為替!$A:$AX,$L398,FALSE))+$K$3,IF(OR($L398="",$L398="-"),"",VLOOKUP($G398,為替!$A:$AX,$L398,FALSE)))</f>
        <v/>
      </c>
      <c r="N398" s="204" t="str">
        <f t="shared" si="40"/>
        <v/>
      </c>
      <c r="O398" s="205" t="str">
        <f t="shared" si="36"/>
        <v/>
      </c>
      <c r="P398" s="206" t="str">
        <f t="shared" si="41"/>
        <v/>
      </c>
    </row>
    <row r="399" spans="3:16" x14ac:dyDescent="0.4">
      <c r="C399" s="199"/>
      <c r="D399" s="200"/>
      <c r="E399" s="201"/>
      <c r="F399" s="199"/>
      <c r="H399" s="202"/>
      <c r="I399" s="185" t="str">
        <f t="shared" si="37"/>
        <v/>
      </c>
      <c r="J399" s="203" t="str">
        <f>IF($H399="USD",IF(OR($I399="",$I399="-"),"",VLOOKUP($G399,為替!$A:$AX,$I399,FALSE))+$J$3,IF(OR($I399="",$I399="-"),"",VLOOKUP($G399,為替!$A:$AX,$I399,FALSE)))</f>
        <v/>
      </c>
      <c r="K399" s="204" t="str">
        <f t="shared" si="38"/>
        <v/>
      </c>
      <c r="L399" s="188" t="str">
        <f t="shared" si="39"/>
        <v/>
      </c>
      <c r="M399" s="203" t="str">
        <f>IF($H399="USD",IF(OR($L399="",$L399="-"),"",VLOOKUP($G399,為替!$A:$AX,$L399,FALSE))+$K$3,IF(OR($L399="",$L399="-"),"",VLOOKUP($G399,為替!$A:$AX,$L399,FALSE)))</f>
        <v/>
      </c>
      <c r="N399" s="204" t="str">
        <f t="shared" si="40"/>
        <v/>
      </c>
      <c r="O399" s="205" t="str">
        <f t="shared" si="36"/>
        <v/>
      </c>
      <c r="P399" s="206" t="str">
        <f t="shared" si="41"/>
        <v/>
      </c>
    </row>
    <row r="400" spans="3:16" x14ac:dyDescent="0.4">
      <c r="C400" s="199"/>
      <c r="D400" s="200"/>
      <c r="E400" s="201"/>
      <c r="F400" s="199"/>
      <c r="H400" s="202"/>
      <c r="I400" s="185" t="str">
        <f t="shared" si="37"/>
        <v/>
      </c>
      <c r="J400" s="203" t="str">
        <f>IF($H400="USD",IF(OR($I400="",$I400="-"),"",VLOOKUP($G400,為替!$A:$AX,$I400,FALSE))+$J$3,IF(OR($I400="",$I400="-"),"",VLOOKUP($G400,為替!$A:$AX,$I400,FALSE)))</f>
        <v/>
      </c>
      <c r="K400" s="204" t="str">
        <f t="shared" si="38"/>
        <v/>
      </c>
      <c r="L400" s="188" t="str">
        <f t="shared" si="39"/>
        <v/>
      </c>
      <c r="M400" s="203" t="str">
        <f>IF($H400="USD",IF(OR($L400="",$L400="-"),"",VLOOKUP($G400,為替!$A:$AX,$L400,FALSE))+$K$3,IF(OR($L400="",$L400="-"),"",VLOOKUP($G400,為替!$A:$AX,$L400,FALSE)))</f>
        <v/>
      </c>
      <c r="N400" s="204" t="str">
        <f t="shared" si="40"/>
        <v/>
      </c>
      <c r="O400" s="205" t="str">
        <f t="shared" si="36"/>
        <v/>
      </c>
      <c r="P400" s="206" t="str">
        <f t="shared" si="41"/>
        <v/>
      </c>
    </row>
  </sheetData>
  <mergeCells count="1">
    <mergeCell ref="A1:E2"/>
  </mergeCells>
  <phoneticPr fontId="2"/>
  <conditionalFormatting sqref="P6:P400">
    <cfRule type="cellIs" dxfId="3" priority="1" operator="greaterThan">
      <formula>$P$3</formula>
    </cfRule>
  </conditionalFormatting>
  <dataValidations count="2">
    <dataValidation type="list" allowBlank="1" showInputMessage="1" showErrorMessage="1" sqref="A6:A400" xr:uid="{D4BA9A03-4621-4AE9-A484-CB3C8BDA1675}">
      <formula1>$M$3:$O$3</formula1>
    </dataValidation>
    <dataValidation type="list" allowBlank="1" showInputMessage="1" showErrorMessage="1" sqref="E6:E400 H6:H400" xr:uid="{5E43ECEE-976A-43A5-9050-85CE88431148}">
      <formula1>"JPY,USD,EUR,CNY,HKD"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875CC-8A9A-4F15-9BC8-CDF67ED57902}">
  <sheetPr codeName="Sheet13">
    <tabColor theme="5" tint="0.79998168889431442"/>
  </sheetPr>
  <dimension ref="A1:S59"/>
  <sheetViews>
    <sheetView zoomScale="70" zoomScaleNormal="70" workbookViewId="0">
      <selection activeCell="E14" sqref="E14:P14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172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  <c r="F2" s="2" t="s">
        <v>171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/>
    <row r="5" spans="1:19" ht="19.5" customHeight="1" thickBot="1" x14ac:dyDescent="0.45">
      <c r="A5" s="467" t="s">
        <v>34</v>
      </c>
      <c r="B5" s="468"/>
      <c r="C5" s="442" t="s">
        <v>23</v>
      </c>
      <c r="D5" s="443"/>
      <c r="E5" s="421" t="s">
        <v>19</v>
      </c>
      <c r="F5" s="422"/>
      <c r="G5" s="422"/>
      <c r="H5" s="422"/>
      <c r="I5" s="422"/>
      <c r="J5" s="423"/>
      <c r="K5" s="421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45444</v>
      </c>
      <c r="F6" s="215">
        <v>45474</v>
      </c>
      <c r="G6" s="215">
        <v>45505</v>
      </c>
      <c r="H6" s="215">
        <v>45536</v>
      </c>
      <c r="I6" s="215">
        <v>45566</v>
      </c>
      <c r="J6" s="216">
        <v>45597</v>
      </c>
      <c r="K6" s="217">
        <v>45627</v>
      </c>
      <c r="L6" s="215">
        <v>45658</v>
      </c>
      <c r="M6" s="215">
        <v>45689</v>
      </c>
      <c r="N6" s="215">
        <v>45717</v>
      </c>
      <c r="O6" s="215">
        <v>45748</v>
      </c>
      <c r="P6" s="218">
        <v>45778</v>
      </c>
      <c r="Q6" s="455"/>
      <c r="R6" s="153" t="s">
        <v>190</v>
      </c>
      <c r="S6" s="67" t="s">
        <v>191</v>
      </c>
    </row>
    <row r="7" spans="1:19" x14ac:dyDescent="0.4">
      <c r="A7" s="446" t="s">
        <v>212</v>
      </c>
      <c r="B7" s="449" t="s">
        <v>130</v>
      </c>
      <c r="C7" s="433" t="s">
        <v>15</v>
      </c>
      <c r="D7" s="111" t="s">
        <v>13</v>
      </c>
      <c r="E7" s="112">
        <v>242</v>
      </c>
      <c r="F7" s="113">
        <v>373.74999999999994</v>
      </c>
      <c r="G7" s="113">
        <v>468.04999999999995</v>
      </c>
      <c r="H7" s="113">
        <v>220.79999999999998</v>
      </c>
      <c r="I7" s="113">
        <v>1164.9499999999998</v>
      </c>
      <c r="J7" s="114">
        <v>965.99999999999989</v>
      </c>
      <c r="K7" s="115">
        <v>614.09999999999991</v>
      </c>
      <c r="L7" s="113">
        <v>167.89999999999998</v>
      </c>
      <c r="M7" s="113">
        <v>272.54999999999995</v>
      </c>
      <c r="N7" s="113">
        <v>707.25</v>
      </c>
      <c r="O7" s="113">
        <v>464.59999999999997</v>
      </c>
      <c r="P7" s="116">
        <v>583.04999999999995</v>
      </c>
      <c r="Q7" s="117">
        <f>SUM(E7:P7)</f>
        <v>6245</v>
      </c>
      <c r="R7" s="465">
        <v>5422</v>
      </c>
      <c r="S7" s="68">
        <f>IFERROR(Q7/R7,"")</f>
        <v>1.1517890077462192</v>
      </c>
    </row>
    <row r="8" spans="1:19" ht="19.5" thickBot="1" x14ac:dyDescent="0.45">
      <c r="A8" s="447"/>
      <c r="B8" s="450"/>
      <c r="C8" s="433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282.72000000000003</v>
      </c>
      <c r="F8" s="135">
        <f ca="1">SUMIFS(INDIRECT($B$1&amp;"INV!$K:$K"),INDIRECT($B$1&amp;"INV!$A:$A"),$A7,INDIRECT($B$1&amp;"INV!$G:$G"),"&gt;="&amp;F$6,INDIRECT($B$1&amp;"INV!$G:$G"),"&lt;"&amp;EOMONTH(F$6,0)+1)/1000</f>
        <v>242.47499999999999</v>
      </c>
      <c r="G8" s="135">
        <f ca="1">SUMIFS(INDIRECT($B$1&amp;"INV!$K:$K"),INDIRECT($B$1&amp;"INV!$A:$A"),$A7,INDIRECT($B$1&amp;"INV!$G:$G"),"&gt;="&amp;G$6,INDIRECT($B$1&amp;"INV!$G:$G"),"&lt;"&amp;EOMONTH(G$6,0)+1)/1000</f>
        <v>0</v>
      </c>
      <c r="H8" s="135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5">
        <f t="shared" ca="1" si="0"/>
        <v>0</v>
      </c>
      <c r="J8" s="138">
        <f t="shared" ca="1" si="0"/>
        <v>0</v>
      </c>
      <c r="K8" s="134">
        <f t="shared" ca="1" si="0"/>
        <v>0</v>
      </c>
      <c r="L8" s="135">
        <f t="shared" ca="1" si="0"/>
        <v>0</v>
      </c>
      <c r="M8" s="135">
        <f t="shared" ca="1" si="0"/>
        <v>0</v>
      </c>
      <c r="N8" s="135">
        <f t="shared" ca="1" si="0"/>
        <v>0</v>
      </c>
      <c r="O8" s="135">
        <f t="shared" ca="1" si="0"/>
        <v>0</v>
      </c>
      <c r="P8" s="136">
        <f t="shared" ca="1" si="0"/>
        <v>0</v>
      </c>
      <c r="Q8" s="139">
        <f ca="1">SUM(E8:P8)</f>
        <v>525.19500000000005</v>
      </c>
      <c r="R8" s="466"/>
      <c r="S8" s="69">
        <f ca="1">IFERROR(Q8/R7,"")</f>
        <v>9.6863703430468476E-2</v>
      </c>
    </row>
    <row r="9" spans="1:19" x14ac:dyDescent="0.4">
      <c r="A9" s="447"/>
      <c r="B9" s="450"/>
      <c r="C9" s="433"/>
      <c r="D9" s="21" t="s">
        <v>17</v>
      </c>
      <c r="E9" s="11">
        <f ca="1">E8/E7</f>
        <v>1.1682644628099175</v>
      </c>
      <c r="F9" s="4">
        <f t="shared" ref="F9:Q9" ca="1" si="1">F8/F7</f>
        <v>0.64876254180602011</v>
      </c>
      <c r="G9" s="4">
        <f t="shared" ca="1" si="1"/>
        <v>0</v>
      </c>
      <c r="H9" s="4">
        <f t="shared" ca="1" si="1"/>
        <v>0</v>
      </c>
      <c r="I9" s="4">
        <f t="shared" ca="1" si="1"/>
        <v>0</v>
      </c>
      <c r="J9" s="6">
        <f t="shared" ca="1" si="1"/>
        <v>0</v>
      </c>
      <c r="K9" s="8">
        <f t="shared" ca="1" si="1"/>
        <v>0</v>
      </c>
      <c r="L9" s="4">
        <f t="shared" ca="1" si="1"/>
        <v>0</v>
      </c>
      <c r="M9" s="4">
        <f t="shared" ca="1" si="1"/>
        <v>0</v>
      </c>
      <c r="N9" s="4">
        <f t="shared" ca="1" si="1"/>
        <v>0</v>
      </c>
      <c r="O9" s="4">
        <f t="shared" ca="1" si="1"/>
        <v>0</v>
      </c>
      <c r="P9" s="16">
        <f t="shared" ca="1" si="1"/>
        <v>0</v>
      </c>
      <c r="Q9" s="26">
        <f t="shared" ca="1" si="1"/>
        <v>8.4098478783026426E-2</v>
      </c>
    </row>
    <row r="10" spans="1:19" x14ac:dyDescent="0.4">
      <c r="A10" s="447"/>
      <c r="B10" s="450"/>
      <c r="C10" s="434"/>
      <c r="D10" s="22" t="s">
        <v>18</v>
      </c>
      <c r="E10" s="12">
        <f ca="1">SUM($E8:E8)/SUM($E7:E7)</f>
        <v>1.1682644628099175</v>
      </c>
      <c r="F10" s="5">
        <f ca="1">SUM($E8:F8)/SUM($E7:F7)</f>
        <v>0.85293544457978088</v>
      </c>
      <c r="G10" s="5">
        <f ca="1">SUM($E8:G8)/SUM($E7:G7)</f>
        <v>0.48458663960140252</v>
      </c>
      <c r="H10" s="5">
        <f ca="1">SUM($E8:H8)/SUM($E7:H7)</f>
        <v>0.4025716694772345</v>
      </c>
      <c r="I10" s="5">
        <f ca="1">SUM($E8:I8)/SUM($E7:I7)</f>
        <v>0.21266829989269304</v>
      </c>
      <c r="J10" s="13">
        <f ca="1">SUM($E8:J8)/SUM($E7:J7)</f>
        <v>0.15287071938990848</v>
      </c>
      <c r="K10" s="9">
        <f ca="1">SUM($E8:K8)/SUM($E7:K7)</f>
        <v>0.12968898546787996</v>
      </c>
      <c r="L10" s="5">
        <f ca="1">SUM($E8:L8)/SUM($E7:L7)</f>
        <v>0.12452608742042184</v>
      </c>
      <c r="M10" s="5">
        <f ca="1">SUM($E8:M8)/SUM($E7:M7)</f>
        <v>0.11696732812186814</v>
      </c>
      <c r="N10" s="5">
        <f ca="1">SUM($E8:N8)/SUM($E7:N7)</f>
        <v>0.10105053536898614</v>
      </c>
      <c r="O10" s="5">
        <f ca="1">SUM($E8:O8)/SUM($E7:O7)</f>
        <v>9.2758678547143661E-2</v>
      </c>
      <c r="P10" s="17">
        <f ca="1">SUM($E8:P8)/SUM($E7:P7)</f>
        <v>8.4098478783026426E-2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119">
        <v>178</v>
      </c>
      <c r="F11" s="120">
        <v>272.83749999999998</v>
      </c>
      <c r="G11" s="120">
        <v>341.67649999999998</v>
      </c>
      <c r="H11" s="120">
        <v>161.184</v>
      </c>
      <c r="I11" s="120">
        <v>850.41349999999989</v>
      </c>
      <c r="J11" s="121">
        <v>705.18</v>
      </c>
      <c r="K11" s="122">
        <v>448.29299999999995</v>
      </c>
      <c r="L11" s="120">
        <v>122.56699999999998</v>
      </c>
      <c r="M11" s="120">
        <v>198.96149999999997</v>
      </c>
      <c r="N11" s="120">
        <v>516.29250000000002</v>
      </c>
      <c r="O11" s="120">
        <v>339.15799999999996</v>
      </c>
      <c r="P11" s="123">
        <v>425.62649999999996</v>
      </c>
      <c r="Q11" s="124">
        <f>SUM(E11:P11)</f>
        <v>4560.1900000000005</v>
      </c>
      <c r="R11" s="465">
        <v>3952</v>
      </c>
      <c r="S11" s="68">
        <f>IFERROR(Q11/R11,"")</f>
        <v>1.1538942307692308</v>
      </c>
    </row>
    <row r="12" spans="1:19" x14ac:dyDescent="0.4">
      <c r="A12" s="447"/>
      <c r="B12" s="450"/>
      <c r="C12" s="453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207.32900000000001</v>
      </c>
      <c r="F12" s="141">
        <f t="shared" ref="F12:P12" ca="1" si="2">SUMIFS(INDIRECT($B$1&amp;"INV!$N:$N"),INDIRECT($B$1&amp;"INV!$A:$A"),$A7,INDIRECT($B$1&amp;"INV!$G:$G"),"&gt;="&amp;F$6,INDIRECT($B$1&amp;"INV!$G:$G"),"&lt;"&amp;EOMONTH(F$6,0)+1)/1000</f>
        <v>177.708</v>
      </c>
      <c r="G12" s="141">
        <f t="shared" ca="1" si="2"/>
        <v>0</v>
      </c>
      <c r="H12" s="141">
        <f t="shared" ca="1" si="2"/>
        <v>0</v>
      </c>
      <c r="I12" s="141">
        <f t="shared" ca="1" si="2"/>
        <v>0</v>
      </c>
      <c r="J12" s="144">
        <f t="shared" ca="1" si="2"/>
        <v>0</v>
      </c>
      <c r="K12" s="146">
        <f t="shared" ca="1" si="2"/>
        <v>0</v>
      </c>
      <c r="L12" s="141">
        <f t="shared" ca="1" si="2"/>
        <v>0</v>
      </c>
      <c r="M12" s="141">
        <f t="shared" ca="1" si="2"/>
        <v>0</v>
      </c>
      <c r="N12" s="141">
        <f t="shared" ca="1" si="2"/>
        <v>0</v>
      </c>
      <c r="O12" s="141">
        <f t="shared" ca="1" si="2"/>
        <v>0</v>
      </c>
      <c r="P12" s="142">
        <f t="shared" ca="1" si="2"/>
        <v>0</v>
      </c>
      <c r="Q12" s="145">
        <f ca="1">SUM(E12:P12)</f>
        <v>385.03700000000003</v>
      </c>
      <c r="R12" s="471"/>
      <c r="S12" s="70">
        <f ca="1">IFERROR(Q12/R11,"")</f>
        <v>9.742839068825912E-2</v>
      </c>
    </row>
    <row r="13" spans="1:19" x14ac:dyDescent="0.4">
      <c r="A13" s="447"/>
      <c r="B13" s="450"/>
      <c r="C13" s="435" t="s">
        <v>16</v>
      </c>
      <c r="D13" s="118" t="s">
        <v>13</v>
      </c>
      <c r="E13" s="119">
        <f>E7-E11</f>
        <v>64</v>
      </c>
      <c r="F13" s="120">
        <f t="shared" ref="F13:P14" si="3">F7-F11</f>
        <v>100.91249999999997</v>
      </c>
      <c r="G13" s="120">
        <f t="shared" si="3"/>
        <v>126.37349999999998</v>
      </c>
      <c r="H13" s="120">
        <f t="shared" si="3"/>
        <v>59.615999999999985</v>
      </c>
      <c r="I13" s="120">
        <f t="shared" si="3"/>
        <v>314.53649999999993</v>
      </c>
      <c r="J13" s="121">
        <f t="shared" si="3"/>
        <v>260.81999999999994</v>
      </c>
      <c r="K13" s="122">
        <f t="shared" si="3"/>
        <v>165.80699999999996</v>
      </c>
      <c r="L13" s="120">
        <f t="shared" si="3"/>
        <v>45.332999999999998</v>
      </c>
      <c r="M13" s="120">
        <f t="shared" si="3"/>
        <v>73.588499999999982</v>
      </c>
      <c r="N13" s="120">
        <f t="shared" si="3"/>
        <v>190.95749999999998</v>
      </c>
      <c r="O13" s="120">
        <f t="shared" si="3"/>
        <v>125.44200000000001</v>
      </c>
      <c r="P13" s="123">
        <f t="shared" si="3"/>
        <v>157.42349999999999</v>
      </c>
      <c r="Q13" s="124">
        <f>SUM(E13:P13)</f>
        <v>1684.81</v>
      </c>
      <c r="R13" s="465">
        <f>R7-R11</f>
        <v>1470</v>
      </c>
      <c r="S13" s="149">
        <f>IFERROR(Q13/R13,"")</f>
        <v>1.1461292517006803</v>
      </c>
    </row>
    <row r="14" spans="1:19" ht="19.5" thickBot="1" x14ac:dyDescent="0.45">
      <c r="A14" s="447"/>
      <c r="B14" s="450"/>
      <c r="C14" s="436"/>
      <c r="D14" s="133" t="s">
        <v>14</v>
      </c>
      <c r="E14" s="134">
        <f ca="1">E8-E12</f>
        <v>75.39100000000002</v>
      </c>
      <c r="F14" s="135">
        <f t="shared" ca="1" si="3"/>
        <v>64.766999999999996</v>
      </c>
      <c r="G14" s="135">
        <f t="shared" ca="1" si="3"/>
        <v>0</v>
      </c>
      <c r="H14" s="135">
        <f t="shared" ca="1" si="3"/>
        <v>0</v>
      </c>
      <c r="I14" s="135">
        <f t="shared" ca="1" si="3"/>
        <v>0</v>
      </c>
      <c r="J14" s="138">
        <f t="shared" ca="1" si="3"/>
        <v>0</v>
      </c>
      <c r="K14" s="134">
        <f t="shared" ca="1" si="3"/>
        <v>0</v>
      </c>
      <c r="L14" s="135">
        <f t="shared" ca="1" si="3"/>
        <v>0</v>
      </c>
      <c r="M14" s="135">
        <f t="shared" ca="1" si="3"/>
        <v>0</v>
      </c>
      <c r="N14" s="135">
        <f t="shared" ca="1" si="3"/>
        <v>0</v>
      </c>
      <c r="O14" s="135">
        <f t="shared" ca="1" si="3"/>
        <v>0</v>
      </c>
      <c r="P14" s="136">
        <f t="shared" ca="1" si="3"/>
        <v>0</v>
      </c>
      <c r="Q14" s="139">
        <f ca="1">SUM(E14:P14)</f>
        <v>140.15800000000002</v>
      </c>
      <c r="R14" s="466"/>
      <c r="S14" s="69">
        <f ca="1">IFERROR(Q14/R13,"")</f>
        <v>9.5345578231292527E-2</v>
      </c>
    </row>
    <row r="15" spans="1:19" x14ac:dyDescent="0.4">
      <c r="A15" s="447"/>
      <c r="B15" s="450"/>
      <c r="C15" s="436"/>
      <c r="D15" s="21" t="s">
        <v>17</v>
      </c>
      <c r="E15" s="11">
        <f ca="1">E14/E13</f>
        <v>1.1779843750000003</v>
      </c>
      <c r="F15" s="4">
        <f t="shared" ref="F15:Q15" ca="1" si="4">F14/F13</f>
        <v>0.64181345224823505</v>
      </c>
      <c r="G15" s="4">
        <f t="shared" ca="1" si="4"/>
        <v>0</v>
      </c>
      <c r="H15" s="4">
        <f t="shared" ca="1" si="4"/>
        <v>0</v>
      </c>
      <c r="I15" s="4">
        <f t="shared" ca="1" si="4"/>
        <v>0</v>
      </c>
      <c r="J15" s="6">
        <f t="shared" ca="1" si="4"/>
        <v>0</v>
      </c>
      <c r="K15" s="8">
        <f t="shared" ca="1" si="4"/>
        <v>0</v>
      </c>
      <c r="L15" s="4">
        <f t="shared" ca="1" si="4"/>
        <v>0</v>
      </c>
      <c r="M15" s="4">
        <f t="shared" ca="1" si="4"/>
        <v>0</v>
      </c>
      <c r="N15" s="4">
        <f t="shared" ca="1" si="4"/>
        <v>0</v>
      </c>
      <c r="O15" s="4">
        <f t="shared" ca="1" si="4"/>
        <v>0</v>
      </c>
      <c r="P15" s="16">
        <f t="shared" ca="1" si="4"/>
        <v>0</v>
      </c>
      <c r="Q15" s="26">
        <f t="shared" ca="1" si="4"/>
        <v>8.3189202343290941E-2</v>
      </c>
    </row>
    <row r="16" spans="1:19" ht="19.5" thickBot="1" x14ac:dyDescent="0.45">
      <c r="A16" s="448"/>
      <c r="B16" s="451"/>
      <c r="C16" s="437"/>
      <c r="D16" s="23" t="s">
        <v>18</v>
      </c>
      <c r="E16" s="14">
        <f ca="1">SUM($E14:E14)/SUM($E13:E13)</f>
        <v>1.1779843750000003</v>
      </c>
      <c r="F16" s="7">
        <f ca="1">SUM($E14:F14)/SUM($E13:F13)</f>
        <v>0.84989312514212112</v>
      </c>
      <c r="G16" s="7">
        <f ca="1">SUM($E14:G14)/SUM($E13:G13)</f>
        <v>0.48116970949513549</v>
      </c>
      <c r="H16" s="7">
        <f ca="1">SUM($E14:H14)/SUM($E13:H13)</f>
        <v>0.3994220608602973</v>
      </c>
      <c r="I16" s="7">
        <f ca="1">SUM($E14:I14)/SUM($E13:I13)</f>
        <v>0.21062502395037264</v>
      </c>
      <c r="J16" s="15">
        <f ca="1">SUM($E14:J14)/SUM($E13:J13)</f>
        <v>0.15131629021488066</v>
      </c>
      <c r="K16" s="10">
        <f ca="1">SUM($E14:K14)/SUM($E13:K13)</f>
        <v>0.12834211867328477</v>
      </c>
      <c r="L16" s="7">
        <f ca="1">SUM($E14:L14)/SUM($E13:L13)</f>
        <v>0.1232268197997448</v>
      </c>
      <c r="M16" s="7">
        <f ca="1">SUM($E14:M14)/SUM($E13:M13)</f>
        <v>0.11573864954784818</v>
      </c>
      <c r="N16" s="7">
        <f ca="1">SUM($E14:N14)/SUM($E13:N13)</f>
        <v>9.9974000397305335E-2</v>
      </c>
      <c r="O16" s="7">
        <f ca="1">SUM($E14:O14)/SUM($E13:O13)</f>
        <v>9.1763283229228512E-2</v>
      </c>
      <c r="P16" s="18">
        <f ca="1">SUM($E14:P14)/SUM($E13:P13)</f>
        <v>8.3189202343290941E-2</v>
      </c>
      <c r="Q16" s="28" t="s">
        <v>22</v>
      </c>
      <c r="R16" s="59"/>
      <c r="S16"/>
    </row>
    <row r="17" spans="1:19" x14ac:dyDescent="0.4">
      <c r="A17" s="446" t="s">
        <v>198</v>
      </c>
      <c r="B17" s="449" t="s">
        <v>198</v>
      </c>
      <c r="C17" s="433" t="s">
        <v>15</v>
      </c>
      <c r="D17" s="111" t="s">
        <v>13</v>
      </c>
      <c r="E17" s="112"/>
      <c r="F17" s="113"/>
      <c r="G17" s="113"/>
      <c r="H17" s="113"/>
      <c r="I17" s="113"/>
      <c r="J17" s="114"/>
      <c r="K17" s="115"/>
      <c r="L17" s="113"/>
      <c r="M17" s="113"/>
      <c r="N17" s="113"/>
      <c r="O17" s="113"/>
      <c r="P17" s="116"/>
      <c r="Q17" s="117"/>
      <c r="R17" s="465"/>
      <c r="S17" s="68" t="str">
        <f>IFERROR(Q17/R17,"")</f>
        <v/>
      </c>
    </row>
    <row r="18" spans="1:19" ht="19.5" thickBot="1" x14ac:dyDescent="0.45">
      <c r="A18" s="447"/>
      <c r="B18" s="450"/>
      <c r="C18" s="433"/>
      <c r="D18" s="133" t="s">
        <v>14</v>
      </c>
      <c r="E18" s="134"/>
      <c r="F18" s="135"/>
      <c r="G18" s="135"/>
      <c r="H18" s="135"/>
      <c r="I18" s="135"/>
      <c r="J18" s="138"/>
      <c r="K18" s="134"/>
      <c r="L18" s="135"/>
      <c r="M18" s="135"/>
      <c r="N18" s="135"/>
      <c r="O18" s="135"/>
      <c r="P18" s="136"/>
      <c r="Q18" s="139">
        <f>SUM(E18:P18)</f>
        <v>0</v>
      </c>
      <c r="R18" s="466"/>
      <c r="S18" s="69" t="str">
        <f>IFERROR(Q18/R17,"")</f>
        <v/>
      </c>
    </row>
    <row r="19" spans="1:19" x14ac:dyDescent="0.4">
      <c r="A19" s="447"/>
      <c r="B19" s="450"/>
      <c r="C19" s="433"/>
      <c r="D19" s="21" t="s">
        <v>17</v>
      </c>
      <c r="E19" s="11" t="e">
        <f>E18/E17</f>
        <v>#DIV/0!</v>
      </c>
      <c r="F19" s="4" t="e">
        <f t="shared" ref="F19:Q19" si="5">F18/F17</f>
        <v>#DIV/0!</v>
      </c>
      <c r="G19" s="4" t="e">
        <f t="shared" si="5"/>
        <v>#DIV/0!</v>
      </c>
      <c r="H19" s="4" t="e">
        <f t="shared" si="5"/>
        <v>#DIV/0!</v>
      </c>
      <c r="I19" s="4" t="e">
        <f t="shared" si="5"/>
        <v>#DIV/0!</v>
      </c>
      <c r="J19" s="6" t="e">
        <f t="shared" si="5"/>
        <v>#DIV/0!</v>
      </c>
      <c r="K19" s="8" t="e">
        <f t="shared" si="5"/>
        <v>#DIV/0!</v>
      </c>
      <c r="L19" s="4" t="e">
        <f t="shared" si="5"/>
        <v>#DIV/0!</v>
      </c>
      <c r="M19" s="4" t="e">
        <f t="shared" si="5"/>
        <v>#DIV/0!</v>
      </c>
      <c r="N19" s="4" t="e">
        <f t="shared" si="5"/>
        <v>#DIV/0!</v>
      </c>
      <c r="O19" s="4" t="e">
        <f t="shared" si="5"/>
        <v>#DIV/0!</v>
      </c>
      <c r="P19" s="16" t="e">
        <f t="shared" si="5"/>
        <v>#DIV/0!</v>
      </c>
      <c r="Q19" s="26" t="e">
        <f t="shared" si="5"/>
        <v>#DIV/0!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12" t="e">
        <f>SUM($E18:E18)/SUM($E17:E17)</f>
        <v>#DIV/0!</v>
      </c>
      <c r="F20" s="5" t="e">
        <f>SUM($E18:F18)/SUM($E17:F17)</f>
        <v>#DIV/0!</v>
      </c>
      <c r="G20" s="5" t="e">
        <f>SUM($E18:G18)/SUM($E17:G17)</f>
        <v>#DIV/0!</v>
      </c>
      <c r="H20" s="5" t="e">
        <f>SUM($E18:H18)/SUM($E17:H17)</f>
        <v>#DIV/0!</v>
      </c>
      <c r="I20" s="5" t="e">
        <f>SUM($E18:I18)/SUM($E17:I17)</f>
        <v>#DIV/0!</v>
      </c>
      <c r="J20" s="13" t="e">
        <f>SUM($E18:J18)/SUM($E17:J17)</f>
        <v>#DIV/0!</v>
      </c>
      <c r="K20" s="9" t="e">
        <f>SUM($E18:K18)/SUM($E17:K17)</f>
        <v>#DIV/0!</v>
      </c>
      <c r="L20" s="5" t="e">
        <f>SUM($E18:L18)/SUM($E17:L17)</f>
        <v>#DIV/0!</v>
      </c>
      <c r="M20" s="5" t="e">
        <f>SUM($E18:M18)/SUM($E17:M17)</f>
        <v>#DIV/0!</v>
      </c>
      <c r="N20" s="5" t="e">
        <f>SUM($E18:N18)/SUM($E17:N17)</f>
        <v>#DIV/0!</v>
      </c>
      <c r="O20" s="5" t="e">
        <f>SUM($E18:O18)/SUM($E17:O17)</f>
        <v>#DIV/0!</v>
      </c>
      <c r="P20" s="17" t="e">
        <f>SUM($E18:P18)/SUM($E17:P17)</f>
        <v>#DIV/0!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119"/>
      <c r="F21" s="120"/>
      <c r="G21" s="120"/>
      <c r="H21" s="120"/>
      <c r="I21" s="120"/>
      <c r="J21" s="121"/>
      <c r="K21" s="122"/>
      <c r="L21" s="120"/>
      <c r="M21" s="120"/>
      <c r="N21" s="120"/>
      <c r="O21" s="120"/>
      <c r="P21" s="123"/>
      <c r="Q21" s="124"/>
      <c r="R21" s="465"/>
      <c r="S21" s="68" t="str">
        <f>IFERROR(Q21/R21,"")</f>
        <v/>
      </c>
    </row>
    <row r="22" spans="1:19" x14ac:dyDescent="0.4">
      <c r="A22" s="447"/>
      <c r="B22" s="450"/>
      <c r="C22" s="453"/>
      <c r="D22" s="140" t="s">
        <v>14</v>
      </c>
      <c r="E22" s="146"/>
      <c r="F22" s="141"/>
      <c r="G22" s="141"/>
      <c r="H22" s="141"/>
      <c r="I22" s="141"/>
      <c r="J22" s="144"/>
      <c r="K22" s="146"/>
      <c r="L22" s="141"/>
      <c r="M22" s="141"/>
      <c r="N22" s="141"/>
      <c r="O22" s="141"/>
      <c r="P22" s="142"/>
      <c r="Q22" s="145">
        <f>SUM(E22:P22)</f>
        <v>0</v>
      </c>
      <c r="R22" s="471"/>
      <c r="S22" s="70" t="str">
        <f>IFERROR(Q22/R21,"")</f>
        <v/>
      </c>
    </row>
    <row r="23" spans="1:19" x14ac:dyDescent="0.4">
      <c r="A23" s="447"/>
      <c r="B23" s="450"/>
      <c r="C23" s="435" t="s">
        <v>16</v>
      </c>
      <c r="D23" s="118" t="s">
        <v>13</v>
      </c>
      <c r="E23" s="119"/>
      <c r="F23" s="120"/>
      <c r="G23" s="120"/>
      <c r="H23" s="120"/>
      <c r="I23" s="120"/>
      <c r="J23" s="121"/>
      <c r="K23" s="122"/>
      <c r="L23" s="120"/>
      <c r="M23" s="120"/>
      <c r="N23" s="120"/>
      <c r="O23" s="120"/>
      <c r="P23" s="123"/>
      <c r="Q23" s="124">
        <f>SUM(E23:P23)</f>
        <v>0</v>
      </c>
      <c r="R23" s="465">
        <f>R17-R21</f>
        <v>0</v>
      </c>
      <c r="S23" s="149" t="str">
        <f>IFERROR(Q23/R23,"")</f>
        <v/>
      </c>
    </row>
    <row r="24" spans="1:19" ht="19.5" thickBot="1" x14ac:dyDescent="0.45">
      <c r="A24" s="447"/>
      <c r="B24" s="450"/>
      <c r="C24" s="436"/>
      <c r="D24" s="133" t="s">
        <v>14</v>
      </c>
      <c r="E24" s="134"/>
      <c r="F24" s="135"/>
      <c r="G24" s="135"/>
      <c r="H24" s="135"/>
      <c r="I24" s="135"/>
      <c r="J24" s="136"/>
      <c r="K24" s="137"/>
      <c r="L24" s="135"/>
      <c r="M24" s="135"/>
      <c r="N24" s="135"/>
      <c r="O24" s="135"/>
      <c r="P24" s="138"/>
      <c r="Q24" s="139">
        <f>SUM(E24:P24)</f>
        <v>0</v>
      </c>
      <c r="R24" s="466"/>
      <c r="S24" s="69" t="str">
        <f>IFERROR(Q24/R23,"")</f>
        <v/>
      </c>
    </row>
    <row r="25" spans="1:19" x14ac:dyDescent="0.4">
      <c r="A25" s="447"/>
      <c r="B25" s="450"/>
      <c r="C25" s="436"/>
      <c r="D25" s="21" t="s">
        <v>17</v>
      </c>
      <c r="E25" s="11" t="e">
        <f>E24/E23</f>
        <v>#DIV/0!</v>
      </c>
      <c r="F25" s="4" t="e">
        <f t="shared" ref="F25:Q25" si="6">F24/F23</f>
        <v>#DIV/0!</v>
      </c>
      <c r="G25" s="4" t="e">
        <f t="shared" si="6"/>
        <v>#DIV/0!</v>
      </c>
      <c r="H25" s="4" t="e">
        <f t="shared" si="6"/>
        <v>#DIV/0!</v>
      </c>
      <c r="I25" s="4" t="e">
        <f t="shared" si="6"/>
        <v>#DIV/0!</v>
      </c>
      <c r="J25" s="6" t="e">
        <f t="shared" si="6"/>
        <v>#DIV/0!</v>
      </c>
      <c r="K25" s="8" t="e">
        <f t="shared" si="6"/>
        <v>#DIV/0!</v>
      </c>
      <c r="L25" s="4" t="e">
        <f t="shared" si="6"/>
        <v>#DIV/0!</v>
      </c>
      <c r="M25" s="4" t="e">
        <f t="shared" si="6"/>
        <v>#DIV/0!</v>
      </c>
      <c r="N25" s="4" t="e">
        <f t="shared" si="6"/>
        <v>#DIV/0!</v>
      </c>
      <c r="O25" s="4" t="e">
        <f t="shared" si="6"/>
        <v>#DIV/0!</v>
      </c>
      <c r="P25" s="16" t="e">
        <f t="shared" si="6"/>
        <v>#DIV/0!</v>
      </c>
      <c r="Q25" s="26" t="e">
        <f t="shared" si="6"/>
        <v>#DIV/0!</v>
      </c>
    </row>
    <row r="26" spans="1:19" ht="19.5" thickBot="1" x14ac:dyDescent="0.45">
      <c r="A26" s="448"/>
      <c r="B26" s="451"/>
      <c r="C26" s="437"/>
      <c r="D26" s="23" t="s">
        <v>18</v>
      </c>
      <c r="E26" s="14" t="e">
        <f>SUM($E24:E24)/SUM($E23:E23)</f>
        <v>#DIV/0!</v>
      </c>
      <c r="F26" s="7" t="e">
        <f>SUM($E24:F24)/SUM($E23:F23)</f>
        <v>#DIV/0!</v>
      </c>
      <c r="G26" s="7" t="e">
        <f>SUM($E24:G24)/SUM($E23:G23)</f>
        <v>#DIV/0!</v>
      </c>
      <c r="H26" s="7" t="e">
        <f>SUM($E24:H24)/SUM($E23:H23)</f>
        <v>#DIV/0!</v>
      </c>
      <c r="I26" s="7" t="e">
        <f>SUM($E24:I24)/SUM($E23:I23)</f>
        <v>#DIV/0!</v>
      </c>
      <c r="J26" s="15" t="e">
        <f>SUM($E24:J24)/SUM($E23:J23)</f>
        <v>#DIV/0!</v>
      </c>
      <c r="K26" s="10" t="e">
        <f>SUM($E24:K24)/SUM($E23:K23)</f>
        <v>#DIV/0!</v>
      </c>
      <c r="L26" s="7" t="e">
        <f>SUM($E24:L24)/SUM($E23:L23)</f>
        <v>#DIV/0!</v>
      </c>
      <c r="M26" s="7" t="e">
        <f>SUM($E24:M24)/SUM($E23:M23)</f>
        <v>#DIV/0!</v>
      </c>
      <c r="N26" s="7" t="e">
        <f>SUM($E24:N24)/SUM($E23:N23)</f>
        <v>#DIV/0!</v>
      </c>
      <c r="O26" s="7" t="e">
        <f>SUM($E24:O24)/SUM($E23:O23)</f>
        <v>#DIV/0!</v>
      </c>
      <c r="P26" s="18" t="e">
        <f>SUM($E24:P24)/SUM($E23:P23)</f>
        <v>#DIV/0!</v>
      </c>
      <c r="Q26" s="28" t="s">
        <v>22</v>
      </c>
      <c r="R26" s="59"/>
      <c r="S26"/>
    </row>
    <row r="27" spans="1:19" x14ac:dyDescent="0.4">
      <c r="A27" s="447" t="s">
        <v>198</v>
      </c>
      <c r="B27" s="450" t="s">
        <v>198</v>
      </c>
      <c r="C27" s="433" t="s">
        <v>15</v>
      </c>
      <c r="D27" s="111" t="s">
        <v>13</v>
      </c>
      <c r="E27" s="112"/>
      <c r="F27" s="113"/>
      <c r="G27" s="113"/>
      <c r="H27" s="113"/>
      <c r="I27" s="113"/>
      <c r="J27" s="114"/>
      <c r="K27" s="115"/>
      <c r="L27" s="113"/>
      <c r="M27" s="113"/>
      <c r="N27" s="113"/>
      <c r="O27" s="113"/>
      <c r="P27" s="116"/>
      <c r="Q27" s="117"/>
      <c r="R27" s="465"/>
      <c r="S27" s="68" t="str">
        <f>IFERROR(Q27/R27,"")</f>
        <v/>
      </c>
    </row>
    <row r="28" spans="1:19" ht="19.5" thickBot="1" x14ac:dyDescent="0.45">
      <c r="A28" s="447"/>
      <c r="B28" s="450"/>
      <c r="C28" s="433"/>
      <c r="D28" s="133" t="s">
        <v>14</v>
      </c>
      <c r="E28" s="134"/>
      <c r="F28" s="135"/>
      <c r="G28" s="135"/>
      <c r="H28" s="135"/>
      <c r="I28" s="135"/>
      <c r="J28" s="138"/>
      <c r="K28" s="134"/>
      <c r="L28" s="135"/>
      <c r="M28" s="135"/>
      <c r="N28" s="135"/>
      <c r="O28" s="135"/>
      <c r="P28" s="136"/>
      <c r="Q28" s="139">
        <f>SUM(E28:P28)</f>
        <v>0</v>
      </c>
      <c r="R28" s="466"/>
      <c r="S28" s="69" t="str">
        <f>IFERROR(Q28/R27,"")</f>
        <v/>
      </c>
    </row>
    <row r="29" spans="1:19" x14ac:dyDescent="0.4">
      <c r="A29" s="447"/>
      <c r="B29" s="450"/>
      <c r="C29" s="433"/>
      <c r="D29" s="21" t="s">
        <v>17</v>
      </c>
      <c r="E29" s="11" t="e">
        <f>E28/E27</f>
        <v>#DIV/0!</v>
      </c>
      <c r="F29" s="4" t="e">
        <f t="shared" ref="F29:Q29" si="7">F28/F27</f>
        <v>#DIV/0!</v>
      </c>
      <c r="G29" s="4" t="e">
        <f t="shared" si="7"/>
        <v>#DIV/0!</v>
      </c>
      <c r="H29" s="4" t="e">
        <f t="shared" si="7"/>
        <v>#DIV/0!</v>
      </c>
      <c r="I29" s="4" t="e">
        <f t="shared" si="7"/>
        <v>#DIV/0!</v>
      </c>
      <c r="J29" s="6" t="e">
        <f t="shared" si="7"/>
        <v>#DIV/0!</v>
      </c>
      <c r="K29" s="8" t="e">
        <f t="shared" si="7"/>
        <v>#DIV/0!</v>
      </c>
      <c r="L29" s="4" t="e">
        <f t="shared" si="7"/>
        <v>#DIV/0!</v>
      </c>
      <c r="M29" s="4" t="e">
        <f t="shared" si="7"/>
        <v>#DIV/0!</v>
      </c>
      <c r="N29" s="4" t="e">
        <f t="shared" si="7"/>
        <v>#DIV/0!</v>
      </c>
      <c r="O29" s="4" t="e">
        <f t="shared" si="7"/>
        <v>#DIV/0!</v>
      </c>
      <c r="P29" s="16" t="e">
        <f t="shared" si="7"/>
        <v>#DIV/0!</v>
      </c>
      <c r="Q29" s="26" t="e">
        <f t="shared" si="7"/>
        <v>#DIV/0!</v>
      </c>
      <c r="R29" s="59"/>
      <c r="S29"/>
    </row>
    <row r="30" spans="1:19" x14ac:dyDescent="0.4">
      <c r="A30" s="447"/>
      <c r="B30" s="450"/>
      <c r="C30" s="434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</row>
    <row r="31" spans="1:19" x14ac:dyDescent="0.4">
      <c r="A31" s="447"/>
      <c r="B31" s="450"/>
      <c r="C31" s="452" t="s">
        <v>192</v>
      </c>
      <c r="D31" s="118" t="s">
        <v>13</v>
      </c>
      <c r="E31" s="119"/>
      <c r="F31" s="120"/>
      <c r="G31" s="120"/>
      <c r="H31" s="120"/>
      <c r="I31" s="120"/>
      <c r="J31" s="121"/>
      <c r="K31" s="122"/>
      <c r="L31" s="120"/>
      <c r="M31" s="120"/>
      <c r="N31" s="120"/>
      <c r="O31" s="120"/>
      <c r="P31" s="123"/>
      <c r="Q31" s="124"/>
      <c r="R31" s="465"/>
      <c r="S31" s="68" t="str">
        <f>IFERROR(Q31/R31,"")</f>
        <v/>
      </c>
    </row>
    <row r="32" spans="1:19" x14ac:dyDescent="0.4">
      <c r="A32" s="447"/>
      <c r="B32" s="450"/>
      <c r="C32" s="453"/>
      <c r="D32" s="140" t="s">
        <v>14</v>
      </c>
      <c r="E32" s="146"/>
      <c r="F32" s="141"/>
      <c r="G32" s="141"/>
      <c r="H32" s="141"/>
      <c r="I32" s="141"/>
      <c r="J32" s="144"/>
      <c r="K32" s="146"/>
      <c r="L32" s="141"/>
      <c r="M32" s="141"/>
      <c r="N32" s="141"/>
      <c r="O32" s="141"/>
      <c r="P32" s="142"/>
      <c r="Q32" s="145">
        <f>SUM(E32:P32)</f>
        <v>0</v>
      </c>
      <c r="R32" s="471"/>
      <c r="S32" s="70" t="str">
        <f>IFERROR(Q32/R31,"")</f>
        <v/>
      </c>
    </row>
    <row r="33" spans="1:19" x14ac:dyDescent="0.4">
      <c r="A33" s="447"/>
      <c r="B33" s="450"/>
      <c r="C33" s="435" t="s">
        <v>16</v>
      </c>
      <c r="D33" s="118" t="s">
        <v>13</v>
      </c>
      <c r="E33" s="119"/>
      <c r="F33" s="120"/>
      <c r="G33" s="120"/>
      <c r="H33" s="120"/>
      <c r="I33" s="120"/>
      <c r="J33" s="121"/>
      <c r="K33" s="122"/>
      <c r="L33" s="120"/>
      <c r="M33" s="120"/>
      <c r="N33" s="120"/>
      <c r="O33" s="120"/>
      <c r="P33" s="123"/>
      <c r="Q33" s="124">
        <f>SUM(E33:P33)</f>
        <v>0</v>
      </c>
      <c r="R33" s="465">
        <f>R27-R31</f>
        <v>0</v>
      </c>
      <c r="S33" s="149" t="str">
        <f>IFERROR(Q33/R33,"")</f>
        <v/>
      </c>
    </row>
    <row r="34" spans="1:19" ht="19.5" thickBot="1" x14ac:dyDescent="0.45">
      <c r="A34" s="447"/>
      <c r="B34" s="450"/>
      <c r="C34" s="436"/>
      <c r="D34" s="133" t="s">
        <v>14</v>
      </c>
      <c r="E34" s="134"/>
      <c r="F34" s="135"/>
      <c r="G34" s="135"/>
      <c r="H34" s="135"/>
      <c r="I34" s="135"/>
      <c r="J34" s="136"/>
      <c r="K34" s="137"/>
      <c r="L34" s="135"/>
      <c r="M34" s="135"/>
      <c r="N34" s="135"/>
      <c r="O34" s="135"/>
      <c r="P34" s="138"/>
      <c r="Q34" s="139">
        <f>SUM(E34:P34)</f>
        <v>0</v>
      </c>
      <c r="R34" s="466"/>
      <c r="S34" s="69" t="str">
        <f>IFERROR(Q34/R33,"")</f>
        <v/>
      </c>
    </row>
    <row r="35" spans="1:19" x14ac:dyDescent="0.4">
      <c r="A35" s="447"/>
      <c r="B35" s="450"/>
      <c r="C35" s="436"/>
      <c r="D35" s="21" t="s">
        <v>17</v>
      </c>
      <c r="E35" s="11" t="e">
        <f>E34/E33</f>
        <v>#DIV/0!</v>
      </c>
      <c r="F35" s="4" t="e">
        <f t="shared" ref="F35:Q35" si="8">F34/F33</f>
        <v>#DIV/0!</v>
      </c>
      <c r="G35" s="4" t="e">
        <f t="shared" si="8"/>
        <v>#DIV/0!</v>
      </c>
      <c r="H35" s="4" t="e">
        <f t="shared" si="8"/>
        <v>#DIV/0!</v>
      </c>
      <c r="I35" s="4" t="e">
        <f t="shared" si="8"/>
        <v>#DIV/0!</v>
      </c>
      <c r="J35" s="6" t="e">
        <f t="shared" si="8"/>
        <v>#DIV/0!</v>
      </c>
      <c r="K35" s="8" t="e">
        <f t="shared" si="8"/>
        <v>#DIV/0!</v>
      </c>
      <c r="L35" s="4" t="e">
        <f t="shared" si="8"/>
        <v>#DIV/0!</v>
      </c>
      <c r="M35" s="4" t="e">
        <f t="shared" si="8"/>
        <v>#DIV/0!</v>
      </c>
      <c r="N35" s="4" t="e">
        <f t="shared" si="8"/>
        <v>#DIV/0!</v>
      </c>
      <c r="O35" s="4" t="e">
        <f t="shared" si="8"/>
        <v>#DIV/0!</v>
      </c>
      <c r="P35" s="16" t="e">
        <f t="shared" si="8"/>
        <v>#DIV/0!</v>
      </c>
      <c r="Q35" s="26" t="e">
        <f t="shared" si="8"/>
        <v>#DIV/0!</v>
      </c>
    </row>
    <row r="36" spans="1:19" ht="19.5" thickBot="1" x14ac:dyDescent="0.45">
      <c r="A36" s="448"/>
      <c r="B36" s="451"/>
      <c r="C36" s="437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 t="shared" ref="E37:Q38" si="9">SUM(E7,E17,E27)</f>
        <v>242</v>
      </c>
      <c r="F37" s="127">
        <f t="shared" si="9"/>
        <v>373.74999999999994</v>
      </c>
      <c r="G37" s="128">
        <f t="shared" si="9"/>
        <v>468.04999999999995</v>
      </c>
      <c r="H37" s="127">
        <f t="shared" si="9"/>
        <v>220.79999999999998</v>
      </c>
      <c r="I37" s="127">
        <f t="shared" si="9"/>
        <v>1164.9499999999998</v>
      </c>
      <c r="J37" s="129">
        <f t="shared" si="9"/>
        <v>965.99999999999989</v>
      </c>
      <c r="K37" s="126">
        <f t="shared" si="9"/>
        <v>614.09999999999991</v>
      </c>
      <c r="L37" s="127">
        <f t="shared" si="9"/>
        <v>167.89999999999998</v>
      </c>
      <c r="M37" s="128">
        <f t="shared" si="9"/>
        <v>272.54999999999995</v>
      </c>
      <c r="N37" s="127">
        <f t="shared" si="9"/>
        <v>707.25</v>
      </c>
      <c r="O37" s="127">
        <f t="shared" si="9"/>
        <v>464.59999999999997</v>
      </c>
      <c r="P37" s="129">
        <f t="shared" si="9"/>
        <v>583.04999999999995</v>
      </c>
      <c r="Q37" s="130">
        <f t="shared" si="9"/>
        <v>6245</v>
      </c>
      <c r="R37" s="465">
        <f>SUM(R7,R17,R27)</f>
        <v>5422</v>
      </c>
      <c r="S37" s="68">
        <f>IFERROR(Q37/R37,"")</f>
        <v>1.1517890077462192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 t="shared" ca="1" si="9"/>
        <v>282.72000000000003</v>
      </c>
      <c r="F38" s="135">
        <f t="shared" ca="1" si="9"/>
        <v>242.47499999999999</v>
      </c>
      <c r="G38" s="138">
        <f t="shared" ca="1" si="9"/>
        <v>0</v>
      </c>
      <c r="H38" s="135">
        <f t="shared" ca="1" si="9"/>
        <v>0</v>
      </c>
      <c r="I38" s="135">
        <f t="shared" ca="1" si="9"/>
        <v>0</v>
      </c>
      <c r="J38" s="136">
        <f t="shared" ca="1" si="9"/>
        <v>0</v>
      </c>
      <c r="K38" s="134">
        <f t="shared" ca="1" si="9"/>
        <v>0</v>
      </c>
      <c r="L38" s="135">
        <f t="shared" ca="1" si="9"/>
        <v>0</v>
      </c>
      <c r="M38" s="138">
        <f t="shared" ca="1" si="9"/>
        <v>0</v>
      </c>
      <c r="N38" s="135">
        <f t="shared" ca="1" si="9"/>
        <v>0</v>
      </c>
      <c r="O38" s="135">
        <f t="shared" ca="1" si="9"/>
        <v>0</v>
      </c>
      <c r="P38" s="136">
        <f t="shared" ca="1" si="9"/>
        <v>0</v>
      </c>
      <c r="Q38" s="148">
        <f t="shared" ca="1" si="9"/>
        <v>525.19500000000005</v>
      </c>
      <c r="R38" s="466"/>
      <c r="S38" s="69">
        <f ca="1">IFERROR(Q38/R37,"")</f>
        <v>9.6863703430468476E-2</v>
      </c>
    </row>
    <row r="39" spans="1:19" x14ac:dyDescent="0.4">
      <c r="A39" s="19"/>
      <c r="B39" s="430"/>
      <c r="C39" s="433"/>
      <c r="D39" s="24" t="s">
        <v>17</v>
      </c>
      <c r="E39" s="11">
        <f ca="1">E38/E37</f>
        <v>1.1682644628099175</v>
      </c>
      <c r="F39" s="4">
        <f t="shared" ref="F39:Q39" ca="1" si="10">F38/F37</f>
        <v>0.64876254180602011</v>
      </c>
      <c r="G39" s="16">
        <f t="shared" ca="1" si="10"/>
        <v>0</v>
      </c>
      <c r="H39" s="4">
        <f t="shared" ca="1" si="10"/>
        <v>0</v>
      </c>
      <c r="I39" s="4">
        <f t="shared" ca="1" si="10"/>
        <v>0</v>
      </c>
      <c r="J39" s="6">
        <f t="shared" ca="1" si="10"/>
        <v>0</v>
      </c>
      <c r="K39" s="11">
        <f t="shared" ca="1" si="10"/>
        <v>0</v>
      </c>
      <c r="L39" s="4">
        <f t="shared" ca="1" si="10"/>
        <v>0</v>
      </c>
      <c r="M39" s="16">
        <f t="shared" ca="1" si="10"/>
        <v>0</v>
      </c>
      <c r="N39" s="4">
        <f t="shared" ca="1" si="10"/>
        <v>0</v>
      </c>
      <c r="O39" s="4">
        <f t="shared" ca="1" si="10"/>
        <v>0</v>
      </c>
      <c r="P39" s="6">
        <f t="shared" ca="1" si="10"/>
        <v>0</v>
      </c>
      <c r="Q39" s="26">
        <f t="shared" ca="1" si="10"/>
        <v>8.4098478783026426E-2</v>
      </c>
    </row>
    <row r="40" spans="1:19" x14ac:dyDescent="0.4">
      <c r="A40" s="19"/>
      <c r="B40" s="430"/>
      <c r="C40" s="434"/>
      <c r="D40" s="25" t="s">
        <v>18</v>
      </c>
      <c r="E40" s="12">
        <f ca="1">SUM($E38:E38)/SUM($E37:E37)</f>
        <v>1.1682644628099175</v>
      </c>
      <c r="F40" s="5">
        <f ca="1">SUM($E38:F38)/SUM($E37:F37)</f>
        <v>0.85293544457978088</v>
      </c>
      <c r="G40" s="17">
        <f ca="1">SUM($E38:G38)/SUM($E37:G37)</f>
        <v>0.48458663960140252</v>
      </c>
      <c r="H40" s="5">
        <f ca="1">SUM($E38:H38)/SUM($E37:H37)</f>
        <v>0.4025716694772345</v>
      </c>
      <c r="I40" s="5">
        <f ca="1">SUM($E38:I38)/SUM($E37:I37)</f>
        <v>0.21266829989269304</v>
      </c>
      <c r="J40" s="13">
        <f ca="1">SUM($E38:J38)/SUM($E37:J37)</f>
        <v>0.15287071938990848</v>
      </c>
      <c r="K40" s="12">
        <f ca="1">SUM($E38:K38)/SUM($E37:K37)</f>
        <v>0.12968898546787996</v>
      </c>
      <c r="L40" s="5">
        <f ca="1">SUM($E38:L38)/SUM($E37:L37)</f>
        <v>0.12452608742042184</v>
      </c>
      <c r="M40" s="17">
        <f ca="1">SUM($E38:M38)/SUM($E37:M37)</f>
        <v>0.11696732812186814</v>
      </c>
      <c r="N40" s="5">
        <f ca="1">SUM($E38:N38)/SUM($E37:N37)</f>
        <v>0.10105053536898614</v>
      </c>
      <c r="O40" s="5">
        <f ca="1">SUM($E38:O38)/SUM($E37:O37)</f>
        <v>9.2758678547143661E-2</v>
      </c>
      <c r="P40" s="13">
        <f ca="1">SUM($E38:P38)/SUM($E37:P37)</f>
        <v>8.4098478783026426E-2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 t="shared" ref="E41:Q42" si="11">SUM(E13,E23,E33)</f>
        <v>64</v>
      </c>
      <c r="F41" s="113">
        <f t="shared" si="11"/>
        <v>100.91249999999997</v>
      </c>
      <c r="G41" s="116">
        <f t="shared" si="11"/>
        <v>126.37349999999998</v>
      </c>
      <c r="H41" s="113">
        <f t="shared" si="11"/>
        <v>59.615999999999985</v>
      </c>
      <c r="I41" s="113">
        <f t="shared" si="11"/>
        <v>314.53649999999993</v>
      </c>
      <c r="J41" s="114">
        <f t="shared" si="11"/>
        <v>260.81999999999994</v>
      </c>
      <c r="K41" s="112">
        <f t="shared" si="11"/>
        <v>165.80699999999996</v>
      </c>
      <c r="L41" s="113">
        <f t="shared" si="11"/>
        <v>45.332999999999998</v>
      </c>
      <c r="M41" s="116">
        <f t="shared" si="11"/>
        <v>73.588499999999982</v>
      </c>
      <c r="N41" s="113">
        <f t="shared" si="11"/>
        <v>190.95749999999998</v>
      </c>
      <c r="O41" s="113">
        <f t="shared" si="11"/>
        <v>125.44200000000001</v>
      </c>
      <c r="P41" s="114">
        <f t="shared" si="11"/>
        <v>157.42349999999999</v>
      </c>
      <c r="Q41" s="132">
        <f t="shared" si="11"/>
        <v>1684.81</v>
      </c>
      <c r="R41" s="465">
        <f>SUM(R13,R23,R33)</f>
        <v>1470</v>
      </c>
      <c r="S41" s="68">
        <f>IFERROR(Q41/R41,"")</f>
        <v>1.1461292517006803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 t="shared" ca="1" si="11"/>
        <v>75.39100000000002</v>
      </c>
      <c r="F42" s="135">
        <f t="shared" ca="1" si="11"/>
        <v>64.766999999999996</v>
      </c>
      <c r="G42" s="138">
        <f t="shared" ca="1" si="11"/>
        <v>0</v>
      </c>
      <c r="H42" s="135">
        <f t="shared" ca="1" si="11"/>
        <v>0</v>
      </c>
      <c r="I42" s="135">
        <f t="shared" ca="1" si="11"/>
        <v>0</v>
      </c>
      <c r="J42" s="136">
        <f t="shared" ca="1" si="11"/>
        <v>0</v>
      </c>
      <c r="K42" s="134">
        <f t="shared" ca="1" si="11"/>
        <v>0</v>
      </c>
      <c r="L42" s="135">
        <f t="shared" ca="1" si="11"/>
        <v>0</v>
      </c>
      <c r="M42" s="138">
        <f t="shared" ca="1" si="11"/>
        <v>0</v>
      </c>
      <c r="N42" s="135">
        <f t="shared" ca="1" si="11"/>
        <v>0</v>
      </c>
      <c r="O42" s="135">
        <f t="shared" ca="1" si="11"/>
        <v>0</v>
      </c>
      <c r="P42" s="136">
        <f t="shared" ca="1" si="11"/>
        <v>0</v>
      </c>
      <c r="Q42" s="148">
        <f t="shared" ca="1" si="11"/>
        <v>140.15800000000002</v>
      </c>
      <c r="R42" s="466"/>
      <c r="S42" s="69">
        <f ca="1">IFERROR(Q42/R41,"")</f>
        <v>9.5345578231292527E-2</v>
      </c>
    </row>
    <row r="43" spans="1:19" x14ac:dyDescent="0.4">
      <c r="A43" s="19"/>
      <c r="B43" s="430"/>
      <c r="C43" s="436"/>
      <c r="D43" s="24" t="s">
        <v>17</v>
      </c>
      <c r="E43" s="11">
        <f ca="1">E42/E41</f>
        <v>1.1779843750000003</v>
      </c>
      <c r="F43" s="4">
        <f t="shared" ref="F43:Q43" ca="1" si="12">F42/F41</f>
        <v>0.64181345224823505</v>
      </c>
      <c r="G43" s="16">
        <f t="shared" ca="1" si="12"/>
        <v>0</v>
      </c>
      <c r="H43" s="4">
        <f t="shared" ca="1" si="12"/>
        <v>0</v>
      </c>
      <c r="I43" s="4">
        <f t="shared" ca="1" si="12"/>
        <v>0</v>
      </c>
      <c r="J43" s="6">
        <f t="shared" ca="1" si="12"/>
        <v>0</v>
      </c>
      <c r="K43" s="11">
        <f t="shared" ca="1" si="12"/>
        <v>0</v>
      </c>
      <c r="L43" s="4">
        <f t="shared" ca="1" si="12"/>
        <v>0</v>
      </c>
      <c r="M43" s="16">
        <f t="shared" ca="1" si="12"/>
        <v>0</v>
      </c>
      <c r="N43" s="4">
        <f t="shared" ca="1" si="12"/>
        <v>0</v>
      </c>
      <c r="O43" s="4">
        <f t="shared" ca="1" si="12"/>
        <v>0</v>
      </c>
      <c r="P43" s="6">
        <f t="shared" ca="1" si="12"/>
        <v>0</v>
      </c>
      <c r="Q43" s="26">
        <f t="shared" ca="1" si="12"/>
        <v>8.3189202343290941E-2</v>
      </c>
    </row>
    <row r="44" spans="1:19" ht="19.5" thickBot="1" x14ac:dyDescent="0.45">
      <c r="A44" s="19"/>
      <c r="B44" s="431"/>
      <c r="C44" s="437"/>
      <c r="D44" s="30" t="s">
        <v>18</v>
      </c>
      <c r="E44" s="14">
        <f ca="1">SUM($E42:E42)/SUM($E41:E41)</f>
        <v>1.1779843750000003</v>
      </c>
      <c r="F44" s="7">
        <f ca="1">SUM($E42:F42)/SUM($E41:F41)</f>
        <v>0.84989312514212112</v>
      </c>
      <c r="G44" s="18">
        <f ca="1">SUM($E42:G42)/SUM($E41:G41)</f>
        <v>0.48116970949513549</v>
      </c>
      <c r="H44" s="7">
        <f ca="1">SUM($E42:H42)/SUM($E41:H41)</f>
        <v>0.3994220608602973</v>
      </c>
      <c r="I44" s="7">
        <f ca="1">SUM($E42:I42)/SUM($E41:I41)</f>
        <v>0.21062502395037264</v>
      </c>
      <c r="J44" s="15">
        <f ca="1">SUM($E42:J42)/SUM($E41:J41)</f>
        <v>0.15131629021488066</v>
      </c>
      <c r="K44" s="14">
        <f ca="1">SUM($E42:K42)/SUM($E41:K41)</f>
        <v>0.12834211867328477</v>
      </c>
      <c r="L44" s="7">
        <f ca="1">SUM($E42:L42)/SUM($E41:L41)</f>
        <v>0.1232268197997448</v>
      </c>
      <c r="M44" s="18">
        <f ca="1">SUM($E42:M42)/SUM($E41:M41)</f>
        <v>0.11573864954784818</v>
      </c>
      <c r="N44" s="7">
        <f ca="1">SUM($E42:N42)/SUM($E41:N41)</f>
        <v>9.9974000397305335E-2</v>
      </c>
      <c r="O44" s="7">
        <f ca="1">SUM($E42:O42)/SUM($E41:O41)</f>
        <v>9.1763283229228512E-2</v>
      </c>
      <c r="P44" s="15">
        <f ca="1">SUM($E42:P42)/SUM($E41:P41)</f>
        <v>8.3189202343290941E-2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23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93"/>
      <c r="F48" s="74"/>
      <c r="G48" s="74"/>
      <c r="H48" s="74"/>
      <c r="I48" s="74" t="s">
        <v>173</v>
      </c>
      <c r="J48" s="95" t="s">
        <v>173</v>
      </c>
      <c r="K48" s="97" t="s">
        <v>173</v>
      </c>
      <c r="L48" s="74"/>
      <c r="M48" s="95"/>
      <c r="N48" s="74"/>
      <c r="O48" s="74"/>
      <c r="P48" s="74"/>
    </row>
    <row r="49" spans="1:16" ht="39" customHeight="1" x14ac:dyDescent="0.4">
      <c r="A49" s="424"/>
      <c r="B49" s="425"/>
      <c r="C49" s="484" t="str">
        <f>A7</f>
        <v>イギリス
VVR</v>
      </c>
      <c r="D49" s="81" t="s">
        <v>38</v>
      </c>
      <c r="E49" s="82"/>
      <c r="F49" s="83"/>
      <c r="G49" s="83"/>
      <c r="H49" s="83"/>
      <c r="I49" s="83" t="s">
        <v>174</v>
      </c>
      <c r="J49" s="83" t="s">
        <v>174</v>
      </c>
      <c r="K49" s="82" t="s">
        <v>175</v>
      </c>
      <c r="L49" s="83"/>
      <c r="M49" s="83"/>
      <c r="N49" s="83"/>
      <c r="O49" s="83"/>
      <c r="P49" s="84"/>
    </row>
    <row r="50" spans="1:16" ht="39" customHeight="1" x14ac:dyDescent="0.4">
      <c r="A50" s="424"/>
      <c r="B50" s="425"/>
      <c r="C50" s="485"/>
      <c r="D50" s="85" t="s">
        <v>36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 x14ac:dyDescent="0.45">
      <c r="A51" s="424"/>
      <c r="B51" s="425"/>
      <c r="C51" s="151" t="str">
        <f>B7</f>
        <v>リボン・テープ等</v>
      </c>
      <c r="D51" s="89" t="s">
        <v>37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 x14ac:dyDescent="0.4">
      <c r="A53" s="424"/>
      <c r="B53" s="425"/>
      <c r="C53" s="484" t="str">
        <f>A17</f>
        <v>　</v>
      </c>
      <c r="D53" s="81" t="s">
        <v>38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 x14ac:dyDescent="0.4">
      <c r="A54" s="424"/>
      <c r="B54" s="425"/>
      <c r="C54" s="485"/>
      <c r="D54" s="85" t="s">
        <v>36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 x14ac:dyDescent="0.45">
      <c r="A55" s="424"/>
      <c r="B55" s="425"/>
      <c r="C55" s="151" t="str">
        <f>B17</f>
        <v>　</v>
      </c>
      <c r="D55" s="89" t="s">
        <v>37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74"/>
    </row>
    <row r="57" spans="1:16" ht="39" customHeight="1" x14ac:dyDescent="0.4">
      <c r="A57" s="424"/>
      <c r="B57" s="425"/>
      <c r="C57" s="484" t="str">
        <f>A27</f>
        <v>　</v>
      </c>
      <c r="D57" s="81" t="s">
        <v>38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 x14ac:dyDescent="0.4">
      <c r="A58" s="424"/>
      <c r="B58" s="425"/>
      <c r="C58" s="485"/>
      <c r="D58" s="85" t="s">
        <v>36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 x14ac:dyDescent="0.45">
      <c r="A59" s="426"/>
      <c r="B59" s="427"/>
      <c r="C59" s="151" t="str">
        <f>B27</f>
        <v>　</v>
      </c>
      <c r="D59" s="89" t="s">
        <v>37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923F7-D546-43E5-B86C-51D5128B13EA}">
  <sheetPr codeName="Sheet14">
    <tabColor theme="5" tint="0.79998168889431442"/>
  </sheetPr>
  <dimension ref="A1:R400"/>
  <sheetViews>
    <sheetView workbookViewId="0">
      <selection activeCell="E14" sqref="E14:P14"/>
    </sheetView>
  </sheetViews>
  <sheetFormatPr defaultColWidth="9" defaultRowHeight="18.75" x14ac:dyDescent="0.4"/>
  <cols>
    <col min="1" max="2" width="15.875" style="162" customWidth="1"/>
    <col min="3" max="4" width="15.875" style="160" customWidth="1"/>
    <col min="5" max="5" width="9" style="208"/>
    <col min="6" max="6" width="15.625" style="160" customWidth="1"/>
    <col min="7" max="7" width="15.625" style="161" customWidth="1"/>
    <col min="8" max="8" width="9" style="162"/>
    <col min="9" max="9" width="5.25" style="168" bestFit="1" customWidth="1"/>
    <col min="10" max="10" width="14.5" style="164" customWidth="1"/>
    <col min="11" max="11" width="14.5" style="165" customWidth="1"/>
    <col min="12" max="12" width="5.25" style="165" bestFit="1" customWidth="1"/>
    <col min="13" max="15" width="14.5" style="165" customWidth="1"/>
    <col min="16" max="16" width="7.125" style="167" bestFit="1" customWidth="1"/>
    <col min="17" max="19" width="15.625" style="162" customWidth="1"/>
    <col min="20" max="16384" width="9" style="162"/>
  </cols>
  <sheetData>
    <row r="1" spans="1:18" ht="18.75" customHeight="1" x14ac:dyDescent="0.4">
      <c r="A1" s="492" t="s">
        <v>218</v>
      </c>
      <c r="B1" s="492"/>
      <c r="C1" s="492"/>
      <c r="D1" s="492"/>
      <c r="E1" s="492"/>
      <c r="I1" s="163" t="s">
        <v>219</v>
      </c>
      <c r="M1" s="163"/>
      <c r="N1" s="166"/>
      <c r="O1" s="166"/>
    </row>
    <row r="2" spans="1:18" ht="18.75" customHeight="1" x14ac:dyDescent="0.4">
      <c r="A2" s="492"/>
      <c r="B2" s="492"/>
      <c r="C2" s="492"/>
      <c r="D2" s="492"/>
      <c r="E2" s="492"/>
      <c r="J2" s="169" t="s">
        <v>220</v>
      </c>
      <c r="K2" s="169" t="s">
        <v>221</v>
      </c>
      <c r="L2" s="166"/>
      <c r="M2" s="170" t="s">
        <v>222</v>
      </c>
      <c r="N2" s="170" t="s">
        <v>223</v>
      </c>
      <c r="O2" s="170" t="s">
        <v>224</v>
      </c>
      <c r="P2" s="171" t="s">
        <v>225</v>
      </c>
    </row>
    <row r="3" spans="1:18" ht="18.75" customHeight="1" x14ac:dyDescent="0.4">
      <c r="A3" s="172" t="s">
        <v>226</v>
      </c>
      <c r="B3" s="173"/>
      <c r="C3" s="173"/>
      <c r="D3" s="173"/>
      <c r="E3" s="173"/>
      <c r="F3" s="174"/>
      <c r="G3" s="175"/>
      <c r="H3" s="175"/>
      <c r="I3" s="176"/>
      <c r="J3" s="169">
        <v>0.5</v>
      </c>
      <c r="K3" s="169">
        <v>-0.5</v>
      </c>
      <c r="L3" s="177"/>
      <c r="M3" s="178" t="str">
        <f>VVR!A7</f>
        <v>イギリス
VVR</v>
      </c>
      <c r="N3" s="179"/>
      <c r="O3" s="179"/>
      <c r="P3" s="171">
        <v>0.6</v>
      </c>
    </row>
    <row r="4" spans="1:18" x14ac:dyDescent="0.4">
      <c r="A4" s="180" t="s">
        <v>227</v>
      </c>
      <c r="B4" s="162" t="s">
        <v>228</v>
      </c>
      <c r="C4" s="181" t="s">
        <v>227</v>
      </c>
      <c r="D4" s="182" t="s">
        <v>227</v>
      </c>
      <c r="E4" s="183" t="s">
        <v>227</v>
      </c>
      <c r="F4" s="181" t="s">
        <v>227</v>
      </c>
      <c r="G4" s="184" t="s">
        <v>227</v>
      </c>
      <c r="H4" s="183" t="s">
        <v>227</v>
      </c>
      <c r="I4" s="185"/>
      <c r="J4" s="186" t="s">
        <v>230</v>
      </c>
      <c r="K4" s="187"/>
      <c r="L4" s="188"/>
      <c r="M4" s="186" t="s">
        <v>229</v>
      </c>
      <c r="N4" s="187"/>
      <c r="O4" s="185"/>
      <c r="P4" s="187"/>
    </row>
    <row r="5" spans="1:18" x14ac:dyDescent="0.4">
      <c r="A5" s="175" t="s">
        <v>231</v>
      </c>
      <c r="B5" s="175" t="s">
        <v>232</v>
      </c>
      <c r="C5" s="189" t="s">
        <v>233</v>
      </c>
      <c r="D5" s="174" t="s">
        <v>234</v>
      </c>
      <c r="E5" s="190" t="s">
        <v>235</v>
      </c>
      <c r="F5" s="189" t="s">
        <v>236</v>
      </c>
      <c r="G5" s="191" t="s">
        <v>237</v>
      </c>
      <c r="H5" s="192" t="s">
        <v>238</v>
      </c>
      <c r="I5" s="193" t="s">
        <v>239</v>
      </c>
      <c r="J5" s="194" t="s">
        <v>240</v>
      </c>
      <c r="K5" s="195" t="s">
        <v>241</v>
      </c>
      <c r="L5" s="196" t="s">
        <v>239</v>
      </c>
      <c r="M5" s="197" t="s">
        <v>242</v>
      </c>
      <c r="N5" s="195" t="s">
        <v>243</v>
      </c>
      <c r="O5" s="196" t="s">
        <v>244</v>
      </c>
      <c r="P5" s="198" t="s">
        <v>245</v>
      </c>
    </row>
    <row r="6" spans="1:18" x14ac:dyDescent="0.4">
      <c r="A6" s="162" t="s">
        <v>364</v>
      </c>
      <c r="B6" s="162">
        <v>6198</v>
      </c>
      <c r="C6" s="199">
        <v>6410</v>
      </c>
      <c r="D6" s="200">
        <v>0</v>
      </c>
      <c r="E6" s="201" t="s">
        <v>247</v>
      </c>
      <c r="F6" s="199">
        <v>9580</v>
      </c>
      <c r="G6" s="161">
        <v>45450</v>
      </c>
      <c r="H6" s="202" t="s">
        <v>247</v>
      </c>
      <c r="I6" s="185" t="str">
        <f>IF(H6="","",IF(H6="JPY","",IF($H6="USD",4, IF(H6="EUR",7,IF(H6="CNY",47,IF(H6="HKD",34))))))</f>
        <v/>
      </c>
      <c r="J6" s="203" t="str">
        <f>IF($H6="USD",IF(OR($I6="",$I6="-"),"",VLOOKUP($G6,為替!$A:$AX,$I6,FALSE))+$J$3,IF(OR($I6="",$I6="-"),"",VLOOKUP($G6,為替!$A:$AX,$I6,FALSE)))</f>
        <v/>
      </c>
      <c r="K6" s="204">
        <f>IF($H6="JPY",$F6,IF($H6="","",$F6*$J6))</f>
        <v>9580</v>
      </c>
      <c r="L6" s="188" t="str">
        <f>IF(H6="","",IF(H6="JPY","",IF($H6="USD",3, IF(H6="EUR",6,IF(H6="CNY",46,IF(H6="HKD",33))))))</f>
        <v/>
      </c>
      <c r="M6" s="203" t="str">
        <f>IF($H6="USD",IF(OR($L6="",$L6="-"),"",VLOOKUP($G6,為替!$A:$AX,$L6,FALSE))+$K$3,IF(OR($L6="",$L6="-"),"",VLOOKUP($G6,為替!$A:$AX,$L6,FALSE)))</f>
        <v/>
      </c>
      <c r="N6" s="204">
        <f>IF($E6="JPY",($C6+$D6),IF($E6="","",($C6+$D6)*$M6))</f>
        <v>6410</v>
      </c>
      <c r="O6" s="205">
        <f t="shared" ref="O6:O69" si="0">IF(OR(K6="",N6=""),"",K6-N6)</f>
        <v>3170</v>
      </c>
      <c r="P6" s="206">
        <f>IF(OR(K6="",O6=""),"",O6/K6)</f>
        <v>0.33089770354906056</v>
      </c>
    </row>
    <row r="7" spans="1:18" x14ac:dyDescent="0.4">
      <c r="A7" s="162" t="s">
        <v>364</v>
      </c>
      <c r="B7" s="162">
        <v>6239</v>
      </c>
      <c r="C7" s="199">
        <v>200919</v>
      </c>
      <c r="D7" s="200">
        <v>0</v>
      </c>
      <c r="E7" s="201" t="s">
        <v>247</v>
      </c>
      <c r="F7" s="199">
        <v>273140</v>
      </c>
      <c r="G7" s="161">
        <v>45464</v>
      </c>
      <c r="H7" s="202" t="s">
        <v>247</v>
      </c>
      <c r="I7" s="185" t="str">
        <f t="shared" ref="I7:I70" si="1">IF(H7="","",IF(H7="JPY","",IF($H7="USD",4, IF(H7="EUR",7,IF(H7="CNY",47,IF(H7="HKD",34))))))</f>
        <v/>
      </c>
      <c r="J7" s="203" t="str">
        <f>IF($H7="USD",IF(OR($I7="",$I7="-"),"",VLOOKUP($G7,為替!$A:$AX,$I7,FALSE))+$J$3,IF(OR($I7="",$I7="-"),"",VLOOKUP($G7,為替!$A:$AX,$I7,FALSE)))</f>
        <v/>
      </c>
      <c r="K7" s="204">
        <f t="shared" ref="K7:K70" si="2">IF($H7="JPY",$F7,IF($H7="","",$F7*$J7))</f>
        <v>273140</v>
      </c>
      <c r="L7" s="188" t="str">
        <f t="shared" ref="L7:L70" si="3">IF(H7="","",IF(H7="JPY","",IF($H7="USD",3, IF(H7="EUR",6,IF(H7="CNY",46,IF(H7="HKD",33))))))</f>
        <v/>
      </c>
      <c r="M7" s="203" t="str">
        <f>IF($H7="USD",IF(OR($L7="",$L7="-"),"",VLOOKUP($G7,為替!$A:$AX,$L7,FALSE))+$K$3,IF(OR($L7="",$L7="-"),"",VLOOKUP($G7,為替!$A:$AX,$L7,FALSE)))</f>
        <v/>
      </c>
      <c r="N7" s="204">
        <f t="shared" ref="N7:N70" si="4">IF($E7="JPY",($C7+$D7),IF($E7="","",($C7+$D7)*$M7))</f>
        <v>200919</v>
      </c>
      <c r="O7" s="205">
        <f t="shared" si="0"/>
        <v>72221</v>
      </c>
      <c r="P7" s="206">
        <f t="shared" ref="P7:P70" si="5">IF(OR(K7="",O7=""),"",O7/K7)</f>
        <v>0.26441019257523612</v>
      </c>
      <c r="R7" s="207"/>
    </row>
    <row r="8" spans="1:18" x14ac:dyDescent="0.4">
      <c r="A8" s="162" t="s">
        <v>364</v>
      </c>
      <c r="B8" s="162">
        <v>6261</v>
      </c>
      <c r="C8" s="199">
        <v>97508</v>
      </c>
      <c r="D8" s="200">
        <v>0</v>
      </c>
      <c r="E8" s="201" t="s">
        <v>247</v>
      </c>
      <c r="F8" s="199">
        <v>135655</v>
      </c>
      <c r="G8" s="161">
        <v>45478</v>
      </c>
      <c r="H8" s="202" t="s">
        <v>247</v>
      </c>
      <c r="I8" s="185" t="str">
        <f t="shared" si="1"/>
        <v/>
      </c>
      <c r="J8" s="203" t="str">
        <f>IF($H8="USD",IF(OR($I8="",$I8="-"),"",VLOOKUP($G8,為替!$A:$AX,$I8,FALSE))+$J$3,IF(OR($I8="",$I8="-"),"",VLOOKUP($G8,為替!$A:$AX,$I8,FALSE)))</f>
        <v/>
      </c>
      <c r="K8" s="204">
        <f t="shared" si="2"/>
        <v>135655</v>
      </c>
      <c r="L8" s="188" t="str">
        <f t="shared" si="3"/>
        <v/>
      </c>
      <c r="M8" s="203" t="str">
        <f>IF($H8="USD",IF(OR($L8="",$L8="-"),"",VLOOKUP($G8,為替!$A:$AX,$L8,FALSE))+$K$3,IF(OR($L8="",$L8="-"),"",VLOOKUP($G8,為替!$A:$AX,$L8,FALSE)))</f>
        <v/>
      </c>
      <c r="N8" s="204">
        <f t="shared" si="4"/>
        <v>97508</v>
      </c>
      <c r="O8" s="205">
        <f t="shared" si="0"/>
        <v>38147</v>
      </c>
      <c r="P8" s="206">
        <f t="shared" si="5"/>
        <v>0.28120600051601491</v>
      </c>
    </row>
    <row r="9" spans="1:18" x14ac:dyDescent="0.4">
      <c r="A9" s="162" t="s">
        <v>364</v>
      </c>
      <c r="B9" s="162">
        <v>6308</v>
      </c>
      <c r="C9" s="199">
        <v>80200</v>
      </c>
      <c r="D9" s="200">
        <v>0</v>
      </c>
      <c r="E9" s="201" t="s">
        <v>247</v>
      </c>
      <c r="F9" s="199">
        <v>106820</v>
      </c>
      <c r="G9" s="161">
        <v>45492</v>
      </c>
      <c r="H9" s="202" t="s">
        <v>247</v>
      </c>
      <c r="I9" s="185" t="str">
        <f t="shared" si="1"/>
        <v/>
      </c>
      <c r="J9" s="203" t="str">
        <f>IF($H9="USD",IF(OR($I9="",$I9="-"),"",VLOOKUP($G9,為替!$A:$AX,$I9,FALSE))+$J$3,IF(OR($I9="",$I9="-"),"",VLOOKUP($G9,為替!$A:$AX,$I9,FALSE)))</f>
        <v/>
      </c>
      <c r="K9" s="204">
        <f t="shared" si="2"/>
        <v>106820</v>
      </c>
      <c r="L9" s="188" t="str">
        <f t="shared" si="3"/>
        <v/>
      </c>
      <c r="M9" s="203" t="str">
        <f>IF($H9="USD",IF(OR($L9="",$L9="-"),"",VLOOKUP($G9,為替!$A:$AX,$L9,FALSE))+$K$3,IF(OR($L9="",$L9="-"),"",VLOOKUP($G9,為替!$A:$AX,$L9,FALSE)))</f>
        <v/>
      </c>
      <c r="N9" s="204">
        <f t="shared" si="4"/>
        <v>80200</v>
      </c>
      <c r="O9" s="205">
        <f t="shared" si="0"/>
        <v>26620</v>
      </c>
      <c r="P9" s="206">
        <f t="shared" si="5"/>
        <v>0.24920426886350872</v>
      </c>
    </row>
    <row r="10" spans="1:18" x14ac:dyDescent="0.4">
      <c r="C10" s="199"/>
      <c r="D10" s="200"/>
      <c r="E10" s="201"/>
      <c r="F10" s="199"/>
      <c r="H10" s="202"/>
      <c r="I10" s="185" t="str">
        <f t="shared" si="1"/>
        <v/>
      </c>
      <c r="J10" s="203" t="str">
        <f>IF($H10="USD",IF(OR($I10="",$I10="-"),"",VLOOKUP($G10,為替!$A:$AX,$I10,FALSE))+$J$3,IF(OR($I10="",$I10="-"),"",VLOOKUP($G10,為替!$A:$AX,$I10,FALSE)))</f>
        <v/>
      </c>
      <c r="K10" s="204" t="str">
        <f t="shared" si="2"/>
        <v/>
      </c>
      <c r="L10" s="188" t="str">
        <f t="shared" si="3"/>
        <v/>
      </c>
      <c r="M10" s="203" t="str">
        <f>IF($H10="USD",IF(OR($L10="",$L10="-"),"",VLOOKUP($G10,為替!$A:$AX,$L10,FALSE))+$K$3,IF(OR($L10="",$L10="-"),"",VLOOKUP($G10,為替!$A:$AX,$L10,FALSE)))</f>
        <v/>
      </c>
      <c r="N10" s="204" t="str">
        <f t="shared" si="4"/>
        <v/>
      </c>
      <c r="O10" s="205" t="str">
        <f t="shared" si="0"/>
        <v/>
      </c>
      <c r="P10" s="206" t="str">
        <f t="shared" si="5"/>
        <v/>
      </c>
    </row>
    <row r="11" spans="1:18" x14ac:dyDescent="0.4">
      <c r="C11" s="199"/>
      <c r="D11" s="200"/>
      <c r="E11" s="201"/>
      <c r="F11" s="199"/>
      <c r="H11" s="202"/>
      <c r="I11" s="185" t="str">
        <f t="shared" si="1"/>
        <v/>
      </c>
      <c r="J11" s="203" t="str">
        <f>IF($H11="USD",IF(OR($I11="",$I11="-"),"",VLOOKUP($G11,為替!$A:$AX,$I11,FALSE))+$J$3,IF(OR($I11="",$I11="-"),"",VLOOKUP($G11,為替!$A:$AX,$I11,FALSE)))</f>
        <v/>
      </c>
      <c r="K11" s="204" t="str">
        <f t="shared" si="2"/>
        <v/>
      </c>
      <c r="L11" s="188" t="str">
        <f t="shared" si="3"/>
        <v/>
      </c>
      <c r="M11" s="203" t="str">
        <f>IF($H11="USD",IF(OR($L11="",$L11="-"),"",VLOOKUP($G11,為替!$A:$AX,$L11,FALSE))+$K$3,IF(OR($L11="",$L11="-"),"",VLOOKUP($G11,為替!$A:$AX,$L11,FALSE)))</f>
        <v/>
      </c>
      <c r="N11" s="204" t="str">
        <f t="shared" si="4"/>
        <v/>
      </c>
      <c r="O11" s="205" t="str">
        <f t="shared" si="0"/>
        <v/>
      </c>
      <c r="P11" s="206" t="str">
        <f t="shared" si="5"/>
        <v/>
      </c>
    </row>
    <row r="12" spans="1:18" x14ac:dyDescent="0.4">
      <c r="C12" s="199"/>
      <c r="D12" s="200"/>
      <c r="E12" s="201"/>
      <c r="F12" s="199"/>
      <c r="H12" s="202"/>
      <c r="I12" s="185" t="str">
        <f t="shared" si="1"/>
        <v/>
      </c>
      <c r="J12" s="203" t="str">
        <f>IF($H12="USD",IF(OR($I12="",$I12="-"),"",VLOOKUP($G12,為替!$A:$AX,$I12,FALSE))+$J$3,IF(OR($I12="",$I12="-"),"",VLOOKUP($G12,為替!$A:$AX,$I12,FALSE)))</f>
        <v/>
      </c>
      <c r="K12" s="204" t="str">
        <f t="shared" si="2"/>
        <v/>
      </c>
      <c r="L12" s="188" t="str">
        <f t="shared" si="3"/>
        <v/>
      </c>
      <c r="M12" s="203" t="str">
        <f>IF($H12="USD",IF(OR($L12="",$L12="-"),"",VLOOKUP($G12,為替!$A:$AX,$L12,FALSE))+$K$3,IF(OR($L12="",$L12="-"),"",VLOOKUP($G12,為替!$A:$AX,$L12,FALSE)))</f>
        <v/>
      </c>
      <c r="N12" s="204" t="str">
        <f t="shared" si="4"/>
        <v/>
      </c>
      <c r="O12" s="205" t="str">
        <f t="shared" si="0"/>
        <v/>
      </c>
      <c r="P12" s="206" t="str">
        <f t="shared" si="5"/>
        <v/>
      </c>
    </row>
    <row r="13" spans="1:18" x14ac:dyDescent="0.4">
      <c r="C13" s="199"/>
      <c r="D13" s="200"/>
      <c r="E13" s="201"/>
      <c r="F13" s="199"/>
      <c r="H13" s="202"/>
      <c r="I13" s="185" t="str">
        <f t="shared" si="1"/>
        <v/>
      </c>
      <c r="J13" s="203" t="str">
        <f>IF($H13="USD",IF(OR($I13="",$I13="-"),"",VLOOKUP($G13,為替!$A:$AX,$I13,FALSE))+$J$3,IF(OR($I13="",$I13="-"),"",VLOOKUP($G13,為替!$A:$AX,$I13,FALSE)))</f>
        <v/>
      </c>
      <c r="K13" s="204" t="str">
        <f t="shared" si="2"/>
        <v/>
      </c>
      <c r="L13" s="188" t="str">
        <f t="shared" si="3"/>
        <v/>
      </c>
      <c r="M13" s="203" t="str">
        <f>IF($H13="USD",IF(OR($L13="",$L13="-"),"",VLOOKUP($G13,為替!$A:$AX,$L13,FALSE))+$K$3,IF(OR($L13="",$L13="-"),"",VLOOKUP($G13,為替!$A:$AX,$L13,FALSE)))</f>
        <v/>
      </c>
      <c r="N13" s="204" t="str">
        <f t="shared" si="4"/>
        <v/>
      </c>
      <c r="O13" s="205" t="str">
        <f t="shared" si="0"/>
        <v/>
      </c>
      <c r="P13" s="206" t="str">
        <f t="shared" si="5"/>
        <v/>
      </c>
    </row>
    <row r="14" spans="1:18" x14ac:dyDescent="0.4">
      <c r="C14" s="199"/>
      <c r="D14" s="200"/>
      <c r="E14" s="201"/>
      <c r="F14" s="199"/>
      <c r="H14" s="202"/>
      <c r="I14" s="185" t="str">
        <f t="shared" si="1"/>
        <v/>
      </c>
      <c r="J14" s="203" t="str">
        <f>IF($H14="USD",IF(OR($I14="",$I14="-"),"",VLOOKUP($G14,為替!$A:$AX,$I14,FALSE))+$J$3,IF(OR($I14="",$I14="-"),"",VLOOKUP($G14,為替!$A:$AX,$I14,FALSE)))</f>
        <v/>
      </c>
      <c r="K14" s="204" t="str">
        <f t="shared" si="2"/>
        <v/>
      </c>
      <c r="L14" s="188" t="str">
        <f t="shared" si="3"/>
        <v/>
      </c>
      <c r="M14" s="203" t="str">
        <f>IF($H14="USD",IF(OR($L14="",$L14="-"),"",VLOOKUP($G14,為替!$A:$AX,$L14,FALSE))+$K$3,IF(OR($L14="",$L14="-"),"",VLOOKUP($G14,為替!$A:$AX,$L14,FALSE)))</f>
        <v/>
      </c>
      <c r="N14" s="204" t="str">
        <f t="shared" si="4"/>
        <v/>
      </c>
      <c r="O14" s="205" t="str">
        <f t="shared" si="0"/>
        <v/>
      </c>
      <c r="P14" s="206" t="str">
        <f t="shared" si="5"/>
        <v/>
      </c>
    </row>
    <row r="15" spans="1:18" x14ac:dyDescent="0.4">
      <c r="C15" s="199"/>
      <c r="D15" s="200"/>
      <c r="E15" s="201"/>
      <c r="F15" s="199"/>
      <c r="H15" s="202"/>
      <c r="I15" s="185" t="str">
        <f t="shared" si="1"/>
        <v/>
      </c>
      <c r="J15" s="203" t="str">
        <f>IF($H15="USD",IF(OR($I15="",$I15="-"),"",VLOOKUP($G15,為替!$A:$AX,$I15,FALSE))+$J$3,IF(OR($I15="",$I15="-"),"",VLOOKUP($G15,為替!$A:$AX,$I15,FALSE)))</f>
        <v/>
      </c>
      <c r="K15" s="204" t="str">
        <f t="shared" si="2"/>
        <v/>
      </c>
      <c r="L15" s="188" t="str">
        <f t="shared" si="3"/>
        <v/>
      </c>
      <c r="M15" s="203" t="str">
        <f>IF($H15="USD",IF(OR($L15="",$L15="-"),"",VLOOKUP($G15,為替!$A:$AX,$L15,FALSE))+$K$3,IF(OR($L15="",$L15="-"),"",VLOOKUP($G15,為替!$A:$AX,$L15,FALSE)))</f>
        <v/>
      </c>
      <c r="N15" s="204" t="str">
        <f t="shared" si="4"/>
        <v/>
      </c>
      <c r="O15" s="205" t="str">
        <f t="shared" si="0"/>
        <v/>
      </c>
      <c r="P15" s="206" t="str">
        <f t="shared" si="5"/>
        <v/>
      </c>
    </row>
    <row r="16" spans="1:18" x14ac:dyDescent="0.4">
      <c r="C16" s="199"/>
      <c r="D16" s="200"/>
      <c r="E16" s="201"/>
      <c r="F16" s="199"/>
      <c r="H16" s="202"/>
      <c r="I16" s="185" t="str">
        <f t="shared" si="1"/>
        <v/>
      </c>
      <c r="J16" s="203" t="str">
        <f>IF($H16="USD",IF(OR($I16="",$I16="-"),"",VLOOKUP($G16,為替!$A:$AX,$I16,FALSE))+$J$3,IF(OR($I16="",$I16="-"),"",VLOOKUP($G16,為替!$A:$AX,$I16,FALSE)))</f>
        <v/>
      </c>
      <c r="K16" s="204" t="str">
        <f t="shared" si="2"/>
        <v/>
      </c>
      <c r="L16" s="188" t="str">
        <f t="shared" si="3"/>
        <v/>
      </c>
      <c r="M16" s="203" t="str">
        <f>IF($H16="USD",IF(OR($L16="",$L16="-"),"",VLOOKUP($G16,為替!$A:$AX,$L16,FALSE))+$K$3,IF(OR($L16="",$L16="-"),"",VLOOKUP($G16,為替!$A:$AX,$L16,FALSE)))</f>
        <v/>
      </c>
      <c r="N16" s="204" t="str">
        <f t="shared" si="4"/>
        <v/>
      </c>
      <c r="O16" s="205" t="str">
        <f t="shared" si="0"/>
        <v/>
      </c>
      <c r="P16" s="206" t="str">
        <f t="shared" si="5"/>
        <v/>
      </c>
    </row>
    <row r="17" spans="3:16" x14ac:dyDescent="0.4">
      <c r="C17" s="199"/>
      <c r="D17" s="200"/>
      <c r="E17" s="201"/>
      <c r="F17" s="199"/>
      <c r="H17" s="202"/>
      <c r="I17" s="185" t="str">
        <f t="shared" si="1"/>
        <v/>
      </c>
      <c r="J17" s="203" t="str">
        <f>IF($H17="USD",IF(OR($I17="",$I17="-"),"",VLOOKUP($G17,為替!$A:$AX,$I17,FALSE))+$J$3,IF(OR($I17="",$I17="-"),"",VLOOKUP($G17,為替!$A:$AX,$I17,FALSE)))</f>
        <v/>
      </c>
      <c r="K17" s="204" t="str">
        <f t="shared" si="2"/>
        <v/>
      </c>
      <c r="L17" s="188" t="str">
        <f t="shared" si="3"/>
        <v/>
      </c>
      <c r="M17" s="203" t="str">
        <f>IF($H17="USD",IF(OR($L17="",$L17="-"),"",VLOOKUP($G17,為替!$A:$AX,$L17,FALSE))+$K$3,IF(OR($L17="",$L17="-"),"",VLOOKUP($G17,為替!$A:$AX,$L17,FALSE)))</f>
        <v/>
      </c>
      <c r="N17" s="204" t="str">
        <f t="shared" si="4"/>
        <v/>
      </c>
      <c r="O17" s="205" t="str">
        <f t="shared" si="0"/>
        <v/>
      </c>
      <c r="P17" s="206" t="str">
        <f t="shared" si="5"/>
        <v/>
      </c>
    </row>
    <row r="18" spans="3:16" x14ac:dyDescent="0.4">
      <c r="C18" s="199"/>
      <c r="D18" s="200"/>
      <c r="E18" s="201"/>
      <c r="F18" s="199"/>
      <c r="H18" s="202"/>
      <c r="I18" s="185" t="str">
        <f t="shared" si="1"/>
        <v/>
      </c>
      <c r="J18" s="203" t="str">
        <f>IF($H18="USD",IF(OR($I18="",$I18="-"),"",VLOOKUP($G18,為替!$A:$AX,$I18,FALSE))+$J$3,IF(OR($I18="",$I18="-"),"",VLOOKUP($G18,為替!$A:$AX,$I18,FALSE)))</f>
        <v/>
      </c>
      <c r="K18" s="204" t="str">
        <f t="shared" si="2"/>
        <v/>
      </c>
      <c r="L18" s="188" t="str">
        <f t="shared" si="3"/>
        <v/>
      </c>
      <c r="M18" s="203" t="str">
        <f>IF($H18="USD",IF(OR($L18="",$L18="-"),"",VLOOKUP($G18,為替!$A:$AX,$L18,FALSE))+$K$3,IF(OR($L18="",$L18="-"),"",VLOOKUP($G18,為替!$A:$AX,$L18,FALSE)))</f>
        <v/>
      </c>
      <c r="N18" s="204" t="str">
        <f t="shared" si="4"/>
        <v/>
      </c>
      <c r="O18" s="205" t="str">
        <f t="shared" si="0"/>
        <v/>
      </c>
      <c r="P18" s="206" t="str">
        <f t="shared" si="5"/>
        <v/>
      </c>
    </row>
    <row r="19" spans="3:16" x14ac:dyDescent="0.4">
      <c r="C19" s="199"/>
      <c r="D19" s="200"/>
      <c r="E19" s="201"/>
      <c r="F19" s="199"/>
      <c r="H19" s="202"/>
      <c r="I19" s="185" t="str">
        <f t="shared" si="1"/>
        <v/>
      </c>
      <c r="J19" s="203" t="str">
        <f>IF($H19="USD",IF(OR($I19="",$I19="-"),"",VLOOKUP($G19,為替!$A:$AX,$I19,FALSE))+$J$3,IF(OR($I19="",$I19="-"),"",VLOOKUP($G19,為替!$A:$AX,$I19,FALSE)))</f>
        <v/>
      </c>
      <c r="K19" s="204" t="str">
        <f t="shared" si="2"/>
        <v/>
      </c>
      <c r="L19" s="188" t="str">
        <f t="shared" si="3"/>
        <v/>
      </c>
      <c r="M19" s="203" t="str">
        <f>IF($H19="USD",IF(OR($L19="",$L19="-"),"",VLOOKUP($G19,為替!$A:$AX,$L19,FALSE))+$K$3,IF(OR($L19="",$L19="-"),"",VLOOKUP($G19,為替!$A:$AX,$L19,FALSE)))</f>
        <v/>
      </c>
      <c r="N19" s="204" t="str">
        <f t="shared" si="4"/>
        <v/>
      </c>
      <c r="O19" s="205" t="str">
        <f t="shared" si="0"/>
        <v/>
      </c>
      <c r="P19" s="206" t="str">
        <f t="shared" si="5"/>
        <v/>
      </c>
    </row>
    <row r="20" spans="3:16" x14ac:dyDescent="0.4">
      <c r="C20" s="199"/>
      <c r="D20" s="200"/>
      <c r="E20" s="201"/>
      <c r="F20" s="199"/>
      <c r="H20" s="202"/>
      <c r="I20" s="185" t="str">
        <f t="shared" si="1"/>
        <v/>
      </c>
      <c r="J20" s="203" t="str">
        <f>IF($H20="USD",IF(OR($I20="",$I20="-"),"",VLOOKUP($G20,為替!$A:$AX,$I20,FALSE))+$J$3,IF(OR($I20="",$I20="-"),"",VLOOKUP($G20,為替!$A:$AX,$I20,FALSE)))</f>
        <v/>
      </c>
      <c r="K20" s="204" t="str">
        <f t="shared" si="2"/>
        <v/>
      </c>
      <c r="L20" s="188" t="str">
        <f t="shared" si="3"/>
        <v/>
      </c>
      <c r="M20" s="203" t="str">
        <f>IF($H20="USD",IF(OR($L20="",$L20="-"),"",VLOOKUP($G20,為替!$A:$AX,$L20,FALSE))+$K$3,IF(OR($L20="",$L20="-"),"",VLOOKUP($G20,為替!$A:$AX,$L20,FALSE)))</f>
        <v/>
      </c>
      <c r="N20" s="204" t="str">
        <f t="shared" si="4"/>
        <v/>
      </c>
      <c r="O20" s="205" t="str">
        <f t="shared" si="0"/>
        <v/>
      </c>
      <c r="P20" s="206" t="str">
        <f t="shared" si="5"/>
        <v/>
      </c>
    </row>
    <row r="21" spans="3:16" x14ac:dyDescent="0.4">
      <c r="C21" s="199"/>
      <c r="D21" s="200"/>
      <c r="E21" s="201"/>
      <c r="F21" s="199"/>
      <c r="H21" s="202"/>
      <c r="I21" s="185" t="str">
        <f t="shared" si="1"/>
        <v/>
      </c>
      <c r="J21" s="203" t="str">
        <f>IF($H21="USD",IF(OR($I21="",$I21="-"),"",VLOOKUP($G21,為替!$A:$AX,$I21,FALSE))+$J$3,IF(OR($I21="",$I21="-"),"",VLOOKUP($G21,為替!$A:$AX,$I21,FALSE)))</f>
        <v/>
      </c>
      <c r="K21" s="204" t="str">
        <f t="shared" si="2"/>
        <v/>
      </c>
      <c r="L21" s="188" t="str">
        <f t="shared" si="3"/>
        <v/>
      </c>
      <c r="M21" s="203" t="str">
        <f>IF($H21="USD",IF(OR($L21="",$L21="-"),"",VLOOKUP($G21,為替!$A:$AX,$L21,FALSE))+$K$3,IF(OR($L21="",$L21="-"),"",VLOOKUP($G21,為替!$A:$AX,$L21,FALSE)))</f>
        <v/>
      </c>
      <c r="N21" s="204" t="str">
        <f t="shared" si="4"/>
        <v/>
      </c>
      <c r="O21" s="205" t="str">
        <f t="shared" si="0"/>
        <v/>
      </c>
      <c r="P21" s="206" t="str">
        <f t="shared" si="5"/>
        <v/>
      </c>
    </row>
    <row r="22" spans="3:16" x14ac:dyDescent="0.4">
      <c r="C22" s="199"/>
      <c r="D22" s="200"/>
      <c r="E22" s="201"/>
      <c r="F22" s="199"/>
      <c r="H22" s="202"/>
      <c r="I22" s="185" t="str">
        <f t="shared" si="1"/>
        <v/>
      </c>
      <c r="J22" s="203" t="str">
        <f>IF($H22="USD",IF(OR($I22="",$I22="-"),"",VLOOKUP($G22,為替!$A:$AX,$I22,FALSE))+$J$3,IF(OR($I22="",$I22="-"),"",VLOOKUP($G22,為替!$A:$AX,$I22,FALSE)))</f>
        <v/>
      </c>
      <c r="K22" s="204" t="str">
        <f t="shared" si="2"/>
        <v/>
      </c>
      <c r="L22" s="188" t="str">
        <f t="shared" si="3"/>
        <v/>
      </c>
      <c r="M22" s="203" t="str">
        <f>IF($H22="USD",IF(OR($L22="",$L22="-"),"",VLOOKUP($G22,為替!$A:$AX,$L22,FALSE))+$K$3,IF(OR($L22="",$L22="-"),"",VLOOKUP($G22,為替!$A:$AX,$L22,FALSE)))</f>
        <v/>
      </c>
      <c r="N22" s="204" t="str">
        <f t="shared" si="4"/>
        <v/>
      </c>
      <c r="O22" s="205" t="str">
        <f t="shared" si="0"/>
        <v/>
      </c>
      <c r="P22" s="206" t="str">
        <f t="shared" si="5"/>
        <v/>
      </c>
    </row>
    <row r="23" spans="3:16" x14ac:dyDescent="0.4">
      <c r="C23" s="199"/>
      <c r="D23" s="200"/>
      <c r="E23" s="201"/>
      <c r="F23" s="199"/>
      <c r="H23" s="202"/>
      <c r="I23" s="185" t="str">
        <f t="shared" si="1"/>
        <v/>
      </c>
      <c r="J23" s="203" t="str">
        <f>IF($H23="USD",IF(OR($I23="",$I23="-"),"",VLOOKUP($G23,為替!$A:$AX,$I23,FALSE))+$J$3,IF(OR($I23="",$I23="-"),"",VLOOKUP($G23,為替!$A:$AX,$I23,FALSE)))</f>
        <v/>
      </c>
      <c r="K23" s="204" t="str">
        <f t="shared" si="2"/>
        <v/>
      </c>
      <c r="L23" s="188" t="str">
        <f t="shared" si="3"/>
        <v/>
      </c>
      <c r="M23" s="203" t="str">
        <f>IF($H23="USD",IF(OR($L23="",$L23="-"),"",VLOOKUP($G23,為替!$A:$AX,$L23,FALSE))+$K$3,IF(OR($L23="",$L23="-"),"",VLOOKUP($G23,為替!$A:$AX,$L23,FALSE)))</f>
        <v/>
      </c>
      <c r="N23" s="204" t="str">
        <f t="shared" si="4"/>
        <v/>
      </c>
      <c r="O23" s="205" t="str">
        <f t="shared" si="0"/>
        <v/>
      </c>
      <c r="P23" s="206" t="str">
        <f t="shared" si="5"/>
        <v/>
      </c>
    </row>
    <row r="24" spans="3:16" x14ac:dyDescent="0.4">
      <c r="C24" s="199"/>
      <c r="D24" s="200"/>
      <c r="E24" s="201"/>
      <c r="F24" s="199"/>
      <c r="H24" s="202"/>
      <c r="I24" s="185" t="str">
        <f t="shared" si="1"/>
        <v/>
      </c>
      <c r="J24" s="203" t="str">
        <f>IF($H24="USD",IF(OR($I24="",$I24="-"),"",VLOOKUP($G24,為替!$A:$AX,$I24,FALSE))+$J$3,IF(OR($I24="",$I24="-"),"",VLOOKUP($G24,為替!$A:$AX,$I24,FALSE)))</f>
        <v/>
      </c>
      <c r="K24" s="204" t="str">
        <f t="shared" si="2"/>
        <v/>
      </c>
      <c r="L24" s="188" t="str">
        <f t="shared" si="3"/>
        <v/>
      </c>
      <c r="M24" s="203" t="str">
        <f>IF($H24="USD",IF(OR($L24="",$L24="-"),"",VLOOKUP($G24,為替!$A:$AX,$L24,FALSE))+$K$3,IF(OR($L24="",$L24="-"),"",VLOOKUP($G24,為替!$A:$AX,$L24,FALSE)))</f>
        <v/>
      </c>
      <c r="N24" s="204" t="str">
        <f t="shared" si="4"/>
        <v/>
      </c>
      <c r="O24" s="205" t="str">
        <f t="shared" si="0"/>
        <v/>
      </c>
      <c r="P24" s="206" t="str">
        <f t="shared" si="5"/>
        <v/>
      </c>
    </row>
    <row r="25" spans="3:16" x14ac:dyDescent="0.4">
      <c r="C25" s="199"/>
      <c r="D25" s="200"/>
      <c r="E25" s="201"/>
      <c r="F25" s="199"/>
      <c r="H25" s="202"/>
      <c r="I25" s="185" t="str">
        <f t="shared" si="1"/>
        <v/>
      </c>
      <c r="J25" s="203" t="str">
        <f>IF($H25="USD",IF(OR($I25="",$I25="-"),"",VLOOKUP($G25,為替!$A:$AX,$I25,FALSE))+$J$3,IF(OR($I25="",$I25="-"),"",VLOOKUP($G25,為替!$A:$AX,$I25,FALSE)))</f>
        <v/>
      </c>
      <c r="K25" s="204" t="str">
        <f t="shared" si="2"/>
        <v/>
      </c>
      <c r="L25" s="188" t="str">
        <f t="shared" si="3"/>
        <v/>
      </c>
      <c r="M25" s="203" t="str">
        <f>IF($H25="USD",IF(OR($L25="",$L25="-"),"",VLOOKUP($G25,為替!$A:$AX,$L25,FALSE))+$K$3,IF(OR($L25="",$L25="-"),"",VLOOKUP($G25,為替!$A:$AX,$L25,FALSE)))</f>
        <v/>
      </c>
      <c r="N25" s="204" t="str">
        <f t="shared" si="4"/>
        <v/>
      </c>
      <c r="O25" s="205" t="str">
        <f t="shared" si="0"/>
        <v/>
      </c>
      <c r="P25" s="206" t="str">
        <f t="shared" si="5"/>
        <v/>
      </c>
    </row>
    <row r="26" spans="3:16" x14ac:dyDescent="0.4">
      <c r="C26" s="199"/>
      <c r="D26" s="200"/>
      <c r="E26" s="201"/>
      <c r="F26" s="199"/>
      <c r="H26" s="202"/>
      <c r="I26" s="185" t="str">
        <f t="shared" si="1"/>
        <v/>
      </c>
      <c r="J26" s="203" t="str">
        <f>IF($H26="USD",IF(OR($I26="",$I26="-"),"",VLOOKUP($G26,為替!$A:$AX,$I26,FALSE))+$J$3,IF(OR($I26="",$I26="-"),"",VLOOKUP($G26,為替!$A:$AX,$I26,FALSE)))</f>
        <v/>
      </c>
      <c r="K26" s="204" t="str">
        <f t="shared" si="2"/>
        <v/>
      </c>
      <c r="L26" s="188" t="str">
        <f t="shared" si="3"/>
        <v/>
      </c>
      <c r="M26" s="203" t="str">
        <f>IF($H26="USD",IF(OR($L26="",$L26="-"),"",VLOOKUP($G26,為替!$A:$AX,$L26,FALSE))+$K$3,IF(OR($L26="",$L26="-"),"",VLOOKUP($G26,為替!$A:$AX,$L26,FALSE)))</f>
        <v/>
      </c>
      <c r="N26" s="204" t="str">
        <f t="shared" si="4"/>
        <v/>
      </c>
      <c r="O26" s="205" t="str">
        <f t="shared" si="0"/>
        <v/>
      </c>
      <c r="P26" s="206" t="str">
        <f t="shared" si="5"/>
        <v/>
      </c>
    </row>
    <row r="27" spans="3:16" x14ac:dyDescent="0.4">
      <c r="C27" s="199"/>
      <c r="D27" s="200"/>
      <c r="E27" s="201"/>
      <c r="F27" s="199"/>
      <c r="H27" s="202"/>
      <c r="I27" s="185" t="str">
        <f t="shared" si="1"/>
        <v/>
      </c>
      <c r="J27" s="203" t="str">
        <f>IF($H27="USD",IF(OR($I27="",$I27="-"),"",VLOOKUP($G27,為替!$A:$AX,$I27,FALSE))+$J$3,IF(OR($I27="",$I27="-"),"",VLOOKUP($G27,為替!$A:$AX,$I27,FALSE)))</f>
        <v/>
      </c>
      <c r="K27" s="204" t="str">
        <f t="shared" si="2"/>
        <v/>
      </c>
      <c r="L27" s="188" t="str">
        <f t="shared" si="3"/>
        <v/>
      </c>
      <c r="M27" s="203" t="str">
        <f>IF($H27="USD",IF(OR($L27="",$L27="-"),"",VLOOKUP($G27,為替!$A:$AX,$L27,FALSE))+$K$3,IF(OR($L27="",$L27="-"),"",VLOOKUP($G27,為替!$A:$AX,$L27,FALSE)))</f>
        <v/>
      </c>
      <c r="N27" s="204" t="str">
        <f t="shared" si="4"/>
        <v/>
      </c>
      <c r="O27" s="205" t="str">
        <f t="shared" si="0"/>
        <v/>
      </c>
      <c r="P27" s="206" t="str">
        <f t="shared" si="5"/>
        <v/>
      </c>
    </row>
    <row r="28" spans="3:16" x14ac:dyDescent="0.4">
      <c r="C28" s="199"/>
      <c r="D28" s="200"/>
      <c r="E28" s="201"/>
      <c r="F28" s="199"/>
      <c r="H28" s="202"/>
      <c r="I28" s="185" t="str">
        <f t="shared" si="1"/>
        <v/>
      </c>
      <c r="J28" s="203" t="str">
        <f>IF($H28="USD",IF(OR($I28="",$I28="-"),"",VLOOKUP($G28,為替!$A:$AX,$I28,FALSE))+$J$3,IF(OR($I28="",$I28="-"),"",VLOOKUP($G28,為替!$A:$AX,$I28,FALSE)))</f>
        <v/>
      </c>
      <c r="K28" s="204" t="str">
        <f t="shared" si="2"/>
        <v/>
      </c>
      <c r="L28" s="188" t="str">
        <f t="shared" si="3"/>
        <v/>
      </c>
      <c r="M28" s="203" t="str">
        <f>IF($H28="USD",IF(OR($L28="",$L28="-"),"",VLOOKUP($G28,為替!$A:$AX,$L28,FALSE))+$K$3,IF(OR($L28="",$L28="-"),"",VLOOKUP($G28,為替!$A:$AX,$L28,FALSE)))</f>
        <v/>
      </c>
      <c r="N28" s="204" t="str">
        <f t="shared" si="4"/>
        <v/>
      </c>
      <c r="O28" s="205" t="str">
        <f t="shared" si="0"/>
        <v/>
      </c>
      <c r="P28" s="206" t="str">
        <f t="shared" si="5"/>
        <v/>
      </c>
    </row>
    <row r="29" spans="3:16" x14ac:dyDescent="0.4">
      <c r="C29" s="199"/>
      <c r="D29" s="200"/>
      <c r="E29" s="201"/>
      <c r="F29" s="199"/>
      <c r="H29" s="202"/>
      <c r="I29" s="185" t="str">
        <f t="shared" si="1"/>
        <v/>
      </c>
      <c r="J29" s="203" t="str">
        <f>IF($H29="USD",IF(OR($I29="",$I29="-"),"",VLOOKUP($G29,為替!$A:$AX,$I29,FALSE))+$J$3,IF(OR($I29="",$I29="-"),"",VLOOKUP($G29,為替!$A:$AX,$I29,FALSE)))</f>
        <v/>
      </c>
      <c r="K29" s="204" t="str">
        <f t="shared" si="2"/>
        <v/>
      </c>
      <c r="L29" s="188" t="str">
        <f t="shared" si="3"/>
        <v/>
      </c>
      <c r="M29" s="203" t="str">
        <f>IF($H29="USD",IF(OR($L29="",$L29="-"),"",VLOOKUP($G29,為替!$A:$AX,$L29,FALSE))+$K$3,IF(OR($L29="",$L29="-"),"",VLOOKUP($G29,為替!$A:$AX,$L29,FALSE)))</f>
        <v/>
      </c>
      <c r="N29" s="204" t="str">
        <f t="shared" si="4"/>
        <v/>
      </c>
      <c r="O29" s="205" t="str">
        <f t="shared" si="0"/>
        <v/>
      </c>
      <c r="P29" s="206" t="str">
        <f t="shared" si="5"/>
        <v/>
      </c>
    </row>
    <row r="30" spans="3:16" x14ac:dyDescent="0.4">
      <c r="C30" s="199"/>
      <c r="D30" s="200"/>
      <c r="E30" s="201"/>
      <c r="F30" s="199"/>
      <c r="H30" s="202"/>
      <c r="I30" s="185" t="str">
        <f t="shared" si="1"/>
        <v/>
      </c>
      <c r="J30" s="203" t="str">
        <f>IF($H30="USD",IF(OR($I30="",$I30="-"),"",VLOOKUP($G30,為替!$A:$AX,$I30,FALSE))+$J$3,IF(OR($I30="",$I30="-"),"",VLOOKUP($G30,為替!$A:$AX,$I30,FALSE)))</f>
        <v/>
      </c>
      <c r="K30" s="204" t="str">
        <f t="shared" si="2"/>
        <v/>
      </c>
      <c r="L30" s="188" t="str">
        <f t="shared" si="3"/>
        <v/>
      </c>
      <c r="M30" s="203" t="str">
        <f>IF($H30="USD",IF(OR($L30="",$L30="-"),"",VLOOKUP($G30,為替!$A:$AX,$L30,FALSE))+$K$3,IF(OR($L30="",$L30="-"),"",VLOOKUP($G30,為替!$A:$AX,$L30,FALSE)))</f>
        <v/>
      </c>
      <c r="N30" s="204" t="str">
        <f t="shared" si="4"/>
        <v/>
      </c>
      <c r="O30" s="205" t="str">
        <f t="shared" si="0"/>
        <v/>
      </c>
      <c r="P30" s="206" t="str">
        <f t="shared" si="5"/>
        <v/>
      </c>
    </row>
    <row r="31" spans="3:16" x14ac:dyDescent="0.4">
      <c r="C31" s="199"/>
      <c r="D31" s="200"/>
      <c r="E31" s="201"/>
      <c r="F31" s="199"/>
      <c r="H31" s="202"/>
      <c r="I31" s="185" t="str">
        <f t="shared" si="1"/>
        <v/>
      </c>
      <c r="J31" s="203" t="str">
        <f>IF($H31="USD",IF(OR($I31="",$I31="-"),"",VLOOKUP($G31,為替!$A:$AX,$I31,FALSE))+$J$3,IF(OR($I31="",$I31="-"),"",VLOOKUP($G31,為替!$A:$AX,$I31,FALSE)))</f>
        <v/>
      </c>
      <c r="K31" s="204" t="str">
        <f t="shared" si="2"/>
        <v/>
      </c>
      <c r="L31" s="188" t="str">
        <f t="shared" si="3"/>
        <v/>
      </c>
      <c r="M31" s="203" t="str">
        <f>IF($H31="USD",IF(OR($L31="",$L31="-"),"",VLOOKUP($G31,為替!$A:$AX,$L31,FALSE))+$K$3,IF(OR($L31="",$L31="-"),"",VLOOKUP($G31,為替!$A:$AX,$L31,FALSE)))</f>
        <v/>
      </c>
      <c r="N31" s="204" t="str">
        <f t="shared" si="4"/>
        <v/>
      </c>
      <c r="O31" s="205" t="str">
        <f t="shared" si="0"/>
        <v/>
      </c>
      <c r="P31" s="206" t="str">
        <f t="shared" si="5"/>
        <v/>
      </c>
    </row>
    <row r="32" spans="3:16" x14ac:dyDescent="0.4">
      <c r="C32" s="199"/>
      <c r="D32" s="200"/>
      <c r="E32" s="201"/>
      <c r="F32" s="199"/>
      <c r="H32" s="202"/>
      <c r="I32" s="185" t="str">
        <f t="shared" si="1"/>
        <v/>
      </c>
      <c r="J32" s="203" t="str">
        <f>IF($H32="USD",IF(OR($I32="",$I32="-"),"",VLOOKUP($G32,為替!$A:$AX,$I32,FALSE))+$J$3,IF(OR($I32="",$I32="-"),"",VLOOKUP($G32,為替!$A:$AX,$I32,FALSE)))</f>
        <v/>
      </c>
      <c r="K32" s="204" t="str">
        <f t="shared" si="2"/>
        <v/>
      </c>
      <c r="L32" s="188" t="str">
        <f t="shared" si="3"/>
        <v/>
      </c>
      <c r="M32" s="203" t="str">
        <f>IF($H32="USD",IF(OR($L32="",$L32="-"),"",VLOOKUP($G32,為替!$A:$AX,$L32,FALSE))+$K$3,IF(OR($L32="",$L32="-"),"",VLOOKUP($G32,為替!$A:$AX,$L32,FALSE)))</f>
        <v/>
      </c>
      <c r="N32" s="204" t="str">
        <f t="shared" si="4"/>
        <v/>
      </c>
      <c r="O32" s="205" t="str">
        <f t="shared" si="0"/>
        <v/>
      </c>
      <c r="P32" s="206" t="str">
        <f t="shared" si="5"/>
        <v/>
      </c>
    </row>
    <row r="33" spans="3:16" x14ac:dyDescent="0.4">
      <c r="C33" s="199"/>
      <c r="D33" s="200"/>
      <c r="E33" s="201"/>
      <c r="F33" s="199"/>
      <c r="H33" s="202"/>
      <c r="I33" s="185" t="str">
        <f t="shared" si="1"/>
        <v/>
      </c>
      <c r="J33" s="203" t="str">
        <f>IF($H33="USD",IF(OR($I33="",$I33="-"),"",VLOOKUP($G33,為替!$A:$AX,$I33,FALSE))+$J$3,IF(OR($I33="",$I33="-"),"",VLOOKUP($G33,為替!$A:$AX,$I33,FALSE)))</f>
        <v/>
      </c>
      <c r="K33" s="204" t="str">
        <f t="shared" si="2"/>
        <v/>
      </c>
      <c r="L33" s="188" t="str">
        <f t="shared" si="3"/>
        <v/>
      </c>
      <c r="M33" s="203" t="str">
        <f>IF($H33="USD",IF(OR($L33="",$L33="-"),"",VLOOKUP($G33,為替!$A:$AX,$L33,FALSE))+$K$3,IF(OR($L33="",$L33="-"),"",VLOOKUP($G33,為替!$A:$AX,$L33,FALSE)))</f>
        <v/>
      </c>
      <c r="N33" s="204" t="str">
        <f t="shared" si="4"/>
        <v/>
      </c>
      <c r="O33" s="205" t="str">
        <f t="shared" si="0"/>
        <v/>
      </c>
      <c r="P33" s="206" t="str">
        <f t="shared" si="5"/>
        <v/>
      </c>
    </row>
    <row r="34" spans="3:16" x14ac:dyDescent="0.4">
      <c r="C34" s="199"/>
      <c r="D34" s="200"/>
      <c r="E34" s="201"/>
      <c r="F34" s="199"/>
      <c r="H34" s="202"/>
      <c r="I34" s="185" t="str">
        <f t="shared" si="1"/>
        <v/>
      </c>
      <c r="J34" s="203" t="str">
        <f>IF($H34="USD",IF(OR($I34="",$I34="-"),"",VLOOKUP($G34,為替!$A:$AX,$I34,FALSE))+$J$3,IF(OR($I34="",$I34="-"),"",VLOOKUP($G34,為替!$A:$AX,$I34,FALSE)))</f>
        <v/>
      </c>
      <c r="K34" s="204" t="str">
        <f t="shared" si="2"/>
        <v/>
      </c>
      <c r="L34" s="188" t="str">
        <f t="shared" si="3"/>
        <v/>
      </c>
      <c r="M34" s="203" t="str">
        <f>IF($H34="USD",IF(OR($L34="",$L34="-"),"",VLOOKUP($G34,為替!$A:$AX,$L34,FALSE))+$K$3,IF(OR($L34="",$L34="-"),"",VLOOKUP($G34,為替!$A:$AX,$L34,FALSE)))</f>
        <v/>
      </c>
      <c r="N34" s="204" t="str">
        <f t="shared" si="4"/>
        <v/>
      </c>
      <c r="O34" s="205" t="str">
        <f t="shared" si="0"/>
        <v/>
      </c>
      <c r="P34" s="206" t="str">
        <f t="shared" si="5"/>
        <v/>
      </c>
    </row>
    <row r="35" spans="3:16" x14ac:dyDescent="0.4">
      <c r="C35" s="199"/>
      <c r="D35" s="200"/>
      <c r="E35" s="201"/>
      <c r="F35" s="199"/>
      <c r="H35" s="202"/>
      <c r="I35" s="185" t="str">
        <f t="shared" si="1"/>
        <v/>
      </c>
      <c r="J35" s="203" t="str">
        <f>IF($H35="USD",IF(OR($I35="",$I35="-"),"",VLOOKUP($G35,為替!$A:$AX,$I35,FALSE))+$J$3,IF(OR($I35="",$I35="-"),"",VLOOKUP($G35,為替!$A:$AX,$I35,FALSE)))</f>
        <v/>
      </c>
      <c r="K35" s="204" t="str">
        <f t="shared" si="2"/>
        <v/>
      </c>
      <c r="L35" s="188" t="str">
        <f t="shared" si="3"/>
        <v/>
      </c>
      <c r="M35" s="203" t="str">
        <f>IF($H35="USD",IF(OR($L35="",$L35="-"),"",VLOOKUP($G35,為替!$A:$AX,$L35,FALSE))+$K$3,IF(OR($L35="",$L35="-"),"",VLOOKUP($G35,為替!$A:$AX,$L35,FALSE)))</f>
        <v/>
      </c>
      <c r="N35" s="204" t="str">
        <f t="shared" si="4"/>
        <v/>
      </c>
      <c r="O35" s="205" t="str">
        <f t="shared" si="0"/>
        <v/>
      </c>
      <c r="P35" s="206" t="str">
        <f t="shared" si="5"/>
        <v/>
      </c>
    </row>
    <row r="36" spans="3:16" x14ac:dyDescent="0.4">
      <c r="C36" s="199"/>
      <c r="D36" s="200"/>
      <c r="E36" s="201"/>
      <c r="F36" s="199"/>
      <c r="H36" s="202"/>
      <c r="I36" s="185" t="str">
        <f t="shared" si="1"/>
        <v/>
      </c>
      <c r="J36" s="203" t="str">
        <f>IF($H36="USD",IF(OR($I36="",$I36="-"),"",VLOOKUP($G36,為替!$A:$AX,$I36,FALSE))+$J$3,IF(OR($I36="",$I36="-"),"",VLOOKUP($G36,為替!$A:$AX,$I36,FALSE)))</f>
        <v/>
      </c>
      <c r="K36" s="204" t="str">
        <f t="shared" si="2"/>
        <v/>
      </c>
      <c r="L36" s="188" t="str">
        <f t="shared" si="3"/>
        <v/>
      </c>
      <c r="M36" s="203" t="str">
        <f>IF($H36="USD",IF(OR($L36="",$L36="-"),"",VLOOKUP($G36,為替!$A:$AX,$L36,FALSE))+$K$3,IF(OR($L36="",$L36="-"),"",VLOOKUP($G36,為替!$A:$AX,$L36,FALSE)))</f>
        <v/>
      </c>
      <c r="N36" s="204" t="str">
        <f t="shared" si="4"/>
        <v/>
      </c>
      <c r="O36" s="205" t="str">
        <f t="shared" si="0"/>
        <v/>
      </c>
      <c r="P36" s="206" t="str">
        <f t="shared" si="5"/>
        <v/>
      </c>
    </row>
    <row r="37" spans="3:16" x14ac:dyDescent="0.4">
      <c r="C37" s="199"/>
      <c r="D37" s="200"/>
      <c r="E37" s="201"/>
      <c r="F37" s="199"/>
      <c r="H37" s="202"/>
      <c r="I37" s="185" t="str">
        <f t="shared" si="1"/>
        <v/>
      </c>
      <c r="J37" s="203" t="str">
        <f>IF($H37="USD",IF(OR($I37="",$I37="-"),"",VLOOKUP($G37,為替!$A:$AX,$I37,FALSE))+$J$3,IF(OR($I37="",$I37="-"),"",VLOOKUP($G37,為替!$A:$AX,$I37,FALSE)))</f>
        <v/>
      </c>
      <c r="K37" s="204" t="str">
        <f t="shared" si="2"/>
        <v/>
      </c>
      <c r="L37" s="188" t="str">
        <f t="shared" si="3"/>
        <v/>
      </c>
      <c r="M37" s="203" t="str">
        <f>IF($H37="USD",IF(OR($L37="",$L37="-"),"",VLOOKUP($G37,為替!$A:$AX,$L37,FALSE))+$K$3,IF(OR($L37="",$L37="-"),"",VLOOKUP($G37,為替!$A:$AX,$L37,FALSE)))</f>
        <v/>
      </c>
      <c r="N37" s="204" t="str">
        <f t="shared" si="4"/>
        <v/>
      </c>
      <c r="O37" s="205" t="str">
        <f t="shared" si="0"/>
        <v/>
      </c>
      <c r="P37" s="206" t="str">
        <f t="shared" si="5"/>
        <v/>
      </c>
    </row>
    <row r="38" spans="3:16" x14ac:dyDescent="0.4">
      <c r="C38" s="199"/>
      <c r="D38" s="200"/>
      <c r="E38" s="201"/>
      <c r="F38" s="199"/>
      <c r="H38" s="202"/>
      <c r="I38" s="185" t="str">
        <f t="shared" si="1"/>
        <v/>
      </c>
      <c r="J38" s="203" t="str">
        <f>IF($H38="USD",IF(OR($I38="",$I38="-"),"",VLOOKUP($G38,為替!$A:$AX,$I38,FALSE))+$J$3,IF(OR($I38="",$I38="-"),"",VLOOKUP($G38,為替!$A:$AX,$I38,FALSE)))</f>
        <v/>
      </c>
      <c r="K38" s="204" t="str">
        <f t="shared" si="2"/>
        <v/>
      </c>
      <c r="L38" s="188" t="str">
        <f t="shared" si="3"/>
        <v/>
      </c>
      <c r="M38" s="203" t="str">
        <f>IF($H38="USD",IF(OR($L38="",$L38="-"),"",VLOOKUP($G38,為替!$A:$AX,$L38,FALSE))+$K$3,IF(OR($L38="",$L38="-"),"",VLOOKUP($G38,為替!$A:$AX,$L38,FALSE)))</f>
        <v/>
      </c>
      <c r="N38" s="204" t="str">
        <f t="shared" si="4"/>
        <v/>
      </c>
      <c r="O38" s="205" t="str">
        <f t="shared" si="0"/>
        <v/>
      </c>
      <c r="P38" s="206" t="str">
        <f t="shared" si="5"/>
        <v/>
      </c>
    </row>
    <row r="39" spans="3:16" x14ac:dyDescent="0.4">
      <c r="C39" s="199"/>
      <c r="D39" s="200"/>
      <c r="E39" s="201"/>
      <c r="F39" s="199"/>
      <c r="H39" s="202"/>
      <c r="I39" s="185" t="str">
        <f t="shared" si="1"/>
        <v/>
      </c>
      <c r="J39" s="203" t="str">
        <f>IF($H39="USD",IF(OR($I39="",$I39="-"),"",VLOOKUP($G39,為替!$A:$AX,$I39,FALSE))+$J$3,IF(OR($I39="",$I39="-"),"",VLOOKUP($G39,為替!$A:$AX,$I39,FALSE)))</f>
        <v/>
      </c>
      <c r="K39" s="204" t="str">
        <f t="shared" si="2"/>
        <v/>
      </c>
      <c r="L39" s="188" t="str">
        <f t="shared" si="3"/>
        <v/>
      </c>
      <c r="M39" s="203" t="str">
        <f>IF($H39="USD",IF(OR($L39="",$L39="-"),"",VLOOKUP($G39,為替!$A:$AX,$L39,FALSE))+$K$3,IF(OR($L39="",$L39="-"),"",VLOOKUP($G39,為替!$A:$AX,$L39,FALSE)))</f>
        <v/>
      </c>
      <c r="N39" s="204" t="str">
        <f t="shared" si="4"/>
        <v/>
      </c>
      <c r="O39" s="205" t="str">
        <f t="shared" si="0"/>
        <v/>
      </c>
      <c r="P39" s="206" t="str">
        <f t="shared" si="5"/>
        <v/>
      </c>
    </row>
    <row r="40" spans="3:16" x14ac:dyDescent="0.4">
      <c r="C40" s="199"/>
      <c r="D40" s="200"/>
      <c r="E40" s="201"/>
      <c r="F40" s="199"/>
      <c r="H40" s="202"/>
      <c r="I40" s="185" t="str">
        <f t="shared" si="1"/>
        <v/>
      </c>
      <c r="J40" s="203" t="str">
        <f>IF($H40="USD",IF(OR($I40="",$I40="-"),"",VLOOKUP($G40,為替!$A:$AX,$I40,FALSE))+$J$3,IF(OR($I40="",$I40="-"),"",VLOOKUP($G40,為替!$A:$AX,$I40,FALSE)))</f>
        <v/>
      </c>
      <c r="K40" s="204" t="str">
        <f t="shared" si="2"/>
        <v/>
      </c>
      <c r="L40" s="188" t="str">
        <f t="shared" si="3"/>
        <v/>
      </c>
      <c r="M40" s="203" t="str">
        <f>IF($H40="USD",IF(OR($L40="",$L40="-"),"",VLOOKUP($G40,為替!$A:$AX,$L40,FALSE))+$K$3,IF(OR($L40="",$L40="-"),"",VLOOKUP($G40,為替!$A:$AX,$L40,FALSE)))</f>
        <v/>
      </c>
      <c r="N40" s="204" t="str">
        <f t="shared" si="4"/>
        <v/>
      </c>
      <c r="O40" s="205" t="str">
        <f t="shared" si="0"/>
        <v/>
      </c>
      <c r="P40" s="206" t="str">
        <f t="shared" si="5"/>
        <v/>
      </c>
    </row>
    <row r="41" spans="3:16" x14ac:dyDescent="0.4">
      <c r="C41" s="199"/>
      <c r="D41" s="200"/>
      <c r="E41" s="201"/>
      <c r="F41" s="199"/>
      <c r="H41" s="202"/>
      <c r="I41" s="185" t="str">
        <f t="shared" si="1"/>
        <v/>
      </c>
      <c r="J41" s="203" t="str">
        <f>IF($H41="USD",IF(OR($I41="",$I41="-"),"",VLOOKUP($G41,為替!$A:$AX,$I41,FALSE))+$J$3,IF(OR($I41="",$I41="-"),"",VLOOKUP($G41,為替!$A:$AX,$I41,FALSE)))</f>
        <v/>
      </c>
      <c r="K41" s="204" t="str">
        <f t="shared" si="2"/>
        <v/>
      </c>
      <c r="L41" s="188" t="str">
        <f t="shared" si="3"/>
        <v/>
      </c>
      <c r="M41" s="203" t="str">
        <f>IF($H41="USD",IF(OR($L41="",$L41="-"),"",VLOOKUP($G41,為替!$A:$AX,$L41,FALSE))+$K$3,IF(OR($L41="",$L41="-"),"",VLOOKUP($G41,為替!$A:$AX,$L41,FALSE)))</f>
        <v/>
      </c>
      <c r="N41" s="204" t="str">
        <f t="shared" si="4"/>
        <v/>
      </c>
      <c r="O41" s="205" t="str">
        <f t="shared" si="0"/>
        <v/>
      </c>
      <c r="P41" s="206" t="str">
        <f t="shared" si="5"/>
        <v/>
      </c>
    </row>
    <row r="42" spans="3:16" x14ac:dyDescent="0.4">
      <c r="C42" s="199"/>
      <c r="D42" s="200"/>
      <c r="E42" s="201"/>
      <c r="F42" s="199"/>
      <c r="H42" s="202"/>
      <c r="I42" s="185" t="str">
        <f t="shared" si="1"/>
        <v/>
      </c>
      <c r="J42" s="203" t="str">
        <f>IF($H42="USD",IF(OR($I42="",$I42="-"),"",VLOOKUP($G42,為替!$A:$AX,$I42,FALSE))+$J$3,IF(OR($I42="",$I42="-"),"",VLOOKUP($G42,為替!$A:$AX,$I42,FALSE)))</f>
        <v/>
      </c>
      <c r="K42" s="204" t="str">
        <f t="shared" si="2"/>
        <v/>
      </c>
      <c r="L42" s="188" t="str">
        <f t="shared" si="3"/>
        <v/>
      </c>
      <c r="M42" s="203" t="str">
        <f>IF($H42="USD",IF(OR($L42="",$L42="-"),"",VLOOKUP($G42,為替!$A:$AX,$L42,FALSE))+$K$3,IF(OR($L42="",$L42="-"),"",VLOOKUP($G42,為替!$A:$AX,$L42,FALSE)))</f>
        <v/>
      </c>
      <c r="N42" s="204" t="str">
        <f t="shared" si="4"/>
        <v/>
      </c>
      <c r="O42" s="205" t="str">
        <f t="shared" si="0"/>
        <v/>
      </c>
      <c r="P42" s="206" t="str">
        <f t="shared" si="5"/>
        <v/>
      </c>
    </row>
    <row r="43" spans="3:16" x14ac:dyDescent="0.4">
      <c r="C43" s="199"/>
      <c r="D43" s="200"/>
      <c r="E43" s="201"/>
      <c r="F43" s="199"/>
      <c r="H43" s="202"/>
      <c r="I43" s="185" t="str">
        <f t="shared" si="1"/>
        <v/>
      </c>
      <c r="J43" s="203" t="str">
        <f>IF($H43="USD",IF(OR($I43="",$I43="-"),"",VLOOKUP($G43,為替!$A:$AX,$I43,FALSE))+$J$3,IF(OR($I43="",$I43="-"),"",VLOOKUP($G43,為替!$A:$AX,$I43,FALSE)))</f>
        <v/>
      </c>
      <c r="K43" s="204" t="str">
        <f t="shared" si="2"/>
        <v/>
      </c>
      <c r="L43" s="188" t="str">
        <f t="shared" si="3"/>
        <v/>
      </c>
      <c r="M43" s="203" t="str">
        <f>IF($H43="USD",IF(OR($L43="",$L43="-"),"",VLOOKUP($G43,為替!$A:$AX,$L43,FALSE))+$K$3,IF(OR($L43="",$L43="-"),"",VLOOKUP($G43,為替!$A:$AX,$L43,FALSE)))</f>
        <v/>
      </c>
      <c r="N43" s="204" t="str">
        <f t="shared" si="4"/>
        <v/>
      </c>
      <c r="O43" s="205" t="str">
        <f t="shared" si="0"/>
        <v/>
      </c>
      <c r="P43" s="206" t="str">
        <f t="shared" si="5"/>
        <v/>
      </c>
    </row>
    <row r="44" spans="3:16" x14ac:dyDescent="0.4">
      <c r="C44" s="199"/>
      <c r="D44" s="200"/>
      <c r="E44" s="201"/>
      <c r="F44" s="199"/>
      <c r="H44" s="202"/>
      <c r="I44" s="185" t="str">
        <f t="shared" si="1"/>
        <v/>
      </c>
      <c r="J44" s="203" t="str">
        <f>IF($H44="USD",IF(OR($I44="",$I44="-"),"",VLOOKUP($G44,為替!$A:$AX,$I44,FALSE))+$J$3,IF(OR($I44="",$I44="-"),"",VLOOKUP($G44,為替!$A:$AX,$I44,FALSE)))</f>
        <v/>
      </c>
      <c r="K44" s="204" t="str">
        <f t="shared" si="2"/>
        <v/>
      </c>
      <c r="L44" s="188" t="str">
        <f t="shared" si="3"/>
        <v/>
      </c>
      <c r="M44" s="203" t="str">
        <f>IF($H44="USD",IF(OR($L44="",$L44="-"),"",VLOOKUP($G44,為替!$A:$AX,$L44,FALSE))+$K$3,IF(OR($L44="",$L44="-"),"",VLOOKUP($G44,為替!$A:$AX,$L44,FALSE)))</f>
        <v/>
      </c>
      <c r="N44" s="204" t="str">
        <f t="shared" si="4"/>
        <v/>
      </c>
      <c r="O44" s="205" t="str">
        <f t="shared" si="0"/>
        <v/>
      </c>
      <c r="P44" s="206" t="str">
        <f t="shared" si="5"/>
        <v/>
      </c>
    </row>
    <row r="45" spans="3:16" x14ac:dyDescent="0.4">
      <c r="C45" s="199"/>
      <c r="D45" s="200"/>
      <c r="E45" s="201"/>
      <c r="F45" s="199"/>
      <c r="H45" s="202"/>
      <c r="I45" s="185" t="str">
        <f t="shared" si="1"/>
        <v/>
      </c>
      <c r="J45" s="203" t="str">
        <f>IF($H45="USD",IF(OR($I45="",$I45="-"),"",VLOOKUP($G45,為替!$A:$AX,$I45,FALSE))+$J$3,IF(OR($I45="",$I45="-"),"",VLOOKUP($G45,為替!$A:$AX,$I45,FALSE)))</f>
        <v/>
      </c>
      <c r="K45" s="204" t="str">
        <f t="shared" si="2"/>
        <v/>
      </c>
      <c r="L45" s="188" t="str">
        <f t="shared" si="3"/>
        <v/>
      </c>
      <c r="M45" s="203" t="str">
        <f>IF($H45="USD",IF(OR($L45="",$L45="-"),"",VLOOKUP($G45,為替!$A:$AX,$L45,FALSE))+$K$3,IF(OR($L45="",$L45="-"),"",VLOOKUP($G45,為替!$A:$AX,$L45,FALSE)))</f>
        <v/>
      </c>
      <c r="N45" s="204" t="str">
        <f t="shared" si="4"/>
        <v/>
      </c>
      <c r="O45" s="205" t="str">
        <f t="shared" si="0"/>
        <v/>
      </c>
      <c r="P45" s="206" t="str">
        <f t="shared" si="5"/>
        <v/>
      </c>
    </row>
    <row r="46" spans="3:16" x14ac:dyDescent="0.4">
      <c r="C46" s="199"/>
      <c r="D46" s="200"/>
      <c r="E46" s="201"/>
      <c r="F46" s="199"/>
      <c r="H46" s="202"/>
      <c r="I46" s="185" t="str">
        <f t="shared" si="1"/>
        <v/>
      </c>
      <c r="J46" s="203" t="str">
        <f>IF($H46="USD",IF(OR($I46="",$I46="-"),"",VLOOKUP($G46,為替!$A:$AX,$I46,FALSE))+$J$3,IF(OR($I46="",$I46="-"),"",VLOOKUP($G46,為替!$A:$AX,$I46,FALSE)))</f>
        <v/>
      </c>
      <c r="K46" s="204" t="str">
        <f t="shared" si="2"/>
        <v/>
      </c>
      <c r="L46" s="188" t="str">
        <f t="shared" si="3"/>
        <v/>
      </c>
      <c r="M46" s="203" t="str">
        <f>IF($H46="USD",IF(OR($L46="",$L46="-"),"",VLOOKUP($G46,為替!$A:$AX,$L46,FALSE))+$K$3,IF(OR($L46="",$L46="-"),"",VLOOKUP($G46,為替!$A:$AX,$L46,FALSE)))</f>
        <v/>
      </c>
      <c r="N46" s="204" t="str">
        <f t="shared" si="4"/>
        <v/>
      </c>
      <c r="O46" s="205" t="str">
        <f t="shared" si="0"/>
        <v/>
      </c>
      <c r="P46" s="206" t="str">
        <f t="shared" si="5"/>
        <v/>
      </c>
    </row>
    <row r="47" spans="3:16" x14ac:dyDescent="0.4">
      <c r="C47" s="199"/>
      <c r="D47" s="200"/>
      <c r="E47" s="201"/>
      <c r="F47" s="199"/>
      <c r="H47" s="202"/>
      <c r="I47" s="185" t="str">
        <f t="shared" si="1"/>
        <v/>
      </c>
      <c r="J47" s="203" t="str">
        <f>IF($H47="USD",IF(OR($I47="",$I47="-"),"",VLOOKUP($G47,為替!$A:$AX,$I47,FALSE))+$J$3,IF(OR($I47="",$I47="-"),"",VLOOKUP($G47,為替!$A:$AX,$I47,FALSE)))</f>
        <v/>
      </c>
      <c r="K47" s="204" t="str">
        <f t="shared" si="2"/>
        <v/>
      </c>
      <c r="L47" s="188" t="str">
        <f t="shared" si="3"/>
        <v/>
      </c>
      <c r="M47" s="203" t="str">
        <f>IF($H47="USD",IF(OR($L47="",$L47="-"),"",VLOOKUP($G47,為替!$A:$AX,$L47,FALSE))+$K$3,IF(OR($L47="",$L47="-"),"",VLOOKUP($G47,為替!$A:$AX,$L47,FALSE)))</f>
        <v/>
      </c>
      <c r="N47" s="204" t="str">
        <f t="shared" si="4"/>
        <v/>
      </c>
      <c r="O47" s="205" t="str">
        <f t="shared" si="0"/>
        <v/>
      </c>
      <c r="P47" s="206" t="str">
        <f t="shared" si="5"/>
        <v/>
      </c>
    </row>
    <row r="48" spans="3:16" x14ac:dyDescent="0.4">
      <c r="C48" s="199"/>
      <c r="D48" s="200"/>
      <c r="E48" s="201"/>
      <c r="F48" s="199"/>
      <c r="H48" s="202"/>
      <c r="I48" s="185" t="str">
        <f t="shared" si="1"/>
        <v/>
      </c>
      <c r="J48" s="203" t="str">
        <f>IF($H48="USD",IF(OR($I48="",$I48="-"),"",VLOOKUP($G48,為替!$A:$AX,$I48,FALSE))+$J$3,IF(OR($I48="",$I48="-"),"",VLOOKUP($G48,為替!$A:$AX,$I48,FALSE)))</f>
        <v/>
      </c>
      <c r="K48" s="204" t="str">
        <f t="shared" si="2"/>
        <v/>
      </c>
      <c r="L48" s="188" t="str">
        <f t="shared" si="3"/>
        <v/>
      </c>
      <c r="M48" s="203" t="str">
        <f>IF($H48="USD",IF(OR($L48="",$L48="-"),"",VLOOKUP($G48,為替!$A:$AX,$L48,FALSE))+$K$3,IF(OR($L48="",$L48="-"),"",VLOOKUP($G48,為替!$A:$AX,$L48,FALSE)))</f>
        <v/>
      </c>
      <c r="N48" s="204" t="str">
        <f t="shared" si="4"/>
        <v/>
      </c>
      <c r="O48" s="205" t="str">
        <f t="shared" si="0"/>
        <v/>
      </c>
      <c r="P48" s="206" t="str">
        <f t="shared" si="5"/>
        <v/>
      </c>
    </row>
    <row r="49" spans="3:16" x14ac:dyDescent="0.4">
      <c r="C49" s="199"/>
      <c r="D49" s="200"/>
      <c r="E49" s="201"/>
      <c r="F49" s="199"/>
      <c r="H49" s="202"/>
      <c r="I49" s="185" t="str">
        <f t="shared" si="1"/>
        <v/>
      </c>
      <c r="J49" s="203" t="str">
        <f>IF($H49="USD",IF(OR($I49="",$I49="-"),"",VLOOKUP($G49,為替!$A:$AX,$I49,FALSE))+$J$3,IF(OR($I49="",$I49="-"),"",VLOOKUP($G49,為替!$A:$AX,$I49,FALSE)))</f>
        <v/>
      </c>
      <c r="K49" s="204" t="str">
        <f t="shared" si="2"/>
        <v/>
      </c>
      <c r="L49" s="188" t="str">
        <f t="shared" si="3"/>
        <v/>
      </c>
      <c r="M49" s="203" t="str">
        <f>IF($H49="USD",IF(OR($L49="",$L49="-"),"",VLOOKUP($G49,為替!$A:$AX,$L49,FALSE))+$K$3,IF(OR($L49="",$L49="-"),"",VLOOKUP($G49,為替!$A:$AX,$L49,FALSE)))</f>
        <v/>
      </c>
      <c r="N49" s="204" t="str">
        <f t="shared" si="4"/>
        <v/>
      </c>
      <c r="O49" s="205" t="str">
        <f t="shared" si="0"/>
        <v/>
      </c>
      <c r="P49" s="206" t="str">
        <f t="shared" si="5"/>
        <v/>
      </c>
    </row>
    <row r="50" spans="3:16" x14ac:dyDescent="0.4">
      <c r="C50" s="199"/>
      <c r="D50" s="200"/>
      <c r="E50" s="201"/>
      <c r="F50" s="199"/>
      <c r="H50" s="202"/>
      <c r="I50" s="185" t="str">
        <f t="shared" si="1"/>
        <v/>
      </c>
      <c r="J50" s="203" t="str">
        <f>IF($H50="USD",IF(OR($I50="",$I50="-"),"",VLOOKUP($G50,為替!$A:$AX,$I50,FALSE))+$J$3,IF(OR($I50="",$I50="-"),"",VLOOKUP($G50,為替!$A:$AX,$I50,FALSE)))</f>
        <v/>
      </c>
      <c r="K50" s="204" t="str">
        <f t="shared" si="2"/>
        <v/>
      </c>
      <c r="L50" s="188" t="str">
        <f t="shared" si="3"/>
        <v/>
      </c>
      <c r="M50" s="203" t="str">
        <f>IF($H50="USD",IF(OR($L50="",$L50="-"),"",VLOOKUP($G50,為替!$A:$AX,$L50,FALSE))+$K$3,IF(OR($L50="",$L50="-"),"",VLOOKUP($G50,為替!$A:$AX,$L50,FALSE)))</f>
        <v/>
      </c>
      <c r="N50" s="204" t="str">
        <f t="shared" si="4"/>
        <v/>
      </c>
      <c r="O50" s="205" t="str">
        <f t="shared" si="0"/>
        <v/>
      </c>
      <c r="P50" s="206" t="str">
        <f t="shared" si="5"/>
        <v/>
      </c>
    </row>
    <row r="51" spans="3:16" x14ac:dyDescent="0.4">
      <c r="C51" s="199"/>
      <c r="D51" s="200"/>
      <c r="E51" s="201"/>
      <c r="F51" s="199"/>
      <c r="H51" s="202"/>
      <c r="I51" s="185" t="str">
        <f t="shared" si="1"/>
        <v/>
      </c>
      <c r="J51" s="203" t="str">
        <f>IF($H51="USD",IF(OR($I51="",$I51="-"),"",VLOOKUP($G51,為替!$A:$AX,$I51,FALSE))+$J$3,IF(OR($I51="",$I51="-"),"",VLOOKUP($G51,為替!$A:$AX,$I51,FALSE)))</f>
        <v/>
      </c>
      <c r="K51" s="204" t="str">
        <f t="shared" si="2"/>
        <v/>
      </c>
      <c r="L51" s="188" t="str">
        <f t="shared" si="3"/>
        <v/>
      </c>
      <c r="M51" s="203" t="str">
        <f>IF($H51="USD",IF(OR($L51="",$L51="-"),"",VLOOKUP($G51,為替!$A:$AX,$L51,FALSE))+$K$3,IF(OR($L51="",$L51="-"),"",VLOOKUP($G51,為替!$A:$AX,$L51,FALSE)))</f>
        <v/>
      </c>
      <c r="N51" s="204" t="str">
        <f t="shared" si="4"/>
        <v/>
      </c>
      <c r="O51" s="205" t="str">
        <f t="shared" si="0"/>
        <v/>
      </c>
      <c r="P51" s="206" t="str">
        <f t="shared" si="5"/>
        <v/>
      </c>
    </row>
    <row r="52" spans="3:16" x14ac:dyDescent="0.4">
      <c r="C52" s="199"/>
      <c r="D52" s="200"/>
      <c r="E52" s="201"/>
      <c r="F52" s="199"/>
      <c r="H52" s="202"/>
      <c r="I52" s="185" t="str">
        <f t="shared" si="1"/>
        <v/>
      </c>
      <c r="J52" s="203" t="str">
        <f>IF($H52="USD",IF(OR($I52="",$I52="-"),"",VLOOKUP($G52,為替!$A:$AX,$I52,FALSE))+$J$3,IF(OR($I52="",$I52="-"),"",VLOOKUP($G52,為替!$A:$AX,$I52,FALSE)))</f>
        <v/>
      </c>
      <c r="K52" s="204" t="str">
        <f t="shared" si="2"/>
        <v/>
      </c>
      <c r="L52" s="188" t="str">
        <f t="shared" si="3"/>
        <v/>
      </c>
      <c r="M52" s="203" t="str">
        <f>IF($H52="USD",IF(OR($L52="",$L52="-"),"",VLOOKUP($G52,為替!$A:$AX,$L52,FALSE))+$K$3,IF(OR($L52="",$L52="-"),"",VLOOKUP($G52,為替!$A:$AX,$L52,FALSE)))</f>
        <v/>
      </c>
      <c r="N52" s="204" t="str">
        <f t="shared" si="4"/>
        <v/>
      </c>
      <c r="O52" s="205" t="str">
        <f t="shared" si="0"/>
        <v/>
      </c>
      <c r="P52" s="206" t="str">
        <f t="shared" si="5"/>
        <v/>
      </c>
    </row>
    <row r="53" spans="3:16" x14ac:dyDescent="0.4">
      <c r="C53" s="199"/>
      <c r="D53" s="200"/>
      <c r="E53" s="201"/>
      <c r="F53" s="199"/>
      <c r="H53" s="202"/>
      <c r="I53" s="185" t="str">
        <f t="shared" si="1"/>
        <v/>
      </c>
      <c r="J53" s="203" t="str">
        <f>IF($H53="USD",IF(OR($I53="",$I53="-"),"",VLOOKUP($G53,為替!$A:$AX,$I53,FALSE))+$J$3,IF(OR($I53="",$I53="-"),"",VLOOKUP($G53,為替!$A:$AX,$I53,FALSE)))</f>
        <v/>
      </c>
      <c r="K53" s="204" t="str">
        <f t="shared" si="2"/>
        <v/>
      </c>
      <c r="L53" s="188" t="str">
        <f t="shared" si="3"/>
        <v/>
      </c>
      <c r="M53" s="203" t="str">
        <f>IF($H53="USD",IF(OR($L53="",$L53="-"),"",VLOOKUP($G53,為替!$A:$AX,$L53,FALSE))+$K$3,IF(OR($L53="",$L53="-"),"",VLOOKUP($G53,為替!$A:$AX,$L53,FALSE)))</f>
        <v/>
      </c>
      <c r="N53" s="204" t="str">
        <f t="shared" si="4"/>
        <v/>
      </c>
      <c r="O53" s="205" t="str">
        <f t="shared" si="0"/>
        <v/>
      </c>
      <c r="P53" s="206" t="str">
        <f t="shared" si="5"/>
        <v/>
      </c>
    </row>
    <row r="54" spans="3:16" x14ac:dyDescent="0.4">
      <c r="C54" s="199"/>
      <c r="D54" s="200"/>
      <c r="E54" s="201"/>
      <c r="F54" s="199"/>
      <c r="H54" s="202"/>
      <c r="I54" s="185" t="str">
        <f t="shared" si="1"/>
        <v/>
      </c>
      <c r="J54" s="203" t="str">
        <f>IF($H54="USD",IF(OR($I54="",$I54="-"),"",VLOOKUP($G54,為替!$A:$AX,$I54,FALSE))+$J$3,IF(OR($I54="",$I54="-"),"",VLOOKUP($G54,為替!$A:$AX,$I54,FALSE)))</f>
        <v/>
      </c>
      <c r="K54" s="204" t="str">
        <f t="shared" si="2"/>
        <v/>
      </c>
      <c r="L54" s="188" t="str">
        <f t="shared" si="3"/>
        <v/>
      </c>
      <c r="M54" s="203" t="str">
        <f>IF($H54="USD",IF(OR($L54="",$L54="-"),"",VLOOKUP($G54,為替!$A:$AX,$L54,FALSE))+$K$3,IF(OR($L54="",$L54="-"),"",VLOOKUP($G54,為替!$A:$AX,$L54,FALSE)))</f>
        <v/>
      </c>
      <c r="N54" s="204" t="str">
        <f t="shared" si="4"/>
        <v/>
      </c>
      <c r="O54" s="205" t="str">
        <f t="shared" si="0"/>
        <v/>
      </c>
      <c r="P54" s="206" t="str">
        <f t="shared" si="5"/>
        <v/>
      </c>
    </row>
    <row r="55" spans="3:16" x14ac:dyDescent="0.4">
      <c r="C55" s="199"/>
      <c r="D55" s="200"/>
      <c r="E55" s="201"/>
      <c r="F55" s="199"/>
      <c r="H55" s="202"/>
      <c r="I55" s="185" t="str">
        <f t="shared" si="1"/>
        <v/>
      </c>
      <c r="J55" s="203" t="str">
        <f>IF($H55="USD",IF(OR($I55="",$I55="-"),"",VLOOKUP($G55,為替!$A:$AX,$I55,FALSE))+$J$3,IF(OR($I55="",$I55="-"),"",VLOOKUP($G55,為替!$A:$AX,$I55,FALSE)))</f>
        <v/>
      </c>
      <c r="K55" s="204" t="str">
        <f t="shared" si="2"/>
        <v/>
      </c>
      <c r="L55" s="188" t="str">
        <f t="shared" si="3"/>
        <v/>
      </c>
      <c r="M55" s="203" t="str">
        <f>IF($H55="USD",IF(OR($L55="",$L55="-"),"",VLOOKUP($G55,為替!$A:$AX,$L55,FALSE))+$K$3,IF(OR($L55="",$L55="-"),"",VLOOKUP($G55,為替!$A:$AX,$L55,FALSE)))</f>
        <v/>
      </c>
      <c r="N55" s="204" t="str">
        <f t="shared" si="4"/>
        <v/>
      </c>
      <c r="O55" s="205" t="str">
        <f t="shared" si="0"/>
        <v/>
      </c>
      <c r="P55" s="206" t="str">
        <f t="shared" si="5"/>
        <v/>
      </c>
    </row>
    <row r="56" spans="3:16" x14ac:dyDescent="0.4">
      <c r="C56" s="199"/>
      <c r="D56" s="200"/>
      <c r="E56" s="201"/>
      <c r="F56" s="199"/>
      <c r="H56" s="202"/>
      <c r="I56" s="185" t="str">
        <f t="shared" si="1"/>
        <v/>
      </c>
      <c r="J56" s="203" t="str">
        <f>IF($H56="USD",IF(OR($I56="",$I56="-"),"",VLOOKUP($G56,為替!$A:$AX,$I56,FALSE))+$J$3,IF(OR($I56="",$I56="-"),"",VLOOKUP($G56,為替!$A:$AX,$I56,FALSE)))</f>
        <v/>
      </c>
      <c r="K56" s="204" t="str">
        <f t="shared" si="2"/>
        <v/>
      </c>
      <c r="L56" s="188" t="str">
        <f t="shared" si="3"/>
        <v/>
      </c>
      <c r="M56" s="203" t="str">
        <f>IF($H56="USD",IF(OR($L56="",$L56="-"),"",VLOOKUP($G56,為替!$A:$AX,$L56,FALSE))+$K$3,IF(OR($L56="",$L56="-"),"",VLOOKUP($G56,為替!$A:$AX,$L56,FALSE)))</f>
        <v/>
      </c>
      <c r="N56" s="204" t="str">
        <f t="shared" si="4"/>
        <v/>
      </c>
      <c r="O56" s="205" t="str">
        <f t="shared" si="0"/>
        <v/>
      </c>
      <c r="P56" s="206" t="str">
        <f t="shared" si="5"/>
        <v/>
      </c>
    </row>
    <row r="57" spans="3:16" x14ac:dyDescent="0.4">
      <c r="C57" s="199"/>
      <c r="D57" s="200"/>
      <c r="E57" s="201"/>
      <c r="F57" s="199"/>
      <c r="H57" s="202"/>
      <c r="I57" s="185" t="str">
        <f t="shared" si="1"/>
        <v/>
      </c>
      <c r="J57" s="203" t="str">
        <f>IF($H57="USD",IF(OR($I57="",$I57="-"),"",VLOOKUP($G57,為替!$A:$AX,$I57,FALSE))+$J$3,IF(OR($I57="",$I57="-"),"",VLOOKUP($G57,為替!$A:$AX,$I57,FALSE)))</f>
        <v/>
      </c>
      <c r="K57" s="204" t="str">
        <f t="shared" si="2"/>
        <v/>
      </c>
      <c r="L57" s="188" t="str">
        <f t="shared" si="3"/>
        <v/>
      </c>
      <c r="M57" s="203" t="str">
        <f>IF($H57="USD",IF(OR($L57="",$L57="-"),"",VLOOKUP($G57,為替!$A:$AX,$L57,FALSE))+$K$3,IF(OR($L57="",$L57="-"),"",VLOOKUP($G57,為替!$A:$AX,$L57,FALSE)))</f>
        <v/>
      </c>
      <c r="N57" s="204" t="str">
        <f t="shared" si="4"/>
        <v/>
      </c>
      <c r="O57" s="205" t="str">
        <f t="shared" si="0"/>
        <v/>
      </c>
      <c r="P57" s="206" t="str">
        <f t="shared" si="5"/>
        <v/>
      </c>
    </row>
    <row r="58" spans="3:16" x14ac:dyDescent="0.4">
      <c r="C58" s="199"/>
      <c r="D58" s="200"/>
      <c r="E58" s="201"/>
      <c r="F58" s="199"/>
      <c r="H58" s="202"/>
      <c r="I58" s="185" t="str">
        <f t="shared" si="1"/>
        <v/>
      </c>
      <c r="J58" s="203" t="str">
        <f>IF($H58="USD",IF(OR($I58="",$I58="-"),"",VLOOKUP($G58,為替!$A:$AX,$I58,FALSE))+$J$3,IF(OR($I58="",$I58="-"),"",VLOOKUP($G58,為替!$A:$AX,$I58,FALSE)))</f>
        <v/>
      </c>
      <c r="K58" s="204" t="str">
        <f t="shared" si="2"/>
        <v/>
      </c>
      <c r="L58" s="188" t="str">
        <f t="shared" si="3"/>
        <v/>
      </c>
      <c r="M58" s="203" t="str">
        <f>IF($H58="USD",IF(OR($L58="",$L58="-"),"",VLOOKUP($G58,為替!$A:$AX,$L58,FALSE))+$K$3,IF(OR($L58="",$L58="-"),"",VLOOKUP($G58,為替!$A:$AX,$L58,FALSE)))</f>
        <v/>
      </c>
      <c r="N58" s="204" t="str">
        <f t="shared" si="4"/>
        <v/>
      </c>
      <c r="O58" s="205" t="str">
        <f t="shared" si="0"/>
        <v/>
      </c>
      <c r="P58" s="206" t="str">
        <f t="shared" si="5"/>
        <v/>
      </c>
    </row>
    <row r="59" spans="3:16" x14ac:dyDescent="0.4">
      <c r="C59" s="199"/>
      <c r="D59" s="200"/>
      <c r="E59" s="201"/>
      <c r="F59" s="199"/>
      <c r="H59" s="202"/>
      <c r="I59" s="185" t="str">
        <f t="shared" si="1"/>
        <v/>
      </c>
      <c r="J59" s="203" t="str">
        <f>IF($H59="USD",IF(OR($I59="",$I59="-"),"",VLOOKUP($G59,為替!$A:$AX,$I59,FALSE))+$J$3,IF(OR($I59="",$I59="-"),"",VLOOKUP($G59,為替!$A:$AX,$I59,FALSE)))</f>
        <v/>
      </c>
      <c r="K59" s="204" t="str">
        <f t="shared" si="2"/>
        <v/>
      </c>
      <c r="L59" s="188" t="str">
        <f t="shared" si="3"/>
        <v/>
      </c>
      <c r="M59" s="203" t="str">
        <f>IF($H59="USD",IF(OR($L59="",$L59="-"),"",VLOOKUP($G59,為替!$A:$AX,$L59,FALSE))+$K$3,IF(OR($L59="",$L59="-"),"",VLOOKUP($G59,為替!$A:$AX,$L59,FALSE)))</f>
        <v/>
      </c>
      <c r="N59" s="204" t="str">
        <f t="shared" si="4"/>
        <v/>
      </c>
      <c r="O59" s="205" t="str">
        <f t="shared" si="0"/>
        <v/>
      </c>
      <c r="P59" s="206" t="str">
        <f t="shared" si="5"/>
        <v/>
      </c>
    </row>
    <row r="60" spans="3:16" x14ac:dyDescent="0.4">
      <c r="C60" s="199"/>
      <c r="D60" s="200"/>
      <c r="E60" s="201"/>
      <c r="F60" s="199"/>
      <c r="H60" s="202"/>
      <c r="I60" s="185" t="str">
        <f t="shared" si="1"/>
        <v/>
      </c>
      <c r="J60" s="203" t="str">
        <f>IF($H60="USD",IF(OR($I60="",$I60="-"),"",VLOOKUP($G60,為替!$A:$AX,$I60,FALSE))+$J$3,IF(OR($I60="",$I60="-"),"",VLOOKUP($G60,為替!$A:$AX,$I60,FALSE)))</f>
        <v/>
      </c>
      <c r="K60" s="204" t="str">
        <f t="shared" si="2"/>
        <v/>
      </c>
      <c r="L60" s="188" t="str">
        <f t="shared" si="3"/>
        <v/>
      </c>
      <c r="M60" s="203" t="str">
        <f>IF($H60="USD",IF(OR($L60="",$L60="-"),"",VLOOKUP($G60,為替!$A:$AX,$L60,FALSE))+$K$3,IF(OR($L60="",$L60="-"),"",VLOOKUP($G60,為替!$A:$AX,$L60,FALSE)))</f>
        <v/>
      </c>
      <c r="N60" s="204" t="str">
        <f t="shared" si="4"/>
        <v/>
      </c>
      <c r="O60" s="205" t="str">
        <f t="shared" si="0"/>
        <v/>
      </c>
      <c r="P60" s="206" t="str">
        <f t="shared" si="5"/>
        <v/>
      </c>
    </row>
    <row r="61" spans="3:16" x14ac:dyDescent="0.4">
      <c r="C61" s="199"/>
      <c r="D61" s="200"/>
      <c r="E61" s="201"/>
      <c r="F61" s="199"/>
      <c r="H61" s="202"/>
      <c r="I61" s="185" t="str">
        <f t="shared" si="1"/>
        <v/>
      </c>
      <c r="J61" s="203" t="str">
        <f>IF($H61="USD",IF(OR($I61="",$I61="-"),"",VLOOKUP($G61,為替!$A:$AX,$I61,FALSE))+$J$3,IF(OR($I61="",$I61="-"),"",VLOOKUP($G61,為替!$A:$AX,$I61,FALSE)))</f>
        <v/>
      </c>
      <c r="K61" s="204" t="str">
        <f t="shared" si="2"/>
        <v/>
      </c>
      <c r="L61" s="188" t="str">
        <f t="shared" si="3"/>
        <v/>
      </c>
      <c r="M61" s="203" t="str">
        <f>IF($H61="USD",IF(OR($L61="",$L61="-"),"",VLOOKUP($G61,為替!$A:$AX,$L61,FALSE))+$K$3,IF(OR($L61="",$L61="-"),"",VLOOKUP($G61,為替!$A:$AX,$L61,FALSE)))</f>
        <v/>
      </c>
      <c r="N61" s="204" t="str">
        <f t="shared" si="4"/>
        <v/>
      </c>
      <c r="O61" s="205" t="str">
        <f t="shared" si="0"/>
        <v/>
      </c>
      <c r="P61" s="206" t="str">
        <f t="shared" si="5"/>
        <v/>
      </c>
    </row>
    <row r="62" spans="3:16" x14ac:dyDescent="0.4">
      <c r="C62" s="199"/>
      <c r="D62" s="200"/>
      <c r="E62" s="201"/>
      <c r="F62" s="199"/>
      <c r="H62" s="202"/>
      <c r="I62" s="185" t="str">
        <f t="shared" si="1"/>
        <v/>
      </c>
      <c r="J62" s="203" t="str">
        <f>IF($H62="USD",IF(OR($I62="",$I62="-"),"",VLOOKUP($G62,為替!$A:$AX,$I62,FALSE))+$J$3,IF(OR($I62="",$I62="-"),"",VLOOKUP($G62,為替!$A:$AX,$I62,FALSE)))</f>
        <v/>
      </c>
      <c r="K62" s="204" t="str">
        <f t="shared" si="2"/>
        <v/>
      </c>
      <c r="L62" s="188" t="str">
        <f t="shared" si="3"/>
        <v/>
      </c>
      <c r="M62" s="203" t="str">
        <f>IF($H62="USD",IF(OR($L62="",$L62="-"),"",VLOOKUP($G62,為替!$A:$AX,$L62,FALSE))+$K$3,IF(OR($L62="",$L62="-"),"",VLOOKUP($G62,為替!$A:$AX,$L62,FALSE)))</f>
        <v/>
      </c>
      <c r="N62" s="204" t="str">
        <f t="shared" si="4"/>
        <v/>
      </c>
      <c r="O62" s="205" t="str">
        <f t="shared" si="0"/>
        <v/>
      </c>
      <c r="P62" s="206" t="str">
        <f t="shared" si="5"/>
        <v/>
      </c>
    </row>
    <row r="63" spans="3:16" x14ac:dyDescent="0.4">
      <c r="C63" s="199"/>
      <c r="D63" s="200"/>
      <c r="E63" s="201"/>
      <c r="F63" s="199"/>
      <c r="H63" s="202"/>
      <c r="I63" s="185" t="str">
        <f t="shared" si="1"/>
        <v/>
      </c>
      <c r="J63" s="203" t="str">
        <f>IF($H63="USD",IF(OR($I63="",$I63="-"),"",VLOOKUP($G63,為替!$A:$AX,$I63,FALSE))+$J$3,IF(OR($I63="",$I63="-"),"",VLOOKUP($G63,為替!$A:$AX,$I63,FALSE)))</f>
        <v/>
      </c>
      <c r="K63" s="204" t="str">
        <f t="shared" si="2"/>
        <v/>
      </c>
      <c r="L63" s="188" t="str">
        <f t="shared" si="3"/>
        <v/>
      </c>
      <c r="M63" s="203" t="str">
        <f>IF($H63="USD",IF(OR($L63="",$L63="-"),"",VLOOKUP($G63,為替!$A:$AX,$L63,FALSE))+$K$3,IF(OR($L63="",$L63="-"),"",VLOOKUP($G63,為替!$A:$AX,$L63,FALSE)))</f>
        <v/>
      </c>
      <c r="N63" s="204" t="str">
        <f t="shared" si="4"/>
        <v/>
      </c>
      <c r="O63" s="205" t="str">
        <f t="shared" si="0"/>
        <v/>
      </c>
      <c r="P63" s="206" t="str">
        <f t="shared" si="5"/>
        <v/>
      </c>
    </row>
    <row r="64" spans="3:16" x14ac:dyDescent="0.4">
      <c r="C64" s="199"/>
      <c r="D64" s="200"/>
      <c r="E64" s="201"/>
      <c r="F64" s="199"/>
      <c r="H64" s="202"/>
      <c r="I64" s="185" t="str">
        <f t="shared" si="1"/>
        <v/>
      </c>
      <c r="J64" s="203" t="str">
        <f>IF($H64="USD",IF(OR($I64="",$I64="-"),"",VLOOKUP($G64,為替!$A:$AX,$I64,FALSE))+$J$3,IF(OR($I64="",$I64="-"),"",VLOOKUP($G64,為替!$A:$AX,$I64,FALSE)))</f>
        <v/>
      </c>
      <c r="K64" s="204" t="str">
        <f t="shared" si="2"/>
        <v/>
      </c>
      <c r="L64" s="188" t="str">
        <f t="shared" si="3"/>
        <v/>
      </c>
      <c r="M64" s="203" t="str">
        <f>IF($H64="USD",IF(OR($L64="",$L64="-"),"",VLOOKUP($G64,為替!$A:$AX,$L64,FALSE))+$K$3,IF(OR($L64="",$L64="-"),"",VLOOKUP($G64,為替!$A:$AX,$L64,FALSE)))</f>
        <v/>
      </c>
      <c r="N64" s="204" t="str">
        <f t="shared" si="4"/>
        <v/>
      </c>
      <c r="O64" s="205" t="str">
        <f t="shared" si="0"/>
        <v/>
      </c>
      <c r="P64" s="206" t="str">
        <f t="shared" si="5"/>
        <v/>
      </c>
    </row>
    <row r="65" spans="3:16" x14ac:dyDescent="0.4">
      <c r="C65" s="199"/>
      <c r="D65" s="200"/>
      <c r="E65" s="201"/>
      <c r="F65" s="199"/>
      <c r="H65" s="202"/>
      <c r="I65" s="185" t="str">
        <f t="shared" si="1"/>
        <v/>
      </c>
      <c r="J65" s="203" t="str">
        <f>IF($H65="USD",IF(OR($I65="",$I65="-"),"",VLOOKUP($G65,為替!$A:$AX,$I65,FALSE))+$J$3,IF(OR($I65="",$I65="-"),"",VLOOKUP($G65,為替!$A:$AX,$I65,FALSE)))</f>
        <v/>
      </c>
      <c r="K65" s="204" t="str">
        <f t="shared" si="2"/>
        <v/>
      </c>
      <c r="L65" s="188" t="str">
        <f t="shared" si="3"/>
        <v/>
      </c>
      <c r="M65" s="203" t="str">
        <f>IF($H65="USD",IF(OR($L65="",$L65="-"),"",VLOOKUP($G65,為替!$A:$AX,$L65,FALSE))+$K$3,IF(OR($L65="",$L65="-"),"",VLOOKUP($G65,為替!$A:$AX,$L65,FALSE)))</f>
        <v/>
      </c>
      <c r="N65" s="204" t="str">
        <f t="shared" si="4"/>
        <v/>
      </c>
      <c r="O65" s="205" t="str">
        <f t="shared" si="0"/>
        <v/>
      </c>
      <c r="P65" s="206" t="str">
        <f t="shared" si="5"/>
        <v/>
      </c>
    </row>
    <row r="66" spans="3:16" x14ac:dyDescent="0.4">
      <c r="C66" s="199"/>
      <c r="D66" s="200"/>
      <c r="E66" s="201"/>
      <c r="F66" s="199"/>
      <c r="H66" s="202"/>
      <c r="I66" s="185" t="str">
        <f t="shared" si="1"/>
        <v/>
      </c>
      <c r="J66" s="203" t="str">
        <f>IF($H66="USD",IF(OR($I66="",$I66="-"),"",VLOOKUP($G66,為替!$A:$AX,$I66,FALSE))+$J$3,IF(OR($I66="",$I66="-"),"",VLOOKUP($G66,為替!$A:$AX,$I66,FALSE)))</f>
        <v/>
      </c>
      <c r="K66" s="204" t="str">
        <f t="shared" si="2"/>
        <v/>
      </c>
      <c r="L66" s="188" t="str">
        <f t="shared" si="3"/>
        <v/>
      </c>
      <c r="M66" s="203" t="str">
        <f>IF($H66="USD",IF(OR($L66="",$L66="-"),"",VLOOKUP($G66,為替!$A:$AX,$L66,FALSE))+$K$3,IF(OR($L66="",$L66="-"),"",VLOOKUP($G66,為替!$A:$AX,$L66,FALSE)))</f>
        <v/>
      </c>
      <c r="N66" s="204" t="str">
        <f t="shared" si="4"/>
        <v/>
      </c>
      <c r="O66" s="205" t="str">
        <f t="shared" si="0"/>
        <v/>
      </c>
      <c r="P66" s="206" t="str">
        <f t="shared" si="5"/>
        <v/>
      </c>
    </row>
    <row r="67" spans="3:16" x14ac:dyDescent="0.4">
      <c r="C67" s="199"/>
      <c r="D67" s="200"/>
      <c r="E67" s="201"/>
      <c r="F67" s="199"/>
      <c r="H67" s="202"/>
      <c r="I67" s="185" t="str">
        <f t="shared" si="1"/>
        <v/>
      </c>
      <c r="J67" s="203" t="str">
        <f>IF($H67="USD",IF(OR($I67="",$I67="-"),"",VLOOKUP($G67,為替!$A:$AX,$I67,FALSE))+$J$3,IF(OR($I67="",$I67="-"),"",VLOOKUP($G67,為替!$A:$AX,$I67,FALSE)))</f>
        <v/>
      </c>
      <c r="K67" s="204" t="str">
        <f t="shared" si="2"/>
        <v/>
      </c>
      <c r="L67" s="188" t="str">
        <f t="shared" si="3"/>
        <v/>
      </c>
      <c r="M67" s="203" t="str">
        <f>IF($H67="USD",IF(OR($L67="",$L67="-"),"",VLOOKUP($G67,為替!$A:$AX,$L67,FALSE))+$K$3,IF(OR($L67="",$L67="-"),"",VLOOKUP($G67,為替!$A:$AX,$L67,FALSE)))</f>
        <v/>
      </c>
      <c r="N67" s="204" t="str">
        <f t="shared" si="4"/>
        <v/>
      </c>
      <c r="O67" s="205" t="str">
        <f t="shared" si="0"/>
        <v/>
      </c>
      <c r="P67" s="206" t="str">
        <f t="shared" si="5"/>
        <v/>
      </c>
    </row>
    <row r="68" spans="3:16" x14ac:dyDescent="0.4">
      <c r="C68" s="199"/>
      <c r="D68" s="200"/>
      <c r="E68" s="201"/>
      <c r="F68" s="199"/>
      <c r="H68" s="202"/>
      <c r="I68" s="185" t="str">
        <f t="shared" si="1"/>
        <v/>
      </c>
      <c r="J68" s="203" t="str">
        <f>IF($H68="USD",IF(OR($I68="",$I68="-"),"",VLOOKUP($G68,為替!$A:$AX,$I68,FALSE))+$J$3,IF(OR($I68="",$I68="-"),"",VLOOKUP($G68,為替!$A:$AX,$I68,FALSE)))</f>
        <v/>
      </c>
      <c r="K68" s="204" t="str">
        <f t="shared" si="2"/>
        <v/>
      </c>
      <c r="L68" s="188" t="str">
        <f t="shared" si="3"/>
        <v/>
      </c>
      <c r="M68" s="203" t="str">
        <f>IF($H68="USD",IF(OR($L68="",$L68="-"),"",VLOOKUP($G68,為替!$A:$AX,$L68,FALSE))+$K$3,IF(OR($L68="",$L68="-"),"",VLOOKUP($G68,為替!$A:$AX,$L68,FALSE)))</f>
        <v/>
      </c>
      <c r="N68" s="204" t="str">
        <f t="shared" si="4"/>
        <v/>
      </c>
      <c r="O68" s="205" t="str">
        <f t="shared" si="0"/>
        <v/>
      </c>
      <c r="P68" s="206" t="str">
        <f t="shared" si="5"/>
        <v/>
      </c>
    </row>
    <row r="69" spans="3:16" x14ac:dyDescent="0.4">
      <c r="C69" s="199"/>
      <c r="D69" s="200"/>
      <c r="E69" s="201"/>
      <c r="F69" s="199"/>
      <c r="H69" s="202"/>
      <c r="I69" s="185" t="str">
        <f t="shared" si="1"/>
        <v/>
      </c>
      <c r="J69" s="203" t="str">
        <f>IF($H69="USD",IF(OR($I69="",$I69="-"),"",VLOOKUP($G69,為替!$A:$AX,$I69,FALSE))+$J$3,IF(OR($I69="",$I69="-"),"",VLOOKUP($G69,為替!$A:$AX,$I69,FALSE)))</f>
        <v/>
      </c>
      <c r="K69" s="204" t="str">
        <f t="shared" si="2"/>
        <v/>
      </c>
      <c r="L69" s="188" t="str">
        <f t="shared" si="3"/>
        <v/>
      </c>
      <c r="M69" s="203" t="str">
        <f>IF($H69="USD",IF(OR($L69="",$L69="-"),"",VLOOKUP($G69,為替!$A:$AX,$L69,FALSE))+$K$3,IF(OR($L69="",$L69="-"),"",VLOOKUP($G69,為替!$A:$AX,$L69,FALSE)))</f>
        <v/>
      </c>
      <c r="N69" s="204" t="str">
        <f t="shared" si="4"/>
        <v/>
      </c>
      <c r="O69" s="205" t="str">
        <f t="shared" si="0"/>
        <v/>
      </c>
      <c r="P69" s="206" t="str">
        <f t="shared" si="5"/>
        <v/>
      </c>
    </row>
    <row r="70" spans="3:16" x14ac:dyDescent="0.4">
      <c r="C70" s="199"/>
      <c r="D70" s="200"/>
      <c r="E70" s="201"/>
      <c r="F70" s="199"/>
      <c r="H70" s="202"/>
      <c r="I70" s="185" t="str">
        <f t="shared" si="1"/>
        <v/>
      </c>
      <c r="J70" s="203" t="str">
        <f>IF($H70="USD",IF(OR($I70="",$I70="-"),"",VLOOKUP($G70,為替!$A:$AX,$I70,FALSE))+$J$3,IF(OR($I70="",$I70="-"),"",VLOOKUP($G70,為替!$A:$AX,$I70,FALSE)))</f>
        <v/>
      </c>
      <c r="K70" s="204" t="str">
        <f t="shared" si="2"/>
        <v/>
      </c>
      <c r="L70" s="188" t="str">
        <f t="shared" si="3"/>
        <v/>
      </c>
      <c r="M70" s="203" t="str">
        <f>IF($H70="USD",IF(OR($L70="",$L70="-"),"",VLOOKUP($G70,為替!$A:$AX,$L70,FALSE))+$K$3,IF(OR($L70="",$L70="-"),"",VLOOKUP($G70,為替!$A:$AX,$L70,FALSE)))</f>
        <v/>
      </c>
      <c r="N70" s="204" t="str">
        <f t="shared" si="4"/>
        <v/>
      </c>
      <c r="O70" s="205" t="str">
        <f t="shared" ref="O70:O133" si="6">IF(OR(K70="",N70=""),"",K70-N70)</f>
        <v/>
      </c>
      <c r="P70" s="206" t="str">
        <f t="shared" si="5"/>
        <v/>
      </c>
    </row>
    <row r="71" spans="3:16" x14ac:dyDescent="0.4">
      <c r="C71" s="199"/>
      <c r="D71" s="200"/>
      <c r="E71" s="201"/>
      <c r="F71" s="199"/>
      <c r="H71" s="202"/>
      <c r="I71" s="185" t="str">
        <f t="shared" ref="I71:I134" si="7">IF(H71="","",IF(H71="JPY","",IF($H71="USD",4, IF(H71="EUR",7,IF(H71="CNY",47,IF(H71="HKD",34))))))</f>
        <v/>
      </c>
      <c r="J71" s="203" t="str">
        <f>IF($H71="USD",IF(OR($I71="",$I71="-"),"",VLOOKUP($G71,為替!$A:$AX,$I71,FALSE))+$J$3,IF(OR($I71="",$I71="-"),"",VLOOKUP($G71,為替!$A:$AX,$I71,FALSE)))</f>
        <v/>
      </c>
      <c r="K71" s="204" t="str">
        <f t="shared" ref="K71:K134" si="8">IF($H71="JPY",$F71,IF($H71="","",$F71*$J71))</f>
        <v/>
      </c>
      <c r="L71" s="188" t="str">
        <f t="shared" ref="L71:L134" si="9">IF(H71="","",IF(H71="JPY","",IF($H71="USD",3, IF(H71="EUR",6,IF(H71="CNY",46,IF(H71="HKD",33))))))</f>
        <v/>
      </c>
      <c r="M71" s="203" t="str">
        <f>IF($H71="USD",IF(OR($L71="",$L71="-"),"",VLOOKUP($G71,為替!$A:$AX,$L71,FALSE))+$K$3,IF(OR($L71="",$L71="-"),"",VLOOKUP($G71,為替!$A:$AX,$L71,FALSE)))</f>
        <v/>
      </c>
      <c r="N71" s="204" t="str">
        <f t="shared" ref="N71:N134" si="10">IF($E71="JPY",($C71+$D71),IF($E71="","",($C71+$D71)*$M71))</f>
        <v/>
      </c>
      <c r="O71" s="205" t="str">
        <f t="shared" si="6"/>
        <v/>
      </c>
      <c r="P71" s="206" t="str">
        <f t="shared" ref="P71:P134" si="11">IF(OR(K71="",O71=""),"",O71/K71)</f>
        <v/>
      </c>
    </row>
    <row r="72" spans="3:16" x14ac:dyDescent="0.4">
      <c r="C72" s="199"/>
      <c r="D72" s="200"/>
      <c r="E72" s="201"/>
      <c r="F72" s="199"/>
      <c r="H72" s="202"/>
      <c r="I72" s="185" t="str">
        <f t="shared" si="7"/>
        <v/>
      </c>
      <c r="J72" s="203" t="str">
        <f>IF($H72="USD",IF(OR($I72="",$I72="-"),"",VLOOKUP($G72,為替!$A:$AX,$I72,FALSE))+$J$3,IF(OR($I72="",$I72="-"),"",VLOOKUP($G72,為替!$A:$AX,$I72,FALSE)))</f>
        <v/>
      </c>
      <c r="K72" s="204" t="str">
        <f t="shared" si="8"/>
        <v/>
      </c>
      <c r="L72" s="188" t="str">
        <f t="shared" si="9"/>
        <v/>
      </c>
      <c r="M72" s="203" t="str">
        <f>IF($H72="USD",IF(OR($L72="",$L72="-"),"",VLOOKUP($G72,為替!$A:$AX,$L72,FALSE))+$K$3,IF(OR($L72="",$L72="-"),"",VLOOKUP($G72,為替!$A:$AX,$L72,FALSE)))</f>
        <v/>
      </c>
      <c r="N72" s="204" t="str">
        <f t="shared" si="10"/>
        <v/>
      </c>
      <c r="O72" s="205" t="str">
        <f t="shared" si="6"/>
        <v/>
      </c>
      <c r="P72" s="206" t="str">
        <f t="shared" si="11"/>
        <v/>
      </c>
    </row>
    <row r="73" spans="3:16" x14ac:dyDescent="0.4">
      <c r="C73" s="199"/>
      <c r="D73" s="200"/>
      <c r="E73" s="201"/>
      <c r="F73" s="199"/>
      <c r="H73" s="202"/>
      <c r="I73" s="185" t="str">
        <f t="shared" si="7"/>
        <v/>
      </c>
      <c r="J73" s="203" t="str">
        <f>IF($H73="USD",IF(OR($I73="",$I73="-"),"",VLOOKUP($G73,為替!$A:$AX,$I73,FALSE))+$J$3,IF(OR($I73="",$I73="-"),"",VLOOKUP($G73,為替!$A:$AX,$I73,FALSE)))</f>
        <v/>
      </c>
      <c r="K73" s="204" t="str">
        <f t="shared" si="8"/>
        <v/>
      </c>
      <c r="L73" s="188" t="str">
        <f t="shared" si="9"/>
        <v/>
      </c>
      <c r="M73" s="203" t="str">
        <f>IF($H73="USD",IF(OR($L73="",$L73="-"),"",VLOOKUP($G73,為替!$A:$AX,$L73,FALSE))+$K$3,IF(OR($L73="",$L73="-"),"",VLOOKUP($G73,為替!$A:$AX,$L73,FALSE)))</f>
        <v/>
      </c>
      <c r="N73" s="204" t="str">
        <f t="shared" si="10"/>
        <v/>
      </c>
      <c r="O73" s="205" t="str">
        <f t="shared" si="6"/>
        <v/>
      </c>
      <c r="P73" s="206" t="str">
        <f t="shared" si="11"/>
        <v/>
      </c>
    </row>
    <row r="74" spans="3:16" x14ac:dyDescent="0.4">
      <c r="C74" s="199"/>
      <c r="D74" s="200"/>
      <c r="E74" s="201"/>
      <c r="F74" s="199"/>
      <c r="H74" s="202"/>
      <c r="I74" s="185" t="str">
        <f t="shared" si="7"/>
        <v/>
      </c>
      <c r="J74" s="203" t="str">
        <f>IF($H74="USD",IF(OR($I74="",$I74="-"),"",VLOOKUP($G74,為替!$A:$AX,$I74,FALSE))+$J$3,IF(OR($I74="",$I74="-"),"",VLOOKUP($G74,為替!$A:$AX,$I74,FALSE)))</f>
        <v/>
      </c>
      <c r="K74" s="204" t="str">
        <f t="shared" si="8"/>
        <v/>
      </c>
      <c r="L74" s="188" t="str">
        <f t="shared" si="9"/>
        <v/>
      </c>
      <c r="M74" s="203" t="str">
        <f>IF($H74="USD",IF(OR($L74="",$L74="-"),"",VLOOKUP($G74,為替!$A:$AX,$L74,FALSE))+$K$3,IF(OR($L74="",$L74="-"),"",VLOOKUP($G74,為替!$A:$AX,$L74,FALSE)))</f>
        <v/>
      </c>
      <c r="N74" s="204" t="str">
        <f t="shared" si="10"/>
        <v/>
      </c>
      <c r="O74" s="205" t="str">
        <f t="shared" si="6"/>
        <v/>
      </c>
      <c r="P74" s="206" t="str">
        <f t="shared" si="11"/>
        <v/>
      </c>
    </row>
    <row r="75" spans="3:16" x14ac:dyDescent="0.4">
      <c r="C75" s="199"/>
      <c r="D75" s="200"/>
      <c r="E75" s="201"/>
      <c r="F75" s="199"/>
      <c r="H75" s="202"/>
      <c r="I75" s="185" t="str">
        <f t="shared" si="7"/>
        <v/>
      </c>
      <c r="J75" s="203" t="str">
        <f>IF($H75="USD",IF(OR($I75="",$I75="-"),"",VLOOKUP($G75,為替!$A:$AX,$I75,FALSE))+$J$3,IF(OR($I75="",$I75="-"),"",VLOOKUP($G75,為替!$A:$AX,$I75,FALSE)))</f>
        <v/>
      </c>
      <c r="K75" s="204" t="str">
        <f t="shared" si="8"/>
        <v/>
      </c>
      <c r="L75" s="188" t="str">
        <f t="shared" si="9"/>
        <v/>
      </c>
      <c r="M75" s="203" t="str">
        <f>IF($H75="USD",IF(OR($L75="",$L75="-"),"",VLOOKUP($G75,為替!$A:$AX,$L75,FALSE))+$K$3,IF(OR($L75="",$L75="-"),"",VLOOKUP($G75,為替!$A:$AX,$L75,FALSE)))</f>
        <v/>
      </c>
      <c r="N75" s="204" t="str">
        <f t="shared" si="10"/>
        <v/>
      </c>
      <c r="O75" s="205" t="str">
        <f t="shared" si="6"/>
        <v/>
      </c>
      <c r="P75" s="206" t="str">
        <f t="shared" si="11"/>
        <v/>
      </c>
    </row>
    <row r="76" spans="3:16" x14ac:dyDescent="0.4">
      <c r="C76" s="199"/>
      <c r="D76" s="200"/>
      <c r="E76" s="201"/>
      <c r="F76" s="199"/>
      <c r="H76" s="202"/>
      <c r="I76" s="185" t="str">
        <f t="shared" si="7"/>
        <v/>
      </c>
      <c r="J76" s="203" t="str">
        <f>IF($H76="USD",IF(OR($I76="",$I76="-"),"",VLOOKUP($G76,為替!$A:$AX,$I76,FALSE))+$J$3,IF(OR($I76="",$I76="-"),"",VLOOKUP($G76,為替!$A:$AX,$I76,FALSE)))</f>
        <v/>
      </c>
      <c r="K76" s="204" t="str">
        <f t="shared" si="8"/>
        <v/>
      </c>
      <c r="L76" s="188" t="str">
        <f t="shared" si="9"/>
        <v/>
      </c>
      <c r="M76" s="203" t="str">
        <f>IF($H76="USD",IF(OR($L76="",$L76="-"),"",VLOOKUP($G76,為替!$A:$AX,$L76,FALSE))+$K$3,IF(OR($L76="",$L76="-"),"",VLOOKUP($G76,為替!$A:$AX,$L76,FALSE)))</f>
        <v/>
      </c>
      <c r="N76" s="204" t="str">
        <f t="shared" si="10"/>
        <v/>
      </c>
      <c r="O76" s="205" t="str">
        <f t="shared" si="6"/>
        <v/>
      </c>
      <c r="P76" s="206" t="str">
        <f t="shared" si="11"/>
        <v/>
      </c>
    </row>
    <row r="77" spans="3:16" x14ac:dyDescent="0.4">
      <c r="C77" s="199"/>
      <c r="D77" s="200"/>
      <c r="E77" s="201"/>
      <c r="F77" s="199"/>
      <c r="H77" s="202"/>
      <c r="I77" s="185" t="str">
        <f t="shared" si="7"/>
        <v/>
      </c>
      <c r="J77" s="203" t="str">
        <f>IF($H77="USD",IF(OR($I77="",$I77="-"),"",VLOOKUP($G77,為替!$A:$AX,$I77,FALSE))+$J$3,IF(OR($I77="",$I77="-"),"",VLOOKUP($G77,為替!$A:$AX,$I77,FALSE)))</f>
        <v/>
      </c>
      <c r="K77" s="204" t="str">
        <f t="shared" si="8"/>
        <v/>
      </c>
      <c r="L77" s="188" t="str">
        <f t="shared" si="9"/>
        <v/>
      </c>
      <c r="M77" s="203" t="str">
        <f>IF($H77="USD",IF(OR($L77="",$L77="-"),"",VLOOKUP($G77,為替!$A:$AX,$L77,FALSE))+$K$3,IF(OR($L77="",$L77="-"),"",VLOOKUP($G77,為替!$A:$AX,$L77,FALSE)))</f>
        <v/>
      </c>
      <c r="N77" s="204" t="str">
        <f t="shared" si="10"/>
        <v/>
      </c>
      <c r="O77" s="205" t="str">
        <f t="shared" si="6"/>
        <v/>
      </c>
      <c r="P77" s="206" t="str">
        <f t="shared" si="11"/>
        <v/>
      </c>
    </row>
    <row r="78" spans="3:16" x14ac:dyDescent="0.4">
      <c r="C78" s="199"/>
      <c r="D78" s="200"/>
      <c r="E78" s="201"/>
      <c r="F78" s="199"/>
      <c r="H78" s="202"/>
      <c r="I78" s="185" t="str">
        <f t="shared" si="7"/>
        <v/>
      </c>
      <c r="J78" s="203" t="str">
        <f>IF($H78="USD",IF(OR($I78="",$I78="-"),"",VLOOKUP($G78,為替!$A:$AX,$I78,FALSE))+$J$3,IF(OR($I78="",$I78="-"),"",VLOOKUP($G78,為替!$A:$AX,$I78,FALSE)))</f>
        <v/>
      </c>
      <c r="K78" s="204" t="str">
        <f t="shared" si="8"/>
        <v/>
      </c>
      <c r="L78" s="188" t="str">
        <f t="shared" si="9"/>
        <v/>
      </c>
      <c r="M78" s="203" t="str">
        <f>IF($H78="USD",IF(OR($L78="",$L78="-"),"",VLOOKUP($G78,為替!$A:$AX,$L78,FALSE))+$K$3,IF(OR($L78="",$L78="-"),"",VLOOKUP($G78,為替!$A:$AX,$L78,FALSE)))</f>
        <v/>
      </c>
      <c r="N78" s="204" t="str">
        <f t="shared" si="10"/>
        <v/>
      </c>
      <c r="O78" s="205" t="str">
        <f t="shared" si="6"/>
        <v/>
      </c>
      <c r="P78" s="206" t="str">
        <f t="shared" si="11"/>
        <v/>
      </c>
    </row>
    <row r="79" spans="3:16" x14ac:dyDescent="0.4">
      <c r="C79" s="199"/>
      <c r="D79" s="200"/>
      <c r="E79" s="201"/>
      <c r="F79" s="199"/>
      <c r="H79" s="202"/>
      <c r="I79" s="185" t="str">
        <f t="shared" si="7"/>
        <v/>
      </c>
      <c r="J79" s="203" t="str">
        <f>IF($H79="USD",IF(OR($I79="",$I79="-"),"",VLOOKUP($G79,為替!$A:$AX,$I79,FALSE))+$J$3,IF(OR($I79="",$I79="-"),"",VLOOKUP($G79,為替!$A:$AX,$I79,FALSE)))</f>
        <v/>
      </c>
      <c r="K79" s="204" t="str">
        <f t="shared" si="8"/>
        <v/>
      </c>
      <c r="L79" s="188" t="str">
        <f t="shared" si="9"/>
        <v/>
      </c>
      <c r="M79" s="203" t="str">
        <f>IF($H79="USD",IF(OR($L79="",$L79="-"),"",VLOOKUP($G79,為替!$A:$AX,$L79,FALSE))+$K$3,IF(OR($L79="",$L79="-"),"",VLOOKUP($G79,為替!$A:$AX,$L79,FALSE)))</f>
        <v/>
      </c>
      <c r="N79" s="204" t="str">
        <f t="shared" si="10"/>
        <v/>
      </c>
      <c r="O79" s="205" t="str">
        <f t="shared" si="6"/>
        <v/>
      </c>
      <c r="P79" s="206" t="str">
        <f t="shared" si="11"/>
        <v/>
      </c>
    </row>
    <row r="80" spans="3:16" x14ac:dyDescent="0.4">
      <c r="C80" s="199"/>
      <c r="D80" s="200"/>
      <c r="E80" s="201"/>
      <c r="F80" s="199"/>
      <c r="H80" s="202"/>
      <c r="I80" s="185" t="str">
        <f t="shared" si="7"/>
        <v/>
      </c>
      <c r="J80" s="203" t="str">
        <f>IF($H80="USD",IF(OR($I80="",$I80="-"),"",VLOOKUP($G80,為替!$A:$AX,$I80,FALSE))+$J$3,IF(OR($I80="",$I80="-"),"",VLOOKUP($G80,為替!$A:$AX,$I80,FALSE)))</f>
        <v/>
      </c>
      <c r="K80" s="204" t="str">
        <f t="shared" si="8"/>
        <v/>
      </c>
      <c r="L80" s="188" t="str">
        <f t="shared" si="9"/>
        <v/>
      </c>
      <c r="M80" s="203" t="str">
        <f>IF($H80="USD",IF(OR($L80="",$L80="-"),"",VLOOKUP($G80,為替!$A:$AX,$L80,FALSE))+$K$3,IF(OR($L80="",$L80="-"),"",VLOOKUP($G80,為替!$A:$AX,$L80,FALSE)))</f>
        <v/>
      </c>
      <c r="N80" s="204" t="str">
        <f t="shared" si="10"/>
        <v/>
      </c>
      <c r="O80" s="205" t="str">
        <f t="shared" si="6"/>
        <v/>
      </c>
      <c r="P80" s="206" t="str">
        <f t="shared" si="11"/>
        <v/>
      </c>
    </row>
    <row r="81" spans="3:16" x14ac:dyDescent="0.4">
      <c r="C81" s="199"/>
      <c r="D81" s="200"/>
      <c r="E81" s="201"/>
      <c r="F81" s="199"/>
      <c r="H81" s="202"/>
      <c r="I81" s="185" t="str">
        <f t="shared" si="7"/>
        <v/>
      </c>
      <c r="J81" s="203" t="str">
        <f>IF($H81="USD",IF(OR($I81="",$I81="-"),"",VLOOKUP($G81,為替!$A:$AX,$I81,FALSE))+$J$3,IF(OR($I81="",$I81="-"),"",VLOOKUP($G81,為替!$A:$AX,$I81,FALSE)))</f>
        <v/>
      </c>
      <c r="K81" s="204" t="str">
        <f t="shared" si="8"/>
        <v/>
      </c>
      <c r="L81" s="188" t="str">
        <f t="shared" si="9"/>
        <v/>
      </c>
      <c r="M81" s="203" t="str">
        <f>IF($H81="USD",IF(OR($L81="",$L81="-"),"",VLOOKUP($G81,為替!$A:$AX,$L81,FALSE))+$K$3,IF(OR($L81="",$L81="-"),"",VLOOKUP($G81,為替!$A:$AX,$L81,FALSE)))</f>
        <v/>
      </c>
      <c r="N81" s="204" t="str">
        <f t="shared" si="10"/>
        <v/>
      </c>
      <c r="O81" s="205" t="str">
        <f t="shared" si="6"/>
        <v/>
      </c>
      <c r="P81" s="206" t="str">
        <f t="shared" si="11"/>
        <v/>
      </c>
    </row>
    <row r="82" spans="3:16" x14ac:dyDescent="0.4">
      <c r="C82" s="199"/>
      <c r="D82" s="200"/>
      <c r="E82" s="201"/>
      <c r="F82" s="199"/>
      <c r="H82" s="202"/>
      <c r="I82" s="185" t="str">
        <f t="shared" si="7"/>
        <v/>
      </c>
      <c r="J82" s="203" t="str">
        <f>IF($H82="USD",IF(OR($I82="",$I82="-"),"",VLOOKUP($G82,為替!$A:$AX,$I82,FALSE))+$J$3,IF(OR($I82="",$I82="-"),"",VLOOKUP($G82,為替!$A:$AX,$I82,FALSE)))</f>
        <v/>
      </c>
      <c r="K82" s="204" t="str">
        <f t="shared" si="8"/>
        <v/>
      </c>
      <c r="L82" s="188" t="str">
        <f t="shared" si="9"/>
        <v/>
      </c>
      <c r="M82" s="203" t="str">
        <f>IF($H82="USD",IF(OR($L82="",$L82="-"),"",VLOOKUP($G82,為替!$A:$AX,$L82,FALSE))+$K$3,IF(OR($L82="",$L82="-"),"",VLOOKUP($G82,為替!$A:$AX,$L82,FALSE)))</f>
        <v/>
      </c>
      <c r="N82" s="204" t="str">
        <f t="shared" si="10"/>
        <v/>
      </c>
      <c r="O82" s="205" t="str">
        <f t="shared" si="6"/>
        <v/>
      </c>
      <c r="P82" s="206" t="str">
        <f t="shared" si="11"/>
        <v/>
      </c>
    </row>
    <row r="83" spans="3:16" x14ac:dyDescent="0.4">
      <c r="C83" s="199"/>
      <c r="D83" s="200"/>
      <c r="E83" s="201"/>
      <c r="F83" s="199"/>
      <c r="H83" s="202"/>
      <c r="I83" s="185" t="str">
        <f t="shared" si="7"/>
        <v/>
      </c>
      <c r="J83" s="203" t="str">
        <f>IF($H83="USD",IF(OR($I83="",$I83="-"),"",VLOOKUP($G83,為替!$A:$AX,$I83,FALSE))+$J$3,IF(OR($I83="",$I83="-"),"",VLOOKUP($G83,為替!$A:$AX,$I83,FALSE)))</f>
        <v/>
      </c>
      <c r="K83" s="204" t="str">
        <f t="shared" si="8"/>
        <v/>
      </c>
      <c r="L83" s="188" t="str">
        <f t="shared" si="9"/>
        <v/>
      </c>
      <c r="M83" s="203" t="str">
        <f>IF($H83="USD",IF(OR($L83="",$L83="-"),"",VLOOKUP($G83,為替!$A:$AX,$L83,FALSE))+$K$3,IF(OR($L83="",$L83="-"),"",VLOOKUP($G83,為替!$A:$AX,$L83,FALSE)))</f>
        <v/>
      </c>
      <c r="N83" s="204" t="str">
        <f t="shared" si="10"/>
        <v/>
      </c>
      <c r="O83" s="205" t="str">
        <f t="shared" si="6"/>
        <v/>
      </c>
      <c r="P83" s="206" t="str">
        <f t="shared" si="11"/>
        <v/>
      </c>
    </row>
    <row r="84" spans="3:16" x14ac:dyDescent="0.4">
      <c r="C84" s="199"/>
      <c r="D84" s="200"/>
      <c r="E84" s="201"/>
      <c r="F84" s="199"/>
      <c r="H84" s="202"/>
      <c r="I84" s="185" t="str">
        <f t="shared" si="7"/>
        <v/>
      </c>
      <c r="J84" s="203" t="str">
        <f>IF($H84="USD",IF(OR($I84="",$I84="-"),"",VLOOKUP($G84,為替!$A:$AX,$I84,FALSE))+$J$3,IF(OR($I84="",$I84="-"),"",VLOOKUP($G84,為替!$A:$AX,$I84,FALSE)))</f>
        <v/>
      </c>
      <c r="K84" s="204" t="str">
        <f t="shared" si="8"/>
        <v/>
      </c>
      <c r="L84" s="188" t="str">
        <f t="shared" si="9"/>
        <v/>
      </c>
      <c r="M84" s="203" t="str">
        <f>IF($H84="USD",IF(OR($L84="",$L84="-"),"",VLOOKUP($G84,為替!$A:$AX,$L84,FALSE))+$K$3,IF(OR($L84="",$L84="-"),"",VLOOKUP($G84,為替!$A:$AX,$L84,FALSE)))</f>
        <v/>
      </c>
      <c r="N84" s="204" t="str">
        <f t="shared" si="10"/>
        <v/>
      </c>
      <c r="O84" s="205" t="str">
        <f t="shared" si="6"/>
        <v/>
      </c>
      <c r="P84" s="206" t="str">
        <f t="shared" si="11"/>
        <v/>
      </c>
    </row>
    <row r="85" spans="3:16" x14ac:dyDescent="0.4">
      <c r="C85" s="199"/>
      <c r="D85" s="200"/>
      <c r="E85" s="201"/>
      <c r="F85" s="199"/>
      <c r="H85" s="202"/>
      <c r="I85" s="185" t="str">
        <f t="shared" si="7"/>
        <v/>
      </c>
      <c r="J85" s="203" t="str">
        <f>IF($H85="USD",IF(OR($I85="",$I85="-"),"",VLOOKUP($G85,為替!$A:$AX,$I85,FALSE))+$J$3,IF(OR($I85="",$I85="-"),"",VLOOKUP($G85,為替!$A:$AX,$I85,FALSE)))</f>
        <v/>
      </c>
      <c r="K85" s="204" t="str">
        <f t="shared" si="8"/>
        <v/>
      </c>
      <c r="L85" s="188" t="str">
        <f t="shared" si="9"/>
        <v/>
      </c>
      <c r="M85" s="203" t="str">
        <f>IF($H85="USD",IF(OR($L85="",$L85="-"),"",VLOOKUP($G85,為替!$A:$AX,$L85,FALSE))+$K$3,IF(OR($L85="",$L85="-"),"",VLOOKUP($G85,為替!$A:$AX,$L85,FALSE)))</f>
        <v/>
      </c>
      <c r="N85" s="204" t="str">
        <f t="shared" si="10"/>
        <v/>
      </c>
      <c r="O85" s="205" t="str">
        <f t="shared" si="6"/>
        <v/>
      </c>
      <c r="P85" s="206" t="str">
        <f t="shared" si="11"/>
        <v/>
      </c>
    </row>
    <row r="86" spans="3:16" x14ac:dyDescent="0.4">
      <c r="C86" s="199"/>
      <c r="D86" s="200"/>
      <c r="E86" s="201"/>
      <c r="F86" s="199"/>
      <c r="H86" s="202"/>
      <c r="I86" s="185" t="str">
        <f t="shared" si="7"/>
        <v/>
      </c>
      <c r="J86" s="203" t="str">
        <f>IF($H86="USD",IF(OR($I86="",$I86="-"),"",VLOOKUP($G86,為替!$A:$AX,$I86,FALSE))+$J$3,IF(OR($I86="",$I86="-"),"",VLOOKUP($G86,為替!$A:$AX,$I86,FALSE)))</f>
        <v/>
      </c>
      <c r="K86" s="204" t="str">
        <f t="shared" si="8"/>
        <v/>
      </c>
      <c r="L86" s="188" t="str">
        <f t="shared" si="9"/>
        <v/>
      </c>
      <c r="M86" s="203" t="str">
        <f>IF($H86="USD",IF(OR($L86="",$L86="-"),"",VLOOKUP($G86,為替!$A:$AX,$L86,FALSE))+$K$3,IF(OR($L86="",$L86="-"),"",VLOOKUP($G86,為替!$A:$AX,$L86,FALSE)))</f>
        <v/>
      </c>
      <c r="N86" s="204" t="str">
        <f t="shared" si="10"/>
        <v/>
      </c>
      <c r="O86" s="205" t="str">
        <f t="shared" si="6"/>
        <v/>
      </c>
      <c r="P86" s="206" t="str">
        <f t="shared" si="11"/>
        <v/>
      </c>
    </row>
    <row r="87" spans="3:16" x14ac:dyDescent="0.4">
      <c r="C87" s="199"/>
      <c r="D87" s="200"/>
      <c r="E87" s="201"/>
      <c r="F87" s="199"/>
      <c r="H87" s="202"/>
      <c r="I87" s="185" t="str">
        <f t="shared" si="7"/>
        <v/>
      </c>
      <c r="J87" s="203" t="str">
        <f>IF($H87="USD",IF(OR($I87="",$I87="-"),"",VLOOKUP($G87,為替!$A:$AX,$I87,FALSE))+$J$3,IF(OR($I87="",$I87="-"),"",VLOOKUP($G87,為替!$A:$AX,$I87,FALSE)))</f>
        <v/>
      </c>
      <c r="K87" s="204" t="str">
        <f t="shared" si="8"/>
        <v/>
      </c>
      <c r="L87" s="188" t="str">
        <f t="shared" si="9"/>
        <v/>
      </c>
      <c r="M87" s="203" t="str">
        <f>IF($H87="USD",IF(OR($L87="",$L87="-"),"",VLOOKUP($G87,為替!$A:$AX,$L87,FALSE))+$K$3,IF(OR($L87="",$L87="-"),"",VLOOKUP($G87,為替!$A:$AX,$L87,FALSE)))</f>
        <v/>
      </c>
      <c r="N87" s="204" t="str">
        <f t="shared" si="10"/>
        <v/>
      </c>
      <c r="O87" s="205" t="str">
        <f t="shared" si="6"/>
        <v/>
      </c>
      <c r="P87" s="206" t="str">
        <f t="shared" si="11"/>
        <v/>
      </c>
    </row>
    <row r="88" spans="3:16" x14ac:dyDescent="0.4">
      <c r="C88" s="199"/>
      <c r="D88" s="200"/>
      <c r="E88" s="201"/>
      <c r="F88" s="199"/>
      <c r="H88" s="202"/>
      <c r="I88" s="185" t="str">
        <f t="shared" si="7"/>
        <v/>
      </c>
      <c r="J88" s="203" t="str">
        <f>IF($H88="USD",IF(OR($I88="",$I88="-"),"",VLOOKUP($G88,為替!$A:$AX,$I88,FALSE))+$J$3,IF(OR($I88="",$I88="-"),"",VLOOKUP($G88,為替!$A:$AX,$I88,FALSE)))</f>
        <v/>
      </c>
      <c r="K88" s="204" t="str">
        <f t="shared" si="8"/>
        <v/>
      </c>
      <c r="L88" s="188" t="str">
        <f t="shared" si="9"/>
        <v/>
      </c>
      <c r="M88" s="203" t="str">
        <f>IF($H88="USD",IF(OR($L88="",$L88="-"),"",VLOOKUP($G88,為替!$A:$AX,$L88,FALSE))+$K$3,IF(OR($L88="",$L88="-"),"",VLOOKUP($G88,為替!$A:$AX,$L88,FALSE)))</f>
        <v/>
      </c>
      <c r="N88" s="204" t="str">
        <f t="shared" si="10"/>
        <v/>
      </c>
      <c r="O88" s="205" t="str">
        <f t="shared" si="6"/>
        <v/>
      </c>
      <c r="P88" s="206" t="str">
        <f t="shared" si="11"/>
        <v/>
      </c>
    </row>
    <row r="89" spans="3:16" x14ac:dyDescent="0.4">
      <c r="C89" s="199"/>
      <c r="D89" s="200"/>
      <c r="E89" s="201"/>
      <c r="F89" s="199"/>
      <c r="H89" s="202"/>
      <c r="I89" s="185" t="str">
        <f t="shared" si="7"/>
        <v/>
      </c>
      <c r="J89" s="203" t="str">
        <f>IF($H89="USD",IF(OR($I89="",$I89="-"),"",VLOOKUP($G89,為替!$A:$AX,$I89,FALSE))+$J$3,IF(OR($I89="",$I89="-"),"",VLOOKUP($G89,為替!$A:$AX,$I89,FALSE)))</f>
        <v/>
      </c>
      <c r="K89" s="204" t="str">
        <f t="shared" si="8"/>
        <v/>
      </c>
      <c r="L89" s="188" t="str">
        <f t="shared" si="9"/>
        <v/>
      </c>
      <c r="M89" s="203" t="str">
        <f>IF($H89="USD",IF(OR($L89="",$L89="-"),"",VLOOKUP($G89,為替!$A:$AX,$L89,FALSE))+$K$3,IF(OR($L89="",$L89="-"),"",VLOOKUP($G89,為替!$A:$AX,$L89,FALSE)))</f>
        <v/>
      </c>
      <c r="N89" s="204" t="str">
        <f t="shared" si="10"/>
        <v/>
      </c>
      <c r="O89" s="205" t="str">
        <f t="shared" si="6"/>
        <v/>
      </c>
      <c r="P89" s="206" t="str">
        <f t="shared" si="11"/>
        <v/>
      </c>
    </row>
    <row r="90" spans="3:16" x14ac:dyDescent="0.4">
      <c r="C90" s="199"/>
      <c r="D90" s="200"/>
      <c r="E90" s="201"/>
      <c r="F90" s="199"/>
      <c r="H90" s="202"/>
      <c r="I90" s="185" t="str">
        <f t="shared" si="7"/>
        <v/>
      </c>
      <c r="J90" s="203" t="str">
        <f>IF($H90="USD",IF(OR($I90="",$I90="-"),"",VLOOKUP($G90,為替!$A:$AX,$I90,FALSE))+$J$3,IF(OR($I90="",$I90="-"),"",VLOOKUP($G90,為替!$A:$AX,$I90,FALSE)))</f>
        <v/>
      </c>
      <c r="K90" s="204" t="str">
        <f t="shared" si="8"/>
        <v/>
      </c>
      <c r="L90" s="188" t="str">
        <f t="shared" si="9"/>
        <v/>
      </c>
      <c r="M90" s="203" t="str">
        <f>IF($H90="USD",IF(OR($L90="",$L90="-"),"",VLOOKUP($G90,為替!$A:$AX,$L90,FALSE))+$K$3,IF(OR($L90="",$L90="-"),"",VLOOKUP($G90,為替!$A:$AX,$L90,FALSE)))</f>
        <v/>
      </c>
      <c r="N90" s="204" t="str">
        <f t="shared" si="10"/>
        <v/>
      </c>
      <c r="O90" s="205" t="str">
        <f t="shared" si="6"/>
        <v/>
      </c>
      <c r="P90" s="206" t="str">
        <f t="shared" si="11"/>
        <v/>
      </c>
    </row>
    <row r="91" spans="3:16" x14ac:dyDescent="0.4">
      <c r="C91" s="199"/>
      <c r="D91" s="200"/>
      <c r="E91" s="201"/>
      <c r="F91" s="199"/>
      <c r="H91" s="202"/>
      <c r="I91" s="185" t="str">
        <f t="shared" si="7"/>
        <v/>
      </c>
      <c r="J91" s="203" t="str">
        <f>IF($H91="USD",IF(OR($I91="",$I91="-"),"",VLOOKUP($G91,為替!$A:$AX,$I91,FALSE))+$J$3,IF(OR($I91="",$I91="-"),"",VLOOKUP($G91,為替!$A:$AX,$I91,FALSE)))</f>
        <v/>
      </c>
      <c r="K91" s="204" t="str">
        <f t="shared" si="8"/>
        <v/>
      </c>
      <c r="L91" s="188" t="str">
        <f t="shared" si="9"/>
        <v/>
      </c>
      <c r="M91" s="203" t="str">
        <f>IF($H91="USD",IF(OR($L91="",$L91="-"),"",VLOOKUP($G91,為替!$A:$AX,$L91,FALSE))+$K$3,IF(OR($L91="",$L91="-"),"",VLOOKUP($G91,為替!$A:$AX,$L91,FALSE)))</f>
        <v/>
      </c>
      <c r="N91" s="204" t="str">
        <f t="shared" si="10"/>
        <v/>
      </c>
      <c r="O91" s="205" t="str">
        <f t="shared" si="6"/>
        <v/>
      </c>
      <c r="P91" s="206" t="str">
        <f t="shared" si="11"/>
        <v/>
      </c>
    </row>
    <row r="92" spans="3:16" x14ac:dyDescent="0.4">
      <c r="C92" s="199"/>
      <c r="D92" s="200"/>
      <c r="E92" s="201"/>
      <c r="F92" s="199"/>
      <c r="H92" s="202"/>
      <c r="I92" s="185" t="str">
        <f t="shared" si="7"/>
        <v/>
      </c>
      <c r="J92" s="203" t="str">
        <f>IF($H92="USD",IF(OR($I92="",$I92="-"),"",VLOOKUP($G92,為替!$A:$AX,$I92,FALSE))+$J$3,IF(OR($I92="",$I92="-"),"",VLOOKUP($G92,為替!$A:$AX,$I92,FALSE)))</f>
        <v/>
      </c>
      <c r="K92" s="204" t="str">
        <f t="shared" si="8"/>
        <v/>
      </c>
      <c r="L92" s="188" t="str">
        <f t="shared" si="9"/>
        <v/>
      </c>
      <c r="M92" s="203" t="str">
        <f>IF($H92="USD",IF(OR($L92="",$L92="-"),"",VLOOKUP($G92,為替!$A:$AX,$L92,FALSE))+$K$3,IF(OR($L92="",$L92="-"),"",VLOOKUP($G92,為替!$A:$AX,$L92,FALSE)))</f>
        <v/>
      </c>
      <c r="N92" s="204" t="str">
        <f t="shared" si="10"/>
        <v/>
      </c>
      <c r="O92" s="205" t="str">
        <f t="shared" si="6"/>
        <v/>
      </c>
      <c r="P92" s="206" t="str">
        <f t="shared" si="11"/>
        <v/>
      </c>
    </row>
    <row r="93" spans="3:16" x14ac:dyDescent="0.4">
      <c r="C93" s="199"/>
      <c r="D93" s="200"/>
      <c r="E93" s="201"/>
      <c r="F93" s="199"/>
      <c r="H93" s="202"/>
      <c r="I93" s="185" t="str">
        <f t="shared" si="7"/>
        <v/>
      </c>
      <c r="J93" s="203" t="str">
        <f>IF($H93="USD",IF(OR($I93="",$I93="-"),"",VLOOKUP($G93,為替!$A:$AX,$I93,FALSE))+$J$3,IF(OR($I93="",$I93="-"),"",VLOOKUP($G93,為替!$A:$AX,$I93,FALSE)))</f>
        <v/>
      </c>
      <c r="K93" s="204" t="str">
        <f t="shared" si="8"/>
        <v/>
      </c>
      <c r="L93" s="188" t="str">
        <f t="shared" si="9"/>
        <v/>
      </c>
      <c r="M93" s="203" t="str">
        <f>IF($H93="USD",IF(OR($L93="",$L93="-"),"",VLOOKUP($G93,為替!$A:$AX,$L93,FALSE))+$K$3,IF(OR($L93="",$L93="-"),"",VLOOKUP($G93,為替!$A:$AX,$L93,FALSE)))</f>
        <v/>
      </c>
      <c r="N93" s="204" t="str">
        <f t="shared" si="10"/>
        <v/>
      </c>
      <c r="O93" s="205" t="str">
        <f t="shared" si="6"/>
        <v/>
      </c>
      <c r="P93" s="206" t="str">
        <f t="shared" si="11"/>
        <v/>
      </c>
    </row>
    <row r="94" spans="3:16" x14ac:dyDescent="0.4">
      <c r="C94" s="199"/>
      <c r="D94" s="200"/>
      <c r="E94" s="201"/>
      <c r="F94" s="199"/>
      <c r="H94" s="202"/>
      <c r="I94" s="185" t="str">
        <f t="shared" si="7"/>
        <v/>
      </c>
      <c r="J94" s="203" t="str">
        <f>IF($H94="USD",IF(OR($I94="",$I94="-"),"",VLOOKUP($G94,為替!$A:$AX,$I94,FALSE))+$J$3,IF(OR($I94="",$I94="-"),"",VLOOKUP($G94,為替!$A:$AX,$I94,FALSE)))</f>
        <v/>
      </c>
      <c r="K94" s="204" t="str">
        <f t="shared" si="8"/>
        <v/>
      </c>
      <c r="L94" s="188" t="str">
        <f t="shared" si="9"/>
        <v/>
      </c>
      <c r="M94" s="203" t="str">
        <f>IF($H94="USD",IF(OR($L94="",$L94="-"),"",VLOOKUP($G94,為替!$A:$AX,$L94,FALSE))+$K$3,IF(OR($L94="",$L94="-"),"",VLOOKUP($G94,為替!$A:$AX,$L94,FALSE)))</f>
        <v/>
      </c>
      <c r="N94" s="204" t="str">
        <f t="shared" si="10"/>
        <v/>
      </c>
      <c r="O94" s="205" t="str">
        <f t="shared" si="6"/>
        <v/>
      </c>
      <c r="P94" s="206" t="str">
        <f t="shared" si="11"/>
        <v/>
      </c>
    </row>
    <row r="95" spans="3:16" x14ac:dyDescent="0.4">
      <c r="C95" s="199"/>
      <c r="D95" s="200"/>
      <c r="E95" s="201"/>
      <c r="F95" s="199"/>
      <c r="H95" s="202"/>
      <c r="I95" s="185" t="str">
        <f t="shared" si="7"/>
        <v/>
      </c>
      <c r="J95" s="203" t="str">
        <f>IF($H95="USD",IF(OR($I95="",$I95="-"),"",VLOOKUP($G95,為替!$A:$AX,$I95,FALSE))+$J$3,IF(OR($I95="",$I95="-"),"",VLOOKUP($G95,為替!$A:$AX,$I95,FALSE)))</f>
        <v/>
      </c>
      <c r="K95" s="204" t="str">
        <f t="shared" si="8"/>
        <v/>
      </c>
      <c r="L95" s="188" t="str">
        <f t="shared" si="9"/>
        <v/>
      </c>
      <c r="M95" s="203" t="str">
        <f>IF($H95="USD",IF(OR($L95="",$L95="-"),"",VLOOKUP($G95,為替!$A:$AX,$L95,FALSE))+$K$3,IF(OR($L95="",$L95="-"),"",VLOOKUP($G95,為替!$A:$AX,$L95,FALSE)))</f>
        <v/>
      </c>
      <c r="N95" s="204" t="str">
        <f t="shared" si="10"/>
        <v/>
      </c>
      <c r="O95" s="205" t="str">
        <f t="shared" si="6"/>
        <v/>
      </c>
      <c r="P95" s="206" t="str">
        <f t="shared" si="11"/>
        <v/>
      </c>
    </row>
    <row r="96" spans="3:16" x14ac:dyDescent="0.4">
      <c r="C96" s="199"/>
      <c r="D96" s="200"/>
      <c r="E96" s="201"/>
      <c r="F96" s="199"/>
      <c r="H96" s="202"/>
      <c r="I96" s="185" t="str">
        <f t="shared" si="7"/>
        <v/>
      </c>
      <c r="J96" s="203" t="str">
        <f>IF($H96="USD",IF(OR($I96="",$I96="-"),"",VLOOKUP($G96,為替!$A:$AX,$I96,FALSE))+$J$3,IF(OR($I96="",$I96="-"),"",VLOOKUP($G96,為替!$A:$AX,$I96,FALSE)))</f>
        <v/>
      </c>
      <c r="K96" s="204" t="str">
        <f t="shared" si="8"/>
        <v/>
      </c>
      <c r="L96" s="188" t="str">
        <f t="shared" si="9"/>
        <v/>
      </c>
      <c r="M96" s="203" t="str">
        <f>IF($H96="USD",IF(OR($L96="",$L96="-"),"",VLOOKUP($G96,為替!$A:$AX,$L96,FALSE))+$K$3,IF(OR($L96="",$L96="-"),"",VLOOKUP($G96,為替!$A:$AX,$L96,FALSE)))</f>
        <v/>
      </c>
      <c r="N96" s="204" t="str">
        <f t="shared" si="10"/>
        <v/>
      </c>
      <c r="O96" s="205" t="str">
        <f t="shared" si="6"/>
        <v/>
      </c>
      <c r="P96" s="206" t="str">
        <f t="shared" si="11"/>
        <v/>
      </c>
    </row>
    <row r="97" spans="3:16" x14ac:dyDescent="0.4">
      <c r="C97" s="199"/>
      <c r="D97" s="200"/>
      <c r="E97" s="201"/>
      <c r="F97" s="199"/>
      <c r="H97" s="202"/>
      <c r="I97" s="185" t="str">
        <f t="shared" si="7"/>
        <v/>
      </c>
      <c r="J97" s="203" t="str">
        <f>IF($H97="USD",IF(OR($I97="",$I97="-"),"",VLOOKUP($G97,為替!$A:$AX,$I97,FALSE))+$J$3,IF(OR($I97="",$I97="-"),"",VLOOKUP($G97,為替!$A:$AX,$I97,FALSE)))</f>
        <v/>
      </c>
      <c r="K97" s="204" t="str">
        <f t="shared" si="8"/>
        <v/>
      </c>
      <c r="L97" s="188" t="str">
        <f t="shared" si="9"/>
        <v/>
      </c>
      <c r="M97" s="203" t="str">
        <f>IF($H97="USD",IF(OR($L97="",$L97="-"),"",VLOOKUP($G97,為替!$A:$AX,$L97,FALSE))+$K$3,IF(OR($L97="",$L97="-"),"",VLOOKUP($G97,為替!$A:$AX,$L97,FALSE)))</f>
        <v/>
      </c>
      <c r="N97" s="204" t="str">
        <f t="shared" si="10"/>
        <v/>
      </c>
      <c r="O97" s="205" t="str">
        <f t="shared" si="6"/>
        <v/>
      </c>
      <c r="P97" s="206" t="str">
        <f t="shared" si="11"/>
        <v/>
      </c>
    </row>
    <row r="98" spans="3:16" x14ac:dyDescent="0.4">
      <c r="C98" s="199"/>
      <c r="D98" s="200"/>
      <c r="E98" s="201"/>
      <c r="F98" s="199"/>
      <c r="H98" s="202"/>
      <c r="I98" s="185" t="str">
        <f t="shared" si="7"/>
        <v/>
      </c>
      <c r="J98" s="203" t="str">
        <f>IF($H98="USD",IF(OR($I98="",$I98="-"),"",VLOOKUP($G98,為替!$A:$AX,$I98,FALSE))+$J$3,IF(OR($I98="",$I98="-"),"",VLOOKUP($G98,為替!$A:$AX,$I98,FALSE)))</f>
        <v/>
      </c>
      <c r="K98" s="204" t="str">
        <f t="shared" si="8"/>
        <v/>
      </c>
      <c r="L98" s="188" t="str">
        <f t="shared" si="9"/>
        <v/>
      </c>
      <c r="M98" s="203" t="str">
        <f>IF($H98="USD",IF(OR($L98="",$L98="-"),"",VLOOKUP($G98,為替!$A:$AX,$L98,FALSE))+$K$3,IF(OR($L98="",$L98="-"),"",VLOOKUP($G98,為替!$A:$AX,$L98,FALSE)))</f>
        <v/>
      </c>
      <c r="N98" s="204" t="str">
        <f t="shared" si="10"/>
        <v/>
      </c>
      <c r="O98" s="205" t="str">
        <f t="shared" si="6"/>
        <v/>
      </c>
      <c r="P98" s="206" t="str">
        <f t="shared" si="11"/>
        <v/>
      </c>
    </row>
    <row r="99" spans="3:16" x14ac:dyDescent="0.4">
      <c r="C99" s="199"/>
      <c r="D99" s="200"/>
      <c r="E99" s="201"/>
      <c r="F99" s="199"/>
      <c r="H99" s="202"/>
      <c r="I99" s="185" t="str">
        <f t="shared" si="7"/>
        <v/>
      </c>
      <c r="J99" s="203" t="str">
        <f>IF($H99="USD",IF(OR($I99="",$I99="-"),"",VLOOKUP($G99,為替!$A:$AX,$I99,FALSE))+$J$3,IF(OR($I99="",$I99="-"),"",VLOOKUP($G99,為替!$A:$AX,$I99,FALSE)))</f>
        <v/>
      </c>
      <c r="K99" s="204" t="str">
        <f t="shared" si="8"/>
        <v/>
      </c>
      <c r="L99" s="188" t="str">
        <f t="shared" si="9"/>
        <v/>
      </c>
      <c r="M99" s="203" t="str">
        <f>IF($H99="USD",IF(OR($L99="",$L99="-"),"",VLOOKUP($G99,為替!$A:$AX,$L99,FALSE))+$K$3,IF(OR($L99="",$L99="-"),"",VLOOKUP($G99,為替!$A:$AX,$L99,FALSE)))</f>
        <v/>
      </c>
      <c r="N99" s="204" t="str">
        <f t="shared" si="10"/>
        <v/>
      </c>
      <c r="O99" s="205" t="str">
        <f t="shared" si="6"/>
        <v/>
      </c>
      <c r="P99" s="206" t="str">
        <f t="shared" si="11"/>
        <v/>
      </c>
    </row>
    <row r="100" spans="3:16" x14ac:dyDescent="0.4">
      <c r="C100" s="199"/>
      <c r="D100" s="200"/>
      <c r="E100" s="201"/>
      <c r="F100" s="199"/>
      <c r="H100" s="202"/>
      <c r="I100" s="185" t="str">
        <f t="shared" si="7"/>
        <v/>
      </c>
      <c r="J100" s="203" t="str">
        <f>IF($H100="USD",IF(OR($I100="",$I100="-"),"",VLOOKUP($G100,為替!$A:$AX,$I100,FALSE))+$J$3,IF(OR($I100="",$I100="-"),"",VLOOKUP($G100,為替!$A:$AX,$I100,FALSE)))</f>
        <v/>
      </c>
      <c r="K100" s="204" t="str">
        <f t="shared" si="8"/>
        <v/>
      </c>
      <c r="L100" s="188" t="str">
        <f t="shared" si="9"/>
        <v/>
      </c>
      <c r="M100" s="203" t="str">
        <f>IF($H100="USD",IF(OR($L100="",$L100="-"),"",VLOOKUP($G100,為替!$A:$AX,$L100,FALSE))+$K$3,IF(OR($L100="",$L100="-"),"",VLOOKUP($G100,為替!$A:$AX,$L100,FALSE)))</f>
        <v/>
      </c>
      <c r="N100" s="204" t="str">
        <f t="shared" si="10"/>
        <v/>
      </c>
      <c r="O100" s="205" t="str">
        <f t="shared" si="6"/>
        <v/>
      </c>
      <c r="P100" s="206" t="str">
        <f t="shared" si="11"/>
        <v/>
      </c>
    </row>
    <row r="101" spans="3:16" x14ac:dyDescent="0.4">
      <c r="C101" s="199"/>
      <c r="D101" s="200"/>
      <c r="E101" s="201"/>
      <c r="F101" s="199"/>
      <c r="H101" s="202"/>
      <c r="I101" s="185" t="str">
        <f t="shared" si="7"/>
        <v/>
      </c>
      <c r="J101" s="203" t="str">
        <f>IF($H101="USD",IF(OR($I101="",$I101="-"),"",VLOOKUP($G101,為替!$A:$AX,$I101,FALSE))+$J$3,IF(OR($I101="",$I101="-"),"",VLOOKUP($G101,為替!$A:$AX,$I101,FALSE)))</f>
        <v/>
      </c>
      <c r="K101" s="204" t="str">
        <f t="shared" si="8"/>
        <v/>
      </c>
      <c r="L101" s="188" t="str">
        <f t="shared" si="9"/>
        <v/>
      </c>
      <c r="M101" s="203" t="str">
        <f>IF($H101="USD",IF(OR($L101="",$L101="-"),"",VLOOKUP($G101,為替!$A:$AX,$L101,FALSE))+$K$3,IF(OR($L101="",$L101="-"),"",VLOOKUP($G101,為替!$A:$AX,$L101,FALSE)))</f>
        <v/>
      </c>
      <c r="N101" s="204" t="str">
        <f t="shared" si="10"/>
        <v/>
      </c>
      <c r="O101" s="205" t="str">
        <f t="shared" si="6"/>
        <v/>
      </c>
      <c r="P101" s="206" t="str">
        <f t="shared" si="11"/>
        <v/>
      </c>
    </row>
    <row r="102" spans="3:16" x14ac:dyDescent="0.4">
      <c r="C102" s="199"/>
      <c r="D102" s="200"/>
      <c r="E102" s="201"/>
      <c r="F102" s="199"/>
      <c r="H102" s="202"/>
      <c r="I102" s="185" t="str">
        <f t="shared" si="7"/>
        <v/>
      </c>
      <c r="J102" s="203" t="str">
        <f>IF($H102="USD",IF(OR($I102="",$I102="-"),"",VLOOKUP($G102,為替!$A:$AX,$I102,FALSE))+$J$3,IF(OR($I102="",$I102="-"),"",VLOOKUP($G102,為替!$A:$AX,$I102,FALSE)))</f>
        <v/>
      </c>
      <c r="K102" s="204" t="str">
        <f t="shared" si="8"/>
        <v/>
      </c>
      <c r="L102" s="188" t="str">
        <f t="shared" si="9"/>
        <v/>
      </c>
      <c r="M102" s="203" t="str">
        <f>IF($H102="USD",IF(OR($L102="",$L102="-"),"",VLOOKUP($G102,為替!$A:$AX,$L102,FALSE))+$K$3,IF(OR($L102="",$L102="-"),"",VLOOKUP($G102,為替!$A:$AX,$L102,FALSE)))</f>
        <v/>
      </c>
      <c r="N102" s="204" t="str">
        <f t="shared" si="10"/>
        <v/>
      </c>
      <c r="O102" s="205" t="str">
        <f t="shared" si="6"/>
        <v/>
      </c>
      <c r="P102" s="206" t="str">
        <f t="shared" si="11"/>
        <v/>
      </c>
    </row>
    <row r="103" spans="3:16" x14ac:dyDescent="0.4">
      <c r="C103" s="199"/>
      <c r="D103" s="200"/>
      <c r="E103" s="201"/>
      <c r="F103" s="199"/>
      <c r="H103" s="202"/>
      <c r="I103" s="185" t="str">
        <f t="shared" si="7"/>
        <v/>
      </c>
      <c r="J103" s="203" t="str">
        <f>IF($H103="USD",IF(OR($I103="",$I103="-"),"",VLOOKUP($G103,為替!$A:$AX,$I103,FALSE))+$J$3,IF(OR($I103="",$I103="-"),"",VLOOKUP($G103,為替!$A:$AX,$I103,FALSE)))</f>
        <v/>
      </c>
      <c r="K103" s="204" t="str">
        <f t="shared" si="8"/>
        <v/>
      </c>
      <c r="L103" s="188" t="str">
        <f t="shared" si="9"/>
        <v/>
      </c>
      <c r="M103" s="203" t="str">
        <f>IF($H103="USD",IF(OR($L103="",$L103="-"),"",VLOOKUP($G103,為替!$A:$AX,$L103,FALSE))+$K$3,IF(OR($L103="",$L103="-"),"",VLOOKUP($G103,為替!$A:$AX,$L103,FALSE)))</f>
        <v/>
      </c>
      <c r="N103" s="204" t="str">
        <f t="shared" si="10"/>
        <v/>
      </c>
      <c r="O103" s="205" t="str">
        <f t="shared" si="6"/>
        <v/>
      </c>
      <c r="P103" s="206" t="str">
        <f t="shared" si="11"/>
        <v/>
      </c>
    </row>
    <row r="104" spans="3:16" x14ac:dyDescent="0.4">
      <c r="C104" s="199"/>
      <c r="D104" s="200"/>
      <c r="E104" s="201"/>
      <c r="F104" s="199"/>
      <c r="H104" s="202"/>
      <c r="I104" s="185" t="str">
        <f t="shared" si="7"/>
        <v/>
      </c>
      <c r="J104" s="203" t="str">
        <f>IF($H104="USD",IF(OR($I104="",$I104="-"),"",VLOOKUP($G104,為替!$A:$AX,$I104,FALSE))+$J$3,IF(OR($I104="",$I104="-"),"",VLOOKUP($G104,為替!$A:$AX,$I104,FALSE)))</f>
        <v/>
      </c>
      <c r="K104" s="204" t="str">
        <f t="shared" si="8"/>
        <v/>
      </c>
      <c r="L104" s="188" t="str">
        <f t="shared" si="9"/>
        <v/>
      </c>
      <c r="M104" s="203" t="str">
        <f>IF($H104="USD",IF(OR($L104="",$L104="-"),"",VLOOKUP($G104,為替!$A:$AX,$L104,FALSE))+$K$3,IF(OR($L104="",$L104="-"),"",VLOOKUP($G104,為替!$A:$AX,$L104,FALSE)))</f>
        <v/>
      </c>
      <c r="N104" s="204" t="str">
        <f t="shared" si="10"/>
        <v/>
      </c>
      <c r="O104" s="205" t="str">
        <f t="shared" si="6"/>
        <v/>
      </c>
      <c r="P104" s="206" t="str">
        <f t="shared" si="11"/>
        <v/>
      </c>
    </row>
    <row r="105" spans="3:16" x14ac:dyDescent="0.4">
      <c r="C105" s="199"/>
      <c r="D105" s="200"/>
      <c r="E105" s="201"/>
      <c r="F105" s="199"/>
      <c r="H105" s="202"/>
      <c r="I105" s="185" t="str">
        <f t="shared" si="7"/>
        <v/>
      </c>
      <c r="J105" s="203" t="str">
        <f>IF($H105="USD",IF(OR($I105="",$I105="-"),"",VLOOKUP($G105,為替!$A:$AX,$I105,FALSE))+$J$3,IF(OR($I105="",$I105="-"),"",VLOOKUP($G105,為替!$A:$AX,$I105,FALSE)))</f>
        <v/>
      </c>
      <c r="K105" s="204" t="str">
        <f t="shared" si="8"/>
        <v/>
      </c>
      <c r="L105" s="188" t="str">
        <f t="shared" si="9"/>
        <v/>
      </c>
      <c r="M105" s="203" t="str">
        <f>IF($H105="USD",IF(OR($L105="",$L105="-"),"",VLOOKUP($G105,為替!$A:$AX,$L105,FALSE))+$K$3,IF(OR($L105="",$L105="-"),"",VLOOKUP($G105,為替!$A:$AX,$L105,FALSE)))</f>
        <v/>
      </c>
      <c r="N105" s="204" t="str">
        <f t="shared" si="10"/>
        <v/>
      </c>
      <c r="O105" s="205" t="str">
        <f t="shared" si="6"/>
        <v/>
      </c>
      <c r="P105" s="206" t="str">
        <f t="shared" si="11"/>
        <v/>
      </c>
    </row>
    <row r="106" spans="3:16" x14ac:dyDescent="0.4">
      <c r="C106" s="199"/>
      <c r="D106" s="200"/>
      <c r="E106" s="201"/>
      <c r="F106" s="199"/>
      <c r="H106" s="202"/>
      <c r="I106" s="185" t="str">
        <f t="shared" si="7"/>
        <v/>
      </c>
      <c r="J106" s="203" t="str">
        <f>IF($H106="USD",IF(OR($I106="",$I106="-"),"",VLOOKUP($G106,為替!$A:$AX,$I106,FALSE))+$J$3,IF(OR($I106="",$I106="-"),"",VLOOKUP($G106,為替!$A:$AX,$I106,FALSE)))</f>
        <v/>
      </c>
      <c r="K106" s="204" t="str">
        <f t="shared" si="8"/>
        <v/>
      </c>
      <c r="L106" s="188" t="str">
        <f t="shared" si="9"/>
        <v/>
      </c>
      <c r="M106" s="203" t="str">
        <f>IF($H106="USD",IF(OR($L106="",$L106="-"),"",VLOOKUP($G106,為替!$A:$AX,$L106,FALSE))+$K$3,IF(OR($L106="",$L106="-"),"",VLOOKUP($G106,為替!$A:$AX,$L106,FALSE)))</f>
        <v/>
      </c>
      <c r="N106" s="204" t="str">
        <f t="shared" si="10"/>
        <v/>
      </c>
      <c r="O106" s="205" t="str">
        <f t="shared" si="6"/>
        <v/>
      </c>
      <c r="P106" s="206" t="str">
        <f t="shared" si="11"/>
        <v/>
      </c>
    </row>
    <row r="107" spans="3:16" x14ac:dyDescent="0.4">
      <c r="C107" s="199"/>
      <c r="D107" s="200"/>
      <c r="E107" s="201"/>
      <c r="F107" s="199"/>
      <c r="H107" s="202"/>
      <c r="I107" s="185" t="str">
        <f t="shared" si="7"/>
        <v/>
      </c>
      <c r="J107" s="203" t="str">
        <f>IF($H107="USD",IF(OR($I107="",$I107="-"),"",VLOOKUP($G107,為替!$A:$AX,$I107,FALSE))+$J$3,IF(OR($I107="",$I107="-"),"",VLOOKUP($G107,為替!$A:$AX,$I107,FALSE)))</f>
        <v/>
      </c>
      <c r="K107" s="204" t="str">
        <f t="shared" si="8"/>
        <v/>
      </c>
      <c r="L107" s="188" t="str">
        <f t="shared" si="9"/>
        <v/>
      </c>
      <c r="M107" s="203" t="str">
        <f>IF($H107="USD",IF(OR($L107="",$L107="-"),"",VLOOKUP($G107,為替!$A:$AX,$L107,FALSE))+$K$3,IF(OR($L107="",$L107="-"),"",VLOOKUP($G107,為替!$A:$AX,$L107,FALSE)))</f>
        <v/>
      </c>
      <c r="N107" s="204" t="str">
        <f t="shared" si="10"/>
        <v/>
      </c>
      <c r="O107" s="205" t="str">
        <f t="shared" si="6"/>
        <v/>
      </c>
      <c r="P107" s="206" t="str">
        <f t="shared" si="11"/>
        <v/>
      </c>
    </row>
    <row r="108" spans="3:16" x14ac:dyDescent="0.4">
      <c r="C108" s="199"/>
      <c r="D108" s="200"/>
      <c r="E108" s="201"/>
      <c r="F108" s="199"/>
      <c r="H108" s="202"/>
      <c r="I108" s="185" t="str">
        <f t="shared" si="7"/>
        <v/>
      </c>
      <c r="J108" s="203" t="str">
        <f>IF($H108="USD",IF(OR($I108="",$I108="-"),"",VLOOKUP($G108,為替!$A:$AX,$I108,FALSE))+$J$3,IF(OR($I108="",$I108="-"),"",VLOOKUP($G108,為替!$A:$AX,$I108,FALSE)))</f>
        <v/>
      </c>
      <c r="K108" s="204" t="str">
        <f t="shared" si="8"/>
        <v/>
      </c>
      <c r="L108" s="188" t="str">
        <f t="shared" si="9"/>
        <v/>
      </c>
      <c r="M108" s="203" t="str">
        <f>IF($H108="USD",IF(OR($L108="",$L108="-"),"",VLOOKUP($G108,為替!$A:$AX,$L108,FALSE))+$K$3,IF(OR($L108="",$L108="-"),"",VLOOKUP($G108,為替!$A:$AX,$L108,FALSE)))</f>
        <v/>
      </c>
      <c r="N108" s="204" t="str">
        <f t="shared" si="10"/>
        <v/>
      </c>
      <c r="O108" s="205" t="str">
        <f t="shared" si="6"/>
        <v/>
      </c>
      <c r="P108" s="206" t="str">
        <f t="shared" si="11"/>
        <v/>
      </c>
    </row>
    <row r="109" spans="3:16" x14ac:dyDescent="0.4">
      <c r="C109" s="199"/>
      <c r="D109" s="200"/>
      <c r="E109" s="201"/>
      <c r="F109" s="199"/>
      <c r="H109" s="202"/>
      <c r="I109" s="185" t="str">
        <f t="shared" si="7"/>
        <v/>
      </c>
      <c r="J109" s="203" t="str">
        <f>IF($H109="USD",IF(OR($I109="",$I109="-"),"",VLOOKUP($G109,為替!$A:$AX,$I109,FALSE))+$J$3,IF(OR($I109="",$I109="-"),"",VLOOKUP($G109,為替!$A:$AX,$I109,FALSE)))</f>
        <v/>
      </c>
      <c r="K109" s="204" t="str">
        <f t="shared" si="8"/>
        <v/>
      </c>
      <c r="L109" s="188" t="str">
        <f t="shared" si="9"/>
        <v/>
      </c>
      <c r="M109" s="203" t="str">
        <f>IF($H109="USD",IF(OR($L109="",$L109="-"),"",VLOOKUP($G109,為替!$A:$AX,$L109,FALSE))+$K$3,IF(OR($L109="",$L109="-"),"",VLOOKUP($G109,為替!$A:$AX,$L109,FALSE)))</f>
        <v/>
      </c>
      <c r="N109" s="204" t="str">
        <f t="shared" si="10"/>
        <v/>
      </c>
      <c r="O109" s="205" t="str">
        <f t="shared" si="6"/>
        <v/>
      </c>
      <c r="P109" s="206" t="str">
        <f t="shared" si="11"/>
        <v/>
      </c>
    </row>
    <row r="110" spans="3:16" x14ac:dyDescent="0.4">
      <c r="C110" s="199"/>
      <c r="D110" s="200"/>
      <c r="E110" s="201"/>
      <c r="F110" s="199"/>
      <c r="H110" s="202"/>
      <c r="I110" s="185" t="str">
        <f t="shared" si="7"/>
        <v/>
      </c>
      <c r="J110" s="203" t="str">
        <f>IF($H110="USD",IF(OR($I110="",$I110="-"),"",VLOOKUP($G110,為替!$A:$AX,$I110,FALSE))+$J$3,IF(OR($I110="",$I110="-"),"",VLOOKUP($G110,為替!$A:$AX,$I110,FALSE)))</f>
        <v/>
      </c>
      <c r="K110" s="204" t="str">
        <f t="shared" si="8"/>
        <v/>
      </c>
      <c r="L110" s="188" t="str">
        <f t="shared" si="9"/>
        <v/>
      </c>
      <c r="M110" s="203" t="str">
        <f>IF($H110="USD",IF(OR($L110="",$L110="-"),"",VLOOKUP($G110,為替!$A:$AX,$L110,FALSE))+$K$3,IF(OR($L110="",$L110="-"),"",VLOOKUP($G110,為替!$A:$AX,$L110,FALSE)))</f>
        <v/>
      </c>
      <c r="N110" s="204" t="str">
        <f t="shared" si="10"/>
        <v/>
      </c>
      <c r="O110" s="205" t="str">
        <f t="shared" si="6"/>
        <v/>
      </c>
      <c r="P110" s="206" t="str">
        <f t="shared" si="11"/>
        <v/>
      </c>
    </row>
    <row r="111" spans="3:16" x14ac:dyDescent="0.4">
      <c r="C111" s="199"/>
      <c r="D111" s="200"/>
      <c r="E111" s="201"/>
      <c r="F111" s="199"/>
      <c r="H111" s="202"/>
      <c r="I111" s="185" t="str">
        <f t="shared" si="7"/>
        <v/>
      </c>
      <c r="J111" s="203" t="str">
        <f>IF($H111="USD",IF(OR($I111="",$I111="-"),"",VLOOKUP($G111,為替!$A:$AX,$I111,FALSE))+$J$3,IF(OR($I111="",$I111="-"),"",VLOOKUP($G111,為替!$A:$AX,$I111,FALSE)))</f>
        <v/>
      </c>
      <c r="K111" s="204" t="str">
        <f t="shared" si="8"/>
        <v/>
      </c>
      <c r="L111" s="188" t="str">
        <f t="shared" si="9"/>
        <v/>
      </c>
      <c r="M111" s="203" t="str">
        <f>IF($H111="USD",IF(OR($L111="",$L111="-"),"",VLOOKUP($G111,為替!$A:$AX,$L111,FALSE))+$K$3,IF(OR($L111="",$L111="-"),"",VLOOKUP($G111,為替!$A:$AX,$L111,FALSE)))</f>
        <v/>
      </c>
      <c r="N111" s="204" t="str">
        <f t="shared" si="10"/>
        <v/>
      </c>
      <c r="O111" s="205" t="str">
        <f t="shared" si="6"/>
        <v/>
      </c>
      <c r="P111" s="206" t="str">
        <f t="shared" si="11"/>
        <v/>
      </c>
    </row>
    <row r="112" spans="3:16" x14ac:dyDescent="0.4">
      <c r="C112" s="199"/>
      <c r="D112" s="200"/>
      <c r="E112" s="201"/>
      <c r="F112" s="199"/>
      <c r="H112" s="202"/>
      <c r="I112" s="185" t="str">
        <f t="shared" si="7"/>
        <v/>
      </c>
      <c r="J112" s="203" t="str">
        <f>IF($H112="USD",IF(OR($I112="",$I112="-"),"",VLOOKUP($G112,為替!$A:$AX,$I112,FALSE))+$J$3,IF(OR($I112="",$I112="-"),"",VLOOKUP($G112,為替!$A:$AX,$I112,FALSE)))</f>
        <v/>
      </c>
      <c r="K112" s="204" t="str">
        <f t="shared" si="8"/>
        <v/>
      </c>
      <c r="L112" s="188" t="str">
        <f t="shared" si="9"/>
        <v/>
      </c>
      <c r="M112" s="203" t="str">
        <f>IF($H112="USD",IF(OR($L112="",$L112="-"),"",VLOOKUP($G112,為替!$A:$AX,$L112,FALSE))+$K$3,IF(OR($L112="",$L112="-"),"",VLOOKUP($G112,為替!$A:$AX,$L112,FALSE)))</f>
        <v/>
      </c>
      <c r="N112" s="204" t="str">
        <f t="shared" si="10"/>
        <v/>
      </c>
      <c r="O112" s="205" t="str">
        <f t="shared" si="6"/>
        <v/>
      </c>
      <c r="P112" s="206" t="str">
        <f t="shared" si="11"/>
        <v/>
      </c>
    </row>
    <row r="113" spans="3:16" x14ac:dyDescent="0.4">
      <c r="C113" s="199"/>
      <c r="D113" s="200"/>
      <c r="E113" s="201"/>
      <c r="F113" s="199"/>
      <c r="H113" s="202"/>
      <c r="I113" s="185" t="str">
        <f t="shared" si="7"/>
        <v/>
      </c>
      <c r="J113" s="203" t="str">
        <f>IF($H113="USD",IF(OR($I113="",$I113="-"),"",VLOOKUP($G113,為替!$A:$AX,$I113,FALSE))+$J$3,IF(OR($I113="",$I113="-"),"",VLOOKUP($G113,為替!$A:$AX,$I113,FALSE)))</f>
        <v/>
      </c>
      <c r="K113" s="204" t="str">
        <f t="shared" si="8"/>
        <v/>
      </c>
      <c r="L113" s="188" t="str">
        <f t="shared" si="9"/>
        <v/>
      </c>
      <c r="M113" s="203" t="str">
        <f>IF($H113="USD",IF(OR($L113="",$L113="-"),"",VLOOKUP($G113,為替!$A:$AX,$L113,FALSE))+$K$3,IF(OR($L113="",$L113="-"),"",VLOOKUP($G113,為替!$A:$AX,$L113,FALSE)))</f>
        <v/>
      </c>
      <c r="N113" s="204" t="str">
        <f t="shared" si="10"/>
        <v/>
      </c>
      <c r="O113" s="205" t="str">
        <f t="shared" si="6"/>
        <v/>
      </c>
      <c r="P113" s="206" t="str">
        <f t="shared" si="11"/>
        <v/>
      </c>
    </row>
    <row r="114" spans="3:16" x14ac:dyDescent="0.4">
      <c r="C114" s="199"/>
      <c r="D114" s="200"/>
      <c r="E114" s="201"/>
      <c r="F114" s="199"/>
      <c r="H114" s="202"/>
      <c r="I114" s="185" t="str">
        <f t="shared" si="7"/>
        <v/>
      </c>
      <c r="J114" s="203" t="str">
        <f>IF($H114="USD",IF(OR($I114="",$I114="-"),"",VLOOKUP($G114,為替!$A:$AX,$I114,FALSE))+$J$3,IF(OR($I114="",$I114="-"),"",VLOOKUP($G114,為替!$A:$AX,$I114,FALSE)))</f>
        <v/>
      </c>
      <c r="K114" s="204" t="str">
        <f t="shared" si="8"/>
        <v/>
      </c>
      <c r="L114" s="188" t="str">
        <f t="shared" si="9"/>
        <v/>
      </c>
      <c r="M114" s="203" t="str">
        <f>IF($H114="USD",IF(OR($L114="",$L114="-"),"",VLOOKUP($G114,為替!$A:$AX,$L114,FALSE))+$K$3,IF(OR($L114="",$L114="-"),"",VLOOKUP($G114,為替!$A:$AX,$L114,FALSE)))</f>
        <v/>
      </c>
      <c r="N114" s="204" t="str">
        <f t="shared" si="10"/>
        <v/>
      </c>
      <c r="O114" s="205" t="str">
        <f t="shared" si="6"/>
        <v/>
      </c>
      <c r="P114" s="206" t="str">
        <f t="shared" si="11"/>
        <v/>
      </c>
    </row>
    <row r="115" spans="3:16" x14ac:dyDescent="0.4">
      <c r="C115" s="199"/>
      <c r="D115" s="200"/>
      <c r="E115" s="201"/>
      <c r="F115" s="199"/>
      <c r="H115" s="202"/>
      <c r="I115" s="185" t="str">
        <f t="shared" si="7"/>
        <v/>
      </c>
      <c r="J115" s="203" t="str">
        <f>IF($H115="USD",IF(OR($I115="",$I115="-"),"",VLOOKUP($G115,為替!$A:$AX,$I115,FALSE))+$J$3,IF(OR($I115="",$I115="-"),"",VLOOKUP($G115,為替!$A:$AX,$I115,FALSE)))</f>
        <v/>
      </c>
      <c r="K115" s="204" t="str">
        <f t="shared" si="8"/>
        <v/>
      </c>
      <c r="L115" s="188" t="str">
        <f t="shared" si="9"/>
        <v/>
      </c>
      <c r="M115" s="203" t="str">
        <f>IF($H115="USD",IF(OR($L115="",$L115="-"),"",VLOOKUP($G115,為替!$A:$AX,$L115,FALSE))+$K$3,IF(OR($L115="",$L115="-"),"",VLOOKUP($G115,為替!$A:$AX,$L115,FALSE)))</f>
        <v/>
      </c>
      <c r="N115" s="204" t="str">
        <f t="shared" si="10"/>
        <v/>
      </c>
      <c r="O115" s="205" t="str">
        <f t="shared" si="6"/>
        <v/>
      </c>
      <c r="P115" s="206" t="str">
        <f t="shared" si="11"/>
        <v/>
      </c>
    </row>
    <row r="116" spans="3:16" x14ac:dyDescent="0.4">
      <c r="C116" s="199"/>
      <c r="D116" s="200"/>
      <c r="E116" s="201"/>
      <c r="F116" s="199"/>
      <c r="H116" s="202"/>
      <c r="I116" s="185" t="str">
        <f t="shared" si="7"/>
        <v/>
      </c>
      <c r="J116" s="203" t="str">
        <f>IF($H116="USD",IF(OR($I116="",$I116="-"),"",VLOOKUP($G116,為替!$A:$AX,$I116,FALSE))+$J$3,IF(OR($I116="",$I116="-"),"",VLOOKUP($G116,為替!$A:$AX,$I116,FALSE)))</f>
        <v/>
      </c>
      <c r="K116" s="204" t="str">
        <f t="shared" si="8"/>
        <v/>
      </c>
      <c r="L116" s="188" t="str">
        <f t="shared" si="9"/>
        <v/>
      </c>
      <c r="M116" s="203" t="str">
        <f>IF($H116="USD",IF(OR($L116="",$L116="-"),"",VLOOKUP($G116,為替!$A:$AX,$L116,FALSE))+$K$3,IF(OR($L116="",$L116="-"),"",VLOOKUP($G116,為替!$A:$AX,$L116,FALSE)))</f>
        <v/>
      </c>
      <c r="N116" s="204" t="str">
        <f t="shared" si="10"/>
        <v/>
      </c>
      <c r="O116" s="205" t="str">
        <f t="shared" si="6"/>
        <v/>
      </c>
      <c r="P116" s="206" t="str">
        <f t="shared" si="11"/>
        <v/>
      </c>
    </row>
    <row r="117" spans="3:16" x14ac:dyDescent="0.4">
      <c r="C117" s="199"/>
      <c r="D117" s="200"/>
      <c r="E117" s="201"/>
      <c r="F117" s="199"/>
      <c r="H117" s="202"/>
      <c r="I117" s="185" t="str">
        <f t="shared" si="7"/>
        <v/>
      </c>
      <c r="J117" s="203" t="str">
        <f>IF($H117="USD",IF(OR($I117="",$I117="-"),"",VLOOKUP($G117,為替!$A:$AX,$I117,FALSE))+$J$3,IF(OR($I117="",$I117="-"),"",VLOOKUP($G117,為替!$A:$AX,$I117,FALSE)))</f>
        <v/>
      </c>
      <c r="K117" s="204" t="str">
        <f t="shared" si="8"/>
        <v/>
      </c>
      <c r="L117" s="188" t="str">
        <f t="shared" si="9"/>
        <v/>
      </c>
      <c r="M117" s="203" t="str">
        <f>IF($H117="USD",IF(OR($L117="",$L117="-"),"",VLOOKUP($G117,為替!$A:$AX,$L117,FALSE))+$K$3,IF(OR($L117="",$L117="-"),"",VLOOKUP($G117,為替!$A:$AX,$L117,FALSE)))</f>
        <v/>
      </c>
      <c r="N117" s="204" t="str">
        <f t="shared" si="10"/>
        <v/>
      </c>
      <c r="O117" s="205" t="str">
        <f t="shared" si="6"/>
        <v/>
      </c>
      <c r="P117" s="206" t="str">
        <f t="shared" si="11"/>
        <v/>
      </c>
    </row>
    <row r="118" spans="3:16" x14ac:dyDescent="0.4">
      <c r="C118" s="199"/>
      <c r="D118" s="200"/>
      <c r="E118" s="201"/>
      <c r="F118" s="199"/>
      <c r="H118" s="202"/>
      <c r="I118" s="185" t="str">
        <f t="shared" si="7"/>
        <v/>
      </c>
      <c r="J118" s="203" t="str">
        <f>IF($H118="USD",IF(OR($I118="",$I118="-"),"",VLOOKUP($G118,為替!$A:$AX,$I118,FALSE))+$J$3,IF(OR($I118="",$I118="-"),"",VLOOKUP($G118,為替!$A:$AX,$I118,FALSE)))</f>
        <v/>
      </c>
      <c r="K118" s="204" t="str">
        <f t="shared" si="8"/>
        <v/>
      </c>
      <c r="L118" s="188" t="str">
        <f t="shared" si="9"/>
        <v/>
      </c>
      <c r="M118" s="203" t="str">
        <f>IF($H118="USD",IF(OR($L118="",$L118="-"),"",VLOOKUP($G118,為替!$A:$AX,$L118,FALSE))+$K$3,IF(OR($L118="",$L118="-"),"",VLOOKUP($G118,為替!$A:$AX,$L118,FALSE)))</f>
        <v/>
      </c>
      <c r="N118" s="204" t="str">
        <f t="shared" si="10"/>
        <v/>
      </c>
      <c r="O118" s="205" t="str">
        <f t="shared" si="6"/>
        <v/>
      </c>
      <c r="P118" s="206" t="str">
        <f t="shared" si="11"/>
        <v/>
      </c>
    </row>
    <row r="119" spans="3:16" x14ac:dyDescent="0.4">
      <c r="C119" s="199"/>
      <c r="D119" s="200"/>
      <c r="E119" s="201"/>
      <c r="F119" s="199"/>
      <c r="H119" s="202"/>
      <c r="I119" s="185" t="str">
        <f t="shared" si="7"/>
        <v/>
      </c>
      <c r="J119" s="203" t="str">
        <f>IF($H119="USD",IF(OR($I119="",$I119="-"),"",VLOOKUP($G119,為替!$A:$AX,$I119,FALSE))+$J$3,IF(OR($I119="",$I119="-"),"",VLOOKUP($G119,為替!$A:$AX,$I119,FALSE)))</f>
        <v/>
      </c>
      <c r="K119" s="204" t="str">
        <f t="shared" si="8"/>
        <v/>
      </c>
      <c r="L119" s="188" t="str">
        <f t="shared" si="9"/>
        <v/>
      </c>
      <c r="M119" s="203" t="str">
        <f>IF($H119="USD",IF(OR($L119="",$L119="-"),"",VLOOKUP($G119,為替!$A:$AX,$L119,FALSE))+$K$3,IF(OR($L119="",$L119="-"),"",VLOOKUP($G119,為替!$A:$AX,$L119,FALSE)))</f>
        <v/>
      </c>
      <c r="N119" s="204" t="str">
        <f t="shared" si="10"/>
        <v/>
      </c>
      <c r="O119" s="205" t="str">
        <f t="shared" si="6"/>
        <v/>
      </c>
      <c r="P119" s="206" t="str">
        <f t="shared" si="11"/>
        <v/>
      </c>
    </row>
    <row r="120" spans="3:16" x14ac:dyDescent="0.4">
      <c r="C120" s="199"/>
      <c r="D120" s="200"/>
      <c r="E120" s="201"/>
      <c r="F120" s="199"/>
      <c r="H120" s="202"/>
      <c r="I120" s="185" t="str">
        <f t="shared" si="7"/>
        <v/>
      </c>
      <c r="J120" s="203" t="str">
        <f>IF($H120="USD",IF(OR($I120="",$I120="-"),"",VLOOKUP($G120,為替!$A:$AX,$I120,FALSE))+$J$3,IF(OR($I120="",$I120="-"),"",VLOOKUP($G120,為替!$A:$AX,$I120,FALSE)))</f>
        <v/>
      </c>
      <c r="K120" s="204" t="str">
        <f t="shared" si="8"/>
        <v/>
      </c>
      <c r="L120" s="188" t="str">
        <f t="shared" si="9"/>
        <v/>
      </c>
      <c r="M120" s="203" t="str">
        <f>IF($H120="USD",IF(OR($L120="",$L120="-"),"",VLOOKUP($G120,為替!$A:$AX,$L120,FALSE))+$K$3,IF(OR($L120="",$L120="-"),"",VLOOKUP($G120,為替!$A:$AX,$L120,FALSE)))</f>
        <v/>
      </c>
      <c r="N120" s="204" t="str">
        <f t="shared" si="10"/>
        <v/>
      </c>
      <c r="O120" s="205" t="str">
        <f t="shared" si="6"/>
        <v/>
      </c>
      <c r="P120" s="206" t="str">
        <f t="shared" si="11"/>
        <v/>
      </c>
    </row>
    <row r="121" spans="3:16" x14ac:dyDescent="0.4">
      <c r="C121" s="199"/>
      <c r="D121" s="200"/>
      <c r="E121" s="201"/>
      <c r="F121" s="199"/>
      <c r="H121" s="202"/>
      <c r="I121" s="185" t="str">
        <f t="shared" si="7"/>
        <v/>
      </c>
      <c r="J121" s="203" t="str">
        <f>IF($H121="USD",IF(OR($I121="",$I121="-"),"",VLOOKUP($G121,為替!$A:$AX,$I121,FALSE))+$J$3,IF(OR($I121="",$I121="-"),"",VLOOKUP($G121,為替!$A:$AX,$I121,FALSE)))</f>
        <v/>
      </c>
      <c r="K121" s="204" t="str">
        <f t="shared" si="8"/>
        <v/>
      </c>
      <c r="L121" s="188" t="str">
        <f t="shared" si="9"/>
        <v/>
      </c>
      <c r="M121" s="203" t="str">
        <f>IF($H121="USD",IF(OR($L121="",$L121="-"),"",VLOOKUP($G121,為替!$A:$AX,$L121,FALSE))+$K$3,IF(OR($L121="",$L121="-"),"",VLOOKUP($G121,為替!$A:$AX,$L121,FALSE)))</f>
        <v/>
      </c>
      <c r="N121" s="204" t="str">
        <f t="shared" si="10"/>
        <v/>
      </c>
      <c r="O121" s="205" t="str">
        <f t="shared" si="6"/>
        <v/>
      </c>
      <c r="P121" s="206" t="str">
        <f t="shared" si="11"/>
        <v/>
      </c>
    </row>
    <row r="122" spans="3:16" x14ac:dyDescent="0.4">
      <c r="C122" s="199"/>
      <c r="D122" s="200"/>
      <c r="E122" s="201"/>
      <c r="F122" s="199"/>
      <c r="H122" s="202"/>
      <c r="I122" s="185" t="str">
        <f t="shared" si="7"/>
        <v/>
      </c>
      <c r="J122" s="203" t="str">
        <f>IF($H122="USD",IF(OR($I122="",$I122="-"),"",VLOOKUP($G122,為替!$A:$AX,$I122,FALSE))+$J$3,IF(OR($I122="",$I122="-"),"",VLOOKUP($G122,為替!$A:$AX,$I122,FALSE)))</f>
        <v/>
      </c>
      <c r="K122" s="204" t="str">
        <f t="shared" si="8"/>
        <v/>
      </c>
      <c r="L122" s="188" t="str">
        <f t="shared" si="9"/>
        <v/>
      </c>
      <c r="M122" s="203" t="str">
        <f>IF($H122="USD",IF(OR($L122="",$L122="-"),"",VLOOKUP($G122,為替!$A:$AX,$L122,FALSE))+$K$3,IF(OR($L122="",$L122="-"),"",VLOOKUP($G122,為替!$A:$AX,$L122,FALSE)))</f>
        <v/>
      </c>
      <c r="N122" s="204" t="str">
        <f t="shared" si="10"/>
        <v/>
      </c>
      <c r="O122" s="205" t="str">
        <f t="shared" si="6"/>
        <v/>
      </c>
      <c r="P122" s="206" t="str">
        <f t="shared" si="11"/>
        <v/>
      </c>
    </row>
    <row r="123" spans="3:16" x14ac:dyDescent="0.4">
      <c r="C123" s="199"/>
      <c r="D123" s="200"/>
      <c r="E123" s="201"/>
      <c r="F123" s="199"/>
      <c r="H123" s="202"/>
      <c r="I123" s="185" t="str">
        <f t="shared" si="7"/>
        <v/>
      </c>
      <c r="J123" s="203" t="str">
        <f>IF($H123="USD",IF(OR($I123="",$I123="-"),"",VLOOKUP($G123,為替!$A:$AX,$I123,FALSE))+$J$3,IF(OR($I123="",$I123="-"),"",VLOOKUP($G123,為替!$A:$AX,$I123,FALSE)))</f>
        <v/>
      </c>
      <c r="K123" s="204" t="str">
        <f t="shared" si="8"/>
        <v/>
      </c>
      <c r="L123" s="188" t="str">
        <f t="shared" si="9"/>
        <v/>
      </c>
      <c r="M123" s="203" t="str">
        <f>IF($H123="USD",IF(OR($L123="",$L123="-"),"",VLOOKUP($G123,為替!$A:$AX,$L123,FALSE))+$K$3,IF(OR($L123="",$L123="-"),"",VLOOKUP($G123,為替!$A:$AX,$L123,FALSE)))</f>
        <v/>
      </c>
      <c r="N123" s="204" t="str">
        <f t="shared" si="10"/>
        <v/>
      </c>
      <c r="O123" s="205" t="str">
        <f t="shared" si="6"/>
        <v/>
      </c>
      <c r="P123" s="206" t="str">
        <f t="shared" si="11"/>
        <v/>
      </c>
    </row>
    <row r="124" spans="3:16" x14ac:dyDescent="0.4">
      <c r="C124" s="199"/>
      <c r="D124" s="200"/>
      <c r="E124" s="201"/>
      <c r="F124" s="199"/>
      <c r="H124" s="202"/>
      <c r="I124" s="185" t="str">
        <f t="shared" si="7"/>
        <v/>
      </c>
      <c r="J124" s="203" t="str">
        <f>IF($H124="USD",IF(OR($I124="",$I124="-"),"",VLOOKUP($G124,為替!$A:$AX,$I124,FALSE))+$J$3,IF(OR($I124="",$I124="-"),"",VLOOKUP($G124,為替!$A:$AX,$I124,FALSE)))</f>
        <v/>
      </c>
      <c r="K124" s="204" t="str">
        <f t="shared" si="8"/>
        <v/>
      </c>
      <c r="L124" s="188" t="str">
        <f t="shared" si="9"/>
        <v/>
      </c>
      <c r="M124" s="203" t="str">
        <f>IF($H124="USD",IF(OR($L124="",$L124="-"),"",VLOOKUP($G124,為替!$A:$AX,$L124,FALSE))+$K$3,IF(OR($L124="",$L124="-"),"",VLOOKUP($G124,為替!$A:$AX,$L124,FALSE)))</f>
        <v/>
      </c>
      <c r="N124" s="204" t="str">
        <f t="shared" si="10"/>
        <v/>
      </c>
      <c r="O124" s="205" t="str">
        <f t="shared" si="6"/>
        <v/>
      </c>
      <c r="P124" s="206" t="str">
        <f t="shared" si="11"/>
        <v/>
      </c>
    </row>
    <row r="125" spans="3:16" x14ac:dyDescent="0.4">
      <c r="C125" s="199"/>
      <c r="D125" s="200"/>
      <c r="E125" s="201"/>
      <c r="F125" s="199"/>
      <c r="H125" s="202"/>
      <c r="I125" s="185" t="str">
        <f t="shared" si="7"/>
        <v/>
      </c>
      <c r="J125" s="203" t="str">
        <f>IF($H125="USD",IF(OR($I125="",$I125="-"),"",VLOOKUP($G125,為替!$A:$AX,$I125,FALSE))+$J$3,IF(OR($I125="",$I125="-"),"",VLOOKUP($G125,為替!$A:$AX,$I125,FALSE)))</f>
        <v/>
      </c>
      <c r="K125" s="204" t="str">
        <f t="shared" si="8"/>
        <v/>
      </c>
      <c r="L125" s="188" t="str">
        <f t="shared" si="9"/>
        <v/>
      </c>
      <c r="M125" s="203" t="str">
        <f>IF($H125="USD",IF(OR($L125="",$L125="-"),"",VLOOKUP($G125,為替!$A:$AX,$L125,FALSE))+$K$3,IF(OR($L125="",$L125="-"),"",VLOOKUP($G125,為替!$A:$AX,$L125,FALSE)))</f>
        <v/>
      </c>
      <c r="N125" s="204" t="str">
        <f t="shared" si="10"/>
        <v/>
      </c>
      <c r="O125" s="205" t="str">
        <f t="shared" si="6"/>
        <v/>
      </c>
      <c r="P125" s="206" t="str">
        <f t="shared" si="11"/>
        <v/>
      </c>
    </row>
    <row r="126" spans="3:16" x14ac:dyDescent="0.4">
      <c r="C126" s="199"/>
      <c r="D126" s="200"/>
      <c r="E126" s="201"/>
      <c r="F126" s="199"/>
      <c r="H126" s="202"/>
      <c r="I126" s="185" t="str">
        <f t="shared" si="7"/>
        <v/>
      </c>
      <c r="J126" s="203" t="str">
        <f>IF($H126="USD",IF(OR($I126="",$I126="-"),"",VLOOKUP($G126,為替!$A:$AX,$I126,FALSE))+$J$3,IF(OR($I126="",$I126="-"),"",VLOOKUP($G126,為替!$A:$AX,$I126,FALSE)))</f>
        <v/>
      </c>
      <c r="K126" s="204" t="str">
        <f t="shared" si="8"/>
        <v/>
      </c>
      <c r="L126" s="188" t="str">
        <f t="shared" si="9"/>
        <v/>
      </c>
      <c r="M126" s="203" t="str">
        <f>IF($H126="USD",IF(OR($L126="",$L126="-"),"",VLOOKUP($G126,為替!$A:$AX,$L126,FALSE))+$K$3,IF(OR($L126="",$L126="-"),"",VLOOKUP($G126,為替!$A:$AX,$L126,FALSE)))</f>
        <v/>
      </c>
      <c r="N126" s="204" t="str">
        <f t="shared" si="10"/>
        <v/>
      </c>
      <c r="O126" s="205" t="str">
        <f t="shared" si="6"/>
        <v/>
      </c>
      <c r="P126" s="206" t="str">
        <f t="shared" si="11"/>
        <v/>
      </c>
    </row>
    <row r="127" spans="3:16" x14ac:dyDescent="0.4">
      <c r="C127" s="199"/>
      <c r="D127" s="200"/>
      <c r="E127" s="201"/>
      <c r="F127" s="199"/>
      <c r="H127" s="202"/>
      <c r="I127" s="185" t="str">
        <f t="shared" si="7"/>
        <v/>
      </c>
      <c r="J127" s="203" t="str">
        <f>IF($H127="USD",IF(OR($I127="",$I127="-"),"",VLOOKUP($G127,為替!$A:$AX,$I127,FALSE))+$J$3,IF(OR($I127="",$I127="-"),"",VLOOKUP($G127,為替!$A:$AX,$I127,FALSE)))</f>
        <v/>
      </c>
      <c r="K127" s="204" t="str">
        <f t="shared" si="8"/>
        <v/>
      </c>
      <c r="L127" s="188" t="str">
        <f t="shared" si="9"/>
        <v/>
      </c>
      <c r="M127" s="203" t="str">
        <f>IF($H127="USD",IF(OR($L127="",$L127="-"),"",VLOOKUP($G127,為替!$A:$AX,$L127,FALSE))+$K$3,IF(OR($L127="",$L127="-"),"",VLOOKUP($G127,為替!$A:$AX,$L127,FALSE)))</f>
        <v/>
      </c>
      <c r="N127" s="204" t="str">
        <f t="shared" si="10"/>
        <v/>
      </c>
      <c r="O127" s="205" t="str">
        <f t="shared" si="6"/>
        <v/>
      </c>
      <c r="P127" s="206" t="str">
        <f t="shared" si="11"/>
        <v/>
      </c>
    </row>
    <row r="128" spans="3:16" x14ac:dyDescent="0.4">
      <c r="C128" s="199"/>
      <c r="D128" s="200"/>
      <c r="E128" s="201"/>
      <c r="F128" s="199"/>
      <c r="H128" s="202"/>
      <c r="I128" s="185" t="str">
        <f t="shared" si="7"/>
        <v/>
      </c>
      <c r="J128" s="203" t="str">
        <f>IF($H128="USD",IF(OR($I128="",$I128="-"),"",VLOOKUP($G128,為替!$A:$AX,$I128,FALSE))+$J$3,IF(OR($I128="",$I128="-"),"",VLOOKUP($G128,為替!$A:$AX,$I128,FALSE)))</f>
        <v/>
      </c>
      <c r="K128" s="204" t="str">
        <f t="shared" si="8"/>
        <v/>
      </c>
      <c r="L128" s="188" t="str">
        <f t="shared" si="9"/>
        <v/>
      </c>
      <c r="M128" s="203" t="str">
        <f>IF($H128="USD",IF(OR($L128="",$L128="-"),"",VLOOKUP($G128,為替!$A:$AX,$L128,FALSE))+$K$3,IF(OR($L128="",$L128="-"),"",VLOOKUP($G128,為替!$A:$AX,$L128,FALSE)))</f>
        <v/>
      </c>
      <c r="N128" s="204" t="str">
        <f t="shared" si="10"/>
        <v/>
      </c>
      <c r="O128" s="205" t="str">
        <f t="shared" si="6"/>
        <v/>
      </c>
      <c r="P128" s="206" t="str">
        <f t="shared" si="11"/>
        <v/>
      </c>
    </row>
    <row r="129" spans="3:16" x14ac:dyDescent="0.4">
      <c r="C129" s="199"/>
      <c r="D129" s="200"/>
      <c r="E129" s="201"/>
      <c r="F129" s="199"/>
      <c r="H129" s="202"/>
      <c r="I129" s="185" t="str">
        <f t="shared" si="7"/>
        <v/>
      </c>
      <c r="J129" s="203" t="str">
        <f>IF($H129="USD",IF(OR($I129="",$I129="-"),"",VLOOKUP($G129,為替!$A:$AX,$I129,FALSE))+$J$3,IF(OR($I129="",$I129="-"),"",VLOOKUP($G129,為替!$A:$AX,$I129,FALSE)))</f>
        <v/>
      </c>
      <c r="K129" s="204" t="str">
        <f t="shared" si="8"/>
        <v/>
      </c>
      <c r="L129" s="188" t="str">
        <f t="shared" si="9"/>
        <v/>
      </c>
      <c r="M129" s="203" t="str">
        <f>IF($H129="USD",IF(OR($L129="",$L129="-"),"",VLOOKUP($G129,為替!$A:$AX,$L129,FALSE))+$K$3,IF(OR($L129="",$L129="-"),"",VLOOKUP($G129,為替!$A:$AX,$L129,FALSE)))</f>
        <v/>
      </c>
      <c r="N129" s="204" t="str">
        <f t="shared" si="10"/>
        <v/>
      </c>
      <c r="O129" s="205" t="str">
        <f t="shared" si="6"/>
        <v/>
      </c>
      <c r="P129" s="206" t="str">
        <f t="shared" si="11"/>
        <v/>
      </c>
    </row>
    <row r="130" spans="3:16" x14ac:dyDescent="0.4">
      <c r="C130" s="199"/>
      <c r="D130" s="200"/>
      <c r="E130" s="201"/>
      <c r="F130" s="199"/>
      <c r="H130" s="202"/>
      <c r="I130" s="185" t="str">
        <f t="shared" si="7"/>
        <v/>
      </c>
      <c r="J130" s="203" t="str">
        <f>IF($H130="USD",IF(OR($I130="",$I130="-"),"",VLOOKUP($G130,為替!$A:$AX,$I130,FALSE))+$J$3,IF(OR($I130="",$I130="-"),"",VLOOKUP($G130,為替!$A:$AX,$I130,FALSE)))</f>
        <v/>
      </c>
      <c r="K130" s="204" t="str">
        <f t="shared" si="8"/>
        <v/>
      </c>
      <c r="L130" s="188" t="str">
        <f t="shared" si="9"/>
        <v/>
      </c>
      <c r="M130" s="203" t="str">
        <f>IF($H130="USD",IF(OR($L130="",$L130="-"),"",VLOOKUP($G130,為替!$A:$AX,$L130,FALSE))+$K$3,IF(OR($L130="",$L130="-"),"",VLOOKUP($G130,為替!$A:$AX,$L130,FALSE)))</f>
        <v/>
      </c>
      <c r="N130" s="204" t="str">
        <f t="shared" si="10"/>
        <v/>
      </c>
      <c r="O130" s="205" t="str">
        <f t="shared" si="6"/>
        <v/>
      </c>
      <c r="P130" s="206" t="str">
        <f t="shared" si="11"/>
        <v/>
      </c>
    </row>
    <row r="131" spans="3:16" x14ac:dyDescent="0.4">
      <c r="C131" s="199"/>
      <c r="D131" s="200"/>
      <c r="E131" s="201"/>
      <c r="F131" s="199"/>
      <c r="H131" s="202"/>
      <c r="I131" s="185" t="str">
        <f t="shared" si="7"/>
        <v/>
      </c>
      <c r="J131" s="203" t="str">
        <f>IF($H131="USD",IF(OR($I131="",$I131="-"),"",VLOOKUP($G131,為替!$A:$AX,$I131,FALSE))+$J$3,IF(OR($I131="",$I131="-"),"",VLOOKUP($G131,為替!$A:$AX,$I131,FALSE)))</f>
        <v/>
      </c>
      <c r="K131" s="204" t="str">
        <f t="shared" si="8"/>
        <v/>
      </c>
      <c r="L131" s="188" t="str">
        <f t="shared" si="9"/>
        <v/>
      </c>
      <c r="M131" s="203" t="str">
        <f>IF($H131="USD",IF(OR($L131="",$L131="-"),"",VLOOKUP($G131,為替!$A:$AX,$L131,FALSE))+$K$3,IF(OR($L131="",$L131="-"),"",VLOOKUP($G131,為替!$A:$AX,$L131,FALSE)))</f>
        <v/>
      </c>
      <c r="N131" s="204" t="str">
        <f t="shared" si="10"/>
        <v/>
      </c>
      <c r="O131" s="205" t="str">
        <f t="shared" si="6"/>
        <v/>
      </c>
      <c r="P131" s="206" t="str">
        <f t="shared" si="11"/>
        <v/>
      </c>
    </row>
    <row r="132" spans="3:16" x14ac:dyDescent="0.4">
      <c r="C132" s="199"/>
      <c r="D132" s="200"/>
      <c r="E132" s="201"/>
      <c r="F132" s="199"/>
      <c r="H132" s="202"/>
      <c r="I132" s="185" t="str">
        <f t="shared" si="7"/>
        <v/>
      </c>
      <c r="J132" s="203" t="str">
        <f>IF($H132="USD",IF(OR($I132="",$I132="-"),"",VLOOKUP($G132,為替!$A:$AX,$I132,FALSE))+$J$3,IF(OR($I132="",$I132="-"),"",VLOOKUP($G132,為替!$A:$AX,$I132,FALSE)))</f>
        <v/>
      </c>
      <c r="K132" s="204" t="str">
        <f t="shared" si="8"/>
        <v/>
      </c>
      <c r="L132" s="188" t="str">
        <f t="shared" si="9"/>
        <v/>
      </c>
      <c r="M132" s="203" t="str">
        <f>IF($H132="USD",IF(OR($L132="",$L132="-"),"",VLOOKUP($G132,為替!$A:$AX,$L132,FALSE))+$K$3,IF(OR($L132="",$L132="-"),"",VLOOKUP($G132,為替!$A:$AX,$L132,FALSE)))</f>
        <v/>
      </c>
      <c r="N132" s="204" t="str">
        <f t="shared" si="10"/>
        <v/>
      </c>
      <c r="O132" s="205" t="str">
        <f t="shared" si="6"/>
        <v/>
      </c>
      <c r="P132" s="206" t="str">
        <f t="shared" si="11"/>
        <v/>
      </c>
    </row>
    <row r="133" spans="3:16" x14ac:dyDescent="0.4">
      <c r="C133" s="199"/>
      <c r="D133" s="200"/>
      <c r="E133" s="201"/>
      <c r="F133" s="199"/>
      <c r="H133" s="202"/>
      <c r="I133" s="185" t="str">
        <f t="shared" si="7"/>
        <v/>
      </c>
      <c r="J133" s="203" t="str">
        <f>IF($H133="USD",IF(OR($I133="",$I133="-"),"",VLOOKUP($G133,為替!$A:$AX,$I133,FALSE))+$J$3,IF(OR($I133="",$I133="-"),"",VLOOKUP($G133,為替!$A:$AX,$I133,FALSE)))</f>
        <v/>
      </c>
      <c r="K133" s="204" t="str">
        <f t="shared" si="8"/>
        <v/>
      </c>
      <c r="L133" s="188" t="str">
        <f t="shared" si="9"/>
        <v/>
      </c>
      <c r="M133" s="203" t="str">
        <f>IF($H133="USD",IF(OR($L133="",$L133="-"),"",VLOOKUP($G133,為替!$A:$AX,$L133,FALSE))+$K$3,IF(OR($L133="",$L133="-"),"",VLOOKUP($G133,為替!$A:$AX,$L133,FALSE)))</f>
        <v/>
      </c>
      <c r="N133" s="204" t="str">
        <f t="shared" si="10"/>
        <v/>
      </c>
      <c r="O133" s="205" t="str">
        <f t="shared" si="6"/>
        <v/>
      </c>
      <c r="P133" s="206" t="str">
        <f t="shared" si="11"/>
        <v/>
      </c>
    </row>
    <row r="134" spans="3:16" x14ac:dyDescent="0.4">
      <c r="C134" s="199"/>
      <c r="D134" s="200"/>
      <c r="E134" s="201"/>
      <c r="F134" s="199"/>
      <c r="H134" s="202"/>
      <c r="I134" s="185" t="str">
        <f t="shared" si="7"/>
        <v/>
      </c>
      <c r="J134" s="203" t="str">
        <f>IF($H134="USD",IF(OR($I134="",$I134="-"),"",VLOOKUP($G134,為替!$A:$AX,$I134,FALSE))+$J$3,IF(OR($I134="",$I134="-"),"",VLOOKUP($G134,為替!$A:$AX,$I134,FALSE)))</f>
        <v/>
      </c>
      <c r="K134" s="204" t="str">
        <f t="shared" si="8"/>
        <v/>
      </c>
      <c r="L134" s="188" t="str">
        <f t="shared" si="9"/>
        <v/>
      </c>
      <c r="M134" s="203" t="str">
        <f>IF($H134="USD",IF(OR($L134="",$L134="-"),"",VLOOKUP($G134,為替!$A:$AX,$L134,FALSE))+$K$3,IF(OR($L134="",$L134="-"),"",VLOOKUP($G134,為替!$A:$AX,$L134,FALSE)))</f>
        <v/>
      </c>
      <c r="N134" s="204" t="str">
        <f t="shared" si="10"/>
        <v/>
      </c>
      <c r="O134" s="205" t="str">
        <f t="shared" ref="O134:O197" si="12">IF(OR(K134="",N134=""),"",K134-N134)</f>
        <v/>
      </c>
      <c r="P134" s="206" t="str">
        <f t="shared" si="11"/>
        <v/>
      </c>
    </row>
    <row r="135" spans="3:16" x14ac:dyDescent="0.4">
      <c r="C135" s="199"/>
      <c r="D135" s="200"/>
      <c r="E135" s="201"/>
      <c r="F135" s="199"/>
      <c r="H135" s="202"/>
      <c r="I135" s="185" t="str">
        <f t="shared" ref="I135:I198" si="13">IF(H135="","",IF(H135="JPY","",IF($H135="USD",4, IF(H135="EUR",7,IF(H135="CNY",47,IF(H135="HKD",34))))))</f>
        <v/>
      </c>
      <c r="J135" s="203" t="str">
        <f>IF($H135="USD",IF(OR($I135="",$I135="-"),"",VLOOKUP($G135,為替!$A:$AX,$I135,FALSE))+$J$3,IF(OR($I135="",$I135="-"),"",VLOOKUP($G135,為替!$A:$AX,$I135,FALSE)))</f>
        <v/>
      </c>
      <c r="K135" s="204" t="str">
        <f t="shared" ref="K135:K198" si="14">IF($H135="JPY",$F135,IF($H135="","",$F135*$J135))</f>
        <v/>
      </c>
      <c r="L135" s="188" t="str">
        <f t="shared" ref="L135:L198" si="15">IF(H135="","",IF(H135="JPY","",IF($H135="USD",3, IF(H135="EUR",6,IF(H135="CNY",46,IF(H135="HKD",33))))))</f>
        <v/>
      </c>
      <c r="M135" s="203" t="str">
        <f>IF($H135="USD",IF(OR($L135="",$L135="-"),"",VLOOKUP($G135,為替!$A:$AX,$L135,FALSE))+$K$3,IF(OR($L135="",$L135="-"),"",VLOOKUP($G135,為替!$A:$AX,$L135,FALSE)))</f>
        <v/>
      </c>
      <c r="N135" s="204" t="str">
        <f t="shared" ref="N135:N198" si="16">IF($E135="JPY",($C135+$D135),IF($E135="","",($C135+$D135)*$M135))</f>
        <v/>
      </c>
      <c r="O135" s="205" t="str">
        <f t="shared" si="12"/>
        <v/>
      </c>
      <c r="P135" s="206" t="str">
        <f t="shared" ref="P135:P198" si="17">IF(OR(K135="",O135=""),"",O135/K135)</f>
        <v/>
      </c>
    </row>
    <row r="136" spans="3:16" x14ac:dyDescent="0.4">
      <c r="C136" s="199"/>
      <c r="D136" s="200"/>
      <c r="E136" s="201"/>
      <c r="F136" s="199"/>
      <c r="H136" s="202"/>
      <c r="I136" s="185" t="str">
        <f t="shared" si="13"/>
        <v/>
      </c>
      <c r="J136" s="203" t="str">
        <f>IF($H136="USD",IF(OR($I136="",$I136="-"),"",VLOOKUP($G136,為替!$A:$AX,$I136,FALSE))+$J$3,IF(OR($I136="",$I136="-"),"",VLOOKUP($G136,為替!$A:$AX,$I136,FALSE)))</f>
        <v/>
      </c>
      <c r="K136" s="204" t="str">
        <f t="shared" si="14"/>
        <v/>
      </c>
      <c r="L136" s="188" t="str">
        <f t="shared" si="15"/>
        <v/>
      </c>
      <c r="M136" s="203" t="str">
        <f>IF($H136="USD",IF(OR($L136="",$L136="-"),"",VLOOKUP($G136,為替!$A:$AX,$L136,FALSE))+$K$3,IF(OR($L136="",$L136="-"),"",VLOOKUP($G136,為替!$A:$AX,$L136,FALSE)))</f>
        <v/>
      </c>
      <c r="N136" s="204" t="str">
        <f t="shared" si="16"/>
        <v/>
      </c>
      <c r="O136" s="205" t="str">
        <f t="shared" si="12"/>
        <v/>
      </c>
      <c r="P136" s="206" t="str">
        <f t="shared" si="17"/>
        <v/>
      </c>
    </row>
    <row r="137" spans="3:16" x14ac:dyDescent="0.4">
      <c r="C137" s="199"/>
      <c r="D137" s="200"/>
      <c r="E137" s="201"/>
      <c r="F137" s="199"/>
      <c r="H137" s="202"/>
      <c r="I137" s="185" t="str">
        <f t="shared" si="13"/>
        <v/>
      </c>
      <c r="J137" s="203" t="str">
        <f>IF($H137="USD",IF(OR($I137="",$I137="-"),"",VLOOKUP($G137,為替!$A:$AX,$I137,FALSE))+$J$3,IF(OR($I137="",$I137="-"),"",VLOOKUP($G137,為替!$A:$AX,$I137,FALSE)))</f>
        <v/>
      </c>
      <c r="K137" s="204" t="str">
        <f t="shared" si="14"/>
        <v/>
      </c>
      <c r="L137" s="188" t="str">
        <f t="shared" si="15"/>
        <v/>
      </c>
      <c r="M137" s="203" t="str">
        <f>IF($H137="USD",IF(OR($L137="",$L137="-"),"",VLOOKUP($G137,為替!$A:$AX,$L137,FALSE))+$K$3,IF(OR($L137="",$L137="-"),"",VLOOKUP($G137,為替!$A:$AX,$L137,FALSE)))</f>
        <v/>
      </c>
      <c r="N137" s="204" t="str">
        <f t="shared" si="16"/>
        <v/>
      </c>
      <c r="O137" s="205" t="str">
        <f t="shared" si="12"/>
        <v/>
      </c>
      <c r="P137" s="206" t="str">
        <f t="shared" si="17"/>
        <v/>
      </c>
    </row>
    <row r="138" spans="3:16" x14ac:dyDescent="0.4">
      <c r="C138" s="199"/>
      <c r="D138" s="200"/>
      <c r="E138" s="201"/>
      <c r="F138" s="199"/>
      <c r="H138" s="202"/>
      <c r="I138" s="185" t="str">
        <f t="shared" si="13"/>
        <v/>
      </c>
      <c r="J138" s="203" t="str">
        <f>IF($H138="USD",IF(OR($I138="",$I138="-"),"",VLOOKUP($G138,為替!$A:$AX,$I138,FALSE))+$J$3,IF(OR($I138="",$I138="-"),"",VLOOKUP($G138,為替!$A:$AX,$I138,FALSE)))</f>
        <v/>
      </c>
      <c r="K138" s="204" t="str">
        <f t="shared" si="14"/>
        <v/>
      </c>
      <c r="L138" s="188" t="str">
        <f t="shared" si="15"/>
        <v/>
      </c>
      <c r="M138" s="203" t="str">
        <f>IF($H138="USD",IF(OR($L138="",$L138="-"),"",VLOOKUP($G138,為替!$A:$AX,$L138,FALSE))+$K$3,IF(OR($L138="",$L138="-"),"",VLOOKUP($G138,為替!$A:$AX,$L138,FALSE)))</f>
        <v/>
      </c>
      <c r="N138" s="204" t="str">
        <f t="shared" si="16"/>
        <v/>
      </c>
      <c r="O138" s="205" t="str">
        <f t="shared" si="12"/>
        <v/>
      </c>
      <c r="P138" s="206" t="str">
        <f t="shared" si="17"/>
        <v/>
      </c>
    </row>
    <row r="139" spans="3:16" x14ac:dyDescent="0.4">
      <c r="C139" s="199"/>
      <c r="D139" s="200"/>
      <c r="E139" s="201"/>
      <c r="F139" s="199"/>
      <c r="H139" s="202"/>
      <c r="I139" s="185" t="str">
        <f t="shared" si="13"/>
        <v/>
      </c>
      <c r="J139" s="203" t="str">
        <f>IF($H139="USD",IF(OR($I139="",$I139="-"),"",VLOOKUP($G139,為替!$A:$AX,$I139,FALSE))+$J$3,IF(OR($I139="",$I139="-"),"",VLOOKUP($G139,為替!$A:$AX,$I139,FALSE)))</f>
        <v/>
      </c>
      <c r="K139" s="204" t="str">
        <f t="shared" si="14"/>
        <v/>
      </c>
      <c r="L139" s="188" t="str">
        <f t="shared" si="15"/>
        <v/>
      </c>
      <c r="M139" s="203" t="str">
        <f>IF($H139="USD",IF(OR($L139="",$L139="-"),"",VLOOKUP($G139,為替!$A:$AX,$L139,FALSE))+$K$3,IF(OR($L139="",$L139="-"),"",VLOOKUP($G139,為替!$A:$AX,$L139,FALSE)))</f>
        <v/>
      </c>
      <c r="N139" s="204" t="str">
        <f t="shared" si="16"/>
        <v/>
      </c>
      <c r="O139" s="205" t="str">
        <f t="shared" si="12"/>
        <v/>
      </c>
      <c r="P139" s="206" t="str">
        <f t="shared" si="17"/>
        <v/>
      </c>
    </row>
    <row r="140" spans="3:16" x14ac:dyDescent="0.4">
      <c r="C140" s="199"/>
      <c r="D140" s="200"/>
      <c r="E140" s="201"/>
      <c r="F140" s="199"/>
      <c r="H140" s="202"/>
      <c r="I140" s="185" t="str">
        <f t="shared" si="13"/>
        <v/>
      </c>
      <c r="J140" s="203" t="str">
        <f>IF($H140="USD",IF(OR($I140="",$I140="-"),"",VLOOKUP($G140,為替!$A:$AX,$I140,FALSE))+$J$3,IF(OR($I140="",$I140="-"),"",VLOOKUP($G140,為替!$A:$AX,$I140,FALSE)))</f>
        <v/>
      </c>
      <c r="K140" s="204" t="str">
        <f t="shared" si="14"/>
        <v/>
      </c>
      <c r="L140" s="188" t="str">
        <f t="shared" si="15"/>
        <v/>
      </c>
      <c r="M140" s="203" t="str">
        <f>IF($H140="USD",IF(OR($L140="",$L140="-"),"",VLOOKUP($G140,為替!$A:$AX,$L140,FALSE))+$K$3,IF(OR($L140="",$L140="-"),"",VLOOKUP($G140,為替!$A:$AX,$L140,FALSE)))</f>
        <v/>
      </c>
      <c r="N140" s="204" t="str">
        <f t="shared" si="16"/>
        <v/>
      </c>
      <c r="O140" s="205" t="str">
        <f t="shared" si="12"/>
        <v/>
      </c>
      <c r="P140" s="206" t="str">
        <f t="shared" si="17"/>
        <v/>
      </c>
    </row>
    <row r="141" spans="3:16" x14ac:dyDescent="0.4">
      <c r="C141" s="199"/>
      <c r="D141" s="200"/>
      <c r="E141" s="201"/>
      <c r="F141" s="199"/>
      <c r="H141" s="202"/>
      <c r="I141" s="185" t="str">
        <f t="shared" si="13"/>
        <v/>
      </c>
      <c r="J141" s="203" t="str">
        <f>IF($H141="USD",IF(OR($I141="",$I141="-"),"",VLOOKUP($G141,為替!$A:$AX,$I141,FALSE))+$J$3,IF(OR($I141="",$I141="-"),"",VLOOKUP($G141,為替!$A:$AX,$I141,FALSE)))</f>
        <v/>
      </c>
      <c r="K141" s="204" t="str">
        <f t="shared" si="14"/>
        <v/>
      </c>
      <c r="L141" s="188" t="str">
        <f t="shared" si="15"/>
        <v/>
      </c>
      <c r="M141" s="203" t="str">
        <f>IF($H141="USD",IF(OR($L141="",$L141="-"),"",VLOOKUP($G141,為替!$A:$AX,$L141,FALSE))+$K$3,IF(OR($L141="",$L141="-"),"",VLOOKUP($G141,為替!$A:$AX,$L141,FALSE)))</f>
        <v/>
      </c>
      <c r="N141" s="204" t="str">
        <f t="shared" si="16"/>
        <v/>
      </c>
      <c r="O141" s="205" t="str">
        <f t="shared" si="12"/>
        <v/>
      </c>
      <c r="P141" s="206" t="str">
        <f t="shared" si="17"/>
        <v/>
      </c>
    </row>
    <row r="142" spans="3:16" x14ac:dyDescent="0.4">
      <c r="C142" s="199"/>
      <c r="D142" s="200"/>
      <c r="E142" s="201"/>
      <c r="F142" s="199"/>
      <c r="H142" s="202"/>
      <c r="I142" s="185" t="str">
        <f t="shared" si="13"/>
        <v/>
      </c>
      <c r="J142" s="203" t="str">
        <f>IF($H142="USD",IF(OR($I142="",$I142="-"),"",VLOOKUP($G142,為替!$A:$AX,$I142,FALSE))+$J$3,IF(OR($I142="",$I142="-"),"",VLOOKUP($G142,為替!$A:$AX,$I142,FALSE)))</f>
        <v/>
      </c>
      <c r="K142" s="204" t="str">
        <f t="shared" si="14"/>
        <v/>
      </c>
      <c r="L142" s="188" t="str">
        <f t="shared" si="15"/>
        <v/>
      </c>
      <c r="M142" s="203" t="str">
        <f>IF($H142="USD",IF(OR($L142="",$L142="-"),"",VLOOKUP($G142,為替!$A:$AX,$L142,FALSE))+$K$3,IF(OR($L142="",$L142="-"),"",VLOOKUP($G142,為替!$A:$AX,$L142,FALSE)))</f>
        <v/>
      </c>
      <c r="N142" s="204" t="str">
        <f t="shared" si="16"/>
        <v/>
      </c>
      <c r="O142" s="205" t="str">
        <f t="shared" si="12"/>
        <v/>
      </c>
      <c r="P142" s="206" t="str">
        <f t="shared" si="17"/>
        <v/>
      </c>
    </row>
    <row r="143" spans="3:16" x14ac:dyDescent="0.4">
      <c r="C143" s="199"/>
      <c r="D143" s="200"/>
      <c r="E143" s="201"/>
      <c r="F143" s="199"/>
      <c r="H143" s="202"/>
      <c r="I143" s="185" t="str">
        <f t="shared" si="13"/>
        <v/>
      </c>
      <c r="J143" s="203" t="str">
        <f>IF($H143="USD",IF(OR($I143="",$I143="-"),"",VLOOKUP($G143,為替!$A:$AX,$I143,FALSE))+$J$3,IF(OR($I143="",$I143="-"),"",VLOOKUP($G143,為替!$A:$AX,$I143,FALSE)))</f>
        <v/>
      </c>
      <c r="K143" s="204" t="str">
        <f t="shared" si="14"/>
        <v/>
      </c>
      <c r="L143" s="188" t="str">
        <f t="shared" si="15"/>
        <v/>
      </c>
      <c r="M143" s="203" t="str">
        <f>IF($H143="USD",IF(OR($L143="",$L143="-"),"",VLOOKUP($G143,為替!$A:$AX,$L143,FALSE))+$K$3,IF(OR($L143="",$L143="-"),"",VLOOKUP($G143,為替!$A:$AX,$L143,FALSE)))</f>
        <v/>
      </c>
      <c r="N143" s="204" t="str">
        <f t="shared" si="16"/>
        <v/>
      </c>
      <c r="O143" s="205" t="str">
        <f t="shared" si="12"/>
        <v/>
      </c>
      <c r="P143" s="206" t="str">
        <f t="shared" si="17"/>
        <v/>
      </c>
    </row>
    <row r="144" spans="3:16" x14ac:dyDescent="0.4">
      <c r="C144" s="199"/>
      <c r="D144" s="200"/>
      <c r="E144" s="201"/>
      <c r="F144" s="199"/>
      <c r="H144" s="202"/>
      <c r="I144" s="185" t="str">
        <f t="shared" si="13"/>
        <v/>
      </c>
      <c r="J144" s="203" t="str">
        <f>IF($H144="USD",IF(OR($I144="",$I144="-"),"",VLOOKUP($G144,為替!$A:$AX,$I144,FALSE))+$J$3,IF(OR($I144="",$I144="-"),"",VLOOKUP($G144,為替!$A:$AX,$I144,FALSE)))</f>
        <v/>
      </c>
      <c r="K144" s="204" t="str">
        <f t="shared" si="14"/>
        <v/>
      </c>
      <c r="L144" s="188" t="str">
        <f t="shared" si="15"/>
        <v/>
      </c>
      <c r="M144" s="203" t="str">
        <f>IF($H144="USD",IF(OR($L144="",$L144="-"),"",VLOOKUP($G144,為替!$A:$AX,$L144,FALSE))+$K$3,IF(OR($L144="",$L144="-"),"",VLOOKUP($G144,為替!$A:$AX,$L144,FALSE)))</f>
        <v/>
      </c>
      <c r="N144" s="204" t="str">
        <f t="shared" si="16"/>
        <v/>
      </c>
      <c r="O144" s="205" t="str">
        <f t="shared" si="12"/>
        <v/>
      </c>
      <c r="P144" s="206" t="str">
        <f t="shared" si="17"/>
        <v/>
      </c>
    </row>
    <row r="145" spans="3:16" x14ac:dyDescent="0.4">
      <c r="C145" s="199"/>
      <c r="D145" s="200"/>
      <c r="E145" s="201"/>
      <c r="F145" s="199"/>
      <c r="H145" s="202"/>
      <c r="I145" s="185" t="str">
        <f t="shared" si="13"/>
        <v/>
      </c>
      <c r="J145" s="203" t="str">
        <f>IF($H145="USD",IF(OR($I145="",$I145="-"),"",VLOOKUP($G145,為替!$A:$AX,$I145,FALSE))+$J$3,IF(OR($I145="",$I145="-"),"",VLOOKUP($G145,為替!$A:$AX,$I145,FALSE)))</f>
        <v/>
      </c>
      <c r="K145" s="204" t="str">
        <f t="shared" si="14"/>
        <v/>
      </c>
      <c r="L145" s="188" t="str">
        <f t="shared" si="15"/>
        <v/>
      </c>
      <c r="M145" s="203" t="str">
        <f>IF($H145="USD",IF(OR($L145="",$L145="-"),"",VLOOKUP($G145,為替!$A:$AX,$L145,FALSE))+$K$3,IF(OR($L145="",$L145="-"),"",VLOOKUP($G145,為替!$A:$AX,$L145,FALSE)))</f>
        <v/>
      </c>
      <c r="N145" s="204" t="str">
        <f t="shared" si="16"/>
        <v/>
      </c>
      <c r="O145" s="205" t="str">
        <f t="shared" si="12"/>
        <v/>
      </c>
      <c r="P145" s="206" t="str">
        <f t="shared" si="17"/>
        <v/>
      </c>
    </row>
    <row r="146" spans="3:16" x14ac:dyDescent="0.4">
      <c r="C146" s="199"/>
      <c r="D146" s="200"/>
      <c r="E146" s="201"/>
      <c r="F146" s="199"/>
      <c r="H146" s="202"/>
      <c r="I146" s="185" t="str">
        <f t="shared" si="13"/>
        <v/>
      </c>
      <c r="J146" s="203" t="str">
        <f>IF($H146="USD",IF(OR($I146="",$I146="-"),"",VLOOKUP($G146,為替!$A:$AX,$I146,FALSE))+$J$3,IF(OR($I146="",$I146="-"),"",VLOOKUP($G146,為替!$A:$AX,$I146,FALSE)))</f>
        <v/>
      </c>
      <c r="K146" s="204" t="str">
        <f t="shared" si="14"/>
        <v/>
      </c>
      <c r="L146" s="188" t="str">
        <f t="shared" si="15"/>
        <v/>
      </c>
      <c r="M146" s="203" t="str">
        <f>IF($H146="USD",IF(OR($L146="",$L146="-"),"",VLOOKUP($G146,為替!$A:$AX,$L146,FALSE))+$K$3,IF(OR($L146="",$L146="-"),"",VLOOKUP($G146,為替!$A:$AX,$L146,FALSE)))</f>
        <v/>
      </c>
      <c r="N146" s="204" t="str">
        <f t="shared" si="16"/>
        <v/>
      </c>
      <c r="O146" s="205" t="str">
        <f t="shared" si="12"/>
        <v/>
      </c>
      <c r="P146" s="206" t="str">
        <f t="shared" si="17"/>
        <v/>
      </c>
    </row>
    <row r="147" spans="3:16" x14ac:dyDescent="0.4">
      <c r="C147" s="199"/>
      <c r="D147" s="200"/>
      <c r="E147" s="201"/>
      <c r="F147" s="199"/>
      <c r="H147" s="202"/>
      <c r="I147" s="185" t="str">
        <f t="shared" si="13"/>
        <v/>
      </c>
      <c r="J147" s="203" t="str">
        <f>IF($H147="USD",IF(OR($I147="",$I147="-"),"",VLOOKUP($G147,為替!$A:$AX,$I147,FALSE))+$J$3,IF(OR($I147="",$I147="-"),"",VLOOKUP($G147,為替!$A:$AX,$I147,FALSE)))</f>
        <v/>
      </c>
      <c r="K147" s="204" t="str">
        <f t="shared" si="14"/>
        <v/>
      </c>
      <c r="L147" s="188" t="str">
        <f t="shared" si="15"/>
        <v/>
      </c>
      <c r="M147" s="203" t="str">
        <f>IF($H147="USD",IF(OR($L147="",$L147="-"),"",VLOOKUP($G147,為替!$A:$AX,$L147,FALSE))+$K$3,IF(OR($L147="",$L147="-"),"",VLOOKUP($G147,為替!$A:$AX,$L147,FALSE)))</f>
        <v/>
      </c>
      <c r="N147" s="204" t="str">
        <f t="shared" si="16"/>
        <v/>
      </c>
      <c r="O147" s="205" t="str">
        <f t="shared" si="12"/>
        <v/>
      </c>
      <c r="P147" s="206" t="str">
        <f t="shared" si="17"/>
        <v/>
      </c>
    </row>
    <row r="148" spans="3:16" x14ac:dyDescent="0.4">
      <c r="C148" s="199"/>
      <c r="D148" s="200"/>
      <c r="E148" s="201"/>
      <c r="F148" s="199"/>
      <c r="H148" s="202"/>
      <c r="I148" s="185" t="str">
        <f t="shared" si="13"/>
        <v/>
      </c>
      <c r="J148" s="203" t="str">
        <f>IF($H148="USD",IF(OR($I148="",$I148="-"),"",VLOOKUP($G148,為替!$A:$AX,$I148,FALSE))+$J$3,IF(OR($I148="",$I148="-"),"",VLOOKUP($G148,為替!$A:$AX,$I148,FALSE)))</f>
        <v/>
      </c>
      <c r="K148" s="204" t="str">
        <f t="shared" si="14"/>
        <v/>
      </c>
      <c r="L148" s="188" t="str">
        <f t="shared" si="15"/>
        <v/>
      </c>
      <c r="M148" s="203" t="str">
        <f>IF($H148="USD",IF(OR($L148="",$L148="-"),"",VLOOKUP($G148,為替!$A:$AX,$L148,FALSE))+$K$3,IF(OR($L148="",$L148="-"),"",VLOOKUP($G148,為替!$A:$AX,$L148,FALSE)))</f>
        <v/>
      </c>
      <c r="N148" s="204" t="str">
        <f t="shared" si="16"/>
        <v/>
      </c>
      <c r="O148" s="205" t="str">
        <f t="shared" si="12"/>
        <v/>
      </c>
      <c r="P148" s="206" t="str">
        <f t="shared" si="17"/>
        <v/>
      </c>
    </row>
    <row r="149" spans="3:16" x14ac:dyDescent="0.4">
      <c r="C149" s="199"/>
      <c r="D149" s="200"/>
      <c r="E149" s="201"/>
      <c r="F149" s="199"/>
      <c r="H149" s="202"/>
      <c r="I149" s="185" t="str">
        <f t="shared" si="13"/>
        <v/>
      </c>
      <c r="J149" s="203" t="str">
        <f>IF($H149="USD",IF(OR($I149="",$I149="-"),"",VLOOKUP($G149,為替!$A:$AX,$I149,FALSE))+$J$3,IF(OR($I149="",$I149="-"),"",VLOOKUP($G149,為替!$A:$AX,$I149,FALSE)))</f>
        <v/>
      </c>
      <c r="K149" s="204" t="str">
        <f t="shared" si="14"/>
        <v/>
      </c>
      <c r="L149" s="188" t="str">
        <f t="shared" si="15"/>
        <v/>
      </c>
      <c r="M149" s="203" t="str">
        <f>IF($H149="USD",IF(OR($L149="",$L149="-"),"",VLOOKUP($G149,為替!$A:$AX,$L149,FALSE))+$K$3,IF(OR($L149="",$L149="-"),"",VLOOKUP($G149,為替!$A:$AX,$L149,FALSE)))</f>
        <v/>
      </c>
      <c r="N149" s="204" t="str">
        <f t="shared" si="16"/>
        <v/>
      </c>
      <c r="O149" s="205" t="str">
        <f t="shared" si="12"/>
        <v/>
      </c>
      <c r="P149" s="206" t="str">
        <f t="shared" si="17"/>
        <v/>
      </c>
    </row>
    <row r="150" spans="3:16" x14ac:dyDescent="0.4">
      <c r="C150" s="199"/>
      <c r="D150" s="200"/>
      <c r="E150" s="201"/>
      <c r="F150" s="199"/>
      <c r="H150" s="202"/>
      <c r="I150" s="185" t="str">
        <f t="shared" si="13"/>
        <v/>
      </c>
      <c r="J150" s="203" t="str">
        <f>IF($H150="USD",IF(OR($I150="",$I150="-"),"",VLOOKUP($G150,為替!$A:$AX,$I150,FALSE))+$J$3,IF(OR($I150="",$I150="-"),"",VLOOKUP($G150,為替!$A:$AX,$I150,FALSE)))</f>
        <v/>
      </c>
      <c r="K150" s="204" t="str">
        <f t="shared" si="14"/>
        <v/>
      </c>
      <c r="L150" s="188" t="str">
        <f t="shared" si="15"/>
        <v/>
      </c>
      <c r="M150" s="203" t="str">
        <f>IF($H150="USD",IF(OR($L150="",$L150="-"),"",VLOOKUP($G150,為替!$A:$AX,$L150,FALSE))+$K$3,IF(OR($L150="",$L150="-"),"",VLOOKUP($G150,為替!$A:$AX,$L150,FALSE)))</f>
        <v/>
      </c>
      <c r="N150" s="204" t="str">
        <f t="shared" si="16"/>
        <v/>
      </c>
      <c r="O150" s="205" t="str">
        <f t="shared" si="12"/>
        <v/>
      </c>
      <c r="P150" s="206" t="str">
        <f t="shared" si="17"/>
        <v/>
      </c>
    </row>
    <row r="151" spans="3:16" x14ac:dyDescent="0.4">
      <c r="C151" s="199"/>
      <c r="D151" s="200"/>
      <c r="E151" s="201"/>
      <c r="F151" s="199"/>
      <c r="H151" s="202"/>
      <c r="I151" s="185" t="str">
        <f t="shared" si="13"/>
        <v/>
      </c>
      <c r="J151" s="203" t="str">
        <f>IF($H151="USD",IF(OR($I151="",$I151="-"),"",VLOOKUP($G151,為替!$A:$AX,$I151,FALSE))+$J$3,IF(OR($I151="",$I151="-"),"",VLOOKUP($G151,為替!$A:$AX,$I151,FALSE)))</f>
        <v/>
      </c>
      <c r="K151" s="204" t="str">
        <f t="shared" si="14"/>
        <v/>
      </c>
      <c r="L151" s="188" t="str">
        <f t="shared" si="15"/>
        <v/>
      </c>
      <c r="M151" s="203" t="str">
        <f>IF($H151="USD",IF(OR($L151="",$L151="-"),"",VLOOKUP($G151,為替!$A:$AX,$L151,FALSE))+$K$3,IF(OR($L151="",$L151="-"),"",VLOOKUP($G151,為替!$A:$AX,$L151,FALSE)))</f>
        <v/>
      </c>
      <c r="N151" s="204" t="str">
        <f t="shared" si="16"/>
        <v/>
      </c>
      <c r="O151" s="205" t="str">
        <f t="shared" si="12"/>
        <v/>
      </c>
      <c r="P151" s="206" t="str">
        <f t="shared" si="17"/>
        <v/>
      </c>
    </row>
    <row r="152" spans="3:16" x14ac:dyDescent="0.4">
      <c r="C152" s="199"/>
      <c r="D152" s="200"/>
      <c r="E152" s="201"/>
      <c r="F152" s="199"/>
      <c r="H152" s="202"/>
      <c r="I152" s="185" t="str">
        <f t="shared" si="13"/>
        <v/>
      </c>
      <c r="J152" s="203" t="str">
        <f>IF($H152="USD",IF(OR($I152="",$I152="-"),"",VLOOKUP($G152,為替!$A:$AX,$I152,FALSE))+$J$3,IF(OR($I152="",$I152="-"),"",VLOOKUP($G152,為替!$A:$AX,$I152,FALSE)))</f>
        <v/>
      </c>
      <c r="K152" s="204" t="str">
        <f t="shared" si="14"/>
        <v/>
      </c>
      <c r="L152" s="188" t="str">
        <f t="shared" si="15"/>
        <v/>
      </c>
      <c r="M152" s="203" t="str">
        <f>IF($H152="USD",IF(OR($L152="",$L152="-"),"",VLOOKUP($G152,為替!$A:$AX,$L152,FALSE))+$K$3,IF(OR($L152="",$L152="-"),"",VLOOKUP($G152,為替!$A:$AX,$L152,FALSE)))</f>
        <v/>
      </c>
      <c r="N152" s="204" t="str">
        <f t="shared" si="16"/>
        <v/>
      </c>
      <c r="O152" s="205" t="str">
        <f t="shared" si="12"/>
        <v/>
      </c>
      <c r="P152" s="206" t="str">
        <f t="shared" si="17"/>
        <v/>
      </c>
    </row>
    <row r="153" spans="3:16" x14ac:dyDescent="0.4">
      <c r="C153" s="199"/>
      <c r="D153" s="200"/>
      <c r="E153" s="201"/>
      <c r="F153" s="199"/>
      <c r="H153" s="202"/>
      <c r="I153" s="185" t="str">
        <f t="shared" si="13"/>
        <v/>
      </c>
      <c r="J153" s="203" t="str">
        <f>IF($H153="USD",IF(OR($I153="",$I153="-"),"",VLOOKUP($G153,為替!$A:$AX,$I153,FALSE))+$J$3,IF(OR($I153="",$I153="-"),"",VLOOKUP($G153,為替!$A:$AX,$I153,FALSE)))</f>
        <v/>
      </c>
      <c r="K153" s="204" t="str">
        <f t="shared" si="14"/>
        <v/>
      </c>
      <c r="L153" s="188" t="str">
        <f t="shared" si="15"/>
        <v/>
      </c>
      <c r="M153" s="203" t="str">
        <f>IF($H153="USD",IF(OR($L153="",$L153="-"),"",VLOOKUP($G153,為替!$A:$AX,$L153,FALSE))+$K$3,IF(OR($L153="",$L153="-"),"",VLOOKUP($G153,為替!$A:$AX,$L153,FALSE)))</f>
        <v/>
      </c>
      <c r="N153" s="204" t="str">
        <f t="shared" si="16"/>
        <v/>
      </c>
      <c r="O153" s="205" t="str">
        <f t="shared" si="12"/>
        <v/>
      </c>
      <c r="P153" s="206" t="str">
        <f t="shared" si="17"/>
        <v/>
      </c>
    </row>
    <row r="154" spans="3:16" x14ac:dyDescent="0.4">
      <c r="C154" s="199"/>
      <c r="D154" s="200"/>
      <c r="E154" s="201"/>
      <c r="F154" s="199"/>
      <c r="H154" s="202"/>
      <c r="I154" s="185" t="str">
        <f t="shared" si="13"/>
        <v/>
      </c>
      <c r="J154" s="203" t="str">
        <f>IF($H154="USD",IF(OR($I154="",$I154="-"),"",VLOOKUP($G154,為替!$A:$AX,$I154,FALSE))+$J$3,IF(OR($I154="",$I154="-"),"",VLOOKUP($G154,為替!$A:$AX,$I154,FALSE)))</f>
        <v/>
      </c>
      <c r="K154" s="204" t="str">
        <f t="shared" si="14"/>
        <v/>
      </c>
      <c r="L154" s="188" t="str">
        <f t="shared" si="15"/>
        <v/>
      </c>
      <c r="M154" s="203" t="str">
        <f>IF($H154="USD",IF(OR($L154="",$L154="-"),"",VLOOKUP($G154,為替!$A:$AX,$L154,FALSE))+$K$3,IF(OR($L154="",$L154="-"),"",VLOOKUP($G154,為替!$A:$AX,$L154,FALSE)))</f>
        <v/>
      </c>
      <c r="N154" s="204" t="str">
        <f t="shared" si="16"/>
        <v/>
      </c>
      <c r="O154" s="205" t="str">
        <f t="shared" si="12"/>
        <v/>
      </c>
      <c r="P154" s="206" t="str">
        <f t="shared" si="17"/>
        <v/>
      </c>
    </row>
    <row r="155" spans="3:16" x14ac:dyDescent="0.4">
      <c r="C155" s="199"/>
      <c r="D155" s="200"/>
      <c r="E155" s="201"/>
      <c r="F155" s="199"/>
      <c r="H155" s="202"/>
      <c r="I155" s="185" t="str">
        <f t="shared" si="13"/>
        <v/>
      </c>
      <c r="J155" s="203" t="str">
        <f>IF($H155="USD",IF(OR($I155="",$I155="-"),"",VLOOKUP($G155,為替!$A:$AX,$I155,FALSE))+$J$3,IF(OR($I155="",$I155="-"),"",VLOOKUP($G155,為替!$A:$AX,$I155,FALSE)))</f>
        <v/>
      </c>
      <c r="K155" s="204" t="str">
        <f t="shared" si="14"/>
        <v/>
      </c>
      <c r="L155" s="188" t="str">
        <f t="shared" si="15"/>
        <v/>
      </c>
      <c r="M155" s="203" t="str">
        <f>IF($H155="USD",IF(OR($L155="",$L155="-"),"",VLOOKUP($G155,為替!$A:$AX,$L155,FALSE))+$K$3,IF(OR($L155="",$L155="-"),"",VLOOKUP($G155,為替!$A:$AX,$L155,FALSE)))</f>
        <v/>
      </c>
      <c r="N155" s="204" t="str">
        <f t="shared" si="16"/>
        <v/>
      </c>
      <c r="O155" s="205" t="str">
        <f t="shared" si="12"/>
        <v/>
      </c>
      <c r="P155" s="206" t="str">
        <f t="shared" si="17"/>
        <v/>
      </c>
    </row>
    <row r="156" spans="3:16" x14ac:dyDescent="0.4">
      <c r="C156" s="199"/>
      <c r="D156" s="200"/>
      <c r="E156" s="201"/>
      <c r="F156" s="199"/>
      <c r="H156" s="202"/>
      <c r="I156" s="185" t="str">
        <f t="shared" si="13"/>
        <v/>
      </c>
      <c r="J156" s="203" t="str">
        <f>IF($H156="USD",IF(OR($I156="",$I156="-"),"",VLOOKUP($G156,為替!$A:$AX,$I156,FALSE))+$J$3,IF(OR($I156="",$I156="-"),"",VLOOKUP($G156,為替!$A:$AX,$I156,FALSE)))</f>
        <v/>
      </c>
      <c r="K156" s="204" t="str">
        <f t="shared" si="14"/>
        <v/>
      </c>
      <c r="L156" s="188" t="str">
        <f t="shared" si="15"/>
        <v/>
      </c>
      <c r="M156" s="203" t="str">
        <f>IF($H156="USD",IF(OR($L156="",$L156="-"),"",VLOOKUP($G156,為替!$A:$AX,$L156,FALSE))+$K$3,IF(OR($L156="",$L156="-"),"",VLOOKUP($G156,為替!$A:$AX,$L156,FALSE)))</f>
        <v/>
      </c>
      <c r="N156" s="204" t="str">
        <f t="shared" si="16"/>
        <v/>
      </c>
      <c r="O156" s="205" t="str">
        <f t="shared" si="12"/>
        <v/>
      </c>
      <c r="P156" s="206" t="str">
        <f t="shared" si="17"/>
        <v/>
      </c>
    </row>
    <row r="157" spans="3:16" x14ac:dyDescent="0.4">
      <c r="C157" s="199"/>
      <c r="D157" s="200"/>
      <c r="E157" s="201"/>
      <c r="F157" s="199"/>
      <c r="H157" s="202"/>
      <c r="I157" s="185" t="str">
        <f t="shared" si="13"/>
        <v/>
      </c>
      <c r="J157" s="203" t="str">
        <f>IF($H157="USD",IF(OR($I157="",$I157="-"),"",VLOOKUP($G157,為替!$A:$AX,$I157,FALSE))+$J$3,IF(OR($I157="",$I157="-"),"",VLOOKUP($G157,為替!$A:$AX,$I157,FALSE)))</f>
        <v/>
      </c>
      <c r="K157" s="204" t="str">
        <f t="shared" si="14"/>
        <v/>
      </c>
      <c r="L157" s="188" t="str">
        <f t="shared" si="15"/>
        <v/>
      </c>
      <c r="M157" s="203" t="str">
        <f>IF($H157="USD",IF(OR($L157="",$L157="-"),"",VLOOKUP($G157,為替!$A:$AX,$L157,FALSE))+$K$3,IF(OR($L157="",$L157="-"),"",VLOOKUP($G157,為替!$A:$AX,$L157,FALSE)))</f>
        <v/>
      </c>
      <c r="N157" s="204" t="str">
        <f t="shared" si="16"/>
        <v/>
      </c>
      <c r="O157" s="205" t="str">
        <f t="shared" si="12"/>
        <v/>
      </c>
      <c r="P157" s="206" t="str">
        <f t="shared" si="17"/>
        <v/>
      </c>
    </row>
    <row r="158" spans="3:16" x14ac:dyDescent="0.4">
      <c r="C158" s="199"/>
      <c r="D158" s="200"/>
      <c r="E158" s="201"/>
      <c r="F158" s="199"/>
      <c r="H158" s="202"/>
      <c r="I158" s="185" t="str">
        <f t="shared" si="13"/>
        <v/>
      </c>
      <c r="J158" s="203" t="str">
        <f>IF($H158="USD",IF(OR($I158="",$I158="-"),"",VLOOKUP($G158,為替!$A:$AX,$I158,FALSE))+$J$3,IF(OR($I158="",$I158="-"),"",VLOOKUP($G158,為替!$A:$AX,$I158,FALSE)))</f>
        <v/>
      </c>
      <c r="K158" s="204" t="str">
        <f t="shared" si="14"/>
        <v/>
      </c>
      <c r="L158" s="188" t="str">
        <f t="shared" si="15"/>
        <v/>
      </c>
      <c r="M158" s="203" t="str">
        <f>IF($H158="USD",IF(OR($L158="",$L158="-"),"",VLOOKUP($G158,為替!$A:$AX,$L158,FALSE))+$K$3,IF(OR($L158="",$L158="-"),"",VLOOKUP($G158,為替!$A:$AX,$L158,FALSE)))</f>
        <v/>
      </c>
      <c r="N158" s="204" t="str">
        <f t="shared" si="16"/>
        <v/>
      </c>
      <c r="O158" s="205" t="str">
        <f t="shared" si="12"/>
        <v/>
      </c>
      <c r="P158" s="206" t="str">
        <f t="shared" si="17"/>
        <v/>
      </c>
    </row>
    <row r="159" spans="3:16" x14ac:dyDescent="0.4">
      <c r="C159" s="199"/>
      <c r="D159" s="200"/>
      <c r="E159" s="201"/>
      <c r="F159" s="199"/>
      <c r="H159" s="202"/>
      <c r="I159" s="185" t="str">
        <f t="shared" si="13"/>
        <v/>
      </c>
      <c r="J159" s="203" t="str">
        <f>IF($H159="USD",IF(OR($I159="",$I159="-"),"",VLOOKUP($G159,為替!$A:$AX,$I159,FALSE))+$J$3,IF(OR($I159="",$I159="-"),"",VLOOKUP($G159,為替!$A:$AX,$I159,FALSE)))</f>
        <v/>
      </c>
      <c r="K159" s="204" t="str">
        <f t="shared" si="14"/>
        <v/>
      </c>
      <c r="L159" s="188" t="str">
        <f t="shared" si="15"/>
        <v/>
      </c>
      <c r="M159" s="203" t="str">
        <f>IF($H159="USD",IF(OR($L159="",$L159="-"),"",VLOOKUP($G159,為替!$A:$AX,$L159,FALSE))+$K$3,IF(OR($L159="",$L159="-"),"",VLOOKUP($G159,為替!$A:$AX,$L159,FALSE)))</f>
        <v/>
      </c>
      <c r="N159" s="204" t="str">
        <f t="shared" si="16"/>
        <v/>
      </c>
      <c r="O159" s="205" t="str">
        <f t="shared" si="12"/>
        <v/>
      </c>
      <c r="P159" s="206" t="str">
        <f t="shared" si="17"/>
        <v/>
      </c>
    </row>
    <row r="160" spans="3:16" x14ac:dyDescent="0.4">
      <c r="C160" s="199"/>
      <c r="D160" s="200"/>
      <c r="E160" s="201"/>
      <c r="F160" s="199"/>
      <c r="H160" s="202"/>
      <c r="I160" s="185" t="str">
        <f t="shared" si="13"/>
        <v/>
      </c>
      <c r="J160" s="203" t="str">
        <f>IF($H160="USD",IF(OR($I160="",$I160="-"),"",VLOOKUP($G160,為替!$A:$AX,$I160,FALSE))+$J$3,IF(OR($I160="",$I160="-"),"",VLOOKUP($G160,為替!$A:$AX,$I160,FALSE)))</f>
        <v/>
      </c>
      <c r="K160" s="204" t="str">
        <f t="shared" si="14"/>
        <v/>
      </c>
      <c r="L160" s="188" t="str">
        <f t="shared" si="15"/>
        <v/>
      </c>
      <c r="M160" s="203" t="str">
        <f>IF($H160="USD",IF(OR($L160="",$L160="-"),"",VLOOKUP($G160,為替!$A:$AX,$L160,FALSE))+$K$3,IF(OR($L160="",$L160="-"),"",VLOOKUP($G160,為替!$A:$AX,$L160,FALSE)))</f>
        <v/>
      </c>
      <c r="N160" s="204" t="str">
        <f t="shared" si="16"/>
        <v/>
      </c>
      <c r="O160" s="205" t="str">
        <f t="shared" si="12"/>
        <v/>
      </c>
      <c r="P160" s="206" t="str">
        <f t="shared" si="17"/>
        <v/>
      </c>
    </row>
    <row r="161" spans="3:16" x14ac:dyDescent="0.4">
      <c r="C161" s="199"/>
      <c r="D161" s="200"/>
      <c r="E161" s="201"/>
      <c r="F161" s="199"/>
      <c r="H161" s="202"/>
      <c r="I161" s="185" t="str">
        <f t="shared" si="13"/>
        <v/>
      </c>
      <c r="J161" s="203" t="str">
        <f>IF($H161="USD",IF(OR($I161="",$I161="-"),"",VLOOKUP($G161,為替!$A:$AX,$I161,FALSE))+$J$3,IF(OR($I161="",$I161="-"),"",VLOOKUP($G161,為替!$A:$AX,$I161,FALSE)))</f>
        <v/>
      </c>
      <c r="K161" s="204" t="str">
        <f t="shared" si="14"/>
        <v/>
      </c>
      <c r="L161" s="188" t="str">
        <f t="shared" si="15"/>
        <v/>
      </c>
      <c r="M161" s="203" t="str">
        <f>IF($H161="USD",IF(OR($L161="",$L161="-"),"",VLOOKUP($G161,為替!$A:$AX,$L161,FALSE))+$K$3,IF(OR($L161="",$L161="-"),"",VLOOKUP($G161,為替!$A:$AX,$L161,FALSE)))</f>
        <v/>
      </c>
      <c r="N161" s="204" t="str">
        <f t="shared" si="16"/>
        <v/>
      </c>
      <c r="O161" s="205" t="str">
        <f t="shared" si="12"/>
        <v/>
      </c>
      <c r="P161" s="206" t="str">
        <f t="shared" si="17"/>
        <v/>
      </c>
    </row>
    <row r="162" spans="3:16" x14ac:dyDescent="0.4">
      <c r="C162" s="199"/>
      <c r="D162" s="200"/>
      <c r="E162" s="201"/>
      <c r="F162" s="199"/>
      <c r="H162" s="202"/>
      <c r="I162" s="185" t="str">
        <f t="shared" si="13"/>
        <v/>
      </c>
      <c r="J162" s="203" t="str">
        <f>IF($H162="USD",IF(OR($I162="",$I162="-"),"",VLOOKUP($G162,為替!$A:$AX,$I162,FALSE))+$J$3,IF(OR($I162="",$I162="-"),"",VLOOKUP($G162,為替!$A:$AX,$I162,FALSE)))</f>
        <v/>
      </c>
      <c r="K162" s="204" t="str">
        <f t="shared" si="14"/>
        <v/>
      </c>
      <c r="L162" s="188" t="str">
        <f t="shared" si="15"/>
        <v/>
      </c>
      <c r="M162" s="203" t="str">
        <f>IF($H162="USD",IF(OR($L162="",$L162="-"),"",VLOOKUP($G162,為替!$A:$AX,$L162,FALSE))+$K$3,IF(OR($L162="",$L162="-"),"",VLOOKUP($G162,為替!$A:$AX,$L162,FALSE)))</f>
        <v/>
      </c>
      <c r="N162" s="204" t="str">
        <f t="shared" si="16"/>
        <v/>
      </c>
      <c r="O162" s="205" t="str">
        <f t="shared" si="12"/>
        <v/>
      </c>
      <c r="P162" s="206" t="str">
        <f t="shared" si="17"/>
        <v/>
      </c>
    </row>
    <row r="163" spans="3:16" x14ac:dyDescent="0.4">
      <c r="C163" s="199"/>
      <c r="D163" s="200"/>
      <c r="E163" s="201"/>
      <c r="F163" s="199"/>
      <c r="H163" s="202"/>
      <c r="I163" s="185" t="str">
        <f t="shared" si="13"/>
        <v/>
      </c>
      <c r="J163" s="203" t="str">
        <f>IF($H163="USD",IF(OR($I163="",$I163="-"),"",VLOOKUP($G163,為替!$A:$AX,$I163,FALSE))+$J$3,IF(OR($I163="",$I163="-"),"",VLOOKUP($G163,為替!$A:$AX,$I163,FALSE)))</f>
        <v/>
      </c>
      <c r="K163" s="204" t="str">
        <f t="shared" si="14"/>
        <v/>
      </c>
      <c r="L163" s="188" t="str">
        <f t="shared" si="15"/>
        <v/>
      </c>
      <c r="M163" s="203" t="str">
        <f>IF($H163="USD",IF(OR($L163="",$L163="-"),"",VLOOKUP($G163,為替!$A:$AX,$L163,FALSE))+$K$3,IF(OR($L163="",$L163="-"),"",VLOOKUP($G163,為替!$A:$AX,$L163,FALSE)))</f>
        <v/>
      </c>
      <c r="N163" s="204" t="str">
        <f t="shared" si="16"/>
        <v/>
      </c>
      <c r="O163" s="205" t="str">
        <f t="shared" si="12"/>
        <v/>
      </c>
      <c r="P163" s="206" t="str">
        <f t="shared" si="17"/>
        <v/>
      </c>
    </row>
    <row r="164" spans="3:16" x14ac:dyDescent="0.4">
      <c r="C164" s="199"/>
      <c r="D164" s="200"/>
      <c r="E164" s="201"/>
      <c r="F164" s="199"/>
      <c r="H164" s="202"/>
      <c r="I164" s="185" t="str">
        <f t="shared" si="13"/>
        <v/>
      </c>
      <c r="J164" s="203" t="str">
        <f>IF($H164="USD",IF(OR($I164="",$I164="-"),"",VLOOKUP($G164,為替!$A:$AX,$I164,FALSE))+$J$3,IF(OR($I164="",$I164="-"),"",VLOOKUP($G164,為替!$A:$AX,$I164,FALSE)))</f>
        <v/>
      </c>
      <c r="K164" s="204" t="str">
        <f t="shared" si="14"/>
        <v/>
      </c>
      <c r="L164" s="188" t="str">
        <f t="shared" si="15"/>
        <v/>
      </c>
      <c r="M164" s="203" t="str">
        <f>IF($H164="USD",IF(OR($L164="",$L164="-"),"",VLOOKUP($G164,為替!$A:$AX,$L164,FALSE))+$K$3,IF(OR($L164="",$L164="-"),"",VLOOKUP($G164,為替!$A:$AX,$L164,FALSE)))</f>
        <v/>
      </c>
      <c r="N164" s="204" t="str">
        <f t="shared" si="16"/>
        <v/>
      </c>
      <c r="O164" s="205" t="str">
        <f t="shared" si="12"/>
        <v/>
      </c>
      <c r="P164" s="206" t="str">
        <f t="shared" si="17"/>
        <v/>
      </c>
    </row>
    <row r="165" spans="3:16" x14ac:dyDescent="0.4">
      <c r="C165" s="199"/>
      <c r="D165" s="200"/>
      <c r="E165" s="201"/>
      <c r="F165" s="199"/>
      <c r="H165" s="202"/>
      <c r="I165" s="185" t="str">
        <f t="shared" si="13"/>
        <v/>
      </c>
      <c r="J165" s="203" t="str">
        <f>IF($H165="USD",IF(OR($I165="",$I165="-"),"",VLOOKUP($G165,為替!$A:$AX,$I165,FALSE))+$J$3,IF(OR($I165="",$I165="-"),"",VLOOKUP($G165,為替!$A:$AX,$I165,FALSE)))</f>
        <v/>
      </c>
      <c r="K165" s="204" t="str">
        <f t="shared" si="14"/>
        <v/>
      </c>
      <c r="L165" s="188" t="str">
        <f t="shared" si="15"/>
        <v/>
      </c>
      <c r="M165" s="203" t="str">
        <f>IF($H165="USD",IF(OR($L165="",$L165="-"),"",VLOOKUP($G165,為替!$A:$AX,$L165,FALSE))+$K$3,IF(OR($L165="",$L165="-"),"",VLOOKUP($G165,為替!$A:$AX,$L165,FALSE)))</f>
        <v/>
      </c>
      <c r="N165" s="204" t="str">
        <f t="shared" si="16"/>
        <v/>
      </c>
      <c r="O165" s="205" t="str">
        <f t="shared" si="12"/>
        <v/>
      </c>
      <c r="P165" s="206" t="str">
        <f t="shared" si="17"/>
        <v/>
      </c>
    </row>
    <row r="166" spans="3:16" x14ac:dyDescent="0.4">
      <c r="C166" s="199"/>
      <c r="D166" s="200"/>
      <c r="E166" s="201"/>
      <c r="F166" s="199"/>
      <c r="H166" s="202"/>
      <c r="I166" s="185" t="str">
        <f t="shared" si="13"/>
        <v/>
      </c>
      <c r="J166" s="203" t="str">
        <f>IF($H166="USD",IF(OR($I166="",$I166="-"),"",VLOOKUP($G166,為替!$A:$AX,$I166,FALSE))+$J$3,IF(OR($I166="",$I166="-"),"",VLOOKUP($G166,為替!$A:$AX,$I166,FALSE)))</f>
        <v/>
      </c>
      <c r="K166" s="204" t="str">
        <f t="shared" si="14"/>
        <v/>
      </c>
      <c r="L166" s="188" t="str">
        <f t="shared" si="15"/>
        <v/>
      </c>
      <c r="M166" s="203" t="str">
        <f>IF($H166="USD",IF(OR($L166="",$L166="-"),"",VLOOKUP($G166,為替!$A:$AX,$L166,FALSE))+$K$3,IF(OR($L166="",$L166="-"),"",VLOOKUP($G166,為替!$A:$AX,$L166,FALSE)))</f>
        <v/>
      </c>
      <c r="N166" s="204" t="str">
        <f t="shared" si="16"/>
        <v/>
      </c>
      <c r="O166" s="205" t="str">
        <f t="shared" si="12"/>
        <v/>
      </c>
      <c r="P166" s="206" t="str">
        <f t="shared" si="17"/>
        <v/>
      </c>
    </row>
    <row r="167" spans="3:16" x14ac:dyDescent="0.4">
      <c r="C167" s="199"/>
      <c r="D167" s="200"/>
      <c r="E167" s="201"/>
      <c r="F167" s="199"/>
      <c r="H167" s="202"/>
      <c r="I167" s="185" t="str">
        <f t="shared" si="13"/>
        <v/>
      </c>
      <c r="J167" s="203" t="str">
        <f>IF($H167="USD",IF(OR($I167="",$I167="-"),"",VLOOKUP($G167,為替!$A:$AX,$I167,FALSE))+$J$3,IF(OR($I167="",$I167="-"),"",VLOOKUP($G167,為替!$A:$AX,$I167,FALSE)))</f>
        <v/>
      </c>
      <c r="K167" s="204" t="str">
        <f t="shared" si="14"/>
        <v/>
      </c>
      <c r="L167" s="188" t="str">
        <f t="shared" si="15"/>
        <v/>
      </c>
      <c r="M167" s="203" t="str">
        <f>IF($H167="USD",IF(OR($L167="",$L167="-"),"",VLOOKUP($G167,為替!$A:$AX,$L167,FALSE))+$K$3,IF(OR($L167="",$L167="-"),"",VLOOKUP($G167,為替!$A:$AX,$L167,FALSE)))</f>
        <v/>
      </c>
      <c r="N167" s="204" t="str">
        <f t="shared" si="16"/>
        <v/>
      </c>
      <c r="O167" s="205" t="str">
        <f t="shared" si="12"/>
        <v/>
      </c>
      <c r="P167" s="206" t="str">
        <f t="shared" si="17"/>
        <v/>
      </c>
    </row>
    <row r="168" spans="3:16" x14ac:dyDescent="0.4">
      <c r="C168" s="199"/>
      <c r="D168" s="200"/>
      <c r="E168" s="201"/>
      <c r="F168" s="199"/>
      <c r="H168" s="202"/>
      <c r="I168" s="185" t="str">
        <f t="shared" si="13"/>
        <v/>
      </c>
      <c r="J168" s="203" t="str">
        <f>IF($H168="USD",IF(OR($I168="",$I168="-"),"",VLOOKUP($G168,為替!$A:$AX,$I168,FALSE))+$J$3,IF(OR($I168="",$I168="-"),"",VLOOKUP($G168,為替!$A:$AX,$I168,FALSE)))</f>
        <v/>
      </c>
      <c r="K168" s="204" t="str">
        <f t="shared" si="14"/>
        <v/>
      </c>
      <c r="L168" s="188" t="str">
        <f t="shared" si="15"/>
        <v/>
      </c>
      <c r="M168" s="203" t="str">
        <f>IF($H168="USD",IF(OR($L168="",$L168="-"),"",VLOOKUP($G168,為替!$A:$AX,$L168,FALSE))+$K$3,IF(OR($L168="",$L168="-"),"",VLOOKUP($G168,為替!$A:$AX,$L168,FALSE)))</f>
        <v/>
      </c>
      <c r="N168" s="204" t="str">
        <f t="shared" si="16"/>
        <v/>
      </c>
      <c r="O168" s="205" t="str">
        <f t="shared" si="12"/>
        <v/>
      </c>
      <c r="P168" s="206" t="str">
        <f t="shared" si="17"/>
        <v/>
      </c>
    </row>
    <row r="169" spans="3:16" x14ac:dyDescent="0.4">
      <c r="C169" s="199"/>
      <c r="D169" s="200"/>
      <c r="E169" s="201"/>
      <c r="F169" s="199"/>
      <c r="H169" s="202"/>
      <c r="I169" s="185" t="str">
        <f t="shared" si="13"/>
        <v/>
      </c>
      <c r="J169" s="203" t="str">
        <f>IF($H169="USD",IF(OR($I169="",$I169="-"),"",VLOOKUP($G169,為替!$A:$AX,$I169,FALSE))+$J$3,IF(OR($I169="",$I169="-"),"",VLOOKUP($G169,為替!$A:$AX,$I169,FALSE)))</f>
        <v/>
      </c>
      <c r="K169" s="204" t="str">
        <f t="shared" si="14"/>
        <v/>
      </c>
      <c r="L169" s="188" t="str">
        <f t="shared" si="15"/>
        <v/>
      </c>
      <c r="M169" s="203" t="str">
        <f>IF($H169="USD",IF(OR($L169="",$L169="-"),"",VLOOKUP($G169,為替!$A:$AX,$L169,FALSE))+$K$3,IF(OR($L169="",$L169="-"),"",VLOOKUP($G169,為替!$A:$AX,$L169,FALSE)))</f>
        <v/>
      </c>
      <c r="N169" s="204" t="str">
        <f t="shared" si="16"/>
        <v/>
      </c>
      <c r="O169" s="205" t="str">
        <f t="shared" si="12"/>
        <v/>
      </c>
      <c r="P169" s="206" t="str">
        <f t="shared" si="17"/>
        <v/>
      </c>
    </row>
    <row r="170" spans="3:16" x14ac:dyDescent="0.4">
      <c r="C170" s="199"/>
      <c r="D170" s="200"/>
      <c r="E170" s="201"/>
      <c r="F170" s="199"/>
      <c r="H170" s="202"/>
      <c r="I170" s="185" t="str">
        <f t="shared" si="13"/>
        <v/>
      </c>
      <c r="J170" s="203" t="str">
        <f>IF($H170="USD",IF(OR($I170="",$I170="-"),"",VLOOKUP($G170,為替!$A:$AX,$I170,FALSE))+$J$3,IF(OR($I170="",$I170="-"),"",VLOOKUP($G170,為替!$A:$AX,$I170,FALSE)))</f>
        <v/>
      </c>
      <c r="K170" s="204" t="str">
        <f t="shared" si="14"/>
        <v/>
      </c>
      <c r="L170" s="188" t="str">
        <f t="shared" si="15"/>
        <v/>
      </c>
      <c r="M170" s="203" t="str">
        <f>IF($H170="USD",IF(OR($L170="",$L170="-"),"",VLOOKUP($G170,為替!$A:$AX,$L170,FALSE))+$K$3,IF(OR($L170="",$L170="-"),"",VLOOKUP($G170,為替!$A:$AX,$L170,FALSE)))</f>
        <v/>
      </c>
      <c r="N170" s="204" t="str">
        <f t="shared" si="16"/>
        <v/>
      </c>
      <c r="O170" s="205" t="str">
        <f t="shared" si="12"/>
        <v/>
      </c>
      <c r="P170" s="206" t="str">
        <f t="shared" si="17"/>
        <v/>
      </c>
    </row>
    <row r="171" spans="3:16" x14ac:dyDescent="0.4">
      <c r="C171" s="199"/>
      <c r="D171" s="200"/>
      <c r="E171" s="201"/>
      <c r="F171" s="199"/>
      <c r="H171" s="202"/>
      <c r="I171" s="185" t="str">
        <f t="shared" si="13"/>
        <v/>
      </c>
      <c r="J171" s="203" t="str">
        <f>IF($H171="USD",IF(OR($I171="",$I171="-"),"",VLOOKUP($G171,為替!$A:$AX,$I171,FALSE))+$J$3,IF(OR($I171="",$I171="-"),"",VLOOKUP($G171,為替!$A:$AX,$I171,FALSE)))</f>
        <v/>
      </c>
      <c r="K171" s="204" t="str">
        <f t="shared" si="14"/>
        <v/>
      </c>
      <c r="L171" s="188" t="str">
        <f t="shared" si="15"/>
        <v/>
      </c>
      <c r="M171" s="203" t="str">
        <f>IF($H171="USD",IF(OR($L171="",$L171="-"),"",VLOOKUP($G171,為替!$A:$AX,$L171,FALSE))+$K$3,IF(OR($L171="",$L171="-"),"",VLOOKUP($G171,為替!$A:$AX,$L171,FALSE)))</f>
        <v/>
      </c>
      <c r="N171" s="204" t="str">
        <f t="shared" si="16"/>
        <v/>
      </c>
      <c r="O171" s="205" t="str">
        <f t="shared" si="12"/>
        <v/>
      </c>
      <c r="P171" s="206" t="str">
        <f t="shared" si="17"/>
        <v/>
      </c>
    </row>
    <row r="172" spans="3:16" x14ac:dyDescent="0.4">
      <c r="C172" s="199"/>
      <c r="D172" s="200"/>
      <c r="E172" s="201"/>
      <c r="F172" s="199"/>
      <c r="H172" s="202"/>
      <c r="I172" s="185" t="str">
        <f t="shared" si="13"/>
        <v/>
      </c>
      <c r="J172" s="203" t="str">
        <f>IF($H172="USD",IF(OR($I172="",$I172="-"),"",VLOOKUP($G172,為替!$A:$AX,$I172,FALSE))+$J$3,IF(OR($I172="",$I172="-"),"",VLOOKUP($G172,為替!$A:$AX,$I172,FALSE)))</f>
        <v/>
      </c>
      <c r="K172" s="204" t="str">
        <f t="shared" si="14"/>
        <v/>
      </c>
      <c r="L172" s="188" t="str">
        <f t="shared" si="15"/>
        <v/>
      </c>
      <c r="M172" s="203" t="str">
        <f>IF($H172="USD",IF(OR($L172="",$L172="-"),"",VLOOKUP($G172,為替!$A:$AX,$L172,FALSE))+$K$3,IF(OR($L172="",$L172="-"),"",VLOOKUP($G172,為替!$A:$AX,$L172,FALSE)))</f>
        <v/>
      </c>
      <c r="N172" s="204" t="str">
        <f t="shared" si="16"/>
        <v/>
      </c>
      <c r="O172" s="205" t="str">
        <f t="shared" si="12"/>
        <v/>
      </c>
      <c r="P172" s="206" t="str">
        <f t="shared" si="17"/>
        <v/>
      </c>
    </row>
    <row r="173" spans="3:16" x14ac:dyDescent="0.4">
      <c r="C173" s="199"/>
      <c r="D173" s="200"/>
      <c r="E173" s="201"/>
      <c r="F173" s="199"/>
      <c r="H173" s="202"/>
      <c r="I173" s="185" t="str">
        <f t="shared" si="13"/>
        <v/>
      </c>
      <c r="J173" s="203" t="str">
        <f>IF($H173="USD",IF(OR($I173="",$I173="-"),"",VLOOKUP($G173,為替!$A:$AX,$I173,FALSE))+$J$3,IF(OR($I173="",$I173="-"),"",VLOOKUP($G173,為替!$A:$AX,$I173,FALSE)))</f>
        <v/>
      </c>
      <c r="K173" s="204" t="str">
        <f t="shared" si="14"/>
        <v/>
      </c>
      <c r="L173" s="188" t="str">
        <f t="shared" si="15"/>
        <v/>
      </c>
      <c r="M173" s="203" t="str">
        <f>IF($H173="USD",IF(OR($L173="",$L173="-"),"",VLOOKUP($G173,為替!$A:$AX,$L173,FALSE))+$K$3,IF(OR($L173="",$L173="-"),"",VLOOKUP($G173,為替!$A:$AX,$L173,FALSE)))</f>
        <v/>
      </c>
      <c r="N173" s="204" t="str">
        <f t="shared" si="16"/>
        <v/>
      </c>
      <c r="O173" s="205" t="str">
        <f t="shared" si="12"/>
        <v/>
      </c>
      <c r="P173" s="206" t="str">
        <f t="shared" si="17"/>
        <v/>
      </c>
    </row>
    <row r="174" spans="3:16" x14ac:dyDescent="0.4">
      <c r="C174" s="199"/>
      <c r="D174" s="200"/>
      <c r="E174" s="201"/>
      <c r="F174" s="199"/>
      <c r="H174" s="202"/>
      <c r="I174" s="185" t="str">
        <f t="shared" si="13"/>
        <v/>
      </c>
      <c r="J174" s="203" t="str">
        <f>IF($H174="USD",IF(OR($I174="",$I174="-"),"",VLOOKUP($G174,為替!$A:$AX,$I174,FALSE))+$J$3,IF(OR($I174="",$I174="-"),"",VLOOKUP($G174,為替!$A:$AX,$I174,FALSE)))</f>
        <v/>
      </c>
      <c r="K174" s="204" t="str">
        <f t="shared" si="14"/>
        <v/>
      </c>
      <c r="L174" s="188" t="str">
        <f t="shared" si="15"/>
        <v/>
      </c>
      <c r="M174" s="203" t="str">
        <f>IF($H174="USD",IF(OR($L174="",$L174="-"),"",VLOOKUP($G174,為替!$A:$AX,$L174,FALSE))+$K$3,IF(OR($L174="",$L174="-"),"",VLOOKUP($G174,為替!$A:$AX,$L174,FALSE)))</f>
        <v/>
      </c>
      <c r="N174" s="204" t="str">
        <f t="shared" si="16"/>
        <v/>
      </c>
      <c r="O174" s="205" t="str">
        <f t="shared" si="12"/>
        <v/>
      </c>
      <c r="P174" s="206" t="str">
        <f t="shared" si="17"/>
        <v/>
      </c>
    </row>
    <row r="175" spans="3:16" x14ac:dyDescent="0.4">
      <c r="C175" s="199"/>
      <c r="D175" s="200"/>
      <c r="E175" s="201"/>
      <c r="F175" s="199"/>
      <c r="H175" s="202"/>
      <c r="I175" s="185" t="str">
        <f t="shared" si="13"/>
        <v/>
      </c>
      <c r="J175" s="203" t="str">
        <f>IF($H175="USD",IF(OR($I175="",$I175="-"),"",VLOOKUP($G175,為替!$A:$AX,$I175,FALSE))+$J$3,IF(OR($I175="",$I175="-"),"",VLOOKUP($G175,為替!$A:$AX,$I175,FALSE)))</f>
        <v/>
      </c>
      <c r="K175" s="204" t="str">
        <f t="shared" si="14"/>
        <v/>
      </c>
      <c r="L175" s="188" t="str">
        <f t="shared" si="15"/>
        <v/>
      </c>
      <c r="M175" s="203" t="str">
        <f>IF($H175="USD",IF(OR($L175="",$L175="-"),"",VLOOKUP($G175,為替!$A:$AX,$L175,FALSE))+$K$3,IF(OR($L175="",$L175="-"),"",VLOOKUP($G175,為替!$A:$AX,$L175,FALSE)))</f>
        <v/>
      </c>
      <c r="N175" s="204" t="str">
        <f t="shared" si="16"/>
        <v/>
      </c>
      <c r="O175" s="205" t="str">
        <f t="shared" si="12"/>
        <v/>
      </c>
      <c r="P175" s="206" t="str">
        <f t="shared" si="17"/>
        <v/>
      </c>
    </row>
    <row r="176" spans="3:16" x14ac:dyDescent="0.4">
      <c r="C176" s="199"/>
      <c r="D176" s="200"/>
      <c r="E176" s="201"/>
      <c r="F176" s="199"/>
      <c r="H176" s="202"/>
      <c r="I176" s="185" t="str">
        <f t="shared" si="13"/>
        <v/>
      </c>
      <c r="J176" s="203" t="str">
        <f>IF($H176="USD",IF(OR($I176="",$I176="-"),"",VLOOKUP($G176,為替!$A:$AX,$I176,FALSE))+$J$3,IF(OR($I176="",$I176="-"),"",VLOOKUP($G176,為替!$A:$AX,$I176,FALSE)))</f>
        <v/>
      </c>
      <c r="K176" s="204" t="str">
        <f t="shared" si="14"/>
        <v/>
      </c>
      <c r="L176" s="188" t="str">
        <f t="shared" si="15"/>
        <v/>
      </c>
      <c r="M176" s="203" t="str">
        <f>IF($H176="USD",IF(OR($L176="",$L176="-"),"",VLOOKUP($G176,為替!$A:$AX,$L176,FALSE))+$K$3,IF(OR($L176="",$L176="-"),"",VLOOKUP($G176,為替!$A:$AX,$L176,FALSE)))</f>
        <v/>
      </c>
      <c r="N176" s="204" t="str">
        <f t="shared" si="16"/>
        <v/>
      </c>
      <c r="O176" s="205" t="str">
        <f t="shared" si="12"/>
        <v/>
      </c>
      <c r="P176" s="206" t="str">
        <f t="shared" si="17"/>
        <v/>
      </c>
    </row>
    <row r="177" spans="3:16" x14ac:dyDescent="0.4">
      <c r="C177" s="199"/>
      <c r="D177" s="200"/>
      <c r="E177" s="201"/>
      <c r="F177" s="199"/>
      <c r="H177" s="202"/>
      <c r="I177" s="185" t="str">
        <f t="shared" si="13"/>
        <v/>
      </c>
      <c r="J177" s="203" t="str">
        <f>IF($H177="USD",IF(OR($I177="",$I177="-"),"",VLOOKUP($G177,為替!$A:$AX,$I177,FALSE))+$J$3,IF(OR($I177="",$I177="-"),"",VLOOKUP($G177,為替!$A:$AX,$I177,FALSE)))</f>
        <v/>
      </c>
      <c r="K177" s="204" t="str">
        <f t="shared" si="14"/>
        <v/>
      </c>
      <c r="L177" s="188" t="str">
        <f t="shared" si="15"/>
        <v/>
      </c>
      <c r="M177" s="203" t="str">
        <f>IF($H177="USD",IF(OR($L177="",$L177="-"),"",VLOOKUP($G177,為替!$A:$AX,$L177,FALSE))+$K$3,IF(OR($L177="",$L177="-"),"",VLOOKUP($G177,為替!$A:$AX,$L177,FALSE)))</f>
        <v/>
      </c>
      <c r="N177" s="204" t="str">
        <f t="shared" si="16"/>
        <v/>
      </c>
      <c r="O177" s="205" t="str">
        <f t="shared" si="12"/>
        <v/>
      </c>
      <c r="P177" s="206" t="str">
        <f t="shared" si="17"/>
        <v/>
      </c>
    </row>
    <row r="178" spans="3:16" x14ac:dyDescent="0.4">
      <c r="C178" s="199"/>
      <c r="D178" s="200"/>
      <c r="E178" s="201"/>
      <c r="F178" s="199"/>
      <c r="H178" s="202"/>
      <c r="I178" s="185" t="str">
        <f t="shared" si="13"/>
        <v/>
      </c>
      <c r="J178" s="203" t="str">
        <f>IF($H178="USD",IF(OR($I178="",$I178="-"),"",VLOOKUP($G178,為替!$A:$AX,$I178,FALSE))+$J$3,IF(OR($I178="",$I178="-"),"",VLOOKUP($G178,為替!$A:$AX,$I178,FALSE)))</f>
        <v/>
      </c>
      <c r="K178" s="204" t="str">
        <f t="shared" si="14"/>
        <v/>
      </c>
      <c r="L178" s="188" t="str">
        <f t="shared" si="15"/>
        <v/>
      </c>
      <c r="M178" s="203" t="str">
        <f>IF($H178="USD",IF(OR($L178="",$L178="-"),"",VLOOKUP($G178,為替!$A:$AX,$L178,FALSE))+$K$3,IF(OR($L178="",$L178="-"),"",VLOOKUP($G178,為替!$A:$AX,$L178,FALSE)))</f>
        <v/>
      </c>
      <c r="N178" s="204" t="str">
        <f t="shared" si="16"/>
        <v/>
      </c>
      <c r="O178" s="205" t="str">
        <f t="shared" si="12"/>
        <v/>
      </c>
      <c r="P178" s="206" t="str">
        <f t="shared" si="17"/>
        <v/>
      </c>
    </row>
    <row r="179" spans="3:16" x14ac:dyDescent="0.4">
      <c r="C179" s="199"/>
      <c r="D179" s="200"/>
      <c r="E179" s="201"/>
      <c r="F179" s="199"/>
      <c r="H179" s="202"/>
      <c r="I179" s="185" t="str">
        <f t="shared" si="13"/>
        <v/>
      </c>
      <c r="J179" s="203" t="str">
        <f>IF($H179="USD",IF(OR($I179="",$I179="-"),"",VLOOKUP($G179,為替!$A:$AX,$I179,FALSE))+$J$3,IF(OR($I179="",$I179="-"),"",VLOOKUP($G179,為替!$A:$AX,$I179,FALSE)))</f>
        <v/>
      </c>
      <c r="K179" s="204" t="str">
        <f t="shared" si="14"/>
        <v/>
      </c>
      <c r="L179" s="188" t="str">
        <f t="shared" si="15"/>
        <v/>
      </c>
      <c r="M179" s="203" t="str">
        <f>IF($H179="USD",IF(OR($L179="",$L179="-"),"",VLOOKUP($G179,為替!$A:$AX,$L179,FALSE))+$K$3,IF(OR($L179="",$L179="-"),"",VLOOKUP($G179,為替!$A:$AX,$L179,FALSE)))</f>
        <v/>
      </c>
      <c r="N179" s="204" t="str">
        <f t="shared" si="16"/>
        <v/>
      </c>
      <c r="O179" s="205" t="str">
        <f t="shared" si="12"/>
        <v/>
      </c>
      <c r="P179" s="206" t="str">
        <f t="shared" si="17"/>
        <v/>
      </c>
    </row>
    <row r="180" spans="3:16" x14ac:dyDescent="0.4">
      <c r="C180" s="199"/>
      <c r="D180" s="200"/>
      <c r="E180" s="201"/>
      <c r="F180" s="199"/>
      <c r="H180" s="202"/>
      <c r="I180" s="185" t="str">
        <f t="shared" si="13"/>
        <v/>
      </c>
      <c r="J180" s="203" t="str">
        <f>IF($H180="USD",IF(OR($I180="",$I180="-"),"",VLOOKUP($G180,為替!$A:$AX,$I180,FALSE))+$J$3,IF(OR($I180="",$I180="-"),"",VLOOKUP($G180,為替!$A:$AX,$I180,FALSE)))</f>
        <v/>
      </c>
      <c r="K180" s="204" t="str">
        <f t="shared" si="14"/>
        <v/>
      </c>
      <c r="L180" s="188" t="str">
        <f t="shared" si="15"/>
        <v/>
      </c>
      <c r="M180" s="203" t="str">
        <f>IF($H180="USD",IF(OR($L180="",$L180="-"),"",VLOOKUP($G180,為替!$A:$AX,$L180,FALSE))+$K$3,IF(OR($L180="",$L180="-"),"",VLOOKUP($G180,為替!$A:$AX,$L180,FALSE)))</f>
        <v/>
      </c>
      <c r="N180" s="204" t="str">
        <f t="shared" si="16"/>
        <v/>
      </c>
      <c r="O180" s="205" t="str">
        <f t="shared" si="12"/>
        <v/>
      </c>
      <c r="P180" s="206" t="str">
        <f t="shared" si="17"/>
        <v/>
      </c>
    </row>
    <row r="181" spans="3:16" x14ac:dyDescent="0.4">
      <c r="C181" s="199"/>
      <c r="D181" s="200"/>
      <c r="E181" s="201"/>
      <c r="F181" s="199"/>
      <c r="H181" s="202"/>
      <c r="I181" s="185" t="str">
        <f t="shared" si="13"/>
        <v/>
      </c>
      <c r="J181" s="203" t="str">
        <f>IF($H181="USD",IF(OR($I181="",$I181="-"),"",VLOOKUP($G181,為替!$A:$AX,$I181,FALSE))+$J$3,IF(OR($I181="",$I181="-"),"",VLOOKUP($G181,為替!$A:$AX,$I181,FALSE)))</f>
        <v/>
      </c>
      <c r="K181" s="204" t="str">
        <f t="shared" si="14"/>
        <v/>
      </c>
      <c r="L181" s="188" t="str">
        <f t="shared" si="15"/>
        <v/>
      </c>
      <c r="M181" s="203" t="str">
        <f>IF($H181="USD",IF(OR($L181="",$L181="-"),"",VLOOKUP($G181,為替!$A:$AX,$L181,FALSE))+$K$3,IF(OR($L181="",$L181="-"),"",VLOOKUP($G181,為替!$A:$AX,$L181,FALSE)))</f>
        <v/>
      </c>
      <c r="N181" s="204" t="str">
        <f t="shared" si="16"/>
        <v/>
      </c>
      <c r="O181" s="205" t="str">
        <f t="shared" si="12"/>
        <v/>
      </c>
      <c r="P181" s="206" t="str">
        <f t="shared" si="17"/>
        <v/>
      </c>
    </row>
    <row r="182" spans="3:16" x14ac:dyDescent="0.4">
      <c r="C182" s="199"/>
      <c r="D182" s="200"/>
      <c r="E182" s="201"/>
      <c r="F182" s="199"/>
      <c r="H182" s="202"/>
      <c r="I182" s="185" t="str">
        <f t="shared" si="13"/>
        <v/>
      </c>
      <c r="J182" s="203" t="str">
        <f>IF($H182="USD",IF(OR($I182="",$I182="-"),"",VLOOKUP($G182,為替!$A:$AX,$I182,FALSE))+$J$3,IF(OR($I182="",$I182="-"),"",VLOOKUP($G182,為替!$A:$AX,$I182,FALSE)))</f>
        <v/>
      </c>
      <c r="K182" s="204" t="str">
        <f t="shared" si="14"/>
        <v/>
      </c>
      <c r="L182" s="188" t="str">
        <f t="shared" si="15"/>
        <v/>
      </c>
      <c r="M182" s="203" t="str">
        <f>IF($H182="USD",IF(OR($L182="",$L182="-"),"",VLOOKUP($G182,為替!$A:$AX,$L182,FALSE))+$K$3,IF(OR($L182="",$L182="-"),"",VLOOKUP($G182,為替!$A:$AX,$L182,FALSE)))</f>
        <v/>
      </c>
      <c r="N182" s="204" t="str">
        <f t="shared" si="16"/>
        <v/>
      </c>
      <c r="O182" s="205" t="str">
        <f t="shared" si="12"/>
        <v/>
      </c>
      <c r="P182" s="206" t="str">
        <f t="shared" si="17"/>
        <v/>
      </c>
    </row>
    <row r="183" spans="3:16" x14ac:dyDescent="0.4">
      <c r="C183" s="199"/>
      <c r="D183" s="200"/>
      <c r="E183" s="201"/>
      <c r="F183" s="199"/>
      <c r="H183" s="202"/>
      <c r="I183" s="185" t="str">
        <f t="shared" si="13"/>
        <v/>
      </c>
      <c r="J183" s="203" t="str">
        <f>IF($H183="USD",IF(OR($I183="",$I183="-"),"",VLOOKUP($G183,為替!$A:$AX,$I183,FALSE))+$J$3,IF(OR($I183="",$I183="-"),"",VLOOKUP($G183,為替!$A:$AX,$I183,FALSE)))</f>
        <v/>
      </c>
      <c r="K183" s="204" t="str">
        <f t="shared" si="14"/>
        <v/>
      </c>
      <c r="L183" s="188" t="str">
        <f t="shared" si="15"/>
        <v/>
      </c>
      <c r="M183" s="203" t="str">
        <f>IF($H183="USD",IF(OR($L183="",$L183="-"),"",VLOOKUP($G183,為替!$A:$AX,$L183,FALSE))+$K$3,IF(OR($L183="",$L183="-"),"",VLOOKUP($G183,為替!$A:$AX,$L183,FALSE)))</f>
        <v/>
      </c>
      <c r="N183" s="204" t="str">
        <f t="shared" si="16"/>
        <v/>
      </c>
      <c r="O183" s="205" t="str">
        <f t="shared" si="12"/>
        <v/>
      </c>
      <c r="P183" s="206" t="str">
        <f t="shared" si="17"/>
        <v/>
      </c>
    </row>
    <row r="184" spans="3:16" x14ac:dyDescent="0.4">
      <c r="C184" s="199"/>
      <c r="D184" s="200"/>
      <c r="E184" s="201"/>
      <c r="F184" s="199"/>
      <c r="H184" s="202"/>
      <c r="I184" s="185" t="str">
        <f t="shared" si="13"/>
        <v/>
      </c>
      <c r="J184" s="203" t="str">
        <f>IF($H184="USD",IF(OR($I184="",$I184="-"),"",VLOOKUP($G184,為替!$A:$AX,$I184,FALSE))+$J$3,IF(OR($I184="",$I184="-"),"",VLOOKUP($G184,為替!$A:$AX,$I184,FALSE)))</f>
        <v/>
      </c>
      <c r="K184" s="204" t="str">
        <f t="shared" si="14"/>
        <v/>
      </c>
      <c r="L184" s="188" t="str">
        <f t="shared" si="15"/>
        <v/>
      </c>
      <c r="M184" s="203" t="str">
        <f>IF($H184="USD",IF(OR($L184="",$L184="-"),"",VLOOKUP($G184,為替!$A:$AX,$L184,FALSE))+$K$3,IF(OR($L184="",$L184="-"),"",VLOOKUP($G184,為替!$A:$AX,$L184,FALSE)))</f>
        <v/>
      </c>
      <c r="N184" s="204" t="str">
        <f t="shared" si="16"/>
        <v/>
      </c>
      <c r="O184" s="205" t="str">
        <f t="shared" si="12"/>
        <v/>
      </c>
      <c r="P184" s="206" t="str">
        <f t="shared" si="17"/>
        <v/>
      </c>
    </row>
    <row r="185" spans="3:16" x14ac:dyDescent="0.4">
      <c r="C185" s="199"/>
      <c r="D185" s="200"/>
      <c r="E185" s="201"/>
      <c r="F185" s="199"/>
      <c r="H185" s="202"/>
      <c r="I185" s="185" t="str">
        <f t="shared" si="13"/>
        <v/>
      </c>
      <c r="J185" s="203" t="str">
        <f>IF($H185="USD",IF(OR($I185="",$I185="-"),"",VLOOKUP($G185,為替!$A:$AX,$I185,FALSE))+$J$3,IF(OR($I185="",$I185="-"),"",VLOOKUP($G185,為替!$A:$AX,$I185,FALSE)))</f>
        <v/>
      </c>
      <c r="K185" s="204" t="str">
        <f t="shared" si="14"/>
        <v/>
      </c>
      <c r="L185" s="188" t="str">
        <f t="shared" si="15"/>
        <v/>
      </c>
      <c r="M185" s="203" t="str">
        <f>IF($H185="USD",IF(OR($L185="",$L185="-"),"",VLOOKUP($G185,為替!$A:$AX,$L185,FALSE))+$K$3,IF(OR($L185="",$L185="-"),"",VLOOKUP($G185,為替!$A:$AX,$L185,FALSE)))</f>
        <v/>
      </c>
      <c r="N185" s="204" t="str">
        <f t="shared" si="16"/>
        <v/>
      </c>
      <c r="O185" s="205" t="str">
        <f t="shared" si="12"/>
        <v/>
      </c>
      <c r="P185" s="206" t="str">
        <f t="shared" si="17"/>
        <v/>
      </c>
    </row>
    <row r="186" spans="3:16" x14ac:dyDescent="0.4">
      <c r="C186" s="199"/>
      <c r="D186" s="200"/>
      <c r="E186" s="201"/>
      <c r="F186" s="199"/>
      <c r="H186" s="202"/>
      <c r="I186" s="185" t="str">
        <f t="shared" si="13"/>
        <v/>
      </c>
      <c r="J186" s="203" t="str">
        <f>IF($H186="USD",IF(OR($I186="",$I186="-"),"",VLOOKUP($G186,為替!$A:$AX,$I186,FALSE))+$J$3,IF(OR($I186="",$I186="-"),"",VLOOKUP($G186,為替!$A:$AX,$I186,FALSE)))</f>
        <v/>
      </c>
      <c r="K186" s="204" t="str">
        <f t="shared" si="14"/>
        <v/>
      </c>
      <c r="L186" s="188" t="str">
        <f t="shared" si="15"/>
        <v/>
      </c>
      <c r="M186" s="203" t="str">
        <f>IF($H186="USD",IF(OR($L186="",$L186="-"),"",VLOOKUP($G186,為替!$A:$AX,$L186,FALSE))+$K$3,IF(OR($L186="",$L186="-"),"",VLOOKUP($G186,為替!$A:$AX,$L186,FALSE)))</f>
        <v/>
      </c>
      <c r="N186" s="204" t="str">
        <f t="shared" si="16"/>
        <v/>
      </c>
      <c r="O186" s="205" t="str">
        <f t="shared" si="12"/>
        <v/>
      </c>
      <c r="P186" s="206" t="str">
        <f t="shared" si="17"/>
        <v/>
      </c>
    </row>
    <row r="187" spans="3:16" x14ac:dyDescent="0.4">
      <c r="C187" s="199"/>
      <c r="D187" s="200"/>
      <c r="E187" s="201"/>
      <c r="F187" s="199"/>
      <c r="H187" s="202"/>
      <c r="I187" s="185" t="str">
        <f t="shared" si="13"/>
        <v/>
      </c>
      <c r="J187" s="203" t="str">
        <f>IF($H187="USD",IF(OR($I187="",$I187="-"),"",VLOOKUP($G187,為替!$A:$AX,$I187,FALSE))+$J$3,IF(OR($I187="",$I187="-"),"",VLOOKUP($G187,為替!$A:$AX,$I187,FALSE)))</f>
        <v/>
      </c>
      <c r="K187" s="204" t="str">
        <f t="shared" si="14"/>
        <v/>
      </c>
      <c r="L187" s="188" t="str">
        <f t="shared" si="15"/>
        <v/>
      </c>
      <c r="M187" s="203" t="str">
        <f>IF($H187="USD",IF(OR($L187="",$L187="-"),"",VLOOKUP($G187,為替!$A:$AX,$L187,FALSE))+$K$3,IF(OR($L187="",$L187="-"),"",VLOOKUP($G187,為替!$A:$AX,$L187,FALSE)))</f>
        <v/>
      </c>
      <c r="N187" s="204" t="str">
        <f t="shared" si="16"/>
        <v/>
      </c>
      <c r="O187" s="205" t="str">
        <f t="shared" si="12"/>
        <v/>
      </c>
      <c r="P187" s="206" t="str">
        <f t="shared" si="17"/>
        <v/>
      </c>
    </row>
    <row r="188" spans="3:16" x14ac:dyDescent="0.4">
      <c r="C188" s="199"/>
      <c r="D188" s="200"/>
      <c r="E188" s="201"/>
      <c r="F188" s="199"/>
      <c r="H188" s="202"/>
      <c r="I188" s="185" t="str">
        <f t="shared" si="13"/>
        <v/>
      </c>
      <c r="J188" s="203" t="str">
        <f>IF($H188="USD",IF(OR($I188="",$I188="-"),"",VLOOKUP($G188,為替!$A:$AX,$I188,FALSE))+$J$3,IF(OR($I188="",$I188="-"),"",VLOOKUP($G188,為替!$A:$AX,$I188,FALSE)))</f>
        <v/>
      </c>
      <c r="K188" s="204" t="str">
        <f t="shared" si="14"/>
        <v/>
      </c>
      <c r="L188" s="188" t="str">
        <f t="shared" si="15"/>
        <v/>
      </c>
      <c r="M188" s="203" t="str">
        <f>IF($H188="USD",IF(OR($L188="",$L188="-"),"",VLOOKUP($G188,為替!$A:$AX,$L188,FALSE))+$K$3,IF(OR($L188="",$L188="-"),"",VLOOKUP($G188,為替!$A:$AX,$L188,FALSE)))</f>
        <v/>
      </c>
      <c r="N188" s="204" t="str">
        <f t="shared" si="16"/>
        <v/>
      </c>
      <c r="O188" s="205" t="str">
        <f t="shared" si="12"/>
        <v/>
      </c>
      <c r="P188" s="206" t="str">
        <f t="shared" si="17"/>
        <v/>
      </c>
    </row>
    <row r="189" spans="3:16" x14ac:dyDescent="0.4">
      <c r="C189" s="199"/>
      <c r="D189" s="200"/>
      <c r="E189" s="201"/>
      <c r="F189" s="199"/>
      <c r="H189" s="202"/>
      <c r="I189" s="185" t="str">
        <f t="shared" si="13"/>
        <v/>
      </c>
      <c r="J189" s="203" t="str">
        <f>IF($H189="USD",IF(OR($I189="",$I189="-"),"",VLOOKUP($G189,為替!$A:$AX,$I189,FALSE))+$J$3,IF(OR($I189="",$I189="-"),"",VLOOKUP($G189,為替!$A:$AX,$I189,FALSE)))</f>
        <v/>
      </c>
      <c r="K189" s="204" t="str">
        <f t="shared" si="14"/>
        <v/>
      </c>
      <c r="L189" s="188" t="str">
        <f t="shared" si="15"/>
        <v/>
      </c>
      <c r="M189" s="203" t="str">
        <f>IF($H189="USD",IF(OR($L189="",$L189="-"),"",VLOOKUP($G189,為替!$A:$AX,$L189,FALSE))+$K$3,IF(OR($L189="",$L189="-"),"",VLOOKUP($G189,為替!$A:$AX,$L189,FALSE)))</f>
        <v/>
      </c>
      <c r="N189" s="204" t="str">
        <f t="shared" si="16"/>
        <v/>
      </c>
      <c r="O189" s="205" t="str">
        <f t="shared" si="12"/>
        <v/>
      </c>
      <c r="P189" s="206" t="str">
        <f t="shared" si="17"/>
        <v/>
      </c>
    </row>
    <row r="190" spans="3:16" x14ac:dyDescent="0.4">
      <c r="C190" s="199"/>
      <c r="D190" s="200"/>
      <c r="E190" s="201"/>
      <c r="F190" s="199"/>
      <c r="H190" s="202"/>
      <c r="I190" s="185" t="str">
        <f t="shared" si="13"/>
        <v/>
      </c>
      <c r="J190" s="203" t="str">
        <f>IF($H190="USD",IF(OR($I190="",$I190="-"),"",VLOOKUP($G190,為替!$A:$AX,$I190,FALSE))+$J$3,IF(OR($I190="",$I190="-"),"",VLOOKUP($G190,為替!$A:$AX,$I190,FALSE)))</f>
        <v/>
      </c>
      <c r="K190" s="204" t="str">
        <f t="shared" si="14"/>
        <v/>
      </c>
      <c r="L190" s="188" t="str">
        <f t="shared" si="15"/>
        <v/>
      </c>
      <c r="M190" s="203" t="str">
        <f>IF($H190="USD",IF(OR($L190="",$L190="-"),"",VLOOKUP($G190,為替!$A:$AX,$L190,FALSE))+$K$3,IF(OR($L190="",$L190="-"),"",VLOOKUP($G190,為替!$A:$AX,$L190,FALSE)))</f>
        <v/>
      </c>
      <c r="N190" s="204" t="str">
        <f t="shared" si="16"/>
        <v/>
      </c>
      <c r="O190" s="205" t="str">
        <f t="shared" si="12"/>
        <v/>
      </c>
      <c r="P190" s="206" t="str">
        <f t="shared" si="17"/>
        <v/>
      </c>
    </row>
    <row r="191" spans="3:16" x14ac:dyDescent="0.4">
      <c r="C191" s="199"/>
      <c r="D191" s="200"/>
      <c r="E191" s="201"/>
      <c r="F191" s="199"/>
      <c r="H191" s="202"/>
      <c r="I191" s="185" t="str">
        <f t="shared" si="13"/>
        <v/>
      </c>
      <c r="J191" s="203" t="str">
        <f>IF($H191="USD",IF(OR($I191="",$I191="-"),"",VLOOKUP($G191,為替!$A:$AX,$I191,FALSE))+$J$3,IF(OR($I191="",$I191="-"),"",VLOOKUP($G191,為替!$A:$AX,$I191,FALSE)))</f>
        <v/>
      </c>
      <c r="K191" s="204" t="str">
        <f t="shared" si="14"/>
        <v/>
      </c>
      <c r="L191" s="188" t="str">
        <f t="shared" si="15"/>
        <v/>
      </c>
      <c r="M191" s="203" t="str">
        <f>IF($H191="USD",IF(OR($L191="",$L191="-"),"",VLOOKUP($G191,為替!$A:$AX,$L191,FALSE))+$K$3,IF(OR($L191="",$L191="-"),"",VLOOKUP($G191,為替!$A:$AX,$L191,FALSE)))</f>
        <v/>
      </c>
      <c r="N191" s="204" t="str">
        <f t="shared" si="16"/>
        <v/>
      </c>
      <c r="O191" s="205" t="str">
        <f t="shared" si="12"/>
        <v/>
      </c>
      <c r="P191" s="206" t="str">
        <f t="shared" si="17"/>
        <v/>
      </c>
    </row>
    <row r="192" spans="3:16" x14ac:dyDescent="0.4">
      <c r="C192" s="199"/>
      <c r="D192" s="200"/>
      <c r="E192" s="201"/>
      <c r="F192" s="199"/>
      <c r="H192" s="202"/>
      <c r="I192" s="185" t="str">
        <f t="shared" si="13"/>
        <v/>
      </c>
      <c r="J192" s="203" t="str">
        <f>IF($H192="USD",IF(OR($I192="",$I192="-"),"",VLOOKUP($G192,為替!$A:$AX,$I192,FALSE))+$J$3,IF(OR($I192="",$I192="-"),"",VLOOKUP($G192,為替!$A:$AX,$I192,FALSE)))</f>
        <v/>
      </c>
      <c r="K192" s="204" t="str">
        <f t="shared" si="14"/>
        <v/>
      </c>
      <c r="L192" s="188" t="str">
        <f t="shared" si="15"/>
        <v/>
      </c>
      <c r="M192" s="203" t="str">
        <f>IF($H192="USD",IF(OR($L192="",$L192="-"),"",VLOOKUP($G192,為替!$A:$AX,$L192,FALSE))+$K$3,IF(OR($L192="",$L192="-"),"",VLOOKUP($G192,為替!$A:$AX,$L192,FALSE)))</f>
        <v/>
      </c>
      <c r="N192" s="204" t="str">
        <f t="shared" si="16"/>
        <v/>
      </c>
      <c r="O192" s="205" t="str">
        <f t="shared" si="12"/>
        <v/>
      </c>
      <c r="P192" s="206" t="str">
        <f t="shared" si="17"/>
        <v/>
      </c>
    </row>
    <row r="193" spans="3:16" x14ac:dyDescent="0.4">
      <c r="C193" s="199"/>
      <c r="D193" s="200"/>
      <c r="E193" s="201"/>
      <c r="F193" s="199"/>
      <c r="H193" s="202"/>
      <c r="I193" s="185" t="str">
        <f t="shared" si="13"/>
        <v/>
      </c>
      <c r="J193" s="203" t="str">
        <f>IF($H193="USD",IF(OR($I193="",$I193="-"),"",VLOOKUP($G193,為替!$A:$AX,$I193,FALSE))+$J$3,IF(OR($I193="",$I193="-"),"",VLOOKUP($G193,為替!$A:$AX,$I193,FALSE)))</f>
        <v/>
      </c>
      <c r="K193" s="204" t="str">
        <f t="shared" si="14"/>
        <v/>
      </c>
      <c r="L193" s="188" t="str">
        <f t="shared" si="15"/>
        <v/>
      </c>
      <c r="M193" s="203" t="str">
        <f>IF($H193="USD",IF(OR($L193="",$L193="-"),"",VLOOKUP($G193,為替!$A:$AX,$L193,FALSE))+$K$3,IF(OR($L193="",$L193="-"),"",VLOOKUP($G193,為替!$A:$AX,$L193,FALSE)))</f>
        <v/>
      </c>
      <c r="N193" s="204" t="str">
        <f t="shared" si="16"/>
        <v/>
      </c>
      <c r="O193" s="205" t="str">
        <f t="shared" si="12"/>
        <v/>
      </c>
      <c r="P193" s="206" t="str">
        <f t="shared" si="17"/>
        <v/>
      </c>
    </row>
    <row r="194" spans="3:16" x14ac:dyDescent="0.4">
      <c r="C194" s="199"/>
      <c r="D194" s="200"/>
      <c r="E194" s="201"/>
      <c r="F194" s="199"/>
      <c r="H194" s="202"/>
      <c r="I194" s="185" t="str">
        <f t="shared" si="13"/>
        <v/>
      </c>
      <c r="J194" s="203" t="str">
        <f>IF($H194="USD",IF(OR($I194="",$I194="-"),"",VLOOKUP($G194,為替!$A:$AX,$I194,FALSE))+$J$3,IF(OR($I194="",$I194="-"),"",VLOOKUP($G194,為替!$A:$AX,$I194,FALSE)))</f>
        <v/>
      </c>
      <c r="K194" s="204" t="str">
        <f t="shared" si="14"/>
        <v/>
      </c>
      <c r="L194" s="188" t="str">
        <f t="shared" si="15"/>
        <v/>
      </c>
      <c r="M194" s="203" t="str">
        <f>IF($H194="USD",IF(OR($L194="",$L194="-"),"",VLOOKUP($G194,為替!$A:$AX,$L194,FALSE))+$K$3,IF(OR($L194="",$L194="-"),"",VLOOKUP($G194,為替!$A:$AX,$L194,FALSE)))</f>
        <v/>
      </c>
      <c r="N194" s="204" t="str">
        <f t="shared" si="16"/>
        <v/>
      </c>
      <c r="O194" s="205" t="str">
        <f t="shared" si="12"/>
        <v/>
      </c>
      <c r="P194" s="206" t="str">
        <f t="shared" si="17"/>
        <v/>
      </c>
    </row>
    <row r="195" spans="3:16" x14ac:dyDescent="0.4">
      <c r="C195" s="199"/>
      <c r="D195" s="200"/>
      <c r="E195" s="201"/>
      <c r="F195" s="199"/>
      <c r="H195" s="202"/>
      <c r="I195" s="185" t="str">
        <f t="shared" si="13"/>
        <v/>
      </c>
      <c r="J195" s="203" t="str">
        <f>IF($H195="USD",IF(OR($I195="",$I195="-"),"",VLOOKUP($G195,為替!$A:$AX,$I195,FALSE))+$J$3,IF(OR($I195="",$I195="-"),"",VLOOKUP($G195,為替!$A:$AX,$I195,FALSE)))</f>
        <v/>
      </c>
      <c r="K195" s="204" t="str">
        <f t="shared" si="14"/>
        <v/>
      </c>
      <c r="L195" s="188" t="str">
        <f t="shared" si="15"/>
        <v/>
      </c>
      <c r="M195" s="203" t="str">
        <f>IF($H195="USD",IF(OR($L195="",$L195="-"),"",VLOOKUP($G195,為替!$A:$AX,$L195,FALSE))+$K$3,IF(OR($L195="",$L195="-"),"",VLOOKUP($G195,為替!$A:$AX,$L195,FALSE)))</f>
        <v/>
      </c>
      <c r="N195" s="204" t="str">
        <f t="shared" si="16"/>
        <v/>
      </c>
      <c r="O195" s="205" t="str">
        <f t="shared" si="12"/>
        <v/>
      </c>
      <c r="P195" s="206" t="str">
        <f t="shared" si="17"/>
        <v/>
      </c>
    </row>
    <row r="196" spans="3:16" x14ac:dyDescent="0.4">
      <c r="C196" s="199"/>
      <c r="D196" s="200"/>
      <c r="E196" s="201"/>
      <c r="F196" s="199"/>
      <c r="H196" s="202"/>
      <c r="I196" s="185" t="str">
        <f t="shared" si="13"/>
        <v/>
      </c>
      <c r="J196" s="203" t="str">
        <f>IF($H196="USD",IF(OR($I196="",$I196="-"),"",VLOOKUP($G196,為替!$A:$AX,$I196,FALSE))+$J$3,IF(OR($I196="",$I196="-"),"",VLOOKUP($G196,為替!$A:$AX,$I196,FALSE)))</f>
        <v/>
      </c>
      <c r="K196" s="204" t="str">
        <f t="shared" si="14"/>
        <v/>
      </c>
      <c r="L196" s="188" t="str">
        <f t="shared" si="15"/>
        <v/>
      </c>
      <c r="M196" s="203" t="str">
        <f>IF($H196="USD",IF(OR($L196="",$L196="-"),"",VLOOKUP($G196,為替!$A:$AX,$L196,FALSE))+$K$3,IF(OR($L196="",$L196="-"),"",VLOOKUP($G196,為替!$A:$AX,$L196,FALSE)))</f>
        <v/>
      </c>
      <c r="N196" s="204" t="str">
        <f t="shared" si="16"/>
        <v/>
      </c>
      <c r="O196" s="205" t="str">
        <f t="shared" si="12"/>
        <v/>
      </c>
      <c r="P196" s="206" t="str">
        <f t="shared" si="17"/>
        <v/>
      </c>
    </row>
    <row r="197" spans="3:16" x14ac:dyDescent="0.4">
      <c r="C197" s="199"/>
      <c r="D197" s="200"/>
      <c r="E197" s="201"/>
      <c r="F197" s="199"/>
      <c r="H197" s="202"/>
      <c r="I197" s="185" t="str">
        <f t="shared" si="13"/>
        <v/>
      </c>
      <c r="J197" s="203" t="str">
        <f>IF($H197="USD",IF(OR($I197="",$I197="-"),"",VLOOKUP($G197,為替!$A:$AX,$I197,FALSE))+$J$3,IF(OR($I197="",$I197="-"),"",VLOOKUP($G197,為替!$A:$AX,$I197,FALSE)))</f>
        <v/>
      </c>
      <c r="K197" s="204" t="str">
        <f t="shared" si="14"/>
        <v/>
      </c>
      <c r="L197" s="188" t="str">
        <f t="shared" si="15"/>
        <v/>
      </c>
      <c r="M197" s="203" t="str">
        <f>IF($H197="USD",IF(OR($L197="",$L197="-"),"",VLOOKUP($G197,為替!$A:$AX,$L197,FALSE))+$K$3,IF(OR($L197="",$L197="-"),"",VLOOKUP($G197,為替!$A:$AX,$L197,FALSE)))</f>
        <v/>
      </c>
      <c r="N197" s="204" t="str">
        <f t="shared" si="16"/>
        <v/>
      </c>
      <c r="O197" s="205" t="str">
        <f t="shared" si="12"/>
        <v/>
      </c>
      <c r="P197" s="206" t="str">
        <f t="shared" si="17"/>
        <v/>
      </c>
    </row>
    <row r="198" spans="3:16" x14ac:dyDescent="0.4">
      <c r="C198" s="199"/>
      <c r="D198" s="200"/>
      <c r="E198" s="201"/>
      <c r="F198" s="199"/>
      <c r="H198" s="202"/>
      <c r="I198" s="185" t="str">
        <f t="shared" si="13"/>
        <v/>
      </c>
      <c r="J198" s="203" t="str">
        <f>IF($H198="USD",IF(OR($I198="",$I198="-"),"",VLOOKUP($G198,為替!$A:$AX,$I198,FALSE))+$J$3,IF(OR($I198="",$I198="-"),"",VLOOKUP($G198,為替!$A:$AX,$I198,FALSE)))</f>
        <v/>
      </c>
      <c r="K198" s="204" t="str">
        <f t="shared" si="14"/>
        <v/>
      </c>
      <c r="L198" s="188" t="str">
        <f t="shared" si="15"/>
        <v/>
      </c>
      <c r="M198" s="203" t="str">
        <f>IF($H198="USD",IF(OR($L198="",$L198="-"),"",VLOOKUP($G198,為替!$A:$AX,$L198,FALSE))+$K$3,IF(OR($L198="",$L198="-"),"",VLOOKUP($G198,為替!$A:$AX,$L198,FALSE)))</f>
        <v/>
      </c>
      <c r="N198" s="204" t="str">
        <f t="shared" si="16"/>
        <v/>
      </c>
      <c r="O198" s="205" t="str">
        <f t="shared" ref="O198:O261" si="18">IF(OR(K198="",N198=""),"",K198-N198)</f>
        <v/>
      </c>
      <c r="P198" s="206" t="str">
        <f t="shared" si="17"/>
        <v/>
      </c>
    </row>
    <row r="199" spans="3:16" x14ac:dyDescent="0.4">
      <c r="C199" s="199"/>
      <c r="D199" s="200"/>
      <c r="E199" s="201"/>
      <c r="F199" s="199"/>
      <c r="H199" s="202"/>
      <c r="I199" s="185" t="str">
        <f t="shared" ref="I199:I262" si="19">IF(H199="","",IF(H199="JPY","",IF($H199="USD",4, IF(H199="EUR",7,IF(H199="CNY",47,IF(H199="HKD",34))))))</f>
        <v/>
      </c>
      <c r="J199" s="203" t="str">
        <f>IF($H199="USD",IF(OR($I199="",$I199="-"),"",VLOOKUP($G199,為替!$A:$AX,$I199,FALSE))+$J$3,IF(OR($I199="",$I199="-"),"",VLOOKUP($G199,為替!$A:$AX,$I199,FALSE)))</f>
        <v/>
      </c>
      <c r="K199" s="204" t="str">
        <f t="shared" ref="K199:K262" si="20">IF($H199="JPY",$F199,IF($H199="","",$F199*$J199))</f>
        <v/>
      </c>
      <c r="L199" s="188" t="str">
        <f t="shared" ref="L199:L262" si="21">IF(H199="","",IF(H199="JPY","",IF($H199="USD",3, IF(H199="EUR",6,IF(H199="CNY",46,IF(H199="HKD",33))))))</f>
        <v/>
      </c>
      <c r="M199" s="203" t="str">
        <f>IF($H199="USD",IF(OR($L199="",$L199="-"),"",VLOOKUP($G199,為替!$A:$AX,$L199,FALSE))+$K$3,IF(OR($L199="",$L199="-"),"",VLOOKUP($G199,為替!$A:$AX,$L199,FALSE)))</f>
        <v/>
      </c>
      <c r="N199" s="204" t="str">
        <f t="shared" ref="N199:N262" si="22">IF($E199="JPY",($C199+$D199),IF($E199="","",($C199+$D199)*$M199))</f>
        <v/>
      </c>
      <c r="O199" s="205" t="str">
        <f t="shared" si="18"/>
        <v/>
      </c>
      <c r="P199" s="206" t="str">
        <f t="shared" ref="P199:P262" si="23">IF(OR(K199="",O199=""),"",O199/K199)</f>
        <v/>
      </c>
    </row>
    <row r="200" spans="3:16" x14ac:dyDescent="0.4">
      <c r="C200" s="199"/>
      <c r="D200" s="200"/>
      <c r="E200" s="201"/>
      <c r="F200" s="199"/>
      <c r="H200" s="202"/>
      <c r="I200" s="185" t="str">
        <f t="shared" si="19"/>
        <v/>
      </c>
      <c r="J200" s="203" t="str">
        <f>IF($H200="USD",IF(OR($I200="",$I200="-"),"",VLOOKUP($G200,為替!$A:$AX,$I200,FALSE))+$J$3,IF(OR($I200="",$I200="-"),"",VLOOKUP($G200,為替!$A:$AX,$I200,FALSE)))</f>
        <v/>
      </c>
      <c r="K200" s="204" t="str">
        <f t="shared" si="20"/>
        <v/>
      </c>
      <c r="L200" s="188" t="str">
        <f t="shared" si="21"/>
        <v/>
      </c>
      <c r="M200" s="203" t="str">
        <f>IF($H200="USD",IF(OR($L200="",$L200="-"),"",VLOOKUP($G200,為替!$A:$AX,$L200,FALSE))+$K$3,IF(OR($L200="",$L200="-"),"",VLOOKUP($G200,為替!$A:$AX,$L200,FALSE)))</f>
        <v/>
      </c>
      <c r="N200" s="204" t="str">
        <f t="shared" si="22"/>
        <v/>
      </c>
      <c r="O200" s="205" t="str">
        <f t="shared" si="18"/>
        <v/>
      </c>
      <c r="P200" s="206" t="str">
        <f t="shared" si="23"/>
        <v/>
      </c>
    </row>
    <row r="201" spans="3:16" x14ac:dyDescent="0.4">
      <c r="C201" s="199"/>
      <c r="D201" s="200"/>
      <c r="E201" s="201"/>
      <c r="F201" s="199"/>
      <c r="H201" s="202"/>
      <c r="I201" s="185" t="str">
        <f t="shared" si="19"/>
        <v/>
      </c>
      <c r="J201" s="203" t="str">
        <f>IF($H201="USD",IF(OR($I201="",$I201="-"),"",VLOOKUP($G201,為替!$A:$AX,$I201,FALSE))+$J$3,IF(OR($I201="",$I201="-"),"",VLOOKUP($G201,為替!$A:$AX,$I201,FALSE)))</f>
        <v/>
      </c>
      <c r="K201" s="204" t="str">
        <f t="shared" si="20"/>
        <v/>
      </c>
      <c r="L201" s="188" t="str">
        <f t="shared" si="21"/>
        <v/>
      </c>
      <c r="M201" s="203" t="str">
        <f>IF($H201="USD",IF(OR($L201="",$L201="-"),"",VLOOKUP($G201,為替!$A:$AX,$L201,FALSE))+$K$3,IF(OR($L201="",$L201="-"),"",VLOOKUP($G201,為替!$A:$AX,$L201,FALSE)))</f>
        <v/>
      </c>
      <c r="N201" s="204" t="str">
        <f t="shared" si="22"/>
        <v/>
      </c>
      <c r="O201" s="205" t="str">
        <f t="shared" si="18"/>
        <v/>
      </c>
      <c r="P201" s="206" t="str">
        <f t="shared" si="23"/>
        <v/>
      </c>
    </row>
    <row r="202" spans="3:16" x14ac:dyDescent="0.4">
      <c r="C202" s="199"/>
      <c r="D202" s="200"/>
      <c r="E202" s="201"/>
      <c r="F202" s="199"/>
      <c r="H202" s="202"/>
      <c r="I202" s="185" t="str">
        <f t="shared" si="19"/>
        <v/>
      </c>
      <c r="J202" s="203" t="str">
        <f>IF($H202="USD",IF(OR($I202="",$I202="-"),"",VLOOKUP($G202,為替!$A:$AX,$I202,FALSE))+$J$3,IF(OR($I202="",$I202="-"),"",VLOOKUP($G202,為替!$A:$AX,$I202,FALSE)))</f>
        <v/>
      </c>
      <c r="K202" s="204" t="str">
        <f t="shared" si="20"/>
        <v/>
      </c>
      <c r="L202" s="188" t="str">
        <f t="shared" si="21"/>
        <v/>
      </c>
      <c r="M202" s="203" t="str">
        <f>IF($H202="USD",IF(OR($L202="",$L202="-"),"",VLOOKUP($G202,為替!$A:$AX,$L202,FALSE))+$K$3,IF(OR($L202="",$L202="-"),"",VLOOKUP($G202,為替!$A:$AX,$L202,FALSE)))</f>
        <v/>
      </c>
      <c r="N202" s="204" t="str">
        <f t="shared" si="22"/>
        <v/>
      </c>
      <c r="O202" s="205" t="str">
        <f t="shared" si="18"/>
        <v/>
      </c>
      <c r="P202" s="206" t="str">
        <f t="shared" si="23"/>
        <v/>
      </c>
    </row>
    <row r="203" spans="3:16" x14ac:dyDescent="0.4">
      <c r="C203" s="199"/>
      <c r="D203" s="200"/>
      <c r="E203" s="201"/>
      <c r="F203" s="199"/>
      <c r="H203" s="202"/>
      <c r="I203" s="185" t="str">
        <f t="shared" si="19"/>
        <v/>
      </c>
      <c r="J203" s="203" t="str">
        <f>IF($H203="USD",IF(OR($I203="",$I203="-"),"",VLOOKUP($G203,為替!$A:$AX,$I203,FALSE))+$J$3,IF(OR($I203="",$I203="-"),"",VLOOKUP($G203,為替!$A:$AX,$I203,FALSE)))</f>
        <v/>
      </c>
      <c r="K203" s="204" t="str">
        <f t="shared" si="20"/>
        <v/>
      </c>
      <c r="L203" s="188" t="str">
        <f t="shared" si="21"/>
        <v/>
      </c>
      <c r="M203" s="203" t="str">
        <f>IF($H203="USD",IF(OR($L203="",$L203="-"),"",VLOOKUP($G203,為替!$A:$AX,$L203,FALSE))+$K$3,IF(OR($L203="",$L203="-"),"",VLOOKUP($G203,為替!$A:$AX,$L203,FALSE)))</f>
        <v/>
      </c>
      <c r="N203" s="204" t="str">
        <f t="shared" si="22"/>
        <v/>
      </c>
      <c r="O203" s="205" t="str">
        <f t="shared" si="18"/>
        <v/>
      </c>
      <c r="P203" s="206" t="str">
        <f t="shared" si="23"/>
        <v/>
      </c>
    </row>
    <row r="204" spans="3:16" x14ac:dyDescent="0.4">
      <c r="C204" s="199"/>
      <c r="D204" s="200"/>
      <c r="E204" s="201"/>
      <c r="F204" s="199"/>
      <c r="H204" s="202"/>
      <c r="I204" s="185" t="str">
        <f t="shared" si="19"/>
        <v/>
      </c>
      <c r="J204" s="203" t="str">
        <f>IF($H204="USD",IF(OR($I204="",$I204="-"),"",VLOOKUP($G204,為替!$A:$AX,$I204,FALSE))+$J$3,IF(OR($I204="",$I204="-"),"",VLOOKUP($G204,為替!$A:$AX,$I204,FALSE)))</f>
        <v/>
      </c>
      <c r="K204" s="204" t="str">
        <f t="shared" si="20"/>
        <v/>
      </c>
      <c r="L204" s="188" t="str">
        <f t="shared" si="21"/>
        <v/>
      </c>
      <c r="M204" s="203" t="str">
        <f>IF($H204="USD",IF(OR($L204="",$L204="-"),"",VLOOKUP($G204,為替!$A:$AX,$L204,FALSE))+$K$3,IF(OR($L204="",$L204="-"),"",VLOOKUP($G204,為替!$A:$AX,$L204,FALSE)))</f>
        <v/>
      </c>
      <c r="N204" s="204" t="str">
        <f t="shared" si="22"/>
        <v/>
      </c>
      <c r="O204" s="205" t="str">
        <f t="shared" si="18"/>
        <v/>
      </c>
      <c r="P204" s="206" t="str">
        <f t="shared" si="23"/>
        <v/>
      </c>
    </row>
    <row r="205" spans="3:16" x14ac:dyDescent="0.4">
      <c r="C205" s="199"/>
      <c r="D205" s="200"/>
      <c r="E205" s="201"/>
      <c r="F205" s="199"/>
      <c r="H205" s="202"/>
      <c r="I205" s="185" t="str">
        <f t="shared" si="19"/>
        <v/>
      </c>
      <c r="J205" s="203" t="str">
        <f>IF($H205="USD",IF(OR($I205="",$I205="-"),"",VLOOKUP($G205,為替!$A:$AX,$I205,FALSE))+$J$3,IF(OR($I205="",$I205="-"),"",VLOOKUP($G205,為替!$A:$AX,$I205,FALSE)))</f>
        <v/>
      </c>
      <c r="K205" s="204" t="str">
        <f t="shared" si="20"/>
        <v/>
      </c>
      <c r="L205" s="188" t="str">
        <f t="shared" si="21"/>
        <v/>
      </c>
      <c r="M205" s="203" t="str">
        <f>IF($H205="USD",IF(OR($L205="",$L205="-"),"",VLOOKUP($G205,為替!$A:$AX,$L205,FALSE))+$K$3,IF(OR($L205="",$L205="-"),"",VLOOKUP($G205,為替!$A:$AX,$L205,FALSE)))</f>
        <v/>
      </c>
      <c r="N205" s="204" t="str">
        <f t="shared" si="22"/>
        <v/>
      </c>
      <c r="O205" s="205" t="str">
        <f t="shared" si="18"/>
        <v/>
      </c>
      <c r="P205" s="206" t="str">
        <f t="shared" si="23"/>
        <v/>
      </c>
    </row>
    <row r="206" spans="3:16" x14ac:dyDescent="0.4">
      <c r="C206" s="199"/>
      <c r="D206" s="200"/>
      <c r="E206" s="201"/>
      <c r="F206" s="199"/>
      <c r="H206" s="202"/>
      <c r="I206" s="185" t="str">
        <f t="shared" si="19"/>
        <v/>
      </c>
      <c r="J206" s="203" t="str">
        <f>IF($H206="USD",IF(OR($I206="",$I206="-"),"",VLOOKUP($G206,為替!$A:$AX,$I206,FALSE))+$J$3,IF(OR($I206="",$I206="-"),"",VLOOKUP($G206,為替!$A:$AX,$I206,FALSE)))</f>
        <v/>
      </c>
      <c r="K206" s="204" t="str">
        <f t="shared" si="20"/>
        <v/>
      </c>
      <c r="L206" s="188" t="str">
        <f t="shared" si="21"/>
        <v/>
      </c>
      <c r="M206" s="203" t="str">
        <f>IF($H206="USD",IF(OR($L206="",$L206="-"),"",VLOOKUP($G206,為替!$A:$AX,$L206,FALSE))+$K$3,IF(OR($L206="",$L206="-"),"",VLOOKUP($G206,為替!$A:$AX,$L206,FALSE)))</f>
        <v/>
      </c>
      <c r="N206" s="204" t="str">
        <f t="shared" si="22"/>
        <v/>
      </c>
      <c r="O206" s="205" t="str">
        <f t="shared" si="18"/>
        <v/>
      </c>
      <c r="P206" s="206" t="str">
        <f t="shared" si="23"/>
        <v/>
      </c>
    </row>
    <row r="207" spans="3:16" x14ac:dyDescent="0.4">
      <c r="C207" s="199"/>
      <c r="D207" s="200"/>
      <c r="E207" s="201"/>
      <c r="F207" s="199"/>
      <c r="H207" s="202"/>
      <c r="I207" s="185" t="str">
        <f t="shared" si="19"/>
        <v/>
      </c>
      <c r="J207" s="203" t="str">
        <f>IF($H207="USD",IF(OR($I207="",$I207="-"),"",VLOOKUP($G207,為替!$A:$AX,$I207,FALSE))+$J$3,IF(OR($I207="",$I207="-"),"",VLOOKUP($G207,為替!$A:$AX,$I207,FALSE)))</f>
        <v/>
      </c>
      <c r="K207" s="204" t="str">
        <f t="shared" si="20"/>
        <v/>
      </c>
      <c r="L207" s="188" t="str">
        <f t="shared" si="21"/>
        <v/>
      </c>
      <c r="M207" s="203" t="str">
        <f>IF($H207="USD",IF(OR($L207="",$L207="-"),"",VLOOKUP($G207,為替!$A:$AX,$L207,FALSE))+$K$3,IF(OR($L207="",$L207="-"),"",VLOOKUP($G207,為替!$A:$AX,$L207,FALSE)))</f>
        <v/>
      </c>
      <c r="N207" s="204" t="str">
        <f t="shared" si="22"/>
        <v/>
      </c>
      <c r="O207" s="205" t="str">
        <f t="shared" si="18"/>
        <v/>
      </c>
      <c r="P207" s="206" t="str">
        <f t="shared" si="23"/>
        <v/>
      </c>
    </row>
    <row r="208" spans="3:16" x14ac:dyDescent="0.4">
      <c r="C208" s="199"/>
      <c r="D208" s="200"/>
      <c r="E208" s="201"/>
      <c r="F208" s="199"/>
      <c r="H208" s="202"/>
      <c r="I208" s="185" t="str">
        <f t="shared" si="19"/>
        <v/>
      </c>
      <c r="J208" s="203" t="str">
        <f>IF($H208="USD",IF(OR($I208="",$I208="-"),"",VLOOKUP($G208,為替!$A:$AX,$I208,FALSE))+$J$3,IF(OR($I208="",$I208="-"),"",VLOOKUP($G208,為替!$A:$AX,$I208,FALSE)))</f>
        <v/>
      </c>
      <c r="K208" s="204" t="str">
        <f t="shared" si="20"/>
        <v/>
      </c>
      <c r="L208" s="188" t="str">
        <f t="shared" si="21"/>
        <v/>
      </c>
      <c r="M208" s="203" t="str">
        <f>IF($H208="USD",IF(OR($L208="",$L208="-"),"",VLOOKUP($G208,為替!$A:$AX,$L208,FALSE))+$K$3,IF(OR($L208="",$L208="-"),"",VLOOKUP($G208,為替!$A:$AX,$L208,FALSE)))</f>
        <v/>
      </c>
      <c r="N208" s="204" t="str">
        <f t="shared" si="22"/>
        <v/>
      </c>
      <c r="O208" s="205" t="str">
        <f t="shared" si="18"/>
        <v/>
      </c>
      <c r="P208" s="206" t="str">
        <f t="shared" si="23"/>
        <v/>
      </c>
    </row>
    <row r="209" spans="3:16" x14ac:dyDescent="0.4">
      <c r="C209" s="199"/>
      <c r="D209" s="200"/>
      <c r="E209" s="201"/>
      <c r="F209" s="199"/>
      <c r="H209" s="202"/>
      <c r="I209" s="185" t="str">
        <f t="shared" si="19"/>
        <v/>
      </c>
      <c r="J209" s="203" t="str">
        <f>IF($H209="USD",IF(OR($I209="",$I209="-"),"",VLOOKUP($G209,為替!$A:$AX,$I209,FALSE))+$J$3,IF(OR($I209="",$I209="-"),"",VLOOKUP($G209,為替!$A:$AX,$I209,FALSE)))</f>
        <v/>
      </c>
      <c r="K209" s="204" t="str">
        <f t="shared" si="20"/>
        <v/>
      </c>
      <c r="L209" s="188" t="str">
        <f t="shared" si="21"/>
        <v/>
      </c>
      <c r="M209" s="203" t="str">
        <f>IF($H209="USD",IF(OR($L209="",$L209="-"),"",VLOOKUP($G209,為替!$A:$AX,$L209,FALSE))+$K$3,IF(OR($L209="",$L209="-"),"",VLOOKUP($G209,為替!$A:$AX,$L209,FALSE)))</f>
        <v/>
      </c>
      <c r="N209" s="204" t="str">
        <f t="shared" si="22"/>
        <v/>
      </c>
      <c r="O209" s="205" t="str">
        <f t="shared" si="18"/>
        <v/>
      </c>
      <c r="P209" s="206" t="str">
        <f t="shared" si="23"/>
        <v/>
      </c>
    </row>
    <row r="210" spans="3:16" x14ac:dyDescent="0.4">
      <c r="C210" s="199"/>
      <c r="D210" s="200"/>
      <c r="E210" s="201"/>
      <c r="F210" s="199"/>
      <c r="H210" s="202"/>
      <c r="I210" s="185" t="str">
        <f t="shared" si="19"/>
        <v/>
      </c>
      <c r="J210" s="203" t="str">
        <f>IF($H210="USD",IF(OR($I210="",$I210="-"),"",VLOOKUP($G210,為替!$A:$AX,$I210,FALSE))+$J$3,IF(OR($I210="",$I210="-"),"",VLOOKUP($G210,為替!$A:$AX,$I210,FALSE)))</f>
        <v/>
      </c>
      <c r="K210" s="204" t="str">
        <f t="shared" si="20"/>
        <v/>
      </c>
      <c r="L210" s="188" t="str">
        <f t="shared" si="21"/>
        <v/>
      </c>
      <c r="M210" s="203" t="str">
        <f>IF($H210="USD",IF(OR($L210="",$L210="-"),"",VLOOKUP($G210,為替!$A:$AX,$L210,FALSE))+$K$3,IF(OR($L210="",$L210="-"),"",VLOOKUP($G210,為替!$A:$AX,$L210,FALSE)))</f>
        <v/>
      </c>
      <c r="N210" s="204" t="str">
        <f t="shared" si="22"/>
        <v/>
      </c>
      <c r="O210" s="205" t="str">
        <f t="shared" si="18"/>
        <v/>
      </c>
      <c r="P210" s="206" t="str">
        <f t="shared" si="23"/>
        <v/>
      </c>
    </row>
    <row r="211" spans="3:16" x14ac:dyDescent="0.4">
      <c r="C211" s="199"/>
      <c r="D211" s="200"/>
      <c r="E211" s="201"/>
      <c r="F211" s="199"/>
      <c r="H211" s="202"/>
      <c r="I211" s="185" t="str">
        <f t="shared" si="19"/>
        <v/>
      </c>
      <c r="J211" s="203" t="str">
        <f>IF($H211="USD",IF(OR($I211="",$I211="-"),"",VLOOKUP($G211,為替!$A:$AX,$I211,FALSE))+$J$3,IF(OR($I211="",$I211="-"),"",VLOOKUP($G211,為替!$A:$AX,$I211,FALSE)))</f>
        <v/>
      </c>
      <c r="K211" s="204" t="str">
        <f t="shared" si="20"/>
        <v/>
      </c>
      <c r="L211" s="188" t="str">
        <f t="shared" si="21"/>
        <v/>
      </c>
      <c r="M211" s="203" t="str">
        <f>IF($H211="USD",IF(OR($L211="",$L211="-"),"",VLOOKUP($G211,為替!$A:$AX,$L211,FALSE))+$K$3,IF(OR($L211="",$L211="-"),"",VLOOKUP($G211,為替!$A:$AX,$L211,FALSE)))</f>
        <v/>
      </c>
      <c r="N211" s="204" t="str">
        <f t="shared" si="22"/>
        <v/>
      </c>
      <c r="O211" s="205" t="str">
        <f t="shared" si="18"/>
        <v/>
      </c>
      <c r="P211" s="206" t="str">
        <f t="shared" si="23"/>
        <v/>
      </c>
    </row>
    <row r="212" spans="3:16" x14ac:dyDescent="0.4">
      <c r="C212" s="199"/>
      <c r="D212" s="200"/>
      <c r="E212" s="201"/>
      <c r="F212" s="199"/>
      <c r="H212" s="202"/>
      <c r="I212" s="185" t="str">
        <f t="shared" si="19"/>
        <v/>
      </c>
      <c r="J212" s="203" t="str">
        <f>IF($H212="USD",IF(OR($I212="",$I212="-"),"",VLOOKUP($G212,為替!$A:$AX,$I212,FALSE))+$J$3,IF(OR($I212="",$I212="-"),"",VLOOKUP($G212,為替!$A:$AX,$I212,FALSE)))</f>
        <v/>
      </c>
      <c r="K212" s="204" t="str">
        <f t="shared" si="20"/>
        <v/>
      </c>
      <c r="L212" s="188" t="str">
        <f t="shared" si="21"/>
        <v/>
      </c>
      <c r="M212" s="203" t="str">
        <f>IF($H212="USD",IF(OR($L212="",$L212="-"),"",VLOOKUP($G212,為替!$A:$AX,$L212,FALSE))+$K$3,IF(OR($L212="",$L212="-"),"",VLOOKUP($G212,為替!$A:$AX,$L212,FALSE)))</f>
        <v/>
      </c>
      <c r="N212" s="204" t="str">
        <f t="shared" si="22"/>
        <v/>
      </c>
      <c r="O212" s="205" t="str">
        <f t="shared" si="18"/>
        <v/>
      </c>
      <c r="P212" s="206" t="str">
        <f t="shared" si="23"/>
        <v/>
      </c>
    </row>
    <row r="213" spans="3:16" x14ac:dyDescent="0.4">
      <c r="C213" s="199"/>
      <c r="D213" s="200"/>
      <c r="E213" s="201"/>
      <c r="F213" s="199"/>
      <c r="H213" s="202"/>
      <c r="I213" s="185" t="str">
        <f t="shared" si="19"/>
        <v/>
      </c>
      <c r="J213" s="203" t="str">
        <f>IF($H213="USD",IF(OR($I213="",$I213="-"),"",VLOOKUP($G213,為替!$A:$AX,$I213,FALSE))+$J$3,IF(OR($I213="",$I213="-"),"",VLOOKUP($G213,為替!$A:$AX,$I213,FALSE)))</f>
        <v/>
      </c>
      <c r="K213" s="204" t="str">
        <f t="shared" si="20"/>
        <v/>
      </c>
      <c r="L213" s="188" t="str">
        <f t="shared" si="21"/>
        <v/>
      </c>
      <c r="M213" s="203" t="str">
        <f>IF($H213="USD",IF(OR($L213="",$L213="-"),"",VLOOKUP($G213,為替!$A:$AX,$L213,FALSE))+$K$3,IF(OR($L213="",$L213="-"),"",VLOOKUP($G213,為替!$A:$AX,$L213,FALSE)))</f>
        <v/>
      </c>
      <c r="N213" s="204" t="str">
        <f t="shared" si="22"/>
        <v/>
      </c>
      <c r="O213" s="205" t="str">
        <f t="shared" si="18"/>
        <v/>
      </c>
      <c r="P213" s="206" t="str">
        <f t="shared" si="23"/>
        <v/>
      </c>
    </row>
    <row r="214" spans="3:16" x14ac:dyDescent="0.4">
      <c r="C214" s="199"/>
      <c r="D214" s="200"/>
      <c r="E214" s="201"/>
      <c r="F214" s="199"/>
      <c r="H214" s="202"/>
      <c r="I214" s="185" t="str">
        <f t="shared" si="19"/>
        <v/>
      </c>
      <c r="J214" s="203" t="str">
        <f>IF($H214="USD",IF(OR($I214="",$I214="-"),"",VLOOKUP($G214,為替!$A:$AX,$I214,FALSE))+$J$3,IF(OR($I214="",$I214="-"),"",VLOOKUP($G214,為替!$A:$AX,$I214,FALSE)))</f>
        <v/>
      </c>
      <c r="K214" s="204" t="str">
        <f t="shared" si="20"/>
        <v/>
      </c>
      <c r="L214" s="188" t="str">
        <f t="shared" si="21"/>
        <v/>
      </c>
      <c r="M214" s="203" t="str">
        <f>IF($H214="USD",IF(OR($L214="",$L214="-"),"",VLOOKUP($G214,為替!$A:$AX,$L214,FALSE))+$K$3,IF(OR($L214="",$L214="-"),"",VLOOKUP($G214,為替!$A:$AX,$L214,FALSE)))</f>
        <v/>
      </c>
      <c r="N214" s="204" t="str">
        <f t="shared" si="22"/>
        <v/>
      </c>
      <c r="O214" s="205" t="str">
        <f t="shared" si="18"/>
        <v/>
      </c>
      <c r="P214" s="206" t="str">
        <f t="shared" si="23"/>
        <v/>
      </c>
    </row>
    <row r="215" spans="3:16" x14ac:dyDescent="0.4">
      <c r="C215" s="199"/>
      <c r="D215" s="200"/>
      <c r="E215" s="201"/>
      <c r="F215" s="199"/>
      <c r="H215" s="202"/>
      <c r="I215" s="185" t="str">
        <f t="shared" si="19"/>
        <v/>
      </c>
      <c r="J215" s="203" t="str">
        <f>IF($H215="USD",IF(OR($I215="",$I215="-"),"",VLOOKUP($G215,為替!$A:$AX,$I215,FALSE))+$J$3,IF(OR($I215="",$I215="-"),"",VLOOKUP($G215,為替!$A:$AX,$I215,FALSE)))</f>
        <v/>
      </c>
      <c r="K215" s="204" t="str">
        <f t="shared" si="20"/>
        <v/>
      </c>
      <c r="L215" s="188" t="str">
        <f t="shared" si="21"/>
        <v/>
      </c>
      <c r="M215" s="203" t="str">
        <f>IF($H215="USD",IF(OR($L215="",$L215="-"),"",VLOOKUP($G215,為替!$A:$AX,$L215,FALSE))+$K$3,IF(OR($L215="",$L215="-"),"",VLOOKUP($G215,為替!$A:$AX,$L215,FALSE)))</f>
        <v/>
      </c>
      <c r="N215" s="204" t="str">
        <f t="shared" si="22"/>
        <v/>
      </c>
      <c r="O215" s="205" t="str">
        <f t="shared" si="18"/>
        <v/>
      </c>
      <c r="P215" s="206" t="str">
        <f t="shared" si="23"/>
        <v/>
      </c>
    </row>
    <row r="216" spans="3:16" x14ac:dyDescent="0.4">
      <c r="C216" s="199"/>
      <c r="D216" s="200"/>
      <c r="E216" s="201"/>
      <c r="F216" s="199"/>
      <c r="H216" s="202"/>
      <c r="I216" s="185" t="str">
        <f t="shared" si="19"/>
        <v/>
      </c>
      <c r="J216" s="203" t="str">
        <f>IF($H216="USD",IF(OR($I216="",$I216="-"),"",VLOOKUP($G216,為替!$A:$AX,$I216,FALSE))+$J$3,IF(OR($I216="",$I216="-"),"",VLOOKUP($G216,為替!$A:$AX,$I216,FALSE)))</f>
        <v/>
      </c>
      <c r="K216" s="204" t="str">
        <f t="shared" si="20"/>
        <v/>
      </c>
      <c r="L216" s="188" t="str">
        <f t="shared" si="21"/>
        <v/>
      </c>
      <c r="M216" s="203" t="str">
        <f>IF($H216="USD",IF(OR($L216="",$L216="-"),"",VLOOKUP($G216,為替!$A:$AX,$L216,FALSE))+$K$3,IF(OR($L216="",$L216="-"),"",VLOOKUP($G216,為替!$A:$AX,$L216,FALSE)))</f>
        <v/>
      </c>
      <c r="N216" s="204" t="str">
        <f t="shared" si="22"/>
        <v/>
      </c>
      <c r="O216" s="205" t="str">
        <f t="shared" si="18"/>
        <v/>
      </c>
      <c r="P216" s="206" t="str">
        <f t="shared" si="23"/>
        <v/>
      </c>
    </row>
    <row r="217" spans="3:16" x14ac:dyDescent="0.4">
      <c r="C217" s="199"/>
      <c r="D217" s="200"/>
      <c r="E217" s="201"/>
      <c r="F217" s="199"/>
      <c r="H217" s="202"/>
      <c r="I217" s="185" t="str">
        <f t="shared" si="19"/>
        <v/>
      </c>
      <c r="J217" s="203" t="str">
        <f>IF($H217="USD",IF(OR($I217="",$I217="-"),"",VLOOKUP($G217,為替!$A:$AX,$I217,FALSE))+$J$3,IF(OR($I217="",$I217="-"),"",VLOOKUP($G217,為替!$A:$AX,$I217,FALSE)))</f>
        <v/>
      </c>
      <c r="K217" s="204" t="str">
        <f t="shared" si="20"/>
        <v/>
      </c>
      <c r="L217" s="188" t="str">
        <f t="shared" si="21"/>
        <v/>
      </c>
      <c r="M217" s="203" t="str">
        <f>IF($H217="USD",IF(OR($L217="",$L217="-"),"",VLOOKUP($G217,為替!$A:$AX,$L217,FALSE))+$K$3,IF(OR($L217="",$L217="-"),"",VLOOKUP($G217,為替!$A:$AX,$L217,FALSE)))</f>
        <v/>
      </c>
      <c r="N217" s="204" t="str">
        <f t="shared" si="22"/>
        <v/>
      </c>
      <c r="O217" s="205" t="str">
        <f t="shared" si="18"/>
        <v/>
      </c>
      <c r="P217" s="206" t="str">
        <f t="shared" si="23"/>
        <v/>
      </c>
    </row>
    <row r="218" spans="3:16" x14ac:dyDescent="0.4">
      <c r="C218" s="199"/>
      <c r="D218" s="200"/>
      <c r="E218" s="201"/>
      <c r="F218" s="199"/>
      <c r="H218" s="202"/>
      <c r="I218" s="185" t="str">
        <f t="shared" si="19"/>
        <v/>
      </c>
      <c r="J218" s="203" t="str">
        <f>IF($H218="USD",IF(OR($I218="",$I218="-"),"",VLOOKUP($G218,為替!$A:$AX,$I218,FALSE))+$J$3,IF(OR($I218="",$I218="-"),"",VLOOKUP($G218,為替!$A:$AX,$I218,FALSE)))</f>
        <v/>
      </c>
      <c r="K218" s="204" t="str">
        <f t="shared" si="20"/>
        <v/>
      </c>
      <c r="L218" s="188" t="str">
        <f t="shared" si="21"/>
        <v/>
      </c>
      <c r="M218" s="203" t="str">
        <f>IF($H218="USD",IF(OR($L218="",$L218="-"),"",VLOOKUP($G218,為替!$A:$AX,$L218,FALSE))+$K$3,IF(OR($L218="",$L218="-"),"",VLOOKUP($G218,為替!$A:$AX,$L218,FALSE)))</f>
        <v/>
      </c>
      <c r="N218" s="204" t="str">
        <f t="shared" si="22"/>
        <v/>
      </c>
      <c r="O218" s="205" t="str">
        <f t="shared" si="18"/>
        <v/>
      </c>
      <c r="P218" s="206" t="str">
        <f t="shared" si="23"/>
        <v/>
      </c>
    </row>
    <row r="219" spans="3:16" x14ac:dyDescent="0.4">
      <c r="C219" s="199"/>
      <c r="D219" s="200"/>
      <c r="E219" s="201"/>
      <c r="F219" s="199"/>
      <c r="H219" s="202"/>
      <c r="I219" s="185" t="str">
        <f t="shared" si="19"/>
        <v/>
      </c>
      <c r="J219" s="203" t="str">
        <f>IF($H219="USD",IF(OR($I219="",$I219="-"),"",VLOOKUP($G219,為替!$A:$AX,$I219,FALSE))+$J$3,IF(OR($I219="",$I219="-"),"",VLOOKUP($G219,為替!$A:$AX,$I219,FALSE)))</f>
        <v/>
      </c>
      <c r="K219" s="204" t="str">
        <f t="shared" si="20"/>
        <v/>
      </c>
      <c r="L219" s="188" t="str">
        <f t="shared" si="21"/>
        <v/>
      </c>
      <c r="M219" s="203" t="str">
        <f>IF($H219="USD",IF(OR($L219="",$L219="-"),"",VLOOKUP($G219,為替!$A:$AX,$L219,FALSE))+$K$3,IF(OR($L219="",$L219="-"),"",VLOOKUP($G219,為替!$A:$AX,$L219,FALSE)))</f>
        <v/>
      </c>
      <c r="N219" s="204" t="str">
        <f t="shared" si="22"/>
        <v/>
      </c>
      <c r="O219" s="205" t="str">
        <f t="shared" si="18"/>
        <v/>
      </c>
      <c r="P219" s="206" t="str">
        <f t="shared" si="23"/>
        <v/>
      </c>
    </row>
    <row r="220" spans="3:16" x14ac:dyDescent="0.4">
      <c r="C220" s="199"/>
      <c r="D220" s="200"/>
      <c r="E220" s="201"/>
      <c r="F220" s="199"/>
      <c r="H220" s="202"/>
      <c r="I220" s="185" t="str">
        <f t="shared" si="19"/>
        <v/>
      </c>
      <c r="J220" s="203" t="str">
        <f>IF($H220="USD",IF(OR($I220="",$I220="-"),"",VLOOKUP($G220,為替!$A:$AX,$I220,FALSE))+$J$3,IF(OR($I220="",$I220="-"),"",VLOOKUP($G220,為替!$A:$AX,$I220,FALSE)))</f>
        <v/>
      </c>
      <c r="K220" s="204" t="str">
        <f t="shared" si="20"/>
        <v/>
      </c>
      <c r="L220" s="188" t="str">
        <f t="shared" si="21"/>
        <v/>
      </c>
      <c r="M220" s="203" t="str">
        <f>IF($H220="USD",IF(OR($L220="",$L220="-"),"",VLOOKUP($G220,為替!$A:$AX,$L220,FALSE))+$K$3,IF(OR($L220="",$L220="-"),"",VLOOKUP($G220,為替!$A:$AX,$L220,FALSE)))</f>
        <v/>
      </c>
      <c r="N220" s="204" t="str">
        <f t="shared" si="22"/>
        <v/>
      </c>
      <c r="O220" s="205" t="str">
        <f t="shared" si="18"/>
        <v/>
      </c>
      <c r="P220" s="206" t="str">
        <f t="shared" si="23"/>
        <v/>
      </c>
    </row>
    <row r="221" spans="3:16" x14ac:dyDescent="0.4">
      <c r="C221" s="199"/>
      <c r="D221" s="200"/>
      <c r="E221" s="201"/>
      <c r="F221" s="199"/>
      <c r="H221" s="202"/>
      <c r="I221" s="185" t="str">
        <f t="shared" si="19"/>
        <v/>
      </c>
      <c r="J221" s="203" t="str">
        <f>IF($H221="USD",IF(OR($I221="",$I221="-"),"",VLOOKUP($G221,為替!$A:$AX,$I221,FALSE))+$J$3,IF(OR($I221="",$I221="-"),"",VLOOKUP($G221,為替!$A:$AX,$I221,FALSE)))</f>
        <v/>
      </c>
      <c r="K221" s="204" t="str">
        <f t="shared" si="20"/>
        <v/>
      </c>
      <c r="L221" s="188" t="str">
        <f t="shared" si="21"/>
        <v/>
      </c>
      <c r="M221" s="203" t="str">
        <f>IF($H221="USD",IF(OR($L221="",$L221="-"),"",VLOOKUP($G221,為替!$A:$AX,$L221,FALSE))+$K$3,IF(OR($L221="",$L221="-"),"",VLOOKUP($G221,為替!$A:$AX,$L221,FALSE)))</f>
        <v/>
      </c>
      <c r="N221" s="204" t="str">
        <f t="shared" si="22"/>
        <v/>
      </c>
      <c r="O221" s="205" t="str">
        <f t="shared" si="18"/>
        <v/>
      </c>
      <c r="P221" s="206" t="str">
        <f t="shared" si="23"/>
        <v/>
      </c>
    </row>
    <row r="222" spans="3:16" x14ac:dyDescent="0.4">
      <c r="C222" s="199"/>
      <c r="D222" s="200"/>
      <c r="E222" s="201"/>
      <c r="F222" s="199"/>
      <c r="H222" s="202"/>
      <c r="I222" s="185" t="str">
        <f t="shared" si="19"/>
        <v/>
      </c>
      <c r="J222" s="203" t="str">
        <f>IF($H222="USD",IF(OR($I222="",$I222="-"),"",VLOOKUP($G222,為替!$A:$AX,$I222,FALSE))+$J$3,IF(OR($I222="",$I222="-"),"",VLOOKUP($G222,為替!$A:$AX,$I222,FALSE)))</f>
        <v/>
      </c>
      <c r="K222" s="204" t="str">
        <f t="shared" si="20"/>
        <v/>
      </c>
      <c r="L222" s="188" t="str">
        <f t="shared" si="21"/>
        <v/>
      </c>
      <c r="M222" s="203" t="str">
        <f>IF($H222="USD",IF(OR($L222="",$L222="-"),"",VLOOKUP($G222,為替!$A:$AX,$L222,FALSE))+$K$3,IF(OR($L222="",$L222="-"),"",VLOOKUP($G222,為替!$A:$AX,$L222,FALSE)))</f>
        <v/>
      </c>
      <c r="N222" s="204" t="str">
        <f t="shared" si="22"/>
        <v/>
      </c>
      <c r="O222" s="205" t="str">
        <f t="shared" si="18"/>
        <v/>
      </c>
      <c r="P222" s="206" t="str">
        <f t="shared" si="23"/>
        <v/>
      </c>
    </row>
    <row r="223" spans="3:16" x14ac:dyDescent="0.4">
      <c r="C223" s="199"/>
      <c r="D223" s="200"/>
      <c r="E223" s="201"/>
      <c r="F223" s="199"/>
      <c r="H223" s="202"/>
      <c r="I223" s="185" t="str">
        <f t="shared" si="19"/>
        <v/>
      </c>
      <c r="J223" s="203" t="str">
        <f>IF($H223="USD",IF(OR($I223="",$I223="-"),"",VLOOKUP($G223,為替!$A:$AX,$I223,FALSE))+$J$3,IF(OR($I223="",$I223="-"),"",VLOOKUP($G223,為替!$A:$AX,$I223,FALSE)))</f>
        <v/>
      </c>
      <c r="K223" s="204" t="str">
        <f t="shared" si="20"/>
        <v/>
      </c>
      <c r="L223" s="188" t="str">
        <f t="shared" si="21"/>
        <v/>
      </c>
      <c r="M223" s="203" t="str">
        <f>IF($H223="USD",IF(OR($L223="",$L223="-"),"",VLOOKUP($G223,為替!$A:$AX,$L223,FALSE))+$K$3,IF(OR($L223="",$L223="-"),"",VLOOKUP($G223,為替!$A:$AX,$L223,FALSE)))</f>
        <v/>
      </c>
      <c r="N223" s="204" t="str">
        <f t="shared" si="22"/>
        <v/>
      </c>
      <c r="O223" s="205" t="str">
        <f t="shared" si="18"/>
        <v/>
      </c>
      <c r="P223" s="206" t="str">
        <f t="shared" si="23"/>
        <v/>
      </c>
    </row>
    <row r="224" spans="3:16" x14ac:dyDescent="0.4">
      <c r="C224" s="199"/>
      <c r="D224" s="200"/>
      <c r="E224" s="201"/>
      <c r="F224" s="199"/>
      <c r="H224" s="202"/>
      <c r="I224" s="185" t="str">
        <f t="shared" si="19"/>
        <v/>
      </c>
      <c r="J224" s="203" t="str">
        <f>IF($H224="USD",IF(OR($I224="",$I224="-"),"",VLOOKUP($G224,為替!$A:$AX,$I224,FALSE))+$J$3,IF(OR($I224="",$I224="-"),"",VLOOKUP($G224,為替!$A:$AX,$I224,FALSE)))</f>
        <v/>
      </c>
      <c r="K224" s="204" t="str">
        <f t="shared" si="20"/>
        <v/>
      </c>
      <c r="L224" s="188" t="str">
        <f t="shared" si="21"/>
        <v/>
      </c>
      <c r="M224" s="203" t="str">
        <f>IF($H224="USD",IF(OR($L224="",$L224="-"),"",VLOOKUP($G224,為替!$A:$AX,$L224,FALSE))+$K$3,IF(OR($L224="",$L224="-"),"",VLOOKUP($G224,為替!$A:$AX,$L224,FALSE)))</f>
        <v/>
      </c>
      <c r="N224" s="204" t="str">
        <f t="shared" si="22"/>
        <v/>
      </c>
      <c r="O224" s="205" t="str">
        <f t="shared" si="18"/>
        <v/>
      </c>
      <c r="P224" s="206" t="str">
        <f t="shared" si="23"/>
        <v/>
      </c>
    </row>
    <row r="225" spans="3:16" x14ac:dyDescent="0.4">
      <c r="C225" s="199"/>
      <c r="D225" s="200"/>
      <c r="E225" s="201"/>
      <c r="F225" s="199"/>
      <c r="H225" s="202"/>
      <c r="I225" s="185" t="str">
        <f t="shared" si="19"/>
        <v/>
      </c>
      <c r="J225" s="203" t="str">
        <f>IF($H225="USD",IF(OR($I225="",$I225="-"),"",VLOOKUP($G225,為替!$A:$AX,$I225,FALSE))+$J$3,IF(OR($I225="",$I225="-"),"",VLOOKUP($G225,為替!$A:$AX,$I225,FALSE)))</f>
        <v/>
      </c>
      <c r="K225" s="204" t="str">
        <f t="shared" si="20"/>
        <v/>
      </c>
      <c r="L225" s="188" t="str">
        <f t="shared" si="21"/>
        <v/>
      </c>
      <c r="M225" s="203" t="str">
        <f>IF($H225="USD",IF(OR($L225="",$L225="-"),"",VLOOKUP($G225,為替!$A:$AX,$L225,FALSE))+$K$3,IF(OR($L225="",$L225="-"),"",VLOOKUP($G225,為替!$A:$AX,$L225,FALSE)))</f>
        <v/>
      </c>
      <c r="N225" s="204" t="str">
        <f t="shared" si="22"/>
        <v/>
      </c>
      <c r="O225" s="205" t="str">
        <f t="shared" si="18"/>
        <v/>
      </c>
      <c r="P225" s="206" t="str">
        <f t="shared" si="23"/>
        <v/>
      </c>
    </row>
    <row r="226" spans="3:16" x14ac:dyDescent="0.4">
      <c r="C226" s="199"/>
      <c r="D226" s="200"/>
      <c r="E226" s="201"/>
      <c r="F226" s="199"/>
      <c r="H226" s="202"/>
      <c r="I226" s="185" t="str">
        <f t="shared" si="19"/>
        <v/>
      </c>
      <c r="J226" s="203" t="str">
        <f>IF($H226="USD",IF(OR($I226="",$I226="-"),"",VLOOKUP($G226,為替!$A:$AX,$I226,FALSE))+$J$3,IF(OR($I226="",$I226="-"),"",VLOOKUP($G226,為替!$A:$AX,$I226,FALSE)))</f>
        <v/>
      </c>
      <c r="K226" s="204" t="str">
        <f t="shared" si="20"/>
        <v/>
      </c>
      <c r="L226" s="188" t="str">
        <f t="shared" si="21"/>
        <v/>
      </c>
      <c r="M226" s="203" t="str">
        <f>IF($H226="USD",IF(OR($L226="",$L226="-"),"",VLOOKUP($G226,為替!$A:$AX,$L226,FALSE))+$K$3,IF(OR($L226="",$L226="-"),"",VLOOKUP($G226,為替!$A:$AX,$L226,FALSE)))</f>
        <v/>
      </c>
      <c r="N226" s="204" t="str">
        <f t="shared" si="22"/>
        <v/>
      </c>
      <c r="O226" s="205" t="str">
        <f t="shared" si="18"/>
        <v/>
      </c>
      <c r="P226" s="206" t="str">
        <f t="shared" si="23"/>
        <v/>
      </c>
    </row>
    <row r="227" spans="3:16" x14ac:dyDescent="0.4">
      <c r="C227" s="199"/>
      <c r="D227" s="200"/>
      <c r="E227" s="201"/>
      <c r="F227" s="199"/>
      <c r="H227" s="202"/>
      <c r="I227" s="185" t="str">
        <f t="shared" si="19"/>
        <v/>
      </c>
      <c r="J227" s="203" t="str">
        <f>IF($H227="USD",IF(OR($I227="",$I227="-"),"",VLOOKUP($G227,為替!$A:$AX,$I227,FALSE))+$J$3,IF(OR($I227="",$I227="-"),"",VLOOKUP($G227,為替!$A:$AX,$I227,FALSE)))</f>
        <v/>
      </c>
      <c r="K227" s="204" t="str">
        <f t="shared" si="20"/>
        <v/>
      </c>
      <c r="L227" s="188" t="str">
        <f t="shared" si="21"/>
        <v/>
      </c>
      <c r="M227" s="203" t="str">
        <f>IF($H227="USD",IF(OR($L227="",$L227="-"),"",VLOOKUP($G227,為替!$A:$AX,$L227,FALSE))+$K$3,IF(OR($L227="",$L227="-"),"",VLOOKUP($G227,為替!$A:$AX,$L227,FALSE)))</f>
        <v/>
      </c>
      <c r="N227" s="204" t="str">
        <f t="shared" si="22"/>
        <v/>
      </c>
      <c r="O227" s="205" t="str">
        <f t="shared" si="18"/>
        <v/>
      </c>
      <c r="P227" s="206" t="str">
        <f t="shared" si="23"/>
        <v/>
      </c>
    </row>
    <row r="228" spans="3:16" x14ac:dyDescent="0.4">
      <c r="C228" s="199"/>
      <c r="D228" s="200"/>
      <c r="E228" s="201"/>
      <c r="F228" s="199"/>
      <c r="H228" s="202"/>
      <c r="I228" s="185" t="str">
        <f t="shared" si="19"/>
        <v/>
      </c>
      <c r="J228" s="203" t="str">
        <f>IF($H228="USD",IF(OR($I228="",$I228="-"),"",VLOOKUP($G228,為替!$A:$AX,$I228,FALSE))+$J$3,IF(OR($I228="",$I228="-"),"",VLOOKUP($G228,為替!$A:$AX,$I228,FALSE)))</f>
        <v/>
      </c>
      <c r="K228" s="204" t="str">
        <f t="shared" si="20"/>
        <v/>
      </c>
      <c r="L228" s="188" t="str">
        <f t="shared" si="21"/>
        <v/>
      </c>
      <c r="M228" s="203" t="str">
        <f>IF($H228="USD",IF(OR($L228="",$L228="-"),"",VLOOKUP($G228,為替!$A:$AX,$L228,FALSE))+$K$3,IF(OR($L228="",$L228="-"),"",VLOOKUP($G228,為替!$A:$AX,$L228,FALSE)))</f>
        <v/>
      </c>
      <c r="N228" s="204" t="str">
        <f t="shared" si="22"/>
        <v/>
      </c>
      <c r="O228" s="205" t="str">
        <f t="shared" si="18"/>
        <v/>
      </c>
      <c r="P228" s="206" t="str">
        <f t="shared" si="23"/>
        <v/>
      </c>
    </row>
    <row r="229" spans="3:16" x14ac:dyDescent="0.4">
      <c r="C229" s="199"/>
      <c r="D229" s="200"/>
      <c r="E229" s="201"/>
      <c r="F229" s="199"/>
      <c r="H229" s="202"/>
      <c r="I229" s="185" t="str">
        <f t="shared" si="19"/>
        <v/>
      </c>
      <c r="J229" s="203" t="str">
        <f>IF($H229="USD",IF(OR($I229="",$I229="-"),"",VLOOKUP($G229,為替!$A:$AX,$I229,FALSE))+$J$3,IF(OR($I229="",$I229="-"),"",VLOOKUP($G229,為替!$A:$AX,$I229,FALSE)))</f>
        <v/>
      </c>
      <c r="K229" s="204" t="str">
        <f t="shared" si="20"/>
        <v/>
      </c>
      <c r="L229" s="188" t="str">
        <f t="shared" si="21"/>
        <v/>
      </c>
      <c r="M229" s="203" t="str">
        <f>IF($H229="USD",IF(OR($L229="",$L229="-"),"",VLOOKUP($G229,為替!$A:$AX,$L229,FALSE))+$K$3,IF(OR($L229="",$L229="-"),"",VLOOKUP($G229,為替!$A:$AX,$L229,FALSE)))</f>
        <v/>
      </c>
      <c r="N229" s="204" t="str">
        <f t="shared" si="22"/>
        <v/>
      </c>
      <c r="O229" s="205" t="str">
        <f t="shared" si="18"/>
        <v/>
      </c>
      <c r="P229" s="206" t="str">
        <f t="shared" si="23"/>
        <v/>
      </c>
    </row>
    <row r="230" spans="3:16" x14ac:dyDescent="0.4">
      <c r="C230" s="199"/>
      <c r="D230" s="200"/>
      <c r="E230" s="201"/>
      <c r="F230" s="199"/>
      <c r="H230" s="202"/>
      <c r="I230" s="185" t="str">
        <f t="shared" si="19"/>
        <v/>
      </c>
      <c r="J230" s="203" t="str">
        <f>IF($H230="USD",IF(OR($I230="",$I230="-"),"",VLOOKUP($G230,為替!$A:$AX,$I230,FALSE))+$J$3,IF(OR($I230="",$I230="-"),"",VLOOKUP($G230,為替!$A:$AX,$I230,FALSE)))</f>
        <v/>
      </c>
      <c r="K230" s="204" t="str">
        <f t="shared" si="20"/>
        <v/>
      </c>
      <c r="L230" s="188" t="str">
        <f t="shared" si="21"/>
        <v/>
      </c>
      <c r="M230" s="203" t="str">
        <f>IF($H230="USD",IF(OR($L230="",$L230="-"),"",VLOOKUP($G230,為替!$A:$AX,$L230,FALSE))+$K$3,IF(OR($L230="",$L230="-"),"",VLOOKUP($G230,為替!$A:$AX,$L230,FALSE)))</f>
        <v/>
      </c>
      <c r="N230" s="204" t="str">
        <f t="shared" si="22"/>
        <v/>
      </c>
      <c r="O230" s="205" t="str">
        <f t="shared" si="18"/>
        <v/>
      </c>
      <c r="P230" s="206" t="str">
        <f t="shared" si="23"/>
        <v/>
      </c>
    </row>
    <row r="231" spans="3:16" x14ac:dyDescent="0.4">
      <c r="C231" s="199"/>
      <c r="D231" s="200"/>
      <c r="E231" s="201"/>
      <c r="F231" s="199"/>
      <c r="H231" s="202"/>
      <c r="I231" s="185" t="str">
        <f t="shared" si="19"/>
        <v/>
      </c>
      <c r="J231" s="203" t="str">
        <f>IF($H231="USD",IF(OR($I231="",$I231="-"),"",VLOOKUP($G231,為替!$A:$AX,$I231,FALSE))+$J$3,IF(OR($I231="",$I231="-"),"",VLOOKUP($G231,為替!$A:$AX,$I231,FALSE)))</f>
        <v/>
      </c>
      <c r="K231" s="204" t="str">
        <f t="shared" si="20"/>
        <v/>
      </c>
      <c r="L231" s="188" t="str">
        <f t="shared" si="21"/>
        <v/>
      </c>
      <c r="M231" s="203" t="str">
        <f>IF($H231="USD",IF(OR($L231="",$L231="-"),"",VLOOKUP($G231,為替!$A:$AX,$L231,FALSE))+$K$3,IF(OR($L231="",$L231="-"),"",VLOOKUP($G231,為替!$A:$AX,$L231,FALSE)))</f>
        <v/>
      </c>
      <c r="N231" s="204" t="str">
        <f t="shared" si="22"/>
        <v/>
      </c>
      <c r="O231" s="205" t="str">
        <f t="shared" si="18"/>
        <v/>
      </c>
      <c r="P231" s="206" t="str">
        <f t="shared" si="23"/>
        <v/>
      </c>
    </row>
    <row r="232" spans="3:16" x14ac:dyDescent="0.4">
      <c r="C232" s="199"/>
      <c r="D232" s="200"/>
      <c r="E232" s="201"/>
      <c r="F232" s="199"/>
      <c r="H232" s="202"/>
      <c r="I232" s="185" t="str">
        <f t="shared" si="19"/>
        <v/>
      </c>
      <c r="J232" s="203" t="str">
        <f>IF($H232="USD",IF(OR($I232="",$I232="-"),"",VLOOKUP($G232,為替!$A:$AX,$I232,FALSE))+$J$3,IF(OR($I232="",$I232="-"),"",VLOOKUP($G232,為替!$A:$AX,$I232,FALSE)))</f>
        <v/>
      </c>
      <c r="K232" s="204" t="str">
        <f t="shared" si="20"/>
        <v/>
      </c>
      <c r="L232" s="188" t="str">
        <f t="shared" si="21"/>
        <v/>
      </c>
      <c r="M232" s="203" t="str">
        <f>IF($H232="USD",IF(OR($L232="",$L232="-"),"",VLOOKUP($G232,為替!$A:$AX,$L232,FALSE))+$K$3,IF(OR($L232="",$L232="-"),"",VLOOKUP($G232,為替!$A:$AX,$L232,FALSE)))</f>
        <v/>
      </c>
      <c r="N232" s="204" t="str">
        <f t="shared" si="22"/>
        <v/>
      </c>
      <c r="O232" s="205" t="str">
        <f t="shared" si="18"/>
        <v/>
      </c>
      <c r="P232" s="206" t="str">
        <f t="shared" si="23"/>
        <v/>
      </c>
    </row>
    <row r="233" spans="3:16" x14ac:dyDescent="0.4">
      <c r="C233" s="199"/>
      <c r="D233" s="200"/>
      <c r="E233" s="201"/>
      <c r="F233" s="199"/>
      <c r="H233" s="202"/>
      <c r="I233" s="185" t="str">
        <f t="shared" si="19"/>
        <v/>
      </c>
      <c r="J233" s="203" t="str">
        <f>IF($H233="USD",IF(OR($I233="",$I233="-"),"",VLOOKUP($G233,為替!$A:$AX,$I233,FALSE))+$J$3,IF(OR($I233="",$I233="-"),"",VLOOKUP($G233,為替!$A:$AX,$I233,FALSE)))</f>
        <v/>
      </c>
      <c r="K233" s="204" t="str">
        <f t="shared" si="20"/>
        <v/>
      </c>
      <c r="L233" s="188" t="str">
        <f t="shared" si="21"/>
        <v/>
      </c>
      <c r="M233" s="203" t="str">
        <f>IF($H233="USD",IF(OR($L233="",$L233="-"),"",VLOOKUP($G233,為替!$A:$AX,$L233,FALSE))+$K$3,IF(OR($L233="",$L233="-"),"",VLOOKUP($G233,為替!$A:$AX,$L233,FALSE)))</f>
        <v/>
      </c>
      <c r="N233" s="204" t="str">
        <f t="shared" si="22"/>
        <v/>
      </c>
      <c r="O233" s="205" t="str">
        <f t="shared" si="18"/>
        <v/>
      </c>
      <c r="P233" s="206" t="str">
        <f t="shared" si="23"/>
        <v/>
      </c>
    </row>
    <row r="234" spans="3:16" x14ac:dyDescent="0.4">
      <c r="C234" s="199"/>
      <c r="D234" s="200"/>
      <c r="E234" s="201"/>
      <c r="F234" s="199"/>
      <c r="H234" s="202"/>
      <c r="I234" s="185" t="str">
        <f t="shared" si="19"/>
        <v/>
      </c>
      <c r="J234" s="203" t="str">
        <f>IF($H234="USD",IF(OR($I234="",$I234="-"),"",VLOOKUP($G234,為替!$A:$AX,$I234,FALSE))+$J$3,IF(OR($I234="",$I234="-"),"",VLOOKUP($G234,為替!$A:$AX,$I234,FALSE)))</f>
        <v/>
      </c>
      <c r="K234" s="204" t="str">
        <f t="shared" si="20"/>
        <v/>
      </c>
      <c r="L234" s="188" t="str">
        <f t="shared" si="21"/>
        <v/>
      </c>
      <c r="M234" s="203" t="str">
        <f>IF($H234="USD",IF(OR($L234="",$L234="-"),"",VLOOKUP($G234,為替!$A:$AX,$L234,FALSE))+$K$3,IF(OR($L234="",$L234="-"),"",VLOOKUP($G234,為替!$A:$AX,$L234,FALSE)))</f>
        <v/>
      </c>
      <c r="N234" s="204" t="str">
        <f t="shared" si="22"/>
        <v/>
      </c>
      <c r="O234" s="205" t="str">
        <f t="shared" si="18"/>
        <v/>
      </c>
      <c r="P234" s="206" t="str">
        <f t="shared" si="23"/>
        <v/>
      </c>
    </row>
    <row r="235" spans="3:16" x14ac:dyDescent="0.4">
      <c r="C235" s="199"/>
      <c r="D235" s="200"/>
      <c r="E235" s="201"/>
      <c r="F235" s="199"/>
      <c r="H235" s="202"/>
      <c r="I235" s="185" t="str">
        <f t="shared" si="19"/>
        <v/>
      </c>
      <c r="J235" s="203" t="str">
        <f>IF($H235="USD",IF(OR($I235="",$I235="-"),"",VLOOKUP($G235,為替!$A:$AX,$I235,FALSE))+$J$3,IF(OR($I235="",$I235="-"),"",VLOOKUP($G235,為替!$A:$AX,$I235,FALSE)))</f>
        <v/>
      </c>
      <c r="K235" s="204" t="str">
        <f t="shared" si="20"/>
        <v/>
      </c>
      <c r="L235" s="188" t="str">
        <f t="shared" si="21"/>
        <v/>
      </c>
      <c r="M235" s="203" t="str">
        <f>IF($H235="USD",IF(OR($L235="",$L235="-"),"",VLOOKUP($G235,為替!$A:$AX,$L235,FALSE))+$K$3,IF(OR($L235="",$L235="-"),"",VLOOKUP($G235,為替!$A:$AX,$L235,FALSE)))</f>
        <v/>
      </c>
      <c r="N235" s="204" t="str">
        <f t="shared" si="22"/>
        <v/>
      </c>
      <c r="O235" s="205" t="str">
        <f t="shared" si="18"/>
        <v/>
      </c>
      <c r="P235" s="206" t="str">
        <f t="shared" si="23"/>
        <v/>
      </c>
    </row>
    <row r="236" spans="3:16" x14ac:dyDescent="0.4">
      <c r="C236" s="199"/>
      <c r="D236" s="200"/>
      <c r="E236" s="201"/>
      <c r="F236" s="199"/>
      <c r="H236" s="202"/>
      <c r="I236" s="185" t="str">
        <f t="shared" si="19"/>
        <v/>
      </c>
      <c r="J236" s="203" t="str">
        <f>IF($H236="USD",IF(OR($I236="",$I236="-"),"",VLOOKUP($G236,為替!$A:$AX,$I236,FALSE))+$J$3,IF(OR($I236="",$I236="-"),"",VLOOKUP($G236,為替!$A:$AX,$I236,FALSE)))</f>
        <v/>
      </c>
      <c r="K236" s="204" t="str">
        <f t="shared" si="20"/>
        <v/>
      </c>
      <c r="L236" s="188" t="str">
        <f t="shared" si="21"/>
        <v/>
      </c>
      <c r="M236" s="203" t="str">
        <f>IF($H236="USD",IF(OR($L236="",$L236="-"),"",VLOOKUP($G236,為替!$A:$AX,$L236,FALSE))+$K$3,IF(OR($L236="",$L236="-"),"",VLOOKUP($G236,為替!$A:$AX,$L236,FALSE)))</f>
        <v/>
      </c>
      <c r="N236" s="204" t="str">
        <f t="shared" si="22"/>
        <v/>
      </c>
      <c r="O236" s="205" t="str">
        <f t="shared" si="18"/>
        <v/>
      </c>
      <c r="P236" s="206" t="str">
        <f t="shared" si="23"/>
        <v/>
      </c>
    </row>
    <row r="237" spans="3:16" x14ac:dyDescent="0.4">
      <c r="C237" s="199"/>
      <c r="D237" s="200"/>
      <c r="E237" s="201"/>
      <c r="F237" s="199"/>
      <c r="H237" s="202"/>
      <c r="I237" s="185" t="str">
        <f t="shared" si="19"/>
        <v/>
      </c>
      <c r="J237" s="203" t="str">
        <f>IF($H237="USD",IF(OR($I237="",$I237="-"),"",VLOOKUP($G237,為替!$A:$AX,$I237,FALSE))+$J$3,IF(OR($I237="",$I237="-"),"",VLOOKUP($G237,為替!$A:$AX,$I237,FALSE)))</f>
        <v/>
      </c>
      <c r="K237" s="204" t="str">
        <f t="shared" si="20"/>
        <v/>
      </c>
      <c r="L237" s="188" t="str">
        <f t="shared" si="21"/>
        <v/>
      </c>
      <c r="M237" s="203" t="str">
        <f>IF($H237="USD",IF(OR($L237="",$L237="-"),"",VLOOKUP($G237,為替!$A:$AX,$L237,FALSE))+$K$3,IF(OR($L237="",$L237="-"),"",VLOOKUP($G237,為替!$A:$AX,$L237,FALSE)))</f>
        <v/>
      </c>
      <c r="N237" s="204" t="str">
        <f t="shared" si="22"/>
        <v/>
      </c>
      <c r="O237" s="205" t="str">
        <f t="shared" si="18"/>
        <v/>
      </c>
      <c r="P237" s="206" t="str">
        <f t="shared" si="23"/>
        <v/>
      </c>
    </row>
    <row r="238" spans="3:16" x14ac:dyDescent="0.4">
      <c r="C238" s="199"/>
      <c r="D238" s="200"/>
      <c r="E238" s="201"/>
      <c r="F238" s="199"/>
      <c r="H238" s="202"/>
      <c r="I238" s="185" t="str">
        <f t="shared" si="19"/>
        <v/>
      </c>
      <c r="J238" s="203" t="str">
        <f>IF($H238="USD",IF(OR($I238="",$I238="-"),"",VLOOKUP($G238,為替!$A:$AX,$I238,FALSE))+$J$3,IF(OR($I238="",$I238="-"),"",VLOOKUP($G238,為替!$A:$AX,$I238,FALSE)))</f>
        <v/>
      </c>
      <c r="K238" s="204" t="str">
        <f t="shared" si="20"/>
        <v/>
      </c>
      <c r="L238" s="188" t="str">
        <f t="shared" si="21"/>
        <v/>
      </c>
      <c r="M238" s="203" t="str">
        <f>IF($H238="USD",IF(OR($L238="",$L238="-"),"",VLOOKUP($G238,為替!$A:$AX,$L238,FALSE))+$K$3,IF(OR($L238="",$L238="-"),"",VLOOKUP($G238,為替!$A:$AX,$L238,FALSE)))</f>
        <v/>
      </c>
      <c r="N238" s="204" t="str">
        <f t="shared" si="22"/>
        <v/>
      </c>
      <c r="O238" s="205" t="str">
        <f t="shared" si="18"/>
        <v/>
      </c>
      <c r="P238" s="206" t="str">
        <f t="shared" si="23"/>
        <v/>
      </c>
    </row>
    <row r="239" spans="3:16" x14ac:dyDescent="0.4">
      <c r="C239" s="199"/>
      <c r="D239" s="200"/>
      <c r="E239" s="201"/>
      <c r="F239" s="199"/>
      <c r="H239" s="202"/>
      <c r="I239" s="185" t="str">
        <f t="shared" si="19"/>
        <v/>
      </c>
      <c r="J239" s="203" t="str">
        <f>IF($H239="USD",IF(OR($I239="",$I239="-"),"",VLOOKUP($G239,為替!$A:$AX,$I239,FALSE))+$J$3,IF(OR($I239="",$I239="-"),"",VLOOKUP($G239,為替!$A:$AX,$I239,FALSE)))</f>
        <v/>
      </c>
      <c r="K239" s="204" t="str">
        <f t="shared" si="20"/>
        <v/>
      </c>
      <c r="L239" s="188" t="str">
        <f t="shared" si="21"/>
        <v/>
      </c>
      <c r="M239" s="203" t="str">
        <f>IF($H239="USD",IF(OR($L239="",$L239="-"),"",VLOOKUP($G239,為替!$A:$AX,$L239,FALSE))+$K$3,IF(OR($L239="",$L239="-"),"",VLOOKUP($G239,為替!$A:$AX,$L239,FALSE)))</f>
        <v/>
      </c>
      <c r="N239" s="204" t="str">
        <f t="shared" si="22"/>
        <v/>
      </c>
      <c r="O239" s="205" t="str">
        <f t="shared" si="18"/>
        <v/>
      </c>
      <c r="P239" s="206" t="str">
        <f t="shared" si="23"/>
        <v/>
      </c>
    </row>
    <row r="240" spans="3:16" x14ac:dyDescent="0.4">
      <c r="C240" s="199"/>
      <c r="D240" s="200"/>
      <c r="E240" s="201"/>
      <c r="F240" s="199"/>
      <c r="H240" s="202"/>
      <c r="I240" s="185" t="str">
        <f t="shared" si="19"/>
        <v/>
      </c>
      <c r="J240" s="203" t="str">
        <f>IF($H240="USD",IF(OR($I240="",$I240="-"),"",VLOOKUP($G240,為替!$A:$AX,$I240,FALSE))+$J$3,IF(OR($I240="",$I240="-"),"",VLOOKUP($G240,為替!$A:$AX,$I240,FALSE)))</f>
        <v/>
      </c>
      <c r="K240" s="204" t="str">
        <f t="shared" si="20"/>
        <v/>
      </c>
      <c r="L240" s="188" t="str">
        <f t="shared" si="21"/>
        <v/>
      </c>
      <c r="M240" s="203" t="str">
        <f>IF($H240="USD",IF(OR($L240="",$L240="-"),"",VLOOKUP($G240,為替!$A:$AX,$L240,FALSE))+$K$3,IF(OR($L240="",$L240="-"),"",VLOOKUP($G240,為替!$A:$AX,$L240,FALSE)))</f>
        <v/>
      </c>
      <c r="N240" s="204" t="str">
        <f t="shared" si="22"/>
        <v/>
      </c>
      <c r="O240" s="205" t="str">
        <f t="shared" si="18"/>
        <v/>
      </c>
      <c r="P240" s="206" t="str">
        <f t="shared" si="23"/>
        <v/>
      </c>
    </row>
    <row r="241" spans="3:16" x14ac:dyDescent="0.4">
      <c r="C241" s="199"/>
      <c r="D241" s="200"/>
      <c r="E241" s="201"/>
      <c r="F241" s="199"/>
      <c r="H241" s="202"/>
      <c r="I241" s="185" t="str">
        <f t="shared" si="19"/>
        <v/>
      </c>
      <c r="J241" s="203" t="str">
        <f>IF($H241="USD",IF(OR($I241="",$I241="-"),"",VLOOKUP($G241,為替!$A:$AX,$I241,FALSE))+$J$3,IF(OR($I241="",$I241="-"),"",VLOOKUP($G241,為替!$A:$AX,$I241,FALSE)))</f>
        <v/>
      </c>
      <c r="K241" s="204" t="str">
        <f t="shared" si="20"/>
        <v/>
      </c>
      <c r="L241" s="188" t="str">
        <f t="shared" si="21"/>
        <v/>
      </c>
      <c r="M241" s="203" t="str">
        <f>IF($H241="USD",IF(OR($L241="",$L241="-"),"",VLOOKUP($G241,為替!$A:$AX,$L241,FALSE))+$K$3,IF(OR($L241="",$L241="-"),"",VLOOKUP($G241,為替!$A:$AX,$L241,FALSE)))</f>
        <v/>
      </c>
      <c r="N241" s="204" t="str">
        <f t="shared" si="22"/>
        <v/>
      </c>
      <c r="O241" s="205" t="str">
        <f t="shared" si="18"/>
        <v/>
      </c>
      <c r="P241" s="206" t="str">
        <f t="shared" si="23"/>
        <v/>
      </c>
    </row>
    <row r="242" spans="3:16" x14ac:dyDescent="0.4">
      <c r="C242" s="199"/>
      <c r="D242" s="200"/>
      <c r="E242" s="201"/>
      <c r="F242" s="199"/>
      <c r="H242" s="202"/>
      <c r="I242" s="185" t="str">
        <f t="shared" si="19"/>
        <v/>
      </c>
      <c r="J242" s="203" t="str">
        <f>IF($H242="USD",IF(OR($I242="",$I242="-"),"",VLOOKUP($G242,為替!$A:$AX,$I242,FALSE))+$J$3,IF(OR($I242="",$I242="-"),"",VLOOKUP($G242,為替!$A:$AX,$I242,FALSE)))</f>
        <v/>
      </c>
      <c r="K242" s="204" t="str">
        <f t="shared" si="20"/>
        <v/>
      </c>
      <c r="L242" s="188" t="str">
        <f t="shared" si="21"/>
        <v/>
      </c>
      <c r="M242" s="203" t="str">
        <f>IF($H242="USD",IF(OR($L242="",$L242="-"),"",VLOOKUP($G242,為替!$A:$AX,$L242,FALSE))+$K$3,IF(OR($L242="",$L242="-"),"",VLOOKUP($G242,為替!$A:$AX,$L242,FALSE)))</f>
        <v/>
      </c>
      <c r="N242" s="204" t="str">
        <f t="shared" si="22"/>
        <v/>
      </c>
      <c r="O242" s="205" t="str">
        <f t="shared" si="18"/>
        <v/>
      </c>
      <c r="P242" s="206" t="str">
        <f t="shared" si="23"/>
        <v/>
      </c>
    </row>
    <row r="243" spans="3:16" x14ac:dyDescent="0.4">
      <c r="C243" s="199"/>
      <c r="D243" s="200"/>
      <c r="E243" s="201"/>
      <c r="F243" s="199"/>
      <c r="H243" s="202"/>
      <c r="I243" s="185" t="str">
        <f t="shared" si="19"/>
        <v/>
      </c>
      <c r="J243" s="203" t="str">
        <f>IF($H243="USD",IF(OR($I243="",$I243="-"),"",VLOOKUP($G243,為替!$A:$AX,$I243,FALSE))+$J$3,IF(OR($I243="",$I243="-"),"",VLOOKUP($G243,為替!$A:$AX,$I243,FALSE)))</f>
        <v/>
      </c>
      <c r="K243" s="204" t="str">
        <f t="shared" si="20"/>
        <v/>
      </c>
      <c r="L243" s="188" t="str">
        <f t="shared" si="21"/>
        <v/>
      </c>
      <c r="M243" s="203" t="str">
        <f>IF($H243="USD",IF(OR($L243="",$L243="-"),"",VLOOKUP($G243,為替!$A:$AX,$L243,FALSE))+$K$3,IF(OR($L243="",$L243="-"),"",VLOOKUP($G243,為替!$A:$AX,$L243,FALSE)))</f>
        <v/>
      </c>
      <c r="N243" s="204" t="str">
        <f t="shared" si="22"/>
        <v/>
      </c>
      <c r="O243" s="205" t="str">
        <f t="shared" si="18"/>
        <v/>
      </c>
      <c r="P243" s="206" t="str">
        <f t="shared" si="23"/>
        <v/>
      </c>
    </row>
    <row r="244" spans="3:16" x14ac:dyDescent="0.4">
      <c r="C244" s="199"/>
      <c r="D244" s="200"/>
      <c r="E244" s="201"/>
      <c r="F244" s="199"/>
      <c r="H244" s="202"/>
      <c r="I244" s="185" t="str">
        <f t="shared" si="19"/>
        <v/>
      </c>
      <c r="J244" s="203" t="str">
        <f>IF($H244="USD",IF(OR($I244="",$I244="-"),"",VLOOKUP($G244,為替!$A:$AX,$I244,FALSE))+$J$3,IF(OR($I244="",$I244="-"),"",VLOOKUP($G244,為替!$A:$AX,$I244,FALSE)))</f>
        <v/>
      </c>
      <c r="K244" s="204" t="str">
        <f t="shared" si="20"/>
        <v/>
      </c>
      <c r="L244" s="188" t="str">
        <f t="shared" si="21"/>
        <v/>
      </c>
      <c r="M244" s="203" t="str">
        <f>IF($H244="USD",IF(OR($L244="",$L244="-"),"",VLOOKUP($G244,為替!$A:$AX,$L244,FALSE))+$K$3,IF(OR($L244="",$L244="-"),"",VLOOKUP($G244,為替!$A:$AX,$L244,FALSE)))</f>
        <v/>
      </c>
      <c r="N244" s="204" t="str">
        <f t="shared" si="22"/>
        <v/>
      </c>
      <c r="O244" s="205" t="str">
        <f t="shared" si="18"/>
        <v/>
      </c>
      <c r="P244" s="206" t="str">
        <f t="shared" si="23"/>
        <v/>
      </c>
    </row>
    <row r="245" spans="3:16" x14ac:dyDescent="0.4">
      <c r="C245" s="199"/>
      <c r="D245" s="200"/>
      <c r="E245" s="201"/>
      <c r="F245" s="199"/>
      <c r="H245" s="202"/>
      <c r="I245" s="185" t="str">
        <f t="shared" si="19"/>
        <v/>
      </c>
      <c r="J245" s="203" t="str">
        <f>IF($H245="USD",IF(OR($I245="",$I245="-"),"",VLOOKUP($G245,為替!$A:$AX,$I245,FALSE))+$J$3,IF(OR($I245="",$I245="-"),"",VLOOKUP($G245,為替!$A:$AX,$I245,FALSE)))</f>
        <v/>
      </c>
      <c r="K245" s="204" t="str">
        <f t="shared" si="20"/>
        <v/>
      </c>
      <c r="L245" s="188" t="str">
        <f t="shared" si="21"/>
        <v/>
      </c>
      <c r="M245" s="203" t="str">
        <f>IF($H245="USD",IF(OR($L245="",$L245="-"),"",VLOOKUP($G245,為替!$A:$AX,$L245,FALSE))+$K$3,IF(OR($L245="",$L245="-"),"",VLOOKUP($G245,為替!$A:$AX,$L245,FALSE)))</f>
        <v/>
      </c>
      <c r="N245" s="204" t="str">
        <f t="shared" si="22"/>
        <v/>
      </c>
      <c r="O245" s="205" t="str">
        <f t="shared" si="18"/>
        <v/>
      </c>
      <c r="P245" s="206" t="str">
        <f t="shared" si="23"/>
        <v/>
      </c>
    </row>
    <row r="246" spans="3:16" x14ac:dyDescent="0.4">
      <c r="C246" s="199"/>
      <c r="D246" s="200"/>
      <c r="E246" s="201"/>
      <c r="F246" s="199"/>
      <c r="H246" s="202"/>
      <c r="I246" s="185" t="str">
        <f t="shared" si="19"/>
        <v/>
      </c>
      <c r="J246" s="203" t="str">
        <f>IF($H246="USD",IF(OR($I246="",$I246="-"),"",VLOOKUP($G246,為替!$A:$AX,$I246,FALSE))+$J$3,IF(OR($I246="",$I246="-"),"",VLOOKUP($G246,為替!$A:$AX,$I246,FALSE)))</f>
        <v/>
      </c>
      <c r="K246" s="204" t="str">
        <f t="shared" si="20"/>
        <v/>
      </c>
      <c r="L246" s="188" t="str">
        <f t="shared" si="21"/>
        <v/>
      </c>
      <c r="M246" s="203" t="str">
        <f>IF($H246="USD",IF(OR($L246="",$L246="-"),"",VLOOKUP($G246,為替!$A:$AX,$L246,FALSE))+$K$3,IF(OR($L246="",$L246="-"),"",VLOOKUP($G246,為替!$A:$AX,$L246,FALSE)))</f>
        <v/>
      </c>
      <c r="N246" s="204" t="str">
        <f t="shared" si="22"/>
        <v/>
      </c>
      <c r="O246" s="205" t="str">
        <f t="shared" si="18"/>
        <v/>
      </c>
      <c r="P246" s="206" t="str">
        <f t="shared" si="23"/>
        <v/>
      </c>
    </row>
    <row r="247" spans="3:16" x14ac:dyDescent="0.4">
      <c r="C247" s="199"/>
      <c r="D247" s="200"/>
      <c r="E247" s="201"/>
      <c r="F247" s="199"/>
      <c r="H247" s="202"/>
      <c r="I247" s="185" t="str">
        <f t="shared" si="19"/>
        <v/>
      </c>
      <c r="J247" s="203" t="str">
        <f>IF($H247="USD",IF(OR($I247="",$I247="-"),"",VLOOKUP($G247,為替!$A:$AX,$I247,FALSE))+$J$3,IF(OR($I247="",$I247="-"),"",VLOOKUP($G247,為替!$A:$AX,$I247,FALSE)))</f>
        <v/>
      </c>
      <c r="K247" s="204" t="str">
        <f t="shared" si="20"/>
        <v/>
      </c>
      <c r="L247" s="188" t="str">
        <f t="shared" si="21"/>
        <v/>
      </c>
      <c r="M247" s="203" t="str">
        <f>IF($H247="USD",IF(OR($L247="",$L247="-"),"",VLOOKUP($G247,為替!$A:$AX,$L247,FALSE))+$K$3,IF(OR($L247="",$L247="-"),"",VLOOKUP($G247,為替!$A:$AX,$L247,FALSE)))</f>
        <v/>
      </c>
      <c r="N247" s="204" t="str">
        <f t="shared" si="22"/>
        <v/>
      </c>
      <c r="O247" s="205" t="str">
        <f t="shared" si="18"/>
        <v/>
      </c>
      <c r="P247" s="206" t="str">
        <f t="shared" si="23"/>
        <v/>
      </c>
    </row>
    <row r="248" spans="3:16" x14ac:dyDescent="0.4">
      <c r="C248" s="199"/>
      <c r="D248" s="200"/>
      <c r="E248" s="201"/>
      <c r="F248" s="199"/>
      <c r="H248" s="202"/>
      <c r="I248" s="185" t="str">
        <f t="shared" si="19"/>
        <v/>
      </c>
      <c r="J248" s="203" t="str">
        <f>IF($H248="USD",IF(OR($I248="",$I248="-"),"",VLOOKUP($G248,為替!$A:$AX,$I248,FALSE))+$J$3,IF(OR($I248="",$I248="-"),"",VLOOKUP($G248,為替!$A:$AX,$I248,FALSE)))</f>
        <v/>
      </c>
      <c r="K248" s="204" t="str">
        <f t="shared" si="20"/>
        <v/>
      </c>
      <c r="L248" s="188" t="str">
        <f t="shared" si="21"/>
        <v/>
      </c>
      <c r="M248" s="203" t="str">
        <f>IF($H248="USD",IF(OR($L248="",$L248="-"),"",VLOOKUP($G248,為替!$A:$AX,$L248,FALSE))+$K$3,IF(OR($L248="",$L248="-"),"",VLOOKUP($G248,為替!$A:$AX,$L248,FALSE)))</f>
        <v/>
      </c>
      <c r="N248" s="204" t="str">
        <f t="shared" si="22"/>
        <v/>
      </c>
      <c r="O248" s="205" t="str">
        <f t="shared" si="18"/>
        <v/>
      </c>
      <c r="P248" s="206" t="str">
        <f t="shared" si="23"/>
        <v/>
      </c>
    </row>
    <row r="249" spans="3:16" x14ac:dyDescent="0.4">
      <c r="C249" s="199"/>
      <c r="D249" s="200"/>
      <c r="E249" s="201"/>
      <c r="F249" s="199"/>
      <c r="H249" s="202"/>
      <c r="I249" s="185" t="str">
        <f t="shared" si="19"/>
        <v/>
      </c>
      <c r="J249" s="203" t="str">
        <f>IF($H249="USD",IF(OR($I249="",$I249="-"),"",VLOOKUP($G249,為替!$A:$AX,$I249,FALSE))+$J$3,IF(OR($I249="",$I249="-"),"",VLOOKUP($G249,為替!$A:$AX,$I249,FALSE)))</f>
        <v/>
      </c>
      <c r="K249" s="204" t="str">
        <f t="shared" si="20"/>
        <v/>
      </c>
      <c r="L249" s="188" t="str">
        <f t="shared" si="21"/>
        <v/>
      </c>
      <c r="M249" s="203" t="str">
        <f>IF($H249="USD",IF(OR($L249="",$L249="-"),"",VLOOKUP($G249,為替!$A:$AX,$L249,FALSE))+$K$3,IF(OR($L249="",$L249="-"),"",VLOOKUP($G249,為替!$A:$AX,$L249,FALSE)))</f>
        <v/>
      </c>
      <c r="N249" s="204" t="str">
        <f t="shared" si="22"/>
        <v/>
      </c>
      <c r="O249" s="205" t="str">
        <f t="shared" si="18"/>
        <v/>
      </c>
      <c r="P249" s="206" t="str">
        <f t="shared" si="23"/>
        <v/>
      </c>
    </row>
    <row r="250" spans="3:16" x14ac:dyDescent="0.4">
      <c r="C250" s="199"/>
      <c r="D250" s="200"/>
      <c r="E250" s="201"/>
      <c r="F250" s="199"/>
      <c r="H250" s="202"/>
      <c r="I250" s="185" t="str">
        <f t="shared" si="19"/>
        <v/>
      </c>
      <c r="J250" s="203" t="str">
        <f>IF($H250="USD",IF(OR($I250="",$I250="-"),"",VLOOKUP($G250,為替!$A:$AX,$I250,FALSE))+$J$3,IF(OR($I250="",$I250="-"),"",VLOOKUP($G250,為替!$A:$AX,$I250,FALSE)))</f>
        <v/>
      </c>
      <c r="K250" s="204" t="str">
        <f t="shared" si="20"/>
        <v/>
      </c>
      <c r="L250" s="188" t="str">
        <f t="shared" si="21"/>
        <v/>
      </c>
      <c r="M250" s="203" t="str">
        <f>IF($H250="USD",IF(OR($L250="",$L250="-"),"",VLOOKUP($G250,為替!$A:$AX,$L250,FALSE))+$K$3,IF(OR($L250="",$L250="-"),"",VLOOKUP($G250,為替!$A:$AX,$L250,FALSE)))</f>
        <v/>
      </c>
      <c r="N250" s="204" t="str">
        <f t="shared" si="22"/>
        <v/>
      </c>
      <c r="O250" s="205" t="str">
        <f t="shared" si="18"/>
        <v/>
      </c>
      <c r="P250" s="206" t="str">
        <f t="shared" si="23"/>
        <v/>
      </c>
    </row>
    <row r="251" spans="3:16" x14ac:dyDescent="0.4">
      <c r="C251" s="199"/>
      <c r="D251" s="200"/>
      <c r="E251" s="201"/>
      <c r="F251" s="199"/>
      <c r="H251" s="202"/>
      <c r="I251" s="185" t="str">
        <f t="shared" si="19"/>
        <v/>
      </c>
      <c r="J251" s="203" t="str">
        <f>IF($H251="USD",IF(OR($I251="",$I251="-"),"",VLOOKUP($G251,為替!$A:$AX,$I251,FALSE))+$J$3,IF(OR($I251="",$I251="-"),"",VLOOKUP($G251,為替!$A:$AX,$I251,FALSE)))</f>
        <v/>
      </c>
      <c r="K251" s="204" t="str">
        <f t="shared" si="20"/>
        <v/>
      </c>
      <c r="L251" s="188" t="str">
        <f t="shared" si="21"/>
        <v/>
      </c>
      <c r="M251" s="203" t="str">
        <f>IF($H251="USD",IF(OR($L251="",$L251="-"),"",VLOOKUP($G251,為替!$A:$AX,$L251,FALSE))+$K$3,IF(OR($L251="",$L251="-"),"",VLOOKUP($G251,為替!$A:$AX,$L251,FALSE)))</f>
        <v/>
      </c>
      <c r="N251" s="204" t="str">
        <f t="shared" si="22"/>
        <v/>
      </c>
      <c r="O251" s="205" t="str">
        <f t="shared" si="18"/>
        <v/>
      </c>
      <c r="P251" s="206" t="str">
        <f t="shared" si="23"/>
        <v/>
      </c>
    </row>
    <row r="252" spans="3:16" x14ac:dyDescent="0.4">
      <c r="C252" s="199"/>
      <c r="D252" s="200"/>
      <c r="E252" s="201"/>
      <c r="F252" s="199"/>
      <c r="H252" s="202"/>
      <c r="I252" s="185" t="str">
        <f t="shared" si="19"/>
        <v/>
      </c>
      <c r="J252" s="203" t="str">
        <f>IF($H252="USD",IF(OR($I252="",$I252="-"),"",VLOOKUP($G252,為替!$A:$AX,$I252,FALSE))+$J$3,IF(OR($I252="",$I252="-"),"",VLOOKUP($G252,為替!$A:$AX,$I252,FALSE)))</f>
        <v/>
      </c>
      <c r="K252" s="204" t="str">
        <f t="shared" si="20"/>
        <v/>
      </c>
      <c r="L252" s="188" t="str">
        <f t="shared" si="21"/>
        <v/>
      </c>
      <c r="M252" s="203" t="str">
        <f>IF($H252="USD",IF(OR($L252="",$L252="-"),"",VLOOKUP($G252,為替!$A:$AX,$L252,FALSE))+$K$3,IF(OR($L252="",$L252="-"),"",VLOOKUP($G252,為替!$A:$AX,$L252,FALSE)))</f>
        <v/>
      </c>
      <c r="N252" s="204" t="str">
        <f t="shared" si="22"/>
        <v/>
      </c>
      <c r="O252" s="205" t="str">
        <f t="shared" si="18"/>
        <v/>
      </c>
      <c r="P252" s="206" t="str">
        <f t="shared" si="23"/>
        <v/>
      </c>
    </row>
    <row r="253" spans="3:16" x14ac:dyDescent="0.4">
      <c r="C253" s="199"/>
      <c r="D253" s="200"/>
      <c r="E253" s="201"/>
      <c r="F253" s="199"/>
      <c r="H253" s="202"/>
      <c r="I253" s="185" t="str">
        <f t="shared" si="19"/>
        <v/>
      </c>
      <c r="J253" s="203" t="str">
        <f>IF($H253="USD",IF(OR($I253="",$I253="-"),"",VLOOKUP($G253,為替!$A:$AX,$I253,FALSE))+$J$3,IF(OR($I253="",$I253="-"),"",VLOOKUP($G253,為替!$A:$AX,$I253,FALSE)))</f>
        <v/>
      </c>
      <c r="K253" s="204" t="str">
        <f t="shared" si="20"/>
        <v/>
      </c>
      <c r="L253" s="188" t="str">
        <f t="shared" si="21"/>
        <v/>
      </c>
      <c r="M253" s="203" t="str">
        <f>IF($H253="USD",IF(OR($L253="",$L253="-"),"",VLOOKUP($G253,為替!$A:$AX,$L253,FALSE))+$K$3,IF(OR($L253="",$L253="-"),"",VLOOKUP($G253,為替!$A:$AX,$L253,FALSE)))</f>
        <v/>
      </c>
      <c r="N253" s="204" t="str">
        <f t="shared" si="22"/>
        <v/>
      </c>
      <c r="O253" s="205" t="str">
        <f t="shared" si="18"/>
        <v/>
      </c>
      <c r="P253" s="206" t="str">
        <f t="shared" si="23"/>
        <v/>
      </c>
    </row>
    <row r="254" spans="3:16" x14ac:dyDescent="0.4">
      <c r="C254" s="199"/>
      <c r="D254" s="200"/>
      <c r="E254" s="201"/>
      <c r="F254" s="199"/>
      <c r="H254" s="202"/>
      <c r="I254" s="185" t="str">
        <f t="shared" si="19"/>
        <v/>
      </c>
      <c r="J254" s="203" t="str">
        <f>IF($H254="USD",IF(OR($I254="",$I254="-"),"",VLOOKUP($G254,為替!$A:$AX,$I254,FALSE))+$J$3,IF(OR($I254="",$I254="-"),"",VLOOKUP($G254,為替!$A:$AX,$I254,FALSE)))</f>
        <v/>
      </c>
      <c r="K254" s="204" t="str">
        <f t="shared" si="20"/>
        <v/>
      </c>
      <c r="L254" s="188" t="str">
        <f t="shared" si="21"/>
        <v/>
      </c>
      <c r="M254" s="203" t="str">
        <f>IF($H254="USD",IF(OR($L254="",$L254="-"),"",VLOOKUP($G254,為替!$A:$AX,$L254,FALSE))+$K$3,IF(OR($L254="",$L254="-"),"",VLOOKUP($G254,為替!$A:$AX,$L254,FALSE)))</f>
        <v/>
      </c>
      <c r="N254" s="204" t="str">
        <f t="shared" si="22"/>
        <v/>
      </c>
      <c r="O254" s="205" t="str">
        <f t="shared" si="18"/>
        <v/>
      </c>
      <c r="P254" s="206" t="str">
        <f t="shared" si="23"/>
        <v/>
      </c>
    </row>
    <row r="255" spans="3:16" x14ac:dyDescent="0.4">
      <c r="C255" s="199"/>
      <c r="D255" s="200"/>
      <c r="E255" s="201"/>
      <c r="F255" s="199"/>
      <c r="H255" s="202"/>
      <c r="I255" s="185" t="str">
        <f t="shared" si="19"/>
        <v/>
      </c>
      <c r="J255" s="203" t="str">
        <f>IF($H255="USD",IF(OR($I255="",$I255="-"),"",VLOOKUP($G255,為替!$A:$AX,$I255,FALSE))+$J$3,IF(OR($I255="",$I255="-"),"",VLOOKUP($G255,為替!$A:$AX,$I255,FALSE)))</f>
        <v/>
      </c>
      <c r="K255" s="204" t="str">
        <f t="shared" si="20"/>
        <v/>
      </c>
      <c r="L255" s="188" t="str">
        <f t="shared" si="21"/>
        <v/>
      </c>
      <c r="M255" s="203" t="str">
        <f>IF($H255="USD",IF(OR($L255="",$L255="-"),"",VLOOKUP($G255,為替!$A:$AX,$L255,FALSE))+$K$3,IF(OR($L255="",$L255="-"),"",VLOOKUP($G255,為替!$A:$AX,$L255,FALSE)))</f>
        <v/>
      </c>
      <c r="N255" s="204" t="str">
        <f t="shared" si="22"/>
        <v/>
      </c>
      <c r="O255" s="205" t="str">
        <f t="shared" si="18"/>
        <v/>
      </c>
      <c r="P255" s="206" t="str">
        <f t="shared" si="23"/>
        <v/>
      </c>
    </row>
    <row r="256" spans="3:16" x14ac:dyDescent="0.4">
      <c r="C256" s="199"/>
      <c r="D256" s="200"/>
      <c r="E256" s="201"/>
      <c r="F256" s="199"/>
      <c r="H256" s="202"/>
      <c r="I256" s="185" t="str">
        <f t="shared" si="19"/>
        <v/>
      </c>
      <c r="J256" s="203" t="str">
        <f>IF($H256="USD",IF(OR($I256="",$I256="-"),"",VLOOKUP($G256,為替!$A:$AX,$I256,FALSE))+$J$3,IF(OR($I256="",$I256="-"),"",VLOOKUP($G256,為替!$A:$AX,$I256,FALSE)))</f>
        <v/>
      </c>
      <c r="K256" s="204" t="str">
        <f t="shared" si="20"/>
        <v/>
      </c>
      <c r="L256" s="188" t="str">
        <f t="shared" si="21"/>
        <v/>
      </c>
      <c r="M256" s="203" t="str">
        <f>IF($H256="USD",IF(OR($L256="",$L256="-"),"",VLOOKUP($G256,為替!$A:$AX,$L256,FALSE))+$K$3,IF(OR($L256="",$L256="-"),"",VLOOKUP($G256,為替!$A:$AX,$L256,FALSE)))</f>
        <v/>
      </c>
      <c r="N256" s="204" t="str">
        <f t="shared" si="22"/>
        <v/>
      </c>
      <c r="O256" s="205" t="str">
        <f t="shared" si="18"/>
        <v/>
      </c>
      <c r="P256" s="206" t="str">
        <f t="shared" si="23"/>
        <v/>
      </c>
    </row>
    <row r="257" spans="3:16" x14ac:dyDescent="0.4">
      <c r="C257" s="199"/>
      <c r="D257" s="200"/>
      <c r="E257" s="201"/>
      <c r="F257" s="199"/>
      <c r="H257" s="202"/>
      <c r="I257" s="185" t="str">
        <f t="shared" si="19"/>
        <v/>
      </c>
      <c r="J257" s="203" t="str">
        <f>IF($H257="USD",IF(OR($I257="",$I257="-"),"",VLOOKUP($G257,為替!$A:$AX,$I257,FALSE))+$J$3,IF(OR($I257="",$I257="-"),"",VLOOKUP($G257,為替!$A:$AX,$I257,FALSE)))</f>
        <v/>
      </c>
      <c r="K257" s="204" t="str">
        <f t="shared" si="20"/>
        <v/>
      </c>
      <c r="L257" s="188" t="str">
        <f t="shared" si="21"/>
        <v/>
      </c>
      <c r="M257" s="203" t="str">
        <f>IF($H257="USD",IF(OR($L257="",$L257="-"),"",VLOOKUP($G257,為替!$A:$AX,$L257,FALSE))+$K$3,IF(OR($L257="",$L257="-"),"",VLOOKUP($G257,為替!$A:$AX,$L257,FALSE)))</f>
        <v/>
      </c>
      <c r="N257" s="204" t="str">
        <f t="shared" si="22"/>
        <v/>
      </c>
      <c r="O257" s="205" t="str">
        <f t="shared" si="18"/>
        <v/>
      </c>
      <c r="P257" s="206" t="str">
        <f t="shared" si="23"/>
        <v/>
      </c>
    </row>
    <row r="258" spans="3:16" x14ac:dyDescent="0.4">
      <c r="C258" s="199"/>
      <c r="D258" s="200"/>
      <c r="E258" s="201"/>
      <c r="F258" s="199"/>
      <c r="H258" s="202"/>
      <c r="I258" s="185" t="str">
        <f t="shared" si="19"/>
        <v/>
      </c>
      <c r="J258" s="203" t="str">
        <f>IF($H258="USD",IF(OR($I258="",$I258="-"),"",VLOOKUP($G258,為替!$A:$AX,$I258,FALSE))+$J$3,IF(OR($I258="",$I258="-"),"",VLOOKUP($G258,為替!$A:$AX,$I258,FALSE)))</f>
        <v/>
      </c>
      <c r="K258" s="204" t="str">
        <f t="shared" si="20"/>
        <v/>
      </c>
      <c r="L258" s="188" t="str">
        <f t="shared" si="21"/>
        <v/>
      </c>
      <c r="M258" s="203" t="str">
        <f>IF($H258="USD",IF(OR($L258="",$L258="-"),"",VLOOKUP($G258,為替!$A:$AX,$L258,FALSE))+$K$3,IF(OR($L258="",$L258="-"),"",VLOOKUP($G258,為替!$A:$AX,$L258,FALSE)))</f>
        <v/>
      </c>
      <c r="N258" s="204" t="str">
        <f t="shared" si="22"/>
        <v/>
      </c>
      <c r="O258" s="205" t="str">
        <f t="shared" si="18"/>
        <v/>
      </c>
      <c r="P258" s="206" t="str">
        <f t="shared" si="23"/>
        <v/>
      </c>
    </row>
    <row r="259" spans="3:16" x14ac:dyDescent="0.4">
      <c r="C259" s="199"/>
      <c r="D259" s="200"/>
      <c r="E259" s="201"/>
      <c r="F259" s="199"/>
      <c r="H259" s="202"/>
      <c r="I259" s="185" t="str">
        <f t="shared" si="19"/>
        <v/>
      </c>
      <c r="J259" s="203" t="str">
        <f>IF($H259="USD",IF(OR($I259="",$I259="-"),"",VLOOKUP($G259,為替!$A:$AX,$I259,FALSE))+$J$3,IF(OR($I259="",$I259="-"),"",VLOOKUP($G259,為替!$A:$AX,$I259,FALSE)))</f>
        <v/>
      </c>
      <c r="K259" s="204" t="str">
        <f t="shared" si="20"/>
        <v/>
      </c>
      <c r="L259" s="188" t="str">
        <f t="shared" si="21"/>
        <v/>
      </c>
      <c r="M259" s="203" t="str">
        <f>IF($H259="USD",IF(OR($L259="",$L259="-"),"",VLOOKUP($G259,為替!$A:$AX,$L259,FALSE))+$K$3,IF(OR($L259="",$L259="-"),"",VLOOKUP($G259,為替!$A:$AX,$L259,FALSE)))</f>
        <v/>
      </c>
      <c r="N259" s="204" t="str">
        <f t="shared" si="22"/>
        <v/>
      </c>
      <c r="O259" s="205" t="str">
        <f t="shared" si="18"/>
        <v/>
      </c>
      <c r="P259" s="206" t="str">
        <f t="shared" si="23"/>
        <v/>
      </c>
    </row>
    <row r="260" spans="3:16" x14ac:dyDescent="0.4">
      <c r="C260" s="199"/>
      <c r="D260" s="200"/>
      <c r="E260" s="201"/>
      <c r="F260" s="199"/>
      <c r="H260" s="202"/>
      <c r="I260" s="185" t="str">
        <f t="shared" si="19"/>
        <v/>
      </c>
      <c r="J260" s="203" t="str">
        <f>IF($H260="USD",IF(OR($I260="",$I260="-"),"",VLOOKUP($G260,為替!$A:$AX,$I260,FALSE))+$J$3,IF(OR($I260="",$I260="-"),"",VLOOKUP($G260,為替!$A:$AX,$I260,FALSE)))</f>
        <v/>
      </c>
      <c r="K260" s="204" t="str">
        <f t="shared" si="20"/>
        <v/>
      </c>
      <c r="L260" s="188" t="str">
        <f t="shared" si="21"/>
        <v/>
      </c>
      <c r="M260" s="203" t="str">
        <f>IF($H260="USD",IF(OR($L260="",$L260="-"),"",VLOOKUP($G260,為替!$A:$AX,$L260,FALSE))+$K$3,IF(OR($L260="",$L260="-"),"",VLOOKUP($G260,為替!$A:$AX,$L260,FALSE)))</f>
        <v/>
      </c>
      <c r="N260" s="204" t="str">
        <f t="shared" si="22"/>
        <v/>
      </c>
      <c r="O260" s="205" t="str">
        <f t="shared" si="18"/>
        <v/>
      </c>
      <c r="P260" s="206" t="str">
        <f t="shared" si="23"/>
        <v/>
      </c>
    </row>
    <row r="261" spans="3:16" x14ac:dyDescent="0.4">
      <c r="C261" s="199"/>
      <c r="D261" s="200"/>
      <c r="E261" s="201"/>
      <c r="F261" s="199"/>
      <c r="H261" s="202"/>
      <c r="I261" s="185" t="str">
        <f t="shared" si="19"/>
        <v/>
      </c>
      <c r="J261" s="203" t="str">
        <f>IF($H261="USD",IF(OR($I261="",$I261="-"),"",VLOOKUP($G261,為替!$A:$AX,$I261,FALSE))+$J$3,IF(OR($I261="",$I261="-"),"",VLOOKUP($G261,為替!$A:$AX,$I261,FALSE)))</f>
        <v/>
      </c>
      <c r="K261" s="204" t="str">
        <f t="shared" si="20"/>
        <v/>
      </c>
      <c r="L261" s="188" t="str">
        <f t="shared" si="21"/>
        <v/>
      </c>
      <c r="M261" s="203" t="str">
        <f>IF($H261="USD",IF(OR($L261="",$L261="-"),"",VLOOKUP($G261,為替!$A:$AX,$L261,FALSE))+$K$3,IF(OR($L261="",$L261="-"),"",VLOOKUP($G261,為替!$A:$AX,$L261,FALSE)))</f>
        <v/>
      </c>
      <c r="N261" s="204" t="str">
        <f t="shared" si="22"/>
        <v/>
      </c>
      <c r="O261" s="205" t="str">
        <f t="shared" si="18"/>
        <v/>
      </c>
      <c r="P261" s="206" t="str">
        <f t="shared" si="23"/>
        <v/>
      </c>
    </row>
    <row r="262" spans="3:16" x14ac:dyDescent="0.4">
      <c r="C262" s="199"/>
      <c r="D262" s="200"/>
      <c r="E262" s="201"/>
      <c r="F262" s="199"/>
      <c r="H262" s="202"/>
      <c r="I262" s="185" t="str">
        <f t="shared" si="19"/>
        <v/>
      </c>
      <c r="J262" s="203" t="str">
        <f>IF($H262="USD",IF(OR($I262="",$I262="-"),"",VLOOKUP($G262,為替!$A:$AX,$I262,FALSE))+$J$3,IF(OR($I262="",$I262="-"),"",VLOOKUP($G262,為替!$A:$AX,$I262,FALSE)))</f>
        <v/>
      </c>
      <c r="K262" s="204" t="str">
        <f t="shared" si="20"/>
        <v/>
      </c>
      <c r="L262" s="188" t="str">
        <f t="shared" si="21"/>
        <v/>
      </c>
      <c r="M262" s="203" t="str">
        <f>IF($H262="USD",IF(OR($L262="",$L262="-"),"",VLOOKUP($G262,為替!$A:$AX,$L262,FALSE))+$K$3,IF(OR($L262="",$L262="-"),"",VLOOKUP($G262,為替!$A:$AX,$L262,FALSE)))</f>
        <v/>
      </c>
      <c r="N262" s="204" t="str">
        <f t="shared" si="22"/>
        <v/>
      </c>
      <c r="O262" s="205" t="str">
        <f t="shared" ref="O262:O325" si="24">IF(OR(K262="",N262=""),"",K262-N262)</f>
        <v/>
      </c>
      <c r="P262" s="206" t="str">
        <f t="shared" si="23"/>
        <v/>
      </c>
    </row>
    <row r="263" spans="3:16" x14ac:dyDescent="0.4">
      <c r="C263" s="199"/>
      <c r="D263" s="200"/>
      <c r="E263" s="201"/>
      <c r="F263" s="199"/>
      <c r="H263" s="202"/>
      <c r="I263" s="185" t="str">
        <f t="shared" ref="I263:I326" si="25">IF(H263="","",IF(H263="JPY","",IF($H263="USD",4, IF(H263="EUR",7,IF(H263="CNY",47,IF(H263="HKD",34))))))</f>
        <v/>
      </c>
      <c r="J263" s="203" t="str">
        <f>IF($H263="USD",IF(OR($I263="",$I263="-"),"",VLOOKUP($G263,為替!$A:$AX,$I263,FALSE))+$J$3,IF(OR($I263="",$I263="-"),"",VLOOKUP($G263,為替!$A:$AX,$I263,FALSE)))</f>
        <v/>
      </c>
      <c r="K263" s="204" t="str">
        <f t="shared" ref="K263:K326" si="26">IF($H263="JPY",$F263,IF($H263="","",$F263*$J263))</f>
        <v/>
      </c>
      <c r="L263" s="188" t="str">
        <f t="shared" ref="L263:L326" si="27">IF(H263="","",IF(H263="JPY","",IF($H263="USD",3, IF(H263="EUR",6,IF(H263="CNY",46,IF(H263="HKD",33))))))</f>
        <v/>
      </c>
      <c r="M263" s="203" t="str">
        <f>IF($H263="USD",IF(OR($L263="",$L263="-"),"",VLOOKUP($G263,為替!$A:$AX,$L263,FALSE))+$K$3,IF(OR($L263="",$L263="-"),"",VLOOKUP($G263,為替!$A:$AX,$L263,FALSE)))</f>
        <v/>
      </c>
      <c r="N263" s="204" t="str">
        <f t="shared" ref="N263:N326" si="28">IF($E263="JPY",($C263+$D263),IF($E263="","",($C263+$D263)*$M263))</f>
        <v/>
      </c>
      <c r="O263" s="205" t="str">
        <f t="shared" si="24"/>
        <v/>
      </c>
      <c r="P263" s="206" t="str">
        <f t="shared" ref="P263:P326" si="29">IF(OR(K263="",O263=""),"",O263/K263)</f>
        <v/>
      </c>
    </row>
    <row r="264" spans="3:16" x14ac:dyDescent="0.4">
      <c r="C264" s="199"/>
      <c r="D264" s="200"/>
      <c r="E264" s="201"/>
      <c r="F264" s="199"/>
      <c r="H264" s="202"/>
      <c r="I264" s="185" t="str">
        <f t="shared" si="25"/>
        <v/>
      </c>
      <c r="J264" s="203" t="str">
        <f>IF($H264="USD",IF(OR($I264="",$I264="-"),"",VLOOKUP($G264,為替!$A:$AX,$I264,FALSE))+$J$3,IF(OR($I264="",$I264="-"),"",VLOOKUP($G264,為替!$A:$AX,$I264,FALSE)))</f>
        <v/>
      </c>
      <c r="K264" s="204" t="str">
        <f t="shared" si="26"/>
        <v/>
      </c>
      <c r="L264" s="188" t="str">
        <f t="shared" si="27"/>
        <v/>
      </c>
      <c r="M264" s="203" t="str">
        <f>IF($H264="USD",IF(OR($L264="",$L264="-"),"",VLOOKUP($G264,為替!$A:$AX,$L264,FALSE))+$K$3,IF(OR($L264="",$L264="-"),"",VLOOKUP($G264,為替!$A:$AX,$L264,FALSE)))</f>
        <v/>
      </c>
      <c r="N264" s="204" t="str">
        <f t="shared" si="28"/>
        <v/>
      </c>
      <c r="O264" s="205" t="str">
        <f t="shared" si="24"/>
        <v/>
      </c>
      <c r="P264" s="206" t="str">
        <f t="shared" si="29"/>
        <v/>
      </c>
    </row>
    <row r="265" spans="3:16" x14ac:dyDescent="0.4">
      <c r="C265" s="199"/>
      <c r="D265" s="200"/>
      <c r="E265" s="201"/>
      <c r="F265" s="199"/>
      <c r="H265" s="202"/>
      <c r="I265" s="185" t="str">
        <f t="shared" si="25"/>
        <v/>
      </c>
      <c r="J265" s="203" t="str">
        <f>IF($H265="USD",IF(OR($I265="",$I265="-"),"",VLOOKUP($G265,為替!$A:$AX,$I265,FALSE))+$J$3,IF(OR($I265="",$I265="-"),"",VLOOKUP($G265,為替!$A:$AX,$I265,FALSE)))</f>
        <v/>
      </c>
      <c r="K265" s="204" t="str">
        <f t="shared" si="26"/>
        <v/>
      </c>
      <c r="L265" s="188" t="str">
        <f t="shared" si="27"/>
        <v/>
      </c>
      <c r="M265" s="203" t="str">
        <f>IF($H265="USD",IF(OR($L265="",$L265="-"),"",VLOOKUP($G265,為替!$A:$AX,$L265,FALSE))+$K$3,IF(OR($L265="",$L265="-"),"",VLOOKUP($G265,為替!$A:$AX,$L265,FALSE)))</f>
        <v/>
      </c>
      <c r="N265" s="204" t="str">
        <f t="shared" si="28"/>
        <v/>
      </c>
      <c r="O265" s="205" t="str">
        <f t="shared" si="24"/>
        <v/>
      </c>
      <c r="P265" s="206" t="str">
        <f t="shared" si="29"/>
        <v/>
      </c>
    </row>
    <row r="266" spans="3:16" x14ac:dyDescent="0.4">
      <c r="C266" s="199"/>
      <c r="D266" s="200"/>
      <c r="E266" s="201"/>
      <c r="F266" s="199"/>
      <c r="H266" s="202"/>
      <c r="I266" s="185" t="str">
        <f t="shared" si="25"/>
        <v/>
      </c>
      <c r="J266" s="203" t="str">
        <f>IF($H266="USD",IF(OR($I266="",$I266="-"),"",VLOOKUP($G266,為替!$A:$AX,$I266,FALSE))+$J$3,IF(OR($I266="",$I266="-"),"",VLOOKUP($G266,為替!$A:$AX,$I266,FALSE)))</f>
        <v/>
      </c>
      <c r="K266" s="204" t="str">
        <f t="shared" si="26"/>
        <v/>
      </c>
      <c r="L266" s="188" t="str">
        <f t="shared" si="27"/>
        <v/>
      </c>
      <c r="M266" s="203" t="str">
        <f>IF($H266="USD",IF(OR($L266="",$L266="-"),"",VLOOKUP($G266,為替!$A:$AX,$L266,FALSE))+$K$3,IF(OR($L266="",$L266="-"),"",VLOOKUP($G266,為替!$A:$AX,$L266,FALSE)))</f>
        <v/>
      </c>
      <c r="N266" s="204" t="str">
        <f t="shared" si="28"/>
        <v/>
      </c>
      <c r="O266" s="205" t="str">
        <f t="shared" si="24"/>
        <v/>
      </c>
      <c r="P266" s="206" t="str">
        <f t="shared" si="29"/>
        <v/>
      </c>
    </row>
    <row r="267" spans="3:16" x14ac:dyDescent="0.4">
      <c r="C267" s="199"/>
      <c r="D267" s="200"/>
      <c r="E267" s="201"/>
      <c r="F267" s="199"/>
      <c r="H267" s="202"/>
      <c r="I267" s="185" t="str">
        <f t="shared" si="25"/>
        <v/>
      </c>
      <c r="J267" s="203" t="str">
        <f>IF($H267="USD",IF(OR($I267="",$I267="-"),"",VLOOKUP($G267,為替!$A:$AX,$I267,FALSE))+$J$3,IF(OR($I267="",$I267="-"),"",VLOOKUP($G267,為替!$A:$AX,$I267,FALSE)))</f>
        <v/>
      </c>
      <c r="K267" s="204" t="str">
        <f t="shared" si="26"/>
        <v/>
      </c>
      <c r="L267" s="188" t="str">
        <f t="shared" si="27"/>
        <v/>
      </c>
      <c r="M267" s="203" t="str">
        <f>IF($H267="USD",IF(OR($L267="",$L267="-"),"",VLOOKUP($G267,為替!$A:$AX,$L267,FALSE))+$K$3,IF(OR($L267="",$L267="-"),"",VLOOKUP($G267,為替!$A:$AX,$L267,FALSE)))</f>
        <v/>
      </c>
      <c r="N267" s="204" t="str">
        <f t="shared" si="28"/>
        <v/>
      </c>
      <c r="O267" s="205" t="str">
        <f t="shared" si="24"/>
        <v/>
      </c>
      <c r="P267" s="206" t="str">
        <f t="shared" si="29"/>
        <v/>
      </c>
    </row>
    <row r="268" spans="3:16" x14ac:dyDescent="0.4">
      <c r="C268" s="199"/>
      <c r="D268" s="200"/>
      <c r="E268" s="201"/>
      <c r="F268" s="199"/>
      <c r="H268" s="202"/>
      <c r="I268" s="185" t="str">
        <f t="shared" si="25"/>
        <v/>
      </c>
      <c r="J268" s="203" t="str">
        <f>IF($H268="USD",IF(OR($I268="",$I268="-"),"",VLOOKUP($G268,為替!$A:$AX,$I268,FALSE))+$J$3,IF(OR($I268="",$I268="-"),"",VLOOKUP($G268,為替!$A:$AX,$I268,FALSE)))</f>
        <v/>
      </c>
      <c r="K268" s="204" t="str">
        <f t="shared" si="26"/>
        <v/>
      </c>
      <c r="L268" s="188" t="str">
        <f t="shared" si="27"/>
        <v/>
      </c>
      <c r="M268" s="203" t="str">
        <f>IF($H268="USD",IF(OR($L268="",$L268="-"),"",VLOOKUP($G268,為替!$A:$AX,$L268,FALSE))+$K$3,IF(OR($L268="",$L268="-"),"",VLOOKUP($G268,為替!$A:$AX,$L268,FALSE)))</f>
        <v/>
      </c>
      <c r="N268" s="204" t="str">
        <f t="shared" si="28"/>
        <v/>
      </c>
      <c r="O268" s="205" t="str">
        <f t="shared" si="24"/>
        <v/>
      </c>
      <c r="P268" s="206" t="str">
        <f t="shared" si="29"/>
        <v/>
      </c>
    </row>
    <row r="269" spans="3:16" x14ac:dyDescent="0.4">
      <c r="C269" s="199"/>
      <c r="D269" s="200"/>
      <c r="E269" s="201"/>
      <c r="F269" s="199"/>
      <c r="H269" s="202"/>
      <c r="I269" s="185" t="str">
        <f t="shared" si="25"/>
        <v/>
      </c>
      <c r="J269" s="203" t="str">
        <f>IF($H269="USD",IF(OR($I269="",$I269="-"),"",VLOOKUP($G269,為替!$A:$AX,$I269,FALSE))+$J$3,IF(OR($I269="",$I269="-"),"",VLOOKUP($G269,為替!$A:$AX,$I269,FALSE)))</f>
        <v/>
      </c>
      <c r="K269" s="204" t="str">
        <f t="shared" si="26"/>
        <v/>
      </c>
      <c r="L269" s="188" t="str">
        <f t="shared" si="27"/>
        <v/>
      </c>
      <c r="M269" s="203" t="str">
        <f>IF($H269="USD",IF(OR($L269="",$L269="-"),"",VLOOKUP($G269,為替!$A:$AX,$L269,FALSE))+$K$3,IF(OR($L269="",$L269="-"),"",VLOOKUP($G269,為替!$A:$AX,$L269,FALSE)))</f>
        <v/>
      </c>
      <c r="N269" s="204" t="str">
        <f t="shared" si="28"/>
        <v/>
      </c>
      <c r="O269" s="205" t="str">
        <f t="shared" si="24"/>
        <v/>
      </c>
      <c r="P269" s="206" t="str">
        <f t="shared" si="29"/>
        <v/>
      </c>
    </row>
    <row r="270" spans="3:16" x14ac:dyDescent="0.4">
      <c r="C270" s="199"/>
      <c r="D270" s="200"/>
      <c r="E270" s="201"/>
      <c r="F270" s="199"/>
      <c r="H270" s="202"/>
      <c r="I270" s="185" t="str">
        <f t="shared" si="25"/>
        <v/>
      </c>
      <c r="J270" s="203" t="str">
        <f>IF($H270="USD",IF(OR($I270="",$I270="-"),"",VLOOKUP($G270,為替!$A:$AX,$I270,FALSE))+$J$3,IF(OR($I270="",$I270="-"),"",VLOOKUP($G270,為替!$A:$AX,$I270,FALSE)))</f>
        <v/>
      </c>
      <c r="K270" s="204" t="str">
        <f t="shared" si="26"/>
        <v/>
      </c>
      <c r="L270" s="188" t="str">
        <f t="shared" si="27"/>
        <v/>
      </c>
      <c r="M270" s="203" t="str">
        <f>IF($H270="USD",IF(OR($L270="",$L270="-"),"",VLOOKUP($G270,為替!$A:$AX,$L270,FALSE))+$K$3,IF(OR($L270="",$L270="-"),"",VLOOKUP($G270,為替!$A:$AX,$L270,FALSE)))</f>
        <v/>
      </c>
      <c r="N270" s="204" t="str">
        <f t="shared" si="28"/>
        <v/>
      </c>
      <c r="O270" s="205" t="str">
        <f t="shared" si="24"/>
        <v/>
      </c>
      <c r="P270" s="206" t="str">
        <f t="shared" si="29"/>
        <v/>
      </c>
    </row>
    <row r="271" spans="3:16" x14ac:dyDescent="0.4">
      <c r="C271" s="199"/>
      <c r="D271" s="200"/>
      <c r="E271" s="201"/>
      <c r="F271" s="199"/>
      <c r="H271" s="202"/>
      <c r="I271" s="185" t="str">
        <f t="shared" si="25"/>
        <v/>
      </c>
      <c r="J271" s="203" t="str">
        <f>IF($H271="USD",IF(OR($I271="",$I271="-"),"",VLOOKUP($G271,為替!$A:$AX,$I271,FALSE))+$J$3,IF(OR($I271="",$I271="-"),"",VLOOKUP($G271,為替!$A:$AX,$I271,FALSE)))</f>
        <v/>
      </c>
      <c r="K271" s="204" t="str">
        <f t="shared" si="26"/>
        <v/>
      </c>
      <c r="L271" s="188" t="str">
        <f t="shared" si="27"/>
        <v/>
      </c>
      <c r="M271" s="203" t="str">
        <f>IF($H271="USD",IF(OR($L271="",$L271="-"),"",VLOOKUP($G271,為替!$A:$AX,$L271,FALSE))+$K$3,IF(OR($L271="",$L271="-"),"",VLOOKUP($G271,為替!$A:$AX,$L271,FALSE)))</f>
        <v/>
      </c>
      <c r="N271" s="204" t="str">
        <f t="shared" si="28"/>
        <v/>
      </c>
      <c r="O271" s="205" t="str">
        <f t="shared" si="24"/>
        <v/>
      </c>
      <c r="P271" s="206" t="str">
        <f t="shared" si="29"/>
        <v/>
      </c>
    </row>
    <row r="272" spans="3:16" x14ac:dyDescent="0.4">
      <c r="C272" s="199"/>
      <c r="D272" s="200"/>
      <c r="E272" s="201"/>
      <c r="F272" s="199"/>
      <c r="H272" s="202"/>
      <c r="I272" s="185" t="str">
        <f t="shared" si="25"/>
        <v/>
      </c>
      <c r="J272" s="203" t="str">
        <f>IF($H272="USD",IF(OR($I272="",$I272="-"),"",VLOOKUP($G272,為替!$A:$AX,$I272,FALSE))+$J$3,IF(OR($I272="",$I272="-"),"",VLOOKUP($G272,為替!$A:$AX,$I272,FALSE)))</f>
        <v/>
      </c>
      <c r="K272" s="204" t="str">
        <f t="shared" si="26"/>
        <v/>
      </c>
      <c r="L272" s="188" t="str">
        <f t="shared" si="27"/>
        <v/>
      </c>
      <c r="M272" s="203" t="str">
        <f>IF($H272="USD",IF(OR($L272="",$L272="-"),"",VLOOKUP($G272,為替!$A:$AX,$L272,FALSE))+$K$3,IF(OR($L272="",$L272="-"),"",VLOOKUP($G272,為替!$A:$AX,$L272,FALSE)))</f>
        <v/>
      </c>
      <c r="N272" s="204" t="str">
        <f t="shared" si="28"/>
        <v/>
      </c>
      <c r="O272" s="205" t="str">
        <f t="shared" si="24"/>
        <v/>
      </c>
      <c r="P272" s="206" t="str">
        <f t="shared" si="29"/>
        <v/>
      </c>
    </row>
    <row r="273" spans="3:16" x14ac:dyDescent="0.4">
      <c r="C273" s="199"/>
      <c r="D273" s="200"/>
      <c r="E273" s="201"/>
      <c r="F273" s="199"/>
      <c r="H273" s="202"/>
      <c r="I273" s="185" t="str">
        <f t="shared" si="25"/>
        <v/>
      </c>
      <c r="J273" s="203" t="str">
        <f>IF($H273="USD",IF(OR($I273="",$I273="-"),"",VLOOKUP($G273,為替!$A:$AX,$I273,FALSE))+$J$3,IF(OR($I273="",$I273="-"),"",VLOOKUP($G273,為替!$A:$AX,$I273,FALSE)))</f>
        <v/>
      </c>
      <c r="K273" s="204" t="str">
        <f t="shared" si="26"/>
        <v/>
      </c>
      <c r="L273" s="188" t="str">
        <f t="shared" si="27"/>
        <v/>
      </c>
      <c r="M273" s="203" t="str">
        <f>IF($H273="USD",IF(OR($L273="",$L273="-"),"",VLOOKUP($G273,為替!$A:$AX,$L273,FALSE))+$K$3,IF(OR($L273="",$L273="-"),"",VLOOKUP($G273,為替!$A:$AX,$L273,FALSE)))</f>
        <v/>
      </c>
      <c r="N273" s="204" t="str">
        <f t="shared" si="28"/>
        <v/>
      </c>
      <c r="O273" s="205" t="str">
        <f t="shared" si="24"/>
        <v/>
      </c>
      <c r="P273" s="206" t="str">
        <f t="shared" si="29"/>
        <v/>
      </c>
    </row>
    <row r="274" spans="3:16" x14ac:dyDescent="0.4">
      <c r="C274" s="199"/>
      <c r="D274" s="200"/>
      <c r="E274" s="201"/>
      <c r="F274" s="199"/>
      <c r="H274" s="202"/>
      <c r="I274" s="185" t="str">
        <f t="shared" si="25"/>
        <v/>
      </c>
      <c r="J274" s="203" t="str">
        <f>IF($H274="USD",IF(OR($I274="",$I274="-"),"",VLOOKUP($G274,為替!$A:$AX,$I274,FALSE))+$J$3,IF(OR($I274="",$I274="-"),"",VLOOKUP($G274,為替!$A:$AX,$I274,FALSE)))</f>
        <v/>
      </c>
      <c r="K274" s="204" t="str">
        <f t="shared" si="26"/>
        <v/>
      </c>
      <c r="L274" s="188" t="str">
        <f t="shared" si="27"/>
        <v/>
      </c>
      <c r="M274" s="203" t="str">
        <f>IF($H274="USD",IF(OR($L274="",$L274="-"),"",VLOOKUP($G274,為替!$A:$AX,$L274,FALSE))+$K$3,IF(OR($L274="",$L274="-"),"",VLOOKUP($G274,為替!$A:$AX,$L274,FALSE)))</f>
        <v/>
      </c>
      <c r="N274" s="204" t="str">
        <f t="shared" si="28"/>
        <v/>
      </c>
      <c r="O274" s="205" t="str">
        <f t="shared" si="24"/>
        <v/>
      </c>
      <c r="P274" s="206" t="str">
        <f t="shared" si="29"/>
        <v/>
      </c>
    </row>
    <row r="275" spans="3:16" x14ac:dyDescent="0.4">
      <c r="C275" s="199"/>
      <c r="D275" s="200"/>
      <c r="E275" s="201"/>
      <c r="F275" s="199"/>
      <c r="H275" s="202"/>
      <c r="I275" s="185" t="str">
        <f t="shared" si="25"/>
        <v/>
      </c>
      <c r="J275" s="203" t="str">
        <f>IF($H275="USD",IF(OR($I275="",$I275="-"),"",VLOOKUP($G275,為替!$A:$AX,$I275,FALSE))+$J$3,IF(OR($I275="",$I275="-"),"",VLOOKUP($G275,為替!$A:$AX,$I275,FALSE)))</f>
        <v/>
      </c>
      <c r="K275" s="204" t="str">
        <f t="shared" si="26"/>
        <v/>
      </c>
      <c r="L275" s="188" t="str">
        <f t="shared" si="27"/>
        <v/>
      </c>
      <c r="M275" s="203" t="str">
        <f>IF($H275="USD",IF(OR($L275="",$L275="-"),"",VLOOKUP($G275,為替!$A:$AX,$L275,FALSE))+$K$3,IF(OR($L275="",$L275="-"),"",VLOOKUP($G275,為替!$A:$AX,$L275,FALSE)))</f>
        <v/>
      </c>
      <c r="N275" s="204" t="str">
        <f t="shared" si="28"/>
        <v/>
      </c>
      <c r="O275" s="205" t="str">
        <f t="shared" si="24"/>
        <v/>
      </c>
      <c r="P275" s="206" t="str">
        <f t="shared" si="29"/>
        <v/>
      </c>
    </row>
    <row r="276" spans="3:16" x14ac:dyDescent="0.4">
      <c r="C276" s="199"/>
      <c r="D276" s="200"/>
      <c r="E276" s="201"/>
      <c r="F276" s="199"/>
      <c r="H276" s="202"/>
      <c r="I276" s="185" t="str">
        <f t="shared" si="25"/>
        <v/>
      </c>
      <c r="J276" s="203" t="str">
        <f>IF($H276="USD",IF(OR($I276="",$I276="-"),"",VLOOKUP($G276,為替!$A:$AX,$I276,FALSE))+$J$3,IF(OR($I276="",$I276="-"),"",VLOOKUP($G276,為替!$A:$AX,$I276,FALSE)))</f>
        <v/>
      </c>
      <c r="K276" s="204" t="str">
        <f t="shared" si="26"/>
        <v/>
      </c>
      <c r="L276" s="188" t="str">
        <f t="shared" si="27"/>
        <v/>
      </c>
      <c r="M276" s="203" t="str">
        <f>IF($H276="USD",IF(OR($L276="",$L276="-"),"",VLOOKUP($G276,為替!$A:$AX,$L276,FALSE))+$K$3,IF(OR($L276="",$L276="-"),"",VLOOKUP($G276,為替!$A:$AX,$L276,FALSE)))</f>
        <v/>
      </c>
      <c r="N276" s="204" t="str">
        <f t="shared" si="28"/>
        <v/>
      </c>
      <c r="O276" s="205" t="str">
        <f t="shared" si="24"/>
        <v/>
      </c>
      <c r="P276" s="206" t="str">
        <f t="shared" si="29"/>
        <v/>
      </c>
    </row>
    <row r="277" spans="3:16" x14ac:dyDescent="0.4">
      <c r="C277" s="199"/>
      <c r="D277" s="200"/>
      <c r="E277" s="201"/>
      <c r="F277" s="199"/>
      <c r="H277" s="202"/>
      <c r="I277" s="185" t="str">
        <f t="shared" si="25"/>
        <v/>
      </c>
      <c r="J277" s="203" t="str">
        <f>IF($H277="USD",IF(OR($I277="",$I277="-"),"",VLOOKUP($G277,為替!$A:$AX,$I277,FALSE))+$J$3,IF(OR($I277="",$I277="-"),"",VLOOKUP($G277,為替!$A:$AX,$I277,FALSE)))</f>
        <v/>
      </c>
      <c r="K277" s="204" t="str">
        <f t="shared" si="26"/>
        <v/>
      </c>
      <c r="L277" s="188" t="str">
        <f t="shared" si="27"/>
        <v/>
      </c>
      <c r="M277" s="203" t="str">
        <f>IF($H277="USD",IF(OR($L277="",$L277="-"),"",VLOOKUP($G277,為替!$A:$AX,$L277,FALSE))+$K$3,IF(OR($L277="",$L277="-"),"",VLOOKUP($G277,為替!$A:$AX,$L277,FALSE)))</f>
        <v/>
      </c>
      <c r="N277" s="204" t="str">
        <f t="shared" si="28"/>
        <v/>
      </c>
      <c r="O277" s="205" t="str">
        <f t="shared" si="24"/>
        <v/>
      </c>
      <c r="P277" s="206" t="str">
        <f t="shared" si="29"/>
        <v/>
      </c>
    </row>
    <row r="278" spans="3:16" x14ac:dyDescent="0.4">
      <c r="C278" s="199"/>
      <c r="D278" s="200"/>
      <c r="E278" s="201"/>
      <c r="F278" s="199"/>
      <c r="H278" s="202"/>
      <c r="I278" s="185" t="str">
        <f t="shared" si="25"/>
        <v/>
      </c>
      <c r="J278" s="203" t="str">
        <f>IF($H278="USD",IF(OR($I278="",$I278="-"),"",VLOOKUP($G278,為替!$A:$AX,$I278,FALSE))+$J$3,IF(OR($I278="",$I278="-"),"",VLOOKUP($G278,為替!$A:$AX,$I278,FALSE)))</f>
        <v/>
      </c>
      <c r="K278" s="204" t="str">
        <f t="shared" si="26"/>
        <v/>
      </c>
      <c r="L278" s="188" t="str">
        <f t="shared" si="27"/>
        <v/>
      </c>
      <c r="M278" s="203" t="str">
        <f>IF($H278="USD",IF(OR($L278="",$L278="-"),"",VLOOKUP($G278,為替!$A:$AX,$L278,FALSE))+$K$3,IF(OR($L278="",$L278="-"),"",VLOOKUP($G278,為替!$A:$AX,$L278,FALSE)))</f>
        <v/>
      </c>
      <c r="N278" s="204" t="str">
        <f t="shared" si="28"/>
        <v/>
      </c>
      <c r="O278" s="205" t="str">
        <f t="shared" si="24"/>
        <v/>
      </c>
      <c r="P278" s="206" t="str">
        <f t="shared" si="29"/>
        <v/>
      </c>
    </row>
    <row r="279" spans="3:16" x14ac:dyDescent="0.4">
      <c r="C279" s="199"/>
      <c r="D279" s="200"/>
      <c r="E279" s="201"/>
      <c r="F279" s="199"/>
      <c r="H279" s="202"/>
      <c r="I279" s="185" t="str">
        <f t="shared" si="25"/>
        <v/>
      </c>
      <c r="J279" s="203" t="str">
        <f>IF($H279="USD",IF(OR($I279="",$I279="-"),"",VLOOKUP($G279,為替!$A:$AX,$I279,FALSE))+$J$3,IF(OR($I279="",$I279="-"),"",VLOOKUP($G279,為替!$A:$AX,$I279,FALSE)))</f>
        <v/>
      </c>
      <c r="K279" s="204" t="str">
        <f t="shared" si="26"/>
        <v/>
      </c>
      <c r="L279" s="188" t="str">
        <f t="shared" si="27"/>
        <v/>
      </c>
      <c r="M279" s="203" t="str">
        <f>IF($H279="USD",IF(OR($L279="",$L279="-"),"",VLOOKUP($G279,為替!$A:$AX,$L279,FALSE))+$K$3,IF(OR($L279="",$L279="-"),"",VLOOKUP($G279,為替!$A:$AX,$L279,FALSE)))</f>
        <v/>
      </c>
      <c r="N279" s="204" t="str">
        <f t="shared" si="28"/>
        <v/>
      </c>
      <c r="O279" s="205" t="str">
        <f t="shared" si="24"/>
        <v/>
      </c>
      <c r="P279" s="206" t="str">
        <f t="shared" si="29"/>
        <v/>
      </c>
    </row>
    <row r="280" spans="3:16" x14ac:dyDescent="0.4">
      <c r="C280" s="199"/>
      <c r="D280" s="200"/>
      <c r="E280" s="201"/>
      <c r="F280" s="199"/>
      <c r="H280" s="202"/>
      <c r="I280" s="185" t="str">
        <f t="shared" si="25"/>
        <v/>
      </c>
      <c r="J280" s="203" t="str">
        <f>IF($H280="USD",IF(OR($I280="",$I280="-"),"",VLOOKUP($G280,為替!$A:$AX,$I280,FALSE))+$J$3,IF(OR($I280="",$I280="-"),"",VLOOKUP($G280,為替!$A:$AX,$I280,FALSE)))</f>
        <v/>
      </c>
      <c r="K280" s="204" t="str">
        <f t="shared" si="26"/>
        <v/>
      </c>
      <c r="L280" s="188" t="str">
        <f t="shared" si="27"/>
        <v/>
      </c>
      <c r="M280" s="203" t="str">
        <f>IF($H280="USD",IF(OR($L280="",$L280="-"),"",VLOOKUP($G280,為替!$A:$AX,$L280,FALSE))+$K$3,IF(OR($L280="",$L280="-"),"",VLOOKUP($G280,為替!$A:$AX,$L280,FALSE)))</f>
        <v/>
      </c>
      <c r="N280" s="204" t="str">
        <f t="shared" si="28"/>
        <v/>
      </c>
      <c r="O280" s="205" t="str">
        <f t="shared" si="24"/>
        <v/>
      </c>
      <c r="P280" s="206" t="str">
        <f t="shared" si="29"/>
        <v/>
      </c>
    </row>
    <row r="281" spans="3:16" x14ac:dyDescent="0.4">
      <c r="C281" s="199"/>
      <c r="D281" s="200"/>
      <c r="E281" s="201"/>
      <c r="F281" s="199"/>
      <c r="H281" s="202"/>
      <c r="I281" s="185" t="str">
        <f t="shared" si="25"/>
        <v/>
      </c>
      <c r="J281" s="203" t="str">
        <f>IF($H281="USD",IF(OR($I281="",$I281="-"),"",VLOOKUP($G281,為替!$A:$AX,$I281,FALSE))+$J$3,IF(OR($I281="",$I281="-"),"",VLOOKUP($G281,為替!$A:$AX,$I281,FALSE)))</f>
        <v/>
      </c>
      <c r="K281" s="204" t="str">
        <f t="shared" si="26"/>
        <v/>
      </c>
      <c r="L281" s="188" t="str">
        <f t="shared" si="27"/>
        <v/>
      </c>
      <c r="M281" s="203" t="str">
        <f>IF($H281="USD",IF(OR($L281="",$L281="-"),"",VLOOKUP($G281,為替!$A:$AX,$L281,FALSE))+$K$3,IF(OR($L281="",$L281="-"),"",VLOOKUP($G281,為替!$A:$AX,$L281,FALSE)))</f>
        <v/>
      </c>
      <c r="N281" s="204" t="str">
        <f t="shared" si="28"/>
        <v/>
      </c>
      <c r="O281" s="205" t="str">
        <f t="shared" si="24"/>
        <v/>
      </c>
      <c r="P281" s="206" t="str">
        <f t="shared" si="29"/>
        <v/>
      </c>
    </row>
    <row r="282" spans="3:16" x14ac:dyDescent="0.4">
      <c r="C282" s="199"/>
      <c r="D282" s="200"/>
      <c r="E282" s="201"/>
      <c r="F282" s="199"/>
      <c r="H282" s="202"/>
      <c r="I282" s="185" t="str">
        <f t="shared" si="25"/>
        <v/>
      </c>
      <c r="J282" s="203" t="str">
        <f>IF($H282="USD",IF(OR($I282="",$I282="-"),"",VLOOKUP($G282,為替!$A:$AX,$I282,FALSE))+$J$3,IF(OR($I282="",$I282="-"),"",VLOOKUP($G282,為替!$A:$AX,$I282,FALSE)))</f>
        <v/>
      </c>
      <c r="K282" s="204" t="str">
        <f t="shared" si="26"/>
        <v/>
      </c>
      <c r="L282" s="188" t="str">
        <f t="shared" si="27"/>
        <v/>
      </c>
      <c r="M282" s="203" t="str">
        <f>IF($H282="USD",IF(OR($L282="",$L282="-"),"",VLOOKUP($G282,為替!$A:$AX,$L282,FALSE))+$K$3,IF(OR($L282="",$L282="-"),"",VLOOKUP($G282,為替!$A:$AX,$L282,FALSE)))</f>
        <v/>
      </c>
      <c r="N282" s="204" t="str">
        <f t="shared" si="28"/>
        <v/>
      </c>
      <c r="O282" s="205" t="str">
        <f t="shared" si="24"/>
        <v/>
      </c>
      <c r="P282" s="206" t="str">
        <f t="shared" si="29"/>
        <v/>
      </c>
    </row>
    <row r="283" spans="3:16" x14ac:dyDescent="0.4">
      <c r="C283" s="199"/>
      <c r="D283" s="200"/>
      <c r="E283" s="201"/>
      <c r="F283" s="199"/>
      <c r="H283" s="202"/>
      <c r="I283" s="185" t="str">
        <f t="shared" si="25"/>
        <v/>
      </c>
      <c r="J283" s="203" t="str">
        <f>IF($H283="USD",IF(OR($I283="",$I283="-"),"",VLOOKUP($G283,為替!$A:$AX,$I283,FALSE))+$J$3,IF(OR($I283="",$I283="-"),"",VLOOKUP($G283,為替!$A:$AX,$I283,FALSE)))</f>
        <v/>
      </c>
      <c r="K283" s="204" t="str">
        <f t="shared" si="26"/>
        <v/>
      </c>
      <c r="L283" s="188" t="str">
        <f t="shared" si="27"/>
        <v/>
      </c>
      <c r="M283" s="203" t="str">
        <f>IF($H283="USD",IF(OR($L283="",$L283="-"),"",VLOOKUP($G283,為替!$A:$AX,$L283,FALSE))+$K$3,IF(OR($L283="",$L283="-"),"",VLOOKUP($G283,為替!$A:$AX,$L283,FALSE)))</f>
        <v/>
      </c>
      <c r="N283" s="204" t="str">
        <f t="shared" si="28"/>
        <v/>
      </c>
      <c r="O283" s="205" t="str">
        <f t="shared" si="24"/>
        <v/>
      </c>
      <c r="P283" s="206" t="str">
        <f t="shared" si="29"/>
        <v/>
      </c>
    </row>
    <row r="284" spans="3:16" x14ac:dyDescent="0.4">
      <c r="C284" s="199"/>
      <c r="D284" s="200"/>
      <c r="E284" s="201"/>
      <c r="F284" s="199"/>
      <c r="H284" s="202"/>
      <c r="I284" s="185" t="str">
        <f t="shared" si="25"/>
        <v/>
      </c>
      <c r="J284" s="203" t="str">
        <f>IF($H284="USD",IF(OR($I284="",$I284="-"),"",VLOOKUP($G284,為替!$A:$AX,$I284,FALSE))+$J$3,IF(OR($I284="",$I284="-"),"",VLOOKUP($G284,為替!$A:$AX,$I284,FALSE)))</f>
        <v/>
      </c>
      <c r="K284" s="204" t="str">
        <f t="shared" si="26"/>
        <v/>
      </c>
      <c r="L284" s="188" t="str">
        <f t="shared" si="27"/>
        <v/>
      </c>
      <c r="M284" s="203" t="str">
        <f>IF($H284="USD",IF(OR($L284="",$L284="-"),"",VLOOKUP($G284,為替!$A:$AX,$L284,FALSE))+$K$3,IF(OR($L284="",$L284="-"),"",VLOOKUP($G284,為替!$A:$AX,$L284,FALSE)))</f>
        <v/>
      </c>
      <c r="N284" s="204" t="str">
        <f t="shared" si="28"/>
        <v/>
      </c>
      <c r="O284" s="205" t="str">
        <f t="shared" si="24"/>
        <v/>
      </c>
      <c r="P284" s="206" t="str">
        <f t="shared" si="29"/>
        <v/>
      </c>
    </row>
    <row r="285" spans="3:16" x14ac:dyDescent="0.4">
      <c r="C285" s="199"/>
      <c r="D285" s="200"/>
      <c r="E285" s="201"/>
      <c r="F285" s="199"/>
      <c r="H285" s="202"/>
      <c r="I285" s="185" t="str">
        <f t="shared" si="25"/>
        <v/>
      </c>
      <c r="J285" s="203" t="str">
        <f>IF($H285="USD",IF(OR($I285="",$I285="-"),"",VLOOKUP($G285,為替!$A:$AX,$I285,FALSE))+$J$3,IF(OR($I285="",$I285="-"),"",VLOOKUP($G285,為替!$A:$AX,$I285,FALSE)))</f>
        <v/>
      </c>
      <c r="K285" s="204" t="str">
        <f t="shared" si="26"/>
        <v/>
      </c>
      <c r="L285" s="188" t="str">
        <f t="shared" si="27"/>
        <v/>
      </c>
      <c r="M285" s="203" t="str">
        <f>IF($H285="USD",IF(OR($L285="",$L285="-"),"",VLOOKUP($G285,為替!$A:$AX,$L285,FALSE))+$K$3,IF(OR($L285="",$L285="-"),"",VLOOKUP($G285,為替!$A:$AX,$L285,FALSE)))</f>
        <v/>
      </c>
      <c r="N285" s="204" t="str">
        <f t="shared" si="28"/>
        <v/>
      </c>
      <c r="O285" s="205" t="str">
        <f t="shared" si="24"/>
        <v/>
      </c>
      <c r="P285" s="206" t="str">
        <f t="shared" si="29"/>
        <v/>
      </c>
    </row>
    <row r="286" spans="3:16" x14ac:dyDescent="0.4">
      <c r="C286" s="199"/>
      <c r="D286" s="200"/>
      <c r="E286" s="201"/>
      <c r="F286" s="199"/>
      <c r="H286" s="202"/>
      <c r="I286" s="185" t="str">
        <f t="shared" si="25"/>
        <v/>
      </c>
      <c r="J286" s="203" t="str">
        <f>IF($H286="USD",IF(OR($I286="",$I286="-"),"",VLOOKUP($G286,為替!$A:$AX,$I286,FALSE))+$J$3,IF(OR($I286="",$I286="-"),"",VLOOKUP($G286,為替!$A:$AX,$I286,FALSE)))</f>
        <v/>
      </c>
      <c r="K286" s="204" t="str">
        <f t="shared" si="26"/>
        <v/>
      </c>
      <c r="L286" s="188" t="str">
        <f t="shared" si="27"/>
        <v/>
      </c>
      <c r="M286" s="203" t="str">
        <f>IF($H286="USD",IF(OR($L286="",$L286="-"),"",VLOOKUP($G286,為替!$A:$AX,$L286,FALSE))+$K$3,IF(OR($L286="",$L286="-"),"",VLOOKUP($G286,為替!$A:$AX,$L286,FALSE)))</f>
        <v/>
      </c>
      <c r="N286" s="204" t="str">
        <f t="shared" si="28"/>
        <v/>
      </c>
      <c r="O286" s="205" t="str">
        <f t="shared" si="24"/>
        <v/>
      </c>
      <c r="P286" s="206" t="str">
        <f t="shared" si="29"/>
        <v/>
      </c>
    </row>
    <row r="287" spans="3:16" x14ac:dyDescent="0.4">
      <c r="C287" s="199"/>
      <c r="D287" s="200"/>
      <c r="E287" s="201"/>
      <c r="F287" s="199"/>
      <c r="H287" s="202"/>
      <c r="I287" s="185" t="str">
        <f t="shared" si="25"/>
        <v/>
      </c>
      <c r="J287" s="203" t="str">
        <f>IF($H287="USD",IF(OR($I287="",$I287="-"),"",VLOOKUP($G287,為替!$A:$AX,$I287,FALSE))+$J$3,IF(OR($I287="",$I287="-"),"",VLOOKUP($G287,為替!$A:$AX,$I287,FALSE)))</f>
        <v/>
      </c>
      <c r="K287" s="204" t="str">
        <f t="shared" si="26"/>
        <v/>
      </c>
      <c r="L287" s="188" t="str">
        <f t="shared" si="27"/>
        <v/>
      </c>
      <c r="M287" s="203" t="str">
        <f>IF($H287="USD",IF(OR($L287="",$L287="-"),"",VLOOKUP($G287,為替!$A:$AX,$L287,FALSE))+$K$3,IF(OR($L287="",$L287="-"),"",VLOOKUP($G287,為替!$A:$AX,$L287,FALSE)))</f>
        <v/>
      </c>
      <c r="N287" s="204" t="str">
        <f t="shared" si="28"/>
        <v/>
      </c>
      <c r="O287" s="205" t="str">
        <f t="shared" si="24"/>
        <v/>
      </c>
      <c r="P287" s="206" t="str">
        <f t="shared" si="29"/>
        <v/>
      </c>
    </row>
    <row r="288" spans="3:16" x14ac:dyDescent="0.4">
      <c r="C288" s="199"/>
      <c r="D288" s="200"/>
      <c r="E288" s="201"/>
      <c r="F288" s="199"/>
      <c r="H288" s="202"/>
      <c r="I288" s="185" t="str">
        <f t="shared" si="25"/>
        <v/>
      </c>
      <c r="J288" s="203" t="str">
        <f>IF($H288="USD",IF(OR($I288="",$I288="-"),"",VLOOKUP($G288,為替!$A:$AX,$I288,FALSE))+$J$3,IF(OR($I288="",$I288="-"),"",VLOOKUP($G288,為替!$A:$AX,$I288,FALSE)))</f>
        <v/>
      </c>
      <c r="K288" s="204" t="str">
        <f t="shared" si="26"/>
        <v/>
      </c>
      <c r="L288" s="188" t="str">
        <f t="shared" si="27"/>
        <v/>
      </c>
      <c r="M288" s="203" t="str">
        <f>IF($H288="USD",IF(OR($L288="",$L288="-"),"",VLOOKUP($G288,為替!$A:$AX,$L288,FALSE))+$K$3,IF(OR($L288="",$L288="-"),"",VLOOKUP($G288,為替!$A:$AX,$L288,FALSE)))</f>
        <v/>
      </c>
      <c r="N288" s="204" t="str">
        <f t="shared" si="28"/>
        <v/>
      </c>
      <c r="O288" s="205" t="str">
        <f t="shared" si="24"/>
        <v/>
      </c>
      <c r="P288" s="206" t="str">
        <f t="shared" si="29"/>
        <v/>
      </c>
    </row>
    <row r="289" spans="3:16" x14ac:dyDescent="0.4">
      <c r="C289" s="199"/>
      <c r="D289" s="200"/>
      <c r="E289" s="201"/>
      <c r="F289" s="199"/>
      <c r="H289" s="202"/>
      <c r="I289" s="185" t="str">
        <f t="shared" si="25"/>
        <v/>
      </c>
      <c r="J289" s="203" t="str">
        <f>IF($H289="USD",IF(OR($I289="",$I289="-"),"",VLOOKUP($G289,為替!$A:$AX,$I289,FALSE))+$J$3,IF(OR($I289="",$I289="-"),"",VLOOKUP($G289,為替!$A:$AX,$I289,FALSE)))</f>
        <v/>
      </c>
      <c r="K289" s="204" t="str">
        <f t="shared" si="26"/>
        <v/>
      </c>
      <c r="L289" s="188" t="str">
        <f t="shared" si="27"/>
        <v/>
      </c>
      <c r="M289" s="203" t="str">
        <f>IF($H289="USD",IF(OR($L289="",$L289="-"),"",VLOOKUP($G289,為替!$A:$AX,$L289,FALSE))+$K$3,IF(OR($L289="",$L289="-"),"",VLOOKUP($G289,為替!$A:$AX,$L289,FALSE)))</f>
        <v/>
      </c>
      <c r="N289" s="204" t="str">
        <f t="shared" si="28"/>
        <v/>
      </c>
      <c r="O289" s="205" t="str">
        <f t="shared" si="24"/>
        <v/>
      </c>
      <c r="P289" s="206" t="str">
        <f t="shared" si="29"/>
        <v/>
      </c>
    </row>
    <row r="290" spans="3:16" x14ac:dyDescent="0.4">
      <c r="C290" s="199"/>
      <c r="D290" s="200"/>
      <c r="E290" s="201"/>
      <c r="F290" s="199"/>
      <c r="H290" s="202"/>
      <c r="I290" s="185" t="str">
        <f t="shared" si="25"/>
        <v/>
      </c>
      <c r="J290" s="203" t="str">
        <f>IF($H290="USD",IF(OR($I290="",$I290="-"),"",VLOOKUP($G290,為替!$A:$AX,$I290,FALSE))+$J$3,IF(OR($I290="",$I290="-"),"",VLOOKUP($G290,為替!$A:$AX,$I290,FALSE)))</f>
        <v/>
      </c>
      <c r="K290" s="204" t="str">
        <f t="shared" si="26"/>
        <v/>
      </c>
      <c r="L290" s="188" t="str">
        <f t="shared" si="27"/>
        <v/>
      </c>
      <c r="M290" s="203" t="str">
        <f>IF($H290="USD",IF(OR($L290="",$L290="-"),"",VLOOKUP($G290,為替!$A:$AX,$L290,FALSE))+$K$3,IF(OR($L290="",$L290="-"),"",VLOOKUP($G290,為替!$A:$AX,$L290,FALSE)))</f>
        <v/>
      </c>
      <c r="N290" s="204" t="str">
        <f t="shared" si="28"/>
        <v/>
      </c>
      <c r="O290" s="205" t="str">
        <f t="shared" si="24"/>
        <v/>
      </c>
      <c r="P290" s="206" t="str">
        <f t="shared" si="29"/>
        <v/>
      </c>
    </row>
    <row r="291" spans="3:16" x14ac:dyDescent="0.4">
      <c r="C291" s="199"/>
      <c r="D291" s="200"/>
      <c r="E291" s="201"/>
      <c r="F291" s="199"/>
      <c r="H291" s="202"/>
      <c r="I291" s="185" t="str">
        <f t="shared" si="25"/>
        <v/>
      </c>
      <c r="J291" s="203" t="str">
        <f>IF($H291="USD",IF(OR($I291="",$I291="-"),"",VLOOKUP($G291,為替!$A:$AX,$I291,FALSE))+$J$3,IF(OR($I291="",$I291="-"),"",VLOOKUP($G291,為替!$A:$AX,$I291,FALSE)))</f>
        <v/>
      </c>
      <c r="K291" s="204" t="str">
        <f t="shared" si="26"/>
        <v/>
      </c>
      <c r="L291" s="188" t="str">
        <f t="shared" si="27"/>
        <v/>
      </c>
      <c r="M291" s="203" t="str">
        <f>IF($H291="USD",IF(OR($L291="",$L291="-"),"",VLOOKUP($G291,為替!$A:$AX,$L291,FALSE))+$K$3,IF(OR($L291="",$L291="-"),"",VLOOKUP($G291,為替!$A:$AX,$L291,FALSE)))</f>
        <v/>
      </c>
      <c r="N291" s="204" t="str">
        <f t="shared" si="28"/>
        <v/>
      </c>
      <c r="O291" s="205" t="str">
        <f t="shared" si="24"/>
        <v/>
      </c>
      <c r="P291" s="206" t="str">
        <f t="shared" si="29"/>
        <v/>
      </c>
    </row>
    <row r="292" spans="3:16" x14ac:dyDescent="0.4">
      <c r="C292" s="199"/>
      <c r="D292" s="200"/>
      <c r="E292" s="201"/>
      <c r="F292" s="199"/>
      <c r="H292" s="202"/>
      <c r="I292" s="185" t="str">
        <f t="shared" si="25"/>
        <v/>
      </c>
      <c r="J292" s="203" t="str">
        <f>IF($H292="USD",IF(OR($I292="",$I292="-"),"",VLOOKUP($G292,為替!$A:$AX,$I292,FALSE))+$J$3,IF(OR($I292="",$I292="-"),"",VLOOKUP($G292,為替!$A:$AX,$I292,FALSE)))</f>
        <v/>
      </c>
      <c r="K292" s="204" t="str">
        <f t="shared" si="26"/>
        <v/>
      </c>
      <c r="L292" s="188" t="str">
        <f t="shared" si="27"/>
        <v/>
      </c>
      <c r="M292" s="203" t="str">
        <f>IF($H292="USD",IF(OR($L292="",$L292="-"),"",VLOOKUP($G292,為替!$A:$AX,$L292,FALSE))+$K$3,IF(OR($L292="",$L292="-"),"",VLOOKUP($G292,為替!$A:$AX,$L292,FALSE)))</f>
        <v/>
      </c>
      <c r="N292" s="204" t="str">
        <f t="shared" si="28"/>
        <v/>
      </c>
      <c r="O292" s="205" t="str">
        <f t="shared" si="24"/>
        <v/>
      </c>
      <c r="P292" s="206" t="str">
        <f t="shared" si="29"/>
        <v/>
      </c>
    </row>
    <row r="293" spans="3:16" x14ac:dyDescent="0.4">
      <c r="C293" s="199"/>
      <c r="D293" s="200"/>
      <c r="E293" s="201"/>
      <c r="F293" s="199"/>
      <c r="H293" s="202"/>
      <c r="I293" s="185" t="str">
        <f t="shared" si="25"/>
        <v/>
      </c>
      <c r="J293" s="203" t="str">
        <f>IF($H293="USD",IF(OR($I293="",$I293="-"),"",VLOOKUP($G293,為替!$A:$AX,$I293,FALSE))+$J$3,IF(OR($I293="",$I293="-"),"",VLOOKUP($G293,為替!$A:$AX,$I293,FALSE)))</f>
        <v/>
      </c>
      <c r="K293" s="204" t="str">
        <f t="shared" si="26"/>
        <v/>
      </c>
      <c r="L293" s="188" t="str">
        <f t="shared" si="27"/>
        <v/>
      </c>
      <c r="M293" s="203" t="str">
        <f>IF($H293="USD",IF(OR($L293="",$L293="-"),"",VLOOKUP($G293,為替!$A:$AX,$L293,FALSE))+$K$3,IF(OR($L293="",$L293="-"),"",VLOOKUP($G293,為替!$A:$AX,$L293,FALSE)))</f>
        <v/>
      </c>
      <c r="N293" s="204" t="str">
        <f t="shared" si="28"/>
        <v/>
      </c>
      <c r="O293" s="205" t="str">
        <f t="shared" si="24"/>
        <v/>
      </c>
      <c r="P293" s="206" t="str">
        <f t="shared" si="29"/>
        <v/>
      </c>
    </row>
    <row r="294" spans="3:16" x14ac:dyDescent="0.4">
      <c r="C294" s="199"/>
      <c r="D294" s="200"/>
      <c r="E294" s="201"/>
      <c r="F294" s="199"/>
      <c r="H294" s="202"/>
      <c r="I294" s="185" t="str">
        <f t="shared" si="25"/>
        <v/>
      </c>
      <c r="J294" s="203" t="str">
        <f>IF($H294="USD",IF(OR($I294="",$I294="-"),"",VLOOKUP($G294,為替!$A:$AX,$I294,FALSE))+$J$3,IF(OR($I294="",$I294="-"),"",VLOOKUP($G294,為替!$A:$AX,$I294,FALSE)))</f>
        <v/>
      </c>
      <c r="K294" s="204" t="str">
        <f t="shared" si="26"/>
        <v/>
      </c>
      <c r="L294" s="188" t="str">
        <f t="shared" si="27"/>
        <v/>
      </c>
      <c r="M294" s="203" t="str">
        <f>IF($H294="USD",IF(OR($L294="",$L294="-"),"",VLOOKUP($G294,為替!$A:$AX,$L294,FALSE))+$K$3,IF(OR($L294="",$L294="-"),"",VLOOKUP($G294,為替!$A:$AX,$L294,FALSE)))</f>
        <v/>
      </c>
      <c r="N294" s="204" t="str">
        <f t="shared" si="28"/>
        <v/>
      </c>
      <c r="O294" s="205" t="str">
        <f t="shared" si="24"/>
        <v/>
      </c>
      <c r="P294" s="206" t="str">
        <f t="shared" si="29"/>
        <v/>
      </c>
    </row>
    <row r="295" spans="3:16" x14ac:dyDescent="0.4">
      <c r="C295" s="199"/>
      <c r="D295" s="200"/>
      <c r="E295" s="201"/>
      <c r="F295" s="199"/>
      <c r="H295" s="202"/>
      <c r="I295" s="185" t="str">
        <f t="shared" si="25"/>
        <v/>
      </c>
      <c r="J295" s="203" t="str">
        <f>IF($H295="USD",IF(OR($I295="",$I295="-"),"",VLOOKUP($G295,為替!$A:$AX,$I295,FALSE))+$J$3,IF(OR($I295="",$I295="-"),"",VLOOKUP($G295,為替!$A:$AX,$I295,FALSE)))</f>
        <v/>
      </c>
      <c r="K295" s="204" t="str">
        <f t="shared" si="26"/>
        <v/>
      </c>
      <c r="L295" s="188" t="str">
        <f t="shared" si="27"/>
        <v/>
      </c>
      <c r="M295" s="203" t="str">
        <f>IF($H295="USD",IF(OR($L295="",$L295="-"),"",VLOOKUP($G295,為替!$A:$AX,$L295,FALSE))+$K$3,IF(OR($L295="",$L295="-"),"",VLOOKUP($G295,為替!$A:$AX,$L295,FALSE)))</f>
        <v/>
      </c>
      <c r="N295" s="204" t="str">
        <f t="shared" si="28"/>
        <v/>
      </c>
      <c r="O295" s="205" t="str">
        <f t="shared" si="24"/>
        <v/>
      </c>
      <c r="P295" s="206" t="str">
        <f t="shared" si="29"/>
        <v/>
      </c>
    </row>
    <row r="296" spans="3:16" x14ac:dyDescent="0.4">
      <c r="C296" s="199"/>
      <c r="D296" s="200"/>
      <c r="E296" s="201"/>
      <c r="F296" s="199"/>
      <c r="H296" s="202"/>
      <c r="I296" s="185" t="str">
        <f t="shared" si="25"/>
        <v/>
      </c>
      <c r="J296" s="203" t="str">
        <f>IF($H296="USD",IF(OR($I296="",$I296="-"),"",VLOOKUP($G296,為替!$A:$AX,$I296,FALSE))+$J$3,IF(OR($I296="",$I296="-"),"",VLOOKUP($G296,為替!$A:$AX,$I296,FALSE)))</f>
        <v/>
      </c>
      <c r="K296" s="204" t="str">
        <f t="shared" si="26"/>
        <v/>
      </c>
      <c r="L296" s="188" t="str">
        <f t="shared" si="27"/>
        <v/>
      </c>
      <c r="M296" s="203" t="str">
        <f>IF($H296="USD",IF(OR($L296="",$L296="-"),"",VLOOKUP($G296,為替!$A:$AX,$L296,FALSE))+$K$3,IF(OR($L296="",$L296="-"),"",VLOOKUP($G296,為替!$A:$AX,$L296,FALSE)))</f>
        <v/>
      </c>
      <c r="N296" s="204" t="str">
        <f t="shared" si="28"/>
        <v/>
      </c>
      <c r="O296" s="205" t="str">
        <f t="shared" si="24"/>
        <v/>
      </c>
      <c r="P296" s="206" t="str">
        <f t="shared" si="29"/>
        <v/>
      </c>
    </row>
    <row r="297" spans="3:16" x14ac:dyDescent="0.4">
      <c r="C297" s="199"/>
      <c r="D297" s="200"/>
      <c r="E297" s="201"/>
      <c r="F297" s="199"/>
      <c r="H297" s="202"/>
      <c r="I297" s="185" t="str">
        <f t="shared" si="25"/>
        <v/>
      </c>
      <c r="J297" s="203" t="str">
        <f>IF($H297="USD",IF(OR($I297="",$I297="-"),"",VLOOKUP($G297,為替!$A:$AX,$I297,FALSE))+$J$3,IF(OR($I297="",$I297="-"),"",VLOOKUP($G297,為替!$A:$AX,$I297,FALSE)))</f>
        <v/>
      </c>
      <c r="K297" s="204" t="str">
        <f t="shared" si="26"/>
        <v/>
      </c>
      <c r="L297" s="188" t="str">
        <f t="shared" si="27"/>
        <v/>
      </c>
      <c r="M297" s="203" t="str">
        <f>IF($H297="USD",IF(OR($L297="",$L297="-"),"",VLOOKUP($G297,為替!$A:$AX,$L297,FALSE))+$K$3,IF(OR($L297="",$L297="-"),"",VLOOKUP($G297,為替!$A:$AX,$L297,FALSE)))</f>
        <v/>
      </c>
      <c r="N297" s="204" t="str">
        <f t="shared" si="28"/>
        <v/>
      </c>
      <c r="O297" s="205" t="str">
        <f t="shared" si="24"/>
        <v/>
      </c>
      <c r="P297" s="206" t="str">
        <f t="shared" si="29"/>
        <v/>
      </c>
    </row>
    <row r="298" spans="3:16" x14ac:dyDescent="0.4">
      <c r="C298" s="199"/>
      <c r="D298" s="200"/>
      <c r="E298" s="201"/>
      <c r="F298" s="199"/>
      <c r="H298" s="202"/>
      <c r="I298" s="185" t="str">
        <f t="shared" si="25"/>
        <v/>
      </c>
      <c r="J298" s="203" t="str">
        <f>IF($H298="USD",IF(OR($I298="",$I298="-"),"",VLOOKUP($G298,為替!$A:$AX,$I298,FALSE))+$J$3,IF(OR($I298="",$I298="-"),"",VLOOKUP($G298,為替!$A:$AX,$I298,FALSE)))</f>
        <v/>
      </c>
      <c r="K298" s="204" t="str">
        <f t="shared" si="26"/>
        <v/>
      </c>
      <c r="L298" s="188" t="str">
        <f t="shared" si="27"/>
        <v/>
      </c>
      <c r="M298" s="203" t="str">
        <f>IF($H298="USD",IF(OR($L298="",$L298="-"),"",VLOOKUP($G298,為替!$A:$AX,$L298,FALSE))+$K$3,IF(OR($L298="",$L298="-"),"",VLOOKUP($G298,為替!$A:$AX,$L298,FALSE)))</f>
        <v/>
      </c>
      <c r="N298" s="204" t="str">
        <f t="shared" si="28"/>
        <v/>
      </c>
      <c r="O298" s="205" t="str">
        <f t="shared" si="24"/>
        <v/>
      </c>
      <c r="P298" s="206" t="str">
        <f t="shared" si="29"/>
        <v/>
      </c>
    </row>
    <row r="299" spans="3:16" x14ac:dyDescent="0.4">
      <c r="C299" s="199"/>
      <c r="D299" s="200"/>
      <c r="E299" s="201"/>
      <c r="F299" s="199"/>
      <c r="H299" s="202"/>
      <c r="I299" s="185" t="str">
        <f t="shared" si="25"/>
        <v/>
      </c>
      <c r="J299" s="203" t="str">
        <f>IF($H299="USD",IF(OR($I299="",$I299="-"),"",VLOOKUP($G299,為替!$A:$AX,$I299,FALSE))+$J$3,IF(OR($I299="",$I299="-"),"",VLOOKUP($G299,為替!$A:$AX,$I299,FALSE)))</f>
        <v/>
      </c>
      <c r="K299" s="204" t="str">
        <f t="shared" si="26"/>
        <v/>
      </c>
      <c r="L299" s="188" t="str">
        <f t="shared" si="27"/>
        <v/>
      </c>
      <c r="M299" s="203" t="str">
        <f>IF($H299="USD",IF(OR($L299="",$L299="-"),"",VLOOKUP($G299,為替!$A:$AX,$L299,FALSE))+$K$3,IF(OR($L299="",$L299="-"),"",VLOOKUP($G299,為替!$A:$AX,$L299,FALSE)))</f>
        <v/>
      </c>
      <c r="N299" s="204" t="str">
        <f t="shared" si="28"/>
        <v/>
      </c>
      <c r="O299" s="205" t="str">
        <f t="shared" si="24"/>
        <v/>
      </c>
      <c r="P299" s="206" t="str">
        <f t="shared" si="29"/>
        <v/>
      </c>
    </row>
    <row r="300" spans="3:16" x14ac:dyDescent="0.4">
      <c r="C300" s="199"/>
      <c r="D300" s="200"/>
      <c r="E300" s="201"/>
      <c r="F300" s="199"/>
      <c r="H300" s="202"/>
      <c r="I300" s="185" t="str">
        <f t="shared" si="25"/>
        <v/>
      </c>
      <c r="J300" s="203" t="str">
        <f>IF($H300="USD",IF(OR($I300="",$I300="-"),"",VLOOKUP($G300,為替!$A:$AX,$I300,FALSE))+$J$3,IF(OR($I300="",$I300="-"),"",VLOOKUP($G300,為替!$A:$AX,$I300,FALSE)))</f>
        <v/>
      </c>
      <c r="K300" s="204" t="str">
        <f t="shared" si="26"/>
        <v/>
      </c>
      <c r="L300" s="188" t="str">
        <f t="shared" si="27"/>
        <v/>
      </c>
      <c r="M300" s="203" t="str">
        <f>IF($H300="USD",IF(OR($L300="",$L300="-"),"",VLOOKUP($G300,為替!$A:$AX,$L300,FALSE))+$K$3,IF(OR($L300="",$L300="-"),"",VLOOKUP($G300,為替!$A:$AX,$L300,FALSE)))</f>
        <v/>
      </c>
      <c r="N300" s="204" t="str">
        <f t="shared" si="28"/>
        <v/>
      </c>
      <c r="O300" s="205" t="str">
        <f t="shared" si="24"/>
        <v/>
      </c>
      <c r="P300" s="206" t="str">
        <f t="shared" si="29"/>
        <v/>
      </c>
    </row>
    <row r="301" spans="3:16" x14ac:dyDescent="0.4">
      <c r="C301" s="199"/>
      <c r="D301" s="200"/>
      <c r="E301" s="201"/>
      <c r="F301" s="199"/>
      <c r="H301" s="202"/>
      <c r="I301" s="185" t="str">
        <f t="shared" si="25"/>
        <v/>
      </c>
      <c r="J301" s="203" t="str">
        <f>IF($H301="USD",IF(OR($I301="",$I301="-"),"",VLOOKUP($G301,為替!$A:$AX,$I301,FALSE))+$J$3,IF(OR($I301="",$I301="-"),"",VLOOKUP($G301,為替!$A:$AX,$I301,FALSE)))</f>
        <v/>
      </c>
      <c r="K301" s="204" t="str">
        <f t="shared" si="26"/>
        <v/>
      </c>
      <c r="L301" s="188" t="str">
        <f t="shared" si="27"/>
        <v/>
      </c>
      <c r="M301" s="203" t="str">
        <f>IF($H301="USD",IF(OR($L301="",$L301="-"),"",VLOOKUP($G301,為替!$A:$AX,$L301,FALSE))+$K$3,IF(OR($L301="",$L301="-"),"",VLOOKUP($G301,為替!$A:$AX,$L301,FALSE)))</f>
        <v/>
      </c>
      <c r="N301" s="204" t="str">
        <f t="shared" si="28"/>
        <v/>
      </c>
      <c r="O301" s="205" t="str">
        <f t="shared" si="24"/>
        <v/>
      </c>
      <c r="P301" s="206" t="str">
        <f t="shared" si="29"/>
        <v/>
      </c>
    </row>
    <row r="302" spans="3:16" x14ac:dyDescent="0.4">
      <c r="C302" s="199"/>
      <c r="D302" s="200"/>
      <c r="E302" s="201"/>
      <c r="F302" s="199"/>
      <c r="H302" s="202"/>
      <c r="I302" s="185" t="str">
        <f t="shared" si="25"/>
        <v/>
      </c>
      <c r="J302" s="203" t="str">
        <f>IF($H302="USD",IF(OR($I302="",$I302="-"),"",VLOOKUP($G302,為替!$A:$AX,$I302,FALSE))+$J$3,IF(OR($I302="",$I302="-"),"",VLOOKUP($G302,為替!$A:$AX,$I302,FALSE)))</f>
        <v/>
      </c>
      <c r="K302" s="204" t="str">
        <f t="shared" si="26"/>
        <v/>
      </c>
      <c r="L302" s="188" t="str">
        <f t="shared" si="27"/>
        <v/>
      </c>
      <c r="M302" s="203" t="str">
        <f>IF($H302="USD",IF(OR($L302="",$L302="-"),"",VLOOKUP($G302,為替!$A:$AX,$L302,FALSE))+$K$3,IF(OR($L302="",$L302="-"),"",VLOOKUP($G302,為替!$A:$AX,$L302,FALSE)))</f>
        <v/>
      </c>
      <c r="N302" s="204" t="str">
        <f t="shared" si="28"/>
        <v/>
      </c>
      <c r="O302" s="205" t="str">
        <f t="shared" si="24"/>
        <v/>
      </c>
      <c r="P302" s="206" t="str">
        <f t="shared" si="29"/>
        <v/>
      </c>
    </row>
    <row r="303" spans="3:16" x14ac:dyDescent="0.4">
      <c r="C303" s="199"/>
      <c r="D303" s="200"/>
      <c r="E303" s="201"/>
      <c r="F303" s="199"/>
      <c r="H303" s="202"/>
      <c r="I303" s="185" t="str">
        <f t="shared" si="25"/>
        <v/>
      </c>
      <c r="J303" s="203" t="str">
        <f>IF($H303="USD",IF(OR($I303="",$I303="-"),"",VLOOKUP($G303,為替!$A:$AX,$I303,FALSE))+$J$3,IF(OR($I303="",$I303="-"),"",VLOOKUP($G303,為替!$A:$AX,$I303,FALSE)))</f>
        <v/>
      </c>
      <c r="K303" s="204" t="str">
        <f t="shared" si="26"/>
        <v/>
      </c>
      <c r="L303" s="188" t="str">
        <f t="shared" si="27"/>
        <v/>
      </c>
      <c r="M303" s="203" t="str">
        <f>IF($H303="USD",IF(OR($L303="",$L303="-"),"",VLOOKUP($G303,為替!$A:$AX,$L303,FALSE))+$K$3,IF(OR($L303="",$L303="-"),"",VLOOKUP($G303,為替!$A:$AX,$L303,FALSE)))</f>
        <v/>
      </c>
      <c r="N303" s="204" t="str">
        <f t="shared" si="28"/>
        <v/>
      </c>
      <c r="O303" s="205" t="str">
        <f t="shared" si="24"/>
        <v/>
      </c>
      <c r="P303" s="206" t="str">
        <f t="shared" si="29"/>
        <v/>
      </c>
    </row>
    <row r="304" spans="3:16" x14ac:dyDescent="0.4">
      <c r="C304" s="199"/>
      <c r="D304" s="200"/>
      <c r="E304" s="201"/>
      <c r="F304" s="199"/>
      <c r="H304" s="202"/>
      <c r="I304" s="185" t="str">
        <f t="shared" si="25"/>
        <v/>
      </c>
      <c r="J304" s="203" t="str">
        <f>IF($H304="USD",IF(OR($I304="",$I304="-"),"",VLOOKUP($G304,為替!$A:$AX,$I304,FALSE))+$J$3,IF(OR($I304="",$I304="-"),"",VLOOKUP($G304,為替!$A:$AX,$I304,FALSE)))</f>
        <v/>
      </c>
      <c r="K304" s="204" t="str">
        <f t="shared" si="26"/>
        <v/>
      </c>
      <c r="L304" s="188" t="str">
        <f t="shared" si="27"/>
        <v/>
      </c>
      <c r="M304" s="203" t="str">
        <f>IF($H304="USD",IF(OR($L304="",$L304="-"),"",VLOOKUP($G304,為替!$A:$AX,$L304,FALSE))+$K$3,IF(OR($L304="",$L304="-"),"",VLOOKUP($G304,為替!$A:$AX,$L304,FALSE)))</f>
        <v/>
      </c>
      <c r="N304" s="204" t="str">
        <f t="shared" si="28"/>
        <v/>
      </c>
      <c r="O304" s="205" t="str">
        <f t="shared" si="24"/>
        <v/>
      </c>
      <c r="P304" s="206" t="str">
        <f t="shared" si="29"/>
        <v/>
      </c>
    </row>
    <row r="305" spans="3:16" x14ac:dyDescent="0.4">
      <c r="C305" s="199"/>
      <c r="D305" s="200"/>
      <c r="E305" s="201"/>
      <c r="F305" s="199"/>
      <c r="H305" s="202"/>
      <c r="I305" s="185" t="str">
        <f t="shared" si="25"/>
        <v/>
      </c>
      <c r="J305" s="203" t="str">
        <f>IF($H305="USD",IF(OR($I305="",$I305="-"),"",VLOOKUP($G305,為替!$A:$AX,$I305,FALSE))+$J$3,IF(OR($I305="",$I305="-"),"",VLOOKUP($G305,為替!$A:$AX,$I305,FALSE)))</f>
        <v/>
      </c>
      <c r="K305" s="204" t="str">
        <f t="shared" si="26"/>
        <v/>
      </c>
      <c r="L305" s="188" t="str">
        <f t="shared" si="27"/>
        <v/>
      </c>
      <c r="M305" s="203" t="str">
        <f>IF($H305="USD",IF(OR($L305="",$L305="-"),"",VLOOKUP($G305,為替!$A:$AX,$L305,FALSE))+$K$3,IF(OR($L305="",$L305="-"),"",VLOOKUP($G305,為替!$A:$AX,$L305,FALSE)))</f>
        <v/>
      </c>
      <c r="N305" s="204" t="str">
        <f t="shared" si="28"/>
        <v/>
      </c>
      <c r="O305" s="205" t="str">
        <f t="shared" si="24"/>
        <v/>
      </c>
      <c r="P305" s="206" t="str">
        <f t="shared" si="29"/>
        <v/>
      </c>
    </row>
    <row r="306" spans="3:16" x14ac:dyDescent="0.4">
      <c r="C306" s="199"/>
      <c r="D306" s="200"/>
      <c r="E306" s="201"/>
      <c r="F306" s="199"/>
      <c r="H306" s="202"/>
      <c r="I306" s="185" t="str">
        <f t="shared" si="25"/>
        <v/>
      </c>
      <c r="J306" s="203" t="str">
        <f>IF($H306="USD",IF(OR($I306="",$I306="-"),"",VLOOKUP($G306,為替!$A:$AX,$I306,FALSE))+$J$3,IF(OR($I306="",$I306="-"),"",VLOOKUP($G306,為替!$A:$AX,$I306,FALSE)))</f>
        <v/>
      </c>
      <c r="K306" s="204" t="str">
        <f t="shared" si="26"/>
        <v/>
      </c>
      <c r="L306" s="188" t="str">
        <f t="shared" si="27"/>
        <v/>
      </c>
      <c r="M306" s="203" t="str">
        <f>IF($H306="USD",IF(OR($L306="",$L306="-"),"",VLOOKUP($G306,為替!$A:$AX,$L306,FALSE))+$K$3,IF(OR($L306="",$L306="-"),"",VLOOKUP($G306,為替!$A:$AX,$L306,FALSE)))</f>
        <v/>
      </c>
      <c r="N306" s="204" t="str">
        <f t="shared" si="28"/>
        <v/>
      </c>
      <c r="O306" s="205" t="str">
        <f t="shared" si="24"/>
        <v/>
      </c>
      <c r="P306" s="206" t="str">
        <f t="shared" si="29"/>
        <v/>
      </c>
    </row>
    <row r="307" spans="3:16" x14ac:dyDescent="0.4">
      <c r="C307" s="199"/>
      <c r="D307" s="200"/>
      <c r="E307" s="201"/>
      <c r="F307" s="199"/>
      <c r="H307" s="202"/>
      <c r="I307" s="185" t="str">
        <f t="shared" si="25"/>
        <v/>
      </c>
      <c r="J307" s="203" t="str">
        <f>IF($H307="USD",IF(OR($I307="",$I307="-"),"",VLOOKUP($G307,為替!$A:$AX,$I307,FALSE))+$J$3,IF(OR($I307="",$I307="-"),"",VLOOKUP($G307,為替!$A:$AX,$I307,FALSE)))</f>
        <v/>
      </c>
      <c r="K307" s="204" t="str">
        <f t="shared" si="26"/>
        <v/>
      </c>
      <c r="L307" s="188" t="str">
        <f t="shared" si="27"/>
        <v/>
      </c>
      <c r="M307" s="203" t="str">
        <f>IF($H307="USD",IF(OR($L307="",$L307="-"),"",VLOOKUP($G307,為替!$A:$AX,$L307,FALSE))+$K$3,IF(OR($L307="",$L307="-"),"",VLOOKUP($G307,為替!$A:$AX,$L307,FALSE)))</f>
        <v/>
      </c>
      <c r="N307" s="204" t="str">
        <f t="shared" si="28"/>
        <v/>
      </c>
      <c r="O307" s="205" t="str">
        <f t="shared" si="24"/>
        <v/>
      </c>
      <c r="P307" s="206" t="str">
        <f t="shared" si="29"/>
        <v/>
      </c>
    </row>
    <row r="308" spans="3:16" x14ac:dyDescent="0.4">
      <c r="C308" s="199"/>
      <c r="D308" s="200"/>
      <c r="E308" s="201"/>
      <c r="F308" s="199"/>
      <c r="H308" s="202"/>
      <c r="I308" s="185" t="str">
        <f t="shared" si="25"/>
        <v/>
      </c>
      <c r="J308" s="203" t="str">
        <f>IF($H308="USD",IF(OR($I308="",$I308="-"),"",VLOOKUP($G308,為替!$A:$AX,$I308,FALSE))+$J$3,IF(OR($I308="",$I308="-"),"",VLOOKUP($G308,為替!$A:$AX,$I308,FALSE)))</f>
        <v/>
      </c>
      <c r="K308" s="204" t="str">
        <f t="shared" si="26"/>
        <v/>
      </c>
      <c r="L308" s="188" t="str">
        <f t="shared" si="27"/>
        <v/>
      </c>
      <c r="M308" s="203" t="str">
        <f>IF($H308="USD",IF(OR($L308="",$L308="-"),"",VLOOKUP($G308,為替!$A:$AX,$L308,FALSE))+$K$3,IF(OR($L308="",$L308="-"),"",VLOOKUP($G308,為替!$A:$AX,$L308,FALSE)))</f>
        <v/>
      </c>
      <c r="N308" s="204" t="str">
        <f t="shared" si="28"/>
        <v/>
      </c>
      <c r="O308" s="205" t="str">
        <f t="shared" si="24"/>
        <v/>
      </c>
      <c r="P308" s="206" t="str">
        <f t="shared" si="29"/>
        <v/>
      </c>
    </row>
    <row r="309" spans="3:16" x14ac:dyDescent="0.4">
      <c r="C309" s="199"/>
      <c r="D309" s="200"/>
      <c r="E309" s="201"/>
      <c r="F309" s="199"/>
      <c r="H309" s="202"/>
      <c r="I309" s="185" t="str">
        <f t="shared" si="25"/>
        <v/>
      </c>
      <c r="J309" s="203" t="str">
        <f>IF($H309="USD",IF(OR($I309="",$I309="-"),"",VLOOKUP($G309,為替!$A:$AX,$I309,FALSE))+$J$3,IF(OR($I309="",$I309="-"),"",VLOOKUP($G309,為替!$A:$AX,$I309,FALSE)))</f>
        <v/>
      </c>
      <c r="K309" s="204" t="str">
        <f t="shared" si="26"/>
        <v/>
      </c>
      <c r="L309" s="188" t="str">
        <f t="shared" si="27"/>
        <v/>
      </c>
      <c r="M309" s="203" t="str">
        <f>IF($H309="USD",IF(OR($L309="",$L309="-"),"",VLOOKUP($G309,為替!$A:$AX,$L309,FALSE))+$K$3,IF(OR($L309="",$L309="-"),"",VLOOKUP($G309,為替!$A:$AX,$L309,FALSE)))</f>
        <v/>
      </c>
      <c r="N309" s="204" t="str">
        <f t="shared" si="28"/>
        <v/>
      </c>
      <c r="O309" s="205" t="str">
        <f t="shared" si="24"/>
        <v/>
      </c>
      <c r="P309" s="206" t="str">
        <f t="shared" si="29"/>
        <v/>
      </c>
    </row>
    <row r="310" spans="3:16" x14ac:dyDescent="0.4">
      <c r="C310" s="199"/>
      <c r="D310" s="200"/>
      <c r="E310" s="201"/>
      <c r="F310" s="199"/>
      <c r="H310" s="202"/>
      <c r="I310" s="185" t="str">
        <f t="shared" si="25"/>
        <v/>
      </c>
      <c r="J310" s="203" t="str">
        <f>IF($H310="USD",IF(OR($I310="",$I310="-"),"",VLOOKUP($G310,為替!$A:$AX,$I310,FALSE))+$J$3,IF(OR($I310="",$I310="-"),"",VLOOKUP($G310,為替!$A:$AX,$I310,FALSE)))</f>
        <v/>
      </c>
      <c r="K310" s="204" t="str">
        <f t="shared" si="26"/>
        <v/>
      </c>
      <c r="L310" s="188" t="str">
        <f t="shared" si="27"/>
        <v/>
      </c>
      <c r="M310" s="203" t="str">
        <f>IF($H310="USD",IF(OR($L310="",$L310="-"),"",VLOOKUP($G310,為替!$A:$AX,$L310,FALSE))+$K$3,IF(OR($L310="",$L310="-"),"",VLOOKUP($G310,為替!$A:$AX,$L310,FALSE)))</f>
        <v/>
      </c>
      <c r="N310" s="204" t="str">
        <f t="shared" si="28"/>
        <v/>
      </c>
      <c r="O310" s="205" t="str">
        <f t="shared" si="24"/>
        <v/>
      </c>
      <c r="P310" s="206" t="str">
        <f t="shared" si="29"/>
        <v/>
      </c>
    </row>
    <row r="311" spans="3:16" x14ac:dyDescent="0.4">
      <c r="C311" s="199"/>
      <c r="D311" s="200"/>
      <c r="E311" s="201"/>
      <c r="F311" s="199"/>
      <c r="H311" s="202"/>
      <c r="I311" s="185" t="str">
        <f t="shared" si="25"/>
        <v/>
      </c>
      <c r="J311" s="203" t="str">
        <f>IF($H311="USD",IF(OR($I311="",$I311="-"),"",VLOOKUP($G311,為替!$A:$AX,$I311,FALSE))+$J$3,IF(OR($I311="",$I311="-"),"",VLOOKUP($G311,為替!$A:$AX,$I311,FALSE)))</f>
        <v/>
      </c>
      <c r="K311" s="204" t="str">
        <f t="shared" si="26"/>
        <v/>
      </c>
      <c r="L311" s="188" t="str">
        <f t="shared" si="27"/>
        <v/>
      </c>
      <c r="M311" s="203" t="str">
        <f>IF($H311="USD",IF(OR($L311="",$L311="-"),"",VLOOKUP($G311,為替!$A:$AX,$L311,FALSE))+$K$3,IF(OR($L311="",$L311="-"),"",VLOOKUP($G311,為替!$A:$AX,$L311,FALSE)))</f>
        <v/>
      </c>
      <c r="N311" s="204" t="str">
        <f t="shared" si="28"/>
        <v/>
      </c>
      <c r="O311" s="205" t="str">
        <f t="shared" si="24"/>
        <v/>
      </c>
      <c r="P311" s="206" t="str">
        <f t="shared" si="29"/>
        <v/>
      </c>
    </row>
    <row r="312" spans="3:16" x14ac:dyDescent="0.4">
      <c r="C312" s="199"/>
      <c r="D312" s="200"/>
      <c r="E312" s="201"/>
      <c r="F312" s="199"/>
      <c r="H312" s="202"/>
      <c r="I312" s="185" t="str">
        <f t="shared" si="25"/>
        <v/>
      </c>
      <c r="J312" s="203" t="str">
        <f>IF($H312="USD",IF(OR($I312="",$I312="-"),"",VLOOKUP($G312,為替!$A:$AX,$I312,FALSE))+$J$3,IF(OR($I312="",$I312="-"),"",VLOOKUP($G312,為替!$A:$AX,$I312,FALSE)))</f>
        <v/>
      </c>
      <c r="K312" s="204" t="str">
        <f t="shared" si="26"/>
        <v/>
      </c>
      <c r="L312" s="188" t="str">
        <f t="shared" si="27"/>
        <v/>
      </c>
      <c r="M312" s="203" t="str">
        <f>IF($H312="USD",IF(OR($L312="",$L312="-"),"",VLOOKUP($G312,為替!$A:$AX,$L312,FALSE))+$K$3,IF(OR($L312="",$L312="-"),"",VLOOKUP($G312,為替!$A:$AX,$L312,FALSE)))</f>
        <v/>
      </c>
      <c r="N312" s="204" t="str">
        <f t="shared" si="28"/>
        <v/>
      </c>
      <c r="O312" s="205" t="str">
        <f t="shared" si="24"/>
        <v/>
      </c>
      <c r="P312" s="206" t="str">
        <f t="shared" si="29"/>
        <v/>
      </c>
    </row>
    <row r="313" spans="3:16" x14ac:dyDescent="0.4">
      <c r="C313" s="199"/>
      <c r="D313" s="200"/>
      <c r="E313" s="201"/>
      <c r="F313" s="199"/>
      <c r="H313" s="202"/>
      <c r="I313" s="185" t="str">
        <f t="shared" si="25"/>
        <v/>
      </c>
      <c r="J313" s="203" t="str">
        <f>IF($H313="USD",IF(OR($I313="",$I313="-"),"",VLOOKUP($G313,為替!$A:$AX,$I313,FALSE))+$J$3,IF(OR($I313="",$I313="-"),"",VLOOKUP($G313,為替!$A:$AX,$I313,FALSE)))</f>
        <v/>
      </c>
      <c r="K313" s="204" t="str">
        <f t="shared" si="26"/>
        <v/>
      </c>
      <c r="L313" s="188" t="str">
        <f t="shared" si="27"/>
        <v/>
      </c>
      <c r="M313" s="203" t="str">
        <f>IF($H313="USD",IF(OR($L313="",$L313="-"),"",VLOOKUP($G313,為替!$A:$AX,$L313,FALSE))+$K$3,IF(OR($L313="",$L313="-"),"",VLOOKUP($G313,為替!$A:$AX,$L313,FALSE)))</f>
        <v/>
      </c>
      <c r="N313" s="204" t="str">
        <f t="shared" si="28"/>
        <v/>
      </c>
      <c r="O313" s="205" t="str">
        <f t="shared" si="24"/>
        <v/>
      </c>
      <c r="P313" s="206" t="str">
        <f t="shared" si="29"/>
        <v/>
      </c>
    </row>
    <row r="314" spans="3:16" x14ac:dyDescent="0.4">
      <c r="C314" s="199"/>
      <c r="D314" s="200"/>
      <c r="E314" s="201"/>
      <c r="F314" s="199"/>
      <c r="H314" s="202"/>
      <c r="I314" s="185" t="str">
        <f t="shared" si="25"/>
        <v/>
      </c>
      <c r="J314" s="203" t="str">
        <f>IF($H314="USD",IF(OR($I314="",$I314="-"),"",VLOOKUP($G314,為替!$A:$AX,$I314,FALSE))+$J$3,IF(OR($I314="",$I314="-"),"",VLOOKUP($G314,為替!$A:$AX,$I314,FALSE)))</f>
        <v/>
      </c>
      <c r="K314" s="204" t="str">
        <f t="shared" si="26"/>
        <v/>
      </c>
      <c r="L314" s="188" t="str">
        <f t="shared" si="27"/>
        <v/>
      </c>
      <c r="M314" s="203" t="str">
        <f>IF($H314="USD",IF(OR($L314="",$L314="-"),"",VLOOKUP($G314,為替!$A:$AX,$L314,FALSE))+$K$3,IF(OR($L314="",$L314="-"),"",VLOOKUP($G314,為替!$A:$AX,$L314,FALSE)))</f>
        <v/>
      </c>
      <c r="N314" s="204" t="str">
        <f t="shared" si="28"/>
        <v/>
      </c>
      <c r="O314" s="205" t="str">
        <f t="shared" si="24"/>
        <v/>
      </c>
      <c r="P314" s="206" t="str">
        <f t="shared" si="29"/>
        <v/>
      </c>
    </row>
    <row r="315" spans="3:16" x14ac:dyDescent="0.4">
      <c r="C315" s="199"/>
      <c r="D315" s="200"/>
      <c r="E315" s="201"/>
      <c r="F315" s="199"/>
      <c r="H315" s="202"/>
      <c r="I315" s="185" t="str">
        <f t="shared" si="25"/>
        <v/>
      </c>
      <c r="J315" s="203" t="str">
        <f>IF($H315="USD",IF(OR($I315="",$I315="-"),"",VLOOKUP($G315,為替!$A:$AX,$I315,FALSE))+$J$3,IF(OR($I315="",$I315="-"),"",VLOOKUP($G315,為替!$A:$AX,$I315,FALSE)))</f>
        <v/>
      </c>
      <c r="K315" s="204" t="str">
        <f t="shared" si="26"/>
        <v/>
      </c>
      <c r="L315" s="188" t="str">
        <f t="shared" si="27"/>
        <v/>
      </c>
      <c r="M315" s="203" t="str">
        <f>IF($H315="USD",IF(OR($L315="",$L315="-"),"",VLOOKUP($G315,為替!$A:$AX,$L315,FALSE))+$K$3,IF(OR($L315="",$L315="-"),"",VLOOKUP($G315,為替!$A:$AX,$L315,FALSE)))</f>
        <v/>
      </c>
      <c r="N315" s="204" t="str">
        <f t="shared" si="28"/>
        <v/>
      </c>
      <c r="O315" s="205" t="str">
        <f t="shared" si="24"/>
        <v/>
      </c>
      <c r="P315" s="206" t="str">
        <f t="shared" si="29"/>
        <v/>
      </c>
    </row>
    <row r="316" spans="3:16" x14ac:dyDescent="0.4">
      <c r="C316" s="199"/>
      <c r="D316" s="200"/>
      <c r="E316" s="201"/>
      <c r="F316" s="199"/>
      <c r="H316" s="202"/>
      <c r="I316" s="185" t="str">
        <f t="shared" si="25"/>
        <v/>
      </c>
      <c r="J316" s="203" t="str">
        <f>IF($H316="USD",IF(OR($I316="",$I316="-"),"",VLOOKUP($G316,為替!$A:$AX,$I316,FALSE))+$J$3,IF(OR($I316="",$I316="-"),"",VLOOKUP($G316,為替!$A:$AX,$I316,FALSE)))</f>
        <v/>
      </c>
      <c r="K316" s="204" t="str">
        <f t="shared" si="26"/>
        <v/>
      </c>
      <c r="L316" s="188" t="str">
        <f t="shared" si="27"/>
        <v/>
      </c>
      <c r="M316" s="203" t="str">
        <f>IF($H316="USD",IF(OR($L316="",$L316="-"),"",VLOOKUP($G316,為替!$A:$AX,$L316,FALSE))+$K$3,IF(OR($L316="",$L316="-"),"",VLOOKUP($G316,為替!$A:$AX,$L316,FALSE)))</f>
        <v/>
      </c>
      <c r="N316" s="204" t="str">
        <f t="shared" si="28"/>
        <v/>
      </c>
      <c r="O316" s="205" t="str">
        <f t="shared" si="24"/>
        <v/>
      </c>
      <c r="P316" s="206" t="str">
        <f t="shared" si="29"/>
        <v/>
      </c>
    </row>
    <row r="317" spans="3:16" x14ac:dyDescent="0.4">
      <c r="C317" s="199"/>
      <c r="D317" s="200"/>
      <c r="E317" s="201"/>
      <c r="F317" s="199"/>
      <c r="H317" s="202"/>
      <c r="I317" s="185" t="str">
        <f t="shared" si="25"/>
        <v/>
      </c>
      <c r="J317" s="203" t="str">
        <f>IF($H317="USD",IF(OR($I317="",$I317="-"),"",VLOOKUP($G317,為替!$A:$AX,$I317,FALSE))+$J$3,IF(OR($I317="",$I317="-"),"",VLOOKUP($G317,為替!$A:$AX,$I317,FALSE)))</f>
        <v/>
      </c>
      <c r="K317" s="204" t="str">
        <f t="shared" si="26"/>
        <v/>
      </c>
      <c r="L317" s="188" t="str">
        <f t="shared" si="27"/>
        <v/>
      </c>
      <c r="M317" s="203" t="str">
        <f>IF($H317="USD",IF(OR($L317="",$L317="-"),"",VLOOKUP($G317,為替!$A:$AX,$L317,FALSE))+$K$3,IF(OR($L317="",$L317="-"),"",VLOOKUP($G317,為替!$A:$AX,$L317,FALSE)))</f>
        <v/>
      </c>
      <c r="N317" s="204" t="str">
        <f t="shared" si="28"/>
        <v/>
      </c>
      <c r="O317" s="205" t="str">
        <f t="shared" si="24"/>
        <v/>
      </c>
      <c r="P317" s="206" t="str">
        <f t="shared" si="29"/>
        <v/>
      </c>
    </row>
    <row r="318" spans="3:16" x14ac:dyDescent="0.4">
      <c r="C318" s="199"/>
      <c r="D318" s="200"/>
      <c r="E318" s="201"/>
      <c r="F318" s="199"/>
      <c r="H318" s="202"/>
      <c r="I318" s="185" t="str">
        <f t="shared" si="25"/>
        <v/>
      </c>
      <c r="J318" s="203" t="str">
        <f>IF($H318="USD",IF(OR($I318="",$I318="-"),"",VLOOKUP($G318,為替!$A:$AX,$I318,FALSE))+$J$3,IF(OR($I318="",$I318="-"),"",VLOOKUP($G318,為替!$A:$AX,$I318,FALSE)))</f>
        <v/>
      </c>
      <c r="K318" s="204" t="str">
        <f t="shared" si="26"/>
        <v/>
      </c>
      <c r="L318" s="188" t="str">
        <f t="shared" si="27"/>
        <v/>
      </c>
      <c r="M318" s="203" t="str">
        <f>IF($H318="USD",IF(OR($L318="",$L318="-"),"",VLOOKUP($G318,為替!$A:$AX,$L318,FALSE))+$K$3,IF(OR($L318="",$L318="-"),"",VLOOKUP($G318,為替!$A:$AX,$L318,FALSE)))</f>
        <v/>
      </c>
      <c r="N318" s="204" t="str">
        <f t="shared" si="28"/>
        <v/>
      </c>
      <c r="O318" s="205" t="str">
        <f t="shared" si="24"/>
        <v/>
      </c>
      <c r="P318" s="206" t="str">
        <f t="shared" si="29"/>
        <v/>
      </c>
    </row>
    <row r="319" spans="3:16" x14ac:dyDescent="0.4">
      <c r="C319" s="199"/>
      <c r="D319" s="200"/>
      <c r="E319" s="201"/>
      <c r="F319" s="199"/>
      <c r="H319" s="202"/>
      <c r="I319" s="185" t="str">
        <f t="shared" si="25"/>
        <v/>
      </c>
      <c r="J319" s="203" t="str">
        <f>IF($H319="USD",IF(OR($I319="",$I319="-"),"",VLOOKUP($G319,為替!$A:$AX,$I319,FALSE))+$J$3,IF(OR($I319="",$I319="-"),"",VLOOKUP($G319,為替!$A:$AX,$I319,FALSE)))</f>
        <v/>
      </c>
      <c r="K319" s="204" t="str">
        <f t="shared" si="26"/>
        <v/>
      </c>
      <c r="L319" s="188" t="str">
        <f t="shared" si="27"/>
        <v/>
      </c>
      <c r="M319" s="203" t="str">
        <f>IF($H319="USD",IF(OR($L319="",$L319="-"),"",VLOOKUP($G319,為替!$A:$AX,$L319,FALSE))+$K$3,IF(OR($L319="",$L319="-"),"",VLOOKUP($G319,為替!$A:$AX,$L319,FALSE)))</f>
        <v/>
      </c>
      <c r="N319" s="204" t="str">
        <f t="shared" si="28"/>
        <v/>
      </c>
      <c r="O319" s="205" t="str">
        <f t="shared" si="24"/>
        <v/>
      </c>
      <c r="P319" s="206" t="str">
        <f t="shared" si="29"/>
        <v/>
      </c>
    </row>
    <row r="320" spans="3:16" x14ac:dyDescent="0.4">
      <c r="C320" s="199"/>
      <c r="D320" s="200"/>
      <c r="E320" s="201"/>
      <c r="F320" s="199"/>
      <c r="H320" s="202"/>
      <c r="I320" s="185" t="str">
        <f t="shared" si="25"/>
        <v/>
      </c>
      <c r="J320" s="203" t="str">
        <f>IF($H320="USD",IF(OR($I320="",$I320="-"),"",VLOOKUP($G320,為替!$A:$AX,$I320,FALSE))+$J$3,IF(OR($I320="",$I320="-"),"",VLOOKUP($G320,為替!$A:$AX,$I320,FALSE)))</f>
        <v/>
      </c>
      <c r="K320" s="204" t="str">
        <f t="shared" si="26"/>
        <v/>
      </c>
      <c r="L320" s="188" t="str">
        <f t="shared" si="27"/>
        <v/>
      </c>
      <c r="M320" s="203" t="str">
        <f>IF($H320="USD",IF(OR($L320="",$L320="-"),"",VLOOKUP($G320,為替!$A:$AX,$L320,FALSE))+$K$3,IF(OR($L320="",$L320="-"),"",VLOOKUP($G320,為替!$A:$AX,$L320,FALSE)))</f>
        <v/>
      </c>
      <c r="N320" s="204" t="str">
        <f t="shared" si="28"/>
        <v/>
      </c>
      <c r="O320" s="205" t="str">
        <f t="shared" si="24"/>
        <v/>
      </c>
      <c r="P320" s="206" t="str">
        <f t="shared" si="29"/>
        <v/>
      </c>
    </row>
    <row r="321" spans="3:16" x14ac:dyDescent="0.4">
      <c r="C321" s="199"/>
      <c r="D321" s="200"/>
      <c r="E321" s="201"/>
      <c r="F321" s="199"/>
      <c r="H321" s="202"/>
      <c r="I321" s="185" t="str">
        <f t="shared" si="25"/>
        <v/>
      </c>
      <c r="J321" s="203" t="str">
        <f>IF($H321="USD",IF(OR($I321="",$I321="-"),"",VLOOKUP($G321,為替!$A:$AX,$I321,FALSE))+$J$3,IF(OR($I321="",$I321="-"),"",VLOOKUP($G321,為替!$A:$AX,$I321,FALSE)))</f>
        <v/>
      </c>
      <c r="K321" s="204" t="str">
        <f t="shared" si="26"/>
        <v/>
      </c>
      <c r="L321" s="188" t="str">
        <f t="shared" si="27"/>
        <v/>
      </c>
      <c r="M321" s="203" t="str">
        <f>IF($H321="USD",IF(OR($L321="",$L321="-"),"",VLOOKUP($G321,為替!$A:$AX,$L321,FALSE))+$K$3,IF(OR($L321="",$L321="-"),"",VLOOKUP($G321,為替!$A:$AX,$L321,FALSE)))</f>
        <v/>
      </c>
      <c r="N321" s="204" t="str">
        <f t="shared" si="28"/>
        <v/>
      </c>
      <c r="O321" s="205" t="str">
        <f t="shared" si="24"/>
        <v/>
      </c>
      <c r="P321" s="206" t="str">
        <f t="shared" si="29"/>
        <v/>
      </c>
    </row>
    <row r="322" spans="3:16" x14ac:dyDescent="0.4">
      <c r="C322" s="199"/>
      <c r="D322" s="200"/>
      <c r="E322" s="201"/>
      <c r="F322" s="199"/>
      <c r="H322" s="202"/>
      <c r="I322" s="185" t="str">
        <f t="shared" si="25"/>
        <v/>
      </c>
      <c r="J322" s="203" t="str">
        <f>IF($H322="USD",IF(OR($I322="",$I322="-"),"",VLOOKUP($G322,為替!$A:$AX,$I322,FALSE))+$J$3,IF(OR($I322="",$I322="-"),"",VLOOKUP($G322,為替!$A:$AX,$I322,FALSE)))</f>
        <v/>
      </c>
      <c r="K322" s="204" t="str">
        <f t="shared" si="26"/>
        <v/>
      </c>
      <c r="L322" s="188" t="str">
        <f t="shared" si="27"/>
        <v/>
      </c>
      <c r="M322" s="203" t="str">
        <f>IF($H322="USD",IF(OR($L322="",$L322="-"),"",VLOOKUP($G322,為替!$A:$AX,$L322,FALSE))+$K$3,IF(OR($L322="",$L322="-"),"",VLOOKUP($G322,為替!$A:$AX,$L322,FALSE)))</f>
        <v/>
      </c>
      <c r="N322" s="204" t="str">
        <f t="shared" si="28"/>
        <v/>
      </c>
      <c r="O322" s="205" t="str">
        <f t="shared" si="24"/>
        <v/>
      </c>
      <c r="P322" s="206" t="str">
        <f t="shared" si="29"/>
        <v/>
      </c>
    </row>
    <row r="323" spans="3:16" x14ac:dyDescent="0.4">
      <c r="C323" s="199"/>
      <c r="D323" s="200"/>
      <c r="E323" s="201"/>
      <c r="F323" s="199"/>
      <c r="H323" s="202"/>
      <c r="I323" s="185" t="str">
        <f t="shared" si="25"/>
        <v/>
      </c>
      <c r="J323" s="203" t="str">
        <f>IF($H323="USD",IF(OR($I323="",$I323="-"),"",VLOOKUP($G323,為替!$A:$AX,$I323,FALSE))+$J$3,IF(OR($I323="",$I323="-"),"",VLOOKUP($G323,為替!$A:$AX,$I323,FALSE)))</f>
        <v/>
      </c>
      <c r="K323" s="204" t="str">
        <f t="shared" si="26"/>
        <v/>
      </c>
      <c r="L323" s="188" t="str">
        <f t="shared" si="27"/>
        <v/>
      </c>
      <c r="M323" s="203" t="str">
        <f>IF($H323="USD",IF(OR($L323="",$L323="-"),"",VLOOKUP($G323,為替!$A:$AX,$L323,FALSE))+$K$3,IF(OR($L323="",$L323="-"),"",VLOOKUP($G323,為替!$A:$AX,$L323,FALSE)))</f>
        <v/>
      </c>
      <c r="N323" s="204" t="str">
        <f t="shared" si="28"/>
        <v/>
      </c>
      <c r="O323" s="205" t="str">
        <f t="shared" si="24"/>
        <v/>
      </c>
      <c r="P323" s="206" t="str">
        <f t="shared" si="29"/>
        <v/>
      </c>
    </row>
    <row r="324" spans="3:16" x14ac:dyDescent="0.4">
      <c r="C324" s="199"/>
      <c r="D324" s="200"/>
      <c r="E324" s="201"/>
      <c r="F324" s="199"/>
      <c r="H324" s="202"/>
      <c r="I324" s="185" t="str">
        <f t="shared" si="25"/>
        <v/>
      </c>
      <c r="J324" s="203" t="str">
        <f>IF($H324="USD",IF(OR($I324="",$I324="-"),"",VLOOKUP($G324,為替!$A:$AX,$I324,FALSE))+$J$3,IF(OR($I324="",$I324="-"),"",VLOOKUP($G324,為替!$A:$AX,$I324,FALSE)))</f>
        <v/>
      </c>
      <c r="K324" s="204" t="str">
        <f t="shared" si="26"/>
        <v/>
      </c>
      <c r="L324" s="188" t="str">
        <f t="shared" si="27"/>
        <v/>
      </c>
      <c r="M324" s="203" t="str">
        <f>IF($H324="USD",IF(OR($L324="",$L324="-"),"",VLOOKUP($G324,為替!$A:$AX,$L324,FALSE))+$K$3,IF(OR($L324="",$L324="-"),"",VLOOKUP($G324,為替!$A:$AX,$L324,FALSE)))</f>
        <v/>
      </c>
      <c r="N324" s="204" t="str">
        <f t="shared" si="28"/>
        <v/>
      </c>
      <c r="O324" s="205" t="str">
        <f t="shared" si="24"/>
        <v/>
      </c>
      <c r="P324" s="206" t="str">
        <f t="shared" si="29"/>
        <v/>
      </c>
    </row>
    <row r="325" spans="3:16" x14ac:dyDescent="0.4">
      <c r="C325" s="199"/>
      <c r="D325" s="200"/>
      <c r="E325" s="201"/>
      <c r="F325" s="199"/>
      <c r="H325" s="202"/>
      <c r="I325" s="185" t="str">
        <f t="shared" si="25"/>
        <v/>
      </c>
      <c r="J325" s="203" t="str">
        <f>IF($H325="USD",IF(OR($I325="",$I325="-"),"",VLOOKUP($G325,為替!$A:$AX,$I325,FALSE))+$J$3,IF(OR($I325="",$I325="-"),"",VLOOKUP($G325,為替!$A:$AX,$I325,FALSE)))</f>
        <v/>
      </c>
      <c r="K325" s="204" t="str">
        <f t="shared" si="26"/>
        <v/>
      </c>
      <c r="L325" s="188" t="str">
        <f t="shared" si="27"/>
        <v/>
      </c>
      <c r="M325" s="203" t="str">
        <f>IF($H325="USD",IF(OR($L325="",$L325="-"),"",VLOOKUP($G325,為替!$A:$AX,$L325,FALSE))+$K$3,IF(OR($L325="",$L325="-"),"",VLOOKUP($G325,為替!$A:$AX,$L325,FALSE)))</f>
        <v/>
      </c>
      <c r="N325" s="204" t="str">
        <f t="shared" si="28"/>
        <v/>
      </c>
      <c r="O325" s="205" t="str">
        <f t="shared" si="24"/>
        <v/>
      </c>
      <c r="P325" s="206" t="str">
        <f t="shared" si="29"/>
        <v/>
      </c>
    </row>
    <row r="326" spans="3:16" x14ac:dyDescent="0.4">
      <c r="C326" s="199"/>
      <c r="D326" s="200"/>
      <c r="E326" s="201"/>
      <c r="F326" s="199"/>
      <c r="H326" s="202"/>
      <c r="I326" s="185" t="str">
        <f t="shared" si="25"/>
        <v/>
      </c>
      <c r="J326" s="203" t="str">
        <f>IF($H326="USD",IF(OR($I326="",$I326="-"),"",VLOOKUP($G326,為替!$A:$AX,$I326,FALSE))+$J$3,IF(OR($I326="",$I326="-"),"",VLOOKUP($G326,為替!$A:$AX,$I326,FALSE)))</f>
        <v/>
      </c>
      <c r="K326" s="204" t="str">
        <f t="shared" si="26"/>
        <v/>
      </c>
      <c r="L326" s="188" t="str">
        <f t="shared" si="27"/>
        <v/>
      </c>
      <c r="M326" s="203" t="str">
        <f>IF($H326="USD",IF(OR($L326="",$L326="-"),"",VLOOKUP($G326,為替!$A:$AX,$L326,FALSE))+$K$3,IF(OR($L326="",$L326="-"),"",VLOOKUP($G326,為替!$A:$AX,$L326,FALSE)))</f>
        <v/>
      </c>
      <c r="N326" s="204" t="str">
        <f t="shared" si="28"/>
        <v/>
      </c>
      <c r="O326" s="205" t="str">
        <f t="shared" ref="O326:O389" si="30">IF(OR(K326="",N326=""),"",K326-N326)</f>
        <v/>
      </c>
      <c r="P326" s="206" t="str">
        <f t="shared" si="29"/>
        <v/>
      </c>
    </row>
    <row r="327" spans="3:16" x14ac:dyDescent="0.4">
      <c r="C327" s="199"/>
      <c r="D327" s="200"/>
      <c r="E327" s="201"/>
      <c r="F327" s="199"/>
      <c r="H327" s="202"/>
      <c r="I327" s="185" t="str">
        <f t="shared" ref="I327:I390" si="31">IF(H327="","",IF(H327="JPY","",IF($H327="USD",4, IF(H327="EUR",7,IF(H327="CNY",47,IF(H327="HKD",34))))))</f>
        <v/>
      </c>
      <c r="J327" s="203" t="str">
        <f>IF($H327="USD",IF(OR($I327="",$I327="-"),"",VLOOKUP($G327,為替!$A:$AX,$I327,FALSE))+$J$3,IF(OR($I327="",$I327="-"),"",VLOOKUP($G327,為替!$A:$AX,$I327,FALSE)))</f>
        <v/>
      </c>
      <c r="K327" s="204" t="str">
        <f t="shared" ref="K327:K390" si="32">IF($H327="JPY",$F327,IF($H327="","",$F327*$J327))</f>
        <v/>
      </c>
      <c r="L327" s="188" t="str">
        <f t="shared" ref="L327:L390" si="33">IF(H327="","",IF(H327="JPY","",IF($H327="USD",3, IF(H327="EUR",6,IF(H327="CNY",46,IF(H327="HKD",33))))))</f>
        <v/>
      </c>
      <c r="M327" s="203" t="str">
        <f>IF($H327="USD",IF(OR($L327="",$L327="-"),"",VLOOKUP($G327,為替!$A:$AX,$L327,FALSE))+$K$3,IF(OR($L327="",$L327="-"),"",VLOOKUP($G327,為替!$A:$AX,$L327,FALSE)))</f>
        <v/>
      </c>
      <c r="N327" s="204" t="str">
        <f t="shared" ref="N327:N390" si="34">IF($E327="JPY",($C327+$D327),IF($E327="","",($C327+$D327)*$M327))</f>
        <v/>
      </c>
      <c r="O327" s="205" t="str">
        <f t="shared" si="30"/>
        <v/>
      </c>
      <c r="P327" s="206" t="str">
        <f t="shared" ref="P327:P390" si="35">IF(OR(K327="",O327=""),"",O327/K327)</f>
        <v/>
      </c>
    </row>
    <row r="328" spans="3:16" x14ac:dyDescent="0.4">
      <c r="C328" s="199"/>
      <c r="D328" s="200"/>
      <c r="E328" s="201"/>
      <c r="F328" s="199"/>
      <c r="H328" s="202"/>
      <c r="I328" s="185" t="str">
        <f t="shared" si="31"/>
        <v/>
      </c>
      <c r="J328" s="203" t="str">
        <f>IF($H328="USD",IF(OR($I328="",$I328="-"),"",VLOOKUP($G328,為替!$A:$AX,$I328,FALSE))+$J$3,IF(OR($I328="",$I328="-"),"",VLOOKUP($G328,為替!$A:$AX,$I328,FALSE)))</f>
        <v/>
      </c>
      <c r="K328" s="204" t="str">
        <f t="shared" si="32"/>
        <v/>
      </c>
      <c r="L328" s="188" t="str">
        <f t="shared" si="33"/>
        <v/>
      </c>
      <c r="M328" s="203" t="str">
        <f>IF($H328="USD",IF(OR($L328="",$L328="-"),"",VLOOKUP($G328,為替!$A:$AX,$L328,FALSE))+$K$3,IF(OR($L328="",$L328="-"),"",VLOOKUP($G328,為替!$A:$AX,$L328,FALSE)))</f>
        <v/>
      </c>
      <c r="N328" s="204" t="str">
        <f t="shared" si="34"/>
        <v/>
      </c>
      <c r="O328" s="205" t="str">
        <f t="shared" si="30"/>
        <v/>
      </c>
      <c r="P328" s="206" t="str">
        <f t="shared" si="35"/>
        <v/>
      </c>
    </row>
    <row r="329" spans="3:16" x14ac:dyDescent="0.4">
      <c r="C329" s="199"/>
      <c r="D329" s="200"/>
      <c r="E329" s="201"/>
      <c r="F329" s="199"/>
      <c r="H329" s="202"/>
      <c r="I329" s="185" t="str">
        <f t="shared" si="31"/>
        <v/>
      </c>
      <c r="J329" s="203" t="str">
        <f>IF($H329="USD",IF(OR($I329="",$I329="-"),"",VLOOKUP($G329,為替!$A:$AX,$I329,FALSE))+$J$3,IF(OR($I329="",$I329="-"),"",VLOOKUP($G329,為替!$A:$AX,$I329,FALSE)))</f>
        <v/>
      </c>
      <c r="K329" s="204" t="str">
        <f t="shared" si="32"/>
        <v/>
      </c>
      <c r="L329" s="188" t="str">
        <f t="shared" si="33"/>
        <v/>
      </c>
      <c r="M329" s="203" t="str">
        <f>IF($H329="USD",IF(OR($L329="",$L329="-"),"",VLOOKUP($G329,為替!$A:$AX,$L329,FALSE))+$K$3,IF(OR($L329="",$L329="-"),"",VLOOKUP($G329,為替!$A:$AX,$L329,FALSE)))</f>
        <v/>
      </c>
      <c r="N329" s="204" t="str">
        <f t="shared" si="34"/>
        <v/>
      </c>
      <c r="O329" s="205" t="str">
        <f t="shared" si="30"/>
        <v/>
      </c>
      <c r="P329" s="206" t="str">
        <f t="shared" si="35"/>
        <v/>
      </c>
    </row>
    <row r="330" spans="3:16" x14ac:dyDescent="0.4">
      <c r="C330" s="199"/>
      <c r="D330" s="200"/>
      <c r="E330" s="201"/>
      <c r="F330" s="199"/>
      <c r="H330" s="202"/>
      <c r="I330" s="185" t="str">
        <f t="shared" si="31"/>
        <v/>
      </c>
      <c r="J330" s="203" t="str">
        <f>IF($H330="USD",IF(OR($I330="",$I330="-"),"",VLOOKUP($G330,為替!$A:$AX,$I330,FALSE))+$J$3,IF(OR($I330="",$I330="-"),"",VLOOKUP($G330,為替!$A:$AX,$I330,FALSE)))</f>
        <v/>
      </c>
      <c r="K330" s="204" t="str">
        <f t="shared" si="32"/>
        <v/>
      </c>
      <c r="L330" s="188" t="str">
        <f t="shared" si="33"/>
        <v/>
      </c>
      <c r="M330" s="203" t="str">
        <f>IF($H330="USD",IF(OR($L330="",$L330="-"),"",VLOOKUP($G330,為替!$A:$AX,$L330,FALSE))+$K$3,IF(OR($L330="",$L330="-"),"",VLOOKUP($G330,為替!$A:$AX,$L330,FALSE)))</f>
        <v/>
      </c>
      <c r="N330" s="204" t="str">
        <f t="shared" si="34"/>
        <v/>
      </c>
      <c r="O330" s="205" t="str">
        <f t="shared" si="30"/>
        <v/>
      </c>
      <c r="P330" s="206" t="str">
        <f t="shared" si="35"/>
        <v/>
      </c>
    </row>
    <row r="331" spans="3:16" x14ac:dyDescent="0.4">
      <c r="C331" s="199"/>
      <c r="D331" s="200"/>
      <c r="E331" s="201"/>
      <c r="F331" s="199"/>
      <c r="H331" s="202"/>
      <c r="I331" s="185" t="str">
        <f t="shared" si="31"/>
        <v/>
      </c>
      <c r="J331" s="203" t="str">
        <f>IF($H331="USD",IF(OR($I331="",$I331="-"),"",VLOOKUP($G331,為替!$A:$AX,$I331,FALSE))+$J$3,IF(OR($I331="",$I331="-"),"",VLOOKUP($G331,為替!$A:$AX,$I331,FALSE)))</f>
        <v/>
      </c>
      <c r="K331" s="204" t="str">
        <f t="shared" si="32"/>
        <v/>
      </c>
      <c r="L331" s="188" t="str">
        <f t="shared" si="33"/>
        <v/>
      </c>
      <c r="M331" s="203" t="str">
        <f>IF($H331="USD",IF(OR($L331="",$L331="-"),"",VLOOKUP($G331,為替!$A:$AX,$L331,FALSE))+$K$3,IF(OR($L331="",$L331="-"),"",VLOOKUP($G331,為替!$A:$AX,$L331,FALSE)))</f>
        <v/>
      </c>
      <c r="N331" s="204" t="str">
        <f t="shared" si="34"/>
        <v/>
      </c>
      <c r="O331" s="205" t="str">
        <f t="shared" si="30"/>
        <v/>
      </c>
      <c r="P331" s="206" t="str">
        <f t="shared" si="35"/>
        <v/>
      </c>
    </row>
    <row r="332" spans="3:16" x14ac:dyDescent="0.4">
      <c r="C332" s="199"/>
      <c r="D332" s="200"/>
      <c r="E332" s="201"/>
      <c r="F332" s="199"/>
      <c r="H332" s="202"/>
      <c r="I332" s="185" t="str">
        <f t="shared" si="31"/>
        <v/>
      </c>
      <c r="J332" s="203" t="str">
        <f>IF($H332="USD",IF(OR($I332="",$I332="-"),"",VLOOKUP($G332,為替!$A:$AX,$I332,FALSE))+$J$3,IF(OR($I332="",$I332="-"),"",VLOOKUP($G332,為替!$A:$AX,$I332,FALSE)))</f>
        <v/>
      </c>
      <c r="K332" s="204" t="str">
        <f t="shared" si="32"/>
        <v/>
      </c>
      <c r="L332" s="188" t="str">
        <f t="shared" si="33"/>
        <v/>
      </c>
      <c r="M332" s="203" t="str">
        <f>IF($H332="USD",IF(OR($L332="",$L332="-"),"",VLOOKUP($G332,為替!$A:$AX,$L332,FALSE))+$K$3,IF(OR($L332="",$L332="-"),"",VLOOKUP($G332,為替!$A:$AX,$L332,FALSE)))</f>
        <v/>
      </c>
      <c r="N332" s="204" t="str">
        <f t="shared" si="34"/>
        <v/>
      </c>
      <c r="O332" s="205" t="str">
        <f t="shared" si="30"/>
        <v/>
      </c>
      <c r="P332" s="206" t="str">
        <f t="shared" si="35"/>
        <v/>
      </c>
    </row>
    <row r="333" spans="3:16" x14ac:dyDescent="0.4">
      <c r="C333" s="199"/>
      <c r="D333" s="200"/>
      <c r="E333" s="201"/>
      <c r="F333" s="199"/>
      <c r="H333" s="202"/>
      <c r="I333" s="185" t="str">
        <f t="shared" si="31"/>
        <v/>
      </c>
      <c r="J333" s="203" t="str">
        <f>IF($H333="USD",IF(OR($I333="",$I333="-"),"",VLOOKUP($G333,為替!$A:$AX,$I333,FALSE))+$J$3,IF(OR($I333="",$I333="-"),"",VLOOKUP($G333,為替!$A:$AX,$I333,FALSE)))</f>
        <v/>
      </c>
      <c r="K333" s="204" t="str">
        <f t="shared" si="32"/>
        <v/>
      </c>
      <c r="L333" s="188" t="str">
        <f t="shared" si="33"/>
        <v/>
      </c>
      <c r="M333" s="203" t="str">
        <f>IF($H333="USD",IF(OR($L333="",$L333="-"),"",VLOOKUP($G333,為替!$A:$AX,$L333,FALSE))+$K$3,IF(OR($L333="",$L333="-"),"",VLOOKUP($G333,為替!$A:$AX,$L333,FALSE)))</f>
        <v/>
      </c>
      <c r="N333" s="204" t="str">
        <f t="shared" si="34"/>
        <v/>
      </c>
      <c r="O333" s="205" t="str">
        <f t="shared" si="30"/>
        <v/>
      </c>
      <c r="P333" s="206" t="str">
        <f t="shared" si="35"/>
        <v/>
      </c>
    </row>
    <row r="334" spans="3:16" x14ac:dyDescent="0.4">
      <c r="C334" s="199"/>
      <c r="D334" s="200"/>
      <c r="E334" s="201"/>
      <c r="F334" s="199"/>
      <c r="H334" s="202"/>
      <c r="I334" s="185" t="str">
        <f t="shared" si="31"/>
        <v/>
      </c>
      <c r="J334" s="203" t="str">
        <f>IF($H334="USD",IF(OR($I334="",$I334="-"),"",VLOOKUP($G334,為替!$A:$AX,$I334,FALSE))+$J$3,IF(OR($I334="",$I334="-"),"",VLOOKUP($G334,為替!$A:$AX,$I334,FALSE)))</f>
        <v/>
      </c>
      <c r="K334" s="204" t="str">
        <f t="shared" si="32"/>
        <v/>
      </c>
      <c r="L334" s="188" t="str">
        <f t="shared" si="33"/>
        <v/>
      </c>
      <c r="M334" s="203" t="str">
        <f>IF($H334="USD",IF(OR($L334="",$L334="-"),"",VLOOKUP($G334,為替!$A:$AX,$L334,FALSE))+$K$3,IF(OR($L334="",$L334="-"),"",VLOOKUP($G334,為替!$A:$AX,$L334,FALSE)))</f>
        <v/>
      </c>
      <c r="N334" s="204" t="str">
        <f t="shared" si="34"/>
        <v/>
      </c>
      <c r="O334" s="205" t="str">
        <f t="shared" si="30"/>
        <v/>
      </c>
      <c r="P334" s="206" t="str">
        <f t="shared" si="35"/>
        <v/>
      </c>
    </row>
    <row r="335" spans="3:16" x14ac:dyDescent="0.4">
      <c r="C335" s="199"/>
      <c r="D335" s="200"/>
      <c r="E335" s="201"/>
      <c r="F335" s="199"/>
      <c r="H335" s="202"/>
      <c r="I335" s="185" t="str">
        <f t="shared" si="31"/>
        <v/>
      </c>
      <c r="J335" s="203" t="str">
        <f>IF($H335="USD",IF(OR($I335="",$I335="-"),"",VLOOKUP($G335,為替!$A:$AX,$I335,FALSE))+$J$3,IF(OR($I335="",$I335="-"),"",VLOOKUP($G335,為替!$A:$AX,$I335,FALSE)))</f>
        <v/>
      </c>
      <c r="K335" s="204" t="str">
        <f t="shared" si="32"/>
        <v/>
      </c>
      <c r="L335" s="188" t="str">
        <f t="shared" si="33"/>
        <v/>
      </c>
      <c r="M335" s="203" t="str">
        <f>IF($H335="USD",IF(OR($L335="",$L335="-"),"",VLOOKUP($G335,為替!$A:$AX,$L335,FALSE))+$K$3,IF(OR($L335="",$L335="-"),"",VLOOKUP($G335,為替!$A:$AX,$L335,FALSE)))</f>
        <v/>
      </c>
      <c r="N335" s="204" t="str">
        <f t="shared" si="34"/>
        <v/>
      </c>
      <c r="O335" s="205" t="str">
        <f t="shared" si="30"/>
        <v/>
      </c>
      <c r="P335" s="206" t="str">
        <f t="shared" si="35"/>
        <v/>
      </c>
    </row>
    <row r="336" spans="3:16" x14ac:dyDescent="0.4">
      <c r="C336" s="199"/>
      <c r="D336" s="200"/>
      <c r="E336" s="201"/>
      <c r="F336" s="199"/>
      <c r="H336" s="202"/>
      <c r="I336" s="185" t="str">
        <f t="shared" si="31"/>
        <v/>
      </c>
      <c r="J336" s="203" t="str">
        <f>IF($H336="USD",IF(OR($I336="",$I336="-"),"",VLOOKUP($G336,為替!$A:$AX,$I336,FALSE))+$J$3,IF(OR($I336="",$I336="-"),"",VLOOKUP($G336,為替!$A:$AX,$I336,FALSE)))</f>
        <v/>
      </c>
      <c r="K336" s="204" t="str">
        <f t="shared" si="32"/>
        <v/>
      </c>
      <c r="L336" s="188" t="str">
        <f t="shared" si="33"/>
        <v/>
      </c>
      <c r="M336" s="203" t="str">
        <f>IF($H336="USD",IF(OR($L336="",$L336="-"),"",VLOOKUP($G336,為替!$A:$AX,$L336,FALSE))+$K$3,IF(OR($L336="",$L336="-"),"",VLOOKUP($G336,為替!$A:$AX,$L336,FALSE)))</f>
        <v/>
      </c>
      <c r="N336" s="204" t="str">
        <f t="shared" si="34"/>
        <v/>
      </c>
      <c r="O336" s="205" t="str">
        <f t="shared" si="30"/>
        <v/>
      </c>
      <c r="P336" s="206" t="str">
        <f t="shared" si="35"/>
        <v/>
      </c>
    </row>
    <row r="337" spans="3:16" x14ac:dyDescent="0.4">
      <c r="C337" s="199"/>
      <c r="D337" s="200"/>
      <c r="E337" s="201"/>
      <c r="F337" s="199"/>
      <c r="H337" s="202"/>
      <c r="I337" s="185" t="str">
        <f t="shared" si="31"/>
        <v/>
      </c>
      <c r="J337" s="203" t="str">
        <f>IF($H337="USD",IF(OR($I337="",$I337="-"),"",VLOOKUP($G337,為替!$A:$AX,$I337,FALSE))+$J$3,IF(OR($I337="",$I337="-"),"",VLOOKUP($G337,為替!$A:$AX,$I337,FALSE)))</f>
        <v/>
      </c>
      <c r="K337" s="204" t="str">
        <f t="shared" si="32"/>
        <v/>
      </c>
      <c r="L337" s="188" t="str">
        <f t="shared" si="33"/>
        <v/>
      </c>
      <c r="M337" s="203" t="str">
        <f>IF($H337="USD",IF(OR($L337="",$L337="-"),"",VLOOKUP($G337,為替!$A:$AX,$L337,FALSE))+$K$3,IF(OR($L337="",$L337="-"),"",VLOOKUP($G337,為替!$A:$AX,$L337,FALSE)))</f>
        <v/>
      </c>
      <c r="N337" s="204" t="str">
        <f t="shared" si="34"/>
        <v/>
      </c>
      <c r="O337" s="205" t="str">
        <f t="shared" si="30"/>
        <v/>
      </c>
      <c r="P337" s="206" t="str">
        <f t="shared" si="35"/>
        <v/>
      </c>
    </row>
    <row r="338" spans="3:16" x14ac:dyDescent="0.4">
      <c r="C338" s="199"/>
      <c r="D338" s="200"/>
      <c r="E338" s="201"/>
      <c r="F338" s="199"/>
      <c r="H338" s="202"/>
      <c r="I338" s="185" t="str">
        <f t="shared" si="31"/>
        <v/>
      </c>
      <c r="J338" s="203" t="str">
        <f>IF($H338="USD",IF(OR($I338="",$I338="-"),"",VLOOKUP($G338,為替!$A:$AX,$I338,FALSE))+$J$3,IF(OR($I338="",$I338="-"),"",VLOOKUP($G338,為替!$A:$AX,$I338,FALSE)))</f>
        <v/>
      </c>
      <c r="K338" s="204" t="str">
        <f t="shared" si="32"/>
        <v/>
      </c>
      <c r="L338" s="188" t="str">
        <f t="shared" si="33"/>
        <v/>
      </c>
      <c r="M338" s="203" t="str">
        <f>IF($H338="USD",IF(OR($L338="",$L338="-"),"",VLOOKUP($G338,為替!$A:$AX,$L338,FALSE))+$K$3,IF(OR($L338="",$L338="-"),"",VLOOKUP($G338,為替!$A:$AX,$L338,FALSE)))</f>
        <v/>
      </c>
      <c r="N338" s="204" t="str">
        <f t="shared" si="34"/>
        <v/>
      </c>
      <c r="O338" s="205" t="str">
        <f t="shared" si="30"/>
        <v/>
      </c>
      <c r="P338" s="206" t="str">
        <f t="shared" si="35"/>
        <v/>
      </c>
    </row>
    <row r="339" spans="3:16" x14ac:dyDescent="0.4">
      <c r="C339" s="199"/>
      <c r="D339" s="200"/>
      <c r="E339" s="201"/>
      <c r="F339" s="199"/>
      <c r="H339" s="202"/>
      <c r="I339" s="185" t="str">
        <f t="shared" si="31"/>
        <v/>
      </c>
      <c r="J339" s="203" t="str">
        <f>IF($H339="USD",IF(OR($I339="",$I339="-"),"",VLOOKUP($G339,為替!$A:$AX,$I339,FALSE))+$J$3,IF(OR($I339="",$I339="-"),"",VLOOKUP($G339,為替!$A:$AX,$I339,FALSE)))</f>
        <v/>
      </c>
      <c r="K339" s="204" t="str">
        <f t="shared" si="32"/>
        <v/>
      </c>
      <c r="L339" s="188" t="str">
        <f t="shared" si="33"/>
        <v/>
      </c>
      <c r="M339" s="203" t="str">
        <f>IF($H339="USD",IF(OR($L339="",$L339="-"),"",VLOOKUP($G339,為替!$A:$AX,$L339,FALSE))+$K$3,IF(OR($L339="",$L339="-"),"",VLOOKUP($G339,為替!$A:$AX,$L339,FALSE)))</f>
        <v/>
      </c>
      <c r="N339" s="204" t="str">
        <f t="shared" si="34"/>
        <v/>
      </c>
      <c r="O339" s="205" t="str">
        <f t="shared" si="30"/>
        <v/>
      </c>
      <c r="P339" s="206" t="str">
        <f t="shared" si="35"/>
        <v/>
      </c>
    </row>
    <row r="340" spans="3:16" x14ac:dyDescent="0.4">
      <c r="C340" s="199"/>
      <c r="D340" s="200"/>
      <c r="E340" s="201"/>
      <c r="F340" s="199"/>
      <c r="H340" s="202"/>
      <c r="I340" s="185" t="str">
        <f t="shared" si="31"/>
        <v/>
      </c>
      <c r="J340" s="203" t="str">
        <f>IF($H340="USD",IF(OR($I340="",$I340="-"),"",VLOOKUP($G340,為替!$A:$AX,$I340,FALSE))+$J$3,IF(OR($I340="",$I340="-"),"",VLOOKUP($G340,為替!$A:$AX,$I340,FALSE)))</f>
        <v/>
      </c>
      <c r="K340" s="204" t="str">
        <f t="shared" si="32"/>
        <v/>
      </c>
      <c r="L340" s="188" t="str">
        <f t="shared" si="33"/>
        <v/>
      </c>
      <c r="M340" s="203" t="str">
        <f>IF($H340="USD",IF(OR($L340="",$L340="-"),"",VLOOKUP($G340,為替!$A:$AX,$L340,FALSE))+$K$3,IF(OR($L340="",$L340="-"),"",VLOOKUP($G340,為替!$A:$AX,$L340,FALSE)))</f>
        <v/>
      </c>
      <c r="N340" s="204" t="str">
        <f t="shared" si="34"/>
        <v/>
      </c>
      <c r="O340" s="205" t="str">
        <f t="shared" si="30"/>
        <v/>
      </c>
      <c r="P340" s="206" t="str">
        <f t="shared" si="35"/>
        <v/>
      </c>
    </row>
    <row r="341" spans="3:16" x14ac:dyDescent="0.4">
      <c r="C341" s="199"/>
      <c r="D341" s="200"/>
      <c r="E341" s="201"/>
      <c r="F341" s="199"/>
      <c r="H341" s="202"/>
      <c r="I341" s="185" t="str">
        <f t="shared" si="31"/>
        <v/>
      </c>
      <c r="J341" s="203" t="str">
        <f>IF($H341="USD",IF(OR($I341="",$I341="-"),"",VLOOKUP($G341,為替!$A:$AX,$I341,FALSE))+$J$3,IF(OR($I341="",$I341="-"),"",VLOOKUP($G341,為替!$A:$AX,$I341,FALSE)))</f>
        <v/>
      </c>
      <c r="K341" s="204" t="str">
        <f t="shared" si="32"/>
        <v/>
      </c>
      <c r="L341" s="188" t="str">
        <f t="shared" si="33"/>
        <v/>
      </c>
      <c r="M341" s="203" t="str">
        <f>IF($H341="USD",IF(OR($L341="",$L341="-"),"",VLOOKUP($G341,為替!$A:$AX,$L341,FALSE))+$K$3,IF(OR($L341="",$L341="-"),"",VLOOKUP($G341,為替!$A:$AX,$L341,FALSE)))</f>
        <v/>
      </c>
      <c r="N341" s="204" t="str">
        <f t="shared" si="34"/>
        <v/>
      </c>
      <c r="O341" s="205" t="str">
        <f t="shared" si="30"/>
        <v/>
      </c>
      <c r="P341" s="206" t="str">
        <f t="shared" si="35"/>
        <v/>
      </c>
    </row>
    <row r="342" spans="3:16" x14ac:dyDescent="0.4">
      <c r="C342" s="199"/>
      <c r="D342" s="200"/>
      <c r="E342" s="201"/>
      <c r="F342" s="199"/>
      <c r="H342" s="202"/>
      <c r="I342" s="185" t="str">
        <f t="shared" si="31"/>
        <v/>
      </c>
      <c r="J342" s="203" t="str">
        <f>IF($H342="USD",IF(OR($I342="",$I342="-"),"",VLOOKUP($G342,為替!$A:$AX,$I342,FALSE))+$J$3,IF(OR($I342="",$I342="-"),"",VLOOKUP($G342,為替!$A:$AX,$I342,FALSE)))</f>
        <v/>
      </c>
      <c r="K342" s="204" t="str">
        <f t="shared" si="32"/>
        <v/>
      </c>
      <c r="L342" s="188" t="str">
        <f t="shared" si="33"/>
        <v/>
      </c>
      <c r="M342" s="203" t="str">
        <f>IF($H342="USD",IF(OR($L342="",$L342="-"),"",VLOOKUP($G342,為替!$A:$AX,$L342,FALSE))+$K$3,IF(OR($L342="",$L342="-"),"",VLOOKUP($G342,為替!$A:$AX,$L342,FALSE)))</f>
        <v/>
      </c>
      <c r="N342" s="204" t="str">
        <f t="shared" si="34"/>
        <v/>
      </c>
      <c r="O342" s="205" t="str">
        <f t="shared" si="30"/>
        <v/>
      </c>
      <c r="P342" s="206" t="str">
        <f t="shared" si="35"/>
        <v/>
      </c>
    </row>
    <row r="343" spans="3:16" x14ac:dyDescent="0.4">
      <c r="C343" s="199"/>
      <c r="D343" s="200"/>
      <c r="E343" s="201"/>
      <c r="F343" s="199"/>
      <c r="H343" s="202"/>
      <c r="I343" s="185" t="str">
        <f t="shared" si="31"/>
        <v/>
      </c>
      <c r="J343" s="203" t="str">
        <f>IF($H343="USD",IF(OR($I343="",$I343="-"),"",VLOOKUP($G343,為替!$A:$AX,$I343,FALSE))+$J$3,IF(OR($I343="",$I343="-"),"",VLOOKUP($G343,為替!$A:$AX,$I343,FALSE)))</f>
        <v/>
      </c>
      <c r="K343" s="204" t="str">
        <f t="shared" si="32"/>
        <v/>
      </c>
      <c r="L343" s="188" t="str">
        <f t="shared" si="33"/>
        <v/>
      </c>
      <c r="M343" s="203" t="str">
        <f>IF($H343="USD",IF(OR($L343="",$L343="-"),"",VLOOKUP($G343,為替!$A:$AX,$L343,FALSE))+$K$3,IF(OR($L343="",$L343="-"),"",VLOOKUP($G343,為替!$A:$AX,$L343,FALSE)))</f>
        <v/>
      </c>
      <c r="N343" s="204" t="str">
        <f t="shared" si="34"/>
        <v/>
      </c>
      <c r="O343" s="205" t="str">
        <f t="shared" si="30"/>
        <v/>
      </c>
      <c r="P343" s="206" t="str">
        <f t="shared" si="35"/>
        <v/>
      </c>
    </row>
    <row r="344" spans="3:16" x14ac:dyDescent="0.4">
      <c r="C344" s="199"/>
      <c r="D344" s="200"/>
      <c r="E344" s="201"/>
      <c r="F344" s="199"/>
      <c r="H344" s="202"/>
      <c r="I344" s="185" t="str">
        <f t="shared" si="31"/>
        <v/>
      </c>
      <c r="J344" s="203" t="str">
        <f>IF($H344="USD",IF(OR($I344="",$I344="-"),"",VLOOKUP($G344,為替!$A:$AX,$I344,FALSE))+$J$3,IF(OR($I344="",$I344="-"),"",VLOOKUP($G344,為替!$A:$AX,$I344,FALSE)))</f>
        <v/>
      </c>
      <c r="K344" s="204" t="str">
        <f t="shared" si="32"/>
        <v/>
      </c>
      <c r="L344" s="188" t="str">
        <f t="shared" si="33"/>
        <v/>
      </c>
      <c r="M344" s="203" t="str">
        <f>IF($H344="USD",IF(OR($L344="",$L344="-"),"",VLOOKUP($G344,為替!$A:$AX,$L344,FALSE))+$K$3,IF(OR($L344="",$L344="-"),"",VLOOKUP($G344,為替!$A:$AX,$L344,FALSE)))</f>
        <v/>
      </c>
      <c r="N344" s="204" t="str">
        <f t="shared" si="34"/>
        <v/>
      </c>
      <c r="O344" s="205" t="str">
        <f t="shared" si="30"/>
        <v/>
      </c>
      <c r="P344" s="206" t="str">
        <f t="shared" si="35"/>
        <v/>
      </c>
    </row>
    <row r="345" spans="3:16" x14ac:dyDescent="0.4">
      <c r="C345" s="199"/>
      <c r="D345" s="200"/>
      <c r="E345" s="201"/>
      <c r="F345" s="199"/>
      <c r="H345" s="202"/>
      <c r="I345" s="185" t="str">
        <f t="shared" si="31"/>
        <v/>
      </c>
      <c r="J345" s="203" t="str">
        <f>IF($H345="USD",IF(OR($I345="",$I345="-"),"",VLOOKUP($G345,為替!$A:$AX,$I345,FALSE))+$J$3,IF(OR($I345="",$I345="-"),"",VLOOKUP($G345,為替!$A:$AX,$I345,FALSE)))</f>
        <v/>
      </c>
      <c r="K345" s="204" t="str">
        <f t="shared" si="32"/>
        <v/>
      </c>
      <c r="L345" s="188" t="str">
        <f t="shared" si="33"/>
        <v/>
      </c>
      <c r="M345" s="203" t="str">
        <f>IF($H345="USD",IF(OR($L345="",$L345="-"),"",VLOOKUP($G345,為替!$A:$AX,$L345,FALSE))+$K$3,IF(OR($L345="",$L345="-"),"",VLOOKUP($G345,為替!$A:$AX,$L345,FALSE)))</f>
        <v/>
      </c>
      <c r="N345" s="204" t="str">
        <f t="shared" si="34"/>
        <v/>
      </c>
      <c r="O345" s="205" t="str">
        <f t="shared" si="30"/>
        <v/>
      </c>
      <c r="P345" s="206" t="str">
        <f t="shared" si="35"/>
        <v/>
      </c>
    </row>
    <row r="346" spans="3:16" x14ac:dyDescent="0.4">
      <c r="C346" s="199"/>
      <c r="D346" s="200"/>
      <c r="E346" s="201"/>
      <c r="F346" s="199"/>
      <c r="H346" s="202"/>
      <c r="I346" s="185" t="str">
        <f t="shared" si="31"/>
        <v/>
      </c>
      <c r="J346" s="203" t="str">
        <f>IF($H346="USD",IF(OR($I346="",$I346="-"),"",VLOOKUP($G346,為替!$A:$AX,$I346,FALSE))+$J$3,IF(OR($I346="",$I346="-"),"",VLOOKUP($G346,為替!$A:$AX,$I346,FALSE)))</f>
        <v/>
      </c>
      <c r="K346" s="204" t="str">
        <f t="shared" si="32"/>
        <v/>
      </c>
      <c r="L346" s="188" t="str">
        <f t="shared" si="33"/>
        <v/>
      </c>
      <c r="M346" s="203" t="str">
        <f>IF($H346="USD",IF(OR($L346="",$L346="-"),"",VLOOKUP($G346,為替!$A:$AX,$L346,FALSE))+$K$3,IF(OR($L346="",$L346="-"),"",VLOOKUP($G346,為替!$A:$AX,$L346,FALSE)))</f>
        <v/>
      </c>
      <c r="N346" s="204" t="str">
        <f t="shared" si="34"/>
        <v/>
      </c>
      <c r="O346" s="205" t="str">
        <f t="shared" si="30"/>
        <v/>
      </c>
      <c r="P346" s="206" t="str">
        <f t="shared" si="35"/>
        <v/>
      </c>
    </row>
    <row r="347" spans="3:16" x14ac:dyDescent="0.4">
      <c r="C347" s="199"/>
      <c r="D347" s="200"/>
      <c r="E347" s="201"/>
      <c r="F347" s="199"/>
      <c r="H347" s="202"/>
      <c r="I347" s="185" t="str">
        <f t="shared" si="31"/>
        <v/>
      </c>
      <c r="J347" s="203" t="str">
        <f>IF($H347="USD",IF(OR($I347="",$I347="-"),"",VLOOKUP($G347,為替!$A:$AX,$I347,FALSE))+$J$3,IF(OR($I347="",$I347="-"),"",VLOOKUP($G347,為替!$A:$AX,$I347,FALSE)))</f>
        <v/>
      </c>
      <c r="K347" s="204" t="str">
        <f t="shared" si="32"/>
        <v/>
      </c>
      <c r="L347" s="188" t="str">
        <f t="shared" si="33"/>
        <v/>
      </c>
      <c r="M347" s="203" t="str">
        <f>IF($H347="USD",IF(OR($L347="",$L347="-"),"",VLOOKUP($G347,為替!$A:$AX,$L347,FALSE))+$K$3,IF(OR($L347="",$L347="-"),"",VLOOKUP($G347,為替!$A:$AX,$L347,FALSE)))</f>
        <v/>
      </c>
      <c r="N347" s="204" t="str">
        <f t="shared" si="34"/>
        <v/>
      </c>
      <c r="O347" s="205" t="str">
        <f t="shared" si="30"/>
        <v/>
      </c>
      <c r="P347" s="206" t="str">
        <f t="shared" si="35"/>
        <v/>
      </c>
    </row>
    <row r="348" spans="3:16" x14ac:dyDescent="0.4">
      <c r="C348" s="199"/>
      <c r="D348" s="200"/>
      <c r="E348" s="201"/>
      <c r="F348" s="199"/>
      <c r="H348" s="202"/>
      <c r="I348" s="185" t="str">
        <f t="shared" si="31"/>
        <v/>
      </c>
      <c r="J348" s="203" t="str">
        <f>IF($H348="USD",IF(OR($I348="",$I348="-"),"",VLOOKUP($G348,為替!$A:$AX,$I348,FALSE))+$J$3,IF(OR($I348="",$I348="-"),"",VLOOKUP($G348,為替!$A:$AX,$I348,FALSE)))</f>
        <v/>
      </c>
      <c r="K348" s="204" t="str">
        <f t="shared" si="32"/>
        <v/>
      </c>
      <c r="L348" s="188" t="str">
        <f t="shared" si="33"/>
        <v/>
      </c>
      <c r="M348" s="203" t="str">
        <f>IF($H348="USD",IF(OR($L348="",$L348="-"),"",VLOOKUP($G348,為替!$A:$AX,$L348,FALSE))+$K$3,IF(OR($L348="",$L348="-"),"",VLOOKUP($G348,為替!$A:$AX,$L348,FALSE)))</f>
        <v/>
      </c>
      <c r="N348" s="204" t="str">
        <f t="shared" si="34"/>
        <v/>
      </c>
      <c r="O348" s="205" t="str">
        <f t="shared" si="30"/>
        <v/>
      </c>
      <c r="P348" s="206" t="str">
        <f t="shared" si="35"/>
        <v/>
      </c>
    </row>
    <row r="349" spans="3:16" x14ac:dyDescent="0.4">
      <c r="C349" s="199"/>
      <c r="D349" s="200"/>
      <c r="E349" s="201"/>
      <c r="F349" s="199"/>
      <c r="H349" s="202"/>
      <c r="I349" s="185" t="str">
        <f t="shared" si="31"/>
        <v/>
      </c>
      <c r="J349" s="203" t="str">
        <f>IF($H349="USD",IF(OR($I349="",$I349="-"),"",VLOOKUP($G349,為替!$A:$AX,$I349,FALSE))+$J$3,IF(OR($I349="",$I349="-"),"",VLOOKUP($G349,為替!$A:$AX,$I349,FALSE)))</f>
        <v/>
      </c>
      <c r="K349" s="204" t="str">
        <f t="shared" si="32"/>
        <v/>
      </c>
      <c r="L349" s="188" t="str">
        <f t="shared" si="33"/>
        <v/>
      </c>
      <c r="M349" s="203" t="str">
        <f>IF($H349="USD",IF(OR($L349="",$L349="-"),"",VLOOKUP($G349,為替!$A:$AX,$L349,FALSE))+$K$3,IF(OR($L349="",$L349="-"),"",VLOOKUP($G349,為替!$A:$AX,$L349,FALSE)))</f>
        <v/>
      </c>
      <c r="N349" s="204" t="str">
        <f t="shared" si="34"/>
        <v/>
      </c>
      <c r="O349" s="205" t="str">
        <f t="shared" si="30"/>
        <v/>
      </c>
      <c r="P349" s="206" t="str">
        <f t="shared" si="35"/>
        <v/>
      </c>
    </row>
    <row r="350" spans="3:16" x14ac:dyDescent="0.4">
      <c r="C350" s="199"/>
      <c r="D350" s="200"/>
      <c r="E350" s="201"/>
      <c r="F350" s="199"/>
      <c r="H350" s="202"/>
      <c r="I350" s="185" t="str">
        <f t="shared" si="31"/>
        <v/>
      </c>
      <c r="J350" s="203" t="str">
        <f>IF($H350="USD",IF(OR($I350="",$I350="-"),"",VLOOKUP($G350,為替!$A:$AX,$I350,FALSE))+$J$3,IF(OR($I350="",$I350="-"),"",VLOOKUP($G350,為替!$A:$AX,$I350,FALSE)))</f>
        <v/>
      </c>
      <c r="K350" s="204" t="str">
        <f t="shared" si="32"/>
        <v/>
      </c>
      <c r="L350" s="188" t="str">
        <f t="shared" si="33"/>
        <v/>
      </c>
      <c r="M350" s="203" t="str">
        <f>IF($H350="USD",IF(OR($L350="",$L350="-"),"",VLOOKUP($G350,為替!$A:$AX,$L350,FALSE))+$K$3,IF(OR($L350="",$L350="-"),"",VLOOKUP($G350,為替!$A:$AX,$L350,FALSE)))</f>
        <v/>
      </c>
      <c r="N350" s="204" t="str">
        <f t="shared" si="34"/>
        <v/>
      </c>
      <c r="O350" s="205" t="str">
        <f t="shared" si="30"/>
        <v/>
      </c>
      <c r="P350" s="206" t="str">
        <f t="shared" si="35"/>
        <v/>
      </c>
    </row>
    <row r="351" spans="3:16" x14ac:dyDescent="0.4">
      <c r="C351" s="199"/>
      <c r="D351" s="200"/>
      <c r="E351" s="201"/>
      <c r="F351" s="199"/>
      <c r="H351" s="202"/>
      <c r="I351" s="185" t="str">
        <f t="shared" si="31"/>
        <v/>
      </c>
      <c r="J351" s="203" t="str">
        <f>IF($H351="USD",IF(OR($I351="",$I351="-"),"",VLOOKUP($G351,為替!$A:$AX,$I351,FALSE))+$J$3,IF(OR($I351="",$I351="-"),"",VLOOKUP($G351,為替!$A:$AX,$I351,FALSE)))</f>
        <v/>
      </c>
      <c r="K351" s="204" t="str">
        <f t="shared" si="32"/>
        <v/>
      </c>
      <c r="L351" s="188" t="str">
        <f t="shared" si="33"/>
        <v/>
      </c>
      <c r="M351" s="203" t="str">
        <f>IF($H351="USD",IF(OR($L351="",$L351="-"),"",VLOOKUP($G351,為替!$A:$AX,$L351,FALSE))+$K$3,IF(OR($L351="",$L351="-"),"",VLOOKUP($G351,為替!$A:$AX,$L351,FALSE)))</f>
        <v/>
      </c>
      <c r="N351" s="204" t="str">
        <f t="shared" si="34"/>
        <v/>
      </c>
      <c r="O351" s="205" t="str">
        <f t="shared" si="30"/>
        <v/>
      </c>
      <c r="P351" s="206" t="str">
        <f t="shared" si="35"/>
        <v/>
      </c>
    </row>
    <row r="352" spans="3:16" x14ac:dyDescent="0.4">
      <c r="C352" s="199"/>
      <c r="D352" s="200"/>
      <c r="E352" s="201"/>
      <c r="F352" s="199"/>
      <c r="H352" s="202"/>
      <c r="I352" s="185" t="str">
        <f t="shared" si="31"/>
        <v/>
      </c>
      <c r="J352" s="203" t="str">
        <f>IF($H352="USD",IF(OR($I352="",$I352="-"),"",VLOOKUP($G352,為替!$A:$AX,$I352,FALSE))+$J$3,IF(OR($I352="",$I352="-"),"",VLOOKUP($G352,為替!$A:$AX,$I352,FALSE)))</f>
        <v/>
      </c>
      <c r="K352" s="204" t="str">
        <f t="shared" si="32"/>
        <v/>
      </c>
      <c r="L352" s="188" t="str">
        <f t="shared" si="33"/>
        <v/>
      </c>
      <c r="M352" s="203" t="str">
        <f>IF($H352="USD",IF(OR($L352="",$L352="-"),"",VLOOKUP($G352,為替!$A:$AX,$L352,FALSE))+$K$3,IF(OR($L352="",$L352="-"),"",VLOOKUP($G352,為替!$A:$AX,$L352,FALSE)))</f>
        <v/>
      </c>
      <c r="N352" s="204" t="str">
        <f t="shared" si="34"/>
        <v/>
      </c>
      <c r="O352" s="205" t="str">
        <f t="shared" si="30"/>
        <v/>
      </c>
      <c r="P352" s="206" t="str">
        <f t="shared" si="35"/>
        <v/>
      </c>
    </row>
    <row r="353" spans="3:16" x14ac:dyDescent="0.4">
      <c r="C353" s="199"/>
      <c r="D353" s="200"/>
      <c r="E353" s="201"/>
      <c r="F353" s="199"/>
      <c r="H353" s="202"/>
      <c r="I353" s="185" t="str">
        <f t="shared" si="31"/>
        <v/>
      </c>
      <c r="J353" s="203" t="str">
        <f>IF($H353="USD",IF(OR($I353="",$I353="-"),"",VLOOKUP($G353,為替!$A:$AX,$I353,FALSE))+$J$3,IF(OR($I353="",$I353="-"),"",VLOOKUP($G353,為替!$A:$AX,$I353,FALSE)))</f>
        <v/>
      </c>
      <c r="K353" s="204" t="str">
        <f t="shared" si="32"/>
        <v/>
      </c>
      <c r="L353" s="188" t="str">
        <f t="shared" si="33"/>
        <v/>
      </c>
      <c r="M353" s="203" t="str">
        <f>IF($H353="USD",IF(OR($L353="",$L353="-"),"",VLOOKUP($G353,為替!$A:$AX,$L353,FALSE))+$K$3,IF(OR($L353="",$L353="-"),"",VLOOKUP($G353,為替!$A:$AX,$L353,FALSE)))</f>
        <v/>
      </c>
      <c r="N353" s="204" t="str">
        <f t="shared" si="34"/>
        <v/>
      </c>
      <c r="O353" s="205" t="str">
        <f t="shared" si="30"/>
        <v/>
      </c>
      <c r="P353" s="206" t="str">
        <f t="shared" si="35"/>
        <v/>
      </c>
    </row>
    <row r="354" spans="3:16" x14ac:dyDescent="0.4">
      <c r="C354" s="199"/>
      <c r="D354" s="200"/>
      <c r="E354" s="201"/>
      <c r="F354" s="199"/>
      <c r="H354" s="202"/>
      <c r="I354" s="185" t="str">
        <f t="shared" si="31"/>
        <v/>
      </c>
      <c r="J354" s="203" t="str">
        <f>IF($H354="USD",IF(OR($I354="",$I354="-"),"",VLOOKUP($G354,為替!$A:$AX,$I354,FALSE))+$J$3,IF(OR($I354="",$I354="-"),"",VLOOKUP($G354,為替!$A:$AX,$I354,FALSE)))</f>
        <v/>
      </c>
      <c r="K354" s="204" t="str">
        <f t="shared" si="32"/>
        <v/>
      </c>
      <c r="L354" s="188" t="str">
        <f t="shared" si="33"/>
        <v/>
      </c>
      <c r="M354" s="203" t="str">
        <f>IF($H354="USD",IF(OR($L354="",$L354="-"),"",VLOOKUP($G354,為替!$A:$AX,$L354,FALSE))+$K$3,IF(OR($L354="",$L354="-"),"",VLOOKUP($G354,為替!$A:$AX,$L354,FALSE)))</f>
        <v/>
      </c>
      <c r="N354" s="204" t="str">
        <f t="shared" si="34"/>
        <v/>
      </c>
      <c r="O354" s="205" t="str">
        <f t="shared" si="30"/>
        <v/>
      </c>
      <c r="P354" s="206" t="str">
        <f t="shared" si="35"/>
        <v/>
      </c>
    </row>
    <row r="355" spans="3:16" x14ac:dyDescent="0.4">
      <c r="C355" s="199"/>
      <c r="D355" s="200"/>
      <c r="E355" s="201"/>
      <c r="F355" s="199"/>
      <c r="H355" s="202"/>
      <c r="I355" s="185" t="str">
        <f t="shared" si="31"/>
        <v/>
      </c>
      <c r="J355" s="203" t="str">
        <f>IF($H355="USD",IF(OR($I355="",$I355="-"),"",VLOOKUP($G355,為替!$A:$AX,$I355,FALSE))+$J$3,IF(OR($I355="",$I355="-"),"",VLOOKUP($G355,為替!$A:$AX,$I355,FALSE)))</f>
        <v/>
      </c>
      <c r="K355" s="204" t="str">
        <f t="shared" si="32"/>
        <v/>
      </c>
      <c r="L355" s="188" t="str">
        <f t="shared" si="33"/>
        <v/>
      </c>
      <c r="M355" s="203" t="str">
        <f>IF($H355="USD",IF(OR($L355="",$L355="-"),"",VLOOKUP($G355,為替!$A:$AX,$L355,FALSE))+$K$3,IF(OR($L355="",$L355="-"),"",VLOOKUP($G355,為替!$A:$AX,$L355,FALSE)))</f>
        <v/>
      </c>
      <c r="N355" s="204" t="str">
        <f t="shared" si="34"/>
        <v/>
      </c>
      <c r="O355" s="205" t="str">
        <f t="shared" si="30"/>
        <v/>
      </c>
      <c r="P355" s="206" t="str">
        <f t="shared" si="35"/>
        <v/>
      </c>
    </row>
    <row r="356" spans="3:16" x14ac:dyDescent="0.4">
      <c r="C356" s="199"/>
      <c r="D356" s="200"/>
      <c r="E356" s="201"/>
      <c r="F356" s="199"/>
      <c r="H356" s="202"/>
      <c r="I356" s="185" t="str">
        <f t="shared" si="31"/>
        <v/>
      </c>
      <c r="J356" s="203" t="str">
        <f>IF($H356="USD",IF(OR($I356="",$I356="-"),"",VLOOKUP($G356,為替!$A:$AX,$I356,FALSE))+$J$3,IF(OR($I356="",$I356="-"),"",VLOOKUP($G356,為替!$A:$AX,$I356,FALSE)))</f>
        <v/>
      </c>
      <c r="K356" s="204" t="str">
        <f t="shared" si="32"/>
        <v/>
      </c>
      <c r="L356" s="188" t="str">
        <f t="shared" si="33"/>
        <v/>
      </c>
      <c r="M356" s="203" t="str">
        <f>IF($H356="USD",IF(OR($L356="",$L356="-"),"",VLOOKUP($G356,為替!$A:$AX,$L356,FALSE))+$K$3,IF(OR($L356="",$L356="-"),"",VLOOKUP($G356,為替!$A:$AX,$L356,FALSE)))</f>
        <v/>
      </c>
      <c r="N356" s="204" t="str">
        <f t="shared" si="34"/>
        <v/>
      </c>
      <c r="O356" s="205" t="str">
        <f t="shared" si="30"/>
        <v/>
      </c>
      <c r="P356" s="206" t="str">
        <f t="shared" si="35"/>
        <v/>
      </c>
    </row>
    <row r="357" spans="3:16" x14ac:dyDescent="0.4">
      <c r="C357" s="199"/>
      <c r="D357" s="200"/>
      <c r="E357" s="201"/>
      <c r="F357" s="199"/>
      <c r="H357" s="202"/>
      <c r="I357" s="185" t="str">
        <f t="shared" si="31"/>
        <v/>
      </c>
      <c r="J357" s="203" t="str">
        <f>IF($H357="USD",IF(OR($I357="",$I357="-"),"",VLOOKUP($G357,為替!$A:$AX,$I357,FALSE))+$J$3,IF(OR($I357="",$I357="-"),"",VLOOKUP($G357,為替!$A:$AX,$I357,FALSE)))</f>
        <v/>
      </c>
      <c r="K357" s="204" t="str">
        <f t="shared" si="32"/>
        <v/>
      </c>
      <c r="L357" s="188" t="str">
        <f t="shared" si="33"/>
        <v/>
      </c>
      <c r="M357" s="203" t="str">
        <f>IF($H357="USD",IF(OR($L357="",$L357="-"),"",VLOOKUP($G357,為替!$A:$AX,$L357,FALSE))+$K$3,IF(OR($L357="",$L357="-"),"",VLOOKUP($G357,為替!$A:$AX,$L357,FALSE)))</f>
        <v/>
      </c>
      <c r="N357" s="204" t="str">
        <f t="shared" si="34"/>
        <v/>
      </c>
      <c r="O357" s="205" t="str">
        <f t="shared" si="30"/>
        <v/>
      </c>
      <c r="P357" s="206" t="str">
        <f t="shared" si="35"/>
        <v/>
      </c>
    </row>
    <row r="358" spans="3:16" x14ac:dyDescent="0.4">
      <c r="C358" s="199"/>
      <c r="D358" s="200"/>
      <c r="E358" s="201"/>
      <c r="F358" s="199"/>
      <c r="H358" s="202"/>
      <c r="I358" s="185" t="str">
        <f t="shared" si="31"/>
        <v/>
      </c>
      <c r="J358" s="203" t="str">
        <f>IF($H358="USD",IF(OR($I358="",$I358="-"),"",VLOOKUP($G358,為替!$A:$AX,$I358,FALSE))+$J$3,IF(OR($I358="",$I358="-"),"",VLOOKUP($G358,為替!$A:$AX,$I358,FALSE)))</f>
        <v/>
      </c>
      <c r="K358" s="204" t="str">
        <f t="shared" si="32"/>
        <v/>
      </c>
      <c r="L358" s="188" t="str">
        <f t="shared" si="33"/>
        <v/>
      </c>
      <c r="M358" s="203" t="str">
        <f>IF($H358="USD",IF(OR($L358="",$L358="-"),"",VLOOKUP($G358,為替!$A:$AX,$L358,FALSE))+$K$3,IF(OR($L358="",$L358="-"),"",VLOOKUP($G358,為替!$A:$AX,$L358,FALSE)))</f>
        <v/>
      </c>
      <c r="N358" s="204" t="str">
        <f t="shared" si="34"/>
        <v/>
      </c>
      <c r="O358" s="205" t="str">
        <f t="shared" si="30"/>
        <v/>
      </c>
      <c r="P358" s="206" t="str">
        <f t="shared" si="35"/>
        <v/>
      </c>
    </row>
    <row r="359" spans="3:16" x14ac:dyDescent="0.4">
      <c r="C359" s="199"/>
      <c r="D359" s="200"/>
      <c r="E359" s="201"/>
      <c r="F359" s="199"/>
      <c r="H359" s="202"/>
      <c r="I359" s="185" t="str">
        <f t="shared" si="31"/>
        <v/>
      </c>
      <c r="J359" s="203" t="str">
        <f>IF($H359="USD",IF(OR($I359="",$I359="-"),"",VLOOKUP($G359,為替!$A:$AX,$I359,FALSE))+$J$3,IF(OR($I359="",$I359="-"),"",VLOOKUP($G359,為替!$A:$AX,$I359,FALSE)))</f>
        <v/>
      </c>
      <c r="K359" s="204" t="str">
        <f t="shared" si="32"/>
        <v/>
      </c>
      <c r="L359" s="188" t="str">
        <f t="shared" si="33"/>
        <v/>
      </c>
      <c r="M359" s="203" t="str">
        <f>IF($H359="USD",IF(OR($L359="",$L359="-"),"",VLOOKUP($G359,為替!$A:$AX,$L359,FALSE))+$K$3,IF(OR($L359="",$L359="-"),"",VLOOKUP($G359,為替!$A:$AX,$L359,FALSE)))</f>
        <v/>
      </c>
      <c r="N359" s="204" t="str">
        <f t="shared" si="34"/>
        <v/>
      </c>
      <c r="O359" s="205" t="str">
        <f t="shared" si="30"/>
        <v/>
      </c>
      <c r="P359" s="206" t="str">
        <f t="shared" si="35"/>
        <v/>
      </c>
    </row>
    <row r="360" spans="3:16" x14ac:dyDescent="0.4">
      <c r="C360" s="199"/>
      <c r="D360" s="200"/>
      <c r="E360" s="201"/>
      <c r="F360" s="199"/>
      <c r="H360" s="202"/>
      <c r="I360" s="185" t="str">
        <f t="shared" si="31"/>
        <v/>
      </c>
      <c r="J360" s="203" t="str">
        <f>IF($H360="USD",IF(OR($I360="",$I360="-"),"",VLOOKUP($G360,為替!$A:$AX,$I360,FALSE))+$J$3,IF(OR($I360="",$I360="-"),"",VLOOKUP($G360,為替!$A:$AX,$I360,FALSE)))</f>
        <v/>
      </c>
      <c r="K360" s="204" t="str">
        <f t="shared" si="32"/>
        <v/>
      </c>
      <c r="L360" s="188" t="str">
        <f t="shared" si="33"/>
        <v/>
      </c>
      <c r="M360" s="203" t="str">
        <f>IF($H360="USD",IF(OR($L360="",$L360="-"),"",VLOOKUP($G360,為替!$A:$AX,$L360,FALSE))+$K$3,IF(OR($L360="",$L360="-"),"",VLOOKUP($G360,為替!$A:$AX,$L360,FALSE)))</f>
        <v/>
      </c>
      <c r="N360" s="204" t="str">
        <f t="shared" si="34"/>
        <v/>
      </c>
      <c r="O360" s="205" t="str">
        <f t="shared" si="30"/>
        <v/>
      </c>
      <c r="P360" s="206" t="str">
        <f t="shared" si="35"/>
        <v/>
      </c>
    </row>
    <row r="361" spans="3:16" x14ac:dyDescent="0.4">
      <c r="C361" s="199"/>
      <c r="D361" s="200"/>
      <c r="E361" s="201"/>
      <c r="F361" s="199"/>
      <c r="H361" s="202"/>
      <c r="I361" s="185" t="str">
        <f t="shared" si="31"/>
        <v/>
      </c>
      <c r="J361" s="203" t="str">
        <f>IF($H361="USD",IF(OR($I361="",$I361="-"),"",VLOOKUP($G361,為替!$A:$AX,$I361,FALSE))+$J$3,IF(OR($I361="",$I361="-"),"",VLOOKUP($G361,為替!$A:$AX,$I361,FALSE)))</f>
        <v/>
      </c>
      <c r="K361" s="204" t="str">
        <f t="shared" si="32"/>
        <v/>
      </c>
      <c r="L361" s="188" t="str">
        <f t="shared" si="33"/>
        <v/>
      </c>
      <c r="M361" s="203" t="str">
        <f>IF($H361="USD",IF(OR($L361="",$L361="-"),"",VLOOKUP($G361,為替!$A:$AX,$L361,FALSE))+$K$3,IF(OR($L361="",$L361="-"),"",VLOOKUP($G361,為替!$A:$AX,$L361,FALSE)))</f>
        <v/>
      </c>
      <c r="N361" s="204" t="str">
        <f t="shared" si="34"/>
        <v/>
      </c>
      <c r="O361" s="205" t="str">
        <f t="shared" si="30"/>
        <v/>
      </c>
      <c r="P361" s="206" t="str">
        <f t="shared" si="35"/>
        <v/>
      </c>
    </row>
    <row r="362" spans="3:16" x14ac:dyDescent="0.4">
      <c r="C362" s="199"/>
      <c r="D362" s="200"/>
      <c r="E362" s="201"/>
      <c r="F362" s="199"/>
      <c r="H362" s="202"/>
      <c r="I362" s="185" t="str">
        <f t="shared" si="31"/>
        <v/>
      </c>
      <c r="J362" s="203" t="str">
        <f>IF($H362="USD",IF(OR($I362="",$I362="-"),"",VLOOKUP($G362,為替!$A:$AX,$I362,FALSE))+$J$3,IF(OR($I362="",$I362="-"),"",VLOOKUP($G362,為替!$A:$AX,$I362,FALSE)))</f>
        <v/>
      </c>
      <c r="K362" s="204" t="str">
        <f t="shared" si="32"/>
        <v/>
      </c>
      <c r="L362" s="188" t="str">
        <f t="shared" si="33"/>
        <v/>
      </c>
      <c r="M362" s="203" t="str">
        <f>IF($H362="USD",IF(OR($L362="",$L362="-"),"",VLOOKUP($G362,為替!$A:$AX,$L362,FALSE))+$K$3,IF(OR($L362="",$L362="-"),"",VLOOKUP($G362,為替!$A:$AX,$L362,FALSE)))</f>
        <v/>
      </c>
      <c r="N362" s="204" t="str">
        <f t="shared" si="34"/>
        <v/>
      </c>
      <c r="O362" s="205" t="str">
        <f t="shared" si="30"/>
        <v/>
      </c>
      <c r="P362" s="206" t="str">
        <f t="shared" si="35"/>
        <v/>
      </c>
    </row>
    <row r="363" spans="3:16" x14ac:dyDescent="0.4">
      <c r="C363" s="199"/>
      <c r="D363" s="200"/>
      <c r="E363" s="201"/>
      <c r="F363" s="199"/>
      <c r="H363" s="202"/>
      <c r="I363" s="185" t="str">
        <f t="shared" si="31"/>
        <v/>
      </c>
      <c r="J363" s="203" t="str">
        <f>IF($H363="USD",IF(OR($I363="",$I363="-"),"",VLOOKUP($G363,為替!$A:$AX,$I363,FALSE))+$J$3,IF(OR($I363="",$I363="-"),"",VLOOKUP($G363,為替!$A:$AX,$I363,FALSE)))</f>
        <v/>
      </c>
      <c r="K363" s="204" t="str">
        <f t="shared" si="32"/>
        <v/>
      </c>
      <c r="L363" s="188" t="str">
        <f t="shared" si="33"/>
        <v/>
      </c>
      <c r="M363" s="203" t="str">
        <f>IF($H363="USD",IF(OR($L363="",$L363="-"),"",VLOOKUP($G363,為替!$A:$AX,$L363,FALSE))+$K$3,IF(OR($L363="",$L363="-"),"",VLOOKUP($G363,為替!$A:$AX,$L363,FALSE)))</f>
        <v/>
      </c>
      <c r="N363" s="204" t="str">
        <f t="shared" si="34"/>
        <v/>
      </c>
      <c r="O363" s="205" t="str">
        <f t="shared" si="30"/>
        <v/>
      </c>
      <c r="P363" s="206" t="str">
        <f t="shared" si="35"/>
        <v/>
      </c>
    </row>
    <row r="364" spans="3:16" x14ac:dyDescent="0.4">
      <c r="C364" s="199"/>
      <c r="D364" s="200"/>
      <c r="E364" s="201"/>
      <c r="F364" s="199"/>
      <c r="H364" s="202"/>
      <c r="I364" s="185" t="str">
        <f t="shared" si="31"/>
        <v/>
      </c>
      <c r="J364" s="203" t="str">
        <f>IF($H364="USD",IF(OR($I364="",$I364="-"),"",VLOOKUP($G364,為替!$A:$AX,$I364,FALSE))+$J$3,IF(OR($I364="",$I364="-"),"",VLOOKUP($G364,為替!$A:$AX,$I364,FALSE)))</f>
        <v/>
      </c>
      <c r="K364" s="204" t="str">
        <f t="shared" si="32"/>
        <v/>
      </c>
      <c r="L364" s="188" t="str">
        <f t="shared" si="33"/>
        <v/>
      </c>
      <c r="M364" s="203" t="str">
        <f>IF($H364="USD",IF(OR($L364="",$L364="-"),"",VLOOKUP($G364,為替!$A:$AX,$L364,FALSE))+$K$3,IF(OR($L364="",$L364="-"),"",VLOOKUP($G364,為替!$A:$AX,$L364,FALSE)))</f>
        <v/>
      </c>
      <c r="N364" s="204" t="str">
        <f t="shared" si="34"/>
        <v/>
      </c>
      <c r="O364" s="205" t="str">
        <f t="shared" si="30"/>
        <v/>
      </c>
      <c r="P364" s="206" t="str">
        <f t="shared" si="35"/>
        <v/>
      </c>
    </row>
    <row r="365" spans="3:16" x14ac:dyDescent="0.4">
      <c r="C365" s="199"/>
      <c r="D365" s="200"/>
      <c r="E365" s="201"/>
      <c r="F365" s="199"/>
      <c r="H365" s="202"/>
      <c r="I365" s="185" t="str">
        <f t="shared" si="31"/>
        <v/>
      </c>
      <c r="J365" s="203" t="str">
        <f>IF($H365="USD",IF(OR($I365="",$I365="-"),"",VLOOKUP($G365,為替!$A:$AX,$I365,FALSE))+$J$3,IF(OR($I365="",$I365="-"),"",VLOOKUP($G365,為替!$A:$AX,$I365,FALSE)))</f>
        <v/>
      </c>
      <c r="K365" s="204" t="str">
        <f t="shared" si="32"/>
        <v/>
      </c>
      <c r="L365" s="188" t="str">
        <f t="shared" si="33"/>
        <v/>
      </c>
      <c r="M365" s="203" t="str">
        <f>IF($H365="USD",IF(OR($L365="",$L365="-"),"",VLOOKUP($G365,為替!$A:$AX,$L365,FALSE))+$K$3,IF(OR($L365="",$L365="-"),"",VLOOKUP($G365,為替!$A:$AX,$L365,FALSE)))</f>
        <v/>
      </c>
      <c r="N365" s="204" t="str">
        <f t="shared" si="34"/>
        <v/>
      </c>
      <c r="O365" s="205" t="str">
        <f t="shared" si="30"/>
        <v/>
      </c>
      <c r="P365" s="206" t="str">
        <f t="shared" si="35"/>
        <v/>
      </c>
    </row>
    <row r="366" spans="3:16" x14ac:dyDescent="0.4">
      <c r="C366" s="199"/>
      <c r="D366" s="200"/>
      <c r="E366" s="201"/>
      <c r="F366" s="199"/>
      <c r="H366" s="202"/>
      <c r="I366" s="185" t="str">
        <f t="shared" si="31"/>
        <v/>
      </c>
      <c r="J366" s="203" t="str">
        <f>IF($H366="USD",IF(OR($I366="",$I366="-"),"",VLOOKUP($G366,為替!$A:$AX,$I366,FALSE))+$J$3,IF(OR($I366="",$I366="-"),"",VLOOKUP($G366,為替!$A:$AX,$I366,FALSE)))</f>
        <v/>
      </c>
      <c r="K366" s="204" t="str">
        <f t="shared" si="32"/>
        <v/>
      </c>
      <c r="L366" s="188" t="str">
        <f t="shared" si="33"/>
        <v/>
      </c>
      <c r="M366" s="203" t="str">
        <f>IF($H366="USD",IF(OR($L366="",$L366="-"),"",VLOOKUP($G366,為替!$A:$AX,$L366,FALSE))+$K$3,IF(OR($L366="",$L366="-"),"",VLOOKUP($G366,為替!$A:$AX,$L366,FALSE)))</f>
        <v/>
      </c>
      <c r="N366" s="204" t="str">
        <f t="shared" si="34"/>
        <v/>
      </c>
      <c r="O366" s="205" t="str">
        <f t="shared" si="30"/>
        <v/>
      </c>
      <c r="P366" s="206" t="str">
        <f t="shared" si="35"/>
        <v/>
      </c>
    </row>
    <row r="367" spans="3:16" x14ac:dyDescent="0.4">
      <c r="C367" s="199"/>
      <c r="D367" s="200"/>
      <c r="E367" s="201"/>
      <c r="F367" s="199"/>
      <c r="H367" s="202"/>
      <c r="I367" s="185" t="str">
        <f t="shared" si="31"/>
        <v/>
      </c>
      <c r="J367" s="203" t="str">
        <f>IF($H367="USD",IF(OR($I367="",$I367="-"),"",VLOOKUP($G367,為替!$A:$AX,$I367,FALSE))+$J$3,IF(OR($I367="",$I367="-"),"",VLOOKUP($G367,為替!$A:$AX,$I367,FALSE)))</f>
        <v/>
      </c>
      <c r="K367" s="204" t="str">
        <f t="shared" si="32"/>
        <v/>
      </c>
      <c r="L367" s="188" t="str">
        <f t="shared" si="33"/>
        <v/>
      </c>
      <c r="M367" s="203" t="str">
        <f>IF($H367="USD",IF(OR($L367="",$L367="-"),"",VLOOKUP($G367,為替!$A:$AX,$L367,FALSE))+$K$3,IF(OR($L367="",$L367="-"),"",VLOOKUP($G367,為替!$A:$AX,$L367,FALSE)))</f>
        <v/>
      </c>
      <c r="N367" s="204" t="str">
        <f t="shared" si="34"/>
        <v/>
      </c>
      <c r="O367" s="205" t="str">
        <f t="shared" si="30"/>
        <v/>
      </c>
      <c r="P367" s="206" t="str">
        <f t="shared" si="35"/>
        <v/>
      </c>
    </row>
    <row r="368" spans="3:16" x14ac:dyDescent="0.4">
      <c r="C368" s="199"/>
      <c r="D368" s="200"/>
      <c r="E368" s="201"/>
      <c r="F368" s="199"/>
      <c r="H368" s="202"/>
      <c r="I368" s="185" t="str">
        <f t="shared" si="31"/>
        <v/>
      </c>
      <c r="J368" s="203" t="str">
        <f>IF($H368="USD",IF(OR($I368="",$I368="-"),"",VLOOKUP($G368,為替!$A:$AX,$I368,FALSE))+$J$3,IF(OR($I368="",$I368="-"),"",VLOOKUP($G368,為替!$A:$AX,$I368,FALSE)))</f>
        <v/>
      </c>
      <c r="K368" s="204" t="str">
        <f t="shared" si="32"/>
        <v/>
      </c>
      <c r="L368" s="188" t="str">
        <f t="shared" si="33"/>
        <v/>
      </c>
      <c r="M368" s="203" t="str">
        <f>IF($H368="USD",IF(OR($L368="",$L368="-"),"",VLOOKUP($G368,為替!$A:$AX,$L368,FALSE))+$K$3,IF(OR($L368="",$L368="-"),"",VLOOKUP($G368,為替!$A:$AX,$L368,FALSE)))</f>
        <v/>
      </c>
      <c r="N368" s="204" t="str">
        <f t="shared" si="34"/>
        <v/>
      </c>
      <c r="O368" s="205" t="str">
        <f t="shared" si="30"/>
        <v/>
      </c>
      <c r="P368" s="206" t="str">
        <f t="shared" si="35"/>
        <v/>
      </c>
    </row>
    <row r="369" spans="3:16" x14ac:dyDescent="0.4">
      <c r="C369" s="199"/>
      <c r="D369" s="200"/>
      <c r="E369" s="201"/>
      <c r="F369" s="199"/>
      <c r="H369" s="202"/>
      <c r="I369" s="185" t="str">
        <f t="shared" si="31"/>
        <v/>
      </c>
      <c r="J369" s="203" t="str">
        <f>IF($H369="USD",IF(OR($I369="",$I369="-"),"",VLOOKUP($G369,為替!$A:$AX,$I369,FALSE))+$J$3,IF(OR($I369="",$I369="-"),"",VLOOKUP($G369,為替!$A:$AX,$I369,FALSE)))</f>
        <v/>
      </c>
      <c r="K369" s="204" t="str">
        <f t="shared" si="32"/>
        <v/>
      </c>
      <c r="L369" s="188" t="str">
        <f t="shared" si="33"/>
        <v/>
      </c>
      <c r="M369" s="203" t="str">
        <f>IF($H369="USD",IF(OR($L369="",$L369="-"),"",VLOOKUP($G369,為替!$A:$AX,$L369,FALSE))+$K$3,IF(OR($L369="",$L369="-"),"",VLOOKUP($G369,為替!$A:$AX,$L369,FALSE)))</f>
        <v/>
      </c>
      <c r="N369" s="204" t="str">
        <f t="shared" si="34"/>
        <v/>
      </c>
      <c r="O369" s="205" t="str">
        <f t="shared" si="30"/>
        <v/>
      </c>
      <c r="P369" s="206" t="str">
        <f t="shared" si="35"/>
        <v/>
      </c>
    </row>
    <row r="370" spans="3:16" x14ac:dyDescent="0.4">
      <c r="C370" s="199"/>
      <c r="D370" s="200"/>
      <c r="E370" s="201"/>
      <c r="F370" s="199"/>
      <c r="H370" s="202"/>
      <c r="I370" s="185" t="str">
        <f t="shared" si="31"/>
        <v/>
      </c>
      <c r="J370" s="203" t="str">
        <f>IF($H370="USD",IF(OR($I370="",$I370="-"),"",VLOOKUP($G370,為替!$A:$AX,$I370,FALSE))+$J$3,IF(OR($I370="",$I370="-"),"",VLOOKUP($G370,為替!$A:$AX,$I370,FALSE)))</f>
        <v/>
      </c>
      <c r="K370" s="204" t="str">
        <f t="shared" si="32"/>
        <v/>
      </c>
      <c r="L370" s="188" t="str">
        <f t="shared" si="33"/>
        <v/>
      </c>
      <c r="M370" s="203" t="str">
        <f>IF($H370="USD",IF(OR($L370="",$L370="-"),"",VLOOKUP($G370,為替!$A:$AX,$L370,FALSE))+$K$3,IF(OR($L370="",$L370="-"),"",VLOOKUP($G370,為替!$A:$AX,$L370,FALSE)))</f>
        <v/>
      </c>
      <c r="N370" s="204" t="str">
        <f t="shared" si="34"/>
        <v/>
      </c>
      <c r="O370" s="205" t="str">
        <f t="shared" si="30"/>
        <v/>
      </c>
      <c r="P370" s="206" t="str">
        <f t="shared" si="35"/>
        <v/>
      </c>
    </row>
    <row r="371" spans="3:16" x14ac:dyDescent="0.4">
      <c r="C371" s="199"/>
      <c r="D371" s="200"/>
      <c r="E371" s="201"/>
      <c r="F371" s="199"/>
      <c r="H371" s="202"/>
      <c r="I371" s="185" t="str">
        <f t="shared" si="31"/>
        <v/>
      </c>
      <c r="J371" s="203" t="str">
        <f>IF($H371="USD",IF(OR($I371="",$I371="-"),"",VLOOKUP($G371,為替!$A:$AX,$I371,FALSE))+$J$3,IF(OR($I371="",$I371="-"),"",VLOOKUP($G371,為替!$A:$AX,$I371,FALSE)))</f>
        <v/>
      </c>
      <c r="K371" s="204" t="str">
        <f t="shared" si="32"/>
        <v/>
      </c>
      <c r="L371" s="188" t="str">
        <f t="shared" si="33"/>
        <v/>
      </c>
      <c r="M371" s="203" t="str">
        <f>IF($H371="USD",IF(OR($L371="",$L371="-"),"",VLOOKUP($G371,為替!$A:$AX,$L371,FALSE))+$K$3,IF(OR($L371="",$L371="-"),"",VLOOKUP($G371,為替!$A:$AX,$L371,FALSE)))</f>
        <v/>
      </c>
      <c r="N371" s="204" t="str">
        <f t="shared" si="34"/>
        <v/>
      </c>
      <c r="O371" s="205" t="str">
        <f t="shared" si="30"/>
        <v/>
      </c>
      <c r="P371" s="206" t="str">
        <f t="shared" si="35"/>
        <v/>
      </c>
    </row>
    <row r="372" spans="3:16" x14ac:dyDescent="0.4">
      <c r="C372" s="199"/>
      <c r="D372" s="200"/>
      <c r="E372" s="201"/>
      <c r="F372" s="199"/>
      <c r="H372" s="202"/>
      <c r="I372" s="185" t="str">
        <f t="shared" si="31"/>
        <v/>
      </c>
      <c r="J372" s="203" t="str">
        <f>IF($H372="USD",IF(OR($I372="",$I372="-"),"",VLOOKUP($G372,為替!$A:$AX,$I372,FALSE))+$J$3,IF(OR($I372="",$I372="-"),"",VLOOKUP($G372,為替!$A:$AX,$I372,FALSE)))</f>
        <v/>
      </c>
      <c r="K372" s="204" t="str">
        <f t="shared" si="32"/>
        <v/>
      </c>
      <c r="L372" s="188" t="str">
        <f t="shared" si="33"/>
        <v/>
      </c>
      <c r="M372" s="203" t="str">
        <f>IF($H372="USD",IF(OR($L372="",$L372="-"),"",VLOOKUP($G372,為替!$A:$AX,$L372,FALSE))+$K$3,IF(OR($L372="",$L372="-"),"",VLOOKUP($G372,為替!$A:$AX,$L372,FALSE)))</f>
        <v/>
      </c>
      <c r="N372" s="204" t="str">
        <f t="shared" si="34"/>
        <v/>
      </c>
      <c r="O372" s="205" t="str">
        <f t="shared" si="30"/>
        <v/>
      </c>
      <c r="P372" s="206" t="str">
        <f t="shared" si="35"/>
        <v/>
      </c>
    </row>
    <row r="373" spans="3:16" x14ac:dyDescent="0.4">
      <c r="C373" s="199"/>
      <c r="D373" s="200"/>
      <c r="E373" s="201"/>
      <c r="F373" s="199"/>
      <c r="H373" s="202"/>
      <c r="I373" s="185" t="str">
        <f t="shared" si="31"/>
        <v/>
      </c>
      <c r="J373" s="203" t="str">
        <f>IF($H373="USD",IF(OR($I373="",$I373="-"),"",VLOOKUP($G373,為替!$A:$AX,$I373,FALSE))+$J$3,IF(OR($I373="",$I373="-"),"",VLOOKUP($G373,為替!$A:$AX,$I373,FALSE)))</f>
        <v/>
      </c>
      <c r="K373" s="204" t="str">
        <f t="shared" si="32"/>
        <v/>
      </c>
      <c r="L373" s="188" t="str">
        <f t="shared" si="33"/>
        <v/>
      </c>
      <c r="M373" s="203" t="str">
        <f>IF($H373="USD",IF(OR($L373="",$L373="-"),"",VLOOKUP($G373,為替!$A:$AX,$L373,FALSE))+$K$3,IF(OR($L373="",$L373="-"),"",VLOOKUP($G373,為替!$A:$AX,$L373,FALSE)))</f>
        <v/>
      </c>
      <c r="N373" s="204" t="str">
        <f t="shared" si="34"/>
        <v/>
      </c>
      <c r="O373" s="205" t="str">
        <f t="shared" si="30"/>
        <v/>
      </c>
      <c r="P373" s="206" t="str">
        <f t="shared" si="35"/>
        <v/>
      </c>
    </row>
    <row r="374" spans="3:16" x14ac:dyDescent="0.4">
      <c r="C374" s="199"/>
      <c r="D374" s="200"/>
      <c r="E374" s="201"/>
      <c r="F374" s="199"/>
      <c r="H374" s="202"/>
      <c r="I374" s="185" t="str">
        <f t="shared" si="31"/>
        <v/>
      </c>
      <c r="J374" s="203" t="str">
        <f>IF($H374="USD",IF(OR($I374="",$I374="-"),"",VLOOKUP($G374,為替!$A:$AX,$I374,FALSE))+$J$3,IF(OR($I374="",$I374="-"),"",VLOOKUP($G374,為替!$A:$AX,$I374,FALSE)))</f>
        <v/>
      </c>
      <c r="K374" s="204" t="str">
        <f t="shared" si="32"/>
        <v/>
      </c>
      <c r="L374" s="188" t="str">
        <f t="shared" si="33"/>
        <v/>
      </c>
      <c r="M374" s="203" t="str">
        <f>IF($H374="USD",IF(OR($L374="",$L374="-"),"",VLOOKUP($G374,為替!$A:$AX,$L374,FALSE))+$K$3,IF(OR($L374="",$L374="-"),"",VLOOKUP($G374,為替!$A:$AX,$L374,FALSE)))</f>
        <v/>
      </c>
      <c r="N374" s="204" t="str">
        <f t="shared" si="34"/>
        <v/>
      </c>
      <c r="O374" s="205" t="str">
        <f t="shared" si="30"/>
        <v/>
      </c>
      <c r="P374" s="206" t="str">
        <f t="shared" si="35"/>
        <v/>
      </c>
    </row>
    <row r="375" spans="3:16" x14ac:dyDescent="0.4">
      <c r="C375" s="199"/>
      <c r="D375" s="200"/>
      <c r="E375" s="201"/>
      <c r="F375" s="199"/>
      <c r="H375" s="202"/>
      <c r="I375" s="185" t="str">
        <f t="shared" si="31"/>
        <v/>
      </c>
      <c r="J375" s="203" t="str">
        <f>IF($H375="USD",IF(OR($I375="",$I375="-"),"",VLOOKUP($G375,為替!$A:$AX,$I375,FALSE))+$J$3,IF(OR($I375="",$I375="-"),"",VLOOKUP($G375,為替!$A:$AX,$I375,FALSE)))</f>
        <v/>
      </c>
      <c r="K375" s="204" t="str">
        <f t="shared" si="32"/>
        <v/>
      </c>
      <c r="L375" s="188" t="str">
        <f t="shared" si="33"/>
        <v/>
      </c>
      <c r="M375" s="203" t="str">
        <f>IF($H375="USD",IF(OR($L375="",$L375="-"),"",VLOOKUP($G375,為替!$A:$AX,$L375,FALSE))+$K$3,IF(OR($L375="",$L375="-"),"",VLOOKUP($G375,為替!$A:$AX,$L375,FALSE)))</f>
        <v/>
      </c>
      <c r="N375" s="204" t="str">
        <f t="shared" si="34"/>
        <v/>
      </c>
      <c r="O375" s="205" t="str">
        <f t="shared" si="30"/>
        <v/>
      </c>
      <c r="P375" s="206" t="str">
        <f t="shared" si="35"/>
        <v/>
      </c>
    </row>
    <row r="376" spans="3:16" x14ac:dyDescent="0.4">
      <c r="C376" s="199"/>
      <c r="D376" s="200"/>
      <c r="E376" s="201"/>
      <c r="F376" s="199"/>
      <c r="H376" s="202"/>
      <c r="I376" s="185" t="str">
        <f t="shared" si="31"/>
        <v/>
      </c>
      <c r="J376" s="203" t="str">
        <f>IF($H376="USD",IF(OR($I376="",$I376="-"),"",VLOOKUP($G376,為替!$A:$AX,$I376,FALSE))+$J$3,IF(OR($I376="",$I376="-"),"",VLOOKUP($G376,為替!$A:$AX,$I376,FALSE)))</f>
        <v/>
      </c>
      <c r="K376" s="204" t="str">
        <f t="shared" si="32"/>
        <v/>
      </c>
      <c r="L376" s="188" t="str">
        <f t="shared" si="33"/>
        <v/>
      </c>
      <c r="M376" s="203" t="str">
        <f>IF($H376="USD",IF(OR($L376="",$L376="-"),"",VLOOKUP($G376,為替!$A:$AX,$L376,FALSE))+$K$3,IF(OR($L376="",$L376="-"),"",VLOOKUP($G376,為替!$A:$AX,$L376,FALSE)))</f>
        <v/>
      </c>
      <c r="N376" s="204" t="str">
        <f t="shared" si="34"/>
        <v/>
      </c>
      <c r="O376" s="205" t="str">
        <f t="shared" si="30"/>
        <v/>
      </c>
      <c r="P376" s="206" t="str">
        <f t="shared" si="35"/>
        <v/>
      </c>
    </row>
    <row r="377" spans="3:16" x14ac:dyDescent="0.4">
      <c r="C377" s="199"/>
      <c r="D377" s="200"/>
      <c r="E377" s="201"/>
      <c r="F377" s="199"/>
      <c r="H377" s="202"/>
      <c r="I377" s="185" t="str">
        <f t="shared" si="31"/>
        <v/>
      </c>
      <c r="J377" s="203" t="str">
        <f>IF($H377="USD",IF(OR($I377="",$I377="-"),"",VLOOKUP($G377,為替!$A:$AX,$I377,FALSE))+$J$3,IF(OR($I377="",$I377="-"),"",VLOOKUP($G377,為替!$A:$AX,$I377,FALSE)))</f>
        <v/>
      </c>
      <c r="K377" s="204" t="str">
        <f t="shared" si="32"/>
        <v/>
      </c>
      <c r="L377" s="188" t="str">
        <f t="shared" si="33"/>
        <v/>
      </c>
      <c r="M377" s="203" t="str">
        <f>IF($H377="USD",IF(OR($L377="",$L377="-"),"",VLOOKUP($G377,為替!$A:$AX,$L377,FALSE))+$K$3,IF(OR($L377="",$L377="-"),"",VLOOKUP($G377,為替!$A:$AX,$L377,FALSE)))</f>
        <v/>
      </c>
      <c r="N377" s="204" t="str">
        <f t="shared" si="34"/>
        <v/>
      </c>
      <c r="O377" s="205" t="str">
        <f t="shared" si="30"/>
        <v/>
      </c>
      <c r="P377" s="206" t="str">
        <f t="shared" si="35"/>
        <v/>
      </c>
    </row>
    <row r="378" spans="3:16" x14ac:dyDescent="0.4">
      <c r="C378" s="199"/>
      <c r="D378" s="200"/>
      <c r="E378" s="201"/>
      <c r="F378" s="199"/>
      <c r="H378" s="202"/>
      <c r="I378" s="185" t="str">
        <f t="shared" si="31"/>
        <v/>
      </c>
      <c r="J378" s="203" t="str">
        <f>IF($H378="USD",IF(OR($I378="",$I378="-"),"",VLOOKUP($G378,為替!$A:$AX,$I378,FALSE))+$J$3,IF(OR($I378="",$I378="-"),"",VLOOKUP($G378,為替!$A:$AX,$I378,FALSE)))</f>
        <v/>
      </c>
      <c r="K378" s="204" t="str">
        <f t="shared" si="32"/>
        <v/>
      </c>
      <c r="L378" s="188" t="str">
        <f t="shared" si="33"/>
        <v/>
      </c>
      <c r="M378" s="203" t="str">
        <f>IF($H378="USD",IF(OR($L378="",$L378="-"),"",VLOOKUP($G378,為替!$A:$AX,$L378,FALSE))+$K$3,IF(OR($L378="",$L378="-"),"",VLOOKUP($G378,為替!$A:$AX,$L378,FALSE)))</f>
        <v/>
      </c>
      <c r="N378" s="204" t="str">
        <f t="shared" si="34"/>
        <v/>
      </c>
      <c r="O378" s="205" t="str">
        <f t="shared" si="30"/>
        <v/>
      </c>
      <c r="P378" s="206" t="str">
        <f t="shared" si="35"/>
        <v/>
      </c>
    </row>
    <row r="379" spans="3:16" x14ac:dyDescent="0.4">
      <c r="C379" s="199"/>
      <c r="D379" s="200"/>
      <c r="E379" s="201"/>
      <c r="F379" s="199"/>
      <c r="H379" s="202"/>
      <c r="I379" s="185" t="str">
        <f t="shared" si="31"/>
        <v/>
      </c>
      <c r="J379" s="203" t="str">
        <f>IF($H379="USD",IF(OR($I379="",$I379="-"),"",VLOOKUP($G379,為替!$A:$AX,$I379,FALSE))+$J$3,IF(OR($I379="",$I379="-"),"",VLOOKUP($G379,為替!$A:$AX,$I379,FALSE)))</f>
        <v/>
      </c>
      <c r="K379" s="204" t="str">
        <f t="shared" si="32"/>
        <v/>
      </c>
      <c r="L379" s="188" t="str">
        <f t="shared" si="33"/>
        <v/>
      </c>
      <c r="M379" s="203" t="str">
        <f>IF($H379="USD",IF(OR($L379="",$L379="-"),"",VLOOKUP($G379,為替!$A:$AX,$L379,FALSE))+$K$3,IF(OR($L379="",$L379="-"),"",VLOOKUP($G379,為替!$A:$AX,$L379,FALSE)))</f>
        <v/>
      </c>
      <c r="N379" s="204" t="str">
        <f t="shared" si="34"/>
        <v/>
      </c>
      <c r="O379" s="205" t="str">
        <f t="shared" si="30"/>
        <v/>
      </c>
      <c r="P379" s="206" t="str">
        <f t="shared" si="35"/>
        <v/>
      </c>
    </row>
    <row r="380" spans="3:16" x14ac:dyDescent="0.4">
      <c r="C380" s="199"/>
      <c r="D380" s="200"/>
      <c r="E380" s="201"/>
      <c r="F380" s="199"/>
      <c r="H380" s="202"/>
      <c r="I380" s="185" t="str">
        <f t="shared" si="31"/>
        <v/>
      </c>
      <c r="J380" s="203" t="str">
        <f>IF($H380="USD",IF(OR($I380="",$I380="-"),"",VLOOKUP($G380,為替!$A:$AX,$I380,FALSE))+$J$3,IF(OR($I380="",$I380="-"),"",VLOOKUP($G380,為替!$A:$AX,$I380,FALSE)))</f>
        <v/>
      </c>
      <c r="K380" s="204" t="str">
        <f t="shared" si="32"/>
        <v/>
      </c>
      <c r="L380" s="188" t="str">
        <f t="shared" si="33"/>
        <v/>
      </c>
      <c r="M380" s="203" t="str">
        <f>IF($H380="USD",IF(OR($L380="",$L380="-"),"",VLOOKUP($G380,為替!$A:$AX,$L380,FALSE))+$K$3,IF(OR($L380="",$L380="-"),"",VLOOKUP($G380,為替!$A:$AX,$L380,FALSE)))</f>
        <v/>
      </c>
      <c r="N380" s="204" t="str">
        <f t="shared" si="34"/>
        <v/>
      </c>
      <c r="O380" s="205" t="str">
        <f t="shared" si="30"/>
        <v/>
      </c>
      <c r="P380" s="206" t="str">
        <f t="shared" si="35"/>
        <v/>
      </c>
    </row>
    <row r="381" spans="3:16" x14ac:dyDescent="0.4">
      <c r="C381" s="199"/>
      <c r="D381" s="200"/>
      <c r="E381" s="201"/>
      <c r="F381" s="199"/>
      <c r="H381" s="202"/>
      <c r="I381" s="185" t="str">
        <f t="shared" si="31"/>
        <v/>
      </c>
      <c r="J381" s="203" t="str">
        <f>IF($H381="USD",IF(OR($I381="",$I381="-"),"",VLOOKUP($G381,為替!$A:$AX,$I381,FALSE))+$J$3,IF(OR($I381="",$I381="-"),"",VLOOKUP($G381,為替!$A:$AX,$I381,FALSE)))</f>
        <v/>
      </c>
      <c r="K381" s="204" t="str">
        <f t="shared" si="32"/>
        <v/>
      </c>
      <c r="L381" s="188" t="str">
        <f t="shared" si="33"/>
        <v/>
      </c>
      <c r="M381" s="203" t="str">
        <f>IF($H381="USD",IF(OR($L381="",$L381="-"),"",VLOOKUP($G381,為替!$A:$AX,$L381,FALSE))+$K$3,IF(OR($L381="",$L381="-"),"",VLOOKUP($G381,為替!$A:$AX,$L381,FALSE)))</f>
        <v/>
      </c>
      <c r="N381" s="204" t="str">
        <f t="shared" si="34"/>
        <v/>
      </c>
      <c r="O381" s="205" t="str">
        <f t="shared" si="30"/>
        <v/>
      </c>
      <c r="P381" s="206" t="str">
        <f t="shared" si="35"/>
        <v/>
      </c>
    </row>
    <row r="382" spans="3:16" x14ac:dyDescent="0.4">
      <c r="C382" s="199"/>
      <c r="D382" s="200"/>
      <c r="E382" s="201"/>
      <c r="F382" s="199"/>
      <c r="H382" s="202"/>
      <c r="I382" s="185" t="str">
        <f t="shared" si="31"/>
        <v/>
      </c>
      <c r="J382" s="203" t="str">
        <f>IF($H382="USD",IF(OR($I382="",$I382="-"),"",VLOOKUP($G382,為替!$A:$AX,$I382,FALSE))+$J$3,IF(OR($I382="",$I382="-"),"",VLOOKUP($G382,為替!$A:$AX,$I382,FALSE)))</f>
        <v/>
      </c>
      <c r="K382" s="204" t="str">
        <f t="shared" si="32"/>
        <v/>
      </c>
      <c r="L382" s="188" t="str">
        <f t="shared" si="33"/>
        <v/>
      </c>
      <c r="M382" s="203" t="str">
        <f>IF($H382="USD",IF(OR($L382="",$L382="-"),"",VLOOKUP($G382,為替!$A:$AX,$L382,FALSE))+$K$3,IF(OR($L382="",$L382="-"),"",VLOOKUP($G382,為替!$A:$AX,$L382,FALSE)))</f>
        <v/>
      </c>
      <c r="N382" s="204" t="str">
        <f t="shared" si="34"/>
        <v/>
      </c>
      <c r="O382" s="205" t="str">
        <f t="shared" si="30"/>
        <v/>
      </c>
      <c r="P382" s="206" t="str">
        <f t="shared" si="35"/>
        <v/>
      </c>
    </row>
    <row r="383" spans="3:16" x14ac:dyDescent="0.4">
      <c r="C383" s="199"/>
      <c r="D383" s="200"/>
      <c r="E383" s="201"/>
      <c r="F383" s="199"/>
      <c r="H383" s="202"/>
      <c r="I383" s="185" t="str">
        <f t="shared" si="31"/>
        <v/>
      </c>
      <c r="J383" s="203" t="str">
        <f>IF($H383="USD",IF(OR($I383="",$I383="-"),"",VLOOKUP($G383,為替!$A:$AX,$I383,FALSE))+$J$3,IF(OR($I383="",$I383="-"),"",VLOOKUP($G383,為替!$A:$AX,$I383,FALSE)))</f>
        <v/>
      </c>
      <c r="K383" s="204" t="str">
        <f t="shared" si="32"/>
        <v/>
      </c>
      <c r="L383" s="188" t="str">
        <f t="shared" si="33"/>
        <v/>
      </c>
      <c r="M383" s="203" t="str">
        <f>IF($H383="USD",IF(OR($L383="",$L383="-"),"",VLOOKUP($G383,為替!$A:$AX,$L383,FALSE))+$K$3,IF(OR($L383="",$L383="-"),"",VLOOKUP($G383,為替!$A:$AX,$L383,FALSE)))</f>
        <v/>
      </c>
      <c r="N383" s="204" t="str">
        <f t="shared" si="34"/>
        <v/>
      </c>
      <c r="O383" s="205" t="str">
        <f t="shared" si="30"/>
        <v/>
      </c>
      <c r="P383" s="206" t="str">
        <f t="shared" si="35"/>
        <v/>
      </c>
    </row>
    <row r="384" spans="3:16" x14ac:dyDescent="0.4">
      <c r="C384" s="199"/>
      <c r="D384" s="200"/>
      <c r="E384" s="201"/>
      <c r="F384" s="199"/>
      <c r="H384" s="202"/>
      <c r="I384" s="185" t="str">
        <f t="shared" si="31"/>
        <v/>
      </c>
      <c r="J384" s="203" t="str">
        <f>IF($H384="USD",IF(OR($I384="",$I384="-"),"",VLOOKUP($G384,為替!$A:$AX,$I384,FALSE))+$J$3,IF(OR($I384="",$I384="-"),"",VLOOKUP($G384,為替!$A:$AX,$I384,FALSE)))</f>
        <v/>
      </c>
      <c r="K384" s="204" t="str">
        <f t="shared" si="32"/>
        <v/>
      </c>
      <c r="L384" s="188" t="str">
        <f t="shared" si="33"/>
        <v/>
      </c>
      <c r="M384" s="203" t="str">
        <f>IF($H384="USD",IF(OR($L384="",$L384="-"),"",VLOOKUP($G384,為替!$A:$AX,$L384,FALSE))+$K$3,IF(OR($L384="",$L384="-"),"",VLOOKUP($G384,為替!$A:$AX,$L384,FALSE)))</f>
        <v/>
      </c>
      <c r="N384" s="204" t="str">
        <f t="shared" si="34"/>
        <v/>
      </c>
      <c r="O384" s="205" t="str">
        <f t="shared" si="30"/>
        <v/>
      </c>
      <c r="P384" s="206" t="str">
        <f t="shared" si="35"/>
        <v/>
      </c>
    </row>
    <row r="385" spans="3:16" x14ac:dyDescent="0.4">
      <c r="C385" s="199"/>
      <c r="D385" s="200"/>
      <c r="E385" s="201"/>
      <c r="F385" s="199"/>
      <c r="H385" s="202"/>
      <c r="I385" s="185" t="str">
        <f t="shared" si="31"/>
        <v/>
      </c>
      <c r="J385" s="203" t="str">
        <f>IF($H385="USD",IF(OR($I385="",$I385="-"),"",VLOOKUP($G385,為替!$A:$AX,$I385,FALSE))+$J$3,IF(OR($I385="",$I385="-"),"",VLOOKUP($G385,為替!$A:$AX,$I385,FALSE)))</f>
        <v/>
      </c>
      <c r="K385" s="204" t="str">
        <f t="shared" si="32"/>
        <v/>
      </c>
      <c r="L385" s="188" t="str">
        <f t="shared" si="33"/>
        <v/>
      </c>
      <c r="M385" s="203" t="str">
        <f>IF($H385="USD",IF(OR($L385="",$L385="-"),"",VLOOKUP($G385,為替!$A:$AX,$L385,FALSE))+$K$3,IF(OR($L385="",$L385="-"),"",VLOOKUP($G385,為替!$A:$AX,$L385,FALSE)))</f>
        <v/>
      </c>
      <c r="N385" s="204" t="str">
        <f t="shared" si="34"/>
        <v/>
      </c>
      <c r="O385" s="205" t="str">
        <f t="shared" si="30"/>
        <v/>
      </c>
      <c r="P385" s="206" t="str">
        <f t="shared" si="35"/>
        <v/>
      </c>
    </row>
    <row r="386" spans="3:16" x14ac:dyDescent="0.4">
      <c r="C386" s="199"/>
      <c r="D386" s="200"/>
      <c r="E386" s="201"/>
      <c r="F386" s="199"/>
      <c r="H386" s="202"/>
      <c r="I386" s="185" t="str">
        <f t="shared" si="31"/>
        <v/>
      </c>
      <c r="J386" s="203" t="str">
        <f>IF($H386="USD",IF(OR($I386="",$I386="-"),"",VLOOKUP($G386,為替!$A:$AX,$I386,FALSE))+$J$3,IF(OR($I386="",$I386="-"),"",VLOOKUP($G386,為替!$A:$AX,$I386,FALSE)))</f>
        <v/>
      </c>
      <c r="K386" s="204" t="str">
        <f t="shared" si="32"/>
        <v/>
      </c>
      <c r="L386" s="188" t="str">
        <f t="shared" si="33"/>
        <v/>
      </c>
      <c r="M386" s="203" t="str">
        <f>IF($H386="USD",IF(OR($L386="",$L386="-"),"",VLOOKUP($G386,為替!$A:$AX,$L386,FALSE))+$K$3,IF(OR($L386="",$L386="-"),"",VLOOKUP($G386,為替!$A:$AX,$L386,FALSE)))</f>
        <v/>
      </c>
      <c r="N386" s="204" t="str">
        <f t="shared" si="34"/>
        <v/>
      </c>
      <c r="O386" s="205" t="str">
        <f t="shared" si="30"/>
        <v/>
      </c>
      <c r="P386" s="206" t="str">
        <f t="shared" si="35"/>
        <v/>
      </c>
    </row>
    <row r="387" spans="3:16" x14ac:dyDescent="0.4">
      <c r="C387" s="199"/>
      <c r="D387" s="200"/>
      <c r="E387" s="201"/>
      <c r="F387" s="199"/>
      <c r="H387" s="202"/>
      <c r="I387" s="185" t="str">
        <f t="shared" si="31"/>
        <v/>
      </c>
      <c r="J387" s="203" t="str">
        <f>IF($H387="USD",IF(OR($I387="",$I387="-"),"",VLOOKUP($G387,為替!$A:$AX,$I387,FALSE))+$J$3,IF(OR($I387="",$I387="-"),"",VLOOKUP($G387,為替!$A:$AX,$I387,FALSE)))</f>
        <v/>
      </c>
      <c r="K387" s="204" t="str">
        <f t="shared" si="32"/>
        <v/>
      </c>
      <c r="L387" s="188" t="str">
        <f t="shared" si="33"/>
        <v/>
      </c>
      <c r="M387" s="203" t="str">
        <f>IF($H387="USD",IF(OR($L387="",$L387="-"),"",VLOOKUP($G387,為替!$A:$AX,$L387,FALSE))+$K$3,IF(OR($L387="",$L387="-"),"",VLOOKUP($G387,為替!$A:$AX,$L387,FALSE)))</f>
        <v/>
      </c>
      <c r="N387" s="204" t="str">
        <f t="shared" si="34"/>
        <v/>
      </c>
      <c r="O387" s="205" t="str">
        <f t="shared" si="30"/>
        <v/>
      </c>
      <c r="P387" s="206" t="str">
        <f t="shared" si="35"/>
        <v/>
      </c>
    </row>
    <row r="388" spans="3:16" x14ac:dyDescent="0.4">
      <c r="C388" s="199"/>
      <c r="D388" s="200"/>
      <c r="E388" s="201"/>
      <c r="F388" s="199"/>
      <c r="H388" s="202"/>
      <c r="I388" s="185" t="str">
        <f t="shared" si="31"/>
        <v/>
      </c>
      <c r="J388" s="203" t="str">
        <f>IF($H388="USD",IF(OR($I388="",$I388="-"),"",VLOOKUP($G388,為替!$A:$AX,$I388,FALSE))+$J$3,IF(OR($I388="",$I388="-"),"",VLOOKUP($G388,為替!$A:$AX,$I388,FALSE)))</f>
        <v/>
      </c>
      <c r="K388" s="204" t="str">
        <f t="shared" si="32"/>
        <v/>
      </c>
      <c r="L388" s="188" t="str">
        <f t="shared" si="33"/>
        <v/>
      </c>
      <c r="M388" s="203" t="str">
        <f>IF($H388="USD",IF(OR($L388="",$L388="-"),"",VLOOKUP($G388,為替!$A:$AX,$L388,FALSE))+$K$3,IF(OR($L388="",$L388="-"),"",VLOOKUP($G388,為替!$A:$AX,$L388,FALSE)))</f>
        <v/>
      </c>
      <c r="N388" s="204" t="str">
        <f t="shared" si="34"/>
        <v/>
      </c>
      <c r="O388" s="205" t="str">
        <f t="shared" si="30"/>
        <v/>
      </c>
      <c r="P388" s="206" t="str">
        <f t="shared" si="35"/>
        <v/>
      </c>
    </row>
    <row r="389" spans="3:16" x14ac:dyDescent="0.4">
      <c r="C389" s="199"/>
      <c r="D389" s="200"/>
      <c r="E389" s="201"/>
      <c r="F389" s="199"/>
      <c r="H389" s="202"/>
      <c r="I389" s="185" t="str">
        <f t="shared" si="31"/>
        <v/>
      </c>
      <c r="J389" s="203" t="str">
        <f>IF($H389="USD",IF(OR($I389="",$I389="-"),"",VLOOKUP($G389,為替!$A:$AX,$I389,FALSE))+$J$3,IF(OR($I389="",$I389="-"),"",VLOOKUP($G389,為替!$A:$AX,$I389,FALSE)))</f>
        <v/>
      </c>
      <c r="K389" s="204" t="str">
        <f t="shared" si="32"/>
        <v/>
      </c>
      <c r="L389" s="188" t="str">
        <f t="shared" si="33"/>
        <v/>
      </c>
      <c r="M389" s="203" t="str">
        <f>IF($H389="USD",IF(OR($L389="",$L389="-"),"",VLOOKUP($G389,為替!$A:$AX,$L389,FALSE))+$K$3,IF(OR($L389="",$L389="-"),"",VLOOKUP($G389,為替!$A:$AX,$L389,FALSE)))</f>
        <v/>
      </c>
      <c r="N389" s="204" t="str">
        <f t="shared" si="34"/>
        <v/>
      </c>
      <c r="O389" s="205" t="str">
        <f t="shared" si="30"/>
        <v/>
      </c>
      <c r="P389" s="206" t="str">
        <f t="shared" si="35"/>
        <v/>
      </c>
    </row>
    <row r="390" spans="3:16" x14ac:dyDescent="0.4">
      <c r="C390" s="199"/>
      <c r="D390" s="200"/>
      <c r="E390" s="201"/>
      <c r="F390" s="199"/>
      <c r="H390" s="202"/>
      <c r="I390" s="185" t="str">
        <f t="shared" si="31"/>
        <v/>
      </c>
      <c r="J390" s="203" t="str">
        <f>IF($H390="USD",IF(OR($I390="",$I390="-"),"",VLOOKUP($G390,為替!$A:$AX,$I390,FALSE))+$J$3,IF(OR($I390="",$I390="-"),"",VLOOKUP($G390,為替!$A:$AX,$I390,FALSE)))</f>
        <v/>
      </c>
      <c r="K390" s="204" t="str">
        <f t="shared" si="32"/>
        <v/>
      </c>
      <c r="L390" s="188" t="str">
        <f t="shared" si="33"/>
        <v/>
      </c>
      <c r="M390" s="203" t="str">
        <f>IF($H390="USD",IF(OR($L390="",$L390="-"),"",VLOOKUP($G390,為替!$A:$AX,$L390,FALSE))+$K$3,IF(OR($L390="",$L390="-"),"",VLOOKUP($G390,為替!$A:$AX,$L390,FALSE)))</f>
        <v/>
      </c>
      <c r="N390" s="204" t="str">
        <f t="shared" si="34"/>
        <v/>
      </c>
      <c r="O390" s="205" t="str">
        <f t="shared" ref="O390:O400" si="36">IF(OR(K390="",N390=""),"",K390-N390)</f>
        <v/>
      </c>
      <c r="P390" s="206" t="str">
        <f t="shared" si="35"/>
        <v/>
      </c>
    </row>
    <row r="391" spans="3:16" x14ac:dyDescent="0.4">
      <c r="C391" s="199"/>
      <c r="D391" s="200"/>
      <c r="E391" s="201"/>
      <c r="F391" s="199"/>
      <c r="H391" s="202"/>
      <c r="I391" s="185" t="str">
        <f t="shared" ref="I391:I400" si="37">IF(H391="","",IF(H391="JPY","",IF($H391="USD",4, IF(H391="EUR",7,IF(H391="CNY",47,IF(H391="HKD",34))))))</f>
        <v/>
      </c>
      <c r="J391" s="203" t="str">
        <f>IF($H391="USD",IF(OR($I391="",$I391="-"),"",VLOOKUP($G391,為替!$A:$AX,$I391,FALSE))+$J$3,IF(OR($I391="",$I391="-"),"",VLOOKUP($G391,為替!$A:$AX,$I391,FALSE)))</f>
        <v/>
      </c>
      <c r="K391" s="204" t="str">
        <f t="shared" ref="K391:K400" si="38">IF($H391="JPY",$F391,IF($H391="","",$F391*$J391))</f>
        <v/>
      </c>
      <c r="L391" s="188" t="str">
        <f t="shared" ref="L391:L400" si="39">IF(H391="","",IF(H391="JPY","",IF($H391="USD",3, IF(H391="EUR",6,IF(H391="CNY",46,IF(H391="HKD",33))))))</f>
        <v/>
      </c>
      <c r="M391" s="203" t="str">
        <f>IF($H391="USD",IF(OR($L391="",$L391="-"),"",VLOOKUP($G391,為替!$A:$AX,$L391,FALSE))+$K$3,IF(OR($L391="",$L391="-"),"",VLOOKUP($G391,為替!$A:$AX,$L391,FALSE)))</f>
        <v/>
      </c>
      <c r="N391" s="204" t="str">
        <f t="shared" ref="N391:N400" si="40">IF($E391="JPY",($C391+$D391),IF($E391="","",($C391+$D391)*$M391))</f>
        <v/>
      </c>
      <c r="O391" s="205" t="str">
        <f t="shared" si="36"/>
        <v/>
      </c>
      <c r="P391" s="206" t="str">
        <f t="shared" ref="P391:P400" si="41">IF(OR(K391="",O391=""),"",O391/K391)</f>
        <v/>
      </c>
    </row>
    <row r="392" spans="3:16" x14ac:dyDescent="0.4">
      <c r="C392" s="199"/>
      <c r="D392" s="200"/>
      <c r="E392" s="201"/>
      <c r="F392" s="199"/>
      <c r="H392" s="202"/>
      <c r="I392" s="185" t="str">
        <f t="shared" si="37"/>
        <v/>
      </c>
      <c r="J392" s="203" t="str">
        <f>IF($H392="USD",IF(OR($I392="",$I392="-"),"",VLOOKUP($G392,為替!$A:$AX,$I392,FALSE))+$J$3,IF(OR($I392="",$I392="-"),"",VLOOKUP($G392,為替!$A:$AX,$I392,FALSE)))</f>
        <v/>
      </c>
      <c r="K392" s="204" t="str">
        <f t="shared" si="38"/>
        <v/>
      </c>
      <c r="L392" s="188" t="str">
        <f t="shared" si="39"/>
        <v/>
      </c>
      <c r="M392" s="203" t="str">
        <f>IF($H392="USD",IF(OR($L392="",$L392="-"),"",VLOOKUP($G392,為替!$A:$AX,$L392,FALSE))+$K$3,IF(OR($L392="",$L392="-"),"",VLOOKUP($G392,為替!$A:$AX,$L392,FALSE)))</f>
        <v/>
      </c>
      <c r="N392" s="204" t="str">
        <f t="shared" si="40"/>
        <v/>
      </c>
      <c r="O392" s="205" t="str">
        <f t="shared" si="36"/>
        <v/>
      </c>
      <c r="P392" s="206" t="str">
        <f t="shared" si="41"/>
        <v/>
      </c>
    </row>
    <row r="393" spans="3:16" x14ac:dyDescent="0.4">
      <c r="C393" s="199"/>
      <c r="D393" s="200"/>
      <c r="E393" s="201"/>
      <c r="F393" s="199"/>
      <c r="H393" s="202"/>
      <c r="I393" s="185" t="str">
        <f t="shared" si="37"/>
        <v/>
      </c>
      <c r="J393" s="203" t="str">
        <f>IF($H393="USD",IF(OR($I393="",$I393="-"),"",VLOOKUP($G393,為替!$A:$AX,$I393,FALSE))+$J$3,IF(OR($I393="",$I393="-"),"",VLOOKUP($G393,為替!$A:$AX,$I393,FALSE)))</f>
        <v/>
      </c>
      <c r="K393" s="204" t="str">
        <f t="shared" si="38"/>
        <v/>
      </c>
      <c r="L393" s="188" t="str">
        <f t="shared" si="39"/>
        <v/>
      </c>
      <c r="M393" s="203" t="str">
        <f>IF($H393="USD",IF(OR($L393="",$L393="-"),"",VLOOKUP($G393,為替!$A:$AX,$L393,FALSE))+$K$3,IF(OR($L393="",$L393="-"),"",VLOOKUP($G393,為替!$A:$AX,$L393,FALSE)))</f>
        <v/>
      </c>
      <c r="N393" s="204" t="str">
        <f t="shared" si="40"/>
        <v/>
      </c>
      <c r="O393" s="205" t="str">
        <f t="shared" si="36"/>
        <v/>
      </c>
      <c r="P393" s="206" t="str">
        <f t="shared" si="41"/>
        <v/>
      </c>
    </row>
    <row r="394" spans="3:16" x14ac:dyDescent="0.4">
      <c r="C394" s="199"/>
      <c r="D394" s="200"/>
      <c r="E394" s="201"/>
      <c r="F394" s="199"/>
      <c r="H394" s="202"/>
      <c r="I394" s="185" t="str">
        <f t="shared" si="37"/>
        <v/>
      </c>
      <c r="J394" s="203" t="str">
        <f>IF($H394="USD",IF(OR($I394="",$I394="-"),"",VLOOKUP($G394,為替!$A:$AX,$I394,FALSE))+$J$3,IF(OR($I394="",$I394="-"),"",VLOOKUP($G394,為替!$A:$AX,$I394,FALSE)))</f>
        <v/>
      </c>
      <c r="K394" s="204" t="str">
        <f t="shared" si="38"/>
        <v/>
      </c>
      <c r="L394" s="188" t="str">
        <f t="shared" si="39"/>
        <v/>
      </c>
      <c r="M394" s="203" t="str">
        <f>IF($H394="USD",IF(OR($L394="",$L394="-"),"",VLOOKUP($G394,為替!$A:$AX,$L394,FALSE))+$K$3,IF(OR($L394="",$L394="-"),"",VLOOKUP($G394,為替!$A:$AX,$L394,FALSE)))</f>
        <v/>
      </c>
      <c r="N394" s="204" t="str">
        <f t="shared" si="40"/>
        <v/>
      </c>
      <c r="O394" s="205" t="str">
        <f t="shared" si="36"/>
        <v/>
      </c>
      <c r="P394" s="206" t="str">
        <f t="shared" si="41"/>
        <v/>
      </c>
    </row>
    <row r="395" spans="3:16" x14ac:dyDescent="0.4">
      <c r="C395" s="199"/>
      <c r="D395" s="200"/>
      <c r="E395" s="201"/>
      <c r="F395" s="199"/>
      <c r="H395" s="202"/>
      <c r="I395" s="185" t="str">
        <f t="shared" si="37"/>
        <v/>
      </c>
      <c r="J395" s="203" t="str">
        <f>IF($H395="USD",IF(OR($I395="",$I395="-"),"",VLOOKUP($G395,為替!$A:$AX,$I395,FALSE))+$J$3,IF(OR($I395="",$I395="-"),"",VLOOKUP($G395,為替!$A:$AX,$I395,FALSE)))</f>
        <v/>
      </c>
      <c r="K395" s="204" t="str">
        <f t="shared" si="38"/>
        <v/>
      </c>
      <c r="L395" s="188" t="str">
        <f t="shared" si="39"/>
        <v/>
      </c>
      <c r="M395" s="203" t="str">
        <f>IF($H395="USD",IF(OR($L395="",$L395="-"),"",VLOOKUP($G395,為替!$A:$AX,$L395,FALSE))+$K$3,IF(OR($L395="",$L395="-"),"",VLOOKUP($G395,為替!$A:$AX,$L395,FALSE)))</f>
        <v/>
      </c>
      <c r="N395" s="204" t="str">
        <f t="shared" si="40"/>
        <v/>
      </c>
      <c r="O395" s="205" t="str">
        <f t="shared" si="36"/>
        <v/>
      </c>
      <c r="P395" s="206" t="str">
        <f t="shared" si="41"/>
        <v/>
      </c>
    </row>
    <row r="396" spans="3:16" x14ac:dyDescent="0.4">
      <c r="C396" s="199"/>
      <c r="D396" s="200"/>
      <c r="E396" s="201"/>
      <c r="F396" s="199"/>
      <c r="H396" s="202"/>
      <c r="I396" s="185" t="str">
        <f t="shared" si="37"/>
        <v/>
      </c>
      <c r="J396" s="203" t="str">
        <f>IF($H396="USD",IF(OR($I396="",$I396="-"),"",VLOOKUP($G396,為替!$A:$AX,$I396,FALSE))+$J$3,IF(OR($I396="",$I396="-"),"",VLOOKUP($G396,為替!$A:$AX,$I396,FALSE)))</f>
        <v/>
      </c>
      <c r="K396" s="204" t="str">
        <f t="shared" si="38"/>
        <v/>
      </c>
      <c r="L396" s="188" t="str">
        <f t="shared" si="39"/>
        <v/>
      </c>
      <c r="M396" s="203" t="str">
        <f>IF($H396="USD",IF(OR($L396="",$L396="-"),"",VLOOKUP($G396,為替!$A:$AX,$L396,FALSE))+$K$3,IF(OR($L396="",$L396="-"),"",VLOOKUP($G396,為替!$A:$AX,$L396,FALSE)))</f>
        <v/>
      </c>
      <c r="N396" s="204" t="str">
        <f t="shared" si="40"/>
        <v/>
      </c>
      <c r="O396" s="205" t="str">
        <f t="shared" si="36"/>
        <v/>
      </c>
      <c r="P396" s="206" t="str">
        <f t="shared" si="41"/>
        <v/>
      </c>
    </row>
    <row r="397" spans="3:16" x14ac:dyDescent="0.4">
      <c r="C397" s="199"/>
      <c r="D397" s="200"/>
      <c r="E397" s="201"/>
      <c r="F397" s="199"/>
      <c r="H397" s="202"/>
      <c r="I397" s="185" t="str">
        <f t="shared" si="37"/>
        <v/>
      </c>
      <c r="J397" s="203" t="str">
        <f>IF($H397="USD",IF(OR($I397="",$I397="-"),"",VLOOKUP($G397,為替!$A:$AX,$I397,FALSE))+$J$3,IF(OR($I397="",$I397="-"),"",VLOOKUP($G397,為替!$A:$AX,$I397,FALSE)))</f>
        <v/>
      </c>
      <c r="K397" s="204" t="str">
        <f t="shared" si="38"/>
        <v/>
      </c>
      <c r="L397" s="188" t="str">
        <f t="shared" si="39"/>
        <v/>
      </c>
      <c r="M397" s="203" t="str">
        <f>IF($H397="USD",IF(OR($L397="",$L397="-"),"",VLOOKUP($G397,為替!$A:$AX,$L397,FALSE))+$K$3,IF(OR($L397="",$L397="-"),"",VLOOKUP($G397,為替!$A:$AX,$L397,FALSE)))</f>
        <v/>
      </c>
      <c r="N397" s="204" t="str">
        <f t="shared" si="40"/>
        <v/>
      </c>
      <c r="O397" s="205" t="str">
        <f t="shared" si="36"/>
        <v/>
      </c>
      <c r="P397" s="206" t="str">
        <f t="shared" si="41"/>
        <v/>
      </c>
    </row>
    <row r="398" spans="3:16" x14ac:dyDescent="0.4">
      <c r="C398" s="199"/>
      <c r="D398" s="200"/>
      <c r="E398" s="201"/>
      <c r="F398" s="199"/>
      <c r="H398" s="202"/>
      <c r="I398" s="185" t="str">
        <f t="shared" si="37"/>
        <v/>
      </c>
      <c r="J398" s="203" t="str">
        <f>IF($H398="USD",IF(OR($I398="",$I398="-"),"",VLOOKUP($G398,為替!$A:$AX,$I398,FALSE))+$J$3,IF(OR($I398="",$I398="-"),"",VLOOKUP($G398,為替!$A:$AX,$I398,FALSE)))</f>
        <v/>
      </c>
      <c r="K398" s="204" t="str">
        <f t="shared" si="38"/>
        <v/>
      </c>
      <c r="L398" s="188" t="str">
        <f t="shared" si="39"/>
        <v/>
      </c>
      <c r="M398" s="203" t="str">
        <f>IF($H398="USD",IF(OR($L398="",$L398="-"),"",VLOOKUP($G398,為替!$A:$AX,$L398,FALSE))+$K$3,IF(OR($L398="",$L398="-"),"",VLOOKUP($G398,為替!$A:$AX,$L398,FALSE)))</f>
        <v/>
      </c>
      <c r="N398" s="204" t="str">
        <f t="shared" si="40"/>
        <v/>
      </c>
      <c r="O398" s="205" t="str">
        <f t="shared" si="36"/>
        <v/>
      </c>
      <c r="P398" s="206" t="str">
        <f t="shared" si="41"/>
        <v/>
      </c>
    </row>
    <row r="399" spans="3:16" x14ac:dyDescent="0.4">
      <c r="C399" s="199"/>
      <c r="D399" s="200"/>
      <c r="E399" s="201"/>
      <c r="F399" s="199"/>
      <c r="H399" s="202"/>
      <c r="I399" s="185" t="str">
        <f t="shared" si="37"/>
        <v/>
      </c>
      <c r="J399" s="203" t="str">
        <f>IF($H399="USD",IF(OR($I399="",$I399="-"),"",VLOOKUP($G399,為替!$A:$AX,$I399,FALSE))+$J$3,IF(OR($I399="",$I399="-"),"",VLOOKUP($G399,為替!$A:$AX,$I399,FALSE)))</f>
        <v/>
      </c>
      <c r="K399" s="204" t="str">
        <f t="shared" si="38"/>
        <v/>
      </c>
      <c r="L399" s="188" t="str">
        <f t="shared" si="39"/>
        <v/>
      </c>
      <c r="M399" s="203" t="str">
        <f>IF($H399="USD",IF(OR($L399="",$L399="-"),"",VLOOKUP($G399,為替!$A:$AX,$L399,FALSE))+$K$3,IF(OR($L399="",$L399="-"),"",VLOOKUP($G399,為替!$A:$AX,$L399,FALSE)))</f>
        <v/>
      </c>
      <c r="N399" s="204" t="str">
        <f t="shared" si="40"/>
        <v/>
      </c>
      <c r="O399" s="205" t="str">
        <f t="shared" si="36"/>
        <v/>
      </c>
      <c r="P399" s="206" t="str">
        <f t="shared" si="41"/>
        <v/>
      </c>
    </row>
    <row r="400" spans="3:16" x14ac:dyDescent="0.4">
      <c r="C400" s="199"/>
      <c r="D400" s="200"/>
      <c r="E400" s="201"/>
      <c r="F400" s="199"/>
      <c r="H400" s="202"/>
      <c r="I400" s="185" t="str">
        <f t="shared" si="37"/>
        <v/>
      </c>
      <c r="J400" s="203" t="str">
        <f>IF($H400="USD",IF(OR($I400="",$I400="-"),"",VLOOKUP($G400,為替!$A:$AX,$I400,FALSE))+$J$3,IF(OR($I400="",$I400="-"),"",VLOOKUP($G400,為替!$A:$AX,$I400,FALSE)))</f>
        <v/>
      </c>
      <c r="K400" s="204" t="str">
        <f t="shared" si="38"/>
        <v/>
      </c>
      <c r="L400" s="188" t="str">
        <f t="shared" si="39"/>
        <v/>
      </c>
      <c r="M400" s="203" t="str">
        <f>IF($H400="USD",IF(OR($L400="",$L400="-"),"",VLOOKUP($G400,為替!$A:$AX,$L400,FALSE))+$K$3,IF(OR($L400="",$L400="-"),"",VLOOKUP($G400,為替!$A:$AX,$L400,FALSE)))</f>
        <v/>
      </c>
      <c r="N400" s="204" t="str">
        <f t="shared" si="40"/>
        <v/>
      </c>
      <c r="O400" s="205" t="str">
        <f t="shared" si="36"/>
        <v/>
      </c>
      <c r="P400" s="206" t="str">
        <f t="shared" si="41"/>
        <v/>
      </c>
    </row>
  </sheetData>
  <mergeCells count="1">
    <mergeCell ref="A1:E2"/>
  </mergeCells>
  <phoneticPr fontId="2"/>
  <conditionalFormatting sqref="P6:P400">
    <cfRule type="cellIs" dxfId="2" priority="1" operator="greaterThan">
      <formula>$P$3</formula>
    </cfRule>
  </conditionalFormatting>
  <dataValidations count="2">
    <dataValidation type="list" allowBlank="1" showInputMessage="1" showErrorMessage="1" sqref="A6:A400" xr:uid="{685041A0-11FD-49D5-A75A-7B733963EC01}">
      <formula1>$M$3:$O$3</formula1>
    </dataValidation>
    <dataValidation type="list" allowBlank="1" showInputMessage="1" showErrorMessage="1" sqref="E6:E400 H6:H400" xr:uid="{01A837CC-70F0-4000-B41F-30C7FCD9494A}">
      <formula1>"JPY,USD,EUR,CNY,HKD"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F11C-0DA2-45F9-98DD-53D1C183FF7E}">
  <sheetPr codeName="Sheet17">
    <tabColor theme="6" tint="0.79998168889431442"/>
  </sheetPr>
  <dimension ref="A1:S59"/>
  <sheetViews>
    <sheetView showGridLines="0" zoomScale="70" zoomScaleNormal="70" workbookViewId="0">
      <selection activeCell="E14" sqref="E14:P14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185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/>
    <row r="5" spans="1:19" ht="19.5" customHeight="1" thickBot="1" x14ac:dyDescent="0.45">
      <c r="A5" s="467" t="s">
        <v>34</v>
      </c>
      <c r="B5" s="468"/>
      <c r="C5" s="442" t="s">
        <v>23</v>
      </c>
      <c r="D5" s="443"/>
      <c r="E5" s="421" t="s">
        <v>19</v>
      </c>
      <c r="F5" s="422"/>
      <c r="G5" s="422"/>
      <c r="H5" s="422"/>
      <c r="I5" s="422"/>
      <c r="J5" s="423"/>
      <c r="K5" s="421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45444</v>
      </c>
      <c r="F6" s="215">
        <v>45474</v>
      </c>
      <c r="G6" s="215">
        <v>45505</v>
      </c>
      <c r="H6" s="215">
        <v>45536</v>
      </c>
      <c r="I6" s="215">
        <v>45566</v>
      </c>
      <c r="J6" s="216">
        <v>45597</v>
      </c>
      <c r="K6" s="217">
        <v>45627</v>
      </c>
      <c r="L6" s="215">
        <v>45658</v>
      </c>
      <c r="M6" s="215">
        <v>45689</v>
      </c>
      <c r="N6" s="215">
        <v>45717</v>
      </c>
      <c r="O6" s="215">
        <v>45748</v>
      </c>
      <c r="P6" s="218">
        <v>45778</v>
      </c>
      <c r="Q6" s="455"/>
      <c r="R6" s="153" t="s">
        <v>190</v>
      </c>
      <c r="S6" s="67" t="s">
        <v>191</v>
      </c>
    </row>
    <row r="7" spans="1:19" x14ac:dyDescent="0.4">
      <c r="A7" s="447" t="s">
        <v>66</v>
      </c>
      <c r="B7" s="449" t="s">
        <v>202</v>
      </c>
      <c r="C7" s="433" t="s">
        <v>15</v>
      </c>
      <c r="D7" s="111" t="s">
        <v>13</v>
      </c>
      <c r="E7" s="112">
        <v>0</v>
      </c>
      <c r="F7" s="113">
        <v>0</v>
      </c>
      <c r="G7" s="113">
        <v>0</v>
      </c>
      <c r="H7" s="113">
        <v>0</v>
      </c>
      <c r="I7" s="113">
        <v>0</v>
      </c>
      <c r="J7" s="114">
        <v>2100</v>
      </c>
      <c r="K7" s="115">
        <v>0</v>
      </c>
      <c r="L7" s="113">
        <v>2100</v>
      </c>
      <c r="M7" s="113">
        <v>0</v>
      </c>
      <c r="N7" s="113">
        <v>0</v>
      </c>
      <c r="O7" s="113">
        <v>4200</v>
      </c>
      <c r="P7" s="116">
        <v>0</v>
      </c>
      <c r="Q7" s="117">
        <f>SUM(E7:P7)</f>
        <v>8400</v>
      </c>
      <c r="R7" s="465"/>
      <c r="S7" s="68" t="str">
        <f>IFERROR(Q7/R7,"")</f>
        <v/>
      </c>
    </row>
    <row r="8" spans="1:19" ht="19.5" thickBot="1" x14ac:dyDescent="0.45">
      <c r="A8" s="447"/>
      <c r="B8" s="450"/>
      <c r="C8" s="433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0</v>
      </c>
      <c r="F8" s="135">
        <f ca="1">SUMIFS(INDIRECT($B$1&amp;"INV!$K:$K"),INDIRECT($B$1&amp;"INV!$A:$A"),$A7,INDIRECT($B$1&amp;"INV!$G:$G"),"&gt;="&amp;F$6,INDIRECT($B$1&amp;"INV!$G:$G"),"&lt;"&amp;EOMONTH(F$6,0)+1)/1000</f>
        <v>0</v>
      </c>
      <c r="G8" s="135">
        <f ca="1">SUMIFS(INDIRECT($B$1&amp;"INV!$K:$K"),INDIRECT($B$1&amp;"INV!$A:$A"),$A7,INDIRECT($B$1&amp;"INV!$G:$G"),"&gt;="&amp;G$6,INDIRECT($B$1&amp;"INV!$G:$G"),"&lt;"&amp;EOMONTH(G$6,0)+1)/1000</f>
        <v>0</v>
      </c>
      <c r="H8" s="135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5">
        <f t="shared" ca="1" si="0"/>
        <v>0</v>
      </c>
      <c r="J8" s="138">
        <f t="shared" ca="1" si="0"/>
        <v>0</v>
      </c>
      <c r="K8" s="134">
        <f t="shared" ca="1" si="0"/>
        <v>0</v>
      </c>
      <c r="L8" s="135">
        <f t="shared" ca="1" si="0"/>
        <v>0</v>
      </c>
      <c r="M8" s="135">
        <f t="shared" ca="1" si="0"/>
        <v>0</v>
      </c>
      <c r="N8" s="135">
        <f t="shared" ca="1" si="0"/>
        <v>0</v>
      </c>
      <c r="O8" s="135">
        <f t="shared" ca="1" si="0"/>
        <v>0</v>
      </c>
      <c r="P8" s="136">
        <f t="shared" ca="1" si="0"/>
        <v>0</v>
      </c>
      <c r="Q8" s="139">
        <f ca="1">SUM(E8:P8)</f>
        <v>0</v>
      </c>
      <c r="R8" s="466"/>
      <c r="S8" s="69" t="str">
        <f ca="1">IFERROR(Q8/R7,"")</f>
        <v/>
      </c>
    </row>
    <row r="9" spans="1:19" x14ac:dyDescent="0.4">
      <c r="A9" s="447"/>
      <c r="B9" s="450"/>
      <c r="C9" s="433"/>
      <c r="D9" s="21" t="s">
        <v>17</v>
      </c>
      <c r="E9" s="11" t="e">
        <f ca="1">E8/E7</f>
        <v>#DIV/0!</v>
      </c>
      <c r="F9" s="4" t="e">
        <f t="shared" ref="F9:Q9" ca="1" si="1">F8/F7</f>
        <v>#DIV/0!</v>
      </c>
      <c r="G9" s="4" t="e">
        <f t="shared" ca="1" si="1"/>
        <v>#DIV/0!</v>
      </c>
      <c r="H9" s="4" t="e">
        <f t="shared" ca="1" si="1"/>
        <v>#DIV/0!</v>
      </c>
      <c r="I9" s="4" t="e">
        <f t="shared" ca="1" si="1"/>
        <v>#DIV/0!</v>
      </c>
      <c r="J9" s="6">
        <f t="shared" ca="1" si="1"/>
        <v>0</v>
      </c>
      <c r="K9" s="8" t="e">
        <f t="shared" ca="1" si="1"/>
        <v>#DIV/0!</v>
      </c>
      <c r="L9" s="4">
        <f t="shared" ca="1" si="1"/>
        <v>0</v>
      </c>
      <c r="M9" s="4" t="e">
        <f t="shared" ca="1" si="1"/>
        <v>#DIV/0!</v>
      </c>
      <c r="N9" s="4" t="e">
        <f t="shared" ca="1" si="1"/>
        <v>#DIV/0!</v>
      </c>
      <c r="O9" s="4">
        <f t="shared" ca="1" si="1"/>
        <v>0</v>
      </c>
      <c r="P9" s="16" t="e">
        <f t="shared" ca="1" si="1"/>
        <v>#DIV/0!</v>
      </c>
      <c r="Q9" s="26">
        <f t="shared" ca="1" si="1"/>
        <v>0</v>
      </c>
    </row>
    <row r="10" spans="1:19" x14ac:dyDescent="0.4">
      <c r="A10" s="447"/>
      <c r="B10" s="450"/>
      <c r="C10" s="434"/>
      <c r="D10" s="22" t="s">
        <v>18</v>
      </c>
      <c r="E10" s="12" t="e">
        <f ca="1">SUM($E8:E8)/SUM($E7:E7)</f>
        <v>#DIV/0!</v>
      </c>
      <c r="F10" s="5" t="e">
        <f ca="1">SUM($E8:F8)/SUM($E7:F7)</f>
        <v>#DIV/0!</v>
      </c>
      <c r="G10" s="5" t="e">
        <f ca="1">SUM($E8:G8)/SUM($E7:G7)</f>
        <v>#DIV/0!</v>
      </c>
      <c r="H10" s="5" t="e">
        <f ca="1">SUM($E8:H8)/SUM($E7:H7)</f>
        <v>#DIV/0!</v>
      </c>
      <c r="I10" s="5" t="e">
        <f ca="1">SUM($E8:I8)/SUM($E7:I7)</f>
        <v>#DIV/0!</v>
      </c>
      <c r="J10" s="13">
        <f ca="1">SUM($E8:J8)/SUM($E7:J7)</f>
        <v>0</v>
      </c>
      <c r="K10" s="9">
        <f ca="1">SUM($E8:K8)/SUM($E7:K7)</f>
        <v>0</v>
      </c>
      <c r="L10" s="5">
        <f ca="1">SUM($E8:L8)/SUM($E7:L7)</f>
        <v>0</v>
      </c>
      <c r="M10" s="5">
        <f ca="1">SUM($E8:M8)/SUM($E7:M7)</f>
        <v>0</v>
      </c>
      <c r="N10" s="5">
        <f ca="1">SUM($E8:N8)/SUM($E7:N7)</f>
        <v>0</v>
      </c>
      <c r="O10" s="5">
        <f ca="1">SUM($E8:O8)/SUM($E7:O7)</f>
        <v>0</v>
      </c>
      <c r="P10" s="17">
        <f ca="1">SUM($E8:P8)/SUM($E7:P7)</f>
        <v>0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119">
        <v>0</v>
      </c>
      <c r="F11" s="120">
        <v>0</v>
      </c>
      <c r="G11" s="120">
        <v>0</v>
      </c>
      <c r="H11" s="120">
        <v>0</v>
      </c>
      <c r="I11" s="120">
        <v>0</v>
      </c>
      <c r="J11" s="121">
        <v>1950</v>
      </c>
      <c r="K11" s="122">
        <v>0</v>
      </c>
      <c r="L11" s="120">
        <v>1950</v>
      </c>
      <c r="M11" s="120">
        <v>0</v>
      </c>
      <c r="N11" s="120">
        <v>0</v>
      </c>
      <c r="O11" s="120">
        <v>3900</v>
      </c>
      <c r="P11" s="123">
        <v>0</v>
      </c>
      <c r="Q11" s="124">
        <f>SUM(E11:P11)</f>
        <v>7800</v>
      </c>
      <c r="R11" s="465">
        <v>5159</v>
      </c>
      <c r="S11" s="68">
        <f>IFERROR(Q11/R11,"")</f>
        <v>1.5119209149059896</v>
      </c>
    </row>
    <row r="12" spans="1:19" x14ac:dyDescent="0.4">
      <c r="A12" s="447"/>
      <c r="B12" s="450"/>
      <c r="C12" s="453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0</v>
      </c>
      <c r="F12" s="141">
        <f t="shared" ref="F12:P12" ca="1" si="2">SUMIFS(INDIRECT($B$1&amp;"INV!$N:$N"),INDIRECT($B$1&amp;"INV!$A:$A"),$A7,INDIRECT($B$1&amp;"INV!$G:$G"),"&gt;="&amp;F$6,INDIRECT($B$1&amp;"INV!$G:$G"),"&lt;"&amp;EOMONTH(F$6,0)+1)/1000</f>
        <v>0</v>
      </c>
      <c r="G12" s="141">
        <f t="shared" ca="1" si="2"/>
        <v>0</v>
      </c>
      <c r="H12" s="141">
        <f t="shared" ca="1" si="2"/>
        <v>0</v>
      </c>
      <c r="I12" s="141">
        <f t="shared" ca="1" si="2"/>
        <v>0</v>
      </c>
      <c r="J12" s="144">
        <f t="shared" ca="1" si="2"/>
        <v>0</v>
      </c>
      <c r="K12" s="146">
        <f t="shared" ca="1" si="2"/>
        <v>0</v>
      </c>
      <c r="L12" s="141">
        <f t="shared" ca="1" si="2"/>
        <v>0</v>
      </c>
      <c r="M12" s="141">
        <f t="shared" ca="1" si="2"/>
        <v>0</v>
      </c>
      <c r="N12" s="141">
        <f t="shared" ca="1" si="2"/>
        <v>0</v>
      </c>
      <c r="O12" s="141">
        <f t="shared" ca="1" si="2"/>
        <v>0</v>
      </c>
      <c r="P12" s="142">
        <f t="shared" ca="1" si="2"/>
        <v>0</v>
      </c>
      <c r="Q12" s="145">
        <f ca="1">SUM(E12:P12)</f>
        <v>0</v>
      </c>
      <c r="R12" s="471"/>
      <c r="S12" s="70">
        <f ca="1">IFERROR(Q12/R11,"")</f>
        <v>0</v>
      </c>
    </row>
    <row r="13" spans="1:19" x14ac:dyDescent="0.4">
      <c r="A13" s="447"/>
      <c r="B13" s="450"/>
      <c r="C13" s="435" t="s">
        <v>16</v>
      </c>
      <c r="D13" s="118" t="s">
        <v>13</v>
      </c>
      <c r="E13" s="119">
        <f>E7-E11</f>
        <v>0</v>
      </c>
      <c r="F13" s="120">
        <f t="shared" ref="F13:P14" si="3">F7-F11</f>
        <v>0</v>
      </c>
      <c r="G13" s="120">
        <f t="shared" si="3"/>
        <v>0</v>
      </c>
      <c r="H13" s="120">
        <f t="shared" si="3"/>
        <v>0</v>
      </c>
      <c r="I13" s="120">
        <f t="shared" si="3"/>
        <v>0</v>
      </c>
      <c r="J13" s="121">
        <f t="shared" si="3"/>
        <v>150</v>
      </c>
      <c r="K13" s="122">
        <f t="shared" si="3"/>
        <v>0</v>
      </c>
      <c r="L13" s="120">
        <f t="shared" si="3"/>
        <v>150</v>
      </c>
      <c r="M13" s="120">
        <f t="shared" si="3"/>
        <v>0</v>
      </c>
      <c r="N13" s="120">
        <f t="shared" si="3"/>
        <v>0</v>
      </c>
      <c r="O13" s="120">
        <f t="shared" si="3"/>
        <v>300</v>
      </c>
      <c r="P13" s="123">
        <f t="shared" si="3"/>
        <v>0</v>
      </c>
      <c r="Q13" s="124">
        <f>SUM(E13:P13)</f>
        <v>600</v>
      </c>
      <c r="R13" s="465">
        <f>R7-R11</f>
        <v>-5159</v>
      </c>
      <c r="S13" s="149">
        <f>IFERROR(Q13/R13,"")</f>
        <v>-0.11630160883892227</v>
      </c>
    </row>
    <row r="14" spans="1:19" ht="19.5" thickBot="1" x14ac:dyDescent="0.45">
      <c r="A14" s="447"/>
      <c r="B14" s="450"/>
      <c r="C14" s="436"/>
      <c r="D14" s="133" t="s">
        <v>14</v>
      </c>
      <c r="E14" s="134">
        <f ca="1">E8-E12</f>
        <v>0</v>
      </c>
      <c r="F14" s="135">
        <f t="shared" ca="1" si="3"/>
        <v>0</v>
      </c>
      <c r="G14" s="135">
        <f t="shared" ca="1" si="3"/>
        <v>0</v>
      </c>
      <c r="H14" s="135">
        <f t="shared" ca="1" si="3"/>
        <v>0</v>
      </c>
      <c r="I14" s="135">
        <f t="shared" ca="1" si="3"/>
        <v>0</v>
      </c>
      <c r="J14" s="138">
        <f t="shared" ca="1" si="3"/>
        <v>0</v>
      </c>
      <c r="K14" s="134">
        <f t="shared" ca="1" si="3"/>
        <v>0</v>
      </c>
      <c r="L14" s="135">
        <f t="shared" ca="1" si="3"/>
        <v>0</v>
      </c>
      <c r="M14" s="135">
        <f t="shared" ca="1" si="3"/>
        <v>0</v>
      </c>
      <c r="N14" s="135">
        <f t="shared" ca="1" si="3"/>
        <v>0</v>
      </c>
      <c r="O14" s="135">
        <f t="shared" ca="1" si="3"/>
        <v>0</v>
      </c>
      <c r="P14" s="136">
        <f t="shared" ca="1" si="3"/>
        <v>0</v>
      </c>
      <c r="Q14" s="139">
        <f ca="1">SUM(E14:P14)</f>
        <v>0</v>
      </c>
      <c r="R14" s="466"/>
      <c r="S14" s="69">
        <f ca="1">IFERROR(Q14/R13,"")</f>
        <v>0</v>
      </c>
    </row>
    <row r="15" spans="1:19" x14ac:dyDescent="0.4">
      <c r="A15" s="447"/>
      <c r="B15" s="450"/>
      <c r="C15" s="436"/>
      <c r="D15" s="21" t="s">
        <v>17</v>
      </c>
      <c r="E15" s="11" t="e">
        <f ca="1">E14/E13</f>
        <v>#DIV/0!</v>
      </c>
      <c r="F15" s="4" t="e">
        <f t="shared" ref="F15:Q15" ca="1" si="4">F14/F13</f>
        <v>#DIV/0!</v>
      </c>
      <c r="G15" s="4" t="e">
        <f t="shared" ca="1" si="4"/>
        <v>#DIV/0!</v>
      </c>
      <c r="H15" s="4" t="e">
        <f t="shared" ca="1" si="4"/>
        <v>#DIV/0!</v>
      </c>
      <c r="I15" s="4" t="e">
        <f t="shared" ca="1" si="4"/>
        <v>#DIV/0!</v>
      </c>
      <c r="J15" s="6">
        <f t="shared" ca="1" si="4"/>
        <v>0</v>
      </c>
      <c r="K15" s="8" t="e">
        <f t="shared" ca="1" si="4"/>
        <v>#DIV/0!</v>
      </c>
      <c r="L15" s="4">
        <f t="shared" ca="1" si="4"/>
        <v>0</v>
      </c>
      <c r="M15" s="4" t="e">
        <f t="shared" ca="1" si="4"/>
        <v>#DIV/0!</v>
      </c>
      <c r="N15" s="4" t="e">
        <f t="shared" ca="1" si="4"/>
        <v>#DIV/0!</v>
      </c>
      <c r="O15" s="4">
        <f t="shared" ca="1" si="4"/>
        <v>0</v>
      </c>
      <c r="P15" s="16" t="e">
        <f t="shared" ca="1" si="4"/>
        <v>#DIV/0!</v>
      </c>
      <c r="Q15" s="26">
        <f t="shared" ca="1" si="4"/>
        <v>0</v>
      </c>
    </row>
    <row r="16" spans="1:19" ht="19.5" thickBot="1" x14ac:dyDescent="0.45">
      <c r="A16" s="448"/>
      <c r="B16" s="451"/>
      <c r="C16" s="437"/>
      <c r="D16" s="23" t="s">
        <v>18</v>
      </c>
      <c r="E16" s="14" t="e">
        <f ca="1">SUM($E14:E14)/SUM($E13:E13)</f>
        <v>#DIV/0!</v>
      </c>
      <c r="F16" s="7" t="e">
        <f ca="1">SUM($E14:F14)/SUM($E13:F13)</f>
        <v>#DIV/0!</v>
      </c>
      <c r="G16" s="7" t="e">
        <f ca="1">SUM($E14:G14)/SUM($E13:G13)</f>
        <v>#DIV/0!</v>
      </c>
      <c r="H16" s="7" t="e">
        <f ca="1">SUM($E14:H14)/SUM($E13:H13)</f>
        <v>#DIV/0!</v>
      </c>
      <c r="I16" s="7" t="e">
        <f ca="1">SUM($E14:I14)/SUM($E13:I13)</f>
        <v>#DIV/0!</v>
      </c>
      <c r="J16" s="15">
        <f ca="1">SUM($E14:J14)/SUM($E13:J13)</f>
        <v>0</v>
      </c>
      <c r="K16" s="10">
        <f ca="1">SUM($E14:K14)/SUM($E13:K13)</f>
        <v>0</v>
      </c>
      <c r="L16" s="7">
        <f ca="1">SUM($E14:L14)/SUM($E13:L13)</f>
        <v>0</v>
      </c>
      <c r="M16" s="7">
        <f ca="1">SUM($E14:M14)/SUM($E13:M13)</f>
        <v>0</v>
      </c>
      <c r="N16" s="7">
        <f ca="1">SUM($E14:N14)/SUM($E13:N13)</f>
        <v>0</v>
      </c>
      <c r="O16" s="7">
        <f ca="1">SUM($E14:O14)/SUM($E13:O13)</f>
        <v>0</v>
      </c>
      <c r="P16" s="18">
        <f ca="1">SUM($E14:P14)/SUM($E13:P13)</f>
        <v>0</v>
      </c>
      <c r="Q16" s="28" t="s">
        <v>22</v>
      </c>
      <c r="R16" s="59"/>
      <c r="S16"/>
    </row>
    <row r="17" spans="1:19" x14ac:dyDescent="0.4">
      <c r="A17" s="446" t="s">
        <v>207</v>
      </c>
      <c r="B17" s="449" t="s">
        <v>203</v>
      </c>
      <c r="C17" s="433" t="s">
        <v>15</v>
      </c>
      <c r="D17" s="111" t="s">
        <v>13</v>
      </c>
      <c r="E17" s="112">
        <v>0</v>
      </c>
      <c r="F17" s="113">
        <v>0</v>
      </c>
      <c r="G17" s="113">
        <v>330</v>
      </c>
      <c r="H17" s="113">
        <v>1400</v>
      </c>
      <c r="I17" s="113">
        <v>0</v>
      </c>
      <c r="J17" s="114">
        <v>4000</v>
      </c>
      <c r="K17" s="115">
        <v>2000</v>
      </c>
      <c r="L17" s="113">
        <v>1700</v>
      </c>
      <c r="M17" s="113">
        <v>0</v>
      </c>
      <c r="N17" s="113">
        <v>3000</v>
      </c>
      <c r="O17" s="113">
        <v>1400</v>
      </c>
      <c r="P17" s="116">
        <v>0</v>
      </c>
      <c r="Q17" s="117">
        <f>SUM(E17:P17)</f>
        <v>13830</v>
      </c>
      <c r="R17" s="465">
        <v>3033</v>
      </c>
      <c r="S17" s="68">
        <f>IFERROR(Q17/R17,"")</f>
        <v>4.5598417408506426</v>
      </c>
    </row>
    <row r="18" spans="1:19" ht="19.5" thickBot="1" x14ac:dyDescent="0.45">
      <c r="A18" s="447"/>
      <c r="B18" s="450"/>
      <c r="C18" s="433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0</v>
      </c>
      <c r="F18" s="135">
        <f ca="1">SUMIFS(INDIRECT($B$1&amp;"INV!$K:$K"),INDIRECT($B$1&amp;"INV!$A:$A"),$A17,INDIRECT($B$1&amp;"INV!$G:$G"),"&gt;="&amp;F$6,INDIRECT($B$1&amp;"INV!$G:$G"),"&lt;"&amp;EOMONTH(F$6,0)+1)/1000</f>
        <v>0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" ca="1" si="5">SUMIFS(INDIRECT($B$1&amp;"INV!$K:$K"),INDIRECT($B$1&amp;"INV!$A:$A"),$A17,INDIRECT($B$1&amp;"INV!$G:$G"),"&gt;="&amp;H$6,INDIRECT($B$1&amp;"INV!$G:$G"),"&lt;"&amp;EOMONTH(H$6,0)+1)/1000</f>
        <v>0</v>
      </c>
      <c r="I18" s="135">
        <f t="shared" ref="I18" ca="1" si="6">SUMIFS(INDIRECT($B$1&amp;"INV!$K:$K"),INDIRECT($B$1&amp;"INV!$A:$A"),$A17,INDIRECT($B$1&amp;"INV!$G:$G"),"&gt;="&amp;I$6,INDIRECT($B$1&amp;"INV!$G:$G"),"&lt;"&amp;EOMONTH(I$6,0)+1)/1000</f>
        <v>0</v>
      </c>
      <c r="J18" s="138">
        <f t="shared" ref="J18" ca="1" si="7">SUMIFS(INDIRECT($B$1&amp;"INV!$K:$K"),INDIRECT($B$1&amp;"INV!$A:$A"),$A17,INDIRECT($B$1&amp;"INV!$G:$G"),"&gt;="&amp;J$6,INDIRECT($B$1&amp;"INV!$G:$G"),"&lt;"&amp;EOMONTH(J$6,0)+1)/1000</f>
        <v>0</v>
      </c>
      <c r="K18" s="134">
        <f t="shared" ref="K18" ca="1" si="8">SUMIFS(INDIRECT($B$1&amp;"INV!$K:$K"),INDIRECT($B$1&amp;"INV!$A:$A"),$A17,INDIRECT($B$1&amp;"INV!$G:$G"),"&gt;="&amp;K$6,INDIRECT($B$1&amp;"INV!$G:$G"),"&lt;"&amp;EOMONTH(K$6,0)+1)/1000</f>
        <v>0</v>
      </c>
      <c r="L18" s="135">
        <f t="shared" ref="L18" ca="1" si="9">SUMIFS(INDIRECT($B$1&amp;"INV!$K:$K"),INDIRECT($B$1&amp;"INV!$A:$A"),$A17,INDIRECT($B$1&amp;"INV!$G:$G"),"&gt;="&amp;L$6,INDIRECT($B$1&amp;"INV!$G:$G"),"&lt;"&amp;EOMONTH(L$6,0)+1)/1000</f>
        <v>0</v>
      </c>
      <c r="M18" s="135">
        <f t="shared" ref="M18" ca="1" si="10">SUMIFS(INDIRECT($B$1&amp;"INV!$K:$K"),INDIRECT($B$1&amp;"INV!$A:$A"),$A17,INDIRECT($B$1&amp;"INV!$G:$G"),"&gt;="&amp;M$6,INDIRECT($B$1&amp;"INV!$G:$G"),"&lt;"&amp;EOMONTH(M$6,0)+1)/1000</f>
        <v>0</v>
      </c>
      <c r="N18" s="135">
        <f t="shared" ref="N18" ca="1" si="11">SUMIFS(INDIRECT($B$1&amp;"INV!$K:$K"),INDIRECT($B$1&amp;"INV!$A:$A"),$A17,INDIRECT($B$1&amp;"INV!$G:$G"),"&gt;="&amp;N$6,INDIRECT($B$1&amp;"INV!$G:$G"),"&lt;"&amp;EOMONTH(N$6,0)+1)/1000</f>
        <v>0</v>
      </c>
      <c r="O18" s="135">
        <f t="shared" ref="O18" ca="1" si="12">SUMIFS(INDIRECT($B$1&amp;"INV!$K:$K"),INDIRECT($B$1&amp;"INV!$A:$A"),$A17,INDIRECT($B$1&amp;"INV!$G:$G"),"&gt;="&amp;O$6,INDIRECT($B$1&amp;"INV!$G:$G"),"&lt;"&amp;EOMONTH(O$6,0)+1)/1000</f>
        <v>0</v>
      </c>
      <c r="P18" s="136">
        <f t="shared" ref="P18" ca="1" si="13">SUMIFS(INDIRECT($B$1&amp;"INV!$K:$K"),INDIRECT($B$1&amp;"INV!$A:$A"),$A17,INDIRECT($B$1&amp;"INV!$G:$G"),"&gt;="&amp;P$6,INDIRECT($B$1&amp;"INV!$G:$G"),"&lt;"&amp;EOMONTH(P$6,0)+1)/1000</f>
        <v>0</v>
      </c>
      <c r="Q18" s="139">
        <f ca="1">SUM(E18:P18)</f>
        <v>0</v>
      </c>
      <c r="R18" s="466"/>
      <c r="S18" s="69">
        <f ca="1">IFERROR(Q18/R17,"")</f>
        <v>0</v>
      </c>
    </row>
    <row r="19" spans="1:19" x14ac:dyDescent="0.4">
      <c r="A19" s="447"/>
      <c r="B19" s="450"/>
      <c r="C19" s="433"/>
      <c r="D19" s="21" t="s">
        <v>17</v>
      </c>
      <c r="E19" s="11" t="e">
        <f ca="1">E18/E17</f>
        <v>#DIV/0!</v>
      </c>
      <c r="F19" s="4" t="e">
        <f t="shared" ref="F19:Q19" ca="1" si="14">F18/F17</f>
        <v>#DIV/0!</v>
      </c>
      <c r="G19" s="4">
        <f t="shared" ca="1" si="14"/>
        <v>0</v>
      </c>
      <c r="H19" s="4">
        <f t="shared" ca="1" si="14"/>
        <v>0</v>
      </c>
      <c r="I19" s="4" t="e">
        <f t="shared" ca="1" si="14"/>
        <v>#DIV/0!</v>
      </c>
      <c r="J19" s="6">
        <f t="shared" ca="1" si="14"/>
        <v>0</v>
      </c>
      <c r="K19" s="8">
        <f t="shared" ca="1" si="14"/>
        <v>0</v>
      </c>
      <c r="L19" s="4">
        <f t="shared" ca="1" si="14"/>
        <v>0</v>
      </c>
      <c r="M19" s="4" t="e">
        <f t="shared" ca="1" si="14"/>
        <v>#DIV/0!</v>
      </c>
      <c r="N19" s="4">
        <f t="shared" ca="1" si="14"/>
        <v>0</v>
      </c>
      <c r="O19" s="4">
        <f t="shared" ca="1" si="14"/>
        <v>0</v>
      </c>
      <c r="P19" s="16" t="e">
        <f t="shared" ca="1" si="14"/>
        <v>#DIV/0!</v>
      </c>
      <c r="Q19" s="26">
        <f t="shared" ca="1" si="14"/>
        <v>0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12" t="e">
        <f ca="1">SUM($E18:E18)/SUM($E17:E17)</f>
        <v>#DIV/0!</v>
      </c>
      <c r="F20" s="5" t="e">
        <f ca="1">SUM($E18:F18)/SUM($E17:F17)</f>
        <v>#DIV/0!</v>
      </c>
      <c r="G20" s="5">
        <f ca="1">SUM($E18:G18)/SUM($E17:G17)</f>
        <v>0</v>
      </c>
      <c r="H20" s="5">
        <f ca="1">SUM($E18:H18)/SUM($E17:H17)</f>
        <v>0</v>
      </c>
      <c r="I20" s="5">
        <f ca="1">SUM($E18:I18)/SUM($E17:I17)</f>
        <v>0</v>
      </c>
      <c r="J20" s="13">
        <f ca="1">SUM($E18:J18)/SUM($E17:J17)</f>
        <v>0</v>
      </c>
      <c r="K20" s="9">
        <f ca="1">SUM($E18:K18)/SUM($E17:K17)</f>
        <v>0</v>
      </c>
      <c r="L20" s="5">
        <f ca="1">SUM($E18:L18)/SUM($E17:L17)</f>
        <v>0</v>
      </c>
      <c r="M20" s="5">
        <f ca="1">SUM($E18:M18)/SUM($E17:M17)</f>
        <v>0</v>
      </c>
      <c r="N20" s="5">
        <f ca="1">SUM($E18:N18)/SUM($E17:N17)</f>
        <v>0</v>
      </c>
      <c r="O20" s="5">
        <f ca="1">SUM($E18:O18)/SUM($E17:O17)</f>
        <v>0</v>
      </c>
      <c r="P20" s="17">
        <f ca="1">SUM($E18:P18)/SUM($E17:P17)</f>
        <v>0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119">
        <v>0</v>
      </c>
      <c r="F21" s="120">
        <v>0</v>
      </c>
      <c r="G21" s="120">
        <v>260</v>
      </c>
      <c r="H21" s="120">
        <v>1160</v>
      </c>
      <c r="I21" s="120">
        <v>0</v>
      </c>
      <c r="J21" s="121">
        <v>3600</v>
      </c>
      <c r="K21" s="122">
        <v>1700</v>
      </c>
      <c r="L21" s="120">
        <v>1500</v>
      </c>
      <c r="M21" s="120">
        <v>0</v>
      </c>
      <c r="N21" s="120">
        <v>2500</v>
      </c>
      <c r="O21" s="120">
        <v>1100</v>
      </c>
      <c r="P21" s="123">
        <v>0</v>
      </c>
      <c r="Q21" s="124">
        <f>SUM(E21:P21)</f>
        <v>11820</v>
      </c>
      <c r="R21" s="465">
        <v>2061</v>
      </c>
      <c r="S21" s="68">
        <f>IFERROR(Q21/R21,"")</f>
        <v>5.7350800582241632</v>
      </c>
    </row>
    <row r="22" spans="1:19" x14ac:dyDescent="0.4">
      <c r="A22" s="447"/>
      <c r="B22" s="450"/>
      <c r="C22" s="453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0</v>
      </c>
      <c r="F22" s="141">
        <f t="shared" ref="F22:P22" ca="1" si="15">SUMIFS(INDIRECT($B$1&amp;"INV!$N:$N"),INDIRECT($B$1&amp;"INV!$A:$A"),$A17,INDIRECT($B$1&amp;"INV!$G:$G"),"&gt;="&amp;F$6,INDIRECT($B$1&amp;"INV!$G:$G"),"&lt;"&amp;EOMONTH(F$6,0)+1)/1000</f>
        <v>0</v>
      </c>
      <c r="G22" s="141">
        <f t="shared" ca="1" si="15"/>
        <v>0</v>
      </c>
      <c r="H22" s="141">
        <f t="shared" ca="1" si="15"/>
        <v>0</v>
      </c>
      <c r="I22" s="141">
        <f t="shared" ca="1" si="15"/>
        <v>0</v>
      </c>
      <c r="J22" s="144">
        <f t="shared" ca="1" si="15"/>
        <v>0</v>
      </c>
      <c r="K22" s="146">
        <f t="shared" ca="1" si="15"/>
        <v>0</v>
      </c>
      <c r="L22" s="141">
        <f t="shared" ca="1" si="15"/>
        <v>0</v>
      </c>
      <c r="M22" s="141">
        <f t="shared" ca="1" si="15"/>
        <v>0</v>
      </c>
      <c r="N22" s="141">
        <f t="shared" ca="1" si="15"/>
        <v>0</v>
      </c>
      <c r="O22" s="141">
        <f t="shared" ca="1" si="15"/>
        <v>0</v>
      </c>
      <c r="P22" s="142">
        <f t="shared" ca="1" si="15"/>
        <v>0</v>
      </c>
      <c r="Q22" s="145">
        <f ca="1">SUM(E22:P22)</f>
        <v>0</v>
      </c>
      <c r="R22" s="471"/>
      <c r="S22" s="70">
        <f ca="1">IFERROR(Q22/R21,"")</f>
        <v>0</v>
      </c>
    </row>
    <row r="23" spans="1:19" x14ac:dyDescent="0.4">
      <c r="A23" s="447"/>
      <c r="B23" s="450"/>
      <c r="C23" s="435" t="s">
        <v>16</v>
      </c>
      <c r="D23" s="118" t="s">
        <v>13</v>
      </c>
      <c r="E23" s="119">
        <f>E17-E21</f>
        <v>0</v>
      </c>
      <c r="F23" s="120">
        <f t="shared" ref="F23:P24" si="16">F17-F21</f>
        <v>0</v>
      </c>
      <c r="G23" s="120">
        <f t="shared" si="16"/>
        <v>70</v>
      </c>
      <c r="H23" s="120">
        <f t="shared" si="16"/>
        <v>240</v>
      </c>
      <c r="I23" s="120">
        <f t="shared" si="16"/>
        <v>0</v>
      </c>
      <c r="J23" s="121">
        <f t="shared" si="16"/>
        <v>400</v>
      </c>
      <c r="K23" s="122">
        <f t="shared" si="16"/>
        <v>300</v>
      </c>
      <c r="L23" s="120">
        <f t="shared" si="16"/>
        <v>200</v>
      </c>
      <c r="M23" s="120">
        <f t="shared" si="16"/>
        <v>0</v>
      </c>
      <c r="N23" s="120">
        <f t="shared" si="16"/>
        <v>500</v>
      </c>
      <c r="O23" s="120">
        <f t="shared" si="16"/>
        <v>300</v>
      </c>
      <c r="P23" s="123">
        <f t="shared" si="16"/>
        <v>0</v>
      </c>
      <c r="Q23" s="124">
        <f>SUM(E23:P23)</f>
        <v>2010</v>
      </c>
      <c r="R23" s="465">
        <f>R17-R21</f>
        <v>972</v>
      </c>
      <c r="S23" s="149">
        <f>IFERROR(Q23/R23,"")</f>
        <v>2.0679012345679011</v>
      </c>
    </row>
    <row r="24" spans="1:19" ht="19.5" thickBot="1" x14ac:dyDescent="0.45">
      <c r="A24" s="447"/>
      <c r="B24" s="450"/>
      <c r="C24" s="436"/>
      <c r="D24" s="133" t="s">
        <v>14</v>
      </c>
      <c r="E24" s="134">
        <f ca="1">E18-E22</f>
        <v>0</v>
      </c>
      <c r="F24" s="135">
        <f t="shared" ca="1" si="16"/>
        <v>0</v>
      </c>
      <c r="G24" s="135">
        <f t="shared" ca="1" si="16"/>
        <v>0</v>
      </c>
      <c r="H24" s="135">
        <f t="shared" ca="1" si="16"/>
        <v>0</v>
      </c>
      <c r="I24" s="135">
        <f t="shared" ca="1" si="16"/>
        <v>0</v>
      </c>
      <c r="J24" s="138">
        <f t="shared" ca="1" si="16"/>
        <v>0</v>
      </c>
      <c r="K24" s="134">
        <f t="shared" ca="1" si="16"/>
        <v>0</v>
      </c>
      <c r="L24" s="135">
        <f t="shared" ca="1" si="16"/>
        <v>0</v>
      </c>
      <c r="M24" s="135">
        <f t="shared" ca="1" si="16"/>
        <v>0</v>
      </c>
      <c r="N24" s="135">
        <f t="shared" ca="1" si="16"/>
        <v>0</v>
      </c>
      <c r="O24" s="135">
        <f t="shared" ca="1" si="16"/>
        <v>0</v>
      </c>
      <c r="P24" s="136">
        <f t="shared" ca="1" si="16"/>
        <v>0</v>
      </c>
      <c r="Q24" s="139">
        <f ca="1">SUM(E24:P24)</f>
        <v>0</v>
      </c>
      <c r="R24" s="466"/>
      <c r="S24" s="69">
        <f ca="1">IFERROR(Q24/R23,"")</f>
        <v>0</v>
      </c>
    </row>
    <row r="25" spans="1:19" x14ac:dyDescent="0.4">
      <c r="A25" s="447"/>
      <c r="B25" s="450"/>
      <c r="C25" s="436"/>
      <c r="D25" s="21" t="s">
        <v>17</v>
      </c>
      <c r="E25" s="11" t="e">
        <f ca="1">E24/E23</f>
        <v>#DIV/0!</v>
      </c>
      <c r="F25" s="4" t="e">
        <f t="shared" ref="F25:Q25" ca="1" si="17">F24/F23</f>
        <v>#DIV/0!</v>
      </c>
      <c r="G25" s="4">
        <f t="shared" ca="1" si="17"/>
        <v>0</v>
      </c>
      <c r="H25" s="4">
        <f t="shared" ca="1" si="17"/>
        <v>0</v>
      </c>
      <c r="I25" s="4" t="e">
        <f t="shared" ca="1" si="17"/>
        <v>#DIV/0!</v>
      </c>
      <c r="J25" s="6">
        <f t="shared" ca="1" si="17"/>
        <v>0</v>
      </c>
      <c r="K25" s="8">
        <f t="shared" ca="1" si="17"/>
        <v>0</v>
      </c>
      <c r="L25" s="4">
        <f t="shared" ca="1" si="17"/>
        <v>0</v>
      </c>
      <c r="M25" s="4" t="e">
        <f t="shared" ca="1" si="17"/>
        <v>#DIV/0!</v>
      </c>
      <c r="N25" s="4">
        <f t="shared" ca="1" si="17"/>
        <v>0</v>
      </c>
      <c r="O25" s="4">
        <f t="shared" ca="1" si="17"/>
        <v>0</v>
      </c>
      <c r="P25" s="16" t="e">
        <f t="shared" ca="1" si="17"/>
        <v>#DIV/0!</v>
      </c>
      <c r="Q25" s="26">
        <f t="shared" ca="1" si="17"/>
        <v>0</v>
      </c>
    </row>
    <row r="26" spans="1:19" ht="19.5" thickBot="1" x14ac:dyDescent="0.45">
      <c r="A26" s="448"/>
      <c r="B26" s="451"/>
      <c r="C26" s="437"/>
      <c r="D26" s="23" t="s">
        <v>18</v>
      </c>
      <c r="E26" s="14" t="e">
        <f ca="1">SUM($E24:E24)/SUM($E23:E23)</f>
        <v>#DIV/0!</v>
      </c>
      <c r="F26" s="7" t="e">
        <f ca="1">SUM($E24:F24)/SUM($E23:F23)</f>
        <v>#DIV/0!</v>
      </c>
      <c r="G26" s="7">
        <f ca="1">SUM($E24:G24)/SUM($E23:G23)</f>
        <v>0</v>
      </c>
      <c r="H26" s="7">
        <f ca="1">SUM($E24:H24)/SUM($E23:H23)</f>
        <v>0</v>
      </c>
      <c r="I26" s="7">
        <f ca="1">SUM($E24:I24)/SUM($E23:I23)</f>
        <v>0</v>
      </c>
      <c r="J26" s="15">
        <f ca="1">SUM($E24:J24)/SUM($E23:J23)</f>
        <v>0</v>
      </c>
      <c r="K26" s="10">
        <f ca="1">SUM($E24:K24)/SUM($E23:K23)</f>
        <v>0</v>
      </c>
      <c r="L26" s="7">
        <f ca="1">SUM($E24:L24)/SUM($E23:L23)</f>
        <v>0</v>
      </c>
      <c r="M26" s="7">
        <f ca="1">SUM($E24:M24)/SUM($E23:M23)</f>
        <v>0</v>
      </c>
      <c r="N26" s="7">
        <f ca="1">SUM($E24:N24)/SUM($E23:N23)</f>
        <v>0</v>
      </c>
      <c r="O26" s="7">
        <f ca="1">SUM($E24:O24)/SUM($E23:O23)</f>
        <v>0</v>
      </c>
      <c r="P26" s="18">
        <f ca="1">SUM($E24:P24)/SUM($E23:P23)</f>
        <v>0</v>
      </c>
      <c r="Q26" s="28" t="s">
        <v>22</v>
      </c>
      <c r="R26" s="59"/>
      <c r="S26"/>
    </row>
    <row r="27" spans="1:19" x14ac:dyDescent="0.4">
      <c r="A27" s="488"/>
      <c r="B27" s="449" t="s">
        <v>184</v>
      </c>
      <c r="C27" s="433" t="s">
        <v>15</v>
      </c>
      <c r="D27" s="111" t="s">
        <v>13</v>
      </c>
      <c r="E27" s="112">
        <f>SUM(E7,E17)</f>
        <v>0</v>
      </c>
      <c r="F27" s="113">
        <f t="shared" ref="F27:P27" si="18">SUM(F7,F17)</f>
        <v>0</v>
      </c>
      <c r="G27" s="113">
        <f t="shared" si="18"/>
        <v>330</v>
      </c>
      <c r="H27" s="113">
        <f t="shared" si="18"/>
        <v>1400</v>
      </c>
      <c r="I27" s="113">
        <f t="shared" si="18"/>
        <v>0</v>
      </c>
      <c r="J27" s="114">
        <f t="shared" si="18"/>
        <v>6100</v>
      </c>
      <c r="K27" s="115">
        <f t="shared" si="18"/>
        <v>2000</v>
      </c>
      <c r="L27" s="113">
        <f t="shared" si="18"/>
        <v>3800</v>
      </c>
      <c r="M27" s="113">
        <f t="shared" si="18"/>
        <v>0</v>
      </c>
      <c r="N27" s="113">
        <f t="shared" si="18"/>
        <v>3000</v>
      </c>
      <c r="O27" s="113">
        <f t="shared" si="18"/>
        <v>5600</v>
      </c>
      <c r="P27" s="116">
        <f t="shared" si="18"/>
        <v>0</v>
      </c>
      <c r="Q27" s="117">
        <f>SUM(E27:P27)</f>
        <v>22230</v>
      </c>
      <c r="R27" s="465">
        <v>7</v>
      </c>
      <c r="S27" s="68">
        <f>IFERROR(Q27/R27,"")</f>
        <v>3175.7142857142858</v>
      </c>
    </row>
    <row r="28" spans="1:19" ht="19.5" thickBot="1" x14ac:dyDescent="0.45">
      <c r="A28" s="447"/>
      <c r="B28" s="450"/>
      <c r="C28" s="433"/>
      <c r="D28" s="133" t="s">
        <v>14</v>
      </c>
      <c r="E28" s="134"/>
      <c r="F28" s="135"/>
      <c r="G28" s="135"/>
      <c r="H28" s="135"/>
      <c r="I28" s="135"/>
      <c r="J28" s="136"/>
      <c r="K28" s="137"/>
      <c r="L28" s="135"/>
      <c r="M28" s="135"/>
      <c r="N28" s="135"/>
      <c r="O28" s="135"/>
      <c r="P28" s="138"/>
      <c r="Q28" s="139">
        <f>SUM(E28:P28)</f>
        <v>0</v>
      </c>
      <c r="R28" s="466"/>
      <c r="S28" s="69">
        <f>IFERROR(Q28/R27,"")</f>
        <v>0</v>
      </c>
    </row>
    <row r="29" spans="1:19" x14ac:dyDescent="0.4">
      <c r="A29" s="447"/>
      <c r="B29" s="450"/>
      <c r="C29" s="433"/>
      <c r="D29" s="21" t="s">
        <v>17</v>
      </c>
      <c r="E29" s="11" t="e">
        <f>E28/E27</f>
        <v>#DIV/0!</v>
      </c>
      <c r="F29" s="4" t="e">
        <f t="shared" ref="F29:Q29" si="19">F28/F27</f>
        <v>#DIV/0!</v>
      </c>
      <c r="G29" s="4">
        <f t="shared" si="19"/>
        <v>0</v>
      </c>
      <c r="H29" s="4">
        <f t="shared" si="19"/>
        <v>0</v>
      </c>
      <c r="I29" s="4" t="e">
        <f t="shared" si="19"/>
        <v>#DIV/0!</v>
      </c>
      <c r="J29" s="6">
        <f t="shared" si="19"/>
        <v>0</v>
      </c>
      <c r="K29" s="8">
        <f t="shared" si="19"/>
        <v>0</v>
      </c>
      <c r="L29" s="4">
        <f t="shared" si="19"/>
        <v>0</v>
      </c>
      <c r="M29" s="4" t="e">
        <f t="shared" si="19"/>
        <v>#DIV/0!</v>
      </c>
      <c r="N29" s="4">
        <f t="shared" si="19"/>
        <v>0</v>
      </c>
      <c r="O29" s="4">
        <f t="shared" si="19"/>
        <v>0</v>
      </c>
      <c r="P29" s="16" t="e">
        <f t="shared" si="19"/>
        <v>#DIV/0!</v>
      </c>
      <c r="Q29" s="26">
        <f t="shared" si="19"/>
        <v>0</v>
      </c>
      <c r="R29" s="59"/>
      <c r="S29"/>
    </row>
    <row r="30" spans="1:19" x14ac:dyDescent="0.4">
      <c r="A30" s="447"/>
      <c r="B30" s="450"/>
      <c r="C30" s="434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>
        <f>SUM($E28:G28)/SUM($E27:G27)</f>
        <v>0</v>
      </c>
      <c r="H30" s="5">
        <f>SUM($E28:H28)/SUM($E27:H27)</f>
        <v>0</v>
      </c>
      <c r="I30" s="5">
        <f>SUM($E28:I28)/SUM($E27:I27)</f>
        <v>0</v>
      </c>
      <c r="J30" s="13">
        <f>SUM($E28:J28)/SUM($E27:J27)</f>
        <v>0</v>
      </c>
      <c r="K30" s="9">
        <f>SUM($E28:K28)/SUM($E27:K27)</f>
        <v>0</v>
      </c>
      <c r="L30" s="5">
        <f>SUM($E28:L28)/SUM($E27:L27)</f>
        <v>0</v>
      </c>
      <c r="M30" s="5">
        <f>SUM($E28:M28)/SUM($E27:M27)</f>
        <v>0</v>
      </c>
      <c r="N30" s="5">
        <f>SUM($E28:N28)/SUM($E27:N27)</f>
        <v>0</v>
      </c>
      <c r="O30" s="5">
        <f>SUM($E28:O28)/SUM($E27:O27)</f>
        <v>0</v>
      </c>
      <c r="P30" s="17">
        <f>SUM($E28:P28)/SUM($E27:P27)</f>
        <v>0</v>
      </c>
      <c r="Q30" s="27" t="s">
        <v>22</v>
      </c>
      <c r="R30" s="59"/>
      <c r="S30"/>
    </row>
    <row r="31" spans="1:19" x14ac:dyDescent="0.4">
      <c r="A31" s="447"/>
      <c r="B31" s="450"/>
      <c r="C31" s="452" t="s">
        <v>192</v>
      </c>
      <c r="D31" s="118" t="s">
        <v>13</v>
      </c>
      <c r="E31" s="119">
        <f>SUM(E11,E21)</f>
        <v>0</v>
      </c>
      <c r="F31" s="120">
        <f t="shared" ref="F31:P31" si="20">SUM(F11,F21)</f>
        <v>0</v>
      </c>
      <c r="G31" s="120">
        <f t="shared" si="20"/>
        <v>260</v>
      </c>
      <c r="H31" s="120">
        <f t="shared" si="20"/>
        <v>1160</v>
      </c>
      <c r="I31" s="120">
        <f t="shared" si="20"/>
        <v>0</v>
      </c>
      <c r="J31" s="121">
        <f t="shared" si="20"/>
        <v>5550</v>
      </c>
      <c r="K31" s="122">
        <f t="shared" si="20"/>
        <v>1700</v>
      </c>
      <c r="L31" s="120">
        <f t="shared" si="20"/>
        <v>3450</v>
      </c>
      <c r="M31" s="120">
        <f t="shared" si="20"/>
        <v>0</v>
      </c>
      <c r="N31" s="120">
        <f t="shared" si="20"/>
        <v>2500</v>
      </c>
      <c r="O31" s="120">
        <f t="shared" si="20"/>
        <v>5000</v>
      </c>
      <c r="P31" s="123">
        <f t="shared" si="20"/>
        <v>0</v>
      </c>
      <c r="Q31" s="124">
        <f>SUM(E31:P31)</f>
        <v>19620</v>
      </c>
      <c r="R31" s="465"/>
      <c r="S31" s="68" t="str">
        <f>IFERROR(Q31/R31,"")</f>
        <v/>
      </c>
    </row>
    <row r="32" spans="1:19" x14ac:dyDescent="0.4">
      <c r="A32" s="447"/>
      <c r="B32" s="450"/>
      <c r="C32" s="453"/>
      <c r="D32" s="140" t="s">
        <v>14</v>
      </c>
      <c r="E32" s="146"/>
      <c r="F32" s="141"/>
      <c r="G32" s="141"/>
      <c r="H32" s="141"/>
      <c r="I32" s="141"/>
      <c r="J32" s="142"/>
      <c r="K32" s="143"/>
      <c r="L32" s="141"/>
      <c r="M32" s="141"/>
      <c r="N32" s="141"/>
      <c r="O32" s="141"/>
      <c r="P32" s="144"/>
      <c r="Q32" s="145">
        <f>SUM(E32:P32)</f>
        <v>0</v>
      </c>
      <c r="R32" s="471"/>
      <c r="S32" s="70" t="str">
        <f>IFERROR(Q32/R31,"")</f>
        <v/>
      </c>
    </row>
    <row r="33" spans="1:19" x14ac:dyDescent="0.4">
      <c r="A33" s="447"/>
      <c r="B33" s="450"/>
      <c r="C33" s="435" t="s">
        <v>16</v>
      </c>
      <c r="D33" s="118" t="s">
        <v>13</v>
      </c>
      <c r="E33" s="119">
        <f>E27-E31</f>
        <v>0</v>
      </c>
      <c r="F33" s="120">
        <f t="shared" ref="F33:P33" si="21">F27-F31</f>
        <v>0</v>
      </c>
      <c r="G33" s="120">
        <f t="shared" si="21"/>
        <v>70</v>
      </c>
      <c r="H33" s="120">
        <f t="shared" si="21"/>
        <v>240</v>
      </c>
      <c r="I33" s="120">
        <f t="shared" si="21"/>
        <v>0</v>
      </c>
      <c r="J33" s="121">
        <f t="shared" si="21"/>
        <v>550</v>
      </c>
      <c r="K33" s="122">
        <f t="shared" si="21"/>
        <v>300</v>
      </c>
      <c r="L33" s="120">
        <f t="shared" si="21"/>
        <v>350</v>
      </c>
      <c r="M33" s="120">
        <f t="shared" si="21"/>
        <v>0</v>
      </c>
      <c r="N33" s="120">
        <f t="shared" si="21"/>
        <v>500</v>
      </c>
      <c r="O33" s="120">
        <f t="shared" si="21"/>
        <v>600</v>
      </c>
      <c r="P33" s="123">
        <f t="shared" si="21"/>
        <v>0</v>
      </c>
      <c r="Q33" s="124">
        <f>SUM(E33:P33)</f>
        <v>2610</v>
      </c>
      <c r="R33" s="465">
        <f>R27-R31</f>
        <v>7</v>
      </c>
      <c r="S33" s="149">
        <f>IFERROR(Q33/R33,"")</f>
        <v>372.85714285714283</v>
      </c>
    </row>
    <row r="34" spans="1:19" ht="19.5" thickBot="1" x14ac:dyDescent="0.45">
      <c r="A34" s="447"/>
      <c r="B34" s="450"/>
      <c r="C34" s="436"/>
      <c r="D34" s="133" t="s">
        <v>14</v>
      </c>
      <c r="E34" s="134"/>
      <c r="F34" s="135"/>
      <c r="G34" s="135"/>
      <c r="H34" s="135"/>
      <c r="I34" s="135"/>
      <c r="J34" s="136"/>
      <c r="K34" s="137"/>
      <c r="L34" s="135"/>
      <c r="M34" s="135"/>
      <c r="N34" s="135"/>
      <c r="O34" s="135"/>
      <c r="P34" s="138"/>
      <c r="Q34" s="139">
        <f>SUM(E34:P34)</f>
        <v>0</v>
      </c>
      <c r="R34" s="466"/>
      <c r="S34" s="69">
        <f>IFERROR(Q34/R33,"")</f>
        <v>0</v>
      </c>
    </row>
    <row r="35" spans="1:19" x14ac:dyDescent="0.4">
      <c r="A35" s="447"/>
      <c r="B35" s="450"/>
      <c r="C35" s="436"/>
      <c r="D35" s="21" t="s">
        <v>17</v>
      </c>
      <c r="E35" s="11" t="e">
        <f>E34/E33</f>
        <v>#DIV/0!</v>
      </c>
      <c r="F35" s="4" t="e">
        <f t="shared" ref="F35:Q35" si="22">F34/F33</f>
        <v>#DIV/0!</v>
      </c>
      <c r="G35" s="4">
        <f t="shared" si="22"/>
        <v>0</v>
      </c>
      <c r="H35" s="4">
        <f t="shared" si="22"/>
        <v>0</v>
      </c>
      <c r="I35" s="4" t="e">
        <f t="shared" si="22"/>
        <v>#DIV/0!</v>
      </c>
      <c r="J35" s="6">
        <f t="shared" si="22"/>
        <v>0</v>
      </c>
      <c r="K35" s="8">
        <f t="shared" si="22"/>
        <v>0</v>
      </c>
      <c r="L35" s="4">
        <f t="shared" si="22"/>
        <v>0</v>
      </c>
      <c r="M35" s="4" t="e">
        <f t="shared" si="22"/>
        <v>#DIV/0!</v>
      </c>
      <c r="N35" s="4">
        <f t="shared" si="22"/>
        <v>0</v>
      </c>
      <c r="O35" s="4">
        <f t="shared" si="22"/>
        <v>0</v>
      </c>
      <c r="P35" s="16" t="e">
        <f t="shared" si="22"/>
        <v>#DIV/0!</v>
      </c>
      <c r="Q35" s="26">
        <f t="shared" si="22"/>
        <v>0</v>
      </c>
    </row>
    <row r="36" spans="1:19" ht="19.5" thickBot="1" x14ac:dyDescent="0.45">
      <c r="A36" s="448"/>
      <c r="B36" s="451"/>
      <c r="C36" s="437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>
        <f>SUM($E34:G34)/SUM($E33:G33)</f>
        <v>0</v>
      </c>
      <c r="H36" s="7">
        <f>SUM($E34:H34)/SUM($E33:H33)</f>
        <v>0</v>
      </c>
      <c r="I36" s="7">
        <f>SUM($E34:I34)/SUM($E33:I33)</f>
        <v>0</v>
      </c>
      <c r="J36" s="15">
        <f>SUM($E34:J34)/SUM($E33:J33)</f>
        <v>0</v>
      </c>
      <c r="K36" s="10">
        <f>SUM($E34:K34)/SUM($E33:K33)</f>
        <v>0</v>
      </c>
      <c r="L36" s="7">
        <f>SUM($E34:L34)/SUM($E33:L33)</f>
        <v>0</v>
      </c>
      <c r="M36" s="7">
        <f>SUM($E34:M34)/SUM($E33:M33)</f>
        <v>0</v>
      </c>
      <c r="N36" s="7">
        <f>SUM($E34:N34)/SUM($E33:N33)</f>
        <v>0</v>
      </c>
      <c r="O36" s="7">
        <f>SUM($E34:O34)/SUM($E33:O33)</f>
        <v>0</v>
      </c>
      <c r="P36" s="18">
        <f>SUM($E34:P34)/SUM($E33:P33)</f>
        <v>0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>SUM(E7,E17,E27)</f>
        <v>0</v>
      </c>
      <c r="F37" s="127">
        <f t="shared" ref="F37:Q38" si="23">SUM(F7,F17,F27)</f>
        <v>0</v>
      </c>
      <c r="G37" s="128">
        <f t="shared" si="23"/>
        <v>660</v>
      </c>
      <c r="H37" s="127">
        <f t="shared" si="23"/>
        <v>2800</v>
      </c>
      <c r="I37" s="127">
        <f t="shared" si="23"/>
        <v>0</v>
      </c>
      <c r="J37" s="129">
        <f t="shared" si="23"/>
        <v>12200</v>
      </c>
      <c r="K37" s="126">
        <f t="shared" si="23"/>
        <v>4000</v>
      </c>
      <c r="L37" s="127">
        <f t="shared" si="23"/>
        <v>7600</v>
      </c>
      <c r="M37" s="128">
        <f t="shared" si="23"/>
        <v>0</v>
      </c>
      <c r="N37" s="127">
        <f t="shared" si="23"/>
        <v>6000</v>
      </c>
      <c r="O37" s="127">
        <f t="shared" si="23"/>
        <v>11200</v>
      </c>
      <c r="P37" s="129">
        <f t="shared" si="23"/>
        <v>0</v>
      </c>
      <c r="Q37" s="130">
        <f t="shared" si="23"/>
        <v>44460</v>
      </c>
      <c r="R37" s="465">
        <f>SUM(R7,R17,R27)</f>
        <v>3040</v>
      </c>
      <c r="S37" s="68">
        <f>IFERROR(Q37/R37,"")</f>
        <v>14.625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 ca="1">SUM(E8,E18,E28)</f>
        <v>0</v>
      </c>
      <c r="F38" s="135">
        <f t="shared" ca="1" si="23"/>
        <v>0</v>
      </c>
      <c r="G38" s="138">
        <f t="shared" ca="1" si="23"/>
        <v>0</v>
      </c>
      <c r="H38" s="135">
        <f t="shared" ca="1" si="23"/>
        <v>0</v>
      </c>
      <c r="I38" s="135">
        <f t="shared" ca="1" si="23"/>
        <v>0</v>
      </c>
      <c r="J38" s="136">
        <f t="shared" ca="1" si="23"/>
        <v>0</v>
      </c>
      <c r="K38" s="134">
        <f t="shared" ca="1" si="23"/>
        <v>0</v>
      </c>
      <c r="L38" s="135">
        <f t="shared" ca="1" si="23"/>
        <v>0</v>
      </c>
      <c r="M38" s="138">
        <f t="shared" ca="1" si="23"/>
        <v>0</v>
      </c>
      <c r="N38" s="135">
        <f t="shared" ca="1" si="23"/>
        <v>0</v>
      </c>
      <c r="O38" s="135">
        <f t="shared" ca="1" si="23"/>
        <v>0</v>
      </c>
      <c r="P38" s="136">
        <f t="shared" ca="1" si="23"/>
        <v>0</v>
      </c>
      <c r="Q38" s="148">
        <f t="shared" ca="1" si="23"/>
        <v>0</v>
      </c>
      <c r="R38" s="466"/>
      <c r="S38" s="69">
        <f ca="1">IFERROR(Q38/R37,"")</f>
        <v>0</v>
      </c>
    </row>
    <row r="39" spans="1:19" x14ac:dyDescent="0.4">
      <c r="A39" s="19"/>
      <c r="B39" s="430"/>
      <c r="C39" s="433"/>
      <c r="D39" s="24" t="s">
        <v>17</v>
      </c>
      <c r="E39" s="11" t="e">
        <f ca="1">E38/E37</f>
        <v>#DIV/0!</v>
      </c>
      <c r="F39" s="4" t="e">
        <f t="shared" ref="F39:Q39" ca="1" si="24">F38/F37</f>
        <v>#DIV/0!</v>
      </c>
      <c r="G39" s="16">
        <f t="shared" ca="1" si="24"/>
        <v>0</v>
      </c>
      <c r="H39" s="4">
        <f t="shared" ca="1" si="24"/>
        <v>0</v>
      </c>
      <c r="I39" s="4" t="e">
        <f t="shared" ca="1" si="24"/>
        <v>#DIV/0!</v>
      </c>
      <c r="J39" s="6">
        <f t="shared" ca="1" si="24"/>
        <v>0</v>
      </c>
      <c r="K39" s="11">
        <f t="shared" ca="1" si="24"/>
        <v>0</v>
      </c>
      <c r="L39" s="4">
        <f t="shared" ca="1" si="24"/>
        <v>0</v>
      </c>
      <c r="M39" s="16" t="e">
        <f t="shared" ca="1" si="24"/>
        <v>#DIV/0!</v>
      </c>
      <c r="N39" s="4">
        <f t="shared" ca="1" si="24"/>
        <v>0</v>
      </c>
      <c r="O39" s="4">
        <f t="shared" ca="1" si="24"/>
        <v>0</v>
      </c>
      <c r="P39" s="6" t="e">
        <f t="shared" ca="1" si="24"/>
        <v>#DIV/0!</v>
      </c>
      <c r="Q39" s="26">
        <f t="shared" ca="1" si="24"/>
        <v>0</v>
      </c>
    </row>
    <row r="40" spans="1:19" x14ac:dyDescent="0.4">
      <c r="A40" s="19"/>
      <c r="B40" s="430"/>
      <c r="C40" s="434"/>
      <c r="D40" s="25" t="s">
        <v>18</v>
      </c>
      <c r="E40" s="12" t="e">
        <f ca="1">SUM($E38:E38)/SUM($E37:E37)</f>
        <v>#DIV/0!</v>
      </c>
      <c r="F40" s="5" t="e">
        <f ca="1">SUM($E38:F38)/SUM($E37:F37)</f>
        <v>#DIV/0!</v>
      </c>
      <c r="G40" s="17">
        <f ca="1">SUM($E38:G38)/SUM($E37:G37)</f>
        <v>0</v>
      </c>
      <c r="H40" s="5">
        <f ca="1">SUM($E38:H38)/SUM($E37:H37)</f>
        <v>0</v>
      </c>
      <c r="I40" s="5">
        <f ca="1">SUM($E38:I38)/SUM($E37:I37)</f>
        <v>0</v>
      </c>
      <c r="J40" s="13">
        <f ca="1">SUM($E38:J38)/SUM($E37:J37)</f>
        <v>0</v>
      </c>
      <c r="K40" s="12">
        <f ca="1">SUM($E38:K38)/SUM($E37:K37)</f>
        <v>0</v>
      </c>
      <c r="L40" s="5">
        <f ca="1">SUM($E38:L38)/SUM($E37:L37)</f>
        <v>0</v>
      </c>
      <c r="M40" s="17">
        <f ca="1">SUM($E38:M38)/SUM($E37:M37)</f>
        <v>0</v>
      </c>
      <c r="N40" s="5">
        <f ca="1">SUM($E38:N38)/SUM($E37:N37)</f>
        <v>0</v>
      </c>
      <c r="O40" s="5">
        <f ca="1">SUM($E38:O38)/SUM($E37:O37)</f>
        <v>0</v>
      </c>
      <c r="P40" s="13">
        <f ca="1">SUM($E38:P38)/SUM($E37:P37)</f>
        <v>0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>SUM(E13,E23,E33)</f>
        <v>0</v>
      </c>
      <c r="F41" s="113">
        <f t="shared" ref="F41:Q42" si="25">SUM(F13,F23,F33)</f>
        <v>0</v>
      </c>
      <c r="G41" s="116">
        <f t="shared" si="25"/>
        <v>140</v>
      </c>
      <c r="H41" s="113">
        <f t="shared" si="25"/>
        <v>480</v>
      </c>
      <c r="I41" s="113">
        <f t="shared" si="25"/>
        <v>0</v>
      </c>
      <c r="J41" s="114">
        <f t="shared" si="25"/>
        <v>1100</v>
      </c>
      <c r="K41" s="112">
        <f t="shared" si="25"/>
        <v>600</v>
      </c>
      <c r="L41" s="113">
        <f t="shared" si="25"/>
        <v>700</v>
      </c>
      <c r="M41" s="116">
        <f t="shared" si="25"/>
        <v>0</v>
      </c>
      <c r="N41" s="113">
        <f t="shared" si="25"/>
        <v>1000</v>
      </c>
      <c r="O41" s="113">
        <f t="shared" si="25"/>
        <v>1200</v>
      </c>
      <c r="P41" s="114">
        <f t="shared" si="25"/>
        <v>0</v>
      </c>
      <c r="Q41" s="132">
        <f t="shared" si="25"/>
        <v>5220</v>
      </c>
      <c r="R41" s="465">
        <f>SUM(R13,R23,R33)</f>
        <v>-4180</v>
      </c>
      <c r="S41" s="68">
        <f>IFERROR(Q41/R41,"")</f>
        <v>-1.2488038277511961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 ca="1">SUM(E14,E24,E34)</f>
        <v>0</v>
      </c>
      <c r="F42" s="135">
        <f t="shared" ca="1" si="25"/>
        <v>0</v>
      </c>
      <c r="G42" s="138">
        <f t="shared" ca="1" si="25"/>
        <v>0</v>
      </c>
      <c r="H42" s="135">
        <f t="shared" ca="1" si="25"/>
        <v>0</v>
      </c>
      <c r="I42" s="135">
        <f t="shared" ca="1" si="25"/>
        <v>0</v>
      </c>
      <c r="J42" s="136">
        <f t="shared" ca="1" si="25"/>
        <v>0</v>
      </c>
      <c r="K42" s="134">
        <f t="shared" ca="1" si="25"/>
        <v>0</v>
      </c>
      <c r="L42" s="135">
        <f t="shared" ca="1" si="25"/>
        <v>0</v>
      </c>
      <c r="M42" s="138">
        <f t="shared" ca="1" si="25"/>
        <v>0</v>
      </c>
      <c r="N42" s="135">
        <f t="shared" ca="1" si="25"/>
        <v>0</v>
      </c>
      <c r="O42" s="135">
        <f t="shared" ca="1" si="25"/>
        <v>0</v>
      </c>
      <c r="P42" s="136">
        <f t="shared" ca="1" si="25"/>
        <v>0</v>
      </c>
      <c r="Q42" s="148">
        <f t="shared" ca="1" si="25"/>
        <v>0</v>
      </c>
      <c r="R42" s="466"/>
      <c r="S42" s="69">
        <f ca="1">IFERROR(Q42/R41,"")</f>
        <v>0</v>
      </c>
    </row>
    <row r="43" spans="1:19" x14ac:dyDescent="0.4">
      <c r="A43" s="19"/>
      <c r="B43" s="430"/>
      <c r="C43" s="436"/>
      <c r="D43" s="24" t="s">
        <v>17</v>
      </c>
      <c r="E43" s="11" t="e">
        <f ca="1">E42/E41</f>
        <v>#DIV/0!</v>
      </c>
      <c r="F43" s="4" t="e">
        <f t="shared" ref="F43:Q43" ca="1" si="26">F42/F41</f>
        <v>#DIV/0!</v>
      </c>
      <c r="G43" s="16">
        <f t="shared" ca="1" si="26"/>
        <v>0</v>
      </c>
      <c r="H43" s="4">
        <f t="shared" ca="1" si="26"/>
        <v>0</v>
      </c>
      <c r="I43" s="4" t="e">
        <f t="shared" ca="1" si="26"/>
        <v>#DIV/0!</v>
      </c>
      <c r="J43" s="6">
        <f t="shared" ca="1" si="26"/>
        <v>0</v>
      </c>
      <c r="K43" s="11">
        <f t="shared" ca="1" si="26"/>
        <v>0</v>
      </c>
      <c r="L43" s="4">
        <f t="shared" ca="1" si="26"/>
        <v>0</v>
      </c>
      <c r="M43" s="16" t="e">
        <f t="shared" ca="1" si="26"/>
        <v>#DIV/0!</v>
      </c>
      <c r="N43" s="4">
        <f t="shared" ca="1" si="26"/>
        <v>0</v>
      </c>
      <c r="O43" s="4">
        <f t="shared" ca="1" si="26"/>
        <v>0</v>
      </c>
      <c r="P43" s="6" t="e">
        <f t="shared" ca="1" si="26"/>
        <v>#DIV/0!</v>
      </c>
      <c r="Q43" s="26">
        <f t="shared" ca="1" si="26"/>
        <v>0</v>
      </c>
    </row>
    <row r="44" spans="1:19" ht="19.5" thickBot="1" x14ac:dyDescent="0.45">
      <c r="A44" s="19"/>
      <c r="B44" s="431"/>
      <c r="C44" s="437"/>
      <c r="D44" s="30" t="s">
        <v>18</v>
      </c>
      <c r="E44" s="14" t="e">
        <f ca="1">SUM($E42:E42)/SUM($E41:E41)</f>
        <v>#DIV/0!</v>
      </c>
      <c r="F44" s="7" t="e">
        <f ca="1">SUM($E42:F42)/SUM($E41:F41)</f>
        <v>#DIV/0!</v>
      </c>
      <c r="G44" s="18">
        <f ca="1">SUM($E42:G42)/SUM($E41:G41)</f>
        <v>0</v>
      </c>
      <c r="H44" s="7">
        <f ca="1">SUM($E42:H42)/SUM($E41:H41)</f>
        <v>0</v>
      </c>
      <c r="I44" s="7">
        <f ca="1">SUM($E42:I42)/SUM($E41:I41)</f>
        <v>0</v>
      </c>
      <c r="J44" s="15">
        <f ca="1">SUM($E42:J42)/SUM($E41:J41)</f>
        <v>0</v>
      </c>
      <c r="K44" s="14">
        <f ca="1">SUM($E42:K42)/SUM($E41:K41)</f>
        <v>0</v>
      </c>
      <c r="L44" s="7">
        <f ca="1">SUM($E42:L42)/SUM($E41:L41)</f>
        <v>0</v>
      </c>
      <c r="M44" s="18">
        <f ca="1">SUM($E42:M42)/SUM($E41:M41)</f>
        <v>0</v>
      </c>
      <c r="N44" s="7">
        <f ca="1">SUM($E42:N42)/SUM($E41:N41)</f>
        <v>0</v>
      </c>
      <c r="O44" s="7">
        <f ca="1">SUM($E42:O42)/SUM($E41:O41)</f>
        <v>0</v>
      </c>
      <c r="P44" s="15">
        <f ca="1">SUM($E42:P42)/SUM($E41:P41)</f>
        <v>0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23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93"/>
      <c r="F48" s="74"/>
      <c r="G48" s="74" t="s">
        <v>97</v>
      </c>
      <c r="H48" s="74" t="s">
        <v>98</v>
      </c>
      <c r="I48" s="74"/>
      <c r="J48" s="80"/>
      <c r="K48" s="93"/>
      <c r="L48" s="74"/>
      <c r="M48" s="95"/>
      <c r="N48" s="74"/>
      <c r="O48" s="74" t="s">
        <v>99</v>
      </c>
      <c r="P48" s="80"/>
    </row>
    <row r="49" spans="1:16" ht="39" customHeight="1" x14ac:dyDescent="0.4">
      <c r="A49" s="424"/>
      <c r="B49" s="425"/>
      <c r="C49" s="484" t="str">
        <f>A7</f>
        <v>SF上海</v>
      </c>
      <c r="D49" s="81" t="s">
        <v>38</v>
      </c>
      <c r="E49" s="82"/>
      <c r="F49" s="83"/>
      <c r="G49" s="83"/>
      <c r="H49" s="83"/>
      <c r="I49" s="83"/>
      <c r="J49" s="84" t="s">
        <v>100</v>
      </c>
      <c r="K49" s="82"/>
      <c r="L49" s="83" t="s">
        <v>100</v>
      </c>
      <c r="M49" s="83"/>
      <c r="N49" s="83"/>
      <c r="O49" s="83" t="s">
        <v>101</v>
      </c>
      <c r="P49" s="84"/>
    </row>
    <row r="50" spans="1:16" ht="39" customHeight="1" x14ac:dyDescent="0.4">
      <c r="A50" s="424"/>
      <c r="B50" s="425"/>
      <c r="C50" s="485"/>
      <c r="D50" s="85" t="s">
        <v>36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 x14ac:dyDescent="0.45">
      <c r="A51" s="424"/>
      <c r="B51" s="425"/>
      <c r="C51" s="151" t="str">
        <f>B7</f>
        <v>MOBILON
スパンデックス</v>
      </c>
      <c r="D51" s="89" t="s">
        <v>37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3"/>
      <c r="F52" s="74"/>
      <c r="G52" s="75" t="s">
        <v>102</v>
      </c>
      <c r="H52" s="74" t="s">
        <v>103</v>
      </c>
      <c r="I52" s="96" t="s">
        <v>104</v>
      </c>
      <c r="J52" s="75" t="s">
        <v>105</v>
      </c>
      <c r="K52" s="93"/>
      <c r="L52" s="74"/>
      <c r="M52" s="74"/>
      <c r="N52" s="74"/>
      <c r="O52" s="74"/>
      <c r="P52" s="80"/>
    </row>
    <row r="53" spans="1:16" ht="39" customHeight="1" x14ac:dyDescent="0.4">
      <c r="A53" s="424"/>
      <c r="B53" s="425"/>
      <c r="C53" s="484" t="str">
        <f>A17</f>
        <v>アパレル
産業資材</v>
      </c>
      <c r="D53" s="81" t="s">
        <v>38</v>
      </c>
      <c r="E53" s="82"/>
      <c r="F53" s="83"/>
      <c r="G53" s="83" t="s">
        <v>106</v>
      </c>
      <c r="H53" s="83" t="s">
        <v>107</v>
      </c>
      <c r="I53" s="83"/>
      <c r="J53" s="84" t="s">
        <v>108</v>
      </c>
      <c r="K53" s="82" t="s">
        <v>109</v>
      </c>
      <c r="L53" s="83" t="s">
        <v>110</v>
      </c>
      <c r="M53" s="83"/>
      <c r="N53" s="83" t="s">
        <v>111</v>
      </c>
      <c r="O53" s="83" t="s">
        <v>112</v>
      </c>
      <c r="P53" s="84"/>
    </row>
    <row r="54" spans="1:16" ht="39" customHeight="1" x14ac:dyDescent="0.4">
      <c r="A54" s="424"/>
      <c r="B54" s="425"/>
      <c r="C54" s="485"/>
      <c r="D54" s="85" t="s">
        <v>36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 x14ac:dyDescent="0.45">
      <c r="A55" s="424"/>
      <c r="B55" s="425"/>
      <c r="C55" s="151" t="str">
        <f>B17</f>
        <v>MOBILONテープ
MOBILONバンド
JCA製品</v>
      </c>
      <c r="D55" s="89" t="s">
        <v>37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80"/>
    </row>
    <row r="57" spans="1:16" ht="39" customHeight="1" x14ac:dyDescent="0.4">
      <c r="A57" s="424"/>
      <c r="B57" s="425"/>
      <c r="C57" s="484"/>
      <c r="D57" s="81" t="s">
        <v>38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 x14ac:dyDescent="0.4">
      <c r="A58" s="424"/>
      <c r="B58" s="425"/>
      <c r="C58" s="485"/>
      <c r="D58" s="85" t="s">
        <v>36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 x14ac:dyDescent="0.45">
      <c r="A59" s="426"/>
      <c r="B59" s="427"/>
      <c r="C59" s="151"/>
      <c r="D59" s="89" t="s">
        <v>37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A8579-0174-4CDF-8F34-DE6C5A2A2E4F}">
  <sheetPr>
    <tabColor theme="6" tint="0.79998168889431442"/>
  </sheetPr>
  <dimension ref="A1:R400"/>
  <sheetViews>
    <sheetView workbookViewId="0">
      <selection activeCell="E14" sqref="E14:P14"/>
    </sheetView>
  </sheetViews>
  <sheetFormatPr defaultColWidth="9" defaultRowHeight="18.75" x14ac:dyDescent="0.4"/>
  <cols>
    <col min="1" max="2" width="15.875" style="162" customWidth="1"/>
    <col min="3" max="4" width="15.875" style="160" customWidth="1"/>
    <col min="5" max="5" width="9" style="208"/>
    <col min="6" max="6" width="15.625" style="160" customWidth="1"/>
    <col min="7" max="7" width="15.625" style="161" customWidth="1"/>
    <col min="8" max="8" width="9" style="162"/>
    <col min="9" max="9" width="5.25" style="168" bestFit="1" customWidth="1"/>
    <col min="10" max="10" width="14.5" style="164" customWidth="1"/>
    <col min="11" max="11" width="14.5" style="165" customWidth="1"/>
    <col min="12" max="12" width="5.25" style="165" bestFit="1" customWidth="1"/>
    <col min="13" max="15" width="14.5" style="165" customWidth="1"/>
    <col min="16" max="16" width="7.125" style="167" bestFit="1" customWidth="1"/>
    <col min="17" max="19" width="15.625" style="162" customWidth="1"/>
    <col min="20" max="16384" width="9" style="162"/>
  </cols>
  <sheetData>
    <row r="1" spans="1:18" ht="18.75" customHeight="1" x14ac:dyDescent="0.4">
      <c r="A1" s="492" t="s">
        <v>218</v>
      </c>
      <c r="B1" s="492"/>
      <c r="C1" s="492"/>
      <c r="D1" s="492"/>
      <c r="E1" s="492"/>
      <c r="I1" s="163" t="s">
        <v>219</v>
      </c>
      <c r="M1" s="163"/>
      <c r="N1" s="166"/>
      <c r="O1" s="166"/>
    </row>
    <row r="2" spans="1:18" ht="18.75" customHeight="1" x14ac:dyDescent="0.4">
      <c r="A2" s="492"/>
      <c r="B2" s="492"/>
      <c r="C2" s="492"/>
      <c r="D2" s="492"/>
      <c r="E2" s="492"/>
      <c r="J2" s="169" t="s">
        <v>220</v>
      </c>
      <c r="K2" s="169" t="s">
        <v>221</v>
      </c>
      <c r="L2" s="166"/>
      <c r="M2" s="170" t="s">
        <v>222</v>
      </c>
      <c r="N2" s="170" t="s">
        <v>223</v>
      </c>
      <c r="O2" s="170" t="s">
        <v>224</v>
      </c>
      <c r="P2" s="171" t="s">
        <v>225</v>
      </c>
    </row>
    <row r="3" spans="1:18" ht="18.75" customHeight="1" x14ac:dyDescent="0.4">
      <c r="A3" s="172" t="s">
        <v>226</v>
      </c>
      <c r="B3" s="173"/>
      <c r="C3" s="173"/>
      <c r="D3" s="173"/>
      <c r="E3" s="173"/>
      <c r="F3" s="174"/>
      <c r="G3" s="175"/>
      <c r="H3" s="175"/>
      <c r="I3" s="176"/>
      <c r="J3" s="169">
        <v>0.5</v>
      </c>
      <c r="K3" s="169">
        <v>-0.5</v>
      </c>
      <c r="L3" s="177"/>
      <c r="M3" s="178" t="str">
        <f>新規1!A7</f>
        <v>SF上海</v>
      </c>
      <c r="N3" s="179" t="str">
        <f>新規1!A17</f>
        <v>アパレル
産業資材</v>
      </c>
      <c r="O3" s="179"/>
      <c r="P3" s="171">
        <v>0.6</v>
      </c>
    </row>
    <row r="4" spans="1:18" x14ac:dyDescent="0.4">
      <c r="A4" s="180" t="s">
        <v>227</v>
      </c>
      <c r="B4" s="162" t="s">
        <v>228</v>
      </c>
      <c r="C4" s="181" t="s">
        <v>227</v>
      </c>
      <c r="D4" s="182" t="s">
        <v>227</v>
      </c>
      <c r="E4" s="183" t="s">
        <v>227</v>
      </c>
      <c r="F4" s="181" t="s">
        <v>227</v>
      </c>
      <c r="G4" s="184" t="s">
        <v>227</v>
      </c>
      <c r="H4" s="183" t="s">
        <v>227</v>
      </c>
      <c r="I4" s="185"/>
      <c r="J4" s="186" t="s">
        <v>230</v>
      </c>
      <c r="K4" s="187"/>
      <c r="L4" s="188"/>
      <c r="M4" s="186" t="s">
        <v>229</v>
      </c>
      <c r="N4" s="187"/>
      <c r="O4" s="185"/>
      <c r="P4" s="187"/>
    </row>
    <row r="5" spans="1:18" x14ac:dyDescent="0.4">
      <c r="A5" s="175" t="s">
        <v>231</v>
      </c>
      <c r="B5" s="175" t="s">
        <v>232</v>
      </c>
      <c r="C5" s="189" t="s">
        <v>233</v>
      </c>
      <c r="D5" s="174" t="s">
        <v>234</v>
      </c>
      <c r="E5" s="190" t="s">
        <v>235</v>
      </c>
      <c r="F5" s="189" t="s">
        <v>236</v>
      </c>
      <c r="G5" s="191" t="s">
        <v>237</v>
      </c>
      <c r="H5" s="192" t="s">
        <v>238</v>
      </c>
      <c r="I5" s="193" t="s">
        <v>239</v>
      </c>
      <c r="J5" s="194" t="s">
        <v>240</v>
      </c>
      <c r="K5" s="195" t="s">
        <v>241</v>
      </c>
      <c r="L5" s="196" t="s">
        <v>239</v>
      </c>
      <c r="M5" s="197" t="s">
        <v>242</v>
      </c>
      <c r="N5" s="195" t="s">
        <v>243</v>
      </c>
      <c r="O5" s="196" t="s">
        <v>244</v>
      </c>
      <c r="P5" s="198" t="s">
        <v>245</v>
      </c>
    </row>
    <row r="6" spans="1:18" x14ac:dyDescent="0.4">
      <c r="C6" s="199"/>
      <c r="D6" s="200"/>
      <c r="E6" s="201"/>
      <c r="F6" s="199"/>
      <c r="H6" s="202"/>
      <c r="I6" s="185" t="str">
        <f>IF(H6="","",IF(H6="JPY","",IF($H6="USD",4, IF(H6="EUR",7,IF(H6="CNY",47,IF(H6="HKD",34))))))</f>
        <v/>
      </c>
      <c r="J6" s="203" t="str">
        <f>IF($H6="USD",IF(OR($I6="",$I6="-"),"",VLOOKUP($G6,為替!$A:$AX,$I6,FALSE))+$J$3,IF(OR($I6="",$I6="-"),"",VLOOKUP($G6,為替!$A:$AX,$I6,FALSE)))</f>
        <v/>
      </c>
      <c r="K6" s="204" t="str">
        <f>IF($H6="JPY",$F6,IF($H6="","",$F6*$J6))</f>
        <v/>
      </c>
      <c r="L6" s="188" t="str">
        <f>IF(H6="","",IF(H6="JPY","",IF($H6="USD",3, IF(H6="EUR",6,IF(H6="CNY",46,IF(H6="HKD",33))))))</f>
        <v/>
      </c>
      <c r="M6" s="203" t="str">
        <f>IF($H6="USD",IF(OR($L6="",$L6="-"),"",VLOOKUP($G6,為替!$A:$AX,$L6,FALSE))+$K$3,IF(OR($L6="",$L6="-"),"",VLOOKUP($G6,為替!$A:$AX,$L6,FALSE)))</f>
        <v/>
      </c>
      <c r="N6" s="204" t="str">
        <f>IF($E6="JPY",($C6+$D6),IF($E6="","",($C6+$D6)*$M6))</f>
        <v/>
      </c>
      <c r="O6" s="205" t="str">
        <f t="shared" ref="O6:O69" si="0">IF(OR(K6="",N6=""),"",K6-N6)</f>
        <v/>
      </c>
      <c r="P6" s="206" t="str">
        <f>IF(OR(K6="",O6=""),"",O6/K6)</f>
        <v/>
      </c>
    </row>
    <row r="7" spans="1:18" x14ac:dyDescent="0.4">
      <c r="C7" s="199"/>
      <c r="D7" s="200"/>
      <c r="E7" s="201"/>
      <c r="F7" s="199"/>
      <c r="H7" s="202"/>
      <c r="I7" s="185" t="str">
        <f t="shared" ref="I7:I70" si="1">IF(H7="","",IF(H7="JPY","",IF($H7="USD",4, IF(H7="EUR",7,IF(H7="CNY",47,IF(H7="HKD",34))))))</f>
        <v/>
      </c>
      <c r="J7" s="203" t="str">
        <f>IF($H7="USD",IF(OR($I7="",$I7="-"),"",VLOOKUP($G7,為替!$A:$AX,$I7,FALSE))+$J$3,IF(OR($I7="",$I7="-"),"",VLOOKUP($G7,為替!$A:$AX,$I7,FALSE)))</f>
        <v/>
      </c>
      <c r="K7" s="204" t="str">
        <f t="shared" ref="K7:K70" si="2">IF($H7="JPY",$F7,IF($H7="","",$F7*$J7))</f>
        <v/>
      </c>
      <c r="L7" s="188" t="str">
        <f t="shared" ref="L7:L70" si="3">IF(H7="","",IF(H7="JPY","",IF($H7="USD",3, IF(H7="EUR",6,IF(H7="CNY",46,IF(H7="HKD",33))))))</f>
        <v/>
      </c>
      <c r="M7" s="203" t="str">
        <f>IF($H7="USD",IF(OR($L7="",$L7="-"),"",VLOOKUP($G7,為替!$A:$AX,$L7,FALSE))+$K$3,IF(OR($L7="",$L7="-"),"",VLOOKUP($G7,為替!$A:$AX,$L7,FALSE)))</f>
        <v/>
      </c>
      <c r="N7" s="204" t="str">
        <f t="shared" ref="N7:N70" si="4">IF($E7="JPY",($C7+$D7),IF($E7="","",($C7+$D7)*$M7))</f>
        <v/>
      </c>
      <c r="O7" s="205" t="str">
        <f t="shared" si="0"/>
        <v/>
      </c>
      <c r="P7" s="206" t="str">
        <f t="shared" ref="P7:P70" si="5">IF(OR(K7="",O7=""),"",O7/K7)</f>
        <v/>
      </c>
      <c r="R7" s="207"/>
    </row>
    <row r="8" spans="1:18" x14ac:dyDescent="0.4">
      <c r="C8" s="199"/>
      <c r="D8" s="200"/>
      <c r="E8" s="201"/>
      <c r="F8" s="199"/>
      <c r="H8" s="202"/>
      <c r="I8" s="185" t="str">
        <f t="shared" si="1"/>
        <v/>
      </c>
      <c r="J8" s="203" t="str">
        <f>IF($H8="USD",IF(OR($I8="",$I8="-"),"",VLOOKUP($G8,為替!$A:$AX,$I8,FALSE))+$J$3,IF(OR($I8="",$I8="-"),"",VLOOKUP($G8,為替!$A:$AX,$I8,FALSE)))</f>
        <v/>
      </c>
      <c r="K8" s="204" t="str">
        <f t="shared" si="2"/>
        <v/>
      </c>
      <c r="L8" s="188" t="str">
        <f t="shared" si="3"/>
        <v/>
      </c>
      <c r="M8" s="203" t="str">
        <f>IF($H8="USD",IF(OR($L8="",$L8="-"),"",VLOOKUP($G8,為替!$A:$AX,$L8,FALSE))+$K$3,IF(OR($L8="",$L8="-"),"",VLOOKUP($G8,為替!$A:$AX,$L8,FALSE)))</f>
        <v/>
      </c>
      <c r="N8" s="204" t="str">
        <f t="shared" si="4"/>
        <v/>
      </c>
      <c r="O8" s="205" t="str">
        <f t="shared" si="0"/>
        <v/>
      </c>
      <c r="P8" s="206" t="str">
        <f t="shared" si="5"/>
        <v/>
      </c>
    </row>
    <row r="9" spans="1:18" x14ac:dyDescent="0.4">
      <c r="C9" s="199"/>
      <c r="D9" s="200"/>
      <c r="E9" s="201"/>
      <c r="F9" s="199"/>
      <c r="H9" s="202"/>
      <c r="I9" s="185" t="str">
        <f t="shared" si="1"/>
        <v/>
      </c>
      <c r="J9" s="203" t="str">
        <f>IF($H9="USD",IF(OR($I9="",$I9="-"),"",VLOOKUP($G9,為替!$A:$AX,$I9,FALSE))+$J$3,IF(OR($I9="",$I9="-"),"",VLOOKUP($G9,為替!$A:$AX,$I9,FALSE)))</f>
        <v/>
      </c>
      <c r="K9" s="204" t="str">
        <f t="shared" si="2"/>
        <v/>
      </c>
      <c r="L9" s="188" t="str">
        <f t="shared" si="3"/>
        <v/>
      </c>
      <c r="M9" s="203" t="str">
        <f>IF($H9="USD",IF(OR($L9="",$L9="-"),"",VLOOKUP($G9,為替!$A:$AX,$L9,FALSE))+$K$3,IF(OR($L9="",$L9="-"),"",VLOOKUP($G9,為替!$A:$AX,$L9,FALSE)))</f>
        <v/>
      </c>
      <c r="N9" s="204" t="str">
        <f t="shared" si="4"/>
        <v/>
      </c>
      <c r="O9" s="205" t="str">
        <f t="shared" si="0"/>
        <v/>
      </c>
      <c r="P9" s="206" t="str">
        <f t="shared" si="5"/>
        <v/>
      </c>
    </row>
    <row r="10" spans="1:18" x14ac:dyDescent="0.4">
      <c r="C10" s="199"/>
      <c r="D10" s="200"/>
      <c r="E10" s="201"/>
      <c r="F10" s="199"/>
      <c r="H10" s="202"/>
      <c r="I10" s="185" t="str">
        <f t="shared" si="1"/>
        <v/>
      </c>
      <c r="J10" s="203" t="str">
        <f>IF($H10="USD",IF(OR($I10="",$I10="-"),"",VLOOKUP($G10,為替!$A:$AX,$I10,FALSE))+$J$3,IF(OR($I10="",$I10="-"),"",VLOOKUP($G10,為替!$A:$AX,$I10,FALSE)))</f>
        <v/>
      </c>
      <c r="K10" s="204" t="str">
        <f t="shared" si="2"/>
        <v/>
      </c>
      <c r="L10" s="188" t="str">
        <f t="shared" si="3"/>
        <v/>
      </c>
      <c r="M10" s="203" t="str">
        <f>IF($H10="USD",IF(OR($L10="",$L10="-"),"",VLOOKUP($G10,為替!$A:$AX,$L10,FALSE))+$K$3,IF(OR($L10="",$L10="-"),"",VLOOKUP($G10,為替!$A:$AX,$L10,FALSE)))</f>
        <v/>
      </c>
      <c r="N10" s="204" t="str">
        <f t="shared" si="4"/>
        <v/>
      </c>
      <c r="O10" s="205" t="str">
        <f t="shared" si="0"/>
        <v/>
      </c>
      <c r="P10" s="206" t="str">
        <f t="shared" si="5"/>
        <v/>
      </c>
    </row>
    <row r="11" spans="1:18" x14ac:dyDescent="0.4">
      <c r="C11" s="199"/>
      <c r="D11" s="200"/>
      <c r="E11" s="201"/>
      <c r="F11" s="199"/>
      <c r="H11" s="202"/>
      <c r="I11" s="185" t="str">
        <f t="shared" si="1"/>
        <v/>
      </c>
      <c r="J11" s="203" t="str">
        <f>IF($H11="USD",IF(OR($I11="",$I11="-"),"",VLOOKUP($G11,為替!$A:$AX,$I11,FALSE))+$J$3,IF(OR($I11="",$I11="-"),"",VLOOKUP($G11,為替!$A:$AX,$I11,FALSE)))</f>
        <v/>
      </c>
      <c r="K11" s="204" t="str">
        <f t="shared" si="2"/>
        <v/>
      </c>
      <c r="L11" s="188" t="str">
        <f t="shared" si="3"/>
        <v/>
      </c>
      <c r="M11" s="203" t="str">
        <f>IF($H11="USD",IF(OR($L11="",$L11="-"),"",VLOOKUP($G11,為替!$A:$AX,$L11,FALSE))+$K$3,IF(OR($L11="",$L11="-"),"",VLOOKUP($G11,為替!$A:$AX,$L11,FALSE)))</f>
        <v/>
      </c>
      <c r="N11" s="204" t="str">
        <f t="shared" si="4"/>
        <v/>
      </c>
      <c r="O11" s="205" t="str">
        <f t="shared" si="0"/>
        <v/>
      </c>
      <c r="P11" s="206" t="str">
        <f t="shared" si="5"/>
        <v/>
      </c>
    </row>
    <row r="12" spans="1:18" x14ac:dyDescent="0.4">
      <c r="C12" s="199"/>
      <c r="D12" s="200"/>
      <c r="E12" s="201"/>
      <c r="F12" s="199"/>
      <c r="H12" s="202"/>
      <c r="I12" s="185" t="str">
        <f t="shared" si="1"/>
        <v/>
      </c>
      <c r="J12" s="203" t="str">
        <f>IF($H12="USD",IF(OR($I12="",$I12="-"),"",VLOOKUP($G12,為替!$A:$AX,$I12,FALSE))+$J$3,IF(OR($I12="",$I12="-"),"",VLOOKUP($G12,為替!$A:$AX,$I12,FALSE)))</f>
        <v/>
      </c>
      <c r="K12" s="204" t="str">
        <f t="shared" si="2"/>
        <v/>
      </c>
      <c r="L12" s="188" t="str">
        <f t="shared" si="3"/>
        <v/>
      </c>
      <c r="M12" s="203" t="str">
        <f>IF($H12="USD",IF(OR($L12="",$L12="-"),"",VLOOKUP($G12,為替!$A:$AX,$L12,FALSE))+$K$3,IF(OR($L12="",$L12="-"),"",VLOOKUP($G12,為替!$A:$AX,$L12,FALSE)))</f>
        <v/>
      </c>
      <c r="N12" s="204" t="str">
        <f t="shared" si="4"/>
        <v/>
      </c>
      <c r="O12" s="205" t="str">
        <f t="shared" si="0"/>
        <v/>
      </c>
      <c r="P12" s="206" t="str">
        <f t="shared" si="5"/>
        <v/>
      </c>
    </row>
    <row r="13" spans="1:18" x14ac:dyDescent="0.4">
      <c r="C13" s="199"/>
      <c r="D13" s="200"/>
      <c r="E13" s="201"/>
      <c r="F13" s="199"/>
      <c r="H13" s="202"/>
      <c r="I13" s="185" t="str">
        <f t="shared" si="1"/>
        <v/>
      </c>
      <c r="J13" s="203" t="str">
        <f>IF($H13="USD",IF(OR($I13="",$I13="-"),"",VLOOKUP($G13,為替!$A:$AX,$I13,FALSE))+$J$3,IF(OR($I13="",$I13="-"),"",VLOOKUP($G13,為替!$A:$AX,$I13,FALSE)))</f>
        <v/>
      </c>
      <c r="K13" s="204" t="str">
        <f t="shared" si="2"/>
        <v/>
      </c>
      <c r="L13" s="188" t="str">
        <f t="shared" si="3"/>
        <v/>
      </c>
      <c r="M13" s="203" t="str">
        <f>IF($H13="USD",IF(OR($L13="",$L13="-"),"",VLOOKUP($G13,為替!$A:$AX,$L13,FALSE))+$K$3,IF(OR($L13="",$L13="-"),"",VLOOKUP($G13,為替!$A:$AX,$L13,FALSE)))</f>
        <v/>
      </c>
      <c r="N13" s="204" t="str">
        <f t="shared" si="4"/>
        <v/>
      </c>
      <c r="O13" s="205" t="str">
        <f t="shared" si="0"/>
        <v/>
      </c>
      <c r="P13" s="206" t="str">
        <f t="shared" si="5"/>
        <v/>
      </c>
    </row>
    <row r="14" spans="1:18" x14ac:dyDescent="0.4">
      <c r="C14" s="199"/>
      <c r="D14" s="200"/>
      <c r="E14" s="201"/>
      <c r="F14" s="199"/>
      <c r="H14" s="202"/>
      <c r="I14" s="185" t="str">
        <f t="shared" si="1"/>
        <v/>
      </c>
      <c r="J14" s="203" t="str">
        <f>IF($H14="USD",IF(OR($I14="",$I14="-"),"",VLOOKUP($G14,為替!$A:$AX,$I14,FALSE))+$J$3,IF(OR($I14="",$I14="-"),"",VLOOKUP($G14,為替!$A:$AX,$I14,FALSE)))</f>
        <v/>
      </c>
      <c r="K14" s="204" t="str">
        <f t="shared" si="2"/>
        <v/>
      </c>
      <c r="L14" s="188" t="str">
        <f t="shared" si="3"/>
        <v/>
      </c>
      <c r="M14" s="203" t="str">
        <f>IF($H14="USD",IF(OR($L14="",$L14="-"),"",VLOOKUP($G14,為替!$A:$AX,$L14,FALSE))+$K$3,IF(OR($L14="",$L14="-"),"",VLOOKUP($G14,為替!$A:$AX,$L14,FALSE)))</f>
        <v/>
      </c>
      <c r="N14" s="204" t="str">
        <f t="shared" si="4"/>
        <v/>
      </c>
      <c r="O14" s="205" t="str">
        <f t="shared" si="0"/>
        <v/>
      </c>
      <c r="P14" s="206" t="str">
        <f t="shared" si="5"/>
        <v/>
      </c>
    </row>
    <row r="15" spans="1:18" x14ac:dyDescent="0.4">
      <c r="C15" s="199"/>
      <c r="D15" s="200"/>
      <c r="E15" s="201"/>
      <c r="F15" s="199"/>
      <c r="H15" s="202"/>
      <c r="I15" s="185" t="str">
        <f t="shared" si="1"/>
        <v/>
      </c>
      <c r="J15" s="203" t="str">
        <f>IF($H15="USD",IF(OR($I15="",$I15="-"),"",VLOOKUP($G15,為替!$A:$AX,$I15,FALSE))+$J$3,IF(OR($I15="",$I15="-"),"",VLOOKUP($G15,為替!$A:$AX,$I15,FALSE)))</f>
        <v/>
      </c>
      <c r="K15" s="204" t="str">
        <f t="shared" si="2"/>
        <v/>
      </c>
      <c r="L15" s="188" t="str">
        <f t="shared" si="3"/>
        <v/>
      </c>
      <c r="M15" s="203" t="str">
        <f>IF($H15="USD",IF(OR($L15="",$L15="-"),"",VLOOKUP($G15,為替!$A:$AX,$L15,FALSE))+$K$3,IF(OR($L15="",$L15="-"),"",VLOOKUP($G15,為替!$A:$AX,$L15,FALSE)))</f>
        <v/>
      </c>
      <c r="N15" s="204" t="str">
        <f t="shared" si="4"/>
        <v/>
      </c>
      <c r="O15" s="205" t="str">
        <f t="shared" si="0"/>
        <v/>
      </c>
      <c r="P15" s="206" t="str">
        <f t="shared" si="5"/>
        <v/>
      </c>
    </row>
    <row r="16" spans="1:18" x14ac:dyDescent="0.4">
      <c r="C16" s="199"/>
      <c r="D16" s="200"/>
      <c r="E16" s="201"/>
      <c r="F16" s="199"/>
      <c r="H16" s="202"/>
      <c r="I16" s="185" t="str">
        <f t="shared" si="1"/>
        <v/>
      </c>
      <c r="J16" s="203" t="str">
        <f>IF($H16="USD",IF(OR($I16="",$I16="-"),"",VLOOKUP($G16,為替!$A:$AX,$I16,FALSE))+$J$3,IF(OR($I16="",$I16="-"),"",VLOOKUP($G16,為替!$A:$AX,$I16,FALSE)))</f>
        <v/>
      </c>
      <c r="K16" s="204" t="str">
        <f t="shared" si="2"/>
        <v/>
      </c>
      <c r="L16" s="188" t="str">
        <f t="shared" si="3"/>
        <v/>
      </c>
      <c r="M16" s="203" t="str">
        <f>IF($H16="USD",IF(OR($L16="",$L16="-"),"",VLOOKUP($G16,為替!$A:$AX,$L16,FALSE))+$K$3,IF(OR($L16="",$L16="-"),"",VLOOKUP($G16,為替!$A:$AX,$L16,FALSE)))</f>
        <v/>
      </c>
      <c r="N16" s="204" t="str">
        <f t="shared" si="4"/>
        <v/>
      </c>
      <c r="O16" s="205" t="str">
        <f t="shared" si="0"/>
        <v/>
      </c>
      <c r="P16" s="206" t="str">
        <f t="shared" si="5"/>
        <v/>
      </c>
    </row>
    <row r="17" spans="3:16" x14ac:dyDescent="0.4">
      <c r="C17" s="199"/>
      <c r="D17" s="200"/>
      <c r="E17" s="201"/>
      <c r="F17" s="199"/>
      <c r="H17" s="202"/>
      <c r="I17" s="185" t="str">
        <f t="shared" si="1"/>
        <v/>
      </c>
      <c r="J17" s="203" t="str">
        <f>IF($H17="USD",IF(OR($I17="",$I17="-"),"",VLOOKUP($G17,為替!$A:$AX,$I17,FALSE))+$J$3,IF(OR($I17="",$I17="-"),"",VLOOKUP($G17,為替!$A:$AX,$I17,FALSE)))</f>
        <v/>
      </c>
      <c r="K17" s="204" t="str">
        <f t="shared" si="2"/>
        <v/>
      </c>
      <c r="L17" s="188" t="str">
        <f t="shared" si="3"/>
        <v/>
      </c>
      <c r="M17" s="203" t="str">
        <f>IF($H17="USD",IF(OR($L17="",$L17="-"),"",VLOOKUP($G17,為替!$A:$AX,$L17,FALSE))+$K$3,IF(OR($L17="",$L17="-"),"",VLOOKUP($G17,為替!$A:$AX,$L17,FALSE)))</f>
        <v/>
      </c>
      <c r="N17" s="204" t="str">
        <f t="shared" si="4"/>
        <v/>
      </c>
      <c r="O17" s="205" t="str">
        <f t="shared" si="0"/>
        <v/>
      </c>
      <c r="P17" s="206" t="str">
        <f t="shared" si="5"/>
        <v/>
      </c>
    </row>
    <row r="18" spans="3:16" x14ac:dyDescent="0.4">
      <c r="C18" s="199"/>
      <c r="D18" s="200"/>
      <c r="E18" s="201"/>
      <c r="F18" s="199"/>
      <c r="H18" s="202"/>
      <c r="I18" s="185" t="str">
        <f t="shared" si="1"/>
        <v/>
      </c>
      <c r="J18" s="203" t="str">
        <f>IF($H18="USD",IF(OR($I18="",$I18="-"),"",VLOOKUP($G18,為替!$A:$AX,$I18,FALSE))+$J$3,IF(OR($I18="",$I18="-"),"",VLOOKUP($G18,為替!$A:$AX,$I18,FALSE)))</f>
        <v/>
      </c>
      <c r="K18" s="204" t="str">
        <f t="shared" si="2"/>
        <v/>
      </c>
      <c r="L18" s="188" t="str">
        <f t="shared" si="3"/>
        <v/>
      </c>
      <c r="M18" s="203" t="str">
        <f>IF($H18="USD",IF(OR($L18="",$L18="-"),"",VLOOKUP($G18,為替!$A:$AX,$L18,FALSE))+$K$3,IF(OR($L18="",$L18="-"),"",VLOOKUP($G18,為替!$A:$AX,$L18,FALSE)))</f>
        <v/>
      </c>
      <c r="N18" s="204" t="str">
        <f t="shared" si="4"/>
        <v/>
      </c>
      <c r="O18" s="205" t="str">
        <f t="shared" si="0"/>
        <v/>
      </c>
      <c r="P18" s="206" t="str">
        <f t="shared" si="5"/>
        <v/>
      </c>
    </row>
    <row r="19" spans="3:16" x14ac:dyDescent="0.4">
      <c r="C19" s="199"/>
      <c r="D19" s="200"/>
      <c r="E19" s="201"/>
      <c r="F19" s="199"/>
      <c r="H19" s="202"/>
      <c r="I19" s="185" t="str">
        <f t="shared" si="1"/>
        <v/>
      </c>
      <c r="J19" s="203" t="str">
        <f>IF($H19="USD",IF(OR($I19="",$I19="-"),"",VLOOKUP($G19,為替!$A:$AX,$I19,FALSE))+$J$3,IF(OR($I19="",$I19="-"),"",VLOOKUP($G19,為替!$A:$AX,$I19,FALSE)))</f>
        <v/>
      </c>
      <c r="K19" s="204" t="str">
        <f t="shared" si="2"/>
        <v/>
      </c>
      <c r="L19" s="188" t="str">
        <f t="shared" si="3"/>
        <v/>
      </c>
      <c r="M19" s="203" t="str">
        <f>IF($H19="USD",IF(OR($L19="",$L19="-"),"",VLOOKUP($G19,為替!$A:$AX,$L19,FALSE))+$K$3,IF(OR($L19="",$L19="-"),"",VLOOKUP($G19,為替!$A:$AX,$L19,FALSE)))</f>
        <v/>
      </c>
      <c r="N19" s="204" t="str">
        <f t="shared" si="4"/>
        <v/>
      </c>
      <c r="O19" s="205" t="str">
        <f t="shared" si="0"/>
        <v/>
      </c>
      <c r="P19" s="206" t="str">
        <f t="shared" si="5"/>
        <v/>
      </c>
    </row>
    <row r="20" spans="3:16" x14ac:dyDescent="0.4">
      <c r="C20" s="199"/>
      <c r="D20" s="200"/>
      <c r="E20" s="201"/>
      <c r="F20" s="199"/>
      <c r="H20" s="202"/>
      <c r="I20" s="185" t="str">
        <f t="shared" si="1"/>
        <v/>
      </c>
      <c r="J20" s="203" t="str">
        <f>IF($H20="USD",IF(OR($I20="",$I20="-"),"",VLOOKUP($G20,為替!$A:$AX,$I20,FALSE))+$J$3,IF(OR($I20="",$I20="-"),"",VLOOKUP($G20,為替!$A:$AX,$I20,FALSE)))</f>
        <v/>
      </c>
      <c r="K20" s="204" t="str">
        <f t="shared" si="2"/>
        <v/>
      </c>
      <c r="L20" s="188" t="str">
        <f t="shared" si="3"/>
        <v/>
      </c>
      <c r="M20" s="203" t="str">
        <f>IF($H20="USD",IF(OR($L20="",$L20="-"),"",VLOOKUP($G20,為替!$A:$AX,$L20,FALSE))+$K$3,IF(OR($L20="",$L20="-"),"",VLOOKUP($G20,為替!$A:$AX,$L20,FALSE)))</f>
        <v/>
      </c>
      <c r="N20" s="204" t="str">
        <f t="shared" si="4"/>
        <v/>
      </c>
      <c r="O20" s="205" t="str">
        <f t="shared" si="0"/>
        <v/>
      </c>
      <c r="P20" s="206" t="str">
        <f t="shared" si="5"/>
        <v/>
      </c>
    </row>
    <row r="21" spans="3:16" x14ac:dyDescent="0.4">
      <c r="C21" s="199"/>
      <c r="D21" s="200"/>
      <c r="E21" s="201"/>
      <c r="F21" s="199"/>
      <c r="H21" s="202"/>
      <c r="I21" s="185" t="str">
        <f t="shared" si="1"/>
        <v/>
      </c>
      <c r="J21" s="203" t="str">
        <f>IF($H21="USD",IF(OR($I21="",$I21="-"),"",VLOOKUP($G21,為替!$A:$AX,$I21,FALSE))+$J$3,IF(OR($I21="",$I21="-"),"",VLOOKUP($G21,為替!$A:$AX,$I21,FALSE)))</f>
        <v/>
      </c>
      <c r="K21" s="204" t="str">
        <f t="shared" si="2"/>
        <v/>
      </c>
      <c r="L21" s="188" t="str">
        <f t="shared" si="3"/>
        <v/>
      </c>
      <c r="M21" s="203" t="str">
        <f>IF($H21="USD",IF(OR($L21="",$L21="-"),"",VLOOKUP($G21,為替!$A:$AX,$L21,FALSE))+$K$3,IF(OR($L21="",$L21="-"),"",VLOOKUP($G21,為替!$A:$AX,$L21,FALSE)))</f>
        <v/>
      </c>
      <c r="N21" s="204" t="str">
        <f t="shared" si="4"/>
        <v/>
      </c>
      <c r="O21" s="205" t="str">
        <f t="shared" si="0"/>
        <v/>
      </c>
      <c r="P21" s="206" t="str">
        <f t="shared" si="5"/>
        <v/>
      </c>
    </row>
    <row r="22" spans="3:16" x14ac:dyDescent="0.4">
      <c r="C22" s="199"/>
      <c r="D22" s="200"/>
      <c r="E22" s="201"/>
      <c r="F22" s="199"/>
      <c r="H22" s="202"/>
      <c r="I22" s="185" t="str">
        <f t="shared" si="1"/>
        <v/>
      </c>
      <c r="J22" s="203" t="str">
        <f>IF($H22="USD",IF(OR($I22="",$I22="-"),"",VLOOKUP($G22,為替!$A:$AX,$I22,FALSE))+$J$3,IF(OR($I22="",$I22="-"),"",VLOOKUP($G22,為替!$A:$AX,$I22,FALSE)))</f>
        <v/>
      </c>
      <c r="K22" s="204" t="str">
        <f t="shared" si="2"/>
        <v/>
      </c>
      <c r="L22" s="188" t="str">
        <f t="shared" si="3"/>
        <v/>
      </c>
      <c r="M22" s="203" t="str">
        <f>IF($H22="USD",IF(OR($L22="",$L22="-"),"",VLOOKUP($G22,為替!$A:$AX,$L22,FALSE))+$K$3,IF(OR($L22="",$L22="-"),"",VLOOKUP($G22,為替!$A:$AX,$L22,FALSE)))</f>
        <v/>
      </c>
      <c r="N22" s="204" t="str">
        <f t="shared" si="4"/>
        <v/>
      </c>
      <c r="O22" s="205" t="str">
        <f t="shared" si="0"/>
        <v/>
      </c>
      <c r="P22" s="206" t="str">
        <f t="shared" si="5"/>
        <v/>
      </c>
    </row>
    <row r="23" spans="3:16" x14ac:dyDescent="0.4">
      <c r="C23" s="199"/>
      <c r="D23" s="200"/>
      <c r="E23" s="201"/>
      <c r="F23" s="199"/>
      <c r="H23" s="202"/>
      <c r="I23" s="185" t="str">
        <f t="shared" si="1"/>
        <v/>
      </c>
      <c r="J23" s="203" t="str">
        <f>IF($H23="USD",IF(OR($I23="",$I23="-"),"",VLOOKUP($G23,為替!$A:$AX,$I23,FALSE))+$J$3,IF(OR($I23="",$I23="-"),"",VLOOKUP($G23,為替!$A:$AX,$I23,FALSE)))</f>
        <v/>
      </c>
      <c r="K23" s="204" t="str">
        <f t="shared" si="2"/>
        <v/>
      </c>
      <c r="L23" s="188" t="str">
        <f t="shared" si="3"/>
        <v/>
      </c>
      <c r="M23" s="203" t="str">
        <f>IF($H23="USD",IF(OR($L23="",$L23="-"),"",VLOOKUP($G23,為替!$A:$AX,$L23,FALSE))+$K$3,IF(OR($L23="",$L23="-"),"",VLOOKUP($G23,為替!$A:$AX,$L23,FALSE)))</f>
        <v/>
      </c>
      <c r="N23" s="204" t="str">
        <f t="shared" si="4"/>
        <v/>
      </c>
      <c r="O23" s="205" t="str">
        <f t="shared" si="0"/>
        <v/>
      </c>
      <c r="P23" s="206" t="str">
        <f t="shared" si="5"/>
        <v/>
      </c>
    </row>
    <row r="24" spans="3:16" x14ac:dyDescent="0.4">
      <c r="C24" s="199"/>
      <c r="D24" s="200"/>
      <c r="E24" s="201"/>
      <c r="F24" s="199"/>
      <c r="H24" s="202"/>
      <c r="I24" s="185" t="str">
        <f t="shared" si="1"/>
        <v/>
      </c>
      <c r="J24" s="203" t="str">
        <f>IF($H24="USD",IF(OR($I24="",$I24="-"),"",VLOOKUP($G24,為替!$A:$AX,$I24,FALSE))+$J$3,IF(OR($I24="",$I24="-"),"",VLOOKUP($G24,為替!$A:$AX,$I24,FALSE)))</f>
        <v/>
      </c>
      <c r="K24" s="204" t="str">
        <f t="shared" si="2"/>
        <v/>
      </c>
      <c r="L24" s="188" t="str">
        <f t="shared" si="3"/>
        <v/>
      </c>
      <c r="M24" s="203" t="str">
        <f>IF($H24="USD",IF(OR($L24="",$L24="-"),"",VLOOKUP($G24,為替!$A:$AX,$L24,FALSE))+$K$3,IF(OR($L24="",$L24="-"),"",VLOOKUP($G24,為替!$A:$AX,$L24,FALSE)))</f>
        <v/>
      </c>
      <c r="N24" s="204" t="str">
        <f t="shared" si="4"/>
        <v/>
      </c>
      <c r="O24" s="205" t="str">
        <f t="shared" si="0"/>
        <v/>
      </c>
      <c r="P24" s="206" t="str">
        <f t="shared" si="5"/>
        <v/>
      </c>
    </row>
    <row r="25" spans="3:16" x14ac:dyDescent="0.4">
      <c r="C25" s="199"/>
      <c r="D25" s="200"/>
      <c r="E25" s="201"/>
      <c r="F25" s="199"/>
      <c r="H25" s="202"/>
      <c r="I25" s="185" t="str">
        <f t="shared" si="1"/>
        <v/>
      </c>
      <c r="J25" s="203" t="str">
        <f>IF($H25="USD",IF(OR($I25="",$I25="-"),"",VLOOKUP($G25,為替!$A:$AX,$I25,FALSE))+$J$3,IF(OR($I25="",$I25="-"),"",VLOOKUP($G25,為替!$A:$AX,$I25,FALSE)))</f>
        <v/>
      </c>
      <c r="K25" s="204" t="str">
        <f t="shared" si="2"/>
        <v/>
      </c>
      <c r="L25" s="188" t="str">
        <f t="shared" si="3"/>
        <v/>
      </c>
      <c r="M25" s="203" t="str">
        <f>IF($H25="USD",IF(OR($L25="",$L25="-"),"",VLOOKUP($G25,為替!$A:$AX,$L25,FALSE))+$K$3,IF(OR($L25="",$L25="-"),"",VLOOKUP($G25,為替!$A:$AX,$L25,FALSE)))</f>
        <v/>
      </c>
      <c r="N25" s="204" t="str">
        <f t="shared" si="4"/>
        <v/>
      </c>
      <c r="O25" s="205" t="str">
        <f t="shared" si="0"/>
        <v/>
      </c>
      <c r="P25" s="206" t="str">
        <f t="shared" si="5"/>
        <v/>
      </c>
    </row>
    <row r="26" spans="3:16" x14ac:dyDescent="0.4">
      <c r="C26" s="199"/>
      <c r="D26" s="200"/>
      <c r="E26" s="201"/>
      <c r="F26" s="199"/>
      <c r="H26" s="202"/>
      <c r="I26" s="185" t="str">
        <f t="shared" si="1"/>
        <v/>
      </c>
      <c r="J26" s="203" t="str">
        <f>IF($H26="USD",IF(OR($I26="",$I26="-"),"",VLOOKUP($G26,為替!$A:$AX,$I26,FALSE))+$J$3,IF(OR($I26="",$I26="-"),"",VLOOKUP($G26,為替!$A:$AX,$I26,FALSE)))</f>
        <v/>
      </c>
      <c r="K26" s="204" t="str">
        <f t="shared" si="2"/>
        <v/>
      </c>
      <c r="L26" s="188" t="str">
        <f t="shared" si="3"/>
        <v/>
      </c>
      <c r="M26" s="203" t="str">
        <f>IF($H26="USD",IF(OR($L26="",$L26="-"),"",VLOOKUP($G26,為替!$A:$AX,$L26,FALSE))+$K$3,IF(OR($L26="",$L26="-"),"",VLOOKUP($G26,為替!$A:$AX,$L26,FALSE)))</f>
        <v/>
      </c>
      <c r="N26" s="204" t="str">
        <f t="shared" si="4"/>
        <v/>
      </c>
      <c r="O26" s="205" t="str">
        <f t="shared" si="0"/>
        <v/>
      </c>
      <c r="P26" s="206" t="str">
        <f t="shared" si="5"/>
        <v/>
      </c>
    </row>
    <row r="27" spans="3:16" x14ac:dyDescent="0.4">
      <c r="C27" s="199"/>
      <c r="D27" s="200"/>
      <c r="E27" s="201"/>
      <c r="F27" s="199"/>
      <c r="H27" s="202"/>
      <c r="I27" s="185" t="str">
        <f t="shared" si="1"/>
        <v/>
      </c>
      <c r="J27" s="203" t="str">
        <f>IF($H27="USD",IF(OR($I27="",$I27="-"),"",VLOOKUP($G27,為替!$A:$AX,$I27,FALSE))+$J$3,IF(OR($I27="",$I27="-"),"",VLOOKUP($G27,為替!$A:$AX,$I27,FALSE)))</f>
        <v/>
      </c>
      <c r="K27" s="204" t="str">
        <f t="shared" si="2"/>
        <v/>
      </c>
      <c r="L27" s="188" t="str">
        <f t="shared" si="3"/>
        <v/>
      </c>
      <c r="M27" s="203" t="str">
        <f>IF($H27="USD",IF(OR($L27="",$L27="-"),"",VLOOKUP($G27,為替!$A:$AX,$L27,FALSE))+$K$3,IF(OR($L27="",$L27="-"),"",VLOOKUP($G27,為替!$A:$AX,$L27,FALSE)))</f>
        <v/>
      </c>
      <c r="N27" s="204" t="str">
        <f t="shared" si="4"/>
        <v/>
      </c>
      <c r="O27" s="205" t="str">
        <f t="shared" si="0"/>
        <v/>
      </c>
      <c r="P27" s="206" t="str">
        <f t="shared" si="5"/>
        <v/>
      </c>
    </row>
    <row r="28" spans="3:16" x14ac:dyDescent="0.4">
      <c r="C28" s="199"/>
      <c r="D28" s="200"/>
      <c r="E28" s="201"/>
      <c r="F28" s="199"/>
      <c r="H28" s="202"/>
      <c r="I28" s="185" t="str">
        <f t="shared" si="1"/>
        <v/>
      </c>
      <c r="J28" s="203" t="str">
        <f>IF($H28="USD",IF(OR($I28="",$I28="-"),"",VLOOKUP($G28,為替!$A:$AX,$I28,FALSE))+$J$3,IF(OR($I28="",$I28="-"),"",VLOOKUP($G28,為替!$A:$AX,$I28,FALSE)))</f>
        <v/>
      </c>
      <c r="K28" s="204" t="str">
        <f t="shared" si="2"/>
        <v/>
      </c>
      <c r="L28" s="188" t="str">
        <f t="shared" si="3"/>
        <v/>
      </c>
      <c r="M28" s="203" t="str">
        <f>IF($H28="USD",IF(OR($L28="",$L28="-"),"",VLOOKUP($G28,為替!$A:$AX,$L28,FALSE))+$K$3,IF(OR($L28="",$L28="-"),"",VLOOKUP($G28,為替!$A:$AX,$L28,FALSE)))</f>
        <v/>
      </c>
      <c r="N28" s="204" t="str">
        <f t="shared" si="4"/>
        <v/>
      </c>
      <c r="O28" s="205" t="str">
        <f t="shared" si="0"/>
        <v/>
      </c>
      <c r="P28" s="206" t="str">
        <f t="shared" si="5"/>
        <v/>
      </c>
    </row>
    <row r="29" spans="3:16" x14ac:dyDescent="0.4">
      <c r="C29" s="199"/>
      <c r="D29" s="200"/>
      <c r="E29" s="201"/>
      <c r="F29" s="199"/>
      <c r="H29" s="202"/>
      <c r="I29" s="185" t="str">
        <f t="shared" si="1"/>
        <v/>
      </c>
      <c r="J29" s="203" t="str">
        <f>IF($H29="USD",IF(OR($I29="",$I29="-"),"",VLOOKUP($G29,為替!$A:$AX,$I29,FALSE))+$J$3,IF(OR($I29="",$I29="-"),"",VLOOKUP($G29,為替!$A:$AX,$I29,FALSE)))</f>
        <v/>
      </c>
      <c r="K29" s="204" t="str">
        <f t="shared" si="2"/>
        <v/>
      </c>
      <c r="L29" s="188" t="str">
        <f t="shared" si="3"/>
        <v/>
      </c>
      <c r="M29" s="203" t="str">
        <f>IF($H29="USD",IF(OR($L29="",$L29="-"),"",VLOOKUP($G29,為替!$A:$AX,$L29,FALSE))+$K$3,IF(OR($L29="",$L29="-"),"",VLOOKUP($G29,為替!$A:$AX,$L29,FALSE)))</f>
        <v/>
      </c>
      <c r="N29" s="204" t="str">
        <f t="shared" si="4"/>
        <v/>
      </c>
      <c r="O29" s="205" t="str">
        <f t="shared" si="0"/>
        <v/>
      </c>
      <c r="P29" s="206" t="str">
        <f t="shared" si="5"/>
        <v/>
      </c>
    </row>
    <row r="30" spans="3:16" x14ac:dyDescent="0.4">
      <c r="C30" s="199"/>
      <c r="D30" s="200"/>
      <c r="E30" s="201"/>
      <c r="F30" s="199"/>
      <c r="H30" s="202"/>
      <c r="I30" s="185" t="str">
        <f t="shared" si="1"/>
        <v/>
      </c>
      <c r="J30" s="203" t="str">
        <f>IF($H30="USD",IF(OR($I30="",$I30="-"),"",VLOOKUP($G30,為替!$A:$AX,$I30,FALSE))+$J$3,IF(OR($I30="",$I30="-"),"",VLOOKUP($G30,為替!$A:$AX,$I30,FALSE)))</f>
        <v/>
      </c>
      <c r="K30" s="204" t="str">
        <f t="shared" si="2"/>
        <v/>
      </c>
      <c r="L30" s="188" t="str">
        <f t="shared" si="3"/>
        <v/>
      </c>
      <c r="M30" s="203" t="str">
        <f>IF($H30="USD",IF(OR($L30="",$L30="-"),"",VLOOKUP($G30,為替!$A:$AX,$L30,FALSE))+$K$3,IF(OR($L30="",$L30="-"),"",VLOOKUP($G30,為替!$A:$AX,$L30,FALSE)))</f>
        <v/>
      </c>
      <c r="N30" s="204" t="str">
        <f t="shared" si="4"/>
        <v/>
      </c>
      <c r="O30" s="205" t="str">
        <f t="shared" si="0"/>
        <v/>
      </c>
      <c r="P30" s="206" t="str">
        <f t="shared" si="5"/>
        <v/>
      </c>
    </row>
    <row r="31" spans="3:16" x14ac:dyDescent="0.4">
      <c r="C31" s="199"/>
      <c r="D31" s="200"/>
      <c r="E31" s="201"/>
      <c r="F31" s="199"/>
      <c r="H31" s="202"/>
      <c r="I31" s="185" t="str">
        <f t="shared" si="1"/>
        <v/>
      </c>
      <c r="J31" s="203" t="str">
        <f>IF($H31="USD",IF(OR($I31="",$I31="-"),"",VLOOKUP($G31,為替!$A:$AX,$I31,FALSE))+$J$3,IF(OR($I31="",$I31="-"),"",VLOOKUP($G31,為替!$A:$AX,$I31,FALSE)))</f>
        <v/>
      </c>
      <c r="K31" s="204" t="str">
        <f t="shared" si="2"/>
        <v/>
      </c>
      <c r="L31" s="188" t="str">
        <f t="shared" si="3"/>
        <v/>
      </c>
      <c r="M31" s="203" t="str">
        <f>IF($H31="USD",IF(OR($L31="",$L31="-"),"",VLOOKUP($G31,為替!$A:$AX,$L31,FALSE))+$K$3,IF(OR($L31="",$L31="-"),"",VLOOKUP($G31,為替!$A:$AX,$L31,FALSE)))</f>
        <v/>
      </c>
      <c r="N31" s="204" t="str">
        <f t="shared" si="4"/>
        <v/>
      </c>
      <c r="O31" s="205" t="str">
        <f t="shared" si="0"/>
        <v/>
      </c>
      <c r="P31" s="206" t="str">
        <f t="shared" si="5"/>
        <v/>
      </c>
    </row>
    <row r="32" spans="3:16" x14ac:dyDescent="0.4">
      <c r="C32" s="199"/>
      <c r="D32" s="200"/>
      <c r="E32" s="201"/>
      <c r="F32" s="199"/>
      <c r="H32" s="202"/>
      <c r="I32" s="185" t="str">
        <f t="shared" si="1"/>
        <v/>
      </c>
      <c r="J32" s="203" t="str">
        <f>IF($H32="USD",IF(OR($I32="",$I32="-"),"",VLOOKUP($G32,為替!$A:$AX,$I32,FALSE))+$J$3,IF(OR($I32="",$I32="-"),"",VLOOKUP($G32,為替!$A:$AX,$I32,FALSE)))</f>
        <v/>
      </c>
      <c r="K32" s="204" t="str">
        <f t="shared" si="2"/>
        <v/>
      </c>
      <c r="L32" s="188" t="str">
        <f t="shared" si="3"/>
        <v/>
      </c>
      <c r="M32" s="203" t="str">
        <f>IF($H32="USD",IF(OR($L32="",$L32="-"),"",VLOOKUP($G32,為替!$A:$AX,$L32,FALSE))+$K$3,IF(OR($L32="",$L32="-"),"",VLOOKUP($G32,為替!$A:$AX,$L32,FALSE)))</f>
        <v/>
      </c>
      <c r="N32" s="204" t="str">
        <f t="shared" si="4"/>
        <v/>
      </c>
      <c r="O32" s="205" t="str">
        <f t="shared" si="0"/>
        <v/>
      </c>
      <c r="P32" s="206" t="str">
        <f t="shared" si="5"/>
        <v/>
      </c>
    </row>
    <row r="33" spans="3:16" x14ac:dyDescent="0.4">
      <c r="C33" s="199"/>
      <c r="D33" s="200"/>
      <c r="E33" s="201"/>
      <c r="F33" s="199"/>
      <c r="H33" s="202"/>
      <c r="I33" s="185" t="str">
        <f t="shared" si="1"/>
        <v/>
      </c>
      <c r="J33" s="203" t="str">
        <f>IF($H33="USD",IF(OR($I33="",$I33="-"),"",VLOOKUP($G33,為替!$A:$AX,$I33,FALSE))+$J$3,IF(OR($I33="",$I33="-"),"",VLOOKUP($G33,為替!$A:$AX,$I33,FALSE)))</f>
        <v/>
      </c>
      <c r="K33" s="204" t="str">
        <f t="shared" si="2"/>
        <v/>
      </c>
      <c r="L33" s="188" t="str">
        <f t="shared" si="3"/>
        <v/>
      </c>
      <c r="M33" s="203" t="str">
        <f>IF($H33="USD",IF(OR($L33="",$L33="-"),"",VLOOKUP($G33,為替!$A:$AX,$L33,FALSE))+$K$3,IF(OR($L33="",$L33="-"),"",VLOOKUP($G33,為替!$A:$AX,$L33,FALSE)))</f>
        <v/>
      </c>
      <c r="N33" s="204" t="str">
        <f t="shared" si="4"/>
        <v/>
      </c>
      <c r="O33" s="205" t="str">
        <f t="shared" si="0"/>
        <v/>
      </c>
      <c r="P33" s="206" t="str">
        <f t="shared" si="5"/>
        <v/>
      </c>
    </row>
    <row r="34" spans="3:16" x14ac:dyDescent="0.4">
      <c r="C34" s="199"/>
      <c r="D34" s="200"/>
      <c r="E34" s="201"/>
      <c r="F34" s="199"/>
      <c r="H34" s="202"/>
      <c r="I34" s="185" t="str">
        <f t="shared" si="1"/>
        <v/>
      </c>
      <c r="J34" s="203" t="str">
        <f>IF($H34="USD",IF(OR($I34="",$I34="-"),"",VLOOKUP($G34,為替!$A:$AX,$I34,FALSE))+$J$3,IF(OR($I34="",$I34="-"),"",VLOOKUP($G34,為替!$A:$AX,$I34,FALSE)))</f>
        <v/>
      </c>
      <c r="K34" s="204" t="str">
        <f t="shared" si="2"/>
        <v/>
      </c>
      <c r="L34" s="188" t="str">
        <f t="shared" si="3"/>
        <v/>
      </c>
      <c r="M34" s="203" t="str">
        <f>IF($H34="USD",IF(OR($L34="",$L34="-"),"",VLOOKUP($G34,為替!$A:$AX,$L34,FALSE))+$K$3,IF(OR($L34="",$L34="-"),"",VLOOKUP($G34,為替!$A:$AX,$L34,FALSE)))</f>
        <v/>
      </c>
      <c r="N34" s="204" t="str">
        <f t="shared" si="4"/>
        <v/>
      </c>
      <c r="O34" s="205" t="str">
        <f t="shared" si="0"/>
        <v/>
      </c>
      <c r="P34" s="206" t="str">
        <f t="shared" si="5"/>
        <v/>
      </c>
    </row>
    <row r="35" spans="3:16" x14ac:dyDescent="0.4">
      <c r="C35" s="199"/>
      <c r="D35" s="200"/>
      <c r="E35" s="201"/>
      <c r="F35" s="199"/>
      <c r="H35" s="202"/>
      <c r="I35" s="185" t="str">
        <f t="shared" si="1"/>
        <v/>
      </c>
      <c r="J35" s="203" t="str">
        <f>IF($H35="USD",IF(OR($I35="",$I35="-"),"",VLOOKUP($G35,為替!$A:$AX,$I35,FALSE))+$J$3,IF(OR($I35="",$I35="-"),"",VLOOKUP($G35,為替!$A:$AX,$I35,FALSE)))</f>
        <v/>
      </c>
      <c r="K35" s="204" t="str">
        <f t="shared" si="2"/>
        <v/>
      </c>
      <c r="L35" s="188" t="str">
        <f t="shared" si="3"/>
        <v/>
      </c>
      <c r="M35" s="203" t="str">
        <f>IF($H35="USD",IF(OR($L35="",$L35="-"),"",VLOOKUP($G35,為替!$A:$AX,$L35,FALSE))+$K$3,IF(OR($L35="",$L35="-"),"",VLOOKUP($G35,為替!$A:$AX,$L35,FALSE)))</f>
        <v/>
      </c>
      <c r="N35" s="204" t="str">
        <f t="shared" si="4"/>
        <v/>
      </c>
      <c r="O35" s="205" t="str">
        <f t="shared" si="0"/>
        <v/>
      </c>
      <c r="P35" s="206" t="str">
        <f t="shared" si="5"/>
        <v/>
      </c>
    </row>
    <row r="36" spans="3:16" x14ac:dyDescent="0.4">
      <c r="C36" s="199"/>
      <c r="D36" s="200"/>
      <c r="E36" s="201"/>
      <c r="F36" s="199"/>
      <c r="H36" s="202"/>
      <c r="I36" s="185" t="str">
        <f t="shared" si="1"/>
        <v/>
      </c>
      <c r="J36" s="203" t="str">
        <f>IF($H36="USD",IF(OR($I36="",$I36="-"),"",VLOOKUP($G36,為替!$A:$AX,$I36,FALSE))+$J$3,IF(OR($I36="",$I36="-"),"",VLOOKUP($G36,為替!$A:$AX,$I36,FALSE)))</f>
        <v/>
      </c>
      <c r="K36" s="204" t="str">
        <f t="shared" si="2"/>
        <v/>
      </c>
      <c r="L36" s="188" t="str">
        <f t="shared" si="3"/>
        <v/>
      </c>
      <c r="M36" s="203" t="str">
        <f>IF($H36="USD",IF(OR($L36="",$L36="-"),"",VLOOKUP($G36,為替!$A:$AX,$L36,FALSE))+$K$3,IF(OR($L36="",$L36="-"),"",VLOOKUP($G36,為替!$A:$AX,$L36,FALSE)))</f>
        <v/>
      </c>
      <c r="N36" s="204" t="str">
        <f t="shared" si="4"/>
        <v/>
      </c>
      <c r="O36" s="205" t="str">
        <f t="shared" si="0"/>
        <v/>
      </c>
      <c r="P36" s="206" t="str">
        <f t="shared" si="5"/>
        <v/>
      </c>
    </row>
    <row r="37" spans="3:16" x14ac:dyDescent="0.4">
      <c r="C37" s="199"/>
      <c r="D37" s="200"/>
      <c r="E37" s="201"/>
      <c r="F37" s="199"/>
      <c r="H37" s="202"/>
      <c r="I37" s="185" t="str">
        <f t="shared" si="1"/>
        <v/>
      </c>
      <c r="J37" s="203" t="str">
        <f>IF($H37="USD",IF(OR($I37="",$I37="-"),"",VLOOKUP($G37,為替!$A:$AX,$I37,FALSE))+$J$3,IF(OR($I37="",$I37="-"),"",VLOOKUP($G37,為替!$A:$AX,$I37,FALSE)))</f>
        <v/>
      </c>
      <c r="K37" s="204" t="str">
        <f t="shared" si="2"/>
        <v/>
      </c>
      <c r="L37" s="188" t="str">
        <f t="shared" si="3"/>
        <v/>
      </c>
      <c r="M37" s="203" t="str">
        <f>IF($H37="USD",IF(OR($L37="",$L37="-"),"",VLOOKUP($G37,為替!$A:$AX,$L37,FALSE))+$K$3,IF(OR($L37="",$L37="-"),"",VLOOKUP($G37,為替!$A:$AX,$L37,FALSE)))</f>
        <v/>
      </c>
      <c r="N37" s="204" t="str">
        <f t="shared" si="4"/>
        <v/>
      </c>
      <c r="O37" s="205" t="str">
        <f t="shared" si="0"/>
        <v/>
      </c>
      <c r="P37" s="206" t="str">
        <f t="shared" si="5"/>
        <v/>
      </c>
    </row>
    <row r="38" spans="3:16" x14ac:dyDescent="0.4">
      <c r="C38" s="199"/>
      <c r="D38" s="200"/>
      <c r="E38" s="201"/>
      <c r="F38" s="199"/>
      <c r="H38" s="202"/>
      <c r="I38" s="185" t="str">
        <f t="shared" si="1"/>
        <v/>
      </c>
      <c r="J38" s="203" t="str">
        <f>IF($H38="USD",IF(OR($I38="",$I38="-"),"",VLOOKUP($G38,為替!$A:$AX,$I38,FALSE))+$J$3,IF(OR($I38="",$I38="-"),"",VLOOKUP($G38,為替!$A:$AX,$I38,FALSE)))</f>
        <v/>
      </c>
      <c r="K38" s="204" t="str">
        <f t="shared" si="2"/>
        <v/>
      </c>
      <c r="L38" s="188" t="str">
        <f t="shared" si="3"/>
        <v/>
      </c>
      <c r="M38" s="203" t="str">
        <f>IF($H38="USD",IF(OR($L38="",$L38="-"),"",VLOOKUP($G38,為替!$A:$AX,$L38,FALSE))+$K$3,IF(OR($L38="",$L38="-"),"",VLOOKUP($G38,為替!$A:$AX,$L38,FALSE)))</f>
        <v/>
      </c>
      <c r="N38" s="204" t="str">
        <f t="shared" si="4"/>
        <v/>
      </c>
      <c r="O38" s="205" t="str">
        <f t="shared" si="0"/>
        <v/>
      </c>
      <c r="P38" s="206" t="str">
        <f t="shared" si="5"/>
        <v/>
      </c>
    </row>
    <row r="39" spans="3:16" x14ac:dyDescent="0.4">
      <c r="C39" s="199"/>
      <c r="D39" s="200"/>
      <c r="E39" s="201"/>
      <c r="F39" s="199"/>
      <c r="H39" s="202"/>
      <c r="I39" s="185" t="str">
        <f t="shared" si="1"/>
        <v/>
      </c>
      <c r="J39" s="203" t="str">
        <f>IF($H39="USD",IF(OR($I39="",$I39="-"),"",VLOOKUP($G39,為替!$A:$AX,$I39,FALSE))+$J$3,IF(OR($I39="",$I39="-"),"",VLOOKUP($G39,為替!$A:$AX,$I39,FALSE)))</f>
        <v/>
      </c>
      <c r="K39" s="204" t="str">
        <f t="shared" si="2"/>
        <v/>
      </c>
      <c r="L39" s="188" t="str">
        <f t="shared" si="3"/>
        <v/>
      </c>
      <c r="M39" s="203" t="str">
        <f>IF($H39="USD",IF(OR($L39="",$L39="-"),"",VLOOKUP($G39,為替!$A:$AX,$L39,FALSE))+$K$3,IF(OR($L39="",$L39="-"),"",VLOOKUP($G39,為替!$A:$AX,$L39,FALSE)))</f>
        <v/>
      </c>
      <c r="N39" s="204" t="str">
        <f t="shared" si="4"/>
        <v/>
      </c>
      <c r="O39" s="205" t="str">
        <f t="shared" si="0"/>
        <v/>
      </c>
      <c r="P39" s="206" t="str">
        <f t="shared" si="5"/>
        <v/>
      </c>
    </row>
    <row r="40" spans="3:16" x14ac:dyDescent="0.4">
      <c r="C40" s="199"/>
      <c r="D40" s="200"/>
      <c r="E40" s="201"/>
      <c r="F40" s="199"/>
      <c r="H40" s="202"/>
      <c r="I40" s="185" t="str">
        <f t="shared" si="1"/>
        <v/>
      </c>
      <c r="J40" s="203" t="str">
        <f>IF($H40="USD",IF(OR($I40="",$I40="-"),"",VLOOKUP($G40,為替!$A:$AX,$I40,FALSE))+$J$3,IF(OR($I40="",$I40="-"),"",VLOOKUP($G40,為替!$A:$AX,$I40,FALSE)))</f>
        <v/>
      </c>
      <c r="K40" s="204" t="str">
        <f t="shared" si="2"/>
        <v/>
      </c>
      <c r="L40" s="188" t="str">
        <f t="shared" si="3"/>
        <v/>
      </c>
      <c r="M40" s="203" t="str">
        <f>IF($H40="USD",IF(OR($L40="",$L40="-"),"",VLOOKUP($G40,為替!$A:$AX,$L40,FALSE))+$K$3,IF(OR($L40="",$L40="-"),"",VLOOKUP($G40,為替!$A:$AX,$L40,FALSE)))</f>
        <v/>
      </c>
      <c r="N40" s="204" t="str">
        <f t="shared" si="4"/>
        <v/>
      </c>
      <c r="O40" s="205" t="str">
        <f t="shared" si="0"/>
        <v/>
      </c>
      <c r="P40" s="206" t="str">
        <f t="shared" si="5"/>
        <v/>
      </c>
    </row>
    <row r="41" spans="3:16" x14ac:dyDescent="0.4">
      <c r="C41" s="199"/>
      <c r="D41" s="200"/>
      <c r="E41" s="201"/>
      <c r="F41" s="199"/>
      <c r="H41" s="202"/>
      <c r="I41" s="185" t="str">
        <f t="shared" si="1"/>
        <v/>
      </c>
      <c r="J41" s="203" t="str">
        <f>IF($H41="USD",IF(OR($I41="",$I41="-"),"",VLOOKUP($G41,為替!$A:$AX,$I41,FALSE))+$J$3,IF(OR($I41="",$I41="-"),"",VLOOKUP($G41,為替!$A:$AX,$I41,FALSE)))</f>
        <v/>
      </c>
      <c r="K41" s="204" t="str">
        <f t="shared" si="2"/>
        <v/>
      </c>
      <c r="L41" s="188" t="str">
        <f t="shared" si="3"/>
        <v/>
      </c>
      <c r="M41" s="203" t="str">
        <f>IF($H41="USD",IF(OR($L41="",$L41="-"),"",VLOOKUP($G41,為替!$A:$AX,$L41,FALSE))+$K$3,IF(OR($L41="",$L41="-"),"",VLOOKUP($G41,為替!$A:$AX,$L41,FALSE)))</f>
        <v/>
      </c>
      <c r="N41" s="204" t="str">
        <f t="shared" si="4"/>
        <v/>
      </c>
      <c r="O41" s="205" t="str">
        <f t="shared" si="0"/>
        <v/>
      </c>
      <c r="P41" s="206" t="str">
        <f t="shared" si="5"/>
        <v/>
      </c>
    </row>
    <row r="42" spans="3:16" x14ac:dyDescent="0.4">
      <c r="C42" s="199"/>
      <c r="D42" s="200"/>
      <c r="E42" s="201"/>
      <c r="F42" s="199"/>
      <c r="H42" s="202"/>
      <c r="I42" s="185" t="str">
        <f t="shared" si="1"/>
        <v/>
      </c>
      <c r="J42" s="203" t="str">
        <f>IF($H42="USD",IF(OR($I42="",$I42="-"),"",VLOOKUP($G42,為替!$A:$AX,$I42,FALSE))+$J$3,IF(OR($I42="",$I42="-"),"",VLOOKUP($G42,為替!$A:$AX,$I42,FALSE)))</f>
        <v/>
      </c>
      <c r="K42" s="204" t="str">
        <f t="shared" si="2"/>
        <v/>
      </c>
      <c r="L42" s="188" t="str">
        <f t="shared" si="3"/>
        <v/>
      </c>
      <c r="M42" s="203" t="str">
        <f>IF($H42="USD",IF(OR($L42="",$L42="-"),"",VLOOKUP($G42,為替!$A:$AX,$L42,FALSE))+$K$3,IF(OR($L42="",$L42="-"),"",VLOOKUP($G42,為替!$A:$AX,$L42,FALSE)))</f>
        <v/>
      </c>
      <c r="N42" s="204" t="str">
        <f t="shared" si="4"/>
        <v/>
      </c>
      <c r="O42" s="205" t="str">
        <f t="shared" si="0"/>
        <v/>
      </c>
      <c r="P42" s="206" t="str">
        <f t="shared" si="5"/>
        <v/>
      </c>
    </row>
    <row r="43" spans="3:16" x14ac:dyDescent="0.4">
      <c r="C43" s="199"/>
      <c r="D43" s="200"/>
      <c r="E43" s="201"/>
      <c r="F43" s="199"/>
      <c r="H43" s="202"/>
      <c r="I43" s="185" t="str">
        <f t="shared" si="1"/>
        <v/>
      </c>
      <c r="J43" s="203" t="str">
        <f>IF($H43="USD",IF(OR($I43="",$I43="-"),"",VLOOKUP($G43,為替!$A:$AX,$I43,FALSE))+$J$3,IF(OR($I43="",$I43="-"),"",VLOOKUP($G43,為替!$A:$AX,$I43,FALSE)))</f>
        <v/>
      </c>
      <c r="K43" s="204" t="str">
        <f t="shared" si="2"/>
        <v/>
      </c>
      <c r="L43" s="188" t="str">
        <f t="shared" si="3"/>
        <v/>
      </c>
      <c r="M43" s="203" t="str">
        <f>IF($H43="USD",IF(OR($L43="",$L43="-"),"",VLOOKUP($G43,為替!$A:$AX,$L43,FALSE))+$K$3,IF(OR($L43="",$L43="-"),"",VLOOKUP($G43,為替!$A:$AX,$L43,FALSE)))</f>
        <v/>
      </c>
      <c r="N43" s="204" t="str">
        <f t="shared" si="4"/>
        <v/>
      </c>
      <c r="O43" s="205" t="str">
        <f t="shared" si="0"/>
        <v/>
      </c>
      <c r="P43" s="206" t="str">
        <f t="shared" si="5"/>
        <v/>
      </c>
    </row>
    <row r="44" spans="3:16" x14ac:dyDescent="0.4">
      <c r="C44" s="199"/>
      <c r="D44" s="200"/>
      <c r="E44" s="201"/>
      <c r="F44" s="199"/>
      <c r="H44" s="202"/>
      <c r="I44" s="185" t="str">
        <f t="shared" si="1"/>
        <v/>
      </c>
      <c r="J44" s="203" t="str">
        <f>IF($H44="USD",IF(OR($I44="",$I44="-"),"",VLOOKUP($G44,為替!$A:$AX,$I44,FALSE))+$J$3,IF(OR($I44="",$I44="-"),"",VLOOKUP($G44,為替!$A:$AX,$I44,FALSE)))</f>
        <v/>
      </c>
      <c r="K44" s="204" t="str">
        <f t="shared" si="2"/>
        <v/>
      </c>
      <c r="L44" s="188" t="str">
        <f t="shared" si="3"/>
        <v/>
      </c>
      <c r="M44" s="203" t="str">
        <f>IF($H44="USD",IF(OR($L44="",$L44="-"),"",VLOOKUP($G44,為替!$A:$AX,$L44,FALSE))+$K$3,IF(OR($L44="",$L44="-"),"",VLOOKUP($G44,為替!$A:$AX,$L44,FALSE)))</f>
        <v/>
      </c>
      <c r="N44" s="204" t="str">
        <f t="shared" si="4"/>
        <v/>
      </c>
      <c r="O44" s="205" t="str">
        <f t="shared" si="0"/>
        <v/>
      </c>
      <c r="P44" s="206" t="str">
        <f t="shared" si="5"/>
        <v/>
      </c>
    </row>
    <row r="45" spans="3:16" x14ac:dyDescent="0.4">
      <c r="C45" s="199"/>
      <c r="D45" s="200"/>
      <c r="E45" s="201"/>
      <c r="F45" s="199"/>
      <c r="H45" s="202"/>
      <c r="I45" s="185" t="str">
        <f t="shared" si="1"/>
        <v/>
      </c>
      <c r="J45" s="203" t="str">
        <f>IF($H45="USD",IF(OR($I45="",$I45="-"),"",VLOOKUP($G45,為替!$A:$AX,$I45,FALSE))+$J$3,IF(OR($I45="",$I45="-"),"",VLOOKUP($G45,為替!$A:$AX,$I45,FALSE)))</f>
        <v/>
      </c>
      <c r="K45" s="204" t="str">
        <f t="shared" si="2"/>
        <v/>
      </c>
      <c r="L45" s="188" t="str">
        <f t="shared" si="3"/>
        <v/>
      </c>
      <c r="M45" s="203" t="str">
        <f>IF($H45="USD",IF(OR($L45="",$L45="-"),"",VLOOKUP($G45,為替!$A:$AX,$L45,FALSE))+$K$3,IF(OR($L45="",$L45="-"),"",VLOOKUP($G45,為替!$A:$AX,$L45,FALSE)))</f>
        <v/>
      </c>
      <c r="N45" s="204" t="str">
        <f t="shared" si="4"/>
        <v/>
      </c>
      <c r="O45" s="205" t="str">
        <f t="shared" si="0"/>
        <v/>
      </c>
      <c r="P45" s="206" t="str">
        <f t="shared" si="5"/>
        <v/>
      </c>
    </row>
    <row r="46" spans="3:16" x14ac:dyDescent="0.4">
      <c r="C46" s="199"/>
      <c r="D46" s="200"/>
      <c r="E46" s="201"/>
      <c r="F46" s="199"/>
      <c r="H46" s="202"/>
      <c r="I46" s="185" t="str">
        <f t="shared" si="1"/>
        <v/>
      </c>
      <c r="J46" s="203" t="str">
        <f>IF($H46="USD",IF(OR($I46="",$I46="-"),"",VLOOKUP($G46,為替!$A:$AX,$I46,FALSE))+$J$3,IF(OR($I46="",$I46="-"),"",VLOOKUP($G46,為替!$A:$AX,$I46,FALSE)))</f>
        <v/>
      </c>
      <c r="K46" s="204" t="str">
        <f t="shared" si="2"/>
        <v/>
      </c>
      <c r="L46" s="188" t="str">
        <f t="shared" si="3"/>
        <v/>
      </c>
      <c r="M46" s="203" t="str">
        <f>IF($H46="USD",IF(OR($L46="",$L46="-"),"",VLOOKUP($G46,為替!$A:$AX,$L46,FALSE))+$K$3,IF(OR($L46="",$L46="-"),"",VLOOKUP($G46,為替!$A:$AX,$L46,FALSE)))</f>
        <v/>
      </c>
      <c r="N46" s="204" t="str">
        <f t="shared" si="4"/>
        <v/>
      </c>
      <c r="O46" s="205" t="str">
        <f t="shared" si="0"/>
        <v/>
      </c>
      <c r="P46" s="206" t="str">
        <f t="shared" si="5"/>
        <v/>
      </c>
    </row>
    <row r="47" spans="3:16" x14ac:dyDescent="0.4">
      <c r="C47" s="199"/>
      <c r="D47" s="200"/>
      <c r="E47" s="201"/>
      <c r="F47" s="199"/>
      <c r="H47" s="202"/>
      <c r="I47" s="185" t="str">
        <f t="shared" si="1"/>
        <v/>
      </c>
      <c r="J47" s="203" t="str">
        <f>IF($H47="USD",IF(OR($I47="",$I47="-"),"",VLOOKUP($G47,為替!$A:$AX,$I47,FALSE))+$J$3,IF(OR($I47="",$I47="-"),"",VLOOKUP($G47,為替!$A:$AX,$I47,FALSE)))</f>
        <v/>
      </c>
      <c r="K47" s="204" t="str">
        <f t="shared" si="2"/>
        <v/>
      </c>
      <c r="L47" s="188" t="str">
        <f t="shared" si="3"/>
        <v/>
      </c>
      <c r="M47" s="203" t="str">
        <f>IF($H47="USD",IF(OR($L47="",$L47="-"),"",VLOOKUP($G47,為替!$A:$AX,$L47,FALSE))+$K$3,IF(OR($L47="",$L47="-"),"",VLOOKUP($G47,為替!$A:$AX,$L47,FALSE)))</f>
        <v/>
      </c>
      <c r="N47" s="204" t="str">
        <f t="shared" si="4"/>
        <v/>
      </c>
      <c r="O47" s="205" t="str">
        <f t="shared" si="0"/>
        <v/>
      </c>
      <c r="P47" s="206" t="str">
        <f t="shared" si="5"/>
        <v/>
      </c>
    </row>
    <row r="48" spans="3:16" x14ac:dyDescent="0.4">
      <c r="C48" s="199"/>
      <c r="D48" s="200"/>
      <c r="E48" s="201"/>
      <c r="F48" s="199"/>
      <c r="H48" s="202"/>
      <c r="I48" s="185" t="str">
        <f t="shared" si="1"/>
        <v/>
      </c>
      <c r="J48" s="203" t="str">
        <f>IF($H48="USD",IF(OR($I48="",$I48="-"),"",VLOOKUP($G48,為替!$A:$AX,$I48,FALSE))+$J$3,IF(OR($I48="",$I48="-"),"",VLOOKUP($G48,為替!$A:$AX,$I48,FALSE)))</f>
        <v/>
      </c>
      <c r="K48" s="204" t="str">
        <f t="shared" si="2"/>
        <v/>
      </c>
      <c r="L48" s="188" t="str">
        <f t="shared" si="3"/>
        <v/>
      </c>
      <c r="M48" s="203" t="str">
        <f>IF($H48="USD",IF(OR($L48="",$L48="-"),"",VLOOKUP($G48,為替!$A:$AX,$L48,FALSE))+$K$3,IF(OR($L48="",$L48="-"),"",VLOOKUP($G48,為替!$A:$AX,$L48,FALSE)))</f>
        <v/>
      </c>
      <c r="N48" s="204" t="str">
        <f t="shared" si="4"/>
        <v/>
      </c>
      <c r="O48" s="205" t="str">
        <f t="shared" si="0"/>
        <v/>
      </c>
      <c r="P48" s="206" t="str">
        <f t="shared" si="5"/>
        <v/>
      </c>
    </row>
    <row r="49" spans="3:16" x14ac:dyDescent="0.4">
      <c r="C49" s="199"/>
      <c r="D49" s="200"/>
      <c r="E49" s="201"/>
      <c r="F49" s="199"/>
      <c r="H49" s="202"/>
      <c r="I49" s="185" t="str">
        <f t="shared" si="1"/>
        <v/>
      </c>
      <c r="J49" s="203" t="str">
        <f>IF($H49="USD",IF(OR($I49="",$I49="-"),"",VLOOKUP($G49,為替!$A:$AX,$I49,FALSE))+$J$3,IF(OR($I49="",$I49="-"),"",VLOOKUP($G49,為替!$A:$AX,$I49,FALSE)))</f>
        <v/>
      </c>
      <c r="K49" s="204" t="str">
        <f t="shared" si="2"/>
        <v/>
      </c>
      <c r="L49" s="188" t="str">
        <f t="shared" si="3"/>
        <v/>
      </c>
      <c r="M49" s="203" t="str">
        <f>IF($H49="USD",IF(OR($L49="",$L49="-"),"",VLOOKUP($G49,為替!$A:$AX,$L49,FALSE))+$K$3,IF(OR($L49="",$L49="-"),"",VLOOKUP($G49,為替!$A:$AX,$L49,FALSE)))</f>
        <v/>
      </c>
      <c r="N49" s="204" t="str">
        <f t="shared" si="4"/>
        <v/>
      </c>
      <c r="O49" s="205" t="str">
        <f t="shared" si="0"/>
        <v/>
      </c>
      <c r="P49" s="206" t="str">
        <f t="shared" si="5"/>
        <v/>
      </c>
    </row>
    <row r="50" spans="3:16" x14ac:dyDescent="0.4">
      <c r="C50" s="199"/>
      <c r="D50" s="200"/>
      <c r="E50" s="201"/>
      <c r="F50" s="199"/>
      <c r="H50" s="202"/>
      <c r="I50" s="185" t="str">
        <f t="shared" si="1"/>
        <v/>
      </c>
      <c r="J50" s="203" t="str">
        <f>IF($H50="USD",IF(OR($I50="",$I50="-"),"",VLOOKUP($G50,為替!$A:$AX,$I50,FALSE))+$J$3,IF(OR($I50="",$I50="-"),"",VLOOKUP($G50,為替!$A:$AX,$I50,FALSE)))</f>
        <v/>
      </c>
      <c r="K50" s="204" t="str">
        <f t="shared" si="2"/>
        <v/>
      </c>
      <c r="L50" s="188" t="str">
        <f t="shared" si="3"/>
        <v/>
      </c>
      <c r="M50" s="203" t="str">
        <f>IF($H50="USD",IF(OR($L50="",$L50="-"),"",VLOOKUP($G50,為替!$A:$AX,$L50,FALSE))+$K$3,IF(OR($L50="",$L50="-"),"",VLOOKUP($G50,為替!$A:$AX,$L50,FALSE)))</f>
        <v/>
      </c>
      <c r="N50" s="204" t="str">
        <f t="shared" si="4"/>
        <v/>
      </c>
      <c r="O50" s="205" t="str">
        <f t="shared" si="0"/>
        <v/>
      </c>
      <c r="P50" s="206" t="str">
        <f t="shared" si="5"/>
        <v/>
      </c>
    </row>
    <row r="51" spans="3:16" x14ac:dyDescent="0.4">
      <c r="C51" s="199"/>
      <c r="D51" s="200"/>
      <c r="E51" s="201"/>
      <c r="F51" s="199"/>
      <c r="H51" s="202"/>
      <c r="I51" s="185" t="str">
        <f t="shared" si="1"/>
        <v/>
      </c>
      <c r="J51" s="203" t="str">
        <f>IF($H51="USD",IF(OR($I51="",$I51="-"),"",VLOOKUP($G51,為替!$A:$AX,$I51,FALSE))+$J$3,IF(OR($I51="",$I51="-"),"",VLOOKUP($G51,為替!$A:$AX,$I51,FALSE)))</f>
        <v/>
      </c>
      <c r="K51" s="204" t="str">
        <f t="shared" si="2"/>
        <v/>
      </c>
      <c r="L51" s="188" t="str">
        <f t="shared" si="3"/>
        <v/>
      </c>
      <c r="M51" s="203" t="str">
        <f>IF($H51="USD",IF(OR($L51="",$L51="-"),"",VLOOKUP($G51,為替!$A:$AX,$L51,FALSE))+$K$3,IF(OR($L51="",$L51="-"),"",VLOOKUP($G51,為替!$A:$AX,$L51,FALSE)))</f>
        <v/>
      </c>
      <c r="N51" s="204" t="str">
        <f t="shared" si="4"/>
        <v/>
      </c>
      <c r="O51" s="205" t="str">
        <f t="shared" si="0"/>
        <v/>
      </c>
      <c r="P51" s="206" t="str">
        <f t="shared" si="5"/>
        <v/>
      </c>
    </row>
    <row r="52" spans="3:16" x14ac:dyDescent="0.4">
      <c r="C52" s="199"/>
      <c r="D52" s="200"/>
      <c r="E52" s="201"/>
      <c r="F52" s="199"/>
      <c r="H52" s="202"/>
      <c r="I52" s="185" t="str">
        <f t="shared" si="1"/>
        <v/>
      </c>
      <c r="J52" s="203" t="str">
        <f>IF($H52="USD",IF(OR($I52="",$I52="-"),"",VLOOKUP($G52,為替!$A:$AX,$I52,FALSE))+$J$3,IF(OR($I52="",$I52="-"),"",VLOOKUP($G52,為替!$A:$AX,$I52,FALSE)))</f>
        <v/>
      </c>
      <c r="K52" s="204" t="str">
        <f t="shared" si="2"/>
        <v/>
      </c>
      <c r="L52" s="188" t="str">
        <f t="shared" si="3"/>
        <v/>
      </c>
      <c r="M52" s="203" t="str">
        <f>IF($H52="USD",IF(OR($L52="",$L52="-"),"",VLOOKUP($G52,為替!$A:$AX,$L52,FALSE))+$K$3,IF(OR($L52="",$L52="-"),"",VLOOKUP($G52,為替!$A:$AX,$L52,FALSE)))</f>
        <v/>
      </c>
      <c r="N52" s="204" t="str">
        <f t="shared" si="4"/>
        <v/>
      </c>
      <c r="O52" s="205" t="str">
        <f t="shared" si="0"/>
        <v/>
      </c>
      <c r="P52" s="206" t="str">
        <f t="shared" si="5"/>
        <v/>
      </c>
    </row>
    <row r="53" spans="3:16" x14ac:dyDescent="0.4">
      <c r="C53" s="199"/>
      <c r="D53" s="200"/>
      <c r="E53" s="201"/>
      <c r="F53" s="199"/>
      <c r="H53" s="202"/>
      <c r="I53" s="185" t="str">
        <f t="shared" si="1"/>
        <v/>
      </c>
      <c r="J53" s="203" t="str">
        <f>IF($H53="USD",IF(OR($I53="",$I53="-"),"",VLOOKUP($G53,為替!$A:$AX,$I53,FALSE))+$J$3,IF(OR($I53="",$I53="-"),"",VLOOKUP($G53,為替!$A:$AX,$I53,FALSE)))</f>
        <v/>
      </c>
      <c r="K53" s="204" t="str">
        <f t="shared" si="2"/>
        <v/>
      </c>
      <c r="L53" s="188" t="str">
        <f t="shared" si="3"/>
        <v/>
      </c>
      <c r="M53" s="203" t="str">
        <f>IF($H53="USD",IF(OR($L53="",$L53="-"),"",VLOOKUP($G53,為替!$A:$AX,$L53,FALSE))+$K$3,IF(OR($L53="",$L53="-"),"",VLOOKUP($G53,為替!$A:$AX,$L53,FALSE)))</f>
        <v/>
      </c>
      <c r="N53" s="204" t="str">
        <f t="shared" si="4"/>
        <v/>
      </c>
      <c r="O53" s="205" t="str">
        <f t="shared" si="0"/>
        <v/>
      </c>
      <c r="P53" s="206" t="str">
        <f t="shared" si="5"/>
        <v/>
      </c>
    </row>
    <row r="54" spans="3:16" x14ac:dyDescent="0.4">
      <c r="C54" s="199"/>
      <c r="D54" s="200"/>
      <c r="E54" s="201"/>
      <c r="F54" s="199"/>
      <c r="H54" s="202"/>
      <c r="I54" s="185" t="str">
        <f t="shared" si="1"/>
        <v/>
      </c>
      <c r="J54" s="203" t="str">
        <f>IF($H54="USD",IF(OR($I54="",$I54="-"),"",VLOOKUP($G54,為替!$A:$AX,$I54,FALSE))+$J$3,IF(OR($I54="",$I54="-"),"",VLOOKUP($G54,為替!$A:$AX,$I54,FALSE)))</f>
        <v/>
      </c>
      <c r="K54" s="204" t="str">
        <f t="shared" si="2"/>
        <v/>
      </c>
      <c r="L54" s="188" t="str">
        <f t="shared" si="3"/>
        <v/>
      </c>
      <c r="M54" s="203" t="str">
        <f>IF($H54="USD",IF(OR($L54="",$L54="-"),"",VLOOKUP($G54,為替!$A:$AX,$L54,FALSE))+$K$3,IF(OR($L54="",$L54="-"),"",VLOOKUP($G54,為替!$A:$AX,$L54,FALSE)))</f>
        <v/>
      </c>
      <c r="N54" s="204" t="str">
        <f t="shared" si="4"/>
        <v/>
      </c>
      <c r="O54" s="205" t="str">
        <f t="shared" si="0"/>
        <v/>
      </c>
      <c r="P54" s="206" t="str">
        <f t="shared" si="5"/>
        <v/>
      </c>
    </row>
    <row r="55" spans="3:16" x14ac:dyDescent="0.4">
      <c r="C55" s="199"/>
      <c r="D55" s="200"/>
      <c r="E55" s="201"/>
      <c r="F55" s="199"/>
      <c r="H55" s="202"/>
      <c r="I55" s="185" t="str">
        <f t="shared" si="1"/>
        <v/>
      </c>
      <c r="J55" s="203" t="str">
        <f>IF($H55="USD",IF(OR($I55="",$I55="-"),"",VLOOKUP($G55,為替!$A:$AX,$I55,FALSE))+$J$3,IF(OR($I55="",$I55="-"),"",VLOOKUP($G55,為替!$A:$AX,$I55,FALSE)))</f>
        <v/>
      </c>
      <c r="K55" s="204" t="str">
        <f t="shared" si="2"/>
        <v/>
      </c>
      <c r="L55" s="188" t="str">
        <f t="shared" si="3"/>
        <v/>
      </c>
      <c r="M55" s="203" t="str">
        <f>IF($H55="USD",IF(OR($L55="",$L55="-"),"",VLOOKUP($G55,為替!$A:$AX,$L55,FALSE))+$K$3,IF(OR($L55="",$L55="-"),"",VLOOKUP($G55,為替!$A:$AX,$L55,FALSE)))</f>
        <v/>
      </c>
      <c r="N55" s="204" t="str">
        <f t="shared" si="4"/>
        <v/>
      </c>
      <c r="O55" s="205" t="str">
        <f t="shared" si="0"/>
        <v/>
      </c>
      <c r="P55" s="206" t="str">
        <f t="shared" si="5"/>
        <v/>
      </c>
    </row>
    <row r="56" spans="3:16" x14ac:dyDescent="0.4">
      <c r="C56" s="199"/>
      <c r="D56" s="200"/>
      <c r="E56" s="201"/>
      <c r="F56" s="199"/>
      <c r="H56" s="202"/>
      <c r="I56" s="185" t="str">
        <f t="shared" si="1"/>
        <v/>
      </c>
      <c r="J56" s="203" t="str">
        <f>IF($H56="USD",IF(OR($I56="",$I56="-"),"",VLOOKUP($G56,為替!$A:$AX,$I56,FALSE))+$J$3,IF(OR($I56="",$I56="-"),"",VLOOKUP($G56,為替!$A:$AX,$I56,FALSE)))</f>
        <v/>
      </c>
      <c r="K56" s="204" t="str">
        <f t="shared" si="2"/>
        <v/>
      </c>
      <c r="L56" s="188" t="str">
        <f t="shared" si="3"/>
        <v/>
      </c>
      <c r="M56" s="203" t="str">
        <f>IF($H56="USD",IF(OR($L56="",$L56="-"),"",VLOOKUP($G56,為替!$A:$AX,$L56,FALSE))+$K$3,IF(OR($L56="",$L56="-"),"",VLOOKUP($G56,為替!$A:$AX,$L56,FALSE)))</f>
        <v/>
      </c>
      <c r="N56" s="204" t="str">
        <f t="shared" si="4"/>
        <v/>
      </c>
      <c r="O56" s="205" t="str">
        <f t="shared" si="0"/>
        <v/>
      </c>
      <c r="P56" s="206" t="str">
        <f t="shared" si="5"/>
        <v/>
      </c>
    </row>
    <row r="57" spans="3:16" x14ac:dyDescent="0.4">
      <c r="C57" s="199"/>
      <c r="D57" s="200"/>
      <c r="E57" s="201"/>
      <c r="F57" s="199"/>
      <c r="H57" s="202"/>
      <c r="I57" s="185" t="str">
        <f t="shared" si="1"/>
        <v/>
      </c>
      <c r="J57" s="203" t="str">
        <f>IF($H57="USD",IF(OR($I57="",$I57="-"),"",VLOOKUP($G57,為替!$A:$AX,$I57,FALSE))+$J$3,IF(OR($I57="",$I57="-"),"",VLOOKUP($G57,為替!$A:$AX,$I57,FALSE)))</f>
        <v/>
      </c>
      <c r="K57" s="204" t="str">
        <f t="shared" si="2"/>
        <v/>
      </c>
      <c r="L57" s="188" t="str">
        <f t="shared" si="3"/>
        <v/>
      </c>
      <c r="M57" s="203" t="str">
        <f>IF($H57="USD",IF(OR($L57="",$L57="-"),"",VLOOKUP($G57,為替!$A:$AX,$L57,FALSE))+$K$3,IF(OR($L57="",$L57="-"),"",VLOOKUP($G57,為替!$A:$AX,$L57,FALSE)))</f>
        <v/>
      </c>
      <c r="N57" s="204" t="str">
        <f t="shared" si="4"/>
        <v/>
      </c>
      <c r="O57" s="205" t="str">
        <f t="shared" si="0"/>
        <v/>
      </c>
      <c r="P57" s="206" t="str">
        <f t="shared" si="5"/>
        <v/>
      </c>
    </row>
    <row r="58" spans="3:16" x14ac:dyDescent="0.4">
      <c r="C58" s="199"/>
      <c r="D58" s="200"/>
      <c r="E58" s="201"/>
      <c r="F58" s="199"/>
      <c r="H58" s="202"/>
      <c r="I58" s="185" t="str">
        <f t="shared" si="1"/>
        <v/>
      </c>
      <c r="J58" s="203" t="str">
        <f>IF($H58="USD",IF(OR($I58="",$I58="-"),"",VLOOKUP($G58,為替!$A:$AX,$I58,FALSE))+$J$3,IF(OR($I58="",$I58="-"),"",VLOOKUP($G58,為替!$A:$AX,$I58,FALSE)))</f>
        <v/>
      </c>
      <c r="K58" s="204" t="str">
        <f t="shared" si="2"/>
        <v/>
      </c>
      <c r="L58" s="188" t="str">
        <f t="shared" si="3"/>
        <v/>
      </c>
      <c r="M58" s="203" t="str">
        <f>IF($H58="USD",IF(OR($L58="",$L58="-"),"",VLOOKUP($G58,為替!$A:$AX,$L58,FALSE))+$K$3,IF(OR($L58="",$L58="-"),"",VLOOKUP($G58,為替!$A:$AX,$L58,FALSE)))</f>
        <v/>
      </c>
      <c r="N58" s="204" t="str">
        <f t="shared" si="4"/>
        <v/>
      </c>
      <c r="O58" s="205" t="str">
        <f t="shared" si="0"/>
        <v/>
      </c>
      <c r="P58" s="206" t="str">
        <f t="shared" si="5"/>
        <v/>
      </c>
    </row>
    <row r="59" spans="3:16" x14ac:dyDescent="0.4">
      <c r="C59" s="199"/>
      <c r="D59" s="200"/>
      <c r="E59" s="201"/>
      <c r="F59" s="199"/>
      <c r="H59" s="202"/>
      <c r="I59" s="185" t="str">
        <f t="shared" si="1"/>
        <v/>
      </c>
      <c r="J59" s="203" t="str">
        <f>IF($H59="USD",IF(OR($I59="",$I59="-"),"",VLOOKUP($G59,為替!$A:$AX,$I59,FALSE))+$J$3,IF(OR($I59="",$I59="-"),"",VLOOKUP($G59,為替!$A:$AX,$I59,FALSE)))</f>
        <v/>
      </c>
      <c r="K59" s="204" t="str">
        <f t="shared" si="2"/>
        <v/>
      </c>
      <c r="L59" s="188" t="str">
        <f t="shared" si="3"/>
        <v/>
      </c>
      <c r="M59" s="203" t="str">
        <f>IF($H59="USD",IF(OR($L59="",$L59="-"),"",VLOOKUP($G59,為替!$A:$AX,$L59,FALSE))+$K$3,IF(OR($L59="",$L59="-"),"",VLOOKUP($G59,為替!$A:$AX,$L59,FALSE)))</f>
        <v/>
      </c>
      <c r="N59" s="204" t="str">
        <f t="shared" si="4"/>
        <v/>
      </c>
      <c r="O59" s="205" t="str">
        <f t="shared" si="0"/>
        <v/>
      </c>
      <c r="P59" s="206" t="str">
        <f t="shared" si="5"/>
        <v/>
      </c>
    </row>
    <row r="60" spans="3:16" x14ac:dyDescent="0.4">
      <c r="C60" s="199"/>
      <c r="D60" s="200"/>
      <c r="E60" s="201"/>
      <c r="F60" s="199"/>
      <c r="H60" s="202"/>
      <c r="I60" s="185" t="str">
        <f t="shared" si="1"/>
        <v/>
      </c>
      <c r="J60" s="203" t="str">
        <f>IF($H60="USD",IF(OR($I60="",$I60="-"),"",VLOOKUP($G60,為替!$A:$AX,$I60,FALSE))+$J$3,IF(OR($I60="",$I60="-"),"",VLOOKUP($G60,為替!$A:$AX,$I60,FALSE)))</f>
        <v/>
      </c>
      <c r="K60" s="204" t="str">
        <f t="shared" si="2"/>
        <v/>
      </c>
      <c r="L60" s="188" t="str">
        <f t="shared" si="3"/>
        <v/>
      </c>
      <c r="M60" s="203" t="str">
        <f>IF($H60="USD",IF(OR($L60="",$L60="-"),"",VLOOKUP($G60,為替!$A:$AX,$L60,FALSE))+$K$3,IF(OR($L60="",$L60="-"),"",VLOOKUP($G60,為替!$A:$AX,$L60,FALSE)))</f>
        <v/>
      </c>
      <c r="N60" s="204" t="str">
        <f t="shared" si="4"/>
        <v/>
      </c>
      <c r="O60" s="205" t="str">
        <f t="shared" si="0"/>
        <v/>
      </c>
      <c r="P60" s="206" t="str">
        <f t="shared" si="5"/>
        <v/>
      </c>
    </row>
    <row r="61" spans="3:16" x14ac:dyDescent="0.4">
      <c r="C61" s="199"/>
      <c r="D61" s="200"/>
      <c r="E61" s="201"/>
      <c r="F61" s="199"/>
      <c r="H61" s="202"/>
      <c r="I61" s="185" t="str">
        <f t="shared" si="1"/>
        <v/>
      </c>
      <c r="J61" s="203" t="str">
        <f>IF($H61="USD",IF(OR($I61="",$I61="-"),"",VLOOKUP($G61,為替!$A:$AX,$I61,FALSE))+$J$3,IF(OR($I61="",$I61="-"),"",VLOOKUP($G61,為替!$A:$AX,$I61,FALSE)))</f>
        <v/>
      </c>
      <c r="K61" s="204" t="str">
        <f t="shared" si="2"/>
        <v/>
      </c>
      <c r="L61" s="188" t="str">
        <f t="shared" si="3"/>
        <v/>
      </c>
      <c r="M61" s="203" t="str">
        <f>IF($H61="USD",IF(OR($L61="",$L61="-"),"",VLOOKUP($G61,為替!$A:$AX,$L61,FALSE))+$K$3,IF(OR($L61="",$L61="-"),"",VLOOKUP($G61,為替!$A:$AX,$L61,FALSE)))</f>
        <v/>
      </c>
      <c r="N61" s="204" t="str">
        <f t="shared" si="4"/>
        <v/>
      </c>
      <c r="O61" s="205" t="str">
        <f t="shared" si="0"/>
        <v/>
      </c>
      <c r="P61" s="206" t="str">
        <f t="shared" si="5"/>
        <v/>
      </c>
    </row>
    <row r="62" spans="3:16" x14ac:dyDescent="0.4">
      <c r="C62" s="199"/>
      <c r="D62" s="200"/>
      <c r="E62" s="201"/>
      <c r="F62" s="199"/>
      <c r="H62" s="202"/>
      <c r="I62" s="185" t="str">
        <f t="shared" si="1"/>
        <v/>
      </c>
      <c r="J62" s="203" t="str">
        <f>IF($H62="USD",IF(OR($I62="",$I62="-"),"",VLOOKUP($G62,為替!$A:$AX,$I62,FALSE))+$J$3,IF(OR($I62="",$I62="-"),"",VLOOKUP($G62,為替!$A:$AX,$I62,FALSE)))</f>
        <v/>
      </c>
      <c r="K62" s="204" t="str">
        <f t="shared" si="2"/>
        <v/>
      </c>
      <c r="L62" s="188" t="str">
        <f t="shared" si="3"/>
        <v/>
      </c>
      <c r="M62" s="203" t="str">
        <f>IF($H62="USD",IF(OR($L62="",$L62="-"),"",VLOOKUP($G62,為替!$A:$AX,$L62,FALSE))+$K$3,IF(OR($L62="",$L62="-"),"",VLOOKUP($G62,為替!$A:$AX,$L62,FALSE)))</f>
        <v/>
      </c>
      <c r="N62" s="204" t="str">
        <f t="shared" si="4"/>
        <v/>
      </c>
      <c r="O62" s="205" t="str">
        <f t="shared" si="0"/>
        <v/>
      </c>
      <c r="P62" s="206" t="str">
        <f t="shared" si="5"/>
        <v/>
      </c>
    </row>
    <row r="63" spans="3:16" x14ac:dyDescent="0.4">
      <c r="C63" s="199"/>
      <c r="D63" s="200"/>
      <c r="E63" s="201"/>
      <c r="F63" s="199"/>
      <c r="H63" s="202"/>
      <c r="I63" s="185" t="str">
        <f t="shared" si="1"/>
        <v/>
      </c>
      <c r="J63" s="203" t="str">
        <f>IF($H63="USD",IF(OR($I63="",$I63="-"),"",VLOOKUP($G63,為替!$A:$AX,$I63,FALSE))+$J$3,IF(OR($I63="",$I63="-"),"",VLOOKUP($G63,為替!$A:$AX,$I63,FALSE)))</f>
        <v/>
      </c>
      <c r="K63" s="204" t="str">
        <f t="shared" si="2"/>
        <v/>
      </c>
      <c r="L63" s="188" t="str">
        <f t="shared" si="3"/>
        <v/>
      </c>
      <c r="M63" s="203" t="str">
        <f>IF($H63="USD",IF(OR($L63="",$L63="-"),"",VLOOKUP($G63,為替!$A:$AX,$L63,FALSE))+$K$3,IF(OR($L63="",$L63="-"),"",VLOOKUP($G63,為替!$A:$AX,$L63,FALSE)))</f>
        <v/>
      </c>
      <c r="N63" s="204" t="str">
        <f t="shared" si="4"/>
        <v/>
      </c>
      <c r="O63" s="205" t="str">
        <f t="shared" si="0"/>
        <v/>
      </c>
      <c r="P63" s="206" t="str">
        <f t="shared" si="5"/>
        <v/>
      </c>
    </row>
    <row r="64" spans="3:16" x14ac:dyDescent="0.4">
      <c r="C64" s="199"/>
      <c r="D64" s="200"/>
      <c r="E64" s="201"/>
      <c r="F64" s="199"/>
      <c r="H64" s="202"/>
      <c r="I64" s="185" t="str">
        <f t="shared" si="1"/>
        <v/>
      </c>
      <c r="J64" s="203" t="str">
        <f>IF($H64="USD",IF(OR($I64="",$I64="-"),"",VLOOKUP($G64,為替!$A:$AX,$I64,FALSE))+$J$3,IF(OR($I64="",$I64="-"),"",VLOOKUP($G64,為替!$A:$AX,$I64,FALSE)))</f>
        <v/>
      </c>
      <c r="K64" s="204" t="str">
        <f t="shared" si="2"/>
        <v/>
      </c>
      <c r="L64" s="188" t="str">
        <f t="shared" si="3"/>
        <v/>
      </c>
      <c r="M64" s="203" t="str">
        <f>IF($H64="USD",IF(OR($L64="",$L64="-"),"",VLOOKUP($G64,為替!$A:$AX,$L64,FALSE))+$K$3,IF(OR($L64="",$L64="-"),"",VLOOKUP($G64,為替!$A:$AX,$L64,FALSE)))</f>
        <v/>
      </c>
      <c r="N64" s="204" t="str">
        <f t="shared" si="4"/>
        <v/>
      </c>
      <c r="O64" s="205" t="str">
        <f t="shared" si="0"/>
        <v/>
      </c>
      <c r="P64" s="206" t="str">
        <f t="shared" si="5"/>
        <v/>
      </c>
    </row>
    <row r="65" spans="3:16" x14ac:dyDescent="0.4">
      <c r="C65" s="199"/>
      <c r="D65" s="200"/>
      <c r="E65" s="201"/>
      <c r="F65" s="199"/>
      <c r="H65" s="202"/>
      <c r="I65" s="185" t="str">
        <f t="shared" si="1"/>
        <v/>
      </c>
      <c r="J65" s="203" t="str">
        <f>IF($H65="USD",IF(OR($I65="",$I65="-"),"",VLOOKUP($G65,為替!$A:$AX,$I65,FALSE))+$J$3,IF(OR($I65="",$I65="-"),"",VLOOKUP($G65,為替!$A:$AX,$I65,FALSE)))</f>
        <v/>
      </c>
      <c r="K65" s="204" t="str">
        <f t="shared" si="2"/>
        <v/>
      </c>
      <c r="L65" s="188" t="str">
        <f t="shared" si="3"/>
        <v/>
      </c>
      <c r="M65" s="203" t="str">
        <f>IF($H65="USD",IF(OR($L65="",$L65="-"),"",VLOOKUP($G65,為替!$A:$AX,$L65,FALSE))+$K$3,IF(OR($L65="",$L65="-"),"",VLOOKUP($G65,為替!$A:$AX,$L65,FALSE)))</f>
        <v/>
      </c>
      <c r="N65" s="204" t="str">
        <f t="shared" si="4"/>
        <v/>
      </c>
      <c r="O65" s="205" t="str">
        <f t="shared" si="0"/>
        <v/>
      </c>
      <c r="P65" s="206" t="str">
        <f t="shared" si="5"/>
        <v/>
      </c>
    </row>
    <row r="66" spans="3:16" x14ac:dyDescent="0.4">
      <c r="C66" s="199"/>
      <c r="D66" s="200"/>
      <c r="E66" s="201"/>
      <c r="F66" s="199"/>
      <c r="H66" s="202"/>
      <c r="I66" s="185" t="str">
        <f t="shared" si="1"/>
        <v/>
      </c>
      <c r="J66" s="203" t="str">
        <f>IF($H66="USD",IF(OR($I66="",$I66="-"),"",VLOOKUP($G66,為替!$A:$AX,$I66,FALSE))+$J$3,IF(OR($I66="",$I66="-"),"",VLOOKUP($G66,為替!$A:$AX,$I66,FALSE)))</f>
        <v/>
      </c>
      <c r="K66" s="204" t="str">
        <f t="shared" si="2"/>
        <v/>
      </c>
      <c r="L66" s="188" t="str">
        <f t="shared" si="3"/>
        <v/>
      </c>
      <c r="M66" s="203" t="str">
        <f>IF($H66="USD",IF(OR($L66="",$L66="-"),"",VLOOKUP($G66,為替!$A:$AX,$L66,FALSE))+$K$3,IF(OR($L66="",$L66="-"),"",VLOOKUP($G66,為替!$A:$AX,$L66,FALSE)))</f>
        <v/>
      </c>
      <c r="N66" s="204" t="str">
        <f t="shared" si="4"/>
        <v/>
      </c>
      <c r="O66" s="205" t="str">
        <f t="shared" si="0"/>
        <v/>
      </c>
      <c r="P66" s="206" t="str">
        <f t="shared" si="5"/>
        <v/>
      </c>
    </row>
    <row r="67" spans="3:16" x14ac:dyDescent="0.4">
      <c r="C67" s="199"/>
      <c r="D67" s="200"/>
      <c r="E67" s="201"/>
      <c r="F67" s="199"/>
      <c r="H67" s="202"/>
      <c r="I67" s="185" t="str">
        <f t="shared" si="1"/>
        <v/>
      </c>
      <c r="J67" s="203" t="str">
        <f>IF($H67="USD",IF(OR($I67="",$I67="-"),"",VLOOKUP($G67,為替!$A:$AX,$I67,FALSE))+$J$3,IF(OR($I67="",$I67="-"),"",VLOOKUP($G67,為替!$A:$AX,$I67,FALSE)))</f>
        <v/>
      </c>
      <c r="K67" s="204" t="str">
        <f t="shared" si="2"/>
        <v/>
      </c>
      <c r="L67" s="188" t="str">
        <f t="shared" si="3"/>
        <v/>
      </c>
      <c r="M67" s="203" t="str">
        <f>IF($H67="USD",IF(OR($L67="",$L67="-"),"",VLOOKUP($G67,為替!$A:$AX,$L67,FALSE))+$K$3,IF(OR($L67="",$L67="-"),"",VLOOKUP($G67,為替!$A:$AX,$L67,FALSE)))</f>
        <v/>
      </c>
      <c r="N67" s="204" t="str">
        <f t="shared" si="4"/>
        <v/>
      </c>
      <c r="O67" s="205" t="str">
        <f t="shared" si="0"/>
        <v/>
      </c>
      <c r="P67" s="206" t="str">
        <f t="shared" si="5"/>
        <v/>
      </c>
    </row>
    <row r="68" spans="3:16" x14ac:dyDescent="0.4">
      <c r="C68" s="199"/>
      <c r="D68" s="200"/>
      <c r="E68" s="201"/>
      <c r="F68" s="199"/>
      <c r="H68" s="202"/>
      <c r="I68" s="185" t="str">
        <f t="shared" si="1"/>
        <v/>
      </c>
      <c r="J68" s="203" t="str">
        <f>IF($H68="USD",IF(OR($I68="",$I68="-"),"",VLOOKUP($G68,為替!$A:$AX,$I68,FALSE))+$J$3,IF(OR($I68="",$I68="-"),"",VLOOKUP($G68,為替!$A:$AX,$I68,FALSE)))</f>
        <v/>
      </c>
      <c r="K68" s="204" t="str">
        <f t="shared" si="2"/>
        <v/>
      </c>
      <c r="L68" s="188" t="str">
        <f t="shared" si="3"/>
        <v/>
      </c>
      <c r="M68" s="203" t="str">
        <f>IF($H68="USD",IF(OR($L68="",$L68="-"),"",VLOOKUP($G68,為替!$A:$AX,$L68,FALSE))+$K$3,IF(OR($L68="",$L68="-"),"",VLOOKUP($G68,為替!$A:$AX,$L68,FALSE)))</f>
        <v/>
      </c>
      <c r="N68" s="204" t="str">
        <f t="shared" si="4"/>
        <v/>
      </c>
      <c r="O68" s="205" t="str">
        <f t="shared" si="0"/>
        <v/>
      </c>
      <c r="P68" s="206" t="str">
        <f t="shared" si="5"/>
        <v/>
      </c>
    </row>
    <row r="69" spans="3:16" x14ac:dyDescent="0.4">
      <c r="C69" s="199"/>
      <c r="D69" s="200"/>
      <c r="E69" s="201"/>
      <c r="F69" s="199"/>
      <c r="H69" s="202"/>
      <c r="I69" s="185" t="str">
        <f t="shared" si="1"/>
        <v/>
      </c>
      <c r="J69" s="203" t="str">
        <f>IF($H69="USD",IF(OR($I69="",$I69="-"),"",VLOOKUP($G69,為替!$A:$AX,$I69,FALSE))+$J$3,IF(OR($I69="",$I69="-"),"",VLOOKUP($G69,為替!$A:$AX,$I69,FALSE)))</f>
        <v/>
      </c>
      <c r="K69" s="204" t="str">
        <f t="shared" si="2"/>
        <v/>
      </c>
      <c r="L69" s="188" t="str">
        <f t="shared" si="3"/>
        <v/>
      </c>
      <c r="M69" s="203" t="str">
        <f>IF($H69="USD",IF(OR($L69="",$L69="-"),"",VLOOKUP($G69,為替!$A:$AX,$L69,FALSE))+$K$3,IF(OR($L69="",$L69="-"),"",VLOOKUP($G69,為替!$A:$AX,$L69,FALSE)))</f>
        <v/>
      </c>
      <c r="N69" s="204" t="str">
        <f t="shared" si="4"/>
        <v/>
      </c>
      <c r="O69" s="205" t="str">
        <f t="shared" si="0"/>
        <v/>
      </c>
      <c r="P69" s="206" t="str">
        <f t="shared" si="5"/>
        <v/>
      </c>
    </row>
    <row r="70" spans="3:16" x14ac:dyDescent="0.4">
      <c r="C70" s="199"/>
      <c r="D70" s="200"/>
      <c r="E70" s="201"/>
      <c r="F70" s="199"/>
      <c r="H70" s="202"/>
      <c r="I70" s="185" t="str">
        <f t="shared" si="1"/>
        <v/>
      </c>
      <c r="J70" s="203" t="str">
        <f>IF($H70="USD",IF(OR($I70="",$I70="-"),"",VLOOKUP($G70,為替!$A:$AX,$I70,FALSE))+$J$3,IF(OR($I70="",$I70="-"),"",VLOOKUP($G70,為替!$A:$AX,$I70,FALSE)))</f>
        <v/>
      </c>
      <c r="K70" s="204" t="str">
        <f t="shared" si="2"/>
        <v/>
      </c>
      <c r="L70" s="188" t="str">
        <f t="shared" si="3"/>
        <v/>
      </c>
      <c r="M70" s="203" t="str">
        <f>IF($H70="USD",IF(OR($L70="",$L70="-"),"",VLOOKUP($G70,為替!$A:$AX,$L70,FALSE))+$K$3,IF(OR($L70="",$L70="-"),"",VLOOKUP($G70,為替!$A:$AX,$L70,FALSE)))</f>
        <v/>
      </c>
      <c r="N70" s="204" t="str">
        <f t="shared" si="4"/>
        <v/>
      </c>
      <c r="O70" s="205" t="str">
        <f t="shared" ref="O70:O133" si="6">IF(OR(K70="",N70=""),"",K70-N70)</f>
        <v/>
      </c>
      <c r="P70" s="206" t="str">
        <f t="shared" si="5"/>
        <v/>
      </c>
    </row>
    <row r="71" spans="3:16" x14ac:dyDescent="0.4">
      <c r="C71" s="199"/>
      <c r="D71" s="200"/>
      <c r="E71" s="201"/>
      <c r="F71" s="199"/>
      <c r="H71" s="202"/>
      <c r="I71" s="185" t="str">
        <f t="shared" ref="I71:I134" si="7">IF(H71="","",IF(H71="JPY","",IF($H71="USD",4, IF(H71="EUR",7,IF(H71="CNY",47,IF(H71="HKD",34))))))</f>
        <v/>
      </c>
      <c r="J71" s="203" t="str">
        <f>IF($H71="USD",IF(OR($I71="",$I71="-"),"",VLOOKUP($G71,為替!$A:$AX,$I71,FALSE))+$J$3,IF(OR($I71="",$I71="-"),"",VLOOKUP($G71,為替!$A:$AX,$I71,FALSE)))</f>
        <v/>
      </c>
      <c r="K71" s="204" t="str">
        <f t="shared" ref="K71:K134" si="8">IF($H71="JPY",$F71,IF($H71="","",$F71*$J71))</f>
        <v/>
      </c>
      <c r="L71" s="188" t="str">
        <f t="shared" ref="L71:L134" si="9">IF(H71="","",IF(H71="JPY","",IF($H71="USD",3, IF(H71="EUR",6,IF(H71="CNY",46,IF(H71="HKD",33))))))</f>
        <v/>
      </c>
      <c r="M71" s="203" t="str">
        <f>IF($H71="USD",IF(OR($L71="",$L71="-"),"",VLOOKUP($G71,為替!$A:$AX,$L71,FALSE))+$K$3,IF(OR($L71="",$L71="-"),"",VLOOKUP($G71,為替!$A:$AX,$L71,FALSE)))</f>
        <v/>
      </c>
      <c r="N71" s="204" t="str">
        <f t="shared" ref="N71:N134" si="10">IF($E71="JPY",($C71+$D71),IF($E71="","",($C71+$D71)*$M71))</f>
        <v/>
      </c>
      <c r="O71" s="205" t="str">
        <f t="shared" si="6"/>
        <v/>
      </c>
      <c r="P71" s="206" t="str">
        <f t="shared" ref="P71:P134" si="11">IF(OR(K71="",O71=""),"",O71/K71)</f>
        <v/>
      </c>
    </row>
    <row r="72" spans="3:16" x14ac:dyDescent="0.4">
      <c r="C72" s="199"/>
      <c r="D72" s="200"/>
      <c r="E72" s="201"/>
      <c r="F72" s="199"/>
      <c r="H72" s="202"/>
      <c r="I72" s="185" t="str">
        <f t="shared" si="7"/>
        <v/>
      </c>
      <c r="J72" s="203" t="str">
        <f>IF($H72="USD",IF(OR($I72="",$I72="-"),"",VLOOKUP($G72,為替!$A:$AX,$I72,FALSE))+$J$3,IF(OR($I72="",$I72="-"),"",VLOOKUP($G72,為替!$A:$AX,$I72,FALSE)))</f>
        <v/>
      </c>
      <c r="K72" s="204" t="str">
        <f t="shared" si="8"/>
        <v/>
      </c>
      <c r="L72" s="188" t="str">
        <f t="shared" si="9"/>
        <v/>
      </c>
      <c r="M72" s="203" t="str">
        <f>IF($H72="USD",IF(OR($L72="",$L72="-"),"",VLOOKUP($G72,為替!$A:$AX,$L72,FALSE))+$K$3,IF(OR($L72="",$L72="-"),"",VLOOKUP($G72,為替!$A:$AX,$L72,FALSE)))</f>
        <v/>
      </c>
      <c r="N72" s="204" t="str">
        <f t="shared" si="10"/>
        <v/>
      </c>
      <c r="O72" s="205" t="str">
        <f t="shared" si="6"/>
        <v/>
      </c>
      <c r="P72" s="206" t="str">
        <f t="shared" si="11"/>
        <v/>
      </c>
    </row>
    <row r="73" spans="3:16" x14ac:dyDescent="0.4">
      <c r="C73" s="199"/>
      <c r="D73" s="200"/>
      <c r="E73" s="201"/>
      <c r="F73" s="199"/>
      <c r="H73" s="202"/>
      <c r="I73" s="185" t="str">
        <f t="shared" si="7"/>
        <v/>
      </c>
      <c r="J73" s="203" t="str">
        <f>IF($H73="USD",IF(OR($I73="",$I73="-"),"",VLOOKUP($G73,為替!$A:$AX,$I73,FALSE))+$J$3,IF(OR($I73="",$I73="-"),"",VLOOKUP($G73,為替!$A:$AX,$I73,FALSE)))</f>
        <v/>
      </c>
      <c r="K73" s="204" t="str">
        <f t="shared" si="8"/>
        <v/>
      </c>
      <c r="L73" s="188" t="str">
        <f t="shared" si="9"/>
        <v/>
      </c>
      <c r="M73" s="203" t="str">
        <f>IF($H73="USD",IF(OR($L73="",$L73="-"),"",VLOOKUP($G73,為替!$A:$AX,$L73,FALSE))+$K$3,IF(OR($L73="",$L73="-"),"",VLOOKUP($G73,為替!$A:$AX,$L73,FALSE)))</f>
        <v/>
      </c>
      <c r="N73" s="204" t="str">
        <f t="shared" si="10"/>
        <v/>
      </c>
      <c r="O73" s="205" t="str">
        <f t="shared" si="6"/>
        <v/>
      </c>
      <c r="P73" s="206" t="str">
        <f t="shared" si="11"/>
        <v/>
      </c>
    </row>
    <row r="74" spans="3:16" x14ac:dyDescent="0.4">
      <c r="C74" s="199"/>
      <c r="D74" s="200"/>
      <c r="E74" s="201"/>
      <c r="F74" s="199"/>
      <c r="H74" s="202"/>
      <c r="I74" s="185" t="str">
        <f t="shared" si="7"/>
        <v/>
      </c>
      <c r="J74" s="203" t="str">
        <f>IF($H74="USD",IF(OR($I74="",$I74="-"),"",VLOOKUP($G74,為替!$A:$AX,$I74,FALSE))+$J$3,IF(OR($I74="",$I74="-"),"",VLOOKUP($G74,為替!$A:$AX,$I74,FALSE)))</f>
        <v/>
      </c>
      <c r="K74" s="204" t="str">
        <f t="shared" si="8"/>
        <v/>
      </c>
      <c r="L74" s="188" t="str">
        <f t="shared" si="9"/>
        <v/>
      </c>
      <c r="M74" s="203" t="str">
        <f>IF($H74="USD",IF(OR($L74="",$L74="-"),"",VLOOKUP($G74,為替!$A:$AX,$L74,FALSE))+$K$3,IF(OR($L74="",$L74="-"),"",VLOOKUP($G74,為替!$A:$AX,$L74,FALSE)))</f>
        <v/>
      </c>
      <c r="N74" s="204" t="str">
        <f t="shared" si="10"/>
        <v/>
      </c>
      <c r="O74" s="205" t="str">
        <f t="shared" si="6"/>
        <v/>
      </c>
      <c r="P74" s="206" t="str">
        <f t="shared" si="11"/>
        <v/>
      </c>
    </row>
    <row r="75" spans="3:16" x14ac:dyDescent="0.4">
      <c r="C75" s="199"/>
      <c r="D75" s="200"/>
      <c r="E75" s="201"/>
      <c r="F75" s="199"/>
      <c r="H75" s="202"/>
      <c r="I75" s="185" t="str">
        <f t="shared" si="7"/>
        <v/>
      </c>
      <c r="J75" s="203" t="str">
        <f>IF($H75="USD",IF(OR($I75="",$I75="-"),"",VLOOKUP($G75,為替!$A:$AX,$I75,FALSE))+$J$3,IF(OR($I75="",$I75="-"),"",VLOOKUP($G75,為替!$A:$AX,$I75,FALSE)))</f>
        <v/>
      </c>
      <c r="K75" s="204" t="str">
        <f t="shared" si="8"/>
        <v/>
      </c>
      <c r="L75" s="188" t="str">
        <f t="shared" si="9"/>
        <v/>
      </c>
      <c r="M75" s="203" t="str">
        <f>IF($H75="USD",IF(OR($L75="",$L75="-"),"",VLOOKUP($G75,為替!$A:$AX,$L75,FALSE))+$K$3,IF(OR($L75="",$L75="-"),"",VLOOKUP($G75,為替!$A:$AX,$L75,FALSE)))</f>
        <v/>
      </c>
      <c r="N75" s="204" t="str">
        <f t="shared" si="10"/>
        <v/>
      </c>
      <c r="O75" s="205" t="str">
        <f t="shared" si="6"/>
        <v/>
      </c>
      <c r="P75" s="206" t="str">
        <f t="shared" si="11"/>
        <v/>
      </c>
    </row>
    <row r="76" spans="3:16" x14ac:dyDescent="0.4">
      <c r="C76" s="199"/>
      <c r="D76" s="200"/>
      <c r="E76" s="201"/>
      <c r="F76" s="199"/>
      <c r="H76" s="202"/>
      <c r="I76" s="185" t="str">
        <f t="shared" si="7"/>
        <v/>
      </c>
      <c r="J76" s="203" t="str">
        <f>IF($H76="USD",IF(OR($I76="",$I76="-"),"",VLOOKUP($G76,為替!$A:$AX,$I76,FALSE))+$J$3,IF(OR($I76="",$I76="-"),"",VLOOKUP($G76,為替!$A:$AX,$I76,FALSE)))</f>
        <v/>
      </c>
      <c r="K76" s="204" t="str">
        <f t="shared" si="8"/>
        <v/>
      </c>
      <c r="L76" s="188" t="str">
        <f t="shared" si="9"/>
        <v/>
      </c>
      <c r="M76" s="203" t="str">
        <f>IF($H76="USD",IF(OR($L76="",$L76="-"),"",VLOOKUP($G76,為替!$A:$AX,$L76,FALSE))+$K$3,IF(OR($L76="",$L76="-"),"",VLOOKUP($G76,為替!$A:$AX,$L76,FALSE)))</f>
        <v/>
      </c>
      <c r="N76" s="204" t="str">
        <f t="shared" si="10"/>
        <v/>
      </c>
      <c r="O76" s="205" t="str">
        <f t="shared" si="6"/>
        <v/>
      </c>
      <c r="P76" s="206" t="str">
        <f t="shared" si="11"/>
        <v/>
      </c>
    </row>
    <row r="77" spans="3:16" x14ac:dyDescent="0.4">
      <c r="C77" s="199"/>
      <c r="D77" s="200"/>
      <c r="E77" s="201"/>
      <c r="F77" s="199"/>
      <c r="H77" s="202"/>
      <c r="I77" s="185" t="str">
        <f t="shared" si="7"/>
        <v/>
      </c>
      <c r="J77" s="203" t="str">
        <f>IF($H77="USD",IF(OR($I77="",$I77="-"),"",VLOOKUP($G77,為替!$A:$AX,$I77,FALSE))+$J$3,IF(OR($I77="",$I77="-"),"",VLOOKUP($G77,為替!$A:$AX,$I77,FALSE)))</f>
        <v/>
      </c>
      <c r="K77" s="204" t="str">
        <f t="shared" si="8"/>
        <v/>
      </c>
      <c r="L77" s="188" t="str">
        <f t="shared" si="9"/>
        <v/>
      </c>
      <c r="M77" s="203" t="str">
        <f>IF($H77="USD",IF(OR($L77="",$L77="-"),"",VLOOKUP($G77,為替!$A:$AX,$L77,FALSE))+$K$3,IF(OR($L77="",$L77="-"),"",VLOOKUP($G77,為替!$A:$AX,$L77,FALSE)))</f>
        <v/>
      </c>
      <c r="N77" s="204" t="str">
        <f t="shared" si="10"/>
        <v/>
      </c>
      <c r="O77" s="205" t="str">
        <f t="shared" si="6"/>
        <v/>
      </c>
      <c r="P77" s="206" t="str">
        <f t="shared" si="11"/>
        <v/>
      </c>
    </row>
    <row r="78" spans="3:16" x14ac:dyDescent="0.4">
      <c r="C78" s="199"/>
      <c r="D78" s="200"/>
      <c r="E78" s="201"/>
      <c r="F78" s="199"/>
      <c r="H78" s="202"/>
      <c r="I78" s="185" t="str">
        <f t="shared" si="7"/>
        <v/>
      </c>
      <c r="J78" s="203" t="str">
        <f>IF($H78="USD",IF(OR($I78="",$I78="-"),"",VLOOKUP($G78,為替!$A:$AX,$I78,FALSE))+$J$3,IF(OR($I78="",$I78="-"),"",VLOOKUP($G78,為替!$A:$AX,$I78,FALSE)))</f>
        <v/>
      </c>
      <c r="K78" s="204" t="str">
        <f t="shared" si="8"/>
        <v/>
      </c>
      <c r="L78" s="188" t="str">
        <f t="shared" si="9"/>
        <v/>
      </c>
      <c r="M78" s="203" t="str">
        <f>IF($H78="USD",IF(OR($L78="",$L78="-"),"",VLOOKUP($G78,為替!$A:$AX,$L78,FALSE))+$K$3,IF(OR($L78="",$L78="-"),"",VLOOKUP($G78,為替!$A:$AX,$L78,FALSE)))</f>
        <v/>
      </c>
      <c r="N78" s="204" t="str">
        <f t="shared" si="10"/>
        <v/>
      </c>
      <c r="O78" s="205" t="str">
        <f t="shared" si="6"/>
        <v/>
      </c>
      <c r="P78" s="206" t="str">
        <f t="shared" si="11"/>
        <v/>
      </c>
    </row>
    <row r="79" spans="3:16" x14ac:dyDescent="0.4">
      <c r="C79" s="199"/>
      <c r="D79" s="200"/>
      <c r="E79" s="201"/>
      <c r="F79" s="199"/>
      <c r="H79" s="202"/>
      <c r="I79" s="185" t="str">
        <f t="shared" si="7"/>
        <v/>
      </c>
      <c r="J79" s="203" t="str">
        <f>IF($H79="USD",IF(OR($I79="",$I79="-"),"",VLOOKUP($G79,為替!$A:$AX,$I79,FALSE))+$J$3,IF(OR($I79="",$I79="-"),"",VLOOKUP($G79,為替!$A:$AX,$I79,FALSE)))</f>
        <v/>
      </c>
      <c r="K79" s="204" t="str">
        <f t="shared" si="8"/>
        <v/>
      </c>
      <c r="L79" s="188" t="str">
        <f t="shared" si="9"/>
        <v/>
      </c>
      <c r="M79" s="203" t="str">
        <f>IF($H79="USD",IF(OR($L79="",$L79="-"),"",VLOOKUP($G79,為替!$A:$AX,$L79,FALSE))+$K$3,IF(OR($L79="",$L79="-"),"",VLOOKUP($G79,為替!$A:$AX,$L79,FALSE)))</f>
        <v/>
      </c>
      <c r="N79" s="204" t="str">
        <f t="shared" si="10"/>
        <v/>
      </c>
      <c r="O79" s="205" t="str">
        <f t="shared" si="6"/>
        <v/>
      </c>
      <c r="P79" s="206" t="str">
        <f t="shared" si="11"/>
        <v/>
      </c>
    </row>
    <row r="80" spans="3:16" x14ac:dyDescent="0.4">
      <c r="C80" s="199"/>
      <c r="D80" s="200"/>
      <c r="E80" s="201"/>
      <c r="F80" s="199"/>
      <c r="H80" s="202"/>
      <c r="I80" s="185" t="str">
        <f t="shared" si="7"/>
        <v/>
      </c>
      <c r="J80" s="203" t="str">
        <f>IF($H80="USD",IF(OR($I80="",$I80="-"),"",VLOOKUP($G80,為替!$A:$AX,$I80,FALSE))+$J$3,IF(OR($I80="",$I80="-"),"",VLOOKUP($G80,為替!$A:$AX,$I80,FALSE)))</f>
        <v/>
      </c>
      <c r="K80" s="204" t="str">
        <f t="shared" si="8"/>
        <v/>
      </c>
      <c r="L80" s="188" t="str">
        <f t="shared" si="9"/>
        <v/>
      </c>
      <c r="M80" s="203" t="str">
        <f>IF($H80="USD",IF(OR($L80="",$L80="-"),"",VLOOKUP($G80,為替!$A:$AX,$L80,FALSE))+$K$3,IF(OR($L80="",$L80="-"),"",VLOOKUP($G80,為替!$A:$AX,$L80,FALSE)))</f>
        <v/>
      </c>
      <c r="N80" s="204" t="str">
        <f t="shared" si="10"/>
        <v/>
      </c>
      <c r="O80" s="205" t="str">
        <f t="shared" si="6"/>
        <v/>
      </c>
      <c r="P80" s="206" t="str">
        <f t="shared" si="11"/>
        <v/>
      </c>
    </row>
    <row r="81" spans="3:16" x14ac:dyDescent="0.4">
      <c r="C81" s="199"/>
      <c r="D81" s="200"/>
      <c r="E81" s="201"/>
      <c r="F81" s="199"/>
      <c r="H81" s="202"/>
      <c r="I81" s="185" t="str">
        <f t="shared" si="7"/>
        <v/>
      </c>
      <c r="J81" s="203" t="str">
        <f>IF($H81="USD",IF(OR($I81="",$I81="-"),"",VLOOKUP($G81,為替!$A:$AX,$I81,FALSE))+$J$3,IF(OR($I81="",$I81="-"),"",VLOOKUP($G81,為替!$A:$AX,$I81,FALSE)))</f>
        <v/>
      </c>
      <c r="K81" s="204" t="str">
        <f t="shared" si="8"/>
        <v/>
      </c>
      <c r="L81" s="188" t="str">
        <f t="shared" si="9"/>
        <v/>
      </c>
      <c r="M81" s="203" t="str">
        <f>IF($H81="USD",IF(OR($L81="",$L81="-"),"",VLOOKUP($G81,為替!$A:$AX,$L81,FALSE))+$K$3,IF(OR($L81="",$L81="-"),"",VLOOKUP($G81,為替!$A:$AX,$L81,FALSE)))</f>
        <v/>
      </c>
      <c r="N81" s="204" t="str">
        <f t="shared" si="10"/>
        <v/>
      </c>
      <c r="O81" s="205" t="str">
        <f t="shared" si="6"/>
        <v/>
      </c>
      <c r="P81" s="206" t="str">
        <f t="shared" si="11"/>
        <v/>
      </c>
    </row>
    <row r="82" spans="3:16" x14ac:dyDescent="0.4">
      <c r="C82" s="199"/>
      <c r="D82" s="200"/>
      <c r="E82" s="201"/>
      <c r="F82" s="199"/>
      <c r="H82" s="202"/>
      <c r="I82" s="185" t="str">
        <f t="shared" si="7"/>
        <v/>
      </c>
      <c r="J82" s="203" t="str">
        <f>IF($H82="USD",IF(OR($I82="",$I82="-"),"",VLOOKUP($G82,為替!$A:$AX,$I82,FALSE))+$J$3,IF(OR($I82="",$I82="-"),"",VLOOKUP($G82,為替!$A:$AX,$I82,FALSE)))</f>
        <v/>
      </c>
      <c r="K82" s="204" t="str">
        <f t="shared" si="8"/>
        <v/>
      </c>
      <c r="L82" s="188" t="str">
        <f t="shared" si="9"/>
        <v/>
      </c>
      <c r="M82" s="203" t="str">
        <f>IF($H82="USD",IF(OR($L82="",$L82="-"),"",VLOOKUP($G82,為替!$A:$AX,$L82,FALSE))+$K$3,IF(OR($L82="",$L82="-"),"",VLOOKUP($G82,為替!$A:$AX,$L82,FALSE)))</f>
        <v/>
      </c>
      <c r="N82" s="204" t="str">
        <f t="shared" si="10"/>
        <v/>
      </c>
      <c r="O82" s="205" t="str">
        <f t="shared" si="6"/>
        <v/>
      </c>
      <c r="P82" s="206" t="str">
        <f t="shared" si="11"/>
        <v/>
      </c>
    </row>
    <row r="83" spans="3:16" x14ac:dyDescent="0.4">
      <c r="C83" s="199"/>
      <c r="D83" s="200"/>
      <c r="E83" s="201"/>
      <c r="F83" s="199"/>
      <c r="H83" s="202"/>
      <c r="I83" s="185" t="str">
        <f t="shared" si="7"/>
        <v/>
      </c>
      <c r="J83" s="203" t="str">
        <f>IF($H83="USD",IF(OR($I83="",$I83="-"),"",VLOOKUP($G83,為替!$A:$AX,$I83,FALSE))+$J$3,IF(OR($I83="",$I83="-"),"",VLOOKUP($G83,為替!$A:$AX,$I83,FALSE)))</f>
        <v/>
      </c>
      <c r="K83" s="204" t="str">
        <f t="shared" si="8"/>
        <v/>
      </c>
      <c r="L83" s="188" t="str">
        <f t="shared" si="9"/>
        <v/>
      </c>
      <c r="M83" s="203" t="str">
        <f>IF($H83="USD",IF(OR($L83="",$L83="-"),"",VLOOKUP($G83,為替!$A:$AX,$L83,FALSE))+$K$3,IF(OR($L83="",$L83="-"),"",VLOOKUP($G83,為替!$A:$AX,$L83,FALSE)))</f>
        <v/>
      </c>
      <c r="N83" s="204" t="str">
        <f t="shared" si="10"/>
        <v/>
      </c>
      <c r="O83" s="205" t="str">
        <f t="shared" si="6"/>
        <v/>
      </c>
      <c r="P83" s="206" t="str">
        <f t="shared" si="11"/>
        <v/>
      </c>
    </row>
    <row r="84" spans="3:16" x14ac:dyDescent="0.4">
      <c r="C84" s="199"/>
      <c r="D84" s="200"/>
      <c r="E84" s="201"/>
      <c r="F84" s="199"/>
      <c r="H84" s="202"/>
      <c r="I84" s="185" t="str">
        <f t="shared" si="7"/>
        <v/>
      </c>
      <c r="J84" s="203" t="str">
        <f>IF($H84="USD",IF(OR($I84="",$I84="-"),"",VLOOKUP($G84,為替!$A:$AX,$I84,FALSE))+$J$3,IF(OR($I84="",$I84="-"),"",VLOOKUP($G84,為替!$A:$AX,$I84,FALSE)))</f>
        <v/>
      </c>
      <c r="K84" s="204" t="str">
        <f t="shared" si="8"/>
        <v/>
      </c>
      <c r="L84" s="188" t="str">
        <f t="shared" si="9"/>
        <v/>
      </c>
      <c r="M84" s="203" t="str">
        <f>IF($H84="USD",IF(OR($L84="",$L84="-"),"",VLOOKUP($G84,為替!$A:$AX,$L84,FALSE))+$K$3,IF(OR($L84="",$L84="-"),"",VLOOKUP($G84,為替!$A:$AX,$L84,FALSE)))</f>
        <v/>
      </c>
      <c r="N84" s="204" t="str">
        <f t="shared" si="10"/>
        <v/>
      </c>
      <c r="O84" s="205" t="str">
        <f t="shared" si="6"/>
        <v/>
      </c>
      <c r="P84" s="206" t="str">
        <f t="shared" si="11"/>
        <v/>
      </c>
    </row>
    <row r="85" spans="3:16" x14ac:dyDescent="0.4">
      <c r="C85" s="199"/>
      <c r="D85" s="200"/>
      <c r="E85" s="201"/>
      <c r="F85" s="199"/>
      <c r="H85" s="202"/>
      <c r="I85" s="185" t="str">
        <f t="shared" si="7"/>
        <v/>
      </c>
      <c r="J85" s="203" t="str">
        <f>IF($H85="USD",IF(OR($I85="",$I85="-"),"",VLOOKUP($G85,為替!$A:$AX,$I85,FALSE))+$J$3,IF(OR($I85="",$I85="-"),"",VLOOKUP($G85,為替!$A:$AX,$I85,FALSE)))</f>
        <v/>
      </c>
      <c r="K85" s="204" t="str">
        <f t="shared" si="8"/>
        <v/>
      </c>
      <c r="L85" s="188" t="str">
        <f t="shared" si="9"/>
        <v/>
      </c>
      <c r="M85" s="203" t="str">
        <f>IF($H85="USD",IF(OR($L85="",$L85="-"),"",VLOOKUP($G85,為替!$A:$AX,$L85,FALSE))+$K$3,IF(OR($L85="",$L85="-"),"",VLOOKUP($G85,為替!$A:$AX,$L85,FALSE)))</f>
        <v/>
      </c>
      <c r="N85" s="204" t="str">
        <f t="shared" si="10"/>
        <v/>
      </c>
      <c r="O85" s="205" t="str">
        <f t="shared" si="6"/>
        <v/>
      </c>
      <c r="P85" s="206" t="str">
        <f t="shared" si="11"/>
        <v/>
      </c>
    </row>
    <row r="86" spans="3:16" x14ac:dyDescent="0.4">
      <c r="C86" s="199"/>
      <c r="D86" s="200"/>
      <c r="E86" s="201"/>
      <c r="F86" s="199"/>
      <c r="H86" s="202"/>
      <c r="I86" s="185" t="str">
        <f t="shared" si="7"/>
        <v/>
      </c>
      <c r="J86" s="203" t="str">
        <f>IF($H86="USD",IF(OR($I86="",$I86="-"),"",VLOOKUP($G86,為替!$A:$AX,$I86,FALSE))+$J$3,IF(OR($I86="",$I86="-"),"",VLOOKUP($G86,為替!$A:$AX,$I86,FALSE)))</f>
        <v/>
      </c>
      <c r="K86" s="204" t="str">
        <f t="shared" si="8"/>
        <v/>
      </c>
      <c r="L86" s="188" t="str">
        <f t="shared" si="9"/>
        <v/>
      </c>
      <c r="M86" s="203" t="str">
        <f>IF($H86="USD",IF(OR($L86="",$L86="-"),"",VLOOKUP($G86,為替!$A:$AX,$L86,FALSE))+$K$3,IF(OR($L86="",$L86="-"),"",VLOOKUP($G86,為替!$A:$AX,$L86,FALSE)))</f>
        <v/>
      </c>
      <c r="N86" s="204" t="str">
        <f t="shared" si="10"/>
        <v/>
      </c>
      <c r="O86" s="205" t="str">
        <f t="shared" si="6"/>
        <v/>
      </c>
      <c r="P86" s="206" t="str">
        <f t="shared" si="11"/>
        <v/>
      </c>
    </row>
    <row r="87" spans="3:16" x14ac:dyDescent="0.4">
      <c r="C87" s="199"/>
      <c r="D87" s="200"/>
      <c r="E87" s="201"/>
      <c r="F87" s="199"/>
      <c r="H87" s="202"/>
      <c r="I87" s="185" t="str">
        <f t="shared" si="7"/>
        <v/>
      </c>
      <c r="J87" s="203" t="str">
        <f>IF($H87="USD",IF(OR($I87="",$I87="-"),"",VLOOKUP($G87,為替!$A:$AX,$I87,FALSE))+$J$3,IF(OR($I87="",$I87="-"),"",VLOOKUP($G87,為替!$A:$AX,$I87,FALSE)))</f>
        <v/>
      </c>
      <c r="K87" s="204" t="str">
        <f t="shared" si="8"/>
        <v/>
      </c>
      <c r="L87" s="188" t="str">
        <f t="shared" si="9"/>
        <v/>
      </c>
      <c r="M87" s="203" t="str">
        <f>IF($H87="USD",IF(OR($L87="",$L87="-"),"",VLOOKUP($G87,為替!$A:$AX,$L87,FALSE))+$K$3,IF(OR($L87="",$L87="-"),"",VLOOKUP($G87,為替!$A:$AX,$L87,FALSE)))</f>
        <v/>
      </c>
      <c r="N87" s="204" t="str">
        <f t="shared" si="10"/>
        <v/>
      </c>
      <c r="O87" s="205" t="str">
        <f t="shared" si="6"/>
        <v/>
      </c>
      <c r="P87" s="206" t="str">
        <f t="shared" si="11"/>
        <v/>
      </c>
    </row>
    <row r="88" spans="3:16" x14ac:dyDescent="0.4">
      <c r="C88" s="199"/>
      <c r="D88" s="200"/>
      <c r="E88" s="201"/>
      <c r="F88" s="199"/>
      <c r="H88" s="202"/>
      <c r="I88" s="185" t="str">
        <f t="shared" si="7"/>
        <v/>
      </c>
      <c r="J88" s="203" t="str">
        <f>IF($H88="USD",IF(OR($I88="",$I88="-"),"",VLOOKUP($G88,為替!$A:$AX,$I88,FALSE))+$J$3,IF(OR($I88="",$I88="-"),"",VLOOKUP($G88,為替!$A:$AX,$I88,FALSE)))</f>
        <v/>
      </c>
      <c r="K88" s="204" t="str">
        <f t="shared" si="8"/>
        <v/>
      </c>
      <c r="L88" s="188" t="str">
        <f t="shared" si="9"/>
        <v/>
      </c>
      <c r="M88" s="203" t="str">
        <f>IF($H88="USD",IF(OR($L88="",$L88="-"),"",VLOOKUP($G88,為替!$A:$AX,$L88,FALSE))+$K$3,IF(OR($L88="",$L88="-"),"",VLOOKUP($G88,為替!$A:$AX,$L88,FALSE)))</f>
        <v/>
      </c>
      <c r="N88" s="204" t="str">
        <f t="shared" si="10"/>
        <v/>
      </c>
      <c r="O88" s="205" t="str">
        <f t="shared" si="6"/>
        <v/>
      </c>
      <c r="P88" s="206" t="str">
        <f t="shared" si="11"/>
        <v/>
      </c>
    </row>
    <row r="89" spans="3:16" x14ac:dyDescent="0.4">
      <c r="C89" s="199"/>
      <c r="D89" s="200"/>
      <c r="E89" s="201"/>
      <c r="F89" s="199"/>
      <c r="H89" s="202"/>
      <c r="I89" s="185" t="str">
        <f t="shared" si="7"/>
        <v/>
      </c>
      <c r="J89" s="203" t="str">
        <f>IF($H89="USD",IF(OR($I89="",$I89="-"),"",VLOOKUP($G89,為替!$A:$AX,$I89,FALSE))+$J$3,IF(OR($I89="",$I89="-"),"",VLOOKUP($G89,為替!$A:$AX,$I89,FALSE)))</f>
        <v/>
      </c>
      <c r="K89" s="204" t="str">
        <f t="shared" si="8"/>
        <v/>
      </c>
      <c r="L89" s="188" t="str">
        <f t="shared" si="9"/>
        <v/>
      </c>
      <c r="M89" s="203" t="str">
        <f>IF($H89="USD",IF(OR($L89="",$L89="-"),"",VLOOKUP($G89,為替!$A:$AX,$L89,FALSE))+$K$3,IF(OR($L89="",$L89="-"),"",VLOOKUP($G89,為替!$A:$AX,$L89,FALSE)))</f>
        <v/>
      </c>
      <c r="N89" s="204" t="str">
        <f t="shared" si="10"/>
        <v/>
      </c>
      <c r="O89" s="205" t="str">
        <f t="shared" si="6"/>
        <v/>
      </c>
      <c r="P89" s="206" t="str">
        <f t="shared" si="11"/>
        <v/>
      </c>
    </row>
    <row r="90" spans="3:16" x14ac:dyDescent="0.4">
      <c r="C90" s="199"/>
      <c r="D90" s="200"/>
      <c r="E90" s="201"/>
      <c r="F90" s="199"/>
      <c r="H90" s="202"/>
      <c r="I90" s="185" t="str">
        <f t="shared" si="7"/>
        <v/>
      </c>
      <c r="J90" s="203" t="str">
        <f>IF($H90="USD",IF(OR($I90="",$I90="-"),"",VLOOKUP($G90,為替!$A:$AX,$I90,FALSE))+$J$3,IF(OR($I90="",$I90="-"),"",VLOOKUP($G90,為替!$A:$AX,$I90,FALSE)))</f>
        <v/>
      </c>
      <c r="K90" s="204" t="str">
        <f t="shared" si="8"/>
        <v/>
      </c>
      <c r="L90" s="188" t="str">
        <f t="shared" si="9"/>
        <v/>
      </c>
      <c r="M90" s="203" t="str">
        <f>IF($H90="USD",IF(OR($L90="",$L90="-"),"",VLOOKUP($G90,為替!$A:$AX,$L90,FALSE))+$K$3,IF(OR($L90="",$L90="-"),"",VLOOKUP($G90,為替!$A:$AX,$L90,FALSE)))</f>
        <v/>
      </c>
      <c r="N90" s="204" t="str">
        <f t="shared" si="10"/>
        <v/>
      </c>
      <c r="O90" s="205" t="str">
        <f t="shared" si="6"/>
        <v/>
      </c>
      <c r="P90" s="206" t="str">
        <f t="shared" si="11"/>
        <v/>
      </c>
    </row>
    <row r="91" spans="3:16" x14ac:dyDescent="0.4">
      <c r="C91" s="199"/>
      <c r="D91" s="200"/>
      <c r="E91" s="201"/>
      <c r="F91" s="199"/>
      <c r="H91" s="202"/>
      <c r="I91" s="185" t="str">
        <f t="shared" si="7"/>
        <v/>
      </c>
      <c r="J91" s="203" t="str">
        <f>IF($H91="USD",IF(OR($I91="",$I91="-"),"",VLOOKUP($G91,為替!$A:$AX,$I91,FALSE))+$J$3,IF(OR($I91="",$I91="-"),"",VLOOKUP($G91,為替!$A:$AX,$I91,FALSE)))</f>
        <v/>
      </c>
      <c r="K91" s="204" t="str">
        <f t="shared" si="8"/>
        <v/>
      </c>
      <c r="L91" s="188" t="str">
        <f t="shared" si="9"/>
        <v/>
      </c>
      <c r="M91" s="203" t="str">
        <f>IF($H91="USD",IF(OR($L91="",$L91="-"),"",VLOOKUP($G91,為替!$A:$AX,$L91,FALSE))+$K$3,IF(OR($L91="",$L91="-"),"",VLOOKUP($G91,為替!$A:$AX,$L91,FALSE)))</f>
        <v/>
      </c>
      <c r="N91" s="204" t="str">
        <f t="shared" si="10"/>
        <v/>
      </c>
      <c r="O91" s="205" t="str">
        <f t="shared" si="6"/>
        <v/>
      </c>
      <c r="P91" s="206" t="str">
        <f t="shared" si="11"/>
        <v/>
      </c>
    </row>
    <row r="92" spans="3:16" x14ac:dyDescent="0.4">
      <c r="C92" s="199"/>
      <c r="D92" s="200"/>
      <c r="E92" s="201"/>
      <c r="F92" s="199"/>
      <c r="H92" s="202"/>
      <c r="I92" s="185" t="str">
        <f t="shared" si="7"/>
        <v/>
      </c>
      <c r="J92" s="203" t="str">
        <f>IF($H92="USD",IF(OR($I92="",$I92="-"),"",VLOOKUP($G92,為替!$A:$AX,$I92,FALSE))+$J$3,IF(OR($I92="",$I92="-"),"",VLOOKUP($G92,為替!$A:$AX,$I92,FALSE)))</f>
        <v/>
      </c>
      <c r="K92" s="204" t="str">
        <f t="shared" si="8"/>
        <v/>
      </c>
      <c r="L92" s="188" t="str">
        <f t="shared" si="9"/>
        <v/>
      </c>
      <c r="M92" s="203" t="str">
        <f>IF($H92="USD",IF(OR($L92="",$L92="-"),"",VLOOKUP($G92,為替!$A:$AX,$L92,FALSE))+$K$3,IF(OR($L92="",$L92="-"),"",VLOOKUP($G92,為替!$A:$AX,$L92,FALSE)))</f>
        <v/>
      </c>
      <c r="N92" s="204" t="str">
        <f t="shared" si="10"/>
        <v/>
      </c>
      <c r="O92" s="205" t="str">
        <f t="shared" si="6"/>
        <v/>
      </c>
      <c r="P92" s="206" t="str">
        <f t="shared" si="11"/>
        <v/>
      </c>
    </row>
    <row r="93" spans="3:16" x14ac:dyDescent="0.4">
      <c r="C93" s="199"/>
      <c r="D93" s="200"/>
      <c r="E93" s="201"/>
      <c r="F93" s="199"/>
      <c r="H93" s="202"/>
      <c r="I93" s="185" t="str">
        <f t="shared" si="7"/>
        <v/>
      </c>
      <c r="J93" s="203" t="str">
        <f>IF($H93="USD",IF(OR($I93="",$I93="-"),"",VLOOKUP($G93,為替!$A:$AX,$I93,FALSE))+$J$3,IF(OR($I93="",$I93="-"),"",VLOOKUP($G93,為替!$A:$AX,$I93,FALSE)))</f>
        <v/>
      </c>
      <c r="K93" s="204" t="str">
        <f t="shared" si="8"/>
        <v/>
      </c>
      <c r="L93" s="188" t="str">
        <f t="shared" si="9"/>
        <v/>
      </c>
      <c r="M93" s="203" t="str">
        <f>IF($H93="USD",IF(OR($L93="",$L93="-"),"",VLOOKUP($G93,為替!$A:$AX,$L93,FALSE))+$K$3,IF(OR($L93="",$L93="-"),"",VLOOKUP($G93,為替!$A:$AX,$L93,FALSE)))</f>
        <v/>
      </c>
      <c r="N93" s="204" t="str">
        <f t="shared" si="10"/>
        <v/>
      </c>
      <c r="O93" s="205" t="str">
        <f t="shared" si="6"/>
        <v/>
      </c>
      <c r="P93" s="206" t="str">
        <f t="shared" si="11"/>
        <v/>
      </c>
    </row>
    <row r="94" spans="3:16" x14ac:dyDescent="0.4">
      <c r="C94" s="199"/>
      <c r="D94" s="200"/>
      <c r="E94" s="201"/>
      <c r="F94" s="199"/>
      <c r="H94" s="202"/>
      <c r="I94" s="185" t="str">
        <f t="shared" si="7"/>
        <v/>
      </c>
      <c r="J94" s="203" t="str">
        <f>IF($H94="USD",IF(OR($I94="",$I94="-"),"",VLOOKUP($G94,為替!$A:$AX,$I94,FALSE))+$J$3,IF(OR($I94="",$I94="-"),"",VLOOKUP($G94,為替!$A:$AX,$I94,FALSE)))</f>
        <v/>
      </c>
      <c r="K94" s="204" t="str">
        <f t="shared" si="8"/>
        <v/>
      </c>
      <c r="L94" s="188" t="str">
        <f t="shared" si="9"/>
        <v/>
      </c>
      <c r="M94" s="203" t="str">
        <f>IF($H94="USD",IF(OR($L94="",$L94="-"),"",VLOOKUP($G94,為替!$A:$AX,$L94,FALSE))+$K$3,IF(OR($L94="",$L94="-"),"",VLOOKUP($G94,為替!$A:$AX,$L94,FALSE)))</f>
        <v/>
      </c>
      <c r="N94" s="204" t="str">
        <f t="shared" si="10"/>
        <v/>
      </c>
      <c r="O94" s="205" t="str">
        <f t="shared" si="6"/>
        <v/>
      </c>
      <c r="P94" s="206" t="str">
        <f t="shared" si="11"/>
        <v/>
      </c>
    </row>
    <row r="95" spans="3:16" x14ac:dyDescent="0.4">
      <c r="C95" s="199"/>
      <c r="D95" s="200"/>
      <c r="E95" s="201"/>
      <c r="F95" s="199"/>
      <c r="H95" s="202"/>
      <c r="I95" s="185" t="str">
        <f t="shared" si="7"/>
        <v/>
      </c>
      <c r="J95" s="203" t="str">
        <f>IF($H95="USD",IF(OR($I95="",$I95="-"),"",VLOOKUP($G95,為替!$A:$AX,$I95,FALSE))+$J$3,IF(OR($I95="",$I95="-"),"",VLOOKUP($G95,為替!$A:$AX,$I95,FALSE)))</f>
        <v/>
      </c>
      <c r="K95" s="204" t="str">
        <f t="shared" si="8"/>
        <v/>
      </c>
      <c r="L95" s="188" t="str">
        <f t="shared" si="9"/>
        <v/>
      </c>
      <c r="M95" s="203" t="str">
        <f>IF($H95="USD",IF(OR($L95="",$L95="-"),"",VLOOKUP($G95,為替!$A:$AX,$L95,FALSE))+$K$3,IF(OR($L95="",$L95="-"),"",VLOOKUP($G95,為替!$A:$AX,$L95,FALSE)))</f>
        <v/>
      </c>
      <c r="N95" s="204" t="str">
        <f t="shared" si="10"/>
        <v/>
      </c>
      <c r="O95" s="205" t="str">
        <f t="shared" si="6"/>
        <v/>
      </c>
      <c r="P95" s="206" t="str">
        <f t="shared" si="11"/>
        <v/>
      </c>
    </row>
    <row r="96" spans="3:16" x14ac:dyDescent="0.4">
      <c r="C96" s="199"/>
      <c r="D96" s="200"/>
      <c r="E96" s="201"/>
      <c r="F96" s="199"/>
      <c r="H96" s="202"/>
      <c r="I96" s="185" t="str">
        <f t="shared" si="7"/>
        <v/>
      </c>
      <c r="J96" s="203" t="str">
        <f>IF($H96="USD",IF(OR($I96="",$I96="-"),"",VLOOKUP($G96,為替!$A:$AX,$I96,FALSE))+$J$3,IF(OR($I96="",$I96="-"),"",VLOOKUP($G96,為替!$A:$AX,$I96,FALSE)))</f>
        <v/>
      </c>
      <c r="K96" s="204" t="str">
        <f t="shared" si="8"/>
        <v/>
      </c>
      <c r="L96" s="188" t="str">
        <f t="shared" si="9"/>
        <v/>
      </c>
      <c r="M96" s="203" t="str">
        <f>IF($H96="USD",IF(OR($L96="",$L96="-"),"",VLOOKUP($G96,為替!$A:$AX,$L96,FALSE))+$K$3,IF(OR($L96="",$L96="-"),"",VLOOKUP($G96,為替!$A:$AX,$L96,FALSE)))</f>
        <v/>
      </c>
      <c r="N96" s="204" t="str">
        <f t="shared" si="10"/>
        <v/>
      </c>
      <c r="O96" s="205" t="str">
        <f t="shared" si="6"/>
        <v/>
      </c>
      <c r="P96" s="206" t="str">
        <f t="shared" si="11"/>
        <v/>
      </c>
    </row>
    <row r="97" spans="3:16" x14ac:dyDescent="0.4">
      <c r="C97" s="199"/>
      <c r="D97" s="200"/>
      <c r="E97" s="201"/>
      <c r="F97" s="199"/>
      <c r="H97" s="202"/>
      <c r="I97" s="185" t="str">
        <f t="shared" si="7"/>
        <v/>
      </c>
      <c r="J97" s="203" t="str">
        <f>IF($H97="USD",IF(OR($I97="",$I97="-"),"",VLOOKUP($G97,為替!$A:$AX,$I97,FALSE))+$J$3,IF(OR($I97="",$I97="-"),"",VLOOKUP($G97,為替!$A:$AX,$I97,FALSE)))</f>
        <v/>
      </c>
      <c r="K97" s="204" t="str">
        <f t="shared" si="8"/>
        <v/>
      </c>
      <c r="L97" s="188" t="str">
        <f t="shared" si="9"/>
        <v/>
      </c>
      <c r="M97" s="203" t="str">
        <f>IF($H97="USD",IF(OR($L97="",$L97="-"),"",VLOOKUP($G97,為替!$A:$AX,$L97,FALSE))+$K$3,IF(OR($L97="",$L97="-"),"",VLOOKUP($G97,為替!$A:$AX,$L97,FALSE)))</f>
        <v/>
      </c>
      <c r="N97" s="204" t="str">
        <f t="shared" si="10"/>
        <v/>
      </c>
      <c r="O97" s="205" t="str">
        <f t="shared" si="6"/>
        <v/>
      </c>
      <c r="P97" s="206" t="str">
        <f t="shared" si="11"/>
        <v/>
      </c>
    </row>
    <row r="98" spans="3:16" x14ac:dyDescent="0.4">
      <c r="C98" s="199"/>
      <c r="D98" s="200"/>
      <c r="E98" s="201"/>
      <c r="F98" s="199"/>
      <c r="H98" s="202"/>
      <c r="I98" s="185" t="str">
        <f t="shared" si="7"/>
        <v/>
      </c>
      <c r="J98" s="203" t="str">
        <f>IF($H98="USD",IF(OR($I98="",$I98="-"),"",VLOOKUP($G98,為替!$A:$AX,$I98,FALSE))+$J$3,IF(OR($I98="",$I98="-"),"",VLOOKUP($G98,為替!$A:$AX,$I98,FALSE)))</f>
        <v/>
      </c>
      <c r="K98" s="204" t="str">
        <f t="shared" si="8"/>
        <v/>
      </c>
      <c r="L98" s="188" t="str">
        <f t="shared" si="9"/>
        <v/>
      </c>
      <c r="M98" s="203" t="str">
        <f>IF($H98="USD",IF(OR($L98="",$L98="-"),"",VLOOKUP($G98,為替!$A:$AX,$L98,FALSE))+$K$3,IF(OR($L98="",$L98="-"),"",VLOOKUP($G98,為替!$A:$AX,$L98,FALSE)))</f>
        <v/>
      </c>
      <c r="N98" s="204" t="str">
        <f t="shared" si="10"/>
        <v/>
      </c>
      <c r="O98" s="205" t="str">
        <f t="shared" si="6"/>
        <v/>
      </c>
      <c r="P98" s="206" t="str">
        <f t="shared" si="11"/>
        <v/>
      </c>
    </row>
    <row r="99" spans="3:16" x14ac:dyDescent="0.4">
      <c r="C99" s="199"/>
      <c r="D99" s="200"/>
      <c r="E99" s="201"/>
      <c r="F99" s="199"/>
      <c r="H99" s="202"/>
      <c r="I99" s="185" t="str">
        <f t="shared" si="7"/>
        <v/>
      </c>
      <c r="J99" s="203" t="str">
        <f>IF($H99="USD",IF(OR($I99="",$I99="-"),"",VLOOKUP($G99,為替!$A:$AX,$I99,FALSE))+$J$3,IF(OR($I99="",$I99="-"),"",VLOOKUP($G99,為替!$A:$AX,$I99,FALSE)))</f>
        <v/>
      </c>
      <c r="K99" s="204" t="str">
        <f t="shared" si="8"/>
        <v/>
      </c>
      <c r="L99" s="188" t="str">
        <f t="shared" si="9"/>
        <v/>
      </c>
      <c r="M99" s="203" t="str">
        <f>IF($H99="USD",IF(OR($L99="",$L99="-"),"",VLOOKUP($G99,為替!$A:$AX,$L99,FALSE))+$K$3,IF(OR($L99="",$L99="-"),"",VLOOKUP($G99,為替!$A:$AX,$L99,FALSE)))</f>
        <v/>
      </c>
      <c r="N99" s="204" t="str">
        <f t="shared" si="10"/>
        <v/>
      </c>
      <c r="O99" s="205" t="str">
        <f t="shared" si="6"/>
        <v/>
      </c>
      <c r="P99" s="206" t="str">
        <f t="shared" si="11"/>
        <v/>
      </c>
    </row>
    <row r="100" spans="3:16" x14ac:dyDescent="0.4">
      <c r="C100" s="199"/>
      <c r="D100" s="200"/>
      <c r="E100" s="201"/>
      <c r="F100" s="199"/>
      <c r="H100" s="202"/>
      <c r="I100" s="185" t="str">
        <f t="shared" si="7"/>
        <v/>
      </c>
      <c r="J100" s="203" t="str">
        <f>IF($H100="USD",IF(OR($I100="",$I100="-"),"",VLOOKUP($G100,為替!$A:$AX,$I100,FALSE))+$J$3,IF(OR($I100="",$I100="-"),"",VLOOKUP($G100,為替!$A:$AX,$I100,FALSE)))</f>
        <v/>
      </c>
      <c r="K100" s="204" t="str">
        <f t="shared" si="8"/>
        <v/>
      </c>
      <c r="L100" s="188" t="str">
        <f t="shared" si="9"/>
        <v/>
      </c>
      <c r="M100" s="203" t="str">
        <f>IF($H100="USD",IF(OR($L100="",$L100="-"),"",VLOOKUP($G100,為替!$A:$AX,$L100,FALSE))+$K$3,IF(OR($L100="",$L100="-"),"",VLOOKUP($G100,為替!$A:$AX,$L100,FALSE)))</f>
        <v/>
      </c>
      <c r="N100" s="204" t="str">
        <f t="shared" si="10"/>
        <v/>
      </c>
      <c r="O100" s="205" t="str">
        <f t="shared" si="6"/>
        <v/>
      </c>
      <c r="P100" s="206" t="str">
        <f t="shared" si="11"/>
        <v/>
      </c>
    </row>
    <row r="101" spans="3:16" x14ac:dyDescent="0.4">
      <c r="C101" s="199"/>
      <c r="D101" s="200"/>
      <c r="E101" s="201"/>
      <c r="F101" s="199"/>
      <c r="H101" s="202"/>
      <c r="I101" s="185" t="str">
        <f t="shared" si="7"/>
        <v/>
      </c>
      <c r="J101" s="203" t="str">
        <f>IF($H101="USD",IF(OR($I101="",$I101="-"),"",VLOOKUP($G101,為替!$A:$AX,$I101,FALSE))+$J$3,IF(OR($I101="",$I101="-"),"",VLOOKUP($G101,為替!$A:$AX,$I101,FALSE)))</f>
        <v/>
      </c>
      <c r="K101" s="204" t="str">
        <f t="shared" si="8"/>
        <v/>
      </c>
      <c r="L101" s="188" t="str">
        <f t="shared" si="9"/>
        <v/>
      </c>
      <c r="M101" s="203" t="str">
        <f>IF($H101="USD",IF(OR($L101="",$L101="-"),"",VLOOKUP($G101,為替!$A:$AX,$L101,FALSE))+$K$3,IF(OR($L101="",$L101="-"),"",VLOOKUP($G101,為替!$A:$AX,$L101,FALSE)))</f>
        <v/>
      </c>
      <c r="N101" s="204" t="str">
        <f t="shared" si="10"/>
        <v/>
      </c>
      <c r="O101" s="205" t="str">
        <f t="shared" si="6"/>
        <v/>
      </c>
      <c r="P101" s="206" t="str">
        <f t="shared" si="11"/>
        <v/>
      </c>
    </row>
    <row r="102" spans="3:16" x14ac:dyDescent="0.4">
      <c r="C102" s="199"/>
      <c r="D102" s="200"/>
      <c r="E102" s="201"/>
      <c r="F102" s="199"/>
      <c r="H102" s="202"/>
      <c r="I102" s="185" t="str">
        <f t="shared" si="7"/>
        <v/>
      </c>
      <c r="J102" s="203" t="str">
        <f>IF($H102="USD",IF(OR($I102="",$I102="-"),"",VLOOKUP($G102,為替!$A:$AX,$I102,FALSE))+$J$3,IF(OR($I102="",$I102="-"),"",VLOOKUP($G102,為替!$A:$AX,$I102,FALSE)))</f>
        <v/>
      </c>
      <c r="K102" s="204" t="str">
        <f t="shared" si="8"/>
        <v/>
      </c>
      <c r="L102" s="188" t="str">
        <f t="shared" si="9"/>
        <v/>
      </c>
      <c r="M102" s="203" t="str">
        <f>IF($H102="USD",IF(OR($L102="",$L102="-"),"",VLOOKUP($G102,為替!$A:$AX,$L102,FALSE))+$K$3,IF(OR($L102="",$L102="-"),"",VLOOKUP($G102,為替!$A:$AX,$L102,FALSE)))</f>
        <v/>
      </c>
      <c r="N102" s="204" t="str">
        <f t="shared" si="10"/>
        <v/>
      </c>
      <c r="O102" s="205" t="str">
        <f t="shared" si="6"/>
        <v/>
      </c>
      <c r="P102" s="206" t="str">
        <f t="shared" si="11"/>
        <v/>
      </c>
    </row>
    <row r="103" spans="3:16" x14ac:dyDescent="0.4">
      <c r="C103" s="199"/>
      <c r="D103" s="200"/>
      <c r="E103" s="201"/>
      <c r="F103" s="199"/>
      <c r="H103" s="202"/>
      <c r="I103" s="185" t="str">
        <f t="shared" si="7"/>
        <v/>
      </c>
      <c r="J103" s="203" t="str">
        <f>IF($H103="USD",IF(OR($I103="",$I103="-"),"",VLOOKUP($G103,為替!$A:$AX,$I103,FALSE))+$J$3,IF(OR($I103="",$I103="-"),"",VLOOKUP($G103,為替!$A:$AX,$I103,FALSE)))</f>
        <v/>
      </c>
      <c r="K103" s="204" t="str">
        <f t="shared" si="8"/>
        <v/>
      </c>
      <c r="L103" s="188" t="str">
        <f t="shared" si="9"/>
        <v/>
      </c>
      <c r="M103" s="203" t="str">
        <f>IF($H103="USD",IF(OR($L103="",$L103="-"),"",VLOOKUP($G103,為替!$A:$AX,$L103,FALSE))+$K$3,IF(OR($L103="",$L103="-"),"",VLOOKUP($G103,為替!$A:$AX,$L103,FALSE)))</f>
        <v/>
      </c>
      <c r="N103" s="204" t="str">
        <f t="shared" si="10"/>
        <v/>
      </c>
      <c r="O103" s="205" t="str">
        <f t="shared" si="6"/>
        <v/>
      </c>
      <c r="P103" s="206" t="str">
        <f t="shared" si="11"/>
        <v/>
      </c>
    </row>
    <row r="104" spans="3:16" x14ac:dyDescent="0.4">
      <c r="C104" s="199"/>
      <c r="D104" s="200"/>
      <c r="E104" s="201"/>
      <c r="F104" s="199"/>
      <c r="H104" s="202"/>
      <c r="I104" s="185" t="str">
        <f t="shared" si="7"/>
        <v/>
      </c>
      <c r="J104" s="203" t="str">
        <f>IF($H104="USD",IF(OR($I104="",$I104="-"),"",VLOOKUP($G104,為替!$A:$AX,$I104,FALSE))+$J$3,IF(OR($I104="",$I104="-"),"",VLOOKUP($G104,為替!$A:$AX,$I104,FALSE)))</f>
        <v/>
      </c>
      <c r="K104" s="204" t="str">
        <f t="shared" si="8"/>
        <v/>
      </c>
      <c r="L104" s="188" t="str">
        <f t="shared" si="9"/>
        <v/>
      </c>
      <c r="M104" s="203" t="str">
        <f>IF($H104="USD",IF(OR($L104="",$L104="-"),"",VLOOKUP($G104,為替!$A:$AX,$L104,FALSE))+$K$3,IF(OR($L104="",$L104="-"),"",VLOOKUP($G104,為替!$A:$AX,$L104,FALSE)))</f>
        <v/>
      </c>
      <c r="N104" s="204" t="str">
        <f t="shared" si="10"/>
        <v/>
      </c>
      <c r="O104" s="205" t="str">
        <f t="shared" si="6"/>
        <v/>
      </c>
      <c r="P104" s="206" t="str">
        <f t="shared" si="11"/>
        <v/>
      </c>
    </row>
    <row r="105" spans="3:16" x14ac:dyDescent="0.4">
      <c r="C105" s="199"/>
      <c r="D105" s="200"/>
      <c r="E105" s="201"/>
      <c r="F105" s="199"/>
      <c r="H105" s="202"/>
      <c r="I105" s="185" t="str">
        <f t="shared" si="7"/>
        <v/>
      </c>
      <c r="J105" s="203" t="str">
        <f>IF($H105="USD",IF(OR($I105="",$I105="-"),"",VLOOKUP($G105,為替!$A:$AX,$I105,FALSE))+$J$3,IF(OR($I105="",$I105="-"),"",VLOOKUP($G105,為替!$A:$AX,$I105,FALSE)))</f>
        <v/>
      </c>
      <c r="K105" s="204" t="str">
        <f t="shared" si="8"/>
        <v/>
      </c>
      <c r="L105" s="188" t="str">
        <f t="shared" si="9"/>
        <v/>
      </c>
      <c r="M105" s="203" t="str">
        <f>IF($H105="USD",IF(OR($L105="",$L105="-"),"",VLOOKUP($G105,為替!$A:$AX,$L105,FALSE))+$K$3,IF(OR($L105="",$L105="-"),"",VLOOKUP($G105,為替!$A:$AX,$L105,FALSE)))</f>
        <v/>
      </c>
      <c r="N105" s="204" t="str">
        <f t="shared" si="10"/>
        <v/>
      </c>
      <c r="O105" s="205" t="str">
        <f t="shared" si="6"/>
        <v/>
      </c>
      <c r="P105" s="206" t="str">
        <f t="shared" si="11"/>
        <v/>
      </c>
    </row>
    <row r="106" spans="3:16" x14ac:dyDescent="0.4">
      <c r="C106" s="199"/>
      <c r="D106" s="200"/>
      <c r="E106" s="201"/>
      <c r="F106" s="199"/>
      <c r="H106" s="202"/>
      <c r="I106" s="185" t="str">
        <f t="shared" si="7"/>
        <v/>
      </c>
      <c r="J106" s="203" t="str">
        <f>IF($H106="USD",IF(OR($I106="",$I106="-"),"",VLOOKUP($G106,為替!$A:$AX,$I106,FALSE))+$J$3,IF(OR($I106="",$I106="-"),"",VLOOKUP($G106,為替!$A:$AX,$I106,FALSE)))</f>
        <v/>
      </c>
      <c r="K106" s="204" t="str">
        <f t="shared" si="8"/>
        <v/>
      </c>
      <c r="L106" s="188" t="str">
        <f t="shared" si="9"/>
        <v/>
      </c>
      <c r="M106" s="203" t="str">
        <f>IF($H106="USD",IF(OR($L106="",$L106="-"),"",VLOOKUP($G106,為替!$A:$AX,$L106,FALSE))+$K$3,IF(OR($L106="",$L106="-"),"",VLOOKUP($G106,為替!$A:$AX,$L106,FALSE)))</f>
        <v/>
      </c>
      <c r="N106" s="204" t="str">
        <f t="shared" si="10"/>
        <v/>
      </c>
      <c r="O106" s="205" t="str">
        <f t="shared" si="6"/>
        <v/>
      </c>
      <c r="P106" s="206" t="str">
        <f t="shared" si="11"/>
        <v/>
      </c>
    </row>
    <row r="107" spans="3:16" x14ac:dyDescent="0.4">
      <c r="C107" s="199"/>
      <c r="D107" s="200"/>
      <c r="E107" s="201"/>
      <c r="F107" s="199"/>
      <c r="H107" s="202"/>
      <c r="I107" s="185" t="str">
        <f t="shared" si="7"/>
        <v/>
      </c>
      <c r="J107" s="203" t="str">
        <f>IF($H107="USD",IF(OR($I107="",$I107="-"),"",VLOOKUP($G107,為替!$A:$AX,$I107,FALSE))+$J$3,IF(OR($I107="",$I107="-"),"",VLOOKUP($G107,為替!$A:$AX,$I107,FALSE)))</f>
        <v/>
      </c>
      <c r="K107" s="204" t="str">
        <f t="shared" si="8"/>
        <v/>
      </c>
      <c r="L107" s="188" t="str">
        <f t="shared" si="9"/>
        <v/>
      </c>
      <c r="M107" s="203" t="str">
        <f>IF($H107="USD",IF(OR($L107="",$L107="-"),"",VLOOKUP($G107,為替!$A:$AX,$L107,FALSE))+$K$3,IF(OR($L107="",$L107="-"),"",VLOOKUP($G107,為替!$A:$AX,$L107,FALSE)))</f>
        <v/>
      </c>
      <c r="N107" s="204" t="str">
        <f t="shared" si="10"/>
        <v/>
      </c>
      <c r="O107" s="205" t="str">
        <f t="shared" si="6"/>
        <v/>
      </c>
      <c r="P107" s="206" t="str">
        <f t="shared" si="11"/>
        <v/>
      </c>
    </row>
    <row r="108" spans="3:16" x14ac:dyDescent="0.4">
      <c r="C108" s="199"/>
      <c r="D108" s="200"/>
      <c r="E108" s="201"/>
      <c r="F108" s="199"/>
      <c r="H108" s="202"/>
      <c r="I108" s="185" t="str">
        <f t="shared" si="7"/>
        <v/>
      </c>
      <c r="J108" s="203" t="str">
        <f>IF($H108="USD",IF(OR($I108="",$I108="-"),"",VLOOKUP($G108,為替!$A:$AX,$I108,FALSE))+$J$3,IF(OR($I108="",$I108="-"),"",VLOOKUP($G108,為替!$A:$AX,$I108,FALSE)))</f>
        <v/>
      </c>
      <c r="K108" s="204" t="str">
        <f t="shared" si="8"/>
        <v/>
      </c>
      <c r="L108" s="188" t="str">
        <f t="shared" si="9"/>
        <v/>
      </c>
      <c r="M108" s="203" t="str">
        <f>IF($H108="USD",IF(OR($L108="",$L108="-"),"",VLOOKUP($G108,為替!$A:$AX,$L108,FALSE))+$K$3,IF(OR($L108="",$L108="-"),"",VLOOKUP($G108,為替!$A:$AX,$L108,FALSE)))</f>
        <v/>
      </c>
      <c r="N108" s="204" t="str">
        <f t="shared" si="10"/>
        <v/>
      </c>
      <c r="O108" s="205" t="str">
        <f t="shared" si="6"/>
        <v/>
      </c>
      <c r="P108" s="206" t="str">
        <f t="shared" si="11"/>
        <v/>
      </c>
    </row>
    <row r="109" spans="3:16" x14ac:dyDescent="0.4">
      <c r="C109" s="199"/>
      <c r="D109" s="200"/>
      <c r="E109" s="201"/>
      <c r="F109" s="199"/>
      <c r="H109" s="202"/>
      <c r="I109" s="185" t="str">
        <f t="shared" si="7"/>
        <v/>
      </c>
      <c r="J109" s="203" t="str">
        <f>IF($H109="USD",IF(OR($I109="",$I109="-"),"",VLOOKUP($G109,為替!$A:$AX,$I109,FALSE))+$J$3,IF(OR($I109="",$I109="-"),"",VLOOKUP($G109,為替!$A:$AX,$I109,FALSE)))</f>
        <v/>
      </c>
      <c r="K109" s="204" t="str">
        <f t="shared" si="8"/>
        <v/>
      </c>
      <c r="L109" s="188" t="str">
        <f t="shared" si="9"/>
        <v/>
      </c>
      <c r="M109" s="203" t="str">
        <f>IF($H109="USD",IF(OR($L109="",$L109="-"),"",VLOOKUP($G109,為替!$A:$AX,$L109,FALSE))+$K$3,IF(OR($L109="",$L109="-"),"",VLOOKUP($G109,為替!$A:$AX,$L109,FALSE)))</f>
        <v/>
      </c>
      <c r="N109" s="204" t="str">
        <f t="shared" si="10"/>
        <v/>
      </c>
      <c r="O109" s="205" t="str">
        <f t="shared" si="6"/>
        <v/>
      </c>
      <c r="P109" s="206" t="str">
        <f t="shared" si="11"/>
        <v/>
      </c>
    </row>
    <row r="110" spans="3:16" x14ac:dyDescent="0.4">
      <c r="C110" s="199"/>
      <c r="D110" s="200"/>
      <c r="E110" s="201"/>
      <c r="F110" s="199"/>
      <c r="H110" s="202"/>
      <c r="I110" s="185" t="str">
        <f t="shared" si="7"/>
        <v/>
      </c>
      <c r="J110" s="203" t="str">
        <f>IF($H110="USD",IF(OR($I110="",$I110="-"),"",VLOOKUP($G110,為替!$A:$AX,$I110,FALSE))+$J$3,IF(OR($I110="",$I110="-"),"",VLOOKUP($G110,為替!$A:$AX,$I110,FALSE)))</f>
        <v/>
      </c>
      <c r="K110" s="204" t="str">
        <f t="shared" si="8"/>
        <v/>
      </c>
      <c r="L110" s="188" t="str">
        <f t="shared" si="9"/>
        <v/>
      </c>
      <c r="M110" s="203" t="str">
        <f>IF($H110="USD",IF(OR($L110="",$L110="-"),"",VLOOKUP($G110,為替!$A:$AX,$L110,FALSE))+$K$3,IF(OR($L110="",$L110="-"),"",VLOOKUP($G110,為替!$A:$AX,$L110,FALSE)))</f>
        <v/>
      </c>
      <c r="N110" s="204" t="str">
        <f t="shared" si="10"/>
        <v/>
      </c>
      <c r="O110" s="205" t="str">
        <f t="shared" si="6"/>
        <v/>
      </c>
      <c r="P110" s="206" t="str">
        <f t="shared" si="11"/>
        <v/>
      </c>
    </row>
    <row r="111" spans="3:16" x14ac:dyDescent="0.4">
      <c r="C111" s="199"/>
      <c r="D111" s="200"/>
      <c r="E111" s="201"/>
      <c r="F111" s="199"/>
      <c r="H111" s="202"/>
      <c r="I111" s="185" t="str">
        <f t="shared" si="7"/>
        <v/>
      </c>
      <c r="J111" s="203" t="str">
        <f>IF($H111="USD",IF(OR($I111="",$I111="-"),"",VLOOKUP($G111,為替!$A:$AX,$I111,FALSE))+$J$3,IF(OR($I111="",$I111="-"),"",VLOOKUP($G111,為替!$A:$AX,$I111,FALSE)))</f>
        <v/>
      </c>
      <c r="K111" s="204" t="str">
        <f t="shared" si="8"/>
        <v/>
      </c>
      <c r="L111" s="188" t="str">
        <f t="shared" si="9"/>
        <v/>
      </c>
      <c r="M111" s="203" t="str">
        <f>IF($H111="USD",IF(OR($L111="",$L111="-"),"",VLOOKUP($G111,為替!$A:$AX,$L111,FALSE))+$K$3,IF(OR($L111="",$L111="-"),"",VLOOKUP($G111,為替!$A:$AX,$L111,FALSE)))</f>
        <v/>
      </c>
      <c r="N111" s="204" t="str">
        <f t="shared" si="10"/>
        <v/>
      </c>
      <c r="O111" s="205" t="str">
        <f t="shared" si="6"/>
        <v/>
      </c>
      <c r="P111" s="206" t="str">
        <f t="shared" si="11"/>
        <v/>
      </c>
    </row>
    <row r="112" spans="3:16" x14ac:dyDescent="0.4">
      <c r="C112" s="199"/>
      <c r="D112" s="200"/>
      <c r="E112" s="201"/>
      <c r="F112" s="199"/>
      <c r="H112" s="202"/>
      <c r="I112" s="185" t="str">
        <f t="shared" si="7"/>
        <v/>
      </c>
      <c r="J112" s="203" t="str">
        <f>IF($H112="USD",IF(OR($I112="",$I112="-"),"",VLOOKUP($G112,為替!$A:$AX,$I112,FALSE))+$J$3,IF(OR($I112="",$I112="-"),"",VLOOKUP($G112,為替!$A:$AX,$I112,FALSE)))</f>
        <v/>
      </c>
      <c r="K112" s="204" t="str">
        <f t="shared" si="8"/>
        <v/>
      </c>
      <c r="L112" s="188" t="str">
        <f t="shared" si="9"/>
        <v/>
      </c>
      <c r="M112" s="203" t="str">
        <f>IF($H112="USD",IF(OR($L112="",$L112="-"),"",VLOOKUP($G112,為替!$A:$AX,$L112,FALSE))+$K$3,IF(OR($L112="",$L112="-"),"",VLOOKUP($G112,為替!$A:$AX,$L112,FALSE)))</f>
        <v/>
      </c>
      <c r="N112" s="204" t="str">
        <f t="shared" si="10"/>
        <v/>
      </c>
      <c r="O112" s="205" t="str">
        <f t="shared" si="6"/>
        <v/>
      </c>
      <c r="P112" s="206" t="str">
        <f t="shared" si="11"/>
        <v/>
      </c>
    </row>
    <row r="113" spans="3:16" x14ac:dyDescent="0.4">
      <c r="C113" s="199"/>
      <c r="D113" s="200"/>
      <c r="E113" s="201"/>
      <c r="F113" s="199"/>
      <c r="H113" s="202"/>
      <c r="I113" s="185" t="str">
        <f t="shared" si="7"/>
        <v/>
      </c>
      <c r="J113" s="203" t="str">
        <f>IF($H113="USD",IF(OR($I113="",$I113="-"),"",VLOOKUP($G113,為替!$A:$AX,$I113,FALSE))+$J$3,IF(OR($I113="",$I113="-"),"",VLOOKUP($G113,為替!$A:$AX,$I113,FALSE)))</f>
        <v/>
      </c>
      <c r="K113" s="204" t="str">
        <f t="shared" si="8"/>
        <v/>
      </c>
      <c r="L113" s="188" t="str">
        <f t="shared" si="9"/>
        <v/>
      </c>
      <c r="M113" s="203" t="str">
        <f>IF($H113="USD",IF(OR($L113="",$L113="-"),"",VLOOKUP($G113,為替!$A:$AX,$L113,FALSE))+$K$3,IF(OR($L113="",$L113="-"),"",VLOOKUP($G113,為替!$A:$AX,$L113,FALSE)))</f>
        <v/>
      </c>
      <c r="N113" s="204" t="str">
        <f t="shared" si="10"/>
        <v/>
      </c>
      <c r="O113" s="205" t="str">
        <f t="shared" si="6"/>
        <v/>
      </c>
      <c r="P113" s="206" t="str">
        <f t="shared" si="11"/>
        <v/>
      </c>
    </row>
    <row r="114" spans="3:16" x14ac:dyDescent="0.4">
      <c r="C114" s="199"/>
      <c r="D114" s="200"/>
      <c r="E114" s="201"/>
      <c r="F114" s="199"/>
      <c r="H114" s="202"/>
      <c r="I114" s="185" t="str">
        <f t="shared" si="7"/>
        <v/>
      </c>
      <c r="J114" s="203" t="str">
        <f>IF($H114="USD",IF(OR($I114="",$I114="-"),"",VLOOKUP($G114,為替!$A:$AX,$I114,FALSE))+$J$3,IF(OR($I114="",$I114="-"),"",VLOOKUP($G114,為替!$A:$AX,$I114,FALSE)))</f>
        <v/>
      </c>
      <c r="K114" s="204" t="str">
        <f t="shared" si="8"/>
        <v/>
      </c>
      <c r="L114" s="188" t="str">
        <f t="shared" si="9"/>
        <v/>
      </c>
      <c r="M114" s="203" t="str">
        <f>IF($H114="USD",IF(OR($L114="",$L114="-"),"",VLOOKUP($G114,為替!$A:$AX,$L114,FALSE))+$K$3,IF(OR($L114="",$L114="-"),"",VLOOKUP($G114,為替!$A:$AX,$L114,FALSE)))</f>
        <v/>
      </c>
      <c r="N114" s="204" t="str">
        <f t="shared" si="10"/>
        <v/>
      </c>
      <c r="O114" s="205" t="str">
        <f t="shared" si="6"/>
        <v/>
      </c>
      <c r="P114" s="206" t="str">
        <f t="shared" si="11"/>
        <v/>
      </c>
    </row>
    <row r="115" spans="3:16" x14ac:dyDescent="0.4">
      <c r="C115" s="199"/>
      <c r="D115" s="200"/>
      <c r="E115" s="201"/>
      <c r="F115" s="199"/>
      <c r="H115" s="202"/>
      <c r="I115" s="185" t="str">
        <f t="shared" si="7"/>
        <v/>
      </c>
      <c r="J115" s="203" t="str">
        <f>IF($H115="USD",IF(OR($I115="",$I115="-"),"",VLOOKUP($G115,為替!$A:$AX,$I115,FALSE))+$J$3,IF(OR($I115="",$I115="-"),"",VLOOKUP($G115,為替!$A:$AX,$I115,FALSE)))</f>
        <v/>
      </c>
      <c r="K115" s="204" t="str">
        <f t="shared" si="8"/>
        <v/>
      </c>
      <c r="L115" s="188" t="str">
        <f t="shared" si="9"/>
        <v/>
      </c>
      <c r="M115" s="203" t="str">
        <f>IF($H115="USD",IF(OR($L115="",$L115="-"),"",VLOOKUP($G115,為替!$A:$AX,$L115,FALSE))+$K$3,IF(OR($L115="",$L115="-"),"",VLOOKUP($G115,為替!$A:$AX,$L115,FALSE)))</f>
        <v/>
      </c>
      <c r="N115" s="204" t="str">
        <f t="shared" si="10"/>
        <v/>
      </c>
      <c r="O115" s="205" t="str">
        <f t="shared" si="6"/>
        <v/>
      </c>
      <c r="P115" s="206" t="str">
        <f t="shared" si="11"/>
        <v/>
      </c>
    </row>
    <row r="116" spans="3:16" x14ac:dyDescent="0.4">
      <c r="C116" s="199"/>
      <c r="D116" s="200"/>
      <c r="E116" s="201"/>
      <c r="F116" s="199"/>
      <c r="H116" s="202"/>
      <c r="I116" s="185" t="str">
        <f t="shared" si="7"/>
        <v/>
      </c>
      <c r="J116" s="203" t="str">
        <f>IF($H116="USD",IF(OR($I116="",$I116="-"),"",VLOOKUP($G116,為替!$A:$AX,$I116,FALSE))+$J$3,IF(OR($I116="",$I116="-"),"",VLOOKUP($G116,為替!$A:$AX,$I116,FALSE)))</f>
        <v/>
      </c>
      <c r="K116" s="204" t="str">
        <f t="shared" si="8"/>
        <v/>
      </c>
      <c r="L116" s="188" t="str">
        <f t="shared" si="9"/>
        <v/>
      </c>
      <c r="M116" s="203" t="str">
        <f>IF($H116="USD",IF(OR($L116="",$L116="-"),"",VLOOKUP($G116,為替!$A:$AX,$L116,FALSE))+$K$3,IF(OR($L116="",$L116="-"),"",VLOOKUP($G116,為替!$A:$AX,$L116,FALSE)))</f>
        <v/>
      </c>
      <c r="N116" s="204" t="str">
        <f t="shared" si="10"/>
        <v/>
      </c>
      <c r="O116" s="205" t="str">
        <f t="shared" si="6"/>
        <v/>
      </c>
      <c r="P116" s="206" t="str">
        <f t="shared" si="11"/>
        <v/>
      </c>
    </row>
    <row r="117" spans="3:16" x14ac:dyDescent="0.4">
      <c r="C117" s="199"/>
      <c r="D117" s="200"/>
      <c r="E117" s="201"/>
      <c r="F117" s="199"/>
      <c r="H117" s="202"/>
      <c r="I117" s="185" t="str">
        <f t="shared" si="7"/>
        <v/>
      </c>
      <c r="J117" s="203" t="str">
        <f>IF($H117="USD",IF(OR($I117="",$I117="-"),"",VLOOKUP($G117,為替!$A:$AX,$I117,FALSE))+$J$3,IF(OR($I117="",$I117="-"),"",VLOOKUP($G117,為替!$A:$AX,$I117,FALSE)))</f>
        <v/>
      </c>
      <c r="K117" s="204" t="str">
        <f t="shared" si="8"/>
        <v/>
      </c>
      <c r="L117" s="188" t="str">
        <f t="shared" si="9"/>
        <v/>
      </c>
      <c r="M117" s="203" t="str">
        <f>IF($H117="USD",IF(OR($L117="",$L117="-"),"",VLOOKUP($G117,為替!$A:$AX,$L117,FALSE))+$K$3,IF(OR($L117="",$L117="-"),"",VLOOKUP($G117,為替!$A:$AX,$L117,FALSE)))</f>
        <v/>
      </c>
      <c r="N117" s="204" t="str">
        <f t="shared" si="10"/>
        <v/>
      </c>
      <c r="O117" s="205" t="str">
        <f t="shared" si="6"/>
        <v/>
      </c>
      <c r="P117" s="206" t="str">
        <f t="shared" si="11"/>
        <v/>
      </c>
    </row>
    <row r="118" spans="3:16" x14ac:dyDescent="0.4">
      <c r="C118" s="199"/>
      <c r="D118" s="200"/>
      <c r="E118" s="201"/>
      <c r="F118" s="199"/>
      <c r="H118" s="202"/>
      <c r="I118" s="185" t="str">
        <f t="shared" si="7"/>
        <v/>
      </c>
      <c r="J118" s="203" t="str">
        <f>IF($H118="USD",IF(OR($I118="",$I118="-"),"",VLOOKUP($G118,為替!$A:$AX,$I118,FALSE))+$J$3,IF(OR($I118="",$I118="-"),"",VLOOKUP($G118,為替!$A:$AX,$I118,FALSE)))</f>
        <v/>
      </c>
      <c r="K118" s="204" t="str">
        <f t="shared" si="8"/>
        <v/>
      </c>
      <c r="L118" s="188" t="str">
        <f t="shared" si="9"/>
        <v/>
      </c>
      <c r="M118" s="203" t="str">
        <f>IF($H118="USD",IF(OR($L118="",$L118="-"),"",VLOOKUP($G118,為替!$A:$AX,$L118,FALSE))+$K$3,IF(OR($L118="",$L118="-"),"",VLOOKUP($G118,為替!$A:$AX,$L118,FALSE)))</f>
        <v/>
      </c>
      <c r="N118" s="204" t="str">
        <f t="shared" si="10"/>
        <v/>
      </c>
      <c r="O118" s="205" t="str">
        <f t="shared" si="6"/>
        <v/>
      </c>
      <c r="P118" s="206" t="str">
        <f t="shared" si="11"/>
        <v/>
      </c>
    </row>
    <row r="119" spans="3:16" x14ac:dyDescent="0.4">
      <c r="C119" s="199"/>
      <c r="D119" s="200"/>
      <c r="E119" s="201"/>
      <c r="F119" s="199"/>
      <c r="H119" s="202"/>
      <c r="I119" s="185" t="str">
        <f t="shared" si="7"/>
        <v/>
      </c>
      <c r="J119" s="203" t="str">
        <f>IF($H119="USD",IF(OR($I119="",$I119="-"),"",VLOOKUP($G119,為替!$A:$AX,$I119,FALSE))+$J$3,IF(OR($I119="",$I119="-"),"",VLOOKUP($G119,為替!$A:$AX,$I119,FALSE)))</f>
        <v/>
      </c>
      <c r="K119" s="204" t="str">
        <f t="shared" si="8"/>
        <v/>
      </c>
      <c r="L119" s="188" t="str">
        <f t="shared" si="9"/>
        <v/>
      </c>
      <c r="M119" s="203" t="str">
        <f>IF($H119="USD",IF(OR($L119="",$L119="-"),"",VLOOKUP($G119,為替!$A:$AX,$L119,FALSE))+$K$3,IF(OR($L119="",$L119="-"),"",VLOOKUP($G119,為替!$A:$AX,$L119,FALSE)))</f>
        <v/>
      </c>
      <c r="N119" s="204" t="str">
        <f t="shared" si="10"/>
        <v/>
      </c>
      <c r="O119" s="205" t="str">
        <f t="shared" si="6"/>
        <v/>
      </c>
      <c r="P119" s="206" t="str">
        <f t="shared" si="11"/>
        <v/>
      </c>
    </row>
    <row r="120" spans="3:16" x14ac:dyDescent="0.4">
      <c r="C120" s="199"/>
      <c r="D120" s="200"/>
      <c r="E120" s="201"/>
      <c r="F120" s="199"/>
      <c r="H120" s="202"/>
      <c r="I120" s="185" t="str">
        <f t="shared" si="7"/>
        <v/>
      </c>
      <c r="J120" s="203" t="str">
        <f>IF($H120="USD",IF(OR($I120="",$I120="-"),"",VLOOKUP($G120,為替!$A:$AX,$I120,FALSE))+$J$3,IF(OR($I120="",$I120="-"),"",VLOOKUP($G120,為替!$A:$AX,$I120,FALSE)))</f>
        <v/>
      </c>
      <c r="K120" s="204" t="str">
        <f t="shared" si="8"/>
        <v/>
      </c>
      <c r="L120" s="188" t="str">
        <f t="shared" si="9"/>
        <v/>
      </c>
      <c r="M120" s="203" t="str">
        <f>IF($H120="USD",IF(OR($L120="",$L120="-"),"",VLOOKUP($G120,為替!$A:$AX,$L120,FALSE))+$K$3,IF(OR($L120="",$L120="-"),"",VLOOKUP($G120,為替!$A:$AX,$L120,FALSE)))</f>
        <v/>
      </c>
      <c r="N120" s="204" t="str">
        <f t="shared" si="10"/>
        <v/>
      </c>
      <c r="O120" s="205" t="str">
        <f t="shared" si="6"/>
        <v/>
      </c>
      <c r="P120" s="206" t="str">
        <f t="shared" si="11"/>
        <v/>
      </c>
    </row>
    <row r="121" spans="3:16" x14ac:dyDescent="0.4">
      <c r="C121" s="199"/>
      <c r="D121" s="200"/>
      <c r="E121" s="201"/>
      <c r="F121" s="199"/>
      <c r="H121" s="202"/>
      <c r="I121" s="185" t="str">
        <f t="shared" si="7"/>
        <v/>
      </c>
      <c r="J121" s="203" t="str">
        <f>IF($H121="USD",IF(OR($I121="",$I121="-"),"",VLOOKUP($G121,為替!$A:$AX,$I121,FALSE))+$J$3,IF(OR($I121="",$I121="-"),"",VLOOKUP($G121,為替!$A:$AX,$I121,FALSE)))</f>
        <v/>
      </c>
      <c r="K121" s="204" t="str">
        <f t="shared" si="8"/>
        <v/>
      </c>
      <c r="L121" s="188" t="str">
        <f t="shared" si="9"/>
        <v/>
      </c>
      <c r="M121" s="203" t="str">
        <f>IF($H121="USD",IF(OR($L121="",$L121="-"),"",VLOOKUP($G121,為替!$A:$AX,$L121,FALSE))+$K$3,IF(OR($L121="",$L121="-"),"",VLOOKUP($G121,為替!$A:$AX,$L121,FALSE)))</f>
        <v/>
      </c>
      <c r="N121" s="204" t="str">
        <f t="shared" si="10"/>
        <v/>
      </c>
      <c r="O121" s="205" t="str">
        <f t="shared" si="6"/>
        <v/>
      </c>
      <c r="P121" s="206" t="str">
        <f t="shared" si="11"/>
        <v/>
      </c>
    </row>
    <row r="122" spans="3:16" x14ac:dyDescent="0.4">
      <c r="C122" s="199"/>
      <c r="D122" s="200"/>
      <c r="E122" s="201"/>
      <c r="F122" s="199"/>
      <c r="H122" s="202"/>
      <c r="I122" s="185" t="str">
        <f t="shared" si="7"/>
        <v/>
      </c>
      <c r="J122" s="203" t="str">
        <f>IF($H122="USD",IF(OR($I122="",$I122="-"),"",VLOOKUP($G122,為替!$A:$AX,$I122,FALSE))+$J$3,IF(OR($I122="",$I122="-"),"",VLOOKUP($G122,為替!$A:$AX,$I122,FALSE)))</f>
        <v/>
      </c>
      <c r="K122" s="204" t="str">
        <f t="shared" si="8"/>
        <v/>
      </c>
      <c r="L122" s="188" t="str">
        <f t="shared" si="9"/>
        <v/>
      </c>
      <c r="M122" s="203" t="str">
        <f>IF($H122="USD",IF(OR($L122="",$L122="-"),"",VLOOKUP($G122,為替!$A:$AX,$L122,FALSE))+$K$3,IF(OR($L122="",$L122="-"),"",VLOOKUP($G122,為替!$A:$AX,$L122,FALSE)))</f>
        <v/>
      </c>
      <c r="N122" s="204" t="str">
        <f t="shared" si="10"/>
        <v/>
      </c>
      <c r="O122" s="205" t="str">
        <f t="shared" si="6"/>
        <v/>
      </c>
      <c r="P122" s="206" t="str">
        <f t="shared" si="11"/>
        <v/>
      </c>
    </row>
    <row r="123" spans="3:16" x14ac:dyDescent="0.4">
      <c r="C123" s="199"/>
      <c r="D123" s="200"/>
      <c r="E123" s="201"/>
      <c r="F123" s="199"/>
      <c r="H123" s="202"/>
      <c r="I123" s="185" t="str">
        <f t="shared" si="7"/>
        <v/>
      </c>
      <c r="J123" s="203" t="str">
        <f>IF($H123="USD",IF(OR($I123="",$I123="-"),"",VLOOKUP($G123,為替!$A:$AX,$I123,FALSE))+$J$3,IF(OR($I123="",$I123="-"),"",VLOOKUP($G123,為替!$A:$AX,$I123,FALSE)))</f>
        <v/>
      </c>
      <c r="K123" s="204" t="str">
        <f t="shared" si="8"/>
        <v/>
      </c>
      <c r="L123" s="188" t="str">
        <f t="shared" si="9"/>
        <v/>
      </c>
      <c r="M123" s="203" t="str">
        <f>IF($H123="USD",IF(OR($L123="",$L123="-"),"",VLOOKUP($G123,為替!$A:$AX,$L123,FALSE))+$K$3,IF(OR($L123="",$L123="-"),"",VLOOKUP($G123,為替!$A:$AX,$L123,FALSE)))</f>
        <v/>
      </c>
      <c r="N123" s="204" t="str">
        <f t="shared" si="10"/>
        <v/>
      </c>
      <c r="O123" s="205" t="str">
        <f t="shared" si="6"/>
        <v/>
      </c>
      <c r="P123" s="206" t="str">
        <f t="shared" si="11"/>
        <v/>
      </c>
    </row>
    <row r="124" spans="3:16" x14ac:dyDescent="0.4">
      <c r="C124" s="199"/>
      <c r="D124" s="200"/>
      <c r="E124" s="201"/>
      <c r="F124" s="199"/>
      <c r="H124" s="202"/>
      <c r="I124" s="185" t="str">
        <f t="shared" si="7"/>
        <v/>
      </c>
      <c r="J124" s="203" t="str">
        <f>IF($H124="USD",IF(OR($I124="",$I124="-"),"",VLOOKUP($G124,為替!$A:$AX,$I124,FALSE))+$J$3,IF(OR($I124="",$I124="-"),"",VLOOKUP($G124,為替!$A:$AX,$I124,FALSE)))</f>
        <v/>
      </c>
      <c r="K124" s="204" t="str">
        <f t="shared" si="8"/>
        <v/>
      </c>
      <c r="L124" s="188" t="str">
        <f t="shared" si="9"/>
        <v/>
      </c>
      <c r="M124" s="203" t="str">
        <f>IF($H124="USD",IF(OR($L124="",$L124="-"),"",VLOOKUP($G124,為替!$A:$AX,$L124,FALSE))+$K$3,IF(OR($L124="",$L124="-"),"",VLOOKUP($G124,為替!$A:$AX,$L124,FALSE)))</f>
        <v/>
      </c>
      <c r="N124" s="204" t="str">
        <f t="shared" si="10"/>
        <v/>
      </c>
      <c r="O124" s="205" t="str">
        <f t="shared" si="6"/>
        <v/>
      </c>
      <c r="P124" s="206" t="str">
        <f t="shared" si="11"/>
        <v/>
      </c>
    </row>
    <row r="125" spans="3:16" x14ac:dyDescent="0.4">
      <c r="C125" s="199"/>
      <c r="D125" s="200"/>
      <c r="E125" s="201"/>
      <c r="F125" s="199"/>
      <c r="H125" s="202"/>
      <c r="I125" s="185" t="str">
        <f t="shared" si="7"/>
        <v/>
      </c>
      <c r="J125" s="203" t="str">
        <f>IF($H125="USD",IF(OR($I125="",$I125="-"),"",VLOOKUP($G125,為替!$A:$AX,$I125,FALSE))+$J$3,IF(OR($I125="",$I125="-"),"",VLOOKUP($G125,為替!$A:$AX,$I125,FALSE)))</f>
        <v/>
      </c>
      <c r="K125" s="204" t="str">
        <f t="shared" si="8"/>
        <v/>
      </c>
      <c r="L125" s="188" t="str">
        <f t="shared" si="9"/>
        <v/>
      </c>
      <c r="M125" s="203" t="str">
        <f>IF($H125="USD",IF(OR($L125="",$L125="-"),"",VLOOKUP($G125,為替!$A:$AX,$L125,FALSE))+$K$3,IF(OR($L125="",$L125="-"),"",VLOOKUP($G125,為替!$A:$AX,$L125,FALSE)))</f>
        <v/>
      </c>
      <c r="N125" s="204" t="str">
        <f t="shared" si="10"/>
        <v/>
      </c>
      <c r="O125" s="205" t="str">
        <f t="shared" si="6"/>
        <v/>
      </c>
      <c r="P125" s="206" t="str">
        <f t="shared" si="11"/>
        <v/>
      </c>
    </row>
    <row r="126" spans="3:16" x14ac:dyDescent="0.4">
      <c r="C126" s="199"/>
      <c r="D126" s="200"/>
      <c r="E126" s="201"/>
      <c r="F126" s="199"/>
      <c r="H126" s="202"/>
      <c r="I126" s="185" t="str">
        <f t="shared" si="7"/>
        <v/>
      </c>
      <c r="J126" s="203" t="str">
        <f>IF($H126="USD",IF(OR($I126="",$I126="-"),"",VLOOKUP($G126,為替!$A:$AX,$I126,FALSE))+$J$3,IF(OR($I126="",$I126="-"),"",VLOOKUP($G126,為替!$A:$AX,$I126,FALSE)))</f>
        <v/>
      </c>
      <c r="K126" s="204" t="str">
        <f t="shared" si="8"/>
        <v/>
      </c>
      <c r="L126" s="188" t="str">
        <f t="shared" si="9"/>
        <v/>
      </c>
      <c r="M126" s="203" t="str">
        <f>IF($H126="USD",IF(OR($L126="",$L126="-"),"",VLOOKUP($G126,為替!$A:$AX,$L126,FALSE))+$K$3,IF(OR($L126="",$L126="-"),"",VLOOKUP($G126,為替!$A:$AX,$L126,FALSE)))</f>
        <v/>
      </c>
      <c r="N126" s="204" t="str">
        <f t="shared" si="10"/>
        <v/>
      </c>
      <c r="O126" s="205" t="str">
        <f t="shared" si="6"/>
        <v/>
      </c>
      <c r="P126" s="206" t="str">
        <f t="shared" si="11"/>
        <v/>
      </c>
    </row>
    <row r="127" spans="3:16" x14ac:dyDescent="0.4">
      <c r="C127" s="199"/>
      <c r="D127" s="200"/>
      <c r="E127" s="201"/>
      <c r="F127" s="199"/>
      <c r="H127" s="202"/>
      <c r="I127" s="185" t="str">
        <f t="shared" si="7"/>
        <v/>
      </c>
      <c r="J127" s="203" t="str">
        <f>IF($H127="USD",IF(OR($I127="",$I127="-"),"",VLOOKUP($G127,為替!$A:$AX,$I127,FALSE))+$J$3,IF(OR($I127="",$I127="-"),"",VLOOKUP($G127,為替!$A:$AX,$I127,FALSE)))</f>
        <v/>
      </c>
      <c r="K127" s="204" t="str">
        <f t="shared" si="8"/>
        <v/>
      </c>
      <c r="L127" s="188" t="str">
        <f t="shared" si="9"/>
        <v/>
      </c>
      <c r="M127" s="203" t="str">
        <f>IF($H127="USD",IF(OR($L127="",$L127="-"),"",VLOOKUP($G127,為替!$A:$AX,$L127,FALSE))+$K$3,IF(OR($L127="",$L127="-"),"",VLOOKUP($G127,為替!$A:$AX,$L127,FALSE)))</f>
        <v/>
      </c>
      <c r="N127" s="204" t="str">
        <f t="shared" si="10"/>
        <v/>
      </c>
      <c r="O127" s="205" t="str">
        <f t="shared" si="6"/>
        <v/>
      </c>
      <c r="P127" s="206" t="str">
        <f t="shared" si="11"/>
        <v/>
      </c>
    </row>
    <row r="128" spans="3:16" x14ac:dyDescent="0.4">
      <c r="C128" s="199"/>
      <c r="D128" s="200"/>
      <c r="E128" s="201"/>
      <c r="F128" s="199"/>
      <c r="H128" s="202"/>
      <c r="I128" s="185" t="str">
        <f t="shared" si="7"/>
        <v/>
      </c>
      <c r="J128" s="203" t="str">
        <f>IF($H128="USD",IF(OR($I128="",$I128="-"),"",VLOOKUP($G128,為替!$A:$AX,$I128,FALSE))+$J$3,IF(OR($I128="",$I128="-"),"",VLOOKUP($G128,為替!$A:$AX,$I128,FALSE)))</f>
        <v/>
      </c>
      <c r="K128" s="204" t="str">
        <f t="shared" si="8"/>
        <v/>
      </c>
      <c r="L128" s="188" t="str">
        <f t="shared" si="9"/>
        <v/>
      </c>
      <c r="M128" s="203" t="str">
        <f>IF($H128="USD",IF(OR($L128="",$L128="-"),"",VLOOKUP($G128,為替!$A:$AX,$L128,FALSE))+$K$3,IF(OR($L128="",$L128="-"),"",VLOOKUP($G128,為替!$A:$AX,$L128,FALSE)))</f>
        <v/>
      </c>
      <c r="N128" s="204" t="str">
        <f t="shared" si="10"/>
        <v/>
      </c>
      <c r="O128" s="205" t="str">
        <f t="shared" si="6"/>
        <v/>
      </c>
      <c r="P128" s="206" t="str">
        <f t="shared" si="11"/>
        <v/>
      </c>
    </row>
    <row r="129" spans="3:16" x14ac:dyDescent="0.4">
      <c r="C129" s="199"/>
      <c r="D129" s="200"/>
      <c r="E129" s="201"/>
      <c r="F129" s="199"/>
      <c r="H129" s="202"/>
      <c r="I129" s="185" t="str">
        <f t="shared" si="7"/>
        <v/>
      </c>
      <c r="J129" s="203" t="str">
        <f>IF($H129="USD",IF(OR($I129="",$I129="-"),"",VLOOKUP($G129,為替!$A:$AX,$I129,FALSE))+$J$3,IF(OR($I129="",$I129="-"),"",VLOOKUP($G129,為替!$A:$AX,$I129,FALSE)))</f>
        <v/>
      </c>
      <c r="K129" s="204" t="str">
        <f t="shared" si="8"/>
        <v/>
      </c>
      <c r="L129" s="188" t="str">
        <f t="shared" si="9"/>
        <v/>
      </c>
      <c r="M129" s="203" t="str">
        <f>IF($H129="USD",IF(OR($L129="",$L129="-"),"",VLOOKUP($G129,為替!$A:$AX,$L129,FALSE))+$K$3,IF(OR($L129="",$L129="-"),"",VLOOKUP($G129,為替!$A:$AX,$L129,FALSE)))</f>
        <v/>
      </c>
      <c r="N129" s="204" t="str">
        <f t="shared" si="10"/>
        <v/>
      </c>
      <c r="O129" s="205" t="str">
        <f t="shared" si="6"/>
        <v/>
      </c>
      <c r="P129" s="206" t="str">
        <f t="shared" si="11"/>
        <v/>
      </c>
    </row>
    <row r="130" spans="3:16" x14ac:dyDescent="0.4">
      <c r="C130" s="199"/>
      <c r="D130" s="200"/>
      <c r="E130" s="201"/>
      <c r="F130" s="199"/>
      <c r="H130" s="202"/>
      <c r="I130" s="185" t="str">
        <f t="shared" si="7"/>
        <v/>
      </c>
      <c r="J130" s="203" t="str">
        <f>IF($H130="USD",IF(OR($I130="",$I130="-"),"",VLOOKUP($G130,為替!$A:$AX,$I130,FALSE))+$J$3,IF(OR($I130="",$I130="-"),"",VLOOKUP($G130,為替!$A:$AX,$I130,FALSE)))</f>
        <v/>
      </c>
      <c r="K130" s="204" t="str">
        <f t="shared" si="8"/>
        <v/>
      </c>
      <c r="L130" s="188" t="str">
        <f t="shared" si="9"/>
        <v/>
      </c>
      <c r="M130" s="203" t="str">
        <f>IF($H130="USD",IF(OR($L130="",$L130="-"),"",VLOOKUP($G130,為替!$A:$AX,$L130,FALSE))+$K$3,IF(OR($L130="",$L130="-"),"",VLOOKUP($G130,為替!$A:$AX,$L130,FALSE)))</f>
        <v/>
      </c>
      <c r="N130" s="204" t="str">
        <f t="shared" si="10"/>
        <v/>
      </c>
      <c r="O130" s="205" t="str">
        <f t="shared" si="6"/>
        <v/>
      </c>
      <c r="P130" s="206" t="str">
        <f t="shared" si="11"/>
        <v/>
      </c>
    </row>
    <row r="131" spans="3:16" x14ac:dyDescent="0.4">
      <c r="C131" s="199"/>
      <c r="D131" s="200"/>
      <c r="E131" s="201"/>
      <c r="F131" s="199"/>
      <c r="H131" s="202"/>
      <c r="I131" s="185" t="str">
        <f t="shared" si="7"/>
        <v/>
      </c>
      <c r="J131" s="203" t="str">
        <f>IF($H131="USD",IF(OR($I131="",$I131="-"),"",VLOOKUP($G131,為替!$A:$AX,$I131,FALSE))+$J$3,IF(OR($I131="",$I131="-"),"",VLOOKUP($G131,為替!$A:$AX,$I131,FALSE)))</f>
        <v/>
      </c>
      <c r="K131" s="204" t="str">
        <f t="shared" si="8"/>
        <v/>
      </c>
      <c r="L131" s="188" t="str">
        <f t="shared" si="9"/>
        <v/>
      </c>
      <c r="M131" s="203" t="str">
        <f>IF($H131="USD",IF(OR($L131="",$L131="-"),"",VLOOKUP($G131,為替!$A:$AX,$L131,FALSE))+$K$3,IF(OR($L131="",$L131="-"),"",VLOOKUP($G131,為替!$A:$AX,$L131,FALSE)))</f>
        <v/>
      </c>
      <c r="N131" s="204" t="str">
        <f t="shared" si="10"/>
        <v/>
      </c>
      <c r="O131" s="205" t="str">
        <f t="shared" si="6"/>
        <v/>
      </c>
      <c r="P131" s="206" t="str">
        <f t="shared" si="11"/>
        <v/>
      </c>
    </row>
    <row r="132" spans="3:16" x14ac:dyDescent="0.4">
      <c r="C132" s="199"/>
      <c r="D132" s="200"/>
      <c r="E132" s="201"/>
      <c r="F132" s="199"/>
      <c r="H132" s="202"/>
      <c r="I132" s="185" t="str">
        <f t="shared" si="7"/>
        <v/>
      </c>
      <c r="J132" s="203" t="str">
        <f>IF($H132="USD",IF(OR($I132="",$I132="-"),"",VLOOKUP($G132,為替!$A:$AX,$I132,FALSE))+$J$3,IF(OR($I132="",$I132="-"),"",VLOOKUP($G132,為替!$A:$AX,$I132,FALSE)))</f>
        <v/>
      </c>
      <c r="K132" s="204" t="str">
        <f t="shared" si="8"/>
        <v/>
      </c>
      <c r="L132" s="188" t="str">
        <f t="shared" si="9"/>
        <v/>
      </c>
      <c r="M132" s="203" t="str">
        <f>IF($H132="USD",IF(OR($L132="",$L132="-"),"",VLOOKUP($G132,為替!$A:$AX,$L132,FALSE))+$K$3,IF(OR($L132="",$L132="-"),"",VLOOKUP($G132,為替!$A:$AX,$L132,FALSE)))</f>
        <v/>
      </c>
      <c r="N132" s="204" t="str">
        <f t="shared" si="10"/>
        <v/>
      </c>
      <c r="O132" s="205" t="str">
        <f t="shared" si="6"/>
        <v/>
      </c>
      <c r="P132" s="206" t="str">
        <f t="shared" si="11"/>
        <v/>
      </c>
    </row>
    <row r="133" spans="3:16" x14ac:dyDescent="0.4">
      <c r="C133" s="199"/>
      <c r="D133" s="200"/>
      <c r="E133" s="201"/>
      <c r="F133" s="199"/>
      <c r="H133" s="202"/>
      <c r="I133" s="185" t="str">
        <f t="shared" si="7"/>
        <v/>
      </c>
      <c r="J133" s="203" t="str">
        <f>IF($H133="USD",IF(OR($I133="",$I133="-"),"",VLOOKUP($G133,為替!$A:$AX,$I133,FALSE))+$J$3,IF(OR($I133="",$I133="-"),"",VLOOKUP($G133,為替!$A:$AX,$I133,FALSE)))</f>
        <v/>
      </c>
      <c r="K133" s="204" t="str">
        <f t="shared" si="8"/>
        <v/>
      </c>
      <c r="L133" s="188" t="str">
        <f t="shared" si="9"/>
        <v/>
      </c>
      <c r="M133" s="203" t="str">
        <f>IF($H133="USD",IF(OR($L133="",$L133="-"),"",VLOOKUP($G133,為替!$A:$AX,$L133,FALSE))+$K$3,IF(OR($L133="",$L133="-"),"",VLOOKUP($G133,為替!$A:$AX,$L133,FALSE)))</f>
        <v/>
      </c>
      <c r="N133" s="204" t="str">
        <f t="shared" si="10"/>
        <v/>
      </c>
      <c r="O133" s="205" t="str">
        <f t="shared" si="6"/>
        <v/>
      </c>
      <c r="P133" s="206" t="str">
        <f t="shared" si="11"/>
        <v/>
      </c>
    </row>
    <row r="134" spans="3:16" x14ac:dyDescent="0.4">
      <c r="C134" s="199"/>
      <c r="D134" s="200"/>
      <c r="E134" s="201"/>
      <c r="F134" s="199"/>
      <c r="H134" s="202"/>
      <c r="I134" s="185" t="str">
        <f t="shared" si="7"/>
        <v/>
      </c>
      <c r="J134" s="203" t="str">
        <f>IF($H134="USD",IF(OR($I134="",$I134="-"),"",VLOOKUP($G134,為替!$A:$AX,$I134,FALSE))+$J$3,IF(OR($I134="",$I134="-"),"",VLOOKUP($G134,為替!$A:$AX,$I134,FALSE)))</f>
        <v/>
      </c>
      <c r="K134" s="204" t="str">
        <f t="shared" si="8"/>
        <v/>
      </c>
      <c r="L134" s="188" t="str">
        <f t="shared" si="9"/>
        <v/>
      </c>
      <c r="M134" s="203" t="str">
        <f>IF($H134="USD",IF(OR($L134="",$L134="-"),"",VLOOKUP($G134,為替!$A:$AX,$L134,FALSE))+$K$3,IF(OR($L134="",$L134="-"),"",VLOOKUP($G134,為替!$A:$AX,$L134,FALSE)))</f>
        <v/>
      </c>
      <c r="N134" s="204" t="str">
        <f t="shared" si="10"/>
        <v/>
      </c>
      <c r="O134" s="205" t="str">
        <f t="shared" ref="O134:O197" si="12">IF(OR(K134="",N134=""),"",K134-N134)</f>
        <v/>
      </c>
      <c r="P134" s="206" t="str">
        <f t="shared" si="11"/>
        <v/>
      </c>
    </row>
    <row r="135" spans="3:16" x14ac:dyDescent="0.4">
      <c r="C135" s="199"/>
      <c r="D135" s="200"/>
      <c r="E135" s="201"/>
      <c r="F135" s="199"/>
      <c r="H135" s="202"/>
      <c r="I135" s="185" t="str">
        <f t="shared" ref="I135:I198" si="13">IF(H135="","",IF(H135="JPY","",IF($H135="USD",4, IF(H135="EUR",7,IF(H135="CNY",47,IF(H135="HKD",34))))))</f>
        <v/>
      </c>
      <c r="J135" s="203" t="str">
        <f>IF($H135="USD",IF(OR($I135="",$I135="-"),"",VLOOKUP($G135,為替!$A:$AX,$I135,FALSE))+$J$3,IF(OR($I135="",$I135="-"),"",VLOOKUP($G135,為替!$A:$AX,$I135,FALSE)))</f>
        <v/>
      </c>
      <c r="K135" s="204" t="str">
        <f t="shared" ref="K135:K198" si="14">IF($H135="JPY",$F135,IF($H135="","",$F135*$J135))</f>
        <v/>
      </c>
      <c r="L135" s="188" t="str">
        <f t="shared" ref="L135:L198" si="15">IF(H135="","",IF(H135="JPY","",IF($H135="USD",3, IF(H135="EUR",6,IF(H135="CNY",46,IF(H135="HKD",33))))))</f>
        <v/>
      </c>
      <c r="M135" s="203" t="str">
        <f>IF($H135="USD",IF(OR($L135="",$L135="-"),"",VLOOKUP($G135,為替!$A:$AX,$L135,FALSE))+$K$3,IF(OR($L135="",$L135="-"),"",VLOOKUP($G135,為替!$A:$AX,$L135,FALSE)))</f>
        <v/>
      </c>
      <c r="N135" s="204" t="str">
        <f t="shared" ref="N135:N198" si="16">IF($E135="JPY",($C135+$D135),IF($E135="","",($C135+$D135)*$M135))</f>
        <v/>
      </c>
      <c r="O135" s="205" t="str">
        <f t="shared" si="12"/>
        <v/>
      </c>
      <c r="P135" s="206" t="str">
        <f t="shared" ref="P135:P198" si="17">IF(OR(K135="",O135=""),"",O135/K135)</f>
        <v/>
      </c>
    </row>
    <row r="136" spans="3:16" x14ac:dyDescent="0.4">
      <c r="C136" s="199"/>
      <c r="D136" s="200"/>
      <c r="E136" s="201"/>
      <c r="F136" s="199"/>
      <c r="H136" s="202"/>
      <c r="I136" s="185" t="str">
        <f t="shared" si="13"/>
        <v/>
      </c>
      <c r="J136" s="203" t="str">
        <f>IF($H136="USD",IF(OR($I136="",$I136="-"),"",VLOOKUP($G136,為替!$A:$AX,$I136,FALSE))+$J$3,IF(OR($I136="",$I136="-"),"",VLOOKUP($G136,為替!$A:$AX,$I136,FALSE)))</f>
        <v/>
      </c>
      <c r="K136" s="204" t="str">
        <f t="shared" si="14"/>
        <v/>
      </c>
      <c r="L136" s="188" t="str">
        <f t="shared" si="15"/>
        <v/>
      </c>
      <c r="M136" s="203" t="str">
        <f>IF($H136="USD",IF(OR($L136="",$L136="-"),"",VLOOKUP($G136,為替!$A:$AX,$L136,FALSE))+$K$3,IF(OR($L136="",$L136="-"),"",VLOOKUP($G136,為替!$A:$AX,$L136,FALSE)))</f>
        <v/>
      </c>
      <c r="N136" s="204" t="str">
        <f t="shared" si="16"/>
        <v/>
      </c>
      <c r="O136" s="205" t="str">
        <f t="shared" si="12"/>
        <v/>
      </c>
      <c r="P136" s="206" t="str">
        <f t="shared" si="17"/>
        <v/>
      </c>
    </row>
    <row r="137" spans="3:16" x14ac:dyDescent="0.4">
      <c r="C137" s="199"/>
      <c r="D137" s="200"/>
      <c r="E137" s="201"/>
      <c r="F137" s="199"/>
      <c r="H137" s="202"/>
      <c r="I137" s="185" t="str">
        <f t="shared" si="13"/>
        <v/>
      </c>
      <c r="J137" s="203" t="str">
        <f>IF($H137="USD",IF(OR($I137="",$I137="-"),"",VLOOKUP($G137,為替!$A:$AX,$I137,FALSE))+$J$3,IF(OR($I137="",$I137="-"),"",VLOOKUP($G137,為替!$A:$AX,$I137,FALSE)))</f>
        <v/>
      </c>
      <c r="K137" s="204" t="str">
        <f t="shared" si="14"/>
        <v/>
      </c>
      <c r="L137" s="188" t="str">
        <f t="shared" si="15"/>
        <v/>
      </c>
      <c r="M137" s="203" t="str">
        <f>IF($H137="USD",IF(OR($L137="",$L137="-"),"",VLOOKUP($G137,為替!$A:$AX,$L137,FALSE))+$K$3,IF(OR($L137="",$L137="-"),"",VLOOKUP($G137,為替!$A:$AX,$L137,FALSE)))</f>
        <v/>
      </c>
      <c r="N137" s="204" t="str">
        <f t="shared" si="16"/>
        <v/>
      </c>
      <c r="O137" s="205" t="str">
        <f t="shared" si="12"/>
        <v/>
      </c>
      <c r="P137" s="206" t="str">
        <f t="shared" si="17"/>
        <v/>
      </c>
    </row>
    <row r="138" spans="3:16" x14ac:dyDescent="0.4">
      <c r="C138" s="199"/>
      <c r="D138" s="200"/>
      <c r="E138" s="201"/>
      <c r="F138" s="199"/>
      <c r="H138" s="202"/>
      <c r="I138" s="185" t="str">
        <f t="shared" si="13"/>
        <v/>
      </c>
      <c r="J138" s="203" t="str">
        <f>IF($H138="USD",IF(OR($I138="",$I138="-"),"",VLOOKUP($G138,為替!$A:$AX,$I138,FALSE))+$J$3,IF(OR($I138="",$I138="-"),"",VLOOKUP($G138,為替!$A:$AX,$I138,FALSE)))</f>
        <v/>
      </c>
      <c r="K138" s="204" t="str">
        <f t="shared" si="14"/>
        <v/>
      </c>
      <c r="L138" s="188" t="str">
        <f t="shared" si="15"/>
        <v/>
      </c>
      <c r="M138" s="203" t="str">
        <f>IF($H138="USD",IF(OR($L138="",$L138="-"),"",VLOOKUP($G138,為替!$A:$AX,$L138,FALSE))+$K$3,IF(OR($L138="",$L138="-"),"",VLOOKUP($G138,為替!$A:$AX,$L138,FALSE)))</f>
        <v/>
      </c>
      <c r="N138" s="204" t="str">
        <f t="shared" si="16"/>
        <v/>
      </c>
      <c r="O138" s="205" t="str">
        <f t="shared" si="12"/>
        <v/>
      </c>
      <c r="P138" s="206" t="str">
        <f t="shared" si="17"/>
        <v/>
      </c>
    </row>
    <row r="139" spans="3:16" x14ac:dyDescent="0.4">
      <c r="C139" s="199"/>
      <c r="D139" s="200"/>
      <c r="E139" s="201"/>
      <c r="F139" s="199"/>
      <c r="H139" s="202"/>
      <c r="I139" s="185" t="str">
        <f t="shared" si="13"/>
        <v/>
      </c>
      <c r="J139" s="203" t="str">
        <f>IF($H139="USD",IF(OR($I139="",$I139="-"),"",VLOOKUP($G139,為替!$A:$AX,$I139,FALSE))+$J$3,IF(OR($I139="",$I139="-"),"",VLOOKUP($G139,為替!$A:$AX,$I139,FALSE)))</f>
        <v/>
      </c>
      <c r="K139" s="204" t="str">
        <f t="shared" si="14"/>
        <v/>
      </c>
      <c r="L139" s="188" t="str">
        <f t="shared" si="15"/>
        <v/>
      </c>
      <c r="M139" s="203" t="str">
        <f>IF($H139="USD",IF(OR($L139="",$L139="-"),"",VLOOKUP($G139,為替!$A:$AX,$L139,FALSE))+$K$3,IF(OR($L139="",$L139="-"),"",VLOOKUP($G139,為替!$A:$AX,$L139,FALSE)))</f>
        <v/>
      </c>
      <c r="N139" s="204" t="str">
        <f t="shared" si="16"/>
        <v/>
      </c>
      <c r="O139" s="205" t="str">
        <f t="shared" si="12"/>
        <v/>
      </c>
      <c r="P139" s="206" t="str">
        <f t="shared" si="17"/>
        <v/>
      </c>
    </row>
    <row r="140" spans="3:16" x14ac:dyDescent="0.4">
      <c r="C140" s="199"/>
      <c r="D140" s="200"/>
      <c r="E140" s="201"/>
      <c r="F140" s="199"/>
      <c r="H140" s="202"/>
      <c r="I140" s="185" t="str">
        <f t="shared" si="13"/>
        <v/>
      </c>
      <c r="J140" s="203" t="str">
        <f>IF($H140="USD",IF(OR($I140="",$I140="-"),"",VLOOKUP($G140,為替!$A:$AX,$I140,FALSE))+$J$3,IF(OR($I140="",$I140="-"),"",VLOOKUP($G140,為替!$A:$AX,$I140,FALSE)))</f>
        <v/>
      </c>
      <c r="K140" s="204" t="str">
        <f t="shared" si="14"/>
        <v/>
      </c>
      <c r="L140" s="188" t="str">
        <f t="shared" si="15"/>
        <v/>
      </c>
      <c r="M140" s="203" t="str">
        <f>IF($H140="USD",IF(OR($L140="",$L140="-"),"",VLOOKUP($G140,為替!$A:$AX,$L140,FALSE))+$K$3,IF(OR($L140="",$L140="-"),"",VLOOKUP($G140,為替!$A:$AX,$L140,FALSE)))</f>
        <v/>
      </c>
      <c r="N140" s="204" t="str">
        <f t="shared" si="16"/>
        <v/>
      </c>
      <c r="O140" s="205" t="str">
        <f t="shared" si="12"/>
        <v/>
      </c>
      <c r="P140" s="206" t="str">
        <f t="shared" si="17"/>
        <v/>
      </c>
    </row>
    <row r="141" spans="3:16" x14ac:dyDescent="0.4">
      <c r="C141" s="199"/>
      <c r="D141" s="200"/>
      <c r="E141" s="201"/>
      <c r="F141" s="199"/>
      <c r="H141" s="202"/>
      <c r="I141" s="185" t="str">
        <f t="shared" si="13"/>
        <v/>
      </c>
      <c r="J141" s="203" t="str">
        <f>IF($H141="USD",IF(OR($I141="",$I141="-"),"",VLOOKUP($G141,為替!$A:$AX,$I141,FALSE))+$J$3,IF(OR($I141="",$I141="-"),"",VLOOKUP($G141,為替!$A:$AX,$I141,FALSE)))</f>
        <v/>
      </c>
      <c r="K141" s="204" t="str">
        <f t="shared" si="14"/>
        <v/>
      </c>
      <c r="L141" s="188" t="str">
        <f t="shared" si="15"/>
        <v/>
      </c>
      <c r="M141" s="203" t="str">
        <f>IF($H141="USD",IF(OR($L141="",$L141="-"),"",VLOOKUP($G141,為替!$A:$AX,$L141,FALSE))+$K$3,IF(OR($L141="",$L141="-"),"",VLOOKUP($G141,為替!$A:$AX,$L141,FALSE)))</f>
        <v/>
      </c>
      <c r="N141" s="204" t="str">
        <f t="shared" si="16"/>
        <v/>
      </c>
      <c r="O141" s="205" t="str">
        <f t="shared" si="12"/>
        <v/>
      </c>
      <c r="P141" s="206" t="str">
        <f t="shared" si="17"/>
        <v/>
      </c>
    </row>
    <row r="142" spans="3:16" x14ac:dyDescent="0.4">
      <c r="C142" s="199"/>
      <c r="D142" s="200"/>
      <c r="E142" s="201"/>
      <c r="F142" s="199"/>
      <c r="H142" s="202"/>
      <c r="I142" s="185" t="str">
        <f t="shared" si="13"/>
        <v/>
      </c>
      <c r="J142" s="203" t="str">
        <f>IF($H142="USD",IF(OR($I142="",$I142="-"),"",VLOOKUP($G142,為替!$A:$AX,$I142,FALSE))+$J$3,IF(OR($I142="",$I142="-"),"",VLOOKUP($G142,為替!$A:$AX,$I142,FALSE)))</f>
        <v/>
      </c>
      <c r="K142" s="204" t="str">
        <f t="shared" si="14"/>
        <v/>
      </c>
      <c r="L142" s="188" t="str">
        <f t="shared" si="15"/>
        <v/>
      </c>
      <c r="M142" s="203" t="str">
        <f>IF($H142="USD",IF(OR($L142="",$L142="-"),"",VLOOKUP($G142,為替!$A:$AX,$L142,FALSE))+$K$3,IF(OR($L142="",$L142="-"),"",VLOOKUP($G142,為替!$A:$AX,$L142,FALSE)))</f>
        <v/>
      </c>
      <c r="N142" s="204" t="str">
        <f t="shared" si="16"/>
        <v/>
      </c>
      <c r="O142" s="205" t="str">
        <f t="shared" si="12"/>
        <v/>
      </c>
      <c r="P142" s="206" t="str">
        <f t="shared" si="17"/>
        <v/>
      </c>
    </row>
    <row r="143" spans="3:16" x14ac:dyDescent="0.4">
      <c r="C143" s="199"/>
      <c r="D143" s="200"/>
      <c r="E143" s="201"/>
      <c r="F143" s="199"/>
      <c r="H143" s="202"/>
      <c r="I143" s="185" t="str">
        <f t="shared" si="13"/>
        <v/>
      </c>
      <c r="J143" s="203" t="str">
        <f>IF($H143="USD",IF(OR($I143="",$I143="-"),"",VLOOKUP($G143,為替!$A:$AX,$I143,FALSE))+$J$3,IF(OR($I143="",$I143="-"),"",VLOOKUP($G143,為替!$A:$AX,$I143,FALSE)))</f>
        <v/>
      </c>
      <c r="K143" s="204" t="str">
        <f t="shared" si="14"/>
        <v/>
      </c>
      <c r="L143" s="188" t="str">
        <f t="shared" si="15"/>
        <v/>
      </c>
      <c r="M143" s="203" t="str">
        <f>IF($H143="USD",IF(OR($L143="",$L143="-"),"",VLOOKUP($G143,為替!$A:$AX,$L143,FALSE))+$K$3,IF(OR($L143="",$L143="-"),"",VLOOKUP($G143,為替!$A:$AX,$L143,FALSE)))</f>
        <v/>
      </c>
      <c r="N143" s="204" t="str">
        <f t="shared" si="16"/>
        <v/>
      </c>
      <c r="O143" s="205" t="str">
        <f t="shared" si="12"/>
        <v/>
      </c>
      <c r="P143" s="206" t="str">
        <f t="shared" si="17"/>
        <v/>
      </c>
    </row>
    <row r="144" spans="3:16" x14ac:dyDescent="0.4">
      <c r="C144" s="199"/>
      <c r="D144" s="200"/>
      <c r="E144" s="201"/>
      <c r="F144" s="199"/>
      <c r="H144" s="202"/>
      <c r="I144" s="185" t="str">
        <f t="shared" si="13"/>
        <v/>
      </c>
      <c r="J144" s="203" t="str">
        <f>IF($H144="USD",IF(OR($I144="",$I144="-"),"",VLOOKUP($G144,為替!$A:$AX,$I144,FALSE))+$J$3,IF(OR($I144="",$I144="-"),"",VLOOKUP($G144,為替!$A:$AX,$I144,FALSE)))</f>
        <v/>
      </c>
      <c r="K144" s="204" t="str">
        <f t="shared" si="14"/>
        <v/>
      </c>
      <c r="L144" s="188" t="str">
        <f t="shared" si="15"/>
        <v/>
      </c>
      <c r="M144" s="203" t="str">
        <f>IF($H144="USD",IF(OR($L144="",$L144="-"),"",VLOOKUP($G144,為替!$A:$AX,$L144,FALSE))+$K$3,IF(OR($L144="",$L144="-"),"",VLOOKUP($G144,為替!$A:$AX,$L144,FALSE)))</f>
        <v/>
      </c>
      <c r="N144" s="204" t="str">
        <f t="shared" si="16"/>
        <v/>
      </c>
      <c r="O144" s="205" t="str">
        <f t="shared" si="12"/>
        <v/>
      </c>
      <c r="P144" s="206" t="str">
        <f t="shared" si="17"/>
        <v/>
      </c>
    </row>
    <row r="145" spans="3:16" x14ac:dyDescent="0.4">
      <c r="C145" s="199"/>
      <c r="D145" s="200"/>
      <c r="E145" s="201"/>
      <c r="F145" s="199"/>
      <c r="H145" s="202"/>
      <c r="I145" s="185" t="str">
        <f t="shared" si="13"/>
        <v/>
      </c>
      <c r="J145" s="203" t="str">
        <f>IF($H145="USD",IF(OR($I145="",$I145="-"),"",VLOOKUP($G145,為替!$A:$AX,$I145,FALSE))+$J$3,IF(OR($I145="",$I145="-"),"",VLOOKUP($G145,為替!$A:$AX,$I145,FALSE)))</f>
        <v/>
      </c>
      <c r="K145" s="204" t="str">
        <f t="shared" si="14"/>
        <v/>
      </c>
      <c r="L145" s="188" t="str">
        <f t="shared" si="15"/>
        <v/>
      </c>
      <c r="M145" s="203" t="str">
        <f>IF($H145="USD",IF(OR($L145="",$L145="-"),"",VLOOKUP($G145,為替!$A:$AX,$L145,FALSE))+$K$3,IF(OR($L145="",$L145="-"),"",VLOOKUP($G145,為替!$A:$AX,$L145,FALSE)))</f>
        <v/>
      </c>
      <c r="N145" s="204" t="str">
        <f t="shared" si="16"/>
        <v/>
      </c>
      <c r="O145" s="205" t="str">
        <f t="shared" si="12"/>
        <v/>
      </c>
      <c r="P145" s="206" t="str">
        <f t="shared" si="17"/>
        <v/>
      </c>
    </row>
    <row r="146" spans="3:16" x14ac:dyDescent="0.4">
      <c r="C146" s="199"/>
      <c r="D146" s="200"/>
      <c r="E146" s="201"/>
      <c r="F146" s="199"/>
      <c r="H146" s="202"/>
      <c r="I146" s="185" t="str">
        <f t="shared" si="13"/>
        <v/>
      </c>
      <c r="J146" s="203" t="str">
        <f>IF($H146="USD",IF(OR($I146="",$I146="-"),"",VLOOKUP($G146,為替!$A:$AX,$I146,FALSE))+$J$3,IF(OR($I146="",$I146="-"),"",VLOOKUP($G146,為替!$A:$AX,$I146,FALSE)))</f>
        <v/>
      </c>
      <c r="K146" s="204" t="str">
        <f t="shared" si="14"/>
        <v/>
      </c>
      <c r="L146" s="188" t="str">
        <f t="shared" si="15"/>
        <v/>
      </c>
      <c r="M146" s="203" t="str">
        <f>IF($H146="USD",IF(OR($L146="",$L146="-"),"",VLOOKUP($G146,為替!$A:$AX,$L146,FALSE))+$K$3,IF(OR($L146="",$L146="-"),"",VLOOKUP($G146,為替!$A:$AX,$L146,FALSE)))</f>
        <v/>
      </c>
      <c r="N146" s="204" t="str">
        <f t="shared" si="16"/>
        <v/>
      </c>
      <c r="O146" s="205" t="str">
        <f t="shared" si="12"/>
        <v/>
      </c>
      <c r="P146" s="206" t="str">
        <f t="shared" si="17"/>
        <v/>
      </c>
    </row>
    <row r="147" spans="3:16" x14ac:dyDescent="0.4">
      <c r="C147" s="199"/>
      <c r="D147" s="200"/>
      <c r="E147" s="201"/>
      <c r="F147" s="199"/>
      <c r="H147" s="202"/>
      <c r="I147" s="185" t="str">
        <f t="shared" si="13"/>
        <v/>
      </c>
      <c r="J147" s="203" t="str">
        <f>IF($H147="USD",IF(OR($I147="",$I147="-"),"",VLOOKUP($G147,為替!$A:$AX,$I147,FALSE))+$J$3,IF(OR($I147="",$I147="-"),"",VLOOKUP($G147,為替!$A:$AX,$I147,FALSE)))</f>
        <v/>
      </c>
      <c r="K147" s="204" t="str">
        <f t="shared" si="14"/>
        <v/>
      </c>
      <c r="L147" s="188" t="str">
        <f t="shared" si="15"/>
        <v/>
      </c>
      <c r="M147" s="203" t="str">
        <f>IF($H147="USD",IF(OR($L147="",$L147="-"),"",VLOOKUP($G147,為替!$A:$AX,$L147,FALSE))+$K$3,IF(OR($L147="",$L147="-"),"",VLOOKUP($G147,為替!$A:$AX,$L147,FALSE)))</f>
        <v/>
      </c>
      <c r="N147" s="204" t="str">
        <f t="shared" si="16"/>
        <v/>
      </c>
      <c r="O147" s="205" t="str">
        <f t="shared" si="12"/>
        <v/>
      </c>
      <c r="P147" s="206" t="str">
        <f t="shared" si="17"/>
        <v/>
      </c>
    </row>
    <row r="148" spans="3:16" x14ac:dyDescent="0.4">
      <c r="C148" s="199"/>
      <c r="D148" s="200"/>
      <c r="E148" s="201"/>
      <c r="F148" s="199"/>
      <c r="H148" s="202"/>
      <c r="I148" s="185" t="str">
        <f t="shared" si="13"/>
        <v/>
      </c>
      <c r="J148" s="203" t="str">
        <f>IF($H148="USD",IF(OR($I148="",$I148="-"),"",VLOOKUP($G148,為替!$A:$AX,$I148,FALSE))+$J$3,IF(OR($I148="",$I148="-"),"",VLOOKUP($G148,為替!$A:$AX,$I148,FALSE)))</f>
        <v/>
      </c>
      <c r="K148" s="204" t="str">
        <f t="shared" si="14"/>
        <v/>
      </c>
      <c r="L148" s="188" t="str">
        <f t="shared" si="15"/>
        <v/>
      </c>
      <c r="M148" s="203" t="str">
        <f>IF($H148="USD",IF(OR($L148="",$L148="-"),"",VLOOKUP($G148,為替!$A:$AX,$L148,FALSE))+$K$3,IF(OR($L148="",$L148="-"),"",VLOOKUP($G148,為替!$A:$AX,$L148,FALSE)))</f>
        <v/>
      </c>
      <c r="N148" s="204" t="str">
        <f t="shared" si="16"/>
        <v/>
      </c>
      <c r="O148" s="205" t="str">
        <f t="shared" si="12"/>
        <v/>
      </c>
      <c r="P148" s="206" t="str">
        <f t="shared" si="17"/>
        <v/>
      </c>
    </row>
    <row r="149" spans="3:16" x14ac:dyDescent="0.4">
      <c r="C149" s="199"/>
      <c r="D149" s="200"/>
      <c r="E149" s="201"/>
      <c r="F149" s="199"/>
      <c r="H149" s="202"/>
      <c r="I149" s="185" t="str">
        <f t="shared" si="13"/>
        <v/>
      </c>
      <c r="J149" s="203" t="str">
        <f>IF($H149="USD",IF(OR($I149="",$I149="-"),"",VLOOKUP($G149,為替!$A:$AX,$I149,FALSE))+$J$3,IF(OR($I149="",$I149="-"),"",VLOOKUP($G149,為替!$A:$AX,$I149,FALSE)))</f>
        <v/>
      </c>
      <c r="K149" s="204" t="str">
        <f t="shared" si="14"/>
        <v/>
      </c>
      <c r="L149" s="188" t="str">
        <f t="shared" si="15"/>
        <v/>
      </c>
      <c r="M149" s="203" t="str">
        <f>IF($H149="USD",IF(OR($L149="",$L149="-"),"",VLOOKUP($G149,為替!$A:$AX,$L149,FALSE))+$K$3,IF(OR($L149="",$L149="-"),"",VLOOKUP($G149,為替!$A:$AX,$L149,FALSE)))</f>
        <v/>
      </c>
      <c r="N149" s="204" t="str">
        <f t="shared" si="16"/>
        <v/>
      </c>
      <c r="O149" s="205" t="str">
        <f t="shared" si="12"/>
        <v/>
      </c>
      <c r="P149" s="206" t="str">
        <f t="shared" si="17"/>
        <v/>
      </c>
    </row>
    <row r="150" spans="3:16" x14ac:dyDescent="0.4">
      <c r="C150" s="199"/>
      <c r="D150" s="200"/>
      <c r="E150" s="201"/>
      <c r="F150" s="199"/>
      <c r="H150" s="202"/>
      <c r="I150" s="185" t="str">
        <f t="shared" si="13"/>
        <v/>
      </c>
      <c r="J150" s="203" t="str">
        <f>IF($H150="USD",IF(OR($I150="",$I150="-"),"",VLOOKUP($G150,為替!$A:$AX,$I150,FALSE))+$J$3,IF(OR($I150="",$I150="-"),"",VLOOKUP($G150,為替!$A:$AX,$I150,FALSE)))</f>
        <v/>
      </c>
      <c r="K150" s="204" t="str">
        <f t="shared" si="14"/>
        <v/>
      </c>
      <c r="L150" s="188" t="str">
        <f t="shared" si="15"/>
        <v/>
      </c>
      <c r="M150" s="203" t="str">
        <f>IF($H150="USD",IF(OR($L150="",$L150="-"),"",VLOOKUP($G150,為替!$A:$AX,$L150,FALSE))+$K$3,IF(OR($L150="",$L150="-"),"",VLOOKUP($G150,為替!$A:$AX,$L150,FALSE)))</f>
        <v/>
      </c>
      <c r="N150" s="204" t="str">
        <f t="shared" si="16"/>
        <v/>
      </c>
      <c r="O150" s="205" t="str">
        <f t="shared" si="12"/>
        <v/>
      </c>
      <c r="P150" s="206" t="str">
        <f t="shared" si="17"/>
        <v/>
      </c>
    </row>
    <row r="151" spans="3:16" x14ac:dyDescent="0.4">
      <c r="C151" s="199"/>
      <c r="D151" s="200"/>
      <c r="E151" s="201"/>
      <c r="F151" s="199"/>
      <c r="H151" s="202"/>
      <c r="I151" s="185" t="str">
        <f t="shared" si="13"/>
        <v/>
      </c>
      <c r="J151" s="203" t="str">
        <f>IF($H151="USD",IF(OR($I151="",$I151="-"),"",VLOOKUP($G151,為替!$A:$AX,$I151,FALSE))+$J$3,IF(OR($I151="",$I151="-"),"",VLOOKUP($G151,為替!$A:$AX,$I151,FALSE)))</f>
        <v/>
      </c>
      <c r="K151" s="204" t="str">
        <f t="shared" si="14"/>
        <v/>
      </c>
      <c r="L151" s="188" t="str">
        <f t="shared" si="15"/>
        <v/>
      </c>
      <c r="M151" s="203" t="str">
        <f>IF($H151="USD",IF(OR($L151="",$L151="-"),"",VLOOKUP($G151,為替!$A:$AX,$L151,FALSE))+$K$3,IF(OR($L151="",$L151="-"),"",VLOOKUP($G151,為替!$A:$AX,$L151,FALSE)))</f>
        <v/>
      </c>
      <c r="N151" s="204" t="str">
        <f t="shared" si="16"/>
        <v/>
      </c>
      <c r="O151" s="205" t="str">
        <f t="shared" si="12"/>
        <v/>
      </c>
      <c r="P151" s="206" t="str">
        <f t="shared" si="17"/>
        <v/>
      </c>
    </row>
    <row r="152" spans="3:16" x14ac:dyDescent="0.4">
      <c r="C152" s="199"/>
      <c r="D152" s="200"/>
      <c r="E152" s="201"/>
      <c r="F152" s="199"/>
      <c r="H152" s="202"/>
      <c r="I152" s="185" t="str">
        <f t="shared" si="13"/>
        <v/>
      </c>
      <c r="J152" s="203" t="str">
        <f>IF($H152="USD",IF(OR($I152="",$I152="-"),"",VLOOKUP($G152,為替!$A:$AX,$I152,FALSE))+$J$3,IF(OR($I152="",$I152="-"),"",VLOOKUP($G152,為替!$A:$AX,$I152,FALSE)))</f>
        <v/>
      </c>
      <c r="K152" s="204" t="str">
        <f t="shared" si="14"/>
        <v/>
      </c>
      <c r="L152" s="188" t="str">
        <f t="shared" si="15"/>
        <v/>
      </c>
      <c r="M152" s="203" t="str">
        <f>IF($H152="USD",IF(OR($L152="",$L152="-"),"",VLOOKUP($G152,為替!$A:$AX,$L152,FALSE))+$K$3,IF(OR($L152="",$L152="-"),"",VLOOKUP($G152,為替!$A:$AX,$L152,FALSE)))</f>
        <v/>
      </c>
      <c r="N152" s="204" t="str">
        <f t="shared" si="16"/>
        <v/>
      </c>
      <c r="O152" s="205" t="str">
        <f t="shared" si="12"/>
        <v/>
      </c>
      <c r="P152" s="206" t="str">
        <f t="shared" si="17"/>
        <v/>
      </c>
    </row>
    <row r="153" spans="3:16" x14ac:dyDescent="0.4">
      <c r="C153" s="199"/>
      <c r="D153" s="200"/>
      <c r="E153" s="201"/>
      <c r="F153" s="199"/>
      <c r="H153" s="202"/>
      <c r="I153" s="185" t="str">
        <f t="shared" si="13"/>
        <v/>
      </c>
      <c r="J153" s="203" t="str">
        <f>IF($H153="USD",IF(OR($I153="",$I153="-"),"",VLOOKUP($G153,為替!$A:$AX,$I153,FALSE))+$J$3,IF(OR($I153="",$I153="-"),"",VLOOKUP($G153,為替!$A:$AX,$I153,FALSE)))</f>
        <v/>
      </c>
      <c r="K153" s="204" t="str">
        <f t="shared" si="14"/>
        <v/>
      </c>
      <c r="L153" s="188" t="str">
        <f t="shared" si="15"/>
        <v/>
      </c>
      <c r="M153" s="203" t="str">
        <f>IF($H153="USD",IF(OR($L153="",$L153="-"),"",VLOOKUP($G153,為替!$A:$AX,$L153,FALSE))+$K$3,IF(OR($L153="",$L153="-"),"",VLOOKUP($G153,為替!$A:$AX,$L153,FALSE)))</f>
        <v/>
      </c>
      <c r="N153" s="204" t="str">
        <f t="shared" si="16"/>
        <v/>
      </c>
      <c r="O153" s="205" t="str">
        <f t="shared" si="12"/>
        <v/>
      </c>
      <c r="P153" s="206" t="str">
        <f t="shared" si="17"/>
        <v/>
      </c>
    </row>
    <row r="154" spans="3:16" x14ac:dyDescent="0.4">
      <c r="C154" s="199"/>
      <c r="D154" s="200"/>
      <c r="E154" s="201"/>
      <c r="F154" s="199"/>
      <c r="H154" s="202"/>
      <c r="I154" s="185" t="str">
        <f t="shared" si="13"/>
        <v/>
      </c>
      <c r="J154" s="203" t="str">
        <f>IF($H154="USD",IF(OR($I154="",$I154="-"),"",VLOOKUP($G154,為替!$A:$AX,$I154,FALSE))+$J$3,IF(OR($I154="",$I154="-"),"",VLOOKUP($G154,為替!$A:$AX,$I154,FALSE)))</f>
        <v/>
      </c>
      <c r="K154" s="204" t="str">
        <f t="shared" si="14"/>
        <v/>
      </c>
      <c r="L154" s="188" t="str">
        <f t="shared" si="15"/>
        <v/>
      </c>
      <c r="M154" s="203" t="str">
        <f>IF($H154="USD",IF(OR($L154="",$L154="-"),"",VLOOKUP($G154,為替!$A:$AX,$L154,FALSE))+$K$3,IF(OR($L154="",$L154="-"),"",VLOOKUP($G154,為替!$A:$AX,$L154,FALSE)))</f>
        <v/>
      </c>
      <c r="N154" s="204" t="str">
        <f t="shared" si="16"/>
        <v/>
      </c>
      <c r="O154" s="205" t="str">
        <f t="shared" si="12"/>
        <v/>
      </c>
      <c r="P154" s="206" t="str">
        <f t="shared" si="17"/>
        <v/>
      </c>
    </row>
    <row r="155" spans="3:16" x14ac:dyDescent="0.4">
      <c r="C155" s="199"/>
      <c r="D155" s="200"/>
      <c r="E155" s="201"/>
      <c r="F155" s="199"/>
      <c r="H155" s="202"/>
      <c r="I155" s="185" t="str">
        <f t="shared" si="13"/>
        <v/>
      </c>
      <c r="J155" s="203" t="str">
        <f>IF($H155="USD",IF(OR($I155="",$I155="-"),"",VLOOKUP($G155,為替!$A:$AX,$I155,FALSE))+$J$3,IF(OR($I155="",$I155="-"),"",VLOOKUP($G155,為替!$A:$AX,$I155,FALSE)))</f>
        <v/>
      </c>
      <c r="K155" s="204" t="str">
        <f t="shared" si="14"/>
        <v/>
      </c>
      <c r="L155" s="188" t="str">
        <f t="shared" si="15"/>
        <v/>
      </c>
      <c r="M155" s="203" t="str">
        <f>IF($H155="USD",IF(OR($L155="",$L155="-"),"",VLOOKUP($G155,為替!$A:$AX,$L155,FALSE))+$K$3,IF(OR($L155="",$L155="-"),"",VLOOKUP($G155,為替!$A:$AX,$L155,FALSE)))</f>
        <v/>
      </c>
      <c r="N155" s="204" t="str">
        <f t="shared" si="16"/>
        <v/>
      </c>
      <c r="O155" s="205" t="str">
        <f t="shared" si="12"/>
        <v/>
      </c>
      <c r="P155" s="206" t="str">
        <f t="shared" si="17"/>
        <v/>
      </c>
    </row>
    <row r="156" spans="3:16" x14ac:dyDescent="0.4">
      <c r="C156" s="199"/>
      <c r="D156" s="200"/>
      <c r="E156" s="201"/>
      <c r="F156" s="199"/>
      <c r="H156" s="202"/>
      <c r="I156" s="185" t="str">
        <f t="shared" si="13"/>
        <v/>
      </c>
      <c r="J156" s="203" t="str">
        <f>IF($H156="USD",IF(OR($I156="",$I156="-"),"",VLOOKUP($G156,為替!$A:$AX,$I156,FALSE))+$J$3,IF(OR($I156="",$I156="-"),"",VLOOKUP($G156,為替!$A:$AX,$I156,FALSE)))</f>
        <v/>
      </c>
      <c r="K156" s="204" t="str">
        <f t="shared" si="14"/>
        <v/>
      </c>
      <c r="L156" s="188" t="str">
        <f t="shared" si="15"/>
        <v/>
      </c>
      <c r="M156" s="203" t="str">
        <f>IF($H156="USD",IF(OR($L156="",$L156="-"),"",VLOOKUP($G156,為替!$A:$AX,$L156,FALSE))+$K$3,IF(OR($L156="",$L156="-"),"",VLOOKUP($G156,為替!$A:$AX,$L156,FALSE)))</f>
        <v/>
      </c>
      <c r="N156" s="204" t="str">
        <f t="shared" si="16"/>
        <v/>
      </c>
      <c r="O156" s="205" t="str">
        <f t="shared" si="12"/>
        <v/>
      </c>
      <c r="P156" s="206" t="str">
        <f t="shared" si="17"/>
        <v/>
      </c>
    </row>
    <row r="157" spans="3:16" x14ac:dyDescent="0.4">
      <c r="C157" s="199"/>
      <c r="D157" s="200"/>
      <c r="E157" s="201"/>
      <c r="F157" s="199"/>
      <c r="H157" s="202"/>
      <c r="I157" s="185" t="str">
        <f t="shared" si="13"/>
        <v/>
      </c>
      <c r="J157" s="203" t="str">
        <f>IF($H157="USD",IF(OR($I157="",$I157="-"),"",VLOOKUP($G157,為替!$A:$AX,$I157,FALSE))+$J$3,IF(OR($I157="",$I157="-"),"",VLOOKUP($G157,為替!$A:$AX,$I157,FALSE)))</f>
        <v/>
      </c>
      <c r="K157" s="204" t="str">
        <f t="shared" si="14"/>
        <v/>
      </c>
      <c r="L157" s="188" t="str">
        <f t="shared" si="15"/>
        <v/>
      </c>
      <c r="M157" s="203" t="str">
        <f>IF($H157="USD",IF(OR($L157="",$L157="-"),"",VLOOKUP($G157,為替!$A:$AX,$L157,FALSE))+$K$3,IF(OR($L157="",$L157="-"),"",VLOOKUP($G157,為替!$A:$AX,$L157,FALSE)))</f>
        <v/>
      </c>
      <c r="N157" s="204" t="str">
        <f t="shared" si="16"/>
        <v/>
      </c>
      <c r="O157" s="205" t="str">
        <f t="shared" si="12"/>
        <v/>
      </c>
      <c r="P157" s="206" t="str">
        <f t="shared" si="17"/>
        <v/>
      </c>
    </row>
    <row r="158" spans="3:16" x14ac:dyDescent="0.4">
      <c r="C158" s="199"/>
      <c r="D158" s="200"/>
      <c r="E158" s="201"/>
      <c r="F158" s="199"/>
      <c r="H158" s="202"/>
      <c r="I158" s="185" t="str">
        <f t="shared" si="13"/>
        <v/>
      </c>
      <c r="J158" s="203" t="str">
        <f>IF($H158="USD",IF(OR($I158="",$I158="-"),"",VLOOKUP($G158,為替!$A:$AX,$I158,FALSE))+$J$3,IF(OR($I158="",$I158="-"),"",VLOOKUP($G158,為替!$A:$AX,$I158,FALSE)))</f>
        <v/>
      </c>
      <c r="K158" s="204" t="str">
        <f t="shared" si="14"/>
        <v/>
      </c>
      <c r="L158" s="188" t="str">
        <f t="shared" si="15"/>
        <v/>
      </c>
      <c r="M158" s="203" t="str">
        <f>IF($H158="USD",IF(OR($L158="",$L158="-"),"",VLOOKUP($G158,為替!$A:$AX,$L158,FALSE))+$K$3,IF(OR($L158="",$L158="-"),"",VLOOKUP($G158,為替!$A:$AX,$L158,FALSE)))</f>
        <v/>
      </c>
      <c r="N158" s="204" t="str">
        <f t="shared" si="16"/>
        <v/>
      </c>
      <c r="O158" s="205" t="str">
        <f t="shared" si="12"/>
        <v/>
      </c>
      <c r="P158" s="206" t="str">
        <f t="shared" si="17"/>
        <v/>
      </c>
    </row>
    <row r="159" spans="3:16" x14ac:dyDescent="0.4">
      <c r="C159" s="199"/>
      <c r="D159" s="200"/>
      <c r="E159" s="201"/>
      <c r="F159" s="199"/>
      <c r="H159" s="202"/>
      <c r="I159" s="185" t="str">
        <f t="shared" si="13"/>
        <v/>
      </c>
      <c r="J159" s="203" t="str">
        <f>IF($H159="USD",IF(OR($I159="",$I159="-"),"",VLOOKUP($G159,為替!$A:$AX,$I159,FALSE))+$J$3,IF(OR($I159="",$I159="-"),"",VLOOKUP($G159,為替!$A:$AX,$I159,FALSE)))</f>
        <v/>
      </c>
      <c r="K159" s="204" t="str">
        <f t="shared" si="14"/>
        <v/>
      </c>
      <c r="L159" s="188" t="str">
        <f t="shared" si="15"/>
        <v/>
      </c>
      <c r="M159" s="203" t="str">
        <f>IF($H159="USD",IF(OR($L159="",$L159="-"),"",VLOOKUP($G159,為替!$A:$AX,$L159,FALSE))+$K$3,IF(OR($L159="",$L159="-"),"",VLOOKUP($G159,為替!$A:$AX,$L159,FALSE)))</f>
        <v/>
      </c>
      <c r="N159" s="204" t="str">
        <f t="shared" si="16"/>
        <v/>
      </c>
      <c r="O159" s="205" t="str">
        <f t="shared" si="12"/>
        <v/>
      </c>
      <c r="P159" s="206" t="str">
        <f t="shared" si="17"/>
        <v/>
      </c>
    </row>
    <row r="160" spans="3:16" x14ac:dyDescent="0.4">
      <c r="C160" s="199"/>
      <c r="D160" s="200"/>
      <c r="E160" s="201"/>
      <c r="F160" s="199"/>
      <c r="H160" s="202"/>
      <c r="I160" s="185" t="str">
        <f t="shared" si="13"/>
        <v/>
      </c>
      <c r="J160" s="203" t="str">
        <f>IF($H160="USD",IF(OR($I160="",$I160="-"),"",VLOOKUP($G160,為替!$A:$AX,$I160,FALSE))+$J$3,IF(OR($I160="",$I160="-"),"",VLOOKUP($G160,為替!$A:$AX,$I160,FALSE)))</f>
        <v/>
      </c>
      <c r="K160" s="204" t="str">
        <f t="shared" si="14"/>
        <v/>
      </c>
      <c r="L160" s="188" t="str">
        <f t="shared" si="15"/>
        <v/>
      </c>
      <c r="M160" s="203" t="str">
        <f>IF($H160="USD",IF(OR($L160="",$L160="-"),"",VLOOKUP($G160,為替!$A:$AX,$L160,FALSE))+$K$3,IF(OR($L160="",$L160="-"),"",VLOOKUP($G160,為替!$A:$AX,$L160,FALSE)))</f>
        <v/>
      </c>
      <c r="N160" s="204" t="str">
        <f t="shared" si="16"/>
        <v/>
      </c>
      <c r="O160" s="205" t="str">
        <f t="shared" si="12"/>
        <v/>
      </c>
      <c r="P160" s="206" t="str">
        <f t="shared" si="17"/>
        <v/>
      </c>
    </row>
    <row r="161" spans="3:16" x14ac:dyDescent="0.4">
      <c r="C161" s="199"/>
      <c r="D161" s="200"/>
      <c r="E161" s="201"/>
      <c r="F161" s="199"/>
      <c r="H161" s="202"/>
      <c r="I161" s="185" t="str">
        <f t="shared" si="13"/>
        <v/>
      </c>
      <c r="J161" s="203" t="str">
        <f>IF($H161="USD",IF(OR($I161="",$I161="-"),"",VLOOKUP($G161,為替!$A:$AX,$I161,FALSE))+$J$3,IF(OR($I161="",$I161="-"),"",VLOOKUP($G161,為替!$A:$AX,$I161,FALSE)))</f>
        <v/>
      </c>
      <c r="K161" s="204" t="str">
        <f t="shared" si="14"/>
        <v/>
      </c>
      <c r="L161" s="188" t="str">
        <f t="shared" si="15"/>
        <v/>
      </c>
      <c r="M161" s="203" t="str">
        <f>IF($H161="USD",IF(OR($L161="",$L161="-"),"",VLOOKUP($G161,為替!$A:$AX,$L161,FALSE))+$K$3,IF(OR($L161="",$L161="-"),"",VLOOKUP($G161,為替!$A:$AX,$L161,FALSE)))</f>
        <v/>
      </c>
      <c r="N161" s="204" t="str">
        <f t="shared" si="16"/>
        <v/>
      </c>
      <c r="O161" s="205" t="str">
        <f t="shared" si="12"/>
        <v/>
      </c>
      <c r="P161" s="206" t="str">
        <f t="shared" si="17"/>
        <v/>
      </c>
    </row>
    <row r="162" spans="3:16" x14ac:dyDescent="0.4">
      <c r="C162" s="199"/>
      <c r="D162" s="200"/>
      <c r="E162" s="201"/>
      <c r="F162" s="199"/>
      <c r="H162" s="202"/>
      <c r="I162" s="185" t="str">
        <f t="shared" si="13"/>
        <v/>
      </c>
      <c r="J162" s="203" t="str">
        <f>IF($H162="USD",IF(OR($I162="",$I162="-"),"",VLOOKUP($G162,為替!$A:$AX,$I162,FALSE))+$J$3,IF(OR($I162="",$I162="-"),"",VLOOKUP($G162,為替!$A:$AX,$I162,FALSE)))</f>
        <v/>
      </c>
      <c r="K162" s="204" t="str">
        <f t="shared" si="14"/>
        <v/>
      </c>
      <c r="L162" s="188" t="str">
        <f t="shared" si="15"/>
        <v/>
      </c>
      <c r="M162" s="203" t="str">
        <f>IF($H162="USD",IF(OR($L162="",$L162="-"),"",VLOOKUP($G162,為替!$A:$AX,$L162,FALSE))+$K$3,IF(OR($L162="",$L162="-"),"",VLOOKUP($G162,為替!$A:$AX,$L162,FALSE)))</f>
        <v/>
      </c>
      <c r="N162" s="204" t="str">
        <f t="shared" si="16"/>
        <v/>
      </c>
      <c r="O162" s="205" t="str">
        <f t="shared" si="12"/>
        <v/>
      </c>
      <c r="P162" s="206" t="str">
        <f t="shared" si="17"/>
        <v/>
      </c>
    </row>
    <row r="163" spans="3:16" x14ac:dyDescent="0.4">
      <c r="C163" s="199"/>
      <c r="D163" s="200"/>
      <c r="E163" s="201"/>
      <c r="F163" s="199"/>
      <c r="H163" s="202"/>
      <c r="I163" s="185" t="str">
        <f t="shared" si="13"/>
        <v/>
      </c>
      <c r="J163" s="203" t="str">
        <f>IF($H163="USD",IF(OR($I163="",$I163="-"),"",VLOOKUP($G163,為替!$A:$AX,$I163,FALSE))+$J$3,IF(OR($I163="",$I163="-"),"",VLOOKUP($G163,為替!$A:$AX,$I163,FALSE)))</f>
        <v/>
      </c>
      <c r="K163" s="204" t="str">
        <f t="shared" si="14"/>
        <v/>
      </c>
      <c r="L163" s="188" t="str">
        <f t="shared" si="15"/>
        <v/>
      </c>
      <c r="M163" s="203" t="str">
        <f>IF($H163="USD",IF(OR($L163="",$L163="-"),"",VLOOKUP($G163,為替!$A:$AX,$L163,FALSE))+$K$3,IF(OR($L163="",$L163="-"),"",VLOOKUP($G163,為替!$A:$AX,$L163,FALSE)))</f>
        <v/>
      </c>
      <c r="N163" s="204" t="str">
        <f t="shared" si="16"/>
        <v/>
      </c>
      <c r="O163" s="205" t="str">
        <f t="shared" si="12"/>
        <v/>
      </c>
      <c r="P163" s="206" t="str">
        <f t="shared" si="17"/>
        <v/>
      </c>
    </row>
    <row r="164" spans="3:16" x14ac:dyDescent="0.4">
      <c r="C164" s="199"/>
      <c r="D164" s="200"/>
      <c r="E164" s="201"/>
      <c r="F164" s="199"/>
      <c r="H164" s="202"/>
      <c r="I164" s="185" t="str">
        <f t="shared" si="13"/>
        <v/>
      </c>
      <c r="J164" s="203" t="str">
        <f>IF($H164="USD",IF(OR($I164="",$I164="-"),"",VLOOKUP($G164,為替!$A:$AX,$I164,FALSE))+$J$3,IF(OR($I164="",$I164="-"),"",VLOOKUP($G164,為替!$A:$AX,$I164,FALSE)))</f>
        <v/>
      </c>
      <c r="K164" s="204" t="str">
        <f t="shared" si="14"/>
        <v/>
      </c>
      <c r="L164" s="188" t="str">
        <f t="shared" si="15"/>
        <v/>
      </c>
      <c r="M164" s="203" t="str">
        <f>IF($H164="USD",IF(OR($L164="",$L164="-"),"",VLOOKUP($G164,為替!$A:$AX,$L164,FALSE))+$K$3,IF(OR($L164="",$L164="-"),"",VLOOKUP($G164,為替!$A:$AX,$L164,FALSE)))</f>
        <v/>
      </c>
      <c r="N164" s="204" t="str">
        <f t="shared" si="16"/>
        <v/>
      </c>
      <c r="O164" s="205" t="str">
        <f t="shared" si="12"/>
        <v/>
      </c>
      <c r="P164" s="206" t="str">
        <f t="shared" si="17"/>
        <v/>
      </c>
    </row>
    <row r="165" spans="3:16" x14ac:dyDescent="0.4">
      <c r="C165" s="199"/>
      <c r="D165" s="200"/>
      <c r="E165" s="201"/>
      <c r="F165" s="199"/>
      <c r="H165" s="202"/>
      <c r="I165" s="185" t="str">
        <f t="shared" si="13"/>
        <v/>
      </c>
      <c r="J165" s="203" t="str">
        <f>IF($H165="USD",IF(OR($I165="",$I165="-"),"",VLOOKUP($G165,為替!$A:$AX,$I165,FALSE))+$J$3,IF(OR($I165="",$I165="-"),"",VLOOKUP($G165,為替!$A:$AX,$I165,FALSE)))</f>
        <v/>
      </c>
      <c r="K165" s="204" t="str">
        <f t="shared" si="14"/>
        <v/>
      </c>
      <c r="L165" s="188" t="str">
        <f t="shared" si="15"/>
        <v/>
      </c>
      <c r="M165" s="203" t="str">
        <f>IF($H165="USD",IF(OR($L165="",$L165="-"),"",VLOOKUP($G165,為替!$A:$AX,$L165,FALSE))+$K$3,IF(OR($L165="",$L165="-"),"",VLOOKUP($G165,為替!$A:$AX,$L165,FALSE)))</f>
        <v/>
      </c>
      <c r="N165" s="204" t="str">
        <f t="shared" si="16"/>
        <v/>
      </c>
      <c r="O165" s="205" t="str">
        <f t="shared" si="12"/>
        <v/>
      </c>
      <c r="P165" s="206" t="str">
        <f t="shared" si="17"/>
        <v/>
      </c>
    </row>
    <row r="166" spans="3:16" x14ac:dyDescent="0.4">
      <c r="C166" s="199"/>
      <c r="D166" s="200"/>
      <c r="E166" s="201"/>
      <c r="F166" s="199"/>
      <c r="H166" s="202"/>
      <c r="I166" s="185" t="str">
        <f t="shared" si="13"/>
        <v/>
      </c>
      <c r="J166" s="203" t="str">
        <f>IF($H166="USD",IF(OR($I166="",$I166="-"),"",VLOOKUP($G166,為替!$A:$AX,$I166,FALSE))+$J$3,IF(OR($I166="",$I166="-"),"",VLOOKUP($G166,為替!$A:$AX,$I166,FALSE)))</f>
        <v/>
      </c>
      <c r="K166" s="204" t="str">
        <f t="shared" si="14"/>
        <v/>
      </c>
      <c r="L166" s="188" t="str">
        <f t="shared" si="15"/>
        <v/>
      </c>
      <c r="M166" s="203" t="str">
        <f>IF($H166="USD",IF(OR($L166="",$L166="-"),"",VLOOKUP($G166,為替!$A:$AX,$L166,FALSE))+$K$3,IF(OR($L166="",$L166="-"),"",VLOOKUP($G166,為替!$A:$AX,$L166,FALSE)))</f>
        <v/>
      </c>
      <c r="N166" s="204" t="str">
        <f t="shared" si="16"/>
        <v/>
      </c>
      <c r="O166" s="205" t="str">
        <f t="shared" si="12"/>
        <v/>
      </c>
      <c r="P166" s="206" t="str">
        <f t="shared" si="17"/>
        <v/>
      </c>
    </row>
    <row r="167" spans="3:16" x14ac:dyDescent="0.4">
      <c r="C167" s="199"/>
      <c r="D167" s="200"/>
      <c r="E167" s="201"/>
      <c r="F167" s="199"/>
      <c r="H167" s="202"/>
      <c r="I167" s="185" t="str">
        <f t="shared" si="13"/>
        <v/>
      </c>
      <c r="J167" s="203" t="str">
        <f>IF($H167="USD",IF(OR($I167="",$I167="-"),"",VLOOKUP($G167,為替!$A:$AX,$I167,FALSE))+$J$3,IF(OR($I167="",$I167="-"),"",VLOOKUP($G167,為替!$A:$AX,$I167,FALSE)))</f>
        <v/>
      </c>
      <c r="K167" s="204" t="str">
        <f t="shared" si="14"/>
        <v/>
      </c>
      <c r="L167" s="188" t="str">
        <f t="shared" si="15"/>
        <v/>
      </c>
      <c r="M167" s="203" t="str">
        <f>IF($H167="USD",IF(OR($L167="",$L167="-"),"",VLOOKUP($G167,為替!$A:$AX,$L167,FALSE))+$K$3,IF(OR($L167="",$L167="-"),"",VLOOKUP($G167,為替!$A:$AX,$L167,FALSE)))</f>
        <v/>
      </c>
      <c r="N167" s="204" t="str">
        <f t="shared" si="16"/>
        <v/>
      </c>
      <c r="O167" s="205" t="str">
        <f t="shared" si="12"/>
        <v/>
      </c>
      <c r="P167" s="206" t="str">
        <f t="shared" si="17"/>
        <v/>
      </c>
    </row>
    <row r="168" spans="3:16" x14ac:dyDescent="0.4">
      <c r="C168" s="199"/>
      <c r="D168" s="200"/>
      <c r="E168" s="201"/>
      <c r="F168" s="199"/>
      <c r="H168" s="202"/>
      <c r="I168" s="185" t="str">
        <f t="shared" si="13"/>
        <v/>
      </c>
      <c r="J168" s="203" t="str">
        <f>IF($H168="USD",IF(OR($I168="",$I168="-"),"",VLOOKUP($G168,為替!$A:$AX,$I168,FALSE))+$J$3,IF(OR($I168="",$I168="-"),"",VLOOKUP($G168,為替!$A:$AX,$I168,FALSE)))</f>
        <v/>
      </c>
      <c r="K168" s="204" t="str">
        <f t="shared" si="14"/>
        <v/>
      </c>
      <c r="L168" s="188" t="str">
        <f t="shared" si="15"/>
        <v/>
      </c>
      <c r="M168" s="203" t="str">
        <f>IF($H168="USD",IF(OR($L168="",$L168="-"),"",VLOOKUP($G168,為替!$A:$AX,$L168,FALSE))+$K$3,IF(OR($L168="",$L168="-"),"",VLOOKUP($G168,為替!$A:$AX,$L168,FALSE)))</f>
        <v/>
      </c>
      <c r="N168" s="204" t="str">
        <f t="shared" si="16"/>
        <v/>
      </c>
      <c r="O168" s="205" t="str">
        <f t="shared" si="12"/>
        <v/>
      </c>
      <c r="P168" s="206" t="str">
        <f t="shared" si="17"/>
        <v/>
      </c>
    </row>
    <row r="169" spans="3:16" x14ac:dyDescent="0.4">
      <c r="C169" s="199"/>
      <c r="D169" s="200"/>
      <c r="E169" s="201"/>
      <c r="F169" s="199"/>
      <c r="H169" s="202"/>
      <c r="I169" s="185" t="str">
        <f t="shared" si="13"/>
        <v/>
      </c>
      <c r="J169" s="203" t="str">
        <f>IF($H169="USD",IF(OR($I169="",$I169="-"),"",VLOOKUP($G169,為替!$A:$AX,$I169,FALSE))+$J$3,IF(OR($I169="",$I169="-"),"",VLOOKUP($G169,為替!$A:$AX,$I169,FALSE)))</f>
        <v/>
      </c>
      <c r="K169" s="204" t="str">
        <f t="shared" si="14"/>
        <v/>
      </c>
      <c r="L169" s="188" t="str">
        <f t="shared" si="15"/>
        <v/>
      </c>
      <c r="M169" s="203" t="str">
        <f>IF($H169="USD",IF(OR($L169="",$L169="-"),"",VLOOKUP($G169,為替!$A:$AX,$L169,FALSE))+$K$3,IF(OR($L169="",$L169="-"),"",VLOOKUP($G169,為替!$A:$AX,$L169,FALSE)))</f>
        <v/>
      </c>
      <c r="N169" s="204" t="str">
        <f t="shared" si="16"/>
        <v/>
      </c>
      <c r="O169" s="205" t="str">
        <f t="shared" si="12"/>
        <v/>
      </c>
      <c r="P169" s="206" t="str">
        <f t="shared" si="17"/>
        <v/>
      </c>
    </row>
    <row r="170" spans="3:16" x14ac:dyDescent="0.4">
      <c r="C170" s="199"/>
      <c r="D170" s="200"/>
      <c r="E170" s="201"/>
      <c r="F170" s="199"/>
      <c r="H170" s="202"/>
      <c r="I170" s="185" t="str">
        <f t="shared" si="13"/>
        <v/>
      </c>
      <c r="J170" s="203" t="str">
        <f>IF($H170="USD",IF(OR($I170="",$I170="-"),"",VLOOKUP($G170,為替!$A:$AX,$I170,FALSE))+$J$3,IF(OR($I170="",$I170="-"),"",VLOOKUP($G170,為替!$A:$AX,$I170,FALSE)))</f>
        <v/>
      </c>
      <c r="K170" s="204" t="str">
        <f t="shared" si="14"/>
        <v/>
      </c>
      <c r="L170" s="188" t="str">
        <f t="shared" si="15"/>
        <v/>
      </c>
      <c r="M170" s="203" t="str">
        <f>IF($H170="USD",IF(OR($L170="",$L170="-"),"",VLOOKUP($G170,為替!$A:$AX,$L170,FALSE))+$K$3,IF(OR($L170="",$L170="-"),"",VLOOKUP($G170,為替!$A:$AX,$L170,FALSE)))</f>
        <v/>
      </c>
      <c r="N170" s="204" t="str">
        <f t="shared" si="16"/>
        <v/>
      </c>
      <c r="O170" s="205" t="str">
        <f t="shared" si="12"/>
        <v/>
      </c>
      <c r="P170" s="206" t="str">
        <f t="shared" si="17"/>
        <v/>
      </c>
    </row>
    <row r="171" spans="3:16" x14ac:dyDescent="0.4">
      <c r="C171" s="199"/>
      <c r="D171" s="200"/>
      <c r="E171" s="201"/>
      <c r="F171" s="199"/>
      <c r="H171" s="202"/>
      <c r="I171" s="185" t="str">
        <f t="shared" si="13"/>
        <v/>
      </c>
      <c r="J171" s="203" t="str">
        <f>IF($H171="USD",IF(OR($I171="",$I171="-"),"",VLOOKUP($G171,為替!$A:$AX,$I171,FALSE))+$J$3,IF(OR($I171="",$I171="-"),"",VLOOKUP($G171,為替!$A:$AX,$I171,FALSE)))</f>
        <v/>
      </c>
      <c r="K171" s="204" t="str">
        <f t="shared" si="14"/>
        <v/>
      </c>
      <c r="L171" s="188" t="str">
        <f t="shared" si="15"/>
        <v/>
      </c>
      <c r="M171" s="203" t="str">
        <f>IF($H171="USD",IF(OR($L171="",$L171="-"),"",VLOOKUP($G171,為替!$A:$AX,$L171,FALSE))+$K$3,IF(OR($L171="",$L171="-"),"",VLOOKUP($G171,為替!$A:$AX,$L171,FALSE)))</f>
        <v/>
      </c>
      <c r="N171" s="204" t="str">
        <f t="shared" si="16"/>
        <v/>
      </c>
      <c r="O171" s="205" t="str">
        <f t="shared" si="12"/>
        <v/>
      </c>
      <c r="P171" s="206" t="str">
        <f t="shared" si="17"/>
        <v/>
      </c>
    </row>
    <row r="172" spans="3:16" x14ac:dyDescent="0.4">
      <c r="C172" s="199"/>
      <c r="D172" s="200"/>
      <c r="E172" s="201"/>
      <c r="F172" s="199"/>
      <c r="H172" s="202"/>
      <c r="I172" s="185" t="str">
        <f t="shared" si="13"/>
        <v/>
      </c>
      <c r="J172" s="203" t="str">
        <f>IF($H172="USD",IF(OR($I172="",$I172="-"),"",VLOOKUP($G172,為替!$A:$AX,$I172,FALSE))+$J$3,IF(OR($I172="",$I172="-"),"",VLOOKUP($G172,為替!$A:$AX,$I172,FALSE)))</f>
        <v/>
      </c>
      <c r="K172" s="204" t="str">
        <f t="shared" si="14"/>
        <v/>
      </c>
      <c r="L172" s="188" t="str">
        <f t="shared" si="15"/>
        <v/>
      </c>
      <c r="M172" s="203" t="str">
        <f>IF($H172="USD",IF(OR($L172="",$L172="-"),"",VLOOKUP($G172,為替!$A:$AX,$L172,FALSE))+$K$3,IF(OR($L172="",$L172="-"),"",VLOOKUP($G172,為替!$A:$AX,$L172,FALSE)))</f>
        <v/>
      </c>
      <c r="N172" s="204" t="str">
        <f t="shared" si="16"/>
        <v/>
      </c>
      <c r="O172" s="205" t="str">
        <f t="shared" si="12"/>
        <v/>
      </c>
      <c r="P172" s="206" t="str">
        <f t="shared" si="17"/>
        <v/>
      </c>
    </row>
    <row r="173" spans="3:16" x14ac:dyDescent="0.4">
      <c r="C173" s="199"/>
      <c r="D173" s="200"/>
      <c r="E173" s="201"/>
      <c r="F173" s="199"/>
      <c r="H173" s="202"/>
      <c r="I173" s="185" t="str">
        <f t="shared" si="13"/>
        <v/>
      </c>
      <c r="J173" s="203" t="str">
        <f>IF($H173="USD",IF(OR($I173="",$I173="-"),"",VLOOKUP($G173,為替!$A:$AX,$I173,FALSE))+$J$3,IF(OR($I173="",$I173="-"),"",VLOOKUP($G173,為替!$A:$AX,$I173,FALSE)))</f>
        <v/>
      </c>
      <c r="K173" s="204" t="str">
        <f t="shared" si="14"/>
        <v/>
      </c>
      <c r="L173" s="188" t="str">
        <f t="shared" si="15"/>
        <v/>
      </c>
      <c r="M173" s="203" t="str">
        <f>IF($H173="USD",IF(OR($L173="",$L173="-"),"",VLOOKUP($G173,為替!$A:$AX,$L173,FALSE))+$K$3,IF(OR($L173="",$L173="-"),"",VLOOKUP($G173,為替!$A:$AX,$L173,FALSE)))</f>
        <v/>
      </c>
      <c r="N173" s="204" t="str">
        <f t="shared" si="16"/>
        <v/>
      </c>
      <c r="O173" s="205" t="str">
        <f t="shared" si="12"/>
        <v/>
      </c>
      <c r="P173" s="206" t="str">
        <f t="shared" si="17"/>
        <v/>
      </c>
    </row>
    <row r="174" spans="3:16" x14ac:dyDescent="0.4">
      <c r="C174" s="199"/>
      <c r="D174" s="200"/>
      <c r="E174" s="201"/>
      <c r="F174" s="199"/>
      <c r="H174" s="202"/>
      <c r="I174" s="185" t="str">
        <f t="shared" si="13"/>
        <v/>
      </c>
      <c r="J174" s="203" t="str">
        <f>IF($H174="USD",IF(OR($I174="",$I174="-"),"",VLOOKUP($G174,為替!$A:$AX,$I174,FALSE))+$J$3,IF(OR($I174="",$I174="-"),"",VLOOKUP($G174,為替!$A:$AX,$I174,FALSE)))</f>
        <v/>
      </c>
      <c r="K174" s="204" t="str">
        <f t="shared" si="14"/>
        <v/>
      </c>
      <c r="L174" s="188" t="str">
        <f t="shared" si="15"/>
        <v/>
      </c>
      <c r="M174" s="203" t="str">
        <f>IF($H174="USD",IF(OR($L174="",$L174="-"),"",VLOOKUP($G174,為替!$A:$AX,$L174,FALSE))+$K$3,IF(OR($L174="",$L174="-"),"",VLOOKUP($G174,為替!$A:$AX,$L174,FALSE)))</f>
        <v/>
      </c>
      <c r="N174" s="204" t="str">
        <f t="shared" si="16"/>
        <v/>
      </c>
      <c r="O174" s="205" t="str">
        <f t="shared" si="12"/>
        <v/>
      </c>
      <c r="P174" s="206" t="str">
        <f t="shared" si="17"/>
        <v/>
      </c>
    </row>
    <row r="175" spans="3:16" x14ac:dyDescent="0.4">
      <c r="C175" s="199"/>
      <c r="D175" s="200"/>
      <c r="E175" s="201"/>
      <c r="F175" s="199"/>
      <c r="H175" s="202"/>
      <c r="I175" s="185" t="str">
        <f t="shared" si="13"/>
        <v/>
      </c>
      <c r="J175" s="203" t="str">
        <f>IF($H175="USD",IF(OR($I175="",$I175="-"),"",VLOOKUP($G175,為替!$A:$AX,$I175,FALSE))+$J$3,IF(OR($I175="",$I175="-"),"",VLOOKUP($G175,為替!$A:$AX,$I175,FALSE)))</f>
        <v/>
      </c>
      <c r="K175" s="204" t="str">
        <f t="shared" si="14"/>
        <v/>
      </c>
      <c r="L175" s="188" t="str">
        <f t="shared" si="15"/>
        <v/>
      </c>
      <c r="M175" s="203" t="str">
        <f>IF($H175="USD",IF(OR($L175="",$L175="-"),"",VLOOKUP($G175,為替!$A:$AX,$L175,FALSE))+$K$3,IF(OR($L175="",$L175="-"),"",VLOOKUP($G175,為替!$A:$AX,$L175,FALSE)))</f>
        <v/>
      </c>
      <c r="N175" s="204" t="str">
        <f t="shared" si="16"/>
        <v/>
      </c>
      <c r="O175" s="205" t="str">
        <f t="shared" si="12"/>
        <v/>
      </c>
      <c r="P175" s="206" t="str">
        <f t="shared" si="17"/>
        <v/>
      </c>
    </row>
    <row r="176" spans="3:16" x14ac:dyDescent="0.4">
      <c r="C176" s="199"/>
      <c r="D176" s="200"/>
      <c r="E176" s="201"/>
      <c r="F176" s="199"/>
      <c r="H176" s="202"/>
      <c r="I176" s="185" t="str">
        <f t="shared" si="13"/>
        <v/>
      </c>
      <c r="J176" s="203" t="str">
        <f>IF($H176="USD",IF(OR($I176="",$I176="-"),"",VLOOKUP($G176,為替!$A:$AX,$I176,FALSE))+$J$3,IF(OR($I176="",$I176="-"),"",VLOOKUP($G176,為替!$A:$AX,$I176,FALSE)))</f>
        <v/>
      </c>
      <c r="K176" s="204" t="str">
        <f t="shared" si="14"/>
        <v/>
      </c>
      <c r="L176" s="188" t="str">
        <f t="shared" si="15"/>
        <v/>
      </c>
      <c r="M176" s="203" t="str">
        <f>IF($H176="USD",IF(OR($L176="",$L176="-"),"",VLOOKUP($G176,為替!$A:$AX,$L176,FALSE))+$K$3,IF(OR($L176="",$L176="-"),"",VLOOKUP($G176,為替!$A:$AX,$L176,FALSE)))</f>
        <v/>
      </c>
      <c r="N176" s="204" t="str">
        <f t="shared" si="16"/>
        <v/>
      </c>
      <c r="O176" s="205" t="str">
        <f t="shared" si="12"/>
        <v/>
      </c>
      <c r="P176" s="206" t="str">
        <f t="shared" si="17"/>
        <v/>
      </c>
    </row>
    <row r="177" spans="3:16" x14ac:dyDescent="0.4">
      <c r="C177" s="199"/>
      <c r="D177" s="200"/>
      <c r="E177" s="201"/>
      <c r="F177" s="199"/>
      <c r="H177" s="202"/>
      <c r="I177" s="185" t="str">
        <f t="shared" si="13"/>
        <v/>
      </c>
      <c r="J177" s="203" t="str">
        <f>IF($H177="USD",IF(OR($I177="",$I177="-"),"",VLOOKUP($G177,為替!$A:$AX,$I177,FALSE))+$J$3,IF(OR($I177="",$I177="-"),"",VLOOKUP($G177,為替!$A:$AX,$I177,FALSE)))</f>
        <v/>
      </c>
      <c r="K177" s="204" t="str">
        <f t="shared" si="14"/>
        <v/>
      </c>
      <c r="L177" s="188" t="str">
        <f t="shared" si="15"/>
        <v/>
      </c>
      <c r="M177" s="203" t="str">
        <f>IF($H177="USD",IF(OR($L177="",$L177="-"),"",VLOOKUP($G177,為替!$A:$AX,$L177,FALSE))+$K$3,IF(OR($L177="",$L177="-"),"",VLOOKUP($G177,為替!$A:$AX,$L177,FALSE)))</f>
        <v/>
      </c>
      <c r="N177" s="204" t="str">
        <f t="shared" si="16"/>
        <v/>
      </c>
      <c r="O177" s="205" t="str">
        <f t="shared" si="12"/>
        <v/>
      </c>
      <c r="P177" s="206" t="str">
        <f t="shared" si="17"/>
        <v/>
      </c>
    </row>
    <row r="178" spans="3:16" x14ac:dyDescent="0.4">
      <c r="C178" s="199"/>
      <c r="D178" s="200"/>
      <c r="E178" s="201"/>
      <c r="F178" s="199"/>
      <c r="H178" s="202"/>
      <c r="I178" s="185" t="str">
        <f t="shared" si="13"/>
        <v/>
      </c>
      <c r="J178" s="203" t="str">
        <f>IF($H178="USD",IF(OR($I178="",$I178="-"),"",VLOOKUP($G178,為替!$A:$AX,$I178,FALSE))+$J$3,IF(OR($I178="",$I178="-"),"",VLOOKUP($G178,為替!$A:$AX,$I178,FALSE)))</f>
        <v/>
      </c>
      <c r="K178" s="204" t="str">
        <f t="shared" si="14"/>
        <v/>
      </c>
      <c r="L178" s="188" t="str">
        <f t="shared" si="15"/>
        <v/>
      </c>
      <c r="M178" s="203" t="str">
        <f>IF($H178="USD",IF(OR($L178="",$L178="-"),"",VLOOKUP($G178,為替!$A:$AX,$L178,FALSE))+$K$3,IF(OR($L178="",$L178="-"),"",VLOOKUP($G178,為替!$A:$AX,$L178,FALSE)))</f>
        <v/>
      </c>
      <c r="N178" s="204" t="str">
        <f t="shared" si="16"/>
        <v/>
      </c>
      <c r="O178" s="205" t="str">
        <f t="shared" si="12"/>
        <v/>
      </c>
      <c r="P178" s="206" t="str">
        <f t="shared" si="17"/>
        <v/>
      </c>
    </row>
    <row r="179" spans="3:16" x14ac:dyDescent="0.4">
      <c r="C179" s="199"/>
      <c r="D179" s="200"/>
      <c r="E179" s="201"/>
      <c r="F179" s="199"/>
      <c r="H179" s="202"/>
      <c r="I179" s="185" t="str">
        <f t="shared" si="13"/>
        <v/>
      </c>
      <c r="J179" s="203" t="str">
        <f>IF($H179="USD",IF(OR($I179="",$I179="-"),"",VLOOKUP($G179,為替!$A:$AX,$I179,FALSE))+$J$3,IF(OR($I179="",$I179="-"),"",VLOOKUP($G179,為替!$A:$AX,$I179,FALSE)))</f>
        <v/>
      </c>
      <c r="K179" s="204" t="str">
        <f t="shared" si="14"/>
        <v/>
      </c>
      <c r="L179" s="188" t="str">
        <f t="shared" si="15"/>
        <v/>
      </c>
      <c r="M179" s="203" t="str">
        <f>IF($H179="USD",IF(OR($L179="",$L179="-"),"",VLOOKUP($G179,為替!$A:$AX,$L179,FALSE))+$K$3,IF(OR($L179="",$L179="-"),"",VLOOKUP($G179,為替!$A:$AX,$L179,FALSE)))</f>
        <v/>
      </c>
      <c r="N179" s="204" t="str">
        <f t="shared" si="16"/>
        <v/>
      </c>
      <c r="O179" s="205" t="str">
        <f t="shared" si="12"/>
        <v/>
      </c>
      <c r="P179" s="206" t="str">
        <f t="shared" si="17"/>
        <v/>
      </c>
    </row>
    <row r="180" spans="3:16" x14ac:dyDescent="0.4">
      <c r="C180" s="199"/>
      <c r="D180" s="200"/>
      <c r="E180" s="201"/>
      <c r="F180" s="199"/>
      <c r="H180" s="202"/>
      <c r="I180" s="185" t="str">
        <f t="shared" si="13"/>
        <v/>
      </c>
      <c r="J180" s="203" t="str">
        <f>IF($H180="USD",IF(OR($I180="",$I180="-"),"",VLOOKUP($G180,為替!$A:$AX,$I180,FALSE))+$J$3,IF(OR($I180="",$I180="-"),"",VLOOKUP($G180,為替!$A:$AX,$I180,FALSE)))</f>
        <v/>
      </c>
      <c r="K180" s="204" t="str">
        <f t="shared" si="14"/>
        <v/>
      </c>
      <c r="L180" s="188" t="str">
        <f t="shared" si="15"/>
        <v/>
      </c>
      <c r="M180" s="203" t="str">
        <f>IF($H180="USD",IF(OR($L180="",$L180="-"),"",VLOOKUP($G180,為替!$A:$AX,$L180,FALSE))+$K$3,IF(OR($L180="",$L180="-"),"",VLOOKUP($G180,為替!$A:$AX,$L180,FALSE)))</f>
        <v/>
      </c>
      <c r="N180" s="204" t="str">
        <f t="shared" si="16"/>
        <v/>
      </c>
      <c r="O180" s="205" t="str">
        <f t="shared" si="12"/>
        <v/>
      </c>
      <c r="P180" s="206" t="str">
        <f t="shared" si="17"/>
        <v/>
      </c>
    </row>
    <row r="181" spans="3:16" x14ac:dyDescent="0.4">
      <c r="C181" s="199"/>
      <c r="D181" s="200"/>
      <c r="E181" s="201"/>
      <c r="F181" s="199"/>
      <c r="H181" s="202"/>
      <c r="I181" s="185" t="str">
        <f t="shared" si="13"/>
        <v/>
      </c>
      <c r="J181" s="203" t="str">
        <f>IF($H181="USD",IF(OR($I181="",$I181="-"),"",VLOOKUP($G181,為替!$A:$AX,$I181,FALSE))+$J$3,IF(OR($I181="",$I181="-"),"",VLOOKUP($G181,為替!$A:$AX,$I181,FALSE)))</f>
        <v/>
      </c>
      <c r="K181" s="204" t="str">
        <f t="shared" si="14"/>
        <v/>
      </c>
      <c r="L181" s="188" t="str">
        <f t="shared" si="15"/>
        <v/>
      </c>
      <c r="M181" s="203" t="str">
        <f>IF($H181="USD",IF(OR($L181="",$L181="-"),"",VLOOKUP($G181,為替!$A:$AX,$L181,FALSE))+$K$3,IF(OR($L181="",$L181="-"),"",VLOOKUP($G181,為替!$A:$AX,$L181,FALSE)))</f>
        <v/>
      </c>
      <c r="N181" s="204" t="str">
        <f t="shared" si="16"/>
        <v/>
      </c>
      <c r="O181" s="205" t="str">
        <f t="shared" si="12"/>
        <v/>
      </c>
      <c r="P181" s="206" t="str">
        <f t="shared" si="17"/>
        <v/>
      </c>
    </row>
    <row r="182" spans="3:16" x14ac:dyDescent="0.4">
      <c r="C182" s="199"/>
      <c r="D182" s="200"/>
      <c r="E182" s="201"/>
      <c r="F182" s="199"/>
      <c r="H182" s="202"/>
      <c r="I182" s="185" t="str">
        <f t="shared" si="13"/>
        <v/>
      </c>
      <c r="J182" s="203" t="str">
        <f>IF($H182="USD",IF(OR($I182="",$I182="-"),"",VLOOKUP($G182,為替!$A:$AX,$I182,FALSE))+$J$3,IF(OR($I182="",$I182="-"),"",VLOOKUP($G182,為替!$A:$AX,$I182,FALSE)))</f>
        <v/>
      </c>
      <c r="K182" s="204" t="str">
        <f t="shared" si="14"/>
        <v/>
      </c>
      <c r="L182" s="188" t="str">
        <f t="shared" si="15"/>
        <v/>
      </c>
      <c r="M182" s="203" t="str">
        <f>IF($H182="USD",IF(OR($L182="",$L182="-"),"",VLOOKUP($G182,為替!$A:$AX,$L182,FALSE))+$K$3,IF(OR($L182="",$L182="-"),"",VLOOKUP($G182,為替!$A:$AX,$L182,FALSE)))</f>
        <v/>
      </c>
      <c r="N182" s="204" t="str">
        <f t="shared" si="16"/>
        <v/>
      </c>
      <c r="O182" s="205" t="str">
        <f t="shared" si="12"/>
        <v/>
      </c>
      <c r="P182" s="206" t="str">
        <f t="shared" si="17"/>
        <v/>
      </c>
    </row>
    <row r="183" spans="3:16" x14ac:dyDescent="0.4">
      <c r="C183" s="199"/>
      <c r="D183" s="200"/>
      <c r="E183" s="201"/>
      <c r="F183" s="199"/>
      <c r="H183" s="202"/>
      <c r="I183" s="185" t="str">
        <f t="shared" si="13"/>
        <v/>
      </c>
      <c r="J183" s="203" t="str">
        <f>IF($H183="USD",IF(OR($I183="",$I183="-"),"",VLOOKUP($G183,為替!$A:$AX,$I183,FALSE))+$J$3,IF(OR($I183="",$I183="-"),"",VLOOKUP($G183,為替!$A:$AX,$I183,FALSE)))</f>
        <v/>
      </c>
      <c r="K183" s="204" t="str">
        <f t="shared" si="14"/>
        <v/>
      </c>
      <c r="L183" s="188" t="str">
        <f t="shared" si="15"/>
        <v/>
      </c>
      <c r="M183" s="203" t="str">
        <f>IF($H183="USD",IF(OR($L183="",$L183="-"),"",VLOOKUP($G183,為替!$A:$AX,$L183,FALSE))+$K$3,IF(OR($L183="",$L183="-"),"",VLOOKUP($G183,為替!$A:$AX,$L183,FALSE)))</f>
        <v/>
      </c>
      <c r="N183" s="204" t="str">
        <f t="shared" si="16"/>
        <v/>
      </c>
      <c r="O183" s="205" t="str">
        <f t="shared" si="12"/>
        <v/>
      </c>
      <c r="P183" s="206" t="str">
        <f t="shared" si="17"/>
        <v/>
      </c>
    </row>
    <row r="184" spans="3:16" x14ac:dyDescent="0.4">
      <c r="C184" s="199"/>
      <c r="D184" s="200"/>
      <c r="E184" s="201"/>
      <c r="F184" s="199"/>
      <c r="H184" s="202"/>
      <c r="I184" s="185" t="str">
        <f t="shared" si="13"/>
        <v/>
      </c>
      <c r="J184" s="203" t="str">
        <f>IF($H184="USD",IF(OR($I184="",$I184="-"),"",VLOOKUP($G184,為替!$A:$AX,$I184,FALSE))+$J$3,IF(OR($I184="",$I184="-"),"",VLOOKUP($G184,為替!$A:$AX,$I184,FALSE)))</f>
        <v/>
      </c>
      <c r="K184" s="204" t="str">
        <f t="shared" si="14"/>
        <v/>
      </c>
      <c r="L184" s="188" t="str">
        <f t="shared" si="15"/>
        <v/>
      </c>
      <c r="M184" s="203" t="str">
        <f>IF($H184="USD",IF(OR($L184="",$L184="-"),"",VLOOKUP($G184,為替!$A:$AX,$L184,FALSE))+$K$3,IF(OR($L184="",$L184="-"),"",VLOOKUP($G184,為替!$A:$AX,$L184,FALSE)))</f>
        <v/>
      </c>
      <c r="N184" s="204" t="str">
        <f t="shared" si="16"/>
        <v/>
      </c>
      <c r="O184" s="205" t="str">
        <f t="shared" si="12"/>
        <v/>
      </c>
      <c r="P184" s="206" t="str">
        <f t="shared" si="17"/>
        <v/>
      </c>
    </row>
    <row r="185" spans="3:16" x14ac:dyDescent="0.4">
      <c r="C185" s="199"/>
      <c r="D185" s="200"/>
      <c r="E185" s="201"/>
      <c r="F185" s="199"/>
      <c r="H185" s="202"/>
      <c r="I185" s="185" t="str">
        <f t="shared" si="13"/>
        <v/>
      </c>
      <c r="J185" s="203" t="str">
        <f>IF($H185="USD",IF(OR($I185="",$I185="-"),"",VLOOKUP($G185,為替!$A:$AX,$I185,FALSE))+$J$3,IF(OR($I185="",$I185="-"),"",VLOOKUP($G185,為替!$A:$AX,$I185,FALSE)))</f>
        <v/>
      </c>
      <c r="K185" s="204" t="str">
        <f t="shared" si="14"/>
        <v/>
      </c>
      <c r="L185" s="188" t="str">
        <f t="shared" si="15"/>
        <v/>
      </c>
      <c r="M185" s="203" t="str">
        <f>IF($H185="USD",IF(OR($L185="",$L185="-"),"",VLOOKUP($G185,為替!$A:$AX,$L185,FALSE))+$K$3,IF(OR($L185="",$L185="-"),"",VLOOKUP($G185,為替!$A:$AX,$L185,FALSE)))</f>
        <v/>
      </c>
      <c r="N185" s="204" t="str">
        <f t="shared" si="16"/>
        <v/>
      </c>
      <c r="O185" s="205" t="str">
        <f t="shared" si="12"/>
        <v/>
      </c>
      <c r="P185" s="206" t="str">
        <f t="shared" si="17"/>
        <v/>
      </c>
    </row>
    <row r="186" spans="3:16" x14ac:dyDescent="0.4">
      <c r="C186" s="199"/>
      <c r="D186" s="200"/>
      <c r="E186" s="201"/>
      <c r="F186" s="199"/>
      <c r="H186" s="202"/>
      <c r="I186" s="185" t="str">
        <f t="shared" si="13"/>
        <v/>
      </c>
      <c r="J186" s="203" t="str">
        <f>IF($H186="USD",IF(OR($I186="",$I186="-"),"",VLOOKUP($G186,為替!$A:$AX,$I186,FALSE))+$J$3,IF(OR($I186="",$I186="-"),"",VLOOKUP($G186,為替!$A:$AX,$I186,FALSE)))</f>
        <v/>
      </c>
      <c r="K186" s="204" t="str">
        <f t="shared" si="14"/>
        <v/>
      </c>
      <c r="L186" s="188" t="str">
        <f t="shared" si="15"/>
        <v/>
      </c>
      <c r="M186" s="203" t="str">
        <f>IF($H186="USD",IF(OR($L186="",$L186="-"),"",VLOOKUP($G186,為替!$A:$AX,$L186,FALSE))+$K$3,IF(OR($L186="",$L186="-"),"",VLOOKUP($G186,為替!$A:$AX,$L186,FALSE)))</f>
        <v/>
      </c>
      <c r="N186" s="204" t="str">
        <f t="shared" si="16"/>
        <v/>
      </c>
      <c r="O186" s="205" t="str">
        <f t="shared" si="12"/>
        <v/>
      </c>
      <c r="P186" s="206" t="str">
        <f t="shared" si="17"/>
        <v/>
      </c>
    </row>
    <row r="187" spans="3:16" x14ac:dyDescent="0.4">
      <c r="C187" s="199"/>
      <c r="D187" s="200"/>
      <c r="E187" s="201"/>
      <c r="F187" s="199"/>
      <c r="H187" s="202"/>
      <c r="I187" s="185" t="str">
        <f t="shared" si="13"/>
        <v/>
      </c>
      <c r="J187" s="203" t="str">
        <f>IF($H187="USD",IF(OR($I187="",$I187="-"),"",VLOOKUP($G187,為替!$A:$AX,$I187,FALSE))+$J$3,IF(OR($I187="",$I187="-"),"",VLOOKUP($G187,為替!$A:$AX,$I187,FALSE)))</f>
        <v/>
      </c>
      <c r="K187" s="204" t="str">
        <f t="shared" si="14"/>
        <v/>
      </c>
      <c r="L187" s="188" t="str">
        <f t="shared" si="15"/>
        <v/>
      </c>
      <c r="M187" s="203" t="str">
        <f>IF($H187="USD",IF(OR($L187="",$L187="-"),"",VLOOKUP($G187,為替!$A:$AX,$L187,FALSE))+$K$3,IF(OR($L187="",$L187="-"),"",VLOOKUP($G187,為替!$A:$AX,$L187,FALSE)))</f>
        <v/>
      </c>
      <c r="N187" s="204" t="str">
        <f t="shared" si="16"/>
        <v/>
      </c>
      <c r="O187" s="205" t="str">
        <f t="shared" si="12"/>
        <v/>
      </c>
      <c r="P187" s="206" t="str">
        <f t="shared" si="17"/>
        <v/>
      </c>
    </row>
    <row r="188" spans="3:16" x14ac:dyDescent="0.4">
      <c r="C188" s="199"/>
      <c r="D188" s="200"/>
      <c r="E188" s="201"/>
      <c r="F188" s="199"/>
      <c r="H188" s="202"/>
      <c r="I188" s="185" t="str">
        <f t="shared" si="13"/>
        <v/>
      </c>
      <c r="J188" s="203" t="str">
        <f>IF($H188="USD",IF(OR($I188="",$I188="-"),"",VLOOKUP($G188,為替!$A:$AX,$I188,FALSE))+$J$3,IF(OR($I188="",$I188="-"),"",VLOOKUP($G188,為替!$A:$AX,$I188,FALSE)))</f>
        <v/>
      </c>
      <c r="K188" s="204" t="str">
        <f t="shared" si="14"/>
        <v/>
      </c>
      <c r="L188" s="188" t="str">
        <f t="shared" si="15"/>
        <v/>
      </c>
      <c r="M188" s="203" t="str">
        <f>IF($H188="USD",IF(OR($L188="",$L188="-"),"",VLOOKUP($G188,為替!$A:$AX,$L188,FALSE))+$K$3,IF(OR($L188="",$L188="-"),"",VLOOKUP($G188,為替!$A:$AX,$L188,FALSE)))</f>
        <v/>
      </c>
      <c r="N188" s="204" t="str">
        <f t="shared" si="16"/>
        <v/>
      </c>
      <c r="O188" s="205" t="str">
        <f t="shared" si="12"/>
        <v/>
      </c>
      <c r="P188" s="206" t="str">
        <f t="shared" si="17"/>
        <v/>
      </c>
    </row>
    <row r="189" spans="3:16" x14ac:dyDescent="0.4">
      <c r="C189" s="199"/>
      <c r="D189" s="200"/>
      <c r="E189" s="201"/>
      <c r="F189" s="199"/>
      <c r="H189" s="202"/>
      <c r="I189" s="185" t="str">
        <f t="shared" si="13"/>
        <v/>
      </c>
      <c r="J189" s="203" t="str">
        <f>IF($H189="USD",IF(OR($I189="",$I189="-"),"",VLOOKUP($G189,為替!$A:$AX,$I189,FALSE))+$J$3,IF(OR($I189="",$I189="-"),"",VLOOKUP($G189,為替!$A:$AX,$I189,FALSE)))</f>
        <v/>
      </c>
      <c r="K189" s="204" t="str">
        <f t="shared" si="14"/>
        <v/>
      </c>
      <c r="L189" s="188" t="str">
        <f t="shared" si="15"/>
        <v/>
      </c>
      <c r="M189" s="203" t="str">
        <f>IF($H189="USD",IF(OR($L189="",$L189="-"),"",VLOOKUP($G189,為替!$A:$AX,$L189,FALSE))+$K$3,IF(OR($L189="",$L189="-"),"",VLOOKUP($G189,為替!$A:$AX,$L189,FALSE)))</f>
        <v/>
      </c>
      <c r="N189" s="204" t="str">
        <f t="shared" si="16"/>
        <v/>
      </c>
      <c r="O189" s="205" t="str">
        <f t="shared" si="12"/>
        <v/>
      </c>
      <c r="P189" s="206" t="str">
        <f t="shared" si="17"/>
        <v/>
      </c>
    </row>
    <row r="190" spans="3:16" x14ac:dyDescent="0.4">
      <c r="C190" s="199"/>
      <c r="D190" s="200"/>
      <c r="E190" s="201"/>
      <c r="F190" s="199"/>
      <c r="H190" s="202"/>
      <c r="I190" s="185" t="str">
        <f t="shared" si="13"/>
        <v/>
      </c>
      <c r="J190" s="203" t="str">
        <f>IF($H190="USD",IF(OR($I190="",$I190="-"),"",VLOOKUP($G190,為替!$A:$AX,$I190,FALSE))+$J$3,IF(OR($I190="",$I190="-"),"",VLOOKUP($G190,為替!$A:$AX,$I190,FALSE)))</f>
        <v/>
      </c>
      <c r="K190" s="204" t="str">
        <f t="shared" si="14"/>
        <v/>
      </c>
      <c r="L190" s="188" t="str">
        <f t="shared" si="15"/>
        <v/>
      </c>
      <c r="M190" s="203" t="str">
        <f>IF($H190="USD",IF(OR($L190="",$L190="-"),"",VLOOKUP($G190,為替!$A:$AX,$L190,FALSE))+$K$3,IF(OR($L190="",$L190="-"),"",VLOOKUP($G190,為替!$A:$AX,$L190,FALSE)))</f>
        <v/>
      </c>
      <c r="N190" s="204" t="str">
        <f t="shared" si="16"/>
        <v/>
      </c>
      <c r="O190" s="205" t="str">
        <f t="shared" si="12"/>
        <v/>
      </c>
      <c r="P190" s="206" t="str">
        <f t="shared" si="17"/>
        <v/>
      </c>
    </row>
    <row r="191" spans="3:16" x14ac:dyDescent="0.4">
      <c r="C191" s="199"/>
      <c r="D191" s="200"/>
      <c r="E191" s="201"/>
      <c r="F191" s="199"/>
      <c r="H191" s="202"/>
      <c r="I191" s="185" t="str">
        <f t="shared" si="13"/>
        <v/>
      </c>
      <c r="J191" s="203" t="str">
        <f>IF($H191="USD",IF(OR($I191="",$I191="-"),"",VLOOKUP($G191,為替!$A:$AX,$I191,FALSE))+$J$3,IF(OR($I191="",$I191="-"),"",VLOOKUP($G191,為替!$A:$AX,$I191,FALSE)))</f>
        <v/>
      </c>
      <c r="K191" s="204" t="str">
        <f t="shared" si="14"/>
        <v/>
      </c>
      <c r="L191" s="188" t="str">
        <f t="shared" si="15"/>
        <v/>
      </c>
      <c r="M191" s="203" t="str">
        <f>IF($H191="USD",IF(OR($L191="",$L191="-"),"",VLOOKUP($G191,為替!$A:$AX,$L191,FALSE))+$K$3,IF(OR($L191="",$L191="-"),"",VLOOKUP($G191,為替!$A:$AX,$L191,FALSE)))</f>
        <v/>
      </c>
      <c r="N191" s="204" t="str">
        <f t="shared" si="16"/>
        <v/>
      </c>
      <c r="O191" s="205" t="str">
        <f t="shared" si="12"/>
        <v/>
      </c>
      <c r="P191" s="206" t="str">
        <f t="shared" si="17"/>
        <v/>
      </c>
    </row>
    <row r="192" spans="3:16" x14ac:dyDescent="0.4">
      <c r="C192" s="199"/>
      <c r="D192" s="200"/>
      <c r="E192" s="201"/>
      <c r="F192" s="199"/>
      <c r="H192" s="202"/>
      <c r="I192" s="185" t="str">
        <f t="shared" si="13"/>
        <v/>
      </c>
      <c r="J192" s="203" t="str">
        <f>IF($H192="USD",IF(OR($I192="",$I192="-"),"",VLOOKUP($G192,為替!$A:$AX,$I192,FALSE))+$J$3,IF(OR($I192="",$I192="-"),"",VLOOKUP($G192,為替!$A:$AX,$I192,FALSE)))</f>
        <v/>
      </c>
      <c r="K192" s="204" t="str">
        <f t="shared" si="14"/>
        <v/>
      </c>
      <c r="L192" s="188" t="str">
        <f t="shared" si="15"/>
        <v/>
      </c>
      <c r="M192" s="203" t="str">
        <f>IF($H192="USD",IF(OR($L192="",$L192="-"),"",VLOOKUP($G192,為替!$A:$AX,$L192,FALSE))+$K$3,IF(OR($L192="",$L192="-"),"",VLOOKUP($G192,為替!$A:$AX,$L192,FALSE)))</f>
        <v/>
      </c>
      <c r="N192" s="204" t="str">
        <f t="shared" si="16"/>
        <v/>
      </c>
      <c r="O192" s="205" t="str">
        <f t="shared" si="12"/>
        <v/>
      </c>
      <c r="P192" s="206" t="str">
        <f t="shared" si="17"/>
        <v/>
      </c>
    </row>
    <row r="193" spans="3:16" x14ac:dyDescent="0.4">
      <c r="C193" s="199"/>
      <c r="D193" s="200"/>
      <c r="E193" s="201"/>
      <c r="F193" s="199"/>
      <c r="H193" s="202"/>
      <c r="I193" s="185" t="str">
        <f t="shared" si="13"/>
        <v/>
      </c>
      <c r="J193" s="203" t="str">
        <f>IF($H193="USD",IF(OR($I193="",$I193="-"),"",VLOOKUP($G193,為替!$A:$AX,$I193,FALSE))+$J$3,IF(OR($I193="",$I193="-"),"",VLOOKUP($G193,為替!$A:$AX,$I193,FALSE)))</f>
        <v/>
      </c>
      <c r="K193" s="204" t="str">
        <f t="shared" si="14"/>
        <v/>
      </c>
      <c r="L193" s="188" t="str">
        <f t="shared" si="15"/>
        <v/>
      </c>
      <c r="M193" s="203" t="str">
        <f>IF($H193="USD",IF(OR($L193="",$L193="-"),"",VLOOKUP($G193,為替!$A:$AX,$L193,FALSE))+$K$3,IF(OR($L193="",$L193="-"),"",VLOOKUP($G193,為替!$A:$AX,$L193,FALSE)))</f>
        <v/>
      </c>
      <c r="N193" s="204" t="str">
        <f t="shared" si="16"/>
        <v/>
      </c>
      <c r="O193" s="205" t="str">
        <f t="shared" si="12"/>
        <v/>
      </c>
      <c r="P193" s="206" t="str">
        <f t="shared" si="17"/>
        <v/>
      </c>
    </row>
    <row r="194" spans="3:16" x14ac:dyDescent="0.4">
      <c r="C194" s="199"/>
      <c r="D194" s="200"/>
      <c r="E194" s="201"/>
      <c r="F194" s="199"/>
      <c r="H194" s="202"/>
      <c r="I194" s="185" t="str">
        <f t="shared" si="13"/>
        <v/>
      </c>
      <c r="J194" s="203" t="str">
        <f>IF($H194="USD",IF(OR($I194="",$I194="-"),"",VLOOKUP($G194,為替!$A:$AX,$I194,FALSE))+$J$3,IF(OR($I194="",$I194="-"),"",VLOOKUP($G194,為替!$A:$AX,$I194,FALSE)))</f>
        <v/>
      </c>
      <c r="K194" s="204" t="str">
        <f t="shared" si="14"/>
        <v/>
      </c>
      <c r="L194" s="188" t="str">
        <f t="shared" si="15"/>
        <v/>
      </c>
      <c r="M194" s="203" t="str">
        <f>IF($H194="USD",IF(OR($L194="",$L194="-"),"",VLOOKUP($G194,為替!$A:$AX,$L194,FALSE))+$K$3,IF(OR($L194="",$L194="-"),"",VLOOKUP($G194,為替!$A:$AX,$L194,FALSE)))</f>
        <v/>
      </c>
      <c r="N194" s="204" t="str">
        <f t="shared" si="16"/>
        <v/>
      </c>
      <c r="O194" s="205" t="str">
        <f t="shared" si="12"/>
        <v/>
      </c>
      <c r="P194" s="206" t="str">
        <f t="shared" si="17"/>
        <v/>
      </c>
    </row>
    <row r="195" spans="3:16" x14ac:dyDescent="0.4">
      <c r="C195" s="199"/>
      <c r="D195" s="200"/>
      <c r="E195" s="201"/>
      <c r="F195" s="199"/>
      <c r="H195" s="202"/>
      <c r="I195" s="185" t="str">
        <f t="shared" si="13"/>
        <v/>
      </c>
      <c r="J195" s="203" t="str">
        <f>IF($H195="USD",IF(OR($I195="",$I195="-"),"",VLOOKUP($G195,為替!$A:$AX,$I195,FALSE))+$J$3,IF(OR($I195="",$I195="-"),"",VLOOKUP($G195,為替!$A:$AX,$I195,FALSE)))</f>
        <v/>
      </c>
      <c r="K195" s="204" t="str">
        <f t="shared" si="14"/>
        <v/>
      </c>
      <c r="L195" s="188" t="str">
        <f t="shared" si="15"/>
        <v/>
      </c>
      <c r="M195" s="203" t="str">
        <f>IF($H195="USD",IF(OR($L195="",$L195="-"),"",VLOOKUP($G195,為替!$A:$AX,$L195,FALSE))+$K$3,IF(OR($L195="",$L195="-"),"",VLOOKUP($G195,為替!$A:$AX,$L195,FALSE)))</f>
        <v/>
      </c>
      <c r="N195" s="204" t="str">
        <f t="shared" si="16"/>
        <v/>
      </c>
      <c r="O195" s="205" t="str">
        <f t="shared" si="12"/>
        <v/>
      </c>
      <c r="P195" s="206" t="str">
        <f t="shared" si="17"/>
        <v/>
      </c>
    </row>
    <row r="196" spans="3:16" x14ac:dyDescent="0.4">
      <c r="C196" s="199"/>
      <c r="D196" s="200"/>
      <c r="E196" s="201"/>
      <c r="F196" s="199"/>
      <c r="H196" s="202"/>
      <c r="I196" s="185" t="str">
        <f t="shared" si="13"/>
        <v/>
      </c>
      <c r="J196" s="203" t="str">
        <f>IF($H196="USD",IF(OR($I196="",$I196="-"),"",VLOOKUP($G196,為替!$A:$AX,$I196,FALSE))+$J$3,IF(OR($I196="",$I196="-"),"",VLOOKUP($G196,為替!$A:$AX,$I196,FALSE)))</f>
        <v/>
      </c>
      <c r="K196" s="204" t="str">
        <f t="shared" si="14"/>
        <v/>
      </c>
      <c r="L196" s="188" t="str">
        <f t="shared" si="15"/>
        <v/>
      </c>
      <c r="M196" s="203" t="str">
        <f>IF($H196="USD",IF(OR($L196="",$L196="-"),"",VLOOKUP($G196,為替!$A:$AX,$L196,FALSE))+$K$3,IF(OR($L196="",$L196="-"),"",VLOOKUP($G196,為替!$A:$AX,$L196,FALSE)))</f>
        <v/>
      </c>
      <c r="N196" s="204" t="str">
        <f t="shared" si="16"/>
        <v/>
      </c>
      <c r="O196" s="205" t="str">
        <f t="shared" si="12"/>
        <v/>
      </c>
      <c r="P196" s="206" t="str">
        <f t="shared" si="17"/>
        <v/>
      </c>
    </row>
    <row r="197" spans="3:16" x14ac:dyDescent="0.4">
      <c r="C197" s="199"/>
      <c r="D197" s="200"/>
      <c r="E197" s="201"/>
      <c r="F197" s="199"/>
      <c r="H197" s="202"/>
      <c r="I197" s="185" t="str">
        <f t="shared" si="13"/>
        <v/>
      </c>
      <c r="J197" s="203" t="str">
        <f>IF($H197="USD",IF(OR($I197="",$I197="-"),"",VLOOKUP($G197,為替!$A:$AX,$I197,FALSE))+$J$3,IF(OR($I197="",$I197="-"),"",VLOOKUP($G197,為替!$A:$AX,$I197,FALSE)))</f>
        <v/>
      </c>
      <c r="K197" s="204" t="str">
        <f t="shared" si="14"/>
        <v/>
      </c>
      <c r="L197" s="188" t="str">
        <f t="shared" si="15"/>
        <v/>
      </c>
      <c r="M197" s="203" t="str">
        <f>IF($H197="USD",IF(OR($L197="",$L197="-"),"",VLOOKUP($G197,為替!$A:$AX,$L197,FALSE))+$K$3,IF(OR($L197="",$L197="-"),"",VLOOKUP($G197,為替!$A:$AX,$L197,FALSE)))</f>
        <v/>
      </c>
      <c r="N197" s="204" t="str">
        <f t="shared" si="16"/>
        <v/>
      </c>
      <c r="O197" s="205" t="str">
        <f t="shared" si="12"/>
        <v/>
      </c>
      <c r="P197" s="206" t="str">
        <f t="shared" si="17"/>
        <v/>
      </c>
    </row>
    <row r="198" spans="3:16" x14ac:dyDescent="0.4">
      <c r="C198" s="199"/>
      <c r="D198" s="200"/>
      <c r="E198" s="201"/>
      <c r="F198" s="199"/>
      <c r="H198" s="202"/>
      <c r="I198" s="185" t="str">
        <f t="shared" si="13"/>
        <v/>
      </c>
      <c r="J198" s="203" t="str">
        <f>IF($H198="USD",IF(OR($I198="",$I198="-"),"",VLOOKUP($G198,為替!$A:$AX,$I198,FALSE))+$J$3,IF(OR($I198="",$I198="-"),"",VLOOKUP($G198,為替!$A:$AX,$I198,FALSE)))</f>
        <v/>
      </c>
      <c r="K198" s="204" t="str">
        <f t="shared" si="14"/>
        <v/>
      </c>
      <c r="L198" s="188" t="str">
        <f t="shared" si="15"/>
        <v/>
      </c>
      <c r="M198" s="203" t="str">
        <f>IF($H198="USD",IF(OR($L198="",$L198="-"),"",VLOOKUP($G198,為替!$A:$AX,$L198,FALSE))+$K$3,IF(OR($L198="",$L198="-"),"",VLOOKUP($G198,為替!$A:$AX,$L198,FALSE)))</f>
        <v/>
      </c>
      <c r="N198" s="204" t="str">
        <f t="shared" si="16"/>
        <v/>
      </c>
      <c r="O198" s="205" t="str">
        <f t="shared" ref="O198:O261" si="18">IF(OR(K198="",N198=""),"",K198-N198)</f>
        <v/>
      </c>
      <c r="P198" s="206" t="str">
        <f t="shared" si="17"/>
        <v/>
      </c>
    </row>
    <row r="199" spans="3:16" x14ac:dyDescent="0.4">
      <c r="C199" s="199"/>
      <c r="D199" s="200"/>
      <c r="E199" s="201"/>
      <c r="F199" s="199"/>
      <c r="H199" s="202"/>
      <c r="I199" s="185" t="str">
        <f t="shared" ref="I199:I262" si="19">IF(H199="","",IF(H199="JPY","",IF($H199="USD",4, IF(H199="EUR",7,IF(H199="CNY",47,IF(H199="HKD",34))))))</f>
        <v/>
      </c>
      <c r="J199" s="203" t="str">
        <f>IF($H199="USD",IF(OR($I199="",$I199="-"),"",VLOOKUP($G199,為替!$A:$AX,$I199,FALSE))+$J$3,IF(OR($I199="",$I199="-"),"",VLOOKUP($G199,為替!$A:$AX,$I199,FALSE)))</f>
        <v/>
      </c>
      <c r="K199" s="204" t="str">
        <f t="shared" ref="K199:K262" si="20">IF($H199="JPY",$F199,IF($H199="","",$F199*$J199))</f>
        <v/>
      </c>
      <c r="L199" s="188" t="str">
        <f t="shared" ref="L199:L262" si="21">IF(H199="","",IF(H199="JPY","",IF($H199="USD",3, IF(H199="EUR",6,IF(H199="CNY",46,IF(H199="HKD",33))))))</f>
        <v/>
      </c>
      <c r="M199" s="203" t="str">
        <f>IF($H199="USD",IF(OR($L199="",$L199="-"),"",VLOOKUP($G199,為替!$A:$AX,$L199,FALSE))+$K$3,IF(OR($L199="",$L199="-"),"",VLOOKUP($G199,為替!$A:$AX,$L199,FALSE)))</f>
        <v/>
      </c>
      <c r="N199" s="204" t="str">
        <f t="shared" ref="N199:N262" si="22">IF($E199="JPY",($C199+$D199),IF($E199="","",($C199+$D199)*$M199))</f>
        <v/>
      </c>
      <c r="O199" s="205" t="str">
        <f t="shared" si="18"/>
        <v/>
      </c>
      <c r="P199" s="206" t="str">
        <f t="shared" ref="P199:P262" si="23">IF(OR(K199="",O199=""),"",O199/K199)</f>
        <v/>
      </c>
    </row>
    <row r="200" spans="3:16" x14ac:dyDescent="0.4">
      <c r="C200" s="199"/>
      <c r="D200" s="200"/>
      <c r="E200" s="201"/>
      <c r="F200" s="199"/>
      <c r="H200" s="202"/>
      <c r="I200" s="185" t="str">
        <f t="shared" si="19"/>
        <v/>
      </c>
      <c r="J200" s="203" t="str">
        <f>IF($H200="USD",IF(OR($I200="",$I200="-"),"",VLOOKUP($G200,為替!$A:$AX,$I200,FALSE))+$J$3,IF(OR($I200="",$I200="-"),"",VLOOKUP($G200,為替!$A:$AX,$I200,FALSE)))</f>
        <v/>
      </c>
      <c r="K200" s="204" t="str">
        <f t="shared" si="20"/>
        <v/>
      </c>
      <c r="L200" s="188" t="str">
        <f t="shared" si="21"/>
        <v/>
      </c>
      <c r="M200" s="203" t="str">
        <f>IF($H200="USD",IF(OR($L200="",$L200="-"),"",VLOOKUP($G200,為替!$A:$AX,$L200,FALSE))+$K$3,IF(OR($L200="",$L200="-"),"",VLOOKUP($G200,為替!$A:$AX,$L200,FALSE)))</f>
        <v/>
      </c>
      <c r="N200" s="204" t="str">
        <f t="shared" si="22"/>
        <v/>
      </c>
      <c r="O200" s="205" t="str">
        <f t="shared" si="18"/>
        <v/>
      </c>
      <c r="P200" s="206" t="str">
        <f t="shared" si="23"/>
        <v/>
      </c>
    </row>
    <row r="201" spans="3:16" x14ac:dyDescent="0.4">
      <c r="C201" s="199"/>
      <c r="D201" s="200"/>
      <c r="E201" s="201"/>
      <c r="F201" s="199"/>
      <c r="H201" s="202"/>
      <c r="I201" s="185" t="str">
        <f t="shared" si="19"/>
        <v/>
      </c>
      <c r="J201" s="203" t="str">
        <f>IF($H201="USD",IF(OR($I201="",$I201="-"),"",VLOOKUP($G201,為替!$A:$AX,$I201,FALSE))+$J$3,IF(OR($I201="",$I201="-"),"",VLOOKUP($G201,為替!$A:$AX,$I201,FALSE)))</f>
        <v/>
      </c>
      <c r="K201" s="204" t="str">
        <f t="shared" si="20"/>
        <v/>
      </c>
      <c r="L201" s="188" t="str">
        <f t="shared" si="21"/>
        <v/>
      </c>
      <c r="M201" s="203" t="str">
        <f>IF($H201="USD",IF(OR($L201="",$L201="-"),"",VLOOKUP($G201,為替!$A:$AX,$L201,FALSE))+$K$3,IF(OR($L201="",$L201="-"),"",VLOOKUP($G201,為替!$A:$AX,$L201,FALSE)))</f>
        <v/>
      </c>
      <c r="N201" s="204" t="str">
        <f t="shared" si="22"/>
        <v/>
      </c>
      <c r="O201" s="205" t="str">
        <f t="shared" si="18"/>
        <v/>
      </c>
      <c r="P201" s="206" t="str">
        <f t="shared" si="23"/>
        <v/>
      </c>
    </row>
    <row r="202" spans="3:16" x14ac:dyDescent="0.4">
      <c r="C202" s="199"/>
      <c r="D202" s="200"/>
      <c r="E202" s="201"/>
      <c r="F202" s="199"/>
      <c r="H202" s="202"/>
      <c r="I202" s="185" t="str">
        <f t="shared" si="19"/>
        <v/>
      </c>
      <c r="J202" s="203" t="str">
        <f>IF($H202="USD",IF(OR($I202="",$I202="-"),"",VLOOKUP($G202,為替!$A:$AX,$I202,FALSE))+$J$3,IF(OR($I202="",$I202="-"),"",VLOOKUP($G202,為替!$A:$AX,$I202,FALSE)))</f>
        <v/>
      </c>
      <c r="K202" s="204" t="str">
        <f t="shared" si="20"/>
        <v/>
      </c>
      <c r="L202" s="188" t="str">
        <f t="shared" si="21"/>
        <v/>
      </c>
      <c r="M202" s="203" t="str">
        <f>IF($H202="USD",IF(OR($L202="",$L202="-"),"",VLOOKUP($G202,為替!$A:$AX,$L202,FALSE))+$K$3,IF(OR($L202="",$L202="-"),"",VLOOKUP($G202,為替!$A:$AX,$L202,FALSE)))</f>
        <v/>
      </c>
      <c r="N202" s="204" t="str">
        <f t="shared" si="22"/>
        <v/>
      </c>
      <c r="O202" s="205" t="str">
        <f t="shared" si="18"/>
        <v/>
      </c>
      <c r="P202" s="206" t="str">
        <f t="shared" si="23"/>
        <v/>
      </c>
    </row>
    <row r="203" spans="3:16" x14ac:dyDescent="0.4">
      <c r="C203" s="199"/>
      <c r="D203" s="200"/>
      <c r="E203" s="201"/>
      <c r="F203" s="199"/>
      <c r="H203" s="202"/>
      <c r="I203" s="185" t="str">
        <f t="shared" si="19"/>
        <v/>
      </c>
      <c r="J203" s="203" t="str">
        <f>IF($H203="USD",IF(OR($I203="",$I203="-"),"",VLOOKUP($G203,為替!$A:$AX,$I203,FALSE))+$J$3,IF(OR($I203="",$I203="-"),"",VLOOKUP($G203,為替!$A:$AX,$I203,FALSE)))</f>
        <v/>
      </c>
      <c r="K203" s="204" t="str">
        <f t="shared" si="20"/>
        <v/>
      </c>
      <c r="L203" s="188" t="str">
        <f t="shared" si="21"/>
        <v/>
      </c>
      <c r="M203" s="203" t="str">
        <f>IF($H203="USD",IF(OR($L203="",$L203="-"),"",VLOOKUP($G203,為替!$A:$AX,$L203,FALSE))+$K$3,IF(OR($L203="",$L203="-"),"",VLOOKUP($G203,為替!$A:$AX,$L203,FALSE)))</f>
        <v/>
      </c>
      <c r="N203" s="204" t="str">
        <f t="shared" si="22"/>
        <v/>
      </c>
      <c r="O203" s="205" t="str">
        <f t="shared" si="18"/>
        <v/>
      </c>
      <c r="P203" s="206" t="str">
        <f t="shared" si="23"/>
        <v/>
      </c>
    </row>
    <row r="204" spans="3:16" x14ac:dyDescent="0.4">
      <c r="C204" s="199"/>
      <c r="D204" s="200"/>
      <c r="E204" s="201"/>
      <c r="F204" s="199"/>
      <c r="H204" s="202"/>
      <c r="I204" s="185" t="str">
        <f t="shared" si="19"/>
        <v/>
      </c>
      <c r="J204" s="203" t="str">
        <f>IF($H204="USD",IF(OR($I204="",$I204="-"),"",VLOOKUP($G204,為替!$A:$AX,$I204,FALSE))+$J$3,IF(OR($I204="",$I204="-"),"",VLOOKUP($G204,為替!$A:$AX,$I204,FALSE)))</f>
        <v/>
      </c>
      <c r="K204" s="204" t="str">
        <f t="shared" si="20"/>
        <v/>
      </c>
      <c r="L204" s="188" t="str">
        <f t="shared" si="21"/>
        <v/>
      </c>
      <c r="M204" s="203" t="str">
        <f>IF($H204="USD",IF(OR($L204="",$L204="-"),"",VLOOKUP($G204,為替!$A:$AX,$L204,FALSE))+$K$3,IF(OR($L204="",$L204="-"),"",VLOOKUP($G204,為替!$A:$AX,$L204,FALSE)))</f>
        <v/>
      </c>
      <c r="N204" s="204" t="str">
        <f t="shared" si="22"/>
        <v/>
      </c>
      <c r="O204" s="205" t="str">
        <f t="shared" si="18"/>
        <v/>
      </c>
      <c r="P204" s="206" t="str">
        <f t="shared" si="23"/>
        <v/>
      </c>
    </row>
    <row r="205" spans="3:16" x14ac:dyDescent="0.4">
      <c r="C205" s="199"/>
      <c r="D205" s="200"/>
      <c r="E205" s="201"/>
      <c r="F205" s="199"/>
      <c r="H205" s="202"/>
      <c r="I205" s="185" t="str">
        <f t="shared" si="19"/>
        <v/>
      </c>
      <c r="J205" s="203" t="str">
        <f>IF($H205="USD",IF(OR($I205="",$I205="-"),"",VLOOKUP($G205,為替!$A:$AX,$I205,FALSE))+$J$3,IF(OR($I205="",$I205="-"),"",VLOOKUP($G205,為替!$A:$AX,$I205,FALSE)))</f>
        <v/>
      </c>
      <c r="K205" s="204" t="str">
        <f t="shared" si="20"/>
        <v/>
      </c>
      <c r="L205" s="188" t="str">
        <f t="shared" si="21"/>
        <v/>
      </c>
      <c r="M205" s="203" t="str">
        <f>IF($H205="USD",IF(OR($L205="",$L205="-"),"",VLOOKUP($G205,為替!$A:$AX,$L205,FALSE))+$K$3,IF(OR($L205="",$L205="-"),"",VLOOKUP($G205,為替!$A:$AX,$L205,FALSE)))</f>
        <v/>
      </c>
      <c r="N205" s="204" t="str">
        <f t="shared" si="22"/>
        <v/>
      </c>
      <c r="O205" s="205" t="str">
        <f t="shared" si="18"/>
        <v/>
      </c>
      <c r="P205" s="206" t="str">
        <f t="shared" si="23"/>
        <v/>
      </c>
    </row>
    <row r="206" spans="3:16" x14ac:dyDescent="0.4">
      <c r="C206" s="199"/>
      <c r="D206" s="200"/>
      <c r="E206" s="201"/>
      <c r="F206" s="199"/>
      <c r="H206" s="202"/>
      <c r="I206" s="185" t="str">
        <f t="shared" si="19"/>
        <v/>
      </c>
      <c r="J206" s="203" t="str">
        <f>IF($H206="USD",IF(OR($I206="",$I206="-"),"",VLOOKUP($G206,為替!$A:$AX,$I206,FALSE))+$J$3,IF(OR($I206="",$I206="-"),"",VLOOKUP($G206,為替!$A:$AX,$I206,FALSE)))</f>
        <v/>
      </c>
      <c r="K206" s="204" t="str">
        <f t="shared" si="20"/>
        <v/>
      </c>
      <c r="L206" s="188" t="str">
        <f t="shared" si="21"/>
        <v/>
      </c>
      <c r="M206" s="203" t="str">
        <f>IF($H206="USD",IF(OR($L206="",$L206="-"),"",VLOOKUP($G206,為替!$A:$AX,$L206,FALSE))+$K$3,IF(OR($L206="",$L206="-"),"",VLOOKUP($G206,為替!$A:$AX,$L206,FALSE)))</f>
        <v/>
      </c>
      <c r="N206" s="204" t="str">
        <f t="shared" si="22"/>
        <v/>
      </c>
      <c r="O206" s="205" t="str">
        <f t="shared" si="18"/>
        <v/>
      </c>
      <c r="P206" s="206" t="str">
        <f t="shared" si="23"/>
        <v/>
      </c>
    </row>
    <row r="207" spans="3:16" x14ac:dyDescent="0.4">
      <c r="C207" s="199"/>
      <c r="D207" s="200"/>
      <c r="E207" s="201"/>
      <c r="F207" s="199"/>
      <c r="H207" s="202"/>
      <c r="I207" s="185" t="str">
        <f t="shared" si="19"/>
        <v/>
      </c>
      <c r="J207" s="203" t="str">
        <f>IF($H207="USD",IF(OR($I207="",$I207="-"),"",VLOOKUP($G207,為替!$A:$AX,$I207,FALSE))+$J$3,IF(OR($I207="",$I207="-"),"",VLOOKUP($G207,為替!$A:$AX,$I207,FALSE)))</f>
        <v/>
      </c>
      <c r="K207" s="204" t="str">
        <f t="shared" si="20"/>
        <v/>
      </c>
      <c r="L207" s="188" t="str">
        <f t="shared" si="21"/>
        <v/>
      </c>
      <c r="M207" s="203" t="str">
        <f>IF($H207="USD",IF(OR($L207="",$L207="-"),"",VLOOKUP($G207,為替!$A:$AX,$L207,FALSE))+$K$3,IF(OR($L207="",$L207="-"),"",VLOOKUP($G207,為替!$A:$AX,$L207,FALSE)))</f>
        <v/>
      </c>
      <c r="N207" s="204" t="str">
        <f t="shared" si="22"/>
        <v/>
      </c>
      <c r="O207" s="205" t="str">
        <f t="shared" si="18"/>
        <v/>
      </c>
      <c r="P207" s="206" t="str">
        <f t="shared" si="23"/>
        <v/>
      </c>
    </row>
    <row r="208" spans="3:16" x14ac:dyDescent="0.4">
      <c r="C208" s="199"/>
      <c r="D208" s="200"/>
      <c r="E208" s="201"/>
      <c r="F208" s="199"/>
      <c r="H208" s="202"/>
      <c r="I208" s="185" t="str">
        <f t="shared" si="19"/>
        <v/>
      </c>
      <c r="J208" s="203" t="str">
        <f>IF($H208="USD",IF(OR($I208="",$I208="-"),"",VLOOKUP($G208,為替!$A:$AX,$I208,FALSE))+$J$3,IF(OR($I208="",$I208="-"),"",VLOOKUP($G208,為替!$A:$AX,$I208,FALSE)))</f>
        <v/>
      </c>
      <c r="K208" s="204" t="str">
        <f t="shared" si="20"/>
        <v/>
      </c>
      <c r="L208" s="188" t="str">
        <f t="shared" si="21"/>
        <v/>
      </c>
      <c r="M208" s="203" t="str">
        <f>IF($H208="USD",IF(OR($L208="",$L208="-"),"",VLOOKUP($G208,為替!$A:$AX,$L208,FALSE))+$K$3,IF(OR($L208="",$L208="-"),"",VLOOKUP($G208,為替!$A:$AX,$L208,FALSE)))</f>
        <v/>
      </c>
      <c r="N208" s="204" t="str">
        <f t="shared" si="22"/>
        <v/>
      </c>
      <c r="O208" s="205" t="str">
        <f t="shared" si="18"/>
        <v/>
      </c>
      <c r="P208" s="206" t="str">
        <f t="shared" si="23"/>
        <v/>
      </c>
    </row>
    <row r="209" spans="3:16" x14ac:dyDescent="0.4">
      <c r="C209" s="199"/>
      <c r="D209" s="200"/>
      <c r="E209" s="201"/>
      <c r="F209" s="199"/>
      <c r="H209" s="202"/>
      <c r="I209" s="185" t="str">
        <f t="shared" si="19"/>
        <v/>
      </c>
      <c r="J209" s="203" t="str">
        <f>IF($H209="USD",IF(OR($I209="",$I209="-"),"",VLOOKUP($G209,為替!$A:$AX,$I209,FALSE))+$J$3,IF(OR($I209="",$I209="-"),"",VLOOKUP($G209,為替!$A:$AX,$I209,FALSE)))</f>
        <v/>
      </c>
      <c r="K209" s="204" t="str">
        <f t="shared" si="20"/>
        <v/>
      </c>
      <c r="L209" s="188" t="str">
        <f t="shared" si="21"/>
        <v/>
      </c>
      <c r="M209" s="203" t="str">
        <f>IF($H209="USD",IF(OR($L209="",$L209="-"),"",VLOOKUP($G209,為替!$A:$AX,$L209,FALSE))+$K$3,IF(OR($L209="",$L209="-"),"",VLOOKUP($G209,為替!$A:$AX,$L209,FALSE)))</f>
        <v/>
      </c>
      <c r="N209" s="204" t="str">
        <f t="shared" si="22"/>
        <v/>
      </c>
      <c r="O209" s="205" t="str">
        <f t="shared" si="18"/>
        <v/>
      </c>
      <c r="P209" s="206" t="str">
        <f t="shared" si="23"/>
        <v/>
      </c>
    </row>
    <row r="210" spans="3:16" x14ac:dyDescent="0.4">
      <c r="C210" s="199"/>
      <c r="D210" s="200"/>
      <c r="E210" s="201"/>
      <c r="F210" s="199"/>
      <c r="H210" s="202"/>
      <c r="I210" s="185" t="str">
        <f t="shared" si="19"/>
        <v/>
      </c>
      <c r="J210" s="203" t="str">
        <f>IF($H210="USD",IF(OR($I210="",$I210="-"),"",VLOOKUP($G210,為替!$A:$AX,$I210,FALSE))+$J$3,IF(OR($I210="",$I210="-"),"",VLOOKUP($G210,為替!$A:$AX,$I210,FALSE)))</f>
        <v/>
      </c>
      <c r="K210" s="204" t="str">
        <f t="shared" si="20"/>
        <v/>
      </c>
      <c r="L210" s="188" t="str">
        <f t="shared" si="21"/>
        <v/>
      </c>
      <c r="M210" s="203" t="str">
        <f>IF($H210="USD",IF(OR($L210="",$L210="-"),"",VLOOKUP($G210,為替!$A:$AX,$L210,FALSE))+$K$3,IF(OR($L210="",$L210="-"),"",VLOOKUP($G210,為替!$A:$AX,$L210,FALSE)))</f>
        <v/>
      </c>
      <c r="N210" s="204" t="str">
        <f t="shared" si="22"/>
        <v/>
      </c>
      <c r="O210" s="205" t="str">
        <f t="shared" si="18"/>
        <v/>
      </c>
      <c r="P210" s="206" t="str">
        <f t="shared" si="23"/>
        <v/>
      </c>
    </row>
    <row r="211" spans="3:16" x14ac:dyDescent="0.4">
      <c r="C211" s="199"/>
      <c r="D211" s="200"/>
      <c r="E211" s="201"/>
      <c r="F211" s="199"/>
      <c r="H211" s="202"/>
      <c r="I211" s="185" t="str">
        <f t="shared" si="19"/>
        <v/>
      </c>
      <c r="J211" s="203" t="str">
        <f>IF($H211="USD",IF(OR($I211="",$I211="-"),"",VLOOKUP($G211,為替!$A:$AX,$I211,FALSE))+$J$3,IF(OR($I211="",$I211="-"),"",VLOOKUP($G211,為替!$A:$AX,$I211,FALSE)))</f>
        <v/>
      </c>
      <c r="K211" s="204" t="str">
        <f t="shared" si="20"/>
        <v/>
      </c>
      <c r="L211" s="188" t="str">
        <f t="shared" si="21"/>
        <v/>
      </c>
      <c r="M211" s="203" t="str">
        <f>IF($H211="USD",IF(OR($L211="",$L211="-"),"",VLOOKUP($G211,為替!$A:$AX,$L211,FALSE))+$K$3,IF(OR($L211="",$L211="-"),"",VLOOKUP($G211,為替!$A:$AX,$L211,FALSE)))</f>
        <v/>
      </c>
      <c r="N211" s="204" t="str">
        <f t="shared" si="22"/>
        <v/>
      </c>
      <c r="O211" s="205" t="str">
        <f t="shared" si="18"/>
        <v/>
      </c>
      <c r="P211" s="206" t="str">
        <f t="shared" si="23"/>
        <v/>
      </c>
    </row>
    <row r="212" spans="3:16" x14ac:dyDescent="0.4">
      <c r="C212" s="199"/>
      <c r="D212" s="200"/>
      <c r="E212" s="201"/>
      <c r="F212" s="199"/>
      <c r="H212" s="202"/>
      <c r="I212" s="185" t="str">
        <f t="shared" si="19"/>
        <v/>
      </c>
      <c r="J212" s="203" t="str">
        <f>IF($H212="USD",IF(OR($I212="",$I212="-"),"",VLOOKUP($G212,為替!$A:$AX,$I212,FALSE))+$J$3,IF(OR($I212="",$I212="-"),"",VLOOKUP($G212,為替!$A:$AX,$I212,FALSE)))</f>
        <v/>
      </c>
      <c r="K212" s="204" t="str">
        <f t="shared" si="20"/>
        <v/>
      </c>
      <c r="L212" s="188" t="str">
        <f t="shared" si="21"/>
        <v/>
      </c>
      <c r="M212" s="203" t="str">
        <f>IF($H212="USD",IF(OR($L212="",$L212="-"),"",VLOOKUP($G212,為替!$A:$AX,$L212,FALSE))+$K$3,IF(OR($L212="",$L212="-"),"",VLOOKUP($G212,為替!$A:$AX,$L212,FALSE)))</f>
        <v/>
      </c>
      <c r="N212" s="204" t="str">
        <f t="shared" si="22"/>
        <v/>
      </c>
      <c r="O212" s="205" t="str">
        <f t="shared" si="18"/>
        <v/>
      </c>
      <c r="P212" s="206" t="str">
        <f t="shared" si="23"/>
        <v/>
      </c>
    </row>
    <row r="213" spans="3:16" x14ac:dyDescent="0.4">
      <c r="C213" s="199"/>
      <c r="D213" s="200"/>
      <c r="E213" s="201"/>
      <c r="F213" s="199"/>
      <c r="H213" s="202"/>
      <c r="I213" s="185" t="str">
        <f t="shared" si="19"/>
        <v/>
      </c>
      <c r="J213" s="203" t="str">
        <f>IF($H213="USD",IF(OR($I213="",$I213="-"),"",VLOOKUP($G213,為替!$A:$AX,$I213,FALSE))+$J$3,IF(OR($I213="",$I213="-"),"",VLOOKUP($G213,為替!$A:$AX,$I213,FALSE)))</f>
        <v/>
      </c>
      <c r="K213" s="204" t="str">
        <f t="shared" si="20"/>
        <v/>
      </c>
      <c r="L213" s="188" t="str">
        <f t="shared" si="21"/>
        <v/>
      </c>
      <c r="M213" s="203" t="str">
        <f>IF($H213="USD",IF(OR($L213="",$L213="-"),"",VLOOKUP($G213,為替!$A:$AX,$L213,FALSE))+$K$3,IF(OR($L213="",$L213="-"),"",VLOOKUP($G213,為替!$A:$AX,$L213,FALSE)))</f>
        <v/>
      </c>
      <c r="N213" s="204" t="str">
        <f t="shared" si="22"/>
        <v/>
      </c>
      <c r="O213" s="205" t="str">
        <f t="shared" si="18"/>
        <v/>
      </c>
      <c r="P213" s="206" t="str">
        <f t="shared" si="23"/>
        <v/>
      </c>
    </row>
    <row r="214" spans="3:16" x14ac:dyDescent="0.4">
      <c r="C214" s="199"/>
      <c r="D214" s="200"/>
      <c r="E214" s="201"/>
      <c r="F214" s="199"/>
      <c r="H214" s="202"/>
      <c r="I214" s="185" t="str">
        <f t="shared" si="19"/>
        <v/>
      </c>
      <c r="J214" s="203" t="str">
        <f>IF($H214="USD",IF(OR($I214="",$I214="-"),"",VLOOKUP($G214,為替!$A:$AX,$I214,FALSE))+$J$3,IF(OR($I214="",$I214="-"),"",VLOOKUP($G214,為替!$A:$AX,$I214,FALSE)))</f>
        <v/>
      </c>
      <c r="K214" s="204" t="str">
        <f t="shared" si="20"/>
        <v/>
      </c>
      <c r="L214" s="188" t="str">
        <f t="shared" si="21"/>
        <v/>
      </c>
      <c r="M214" s="203" t="str">
        <f>IF($H214="USD",IF(OR($L214="",$L214="-"),"",VLOOKUP($G214,為替!$A:$AX,$L214,FALSE))+$K$3,IF(OR($L214="",$L214="-"),"",VLOOKUP($G214,為替!$A:$AX,$L214,FALSE)))</f>
        <v/>
      </c>
      <c r="N214" s="204" t="str">
        <f t="shared" si="22"/>
        <v/>
      </c>
      <c r="O214" s="205" t="str">
        <f t="shared" si="18"/>
        <v/>
      </c>
      <c r="P214" s="206" t="str">
        <f t="shared" si="23"/>
        <v/>
      </c>
    </row>
    <row r="215" spans="3:16" x14ac:dyDescent="0.4">
      <c r="C215" s="199"/>
      <c r="D215" s="200"/>
      <c r="E215" s="201"/>
      <c r="F215" s="199"/>
      <c r="H215" s="202"/>
      <c r="I215" s="185" t="str">
        <f t="shared" si="19"/>
        <v/>
      </c>
      <c r="J215" s="203" t="str">
        <f>IF($H215="USD",IF(OR($I215="",$I215="-"),"",VLOOKUP($G215,為替!$A:$AX,$I215,FALSE))+$J$3,IF(OR($I215="",$I215="-"),"",VLOOKUP($G215,為替!$A:$AX,$I215,FALSE)))</f>
        <v/>
      </c>
      <c r="K215" s="204" t="str">
        <f t="shared" si="20"/>
        <v/>
      </c>
      <c r="L215" s="188" t="str">
        <f t="shared" si="21"/>
        <v/>
      </c>
      <c r="M215" s="203" t="str">
        <f>IF($H215="USD",IF(OR($L215="",$L215="-"),"",VLOOKUP($G215,為替!$A:$AX,$L215,FALSE))+$K$3,IF(OR($L215="",$L215="-"),"",VLOOKUP($G215,為替!$A:$AX,$L215,FALSE)))</f>
        <v/>
      </c>
      <c r="N215" s="204" t="str">
        <f t="shared" si="22"/>
        <v/>
      </c>
      <c r="O215" s="205" t="str">
        <f t="shared" si="18"/>
        <v/>
      </c>
      <c r="P215" s="206" t="str">
        <f t="shared" si="23"/>
        <v/>
      </c>
    </row>
    <row r="216" spans="3:16" x14ac:dyDescent="0.4">
      <c r="C216" s="199"/>
      <c r="D216" s="200"/>
      <c r="E216" s="201"/>
      <c r="F216" s="199"/>
      <c r="H216" s="202"/>
      <c r="I216" s="185" t="str">
        <f t="shared" si="19"/>
        <v/>
      </c>
      <c r="J216" s="203" t="str">
        <f>IF($H216="USD",IF(OR($I216="",$I216="-"),"",VLOOKUP($G216,為替!$A:$AX,$I216,FALSE))+$J$3,IF(OR($I216="",$I216="-"),"",VLOOKUP($G216,為替!$A:$AX,$I216,FALSE)))</f>
        <v/>
      </c>
      <c r="K216" s="204" t="str">
        <f t="shared" si="20"/>
        <v/>
      </c>
      <c r="L216" s="188" t="str">
        <f t="shared" si="21"/>
        <v/>
      </c>
      <c r="M216" s="203" t="str">
        <f>IF($H216="USD",IF(OR($L216="",$L216="-"),"",VLOOKUP($G216,為替!$A:$AX,$L216,FALSE))+$K$3,IF(OR($L216="",$L216="-"),"",VLOOKUP($G216,為替!$A:$AX,$L216,FALSE)))</f>
        <v/>
      </c>
      <c r="N216" s="204" t="str">
        <f t="shared" si="22"/>
        <v/>
      </c>
      <c r="O216" s="205" t="str">
        <f t="shared" si="18"/>
        <v/>
      </c>
      <c r="P216" s="206" t="str">
        <f t="shared" si="23"/>
        <v/>
      </c>
    </row>
    <row r="217" spans="3:16" x14ac:dyDescent="0.4">
      <c r="C217" s="199"/>
      <c r="D217" s="200"/>
      <c r="E217" s="201"/>
      <c r="F217" s="199"/>
      <c r="H217" s="202"/>
      <c r="I217" s="185" t="str">
        <f t="shared" si="19"/>
        <v/>
      </c>
      <c r="J217" s="203" t="str">
        <f>IF($H217="USD",IF(OR($I217="",$I217="-"),"",VLOOKUP($G217,為替!$A:$AX,$I217,FALSE))+$J$3,IF(OR($I217="",$I217="-"),"",VLOOKUP($G217,為替!$A:$AX,$I217,FALSE)))</f>
        <v/>
      </c>
      <c r="K217" s="204" t="str">
        <f t="shared" si="20"/>
        <v/>
      </c>
      <c r="L217" s="188" t="str">
        <f t="shared" si="21"/>
        <v/>
      </c>
      <c r="M217" s="203" t="str">
        <f>IF($H217="USD",IF(OR($L217="",$L217="-"),"",VLOOKUP($G217,為替!$A:$AX,$L217,FALSE))+$K$3,IF(OR($L217="",$L217="-"),"",VLOOKUP($G217,為替!$A:$AX,$L217,FALSE)))</f>
        <v/>
      </c>
      <c r="N217" s="204" t="str">
        <f t="shared" si="22"/>
        <v/>
      </c>
      <c r="O217" s="205" t="str">
        <f t="shared" si="18"/>
        <v/>
      </c>
      <c r="P217" s="206" t="str">
        <f t="shared" si="23"/>
        <v/>
      </c>
    </row>
    <row r="218" spans="3:16" x14ac:dyDescent="0.4">
      <c r="C218" s="199"/>
      <c r="D218" s="200"/>
      <c r="E218" s="201"/>
      <c r="F218" s="199"/>
      <c r="H218" s="202"/>
      <c r="I218" s="185" t="str">
        <f t="shared" si="19"/>
        <v/>
      </c>
      <c r="J218" s="203" t="str">
        <f>IF($H218="USD",IF(OR($I218="",$I218="-"),"",VLOOKUP($G218,為替!$A:$AX,$I218,FALSE))+$J$3,IF(OR($I218="",$I218="-"),"",VLOOKUP($G218,為替!$A:$AX,$I218,FALSE)))</f>
        <v/>
      </c>
      <c r="K218" s="204" t="str">
        <f t="shared" si="20"/>
        <v/>
      </c>
      <c r="L218" s="188" t="str">
        <f t="shared" si="21"/>
        <v/>
      </c>
      <c r="M218" s="203" t="str">
        <f>IF($H218="USD",IF(OR($L218="",$L218="-"),"",VLOOKUP($G218,為替!$A:$AX,$L218,FALSE))+$K$3,IF(OR($L218="",$L218="-"),"",VLOOKUP($G218,為替!$A:$AX,$L218,FALSE)))</f>
        <v/>
      </c>
      <c r="N218" s="204" t="str">
        <f t="shared" si="22"/>
        <v/>
      </c>
      <c r="O218" s="205" t="str">
        <f t="shared" si="18"/>
        <v/>
      </c>
      <c r="P218" s="206" t="str">
        <f t="shared" si="23"/>
        <v/>
      </c>
    </row>
    <row r="219" spans="3:16" x14ac:dyDescent="0.4">
      <c r="C219" s="199"/>
      <c r="D219" s="200"/>
      <c r="E219" s="201"/>
      <c r="F219" s="199"/>
      <c r="H219" s="202"/>
      <c r="I219" s="185" t="str">
        <f t="shared" si="19"/>
        <v/>
      </c>
      <c r="J219" s="203" t="str">
        <f>IF($H219="USD",IF(OR($I219="",$I219="-"),"",VLOOKUP($G219,為替!$A:$AX,$I219,FALSE))+$J$3,IF(OR($I219="",$I219="-"),"",VLOOKUP($G219,為替!$A:$AX,$I219,FALSE)))</f>
        <v/>
      </c>
      <c r="K219" s="204" t="str">
        <f t="shared" si="20"/>
        <v/>
      </c>
      <c r="L219" s="188" t="str">
        <f t="shared" si="21"/>
        <v/>
      </c>
      <c r="M219" s="203" t="str">
        <f>IF($H219="USD",IF(OR($L219="",$L219="-"),"",VLOOKUP($G219,為替!$A:$AX,$L219,FALSE))+$K$3,IF(OR($L219="",$L219="-"),"",VLOOKUP($G219,為替!$A:$AX,$L219,FALSE)))</f>
        <v/>
      </c>
      <c r="N219" s="204" t="str">
        <f t="shared" si="22"/>
        <v/>
      </c>
      <c r="O219" s="205" t="str">
        <f t="shared" si="18"/>
        <v/>
      </c>
      <c r="P219" s="206" t="str">
        <f t="shared" si="23"/>
        <v/>
      </c>
    </row>
    <row r="220" spans="3:16" x14ac:dyDescent="0.4">
      <c r="C220" s="199"/>
      <c r="D220" s="200"/>
      <c r="E220" s="201"/>
      <c r="F220" s="199"/>
      <c r="H220" s="202"/>
      <c r="I220" s="185" t="str">
        <f t="shared" si="19"/>
        <v/>
      </c>
      <c r="J220" s="203" t="str">
        <f>IF($H220="USD",IF(OR($I220="",$I220="-"),"",VLOOKUP($G220,為替!$A:$AX,$I220,FALSE))+$J$3,IF(OR($I220="",$I220="-"),"",VLOOKUP($G220,為替!$A:$AX,$I220,FALSE)))</f>
        <v/>
      </c>
      <c r="K220" s="204" t="str">
        <f t="shared" si="20"/>
        <v/>
      </c>
      <c r="L220" s="188" t="str">
        <f t="shared" si="21"/>
        <v/>
      </c>
      <c r="M220" s="203" t="str">
        <f>IF($H220="USD",IF(OR($L220="",$L220="-"),"",VLOOKUP($G220,為替!$A:$AX,$L220,FALSE))+$K$3,IF(OR($L220="",$L220="-"),"",VLOOKUP($G220,為替!$A:$AX,$L220,FALSE)))</f>
        <v/>
      </c>
      <c r="N220" s="204" t="str">
        <f t="shared" si="22"/>
        <v/>
      </c>
      <c r="O220" s="205" t="str">
        <f t="shared" si="18"/>
        <v/>
      </c>
      <c r="P220" s="206" t="str">
        <f t="shared" si="23"/>
        <v/>
      </c>
    </row>
    <row r="221" spans="3:16" x14ac:dyDescent="0.4">
      <c r="C221" s="199"/>
      <c r="D221" s="200"/>
      <c r="E221" s="201"/>
      <c r="F221" s="199"/>
      <c r="H221" s="202"/>
      <c r="I221" s="185" t="str">
        <f t="shared" si="19"/>
        <v/>
      </c>
      <c r="J221" s="203" t="str">
        <f>IF($H221="USD",IF(OR($I221="",$I221="-"),"",VLOOKUP($G221,為替!$A:$AX,$I221,FALSE))+$J$3,IF(OR($I221="",$I221="-"),"",VLOOKUP($G221,為替!$A:$AX,$I221,FALSE)))</f>
        <v/>
      </c>
      <c r="K221" s="204" t="str">
        <f t="shared" si="20"/>
        <v/>
      </c>
      <c r="L221" s="188" t="str">
        <f t="shared" si="21"/>
        <v/>
      </c>
      <c r="M221" s="203" t="str">
        <f>IF($H221="USD",IF(OR($L221="",$L221="-"),"",VLOOKUP($G221,為替!$A:$AX,$L221,FALSE))+$K$3,IF(OR($L221="",$L221="-"),"",VLOOKUP($G221,為替!$A:$AX,$L221,FALSE)))</f>
        <v/>
      </c>
      <c r="N221" s="204" t="str">
        <f t="shared" si="22"/>
        <v/>
      </c>
      <c r="O221" s="205" t="str">
        <f t="shared" si="18"/>
        <v/>
      </c>
      <c r="P221" s="206" t="str">
        <f t="shared" si="23"/>
        <v/>
      </c>
    </row>
    <row r="222" spans="3:16" x14ac:dyDescent="0.4">
      <c r="C222" s="199"/>
      <c r="D222" s="200"/>
      <c r="E222" s="201"/>
      <c r="F222" s="199"/>
      <c r="H222" s="202"/>
      <c r="I222" s="185" t="str">
        <f t="shared" si="19"/>
        <v/>
      </c>
      <c r="J222" s="203" t="str">
        <f>IF($H222="USD",IF(OR($I222="",$I222="-"),"",VLOOKUP($G222,為替!$A:$AX,$I222,FALSE))+$J$3,IF(OR($I222="",$I222="-"),"",VLOOKUP($G222,為替!$A:$AX,$I222,FALSE)))</f>
        <v/>
      </c>
      <c r="K222" s="204" t="str">
        <f t="shared" si="20"/>
        <v/>
      </c>
      <c r="L222" s="188" t="str">
        <f t="shared" si="21"/>
        <v/>
      </c>
      <c r="M222" s="203" t="str">
        <f>IF($H222="USD",IF(OR($L222="",$L222="-"),"",VLOOKUP($G222,為替!$A:$AX,$L222,FALSE))+$K$3,IF(OR($L222="",$L222="-"),"",VLOOKUP($G222,為替!$A:$AX,$L222,FALSE)))</f>
        <v/>
      </c>
      <c r="N222" s="204" t="str">
        <f t="shared" si="22"/>
        <v/>
      </c>
      <c r="O222" s="205" t="str">
        <f t="shared" si="18"/>
        <v/>
      </c>
      <c r="P222" s="206" t="str">
        <f t="shared" si="23"/>
        <v/>
      </c>
    </row>
    <row r="223" spans="3:16" x14ac:dyDescent="0.4">
      <c r="C223" s="199"/>
      <c r="D223" s="200"/>
      <c r="E223" s="201"/>
      <c r="F223" s="199"/>
      <c r="H223" s="202"/>
      <c r="I223" s="185" t="str">
        <f t="shared" si="19"/>
        <v/>
      </c>
      <c r="J223" s="203" t="str">
        <f>IF($H223="USD",IF(OR($I223="",$I223="-"),"",VLOOKUP($G223,為替!$A:$AX,$I223,FALSE))+$J$3,IF(OR($I223="",$I223="-"),"",VLOOKUP($G223,為替!$A:$AX,$I223,FALSE)))</f>
        <v/>
      </c>
      <c r="K223" s="204" t="str">
        <f t="shared" si="20"/>
        <v/>
      </c>
      <c r="L223" s="188" t="str">
        <f t="shared" si="21"/>
        <v/>
      </c>
      <c r="M223" s="203" t="str">
        <f>IF($H223="USD",IF(OR($L223="",$L223="-"),"",VLOOKUP($G223,為替!$A:$AX,$L223,FALSE))+$K$3,IF(OR($L223="",$L223="-"),"",VLOOKUP($G223,為替!$A:$AX,$L223,FALSE)))</f>
        <v/>
      </c>
      <c r="N223" s="204" t="str">
        <f t="shared" si="22"/>
        <v/>
      </c>
      <c r="O223" s="205" t="str">
        <f t="shared" si="18"/>
        <v/>
      </c>
      <c r="P223" s="206" t="str">
        <f t="shared" si="23"/>
        <v/>
      </c>
    </row>
    <row r="224" spans="3:16" x14ac:dyDescent="0.4">
      <c r="C224" s="199"/>
      <c r="D224" s="200"/>
      <c r="E224" s="201"/>
      <c r="F224" s="199"/>
      <c r="H224" s="202"/>
      <c r="I224" s="185" t="str">
        <f t="shared" si="19"/>
        <v/>
      </c>
      <c r="J224" s="203" t="str">
        <f>IF($H224="USD",IF(OR($I224="",$I224="-"),"",VLOOKUP($G224,為替!$A:$AX,$I224,FALSE))+$J$3,IF(OR($I224="",$I224="-"),"",VLOOKUP($G224,為替!$A:$AX,$I224,FALSE)))</f>
        <v/>
      </c>
      <c r="K224" s="204" t="str">
        <f t="shared" si="20"/>
        <v/>
      </c>
      <c r="L224" s="188" t="str">
        <f t="shared" si="21"/>
        <v/>
      </c>
      <c r="M224" s="203" t="str">
        <f>IF($H224="USD",IF(OR($L224="",$L224="-"),"",VLOOKUP($G224,為替!$A:$AX,$L224,FALSE))+$K$3,IF(OR($L224="",$L224="-"),"",VLOOKUP($G224,為替!$A:$AX,$L224,FALSE)))</f>
        <v/>
      </c>
      <c r="N224" s="204" t="str">
        <f t="shared" si="22"/>
        <v/>
      </c>
      <c r="O224" s="205" t="str">
        <f t="shared" si="18"/>
        <v/>
      </c>
      <c r="P224" s="206" t="str">
        <f t="shared" si="23"/>
        <v/>
      </c>
    </row>
    <row r="225" spans="3:16" x14ac:dyDescent="0.4">
      <c r="C225" s="199"/>
      <c r="D225" s="200"/>
      <c r="E225" s="201"/>
      <c r="F225" s="199"/>
      <c r="H225" s="202"/>
      <c r="I225" s="185" t="str">
        <f t="shared" si="19"/>
        <v/>
      </c>
      <c r="J225" s="203" t="str">
        <f>IF($H225="USD",IF(OR($I225="",$I225="-"),"",VLOOKUP($G225,為替!$A:$AX,$I225,FALSE))+$J$3,IF(OR($I225="",$I225="-"),"",VLOOKUP($G225,為替!$A:$AX,$I225,FALSE)))</f>
        <v/>
      </c>
      <c r="K225" s="204" t="str">
        <f t="shared" si="20"/>
        <v/>
      </c>
      <c r="L225" s="188" t="str">
        <f t="shared" si="21"/>
        <v/>
      </c>
      <c r="M225" s="203" t="str">
        <f>IF($H225="USD",IF(OR($L225="",$L225="-"),"",VLOOKUP($G225,為替!$A:$AX,$L225,FALSE))+$K$3,IF(OR($L225="",$L225="-"),"",VLOOKUP($G225,為替!$A:$AX,$L225,FALSE)))</f>
        <v/>
      </c>
      <c r="N225" s="204" t="str">
        <f t="shared" si="22"/>
        <v/>
      </c>
      <c r="O225" s="205" t="str">
        <f t="shared" si="18"/>
        <v/>
      </c>
      <c r="P225" s="206" t="str">
        <f t="shared" si="23"/>
        <v/>
      </c>
    </row>
    <row r="226" spans="3:16" x14ac:dyDescent="0.4">
      <c r="C226" s="199"/>
      <c r="D226" s="200"/>
      <c r="E226" s="201"/>
      <c r="F226" s="199"/>
      <c r="H226" s="202"/>
      <c r="I226" s="185" t="str">
        <f t="shared" si="19"/>
        <v/>
      </c>
      <c r="J226" s="203" t="str">
        <f>IF($H226="USD",IF(OR($I226="",$I226="-"),"",VLOOKUP($G226,為替!$A:$AX,$I226,FALSE))+$J$3,IF(OR($I226="",$I226="-"),"",VLOOKUP($G226,為替!$A:$AX,$I226,FALSE)))</f>
        <v/>
      </c>
      <c r="K226" s="204" t="str">
        <f t="shared" si="20"/>
        <v/>
      </c>
      <c r="L226" s="188" t="str">
        <f t="shared" si="21"/>
        <v/>
      </c>
      <c r="M226" s="203" t="str">
        <f>IF($H226="USD",IF(OR($L226="",$L226="-"),"",VLOOKUP($G226,為替!$A:$AX,$L226,FALSE))+$K$3,IF(OR($L226="",$L226="-"),"",VLOOKUP($G226,為替!$A:$AX,$L226,FALSE)))</f>
        <v/>
      </c>
      <c r="N226" s="204" t="str">
        <f t="shared" si="22"/>
        <v/>
      </c>
      <c r="O226" s="205" t="str">
        <f t="shared" si="18"/>
        <v/>
      </c>
      <c r="P226" s="206" t="str">
        <f t="shared" si="23"/>
        <v/>
      </c>
    </row>
    <row r="227" spans="3:16" x14ac:dyDescent="0.4">
      <c r="C227" s="199"/>
      <c r="D227" s="200"/>
      <c r="E227" s="201"/>
      <c r="F227" s="199"/>
      <c r="H227" s="202"/>
      <c r="I227" s="185" t="str">
        <f t="shared" si="19"/>
        <v/>
      </c>
      <c r="J227" s="203" t="str">
        <f>IF($H227="USD",IF(OR($I227="",$I227="-"),"",VLOOKUP($G227,為替!$A:$AX,$I227,FALSE))+$J$3,IF(OR($I227="",$I227="-"),"",VLOOKUP($G227,為替!$A:$AX,$I227,FALSE)))</f>
        <v/>
      </c>
      <c r="K227" s="204" t="str">
        <f t="shared" si="20"/>
        <v/>
      </c>
      <c r="L227" s="188" t="str">
        <f t="shared" si="21"/>
        <v/>
      </c>
      <c r="M227" s="203" t="str">
        <f>IF($H227="USD",IF(OR($L227="",$L227="-"),"",VLOOKUP($G227,為替!$A:$AX,$L227,FALSE))+$K$3,IF(OR($L227="",$L227="-"),"",VLOOKUP($G227,為替!$A:$AX,$L227,FALSE)))</f>
        <v/>
      </c>
      <c r="N227" s="204" t="str">
        <f t="shared" si="22"/>
        <v/>
      </c>
      <c r="O227" s="205" t="str">
        <f t="shared" si="18"/>
        <v/>
      </c>
      <c r="P227" s="206" t="str">
        <f t="shared" si="23"/>
        <v/>
      </c>
    </row>
    <row r="228" spans="3:16" x14ac:dyDescent="0.4">
      <c r="C228" s="199"/>
      <c r="D228" s="200"/>
      <c r="E228" s="201"/>
      <c r="F228" s="199"/>
      <c r="H228" s="202"/>
      <c r="I228" s="185" t="str">
        <f t="shared" si="19"/>
        <v/>
      </c>
      <c r="J228" s="203" t="str">
        <f>IF($H228="USD",IF(OR($I228="",$I228="-"),"",VLOOKUP($G228,為替!$A:$AX,$I228,FALSE))+$J$3,IF(OR($I228="",$I228="-"),"",VLOOKUP($G228,為替!$A:$AX,$I228,FALSE)))</f>
        <v/>
      </c>
      <c r="K228" s="204" t="str">
        <f t="shared" si="20"/>
        <v/>
      </c>
      <c r="L228" s="188" t="str">
        <f t="shared" si="21"/>
        <v/>
      </c>
      <c r="M228" s="203" t="str">
        <f>IF($H228="USD",IF(OR($L228="",$L228="-"),"",VLOOKUP($G228,為替!$A:$AX,$L228,FALSE))+$K$3,IF(OR($L228="",$L228="-"),"",VLOOKUP($G228,為替!$A:$AX,$L228,FALSE)))</f>
        <v/>
      </c>
      <c r="N228" s="204" t="str">
        <f t="shared" si="22"/>
        <v/>
      </c>
      <c r="O228" s="205" t="str">
        <f t="shared" si="18"/>
        <v/>
      </c>
      <c r="P228" s="206" t="str">
        <f t="shared" si="23"/>
        <v/>
      </c>
    </row>
    <row r="229" spans="3:16" x14ac:dyDescent="0.4">
      <c r="C229" s="199"/>
      <c r="D229" s="200"/>
      <c r="E229" s="201"/>
      <c r="F229" s="199"/>
      <c r="H229" s="202"/>
      <c r="I229" s="185" t="str">
        <f t="shared" si="19"/>
        <v/>
      </c>
      <c r="J229" s="203" t="str">
        <f>IF($H229="USD",IF(OR($I229="",$I229="-"),"",VLOOKUP($G229,為替!$A:$AX,$I229,FALSE))+$J$3,IF(OR($I229="",$I229="-"),"",VLOOKUP($G229,為替!$A:$AX,$I229,FALSE)))</f>
        <v/>
      </c>
      <c r="K229" s="204" t="str">
        <f t="shared" si="20"/>
        <v/>
      </c>
      <c r="L229" s="188" t="str">
        <f t="shared" si="21"/>
        <v/>
      </c>
      <c r="M229" s="203" t="str">
        <f>IF($H229="USD",IF(OR($L229="",$L229="-"),"",VLOOKUP($G229,為替!$A:$AX,$L229,FALSE))+$K$3,IF(OR($L229="",$L229="-"),"",VLOOKUP($G229,為替!$A:$AX,$L229,FALSE)))</f>
        <v/>
      </c>
      <c r="N229" s="204" t="str">
        <f t="shared" si="22"/>
        <v/>
      </c>
      <c r="O229" s="205" t="str">
        <f t="shared" si="18"/>
        <v/>
      </c>
      <c r="P229" s="206" t="str">
        <f t="shared" si="23"/>
        <v/>
      </c>
    </row>
    <row r="230" spans="3:16" x14ac:dyDescent="0.4">
      <c r="C230" s="199"/>
      <c r="D230" s="200"/>
      <c r="E230" s="201"/>
      <c r="F230" s="199"/>
      <c r="H230" s="202"/>
      <c r="I230" s="185" t="str">
        <f t="shared" si="19"/>
        <v/>
      </c>
      <c r="J230" s="203" t="str">
        <f>IF($H230="USD",IF(OR($I230="",$I230="-"),"",VLOOKUP($G230,為替!$A:$AX,$I230,FALSE))+$J$3,IF(OR($I230="",$I230="-"),"",VLOOKUP($G230,為替!$A:$AX,$I230,FALSE)))</f>
        <v/>
      </c>
      <c r="K230" s="204" t="str">
        <f t="shared" si="20"/>
        <v/>
      </c>
      <c r="L230" s="188" t="str">
        <f t="shared" si="21"/>
        <v/>
      </c>
      <c r="M230" s="203" t="str">
        <f>IF($H230="USD",IF(OR($L230="",$L230="-"),"",VLOOKUP($G230,為替!$A:$AX,$L230,FALSE))+$K$3,IF(OR($L230="",$L230="-"),"",VLOOKUP($G230,為替!$A:$AX,$L230,FALSE)))</f>
        <v/>
      </c>
      <c r="N230" s="204" t="str">
        <f t="shared" si="22"/>
        <v/>
      </c>
      <c r="O230" s="205" t="str">
        <f t="shared" si="18"/>
        <v/>
      </c>
      <c r="P230" s="206" t="str">
        <f t="shared" si="23"/>
        <v/>
      </c>
    </row>
    <row r="231" spans="3:16" x14ac:dyDescent="0.4">
      <c r="C231" s="199"/>
      <c r="D231" s="200"/>
      <c r="E231" s="201"/>
      <c r="F231" s="199"/>
      <c r="H231" s="202"/>
      <c r="I231" s="185" t="str">
        <f t="shared" si="19"/>
        <v/>
      </c>
      <c r="J231" s="203" t="str">
        <f>IF($H231="USD",IF(OR($I231="",$I231="-"),"",VLOOKUP($G231,為替!$A:$AX,$I231,FALSE))+$J$3,IF(OR($I231="",$I231="-"),"",VLOOKUP($G231,為替!$A:$AX,$I231,FALSE)))</f>
        <v/>
      </c>
      <c r="K231" s="204" t="str">
        <f t="shared" si="20"/>
        <v/>
      </c>
      <c r="L231" s="188" t="str">
        <f t="shared" si="21"/>
        <v/>
      </c>
      <c r="M231" s="203" t="str">
        <f>IF($H231="USD",IF(OR($L231="",$L231="-"),"",VLOOKUP($G231,為替!$A:$AX,$L231,FALSE))+$K$3,IF(OR($L231="",$L231="-"),"",VLOOKUP($G231,為替!$A:$AX,$L231,FALSE)))</f>
        <v/>
      </c>
      <c r="N231" s="204" t="str">
        <f t="shared" si="22"/>
        <v/>
      </c>
      <c r="O231" s="205" t="str">
        <f t="shared" si="18"/>
        <v/>
      </c>
      <c r="P231" s="206" t="str">
        <f t="shared" si="23"/>
        <v/>
      </c>
    </row>
    <row r="232" spans="3:16" x14ac:dyDescent="0.4">
      <c r="C232" s="199"/>
      <c r="D232" s="200"/>
      <c r="E232" s="201"/>
      <c r="F232" s="199"/>
      <c r="H232" s="202"/>
      <c r="I232" s="185" t="str">
        <f t="shared" si="19"/>
        <v/>
      </c>
      <c r="J232" s="203" t="str">
        <f>IF($H232="USD",IF(OR($I232="",$I232="-"),"",VLOOKUP($G232,為替!$A:$AX,$I232,FALSE))+$J$3,IF(OR($I232="",$I232="-"),"",VLOOKUP($G232,為替!$A:$AX,$I232,FALSE)))</f>
        <v/>
      </c>
      <c r="K232" s="204" t="str">
        <f t="shared" si="20"/>
        <v/>
      </c>
      <c r="L232" s="188" t="str">
        <f t="shared" si="21"/>
        <v/>
      </c>
      <c r="M232" s="203" t="str">
        <f>IF($H232="USD",IF(OR($L232="",$L232="-"),"",VLOOKUP($G232,為替!$A:$AX,$L232,FALSE))+$K$3,IF(OR($L232="",$L232="-"),"",VLOOKUP($G232,為替!$A:$AX,$L232,FALSE)))</f>
        <v/>
      </c>
      <c r="N232" s="204" t="str">
        <f t="shared" si="22"/>
        <v/>
      </c>
      <c r="O232" s="205" t="str">
        <f t="shared" si="18"/>
        <v/>
      </c>
      <c r="P232" s="206" t="str">
        <f t="shared" si="23"/>
        <v/>
      </c>
    </row>
    <row r="233" spans="3:16" x14ac:dyDescent="0.4">
      <c r="C233" s="199"/>
      <c r="D233" s="200"/>
      <c r="E233" s="201"/>
      <c r="F233" s="199"/>
      <c r="H233" s="202"/>
      <c r="I233" s="185" t="str">
        <f t="shared" si="19"/>
        <v/>
      </c>
      <c r="J233" s="203" t="str">
        <f>IF($H233="USD",IF(OR($I233="",$I233="-"),"",VLOOKUP($G233,為替!$A:$AX,$I233,FALSE))+$J$3,IF(OR($I233="",$I233="-"),"",VLOOKUP($G233,為替!$A:$AX,$I233,FALSE)))</f>
        <v/>
      </c>
      <c r="K233" s="204" t="str">
        <f t="shared" si="20"/>
        <v/>
      </c>
      <c r="L233" s="188" t="str">
        <f t="shared" si="21"/>
        <v/>
      </c>
      <c r="M233" s="203" t="str">
        <f>IF($H233="USD",IF(OR($L233="",$L233="-"),"",VLOOKUP($G233,為替!$A:$AX,$L233,FALSE))+$K$3,IF(OR($L233="",$L233="-"),"",VLOOKUP($G233,為替!$A:$AX,$L233,FALSE)))</f>
        <v/>
      </c>
      <c r="N233" s="204" t="str">
        <f t="shared" si="22"/>
        <v/>
      </c>
      <c r="O233" s="205" t="str">
        <f t="shared" si="18"/>
        <v/>
      </c>
      <c r="P233" s="206" t="str">
        <f t="shared" si="23"/>
        <v/>
      </c>
    </row>
    <row r="234" spans="3:16" x14ac:dyDescent="0.4">
      <c r="C234" s="199"/>
      <c r="D234" s="200"/>
      <c r="E234" s="201"/>
      <c r="F234" s="199"/>
      <c r="H234" s="202"/>
      <c r="I234" s="185" t="str">
        <f t="shared" si="19"/>
        <v/>
      </c>
      <c r="J234" s="203" t="str">
        <f>IF($H234="USD",IF(OR($I234="",$I234="-"),"",VLOOKUP($G234,為替!$A:$AX,$I234,FALSE))+$J$3,IF(OR($I234="",$I234="-"),"",VLOOKUP($G234,為替!$A:$AX,$I234,FALSE)))</f>
        <v/>
      </c>
      <c r="K234" s="204" t="str">
        <f t="shared" si="20"/>
        <v/>
      </c>
      <c r="L234" s="188" t="str">
        <f t="shared" si="21"/>
        <v/>
      </c>
      <c r="M234" s="203" t="str">
        <f>IF($H234="USD",IF(OR($L234="",$L234="-"),"",VLOOKUP($G234,為替!$A:$AX,$L234,FALSE))+$K$3,IF(OR($L234="",$L234="-"),"",VLOOKUP($G234,為替!$A:$AX,$L234,FALSE)))</f>
        <v/>
      </c>
      <c r="N234" s="204" t="str">
        <f t="shared" si="22"/>
        <v/>
      </c>
      <c r="O234" s="205" t="str">
        <f t="shared" si="18"/>
        <v/>
      </c>
      <c r="P234" s="206" t="str">
        <f t="shared" si="23"/>
        <v/>
      </c>
    </row>
    <row r="235" spans="3:16" x14ac:dyDescent="0.4">
      <c r="C235" s="199"/>
      <c r="D235" s="200"/>
      <c r="E235" s="201"/>
      <c r="F235" s="199"/>
      <c r="H235" s="202"/>
      <c r="I235" s="185" t="str">
        <f t="shared" si="19"/>
        <v/>
      </c>
      <c r="J235" s="203" t="str">
        <f>IF($H235="USD",IF(OR($I235="",$I235="-"),"",VLOOKUP($G235,為替!$A:$AX,$I235,FALSE))+$J$3,IF(OR($I235="",$I235="-"),"",VLOOKUP($G235,為替!$A:$AX,$I235,FALSE)))</f>
        <v/>
      </c>
      <c r="K235" s="204" t="str">
        <f t="shared" si="20"/>
        <v/>
      </c>
      <c r="L235" s="188" t="str">
        <f t="shared" si="21"/>
        <v/>
      </c>
      <c r="M235" s="203" t="str">
        <f>IF($H235="USD",IF(OR($L235="",$L235="-"),"",VLOOKUP($G235,為替!$A:$AX,$L235,FALSE))+$K$3,IF(OR($L235="",$L235="-"),"",VLOOKUP($G235,為替!$A:$AX,$L235,FALSE)))</f>
        <v/>
      </c>
      <c r="N235" s="204" t="str">
        <f t="shared" si="22"/>
        <v/>
      </c>
      <c r="O235" s="205" t="str">
        <f t="shared" si="18"/>
        <v/>
      </c>
      <c r="P235" s="206" t="str">
        <f t="shared" si="23"/>
        <v/>
      </c>
    </row>
    <row r="236" spans="3:16" x14ac:dyDescent="0.4">
      <c r="C236" s="199"/>
      <c r="D236" s="200"/>
      <c r="E236" s="201"/>
      <c r="F236" s="199"/>
      <c r="H236" s="202"/>
      <c r="I236" s="185" t="str">
        <f t="shared" si="19"/>
        <v/>
      </c>
      <c r="J236" s="203" t="str">
        <f>IF($H236="USD",IF(OR($I236="",$I236="-"),"",VLOOKUP($G236,為替!$A:$AX,$I236,FALSE))+$J$3,IF(OR($I236="",$I236="-"),"",VLOOKUP($G236,為替!$A:$AX,$I236,FALSE)))</f>
        <v/>
      </c>
      <c r="K236" s="204" t="str">
        <f t="shared" si="20"/>
        <v/>
      </c>
      <c r="L236" s="188" t="str">
        <f t="shared" si="21"/>
        <v/>
      </c>
      <c r="M236" s="203" t="str">
        <f>IF($H236="USD",IF(OR($L236="",$L236="-"),"",VLOOKUP($G236,為替!$A:$AX,$L236,FALSE))+$K$3,IF(OR($L236="",$L236="-"),"",VLOOKUP($G236,為替!$A:$AX,$L236,FALSE)))</f>
        <v/>
      </c>
      <c r="N236" s="204" t="str">
        <f t="shared" si="22"/>
        <v/>
      </c>
      <c r="O236" s="205" t="str">
        <f t="shared" si="18"/>
        <v/>
      </c>
      <c r="P236" s="206" t="str">
        <f t="shared" si="23"/>
        <v/>
      </c>
    </row>
    <row r="237" spans="3:16" x14ac:dyDescent="0.4">
      <c r="C237" s="199"/>
      <c r="D237" s="200"/>
      <c r="E237" s="201"/>
      <c r="F237" s="199"/>
      <c r="H237" s="202"/>
      <c r="I237" s="185" t="str">
        <f t="shared" si="19"/>
        <v/>
      </c>
      <c r="J237" s="203" t="str">
        <f>IF($H237="USD",IF(OR($I237="",$I237="-"),"",VLOOKUP($G237,為替!$A:$AX,$I237,FALSE))+$J$3,IF(OR($I237="",$I237="-"),"",VLOOKUP($G237,為替!$A:$AX,$I237,FALSE)))</f>
        <v/>
      </c>
      <c r="K237" s="204" t="str">
        <f t="shared" si="20"/>
        <v/>
      </c>
      <c r="L237" s="188" t="str">
        <f t="shared" si="21"/>
        <v/>
      </c>
      <c r="M237" s="203" t="str">
        <f>IF($H237="USD",IF(OR($L237="",$L237="-"),"",VLOOKUP($G237,為替!$A:$AX,$L237,FALSE))+$K$3,IF(OR($L237="",$L237="-"),"",VLOOKUP($G237,為替!$A:$AX,$L237,FALSE)))</f>
        <v/>
      </c>
      <c r="N237" s="204" t="str">
        <f t="shared" si="22"/>
        <v/>
      </c>
      <c r="O237" s="205" t="str">
        <f t="shared" si="18"/>
        <v/>
      </c>
      <c r="P237" s="206" t="str">
        <f t="shared" si="23"/>
        <v/>
      </c>
    </row>
    <row r="238" spans="3:16" x14ac:dyDescent="0.4">
      <c r="C238" s="199"/>
      <c r="D238" s="200"/>
      <c r="E238" s="201"/>
      <c r="F238" s="199"/>
      <c r="H238" s="202"/>
      <c r="I238" s="185" t="str">
        <f t="shared" si="19"/>
        <v/>
      </c>
      <c r="J238" s="203" t="str">
        <f>IF($H238="USD",IF(OR($I238="",$I238="-"),"",VLOOKUP($G238,為替!$A:$AX,$I238,FALSE))+$J$3,IF(OR($I238="",$I238="-"),"",VLOOKUP($G238,為替!$A:$AX,$I238,FALSE)))</f>
        <v/>
      </c>
      <c r="K238" s="204" t="str">
        <f t="shared" si="20"/>
        <v/>
      </c>
      <c r="L238" s="188" t="str">
        <f t="shared" si="21"/>
        <v/>
      </c>
      <c r="M238" s="203" t="str">
        <f>IF($H238="USD",IF(OR($L238="",$L238="-"),"",VLOOKUP($G238,為替!$A:$AX,$L238,FALSE))+$K$3,IF(OR($L238="",$L238="-"),"",VLOOKUP($G238,為替!$A:$AX,$L238,FALSE)))</f>
        <v/>
      </c>
      <c r="N238" s="204" t="str">
        <f t="shared" si="22"/>
        <v/>
      </c>
      <c r="O238" s="205" t="str">
        <f t="shared" si="18"/>
        <v/>
      </c>
      <c r="P238" s="206" t="str">
        <f t="shared" si="23"/>
        <v/>
      </c>
    </row>
    <row r="239" spans="3:16" x14ac:dyDescent="0.4">
      <c r="C239" s="199"/>
      <c r="D239" s="200"/>
      <c r="E239" s="201"/>
      <c r="F239" s="199"/>
      <c r="H239" s="202"/>
      <c r="I239" s="185" t="str">
        <f t="shared" si="19"/>
        <v/>
      </c>
      <c r="J239" s="203" t="str">
        <f>IF($H239="USD",IF(OR($I239="",$I239="-"),"",VLOOKUP($G239,為替!$A:$AX,$I239,FALSE))+$J$3,IF(OR($I239="",$I239="-"),"",VLOOKUP($G239,為替!$A:$AX,$I239,FALSE)))</f>
        <v/>
      </c>
      <c r="K239" s="204" t="str">
        <f t="shared" si="20"/>
        <v/>
      </c>
      <c r="L239" s="188" t="str">
        <f t="shared" si="21"/>
        <v/>
      </c>
      <c r="M239" s="203" t="str">
        <f>IF($H239="USD",IF(OR($L239="",$L239="-"),"",VLOOKUP($G239,為替!$A:$AX,$L239,FALSE))+$K$3,IF(OR($L239="",$L239="-"),"",VLOOKUP($G239,為替!$A:$AX,$L239,FALSE)))</f>
        <v/>
      </c>
      <c r="N239" s="204" t="str">
        <f t="shared" si="22"/>
        <v/>
      </c>
      <c r="O239" s="205" t="str">
        <f t="shared" si="18"/>
        <v/>
      </c>
      <c r="P239" s="206" t="str">
        <f t="shared" si="23"/>
        <v/>
      </c>
    </row>
    <row r="240" spans="3:16" x14ac:dyDescent="0.4">
      <c r="C240" s="199"/>
      <c r="D240" s="200"/>
      <c r="E240" s="201"/>
      <c r="F240" s="199"/>
      <c r="H240" s="202"/>
      <c r="I240" s="185" t="str">
        <f t="shared" si="19"/>
        <v/>
      </c>
      <c r="J240" s="203" t="str">
        <f>IF($H240="USD",IF(OR($I240="",$I240="-"),"",VLOOKUP($G240,為替!$A:$AX,$I240,FALSE))+$J$3,IF(OR($I240="",$I240="-"),"",VLOOKUP($G240,為替!$A:$AX,$I240,FALSE)))</f>
        <v/>
      </c>
      <c r="K240" s="204" t="str">
        <f t="shared" si="20"/>
        <v/>
      </c>
      <c r="L240" s="188" t="str">
        <f t="shared" si="21"/>
        <v/>
      </c>
      <c r="M240" s="203" t="str">
        <f>IF($H240="USD",IF(OR($L240="",$L240="-"),"",VLOOKUP($G240,為替!$A:$AX,$L240,FALSE))+$K$3,IF(OR($L240="",$L240="-"),"",VLOOKUP($G240,為替!$A:$AX,$L240,FALSE)))</f>
        <v/>
      </c>
      <c r="N240" s="204" t="str">
        <f t="shared" si="22"/>
        <v/>
      </c>
      <c r="O240" s="205" t="str">
        <f t="shared" si="18"/>
        <v/>
      </c>
      <c r="P240" s="206" t="str">
        <f t="shared" si="23"/>
        <v/>
      </c>
    </row>
    <row r="241" spans="3:16" x14ac:dyDescent="0.4">
      <c r="C241" s="199"/>
      <c r="D241" s="200"/>
      <c r="E241" s="201"/>
      <c r="F241" s="199"/>
      <c r="H241" s="202"/>
      <c r="I241" s="185" t="str">
        <f t="shared" si="19"/>
        <v/>
      </c>
      <c r="J241" s="203" t="str">
        <f>IF($H241="USD",IF(OR($I241="",$I241="-"),"",VLOOKUP($G241,為替!$A:$AX,$I241,FALSE))+$J$3,IF(OR($I241="",$I241="-"),"",VLOOKUP($G241,為替!$A:$AX,$I241,FALSE)))</f>
        <v/>
      </c>
      <c r="K241" s="204" t="str">
        <f t="shared" si="20"/>
        <v/>
      </c>
      <c r="L241" s="188" t="str">
        <f t="shared" si="21"/>
        <v/>
      </c>
      <c r="M241" s="203" t="str">
        <f>IF($H241="USD",IF(OR($L241="",$L241="-"),"",VLOOKUP($G241,為替!$A:$AX,$L241,FALSE))+$K$3,IF(OR($L241="",$L241="-"),"",VLOOKUP($G241,為替!$A:$AX,$L241,FALSE)))</f>
        <v/>
      </c>
      <c r="N241" s="204" t="str">
        <f t="shared" si="22"/>
        <v/>
      </c>
      <c r="O241" s="205" t="str">
        <f t="shared" si="18"/>
        <v/>
      </c>
      <c r="P241" s="206" t="str">
        <f t="shared" si="23"/>
        <v/>
      </c>
    </row>
    <row r="242" spans="3:16" x14ac:dyDescent="0.4">
      <c r="C242" s="199"/>
      <c r="D242" s="200"/>
      <c r="E242" s="201"/>
      <c r="F242" s="199"/>
      <c r="H242" s="202"/>
      <c r="I242" s="185" t="str">
        <f t="shared" si="19"/>
        <v/>
      </c>
      <c r="J242" s="203" t="str">
        <f>IF($H242="USD",IF(OR($I242="",$I242="-"),"",VLOOKUP($G242,為替!$A:$AX,$I242,FALSE))+$J$3,IF(OR($I242="",$I242="-"),"",VLOOKUP($G242,為替!$A:$AX,$I242,FALSE)))</f>
        <v/>
      </c>
      <c r="K242" s="204" t="str">
        <f t="shared" si="20"/>
        <v/>
      </c>
      <c r="L242" s="188" t="str">
        <f t="shared" si="21"/>
        <v/>
      </c>
      <c r="M242" s="203" t="str">
        <f>IF($H242="USD",IF(OR($L242="",$L242="-"),"",VLOOKUP($G242,為替!$A:$AX,$L242,FALSE))+$K$3,IF(OR($L242="",$L242="-"),"",VLOOKUP($G242,為替!$A:$AX,$L242,FALSE)))</f>
        <v/>
      </c>
      <c r="N242" s="204" t="str">
        <f t="shared" si="22"/>
        <v/>
      </c>
      <c r="O242" s="205" t="str">
        <f t="shared" si="18"/>
        <v/>
      </c>
      <c r="P242" s="206" t="str">
        <f t="shared" si="23"/>
        <v/>
      </c>
    </row>
    <row r="243" spans="3:16" x14ac:dyDescent="0.4">
      <c r="C243" s="199"/>
      <c r="D243" s="200"/>
      <c r="E243" s="201"/>
      <c r="F243" s="199"/>
      <c r="H243" s="202"/>
      <c r="I243" s="185" t="str">
        <f t="shared" si="19"/>
        <v/>
      </c>
      <c r="J243" s="203" t="str">
        <f>IF($H243="USD",IF(OR($I243="",$I243="-"),"",VLOOKUP($G243,為替!$A:$AX,$I243,FALSE))+$J$3,IF(OR($I243="",$I243="-"),"",VLOOKUP($G243,為替!$A:$AX,$I243,FALSE)))</f>
        <v/>
      </c>
      <c r="K243" s="204" t="str">
        <f t="shared" si="20"/>
        <v/>
      </c>
      <c r="L243" s="188" t="str">
        <f t="shared" si="21"/>
        <v/>
      </c>
      <c r="M243" s="203" t="str">
        <f>IF($H243="USD",IF(OR($L243="",$L243="-"),"",VLOOKUP($G243,為替!$A:$AX,$L243,FALSE))+$K$3,IF(OR($L243="",$L243="-"),"",VLOOKUP($G243,為替!$A:$AX,$L243,FALSE)))</f>
        <v/>
      </c>
      <c r="N243" s="204" t="str">
        <f t="shared" si="22"/>
        <v/>
      </c>
      <c r="O243" s="205" t="str">
        <f t="shared" si="18"/>
        <v/>
      </c>
      <c r="P243" s="206" t="str">
        <f t="shared" si="23"/>
        <v/>
      </c>
    </row>
    <row r="244" spans="3:16" x14ac:dyDescent="0.4">
      <c r="C244" s="199"/>
      <c r="D244" s="200"/>
      <c r="E244" s="201"/>
      <c r="F244" s="199"/>
      <c r="H244" s="202"/>
      <c r="I244" s="185" t="str">
        <f t="shared" si="19"/>
        <v/>
      </c>
      <c r="J244" s="203" t="str">
        <f>IF($H244="USD",IF(OR($I244="",$I244="-"),"",VLOOKUP($G244,為替!$A:$AX,$I244,FALSE))+$J$3,IF(OR($I244="",$I244="-"),"",VLOOKUP($G244,為替!$A:$AX,$I244,FALSE)))</f>
        <v/>
      </c>
      <c r="K244" s="204" t="str">
        <f t="shared" si="20"/>
        <v/>
      </c>
      <c r="L244" s="188" t="str">
        <f t="shared" si="21"/>
        <v/>
      </c>
      <c r="M244" s="203" t="str">
        <f>IF($H244="USD",IF(OR($L244="",$L244="-"),"",VLOOKUP($G244,為替!$A:$AX,$L244,FALSE))+$K$3,IF(OR($L244="",$L244="-"),"",VLOOKUP($G244,為替!$A:$AX,$L244,FALSE)))</f>
        <v/>
      </c>
      <c r="N244" s="204" t="str">
        <f t="shared" si="22"/>
        <v/>
      </c>
      <c r="O244" s="205" t="str">
        <f t="shared" si="18"/>
        <v/>
      </c>
      <c r="P244" s="206" t="str">
        <f t="shared" si="23"/>
        <v/>
      </c>
    </row>
    <row r="245" spans="3:16" x14ac:dyDescent="0.4">
      <c r="C245" s="199"/>
      <c r="D245" s="200"/>
      <c r="E245" s="201"/>
      <c r="F245" s="199"/>
      <c r="H245" s="202"/>
      <c r="I245" s="185" t="str">
        <f t="shared" si="19"/>
        <v/>
      </c>
      <c r="J245" s="203" t="str">
        <f>IF($H245="USD",IF(OR($I245="",$I245="-"),"",VLOOKUP($G245,為替!$A:$AX,$I245,FALSE))+$J$3,IF(OR($I245="",$I245="-"),"",VLOOKUP($G245,為替!$A:$AX,$I245,FALSE)))</f>
        <v/>
      </c>
      <c r="K245" s="204" t="str">
        <f t="shared" si="20"/>
        <v/>
      </c>
      <c r="L245" s="188" t="str">
        <f t="shared" si="21"/>
        <v/>
      </c>
      <c r="M245" s="203" t="str">
        <f>IF($H245="USD",IF(OR($L245="",$L245="-"),"",VLOOKUP($G245,為替!$A:$AX,$L245,FALSE))+$K$3,IF(OR($L245="",$L245="-"),"",VLOOKUP($G245,為替!$A:$AX,$L245,FALSE)))</f>
        <v/>
      </c>
      <c r="N245" s="204" t="str">
        <f t="shared" si="22"/>
        <v/>
      </c>
      <c r="O245" s="205" t="str">
        <f t="shared" si="18"/>
        <v/>
      </c>
      <c r="P245" s="206" t="str">
        <f t="shared" si="23"/>
        <v/>
      </c>
    </row>
    <row r="246" spans="3:16" x14ac:dyDescent="0.4">
      <c r="C246" s="199"/>
      <c r="D246" s="200"/>
      <c r="E246" s="201"/>
      <c r="F246" s="199"/>
      <c r="H246" s="202"/>
      <c r="I246" s="185" t="str">
        <f t="shared" si="19"/>
        <v/>
      </c>
      <c r="J246" s="203" t="str">
        <f>IF($H246="USD",IF(OR($I246="",$I246="-"),"",VLOOKUP($G246,為替!$A:$AX,$I246,FALSE))+$J$3,IF(OR($I246="",$I246="-"),"",VLOOKUP($G246,為替!$A:$AX,$I246,FALSE)))</f>
        <v/>
      </c>
      <c r="K246" s="204" t="str">
        <f t="shared" si="20"/>
        <v/>
      </c>
      <c r="L246" s="188" t="str">
        <f t="shared" si="21"/>
        <v/>
      </c>
      <c r="M246" s="203" t="str">
        <f>IF($H246="USD",IF(OR($L246="",$L246="-"),"",VLOOKUP($G246,為替!$A:$AX,$L246,FALSE))+$K$3,IF(OR($L246="",$L246="-"),"",VLOOKUP($G246,為替!$A:$AX,$L246,FALSE)))</f>
        <v/>
      </c>
      <c r="N246" s="204" t="str">
        <f t="shared" si="22"/>
        <v/>
      </c>
      <c r="O246" s="205" t="str">
        <f t="shared" si="18"/>
        <v/>
      </c>
      <c r="P246" s="206" t="str">
        <f t="shared" si="23"/>
        <v/>
      </c>
    </row>
    <row r="247" spans="3:16" x14ac:dyDescent="0.4">
      <c r="C247" s="199"/>
      <c r="D247" s="200"/>
      <c r="E247" s="201"/>
      <c r="F247" s="199"/>
      <c r="H247" s="202"/>
      <c r="I247" s="185" t="str">
        <f t="shared" si="19"/>
        <v/>
      </c>
      <c r="J247" s="203" t="str">
        <f>IF($H247="USD",IF(OR($I247="",$I247="-"),"",VLOOKUP($G247,為替!$A:$AX,$I247,FALSE))+$J$3,IF(OR($I247="",$I247="-"),"",VLOOKUP($G247,為替!$A:$AX,$I247,FALSE)))</f>
        <v/>
      </c>
      <c r="K247" s="204" t="str">
        <f t="shared" si="20"/>
        <v/>
      </c>
      <c r="L247" s="188" t="str">
        <f t="shared" si="21"/>
        <v/>
      </c>
      <c r="M247" s="203" t="str">
        <f>IF($H247="USD",IF(OR($L247="",$L247="-"),"",VLOOKUP($G247,為替!$A:$AX,$L247,FALSE))+$K$3,IF(OR($L247="",$L247="-"),"",VLOOKUP($G247,為替!$A:$AX,$L247,FALSE)))</f>
        <v/>
      </c>
      <c r="N247" s="204" t="str">
        <f t="shared" si="22"/>
        <v/>
      </c>
      <c r="O247" s="205" t="str">
        <f t="shared" si="18"/>
        <v/>
      </c>
      <c r="P247" s="206" t="str">
        <f t="shared" si="23"/>
        <v/>
      </c>
    </row>
    <row r="248" spans="3:16" x14ac:dyDescent="0.4">
      <c r="C248" s="199"/>
      <c r="D248" s="200"/>
      <c r="E248" s="201"/>
      <c r="F248" s="199"/>
      <c r="H248" s="202"/>
      <c r="I248" s="185" t="str">
        <f t="shared" si="19"/>
        <v/>
      </c>
      <c r="J248" s="203" t="str">
        <f>IF($H248="USD",IF(OR($I248="",$I248="-"),"",VLOOKUP($G248,為替!$A:$AX,$I248,FALSE))+$J$3,IF(OR($I248="",$I248="-"),"",VLOOKUP($G248,為替!$A:$AX,$I248,FALSE)))</f>
        <v/>
      </c>
      <c r="K248" s="204" t="str">
        <f t="shared" si="20"/>
        <v/>
      </c>
      <c r="L248" s="188" t="str">
        <f t="shared" si="21"/>
        <v/>
      </c>
      <c r="M248" s="203" t="str">
        <f>IF($H248="USD",IF(OR($L248="",$L248="-"),"",VLOOKUP($G248,為替!$A:$AX,$L248,FALSE))+$K$3,IF(OR($L248="",$L248="-"),"",VLOOKUP($G248,為替!$A:$AX,$L248,FALSE)))</f>
        <v/>
      </c>
      <c r="N248" s="204" t="str">
        <f t="shared" si="22"/>
        <v/>
      </c>
      <c r="O248" s="205" t="str">
        <f t="shared" si="18"/>
        <v/>
      </c>
      <c r="P248" s="206" t="str">
        <f t="shared" si="23"/>
        <v/>
      </c>
    </row>
    <row r="249" spans="3:16" x14ac:dyDescent="0.4">
      <c r="C249" s="199"/>
      <c r="D249" s="200"/>
      <c r="E249" s="201"/>
      <c r="F249" s="199"/>
      <c r="H249" s="202"/>
      <c r="I249" s="185" t="str">
        <f t="shared" si="19"/>
        <v/>
      </c>
      <c r="J249" s="203" t="str">
        <f>IF($H249="USD",IF(OR($I249="",$I249="-"),"",VLOOKUP($G249,為替!$A:$AX,$I249,FALSE))+$J$3,IF(OR($I249="",$I249="-"),"",VLOOKUP($G249,為替!$A:$AX,$I249,FALSE)))</f>
        <v/>
      </c>
      <c r="K249" s="204" t="str">
        <f t="shared" si="20"/>
        <v/>
      </c>
      <c r="L249" s="188" t="str">
        <f t="shared" si="21"/>
        <v/>
      </c>
      <c r="M249" s="203" t="str">
        <f>IF($H249="USD",IF(OR($L249="",$L249="-"),"",VLOOKUP($G249,為替!$A:$AX,$L249,FALSE))+$K$3,IF(OR($L249="",$L249="-"),"",VLOOKUP($G249,為替!$A:$AX,$L249,FALSE)))</f>
        <v/>
      </c>
      <c r="N249" s="204" t="str">
        <f t="shared" si="22"/>
        <v/>
      </c>
      <c r="O249" s="205" t="str">
        <f t="shared" si="18"/>
        <v/>
      </c>
      <c r="P249" s="206" t="str">
        <f t="shared" si="23"/>
        <v/>
      </c>
    </row>
    <row r="250" spans="3:16" x14ac:dyDescent="0.4">
      <c r="C250" s="199"/>
      <c r="D250" s="200"/>
      <c r="E250" s="201"/>
      <c r="F250" s="199"/>
      <c r="H250" s="202"/>
      <c r="I250" s="185" t="str">
        <f t="shared" si="19"/>
        <v/>
      </c>
      <c r="J250" s="203" t="str">
        <f>IF($H250="USD",IF(OR($I250="",$I250="-"),"",VLOOKUP($G250,為替!$A:$AX,$I250,FALSE))+$J$3,IF(OR($I250="",$I250="-"),"",VLOOKUP($G250,為替!$A:$AX,$I250,FALSE)))</f>
        <v/>
      </c>
      <c r="K250" s="204" t="str">
        <f t="shared" si="20"/>
        <v/>
      </c>
      <c r="L250" s="188" t="str">
        <f t="shared" si="21"/>
        <v/>
      </c>
      <c r="M250" s="203" t="str">
        <f>IF($H250="USD",IF(OR($L250="",$L250="-"),"",VLOOKUP($G250,為替!$A:$AX,$L250,FALSE))+$K$3,IF(OR($L250="",$L250="-"),"",VLOOKUP($G250,為替!$A:$AX,$L250,FALSE)))</f>
        <v/>
      </c>
      <c r="N250" s="204" t="str">
        <f t="shared" si="22"/>
        <v/>
      </c>
      <c r="O250" s="205" t="str">
        <f t="shared" si="18"/>
        <v/>
      </c>
      <c r="P250" s="206" t="str">
        <f t="shared" si="23"/>
        <v/>
      </c>
    </row>
    <row r="251" spans="3:16" x14ac:dyDescent="0.4">
      <c r="C251" s="199"/>
      <c r="D251" s="200"/>
      <c r="E251" s="201"/>
      <c r="F251" s="199"/>
      <c r="H251" s="202"/>
      <c r="I251" s="185" t="str">
        <f t="shared" si="19"/>
        <v/>
      </c>
      <c r="J251" s="203" t="str">
        <f>IF($H251="USD",IF(OR($I251="",$I251="-"),"",VLOOKUP($G251,為替!$A:$AX,$I251,FALSE))+$J$3,IF(OR($I251="",$I251="-"),"",VLOOKUP($G251,為替!$A:$AX,$I251,FALSE)))</f>
        <v/>
      </c>
      <c r="K251" s="204" t="str">
        <f t="shared" si="20"/>
        <v/>
      </c>
      <c r="L251" s="188" t="str">
        <f t="shared" si="21"/>
        <v/>
      </c>
      <c r="M251" s="203" t="str">
        <f>IF($H251="USD",IF(OR($L251="",$L251="-"),"",VLOOKUP($G251,為替!$A:$AX,$L251,FALSE))+$K$3,IF(OR($L251="",$L251="-"),"",VLOOKUP($G251,為替!$A:$AX,$L251,FALSE)))</f>
        <v/>
      </c>
      <c r="N251" s="204" t="str">
        <f t="shared" si="22"/>
        <v/>
      </c>
      <c r="O251" s="205" t="str">
        <f t="shared" si="18"/>
        <v/>
      </c>
      <c r="P251" s="206" t="str">
        <f t="shared" si="23"/>
        <v/>
      </c>
    </row>
    <row r="252" spans="3:16" x14ac:dyDescent="0.4">
      <c r="C252" s="199"/>
      <c r="D252" s="200"/>
      <c r="E252" s="201"/>
      <c r="F252" s="199"/>
      <c r="H252" s="202"/>
      <c r="I252" s="185" t="str">
        <f t="shared" si="19"/>
        <v/>
      </c>
      <c r="J252" s="203" t="str">
        <f>IF($H252="USD",IF(OR($I252="",$I252="-"),"",VLOOKUP($G252,為替!$A:$AX,$I252,FALSE))+$J$3,IF(OR($I252="",$I252="-"),"",VLOOKUP($G252,為替!$A:$AX,$I252,FALSE)))</f>
        <v/>
      </c>
      <c r="K252" s="204" t="str">
        <f t="shared" si="20"/>
        <v/>
      </c>
      <c r="L252" s="188" t="str">
        <f t="shared" si="21"/>
        <v/>
      </c>
      <c r="M252" s="203" t="str">
        <f>IF($H252="USD",IF(OR($L252="",$L252="-"),"",VLOOKUP($G252,為替!$A:$AX,$L252,FALSE))+$K$3,IF(OR($L252="",$L252="-"),"",VLOOKUP($G252,為替!$A:$AX,$L252,FALSE)))</f>
        <v/>
      </c>
      <c r="N252" s="204" t="str">
        <f t="shared" si="22"/>
        <v/>
      </c>
      <c r="O252" s="205" t="str">
        <f t="shared" si="18"/>
        <v/>
      </c>
      <c r="P252" s="206" t="str">
        <f t="shared" si="23"/>
        <v/>
      </c>
    </row>
    <row r="253" spans="3:16" x14ac:dyDescent="0.4">
      <c r="C253" s="199"/>
      <c r="D253" s="200"/>
      <c r="E253" s="201"/>
      <c r="F253" s="199"/>
      <c r="H253" s="202"/>
      <c r="I253" s="185" t="str">
        <f t="shared" si="19"/>
        <v/>
      </c>
      <c r="J253" s="203" t="str">
        <f>IF($H253="USD",IF(OR($I253="",$I253="-"),"",VLOOKUP($G253,為替!$A:$AX,$I253,FALSE))+$J$3,IF(OR($I253="",$I253="-"),"",VLOOKUP($G253,為替!$A:$AX,$I253,FALSE)))</f>
        <v/>
      </c>
      <c r="K253" s="204" t="str">
        <f t="shared" si="20"/>
        <v/>
      </c>
      <c r="L253" s="188" t="str">
        <f t="shared" si="21"/>
        <v/>
      </c>
      <c r="M253" s="203" t="str">
        <f>IF($H253="USD",IF(OR($L253="",$L253="-"),"",VLOOKUP($G253,為替!$A:$AX,$L253,FALSE))+$K$3,IF(OR($L253="",$L253="-"),"",VLOOKUP($G253,為替!$A:$AX,$L253,FALSE)))</f>
        <v/>
      </c>
      <c r="N253" s="204" t="str">
        <f t="shared" si="22"/>
        <v/>
      </c>
      <c r="O253" s="205" t="str">
        <f t="shared" si="18"/>
        <v/>
      </c>
      <c r="P253" s="206" t="str">
        <f t="shared" si="23"/>
        <v/>
      </c>
    </row>
    <row r="254" spans="3:16" x14ac:dyDescent="0.4">
      <c r="C254" s="199"/>
      <c r="D254" s="200"/>
      <c r="E254" s="201"/>
      <c r="F254" s="199"/>
      <c r="H254" s="202"/>
      <c r="I254" s="185" t="str">
        <f t="shared" si="19"/>
        <v/>
      </c>
      <c r="J254" s="203" t="str">
        <f>IF($H254="USD",IF(OR($I254="",$I254="-"),"",VLOOKUP($G254,為替!$A:$AX,$I254,FALSE))+$J$3,IF(OR($I254="",$I254="-"),"",VLOOKUP($G254,為替!$A:$AX,$I254,FALSE)))</f>
        <v/>
      </c>
      <c r="K254" s="204" t="str">
        <f t="shared" si="20"/>
        <v/>
      </c>
      <c r="L254" s="188" t="str">
        <f t="shared" si="21"/>
        <v/>
      </c>
      <c r="M254" s="203" t="str">
        <f>IF($H254="USD",IF(OR($L254="",$L254="-"),"",VLOOKUP($G254,為替!$A:$AX,$L254,FALSE))+$K$3,IF(OR($L254="",$L254="-"),"",VLOOKUP($G254,為替!$A:$AX,$L254,FALSE)))</f>
        <v/>
      </c>
      <c r="N254" s="204" t="str">
        <f t="shared" si="22"/>
        <v/>
      </c>
      <c r="O254" s="205" t="str">
        <f t="shared" si="18"/>
        <v/>
      </c>
      <c r="P254" s="206" t="str">
        <f t="shared" si="23"/>
        <v/>
      </c>
    </row>
    <row r="255" spans="3:16" x14ac:dyDescent="0.4">
      <c r="C255" s="199"/>
      <c r="D255" s="200"/>
      <c r="E255" s="201"/>
      <c r="F255" s="199"/>
      <c r="H255" s="202"/>
      <c r="I255" s="185" t="str">
        <f t="shared" si="19"/>
        <v/>
      </c>
      <c r="J255" s="203" t="str">
        <f>IF($H255="USD",IF(OR($I255="",$I255="-"),"",VLOOKUP($G255,為替!$A:$AX,$I255,FALSE))+$J$3,IF(OR($I255="",$I255="-"),"",VLOOKUP($G255,為替!$A:$AX,$I255,FALSE)))</f>
        <v/>
      </c>
      <c r="K255" s="204" t="str">
        <f t="shared" si="20"/>
        <v/>
      </c>
      <c r="L255" s="188" t="str">
        <f t="shared" si="21"/>
        <v/>
      </c>
      <c r="M255" s="203" t="str">
        <f>IF($H255="USD",IF(OR($L255="",$L255="-"),"",VLOOKUP($G255,為替!$A:$AX,$L255,FALSE))+$K$3,IF(OR($L255="",$L255="-"),"",VLOOKUP($G255,為替!$A:$AX,$L255,FALSE)))</f>
        <v/>
      </c>
      <c r="N255" s="204" t="str">
        <f t="shared" si="22"/>
        <v/>
      </c>
      <c r="O255" s="205" t="str">
        <f t="shared" si="18"/>
        <v/>
      </c>
      <c r="P255" s="206" t="str">
        <f t="shared" si="23"/>
        <v/>
      </c>
    </row>
    <row r="256" spans="3:16" x14ac:dyDescent="0.4">
      <c r="C256" s="199"/>
      <c r="D256" s="200"/>
      <c r="E256" s="201"/>
      <c r="F256" s="199"/>
      <c r="H256" s="202"/>
      <c r="I256" s="185" t="str">
        <f t="shared" si="19"/>
        <v/>
      </c>
      <c r="J256" s="203" t="str">
        <f>IF($H256="USD",IF(OR($I256="",$I256="-"),"",VLOOKUP($G256,為替!$A:$AX,$I256,FALSE))+$J$3,IF(OR($I256="",$I256="-"),"",VLOOKUP($G256,為替!$A:$AX,$I256,FALSE)))</f>
        <v/>
      </c>
      <c r="K256" s="204" t="str">
        <f t="shared" si="20"/>
        <v/>
      </c>
      <c r="L256" s="188" t="str">
        <f t="shared" si="21"/>
        <v/>
      </c>
      <c r="M256" s="203" t="str">
        <f>IF($H256="USD",IF(OR($L256="",$L256="-"),"",VLOOKUP($G256,為替!$A:$AX,$L256,FALSE))+$K$3,IF(OR($L256="",$L256="-"),"",VLOOKUP($G256,為替!$A:$AX,$L256,FALSE)))</f>
        <v/>
      </c>
      <c r="N256" s="204" t="str">
        <f t="shared" si="22"/>
        <v/>
      </c>
      <c r="O256" s="205" t="str">
        <f t="shared" si="18"/>
        <v/>
      </c>
      <c r="P256" s="206" t="str">
        <f t="shared" si="23"/>
        <v/>
      </c>
    </row>
    <row r="257" spans="3:16" x14ac:dyDescent="0.4">
      <c r="C257" s="199"/>
      <c r="D257" s="200"/>
      <c r="E257" s="201"/>
      <c r="F257" s="199"/>
      <c r="H257" s="202"/>
      <c r="I257" s="185" t="str">
        <f t="shared" si="19"/>
        <v/>
      </c>
      <c r="J257" s="203" t="str">
        <f>IF($H257="USD",IF(OR($I257="",$I257="-"),"",VLOOKUP($G257,為替!$A:$AX,$I257,FALSE))+$J$3,IF(OR($I257="",$I257="-"),"",VLOOKUP($G257,為替!$A:$AX,$I257,FALSE)))</f>
        <v/>
      </c>
      <c r="K257" s="204" t="str">
        <f t="shared" si="20"/>
        <v/>
      </c>
      <c r="L257" s="188" t="str">
        <f t="shared" si="21"/>
        <v/>
      </c>
      <c r="M257" s="203" t="str">
        <f>IF($H257="USD",IF(OR($L257="",$L257="-"),"",VLOOKUP($G257,為替!$A:$AX,$L257,FALSE))+$K$3,IF(OR($L257="",$L257="-"),"",VLOOKUP($G257,為替!$A:$AX,$L257,FALSE)))</f>
        <v/>
      </c>
      <c r="N257" s="204" t="str">
        <f t="shared" si="22"/>
        <v/>
      </c>
      <c r="O257" s="205" t="str">
        <f t="shared" si="18"/>
        <v/>
      </c>
      <c r="P257" s="206" t="str">
        <f t="shared" si="23"/>
        <v/>
      </c>
    </row>
    <row r="258" spans="3:16" x14ac:dyDescent="0.4">
      <c r="C258" s="199"/>
      <c r="D258" s="200"/>
      <c r="E258" s="201"/>
      <c r="F258" s="199"/>
      <c r="H258" s="202"/>
      <c r="I258" s="185" t="str">
        <f t="shared" si="19"/>
        <v/>
      </c>
      <c r="J258" s="203" t="str">
        <f>IF($H258="USD",IF(OR($I258="",$I258="-"),"",VLOOKUP($G258,為替!$A:$AX,$I258,FALSE))+$J$3,IF(OR($I258="",$I258="-"),"",VLOOKUP($G258,為替!$A:$AX,$I258,FALSE)))</f>
        <v/>
      </c>
      <c r="K258" s="204" t="str">
        <f t="shared" si="20"/>
        <v/>
      </c>
      <c r="L258" s="188" t="str">
        <f t="shared" si="21"/>
        <v/>
      </c>
      <c r="M258" s="203" t="str">
        <f>IF($H258="USD",IF(OR($L258="",$L258="-"),"",VLOOKUP($G258,為替!$A:$AX,$L258,FALSE))+$K$3,IF(OR($L258="",$L258="-"),"",VLOOKUP($G258,為替!$A:$AX,$L258,FALSE)))</f>
        <v/>
      </c>
      <c r="N258" s="204" t="str">
        <f t="shared" si="22"/>
        <v/>
      </c>
      <c r="O258" s="205" t="str">
        <f t="shared" si="18"/>
        <v/>
      </c>
      <c r="P258" s="206" t="str">
        <f t="shared" si="23"/>
        <v/>
      </c>
    </row>
    <row r="259" spans="3:16" x14ac:dyDescent="0.4">
      <c r="C259" s="199"/>
      <c r="D259" s="200"/>
      <c r="E259" s="201"/>
      <c r="F259" s="199"/>
      <c r="H259" s="202"/>
      <c r="I259" s="185" t="str">
        <f t="shared" si="19"/>
        <v/>
      </c>
      <c r="J259" s="203" t="str">
        <f>IF($H259="USD",IF(OR($I259="",$I259="-"),"",VLOOKUP($G259,為替!$A:$AX,$I259,FALSE))+$J$3,IF(OR($I259="",$I259="-"),"",VLOOKUP($G259,為替!$A:$AX,$I259,FALSE)))</f>
        <v/>
      </c>
      <c r="K259" s="204" t="str">
        <f t="shared" si="20"/>
        <v/>
      </c>
      <c r="L259" s="188" t="str">
        <f t="shared" si="21"/>
        <v/>
      </c>
      <c r="M259" s="203" t="str">
        <f>IF($H259="USD",IF(OR($L259="",$L259="-"),"",VLOOKUP($G259,為替!$A:$AX,$L259,FALSE))+$K$3,IF(OR($L259="",$L259="-"),"",VLOOKUP($G259,為替!$A:$AX,$L259,FALSE)))</f>
        <v/>
      </c>
      <c r="N259" s="204" t="str">
        <f t="shared" si="22"/>
        <v/>
      </c>
      <c r="O259" s="205" t="str">
        <f t="shared" si="18"/>
        <v/>
      </c>
      <c r="P259" s="206" t="str">
        <f t="shared" si="23"/>
        <v/>
      </c>
    </row>
    <row r="260" spans="3:16" x14ac:dyDescent="0.4">
      <c r="C260" s="199"/>
      <c r="D260" s="200"/>
      <c r="E260" s="201"/>
      <c r="F260" s="199"/>
      <c r="H260" s="202"/>
      <c r="I260" s="185" t="str">
        <f t="shared" si="19"/>
        <v/>
      </c>
      <c r="J260" s="203" t="str">
        <f>IF($H260="USD",IF(OR($I260="",$I260="-"),"",VLOOKUP($G260,為替!$A:$AX,$I260,FALSE))+$J$3,IF(OR($I260="",$I260="-"),"",VLOOKUP($G260,為替!$A:$AX,$I260,FALSE)))</f>
        <v/>
      </c>
      <c r="K260" s="204" t="str">
        <f t="shared" si="20"/>
        <v/>
      </c>
      <c r="L260" s="188" t="str">
        <f t="shared" si="21"/>
        <v/>
      </c>
      <c r="M260" s="203" t="str">
        <f>IF($H260="USD",IF(OR($L260="",$L260="-"),"",VLOOKUP($G260,為替!$A:$AX,$L260,FALSE))+$K$3,IF(OR($L260="",$L260="-"),"",VLOOKUP($G260,為替!$A:$AX,$L260,FALSE)))</f>
        <v/>
      </c>
      <c r="N260" s="204" t="str">
        <f t="shared" si="22"/>
        <v/>
      </c>
      <c r="O260" s="205" t="str">
        <f t="shared" si="18"/>
        <v/>
      </c>
      <c r="P260" s="206" t="str">
        <f t="shared" si="23"/>
        <v/>
      </c>
    </row>
    <row r="261" spans="3:16" x14ac:dyDescent="0.4">
      <c r="C261" s="199"/>
      <c r="D261" s="200"/>
      <c r="E261" s="201"/>
      <c r="F261" s="199"/>
      <c r="H261" s="202"/>
      <c r="I261" s="185" t="str">
        <f t="shared" si="19"/>
        <v/>
      </c>
      <c r="J261" s="203" t="str">
        <f>IF($H261="USD",IF(OR($I261="",$I261="-"),"",VLOOKUP($G261,為替!$A:$AX,$I261,FALSE))+$J$3,IF(OR($I261="",$I261="-"),"",VLOOKUP($G261,為替!$A:$AX,$I261,FALSE)))</f>
        <v/>
      </c>
      <c r="K261" s="204" t="str">
        <f t="shared" si="20"/>
        <v/>
      </c>
      <c r="L261" s="188" t="str">
        <f t="shared" si="21"/>
        <v/>
      </c>
      <c r="M261" s="203" t="str">
        <f>IF($H261="USD",IF(OR($L261="",$L261="-"),"",VLOOKUP($G261,為替!$A:$AX,$L261,FALSE))+$K$3,IF(OR($L261="",$L261="-"),"",VLOOKUP($G261,為替!$A:$AX,$L261,FALSE)))</f>
        <v/>
      </c>
      <c r="N261" s="204" t="str">
        <f t="shared" si="22"/>
        <v/>
      </c>
      <c r="O261" s="205" t="str">
        <f t="shared" si="18"/>
        <v/>
      </c>
      <c r="P261" s="206" t="str">
        <f t="shared" si="23"/>
        <v/>
      </c>
    </row>
    <row r="262" spans="3:16" x14ac:dyDescent="0.4">
      <c r="C262" s="199"/>
      <c r="D262" s="200"/>
      <c r="E262" s="201"/>
      <c r="F262" s="199"/>
      <c r="H262" s="202"/>
      <c r="I262" s="185" t="str">
        <f t="shared" si="19"/>
        <v/>
      </c>
      <c r="J262" s="203" t="str">
        <f>IF($H262="USD",IF(OR($I262="",$I262="-"),"",VLOOKUP($G262,為替!$A:$AX,$I262,FALSE))+$J$3,IF(OR($I262="",$I262="-"),"",VLOOKUP($G262,為替!$A:$AX,$I262,FALSE)))</f>
        <v/>
      </c>
      <c r="K262" s="204" t="str">
        <f t="shared" si="20"/>
        <v/>
      </c>
      <c r="L262" s="188" t="str">
        <f t="shared" si="21"/>
        <v/>
      </c>
      <c r="M262" s="203" t="str">
        <f>IF($H262="USD",IF(OR($L262="",$L262="-"),"",VLOOKUP($G262,為替!$A:$AX,$L262,FALSE))+$K$3,IF(OR($L262="",$L262="-"),"",VLOOKUP($G262,為替!$A:$AX,$L262,FALSE)))</f>
        <v/>
      </c>
      <c r="N262" s="204" t="str">
        <f t="shared" si="22"/>
        <v/>
      </c>
      <c r="O262" s="205" t="str">
        <f t="shared" ref="O262:O325" si="24">IF(OR(K262="",N262=""),"",K262-N262)</f>
        <v/>
      </c>
      <c r="P262" s="206" t="str">
        <f t="shared" si="23"/>
        <v/>
      </c>
    </row>
    <row r="263" spans="3:16" x14ac:dyDescent="0.4">
      <c r="C263" s="199"/>
      <c r="D263" s="200"/>
      <c r="E263" s="201"/>
      <c r="F263" s="199"/>
      <c r="H263" s="202"/>
      <c r="I263" s="185" t="str">
        <f t="shared" ref="I263:I326" si="25">IF(H263="","",IF(H263="JPY","",IF($H263="USD",4, IF(H263="EUR",7,IF(H263="CNY",47,IF(H263="HKD",34))))))</f>
        <v/>
      </c>
      <c r="J263" s="203" t="str">
        <f>IF($H263="USD",IF(OR($I263="",$I263="-"),"",VLOOKUP($G263,為替!$A:$AX,$I263,FALSE))+$J$3,IF(OR($I263="",$I263="-"),"",VLOOKUP($G263,為替!$A:$AX,$I263,FALSE)))</f>
        <v/>
      </c>
      <c r="K263" s="204" t="str">
        <f t="shared" ref="K263:K326" si="26">IF($H263="JPY",$F263,IF($H263="","",$F263*$J263))</f>
        <v/>
      </c>
      <c r="L263" s="188" t="str">
        <f t="shared" ref="L263:L326" si="27">IF(H263="","",IF(H263="JPY","",IF($H263="USD",3, IF(H263="EUR",6,IF(H263="CNY",46,IF(H263="HKD",33))))))</f>
        <v/>
      </c>
      <c r="M263" s="203" t="str">
        <f>IF($H263="USD",IF(OR($L263="",$L263="-"),"",VLOOKUP($G263,為替!$A:$AX,$L263,FALSE))+$K$3,IF(OR($L263="",$L263="-"),"",VLOOKUP($G263,為替!$A:$AX,$L263,FALSE)))</f>
        <v/>
      </c>
      <c r="N263" s="204" t="str">
        <f t="shared" ref="N263:N326" si="28">IF($E263="JPY",($C263+$D263),IF($E263="","",($C263+$D263)*$M263))</f>
        <v/>
      </c>
      <c r="O263" s="205" t="str">
        <f t="shared" si="24"/>
        <v/>
      </c>
      <c r="P263" s="206" t="str">
        <f t="shared" ref="P263:P326" si="29">IF(OR(K263="",O263=""),"",O263/K263)</f>
        <v/>
      </c>
    </row>
    <row r="264" spans="3:16" x14ac:dyDescent="0.4">
      <c r="C264" s="199"/>
      <c r="D264" s="200"/>
      <c r="E264" s="201"/>
      <c r="F264" s="199"/>
      <c r="H264" s="202"/>
      <c r="I264" s="185" t="str">
        <f t="shared" si="25"/>
        <v/>
      </c>
      <c r="J264" s="203" t="str">
        <f>IF($H264="USD",IF(OR($I264="",$I264="-"),"",VLOOKUP($G264,為替!$A:$AX,$I264,FALSE))+$J$3,IF(OR($I264="",$I264="-"),"",VLOOKUP($G264,為替!$A:$AX,$I264,FALSE)))</f>
        <v/>
      </c>
      <c r="K264" s="204" t="str">
        <f t="shared" si="26"/>
        <v/>
      </c>
      <c r="L264" s="188" t="str">
        <f t="shared" si="27"/>
        <v/>
      </c>
      <c r="M264" s="203" t="str">
        <f>IF($H264="USD",IF(OR($L264="",$L264="-"),"",VLOOKUP($G264,為替!$A:$AX,$L264,FALSE))+$K$3,IF(OR($L264="",$L264="-"),"",VLOOKUP($G264,為替!$A:$AX,$L264,FALSE)))</f>
        <v/>
      </c>
      <c r="N264" s="204" t="str">
        <f t="shared" si="28"/>
        <v/>
      </c>
      <c r="O264" s="205" t="str">
        <f t="shared" si="24"/>
        <v/>
      </c>
      <c r="P264" s="206" t="str">
        <f t="shared" si="29"/>
        <v/>
      </c>
    </row>
    <row r="265" spans="3:16" x14ac:dyDescent="0.4">
      <c r="C265" s="199"/>
      <c r="D265" s="200"/>
      <c r="E265" s="201"/>
      <c r="F265" s="199"/>
      <c r="H265" s="202"/>
      <c r="I265" s="185" t="str">
        <f t="shared" si="25"/>
        <v/>
      </c>
      <c r="J265" s="203" t="str">
        <f>IF($H265="USD",IF(OR($I265="",$I265="-"),"",VLOOKUP($G265,為替!$A:$AX,$I265,FALSE))+$J$3,IF(OR($I265="",$I265="-"),"",VLOOKUP($G265,為替!$A:$AX,$I265,FALSE)))</f>
        <v/>
      </c>
      <c r="K265" s="204" t="str">
        <f t="shared" si="26"/>
        <v/>
      </c>
      <c r="L265" s="188" t="str">
        <f t="shared" si="27"/>
        <v/>
      </c>
      <c r="M265" s="203" t="str">
        <f>IF($H265="USD",IF(OR($L265="",$L265="-"),"",VLOOKUP($G265,為替!$A:$AX,$L265,FALSE))+$K$3,IF(OR($L265="",$L265="-"),"",VLOOKUP($G265,為替!$A:$AX,$L265,FALSE)))</f>
        <v/>
      </c>
      <c r="N265" s="204" t="str">
        <f t="shared" si="28"/>
        <v/>
      </c>
      <c r="O265" s="205" t="str">
        <f t="shared" si="24"/>
        <v/>
      </c>
      <c r="P265" s="206" t="str">
        <f t="shared" si="29"/>
        <v/>
      </c>
    </row>
    <row r="266" spans="3:16" x14ac:dyDescent="0.4">
      <c r="C266" s="199"/>
      <c r="D266" s="200"/>
      <c r="E266" s="201"/>
      <c r="F266" s="199"/>
      <c r="H266" s="202"/>
      <c r="I266" s="185" t="str">
        <f t="shared" si="25"/>
        <v/>
      </c>
      <c r="J266" s="203" t="str">
        <f>IF($H266="USD",IF(OR($I266="",$I266="-"),"",VLOOKUP($G266,為替!$A:$AX,$I266,FALSE))+$J$3,IF(OR($I266="",$I266="-"),"",VLOOKUP($G266,為替!$A:$AX,$I266,FALSE)))</f>
        <v/>
      </c>
      <c r="K266" s="204" t="str">
        <f t="shared" si="26"/>
        <v/>
      </c>
      <c r="L266" s="188" t="str">
        <f t="shared" si="27"/>
        <v/>
      </c>
      <c r="M266" s="203" t="str">
        <f>IF($H266="USD",IF(OR($L266="",$L266="-"),"",VLOOKUP($G266,為替!$A:$AX,$L266,FALSE))+$K$3,IF(OR($L266="",$L266="-"),"",VLOOKUP($G266,為替!$A:$AX,$L266,FALSE)))</f>
        <v/>
      </c>
      <c r="N266" s="204" t="str">
        <f t="shared" si="28"/>
        <v/>
      </c>
      <c r="O266" s="205" t="str">
        <f t="shared" si="24"/>
        <v/>
      </c>
      <c r="P266" s="206" t="str">
        <f t="shared" si="29"/>
        <v/>
      </c>
    </row>
    <row r="267" spans="3:16" x14ac:dyDescent="0.4">
      <c r="C267" s="199"/>
      <c r="D267" s="200"/>
      <c r="E267" s="201"/>
      <c r="F267" s="199"/>
      <c r="H267" s="202"/>
      <c r="I267" s="185" t="str">
        <f t="shared" si="25"/>
        <v/>
      </c>
      <c r="J267" s="203" t="str">
        <f>IF($H267="USD",IF(OR($I267="",$I267="-"),"",VLOOKUP($G267,為替!$A:$AX,$I267,FALSE))+$J$3,IF(OR($I267="",$I267="-"),"",VLOOKUP($G267,為替!$A:$AX,$I267,FALSE)))</f>
        <v/>
      </c>
      <c r="K267" s="204" t="str">
        <f t="shared" si="26"/>
        <v/>
      </c>
      <c r="L267" s="188" t="str">
        <f t="shared" si="27"/>
        <v/>
      </c>
      <c r="M267" s="203" t="str">
        <f>IF($H267="USD",IF(OR($L267="",$L267="-"),"",VLOOKUP($G267,為替!$A:$AX,$L267,FALSE))+$K$3,IF(OR($L267="",$L267="-"),"",VLOOKUP($G267,為替!$A:$AX,$L267,FALSE)))</f>
        <v/>
      </c>
      <c r="N267" s="204" t="str">
        <f t="shared" si="28"/>
        <v/>
      </c>
      <c r="O267" s="205" t="str">
        <f t="shared" si="24"/>
        <v/>
      </c>
      <c r="P267" s="206" t="str">
        <f t="shared" si="29"/>
        <v/>
      </c>
    </row>
    <row r="268" spans="3:16" x14ac:dyDescent="0.4">
      <c r="C268" s="199"/>
      <c r="D268" s="200"/>
      <c r="E268" s="201"/>
      <c r="F268" s="199"/>
      <c r="H268" s="202"/>
      <c r="I268" s="185" t="str">
        <f t="shared" si="25"/>
        <v/>
      </c>
      <c r="J268" s="203" t="str">
        <f>IF($H268="USD",IF(OR($I268="",$I268="-"),"",VLOOKUP($G268,為替!$A:$AX,$I268,FALSE))+$J$3,IF(OR($I268="",$I268="-"),"",VLOOKUP($G268,為替!$A:$AX,$I268,FALSE)))</f>
        <v/>
      </c>
      <c r="K268" s="204" t="str">
        <f t="shared" si="26"/>
        <v/>
      </c>
      <c r="L268" s="188" t="str">
        <f t="shared" si="27"/>
        <v/>
      </c>
      <c r="M268" s="203" t="str">
        <f>IF($H268="USD",IF(OR($L268="",$L268="-"),"",VLOOKUP($G268,為替!$A:$AX,$L268,FALSE))+$K$3,IF(OR($L268="",$L268="-"),"",VLOOKUP($G268,為替!$A:$AX,$L268,FALSE)))</f>
        <v/>
      </c>
      <c r="N268" s="204" t="str">
        <f t="shared" si="28"/>
        <v/>
      </c>
      <c r="O268" s="205" t="str">
        <f t="shared" si="24"/>
        <v/>
      </c>
      <c r="P268" s="206" t="str">
        <f t="shared" si="29"/>
        <v/>
      </c>
    </row>
    <row r="269" spans="3:16" x14ac:dyDescent="0.4">
      <c r="C269" s="199"/>
      <c r="D269" s="200"/>
      <c r="E269" s="201"/>
      <c r="F269" s="199"/>
      <c r="H269" s="202"/>
      <c r="I269" s="185" t="str">
        <f t="shared" si="25"/>
        <v/>
      </c>
      <c r="J269" s="203" t="str">
        <f>IF($H269="USD",IF(OR($I269="",$I269="-"),"",VLOOKUP($G269,為替!$A:$AX,$I269,FALSE))+$J$3,IF(OR($I269="",$I269="-"),"",VLOOKUP($G269,為替!$A:$AX,$I269,FALSE)))</f>
        <v/>
      </c>
      <c r="K269" s="204" t="str">
        <f t="shared" si="26"/>
        <v/>
      </c>
      <c r="L269" s="188" t="str">
        <f t="shared" si="27"/>
        <v/>
      </c>
      <c r="M269" s="203" t="str">
        <f>IF($H269="USD",IF(OR($L269="",$L269="-"),"",VLOOKUP($G269,為替!$A:$AX,$L269,FALSE))+$K$3,IF(OR($L269="",$L269="-"),"",VLOOKUP($G269,為替!$A:$AX,$L269,FALSE)))</f>
        <v/>
      </c>
      <c r="N269" s="204" t="str">
        <f t="shared" si="28"/>
        <v/>
      </c>
      <c r="O269" s="205" t="str">
        <f t="shared" si="24"/>
        <v/>
      </c>
      <c r="P269" s="206" t="str">
        <f t="shared" si="29"/>
        <v/>
      </c>
    </row>
    <row r="270" spans="3:16" x14ac:dyDescent="0.4">
      <c r="C270" s="199"/>
      <c r="D270" s="200"/>
      <c r="E270" s="201"/>
      <c r="F270" s="199"/>
      <c r="H270" s="202"/>
      <c r="I270" s="185" t="str">
        <f t="shared" si="25"/>
        <v/>
      </c>
      <c r="J270" s="203" t="str">
        <f>IF($H270="USD",IF(OR($I270="",$I270="-"),"",VLOOKUP($G270,為替!$A:$AX,$I270,FALSE))+$J$3,IF(OR($I270="",$I270="-"),"",VLOOKUP($G270,為替!$A:$AX,$I270,FALSE)))</f>
        <v/>
      </c>
      <c r="K270" s="204" t="str">
        <f t="shared" si="26"/>
        <v/>
      </c>
      <c r="L270" s="188" t="str">
        <f t="shared" si="27"/>
        <v/>
      </c>
      <c r="M270" s="203" t="str">
        <f>IF($H270="USD",IF(OR($L270="",$L270="-"),"",VLOOKUP($G270,為替!$A:$AX,$L270,FALSE))+$K$3,IF(OR($L270="",$L270="-"),"",VLOOKUP($G270,為替!$A:$AX,$L270,FALSE)))</f>
        <v/>
      </c>
      <c r="N270" s="204" t="str">
        <f t="shared" si="28"/>
        <v/>
      </c>
      <c r="O270" s="205" t="str">
        <f t="shared" si="24"/>
        <v/>
      </c>
      <c r="P270" s="206" t="str">
        <f t="shared" si="29"/>
        <v/>
      </c>
    </row>
    <row r="271" spans="3:16" x14ac:dyDescent="0.4">
      <c r="C271" s="199"/>
      <c r="D271" s="200"/>
      <c r="E271" s="201"/>
      <c r="F271" s="199"/>
      <c r="H271" s="202"/>
      <c r="I271" s="185" t="str">
        <f t="shared" si="25"/>
        <v/>
      </c>
      <c r="J271" s="203" t="str">
        <f>IF($H271="USD",IF(OR($I271="",$I271="-"),"",VLOOKUP($G271,為替!$A:$AX,$I271,FALSE))+$J$3,IF(OR($I271="",$I271="-"),"",VLOOKUP($G271,為替!$A:$AX,$I271,FALSE)))</f>
        <v/>
      </c>
      <c r="K271" s="204" t="str">
        <f t="shared" si="26"/>
        <v/>
      </c>
      <c r="L271" s="188" t="str">
        <f t="shared" si="27"/>
        <v/>
      </c>
      <c r="M271" s="203" t="str">
        <f>IF($H271="USD",IF(OR($L271="",$L271="-"),"",VLOOKUP($G271,為替!$A:$AX,$L271,FALSE))+$K$3,IF(OR($L271="",$L271="-"),"",VLOOKUP($G271,為替!$A:$AX,$L271,FALSE)))</f>
        <v/>
      </c>
      <c r="N271" s="204" t="str">
        <f t="shared" si="28"/>
        <v/>
      </c>
      <c r="O271" s="205" t="str">
        <f t="shared" si="24"/>
        <v/>
      </c>
      <c r="P271" s="206" t="str">
        <f t="shared" si="29"/>
        <v/>
      </c>
    </row>
    <row r="272" spans="3:16" x14ac:dyDescent="0.4">
      <c r="C272" s="199"/>
      <c r="D272" s="200"/>
      <c r="E272" s="201"/>
      <c r="F272" s="199"/>
      <c r="H272" s="202"/>
      <c r="I272" s="185" t="str">
        <f t="shared" si="25"/>
        <v/>
      </c>
      <c r="J272" s="203" t="str">
        <f>IF($H272="USD",IF(OR($I272="",$I272="-"),"",VLOOKUP($G272,為替!$A:$AX,$I272,FALSE))+$J$3,IF(OR($I272="",$I272="-"),"",VLOOKUP($G272,為替!$A:$AX,$I272,FALSE)))</f>
        <v/>
      </c>
      <c r="K272" s="204" t="str">
        <f t="shared" si="26"/>
        <v/>
      </c>
      <c r="L272" s="188" t="str">
        <f t="shared" si="27"/>
        <v/>
      </c>
      <c r="M272" s="203" t="str">
        <f>IF($H272="USD",IF(OR($L272="",$L272="-"),"",VLOOKUP($G272,為替!$A:$AX,$L272,FALSE))+$K$3,IF(OR($L272="",$L272="-"),"",VLOOKUP($G272,為替!$A:$AX,$L272,FALSE)))</f>
        <v/>
      </c>
      <c r="N272" s="204" t="str">
        <f t="shared" si="28"/>
        <v/>
      </c>
      <c r="O272" s="205" t="str">
        <f t="shared" si="24"/>
        <v/>
      </c>
      <c r="P272" s="206" t="str">
        <f t="shared" si="29"/>
        <v/>
      </c>
    </row>
    <row r="273" spans="3:16" x14ac:dyDescent="0.4">
      <c r="C273" s="199"/>
      <c r="D273" s="200"/>
      <c r="E273" s="201"/>
      <c r="F273" s="199"/>
      <c r="H273" s="202"/>
      <c r="I273" s="185" t="str">
        <f t="shared" si="25"/>
        <v/>
      </c>
      <c r="J273" s="203" t="str">
        <f>IF($H273="USD",IF(OR($I273="",$I273="-"),"",VLOOKUP($G273,為替!$A:$AX,$I273,FALSE))+$J$3,IF(OR($I273="",$I273="-"),"",VLOOKUP($G273,為替!$A:$AX,$I273,FALSE)))</f>
        <v/>
      </c>
      <c r="K273" s="204" t="str">
        <f t="shared" si="26"/>
        <v/>
      </c>
      <c r="L273" s="188" t="str">
        <f t="shared" si="27"/>
        <v/>
      </c>
      <c r="M273" s="203" t="str">
        <f>IF($H273="USD",IF(OR($L273="",$L273="-"),"",VLOOKUP($G273,為替!$A:$AX,$L273,FALSE))+$K$3,IF(OR($L273="",$L273="-"),"",VLOOKUP($G273,為替!$A:$AX,$L273,FALSE)))</f>
        <v/>
      </c>
      <c r="N273" s="204" t="str">
        <f t="shared" si="28"/>
        <v/>
      </c>
      <c r="O273" s="205" t="str">
        <f t="shared" si="24"/>
        <v/>
      </c>
      <c r="P273" s="206" t="str">
        <f t="shared" si="29"/>
        <v/>
      </c>
    </row>
    <row r="274" spans="3:16" x14ac:dyDescent="0.4">
      <c r="C274" s="199"/>
      <c r="D274" s="200"/>
      <c r="E274" s="201"/>
      <c r="F274" s="199"/>
      <c r="H274" s="202"/>
      <c r="I274" s="185" t="str">
        <f t="shared" si="25"/>
        <v/>
      </c>
      <c r="J274" s="203" t="str">
        <f>IF($H274="USD",IF(OR($I274="",$I274="-"),"",VLOOKUP($G274,為替!$A:$AX,$I274,FALSE))+$J$3,IF(OR($I274="",$I274="-"),"",VLOOKUP($G274,為替!$A:$AX,$I274,FALSE)))</f>
        <v/>
      </c>
      <c r="K274" s="204" t="str">
        <f t="shared" si="26"/>
        <v/>
      </c>
      <c r="L274" s="188" t="str">
        <f t="shared" si="27"/>
        <v/>
      </c>
      <c r="M274" s="203" t="str">
        <f>IF($H274="USD",IF(OR($L274="",$L274="-"),"",VLOOKUP($G274,為替!$A:$AX,$L274,FALSE))+$K$3,IF(OR($L274="",$L274="-"),"",VLOOKUP($G274,為替!$A:$AX,$L274,FALSE)))</f>
        <v/>
      </c>
      <c r="N274" s="204" t="str">
        <f t="shared" si="28"/>
        <v/>
      </c>
      <c r="O274" s="205" t="str">
        <f t="shared" si="24"/>
        <v/>
      </c>
      <c r="P274" s="206" t="str">
        <f t="shared" si="29"/>
        <v/>
      </c>
    </row>
    <row r="275" spans="3:16" x14ac:dyDescent="0.4">
      <c r="C275" s="199"/>
      <c r="D275" s="200"/>
      <c r="E275" s="201"/>
      <c r="F275" s="199"/>
      <c r="H275" s="202"/>
      <c r="I275" s="185" t="str">
        <f t="shared" si="25"/>
        <v/>
      </c>
      <c r="J275" s="203" t="str">
        <f>IF($H275="USD",IF(OR($I275="",$I275="-"),"",VLOOKUP($G275,為替!$A:$AX,$I275,FALSE))+$J$3,IF(OR($I275="",$I275="-"),"",VLOOKUP($G275,為替!$A:$AX,$I275,FALSE)))</f>
        <v/>
      </c>
      <c r="K275" s="204" t="str">
        <f t="shared" si="26"/>
        <v/>
      </c>
      <c r="L275" s="188" t="str">
        <f t="shared" si="27"/>
        <v/>
      </c>
      <c r="M275" s="203" t="str">
        <f>IF($H275="USD",IF(OR($L275="",$L275="-"),"",VLOOKUP($G275,為替!$A:$AX,$L275,FALSE))+$K$3,IF(OR($L275="",$L275="-"),"",VLOOKUP($G275,為替!$A:$AX,$L275,FALSE)))</f>
        <v/>
      </c>
      <c r="N275" s="204" t="str">
        <f t="shared" si="28"/>
        <v/>
      </c>
      <c r="O275" s="205" t="str">
        <f t="shared" si="24"/>
        <v/>
      </c>
      <c r="P275" s="206" t="str">
        <f t="shared" si="29"/>
        <v/>
      </c>
    </row>
    <row r="276" spans="3:16" x14ac:dyDescent="0.4">
      <c r="C276" s="199"/>
      <c r="D276" s="200"/>
      <c r="E276" s="201"/>
      <c r="F276" s="199"/>
      <c r="H276" s="202"/>
      <c r="I276" s="185" t="str">
        <f t="shared" si="25"/>
        <v/>
      </c>
      <c r="J276" s="203" t="str">
        <f>IF($H276="USD",IF(OR($I276="",$I276="-"),"",VLOOKUP($G276,為替!$A:$AX,$I276,FALSE))+$J$3,IF(OR($I276="",$I276="-"),"",VLOOKUP($G276,為替!$A:$AX,$I276,FALSE)))</f>
        <v/>
      </c>
      <c r="K276" s="204" t="str">
        <f t="shared" si="26"/>
        <v/>
      </c>
      <c r="L276" s="188" t="str">
        <f t="shared" si="27"/>
        <v/>
      </c>
      <c r="M276" s="203" t="str">
        <f>IF($H276="USD",IF(OR($L276="",$L276="-"),"",VLOOKUP($G276,為替!$A:$AX,$L276,FALSE))+$K$3,IF(OR($L276="",$L276="-"),"",VLOOKUP($G276,為替!$A:$AX,$L276,FALSE)))</f>
        <v/>
      </c>
      <c r="N276" s="204" t="str">
        <f t="shared" si="28"/>
        <v/>
      </c>
      <c r="O276" s="205" t="str">
        <f t="shared" si="24"/>
        <v/>
      </c>
      <c r="P276" s="206" t="str">
        <f t="shared" si="29"/>
        <v/>
      </c>
    </row>
    <row r="277" spans="3:16" x14ac:dyDescent="0.4">
      <c r="C277" s="199"/>
      <c r="D277" s="200"/>
      <c r="E277" s="201"/>
      <c r="F277" s="199"/>
      <c r="H277" s="202"/>
      <c r="I277" s="185" t="str">
        <f t="shared" si="25"/>
        <v/>
      </c>
      <c r="J277" s="203" t="str">
        <f>IF($H277="USD",IF(OR($I277="",$I277="-"),"",VLOOKUP($G277,為替!$A:$AX,$I277,FALSE))+$J$3,IF(OR($I277="",$I277="-"),"",VLOOKUP($G277,為替!$A:$AX,$I277,FALSE)))</f>
        <v/>
      </c>
      <c r="K277" s="204" t="str">
        <f t="shared" si="26"/>
        <v/>
      </c>
      <c r="L277" s="188" t="str">
        <f t="shared" si="27"/>
        <v/>
      </c>
      <c r="M277" s="203" t="str">
        <f>IF($H277="USD",IF(OR($L277="",$L277="-"),"",VLOOKUP($G277,為替!$A:$AX,$L277,FALSE))+$K$3,IF(OR($L277="",$L277="-"),"",VLOOKUP($G277,為替!$A:$AX,$L277,FALSE)))</f>
        <v/>
      </c>
      <c r="N277" s="204" t="str">
        <f t="shared" si="28"/>
        <v/>
      </c>
      <c r="O277" s="205" t="str">
        <f t="shared" si="24"/>
        <v/>
      </c>
      <c r="P277" s="206" t="str">
        <f t="shared" si="29"/>
        <v/>
      </c>
    </row>
    <row r="278" spans="3:16" x14ac:dyDescent="0.4">
      <c r="C278" s="199"/>
      <c r="D278" s="200"/>
      <c r="E278" s="201"/>
      <c r="F278" s="199"/>
      <c r="H278" s="202"/>
      <c r="I278" s="185" t="str">
        <f t="shared" si="25"/>
        <v/>
      </c>
      <c r="J278" s="203" t="str">
        <f>IF($H278="USD",IF(OR($I278="",$I278="-"),"",VLOOKUP($G278,為替!$A:$AX,$I278,FALSE))+$J$3,IF(OR($I278="",$I278="-"),"",VLOOKUP($G278,為替!$A:$AX,$I278,FALSE)))</f>
        <v/>
      </c>
      <c r="K278" s="204" t="str">
        <f t="shared" si="26"/>
        <v/>
      </c>
      <c r="L278" s="188" t="str">
        <f t="shared" si="27"/>
        <v/>
      </c>
      <c r="M278" s="203" t="str">
        <f>IF($H278="USD",IF(OR($L278="",$L278="-"),"",VLOOKUP($G278,為替!$A:$AX,$L278,FALSE))+$K$3,IF(OR($L278="",$L278="-"),"",VLOOKUP($G278,為替!$A:$AX,$L278,FALSE)))</f>
        <v/>
      </c>
      <c r="N278" s="204" t="str">
        <f t="shared" si="28"/>
        <v/>
      </c>
      <c r="O278" s="205" t="str">
        <f t="shared" si="24"/>
        <v/>
      </c>
      <c r="P278" s="206" t="str">
        <f t="shared" si="29"/>
        <v/>
      </c>
    </row>
    <row r="279" spans="3:16" x14ac:dyDescent="0.4">
      <c r="C279" s="199"/>
      <c r="D279" s="200"/>
      <c r="E279" s="201"/>
      <c r="F279" s="199"/>
      <c r="H279" s="202"/>
      <c r="I279" s="185" t="str">
        <f t="shared" si="25"/>
        <v/>
      </c>
      <c r="J279" s="203" t="str">
        <f>IF($H279="USD",IF(OR($I279="",$I279="-"),"",VLOOKUP($G279,為替!$A:$AX,$I279,FALSE))+$J$3,IF(OR($I279="",$I279="-"),"",VLOOKUP($G279,為替!$A:$AX,$I279,FALSE)))</f>
        <v/>
      </c>
      <c r="K279" s="204" t="str">
        <f t="shared" si="26"/>
        <v/>
      </c>
      <c r="L279" s="188" t="str">
        <f t="shared" si="27"/>
        <v/>
      </c>
      <c r="M279" s="203" t="str">
        <f>IF($H279="USD",IF(OR($L279="",$L279="-"),"",VLOOKUP($G279,為替!$A:$AX,$L279,FALSE))+$K$3,IF(OR($L279="",$L279="-"),"",VLOOKUP($G279,為替!$A:$AX,$L279,FALSE)))</f>
        <v/>
      </c>
      <c r="N279" s="204" t="str">
        <f t="shared" si="28"/>
        <v/>
      </c>
      <c r="O279" s="205" t="str">
        <f t="shared" si="24"/>
        <v/>
      </c>
      <c r="P279" s="206" t="str">
        <f t="shared" si="29"/>
        <v/>
      </c>
    </row>
    <row r="280" spans="3:16" x14ac:dyDescent="0.4">
      <c r="C280" s="199"/>
      <c r="D280" s="200"/>
      <c r="E280" s="201"/>
      <c r="F280" s="199"/>
      <c r="H280" s="202"/>
      <c r="I280" s="185" t="str">
        <f t="shared" si="25"/>
        <v/>
      </c>
      <c r="J280" s="203" t="str">
        <f>IF($H280="USD",IF(OR($I280="",$I280="-"),"",VLOOKUP($G280,為替!$A:$AX,$I280,FALSE))+$J$3,IF(OR($I280="",$I280="-"),"",VLOOKUP($G280,為替!$A:$AX,$I280,FALSE)))</f>
        <v/>
      </c>
      <c r="K280" s="204" t="str">
        <f t="shared" si="26"/>
        <v/>
      </c>
      <c r="L280" s="188" t="str">
        <f t="shared" si="27"/>
        <v/>
      </c>
      <c r="M280" s="203" t="str">
        <f>IF($H280="USD",IF(OR($L280="",$L280="-"),"",VLOOKUP($G280,為替!$A:$AX,$L280,FALSE))+$K$3,IF(OR($L280="",$L280="-"),"",VLOOKUP($G280,為替!$A:$AX,$L280,FALSE)))</f>
        <v/>
      </c>
      <c r="N280" s="204" t="str">
        <f t="shared" si="28"/>
        <v/>
      </c>
      <c r="O280" s="205" t="str">
        <f t="shared" si="24"/>
        <v/>
      </c>
      <c r="P280" s="206" t="str">
        <f t="shared" si="29"/>
        <v/>
      </c>
    </row>
    <row r="281" spans="3:16" x14ac:dyDescent="0.4">
      <c r="C281" s="199"/>
      <c r="D281" s="200"/>
      <c r="E281" s="201"/>
      <c r="F281" s="199"/>
      <c r="H281" s="202"/>
      <c r="I281" s="185" t="str">
        <f t="shared" si="25"/>
        <v/>
      </c>
      <c r="J281" s="203" t="str">
        <f>IF($H281="USD",IF(OR($I281="",$I281="-"),"",VLOOKUP($G281,為替!$A:$AX,$I281,FALSE))+$J$3,IF(OR($I281="",$I281="-"),"",VLOOKUP($G281,為替!$A:$AX,$I281,FALSE)))</f>
        <v/>
      </c>
      <c r="K281" s="204" t="str">
        <f t="shared" si="26"/>
        <v/>
      </c>
      <c r="L281" s="188" t="str">
        <f t="shared" si="27"/>
        <v/>
      </c>
      <c r="M281" s="203" t="str">
        <f>IF($H281="USD",IF(OR($L281="",$L281="-"),"",VLOOKUP($G281,為替!$A:$AX,$L281,FALSE))+$K$3,IF(OR($L281="",$L281="-"),"",VLOOKUP($G281,為替!$A:$AX,$L281,FALSE)))</f>
        <v/>
      </c>
      <c r="N281" s="204" t="str">
        <f t="shared" si="28"/>
        <v/>
      </c>
      <c r="O281" s="205" t="str">
        <f t="shared" si="24"/>
        <v/>
      </c>
      <c r="P281" s="206" t="str">
        <f t="shared" si="29"/>
        <v/>
      </c>
    </row>
    <row r="282" spans="3:16" x14ac:dyDescent="0.4">
      <c r="C282" s="199"/>
      <c r="D282" s="200"/>
      <c r="E282" s="201"/>
      <c r="F282" s="199"/>
      <c r="H282" s="202"/>
      <c r="I282" s="185" t="str">
        <f t="shared" si="25"/>
        <v/>
      </c>
      <c r="J282" s="203" t="str">
        <f>IF($H282="USD",IF(OR($I282="",$I282="-"),"",VLOOKUP($G282,為替!$A:$AX,$I282,FALSE))+$J$3,IF(OR($I282="",$I282="-"),"",VLOOKUP($G282,為替!$A:$AX,$I282,FALSE)))</f>
        <v/>
      </c>
      <c r="K282" s="204" t="str">
        <f t="shared" si="26"/>
        <v/>
      </c>
      <c r="L282" s="188" t="str">
        <f t="shared" si="27"/>
        <v/>
      </c>
      <c r="M282" s="203" t="str">
        <f>IF($H282="USD",IF(OR($L282="",$L282="-"),"",VLOOKUP($G282,為替!$A:$AX,$L282,FALSE))+$K$3,IF(OR($L282="",$L282="-"),"",VLOOKUP($G282,為替!$A:$AX,$L282,FALSE)))</f>
        <v/>
      </c>
      <c r="N282" s="204" t="str">
        <f t="shared" si="28"/>
        <v/>
      </c>
      <c r="O282" s="205" t="str">
        <f t="shared" si="24"/>
        <v/>
      </c>
      <c r="P282" s="206" t="str">
        <f t="shared" si="29"/>
        <v/>
      </c>
    </row>
    <row r="283" spans="3:16" x14ac:dyDescent="0.4">
      <c r="C283" s="199"/>
      <c r="D283" s="200"/>
      <c r="E283" s="201"/>
      <c r="F283" s="199"/>
      <c r="H283" s="202"/>
      <c r="I283" s="185" t="str">
        <f t="shared" si="25"/>
        <v/>
      </c>
      <c r="J283" s="203" t="str">
        <f>IF($H283="USD",IF(OR($I283="",$I283="-"),"",VLOOKUP($G283,為替!$A:$AX,$I283,FALSE))+$J$3,IF(OR($I283="",$I283="-"),"",VLOOKUP($G283,為替!$A:$AX,$I283,FALSE)))</f>
        <v/>
      </c>
      <c r="K283" s="204" t="str">
        <f t="shared" si="26"/>
        <v/>
      </c>
      <c r="L283" s="188" t="str">
        <f t="shared" si="27"/>
        <v/>
      </c>
      <c r="M283" s="203" t="str">
        <f>IF($H283="USD",IF(OR($L283="",$L283="-"),"",VLOOKUP($G283,為替!$A:$AX,$L283,FALSE))+$K$3,IF(OR($L283="",$L283="-"),"",VLOOKUP($G283,為替!$A:$AX,$L283,FALSE)))</f>
        <v/>
      </c>
      <c r="N283" s="204" t="str">
        <f t="shared" si="28"/>
        <v/>
      </c>
      <c r="O283" s="205" t="str">
        <f t="shared" si="24"/>
        <v/>
      </c>
      <c r="P283" s="206" t="str">
        <f t="shared" si="29"/>
        <v/>
      </c>
    </row>
    <row r="284" spans="3:16" x14ac:dyDescent="0.4">
      <c r="C284" s="199"/>
      <c r="D284" s="200"/>
      <c r="E284" s="201"/>
      <c r="F284" s="199"/>
      <c r="H284" s="202"/>
      <c r="I284" s="185" t="str">
        <f t="shared" si="25"/>
        <v/>
      </c>
      <c r="J284" s="203" t="str">
        <f>IF($H284="USD",IF(OR($I284="",$I284="-"),"",VLOOKUP($G284,為替!$A:$AX,$I284,FALSE))+$J$3,IF(OR($I284="",$I284="-"),"",VLOOKUP($G284,為替!$A:$AX,$I284,FALSE)))</f>
        <v/>
      </c>
      <c r="K284" s="204" t="str">
        <f t="shared" si="26"/>
        <v/>
      </c>
      <c r="L284" s="188" t="str">
        <f t="shared" si="27"/>
        <v/>
      </c>
      <c r="M284" s="203" t="str">
        <f>IF($H284="USD",IF(OR($L284="",$L284="-"),"",VLOOKUP($G284,為替!$A:$AX,$L284,FALSE))+$K$3,IF(OR($L284="",$L284="-"),"",VLOOKUP($G284,為替!$A:$AX,$L284,FALSE)))</f>
        <v/>
      </c>
      <c r="N284" s="204" t="str">
        <f t="shared" si="28"/>
        <v/>
      </c>
      <c r="O284" s="205" t="str">
        <f t="shared" si="24"/>
        <v/>
      </c>
      <c r="P284" s="206" t="str">
        <f t="shared" si="29"/>
        <v/>
      </c>
    </row>
    <row r="285" spans="3:16" x14ac:dyDescent="0.4">
      <c r="C285" s="199"/>
      <c r="D285" s="200"/>
      <c r="E285" s="201"/>
      <c r="F285" s="199"/>
      <c r="H285" s="202"/>
      <c r="I285" s="185" t="str">
        <f t="shared" si="25"/>
        <v/>
      </c>
      <c r="J285" s="203" t="str">
        <f>IF($H285="USD",IF(OR($I285="",$I285="-"),"",VLOOKUP($G285,為替!$A:$AX,$I285,FALSE))+$J$3,IF(OR($I285="",$I285="-"),"",VLOOKUP($G285,為替!$A:$AX,$I285,FALSE)))</f>
        <v/>
      </c>
      <c r="K285" s="204" t="str">
        <f t="shared" si="26"/>
        <v/>
      </c>
      <c r="L285" s="188" t="str">
        <f t="shared" si="27"/>
        <v/>
      </c>
      <c r="M285" s="203" t="str">
        <f>IF($H285="USD",IF(OR($L285="",$L285="-"),"",VLOOKUP($G285,為替!$A:$AX,$L285,FALSE))+$K$3,IF(OR($L285="",$L285="-"),"",VLOOKUP($G285,為替!$A:$AX,$L285,FALSE)))</f>
        <v/>
      </c>
      <c r="N285" s="204" t="str">
        <f t="shared" si="28"/>
        <v/>
      </c>
      <c r="O285" s="205" t="str">
        <f t="shared" si="24"/>
        <v/>
      </c>
      <c r="P285" s="206" t="str">
        <f t="shared" si="29"/>
        <v/>
      </c>
    </row>
    <row r="286" spans="3:16" x14ac:dyDescent="0.4">
      <c r="C286" s="199"/>
      <c r="D286" s="200"/>
      <c r="E286" s="201"/>
      <c r="F286" s="199"/>
      <c r="H286" s="202"/>
      <c r="I286" s="185" t="str">
        <f t="shared" si="25"/>
        <v/>
      </c>
      <c r="J286" s="203" t="str">
        <f>IF($H286="USD",IF(OR($I286="",$I286="-"),"",VLOOKUP($G286,為替!$A:$AX,$I286,FALSE))+$J$3,IF(OR($I286="",$I286="-"),"",VLOOKUP($G286,為替!$A:$AX,$I286,FALSE)))</f>
        <v/>
      </c>
      <c r="K286" s="204" t="str">
        <f t="shared" si="26"/>
        <v/>
      </c>
      <c r="L286" s="188" t="str">
        <f t="shared" si="27"/>
        <v/>
      </c>
      <c r="M286" s="203" t="str">
        <f>IF($H286="USD",IF(OR($L286="",$L286="-"),"",VLOOKUP($G286,為替!$A:$AX,$L286,FALSE))+$K$3,IF(OR($L286="",$L286="-"),"",VLOOKUP($G286,為替!$A:$AX,$L286,FALSE)))</f>
        <v/>
      </c>
      <c r="N286" s="204" t="str">
        <f t="shared" si="28"/>
        <v/>
      </c>
      <c r="O286" s="205" t="str">
        <f t="shared" si="24"/>
        <v/>
      </c>
      <c r="P286" s="206" t="str">
        <f t="shared" si="29"/>
        <v/>
      </c>
    </row>
    <row r="287" spans="3:16" x14ac:dyDescent="0.4">
      <c r="C287" s="199"/>
      <c r="D287" s="200"/>
      <c r="E287" s="201"/>
      <c r="F287" s="199"/>
      <c r="H287" s="202"/>
      <c r="I287" s="185" t="str">
        <f t="shared" si="25"/>
        <v/>
      </c>
      <c r="J287" s="203" t="str">
        <f>IF($H287="USD",IF(OR($I287="",$I287="-"),"",VLOOKUP($G287,為替!$A:$AX,$I287,FALSE))+$J$3,IF(OR($I287="",$I287="-"),"",VLOOKUP($G287,為替!$A:$AX,$I287,FALSE)))</f>
        <v/>
      </c>
      <c r="K287" s="204" t="str">
        <f t="shared" si="26"/>
        <v/>
      </c>
      <c r="L287" s="188" t="str">
        <f t="shared" si="27"/>
        <v/>
      </c>
      <c r="M287" s="203" t="str">
        <f>IF($H287="USD",IF(OR($L287="",$L287="-"),"",VLOOKUP($G287,為替!$A:$AX,$L287,FALSE))+$K$3,IF(OR($L287="",$L287="-"),"",VLOOKUP($G287,為替!$A:$AX,$L287,FALSE)))</f>
        <v/>
      </c>
      <c r="N287" s="204" t="str">
        <f t="shared" si="28"/>
        <v/>
      </c>
      <c r="O287" s="205" t="str">
        <f t="shared" si="24"/>
        <v/>
      </c>
      <c r="P287" s="206" t="str">
        <f t="shared" si="29"/>
        <v/>
      </c>
    </row>
    <row r="288" spans="3:16" x14ac:dyDescent="0.4">
      <c r="C288" s="199"/>
      <c r="D288" s="200"/>
      <c r="E288" s="201"/>
      <c r="F288" s="199"/>
      <c r="H288" s="202"/>
      <c r="I288" s="185" t="str">
        <f t="shared" si="25"/>
        <v/>
      </c>
      <c r="J288" s="203" t="str">
        <f>IF($H288="USD",IF(OR($I288="",$I288="-"),"",VLOOKUP($G288,為替!$A:$AX,$I288,FALSE))+$J$3,IF(OR($I288="",$I288="-"),"",VLOOKUP($G288,為替!$A:$AX,$I288,FALSE)))</f>
        <v/>
      </c>
      <c r="K288" s="204" t="str">
        <f t="shared" si="26"/>
        <v/>
      </c>
      <c r="L288" s="188" t="str">
        <f t="shared" si="27"/>
        <v/>
      </c>
      <c r="M288" s="203" t="str">
        <f>IF($H288="USD",IF(OR($L288="",$L288="-"),"",VLOOKUP($G288,為替!$A:$AX,$L288,FALSE))+$K$3,IF(OR($L288="",$L288="-"),"",VLOOKUP($G288,為替!$A:$AX,$L288,FALSE)))</f>
        <v/>
      </c>
      <c r="N288" s="204" t="str">
        <f t="shared" si="28"/>
        <v/>
      </c>
      <c r="O288" s="205" t="str">
        <f t="shared" si="24"/>
        <v/>
      </c>
      <c r="P288" s="206" t="str">
        <f t="shared" si="29"/>
        <v/>
      </c>
    </row>
    <row r="289" spans="3:16" x14ac:dyDescent="0.4">
      <c r="C289" s="199"/>
      <c r="D289" s="200"/>
      <c r="E289" s="201"/>
      <c r="F289" s="199"/>
      <c r="H289" s="202"/>
      <c r="I289" s="185" t="str">
        <f t="shared" si="25"/>
        <v/>
      </c>
      <c r="J289" s="203" t="str">
        <f>IF($H289="USD",IF(OR($I289="",$I289="-"),"",VLOOKUP($G289,為替!$A:$AX,$I289,FALSE))+$J$3,IF(OR($I289="",$I289="-"),"",VLOOKUP($G289,為替!$A:$AX,$I289,FALSE)))</f>
        <v/>
      </c>
      <c r="K289" s="204" t="str">
        <f t="shared" si="26"/>
        <v/>
      </c>
      <c r="L289" s="188" t="str">
        <f t="shared" si="27"/>
        <v/>
      </c>
      <c r="M289" s="203" t="str">
        <f>IF($H289="USD",IF(OR($L289="",$L289="-"),"",VLOOKUP($G289,為替!$A:$AX,$L289,FALSE))+$K$3,IF(OR($L289="",$L289="-"),"",VLOOKUP($G289,為替!$A:$AX,$L289,FALSE)))</f>
        <v/>
      </c>
      <c r="N289" s="204" t="str">
        <f t="shared" si="28"/>
        <v/>
      </c>
      <c r="O289" s="205" t="str">
        <f t="shared" si="24"/>
        <v/>
      </c>
      <c r="P289" s="206" t="str">
        <f t="shared" si="29"/>
        <v/>
      </c>
    </row>
    <row r="290" spans="3:16" x14ac:dyDescent="0.4">
      <c r="C290" s="199"/>
      <c r="D290" s="200"/>
      <c r="E290" s="201"/>
      <c r="F290" s="199"/>
      <c r="H290" s="202"/>
      <c r="I290" s="185" t="str">
        <f t="shared" si="25"/>
        <v/>
      </c>
      <c r="J290" s="203" t="str">
        <f>IF($H290="USD",IF(OR($I290="",$I290="-"),"",VLOOKUP($G290,為替!$A:$AX,$I290,FALSE))+$J$3,IF(OR($I290="",$I290="-"),"",VLOOKUP($G290,為替!$A:$AX,$I290,FALSE)))</f>
        <v/>
      </c>
      <c r="K290" s="204" t="str">
        <f t="shared" si="26"/>
        <v/>
      </c>
      <c r="L290" s="188" t="str">
        <f t="shared" si="27"/>
        <v/>
      </c>
      <c r="M290" s="203" t="str">
        <f>IF($H290="USD",IF(OR($L290="",$L290="-"),"",VLOOKUP($G290,為替!$A:$AX,$L290,FALSE))+$K$3,IF(OR($L290="",$L290="-"),"",VLOOKUP($G290,為替!$A:$AX,$L290,FALSE)))</f>
        <v/>
      </c>
      <c r="N290" s="204" t="str">
        <f t="shared" si="28"/>
        <v/>
      </c>
      <c r="O290" s="205" t="str">
        <f t="shared" si="24"/>
        <v/>
      </c>
      <c r="P290" s="206" t="str">
        <f t="shared" si="29"/>
        <v/>
      </c>
    </row>
    <row r="291" spans="3:16" x14ac:dyDescent="0.4">
      <c r="C291" s="199"/>
      <c r="D291" s="200"/>
      <c r="E291" s="201"/>
      <c r="F291" s="199"/>
      <c r="H291" s="202"/>
      <c r="I291" s="185" t="str">
        <f t="shared" si="25"/>
        <v/>
      </c>
      <c r="J291" s="203" t="str">
        <f>IF($H291="USD",IF(OR($I291="",$I291="-"),"",VLOOKUP($G291,為替!$A:$AX,$I291,FALSE))+$J$3,IF(OR($I291="",$I291="-"),"",VLOOKUP($G291,為替!$A:$AX,$I291,FALSE)))</f>
        <v/>
      </c>
      <c r="K291" s="204" t="str">
        <f t="shared" si="26"/>
        <v/>
      </c>
      <c r="L291" s="188" t="str">
        <f t="shared" si="27"/>
        <v/>
      </c>
      <c r="M291" s="203" t="str">
        <f>IF($H291="USD",IF(OR($L291="",$L291="-"),"",VLOOKUP($G291,為替!$A:$AX,$L291,FALSE))+$K$3,IF(OR($L291="",$L291="-"),"",VLOOKUP($G291,為替!$A:$AX,$L291,FALSE)))</f>
        <v/>
      </c>
      <c r="N291" s="204" t="str">
        <f t="shared" si="28"/>
        <v/>
      </c>
      <c r="O291" s="205" t="str">
        <f t="shared" si="24"/>
        <v/>
      </c>
      <c r="P291" s="206" t="str">
        <f t="shared" si="29"/>
        <v/>
      </c>
    </row>
    <row r="292" spans="3:16" x14ac:dyDescent="0.4">
      <c r="C292" s="199"/>
      <c r="D292" s="200"/>
      <c r="E292" s="201"/>
      <c r="F292" s="199"/>
      <c r="H292" s="202"/>
      <c r="I292" s="185" t="str">
        <f t="shared" si="25"/>
        <v/>
      </c>
      <c r="J292" s="203" t="str">
        <f>IF($H292="USD",IF(OR($I292="",$I292="-"),"",VLOOKUP($G292,為替!$A:$AX,$I292,FALSE))+$J$3,IF(OR($I292="",$I292="-"),"",VLOOKUP($G292,為替!$A:$AX,$I292,FALSE)))</f>
        <v/>
      </c>
      <c r="K292" s="204" t="str">
        <f t="shared" si="26"/>
        <v/>
      </c>
      <c r="L292" s="188" t="str">
        <f t="shared" si="27"/>
        <v/>
      </c>
      <c r="M292" s="203" t="str">
        <f>IF($H292="USD",IF(OR($L292="",$L292="-"),"",VLOOKUP($G292,為替!$A:$AX,$L292,FALSE))+$K$3,IF(OR($L292="",$L292="-"),"",VLOOKUP($G292,為替!$A:$AX,$L292,FALSE)))</f>
        <v/>
      </c>
      <c r="N292" s="204" t="str">
        <f t="shared" si="28"/>
        <v/>
      </c>
      <c r="O292" s="205" t="str">
        <f t="shared" si="24"/>
        <v/>
      </c>
      <c r="P292" s="206" t="str">
        <f t="shared" si="29"/>
        <v/>
      </c>
    </row>
    <row r="293" spans="3:16" x14ac:dyDescent="0.4">
      <c r="C293" s="199"/>
      <c r="D293" s="200"/>
      <c r="E293" s="201"/>
      <c r="F293" s="199"/>
      <c r="H293" s="202"/>
      <c r="I293" s="185" t="str">
        <f t="shared" si="25"/>
        <v/>
      </c>
      <c r="J293" s="203" t="str">
        <f>IF($H293="USD",IF(OR($I293="",$I293="-"),"",VLOOKUP($G293,為替!$A:$AX,$I293,FALSE))+$J$3,IF(OR($I293="",$I293="-"),"",VLOOKUP($G293,為替!$A:$AX,$I293,FALSE)))</f>
        <v/>
      </c>
      <c r="K293" s="204" t="str">
        <f t="shared" si="26"/>
        <v/>
      </c>
      <c r="L293" s="188" t="str">
        <f t="shared" si="27"/>
        <v/>
      </c>
      <c r="M293" s="203" t="str">
        <f>IF($H293="USD",IF(OR($L293="",$L293="-"),"",VLOOKUP($G293,為替!$A:$AX,$L293,FALSE))+$K$3,IF(OR($L293="",$L293="-"),"",VLOOKUP($G293,為替!$A:$AX,$L293,FALSE)))</f>
        <v/>
      </c>
      <c r="N293" s="204" t="str">
        <f t="shared" si="28"/>
        <v/>
      </c>
      <c r="O293" s="205" t="str">
        <f t="shared" si="24"/>
        <v/>
      </c>
      <c r="P293" s="206" t="str">
        <f t="shared" si="29"/>
        <v/>
      </c>
    </row>
    <row r="294" spans="3:16" x14ac:dyDescent="0.4">
      <c r="C294" s="199"/>
      <c r="D294" s="200"/>
      <c r="E294" s="201"/>
      <c r="F294" s="199"/>
      <c r="H294" s="202"/>
      <c r="I294" s="185" t="str">
        <f t="shared" si="25"/>
        <v/>
      </c>
      <c r="J294" s="203" t="str">
        <f>IF($H294="USD",IF(OR($I294="",$I294="-"),"",VLOOKUP($G294,為替!$A:$AX,$I294,FALSE))+$J$3,IF(OR($I294="",$I294="-"),"",VLOOKUP($G294,為替!$A:$AX,$I294,FALSE)))</f>
        <v/>
      </c>
      <c r="K294" s="204" t="str">
        <f t="shared" si="26"/>
        <v/>
      </c>
      <c r="L294" s="188" t="str">
        <f t="shared" si="27"/>
        <v/>
      </c>
      <c r="M294" s="203" t="str">
        <f>IF($H294="USD",IF(OR($L294="",$L294="-"),"",VLOOKUP($G294,為替!$A:$AX,$L294,FALSE))+$K$3,IF(OR($L294="",$L294="-"),"",VLOOKUP($G294,為替!$A:$AX,$L294,FALSE)))</f>
        <v/>
      </c>
      <c r="N294" s="204" t="str">
        <f t="shared" si="28"/>
        <v/>
      </c>
      <c r="O294" s="205" t="str">
        <f t="shared" si="24"/>
        <v/>
      </c>
      <c r="P294" s="206" t="str">
        <f t="shared" si="29"/>
        <v/>
      </c>
    </row>
    <row r="295" spans="3:16" x14ac:dyDescent="0.4">
      <c r="C295" s="199"/>
      <c r="D295" s="200"/>
      <c r="E295" s="201"/>
      <c r="F295" s="199"/>
      <c r="H295" s="202"/>
      <c r="I295" s="185" t="str">
        <f t="shared" si="25"/>
        <v/>
      </c>
      <c r="J295" s="203" t="str">
        <f>IF($H295="USD",IF(OR($I295="",$I295="-"),"",VLOOKUP($G295,為替!$A:$AX,$I295,FALSE))+$J$3,IF(OR($I295="",$I295="-"),"",VLOOKUP($G295,為替!$A:$AX,$I295,FALSE)))</f>
        <v/>
      </c>
      <c r="K295" s="204" t="str">
        <f t="shared" si="26"/>
        <v/>
      </c>
      <c r="L295" s="188" t="str">
        <f t="shared" si="27"/>
        <v/>
      </c>
      <c r="M295" s="203" t="str">
        <f>IF($H295="USD",IF(OR($L295="",$L295="-"),"",VLOOKUP($G295,為替!$A:$AX,$L295,FALSE))+$K$3,IF(OR($L295="",$L295="-"),"",VLOOKUP($G295,為替!$A:$AX,$L295,FALSE)))</f>
        <v/>
      </c>
      <c r="N295" s="204" t="str">
        <f t="shared" si="28"/>
        <v/>
      </c>
      <c r="O295" s="205" t="str">
        <f t="shared" si="24"/>
        <v/>
      </c>
      <c r="P295" s="206" t="str">
        <f t="shared" si="29"/>
        <v/>
      </c>
    </row>
    <row r="296" spans="3:16" x14ac:dyDescent="0.4">
      <c r="C296" s="199"/>
      <c r="D296" s="200"/>
      <c r="E296" s="201"/>
      <c r="F296" s="199"/>
      <c r="H296" s="202"/>
      <c r="I296" s="185" t="str">
        <f t="shared" si="25"/>
        <v/>
      </c>
      <c r="J296" s="203" t="str">
        <f>IF($H296="USD",IF(OR($I296="",$I296="-"),"",VLOOKUP($G296,為替!$A:$AX,$I296,FALSE))+$J$3,IF(OR($I296="",$I296="-"),"",VLOOKUP($G296,為替!$A:$AX,$I296,FALSE)))</f>
        <v/>
      </c>
      <c r="K296" s="204" t="str">
        <f t="shared" si="26"/>
        <v/>
      </c>
      <c r="L296" s="188" t="str">
        <f t="shared" si="27"/>
        <v/>
      </c>
      <c r="M296" s="203" t="str">
        <f>IF($H296="USD",IF(OR($L296="",$L296="-"),"",VLOOKUP($G296,為替!$A:$AX,$L296,FALSE))+$K$3,IF(OR($L296="",$L296="-"),"",VLOOKUP($G296,為替!$A:$AX,$L296,FALSE)))</f>
        <v/>
      </c>
      <c r="N296" s="204" t="str">
        <f t="shared" si="28"/>
        <v/>
      </c>
      <c r="O296" s="205" t="str">
        <f t="shared" si="24"/>
        <v/>
      </c>
      <c r="P296" s="206" t="str">
        <f t="shared" si="29"/>
        <v/>
      </c>
    </row>
    <row r="297" spans="3:16" x14ac:dyDescent="0.4">
      <c r="C297" s="199"/>
      <c r="D297" s="200"/>
      <c r="E297" s="201"/>
      <c r="F297" s="199"/>
      <c r="H297" s="202"/>
      <c r="I297" s="185" t="str">
        <f t="shared" si="25"/>
        <v/>
      </c>
      <c r="J297" s="203" t="str">
        <f>IF($H297="USD",IF(OR($I297="",$I297="-"),"",VLOOKUP($G297,為替!$A:$AX,$I297,FALSE))+$J$3,IF(OR($I297="",$I297="-"),"",VLOOKUP($G297,為替!$A:$AX,$I297,FALSE)))</f>
        <v/>
      </c>
      <c r="K297" s="204" t="str">
        <f t="shared" si="26"/>
        <v/>
      </c>
      <c r="L297" s="188" t="str">
        <f t="shared" si="27"/>
        <v/>
      </c>
      <c r="M297" s="203" t="str">
        <f>IF($H297="USD",IF(OR($L297="",$L297="-"),"",VLOOKUP($G297,為替!$A:$AX,$L297,FALSE))+$K$3,IF(OR($L297="",$L297="-"),"",VLOOKUP($G297,為替!$A:$AX,$L297,FALSE)))</f>
        <v/>
      </c>
      <c r="N297" s="204" t="str">
        <f t="shared" si="28"/>
        <v/>
      </c>
      <c r="O297" s="205" t="str">
        <f t="shared" si="24"/>
        <v/>
      </c>
      <c r="P297" s="206" t="str">
        <f t="shared" si="29"/>
        <v/>
      </c>
    </row>
    <row r="298" spans="3:16" x14ac:dyDescent="0.4">
      <c r="C298" s="199"/>
      <c r="D298" s="200"/>
      <c r="E298" s="201"/>
      <c r="F298" s="199"/>
      <c r="H298" s="202"/>
      <c r="I298" s="185" t="str">
        <f t="shared" si="25"/>
        <v/>
      </c>
      <c r="J298" s="203" t="str">
        <f>IF($H298="USD",IF(OR($I298="",$I298="-"),"",VLOOKUP($G298,為替!$A:$AX,$I298,FALSE))+$J$3,IF(OR($I298="",$I298="-"),"",VLOOKUP($G298,為替!$A:$AX,$I298,FALSE)))</f>
        <v/>
      </c>
      <c r="K298" s="204" t="str">
        <f t="shared" si="26"/>
        <v/>
      </c>
      <c r="L298" s="188" t="str">
        <f t="shared" si="27"/>
        <v/>
      </c>
      <c r="M298" s="203" t="str">
        <f>IF($H298="USD",IF(OR($L298="",$L298="-"),"",VLOOKUP($G298,為替!$A:$AX,$L298,FALSE))+$K$3,IF(OR($L298="",$L298="-"),"",VLOOKUP($G298,為替!$A:$AX,$L298,FALSE)))</f>
        <v/>
      </c>
      <c r="N298" s="204" t="str">
        <f t="shared" si="28"/>
        <v/>
      </c>
      <c r="O298" s="205" t="str">
        <f t="shared" si="24"/>
        <v/>
      </c>
      <c r="P298" s="206" t="str">
        <f t="shared" si="29"/>
        <v/>
      </c>
    </row>
    <row r="299" spans="3:16" x14ac:dyDescent="0.4">
      <c r="C299" s="199"/>
      <c r="D299" s="200"/>
      <c r="E299" s="201"/>
      <c r="F299" s="199"/>
      <c r="H299" s="202"/>
      <c r="I299" s="185" t="str">
        <f t="shared" si="25"/>
        <v/>
      </c>
      <c r="J299" s="203" t="str">
        <f>IF($H299="USD",IF(OR($I299="",$I299="-"),"",VLOOKUP($G299,為替!$A:$AX,$I299,FALSE))+$J$3,IF(OR($I299="",$I299="-"),"",VLOOKUP($G299,為替!$A:$AX,$I299,FALSE)))</f>
        <v/>
      </c>
      <c r="K299" s="204" t="str">
        <f t="shared" si="26"/>
        <v/>
      </c>
      <c r="L299" s="188" t="str">
        <f t="shared" si="27"/>
        <v/>
      </c>
      <c r="M299" s="203" t="str">
        <f>IF($H299="USD",IF(OR($L299="",$L299="-"),"",VLOOKUP($G299,為替!$A:$AX,$L299,FALSE))+$K$3,IF(OR($L299="",$L299="-"),"",VLOOKUP($G299,為替!$A:$AX,$L299,FALSE)))</f>
        <v/>
      </c>
      <c r="N299" s="204" t="str">
        <f t="shared" si="28"/>
        <v/>
      </c>
      <c r="O299" s="205" t="str">
        <f t="shared" si="24"/>
        <v/>
      </c>
      <c r="P299" s="206" t="str">
        <f t="shared" si="29"/>
        <v/>
      </c>
    </row>
    <row r="300" spans="3:16" x14ac:dyDescent="0.4">
      <c r="C300" s="199"/>
      <c r="D300" s="200"/>
      <c r="E300" s="201"/>
      <c r="F300" s="199"/>
      <c r="H300" s="202"/>
      <c r="I300" s="185" t="str">
        <f t="shared" si="25"/>
        <v/>
      </c>
      <c r="J300" s="203" t="str">
        <f>IF($H300="USD",IF(OR($I300="",$I300="-"),"",VLOOKUP($G300,為替!$A:$AX,$I300,FALSE))+$J$3,IF(OR($I300="",$I300="-"),"",VLOOKUP($G300,為替!$A:$AX,$I300,FALSE)))</f>
        <v/>
      </c>
      <c r="K300" s="204" t="str">
        <f t="shared" si="26"/>
        <v/>
      </c>
      <c r="L300" s="188" t="str">
        <f t="shared" si="27"/>
        <v/>
      </c>
      <c r="M300" s="203" t="str">
        <f>IF($H300="USD",IF(OR($L300="",$L300="-"),"",VLOOKUP($G300,為替!$A:$AX,$L300,FALSE))+$K$3,IF(OR($L300="",$L300="-"),"",VLOOKUP($G300,為替!$A:$AX,$L300,FALSE)))</f>
        <v/>
      </c>
      <c r="N300" s="204" t="str">
        <f t="shared" si="28"/>
        <v/>
      </c>
      <c r="O300" s="205" t="str">
        <f t="shared" si="24"/>
        <v/>
      </c>
      <c r="P300" s="206" t="str">
        <f t="shared" si="29"/>
        <v/>
      </c>
    </row>
    <row r="301" spans="3:16" x14ac:dyDescent="0.4">
      <c r="C301" s="199"/>
      <c r="D301" s="200"/>
      <c r="E301" s="201"/>
      <c r="F301" s="199"/>
      <c r="H301" s="202"/>
      <c r="I301" s="185" t="str">
        <f t="shared" si="25"/>
        <v/>
      </c>
      <c r="J301" s="203" t="str">
        <f>IF($H301="USD",IF(OR($I301="",$I301="-"),"",VLOOKUP($G301,為替!$A:$AX,$I301,FALSE))+$J$3,IF(OR($I301="",$I301="-"),"",VLOOKUP($G301,為替!$A:$AX,$I301,FALSE)))</f>
        <v/>
      </c>
      <c r="K301" s="204" t="str">
        <f t="shared" si="26"/>
        <v/>
      </c>
      <c r="L301" s="188" t="str">
        <f t="shared" si="27"/>
        <v/>
      </c>
      <c r="M301" s="203" t="str">
        <f>IF($H301="USD",IF(OR($L301="",$L301="-"),"",VLOOKUP($G301,為替!$A:$AX,$L301,FALSE))+$K$3,IF(OR($L301="",$L301="-"),"",VLOOKUP($G301,為替!$A:$AX,$L301,FALSE)))</f>
        <v/>
      </c>
      <c r="N301" s="204" t="str">
        <f t="shared" si="28"/>
        <v/>
      </c>
      <c r="O301" s="205" t="str">
        <f t="shared" si="24"/>
        <v/>
      </c>
      <c r="P301" s="206" t="str">
        <f t="shared" si="29"/>
        <v/>
      </c>
    </row>
    <row r="302" spans="3:16" x14ac:dyDescent="0.4">
      <c r="C302" s="199"/>
      <c r="D302" s="200"/>
      <c r="E302" s="201"/>
      <c r="F302" s="199"/>
      <c r="H302" s="202"/>
      <c r="I302" s="185" t="str">
        <f t="shared" si="25"/>
        <v/>
      </c>
      <c r="J302" s="203" t="str">
        <f>IF($H302="USD",IF(OR($I302="",$I302="-"),"",VLOOKUP($G302,為替!$A:$AX,$I302,FALSE))+$J$3,IF(OR($I302="",$I302="-"),"",VLOOKUP($G302,為替!$A:$AX,$I302,FALSE)))</f>
        <v/>
      </c>
      <c r="K302" s="204" t="str">
        <f t="shared" si="26"/>
        <v/>
      </c>
      <c r="L302" s="188" t="str">
        <f t="shared" si="27"/>
        <v/>
      </c>
      <c r="M302" s="203" t="str">
        <f>IF($H302="USD",IF(OR($L302="",$L302="-"),"",VLOOKUP($G302,為替!$A:$AX,$L302,FALSE))+$K$3,IF(OR($L302="",$L302="-"),"",VLOOKUP($G302,為替!$A:$AX,$L302,FALSE)))</f>
        <v/>
      </c>
      <c r="N302" s="204" t="str">
        <f t="shared" si="28"/>
        <v/>
      </c>
      <c r="O302" s="205" t="str">
        <f t="shared" si="24"/>
        <v/>
      </c>
      <c r="P302" s="206" t="str">
        <f t="shared" si="29"/>
        <v/>
      </c>
    </row>
    <row r="303" spans="3:16" x14ac:dyDescent="0.4">
      <c r="C303" s="199"/>
      <c r="D303" s="200"/>
      <c r="E303" s="201"/>
      <c r="F303" s="199"/>
      <c r="H303" s="202"/>
      <c r="I303" s="185" t="str">
        <f t="shared" si="25"/>
        <v/>
      </c>
      <c r="J303" s="203" t="str">
        <f>IF($H303="USD",IF(OR($I303="",$I303="-"),"",VLOOKUP($G303,為替!$A:$AX,$I303,FALSE))+$J$3,IF(OR($I303="",$I303="-"),"",VLOOKUP($G303,為替!$A:$AX,$I303,FALSE)))</f>
        <v/>
      </c>
      <c r="K303" s="204" t="str">
        <f t="shared" si="26"/>
        <v/>
      </c>
      <c r="L303" s="188" t="str">
        <f t="shared" si="27"/>
        <v/>
      </c>
      <c r="M303" s="203" t="str">
        <f>IF($H303="USD",IF(OR($L303="",$L303="-"),"",VLOOKUP($G303,為替!$A:$AX,$L303,FALSE))+$K$3,IF(OR($L303="",$L303="-"),"",VLOOKUP($G303,為替!$A:$AX,$L303,FALSE)))</f>
        <v/>
      </c>
      <c r="N303" s="204" t="str">
        <f t="shared" si="28"/>
        <v/>
      </c>
      <c r="O303" s="205" t="str">
        <f t="shared" si="24"/>
        <v/>
      </c>
      <c r="P303" s="206" t="str">
        <f t="shared" si="29"/>
        <v/>
      </c>
    </row>
    <row r="304" spans="3:16" x14ac:dyDescent="0.4">
      <c r="C304" s="199"/>
      <c r="D304" s="200"/>
      <c r="E304" s="201"/>
      <c r="F304" s="199"/>
      <c r="H304" s="202"/>
      <c r="I304" s="185" t="str">
        <f t="shared" si="25"/>
        <v/>
      </c>
      <c r="J304" s="203" t="str">
        <f>IF($H304="USD",IF(OR($I304="",$I304="-"),"",VLOOKUP($G304,為替!$A:$AX,$I304,FALSE))+$J$3,IF(OR($I304="",$I304="-"),"",VLOOKUP($G304,為替!$A:$AX,$I304,FALSE)))</f>
        <v/>
      </c>
      <c r="K304" s="204" t="str">
        <f t="shared" si="26"/>
        <v/>
      </c>
      <c r="L304" s="188" t="str">
        <f t="shared" si="27"/>
        <v/>
      </c>
      <c r="M304" s="203" t="str">
        <f>IF($H304="USD",IF(OR($L304="",$L304="-"),"",VLOOKUP($G304,為替!$A:$AX,$L304,FALSE))+$K$3,IF(OR($L304="",$L304="-"),"",VLOOKUP($G304,為替!$A:$AX,$L304,FALSE)))</f>
        <v/>
      </c>
      <c r="N304" s="204" t="str">
        <f t="shared" si="28"/>
        <v/>
      </c>
      <c r="O304" s="205" t="str">
        <f t="shared" si="24"/>
        <v/>
      </c>
      <c r="P304" s="206" t="str">
        <f t="shared" si="29"/>
        <v/>
      </c>
    </row>
    <row r="305" spans="3:16" x14ac:dyDescent="0.4">
      <c r="C305" s="199"/>
      <c r="D305" s="200"/>
      <c r="E305" s="201"/>
      <c r="F305" s="199"/>
      <c r="H305" s="202"/>
      <c r="I305" s="185" t="str">
        <f t="shared" si="25"/>
        <v/>
      </c>
      <c r="J305" s="203" t="str">
        <f>IF($H305="USD",IF(OR($I305="",$I305="-"),"",VLOOKUP($G305,為替!$A:$AX,$I305,FALSE))+$J$3,IF(OR($I305="",$I305="-"),"",VLOOKUP($G305,為替!$A:$AX,$I305,FALSE)))</f>
        <v/>
      </c>
      <c r="K305" s="204" t="str">
        <f t="shared" si="26"/>
        <v/>
      </c>
      <c r="L305" s="188" t="str">
        <f t="shared" si="27"/>
        <v/>
      </c>
      <c r="M305" s="203" t="str">
        <f>IF($H305="USD",IF(OR($L305="",$L305="-"),"",VLOOKUP($G305,為替!$A:$AX,$L305,FALSE))+$K$3,IF(OR($L305="",$L305="-"),"",VLOOKUP($G305,為替!$A:$AX,$L305,FALSE)))</f>
        <v/>
      </c>
      <c r="N305" s="204" t="str">
        <f t="shared" si="28"/>
        <v/>
      </c>
      <c r="O305" s="205" t="str">
        <f t="shared" si="24"/>
        <v/>
      </c>
      <c r="P305" s="206" t="str">
        <f t="shared" si="29"/>
        <v/>
      </c>
    </row>
    <row r="306" spans="3:16" x14ac:dyDescent="0.4">
      <c r="C306" s="199"/>
      <c r="D306" s="200"/>
      <c r="E306" s="201"/>
      <c r="F306" s="199"/>
      <c r="H306" s="202"/>
      <c r="I306" s="185" t="str">
        <f t="shared" si="25"/>
        <v/>
      </c>
      <c r="J306" s="203" t="str">
        <f>IF($H306="USD",IF(OR($I306="",$I306="-"),"",VLOOKUP($G306,為替!$A:$AX,$I306,FALSE))+$J$3,IF(OR($I306="",$I306="-"),"",VLOOKUP($G306,為替!$A:$AX,$I306,FALSE)))</f>
        <v/>
      </c>
      <c r="K306" s="204" t="str">
        <f t="shared" si="26"/>
        <v/>
      </c>
      <c r="L306" s="188" t="str">
        <f t="shared" si="27"/>
        <v/>
      </c>
      <c r="M306" s="203" t="str">
        <f>IF($H306="USD",IF(OR($L306="",$L306="-"),"",VLOOKUP($G306,為替!$A:$AX,$L306,FALSE))+$K$3,IF(OR($L306="",$L306="-"),"",VLOOKUP($G306,為替!$A:$AX,$L306,FALSE)))</f>
        <v/>
      </c>
      <c r="N306" s="204" t="str">
        <f t="shared" si="28"/>
        <v/>
      </c>
      <c r="O306" s="205" t="str">
        <f t="shared" si="24"/>
        <v/>
      </c>
      <c r="P306" s="206" t="str">
        <f t="shared" si="29"/>
        <v/>
      </c>
    </row>
    <row r="307" spans="3:16" x14ac:dyDescent="0.4">
      <c r="C307" s="199"/>
      <c r="D307" s="200"/>
      <c r="E307" s="201"/>
      <c r="F307" s="199"/>
      <c r="H307" s="202"/>
      <c r="I307" s="185" t="str">
        <f t="shared" si="25"/>
        <v/>
      </c>
      <c r="J307" s="203" t="str">
        <f>IF($H307="USD",IF(OR($I307="",$I307="-"),"",VLOOKUP($G307,為替!$A:$AX,$I307,FALSE))+$J$3,IF(OR($I307="",$I307="-"),"",VLOOKUP($G307,為替!$A:$AX,$I307,FALSE)))</f>
        <v/>
      </c>
      <c r="K307" s="204" t="str">
        <f t="shared" si="26"/>
        <v/>
      </c>
      <c r="L307" s="188" t="str">
        <f t="shared" si="27"/>
        <v/>
      </c>
      <c r="M307" s="203" t="str">
        <f>IF($H307="USD",IF(OR($L307="",$L307="-"),"",VLOOKUP($G307,為替!$A:$AX,$L307,FALSE))+$K$3,IF(OR($L307="",$L307="-"),"",VLOOKUP($G307,為替!$A:$AX,$L307,FALSE)))</f>
        <v/>
      </c>
      <c r="N307" s="204" t="str">
        <f t="shared" si="28"/>
        <v/>
      </c>
      <c r="O307" s="205" t="str">
        <f t="shared" si="24"/>
        <v/>
      </c>
      <c r="P307" s="206" t="str">
        <f t="shared" si="29"/>
        <v/>
      </c>
    </row>
    <row r="308" spans="3:16" x14ac:dyDescent="0.4">
      <c r="C308" s="199"/>
      <c r="D308" s="200"/>
      <c r="E308" s="201"/>
      <c r="F308" s="199"/>
      <c r="H308" s="202"/>
      <c r="I308" s="185" t="str">
        <f t="shared" si="25"/>
        <v/>
      </c>
      <c r="J308" s="203" t="str">
        <f>IF($H308="USD",IF(OR($I308="",$I308="-"),"",VLOOKUP($G308,為替!$A:$AX,$I308,FALSE))+$J$3,IF(OR($I308="",$I308="-"),"",VLOOKUP($G308,為替!$A:$AX,$I308,FALSE)))</f>
        <v/>
      </c>
      <c r="K308" s="204" t="str">
        <f t="shared" si="26"/>
        <v/>
      </c>
      <c r="L308" s="188" t="str">
        <f t="shared" si="27"/>
        <v/>
      </c>
      <c r="M308" s="203" t="str">
        <f>IF($H308="USD",IF(OR($L308="",$L308="-"),"",VLOOKUP($G308,為替!$A:$AX,$L308,FALSE))+$K$3,IF(OR($L308="",$L308="-"),"",VLOOKUP($G308,為替!$A:$AX,$L308,FALSE)))</f>
        <v/>
      </c>
      <c r="N308" s="204" t="str">
        <f t="shared" si="28"/>
        <v/>
      </c>
      <c r="O308" s="205" t="str">
        <f t="shared" si="24"/>
        <v/>
      </c>
      <c r="P308" s="206" t="str">
        <f t="shared" si="29"/>
        <v/>
      </c>
    </row>
    <row r="309" spans="3:16" x14ac:dyDescent="0.4">
      <c r="C309" s="199"/>
      <c r="D309" s="200"/>
      <c r="E309" s="201"/>
      <c r="F309" s="199"/>
      <c r="H309" s="202"/>
      <c r="I309" s="185" t="str">
        <f t="shared" si="25"/>
        <v/>
      </c>
      <c r="J309" s="203" t="str">
        <f>IF($H309="USD",IF(OR($I309="",$I309="-"),"",VLOOKUP($G309,為替!$A:$AX,$I309,FALSE))+$J$3,IF(OR($I309="",$I309="-"),"",VLOOKUP($G309,為替!$A:$AX,$I309,FALSE)))</f>
        <v/>
      </c>
      <c r="K309" s="204" t="str">
        <f t="shared" si="26"/>
        <v/>
      </c>
      <c r="L309" s="188" t="str">
        <f t="shared" si="27"/>
        <v/>
      </c>
      <c r="M309" s="203" t="str">
        <f>IF($H309="USD",IF(OR($L309="",$L309="-"),"",VLOOKUP($G309,為替!$A:$AX,$L309,FALSE))+$K$3,IF(OR($L309="",$L309="-"),"",VLOOKUP($G309,為替!$A:$AX,$L309,FALSE)))</f>
        <v/>
      </c>
      <c r="N309" s="204" t="str">
        <f t="shared" si="28"/>
        <v/>
      </c>
      <c r="O309" s="205" t="str">
        <f t="shared" si="24"/>
        <v/>
      </c>
      <c r="P309" s="206" t="str">
        <f t="shared" si="29"/>
        <v/>
      </c>
    </row>
    <row r="310" spans="3:16" x14ac:dyDescent="0.4">
      <c r="C310" s="199"/>
      <c r="D310" s="200"/>
      <c r="E310" s="201"/>
      <c r="F310" s="199"/>
      <c r="H310" s="202"/>
      <c r="I310" s="185" t="str">
        <f t="shared" si="25"/>
        <v/>
      </c>
      <c r="J310" s="203" t="str">
        <f>IF($H310="USD",IF(OR($I310="",$I310="-"),"",VLOOKUP($G310,為替!$A:$AX,$I310,FALSE))+$J$3,IF(OR($I310="",$I310="-"),"",VLOOKUP($G310,為替!$A:$AX,$I310,FALSE)))</f>
        <v/>
      </c>
      <c r="K310" s="204" t="str">
        <f t="shared" si="26"/>
        <v/>
      </c>
      <c r="L310" s="188" t="str">
        <f t="shared" si="27"/>
        <v/>
      </c>
      <c r="M310" s="203" t="str">
        <f>IF($H310="USD",IF(OR($L310="",$L310="-"),"",VLOOKUP($G310,為替!$A:$AX,$L310,FALSE))+$K$3,IF(OR($L310="",$L310="-"),"",VLOOKUP($G310,為替!$A:$AX,$L310,FALSE)))</f>
        <v/>
      </c>
      <c r="N310" s="204" t="str">
        <f t="shared" si="28"/>
        <v/>
      </c>
      <c r="O310" s="205" t="str">
        <f t="shared" si="24"/>
        <v/>
      </c>
      <c r="P310" s="206" t="str">
        <f t="shared" si="29"/>
        <v/>
      </c>
    </row>
    <row r="311" spans="3:16" x14ac:dyDescent="0.4">
      <c r="C311" s="199"/>
      <c r="D311" s="200"/>
      <c r="E311" s="201"/>
      <c r="F311" s="199"/>
      <c r="H311" s="202"/>
      <c r="I311" s="185" t="str">
        <f t="shared" si="25"/>
        <v/>
      </c>
      <c r="J311" s="203" t="str">
        <f>IF($H311="USD",IF(OR($I311="",$I311="-"),"",VLOOKUP($G311,為替!$A:$AX,$I311,FALSE))+$J$3,IF(OR($I311="",$I311="-"),"",VLOOKUP($G311,為替!$A:$AX,$I311,FALSE)))</f>
        <v/>
      </c>
      <c r="K311" s="204" t="str">
        <f t="shared" si="26"/>
        <v/>
      </c>
      <c r="L311" s="188" t="str">
        <f t="shared" si="27"/>
        <v/>
      </c>
      <c r="M311" s="203" t="str">
        <f>IF($H311="USD",IF(OR($L311="",$L311="-"),"",VLOOKUP($G311,為替!$A:$AX,$L311,FALSE))+$K$3,IF(OR($L311="",$L311="-"),"",VLOOKUP($G311,為替!$A:$AX,$L311,FALSE)))</f>
        <v/>
      </c>
      <c r="N311" s="204" t="str">
        <f t="shared" si="28"/>
        <v/>
      </c>
      <c r="O311" s="205" t="str">
        <f t="shared" si="24"/>
        <v/>
      </c>
      <c r="P311" s="206" t="str">
        <f t="shared" si="29"/>
        <v/>
      </c>
    </row>
    <row r="312" spans="3:16" x14ac:dyDescent="0.4">
      <c r="C312" s="199"/>
      <c r="D312" s="200"/>
      <c r="E312" s="201"/>
      <c r="F312" s="199"/>
      <c r="H312" s="202"/>
      <c r="I312" s="185" t="str">
        <f t="shared" si="25"/>
        <v/>
      </c>
      <c r="J312" s="203" t="str">
        <f>IF($H312="USD",IF(OR($I312="",$I312="-"),"",VLOOKUP($G312,為替!$A:$AX,$I312,FALSE))+$J$3,IF(OR($I312="",$I312="-"),"",VLOOKUP($G312,為替!$A:$AX,$I312,FALSE)))</f>
        <v/>
      </c>
      <c r="K312" s="204" t="str">
        <f t="shared" si="26"/>
        <v/>
      </c>
      <c r="L312" s="188" t="str">
        <f t="shared" si="27"/>
        <v/>
      </c>
      <c r="M312" s="203" t="str">
        <f>IF($H312="USD",IF(OR($L312="",$L312="-"),"",VLOOKUP($G312,為替!$A:$AX,$L312,FALSE))+$K$3,IF(OR($L312="",$L312="-"),"",VLOOKUP($G312,為替!$A:$AX,$L312,FALSE)))</f>
        <v/>
      </c>
      <c r="N312" s="204" t="str">
        <f t="shared" si="28"/>
        <v/>
      </c>
      <c r="O312" s="205" t="str">
        <f t="shared" si="24"/>
        <v/>
      </c>
      <c r="P312" s="206" t="str">
        <f t="shared" si="29"/>
        <v/>
      </c>
    </row>
    <row r="313" spans="3:16" x14ac:dyDescent="0.4">
      <c r="C313" s="199"/>
      <c r="D313" s="200"/>
      <c r="E313" s="201"/>
      <c r="F313" s="199"/>
      <c r="H313" s="202"/>
      <c r="I313" s="185" t="str">
        <f t="shared" si="25"/>
        <v/>
      </c>
      <c r="J313" s="203" t="str">
        <f>IF($H313="USD",IF(OR($I313="",$I313="-"),"",VLOOKUP($G313,為替!$A:$AX,$I313,FALSE))+$J$3,IF(OR($I313="",$I313="-"),"",VLOOKUP($G313,為替!$A:$AX,$I313,FALSE)))</f>
        <v/>
      </c>
      <c r="K313" s="204" t="str">
        <f t="shared" si="26"/>
        <v/>
      </c>
      <c r="L313" s="188" t="str">
        <f t="shared" si="27"/>
        <v/>
      </c>
      <c r="M313" s="203" t="str">
        <f>IF($H313="USD",IF(OR($L313="",$L313="-"),"",VLOOKUP($G313,為替!$A:$AX,$L313,FALSE))+$K$3,IF(OR($L313="",$L313="-"),"",VLOOKUP($G313,為替!$A:$AX,$L313,FALSE)))</f>
        <v/>
      </c>
      <c r="N313" s="204" t="str">
        <f t="shared" si="28"/>
        <v/>
      </c>
      <c r="O313" s="205" t="str">
        <f t="shared" si="24"/>
        <v/>
      </c>
      <c r="P313" s="206" t="str">
        <f t="shared" si="29"/>
        <v/>
      </c>
    </row>
    <row r="314" spans="3:16" x14ac:dyDescent="0.4">
      <c r="C314" s="199"/>
      <c r="D314" s="200"/>
      <c r="E314" s="201"/>
      <c r="F314" s="199"/>
      <c r="H314" s="202"/>
      <c r="I314" s="185" t="str">
        <f t="shared" si="25"/>
        <v/>
      </c>
      <c r="J314" s="203" t="str">
        <f>IF($H314="USD",IF(OR($I314="",$I314="-"),"",VLOOKUP($G314,為替!$A:$AX,$I314,FALSE))+$J$3,IF(OR($I314="",$I314="-"),"",VLOOKUP($G314,為替!$A:$AX,$I314,FALSE)))</f>
        <v/>
      </c>
      <c r="K314" s="204" t="str">
        <f t="shared" si="26"/>
        <v/>
      </c>
      <c r="L314" s="188" t="str">
        <f t="shared" si="27"/>
        <v/>
      </c>
      <c r="M314" s="203" t="str">
        <f>IF($H314="USD",IF(OR($L314="",$L314="-"),"",VLOOKUP($G314,為替!$A:$AX,$L314,FALSE))+$K$3,IF(OR($L314="",$L314="-"),"",VLOOKUP($G314,為替!$A:$AX,$L314,FALSE)))</f>
        <v/>
      </c>
      <c r="N314" s="204" t="str">
        <f t="shared" si="28"/>
        <v/>
      </c>
      <c r="O314" s="205" t="str">
        <f t="shared" si="24"/>
        <v/>
      </c>
      <c r="P314" s="206" t="str">
        <f t="shared" si="29"/>
        <v/>
      </c>
    </row>
    <row r="315" spans="3:16" x14ac:dyDescent="0.4">
      <c r="C315" s="199"/>
      <c r="D315" s="200"/>
      <c r="E315" s="201"/>
      <c r="F315" s="199"/>
      <c r="H315" s="202"/>
      <c r="I315" s="185" t="str">
        <f t="shared" si="25"/>
        <v/>
      </c>
      <c r="J315" s="203" t="str">
        <f>IF($H315="USD",IF(OR($I315="",$I315="-"),"",VLOOKUP($G315,為替!$A:$AX,$I315,FALSE))+$J$3,IF(OR($I315="",$I315="-"),"",VLOOKUP($G315,為替!$A:$AX,$I315,FALSE)))</f>
        <v/>
      </c>
      <c r="K315" s="204" t="str">
        <f t="shared" si="26"/>
        <v/>
      </c>
      <c r="L315" s="188" t="str">
        <f t="shared" si="27"/>
        <v/>
      </c>
      <c r="M315" s="203" t="str">
        <f>IF($H315="USD",IF(OR($L315="",$L315="-"),"",VLOOKUP($G315,為替!$A:$AX,$L315,FALSE))+$K$3,IF(OR($L315="",$L315="-"),"",VLOOKUP($G315,為替!$A:$AX,$L315,FALSE)))</f>
        <v/>
      </c>
      <c r="N315" s="204" t="str">
        <f t="shared" si="28"/>
        <v/>
      </c>
      <c r="O315" s="205" t="str">
        <f t="shared" si="24"/>
        <v/>
      </c>
      <c r="P315" s="206" t="str">
        <f t="shared" si="29"/>
        <v/>
      </c>
    </row>
    <row r="316" spans="3:16" x14ac:dyDescent="0.4">
      <c r="C316" s="199"/>
      <c r="D316" s="200"/>
      <c r="E316" s="201"/>
      <c r="F316" s="199"/>
      <c r="H316" s="202"/>
      <c r="I316" s="185" t="str">
        <f t="shared" si="25"/>
        <v/>
      </c>
      <c r="J316" s="203" t="str">
        <f>IF($H316="USD",IF(OR($I316="",$I316="-"),"",VLOOKUP($G316,為替!$A:$AX,$I316,FALSE))+$J$3,IF(OR($I316="",$I316="-"),"",VLOOKUP($G316,為替!$A:$AX,$I316,FALSE)))</f>
        <v/>
      </c>
      <c r="K316" s="204" t="str">
        <f t="shared" si="26"/>
        <v/>
      </c>
      <c r="L316" s="188" t="str">
        <f t="shared" si="27"/>
        <v/>
      </c>
      <c r="M316" s="203" t="str">
        <f>IF($H316="USD",IF(OR($L316="",$L316="-"),"",VLOOKUP($G316,為替!$A:$AX,$L316,FALSE))+$K$3,IF(OR($L316="",$L316="-"),"",VLOOKUP($G316,為替!$A:$AX,$L316,FALSE)))</f>
        <v/>
      </c>
      <c r="N316" s="204" t="str">
        <f t="shared" si="28"/>
        <v/>
      </c>
      <c r="O316" s="205" t="str">
        <f t="shared" si="24"/>
        <v/>
      </c>
      <c r="P316" s="206" t="str">
        <f t="shared" si="29"/>
        <v/>
      </c>
    </row>
    <row r="317" spans="3:16" x14ac:dyDescent="0.4">
      <c r="C317" s="199"/>
      <c r="D317" s="200"/>
      <c r="E317" s="201"/>
      <c r="F317" s="199"/>
      <c r="H317" s="202"/>
      <c r="I317" s="185" t="str">
        <f t="shared" si="25"/>
        <v/>
      </c>
      <c r="J317" s="203" t="str">
        <f>IF($H317="USD",IF(OR($I317="",$I317="-"),"",VLOOKUP($G317,為替!$A:$AX,$I317,FALSE))+$J$3,IF(OR($I317="",$I317="-"),"",VLOOKUP($G317,為替!$A:$AX,$I317,FALSE)))</f>
        <v/>
      </c>
      <c r="K317" s="204" t="str">
        <f t="shared" si="26"/>
        <v/>
      </c>
      <c r="L317" s="188" t="str">
        <f t="shared" si="27"/>
        <v/>
      </c>
      <c r="M317" s="203" t="str">
        <f>IF($H317="USD",IF(OR($L317="",$L317="-"),"",VLOOKUP($G317,為替!$A:$AX,$L317,FALSE))+$K$3,IF(OR($L317="",$L317="-"),"",VLOOKUP($G317,為替!$A:$AX,$L317,FALSE)))</f>
        <v/>
      </c>
      <c r="N317" s="204" t="str">
        <f t="shared" si="28"/>
        <v/>
      </c>
      <c r="O317" s="205" t="str">
        <f t="shared" si="24"/>
        <v/>
      </c>
      <c r="P317" s="206" t="str">
        <f t="shared" si="29"/>
        <v/>
      </c>
    </row>
    <row r="318" spans="3:16" x14ac:dyDescent="0.4">
      <c r="C318" s="199"/>
      <c r="D318" s="200"/>
      <c r="E318" s="201"/>
      <c r="F318" s="199"/>
      <c r="H318" s="202"/>
      <c r="I318" s="185" t="str">
        <f t="shared" si="25"/>
        <v/>
      </c>
      <c r="J318" s="203" t="str">
        <f>IF($H318="USD",IF(OR($I318="",$I318="-"),"",VLOOKUP($G318,為替!$A:$AX,$I318,FALSE))+$J$3,IF(OR($I318="",$I318="-"),"",VLOOKUP($G318,為替!$A:$AX,$I318,FALSE)))</f>
        <v/>
      </c>
      <c r="K318" s="204" t="str">
        <f t="shared" si="26"/>
        <v/>
      </c>
      <c r="L318" s="188" t="str">
        <f t="shared" si="27"/>
        <v/>
      </c>
      <c r="M318" s="203" t="str">
        <f>IF($H318="USD",IF(OR($L318="",$L318="-"),"",VLOOKUP($G318,為替!$A:$AX,$L318,FALSE))+$K$3,IF(OR($L318="",$L318="-"),"",VLOOKUP($G318,為替!$A:$AX,$L318,FALSE)))</f>
        <v/>
      </c>
      <c r="N318" s="204" t="str">
        <f t="shared" si="28"/>
        <v/>
      </c>
      <c r="O318" s="205" t="str">
        <f t="shared" si="24"/>
        <v/>
      </c>
      <c r="P318" s="206" t="str">
        <f t="shared" si="29"/>
        <v/>
      </c>
    </row>
    <row r="319" spans="3:16" x14ac:dyDescent="0.4">
      <c r="C319" s="199"/>
      <c r="D319" s="200"/>
      <c r="E319" s="201"/>
      <c r="F319" s="199"/>
      <c r="H319" s="202"/>
      <c r="I319" s="185" t="str">
        <f t="shared" si="25"/>
        <v/>
      </c>
      <c r="J319" s="203" t="str">
        <f>IF($H319="USD",IF(OR($I319="",$I319="-"),"",VLOOKUP($G319,為替!$A:$AX,$I319,FALSE))+$J$3,IF(OR($I319="",$I319="-"),"",VLOOKUP($G319,為替!$A:$AX,$I319,FALSE)))</f>
        <v/>
      </c>
      <c r="K319" s="204" t="str">
        <f t="shared" si="26"/>
        <v/>
      </c>
      <c r="L319" s="188" t="str">
        <f t="shared" si="27"/>
        <v/>
      </c>
      <c r="M319" s="203" t="str">
        <f>IF($H319="USD",IF(OR($L319="",$L319="-"),"",VLOOKUP($G319,為替!$A:$AX,$L319,FALSE))+$K$3,IF(OR($L319="",$L319="-"),"",VLOOKUP($G319,為替!$A:$AX,$L319,FALSE)))</f>
        <v/>
      </c>
      <c r="N319" s="204" t="str">
        <f t="shared" si="28"/>
        <v/>
      </c>
      <c r="O319" s="205" t="str">
        <f t="shared" si="24"/>
        <v/>
      </c>
      <c r="P319" s="206" t="str">
        <f t="shared" si="29"/>
        <v/>
      </c>
    </row>
    <row r="320" spans="3:16" x14ac:dyDescent="0.4">
      <c r="C320" s="199"/>
      <c r="D320" s="200"/>
      <c r="E320" s="201"/>
      <c r="F320" s="199"/>
      <c r="H320" s="202"/>
      <c r="I320" s="185" t="str">
        <f t="shared" si="25"/>
        <v/>
      </c>
      <c r="J320" s="203" t="str">
        <f>IF($H320="USD",IF(OR($I320="",$I320="-"),"",VLOOKUP($G320,為替!$A:$AX,$I320,FALSE))+$J$3,IF(OR($I320="",$I320="-"),"",VLOOKUP($G320,為替!$A:$AX,$I320,FALSE)))</f>
        <v/>
      </c>
      <c r="K320" s="204" t="str">
        <f t="shared" si="26"/>
        <v/>
      </c>
      <c r="L320" s="188" t="str">
        <f t="shared" si="27"/>
        <v/>
      </c>
      <c r="M320" s="203" t="str">
        <f>IF($H320="USD",IF(OR($L320="",$L320="-"),"",VLOOKUP($G320,為替!$A:$AX,$L320,FALSE))+$K$3,IF(OR($L320="",$L320="-"),"",VLOOKUP($G320,為替!$A:$AX,$L320,FALSE)))</f>
        <v/>
      </c>
      <c r="N320" s="204" t="str">
        <f t="shared" si="28"/>
        <v/>
      </c>
      <c r="O320" s="205" t="str">
        <f t="shared" si="24"/>
        <v/>
      </c>
      <c r="P320" s="206" t="str">
        <f t="shared" si="29"/>
        <v/>
      </c>
    </row>
    <row r="321" spans="3:16" x14ac:dyDescent="0.4">
      <c r="C321" s="199"/>
      <c r="D321" s="200"/>
      <c r="E321" s="201"/>
      <c r="F321" s="199"/>
      <c r="H321" s="202"/>
      <c r="I321" s="185" t="str">
        <f t="shared" si="25"/>
        <v/>
      </c>
      <c r="J321" s="203" t="str">
        <f>IF($H321="USD",IF(OR($I321="",$I321="-"),"",VLOOKUP($G321,為替!$A:$AX,$I321,FALSE))+$J$3,IF(OR($I321="",$I321="-"),"",VLOOKUP($G321,為替!$A:$AX,$I321,FALSE)))</f>
        <v/>
      </c>
      <c r="K321" s="204" t="str">
        <f t="shared" si="26"/>
        <v/>
      </c>
      <c r="L321" s="188" t="str">
        <f t="shared" si="27"/>
        <v/>
      </c>
      <c r="M321" s="203" t="str">
        <f>IF($H321="USD",IF(OR($L321="",$L321="-"),"",VLOOKUP($G321,為替!$A:$AX,$L321,FALSE))+$K$3,IF(OR($L321="",$L321="-"),"",VLOOKUP($G321,為替!$A:$AX,$L321,FALSE)))</f>
        <v/>
      </c>
      <c r="N321" s="204" t="str">
        <f t="shared" si="28"/>
        <v/>
      </c>
      <c r="O321" s="205" t="str">
        <f t="shared" si="24"/>
        <v/>
      </c>
      <c r="P321" s="206" t="str">
        <f t="shared" si="29"/>
        <v/>
      </c>
    </row>
    <row r="322" spans="3:16" x14ac:dyDescent="0.4">
      <c r="C322" s="199"/>
      <c r="D322" s="200"/>
      <c r="E322" s="201"/>
      <c r="F322" s="199"/>
      <c r="H322" s="202"/>
      <c r="I322" s="185" t="str">
        <f t="shared" si="25"/>
        <v/>
      </c>
      <c r="J322" s="203" t="str">
        <f>IF($H322="USD",IF(OR($I322="",$I322="-"),"",VLOOKUP($G322,為替!$A:$AX,$I322,FALSE))+$J$3,IF(OR($I322="",$I322="-"),"",VLOOKUP($G322,為替!$A:$AX,$I322,FALSE)))</f>
        <v/>
      </c>
      <c r="K322" s="204" t="str">
        <f t="shared" si="26"/>
        <v/>
      </c>
      <c r="L322" s="188" t="str">
        <f t="shared" si="27"/>
        <v/>
      </c>
      <c r="M322" s="203" t="str">
        <f>IF($H322="USD",IF(OR($L322="",$L322="-"),"",VLOOKUP($G322,為替!$A:$AX,$L322,FALSE))+$K$3,IF(OR($L322="",$L322="-"),"",VLOOKUP($G322,為替!$A:$AX,$L322,FALSE)))</f>
        <v/>
      </c>
      <c r="N322" s="204" t="str">
        <f t="shared" si="28"/>
        <v/>
      </c>
      <c r="O322" s="205" t="str">
        <f t="shared" si="24"/>
        <v/>
      </c>
      <c r="P322" s="206" t="str">
        <f t="shared" si="29"/>
        <v/>
      </c>
    </row>
    <row r="323" spans="3:16" x14ac:dyDescent="0.4">
      <c r="C323" s="199"/>
      <c r="D323" s="200"/>
      <c r="E323" s="201"/>
      <c r="F323" s="199"/>
      <c r="H323" s="202"/>
      <c r="I323" s="185" t="str">
        <f t="shared" si="25"/>
        <v/>
      </c>
      <c r="J323" s="203" t="str">
        <f>IF($H323="USD",IF(OR($I323="",$I323="-"),"",VLOOKUP($G323,為替!$A:$AX,$I323,FALSE))+$J$3,IF(OR($I323="",$I323="-"),"",VLOOKUP($G323,為替!$A:$AX,$I323,FALSE)))</f>
        <v/>
      </c>
      <c r="K323" s="204" t="str">
        <f t="shared" si="26"/>
        <v/>
      </c>
      <c r="L323" s="188" t="str">
        <f t="shared" si="27"/>
        <v/>
      </c>
      <c r="M323" s="203" t="str">
        <f>IF($H323="USD",IF(OR($L323="",$L323="-"),"",VLOOKUP($G323,為替!$A:$AX,$L323,FALSE))+$K$3,IF(OR($L323="",$L323="-"),"",VLOOKUP($G323,為替!$A:$AX,$L323,FALSE)))</f>
        <v/>
      </c>
      <c r="N323" s="204" t="str">
        <f t="shared" si="28"/>
        <v/>
      </c>
      <c r="O323" s="205" t="str">
        <f t="shared" si="24"/>
        <v/>
      </c>
      <c r="P323" s="206" t="str">
        <f t="shared" si="29"/>
        <v/>
      </c>
    </row>
    <row r="324" spans="3:16" x14ac:dyDescent="0.4">
      <c r="C324" s="199"/>
      <c r="D324" s="200"/>
      <c r="E324" s="201"/>
      <c r="F324" s="199"/>
      <c r="H324" s="202"/>
      <c r="I324" s="185" t="str">
        <f t="shared" si="25"/>
        <v/>
      </c>
      <c r="J324" s="203" t="str">
        <f>IF($H324="USD",IF(OR($I324="",$I324="-"),"",VLOOKUP($G324,為替!$A:$AX,$I324,FALSE))+$J$3,IF(OR($I324="",$I324="-"),"",VLOOKUP($G324,為替!$A:$AX,$I324,FALSE)))</f>
        <v/>
      </c>
      <c r="K324" s="204" t="str">
        <f t="shared" si="26"/>
        <v/>
      </c>
      <c r="L324" s="188" t="str">
        <f t="shared" si="27"/>
        <v/>
      </c>
      <c r="M324" s="203" t="str">
        <f>IF($H324="USD",IF(OR($L324="",$L324="-"),"",VLOOKUP($G324,為替!$A:$AX,$L324,FALSE))+$K$3,IF(OR($L324="",$L324="-"),"",VLOOKUP($G324,為替!$A:$AX,$L324,FALSE)))</f>
        <v/>
      </c>
      <c r="N324" s="204" t="str">
        <f t="shared" si="28"/>
        <v/>
      </c>
      <c r="O324" s="205" t="str">
        <f t="shared" si="24"/>
        <v/>
      </c>
      <c r="P324" s="206" t="str">
        <f t="shared" si="29"/>
        <v/>
      </c>
    </row>
    <row r="325" spans="3:16" x14ac:dyDescent="0.4">
      <c r="C325" s="199"/>
      <c r="D325" s="200"/>
      <c r="E325" s="201"/>
      <c r="F325" s="199"/>
      <c r="H325" s="202"/>
      <c r="I325" s="185" t="str">
        <f t="shared" si="25"/>
        <v/>
      </c>
      <c r="J325" s="203" t="str">
        <f>IF($H325="USD",IF(OR($I325="",$I325="-"),"",VLOOKUP($G325,為替!$A:$AX,$I325,FALSE))+$J$3,IF(OR($I325="",$I325="-"),"",VLOOKUP($G325,為替!$A:$AX,$I325,FALSE)))</f>
        <v/>
      </c>
      <c r="K325" s="204" t="str">
        <f t="shared" si="26"/>
        <v/>
      </c>
      <c r="L325" s="188" t="str">
        <f t="shared" si="27"/>
        <v/>
      </c>
      <c r="M325" s="203" t="str">
        <f>IF($H325="USD",IF(OR($L325="",$L325="-"),"",VLOOKUP($G325,為替!$A:$AX,$L325,FALSE))+$K$3,IF(OR($L325="",$L325="-"),"",VLOOKUP($G325,為替!$A:$AX,$L325,FALSE)))</f>
        <v/>
      </c>
      <c r="N325" s="204" t="str">
        <f t="shared" si="28"/>
        <v/>
      </c>
      <c r="O325" s="205" t="str">
        <f t="shared" si="24"/>
        <v/>
      </c>
      <c r="P325" s="206" t="str">
        <f t="shared" si="29"/>
        <v/>
      </c>
    </row>
    <row r="326" spans="3:16" x14ac:dyDescent="0.4">
      <c r="C326" s="199"/>
      <c r="D326" s="200"/>
      <c r="E326" s="201"/>
      <c r="F326" s="199"/>
      <c r="H326" s="202"/>
      <c r="I326" s="185" t="str">
        <f t="shared" si="25"/>
        <v/>
      </c>
      <c r="J326" s="203" t="str">
        <f>IF($H326="USD",IF(OR($I326="",$I326="-"),"",VLOOKUP($G326,為替!$A:$AX,$I326,FALSE))+$J$3,IF(OR($I326="",$I326="-"),"",VLOOKUP($G326,為替!$A:$AX,$I326,FALSE)))</f>
        <v/>
      </c>
      <c r="K326" s="204" t="str">
        <f t="shared" si="26"/>
        <v/>
      </c>
      <c r="L326" s="188" t="str">
        <f t="shared" si="27"/>
        <v/>
      </c>
      <c r="M326" s="203" t="str">
        <f>IF($H326="USD",IF(OR($L326="",$L326="-"),"",VLOOKUP($G326,為替!$A:$AX,$L326,FALSE))+$K$3,IF(OR($L326="",$L326="-"),"",VLOOKUP($G326,為替!$A:$AX,$L326,FALSE)))</f>
        <v/>
      </c>
      <c r="N326" s="204" t="str">
        <f t="shared" si="28"/>
        <v/>
      </c>
      <c r="O326" s="205" t="str">
        <f t="shared" ref="O326:O389" si="30">IF(OR(K326="",N326=""),"",K326-N326)</f>
        <v/>
      </c>
      <c r="P326" s="206" t="str">
        <f t="shared" si="29"/>
        <v/>
      </c>
    </row>
    <row r="327" spans="3:16" x14ac:dyDescent="0.4">
      <c r="C327" s="199"/>
      <c r="D327" s="200"/>
      <c r="E327" s="201"/>
      <c r="F327" s="199"/>
      <c r="H327" s="202"/>
      <c r="I327" s="185" t="str">
        <f t="shared" ref="I327:I390" si="31">IF(H327="","",IF(H327="JPY","",IF($H327="USD",4, IF(H327="EUR",7,IF(H327="CNY",47,IF(H327="HKD",34))))))</f>
        <v/>
      </c>
      <c r="J327" s="203" t="str">
        <f>IF($H327="USD",IF(OR($I327="",$I327="-"),"",VLOOKUP($G327,為替!$A:$AX,$I327,FALSE))+$J$3,IF(OR($I327="",$I327="-"),"",VLOOKUP($G327,為替!$A:$AX,$I327,FALSE)))</f>
        <v/>
      </c>
      <c r="K327" s="204" t="str">
        <f t="shared" ref="K327:K390" si="32">IF($H327="JPY",$F327,IF($H327="","",$F327*$J327))</f>
        <v/>
      </c>
      <c r="L327" s="188" t="str">
        <f t="shared" ref="L327:L390" si="33">IF(H327="","",IF(H327="JPY","",IF($H327="USD",3, IF(H327="EUR",6,IF(H327="CNY",46,IF(H327="HKD",33))))))</f>
        <v/>
      </c>
      <c r="M327" s="203" t="str">
        <f>IF($H327="USD",IF(OR($L327="",$L327="-"),"",VLOOKUP($G327,為替!$A:$AX,$L327,FALSE))+$K$3,IF(OR($L327="",$L327="-"),"",VLOOKUP($G327,為替!$A:$AX,$L327,FALSE)))</f>
        <v/>
      </c>
      <c r="N327" s="204" t="str">
        <f t="shared" ref="N327:N390" si="34">IF($E327="JPY",($C327+$D327),IF($E327="","",($C327+$D327)*$M327))</f>
        <v/>
      </c>
      <c r="O327" s="205" t="str">
        <f t="shared" si="30"/>
        <v/>
      </c>
      <c r="P327" s="206" t="str">
        <f t="shared" ref="P327:P390" si="35">IF(OR(K327="",O327=""),"",O327/K327)</f>
        <v/>
      </c>
    </row>
    <row r="328" spans="3:16" x14ac:dyDescent="0.4">
      <c r="C328" s="199"/>
      <c r="D328" s="200"/>
      <c r="E328" s="201"/>
      <c r="F328" s="199"/>
      <c r="H328" s="202"/>
      <c r="I328" s="185" t="str">
        <f t="shared" si="31"/>
        <v/>
      </c>
      <c r="J328" s="203" t="str">
        <f>IF($H328="USD",IF(OR($I328="",$I328="-"),"",VLOOKUP($G328,為替!$A:$AX,$I328,FALSE))+$J$3,IF(OR($I328="",$I328="-"),"",VLOOKUP($G328,為替!$A:$AX,$I328,FALSE)))</f>
        <v/>
      </c>
      <c r="K328" s="204" t="str">
        <f t="shared" si="32"/>
        <v/>
      </c>
      <c r="L328" s="188" t="str">
        <f t="shared" si="33"/>
        <v/>
      </c>
      <c r="M328" s="203" t="str">
        <f>IF($H328="USD",IF(OR($L328="",$L328="-"),"",VLOOKUP($G328,為替!$A:$AX,$L328,FALSE))+$K$3,IF(OR($L328="",$L328="-"),"",VLOOKUP($G328,為替!$A:$AX,$L328,FALSE)))</f>
        <v/>
      </c>
      <c r="N328" s="204" t="str">
        <f t="shared" si="34"/>
        <v/>
      </c>
      <c r="O328" s="205" t="str">
        <f t="shared" si="30"/>
        <v/>
      </c>
      <c r="P328" s="206" t="str">
        <f t="shared" si="35"/>
        <v/>
      </c>
    </row>
    <row r="329" spans="3:16" x14ac:dyDescent="0.4">
      <c r="C329" s="199"/>
      <c r="D329" s="200"/>
      <c r="E329" s="201"/>
      <c r="F329" s="199"/>
      <c r="H329" s="202"/>
      <c r="I329" s="185" t="str">
        <f t="shared" si="31"/>
        <v/>
      </c>
      <c r="J329" s="203" t="str">
        <f>IF($H329="USD",IF(OR($I329="",$I329="-"),"",VLOOKUP($G329,為替!$A:$AX,$I329,FALSE))+$J$3,IF(OR($I329="",$I329="-"),"",VLOOKUP($G329,為替!$A:$AX,$I329,FALSE)))</f>
        <v/>
      </c>
      <c r="K329" s="204" t="str">
        <f t="shared" si="32"/>
        <v/>
      </c>
      <c r="L329" s="188" t="str">
        <f t="shared" si="33"/>
        <v/>
      </c>
      <c r="M329" s="203" t="str">
        <f>IF($H329="USD",IF(OR($L329="",$L329="-"),"",VLOOKUP($G329,為替!$A:$AX,$L329,FALSE))+$K$3,IF(OR($L329="",$L329="-"),"",VLOOKUP($G329,為替!$A:$AX,$L329,FALSE)))</f>
        <v/>
      </c>
      <c r="N329" s="204" t="str">
        <f t="shared" si="34"/>
        <v/>
      </c>
      <c r="O329" s="205" t="str">
        <f t="shared" si="30"/>
        <v/>
      </c>
      <c r="P329" s="206" t="str">
        <f t="shared" si="35"/>
        <v/>
      </c>
    </row>
    <row r="330" spans="3:16" x14ac:dyDescent="0.4">
      <c r="C330" s="199"/>
      <c r="D330" s="200"/>
      <c r="E330" s="201"/>
      <c r="F330" s="199"/>
      <c r="H330" s="202"/>
      <c r="I330" s="185" t="str">
        <f t="shared" si="31"/>
        <v/>
      </c>
      <c r="J330" s="203" t="str">
        <f>IF($H330="USD",IF(OR($I330="",$I330="-"),"",VLOOKUP($G330,為替!$A:$AX,$I330,FALSE))+$J$3,IF(OR($I330="",$I330="-"),"",VLOOKUP($G330,為替!$A:$AX,$I330,FALSE)))</f>
        <v/>
      </c>
      <c r="K330" s="204" t="str">
        <f t="shared" si="32"/>
        <v/>
      </c>
      <c r="L330" s="188" t="str">
        <f t="shared" si="33"/>
        <v/>
      </c>
      <c r="M330" s="203" t="str">
        <f>IF($H330="USD",IF(OR($L330="",$L330="-"),"",VLOOKUP($G330,為替!$A:$AX,$L330,FALSE))+$K$3,IF(OR($L330="",$L330="-"),"",VLOOKUP($G330,為替!$A:$AX,$L330,FALSE)))</f>
        <v/>
      </c>
      <c r="N330" s="204" t="str">
        <f t="shared" si="34"/>
        <v/>
      </c>
      <c r="O330" s="205" t="str">
        <f t="shared" si="30"/>
        <v/>
      </c>
      <c r="P330" s="206" t="str">
        <f t="shared" si="35"/>
        <v/>
      </c>
    </row>
    <row r="331" spans="3:16" x14ac:dyDescent="0.4">
      <c r="C331" s="199"/>
      <c r="D331" s="200"/>
      <c r="E331" s="201"/>
      <c r="F331" s="199"/>
      <c r="H331" s="202"/>
      <c r="I331" s="185" t="str">
        <f t="shared" si="31"/>
        <v/>
      </c>
      <c r="J331" s="203" t="str">
        <f>IF($H331="USD",IF(OR($I331="",$I331="-"),"",VLOOKUP($G331,為替!$A:$AX,$I331,FALSE))+$J$3,IF(OR($I331="",$I331="-"),"",VLOOKUP($G331,為替!$A:$AX,$I331,FALSE)))</f>
        <v/>
      </c>
      <c r="K331" s="204" t="str">
        <f t="shared" si="32"/>
        <v/>
      </c>
      <c r="L331" s="188" t="str">
        <f t="shared" si="33"/>
        <v/>
      </c>
      <c r="M331" s="203" t="str">
        <f>IF($H331="USD",IF(OR($L331="",$L331="-"),"",VLOOKUP($G331,為替!$A:$AX,$L331,FALSE))+$K$3,IF(OR($L331="",$L331="-"),"",VLOOKUP($G331,為替!$A:$AX,$L331,FALSE)))</f>
        <v/>
      </c>
      <c r="N331" s="204" t="str">
        <f t="shared" si="34"/>
        <v/>
      </c>
      <c r="O331" s="205" t="str">
        <f t="shared" si="30"/>
        <v/>
      </c>
      <c r="P331" s="206" t="str">
        <f t="shared" si="35"/>
        <v/>
      </c>
    </row>
    <row r="332" spans="3:16" x14ac:dyDescent="0.4">
      <c r="C332" s="199"/>
      <c r="D332" s="200"/>
      <c r="E332" s="201"/>
      <c r="F332" s="199"/>
      <c r="H332" s="202"/>
      <c r="I332" s="185" t="str">
        <f t="shared" si="31"/>
        <v/>
      </c>
      <c r="J332" s="203" t="str">
        <f>IF($H332="USD",IF(OR($I332="",$I332="-"),"",VLOOKUP($G332,為替!$A:$AX,$I332,FALSE))+$J$3,IF(OR($I332="",$I332="-"),"",VLOOKUP($G332,為替!$A:$AX,$I332,FALSE)))</f>
        <v/>
      </c>
      <c r="K332" s="204" t="str">
        <f t="shared" si="32"/>
        <v/>
      </c>
      <c r="L332" s="188" t="str">
        <f t="shared" si="33"/>
        <v/>
      </c>
      <c r="M332" s="203" t="str">
        <f>IF($H332="USD",IF(OR($L332="",$L332="-"),"",VLOOKUP($G332,為替!$A:$AX,$L332,FALSE))+$K$3,IF(OR($L332="",$L332="-"),"",VLOOKUP($G332,為替!$A:$AX,$L332,FALSE)))</f>
        <v/>
      </c>
      <c r="N332" s="204" t="str">
        <f t="shared" si="34"/>
        <v/>
      </c>
      <c r="O332" s="205" t="str">
        <f t="shared" si="30"/>
        <v/>
      </c>
      <c r="P332" s="206" t="str">
        <f t="shared" si="35"/>
        <v/>
      </c>
    </row>
    <row r="333" spans="3:16" x14ac:dyDescent="0.4">
      <c r="C333" s="199"/>
      <c r="D333" s="200"/>
      <c r="E333" s="201"/>
      <c r="F333" s="199"/>
      <c r="H333" s="202"/>
      <c r="I333" s="185" t="str">
        <f t="shared" si="31"/>
        <v/>
      </c>
      <c r="J333" s="203" t="str">
        <f>IF($H333="USD",IF(OR($I333="",$I333="-"),"",VLOOKUP($G333,為替!$A:$AX,$I333,FALSE))+$J$3,IF(OR($I333="",$I333="-"),"",VLOOKUP($G333,為替!$A:$AX,$I333,FALSE)))</f>
        <v/>
      </c>
      <c r="K333" s="204" t="str">
        <f t="shared" si="32"/>
        <v/>
      </c>
      <c r="L333" s="188" t="str">
        <f t="shared" si="33"/>
        <v/>
      </c>
      <c r="M333" s="203" t="str">
        <f>IF($H333="USD",IF(OR($L333="",$L333="-"),"",VLOOKUP($G333,為替!$A:$AX,$L333,FALSE))+$K$3,IF(OR($L333="",$L333="-"),"",VLOOKUP($G333,為替!$A:$AX,$L333,FALSE)))</f>
        <v/>
      </c>
      <c r="N333" s="204" t="str">
        <f t="shared" si="34"/>
        <v/>
      </c>
      <c r="O333" s="205" t="str">
        <f t="shared" si="30"/>
        <v/>
      </c>
      <c r="P333" s="206" t="str">
        <f t="shared" si="35"/>
        <v/>
      </c>
    </row>
    <row r="334" spans="3:16" x14ac:dyDescent="0.4">
      <c r="C334" s="199"/>
      <c r="D334" s="200"/>
      <c r="E334" s="201"/>
      <c r="F334" s="199"/>
      <c r="H334" s="202"/>
      <c r="I334" s="185" t="str">
        <f t="shared" si="31"/>
        <v/>
      </c>
      <c r="J334" s="203" t="str">
        <f>IF($H334="USD",IF(OR($I334="",$I334="-"),"",VLOOKUP($G334,為替!$A:$AX,$I334,FALSE))+$J$3,IF(OR($I334="",$I334="-"),"",VLOOKUP($G334,為替!$A:$AX,$I334,FALSE)))</f>
        <v/>
      </c>
      <c r="K334" s="204" t="str">
        <f t="shared" si="32"/>
        <v/>
      </c>
      <c r="L334" s="188" t="str">
        <f t="shared" si="33"/>
        <v/>
      </c>
      <c r="M334" s="203" t="str">
        <f>IF($H334="USD",IF(OR($L334="",$L334="-"),"",VLOOKUP($G334,為替!$A:$AX,$L334,FALSE))+$K$3,IF(OR($L334="",$L334="-"),"",VLOOKUP($G334,為替!$A:$AX,$L334,FALSE)))</f>
        <v/>
      </c>
      <c r="N334" s="204" t="str">
        <f t="shared" si="34"/>
        <v/>
      </c>
      <c r="O334" s="205" t="str">
        <f t="shared" si="30"/>
        <v/>
      </c>
      <c r="P334" s="206" t="str">
        <f t="shared" si="35"/>
        <v/>
      </c>
    </row>
    <row r="335" spans="3:16" x14ac:dyDescent="0.4">
      <c r="C335" s="199"/>
      <c r="D335" s="200"/>
      <c r="E335" s="201"/>
      <c r="F335" s="199"/>
      <c r="H335" s="202"/>
      <c r="I335" s="185" t="str">
        <f t="shared" si="31"/>
        <v/>
      </c>
      <c r="J335" s="203" t="str">
        <f>IF($H335="USD",IF(OR($I335="",$I335="-"),"",VLOOKUP($G335,為替!$A:$AX,$I335,FALSE))+$J$3,IF(OR($I335="",$I335="-"),"",VLOOKUP($G335,為替!$A:$AX,$I335,FALSE)))</f>
        <v/>
      </c>
      <c r="K335" s="204" t="str">
        <f t="shared" si="32"/>
        <v/>
      </c>
      <c r="L335" s="188" t="str">
        <f t="shared" si="33"/>
        <v/>
      </c>
      <c r="M335" s="203" t="str">
        <f>IF($H335="USD",IF(OR($L335="",$L335="-"),"",VLOOKUP($G335,為替!$A:$AX,$L335,FALSE))+$K$3,IF(OR($L335="",$L335="-"),"",VLOOKUP($G335,為替!$A:$AX,$L335,FALSE)))</f>
        <v/>
      </c>
      <c r="N335" s="204" t="str">
        <f t="shared" si="34"/>
        <v/>
      </c>
      <c r="O335" s="205" t="str">
        <f t="shared" si="30"/>
        <v/>
      </c>
      <c r="P335" s="206" t="str">
        <f t="shared" si="35"/>
        <v/>
      </c>
    </row>
    <row r="336" spans="3:16" x14ac:dyDescent="0.4">
      <c r="C336" s="199"/>
      <c r="D336" s="200"/>
      <c r="E336" s="201"/>
      <c r="F336" s="199"/>
      <c r="H336" s="202"/>
      <c r="I336" s="185" t="str">
        <f t="shared" si="31"/>
        <v/>
      </c>
      <c r="J336" s="203" t="str">
        <f>IF($H336="USD",IF(OR($I336="",$I336="-"),"",VLOOKUP($G336,為替!$A:$AX,$I336,FALSE))+$J$3,IF(OR($I336="",$I336="-"),"",VLOOKUP($G336,為替!$A:$AX,$I336,FALSE)))</f>
        <v/>
      </c>
      <c r="K336" s="204" t="str">
        <f t="shared" si="32"/>
        <v/>
      </c>
      <c r="L336" s="188" t="str">
        <f t="shared" si="33"/>
        <v/>
      </c>
      <c r="M336" s="203" t="str">
        <f>IF($H336="USD",IF(OR($L336="",$L336="-"),"",VLOOKUP($G336,為替!$A:$AX,$L336,FALSE))+$K$3,IF(OR($L336="",$L336="-"),"",VLOOKUP($G336,為替!$A:$AX,$L336,FALSE)))</f>
        <v/>
      </c>
      <c r="N336" s="204" t="str">
        <f t="shared" si="34"/>
        <v/>
      </c>
      <c r="O336" s="205" t="str">
        <f t="shared" si="30"/>
        <v/>
      </c>
      <c r="P336" s="206" t="str">
        <f t="shared" si="35"/>
        <v/>
      </c>
    </row>
    <row r="337" spans="3:16" x14ac:dyDescent="0.4">
      <c r="C337" s="199"/>
      <c r="D337" s="200"/>
      <c r="E337" s="201"/>
      <c r="F337" s="199"/>
      <c r="H337" s="202"/>
      <c r="I337" s="185" t="str">
        <f t="shared" si="31"/>
        <v/>
      </c>
      <c r="J337" s="203" t="str">
        <f>IF($H337="USD",IF(OR($I337="",$I337="-"),"",VLOOKUP($G337,為替!$A:$AX,$I337,FALSE))+$J$3,IF(OR($I337="",$I337="-"),"",VLOOKUP($G337,為替!$A:$AX,$I337,FALSE)))</f>
        <v/>
      </c>
      <c r="K337" s="204" t="str">
        <f t="shared" si="32"/>
        <v/>
      </c>
      <c r="L337" s="188" t="str">
        <f t="shared" si="33"/>
        <v/>
      </c>
      <c r="M337" s="203" t="str">
        <f>IF($H337="USD",IF(OR($L337="",$L337="-"),"",VLOOKUP($G337,為替!$A:$AX,$L337,FALSE))+$K$3,IF(OR($L337="",$L337="-"),"",VLOOKUP($G337,為替!$A:$AX,$L337,FALSE)))</f>
        <v/>
      </c>
      <c r="N337" s="204" t="str">
        <f t="shared" si="34"/>
        <v/>
      </c>
      <c r="O337" s="205" t="str">
        <f t="shared" si="30"/>
        <v/>
      </c>
      <c r="P337" s="206" t="str">
        <f t="shared" si="35"/>
        <v/>
      </c>
    </row>
    <row r="338" spans="3:16" x14ac:dyDescent="0.4">
      <c r="C338" s="199"/>
      <c r="D338" s="200"/>
      <c r="E338" s="201"/>
      <c r="F338" s="199"/>
      <c r="H338" s="202"/>
      <c r="I338" s="185" t="str">
        <f t="shared" si="31"/>
        <v/>
      </c>
      <c r="J338" s="203" t="str">
        <f>IF($H338="USD",IF(OR($I338="",$I338="-"),"",VLOOKUP($G338,為替!$A:$AX,$I338,FALSE))+$J$3,IF(OR($I338="",$I338="-"),"",VLOOKUP($G338,為替!$A:$AX,$I338,FALSE)))</f>
        <v/>
      </c>
      <c r="K338" s="204" t="str">
        <f t="shared" si="32"/>
        <v/>
      </c>
      <c r="L338" s="188" t="str">
        <f t="shared" si="33"/>
        <v/>
      </c>
      <c r="M338" s="203" t="str">
        <f>IF($H338="USD",IF(OR($L338="",$L338="-"),"",VLOOKUP($G338,為替!$A:$AX,$L338,FALSE))+$K$3,IF(OR($L338="",$L338="-"),"",VLOOKUP($G338,為替!$A:$AX,$L338,FALSE)))</f>
        <v/>
      </c>
      <c r="N338" s="204" t="str">
        <f t="shared" si="34"/>
        <v/>
      </c>
      <c r="O338" s="205" t="str">
        <f t="shared" si="30"/>
        <v/>
      </c>
      <c r="P338" s="206" t="str">
        <f t="shared" si="35"/>
        <v/>
      </c>
    </row>
    <row r="339" spans="3:16" x14ac:dyDescent="0.4">
      <c r="C339" s="199"/>
      <c r="D339" s="200"/>
      <c r="E339" s="201"/>
      <c r="F339" s="199"/>
      <c r="H339" s="202"/>
      <c r="I339" s="185" t="str">
        <f t="shared" si="31"/>
        <v/>
      </c>
      <c r="J339" s="203" t="str">
        <f>IF($H339="USD",IF(OR($I339="",$I339="-"),"",VLOOKUP($G339,為替!$A:$AX,$I339,FALSE))+$J$3,IF(OR($I339="",$I339="-"),"",VLOOKUP($G339,為替!$A:$AX,$I339,FALSE)))</f>
        <v/>
      </c>
      <c r="K339" s="204" t="str">
        <f t="shared" si="32"/>
        <v/>
      </c>
      <c r="L339" s="188" t="str">
        <f t="shared" si="33"/>
        <v/>
      </c>
      <c r="M339" s="203" t="str">
        <f>IF($H339="USD",IF(OR($L339="",$L339="-"),"",VLOOKUP($G339,為替!$A:$AX,$L339,FALSE))+$K$3,IF(OR($L339="",$L339="-"),"",VLOOKUP($G339,為替!$A:$AX,$L339,FALSE)))</f>
        <v/>
      </c>
      <c r="N339" s="204" t="str">
        <f t="shared" si="34"/>
        <v/>
      </c>
      <c r="O339" s="205" t="str">
        <f t="shared" si="30"/>
        <v/>
      </c>
      <c r="P339" s="206" t="str">
        <f t="shared" si="35"/>
        <v/>
      </c>
    </row>
    <row r="340" spans="3:16" x14ac:dyDescent="0.4">
      <c r="C340" s="199"/>
      <c r="D340" s="200"/>
      <c r="E340" s="201"/>
      <c r="F340" s="199"/>
      <c r="H340" s="202"/>
      <c r="I340" s="185" t="str">
        <f t="shared" si="31"/>
        <v/>
      </c>
      <c r="J340" s="203" t="str">
        <f>IF($H340="USD",IF(OR($I340="",$I340="-"),"",VLOOKUP($G340,為替!$A:$AX,$I340,FALSE))+$J$3,IF(OR($I340="",$I340="-"),"",VLOOKUP($G340,為替!$A:$AX,$I340,FALSE)))</f>
        <v/>
      </c>
      <c r="K340" s="204" t="str">
        <f t="shared" si="32"/>
        <v/>
      </c>
      <c r="L340" s="188" t="str">
        <f t="shared" si="33"/>
        <v/>
      </c>
      <c r="M340" s="203" t="str">
        <f>IF($H340="USD",IF(OR($L340="",$L340="-"),"",VLOOKUP($G340,為替!$A:$AX,$L340,FALSE))+$K$3,IF(OR($L340="",$L340="-"),"",VLOOKUP($G340,為替!$A:$AX,$L340,FALSE)))</f>
        <v/>
      </c>
      <c r="N340" s="204" t="str">
        <f t="shared" si="34"/>
        <v/>
      </c>
      <c r="O340" s="205" t="str">
        <f t="shared" si="30"/>
        <v/>
      </c>
      <c r="P340" s="206" t="str">
        <f t="shared" si="35"/>
        <v/>
      </c>
    </row>
    <row r="341" spans="3:16" x14ac:dyDescent="0.4">
      <c r="C341" s="199"/>
      <c r="D341" s="200"/>
      <c r="E341" s="201"/>
      <c r="F341" s="199"/>
      <c r="H341" s="202"/>
      <c r="I341" s="185" t="str">
        <f t="shared" si="31"/>
        <v/>
      </c>
      <c r="J341" s="203" t="str">
        <f>IF($H341="USD",IF(OR($I341="",$I341="-"),"",VLOOKUP($G341,為替!$A:$AX,$I341,FALSE))+$J$3,IF(OR($I341="",$I341="-"),"",VLOOKUP($G341,為替!$A:$AX,$I341,FALSE)))</f>
        <v/>
      </c>
      <c r="K341" s="204" t="str">
        <f t="shared" si="32"/>
        <v/>
      </c>
      <c r="L341" s="188" t="str">
        <f t="shared" si="33"/>
        <v/>
      </c>
      <c r="M341" s="203" t="str">
        <f>IF($H341="USD",IF(OR($L341="",$L341="-"),"",VLOOKUP($G341,為替!$A:$AX,$L341,FALSE))+$K$3,IF(OR($L341="",$L341="-"),"",VLOOKUP($G341,為替!$A:$AX,$L341,FALSE)))</f>
        <v/>
      </c>
      <c r="N341" s="204" t="str">
        <f t="shared" si="34"/>
        <v/>
      </c>
      <c r="O341" s="205" t="str">
        <f t="shared" si="30"/>
        <v/>
      </c>
      <c r="P341" s="206" t="str">
        <f t="shared" si="35"/>
        <v/>
      </c>
    </row>
    <row r="342" spans="3:16" x14ac:dyDescent="0.4">
      <c r="C342" s="199"/>
      <c r="D342" s="200"/>
      <c r="E342" s="201"/>
      <c r="F342" s="199"/>
      <c r="H342" s="202"/>
      <c r="I342" s="185" t="str">
        <f t="shared" si="31"/>
        <v/>
      </c>
      <c r="J342" s="203" t="str">
        <f>IF($H342="USD",IF(OR($I342="",$I342="-"),"",VLOOKUP($G342,為替!$A:$AX,$I342,FALSE))+$J$3,IF(OR($I342="",$I342="-"),"",VLOOKUP($G342,為替!$A:$AX,$I342,FALSE)))</f>
        <v/>
      </c>
      <c r="K342" s="204" t="str">
        <f t="shared" si="32"/>
        <v/>
      </c>
      <c r="L342" s="188" t="str">
        <f t="shared" si="33"/>
        <v/>
      </c>
      <c r="M342" s="203" t="str">
        <f>IF($H342="USD",IF(OR($L342="",$L342="-"),"",VLOOKUP($G342,為替!$A:$AX,$L342,FALSE))+$K$3,IF(OR($L342="",$L342="-"),"",VLOOKUP($G342,為替!$A:$AX,$L342,FALSE)))</f>
        <v/>
      </c>
      <c r="N342" s="204" t="str">
        <f t="shared" si="34"/>
        <v/>
      </c>
      <c r="O342" s="205" t="str">
        <f t="shared" si="30"/>
        <v/>
      </c>
      <c r="P342" s="206" t="str">
        <f t="shared" si="35"/>
        <v/>
      </c>
    </row>
    <row r="343" spans="3:16" x14ac:dyDescent="0.4">
      <c r="C343" s="199"/>
      <c r="D343" s="200"/>
      <c r="E343" s="201"/>
      <c r="F343" s="199"/>
      <c r="H343" s="202"/>
      <c r="I343" s="185" t="str">
        <f t="shared" si="31"/>
        <v/>
      </c>
      <c r="J343" s="203" t="str">
        <f>IF($H343="USD",IF(OR($I343="",$I343="-"),"",VLOOKUP($G343,為替!$A:$AX,$I343,FALSE))+$J$3,IF(OR($I343="",$I343="-"),"",VLOOKUP($G343,為替!$A:$AX,$I343,FALSE)))</f>
        <v/>
      </c>
      <c r="K343" s="204" t="str">
        <f t="shared" si="32"/>
        <v/>
      </c>
      <c r="L343" s="188" t="str">
        <f t="shared" si="33"/>
        <v/>
      </c>
      <c r="M343" s="203" t="str">
        <f>IF($H343="USD",IF(OR($L343="",$L343="-"),"",VLOOKUP($G343,為替!$A:$AX,$L343,FALSE))+$K$3,IF(OR($L343="",$L343="-"),"",VLOOKUP($G343,為替!$A:$AX,$L343,FALSE)))</f>
        <v/>
      </c>
      <c r="N343" s="204" t="str">
        <f t="shared" si="34"/>
        <v/>
      </c>
      <c r="O343" s="205" t="str">
        <f t="shared" si="30"/>
        <v/>
      </c>
      <c r="P343" s="206" t="str">
        <f t="shared" si="35"/>
        <v/>
      </c>
    </row>
    <row r="344" spans="3:16" x14ac:dyDescent="0.4">
      <c r="C344" s="199"/>
      <c r="D344" s="200"/>
      <c r="E344" s="201"/>
      <c r="F344" s="199"/>
      <c r="H344" s="202"/>
      <c r="I344" s="185" t="str">
        <f t="shared" si="31"/>
        <v/>
      </c>
      <c r="J344" s="203" t="str">
        <f>IF($H344="USD",IF(OR($I344="",$I344="-"),"",VLOOKUP($G344,為替!$A:$AX,$I344,FALSE))+$J$3,IF(OR($I344="",$I344="-"),"",VLOOKUP($G344,為替!$A:$AX,$I344,FALSE)))</f>
        <v/>
      </c>
      <c r="K344" s="204" t="str">
        <f t="shared" si="32"/>
        <v/>
      </c>
      <c r="L344" s="188" t="str">
        <f t="shared" si="33"/>
        <v/>
      </c>
      <c r="M344" s="203" t="str">
        <f>IF($H344="USD",IF(OR($L344="",$L344="-"),"",VLOOKUP($G344,為替!$A:$AX,$L344,FALSE))+$K$3,IF(OR($L344="",$L344="-"),"",VLOOKUP($G344,為替!$A:$AX,$L344,FALSE)))</f>
        <v/>
      </c>
      <c r="N344" s="204" t="str">
        <f t="shared" si="34"/>
        <v/>
      </c>
      <c r="O344" s="205" t="str">
        <f t="shared" si="30"/>
        <v/>
      </c>
      <c r="P344" s="206" t="str">
        <f t="shared" si="35"/>
        <v/>
      </c>
    </row>
    <row r="345" spans="3:16" x14ac:dyDescent="0.4">
      <c r="C345" s="199"/>
      <c r="D345" s="200"/>
      <c r="E345" s="201"/>
      <c r="F345" s="199"/>
      <c r="H345" s="202"/>
      <c r="I345" s="185" t="str">
        <f t="shared" si="31"/>
        <v/>
      </c>
      <c r="J345" s="203" t="str">
        <f>IF($H345="USD",IF(OR($I345="",$I345="-"),"",VLOOKUP($G345,為替!$A:$AX,$I345,FALSE))+$J$3,IF(OR($I345="",$I345="-"),"",VLOOKUP($G345,為替!$A:$AX,$I345,FALSE)))</f>
        <v/>
      </c>
      <c r="K345" s="204" t="str">
        <f t="shared" si="32"/>
        <v/>
      </c>
      <c r="L345" s="188" t="str">
        <f t="shared" si="33"/>
        <v/>
      </c>
      <c r="M345" s="203" t="str">
        <f>IF($H345="USD",IF(OR($L345="",$L345="-"),"",VLOOKUP($G345,為替!$A:$AX,$L345,FALSE))+$K$3,IF(OR($L345="",$L345="-"),"",VLOOKUP($G345,為替!$A:$AX,$L345,FALSE)))</f>
        <v/>
      </c>
      <c r="N345" s="204" t="str">
        <f t="shared" si="34"/>
        <v/>
      </c>
      <c r="O345" s="205" t="str">
        <f t="shared" si="30"/>
        <v/>
      </c>
      <c r="P345" s="206" t="str">
        <f t="shared" si="35"/>
        <v/>
      </c>
    </row>
    <row r="346" spans="3:16" x14ac:dyDescent="0.4">
      <c r="C346" s="199"/>
      <c r="D346" s="200"/>
      <c r="E346" s="201"/>
      <c r="F346" s="199"/>
      <c r="H346" s="202"/>
      <c r="I346" s="185" t="str">
        <f t="shared" si="31"/>
        <v/>
      </c>
      <c r="J346" s="203" t="str">
        <f>IF($H346="USD",IF(OR($I346="",$I346="-"),"",VLOOKUP($G346,為替!$A:$AX,$I346,FALSE))+$J$3,IF(OR($I346="",$I346="-"),"",VLOOKUP($G346,為替!$A:$AX,$I346,FALSE)))</f>
        <v/>
      </c>
      <c r="K346" s="204" t="str">
        <f t="shared" si="32"/>
        <v/>
      </c>
      <c r="L346" s="188" t="str">
        <f t="shared" si="33"/>
        <v/>
      </c>
      <c r="M346" s="203" t="str">
        <f>IF($H346="USD",IF(OR($L346="",$L346="-"),"",VLOOKUP($G346,為替!$A:$AX,$L346,FALSE))+$K$3,IF(OR($L346="",$L346="-"),"",VLOOKUP($G346,為替!$A:$AX,$L346,FALSE)))</f>
        <v/>
      </c>
      <c r="N346" s="204" t="str">
        <f t="shared" si="34"/>
        <v/>
      </c>
      <c r="O346" s="205" t="str">
        <f t="shared" si="30"/>
        <v/>
      </c>
      <c r="P346" s="206" t="str">
        <f t="shared" si="35"/>
        <v/>
      </c>
    </row>
    <row r="347" spans="3:16" x14ac:dyDescent="0.4">
      <c r="C347" s="199"/>
      <c r="D347" s="200"/>
      <c r="E347" s="201"/>
      <c r="F347" s="199"/>
      <c r="H347" s="202"/>
      <c r="I347" s="185" t="str">
        <f t="shared" si="31"/>
        <v/>
      </c>
      <c r="J347" s="203" t="str">
        <f>IF($H347="USD",IF(OR($I347="",$I347="-"),"",VLOOKUP($G347,為替!$A:$AX,$I347,FALSE))+$J$3,IF(OR($I347="",$I347="-"),"",VLOOKUP($G347,為替!$A:$AX,$I347,FALSE)))</f>
        <v/>
      </c>
      <c r="K347" s="204" t="str">
        <f t="shared" si="32"/>
        <v/>
      </c>
      <c r="L347" s="188" t="str">
        <f t="shared" si="33"/>
        <v/>
      </c>
      <c r="M347" s="203" t="str">
        <f>IF($H347="USD",IF(OR($L347="",$L347="-"),"",VLOOKUP($G347,為替!$A:$AX,$L347,FALSE))+$K$3,IF(OR($L347="",$L347="-"),"",VLOOKUP($G347,為替!$A:$AX,$L347,FALSE)))</f>
        <v/>
      </c>
      <c r="N347" s="204" t="str">
        <f t="shared" si="34"/>
        <v/>
      </c>
      <c r="O347" s="205" t="str">
        <f t="shared" si="30"/>
        <v/>
      </c>
      <c r="P347" s="206" t="str">
        <f t="shared" si="35"/>
        <v/>
      </c>
    </row>
    <row r="348" spans="3:16" x14ac:dyDescent="0.4">
      <c r="C348" s="199"/>
      <c r="D348" s="200"/>
      <c r="E348" s="201"/>
      <c r="F348" s="199"/>
      <c r="H348" s="202"/>
      <c r="I348" s="185" t="str">
        <f t="shared" si="31"/>
        <v/>
      </c>
      <c r="J348" s="203" t="str">
        <f>IF($H348="USD",IF(OR($I348="",$I348="-"),"",VLOOKUP($G348,為替!$A:$AX,$I348,FALSE))+$J$3,IF(OR($I348="",$I348="-"),"",VLOOKUP($G348,為替!$A:$AX,$I348,FALSE)))</f>
        <v/>
      </c>
      <c r="K348" s="204" t="str">
        <f t="shared" si="32"/>
        <v/>
      </c>
      <c r="L348" s="188" t="str">
        <f t="shared" si="33"/>
        <v/>
      </c>
      <c r="M348" s="203" t="str">
        <f>IF($H348="USD",IF(OR($L348="",$L348="-"),"",VLOOKUP($G348,為替!$A:$AX,$L348,FALSE))+$K$3,IF(OR($L348="",$L348="-"),"",VLOOKUP($G348,為替!$A:$AX,$L348,FALSE)))</f>
        <v/>
      </c>
      <c r="N348" s="204" t="str">
        <f t="shared" si="34"/>
        <v/>
      </c>
      <c r="O348" s="205" t="str">
        <f t="shared" si="30"/>
        <v/>
      </c>
      <c r="P348" s="206" t="str">
        <f t="shared" si="35"/>
        <v/>
      </c>
    </row>
    <row r="349" spans="3:16" x14ac:dyDescent="0.4">
      <c r="C349" s="199"/>
      <c r="D349" s="200"/>
      <c r="E349" s="201"/>
      <c r="F349" s="199"/>
      <c r="H349" s="202"/>
      <c r="I349" s="185" t="str">
        <f t="shared" si="31"/>
        <v/>
      </c>
      <c r="J349" s="203" t="str">
        <f>IF($H349="USD",IF(OR($I349="",$I349="-"),"",VLOOKUP($G349,為替!$A:$AX,$I349,FALSE))+$J$3,IF(OR($I349="",$I349="-"),"",VLOOKUP($G349,為替!$A:$AX,$I349,FALSE)))</f>
        <v/>
      </c>
      <c r="K349" s="204" t="str">
        <f t="shared" si="32"/>
        <v/>
      </c>
      <c r="L349" s="188" t="str">
        <f t="shared" si="33"/>
        <v/>
      </c>
      <c r="M349" s="203" t="str">
        <f>IF($H349="USD",IF(OR($L349="",$L349="-"),"",VLOOKUP($G349,為替!$A:$AX,$L349,FALSE))+$K$3,IF(OR($L349="",$L349="-"),"",VLOOKUP($G349,為替!$A:$AX,$L349,FALSE)))</f>
        <v/>
      </c>
      <c r="N349" s="204" t="str">
        <f t="shared" si="34"/>
        <v/>
      </c>
      <c r="O349" s="205" t="str">
        <f t="shared" si="30"/>
        <v/>
      </c>
      <c r="P349" s="206" t="str">
        <f t="shared" si="35"/>
        <v/>
      </c>
    </row>
    <row r="350" spans="3:16" x14ac:dyDescent="0.4">
      <c r="C350" s="199"/>
      <c r="D350" s="200"/>
      <c r="E350" s="201"/>
      <c r="F350" s="199"/>
      <c r="H350" s="202"/>
      <c r="I350" s="185" t="str">
        <f t="shared" si="31"/>
        <v/>
      </c>
      <c r="J350" s="203" t="str">
        <f>IF($H350="USD",IF(OR($I350="",$I350="-"),"",VLOOKUP($G350,為替!$A:$AX,$I350,FALSE))+$J$3,IF(OR($I350="",$I350="-"),"",VLOOKUP($G350,為替!$A:$AX,$I350,FALSE)))</f>
        <v/>
      </c>
      <c r="K350" s="204" t="str">
        <f t="shared" si="32"/>
        <v/>
      </c>
      <c r="L350" s="188" t="str">
        <f t="shared" si="33"/>
        <v/>
      </c>
      <c r="M350" s="203" t="str">
        <f>IF($H350="USD",IF(OR($L350="",$L350="-"),"",VLOOKUP($G350,為替!$A:$AX,$L350,FALSE))+$K$3,IF(OR($L350="",$L350="-"),"",VLOOKUP($G350,為替!$A:$AX,$L350,FALSE)))</f>
        <v/>
      </c>
      <c r="N350" s="204" t="str">
        <f t="shared" si="34"/>
        <v/>
      </c>
      <c r="O350" s="205" t="str">
        <f t="shared" si="30"/>
        <v/>
      </c>
      <c r="P350" s="206" t="str">
        <f t="shared" si="35"/>
        <v/>
      </c>
    </row>
    <row r="351" spans="3:16" x14ac:dyDescent="0.4">
      <c r="C351" s="199"/>
      <c r="D351" s="200"/>
      <c r="E351" s="201"/>
      <c r="F351" s="199"/>
      <c r="H351" s="202"/>
      <c r="I351" s="185" t="str">
        <f t="shared" si="31"/>
        <v/>
      </c>
      <c r="J351" s="203" t="str">
        <f>IF($H351="USD",IF(OR($I351="",$I351="-"),"",VLOOKUP($G351,為替!$A:$AX,$I351,FALSE))+$J$3,IF(OR($I351="",$I351="-"),"",VLOOKUP($G351,為替!$A:$AX,$I351,FALSE)))</f>
        <v/>
      </c>
      <c r="K351" s="204" t="str">
        <f t="shared" si="32"/>
        <v/>
      </c>
      <c r="L351" s="188" t="str">
        <f t="shared" si="33"/>
        <v/>
      </c>
      <c r="M351" s="203" t="str">
        <f>IF($H351="USD",IF(OR($L351="",$L351="-"),"",VLOOKUP($G351,為替!$A:$AX,$L351,FALSE))+$K$3,IF(OR($L351="",$L351="-"),"",VLOOKUP($G351,為替!$A:$AX,$L351,FALSE)))</f>
        <v/>
      </c>
      <c r="N351" s="204" t="str">
        <f t="shared" si="34"/>
        <v/>
      </c>
      <c r="O351" s="205" t="str">
        <f t="shared" si="30"/>
        <v/>
      </c>
      <c r="P351" s="206" t="str">
        <f t="shared" si="35"/>
        <v/>
      </c>
    </row>
    <row r="352" spans="3:16" x14ac:dyDescent="0.4">
      <c r="C352" s="199"/>
      <c r="D352" s="200"/>
      <c r="E352" s="201"/>
      <c r="F352" s="199"/>
      <c r="H352" s="202"/>
      <c r="I352" s="185" t="str">
        <f t="shared" si="31"/>
        <v/>
      </c>
      <c r="J352" s="203" t="str">
        <f>IF($H352="USD",IF(OR($I352="",$I352="-"),"",VLOOKUP($G352,為替!$A:$AX,$I352,FALSE))+$J$3,IF(OR($I352="",$I352="-"),"",VLOOKUP($G352,為替!$A:$AX,$I352,FALSE)))</f>
        <v/>
      </c>
      <c r="K352" s="204" t="str">
        <f t="shared" si="32"/>
        <v/>
      </c>
      <c r="L352" s="188" t="str">
        <f t="shared" si="33"/>
        <v/>
      </c>
      <c r="M352" s="203" t="str">
        <f>IF($H352="USD",IF(OR($L352="",$L352="-"),"",VLOOKUP($G352,為替!$A:$AX,$L352,FALSE))+$K$3,IF(OR($L352="",$L352="-"),"",VLOOKUP($G352,為替!$A:$AX,$L352,FALSE)))</f>
        <v/>
      </c>
      <c r="N352" s="204" t="str">
        <f t="shared" si="34"/>
        <v/>
      </c>
      <c r="O352" s="205" t="str">
        <f t="shared" si="30"/>
        <v/>
      </c>
      <c r="P352" s="206" t="str">
        <f t="shared" si="35"/>
        <v/>
      </c>
    </row>
    <row r="353" spans="3:16" x14ac:dyDescent="0.4">
      <c r="C353" s="199"/>
      <c r="D353" s="200"/>
      <c r="E353" s="201"/>
      <c r="F353" s="199"/>
      <c r="H353" s="202"/>
      <c r="I353" s="185" t="str">
        <f t="shared" si="31"/>
        <v/>
      </c>
      <c r="J353" s="203" t="str">
        <f>IF($H353="USD",IF(OR($I353="",$I353="-"),"",VLOOKUP($G353,為替!$A:$AX,$I353,FALSE))+$J$3,IF(OR($I353="",$I353="-"),"",VLOOKUP($G353,為替!$A:$AX,$I353,FALSE)))</f>
        <v/>
      </c>
      <c r="K353" s="204" t="str">
        <f t="shared" si="32"/>
        <v/>
      </c>
      <c r="L353" s="188" t="str">
        <f t="shared" si="33"/>
        <v/>
      </c>
      <c r="M353" s="203" t="str">
        <f>IF($H353="USD",IF(OR($L353="",$L353="-"),"",VLOOKUP($G353,為替!$A:$AX,$L353,FALSE))+$K$3,IF(OR($L353="",$L353="-"),"",VLOOKUP($G353,為替!$A:$AX,$L353,FALSE)))</f>
        <v/>
      </c>
      <c r="N353" s="204" t="str">
        <f t="shared" si="34"/>
        <v/>
      </c>
      <c r="O353" s="205" t="str">
        <f t="shared" si="30"/>
        <v/>
      </c>
      <c r="P353" s="206" t="str">
        <f t="shared" si="35"/>
        <v/>
      </c>
    </row>
    <row r="354" spans="3:16" x14ac:dyDescent="0.4">
      <c r="C354" s="199"/>
      <c r="D354" s="200"/>
      <c r="E354" s="201"/>
      <c r="F354" s="199"/>
      <c r="H354" s="202"/>
      <c r="I354" s="185" t="str">
        <f t="shared" si="31"/>
        <v/>
      </c>
      <c r="J354" s="203" t="str">
        <f>IF($H354="USD",IF(OR($I354="",$I354="-"),"",VLOOKUP($G354,為替!$A:$AX,$I354,FALSE))+$J$3,IF(OR($I354="",$I354="-"),"",VLOOKUP($G354,為替!$A:$AX,$I354,FALSE)))</f>
        <v/>
      </c>
      <c r="K354" s="204" t="str">
        <f t="shared" si="32"/>
        <v/>
      </c>
      <c r="L354" s="188" t="str">
        <f t="shared" si="33"/>
        <v/>
      </c>
      <c r="M354" s="203" t="str">
        <f>IF($H354="USD",IF(OR($L354="",$L354="-"),"",VLOOKUP($G354,為替!$A:$AX,$L354,FALSE))+$K$3,IF(OR($L354="",$L354="-"),"",VLOOKUP($G354,為替!$A:$AX,$L354,FALSE)))</f>
        <v/>
      </c>
      <c r="N354" s="204" t="str">
        <f t="shared" si="34"/>
        <v/>
      </c>
      <c r="O354" s="205" t="str">
        <f t="shared" si="30"/>
        <v/>
      </c>
      <c r="P354" s="206" t="str">
        <f t="shared" si="35"/>
        <v/>
      </c>
    </row>
    <row r="355" spans="3:16" x14ac:dyDescent="0.4">
      <c r="C355" s="199"/>
      <c r="D355" s="200"/>
      <c r="E355" s="201"/>
      <c r="F355" s="199"/>
      <c r="H355" s="202"/>
      <c r="I355" s="185" t="str">
        <f t="shared" si="31"/>
        <v/>
      </c>
      <c r="J355" s="203" t="str">
        <f>IF($H355="USD",IF(OR($I355="",$I355="-"),"",VLOOKUP($G355,為替!$A:$AX,$I355,FALSE))+$J$3,IF(OR($I355="",$I355="-"),"",VLOOKUP($G355,為替!$A:$AX,$I355,FALSE)))</f>
        <v/>
      </c>
      <c r="K355" s="204" t="str">
        <f t="shared" si="32"/>
        <v/>
      </c>
      <c r="L355" s="188" t="str">
        <f t="shared" si="33"/>
        <v/>
      </c>
      <c r="M355" s="203" t="str">
        <f>IF($H355="USD",IF(OR($L355="",$L355="-"),"",VLOOKUP($G355,為替!$A:$AX,$L355,FALSE))+$K$3,IF(OR($L355="",$L355="-"),"",VLOOKUP($G355,為替!$A:$AX,$L355,FALSE)))</f>
        <v/>
      </c>
      <c r="N355" s="204" t="str">
        <f t="shared" si="34"/>
        <v/>
      </c>
      <c r="O355" s="205" t="str">
        <f t="shared" si="30"/>
        <v/>
      </c>
      <c r="P355" s="206" t="str">
        <f t="shared" si="35"/>
        <v/>
      </c>
    </row>
    <row r="356" spans="3:16" x14ac:dyDescent="0.4">
      <c r="C356" s="199"/>
      <c r="D356" s="200"/>
      <c r="E356" s="201"/>
      <c r="F356" s="199"/>
      <c r="H356" s="202"/>
      <c r="I356" s="185" t="str">
        <f t="shared" si="31"/>
        <v/>
      </c>
      <c r="J356" s="203" t="str">
        <f>IF($H356="USD",IF(OR($I356="",$I356="-"),"",VLOOKUP($G356,為替!$A:$AX,$I356,FALSE))+$J$3,IF(OR($I356="",$I356="-"),"",VLOOKUP($G356,為替!$A:$AX,$I356,FALSE)))</f>
        <v/>
      </c>
      <c r="K356" s="204" t="str">
        <f t="shared" si="32"/>
        <v/>
      </c>
      <c r="L356" s="188" t="str">
        <f t="shared" si="33"/>
        <v/>
      </c>
      <c r="M356" s="203" t="str">
        <f>IF($H356="USD",IF(OR($L356="",$L356="-"),"",VLOOKUP($G356,為替!$A:$AX,$L356,FALSE))+$K$3,IF(OR($L356="",$L356="-"),"",VLOOKUP($G356,為替!$A:$AX,$L356,FALSE)))</f>
        <v/>
      </c>
      <c r="N356" s="204" t="str">
        <f t="shared" si="34"/>
        <v/>
      </c>
      <c r="O356" s="205" t="str">
        <f t="shared" si="30"/>
        <v/>
      </c>
      <c r="P356" s="206" t="str">
        <f t="shared" si="35"/>
        <v/>
      </c>
    </row>
    <row r="357" spans="3:16" x14ac:dyDescent="0.4">
      <c r="C357" s="199"/>
      <c r="D357" s="200"/>
      <c r="E357" s="201"/>
      <c r="F357" s="199"/>
      <c r="H357" s="202"/>
      <c r="I357" s="185" t="str">
        <f t="shared" si="31"/>
        <v/>
      </c>
      <c r="J357" s="203" t="str">
        <f>IF($H357="USD",IF(OR($I357="",$I357="-"),"",VLOOKUP($G357,為替!$A:$AX,$I357,FALSE))+$J$3,IF(OR($I357="",$I357="-"),"",VLOOKUP($G357,為替!$A:$AX,$I357,FALSE)))</f>
        <v/>
      </c>
      <c r="K357" s="204" t="str">
        <f t="shared" si="32"/>
        <v/>
      </c>
      <c r="L357" s="188" t="str">
        <f t="shared" si="33"/>
        <v/>
      </c>
      <c r="M357" s="203" t="str">
        <f>IF($H357="USD",IF(OR($L357="",$L357="-"),"",VLOOKUP($G357,為替!$A:$AX,$L357,FALSE))+$K$3,IF(OR($L357="",$L357="-"),"",VLOOKUP($G357,為替!$A:$AX,$L357,FALSE)))</f>
        <v/>
      </c>
      <c r="N357" s="204" t="str">
        <f t="shared" si="34"/>
        <v/>
      </c>
      <c r="O357" s="205" t="str">
        <f t="shared" si="30"/>
        <v/>
      </c>
      <c r="P357" s="206" t="str">
        <f t="shared" si="35"/>
        <v/>
      </c>
    </row>
    <row r="358" spans="3:16" x14ac:dyDescent="0.4">
      <c r="C358" s="199"/>
      <c r="D358" s="200"/>
      <c r="E358" s="201"/>
      <c r="F358" s="199"/>
      <c r="H358" s="202"/>
      <c r="I358" s="185" t="str">
        <f t="shared" si="31"/>
        <v/>
      </c>
      <c r="J358" s="203" t="str">
        <f>IF($H358="USD",IF(OR($I358="",$I358="-"),"",VLOOKUP($G358,為替!$A:$AX,$I358,FALSE))+$J$3,IF(OR($I358="",$I358="-"),"",VLOOKUP($G358,為替!$A:$AX,$I358,FALSE)))</f>
        <v/>
      </c>
      <c r="K358" s="204" t="str">
        <f t="shared" si="32"/>
        <v/>
      </c>
      <c r="L358" s="188" t="str">
        <f t="shared" si="33"/>
        <v/>
      </c>
      <c r="M358" s="203" t="str">
        <f>IF($H358="USD",IF(OR($L358="",$L358="-"),"",VLOOKUP($G358,為替!$A:$AX,$L358,FALSE))+$K$3,IF(OR($L358="",$L358="-"),"",VLOOKUP($G358,為替!$A:$AX,$L358,FALSE)))</f>
        <v/>
      </c>
      <c r="N358" s="204" t="str">
        <f t="shared" si="34"/>
        <v/>
      </c>
      <c r="O358" s="205" t="str">
        <f t="shared" si="30"/>
        <v/>
      </c>
      <c r="P358" s="206" t="str">
        <f t="shared" si="35"/>
        <v/>
      </c>
    </row>
    <row r="359" spans="3:16" x14ac:dyDescent="0.4">
      <c r="C359" s="199"/>
      <c r="D359" s="200"/>
      <c r="E359" s="201"/>
      <c r="F359" s="199"/>
      <c r="H359" s="202"/>
      <c r="I359" s="185" t="str">
        <f t="shared" si="31"/>
        <v/>
      </c>
      <c r="J359" s="203" t="str">
        <f>IF($H359="USD",IF(OR($I359="",$I359="-"),"",VLOOKUP($G359,為替!$A:$AX,$I359,FALSE))+$J$3,IF(OR($I359="",$I359="-"),"",VLOOKUP($G359,為替!$A:$AX,$I359,FALSE)))</f>
        <v/>
      </c>
      <c r="K359" s="204" t="str">
        <f t="shared" si="32"/>
        <v/>
      </c>
      <c r="L359" s="188" t="str">
        <f t="shared" si="33"/>
        <v/>
      </c>
      <c r="M359" s="203" t="str">
        <f>IF($H359="USD",IF(OR($L359="",$L359="-"),"",VLOOKUP($G359,為替!$A:$AX,$L359,FALSE))+$K$3,IF(OR($L359="",$L359="-"),"",VLOOKUP($G359,為替!$A:$AX,$L359,FALSE)))</f>
        <v/>
      </c>
      <c r="N359" s="204" t="str">
        <f t="shared" si="34"/>
        <v/>
      </c>
      <c r="O359" s="205" t="str">
        <f t="shared" si="30"/>
        <v/>
      </c>
      <c r="P359" s="206" t="str">
        <f t="shared" si="35"/>
        <v/>
      </c>
    </row>
    <row r="360" spans="3:16" x14ac:dyDescent="0.4">
      <c r="C360" s="199"/>
      <c r="D360" s="200"/>
      <c r="E360" s="201"/>
      <c r="F360" s="199"/>
      <c r="H360" s="202"/>
      <c r="I360" s="185" t="str">
        <f t="shared" si="31"/>
        <v/>
      </c>
      <c r="J360" s="203" t="str">
        <f>IF($H360="USD",IF(OR($I360="",$I360="-"),"",VLOOKUP($G360,為替!$A:$AX,$I360,FALSE))+$J$3,IF(OR($I360="",$I360="-"),"",VLOOKUP($G360,為替!$A:$AX,$I360,FALSE)))</f>
        <v/>
      </c>
      <c r="K360" s="204" t="str">
        <f t="shared" si="32"/>
        <v/>
      </c>
      <c r="L360" s="188" t="str">
        <f t="shared" si="33"/>
        <v/>
      </c>
      <c r="M360" s="203" t="str">
        <f>IF($H360="USD",IF(OR($L360="",$L360="-"),"",VLOOKUP($G360,為替!$A:$AX,$L360,FALSE))+$K$3,IF(OR($L360="",$L360="-"),"",VLOOKUP($G360,為替!$A:$AX,$L360,FALSE)))</f>
        <v/>
      </c>
      <c r="N360" s="204" t="str">
        <f t="shared" si="34"/>
        <v/>
      </c>
      <c r="O360" s="205" t="str">
        <f t="shared" si="30"/>
        <v/>
      </c>
      <c r="P360" s="206" t="str">
        <f t="shared" si="35"/>
        <v/>
      </c>
    </row>
    <row r="361" spans="3:16" x14ac:dyDescent="0.4">
      <c r="C361" s="199"/>
      <c r="D361" s="200"/>
      <c r="E361" s="201"/>
      <c r="F361" s="199"/>
      <c r="H361" s="202"/>
      <c r="I361" s="185" t="str">
        <f t="shared" si="31"/>
        <v/>
      </c>
      <c r="J361" s="203" t="str">
        <f>IF($H361="USD",IF(OR($I361="",$I361="-"),"",VLOOKUP($G361,為替!$A:$AX,$I361,FALSE))+$J$3,IF(OR($I361="",$I361="-"),"",VLOOKUP($G361,為替!$A:$AX,$I361,FALSE)))</f>
        <v/>
      </c>
      <c r="K361" s="204" t="str">
        <f t="shared" si="32"/>
        <v/>
      </c>
      <c r="L361" s="188" t="str">
        <f t="shared" si="33"/>
        <v/>
      </c>
      <c r="M361" s="203" t="str">
        <f>IF($H361="USD",IF(OR($L361="",$L361="-"),"",VLOOKUP($G361,為替!$A:$AX,$L361,FALSE))+$K$3,IF(OR($L361="",$L361="-"),"",VLOOKUP($G361,為替!$A:$AX,$L361,FALSE)))</f>
        <v/>
      </c>
      <c r="N361" s="204" t="str">
        <f t="shared" si="34"/>
        <v/>
      </c>
      <c r="O361" s="205" t="str">
        <f t="shared" si="30"/>
        <v/>
      </c>
      <c r="P361" s="206" t="str">
        <f t="shared" si="35"/>
        <v/>
      </c>
    </row>
    <row r="362" spans="3:16" x14ac:dyDescent="0.4">
      <c r="C362" s="199"/>
      <c r="D362" s="200"/>
      <c r="E362" s="201"/>
      <c r="F362" s="199"/>
      <c r="H362" s="202"/>
      <c r="I362" s="185" t="str">
        <f t="shared" si="31"/>
        <v/>
      </c>
      <c r="J362" s="203" t="str">
        <f>IF($H362="USD",IF(OR($I362="",$I362="-"),"",VLOOKUP($G362,為替!$A:$AX,$I362,FALSE))+$J$3,IF(OR($I362="",$I362="-"),"",VLOOKUP($G362,為替!$A:$AX,$I362,FALSE)))</f>
        <v/>
      </c>
      <c r="K362" s="204" t="str">
        <f t="shared" si="32"/>
        <v/>
      </c>
      <c r="L362" s="188" t="str">
        <f t="shared" si="33"/>
        <v/>
      </c>
      <c r="M362" s="203" t="str">
        <f>IF($H362="USD",IF(OR($L362="",$L362="-"),"",VLOOKUP($G362,為替!$A:$AX,$L362,FALSE))+$K$3,IF(OR($L362="",$L362="-"),"",VLOOKUP($G362,為替!$A:$AX,$L362,FALSE)))</f>
        <v/>
      </c>
      <c r="N362" s="204" t="str">
        <f t="shared" si="34"/>
        <v/>
      </c>
      <c r="O362" s="205" t="str">
        <f t="shared" si="30"/>
        <v/>
      </c>
      <c r="P362" s="206" t="str">
        <f t="shared" si="35"/>
        <v/>
      </c>
    </row>
    <row r="363" spans="3:16" x14ac:dyDescent="0.4">
      <c r="C363" s="199"/>
      <c r="D363" s="200"/>
      <c r="E363" s="201"/>
      <c r="F363" s="199"/>
      <c r="H363" s="202"/>
      <c r="I363" s="185" t="str">
        <f t="shared" si="31"/>
        <v/>
      </c>
      <c r="J363" s="203" t="str">
        <f>IF($H363="USD",IF(OR($I363="",$I363="-"),"",VLOOKUP($G363,為替!$A:$AX,$I363,FALSE))+$J$3,IF(OR($I363="",$I363="-"),"",VLOOKUP($G363,為替!$A:$AX,$I363,FALSE)))</f>
        <v/>
      </c>
      <c r="K363" s="204" t="str">
        <f t="shared" si="32"/>
        <v/>
      </c>
      <c r="L363" s="188" t="str">
        <f t="shared" si="33"/>
        <v/>
      </c>
      <c r="M363" s="203" t="str">
        <f>IF($H363="USD",IF(OR($L363="",$L363="-"),"",VLOOKUP($G363,為替!$A:$AX,$L363,FALSE))+$K$3,IF(OR($L363="",$L363="-"),"",VLOOKUP($G363,為替!$A:$AX,$L363,FALSE)))</f>
        <v/>
      </c>
      <c r="N363" s="204" t="str">
        <f t="shared" si="34"/>
        <v/>
      </c>
      <c r="O363" s="205" t="str">
        <f t="shared" si="30"/>
        <v/>
      </c>
      <c r="P363" s="206" t="str">
        <f t="shared" si="35"/>
        <v/>
      </c>
    </row>
    <row r="364" spans="3:16" x14ac:dyDescent="0.4">
      <c r="C364" s="199"/>
      <c r="D364" s="200"/>
      <c r="E364" s="201"/>
      <c r="F364" s="199"/>
      <c r="H364" s="202"/>
      <c r="I364" s="185" t="str">
        <f t="shared" si="31"/>
        <v/>
      </c>
      <c r="J364" s="203" t="str">
        <f>IF($H364="USD",IF(OR($I364="",$I364="-"),"",VLOOKUP($G364,為替!$A:$AX,$I364,FALSE))+$J$3,IF(OR($I364="",$I364="-"),"",VLOOKUP($G364,為替!$A:$AX,$I364,FALSE)))</f>
        <v/>
      </c>
      <c r="K364" s="204" t="str">
        <f t="shared" si="32"/>
        <v/>
      </c>
      <c r="L364" s="188" t="str">
        <f t="shared" si="33"/>
        <v/>
      </c>
      <c r="M364" s="203" t="str">
        <f>IF($H364="USD",IF(OR($L364="",$L364="-"),"",VLOOKUP($G364,為替!$A:$AX,$L364,FALSE))+$K$3,IF(OR($L364="",$L364="-"),"",VLOOKUP($G364,為替!$A:$AX,$L364,FALSE)))</f>
        <v/>
      </c>
      <c r="N364" s="204" t="str">
        <f t="shared" si="34"/>
        <v/>
      </c>
      <c r="O364" s="205" t="str">
        <f t="shared" si="30"/>
        <v/>
      </c>
      <c r="P364" s="206" t="str">
        <f t="shared" si="35"/>
        <v/>
      </c>
    </row>
    <row r="365" spans="3:16" x14ac:dyDescent="0.4">
      <c r="C365" s="199"/>
      <c r="D365" s="200"/>
      <c r="E365" s="201"/>
      <c r="F365" s="199"/>
      <c r="H365" s="202"/>
      <c r="I365" s="185" t="str">
        <f t="shared" si="31"/>
        <v/>
      </c>
      <c r="J365" s="203" t="str">
        <f>IF($H365="USD",IF(OR($I365="",$I365="-"),"",VLOOKUP($G365,為替!$A:$AX,$I365,FALSE))+$J$3,IF(OR($I365="",$I365="-"),"",VLOOKUP($G365,為替!$A:$AX,$I365,FALSE)))</f>
        <v/>
      </c>
      <c r="K365" s="204" t="str">
        <f t="shared" si="32"/>
        <v/>
      </c>
      <c r="L365" s="188" t="str">
        <f t="shared" si="33"/>
        <v/>
      </c>
      <c r="M365" s="203" t="str">
        <f>IF($H365="USD",IF(OR($L365="",$L365="-"),"",VLOOKUP($G365,為替!$A:$AX,$L365,FALSE))+$K$3,IF(OR($L365="",$L365="-"),"",VLOOKUP($G365,為替!$A:$AX,$L365,FALSE)))</f>
        <v/>
      </c>
      <c r="N365" s="204" t="str">
        <f t="shared" si="34"/>
        <v/>
      </c>
      <c r="O365" s="205" t="str">
        <f t="shared" si="30"/>
        <v/>
      </c>
      <c r="P365" s="206" t="str">
        <f t="shared" si="35"/>
        <v/>
      </c>
    </row>
    <row r="366" spans="3:16" x14ac:dyDescent="0.4">
      <c r="C366" s="199"/>
      <c r="D366" s="200"/>
      <c r="E366" s="201"/>
      <c r="F366" s="199"/>
      <c r="H366" s="202"/>
      <c r="I366" s="185" t="str">
        <f t="shared" si="31"/>
        <v/>
      </c>
      <c r="J366" s="203" t="str">
        <f>IF($H366="USD",IF(OR($I366="",$I366="-"),"",VLOOKUP($G366,為替!$A:$AX,$I366,FALSE))+$J$3,IF(OR($I366="",$I366="-"),"",VLOOKUP($G366,為替!$A:$AX,$I366,FALSE)))</f>
        <v/>
      </c>
      <c r="K366" s="204" t="str">
        <f t="shared" si="32"/>
        <v/>
      </c>
      <c r="L366" s="188" t="str">
        <f t="shared" si="33"/>
        <v/>
      </c>
      <c r="M366" s="203" t="str">
        <f>IF($H366="USD",IF(OR($L366="",$L366="-"),"",VLOOKUP($G366,為替!$A:$AX,$L366,FALSE))+$K$3,IF(OR($L366="",$L366="-"),"",VLOOKUP($G366,為替!$A:$AX,$L366,FALSE)))</f>
        <v/>
      </c>
      <c r="N366" s="204" t="str">
        <f t="shared" si="34"/>
        <v/>
      </c>
      <c r="O366" s="205" t="str">
        <f t="shared" si="30"/>
        <v/>
      </c>
      <c r="P366" s="206" t="str">
        <f t="shared" si="35"/>
        <v/>
      </c>
    </row>
    <row r="367" spans="3:16" x14ac:dyDescent="0.4">
      <c r="C367" s="199"/>
      <c r="D367" s="200"/>
      <c r="E367" s="201"/>
      <c r="F367" s="199"/>
      <c r="H367" s="202"/>
      <c r="I367" s="185" t="str">
        <f t="shared" si="31"/>
        <v/>
      </c>
      <c r="J367" s="203" t="str">
        <f>IF($H367="USD",IF(OR($I367="",$I367="-"),"",VLOOKUP($G367,為替!$A:$AX,$I367,FALSE))+$J$3,IF(OR($I367="",$I367="-"),"",VLOOKUP($G367,為替!$A:$AX,$I367,FALSE)))</f>
        <v/>
      </c>
      <c r="K367" s="204" t="str">
        <f t="shared" si="32"/>
        <v/>
      </c>
      <c r="L367" s="188" t="str">
        <f t="shared" si="33"/>
        <v/>
      </c>
      <c r="M367" s="203" t="str">
        <f>IF($H367="USD",IF(OR($L367="",$L367="-"),"",VLOOKUP($G367,為替!$A:$AX,$L367,FALSE))+$K$3,IF(OR($L367="",$L367="-"),"",VLOOKUP($G367,為替!$A:$AX,$L367,FALSE)))</f>
        <v/>
      </c>
      <c r="N367" s="204" t="str">
        <f t="shared" si="34"/>
        <v/>
      </c>
      <c r="O367" s="205" t="str">
        <f t="shared" si="30"/>
        <v/>
      </c>
      <c r="P367" s="206" t="str">
        <f t="shared" si="35"/>
        <v/>
      </c>
    </row>
    <row r="368" spans="3:16" x14ac:dyDescent="0.4">
      <c r="C368" s="199"/>
      <c r="D368" s="200"/>
      <c r="E368" s="201"/>
      <c r="F368" s="199"/>
      <c r="H368" s="202"/>
      <c r="I368" s="185" t="str">
        <f t="shared" si="31"/>
        <v/>
      </c>
      <c r="J368" s="203" t="str">
        <f>IF($H368="USD",IF(OR($I368="",$I368="-"),"",VLOOKUP($G368,為替!$A:$AX,$I368,FALSE))+$J$3,IF(OR($I368="",$I368="-"),"",VLOOKUP($G368,為替!$A:$AX,$I368,FALSE)))</f>
        <v/>
      </c>
      <c r="K368" s="204" t="str">
        <f t="shared" si="32"/>
        <v/>
      </c>
      <c r="L368" s="188" t="str">
        <f t="shared" si="33"/>
        <v/>
      </c>
      <c r="M368" s="203" t="str">
        <f>IF($H368="USD",IF(OR($L368="",$L368="-"),"",VLOOKUP($G368,為替!$A:$AX,$L368,FALSE))+$K$3,IF(OR($L368="",$L368="-"),"",VLOOKUP($G368,為替!$A:$AX,$L368,FALSE)))</f>
        <v/>
      </c>
      <c r="N368" s="204" t="str">
        <f t="shared" si="34"/>
        <v/>
      </c>
      <c r="O368" s="205" t="str">
        <f t="shared" si="30"/>
        <v/>
      </c>
      <c r="P368" s="206" t="str">
        <f t="shared" si="35"/>
        <v/>
      </c>
    </row>
    <row r="369" spans="3:16" x14ac:dyDescent="0.4">
      <c r="C369" s="199"/>
      <c r="D369" s="200"/>
      <c r="E369" s="201"/>
      <c r="F369" s="199"/>
      <c r="H369" s="202"/>
      <c r="I369" s="185" t="str">
        <f t="shared" si="31"/>
        <v/>
      </c>
      <c r="J369" s="203" t="str">
        <f>IF($H369="USD",IF(OR($I369="",$I369="-"),"",VLOOKUP($G369,為替!$A:$AX,$I369,FALSE))+$J$3,IF(OR($I369="",$I369="-"),"",VLOOKUP($G369,為替!$A:$AX,$I369,FALSE)))</f>
        <v/>
      </c>
      <c r="K369" s="204" t="str">
        <f t="shared" si="32"/>
        <v/>
      </c>
      <c r="L369" s="188" t="str">
        <f t="shared" si="33"/>
        <v/>
      </c>
      <c r="M369" s="203" t="str">
        <f>IF($H369="USD",IF(OR($L369="",$L369="-"),"",VLOOKUP($G369,為替!$A:$AX,$L369,FALSE))+$K$3,IF(OR($L369="",$L369="-"),"",VLOOKUP($G369,為替!$A:$AX,$L369,FALSE)))</f>
        <v/>
      </c>
      <c r="N369" s="204" t="str">
        <f t="shared" si="34"/>
        <v/>
      </c>
      <c r="O369" s="205" t="str">
        <f t="shared" si="30"/>
        <v/>
      </c>
      <c r="P369" s="206" t="str">
        <f t="shared" si="35"/>
        <v/>
      </c>
    </row>
    <row r="370" spans="3:16" x14ac:dyDescent="0.4">
      <c r="C370" s="199"/>
      <c r="D370" s="200"/>
      <c r="E370" s="201"/>
      <c r="F370" s="199"/>
      <c r="H370" s="202"/>
      <c r="I370" s="185" t="str">
        <f t="shared" si="31"/>
        <v/>
      </c>
      <c r="J370" s="203" t="str">
        <f>IF($H370="USD",IF(OR($I370="",$I370="-"),"",VLOOKUP($G370,為替!$A:$AX,$I370,FALSE))+$J$3,IF(OR($I370="",$I370="-"),"",VLOOKUP($G370,為替!$A:$AX,$I370,FALSE)))</f>
        <v/>
      </c>
      <c r="K370" s="204" t="str">
        <f t="shared" si="32"/>
        <v/>
      </c>
      <c r="L370" s="188" t="str">
        <f t="shared" si="33"/>
        <v/>
      </c>
      <c r="M370" s="203" t="str">
        <f>IF($H370="USD",IF(OR($L370="",$L370="-"),"",VLOOKUP($G370,為替!$A:$AX,$L370,FALSE))+$K$3,IF(OR($L370="",$L370="-"),"",VLOOKUP($G370,為替!$A:$AX,$L370,FALSE)))</f>
        <v/>
      </c>
      <c r="N370" s="204" t="str">
        <f t="shared" si="34"/>
        <v/>
      </c>
      <c r="O370" s="205" t="str">
        <f t="shared" si="30"/>
        <v/>
      </c>
      <c r="P370" s="206" t="str">
        <f t="shared" si="35"/>
        <v/>
      </c>
    </row>
    <row r="371" spans="3:16" x14ac:dyDescent="0.4">
      <c r="C371" s="199"/>
      <c r="D371" s="200"/>
      <c r="E371" s="201"/>
      <c r="F371" s="199"/>
      <c r="H371" s="202"/>
      <c r="I371" s="185" t="str">
        <f t="shared" si="31"/>
        <v/>
      </c>
      <c r="J371" s="203" t="str">
        <f>IF($H371="USD",IF(OR($I371="",$I371="-"),"",VLOOKUP($G371,為替!$A:$AX,$I371,FALSE))+$J$3,IF(OR($I371="",$I371="-"),"",VLOOKUP($G371,為替!$A:$AX,$I371,FALSE)))</f>
        <v/>
      </c>
      <c r="K371" s="204" t="str">
        <f t="shared" si="32"/>
        <v/>
      </c>
      <c r="L371" s="188" t="str">
        <f t="shared" si="33"/>
        <v/>
      </c>
      <c r="M371" s="203" t="str">
        <f>IF($H371="USD",IF(OR($L371="",$L371="-"),"",VLOOKUP($G371,為替!$A:$AX,$L371,FALSE))+$K$3,IF(OR($L371="",$L371="-"),"",VLOOKUP($G371,為替!$A:$AX,$L371,FALSE)))</f>
        <v/>
      </c>
      <c r="N371" s="204" t="str">
        <f t="shared" si="34"/>
        <v/>
      </c>
      <c r="O371" s="205" t="str">
        <f t="shared" si="30"/>
        <v/>
      </c>
      <c r="P371" s="206" t="str">
        <f t="shared" si="35"/>
        <v/>
      </c>
    </row>
    <row r="372" spans="3:16" x14ac:dyDescent="0.4">
      <c r="C372" s="199"/>
      <c r="D372" s="200"/>
      <c r="E372" s="201"/>
      <c r="F372" s="199"/>
      <c r="H372" s="202"/>
      <c r="I372" s="185" t="str">
        <f t="shared" si="31"/>
        <v/>
      </c>
      <c r="J372" s="203" t="str">
        <f>IF($H372="USD",IF(OR($I372="",$I372="-"),"",VLOOKUP($G372,為替!$A:$AX,$I372,FALSE))+$J$3,IF(OR($I372="",$I372="-"),"",VLOOKUP($G372,為替!$A:$AX,$I372,FALSE)))</f>
        <v/>
      </c>
      <c r="K372" s="204" t="str">
        <f t="shared" si="32"/>
        <v/>
      </c>
      <c r="L372" s="188" t="str">
        <f t="shared" si="33"/>
        <v/>
      </c>
      <c r="M372" s="203" t="str">
        <f>IF($H372="USD",IF(OR($L372="",$L372="-"),"",VLOOKUP($G372,為替!$A:$AX,$L372,FALSE))+$K$3,IF(OR($L372="",$L372="-"),"",VLOOKUP($G372,為替!$A:$AX,$L372,FALSE)))</f>
        <v/>
      </c>
      <c r="N372" s="204" t="str">
        <f t="shared" si="34"/>
        <v/>
      </c>
      <c r="O372" s="205" t="str">
        <f t="shared" si="30"/>
        <v/>
      </c>
      <c r="P372" s="206" t="str">
        <f t="shared" si="35"/>
        <v/>
      </c>
    </row>
    <row r="373" spans="3:16" x14ac:dyDescent="0.4">
      <c r="C373" s="199"/>
      <c r="D373" s="200"/>
      <c r="E373" s="201"/>
      <c r="F373" s="199"/>
      <c r="H373" s="202"/>
      <c r="I373" s="185" t="str">
        <f t="shared" si="31"/>
        <v/>
      </c>
      <c r="J373" s="203" t="str">
        <f>IF($H373="USD",IF(OR($I373="",$I373="-"),"",VLOOKUP($G373,為替!$A:$AX,$I373,FALSE))+$J$3,IF(OR($I373="",$I373="-"),"",VLOOKUP($G373,為替!$A:$AX,$I373,FALSE)))</f>
        <v/>
      </c>
      <c r="K373" s="204" t="str">
        <f t="shared" si="32"/>
        <v/>
      </c>
      <c r="L373" s="188" t="str">
        <f t="shared" si="33"/>
        <v/>
      </c>
      <c r="M373" s="203" t="str">
        <f>IF($H373="USD",IF(OR($L373="",$L373="-"),"",VLOOKUP($G373,為替!$A:$AX,$L373,FALSE))+$K$3,IF(OR($L373="",$L373="-"),"",VLOOKUP($G373,為替!$A:$AX,$L373,FALSE)))</f>
        <v/>
      </c>
      <c r="N373" s="204" t="str">
        <f t="shared" si="34"/>
        <v/>
      </c>
      <c r="O373" s="205" t="str">
        <f t="shared" si="30"/>
        <v/>
      </c>
      <c r="P373" s="206" t="str">
        <f t="shared" si="35"/>
        <v/>
      </c>
    </row>
    <row r="374" spans="3:16" x14ac:dyDescent="0.4">
      <c r="C374" s="199"/>
      <c r="D374" s="200"/>
      <c r="E374" s="201"/>
      <c r="F374" s="199"/>
      <c r="H374" s="202"/>
      <c r="I374" s="185" t="str">
        <f t="shared" si="31"/>
        <v/>
      </c>
      <c r="J374" s="203" t="str">
        <f>IF($H374="USD",IF(OR($I374="",$I374="-"),"",VLOOKUP($G374,為替!$A:$AX,$I374,FALSE))+$J$3,IF(OR($I374="",$I374="-"),"",VLOOKUP($G374,為替!$A:$AX,$I374,FALSE)))</f>
        <v/>
      </c>
      <c r="K374" s="204" t="str">
        <f t="shared" si="32"/>
        <v/>
      </c>
      <c r="L374" s="188" t="str">
        <f t="shared" si="33"/>
        <v/>
      </c>
      <c r="M374" s="203" t="str">
        <f>IF($H374="USD",IF(OR($L374="",$L374="-"),"",VLOOKUP($G374,為替!$A:$AX,$L374,FALSE))+$K$3,IF(OR($L374="",$L374="-"),"",VLOOKUP($G374,為替!$A:$AX,$L374,FALSE)))</f>
        <v/>
      </c>
      <c r="N374" s="204" t="str">
        <f t="shared" si="34"/>
        <v/>
      </c>
      <c r="O374" s="205" t="str">
        <f t="shared" si="30"/>
        <v/>
      </c>
      <c r="P374" s="206" t="str">
        <f t="shared" si="35"/>
        <v/>
      </c>
    </row>
    <row r="375" spans="3:16" x14ac:dyDescent="0.4">
      <c r="C375" s="199"/>
      <c r="D375" s="200"/>
      <c r="E375" s="201"/>
      <c r="F375" s="199"/>
      <c r="H375" s="202"/>
      <c r="I375" s="185" t="str">
        <f t="shared" si="31"/>
        <v/>
      </c>
      <c r="J375" s="203" t="str">
        <f>IF($H375="USD",IF(OR($I375="",$I375="-"),"",VLOOKUP($G375,為替!$A:$AX,$I375,FALSE))+$J$3,IF(OR($I375="",$I375="-"),"",VLOOKUP($G375,為替!$A:$AX,$I375,FALSE)))</f>
        <v/>
      </c>
      <c r="K375" s="204" t="str">
        <f t="shared" si="32"/>
        <v/>
      </c>
      <c r="L375" s="188" t="str">
        <f t="shared" si="33"/>
        <v/>
      </c>
      <c r="M375" s="203" t="str">
        <f>IF($H375="USD",IF(OR($L375="",$L375="-"),"",VLOOKUP($G375,為替!$A:$AX,$L375,FALSE))+$K$3,IF(OR($L375="",$L375="-"),"",VLOOKUP($G375,為替!$A:$AX,$L375,FALSE)))</f>
        <v/>
      </c>
      <c r="N375" s="204" t="str">
        <f t="shared" si="34"/>
        <v/>
      </c>
      <c r="O375" s="205" t="str">
        <f t="shared" si="30"/>
        <v/>
      </c>
      <c r="P375" s="206" t="str">
        <f t="shared" si="35"/>
        <v/>
      </c>
    </row>
    <row r="376" spans="3:16" x14ac:dyDescent="0.4">
      <c r="C376" s="199"/>
      <c r="D376" s="200"/>
      <c r="E376" s="201"/>
      <c r="F376" s="199"/>
      <c r="H376" s="202"/>
      <c r="I376" s="185" t="str">
        <f t="shared" si="31"/>
        <v/>
      </c>
      <c r="J376" s="203" t="str">
        <f>IF($H376="USD",IF(OR($I376="",$I376="-"),"",VLOOKUP($G376,為替!$A:$AX,$I376,FALSE))+$J$3,IF(OR($I376="",$I376="-"),"",VLOOKUP($G376,為替!$A:$AX,$I376,FALSE)))</f>
        <v/>
      </c>
      <c r="K376" s="204" t="str">
        <f t="shared" si="32"/>
        <v/>
      </c>
      <c r="L376" s="188" t="str">
        <f t="shared" si="33"/>
        <v/>
      </c>
      <c r="M376" s="203" t="str">
        <f>IF($H376="USD",IF(OR($L376="",$L376="-"),"",VLOOKUP($G376,為替!$A:$AX,$L376,FALSE))+$K$3,IF(OR($L376="",$L376="-"),"",VLOOKUP($G376,為替!$A:$AX,$L376,FALSE)))</f>
        <v/>
      </c>
      <c r="N376" s="204" t="str">
        <f t="shared" si="34"/>
        <v/>
      </c>
      <c r="O376" s="205" t="str">
        <f t="shared" si="30"/>
        <v/>
      </c>
      <c r="P376" s="206" t="str">
        <f t="shared" si="35"/>
        <v/>
      </c>
    </row>
    <row r="377" spans="3:16" x14ac:dyDescent="0.4">
      <c r="C377" s="199"/>
      <c r="D377" s="200"/>
      <c r="E377" s="201"/>
      <c r="F377" s="199"/>
      <c r="H377" s="202"/>
      <c r="I377" s="185" t="str">
        <f t="shared" si="31"/>
        <v/>
      </c>
      <c r="J377" s="203" t="str">
        <f>IF($H377="USD",IF(OR($I377="",$I377="-"),"",VLOOKUP($G377,為替!$A:$AX,$I377,FALSE))+$J$3,IF(OR($I377="",$I377="-"),"",VLOOKUP($G377,為替!$A:$AX,$I377,FALSE)))</f>
        <v/>
      </c>
      <c r="K377" s="204" t="str">
        <f t="shared" si="32"/>
        <v/>
      </c>
      <c r="L377" s="188" t="str">
        <f t="shared" si="33"/>
        <v/>
      </c>
      <c r="M377" s="203" t="str">
        <f>IF($H377="USD",IF(OR($L377="",$L377="-"),"",VLOOKUP($G377,為替!$A:$AX,$L377,FALSE))+$K$3,IF(OR($L377="",$L377="-"),"",VLOOKUP($G377,為替!$A:$AX,$L377,FALSE)))</f>
        <v/>
      </c>
      <c r="N377" s="204" t="str">
        <f t="shared" si="34"/>
        <v/>
      </c>
      <c r="O377" s="205" t="str">
        <f t="shared" si="30"/>
        <v/>
      </c>
      <c r="P377" s="206" t="str">
        <f t="shared" si="35"/>
        <v/>
      </c>
    </row>
    <row r="378" spans="3:16" x14ac:dyDescent="0.4">
      <c r="C378" s="199"/>
      <c r="D378" s="200"/>
      <c r="E378" s="201"/>
      <c r="F378" s="199"/>
      <c r="H378" s="202"/>
      <c r="I378" s="185" t="str">
        <f t="shared" si="31"/>
        <v/>
      </c>
      <c r="J378" s="203" t="str">
        <f>IF($H378="USD",IF(OR($I378="",$I378="-"),"",VLOOKUP($G378,為替!$A:$AX,$I378,FALSE))+$J$3,IF(OR($I378="",$I378="-"),"",VLOOKUP($G378,為替!$A:$AX,$I378,FALSE)))</f>
        <v/>
      </c>
      <c r="K378" s="204" t="str">
        <f t="shared" si="32"/>
        <v/>
      </c>
      <c r="L378" s="188" t="str">
        <f t="shared" si="33"/>
        <v/>
      </c>
      <c r="M378" s="203" t="str">
        <f>IF($H378="USD",IF(OR($L378="",$L378="-"),"",VLOOKUP($G378,為替!$A:$AX,$L378,FALSE))+$K$3,IF(OR($L378="",$L378="-"),"",VLOOKUP($G378,為替!$A:$AX,$L378,FALSE)))</f>
        <v/>
      </c>
      <c r="N378" s="204" t="str">
        <f t="shared" si="34"/>
        <v/>
      </c>
      <c r="O378" s="205" t="str">
        <f t="shared" si="30"/>
        <v/>
      </c>
      <c r="P378" s="206" t="str">
        <f t="shared" si="35"/>
        <v/>
      </c>
    </row>
    <row r="379" spans="3:16" x14ac:dyDescent="0.4">
      <c r="C379" s="199"/>
      <c r="D379" s="200"/>
      <c r="E379" s="201"/>
      <c r="F379" s="199"/>
      <c r="H379" s="202"/>
      <c r="I379" s="185" t="str">
        <f t="shared" si="31"/>
        <v/>
      </c>
      <c r="J379" s="203" t="str">
        <f>IF($H379="USD",IF(OR($I379="",$I379="-"),"",VLOOKUP($G379,為替!$A:$AX,$I379,FALSE))+$J$3,IF(OR($I379="",$I379="-"),"",VLOOKUP($G379,為替!$A:$AX,$I379,FALSE)))</f>
        <v/>
      </c>
      <c r="K379" s="204" t="str">
        <f t="shared" si="32"/>
        <v/>
      </c>
      <c r="L379" s="188" t="str">
        <f t="shared" si="33"/>
        <v/>
      </c>
      <c r="M379" s="203" t="str">
        <f>IF($H379="USD",IF(OR($L379="",$L379="-"),"",VLOOKUP($G379,為替!$A:$AX,$L379,FALSE))+$K$3,IF(OR($L379="",$L379="-"),"",VLOOKUP($G379,為替!$A:$AX,$L379,FALSE)))</f>
        <v/>
      </c>
      <c r="N379" s="204" t="str">
        <f t="shared" si="34"/>
        <v/>
      </c>
      <c r="O379" s="205" t="str">
        <f t="shared" si="30"/>
        <v/>
      </c>
      <c r="P379" s="206" t="str">
        <f t="shared" si="35"/>
        <v/>
      </c>
    </row>
    <row r="380" spans="3:16" x14ac:dyDescent="0.4">
      <c r="C380" s="199"/>
      <c r="D380" s="200"/>
      <c r="E380" s="201"/>
      <c r="F380" s="199"/>
      <c r="H380" s="202"/>
      <c r="I380" s="185" t="str">
        <f t="shared" si="31"/>
        <v/>
      </c>
      <c r="J380" s="203" t="str">
        <f>IF($H380="USD",IF(OR($I380="",$I380="-"),"",VLOOKUP($G380,為替!$A:$AX,$I380,FALSE))+$J$3,IF(OR($I380="",$I380="-"),"",VLOOKUP($G380,為替!$A:$AX,$I380,FALSE)))</f>
        <v/>
      </c>
      <c r="K380" s="204" t="str">
        <f t="shared" si="32"/>
        <v/>
      </c>
      <c r="L380" s="188" t="str">
        <f t="shared" si="33"/>
        <v/>
      </c>
      <c r="M380" s="203" t="str">
        <f>IF($H380="USD",IF(OR($L380="",$L380="-"),"",VLOOKUP($G380,為替!$A:$AX,$L380,FALSE))+$K$3,IF(OR($L380="",$L380="-"),"",VLOOKUP($G380,為替!$A:$AX,$L380,FALSE)))</f>
        <v/>
      </c>
      <c r="N380" s="204" t="str">
        <f t="shared" si="34"/>
        <v/>
      </c>
      <c r="O380" s="205" t="str">
        <f t="shared" si="30"/>
        <v/>
      </c>
      <c r="P380" s="206" t="str">
        <f t="shared" si="35"/>
        <v/>
      </c>
    </row>
    <row r="381" spans="3:16" x14ac:dyDescent="0.4">
      <c r="C381" s="199"/>
      <c r="D381" s="200"/>
      <c r="E381" s="201"/>
      <c r="F381" s="199"/>
      <c r="H381" s="202"/>
      <c r="I381" s="185" t="str">
        <f t="shared" si="31"/>
        <v/>
      </c>
      <c r="J381" s="203" t="str">
        <f>IF($H381="USD",IF(OR($I381="",$I381="-"),"",VLOOKUP($G381,為替!$A:$AX,$I381,FALSE))+$J$3,IF(OR($I381="",$I381="-"),"",VLOOKUP($G381,為替!$A:$AX,$I381,FALSE)))</f>
        <v/>
      </c>
      <c r="K381" s="204" t="str">
        <f t="shared" si="32"/>
        <v/>
      </c>
      <c r="L381" s="188" t="str">
        <f t="shared" si="33"/>
        <v/>
      </c>
      <c r="M381" s="203" t="str">
        <f>IF($H381="USD",IF(OR($L381="",$L381="-"),"",VLOOKUP($G381,為替!$A:$AX,$L381,FALSE))+$K$3,IF(OR($L381="",$L381="-"),"",VLOOKUP($G381,為替!$A:$AX,$L381,FALSE)))</f>
        <v/>
      </c>
      <c r="N381" s="204" t="str">
        <f t="shared" si="34"/>
        <v/>
      </c>
      <c r="O381" s="205" t="str">
        <f t="shared" si="30"/>
        <v/>
      </c>
      <c r="P381" s="206" t="str">
        <f t="shared" si="35"/>
        <v/>
      </c>
    </row>
    <row r="382" spans="3:16" x14ac:dyDescent="0.4">
      <c r="C382" s="199"/>
      <c r="D382" s="200"/>
      <c r="E382" s="201"/>
      <c r="F382" s="199"/>
      <c r="H382" s="202"/>
      <c r="I382" s="185" t="str">
        <f t="shared" si="31"/>
        <v/>
      </c>
      <c r="J382" s="203" t="str">
        <f>IF($H382="USD",IF(OR($I382="",$I382="-"),"",VLOOKUP($G382,為替!$A:$AX,$I382,FALSE))+$J$3,IF(OR($I382="",$I382="-"),"",VLOOKUP($G382,為替!$A:$AX,$I382,FALSE)))</f>
        <v/>
      </c>
      <c r="K382" s="204" t="str">
        <f t="shared" si="32"/>
        <v/>
      </c>
      <c r="L382" s="188" t="str">
        <f t="shared" si="33"/>
        <v/>
      </c>
      <c r="M382" s="203" t="str">
        <f>IF($H382="USD",IF(OR($L382="",$L382="-"),"",VLOOKUP($G382,為替!$A:$AX,$L382,FALSE))+$K$3,IF(OR($L382="",$L382="-"),"",VLOOKUP($G382,為替!$A:$AX,$L382,FALSE)))</f>
        <v/>
      </c>
      <c r="N382" s="204" t="str">
        <f t="shared" si="34"/>
        <v/>
      </c>
      <c r="O382" s="205" t="str">
        <f t="shared" si="30"/>
        <v/>
      </c>
      <c r="P382" s="206" t="str">
        <f t="shared" si="35"/>
        <v/>
      </c>
    </row>
    <row r="383" spans="3:16" x14ac:dyDescent="0.4">
      <c r="C383" s="199"/>
      <c r="D383" s="200"/>
      <c r="E383" s="201"/>
      <c r="F383" s="199"/>
      <c r="H383" s="202"/>
      <c r="I383" s="185" t="str">
        <f t="shared" si="31"/>
        <v/>
      </c>
      <c r="J383" s="203" t="str">
        <f>IF($H383="USD",IF(OR($I383="",$I383="-"),"",VLOOKUP($G383,為替!$A:$AX,$I383,FALSE))+$J$3,IF(OR($I383="",$I383="-"),"",VLOOKUP($G383,為替!$A:$AX,$I383,FALSE)))</f>
        <v/>
      </c>
      <c r="K383" s="204" t="str">
        <f t="shared" si="32"/>
        <v/>
      </c>
      <c r="L383" s="188" t="str">
        <f t="shared" si="33"/>
        <v/>
      </c>
      <c r="M383" s="203" t="str">
        <f>IF($H383="USD",IF(OR($L383="",$L383="-"),"",VLOOKUP($G383,為替!$A:$AX,$L383,FALSE))+$K$3,IF(OR($L383="",$L383="-"),"",VLOOKUP($G383,為替!$A:$AX,$L383,FALSE)))</f>
        <v/>
      </c>
      <c r="N383" s="204" t="str">
        <f t="shared" si="34"/>
        <v/>
      </c>
      <c r="O383" s="205" t="str">
        <f t="shared" si="30"/>
        <v/>
      </c>
      <c r="P383" s="206" t="str">
        <f t="shared" si="35"/>
        <v/>
      </c>
    </row>
    <row r="384" spans="3:16" x14ac:dyDescent="0.4">
      <c r="C384" s="199"/>
      <c r="D384" s="200"/>
      <c r="E384" s="201"/>
      <c r="F384" s="199"/>
      <c r="H384" s="202"/>
      <c r="I384" s="185" t="str">
        <f t="shared" si="31"/>
        <v/>
      </c>
      <c r="J384" s="203" t="str">
        <f>IF($H384="USD",IF(OR($I384="",$I384="-"),"",VLOOKUP($G384,為替!$A:$AX,$I384,FALSE))+$J$3,IF(OR($I384="",$I384="-"),"",VLOOKUP($G384,為替!$A:$AX,$I384,FALSE)))</f>
        <v/>
      </c>
      <c r="K384" s="204" t="str">
        <f t="shared" si="32"/>
        <v/>
      </c>
      <c r="L384" s="188" t="str">
        <f t="shared" si="33"/>
        <v/>
      </c>
      <c r="M384" s="203" t="str">
        <f>IF($H384="USD",IF(OR($L384="",$L384="-"),"",VLOOKUP($G384,為替!$A:$AX,$L384,FALSE))+$K$3,IF(OR($L384="",$L384="-"),"",VLOOKUP($G384,為替!$A:$AX,$L384,FALSE)))</f>
        <v/>
      </c>
      <c r="N384" s="204" t="str">
        <f t="shared" si="34"/>
        <v/>
      </c>
      <c r="O384" s="205" t="str">
        <f t="shared" si="30"/>
        <v/>
      </c>
      <c r="P384" s="206" t="str">
        <f t="shared" si="35"/>
        <v/>
      </c>
    </row>
    <row r="385" spans="3:16" x14ac:dyDescent="0.4">
      <c r="C385" s="199"/>
      <c r="D385" s="200"/>
      <c r="E385" s="201"/>
      <c r="F385" s="199"/>
      <c r="H385" s="202"/>
      <c r="I385" s="185" t="str">
        <f t="shared" si="31"/>
        <v/>
      </c>
      <c r="J385" s="203" t="str">
        <f>IF($H385="USD",IF(OR($I385="",$I385="-"),"",VLOOKUP($G385,為替!$A:$AX,$I385,FALSE))+$J$3,IF(OR($I385="",$I385="-"),"",VLOOKUP($G385,為替!$A:$AX,$I385,FALSE)))</f>
        <v/>
      </c>
      <c r="K385" s="204" t="str">
        <f t="shared" si="32"/>
        <v/>
      </c>
      <c r="L385" s="188" t="str">
        <f t="shared" si="33"/>
        <v/>
      </c>
      <c r="M385" s="203" t="str">
        <f>IF($H385="USD",IF(OR($L385="",$L385="-"),"",VLOOKUP($G385,為替!$A:$AX,$L385,FALSE))+$K$3,IF(OR($L385="",$L385="-"),"",VLOOKUP($G385,為替!$A:$AX,$L385,FALSE)))</f>
        <v/>
      </c>
      <c r="N385" s="204" t="str">
        <f t="shared" si="34"/>
        <v/>
      </c>
      <c r="O385" s="205" t="str">
        <f t="shared" si="30"/>
        <v/>
      </c>
      <c r="P385" s="206" t="str">
        <f t="shared" si="35"/>
        <v/>
      </c>
    </row>
    <row r="386" spans="3:16" x14ac:dyDescent="0.4">
      <c r="C386" s="199"/>
      <c r="D386" s="200"/>
      <c r="E386" s="201"/>
      <c r="F386" s="199"/>
      <c r="H386" s="202"/>
      <c r="I386" s="185" t="str">
        <f t="shared" si="31"/>
        <v/>
      </c>
      <c r="J386" s="203" t="str">
        <f>IF($H386="USD",IF(OR($I386="",$I386="-"),"",VLOOKUP($G386,為替!$A:$AX,$I386,FALSE))+$J$3,IF(OR($I386="",$I386="-"),"",VLOOKUP($G386,為替!$A:$AX,$I386,FALSE)))</f>
        <v/>
      </c>
      <c r="K386" s="204" t="str">
        <f t="shared" si="32"/>
        <v/>
      </c>
      <c r="L386" s="188" t="str">
        <f t="shared" si="33"/>
        <v/>
      </c>
      <c r="M386" s="203" t="str">
        <f>IF($H386="USD",IF(OR($L386="",$L386="-"),"",VLOOKUP($G386,為替!$A:$AX,$L386,FALSE))+$K$3,IF(OR($L386="",$L386="-"),"",VLOOKUP($G386,為替!$A:$AX,$L386,FALSE)))</f>
        <v/>
      </c>
      <c r="N386" s="204" t="str">
        <f t="shared" si="34"/>
        <v/>
      </c>
      <c r="O386" s="205" t="str">
        <f t="shared" si="30"/>
        <v/>
      </c>
      <c r="P386" s="206" t="str">
        <f t="shared" si="35"/>
        <v/>
      </c>
    </row>
    <row r="387" spans="3:16" x14ac:dyDescent="0.4">
      <c r="C387" s="199"/>
      <c r="D387" s="200"/>
      <c r="E387" s="201"/>
      <c r="F387" s="199"/>
      <c r="H387" s="202"/>
      <c r="I387" s="185" t="str">
        <f t="shared" si="31"/>
        <v/>
      </c>
      <c r="J387" s="203" t="str">
        <f>IF($H387="USD",IF(OR($I387="",$I387="-"),"",VLOOKUP($G387,為替!$A:$AX,$I387,FALSE))+$J$3,IF(OR($I387="",$I387="-"),"",VLOOKUP($G387,為替!$A:$AX,$I387,FALSE)))</f>
        <v/>
      </c>
      <c r="K387" s="204" t="str">
        <f t="shared" si="32"/>
        <v/>
      </c>
      <c r="L387" s="188" t="str">
        <f t="shared" si="33"/>
        <v/>
      </c>
      <c r="M387" s="203" t="str">
        <f>IF($H387="USD",IF(OR($L387="",$L387="-"),"",VLOOKUP($G387,為替!$A:$AX,$L387,FALSE))+$K$3,IF(OR($L387="",$L387="-"),"",VLOOKUP($G387,為替!$A:$AX,$L387,FALSE)))</f>
        <v/>
      </c>
      <c r="N387" s="204" t="str">
        <f t="shared" si="34"/>
        <v/>
      </c>
      <c r="O387" s="205" t="str">
        <f t="shared" si="30"/>
        <v/>
      </c>
      <c r="P387" s="206" t="str">
        <f t="shared" si="35"/>
        <v/>
      </c>
    </row>
    <row r="388" spans="3:16" x14ac:dyDescent="0.4">
      <c r="C388" s="199"/>
      <c r="D388" s="200"/>
      <c r="E388" s="201"/>
      <c r="F388" s="199"/>
      <c r="H388" s="202"/>
      <c r="I388" s="185" t="str">
        <f t="shared" si="31"/>
        <v/>
      </c>
      <c r="J388" s="203" t="str">
        <f>IF($H388="USD",IF(OR($I388="",$I388="-"),"",VLOOKUP($G388,為替!$A:$AX,$I388,FALSE))+$J$3,IF(OR($I388="",$I388="-"),"",VLOOKUP($G388,為替!$A:$AX,$I388,FALSE)))</f>
        <v/>
      </c>
      <c r="K388" s="204" t="str">
        <f t="shared" si="32"/>
        <v/>
      </c>
      <c r="L388" s="188" t="str">
        <f t="shared" si="33"/>
        <v/>
      </c>
      <c r="M388" s="203" t="str">
        <f>IF($H388="USD",IF(OR($L388="",$L388="-"),"",VLOOKUP($G388,為替!$A:$AX,$L388,FALSE))+$K$3,IF(OR($L388="",$L388="-"),"",VLOOKUP($G388,為替!$A:$AX,$L388,FALSE)))</f>
        <v/>
      </c>
      <c r="N388" s="204" t="str">
        <f t="shared" si="34"/>
        <v/>
      </c>
      <c r="O388" s="205" t="str">
        <f t="shared" si="30"/>
        <v/>
      </c>
      <c r="P388" s="206" t="str">
        <f t="shared" si="35"/>
        <v/>
      </c>
    </row>
    <row r="389" spans="3:16" x14ac:dyDescent="0.4">
      <c r="C389" s="199"/>
      <c r="D389" s="200"/>
      <c r="E389" s="201"/>
      <c r="F389" s="199"/>
      <c r="H389" s="202"/>
      <c r="I389" s="185" t="str">
        <f t="shared" si="31"/>
        <v/>
      </c>
      <c r="J389" s="203" t="str">
        <f>IF($H389="USD",IF(OR($I389="",$I389="-"),"",VLOOKUP($G389,為替!$A:$AX,$I389,FALSE))+$J$3,IF(OR($I389="",$I389="-"),"",VLOOKUP($G389,為替!$A:$AX,$I389,FALSE)))</f>
        <v/>
      </c>
      <c r="K389" s="204" t="str">
        <f t="shared" si="32"/>
        <v/>
      </c>
      <c r="L389" s="188" t="str">
        <f t="shared" si="33"/>
        <v/>
      </c>
      <c r="M389" s="203" t="str">
        <f>IF($H389="USD",IF(OR($L389="",$L389="-"),"",VLOOKUP($G389,為替!$A:$AX,$L389,FALSE))+$K$3,IF(OR($L389="",$L389="-"),"",VLOOKUP($G389,為替!$A:$AX,$L389,FALSE)))</f>
        <v/>
      </c>
      <c r="N389" s="204" t="str">
        <f t="shared" si="34"/>
        <v/>
      </c>
      <c r="O389" s="205" t="str">
        <f t="shared" si="30"/>
        <v/>
      </c>
      <c r="P389" s="206" t="str">
        <f t="shared" si="35"/>
        <v/>
      </c>
    </row>
    <row r="390" spans="3:16" x14ac:dyDescent="0.4">
      <c r="C390" s="199"/>
      <c r="D390" s="200"/>
      <c r="E390" s="201"/>
      <c r="F390" s="199"/>
      <c r="H390" s="202"/>
      <c r="I390" s="185" t="str">
        <f t="shared" si="31"/>
        <v/>
      </c>
      <c r="J390" s="203" t="str">
        <f>IF($H390="USD",IF(OR($I390="",$I390="-"),"",VLOOKUP($G390,為替!$A:$AX,$I390,FALSE))+$J$3,IF(OR($I390="",$I390="-"),"",VLOOKUP($G390,為替!$A:$AX,$I390,FALSE)))</f>
        <v/>
      </c>
      <c r="K390" s="204" t="str">
        <f t="shared" si="32"/>
        <v/>
      </c>
      <c r="L390" s="188" t="str">
        <f t="shared" si="33"/>
        <v/>
      </c>
      <c r="M390" s="203" t="str">
        <f>IF($H390="USD",IF(OR($L390="",$L390="-"),"",VLOOKUP($G390,為替!$A:$AX,$L390,FALSE))+$K$3,IF(OR($L390="",$L390="-"),"",VLOOKUP($G390,為替!$A:$AX,$L390,FALSE)))</f>
        <v/>
      </c>
      <c r="N390" s="204" t="str">
        <f t="shared" si="34"/>
        <v/>
      </c>
      <c r="O390" s="205" t="str">
        <f t="shared" ref="O390:O400" si="36">IF(OR(K390="",N390=""),"",K390-N390)</f>
        <v/>
      </c>
      <c r="P390" s="206" t="str">
        <f t="shared" si="35"/>
        <v/>
      </c>
    </row>
    <row r="391" spans="3:16" x14ac:dyDescent="0.4">
      <c r="C391" s="199"/>
      <c r="D391" s="200"/>
      <c r="E391" s="201"/>
      <c r="F391" s="199"/>
      <c r="H391" s="202"/>
      <c r="I391" s="185" t="str">
        <f t="shared" ref="I391:I400" si="37">IF(H391="","",IF(H391="JPY","",IF($H391="USD",4, IF(H391="EUR",7,IF(H391="CNY",47,IF(H391="HKD",34))))))</f>
        <v/>
      </c>
      <c r="J391" s="203" t="str">
        <f>IF($H391="USD",IF(OR($I391="",$I391="-"),"",VLOOKUP($G391,為替!$A:$AX,$I391,FALSE))+$J$3,IF(OR($I391="",$I391="-"),"",VLOOKUP($G391,為替!$A:$AX,$I391,FALSE)))</f>
        <v/>
      </c>
      <c r="K391" s="204" t="str">
        <f t="shared" ref="K391:K400" si="38">IF($H391="JPY",$F391,IF($H391="","",$F391*$J391))</f>
        <v/>
      </c>
      <c r="L391" s="188" t="str">
        <f t="shared" ref="L391:L400" si="39">IF(H391="","",IF(H391="JPY","",IF($H391="USD",3, IF(H391="EUR",6,IF(H391="CNY",46,IF(H391="HKD",33))))))</f>
        <v/>
      </c>
      <c r="M391" s="203" t="str">
        <f>IF($H391="USD",IF(OR($L391="",$L391="-"),"",VLOOKUP($G391,為替!$A:$AX,$L391,FALSE))+$K$3,IF(OR($L391="",$L391="-"),"",VLOOKUP($G391,為替!$A:$AX,$L391,FALSE)))</f>
        <v/>
      </c>
      <c r="N391" s="204" t="str">
        <f t="shared" ref="N391:N400" si="40">IF($E391="JPY",($C391+$D391),IF($E391="","",($C391+$D391)*$M391))</f>
        <v/>
      </c>
      <c r="O391" s="205" t="str">
        <f t="shared" si="36"/>
        <v/>
      </c>
      <c r="P391" s="206" t="str">
        <f t="shared" ref="P391:P400" si="41">IF(OR(K391="",O391=""),"",O391/K391)</f>
        <v/>
      </c>
    </row>
    <row r="392" spans="3:16" x14ac:dyDescent="0.4">
      <c r="C392" s="199"/>
      <c r="D392" s="200"/>
      <c r="E392" s="201"/>
      <c r="F392" s="199"/>
      <c r="H392" s="202"/>
      <c r="I392" s="185" t="str">
        <f t="shared" si="37"/>
        <v/>
      </c>
      <c r="J392" s="203" t="str">
        <f>IF($H392="USD",IF(OR($I392="",$I392="-"),"",VLOOKUP($G392,為替!$A:$AX,$I392,FALSE))+$J$3,IF(OR($I392="",$I392="-"),"",VLOOKUP($G392,為替!$A:$AX,$I392,FALSE)))</f>
        <v/>
      </c>
      <c r="K392" s="204" t="str">
        <f t="shared" si="38"/>
        <v/>
      </c>
      <c r="L392" s="188" t="str">
        <f t="shared" si="39"/>
        <v/>
      </c>
      <c r="M392" s="203" t="str">
        <f>IF($H392="USD",IF(OR($L392="",$L392="-"),"",VLOOKUP($G392,為替!$A:$AX,$L392,FALSE))+$K$3,IF(OR($L392="",$L392="-"),"",VLOOKUP($G392,為替!$A:$AX,$L392,FALSE)))</f>
        <v/>
      </c>
      <c r="N392" s="204" t="str">
        <f t="shared" si="40"/>
        <v/>
      </c>
      <c r="O392" s="205" t="str">
        <f t="shared" si="36"/>
        <v/>
      </c>
      <c r="P392" s="206" t="str">
        <f t="shared" si="41"/>
        <v/>
      </c>
    </row>
    <row r="393" spans="3:16" x14ac:dyDescent="0.4">
      <c r="C393" s="199"/>
      <c r="D393" s="200"/>
      <c r="E393" s="201"/>
      <c r="F393" s="199"/>
      <c r="H393" s="202"/>
      <c r="I393" s="185" t="str">
        <f t="shared" si="37"/>
        <v/>
      </c>
      <c r="J393" s="203" t="str">
        <f>IF($H393="USD",IF(OR($I393="",$I393="-"),"",VLOOKUP($G393,為替!$A:$AX,$I393,FALSE))+$J$3,IF(OR($I393="",$I393="-"),"",VLOOKUP($G393,為替!$A:$AX,$I393,FALSE)))</f>
        <v/>
      </c>
      <c r="K393" s="204" t="str">
        <f t="shared" si="38"/>
        <v/>
      </c>
      <c r="L393" s="188" t="str">
        <f t="shared" si="39"/>
        <v/>
      </c>
      <c r="M393" s="203" t="str">
        <f>IF($H393="USD",IF(OR($L393="",$L393="-"),"",VLOOKUP($G393,為替!$A:$AX,$L393,FALSE))+$K$3,IF(OR($L393="",$L393="-"),"",VLOOKUP($G393,為替!$A:$AX,$L393,FALSE)))</f>
        <v/>
      </c>
      <c r="N393" s="204" t="str">
        <f t="shared" si="40"/>
        <v/>
      </c>
      <c r="O393" s="205" t="str">
        <f t="shared" si="36"/>
        <v/>
      </c>
      <c r="P393" s="206" t="str">
        <f t="shared" si="41"/>
        <v/>
      </c>
    </row>
    <row r="394" spans="3:16" x14ac:dyDescent="0.4">
      <c r="C394" s="199"/>
      <c r="D394" s="200"/>
      <c r="E394" s="201"/>
      <c r="F394" s="199"/>
      <c r="H394" s="202"/>
      <c r="I394" s="185" t="str">
        <f t="shared" si="37"/>
        <v/>
      </c>
      <c r="J394" s="203" t="str">
        <f>IF($H394="USD",IF(OR($I394="",$I394="-"),"",VLOOKUP($G394,為替!$A:$AX,$I394,FALSE))+$J$3,IF(OR($I394="",$I394="-"),"",VLOOKUP($G394,為替!$A:$AX,$I394,FALSE)))</f>
        <v/>
      </c>
      <c r="K394" s="204" t="str">
        <f t="shared" si="38"/>
        <v/>
      </c>
      <c r="L394" s="188" t="str">
        <f t="shared" si="39"/>
        <v/>
      </c>
      <c r="M394" s="203" t="str">
        <f>IF($H394="USD",IF(OR($L394="",$L394="-"),"",VLOOKUP($G394,為替!$A:$AX,$L394,FALSE))+$K$3,IF(OR($L394="",$L394="-"),"",VLOOKUP($G394,為替!$A:$AX,$L394,FALSE)))</f>
        <v/>
      </c>
      <c r="N394" s="204" t="str">
        <f t="shared" si="40"/>
        <v/>
      </c>
      <c r="O394" s="205" t="str">
        <f t="shared" si="36"/>
        <v/>
      </c>
      <c r="P394" s="206" t="str">
        <f t="shared" si="41"/>
        <v/>
      </c>
    </row>
    <row r="395" spans="3:16" x14ac:dyDescent="0.4">
      <c r="C395" s="199"/>
      <c r="D395" s="200"/>
      <c r="E395" s="201"/>
      <c r="F395" s="199"/>
      <c r="H395" s="202"/>
      <c r="I395" s="185" t="str">
        <f t="shared" si="37"/>
        <v/>
      </c>
      <c r="J395" s="203" t="str">
        <f>IF($H395="USD",IF(OR($I395="",$I395="-"),"",VLOOKUP($G395,為替!$A:$AX,$I395,FALSE))+$J$3,IF(OR($I395="",$I395="-"),"",VLOOKUP($G395,為替!$A:$AX,$I395,FALSE)))</f>
        <v/>
      </c>
      <c r="K395" s="204" t="str">
        <f t="shared" si="38"/>
        <v/>
      </c>
      <c r="L395" s="188" t="str">
        <f t="shared" si="39"/>
        <v/>
      </c>
      <c r="M395" s="203" t="str">
        <f>IF($H395="USD",IF(OR($L395="",$L395="-"),"",VLOOKUP($G395,為替!$A:$AX,$L395,FALSE))+$K$3,IF(OR($L395="",$L395="-"),"",VLOOKUP($G395,為替!$A:$AX,$L395,FALSE)))</f>
        <v/>
      </c>
      <c r="N395" s="204" t="str">
        <f t="shared" si="40"/>
        <v/>
      </c>
      <c r="O395" s="205" t="str">
        <f t="shared" si="36"/>
        <v/>
      </c>
      <c r="P395" s="206" t="str">
        <f t="shared" si="41"/>
        <v/>
      </c>
    </row>
    <row r="396" spans="3:16" x14ac:dyDescent="0.4">
      <c r="C396" s="199"/>
      <c r="D396" s="200"/>
      <c r="E396" s="201"/>
      <c r="F396" s="199"/>
      <c r="H396" s="202"/>
      <c r="I396" s="185" t="str">
        <f t="shared" si="37"/>
        <v/>
      </c>
      <c r="J396" s="203" t="str">
        <f>IF($H396="USD",IF(OR($I396="",$I396="-"),"",VLOOKUP($G396,為替!$A:$AX,$I396,FALSE))+$J$3,IF(OR($I396="",$I396="-"),"",VLOOKUP($G396,為替!$A:$AX,$I396,FALSE)))</f>
        <v/>
      </c>
      <c r="K396" s="204" t="str">
        <f t="shared" si="38"/>
        <v/>
      </c>
      <c r="L396" s="188" t="str">
        <f t="shared" si="39"/>
        <v/>
      </c>
      <c r="M396" s="203" t="str">
        <f>IF($H396="USD",IF(OR($L396="",$L396="-"),"",VLOOKUP($G396,為替!$A:$AX,$L396,FALSE))+$K$3,IF(OR($L396="",$L396="-"),"",VLOOKUP($G396,為替!$A:$AX,$L396,FALSE)))</f>
        <v/>
      </c>
      <c r="N396" s="204" t="str">
        <f t="shared" si="40"/>
        <v/>
      </c>
      <c r="O396" s="205" t="str">
        <f t="shared" si="36"/>
        <v/>
      </c>
      <c r="P396" s="206" t="str">
        <f t="shared" si="41"/>
        <v/>
      </c>
    </row>
    <row r="397" spans="3:16" x14ac:dyDescent="0.4">
      <c r="C397" s="199"/>
      <c r="D397" s="200"/>
      <c r="E397" s="201"/>
      <c r="F397" s="199"/>
      <c r="H397" s="202"/>
      <c r="I397" s="185" t="str">
        <f t="shared" si="37"/>
        <v/>
      </c>
      <c r="J397" s="203" t="str">
        <f>IF($H397="USD",IF(OR($I397="",$I397="-"),"",VLOOKUP($G397,為替!$A:$AX,$I397,FALSE))+$J$3,IF(OR($I397="",$I397="-"),"",VLOOKUP($G397,為替!$A:$AX,$I397,FALSE)))</f>
        <v/>
      </c>
      <c r="K397" s="204" t="str">
        <f t="shared" si="38"/>
        <v/>
      </c>
      <c r="L397" s="188" t="str">
        <f t="shared" si="39"/>
        <v/>
      </c>
      <c r="M397" s="203" t="str">
        <f>IF($H397="USD",IF(OR($L397="",$L397="-"),"",VLOOKUP($G397,為替!$A:$AX,$L397,FALSE))+$K$3,IF(OR($L397="",$L397="-"),"",VLOOKUP($G397,為替!$A:$AX,$L397,FALSE)))</f>
        <v/>
      </c>
      <c r="N397" s="204" t="str">
        <f t="shared" si="40"/>
        <v/>
      </c>
      <c r="O397" s="205" t="str">
        <f t="shared" si="36"/>
        <v/>
      </c>
      <c r="P397" s="206" t="str">
        <f t="shared" si="41"/>
        <v/>
      </c>
    </row>
    <row r="398" spans="3:16" x14ac:dyDescent="0.4">
      <c r="C398" s="199"/>
      <c r="D398" s="200"/>
      <c r="E398" s="201"/>
      <c r="F398" s="199"/>
      <c r="H398" s="202"/>
      <c r="I398" s="185" t="str">
        <f t="shared" si="37"/>
        <v/>
      </c>
      <c r="J398" s="203" t="str">
        <f>IF($H398="USD",IF(OR($I398="",$I398="-"),"",VLOOKUP($G398,為替!$A:$AX,$I398,FALSE))+$J$3,IF(OR($I398="",$I398="-"),"",VLOOKUP($G398,為替!$A:$AX,$I398,FALSE)))</f>
        <v/>
      </c>
      <c r="K398" s="204" t="str">
        <f t="shared" si="38"/>
        <v/>
      </c>
      <c r="L398" s="188" t="str">
        <f t="shared" si="39"/>
        <v/>
      </c>
      <c r="M398" s="203" t="str">
        <f>IF($H398="USD",IF(OR($L398="",$L398="-"),"",VLOOKUP($G398,為替!$A:$AX,$L398,FALSE))+$K$3,IF(OR($L398="",$L398="-"),"",VLOOKUP($G398,為替!$A:$AX,$L398,FALSE)))</f>
        <v/>
      </c>
      <c r="N398" s="204" t="str">
        <f t="shared" si="40"/>
        <v/>
      </c>
      <c r="O398" s="205" t="str">
        <f t="shared" si="36"/>
        <v/>
      </c>
      <c r="P398" s="206" t="str">
        <f t="shared" si="41"/>
        <v/>
      </c>
    </row>
    <row r="399" spans="3:16" x14ac:dyDescent="0.4">
      <c r="C399" s="199"/>
      <c r="D399" s="200"/>
      <c r="E399" s="201"/>
      <c r="F399" s="199"/>
      <c r="H399" s="202"/>
      <c r="I399" s="185" t="str">
        <f t="shared" si="37"/>
        <v/>
      </c>
      <c r="J399" s="203" t="str">
        <f>IF($H399="USD",IF(OR($I399="",$I399="-"),"",VLOOKUP($G399,為替!$A:$AX,$I399,FALSE))+$J$3,IF(OR($I399="",$I399="-"),"",VLOOKUP($G399,為替!$A:$AX,$I399,FALSE)))</f>
        <v/>
      </c>
      <c r="K399" s="204" t="str">
        <f t="shared" si="38"/>
        <v/>
      </c>
      <c r="L399" s="188" t="str">
        <f t="shared" si="39"/>
        <v/>
      </c>
      <c r="M399" s="203" t="str">
        <f>IF($H399="USD",IF(OR($L399="",$L399="-"),"",VLOOKUP($G399,為替!$A:$AX,$L399,FALSE))+$K$3,IF(OR($L399="",$L399="-"),"",VLOOKUP($G399,為替!$A:$AX,$L399,FALSE)))</f>
        <v/>
      </c>
      <c r="N399" s="204" t="str">
        <f t="shared" si="40"/>
        <v/>
      </c>
      <c r="O399" s="205" t="str">
        <f t="shared" si="36"/>
        <v/>
      </c>
      <c r="P399" s="206" t="str">
        <f t="shared" si="41"/>
        <v/>
      </c>
    </row>
    <row r="400" spans="3:16" x14ac:dyDescent="0.4">
      <c r="C400" s="199"/>
      <c r="D400" s="200"/>
      <c r="E400" s="201"/>
      <c r="F400" s="199"/>
      <c r="H400" s="202"/>
      <c r="I400" s="185" t="str">
        <f t="shared" si="37"/>
        <v/>
      </c>
      <c r="J400" s="203" t="str">
        <f>IF($H400="USD",IF(OR($I400="",$I400="-"),"",VLOOKUP($G400,為替!$A:$AX,$I400,FALSE))+$J$3,IF(OR($I400="",$I400="-"),"",VLOOKUP($G400,為替!$A:$AX,$I400,FALSE)))</f>
        <v/>
      </c>
      <c r="K400" s="204" t="str">
        <f t="shared" si="38"/>
        <v/>
      </c>
      <c r="L400" s="188" t="str">
        <f t="shared" si="39"/>
        <v/>
      </c>
      <c r="M400" s="203" t="str">
        <f>IF($H400="USD",IF(OR($L400="",$L400="-"),"",VLOOKUP($G400,為替!$A:$AX,$L400,FALSE))+$K$3,IF(OR($L400="",$L400="-"),"",VLOOKUP($G400,為替!$A:$AX,$L400,FALSE)))</f>
        <v/>
      </c>
      <c r="N400" s="204" t="str">
        <f t="shared" si="40"/>
        <v/>
      </c>
      <c r="O400" s="205" t="str">
        <f t="shared" si="36"/>
        <v/>
      </c>
      <c r="P400" s="206" t="str">
        <f t="shared" si="41"/>
        <v/>
      </c>
    </row>
  </sheetData>
  <mergeCells count="1">
    <mergeCell ref="A1:E2"/>
  </mergeCells>
  <phoneticPr fontId="2"/>
  <conditionalFormatting sqref="P6:P400">
    <cfRule type="cellIs" dxfId="1" priority="1" operator="greaterThan">
      <formula>$P$3</formula>
    </cfRule>
  </conditionalFormatting>
  <dataValidations count="2">
    <dataValidation type="list" allowBlank="1" showInputMessage="1" showErrorMessage="1" sqref="E6:E400 H6:H400" xr:uid="{408610D7-75B0-4E3B-9239-2B39FE3A92D8}">
      <formula1>"JPY,USD,EUR,CNY,HKD"</formula1>
    </dataValidation>
    <dataValidation type="list" allowBlank="1" showInputMessage="1" showErrorMessage="1" sqref="A6:A400" xr:uid="{6C513AF7-31D4-4151-9BB2-34582F452B21}">
      <formula1>$M$3:$O$3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FC6B-9D0B-4B1E-8B39-EEE46A96AB57}">
  <sheetPr codeName="Sheet18">
    <tabColor theme="7" tint="0.79998168889431442"/>
  </sheetPr>
  <dimension ref="A1:S59"/>
  <sheetViews>
    <sheetView showGridLines="0" zoomScale="70" zoomScaleNormal="70" workbookViewId="0">
      <selection activeCell="E14" sqref="E14:P14"/>
    </sheetView>
  </sheetViews>
  <sheetFormatPr defaultRowHeight="18.75" x14ac:dyDescent="0.4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 x14ac:dyDescent="0.45">
      <c r="A1" s="456" t="s">
        <v>12</v>
      </c>
      <c r="B1" s="459" t="s">
        <v>186</v>
      </c>
      <c r="C1" s="462" t="s">
        <v>47</v>
      </c>
      <c r="D1" s="463"/>
      <c r="E1" s="464"/>
    </row>
    <row r="2" spans="1:19" ht="18.75" customHeight="1" x14ac:dyDescent="0.4">
      <c r="A2" s="457"/>
      <c r="B2" s="460"/>
      <c r="C2" s="40" t="s">
        <v>26</v>
      </c>
      <c r="D2" s="41">
        <v>140</v>
      </c>
      <c r="E2" s="42" t="s">
        <v>45</v>
      </c>
    </row>
    <row r="3" spans="1:19" ht="19.5" customHeight="1" thickBot="1" x14ac:dyDescent="0.45">
      <c r="A3" s="458"/>
      <c r="B3" s="461"/>
      <c r="C3" s="37" t="s">
        <v>27</v>
      </c>
      <c r="D3" s="38">
        <v>140</v>
      </c>
      <c r="E3" s="39" t="s">
        <v>46</v>
      </c>
      <c r="Q3" s="3"/>
    </row>
    <row r="4" spans="1:19" ht="19.5" thickBot="1" x14ac:dyDescent="0.45"/>
    <row r="5" spans="1:19" ht="19.5" customHeight="1" thickBot="1" x14ac:dyDescent="0.45">
      <c r="A5" s="467" t="s">
        <v>34</v>
      </c>
      <c r="B5" s="468"/>
      <c r="C5" s="442" t="s">
        <v>23</v>
      </c>
      <c r="D5" s="443"/>
      <c r="E5" s="421" t="s">
        <v>19</v>
      </c>
      <c r="F5" s="422"/>
      <c r="G5" s="422"/>
      <c r="H5" s="422"/>
      <c r="I5" s="422"/>
      <c r="J5" s="423"/>
      <c r="K5" s="421" t="s">
        <v>20</v>
      </c>
      <c r="L5" s="422"/>
      <c r="M5" s="422"/>
      <c r="N5" s="422"/>
      <c r="O5" s="422"/>
      <c r="P5" s="423"/>
      <c r="Q5" s="454" t="s">
        <v>21</v>
      </c>
    </row>
    <row r="6" spans="1:19" ht="19.5" customHeight="1" thickBot="1" x14ac:dyDescent="0.45">
      <c r="A6" s="58" t="s">
        <v>151</v>
      </c>
      <c r="B6" s="150" t="s">
        <v>193</v>
      </c>
      <c r="C6" s="444"/>
      <c r="D6" s="445"/>
      <c r="E6" s="214">
        <v>45444</v>
      </c>
      <c r="F6" s="215">
        <v>45474</v>
      </c>
      <c r="G6" s="215">
        <v>45505</v>
      </c>
      <c r="H6" s="215">
        <v>45536</v>
      </c>
      <c r="I6" s="215">
        <v>45566</v>
      </c>
      <c r="J6" s="216">
        <v>45597</v>
      </c>
      <c r="K6" s="217">
        <v>45627</v>
      </c>
      <c r="L6" s="215">
        <v>45658</v>
      </c>
      <c r="M6" s="215">
        <v>45689</v>
      </c>
      <c r="N6" s="215">
        <v>45717</v>
      </c>
      <c r="O6" s="215">
        <v>45748</v>
      </c>
      <c r="P6" s="218">
        <v>45778</v>
      </c>
      <c r="Q6" s="455"/>
      <c r="R6" s="153" t="s">
        <v>190</v>
      </c>
      <c r="S6" s="67" t="s">
        <v>191</v>
      </c>
    </row>
    <row r="7" spans="1:19" x14ac:dyDescent="0.4">
      <c r="A7" s="447" t="s">
        <v>204</v>
      </c>
      <c r="B7" s="449" t="s">
        <v>202</v>
      </c>
      <c r="C7" s="433" t="s">
        <v>15</v>
      </c>
      <c r="D7" s="111" t="s">
        <v>13</v>
      </c>
      <c r="E7" s="112">
        <v>0</v>
      </c>
      <c r="F7" s="113">
        <v>0</v>
      </c>
      <c r="G7" s="113">
        <v>0</v>
      </c>
      <c r="H7" s="113">
        <v>2700</v>
      </c>
      <c r="I7" s="113">
        <v>0</v>
      </c>
      <c r="J7" s="114">
        <v>0</v>
      </c>
      <c r="K7" s="115">
        <v>8100</v>
      </c>
      <c r="L7" s="113">
        <v>8100</v>
      </c>
      <c r="M7" s="113">
        <v>8100</v>
      </c>
      <c r="N7" s="113">
        <v>8100</v>
      </c>
      <c r="O7" s="113">
        <v>8100</v>
      </c>
      <c r="P7" s="116">
        <v>10800</v>
      </c>
      <c r="Q7" s="117">
        <f>SUM(E7:P7)</f>
        <v>54000</v>
      </c>
      <c r="R7" s="465"/>
      <c r="S7" s="68" t="str">
        <f>IFERROR(Q7/R7,"")</f>
        <v/>
      </c>
    </row>
    <row r="8" spans="1:19" ht="19.5" thickBot="1" x14ac:dyDescent="0.45">
      <c r="A8" s="447"/>
      <c r="B8" s="450"/>
      <c r="C8" s="433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0</v>
      </c>
      <c r="F8" s="135">
        <f ca="1">SUMIFS(INDIRECT($B$1&amp;"INV!$K:$K"),INDIRECT($B$1&amp;"INV!$A:$A"),$A7,INDIRECT($B$1&amp;"INV!$G:$G"),"&gt;="&amp;F$6,INDIRECT($B$1&amp;"INV!$G:$G"),"&lt;"&amp;EOMONTH(F$6,0)+1)/1000</f>
        <v>0</v>
      </c>
      <c r="G8" s="135">
        <f ca="1">SUMIFS(INDIRECT($B$1&amp;"INV!$K:$K"),INDIRECT($B$1&amp;"INV!$A:$A"),$A7,INDIRECT($B$1&amp;"INV!$G:$G"),"&gt;="&amp;G$6,INDIRECT($B$1&amp;"INV!$G:$G"),"&lt;"&amp;EOMONTH(G$6,0)+1)/1000</f>
        <v>0</v>
      </c>
      <c r="H8" s="135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5">
        <f t="shared" ca="1" si="0"/>
        <v>0</v>
      </c>
      <c r="J8" s="138">
        <f t="shared" ca="1" si="0"/>
        <v>0</v>
      </c>
      <c r="K8" s="134">
        <f t="shared" ca="1" si="0"/>
        <v>0</v>
      </c>
      <c r="L8" s="135">
        <f t="shared" ca="1" si="0"/>
        <v>0</v>
      </c>
      <c r="M8" s="135">
        <f t="shared" ca="1" si="0"/>
        <v>0</v>
      </c>
      <c r="N8" s="135">
        <f t="shared" ca="1" si="0"/>
        <v>0</v>
      </c>
      <c r="O8" s="135">
        <f t="shared" ca="1" si="0"/>
        <v>0</v>
      </c>
      <c r="P8" s="136">
        <f t="shared" ca="1" si="0"/>
        <v>0</v>
      </c>
      <c r="Q8" s="139">
        <f ca="1">SUM(E8:P8)</f>
        <v>0</v>
      </c>
      <c r="R8" s="466"/>
      <c r="S8" s="69" t="str">
        <f ca="1">IFERROR(Q8/R7,"")</f>
        <v/>
      </c>
    </row>
    <row r="9" spans="1:19" x14ac:dyDescent="0.4">
      <c r="A9" s="447"/>
      <c r="B9" s="450"/>
      <c r="C9" s="433"/>
      <c r="D9" s="21" t="s">
        <v>17</v>
      </c>
      <c r="E9" s="11" t="e">
        <f ca="1">E8/E7</f>
        <v>#DIV/0!</v>
      </c>
      <c r="F9" s="4" t="e">
        <f t="shared" ref="F9:Q9" ca="1" si="1">F8/F7</f>
        <v>#DIV/0!</v>
      </c>
      <c r="G9" s="4" t="e">
        <f t="shared" ca="1" si="1"/>
        <v>#DIV/0!</v>
      </c>
      <c r="H9" s="4">
        <f t="shared" ca="1" si="1"/>
        <v>0</v>
      </c>
      <c r="I9" s="4" t="e">
        <f t="shared" ca="1" si="1"/>
        <v>#DIV/0!</v>
      </c>
      <c r="J9" s="6" t="e">
        <f t="shared" ca="1" si="1"/>
        <v>#DIV/0!</v>
      </c>
      <c r="K9" s="8">
        <f t="shared" ca="1" si="1"/>
        <v>0</v>
      </c>
      <c r="L9" s="4">
        <f t="shared" ca="1" si="1"/>
        <v>0</v>
      </c>
      <c r="M9" s="4">
        <f t="shared" ca="1" si="1"/>
        <v>0</v>
      </c>
      <c r="N9" s="4">
        <f t="shared" ca="1" si="1"/>
        <v>0</v>
      </c>
      <c r="O9" s="4">
        <f t="shared" ca="1" si="1"/>
        <v>0</v>
      </c>
      <c r="P9" s="16">
        <f t="shared" ca="1" si="1"/>
        <v>0</v>
      </c>
      <c r="Q9" s="26">
        <f t="shared" ca="1" si="1"/>
        <v>0</v>
      </c>
    </row>
    <row r="10" spans="1:19" x14ac:dyDescent="0.4">
      <c r="A10" s="447"/>
      <c r="B10" s="450"/>
      <c r="C10" s="434"/>
      <c r="D10" s="22" t="s">
        <v>18</v>
      </c>
      <c r="E10" s="12" t="e">
        <f ca="1">SUM($E8:E8)/SUM($E7:E7)</f>
        <v>#DIV/0!</v>
      </c>
      <c r="F10" s="5" t="e">
        <f ca="1">SUM($E8:F8)/SUM($E7:F7)</f>
        <v>#DIV/0!</v>
      </c>
      <c r="G10" s="5" t="e">
        <f ca="1">SUM($E8:G8)/SUM($E7:G7)</f>
        <v>#DIV/0!</v>
      </c>
      <c r="H10" s="5">
        <f ca="1">SUM($E8:H8)/SUM($E7:H7)</f>
        <v>0</v>
      </c>
      <c r="I10" s="5">
        <f ca="1">SUM($E8:I8)/SUM($E7:I7)</f>
        <v>0</v>
      </c>
      <c r="J10" s="13">
        <f ca="1">SUM($E8:J8)/SUM($E7:J7)</f>
        <v>0</v>
      </c>
      <c r="K10" s="9">
        <f ca="1">SUM($E8:K8)/SUM($E7:K7)</f>
        <v>0</v>
      </c>
      <c r="L10" s="5">
        <f ca="1">SUM($E8:L8)/SUM($E7:L7)</f>
        <v>0</v>
      </c>
      <c r="M10" s="5">
        <f ca="1">SUM($E8:M8)/SUM($E7:M7)</f>
        <v>0</v>
      </c>
      <c r="N10" s="5">
        <f ca="1">SUM($E8:N8)/SUM($E7:N7)</f>
        <v>0</v>
      </c>
      <c r="O10" s="5">
        <f ca="1">SUM($E8:O8)/SUM($E7:O7)</f>
        <v>0</v>
      </c>
      <c r="P10" s="17">
        <f ca="1">SUM($E8:P8)/SUM($E7:P7)</f>
        <v>0</v>
      </c>
      <c r="Q10" s="27" t="s">
        <v>22</v>
      </c>
      <c r="R10" s="59"/>
      <c r="S10"/>
    </row>
    <row r="11" spans="1:19" x14ac:dyDescent="0.4">
      <c r="A11" s="447"/>
      <c r="B11" s="450"/>
      <c r="C11" s="452" t="s">
        <v>192</v>
      </c>
      <c r="D11" s="118" t="s">
        <v>13</v>
      </c>
      <c r="E11" s="119">
        <v>0</v>
      </c>
      <c r="F11" s="120">
        <v>0</v>
      </c>
      <c r="G11" s="120">
        <v>0</v>
      </c>
      <c r="H11" s="120">
        <v>2100</v>
      </c>
      <c r="I11" s="120">
        <v>0</v>
      </c>
      <c r="J11" s="121">
        <v>0</v>
      </c>
      <c r="K11" s="122">
        <v>6300</v>
      </c>
      <c r="L11" s="120">
        <v>6300</v>
      </c>
      <c r="M11" s="120">
        <v>6300</v>
      </c>
      <c r="N11" s="120">
        <v>6300</v>
      </c>
      <c r="O11" s="120">
        <v>6300</v>
      </c>
      <c r="P11" s="123">
        <v>8400</v>
      </c>
      <c r="Q11" s="124">
        <f>SUM(E11:P11)</f>
        <v>42000</v>
      </c>
      <c r="R11" s="465">
        <v>5159</v>
      </c>
      <c r="S11" s="68">
        <f>IFERROR(Q11/R11,"")</f>
        <v>8.1411126187245593</v>
      </c>
    </row>
    <row r="12" spans="1:19" x14ac:dyDescent="0.4">
      <c r="A12" s="447"/>
      <c r="B12" s="450"/>
      <c r="C12" s="453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0</v>
      </c>
      <c r="F12" s="141">
        <f t="shared" ref="F12:P12" ca="1" si="2">SUMIFS(INDIRECT($B$1&amp;"INV!$N:$N"),INDIRECT($B$1&amp;"INV!$A:$A"),$A7,INDIRECT($B$1&amp;"INV!$G:$G"),"&gt;="&amp;F$6,INDIRECT($B$1&amp;"INV!$G:$G"),"&lt;"&amp;EOMONTH(F$6,0)+1)/1000</f>
        <v>0</v>
      </c>
      <c r="G12" s="141">
        <f t="shared" ca="1" si="2"/>
        <v>0</v>
      </c>
      <c r="H12" s="141">
        <f t="shared" ca="1" si="2"/>
        <v>0</v>
      </c>
      <c r="I12" s="141">
        <f t="shared" ca="1" si="2"/>
        <v>0</v>
      </c>
      <c r="J12" s="144">
        <f t="shared" ca="1" si="2"/>
        <v>0</v>
      </c>
      <c r="K12" s="146">
        <f t="shared" ca="1" si="2"/>
        <v>0</v>
      </c>
      <c r="L12" s="141">
        <f t="shared" ca="1" si="2"/>
        <v>0</v>
      </c>
      <c r="M12" s="141">
        <f t="shared" ca="1" si="2"/>
        <v>0</v>
      </c>
      <c r="N12" s="141">
        <f t="shared" ca="1" si="2"/>
        <v>0</v>
      </c>
      <c r="O12" s="141">
        <f t="shared" ca="1" si="2"/>
        <v>0</v>
      </c>
      <c r="P12" s="142">
        <f t="shared" ca="1" si="2"/>
        <v>0</v>
      </c>
      <c r="Q12" s="145">
        <f ca="1">SUM(E12:P12)</f>
        <v>0</v>
      </c>
      <c r="R12" s="471"/>
      <c r="S12" s="70">
        <f ca="1">IFERROR(Q12/R11,"")</f>
        <v>0</v>
      </c>
    </row>
    <row r="13" spans="1:19" x14ac:dyDescent="0.4">
      <c r="A13" s="447"/>
      <c r="B13" s="450"/>
      <c r="C13" s="435" t="s">
        <v>16</v>
      </c>
      <c r="D13" s="118" t="s">
        <v>13</v>
      </c>
      <c r="E13" s="119">
        <f>E7-E11</f>
        <v>0</v>
      </c>
      <c r="F13" s="120">
        <f t="shared" ref="F13:P14" si="3">F7-F11</f>
        <v>0</v>
      </c>
      <c r="G13" s="120">
        <f t="shared" si="3"/>
        <v>0</v>
      </c>
      <c r="H13" s="120">
        <f t="shared" si="3"/>
        <v>600</v>
      </c>
      <c r="I13" s="120">
        <f t="shared" si="3"/>
        <v>0</v>
      </c>
      <c r="J13" s="121">
        <f t="shared" si="3"/>
        <v>0</v>
      </c>
      <c r="K13" s="122">
        <f t="shared" si="3"/>
        <v>1800</v>
      </c>
      <c r="L13" s="120">
        <f t="shared" si="3"/>
        <v>1800</v>
      </c>
      <c r="M13" s="120">
        <f t="shared" si="3"/>
        <v>1800</v>
      </c>
      <c r="N13" s="120">
        <f t="shared" si="3"/>
        <v>1800</v>
      </c>
      <c r="O13" s="120">
        <f t="shared" si="3"/>
        <v>1800</v>
      </c>
      <c r="P13" s="123">
        <f t="shared" si="3"/>
        <v>2400</v>
      </c>
      <c r="Q13" s="124">
        <f>SUM(E13:P13)</f>
        <v>12000</v>
      </c>
      <c r="R13" s="465">
        <f>R7-R11</f>
        <v>-5159</v>
      </c>
      <c r="S13" s="149">
        <f>IFERROR(Q13/R13,"")</f>
        <v>-2.3260321767784453</v>
      </c>
    </row>
    <row r="14" spans="1:19" ht="19.5" thickBot="1" x14ac:dyDescent="0.45">
      <c r="A14" s="447"/>
      <c r="B14" s="450"/>
      <c r="C14" s="436"/>
      <c r="D14" s="133" t="s">
        <v>14</v>
      </c>
      <c r="E14" s="134">
        <f ca="1">E8-E12</f>
        <v>0</v>
      </c>
      <c r="F14" s="135">
        <f t="shared" ca="1" si="3"/>
        <v>0</v>
      </c>
      <c r="G14" s="135">
        <f t="shared" ca="1" si="3"/>
        <v>0</v>
      </c>
      <c r="H14" s="135">
        <f t="shared" ca="1" si="3"/>
        <v>0</v>
      </c>
      <c r="I14" s="135">
        <f t="shared" ca="1" si="3"/>
        <v>0</v>
      </c>
      <c r="J14" s="138">
        <f t="shared" ca="1" si="3"/>
        <v>0</v>
      </c>
      <c r="K14" s="134">
        <f t="shared" ca="1" si="3"/>
        <v>0</v>
      </c>
      <c r="L14" s="135">
        <f t="shared" ca="1" si="3"/>
        <v>0</v>
      </c>
      <c r="M14" s="135">
        <f t="shared" ca="1" si="3"/>
        <v>0</v>
      </c>
      <c r="N14" s="135">
        <f t="shared" ca="1" si="3"/>
        <v>0</v>
      </c>
      <c r="O14" s="135">
        <f t="shared" ca="1" si="3"/>
        <v>0</v>
      </c>
      <c r="P14" s="136">
        <f t="shared" ca="1" si="3"/>
        <v>0</v>
      </c>
      <c r="Q14" s="139">
        <f ca="1">SUM(E14:P14)</f>
        <v>0</v>
      </c>
      <c r="R14" s="466"/>
      <c r="S14" s="69">
        <f ca="1">IFERROR(Q14/R13,"")</f>
        <v>0</v>
      </c>
    </row>
    <row r="15" spans="1:19" x14ac:dyDescent="0.4">
      <c r="A15" s="447"/>
      <c r="B15" s="450"/>
      <c r="C15" s="436"/>
      <c r="D15" s="21" t="s">
        <v>17</v>
      </c>
      <c r="E15" s="11" t="e">
        <f ca="1">E14/E13</f>
        <v>#DIV/0!</v>
      </c>
      <c r="F15" s="4" t="e">
        <f t="shared" ref="F15" ca="1" si="4">F14/F13</f>
        <v>#DIV/0!</v>
      </c>
      <c r="G15" s="4" t="e">
        <f t="shared" ref="G15" ca="1" si="5">G14/G13</f>
        <v>#DIV/0!</v>
      </c>
      <c r="H15" s="4">
        <f t="shared" ref="H15" ca="1" si="6">H14/H13</f>
        <v>0</v>
      </c>
      <c r="I15" s="4" t="e">
        <f t="shared" ref="I15" ca="1" si="7">I14/I13</f>
        <v>#DIV/0!</v>
      </c>
      <c r="J15" s="6" t="e">
        <f t="shared" ref="J15" ca="1" si="8">J14/J13</f>
        <v>#DIV/0!</v>
      </c>
      <c r="K15" s="8">
        <f t="shared" ref="K15" ca="1" si="9">K14/K13</f>
        <v>0</v>
      </c>
      <c r="L15" s="4">
        <f t="shared" ref="L15" ca="1" si="10">L14/L13</f>
        <v>0</v>
      </c>
      <c r="M15" s="4">
        <f t="shared" ref="M15" ca="1" si="11">M14/M13</f>
        <v>0</v>
      </c>
      <c r="N15" s="4">
        <f t="shared" ref="N15" ca="1" si="12">N14/N13</f>
        <v>0</v>
      </c>
      <c r="O15" s="4">
        <f t="shared" ref="O15" ca="1" si="13">O14/O13</f>
        <v>0</v>
      </c>
      <c r="P15" s="16">
        <f t="shared" ref="P15:Q15" ca="1" si="14">P14/P13</f>
        <v>0</v>
      </c>
      <c r="Q15" s="26">
        <f t="shared" ca="1" si="14"/>
        <v>0</v>
      </c>
    </row>
    <row r="16" spans="1:19" ht="19.5" thickBot="1" x14ac:dyDescent="0.45">
      <c r="A16" s="448"/>
      <c r="B16" s="451"/>
      <c r="C16" s="437"/>
      <c r="D16" s="23" t="s">
        <v>18</v>
      </c>
      <c r="E16" s="14" t="e">
        <f ca="1">SUM($E14:E14)/SUM($E13:E13)</f>
        <v>#DIV/0!</v>
      </c>
      <c r="F16" s="7" t="e">
        <f ca="1">SUM($E14:F14)/SUM($E13:F13)</f>
        <v>#DIV/0!</v>
      </c>
      <c r="G16" s="7" t="e">
        <f ca="1">SUM($E14:G14)/SUM($E13:G13)</f>
        <v>#DIV/0!</v>
      </c>
      <c r="H16" s="7">
        <f ca="1">SUM($E14:H14)/SUM($E13:H13)</f>
        <v>0</v>
      </c>
      <c r="I16" s="7">
        <f ca="1">SUM($E14:I14)/SUM($E13:I13)</f>
        <v>0</v>
      </c>
      <c r="J16" s="15">
        <f ca="1">SUM($E14:J14)/SUM($E13:J13)</f>
        <v>0</v>
      </c>
      <c r="K16" s="10">
        <f ca="1">SUM($E14:K14)/SUM($E13:K13)</f>
        <v>0</v>
      </c>
      <c r="L16" s="7">
        <f ca="1">SUM($E14:L14)/SUM($E13:L13)</f>
        <v>0</v>
      </c>
      <c r="M16" s="7">
        <f ca="1">SUM($E14:M14)/SUM($E13:M13)</f>
        <v>0</v>
      </c>
      <c r="N16" s="7">
        <f ca="1">SUM($E14:N14)/SUM($E13:N13)</f>
        <v>0</v>
      </c>
      <c r="O16" s="7">
        <f ca="1">SUM($E14:O14)/SUM($E13:O13)</f>
        <v>0</v>
      </c>
      <c r="P16" s="18">
        <f ca="1">SUM($E14:P14)/SUM($E13:P13)</f>
        <v>0</v>
      </c>
      <c r="Q16" s="28" t="s">
        <v>22</v>
      </c>
      <c r="R16" s="59"/>
      <c r="S16"/>
    </row>
    <row r="17" spans="1:19" x14ac:dyDescent="0.4">
      <c r="A17" s="446" t="s">
        <v>206</v>
      </c>
      <c r="B17" s="449" t="s">
        <v>205</v>
      </c>
      <c r="C17" s="433" t="s">
        <v>15</v>
      </c>
      <c r="D17" s="111" t="s">
        <v>13</v>
      </c>
      <c r="E17" s="112">
        <v>0</v>
      </c>
      <c r="F17" s="113">
        <v>0</v>
      </c>
      <c r="G17" s="113">
        <v>0</v>
      </c>
      <c r="H17" s="113">
        <v>0</v>
      </c>
      <c r="I17" s="113">
        <v>0</v>
      </c>
      <c r="J17" s="114">
        <v>0</v>
      </c>
      <c r="K17" s="115">
        <v>0</v>
      </c>
      <c r="L17" s="113">
        <v>0</v>
      </c>
      <c r="M17" s="113">
        <v>0</v>
      </c>
      <c r="N17" s="113">
        <v>0</v>
      </c>
      <c r="O17" s="113">
        <v>0</v>
      </c>
      <c r="P17" s="116">
        <v>5000</v>
      </c>
      <c r="Q17" s="117">
        <f>SUM(E17:P17)</f>
        <v>5000</v>
      </c>
      <c r="R17" s="465">
        <v>3033</v>
      </c>
      <c r="S17" s="68">
        <f>IFERROR(Q17/R17,"")</f>
        <v>1.6485328058028355</v>
      </c>
    </row>
    <row r="18" spans="1:19" ht="19.5" thickBot="1" x14ac:dyDescent="0.45">
      <c r="A18" s="447"/>
      <c r="B18" s="450"/>
      <c r="C18" s="433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0</v>
      </c>
      <c r="F18" s="135">
        <f ca="1">SUMIFS(INDIRECT($B$1&amp;"INV!$K:$K"),INDIRECT($B$1&amp;"INV!$A:$A"),$A17,INDIRECT($B$1&amp;"INV!$G:$G"),"&gt;="&amp;F$6,INDIRECT($B$1&amp;"INV!$G:$G"),"&lt;"&amp;EOMONTH(F$6,0)+1)/1000</f>
        <v>0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:P18" ca="1" si="15">SUMIFS(INDIRECT($B$1&amp;"INV!$K:$K"),INDIRECT($B$1&amp;"INV!$A:$A"),$A17,INDIRECT($B$1&amp;"INV!$G:$G"),"&gt;="&amp;H$6,INDIRECT($B$1&amp;"INV!$G:$G"),"&lt;"&amp;EOMONTH(H$6,0)+1)/1000</f>
        <v>0</v>
      </c>
      <c r="I18" s="135">
        <f t="shared" ca="1" si="15"/>
        <v>0</v>
      </c>
      <c r="J18" s="138">
        <f t="shared" ca="1" si="15"/>
        <v>0</v>
      </c>
      <c r="K18" s="134">
        <f t="shared" ca="1" si="15"/>
        <v>0</v>
      </c>
      <c r="L18" s="135">
        <f t="shared" ca="1" si="15"/>
        <v>0</v>
      </c>
      <c r="M18" s="135">
        <f t="shared" ca="1" si="15"/>
        <v>0</v>
      </c>
      <c r="N18" s="135">
        <f t="shared" ca="1" si="15"/>
        <v>0</v>
      </c>
      <c r="O18" s="135">
        <f t="shared" ca="1" si="15"/>
        <v>0</v>
      </c>
      <c r="P18" s="136">
        <f t="shared" ca="1" si="15"/>
        <v>0</v>
      </c>
      <c r="Q18" s="139">
        <f ca="1">SUM(E18:P18)</f>
        <v>0</v>
      </c>
      <c r="R18" s="466"/>
      <c r="S18" s="69">
        <f ca="1">IFERROR(Q18/R17,"")</f>
        <v>0</v>
      </c>
    </row>
    <row r="19" spans="1:19" x14ac:dyDescent="0.4">
      <c r="A19" s="447"/>
      <c r="B19" s="450"/>
      <c r="C19" s="433"/>
      <c r="D19" s="21" t="s">
        <v>17</v>
      </c>
      <c r="E19" s="11" t="e">
        <f ca="1">E18/E17</f>
        <v>#DIV/0!</v>
      </c>
      <c r="F19" s="4" t="e">
        <f t="shared" ref="F19" ca="1" si="16">F18/F17</f>
        <v>#DIV/0!</v>
      </c>
      <c r="G19" s="4" t="e">
        <f t="shared" ref="G19" ca="1" si="17">G18/G17</f>
        <v>#DIV/0!</v>
      </c>
      <c r="H19" s="4" t="e">
        <f t="shared" ref="H19" ca="1" si="18">H18/H17</f>
        <v>#DIV/0!</v>
      </c>
      <c r="I19" s="4" t="e">
        <f t="shared" ref="I19" ca="1" si="19">I18/I17</f>
        <v>#DIV/0!</v>
      </c>
      <c r="J19" s="6" t="e">
        <f t="shared" ref="J19" ca="1" si="20">J18/J17</f>
        <v>#DIV/0!</v>
      </c>
      <c r="K19" s="8" t="e">
        <f t="shared" ref="K19" ca="1" si="21">K18/K17</f>
        <v>#DIV/0!</v>
      </c>
      <c r="L19" s="4" t="e">
        <f t="shared" ref="L19" ca="1" si="22">L18/L17</f>
        <v>#DIV/0!</v>
      </c>
      <c r="M19" s="4" t="e">
        <f t="shared" ref="M19" ca="1" si="23">M18/M17</f>
        <v>#DIV/0!</v>
      </c>
      <c r="N19" s="4" t="e">
        <f t="shared" ref="N19" ca="1" si="24">N18/N17</f>
        <v>#DIV/0!</v>
      </c>
      <c r="O19" s="4" t="e">
        <f t="shared" ref="O19" ca="1" si="25">O18/O17</f>
        <v>#DIV/0!</v>
      </c>
      <c r="P19" s="16">
        <f t="shared" ref="P19" ca="1" si="26">P18/P17</f>
        <v>0</v>
      </c>
      <c r="Q19" s="26">
        <f t="shared" ref="Q19" ca="1" si="27">Q18/Q17</f>
        <v>0</v>
      </c>
      <c r="R19" s="59"/>
      <c r="S19"/>
    </row>
    <row r="20" spans="1:19" x14ac:dyDescent="0.4">
      <c r="A20" s="447"/>
      <c r="B20" s="450"/>
      <c r="C20" s="434"/>
      <c r="D20" s="22" t="s">
        <v>18</v>
      </c>
      <c r="E20" s="12" t="e">
        <f ca="1">SUM($E18:E18)/SUM($E17:E17)</f>
        <v>#DIV/0!</v>
      </c>
      <c r="F20" s="5" t="e">
        <f ca="1">SUM($E18:F18)/SUM($E17:F17)</f>
        <v>#DIV/0!</v>
      </c>
      <c r="G20" s="5" t="e">
        <f ca="1">SUM($E18:G18)/SUM($E17:G17)</f>
        <v>#DIV/0!</v>
      </c>
      <c r="H20" s="5" t="e">
        <f ca="1">SUM($E18:H18)/SUM($E17:H17)</f>
        <v>#DIV/0!</v>
      </c>
      <c r="I20" s="5" t="e">
        <f ca="1">SUM($E18:I18)/SUM($E17:I17)</f>
        <v>#DIV/0!</v>
      </c>
      <c r="J20" s="13" t="e">
        <f ca="1">SUM($E18:J18)/SUM($E17:J17)</f>
        <v>#DIV/0!</v>
      </c>
      <c r="K20" s="9" t="e">
        <f ca="1">SUM($E18:K18)/SUM($E17:K17)</f>
        <v>#DIV/0!</v>
      </c>
      <c r="L20" s="5" t="e">
        <f ca="1">SUM($E18:L18)/SUM($E17:L17)</f>
        <v>#DIV/0!</v>
      </c>
      <c r="M20" s="5" t="e">
        <f ca="1">SUM($E18:M18)/SUM($E17:M17)</f>
        <v>#DIV/0!</v>
      </c>
      <c r="N20" s="5" t="e">
        <f ca="1">SUM($E18:N18)/SUM($E17:N17)</f>
        <v>#DIV/0!</v>
      </c>
      <c r="O20" s="5" t="e">
        <f ca="1">SUM($E18:O18)/SUM($E17:O17)</f>
        <v>#DIV/0!</v>
      </c>
      <c r="P20" s="17">
        <f ca="1">SUM($E18:P18)/SUM($E17:P17)</f>
        <v>0</v>
      </c>
      <c r="Q20" s="27" t="s">
        <v>22</v>
      </c>
      <c r="R20" s="59"/>
      <c r="S20"/>
    </row>
    <row r="21" spans="1:19" x14ac:dyDescent="0.4">
      <c r="A21" s="447"/>
      <c r="B21" s="450"/>
      <c r="C21" s="452" t="s">
        <v>192</v>
      </c>
      <c r="D21" s="118" t="s">
        <v>13</v>
      </c>
      <c r="E21" s="119">
        <v>0</v>
      </c>
      <c r="F21" s="120">
        <v>0</v>
      </c>
      <c r="G21" s="120">
        <v>0</v>
      </c>
      <c r="H21" s="120">
        <v>0</v>
      </c>
      <c r="I21" s="120">
        <v>0</v>
      </c>
      <c r="J21" s="121">
        <v>0</v>
      </c>
      <c r="K21" s="122">
        <v>0</v>
      </c>
      <c r="L21" s="120">
        <v>0</v>
      </c>
      <c r="M21" s="120">
        <v>0</v>
      </c>
      <c r="N21" s="120">
        <v>0</v>
      </c>
      <c r="O21" s="120">
        <v>0</v>
      </c>
      <c r="P21" s="123">
        <v>4500</v>
      </c>
      <c r="Q21" s="124">
        <f>SUM(E21:P21)</f>
        <v>4500</v>
      </c>
      <c r="R21" s="465">
        <v>2061</v>
      </c>
      <c r="S21" s="68">
        <f>IFERROR(Q21/R21,"")</f>
        <v>2.1834061135371181</v>
      </c>
    </row>
    <row r="22" spans="1:19" x14ac:dyDescent="0.4">
      <c r="A22" s="447"/>
      <c r="B22" s="450"/>
      <c r="C22" s="453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0</v>
      </c>
      <c r="F22" s="141">
        <f t="shared" ref="F22:P22" ca="1" si="28">SUMIFS(INDIRECT($B$1&amp;"INV!$N:$N"),INDIRECT($B$1&amp;"INV!$A:$A"),$A17,INDIRECT($B$1&amp;"INV!$G:$G"),"&gt;="&amp;F$6,INDIRECT($B$1&amp;"INV!$G:$G"),"&lt;"&amp;EOMONTH(F$6,0)+1)/1000</f>
        <v>0</v>
      </c>
      <c r="G22" s="141">
        <f t="shared" ca="1" si="28"/>
        <v>0</v>
      </c>
      <c r="H22" s="141">
        <f t="shared" ca="1" si="28"/>
        <v>0</v>
      </c>
      <c r="I22" s="141">
        <f t="shared" ca="1" si="28"/>
        <v>0</v>
      </c>
      <c r="J22" s="144">
        <f t="shared" ca="1" si="28"/>
        <v>0</v>
      </c>
      <c r="K22" s="146">
        <f t="shared" ca="1" si="28"/>
        <v>0</v>
      </c>
      <c r="L22" s="141">
        <f t="shared" ca="1" si="28"/>
        <v>0</v>
      </c>
      <c r="M22" s="141">
        <f t="shared" ca="1" si="28"/>
        <v>0</v>
      </c>
      <c r="N22" s="141">
        <f t="shared" ca="1" si="28"/>
        <v>0</v>
      </c>
      <c r="O22" s="141">
        <f t="shared" ca="1" si="28"/>
        <v>0</v>
      </c>
      <c r="P22" s="142">
        <f t="shared" ca="1" si="28"/>
        <v>0</v>
      </c>
      <c r="Q22" s="145">
        <f ca="1">SUM(E22:P22)</f>
        <v>0</v>
      </c>
      <c r="R22" s="471"/>
      <c r="S22" s="70">
        <f ca="1">IFERROR(Q22/R21,"")</f>
        <v>0</v>
      </c>
    </row>
    <row r="23" spans="1:19" x14ac:dyDescent="0.4">
      <c r="A23" s="447"/>
      <c r="B23" s="450"/>
      <c r="C23" s="435" t="s">
        <v>16</v>
      </c>
      <c r="D23" s="118" t="s">
        <v>13</v>
      </c>
      <c r="E23" s="119">
        <f>E17-E21</f>
        <v>0</v>
      </c>
      <c r="F23" s="120">
        <f t="shared" ref="F23:P24" si="29">F17-F21</f>
        <v>0</v>
      </c>
      <c r="G23" s="120">
        <f t="shared" si="29"/>
        <v>0</v>
      </c>
      <c r="H23" s="120">
        <f t="shared" si="29"/>
        <v>0</v>
      </c>
      <c r="I23" s="120">
        <f t="shared" si="29"/>
        <v>0</v>
      </c>
      <c r="J23" s="121">
        <f t="shared" si="29"/>
        <v>0</v>
      </c>
      <c r="K23" s="122">
        <f t="shared" si="29"/>
        <v>0</v>
      </c>
      <c r="L23" s="120">
        <f t="shared" si="29"/>
        <v>0</v>
      </c>
      <c r="M23" s="120">
        <f t="shared" si="29"/>
        <v>0</v>
      </c>
      <c r="N23" s="120">
        <f t="shared" si="29"/>
        <v>0</v>
      </c>
      <c r="O23" s="120">
        <f t="shared" si="29"/>
        <v>0</v>
      </c>
      <c r="P23" s="123">
        <f t="shared" si="29"/>
        <v>500</v>
      </c>
      <c r="Q23" s="124">
        <f>SUM(E23:P23)</f>
        <v>500</v>
      </c>
      <c r="R23" s="465">
        <f>R17-R21</f>
        <v>972</v>
      </c>
      <c r="S23" s="149">
        <f>IFERROR(Q23/R23,"")</f>
        <v>0.51440329218106995</v>
      </c>
    </row>
    <row r="24" spans="1:19" ht="19.5" thickBot="1" x14ac:dyDescent="0.45">
      <c r="A24" s="447"/>
      <c r="B24" s="450"/>
      <c r="C24" s="436"/>
      <c r="D24" s="133" t="s">
        <v>14</v>
      </c>
      <c r="E24" s="134">
        <f ca="1">E18-E22</f>
        <v>0</v>
      </c>
      <c r="F24" s="135">
        <f t="shared" ca="1" si="29"/>
        <v>0</v>
      </c>
      <c r="G24" s="135">
        <f t="shared" ca="1" si="29"/>
        <v>0</v>
      </c>
      <c r="H24" s="135">
        <f t="shared" ca="1" si="29"/>
        <v>0</v>
      </c>
      <c r="I24" s="135">
        <f t="shared" ca="1" si="29"/>
        <v>0</v>
      </c>
      <c r="J24" s="138">
        <f t="shared" ca="1" si="29"/>
        <v>0</v>
      </c>
      <c r="K24" s="134">
        <f t="shared" ca="1" si="29"/>
        <v>0</v>
      </c>
      <c r="L24" s="135">
        <f t="shared" ca="1" si="29"/>
        <v>0</v>
      </c>
      <c r="M24" s="135">
        <f t="shared" ca="1" si="29"/>
        <v>0</v>
      </c>
      <c r="N24" s="135">
        <f t="shared" ca="1" si="29"/>
        <v>0</v>
      </c>
      <c r="O24" s="135">
        <f t="shared" ca="1" si="29"/>
        <v>0</v>
      </c>
      <c r="P24" s="136">
        <f t="shared" ca="1" si="29"/>
        <v>0</v>
      </c>
      <c r="Q24" s="139">
        <f ca="1">SUM(E24:P24)</f>
        <v>0</v>
      </c>
      <c r="R24" s="466"/>
      <c r="S24" s="69">
        <f ca="1">IFERROR(Q24/R23,"")</f>
        <v>0</v>
      </c>
    </row>
    <row r="25" spans="1:19" x14ac:dyDescent="0.4">
      <c r="A25" s="447"/>
      <c r="B25" s="450"/>
      <c r="C25" s="436"/>
      <c r="D25" s="21" t="s">
        <v>17</v>
      </c>
      <c r="E25" s="11" t="e">
        <f ca="1">E24/E23</f>
        <v>#DIV/0!</v>
      </c>
      <c r="F25" s="4" t="e">
        <f t="shared" ref="F25" ca="1" si="30">F24/F23</f>
        <v>#DIV/0!</v>
      </c>
      <c r="G25" s="4" t="e">
        <f t="shared" ref="G25" ca="1" si="31">G24/G23</f>
        <v>#DIV/0!</v>
      </c>
      <c r="H25" s="4" t="e">
        <f t="shared" ref="H25" ca="1" si="32">H24/H23</f>
        <v>#DIV/0!</v>
      </c>
      <c r="I25" s="4" t="e">
        <f t="shared" ref="I25" ca="1" si="33">I24/I23</f>
        <v>#DIV/0!</v>
      </c>
      <c r="J25" s="6" t="e">
        <f t="shared" ref="J25" ca="1" si="34">J24/J23</f>
        <v>#DIV/0!</v>
      </c>
      <c r="K25" s="8" t="e">
        <f t="shared" ref="K25" ca="1" si="35">K24/K23</f>
        <v>#DIV/0!</v>
      </c>
      <c r="L25" s="4" t="e">
        <f t="shared" ref="L25" ca="1" si="36">L24/L23</f>
        <v>#DIV/0!</v>
      </c>
      <c r="M25" s="4" t="e">
        <f t="shared" ref="M25" ca="1" si="37">M24/M23</f>
        <v>#DIV/0!</v>
      </c>
      <c r="N25" s="4" t="e">
        <f t="shared" ref="N25" ca="1" si="38">N24/N23</f>
        <v>#DIV/0!</v>
      </c>
      <c r="O25" s="4" t="e">
        <f t="shared" ref="O25" ca="1" si="39">O24/O23</f>
        <v>#DIV/0!</v>
      </c>
      <c r="P25" s="16">
        <f t="shared" ref="P25" ca="1" si="40">P24/P23</f>
        <v>0</v>
      </c>
      <c r="Q25" s="26">
        <f t="shared" ref="Q25" ca="1" si="41">Q24/Q23</f>
        <v>0</v>
      </c>
    </row>
    <row r="26" spans="1:19" ht="19.5" thickBot="1" x14ac:dyDescent="0.45">
      <c r="A26" s="448"/>
      <c r="B26" s="451"/>
      <c r="C26" s="437"/>
      <c r="D26" s="23" t="s">
        <v>18</v>
      </c>
      <c r="E26" s="14" t="e">
        <f ca="1">SUM($E24:E24)/SUM($E23:E23)</f>
        <v>#DIV/0!</v>
      </c>
      <c r="F26" s="7" t="e">
        <f ca="1">SUM($E24:F24)/SUM($E23:F23)</f>
        <v>#DIV/0!</v>
      </c>
      <c r="G26" s="7" t="e">
        <f ca="1">SUM($E24:G24)/SUM($E23:G23)</f>
        <v>#DIV/0!</v>
      </c>
      <c r="H26" s="7" t="e">
        <f ca="1">SUM($E24:H24)/SUM($E23:H23)</f>
        <v>#DIV/0!</v>
      </c>
      <c r="I26" s="7" t="e">
        <f ca="1">SUM($E24:I24)/SUM($E23:I23)</f>
        <v>#DIV/0!</v>
      </c>
      <c r="J26" s="15" t="e">
        <f ca="1">SUM($E24:J24)/SUM($E23:J23)</f>
        <v>#DIV/0!</v>
      </c>
      <c r="K26" s="10" t="e">
        <f ca="1">SUM($E24:K24)/SUM($E23:K23)</f>
        <v>#DIV/0!</v>
      </c>
      <c r="L26" s="7" t="e">
        <f ca="1">SUM($E24:L24)/SUM($E23:L23)</f>
        <v>#DIV/0!</v>
      </c>
      <c r="M26" s="7" t="e">
        <f ca="1">SUM($E24:M24)/SUM($E23:M23)</f>
        <v>#DIV/0!</v>
      </c>
      <c r="N26" s="7" t="e">
        <f ca="1">SUM($E24:N24)/SUM($E23:N23)</f>
        <v>#DIV/0!</v>
      </c>
      <c r="O26" s="7" t="e">
        <f ca="1">SUM($E24:O24)/SUM($E23:O23)</f>
        <v>#DIV/0!</v>
      </c>
      <c r="P26" s="18">
        <f ca="1">SUM($E24:P24)/SUM($E23:P23)</f>
        <v>0</v>
      </c>
      <c r="Q26" s="28" t="s">
        <v>22</v>
      </c>
      <c r="R26" s="59"/>
      <c r="S26"/>
    </row>
    <row r="27" spans="1:19" x14ac:dyDescent="0.4">
      <c r="A27" s="447"/>
      <c r="B27" s="450" t="s">
        <v>183</v>
      </c>
      <c r="C27" s="433" t="s">
        <v>15</v>
      </c>
      <c r="D27" s="111" t="s">
        <v>13</v>
      </c>
      <c r="E27" s="112">
        <f>SUM(E7,E17)</f>
        <v>0</v>
      </c>
      <c r="F27" s="113">
        <f t="shared" ref="F27:P27" si="42">SUM(F7,F17)</f>
        <v>0</v>
      </c>
      <c r="G27" s="113">
        <f t="shared" si="42"/>
        <v>0</v>
      </c>
      <c r="H27" s="113">
        <f t="shared" si="42"/>
        <v>2700</v>
      </c>
      <c r="I27" s="113">
        <f t="shared" si="42"/>
        <v>0</v>
      </c>
      <c r="J27" s="114">
        <f t="shared" si="42"/>
        <v>0</v>
      </c>
      <c r="K27" s="115">
        <f t="shared" si="42"/>
        <v>8100</v>
      </c>
      <c r="L27" s="113">
        <f t="shared" si="42"/>
        <v>8100</v>
      </c>
      <c r="M27" s="113">
        <f t="shared" si="42"/>
        <v>8100</v>
      </c>
      <c r="N27" s="113">
        <f t="shared" si="42"/>
        <v>8100</v>
      </c>
      <c r="O27" s="113">
        <f t="shared" si="42"/>
        <v>8100</v>
      </c>
      <c r="P27" s="116">
        <f t="shared" si="42"/>
        <v>15800</v>
      </c>
      <c r="Q27" s="117">
        <f>SUM(E27:P27)</f>
        <v>59000</v>
      </c>
      <c r="R27" s="465">
        <v>7</v>
      </c>
      <c r="S27" s="68">
        <f>IFERROR(Q27/R27,"")</f>
        <v>8428.5714285714294</v>
      </c>
    </row>
    <row r="28" spans="1:19" ht="19.5" thickBot="1" x14ac:dyDescent="0.45">
      <c r="A28" s="447"/>
      <c r="B28" s="450"/>
      <c r="C28" s="433"/>
      <c r="D28" s="133" t="s">
        <v>14</v>
      </c>
      <c r="E28" s="134"/>
      <c r="F28" s="135"/>
      <c r="G28" s="135"/>
      <c r="H28" s="135"/>
      <c r="I28" s="135"/>
      <c r="J28" s="136"/>
      <c r="K28" s="137"/>
      <c r="L28" s="135"/>
      <c r="M28" s="135"/>
      <c r="N28" s="135"/>
      <c r="O28" s="135"/>
      <c r="P28" s="138"/>
      <c r="Q28" s="139">
        <f>SUM(E28:P28)</f>
        <v>0</v>
      </c>
      <c r="R28" s="466"/>
      <c r="S28" s="69">
        <f>IFERROR(Q28/R27,"")</f>
        <v>0</v>
      </c>
    </row>
    <row r="29" spans="1:19" x14ac:dyDescent="0.4">
      <c r="A29" s="447"/>
      <c r="B29" s="450"/>
      <c r="C29" s="433"/>
      <c r="D29" s="21" t="s">
        <v>17</v>
      </c>
      <c r="E29" s="11" t="e">
        <f>E28/E27</f>
        <v>#DIV/0!</v>
      </c>
      <c r="F29" s="4" t="e">
        <f t="shared" ref="F29" si="43">F28/F27</f>
        <v>#DIV/0!</v>
      </c>
      <c r="G29" s="4" t="e">
        <f t="shared" ref="G29" si="44">G28/G27</f>
        <v>#DIV/0!</v>
      </c>
      <c r="H29" s="4">
        <f t="shared" ref="H29" si="45">H28/H27</f>
        <v>0</v>
      </c>
      <c r="I29" s="4" t="e">
        <f t="shared" ref="I29" si="46">I28/I27</f>
        <v>#DIV/0!</v>
      </c>
      <c r="J29" s="6" t="e">
        <f t="shared" ref="J29" si="47">J28/J27</f>
        <v>#DIV/0!</v>
      </c>
      <c r="K29" s="8">
        <f t="shared" ref="K29" si="48">K28/K27</f>
        <v>0</v>
      </c>
      <c r="L29" s="4">
        <f t="shared" ref="L29" si="49">L28/L27</f>
        <v>0</v>
      </c>
      <c r="M29" s="4">
        <f t="shared" ref="M29" si="50">M28/M27</f>
        <v>0</v>
      </c>
      <c r="N29" s="4">
        <f t="shared" ref="N29" si="51">N28/N27</f>
        <v>0</v>
      </c>
      <c r="O29" s="4">
        <f t="shared" ref="O29" si="52">O28/O27</f>
        <v>0</v>
      </c>
      <c r="P29" s="16">
        <f t="shared" ref="P29" si="53">P28/P27</f>
        <v>0</v>
      </c>
      <c r="Q29" s="26">
        <f t="shared" ref="Q29" si="54">Q28/Q27</f>
        <v>0</v>
      </c>
      <c r="R29" s="59"/>
      <c r="S29"/>
    </row>
    <row r="30" spans="1:19" x14ac:dyDescent="0.4">
      <c r="A30" s="447"/>
      <c r="B30" s="450"/>
      <c r="C30" s="434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>
        <f>SUM($E28:H28)/SUM($E27:H27)</f>
        <v>0</v>
      </c>
      <c r="I30" s="5">
        <f>SUM($E28:I28)/SUM($E27:I27)</f>
        <v>0</v>
      </c>
      <c r="J30" s="13">
        <f>SUM($E28:J28)/SUM($E27:J27)</f>
        <v>0</v>
      </c>
      <c r="K30" s="9">
        <f>SUM($E28:K28)/SUM($E27:K27)</f>
        <v>0</v>
      </c>
      <c r="L30" s="5">
        <f>SUM($E28:L28)/SUM($E27:L27)</f>
        <v>0</v>
      </c>
      <c r="M30" s="5">
        <f>SUM($E28:M28)/SUM($E27:M27)</f>
        <v>0</v>
      </c>
      <c r="N30" s="5">
        <f>SUM($E28:N28)/SUM($E27:N27)</f>
        <v>0</v>
      </c>
      <c r="O30" s="5">
        <f>SUM($E28:O28)/SUM($E27:O27)</f>
        <v>0</v>
      </c>
      <c r="P30" s="17">
        <f>SUM($E28:P28)/SUM($E27:P27)</f>
        <v>0</v>
      </c>
      <c r="Q30" s="27" t="s">
        <v>22</v>
      </c>
      <c r="R30" s="59"/>
      <c r="S30"/>
    </row>
    <row r="31" spans="1:19" x14ac:dyDescent="0.4">
      <c r="A31" s="447"/>
      <c r="B31" s="450"/>
      <c r="C31" s="452" t="s">
        <v>192</v>
      </c>
      <c r="D31" s="118" t="s">
        <v>13</v>
      </c>
      <c r="E31" s="119">
        <f>SUM(E11,E21)</f>
        <v>0</v>
      </c>
      <c r="F31" s="120">
        <f t="shared" ref="F31:P31" si="55">SUM(F11,F21)</f>
        <v>0</v>
      </c>
      <c r="G31" s="120">
        <f t="shared" si="55"/>
        <v>0</v>
      </c>
      <c r="H31" s="120">
        <f t="shared" si="55"/>
        <v>2100</v>
      </c>
      <c r="I31" s="120">
        <f t="shared" si="55"/>
        <v>0</v>
      </c>
      <c r="J31" s="121">
        <f t="shared" si="55"/>
        <v>0</v>
      </c>
      <c r="K31" s="122">
        <f t="shared" si="55"/>
        <v>6300</v>
      </c>
      <c r="L31" s="120">
        <f t="shared" si="55"/>
        <v>6300</v>
      </c>
      <c r="M31" s="120">
        <f t="shared" si="55"/>
        <v>6300</v>
      </c>
      <c r="N31" s="120">
        <f t="shared" si="55"/>
        <v>6300</v>
      </c>
      <c r="O31" s="120">
        <f t="shared" si="55"/>
        <v>6300</v>
      </c>
      <c r="P31" s="123">
        <f t="shared" si="55"/>
        <v>12900</v>
      </c>
      <c r="Q31" s="124">
        <f>SUM(E31:P31)</f>
        <v>46500</v>
      </c>
      <c r="R31" s="465"/>
      <c r="S31" s="68" t="str">
        <f>IFERROR(Q31/R31,"")</f>
        <v/>
      </c>
    </row>
    <row r="32" spans="1:19" x14ac:dyDescent="0.4">
      <c r="A32" s="447"/>
      <c r="B32" s="450"/>
      <c r="C32" s="453"/>
      <c r="D32" s="140" t="s">
        <v>14</v>
      </c>
      <c r="E32" s="146"/>
      <c r="F32" s="141"/>
      <c r="G32" s="141"/>
      <c r="H32" s="141"/>
      <c r="I32" s="141"/>
      <c r="J32" s="142"/>
      <c r="K32" s="143"/>
      <c r="L32" s="141"/>
      <c r="M32" s="141"/>
      <c r="N32" s="141"/>
      <c r="O32" s="141"/>
      <c r="P32" s="144"/>
      <c r="Q32" s="145">
        <f>SUM(E32:P32)</f>
        <v>0</v>
      </c>
      <c r="R32" s="471"/>
      <c r="S32" s="70" t="str">
        <f>IFERROR(Q32/R31,"")</f>
        <v/>
      </c>
    </row>
    <row r="33" spans="1:19" x14ac:dyDescent="0.4">
      <c r="A33" s="447"/>
      <c r="B33" s="450"/>
      <c r="C33" s="435" t="s">
        <v>16</v>
      </c>
      <c r="D33" s="118" t="s">
        <v>13</v>
      </c>
      <c r="E33" s="119">
        <f>E27-E31</f>
        <v>0</v>
      </c>
      <c r="F33" s="120">
        <f t="shared" ref="F33:P33" si="56">F27-F31</f>
        <v>0</v>
      </c>
      <c r="G33" s="120">
        <f t="shared" si="56"/>
        <v>0</v>
      </c>
      <c r="H33" s="120">
        <f t="shared" si="56"/>
        <v>600</v>
      </c>
      <c r="I33" s="120">
        <f t="shared" si="56"/>
        <v>0</v>
      </c>
      <c r="J33" s="121">
        <f t="shared" si="56"/>
        <v>0</v>
      </c>
      <c r="K33" s="122">
        <f t="shared" si="56"/>
        <v>1800</v>
      </c>
      <c r="L33" s="120">
        <f t="shared" si="56"/>
        <v>1800</v>
      </c>
      <c r="M33" s="120">
        <f t="shared" si="56"/>
        <v>1800</v>
      </c>
      <c r="N33" s="120">
        <f t="shared" si="56"/>
        <v>1800</v>
      </c>
      <c r="O33" s="120">
        <f t="shared" si="56"/>
        <v>1800</v>
      </c>
      <c r="P33" s="123">
        <f t="shared" si="56"/>
        <v>2900</v>
      </c>
      <c r="Q33" s="124">
        <f>SUM(E33:P33)</f>
        <v>12500</v>
      </c>
      <c r="R33" s="465">
        <f>R27-R31</f>
        <v>7</v>
      </c>
      <c r="S33" s="149">
        <f>IFERROR(Q33/R33,"")</f>
        <v>1785.7142857142858</v>
      </c>
    </row>
    <row r="34" spans="1:19" ht="19.5" thickBot="1" x14ac:dyDescent="0.45">
      <c r="A34" s="447"/>
      <c r="B34" s="450"/>
      <c r="C34" s="436"/>
      <c r="D34" s="133" t="s">
        <v>14</v>
      </c>
      <c r="E34" s="134"/>
      <c r="F34" s="135"/>
      <c r="G34" s="135"/>
      <c r="H34" s="135"/>
      <c r="I34" s="135"/>
      <c r="J34" s="136"/>
      <c r="K34" s="137"/>
      <c r="L34" s="135"/>
      <c r="M34" s="135"/>
      <c r="N34" s="135"/>
      <c r="O34" s="135"/>
      <c r="P34" s="138"/>
      <c r="Q34" s="139">
        <f>SUM(E34:P34)</f>
        <v>0</v>
      </c>
      <c r="R34" s="466"/>
      <c r="S34" s="69">
        <f>IFERROR(Q34/R33,"")</f>
        <v>0</v>
      </c>
    </row>
    <row r="35" spans="1:19" x14ac:dyDescent="0.4">
      <c r="A35" s="447"/>
      <c r="B35" s="450"/>
      <c r="C35" s="436"/>
      <c r="D35" s="21" t="s">
        <v>17</v>
      </c>
      <c r="E35" s="11" t="e">
        <f>E34/E33</f>
        <v>#DIV/0!</v>
      </c>
      <c r="F35" s="4" t="e">
        <f t="shared" ref="F35" si="57">F34/F33</f>
        <v>#DIV/0!</v>
      </c>
      <c r="G35" s="4" t="e">
        <f t="shared" ref="G35" si="58">G34/G33</f>
        <v>#DIV/0!</v>
      </c>
      <c r="H35" s="4">
        <f t="shared" ref="H35" si="59">H34/H33</f>
        <v>0</v>
      </c>
      <c r="I35" s="4" t="e">
        <f t="shared" ref="I35" si="60">I34/I33</f>
        <v>#DIV/0!</v>
      </c>
      <c r="J35" s="6" t="e">
        <f t="shared" ref="J35" si="61">J34/J33</f>
        <v>#DIV/0!</v>
      </c>
      <c r="K35" s="8">
        <f t="shared" ref="K35" si="62">K34/K33</f>
        <v>0</v>
      </c>
      <c r="L35" s="4">
        <f t="shared" ref="L35" si="63">L34/L33</f>
        <v>0</v>
      </c>
      <c r="M35" s="4">
        <f t="shared" ref="M35" si="64">M34/M33</f>
        <v>0</v>
      </c>
      <c r="N35" s="4">
        <f t="shared" ref="N35" si="65">N34/N33</f>
        <v>0</v>
      </c>
      <c r="O35" s="4">
        <f t="shared" ref="O35" si="66">O34/O33</f>
        <v>0</v>
      </c>
      <c r="P35" s="16">
        <f t="shared" ref="P35" si="67">P34/P33</f>
        <v>0</v>
      </c>
      <c r="Q35" s="26">
        <f t="shared" ref="Q35" si="68">Q34/Q33</f>
        <v>0</v>
      </c>
    </row>
    <row r="36" spans="1:19" ht="19.5" thickBot="1" x14ac:dyDescent="0.45">
      <c r="A36" s="448"/>
      <c r="B36" s="451"/>
      <c r="C36" s="437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>
        <f>SUM($E34:H34)/SUM($E33:H33)</f>
        <v>0</v>
      </c>
      <c r="I36" s="7">
        <f>SUM($E34:I34)/SUM($E33:I33)</f>
        <v>0</v>
      </c>
      <c r="J36" s="15">
        <f>SUM($E34:J34)/SUM($E33:J33)</f>
        <v>0</v>
      </c>
      <c r="K36" s="10">
        <f>SUM($E34:K34)/SUM($E33:K33)</f>
        <v>0</v>
      </c>
      <c r="L36" s="7">
        <f>SUM($E34:L34)/SUM($E33:L33)</f>
        <v>0</v>
      </c>
      <c r="M36" s="7">
        <f>SUM($E34:M34)/SUM($E33:M33)</f>
        <v>0</v>
      </c>
      <c r="N36" s="7">
        <f>SUM($E34:N34)/SUM($E33:N33)</f>
        <v>0</v>
      </c>
      <c r="O36" s="7">
        <f>SUM($E34:O34)/SUM($E33:O33)</f>
        <v>0</v>
      </c>
      <c r="P36" s="18">
        <f>SUM($E34:P34)/SUM($E33:P33)</f>
        <v>0</v>
      </c>
      <c r="Q36" s="28" t="s">
        <v>22</v>
      </c>
      <c r="R36" s="59"/>
      <c r="S36"/>
    </row>
    <row r="37" spans="1:19" x14ac:dyDescent="0.4">
      <c r="A37" s="19"/>
      <c r="B37" s="429" t="s">
        <v>21</v>
      </c>
      <c r="C37" s="432" t="s">
        <v>15</v>
      </c>
      <c r="D37" s="125" t="s">
        <v>13</v>
      </c>
      <c r="E37" s="126">
        <f>SUM(E7,E17,E27)</f>
        <v>0</v>
      </c>
      <c r="F37" s="127">
        <f t="shared" ref="F37:Q37" si="69">SUM(F7,F17,F27)</f>
        <v>0</v>
      </c>
      <c r="G37" s="128">
        <f t="shared" si="69"/>
        <v>0</v>
      </c>
      <c r="H37" s="127">
        <f t="shared" si="69"/>
        <v>5400</v>
      </c>
      <c r="I37" s="127">
        <f t="shared" si="69"/>
        <v>0</v>
      </c>
      <c r="J37" s="129">
        <f t="shared" si="69"/>
        <v>0</v>
      </c>
      <c r="K37" s="126">
        <f t="shared" si="69"/>
        <v>16200</v>
      </c>
      <c r="L37" s="127">
        <f t="shared" si="69"/>
        <v>16200</v>
      </c>
      <c r="M37" s="128">
        <f t="shared" si="69"/>
        <v>16200</v>
      </c>
      <c r="N37" s="127">
        <f t="shared" si="69"/>
        <v>16200</v>
      </c>
      <c r="O37" s="127">
        <f t="shared" si="69"/>
        <v>16200</v>
      </c>
      <c r="P37" s="129">
        <f t="shared" si="69"/>
        <v>31600</v>
      </c>
      <c r="Q37" s="130">
        <f t="shared" si="69"/>
        <v>118000</v>
      </c>
      <c r="R37" s="465">
        <f>SUM(R7,R17,R27)</f>
        <v>3040</v>
      </c>
      <c r="S37" s="68">
        <f>IFERROR(Q37/R37,"")</f>
        <v>38.815789473684212</v>
      </c>
    </row>
    <row r="38" spans="1:19" ht="19.5" thickBot="1" x14ac:dyDescent="0.45">
      <c r="A38" s="19"/>
      <c r="B38" s="430"/>
      <c r="C38" s="433"/>
      <c r="D38" s="147" t="s">
        <v>14</v>
      </c>
      <c r="E38" s="134">
        <f ca="1">SUM(E8,E18,E28)</f>
        <v>0</v>
      </c>
      <c r="F38" s="135">
        <f t="shared" ref="F38:Q38" ca="1" si="70">SUM(F8,F18,F28)</f>
        <v>0</v>
      </c>
      <c r="G38" s="138">
        <f t="shared" ca="1" si="70"/>
        <v>0</v>
      </c>
      <c r="H38" s="135">
        <f t="shared" ca="1" si="70"/>
        <v>0</v>
      </c>
      <c r="I38" s="135">
        <f t="shared" ca="1" si="70"/>
        <v>0</v>
      </c>
      <c r="J38" s="136">
        <f t="shared" ca="1" si="70"/>
        <v>0</v>
      </c>
      <c r="K38" s="134">
        <f t="shared" ca="1" si="70"/>
        <v>0</v>
      </c>
      <c r="L38" s="135">
        <f t="shared" ca="1" si="70"/>
        <v>0</v>
      </c>
      <c r="M38" s="138">
        <f t="shared" ca="1" si="70"/>
        <v>0</v>
      </c>
      <c r="N38" s="135">
        <f t="shared" ca="1" si="70"/>
        <v>0</v>
      </c>
      <c r="O38" s="135">
        <f t="shared" ca="1" si="70"/>
        <v>0</v>
      </c>
      <c r="P38" s="136">
        <f t="shared" ca="1" si="70"/>
        <v>0</v>
      </c>
      <c r="Q38" s="148">
        <f t="shared" ca="1" si="70"/>
        <v>0</v>
      </c>
      <c r="R38" s="466"/>
      <c r="S38" s="69">
        <f ca="1">IFERROR(Q38/R37,"")</f>
        <v>0</v>
      </c>
    </row>
    <row r="39" spans="1:19" x14ac:dyDescent="0.4">
      <c r="A39" s="19"/>
      <c r="B39" s="430"/>
      <c r="C39" s="433"/>
      <c r="D39" s="24" t="s">
        <v>17</v>
      </c>
      <c r="E39" s="11" t="e">
        <f ca="1">E38/E37</f>
        <v>#DIV/0!</v>
      </c>
      <c r="F39" s="4" t="e">
        <f t="shared" ref="F39" ca="1" si="71">F38/F37</f>
        <v>#DIV/0!</v>
      </c>
      <c r="G39" s="16" t="e">
        <f t="shared" ref="G39" ca="1" si="72">G38/G37</f>
        <v>#DIV/0!</v>
      </c>
      <c r="H39" s="4">
        <f t="shared" ref="H39" ca="1" si="73">H38/H37</f>
        <v>0</v>
      </c>
      <c r="I39" s="4" t="e">
        <f t="shared" ref="I39" ca="1" si="74">I38/I37</f>
        <v>#DIV/0!</v>
      </c>
      <c r="J39" s="6" t="e">
        <f t="shared" ref="J39" ca="1" si="75">J38/J37</f>
        <v>#DIV/0!</v>
      </c>
      <c r="K39" s="11">
        <f t="shared" ref="K39" ca="1" si="76">K38/K37</f>
        <v>0</v>
      </c>
      <c r="L39" s="4">
        <f t="shared" ref="L39" ca="1" si="77">L38/L37</f>
        <v>0</v>
      </c>
      <c r="M39" s="16">
        <f t="shared" ref="M39" ca="1" si="78">M38/M37</f>
        <v>0</v>
      </c>
      <c r="N39" s="4">
        <f t="shared" ref="N39" ca="1" si="79">N38/N37</f>
        <v>0</v>
      </c>
      <c r="O39" s="4">
        <f t="shared" ref="O39" ca="1" si="80">O38/O37</f>
        <v>0</v>
      </c>
      <c r="P39" s="6">
        <f t="shared" ref="P39:Q39" ca="1" si="81">P38/P37</f>
        <v>0</v>
      </c>
      <c r="Q39" s="26">
        <f t="shared" ca="1" si="81"/>
        <v>0</v>
      </c>
    </row>
    <row r="40" spans="1:19" x14ac:dyDescent="0.4">
      <c r="A40" s="19"/>
      <c r="B40" s="430"/>
      <c r="C40" s="434"/>
      <c r="D40" s="25" t="s">
        <v>18</v>
      </c>
      <c r="E40" s="12" t="e">
        <f ca="1">SUM($E38:E38)/SUM($E37:E37)</f>
        <v>#DIV/0!</v>
      </c>
      <c r="F40" s="5" t="e">
        <f ca="1">SUM($E38:F38)/SUM($E37:F37)</f>
        <v>#DIV/0!</v>
      </c>
      <c r="G40" s="17" t="e">
        <f ca="1">SUM($E38:G38)/SUM($E37:G37)</f>
        <v>#DIV/0!</v>
      </c>
      <c r="H40" s="5">
        <f ca="1">SUM($E38:H38)/SUM($E37:H37)</f>
        <v>0</v>
      </c>
      <c r="I40" s="5">
        <f ca="1">SUM($E38:I38)/SUM($E37:I37)</f>
        <v>0</v>
      </c>
      <c r="J40" s="13">
        <f ca="1">SUM($E38:J38)/SUM($E37:J37)</f>
        <v>0</v>
      </c>
      <c r="K40" s="12">
        <f ca="1">SUM($E38:K38)/SUM($E37:K37)</f>
        <v>0</v>
      </c>
      <c r="L40" s="5">
        <f ca="1">SUM($E38:L38)/SUM($E37:L37)</f>
        <v>0</v>
      </c>
      <c r="M40" s="17">
        <f ca="1">SUM($E38:M38)/SUM($E37:M37)</f>
        <v>0</v>
      </c>
      <c r="N40" s="5">
        <f ca="1">SUM($E38:N38)/SUM($E37:N37)</f>
        <v>0</v>
      </c>
      <c r="O40" s="5">
        <f ca="1">SUM($E38:O38)/SUM($E37:O37)</f>
        <v>0</v>
      </c>
      <c r="P40" s="13">
        <f ca="1">SUM($E38:P38)/SUM($E37:P37)</f>
        <v>0</v>
      </c>
      <c r="Q40" s="27" t="s">
        <v>22</v>
      </c>
      <c r="R40" s="59"/>
      <c r="S40"/>
    </row>
    <row r="41" spans="1:19" x14ac:dyDescent="0.4">
      <c r="A41" s="19"/>
      <c r="B41" s="430"/>
      <c r="C41" s="435" t="s">
        <v>16</v>
      </c>
      <c r="D41" s="131" t="s">
        <v>13</v>
      </c>
      <c r="E41" s="112">
        <f>SUM(E13,E23,E33)</f>
        <v>0</v>
      </c>
      <c r="F41" s="113">
        <f t="shared" ref="F41:Q41" si="82">SUM(F13,F23,F33)</f>
        <v>0</v>
      </c>
      <c r="G41" s="116">
        <f t="shared" si="82"/>
        <v>0</v>
      </c>
      <c r="H41" s="113">
        <f t="shared" si="82"/>
        <v>1200</v>
      </c>
      <c r="I41" s="113">
        <f t="shared" si="82"/>
        <v>0</v>
      </c>
      <c r="J41" s="114">
        <f t="shared" si="82"/>
        <v>0</v>
      </c>
      <c r="K41" s="112">
        <f t="shared" si="82"/>
        <v>3600</v>
      </c>
      <c r="L41" s="113">
        <f t="shared" si="82"/>
        <v>3600</v>
      </c>
      <c r="M41" s="116">
        <f t="shared" si="82"/>
        <v>3600</v>
      </c>
      <c r="N41" s="113">
        <f t="shared" si="82"/>
        <v>3600</v>
      </c>
      <c r="O41" s="113">
        <f t="shared" si="82"/>
        <v>3600</v>
      </c>
      <c r="P41" s="114">
        <f t="shared" si="82"/>
        <v>5800</v>
      </c>
      <c r="Q41" s="132">
        <f t="shared" si="82"/>
        <v>25000</v>
      </c>
      <c r="R41" s="465">
        <f>SUM(R13,R23,R33)</f>
        <v>-4180</v>
      </c>
      <c r="S41" s="68">
        <f>IFERROR(Q41/R41,"")</f>
        <v>-5.9808612440191391</v>
      </c>
    </row>
    <row r="42" spans="1:19" ht="19.5" thickBot="1" x14ac:dyDescent="0.45">
      <c r="A42" s="19"/>
      <c r="B42" s="430"/>
      <c r="C42" s="436"/>
      <c r="D42" s="147" t="s">
        <v>14</v>
      </c>
      <c r="E42" s="134">
        <f ca="1">SUM(E14,E24,E34)</f>
        <v>0</v>
      </c>
      <c r="F42" s="135">
        <f t="shared" ref="F42:Q42" ca="1" si="83">SUM(F14,F24,F34)</f>
        <v>0</v>
      </c>
      <c r="G42" s="138">
        <f t="shared" ca="1" si="83"/>
        <v>0</v>
      </c>
      <c r="H42" s="135">
        <f t="shared" ca="1" si="83"/>
        <v>0</v>
      </c>
      <c r="I42" s="135">
        <f t="shared" ca="1" si="83"/>
        <v>0</v>
      </c>
      <c r="J42" s="136">
        <f t="shared" ca="1" si="83"/>
        <v>0</v>
      </c>
      <c r="K42" s="134">
        <f t="shared" ca="1" si="83"/>
        <v>0</v>
      </c>
      <c r="L42" s="135">
        <f t="shared" ca="1" si="83"/>
        <v>0</v>
      </c>
      <c r="M42" s="138">
        <f t="shared" ca="1" si="83"/>
        <v>0</v>
      </c>
      <c r="N42" s="135">
        <f t="shared" ca="1" si="83"/>
        <v>0</v>
      </c>
      <c r="O42" s="135">
        <f t="shared" ca="1" si="83"/>
        <v>0</v>
      </c>
      <c r="P42" s="136">
        <f t="shared" ca="1" si="83"/>
        <v>0</v>
      </c>
      <c r="Q42" s="148">
        <f t="shared" ca="1" si="83"/>
        <v>0</v>
      </c>
      <c r="R42" s="466"/>
      <c r="S42" s="69">
        <f ca="1">IFERROR(Q42/R41,"")</f>
        <v>0</v>
      </c>
    </row>
    <row r="43" spans="1:19" x14ac:dyDescent="0.4">
      <c r="A43" s="19"/>
      <c r="B43" s="430"/>
      <c r="C43" s="436"/>
      <c r="D43" s="24" t="s">
        <v>17</v>
      </c>
      <c r="E43" s="11" t="e">
        <f ca="1">E42/E41</f>
        <v>#DIV/0!</v>
      </c>
      <c r="F43" s="4" t="e">
        <f t="shared" ref="F43" ca="1" si="84">F42/F41</f>
        <v>#DIV/0!</v>
      </c>
      <c r="G43" s="16" t="e">
        <f t="shared" ref="G43" ca="1" si="85">G42/G41</f>
        <v>#DIV/0!</v>
      </c>
      <c r="H43" s="4">
        <f t="shared" ref="H43" ca="1" si="86">H42/H41</f>
        <v>0</v>
      </c>
      <c r="I43" s="4" t="e">
        <f t="shared" ref="I43" ca="1" si="87">I42/I41</f>
        <v>#DIV/0!</v>
      </c>
      <c r="J43" s="6" t="e">
        <f t="shared" ref="J43" ca="1" si="88">J42/J41</f>
        <v>#DIV/0!</v>
      </c>
      <c r="K43" s="11">
        <f t="shared" ref="K43" ca="1" si="89">K42/K41</f>
        <v>0</v>
      </c>
      <c r="L43" s="4">
        <f t="shared" ref="L43" ca="1" si="90">L42/L41</f>
        <v>0</v>
      </c>
      <c r="M43" s="16">
        <f t="shared" ref="M43" ca="1" si="91">M42/M41</f>
        <v>0</v>
      </c>
      <c r="N43" s="4">
        <f t="shared" ref="N43" ca="1" si="92">N42/N41</f>
        <v>0</v>
      </c>
      <c r="O43" s="4">
        <f t="shared" ref="O43" ca="1" si="93">O42/O41</f>
        <v>0</v>
      </c>
      <c r="P43" s="6">
        <f t="shared" ref="P43:Q43" ca="1" si="94">P42/P41</f>
        <v>0</v>
      </c>
      <c r="Q43" s="26">
        <f t="shared" ca="1" si="94"/>
        <v>0</v>
      </c>
    </row>
    <row r="44" spans="1:19" ht="19.5" thickBot="1" x14ac:dyDescent="0.45">
      <c r="A44" s="19"/>
      <c r="B44" s="431"/>
      <c r="C44" s="437"/>
      <c r="D44" s="30" t="s">
        <v>18</v>
      </c>
      <c r="E44" s="14" t="e">
        <f ca="1">SUM($E42:E42)/SUM($E41:E41)</f>
        <v>#DIV/0!</v>
      </c>
      <c r="F44" s="7" t="e">
        <f ca="1">SUM($E42:F42)/SUM($E41:F41)</f>
        <v>#DIV/0!</v>
      </c>
      <c r="G44" s="18" t="e">
        <f ca="1">SUM($E42:G42)/SUM($E41:G41)</f>
        <v>#DIV/0!</v>
      </c>
      <c r="H44" s="7">
        <f ca="1">SUM($E42:H42)/SUM($E41:H41)</f>
        <v>0</v>
      </c>
      <c r="I44" s="7">
        <f ca="1">SUM($E42:I42)/SUM($E41:I41)</f>
        <v>0</v>
      </c>
      <c r="J44" s="15">
        <f ca="1">SUM($E42:J42)/SUM($E41:J41)</f>
        <v>0</v>
      </c>
      <c r="K44" s="14">
        <f ca="1">SUM($E42:K42)/SUM($E41:K41)</f>
        <v>0</v>
      </c>
      <c r="L44" s="7">
        <f ca="1">SUM($E42:L42)/SUM($E41:L41)</f>
        <v>0</v>
      </c>
      <c r="M44" s="18">
        <f ca="1">SUM($E42:M42)/SUM($E41:M41)</f>
        <v>0</v>
      </c>
      <c r="N44" s="7">
        <f ca="1">SUM($E42:N42)/SUM($E41:N41)</f>
        <v>0</v>
      </c>
      <c r="O44" s="7">
        <f ca="1">SUM($E42:O42)/SUM($E41:O41)</f>
        <v>0</v>
      </c>
      <c r="P44" s="15">
        <f ca="1">SUM($E42:P42)/SUM($E41:P41)</f>
        <v>0</v>
      </c>
      <c r="Q44" s="28" t="s">
        <v>22</v>
      </c>
    </row>
    <row r="45" spans="1:19" ht="24.75" thickBot="1" x14ac:dyDescent="0.45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 x14ac:dyDescent="0.45">
      <c r="A46" s="438" t="s">
        <v>35</v>
      </c>
      <c r="B46" s="439"/>
      <c r="C46" s="442" t="s">
        <v>23</v>
      </c>
      <c r="D46" s="443"/>
      <c r="E46" s="428" t="s">
        <v>19</v>
      </c>
      <c r="F46" s="422"/>
      <c r="G46" s="422"/>
      <c r="H46" s="422"/>
      <c r="I46" s="422"/>
      <c r="J46" s="423"/>
      <c r="K46" s="421" t="s">
        <v>20</v>
      </c>
      <c r="L46" s="422"/>
      <c r="M46" s="422"/>
      <c r="N46" s="422"/>
      <c r="O46" s="422"/>
      <c r="P46" s="423"/>
      <c r="Q46" s="29"/>
    </row>
    <row r="47" spans="1:19" ht="19.5" thickBot="1" x14ac:dyDescent="0.45">
      <c r="A47" s="440"/>
      <c r="B47" s="441"/>
      <c r="C47" s="444"/>
      <c r="D47" s="445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 x14ac:dyDescent="0.4">
      <c r="A48" s="424" t="s">
        <v>39</v>
      </c>
      <c r="B48" s="425"/>
      <c r="C48" s="71" t="s">
        <v>31</v>
      </c>
      <c r="D48" s="72" t="s">
        <v>24</v>
      </c>
      <c r="E48" s="93" t="s">
        <v>30</v>
      </c>
      <c r="F48" s="74"/>
      <c r="G48" s="74" t="s">
        <v>29</v>
      </c>
      <c r="H48" s="74" t="s">
        <v>28</v>
      </c>
      <c r="I48" s="74" t="s">
        <v>25</v>
      </c>
      <c r="J48" s="80"/>
      <c r="K48" s="93" t="s">
        <v>40</v>
      </c>
      <c r="L48" s="74"/>
      <c r="M48" s="95"/>
      <c r="N48" s="74" t="s">
        <v>41</v>
      </c>
      <c r="O48" s="74"/>
      <c r="P48" s="80"/>
    </row>
    <row r="49" spans="1:16" ht="39" customHeight="1" x14ac:dyDescent="0.4">
      <c r="A49" s="424"/>
      <c r="B49" s="425"/>
      <c r="C49" s="484" t="str">
        <f>A7</f>
        <v>インド</v>
      </c>
      <c r="D49" s="81" t="s">
        <v>38</v>
      </c>
      <c r="E49" s="82"/>
      <c r="F49" s="83"/>
      <c r="G49" s="83"/>
      <c r="H49" s="83" t="s">
        <v>42</v>
      </c>
      <c r="I49" s="83"/>
      <c r="J49" s="84"/>
      <c r="K49" s="82" t="s">
        <v>43</v>
      </c>
      <c r="L49" s="83" t="s">
        <v>43</v>
      </c>
      <c r="M49" s="83" t="s">
        <v>43</v>
      </c>
      <c r="N49" s="83" t="s">
        <v>43</v>
      </c>
      <c r="O49" s="83" t="s">
        <v>43</v>
      </c>
      <c r="P49" s="84" t="s">
        <v>44</v>
      </c>
    </row>
    <row r="50" spans="1:16" ht="39" customHeight="1" x14ac:dyDescent="0.4">
      <c r="A50" s="424"/>
      <c r="B50" s="425"/>
      <c r="C50" s="485"/>
      <c r="D50" s="85" t="s">
        <v>36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 x14ac:dyDescent="0.45">
      <c r="A51" s="424"/>
      <c r="B51" s="425"/>
      <c r="C51" s="151" t="str">
        <f>B7</f>
        <v>MOBILON
スパンデックス</v>
      </c>
      <c r="D51" s="89" t="s">
        <v>37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 x14ac:dyDescent="0.4">
      <c r="A52" s="424"/>
      <c r="B52" s="425"/>
      <c r="C52" s="71" t="s">
        <v>32</v>
      </c>
      <c r="D52" s="72" t="s">
        <v>24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 x14ac:dyDescent="0.4">
      <c r="A53" s="424"/>
      <c r="B53" s="425"/>
      <c r="C53" s="484" t="str">
        <f>A17</f>
        <v>国内外
産業資材</v>
      </c>
      <c r="D53" s="81" t="s">
        <v>38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 x14ac:dyDescent="0.4">
      <c r="A54" s="424"/>
      <c r="B54" s="425"/>
      <c r="C54" s="485"/>
      <c r="D54" s="85" t="s">
        <v>36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 x14ac:dyDescent="0.45">
      <c r="A55" s="424"/>
      <c r="B55" s="425"/>
      <c r="C55" s="151" t="str">
        <f>B17</f>
        <v>複合材
(CFRP)</v>
      </c>
      <c r="D55" s="89" t="s">
        <v>37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 x14ac:dyDescent="0.4">
      <c r="A56" s="424"/>
      <c r="B56" s="425"/>
      <c r="C56" s="71" t="s">
        <v>33</v>
      </c>
      <c r="D56" s="72" t="s">
        <v>24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80"/>
    </row>
    <row r="57" spans="1:16" ht="39" customHeight="1" x14ac:dyDescent="0.4">
      <c r="A57" s="424"/>
      <c r="B57" s="425"/>
      <c r="C57" s="484"/>
      <c r="D57" s="81" t="s">
        <v>38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 x14ac:dyDescent="0.4">
      <c r="A58" s="424"/>
      <c r="B58" s="425"/>
      <c r="C58" s="485"/>
      <c r="D58" s="85" t="s">
        <v>36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 x14ac:dyDescent="0.45">
      <c r="A59" s="426"/>
      <c r="B59" s="427"/>
      <c r="C59" s="151"/>
      <c r="D59" s="89" t="s">
        <v>37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C21:C22"/>
    <mergeCell ref="C23:C26"/>
    <mergeCell ref="A48:B59"/>
    <mergeCell ref="B37:B44"/>
    <mergeCell ref="C41:C44"/>
    <mergeCell ref="C37:C40"/>
    <mergeCell ref="Q5:Q6"/>
    <mergeCell ref="C13:C16"/>
    <mergeCell ref="C5:D6"/>
    <mergeCell ref="B7:B16"/>
    <mergeCell ref="A7:A16"/>
    <mergeCell ref="C7:C10"/>
    <mergeCell ref="C11:C12"/>
    <mergeCell ref="E5:J5"/>
    <mergeCell ref="C1:E1"/>
    <mergeCell ref="B1:B3"/>
    <mergeCell ref="A1:A3"/>
    <mergeCell ref="E46:J46"/>
    <mergeCell ref="K46:P46"/>
    <mergeCell ref="C46:D47"/>
    <mergeCell ref="A46:B47"/>
    <mergeCell ref="K5:P5"/>
    <mergeCell ref="A27:A36"/>
    <mergeCell ref="B27:B36"/>
    <mergeCell ref="C27:C30"/>
    <mergeCell ref="C31:C32"/>
    <mergeCell ref="C33:C36"/>
    <mergeCell ref="A17:A26"/>
    <mergeCell ref="B17:B26"/>
    <mergeCell ref="C17:C20"/>
  </mergeCells>
  <phoneticPr fontId="2"/>
  <pageMargins left="0.7" right="0.7" top="0.75" bottom="0.75" header="0.3" footer="0.3"/>
  <ignoredErrors>
    <ignoredError sqref="F10:O10 F16:O16" formulaRange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4314D-E023-4020-9D80-60BFA2B14C13}">
  <sheetPr>
    <tabColor theme="7" tint="0.79998168889431442"/>
  </sheetPr>
  <dimension ref="A1:R400"/>
  <sheetViews>
    <sheetView workbookViewId="0">
      <selection activeCell="E14" sqref="E14:P14"/>
    </sheetView>
  </sheetViews>
  <sheetFormatPr defaultColWidth="9" defaultRowHeight="18.75" x14ac:dyDescent="0.4"/>
  <cols>
    <col min="1" max="2" width="15.875" style="162" customWidth="1"/>
    <col min="3" max="4" width="15.875" style="160" customWidth="1"/>
    <col min="5" max="5" width="9" style="208"/>
    <col min="6" max="6" width="15.625" style="160" customWidth="1"/>
    <col min="7" max="7" width="15.625" style="161" customWidth="1"/>
    <col min="8" max="8" width="9" style="162"/>
    <col min="9" max="9" width="5.25" style="168" bestFit="1" customWidth="1"/>
    <col min="10" max="10" width="14.5" style="164" customWidth="1"/>
    <col min="11" max="11" width="14.5" style="165" customWidth="1"/>
    <col min="12" max="12" width="5.25" style="165" bestFit="1" customWidth="1"/>
    <col min="13" max="15" width="14.5" style="165" customWidth="1"/>
    <col min="16" max="16" width="7.125" style="167" bestFit="1" customWidth="1"/>
    <col min="17" max="19" width="15.625" style="162" customWidth="1"/>
    <col min="20" max="16384" width="9" style="162"/>
  </cols>
  <sheetData>
    <row r="1" spans="1:18" ht="18.75" customHeight="1" x14ac:dyDescent="0.4">
      <c r="A1" s="492" t="s">
        <v>218</v>
      </c>
      <c r="B1" s="492"/>
      <c r="C1" s="492"/>
      <c r="D1" s="492"/>
      <c r="E1" s="492"/>
      <c r="I1" s="163" t="s">
        <v>219</v>
      </c>
      <c r="M1" s="163"/>
      <c r="N1" s="166"/>
      <c r="O1" s="166"/>
    </row>
    <row r="2" spans="1:18" ht="18.75" customHeight="1" x14ac:dyDescent="0.4">
      <c r="A2" s="492"/>
      <c r="B2" s="492"/>
      <c r="C2" s="492"/>
      <c r="D2" s="492"/>
      <c r="E2" s="492"/>
      <c r="J2" s="169" t="s">
        <v>220</v>
      </c>
      <c r="K2" s="169" t="s">
        <v>221</v>
      </c>
      <c r="L2" s="166"/>
      <c r="M2" s="170" t="s">
        <v>222</v>
      </c>
      <c r="N2" s="170" t="s">
        <v>223</v>
      </c>
      <c r="O2" s="170" t="s">
        <v>224</v>
      </c>
      <c r="P2" s="171" t="s">
        <v>225</v>
      </c>
    </row>
    <row r="3" spans="1:18" ht="18.75" customHeight="1" x14ac:dyDescent="0.4">
      <c r="A3" s="172" t="s">
        <v>226</v>
      </c>
      <c r="B3" s="173"/>
      <c r="C3" s="173"/>
      <c r="D3" s="173"/>
      <c r="E3" s="173"/>
      <c r="F3" s="174"/>
      <c r="G3" s="175"/>
      <c r="H3" s="175"/>
      <c r="I3" s="176"/>
      <c r="J3" s="169">
        <v>0.5</v>
      </c>
      <c r="K3" s="169">
        <v>-0.5</v>
      </c>
      <c r="L3" s="177"/>
      <c r="M3" s="178" t="str">
        <f>新規2!A7</f>
        <v>インド</v>
      </c>
      <c r="N3" s="179" t="str">
        <f>新規2!A17</f>
        <v>国内外
産業資材</v>
      </c>
      <c r="O3" s="179"/>
      <c r="P3" s="171">
        <v>0.6</v>
      </c>
    </row>
    <row r="4" spans="1:18" x14ac:dyDescent="0.4">
      <c r="A4" s="180" t="s">
        <v>227</v>
      </c>
      <c r="B4" s="162" t="s">
        <v>228</v>
      </c>
      <c r="C4" s="181" t="s">
        <v>227</v>
      </c>
      <c r="D4" s="182" t="s">
        <v>227</v>
      </c>
      <c r="E4" s="183" t="s">
        <v>227</v>
      </c>
      <c r="F4" s="181" t="s">
        <v>227</v>
      </c>
      <c r="G4" s="184" t="s">
        <v>227</v>
      </c>
      <c r="H4" s="183" t="s">
        <v>227</v>
      </c>
      <c r="I4" s="185"/>
      <c r="J4" s="186" t="s">
        <v>230</v>
      </c>
      <c r="K4" s="187"/>
      <c r="L4" s="188"/>
      <c r="M4" s="186" t="s">
        <v>229</v>
      </c>
      <c r="N4" s="187"/>
      <c r="O4" s="185"/>
      <c r="P4" s="187"/>
    </row>
    <row r="5" spans="1:18" x14ac:dyDescent="0.4">
      <c r="A5" s="175" t="s">
        <v>231</v>
      </c>
      <c r="B5" s="175" t="s">
        <v>232</v>
      </c>
      <c r="C5" s="189" t="s">
        <v>233</v>
      </c>
      <c r="D5" s="174" t="s">
        <v>234</v>
      </c>
      <c r="E5" s="190" t="s">
        <v>235</v>
      </c>
      <c r="F5" s="189" t="s">
        <v>236</v>
      </c>
      <c r="G5" s="191" t="s">
        <v>237</v>
      </c>
      <c r="H5" s="192" t="s">
        <v>238</v>
      </c>
      <c r="I5" s="193" t="s">
        <v>239</v>
      </c>
      <c r="J5" s="194" t="s">
        <v>240</v>
      </c>
      <c r="K5" s="195" t="s">
        <v>241</v>
      </c>
      <c r="L5" s="196" t="s">
        <v>239</v>
      </c>
      <c r="M5" s="197" t="s">
        <v>242</v>
      </c>
      <c r="N5" s="195" t="s">
        <v>243</v>
      </c>
      <c r="O5" s="196" t="s">
        <v>244</v>
      </c>
      <c r="P5" s="198" t="s">
        <v>245</v>
      </c>
    </row>
    <row r="6" spans="1:18" x14ac:dyDescent="0.4">
      <c r="C6" s="199"/>
      <c r="D6" s="200"/>
      <c r="E6" s="201"/>
      <c r="F6" s="199"/>
      <c r="H6" s="202"/>
      <c r="I6" s="185" t="str">
        <f>IF(H6="","",IF(H6="JPY","",IF($H6="USD",4, IF(H6="EUR",7,IF(H6="CNY",47,IF(H6="HKD",34))))))</f>
        <v/>
      </c>
      <c r="J6" s="203" t="str">
        <f>IF($H6="USD",IF(OR($I6="",$I6="-"),"",VLOOKUP($G6,為替!$A:$AX,$I6,FALSE))+$J$3,IF(OR($I6="",$I6="-"),"",VLOOKUP($G6,為替!$A:$AX,$I6,FALSE)))</f>
        <v/>
      </c>
      <c r="K6" s="204" t="str">
        <f>IF($H6="JPY",$F6,IF($H6="","",$F6*$J6))</f>
        <v/>
      </c>
      <c r="L6" s="188" t="str">
        <f>IF(H6="","",IF(H6="JPY","",IF($H6="USD",3, IF(H6="EUR",6,IF(H6="CNY",46,IF(H6="HKD",33))))))</f>
        <v/>
      </c>
      <c r="M6" s="203" t="str">
        <f>IF($H6="USD",IF(OR($L6="",$L6="-"),"",VLOOKUP($G6,為替!$A:$AX,$L6,FALSE))+$K$3,IF(OR($L6="",$L6="-"),"",VLOOKUP($G6,為替!$A:$AX,$L6,FALSE)))</f>
        <v/>
      </c>
      <c r="N6" s="204" t="str">
        <f>IF($E6="JPY",($C6+$D6),IF($E6="","",($C6+$D6)*$M6))</f>
        <v/>
      </c>
      <c r="O6" s="205" t="str">
        <f t="shared" ref="O6:O69" si="0">IF(OR(K6="",N6=""),"",K6-N6)</f>
        <v/>
      </c>
      <c r="P6" s="206" t="str">
        <f>IF(OR(K6="",O6=""),"",O6/K6)</f>
        <v/>
      </c>
    </row>
    <row r="7" spans="1:18" x14ac:dyDescent="0.4">
      <c r="C7" s="199"/>
      <c r="D7" s="200"/>
      <c r="E7" s="201"/>
      <c r="F7" s="199"/>
      <c r="H7" s="202"/>
      <c r="I7" s="185" t="str">
        <f t="shared" ref="I7:I70" si="1">IF(H7="","",IF(H7="JPY","",IF($H7="USD",4, IF(H7="EUR",7,IF(H7="CNY",47,IF(H7="HKD",34))))))</f>
        <v/>
      </c>
      <c r="J7" s="203" t="str">
        <f>IF($H7="USD",IF(OR($I7="",$I7="-"),"",VLOOKUP($G7,為替!$A:$AX,$I7,FALSE))+$J$3,IF(OR($I7="",$I7="-"),"",VLOOKUP($G7,為替!$A:$AX,$I7,FALSE)))</f>
        <v/>
      </c>
      <c r="K7" s="204" t="str">
        <f t="shared" ref="K7:K70" si="2">IF($H7="JPY",$F7,IF($H7="","",$F7*$J7))</f>
        <v/>
      </c>
      <c r="L7" s="188" t="str">
        <f t="shared" ref="L7:L70" si="3">IF(H7="","",IF(H7="JPY","",IF($H7="USD",3, IF(H7="EUR",6,IF(H7="CNY",46,IF(H7="HKD",33))))))</f>
        <v/>
      </c>
      <c r="M7" s="203" t="str">
        <f>IF($H7="USD",IF(OR($L7="",$L7="-"),"",VLOOKUP($G7,為替!$A:$AX,$L7,FALSE))+$K$3,IF(OR($L7="",$L7="-"),"",VLOOKUP($G7,為替!$A:$AX,$L7,FALSE)))</f>
        <v/>
      </c>
      <c r="N7" s="204" t="str">
        <f t="shared" ref="N7:N70" si="4">IF($E7="JPY",($C7+$D7),IF($E7="","",($C7+$D7)*$M7))</f>
        <v/>
      </c>
      <c r="O7" s="205" t="str">
        <f t="shared" si="0"/>
        <v/>
      </c>
      <c r="P7" s="206" t="str">
        <f t="shared" ref="P7:P70" si="5">IF(OR(K7="",O7=""),"",O7/K7)</f>
        <v/>
      </c>
      <c r="R7" s="207"/>
    </row>
    <row r="8" spans="1:18" x14ac:dyDescent="0.4">
      <c r="C8" s="199"/>
      <c r="D8" s="200"/>
      <c r="E8" s="201"/>
      <c r="F8" s="199"/>
      <c r="H8" s="202"/>
      <c r="I8" s="185" t="str">
        <f t="shared" si="1"/>
        <v/>
      </c>
      <c r="J8" s="203" t="str">
        <f>IF($H8="USD",IF(OR($I8="",$I8="-"),"",VLOOKUP($G8,為替!$A:$AX,$I8,FALSE))+$J$3,IF(OR($I8="",$I8="-"),"",VLOOKUP($G8,為替!$A:$AX,$I8,FALSE)))</f>
        <v/>
      </c>
      <c r="K8" s="204" t="str">
        <f t="shared" si="2"/>
        <v/>
      </c>
      <c r="L8" s="188" t="str">
        <f t="shared" si="3"/>
        <v/>
      </c>
      <c r="M8" s="203" t="str">
        <f>IF($H8="USD",IF(OR($L8="",$L8="-"),"",VLOOKUP($G8,為替!$A:$AX,$L8,FALSE))+$K$3,IF(OR($L8="",$L8="-"),"",VLOOKUP($G8,為替!$A:$AX,$L8,FALSE)))</f>
        <v/>
      </c>
      <c r="N8" s="204" t="str">
        <f t="shared" si="4"/>
        <v/>
      </c>
      <c r="O8" s="205" t="str">
        <f t="shared" si="0"/>
        <v/>
      </c>
      <c r="P8" s="206" t="str">
        <f t="shared" si="5"/>
        <v/>
      </c>
    </row>
    <row r="9" spans="1:18" x14ac:dyDescent="0.4">
      <c r="C9" s="199"/>
      <c r="D9" s="200"/>
      <c r="E9" s="201"/>
      <c r="F9" s="199"/>
      <c r="H9" s="202"/>
      <c r="I9" s="185" t="str">
        <f t="shared" si="1"/>
        <v/>
      </c>
      <c r="J9" s="203" t="str">
        <f>IF($H9="USD",IF(OR($I9="",$I9="-"),"",VLOOKUP($G9,為替!$A:$AX,$I9,FALSE))+$J$3,IF(OR($I9="",$I9="-"),"",VLOOKUP($G9,為替!$A:$AX,$I9,FALSE)))</f>
        <v/>
      </c>
      <c r="K9" s="204" t="str">
        <f t="shared" si="2"/>
        <v/>
      </c>
      <c r="L9" s="188" t="str">
        <f t="shared" si="3"/>
        <v/>
      </c>
      <c r="M9" s="203" t="str">
        <f>IF($H9="USD",IF(OR($L9="",$L9="-"),"",VLOOKUP($G9,為替!$A:$AX,$L9,FALSE))+$K$3,IF(OR($L9="",$L9="-"),"",VLOOKUP($G9,為替!$A:$AX,$L9,FALSE)))</f>
        <v/>
      </c>
      <c r="N9" s="204" t="str">
        <f t="shared" si="4"/>
        <v/>
      </c>
      <c r="O9" s="205" t="str">
        <f t="shared" si="0"/>
        <v/>
      </c>
      <c r="P9" s="206" t="str">
        <f t="shared" si="5"/>
        <v/>
      </c>
    </row>
    <row r="10" spans="1:18" x14ac:dyDescent="0.4">
      <c r="C10" s="199"/>
      <c r="D10" s="200"/>
      <c r="E10" s="201"/>
      <c r="F10" s="199"/>
      <c r="H10" s="202"/>
      <c r="I10" s="185" t="str">
        <f t="shared" si="1"/>
        <v/>
      </c>
      <c r="J10" s="203" t="str">
        <f>IF($H10="USD",IF(OR($I10="",$I10="-"),"",VLOOKUP($G10,為替!$A:$AX,$I10,FALSE))+$J$3,IF(OR($I10="",$I10="-"),"",VLOOKUP($G10,為替!$A:$AX,$I10,FALSE)))</f>
        <v/>
      </c>
      <c r="K10" s="204" t="str">
        <f t="shared" si="2"/>
        <v/>
      </c>
      <c r="L10" s="188" t="str">
        <f t="shared" si="3"/>
        <v/>
      </c>
      <c r="M10" s="203" t="str">
        <f>IF($H10="USD",IF(OR($L10="",$L10="-"),"",VLOOKUP($G10,為替!$A:$AX,$L10,FALSE))+$K$3,IF(OR($L10="",$L10="-"),"",VLOOKUP($G10,為替!$A:$AX,$L10,FALSE)))</f>
        <v/>
      </c>
      <c r="N10" s="204" t="str">
        <f t="shared" si="4"/>
        <v/>
      </c>
      <c r="O10" s="205" t="str">
        <f t="shared" si="0"/>
        <v/>
      </c>
      <c r="P10" s="206" t="str">
        <f t="shared" si="5"/>
        <v/>
      </c>
    </row>
    <row r="11" spans="1:18" x14ac:dyDescent="0.4">
      <c r="C11" s="199"/>
      <c r="D11" s="200"/>
      <c r="E11" s="201"/>
      <c r="F11" s="199"/>
      <c r="H11" s="202"/>
      <c r="I11" s="185" t="str">
        <f t="shared" si="1"/>
        <v/>
      </c>
      <c r="J11" s="203" t="str">
        <f>IF($H11="USD",IF(OR($I11="",$I11="-"),"",VLOOKUP($G11,為替!$A:$AX,$I11,FALSE))+$J$3,IF(OR($I11="",$I11="-"),"",VLOOKUP($G11,為替!$A:$AX,$I11,FALSE)))</f>
        <v/>
      </c>
      <c r="K11" s="204" t="str">
        <f t="shared" si="2"/>
        <v/>
      </c>
      <c r="L11" s="188" t="str">
        <f t="shared" si="3"/>
        <v/>
      </c>
      <c r="M11" s="203" t="str">
        <f>IF($H11="USD",IF(OR($L11="",$L11="-"),"",VLOOKUP($G11,為替!$A:$AX,$L11,FALSE))+$K$3,IF(OR($L11="",$L11="-"),"",VLOOKUP($G11,為替!$A:$AX,$L11,FALSE)))</f>
        <v/>
      </c>
      <c r="N11" s="204" t="str">
        <f t="shared" si="4"/>
        <v/>
      </c>
      <c r="O11" s="205" t="str">
        <f t="shared" si="0"/>
        <v/>
      </c>
      <c r="P11" s="206" t="str">
        <f t="shared" si="5"/>
        <v/>
      </c>
    </row>
    <row r="12" spans="1:18" x14ac:dyDescent="0.4">
      <c r="C12" s="199"/>
      <c r="D12" s="200"/>
      <c r="E12" s="201"/>
      <c r="F12" s="199"/>
      <c r="H12" s="202"/>
      <c r="I12" s="185" t="str">
        <f t="shared" si="1"/>
        <v/>
      </c>
      <c r="J12" s="203" t="str">
        <f>IF($H12="USD",IF(OR($I12="",$I12="-"),"",VLOOKUP($G12,為替!$A:$AX,$I12,FALSE))+$J$3,IF(OR($I12="",$I12="-"),"",VLOOKUP($G12,為替!$A:$AX,$I12,FALSE)))</f>
        <v/>
      </c>
      <c r="K12" s="204" t="str">
        <f t="shared" si="2"/>
        <v/>
      </c>
      <c r="L12" s="188" t="str">
        <f t="shared" si="3"/>
        <v/>
      </c>
      <c r="M12" s="203" t="str">
        <f>IF($H12="USD",IF(OR($L12="",$L12="-"),"",VLOOKUP($G12,為替!$A:$AX,$L12,FALSE))+$K$3,IF(OR($L12="",$L12="-"),"",VLOOKUP($G12,為替!$A:$AX,$L12,FALSE)))</f>
        <v/>
      </c>
      <c r="N12" s="204" t="str">
        <f t="shared" si="4"/>
        <v/>
      </c>
      <c r="O12" s="205" t="str">
        <f t="shared" si="0"/>
        <v/>
      </c>
      <c r="P12" s="206" t="str">
        <f t="shared" si="5"/>
        <v/>
      </c>
    </row>
    <row r="13" spans="1:18" x14ac:dyDescent="0.4">
      <c r="C13" s="199"/>
      <c r="D13" s="200"/>
      <c r="E13" s="201"/>
      <c r="F13" s="199"/>
      <c r="H13" s="202"/>
      <c r="I13" s="185" t="str">
        <f t="shared" si="1"/>
        <v/>
      </c>
      <c r="J13" s="203" t="str">
        <f>IF($H13="USD",IF(OR($I13="",$I13="-"),"",VLOOKUP($G13,為替!$A:$AX,$I13,FALSE))+$J$3,IF(OR($I13="",$I13="-"),"",VLOOKUP($G13,為替!$A:$AX,$I13,FALSE)))</f>
        <v/>
      </c>
      <c r="K13" s="204" t="str">
        <f t="shared" si="2"/>
        <v/>
      </c>
      <c r="L13" s="188" t="str">
        <f t="shared" si="3"/>
        <v/>
      </c>
      <c r="M13" s="203" t="str">
        <f>IF($H13="USD",IF(OR($L13="",$L13="-"),"",VLOOKUP($G13,為替!$A:$AX,$L13,FALSE))+$K$3,IF(OR($L13="",$L13="-"),"",VLOOKUP($G13,為替!$A:$AX,$L13,FALSE)))</f>
        <v/>
      </c>
      <c r="N13" s="204" t="str">
        <f t="shared" si="4"/>
        <v/>
      </c>
      <c r="O13" s="205" t="str">
        <f t="shared" si="0"/>
        <v/>
      </c>
      <c r="P13" s="206" t="str">
        <f t="shared" si="5"/>
        <v/>
      </c>
    </row>
    <row r="14" spans="1:18" x14ac:dyDescent="0.4">
      <c r="C14" s="199"/>
      <c r="D14" s="200"/>
      <c r="E14" s="201"/>
      <c r="F14" s="199"/>
      <c r="H14" s="202"/>
      <c r="I14" s="185" t="str">
        <f t="shared" si="1"/>
        <v/>
      </c>
      <c r="J14" s="203" t="str">
        <f>IF($H14="USD",IF(OR($I14="",$I14="-"),"",VLOOKUP($G14,為替!$A:$AX,$I14,FALSE))+$J$3,IF(OR($I14="",$I14="-"),"",VLOOKUP($G14,為替!$A:$AX,$I14,FALSE)))</f>
        <v/>
      </c>
      <c r="K14" s="204" t="str">
        <f t="shared" si="2"/>
        <v/>
      </c>
      <c r="L14" s="188" t="str">
        <f t="shared" si="3"/>
        <v/>
      </c>
      <c r="M14" s="203" t="str">
        <f>IF($H14="USD",IF(OR($L14="",$L14="-"),"",VLOOKUP($G14,為替!$A:$AX,$L14,FALSE))+$K$3,IF(OR($L14="",$L14="-"),"",VLOOKUP($G14,為替!$A:$AX,$L14,FALSE)))</f>
        <v/>
      </c>
      <c r="N14" s="204" t="str">
        <f t="shared" si="4"/>
        <v/>
      </c>
      <c r="O14" s="205" t="str">
        <f t="shared" si="0"/>
        <v/>
      </c>
      <c r="P14" s="206" t="str">
        <f t="shared" si="5"/>
        <v/>
      </c>
    </row>
    <row r="15" spans="1:18" x14ac:dyDescent="0.4">
      <c r="C15" s="199"/>
      <c r="D15" s="200"/>
      <c r="E15" s="201"/>
      <c r="F15" s="199"/>
      <c r="H15" s="202"/>
      <c r="I15" s="185" t="str">
        <f t="shared" si="1"/>
        <v/>
      </c>
      <c r="J15" s="203" t="str">
        <f>IF($H15="USD",IF(OR($I15="",$I15="-"),"",VLOOKUP($G15,為替!$A:$AX,$I15,FALSE))+$J$3,IF(OR($I15="",$I15="-"),"",VLOOKUP($G15,為替!$A:$AX,$I15,FALSE)))</f>
        <v/>
      </c>
      <c r="K15" s="204" t="str">
        <f t="shared" si="2"/>
        <v/>
      </c>
      <c r="L15" s="188" t="str">
        <f t="shared" si="3"/>
        <v/>
      </c>
      <c r="M15" s="203" t="str">
        <f>IF($H15="USD",IF(OR($L15="",$L15="-"),"",VLOOKUP($G15,為替!$A:$AX,$L15,FALSE))+$K$3,IF(OR($L15="",$L15="-"),"",VLOOKUP($G15,為替!$A:$AX,$L15,FALSE)))</f>
        <v/>
      </c>
      <c r="N15" s="204" t="str">
        <f t="shared" si="4"/>
        <v/>
      </c>
      <c r="O15" s="205" t="str">
        <f t="shared" si="0"/>
        <v/>
      </c>
      <c r="P15" s="206" t="str">
        <f t="shared" si="5"/>
        <v/>
      </c>
    </row>
    <row r="16" spans="1:18" x14ac:dyDescent="0.4">
      <c r="C16" s="199"/>
      <c r="D16" s="200"/>
      <c r="E16" s="201"/>
      <c r="F16" s="199"/>
      <c r="H16" s="202"/>
      <c r="I16" s="185" t="str">
        <f t="shared" si="1"/>
        <v/>
      </c>
      <c r="J16" s="203" t="str">
        <f>IF($H16="USD",IF(OR($I16="",$I16="-"),"",VLOOKUP($G16,為替!$A:$AX,$I16,FALSE))+$J$3,IF(OR($I16="",$I16="-"),"",VLOOKUP($G16,為替!$A:$AX,$I16,FALSE)))</f>
        <v/>
      </c>
      <c r="K16" s="204" t="str">
        <f t="shared" si="2"/>
        <v/>
      </c>
      <c r="L16" s="188" t="str">
        <f t="shared" si="3"/>
        <v/>
      </c>
      <c r="M16" s="203" t="str">
        <f>IF($H16="USD",IF(OR($L16="",$L16="-"),"",VLOOKUP($G16,為替!$A:$AX,$L16,FALSE))+$K$3,IF(OR($L16="",$L16="-"),"",VLOOKUP($G16,為替!$A:$AX,$L16,FALSE)))</f>
        <v/>
      </c>
      <c r="N16" s="204" t="str">
        <f t="shared" si="4"/>
        <v/>
      </c>
      <c r="O16" s="205" t="str">
        <f t="shared" si="0"/>
        <v/>
      </c>
      <c r="P16" s="206" t="str">
        <f t="shared" si="5"/>
        <v/>
      </c>
    </row>
    <row r="17" spans="3:16" x14ac:dyDescent="0.4">
      <c r="C17" s="199"/>
      <c r="D17" s="200"/>
      <c r="E17" s="201"/>
      <c r="F17" s="199"/>
      <c r="H17" s="202"/>
      <c r="I17" s="185" t="str">
        <f t="shared" si="1"/>
        <v/>
      </c>
      <c r="J17" s="203" t="str">
        <f>IF($H17="USD",IF(OR($I17="",$I17="-"),"",VLOOKUP($G17,為替!$A:$AX,$I17,FALSE))+$J$3,IF(OR($I17="",$I17="-"),"",VLOOKUP($G17,為替!$A:$AX,$I17,FALSE)))</f>
        <v/>
      </c>
      <c r="K17" s="204" t="str">
        <f t="shared" si="2"/>
        <v/>
      </c>
      <c r="L17" s="188" t="str">
        <f t="shared" si="3"/>
        <v/>
      </c>
      <c r="M17" s="203" t="str">
        <f>IF($H17="USD",IF(OR($L17="",$L17="-"),"",VLOOKUP($G17,為替!$A:$AX,$L17,FALSE))+$K$3,IF(OR($L17="",$L17="-"),"",VLOOKUP($G17,為替!$A:$AX,$L17,FALSE)))</f>
        <v/>
      </c>
      <c r="N17" s="204" t="str">
        <f t="shared" si="4"/>
        <v/>
      </c>
      <c r="O17" s="205" t="str">
        <f t="shared" si="0"/>
        <v/>
      </c>
      <c r="P17" s="206" t="str">
        <f t="shared" si="5"/>
        <v/>
      </c>
    </row>
    <row r="18" spans="3:16" x14ac:dyDescent="0.4">
      <c r="C18" s="199"/>
      <c r="D18" s="200"/>
      <c r="E18" s="201"/>
      <c r="F18" s="199"/>
      <c r="H18" s="202"/>
      <c r="I18" s="185" t="str">
        <f t="shared" si="1"/>
        <v/>
      </c>
      <c r="J18" s="203" t="str">
        <f>IF($H18="USD",IF(OR($I18="",$I18="-"),"",VLOOKUP($G18,為替!$A:$AX,$I18,FALSE))+$J$3,IF(OR($I18="",$I18="-"),"",VLOOKUP($G18,為替!$A:$AX,$I18,FALSE)))</f>
        <v/>
      </c>
      <c r="K18" s="204" t="str">
        <f t="shared" si="2"/>
        <v/>
      </c>
      <c r="L18" s="188" t="str">
        <f t="shared" si="3"/>
        <v/>
      </c>
      <c r="M18" s="203" t="str">
        <f>IF($H18="USD",IF(OR($L18="",$L18="-"),"",VLOOKUP($G18,為替!$A:$AX,$L18,FALSE))+$K$3,IF(OR($L18="",$L18="-"),"",VLOOKUP($G18,為替!$A:$AX,$L18,FALSE)))</f>
        <v/>
      </c>
      <c r="N18" s="204" t="str">
        <f t="shared" si="4"/>
        <v/>
      </c>
      <c r="O18" s="205" t="str">
        <f t="shared" si="0"/>
        <v/>
      </c>
      <c r="P18" s="206" t="str">
        <f t="shared" si="5"/>
        <v/>
      </c>
    </row>
    <row r="19" spans="3:16" x14ac:dyDescent="0.4">
      <c r="C19" s="199"/>
      <c r="D19" s="200"/>
      <c r="E19" s="201"/>
      <c r="F19" s="199"/>
      <c r="H19" s="202"/>
      <c r="I19" s="185" t="str">
        <f t="shared" si="1"/>
        <v/>
      </c>
      <c r="J19" s="203" t="str">
        <f>IF($H19="USD",IF(OR($I19="",$I19="-"),"",VLOOKUP($G19,為替!$A:$AX,$I19,FALSE))+$J$3,IF(OR($I19="",$I19="-"),"",VLOOKUP($G19,為替!$A:$AX,$I19,FALSE)))</f>
        <v/>
      </c>
      <c r="K19" s="204" t="str">
        <f t="shared" si="2"/>
        <v/>
      </c>
      <c r="L19" s="188" t="str">
        <f t="shared" si="3"/>
        <v/>
      </c>
      <c r="M19" s="203" t="str">
        <f>IF($H19="USD",IF(OR($L19="",$L19="-"),"",VLOOKUP($G19,為替!$A:$AX,$L19,FALSE))+$K$3,IF(OR($L19="",$L19="-"),"",VLOOKUP($G19,為替!$A:$AX,$L19,FALSE)))</f>
        <v/>
      </c>
      <c r="N19" s="204" t="str">
        <f t="shared" si="4"/>
        <v/>
      </c>
      <c r="O19" s="205" t="str">
        <f t="shared" si="0"/>
        <v/>
      </c>
      <c r="P19" s="206" t="str">
        <f t="shared" si="5"/>
        <v/>
      </c>
    </row>
    <row r="20" spans="3:16" x14ac:dyDescent="0.4">
      <c r="C20" s="199"/>
      <c r="D20" s="200"/>
      <c r="E20" s="201"/>
      <c r="F20" s="199"/>
      <c r="H20" s="202"/>
      <c r="I20" s="185" t="str">
        <f t="shared" si="1"/>
        <v/>
      </c>
      <c r="J20" s="203" t="str">
        <f>IF($H20="USD",IF(OR($I20="",$I20="-"),"",VLOOKUP($G20,為替!$A:$AX,$I20,FALSE))+$J$3,IF(OR($I20="",$I20="-"),"",VLOOKUP($G20,為替!$A:$AX,$I20,FALSE)))</f>
        <v/>
      </c>
      <c r="K20" s="204" t="str">
        <f t="shared" si="2"/>
        <v/>
      </c>
      <c r="L20" s="188" t="str">
        <f t="shared" si="3"/>
        <v/>
      </c>
      <c r="M20" s="203" t="str">
        <f>IF($H20="USD",IF(OR($L20="",$L20="-"),"",VLOOKUP($G20,為替!$A:$AX,$L20,FALSE))+$K$3,IF(OR($L20="",$L20="-"),"",VLOOKUP($G20,為替!$A:$AX,$L20,FALSE)))</f>
        <v/>
      </c>
      <c r="N20" s="204" t="str">
        <f t="shared" si="4"/>
        <v/>
      </c>
      <c r="O20" s="205" t="str">
        <f t="shared" si="0"/>
        <v/>
      </c>
      <c r="P20" s="206" t="str">
        <f t="shared" si="5"/>
        <v/>
      </c>
    </row>
    <row r="21" spans="3:16" x14ac:dyDescent="0.4">
      <c r="C21" s="199"/>
      <c r="D21" s="200"/>
      <c r="E21" s="201"/>
      <c r="F21" s="199"/>
      <c r="H21" s="202"/>
      <c r="I21" s="185" t="str">
        <f t="shared" si="1"/>
        <v/>
      </c>
      <c r="J21" s="203" t="str">
        <f>IF($H21="USD",IF(OR($I21="",$I21="-"),"",VLOOKUP($G21,為替!$A:$AX,$I21,FALSE))+$J$3,IF(OR($I21="",$I21="-"),"",VLOOKUP($G21,為替!$A:$AX,$I21,FALSE)))</f>
        <v/>
      </c>
      <c r="K21" s="204" t="str">
        <f t="shared" si="2"/>
        <v/>
      </c>
      <c r="L21" s="188" t="str">
        <f t="shared" si="3"/>
        <v/>
      </c>
      <c r="M21" s="203" t="str">
        <f>IF($H21="USD",IF(OR($L21="",$L21="-"),"",VLOOKUP($G21,為替!$A:$AX,$L21,FALSE))+$K$3,IF(OR($L21="",$L21="-"),"",VLOOKUP($G21,為替!$A:$AX,$L21,FALSE)))</f>
        <v/>
      </c>
      <c r="N21" s="204" t="str">
        <f t="shared" si="4"/>
        <v/>
      </c>
      <c r="O21" s="205" t="str">
        <f t="shared" si="0"/>
        <v/>
      </c>
      <c r="P21" s="206" t="str">
        <f t="shared" si="5"/>
        <v/>
      </c>
    </row>
    <row r="22" spans="3:16" x14ac:dyDescent="0.4">
      <c r="C22" s="199"/>
      <c r="D22" s="200"/>
      <c r="E22" s="201"/>
      <c r="F22" s="199"/>
      <c r="H22" s="202"/>
      <c r="I22" s="185" t="str">
        <f t="shared" si="1"/>
        <v/>
      </c>
      <c r="J22" s="203" t="str">
        <f>IF($H22="USD",IF(OR($I22="",$I22="-"),"",VLOOKUP($G22,為替!$A:$AX,$I22,FALSE))+$J$3,IF(OR($I22="",$I22="-"),"",VLOOKUP($G22,為替!$A:$AX,$I22,FALSE)))</f>
        <v/>
      </c>
      <c r="K22" s="204" t="str">
        <f t="shared" si="2"/>
        <v/>
      </c>
      <c r="L22" s="188" t="str">
        <f t="shared" si="3"/>
        <v/>
      </c>
      <c r="M22" s="203" t="str">
        <f>IF($H22="USD",IF(OR($L22="",$L22="-"),"",VLOOKUP($G22,為替!$A:$AX,$L22,FALSE))+$K$3,IF(OR($L22="",$L22="-"),"",VLOOKUP($G22,為替!$A:$AX,$L22,FALSE)))</f>
        <v/>
      </c>
      <c r="N22" s="204" t="str">
        <f t="shared" si="4"/>
        <v/>
      </c>
      <c r="O22" s="205" t="str">
        <f t="shared" si="0"/>
        <v/>
      </c>
      <c r="P22" s="206" t="str">
        <f t="shared" si="5"/>
        <v/>
      </c>
    </row>
    <row r="23" spans="3:16" x14ac:dyDescent="0.4">
      <c r="C23" s="199"/>
      <c r="D23" s="200"/>
      <c r="E23" s="201"/>
      <c r="F23" s="199"/>
      <c r="H23" s="202"/>
      <c r="I23" s="185" t="str">
        <f t="shared" si="1"/>
        <v/>
      </c>
      <c r="J23" s="203" t="str">
        <f>IF($H23="USD",IF(OR($I23="",$I23="-"),"",VLOOKUP($G23,為替!$A:$AX,$I23,FALSE))+$J$3,IF(OR($I23="",$I23="-"),"",VLOOKUP($G23,為替!$A:$AX,$I23,FALSE)))</f>
        <v/>
      </c>
      <c r="K23" s="204" t="str">
        <f t="shared" si="2"/>
        <v/>
      </c>
      <c r="L23" s="188" t="str">
        <f t="shared" si="3"/>
        <v/>
      </c>
      <c r="M23" s="203" t="str">
        <f>IF($H23="USD",IF(OR($L23="",$L23="-"),"",VLOOKUP($G23,為替!$A:$AX,$L23,FALSE))+$K$3,IF(OR($L23="",$L23="-"),"",VLOOKUP($G23,為替!$A:$AX,$L23,FALSE)))</f>
        <v/>
      </c>
      <c r="N23" s="204" t="str">
        <f t="shared" si="4"/>
        <v/>
      </c>
      <c r="O23" s="205" t="str">
        <f t="shared" si="0"/>
        <v/>
      </c>
      <c r="P23" s="206" t="str">
        <f t="shared" si="5"/>
        <v/>
      </c>
    </row>
    <row r="24" spans="3:16" x14ac:dyDescent="0.4">
      <c r="C24" s="199"/>
      <c r="D24" s="200"/>
      <c r="E24" s="201"/>
      <c r="F24" s="199"/>
      <c r="H24" s="202"/>
      <c r="I24" s="185" t="str">
        <f t="shared" si="1"/>
        <v/>
      </c>
      <c r="J24" s="203" t="str">
        <f>IF($H24="USD",IF(OR($I24="",$I24="-"),"",VLOOKUP($G24,為替!$A:$AX,$I24,FALSE))+$J$3,IF(OR($I24="",$I24="-"),"",VLOOKUP($G24,為替!$A:$AX,$I24,FALSE)))</f>
        <v/>
      </c>
      <c r="K24" s="204" t="str">
        <f t="shared" si="2"/>
        <v/>
      </c>
      <c r="L24" s="188" t="str">
        <f t="shared" si="3"/>
        <v/>
      </c>
      <c r="M24" s="203" t="str">
        <f>IF($H24="USD",IF(OR($L24="",$L24="-"),"",VLOOKUP($G24,為替!$A:$AX,$L24,FALSE))+$K$3,IF(OR($L24="",$L24="-"),"",VLOOKUP($G24,為替!$A:$AX,$L24,FALSE)))</f>
        <v/>
      </c>
      <c r="N24" s="204" t="str">
        <f t="shared" si="4"/>
        <v/>
      </c>
      <c r="O24" s="205" t="str">
        <f t="shared" si="0"/>
        <v/>
      </c>
      <c r="P24" s="206" t="str">
        <f t="shared" si="5"/>
        <v/>
      </c>
    </row>
    <row r="25" spans="3:16" x14ac:dyDescent="0.4">
      <c r="C25" s="199"/>
      <c r="D25" s="200"/>
      <c r="E25" s="201"/>
      <c r="F25" s="199"/>
      <c r="H25" s="202"/>
      <c r="I25" s="185" t="str">
        <f t="shared" si="1"/>
        <v/>
      </c>
      <c r="J25" s="203" t="str">
        <f>IF($H25="USD",IF(OR($I25="",$I25="-"),"",VLOOKUP($G25,為替!$A:$AX,$I25,FALSE))+$J$3,IF(OR($I25="",$I25="-"),"",VLOOKUP($G25,為替!$A:$AX,$I25,FALSE)))</f>
        <v/>
      </c>
      <c r="K25" s="204" t="str">
        <f t="shared" si="2"/>
        <v/>
      </c>
      <c r="L25" s="188" t="str">
        <f t="shared" si="3"/>
        <v/>
      </c>
      <c r="M25" s="203" t="str">
        <f>IF($H25="USD",IF(OR($L25="",$L25="-"),"",VLOOKUP($G25,為替!$A:$AX,$L25,FALSE))+$K$3,IF(OR($L25="",$L25="-"),"",VLOOKUP($G25,為替!$A:$AX,$L25,FALSE)))</f>
        <v/>
      </c>
      <c r="N25" s="204" t="str">
        <f t="shared" si="4"/>
        <v/>
      </c>
      <c r="O25" s="205" t="str">
        <f t="shared" si="0"/>
        <v/>
      </c>
      <c r="P25" s="206" t="str">
        <f t="shared" si="5"/>
        <v/>
      </c>
    </row>
    <row r="26" spans="3:16" x14ac:dyDescent="0.4">
      <c r="C26" s="199"/>
      <c r="D26" s="200"/>
      <c r="E26" s="201"/>
      <c r="F26" s="199"/>
      <c r="H26" s="202"/>
      <c r="I26" s="185" t="str">
        <f t="shared" si="1"/>
        <v/>
      </c>
      <c r="J26" s="203" t="str">
        <f>IF($H26="USD",IF(OR($I26="",$I26="-"),"",VLOOKUP($G26,為替!$A:$AX,$I26,FALSE))+$J$3,IF(OR($I26="",$I26="-"),"",VLOOKUP($G26,為替!$A:$AX,$I26,FALSE)))</f>
        <v/>
      </c>
      <c r="K26" s="204" t="str">
        <f t="shared" si="2"/>
        <v/>
      </c>
      <c r="L26" s="188" t="str">
        <f t="shared" si="3"/>
        <v/>
      </c>
      <c r="M26" s="203" t="str">
        <f>IF($H26="USD",IF(OR($L26="",$L26="-"),"",VLOOKUP($G26,為替!$A:$AX,$L26,FALSE))+$K$3,IF(OR($L26="",$L26="-"),"",VLOOKUP($G26,為替!$A:$AX,$L26,FALSE)))</f>
        <v/>
      </c>
      <c r="N26" s="204" t="str">
        <f t="shared" si="4"/>
        <v/>
      </c>
      <c r="O26" s="205" t="str">
        <f t="shared" si="0"/>
        <v/>
      </c>
      <c r="P26" s="206" t="str">
        <f t="shared" si="5"/>
        <v/>
      </c>
    </row>
    <row r="27" spans="3:16" x14ac:dyDescent="0.4">
      <c r="C27" s="199"/>
      <c r="D27" s="200"/>
      <c r="E27" s="201"/>
      <c r="F27" s="199"/>
      <c r="H27" s="202"/>
      <c r="I27" s="185" t="str">
        <f t="shared" si="1"/>
        <v/>
      </c>
      <c r="J27" s="203" t="str">
        <f>IF($H27="USD",IF(OR($I27="",$I27="-"),"",VLOOKUP($G27,為替!$A:$AX,$I27,FALSE))+$J$3,IF(OR($I27="",$I27="-"),"",VLOOKUP($G27,為替!$A:$AX,$I27,FALSE)))</f>
        <v/>
      </c>
      <c r="K27" s="204" t="str">
        <f t="shared" si="2"/>
        <v/>
      </c>
      <c r="L27" s="188" t="str">
        <f t="shared" si="3"/>
        <v/>
      </c>
      <c r="M27" s="203" t="str">
        <f>IF($H27="USD",IF(OR($L27="",$L27="-"),"",VLOOKUP($G27,為替!$A:$AX,$L27,FALSE))+$K$3,IF(OR($L27="",$L27="-"),"",VLOOKUP($G27,為替!$A:$AX,$L27,FALSE)))</f>
        <v/>
      </c>
      <c r="N27" s="204" t="str">
        <f t="shared" si="4"/>
        <v/>
      </c>
      <c r="O27" s="205" t="str">
        <f t="shared" si="0"/>
        <v/>
      </c>
      <c r="P27" s="206" t="str">
        <f t="shared" si="5"/>
        <v/>
      </c>
    </row>
    <row r="28" spans="3:16" x14ac:dyDescent="0.4">
      <c r="C28" s="199"/>
      <c r="D28" s="200"/>
      <c r="E28" s="201"/>
      <c r="F28" s="199"/>
      <c r="H28" s="202"/>
      <c r="I28" s="185" t="str">
        <f t="shared" si="1"/>
        <v/>
      </c>
      <c r="J28" s="203" t="str">
        <f>IF($H28="USD",IF(OR($I28="",$I28="-"),"",VLOOKUP($G28,為替!$A:$AX,$I28,FALSE))+$J$3,IF(OR($I28="",$I28="-"),"",VLOOKUP($G28,為替!$A:$AX,$I28,FALSE)))</f>
        <v/>
      </c>
      <c r="K28" s="204" t="str">
        <f t="shared" si="2"/>
        <v/>
      </c>
      <c r="L28" s="188" t="str">
        <f t="shared" si="3"/>
        <v/>
      </c>
      <c r="M28" s="203" t="str">
        <f>IF($H28="USD",IF(OR($L28="",$L28="-"),"",VLOOKUP($G28,為替!$A:$AX,$L28,FALSE))+$K$3,IF(OR($L28="",$L28="-"),"",VLOOKUP($G28,為替!$A:$AX,$L28,FALSE)))</f>
        <v/>
      </c>
      <c r="N28" s="204" t="str">
        <f t="shared" si="4"/>
        <v/>
      </c>
      <c r="O28" s="205" t="str">
        <f t="shared" si="0"/>
        <v/>
      </c>
      <c r="P28" s="206" t="str">
        <f t="shared" si="5"/>
        <v/>
      </c>
    </row>
    <row r="29" spans="3:16" x14ac:dyDescent="0.4">
      <c r="C29" s="199"/>
      <c r="D29" s="200"/>
      <c r="E29" s="201"/>
      <c r="F29" s="199"/>
      <c r="H29" s="202"/>
      <c r="I29" s="185" t="str">
        <f t="shared" si="1"/>
        <v/>
      </c>
      <c r="J29" s="203" t="str">
        <f>IF($H29="USD",IF(OR($I29="",$I29="-"),"",VLOOKUP($G29,為替!$A:$AX,$I29,FALSE))+$J$3,IF(OR($I29="",$I29="-"),"",VLOOKUP($G29,為替!$A:$AX,$I29,FALSE)))</f>
        <v/>
      </c>
      <c r="K29" s="204" t="str">
        <f t="shared" si="2"/>
        <v/>
      </c>
      <c r="L29" s="188" t="str">
        <f t="shared" si="3"/>
        <v/>
      </c>
      <c r="M29" s="203" t="str">
        <f>IF($H29="USD",IF(OR($L29="",$L29="-"),"",VLOOKUP($G29,為替!$A:$AX,$L29,FALSE))+$K$3,IF(OR($L29="",$L29="-"),"",VLOOKUP($G29,為替!$A:$AX,$L29,FALSE)))</f>
        <v/>
      </c>
      <c r="N29" s="204" t="str">
        <f t="shared" si="4"/>
        <v/>
      </c>
      <c r="O29" s="205" t="str">
        <f t="shared" si="0"/>
        <v/>
      </c>
      <c r="P29" s="206" t="str">
        <f t="shared" si="5"/>
        <v/>
      </c>
    </row>
    <row r="30" spans="3:16" x14ac:dyDescent="0.4">
      <c r="C30" s="199"/>
      <c r="D30" s="200"/>
      <c r="E30" s="201"/>
      <c r="F30" s="199"/>
      <c r="H30" s="202"/>
      <c r="I30" s="185" t="str">
        <f t="shared" si="1"/>
        <v/>
      </c>
      <c r="J30" s="203" t="str">
        <f>IF($H30="USD",IF(OR($I30="",$I30="-"),"",VLOOKUP($G30,為替!$A:$AX,$I30,FALSE))+$J$3,IF(OR($I30="",$I30="-"),"",VLOOKUP($G30,為替!$A:$AX,$I30,FALSE)))</f>
        <v/>
      </c>
      <c r="K30" s="204" t="str">
        <f t="shared" si="2"/>
        <v/>
      </c>
      <c r="L30" s="188" t="str">
        <f t="shared" si="3"/>
        <v/>
      </c>
      <c r="M30" s="203" t="str">
        <f>IF($H30="USD",IF(OR($L30="",$L30="-"),"",VLOOKUP($G30,為替!$A:$AX,$L30,FALSE))+$K$3,IF(OR($L30="",$L30="-"),"",VLOOKUP($G30,為替!$A:$AX,$L30,FALSE)))</f>
        <v/>
      </c>
      <c r="N30" s="204" t="str">
        <f t="shared" si="4"/>
        <v/>
      </c>
      <c r="O30" s="205" t="str">
        <f t="shared" si="0"/>
        <v/>
      </c>
      <c r="P30" s="206" t="str">
        <f t="shared" si="5"/>
        <v/>
      </c>
    </row>
    <row r="31" spans="3:16" x14ac:dyDescent="0.4">
      <c r="C31" s="199"/>
      <c r="D31" s="200"/>
      <c r="E31" s="201"/>
      <c r="F31" s="199"/>
      <c r="H31" s="202"/>
      <c r="I31" s="185" t="str">
        <f t="shared" si="1"/>
        <v/>
      </c>
      <c r="J31" s="203" t="str">
        <f>IF($H31="USD",IF(OR($I31="",$I31="-"),"",VLOOKUP($G31,為替!$A:$AX,$I31,FALSE))+$J$3,IF(OR($I31="",$I31="-"),"",VLOOKUP($G31,為替!$A:$AX,$I31,FALSE)))</f>
        <v/>
      </c>
      <c r="K31" s="204" t="str">
        <f t="shared" si="2"/>
        <v/>
      </c>
      <c r="L31" s="188" t="str">
        <f t="shared" si="3"/>
        <v/>
      </c>
      <c r="M31" s="203" t="str">
        <f>IF($H31="USD",IF(OR($L31="",$L31="-"),"",VLOOKUP($G31,為替!$A:$AX,$L31,FALSE))+$K$3,IF(OR($L31="",$L31="-"),"",VLOOKUP($G31,為替!$A:$AX,$L31,FALSE)))</f>
        <v/>
      </c>
      <c r="N31" s="204" t="str">
        <f t="shared" si="4"/>
        <v/>
      </c>
      <c r="O31" s="205" t="str">
        <f t="shared" si="0"/>
        <v/>
      </c>
      <c r="P31" s="206" t="str">
        <f t="shared" si="5"/>
        <v/>
      </c>
    </row>
    <row r="32" spans="3:16" x14ac:dyDescent="0.4">
      <c r="C32" s="199"/>
      <c r="D32" s="200"/>
      <c r="E32" s="201"/>
      <c r="F32" s="199"/>
      <c r="H32" s="202"/>
      <c r="I32" s="185" t="str">
        <f t="shared" si="1"/>
        <v/>
      </c>
      <c r="J32" s="203" t="str">
        <f>IF($H32="USD",IF(OR($I32="",$I32="-"),"",VLOOKUP($G32,為替!$A:$AX,$I32,FALSE))+$J$3,IF(OR($I32="",$I32="-"),"",VLOOKUP($G32,為替!$A:$AX,$I32,FALSE)))</f>
        <v/>
      </c>
      <c r="K32" s="204" t="str">
        <f t="shared" si="2"/>
        <v/>
      </c>
      <c r="L32" s="188" t="str">
        <f t="shared" si="3"/>
        <v/>
      </c>
      <c r="M32" s="203" t="str">
        <f>IF($H32="USD",IF(OR($L32="",$L32="-"),"",VLOOKUP($G32,為替!$A:$AX,$L32,FALSE))+$K$3,IF(OR($L32="",$L32="-"),"",VLOOKUP($G32,為替!$A:$AX,$L32,FALSE)))</f>
        <v/>
      </c>
      <c r="N32" s="204" t="str">
        <f t="shared" si="4"/>
        <v/>
      </c>
      <c r="O32" s="205" t="str">
        <f t="shared" si="0"/>
        <v/>
      </c>
      <c r="P32" s="206" t="str">
        <f t="shared" si="5"/>
        <v/>
      </c>
    </row>
    <row r="33" spans="3:16" x14ac:dyDescent="0.4">
      <c r="C33" s="199"/>
      <c r="D33" s="200"/>
      <c r="E33" s="201"/>
      <c r="F33" s="199"/>
      <c r="H33" s="202"/>
      <c r="I33" s="185" t="str">
        <f t="shared" si="1"/>
        <v/>
      </c>
      <c r="J33" s="203" t="str">
        <f>IF($H33="USD",IF(OR($I33="",$I33="-"),"",VLOOKUP($G33,為替!$A:$AX,$I33,FALSE))+$J$3,IF(OR($I33="",$I33="-"),"",VLOOKUP($G33,為替!$A:$AX,$I33,FALSE)))</f>
        <v/>
      </c>
      <c r="K33" s="204" t="str">
        <f t="shared" si="2"/>
        <v/>
      </c>
      <c r="L33" s="188" t="str">
        <f t="shared" si="3"/>
        <v/>
      </c>
      <c r="M33" s="203" t="str">
        <f>IF($H33="USD",IF(OR($L33="",$L33="-"),"",VLOOKUP($G33,為替!$A:$AX,$L33,FALSE))+$K$3,IF(OR($L33="",$L33="-"),"",VLOOKUP($G33,為替!$A:$AX,$L33,FALSE)))</f>
        <v/>
      </c>
      <c r="N33" s="204" t="str">
        <f t="shared" si="4"/>
        <v/>
      </c>
      <c r="O33" s="205" t="str">
        <f t="shared" si="0"/>
        <v/>
      </c>
      <c r="P33" s="206" t="str">
        <f t="shared" si="5"/>
        <v/>
      </c>
    </row>
    <row r="34" spans="3:16" x14ac:dyDescent="0.4">
      <c r="C34" s="199"/>
      <c r="D34" s="200"/>
      <c r="E34" s="201"/>
      <c r="F34" s="199"/>
      <c r="H34" s="202"/>
      <c r="I34" s="185" t="str">
        <f t="shared" si="1"/>
        <v/>
      </c>
      <c r="J34" s="203" t="str">
        <f>IF($H34="USD",IF(OR($I34="",$I34="-"),"",VLOOKUP($G34,為替!$A:$AX,$I34,FALSE))+$J$3,IF(OR($I34="",$I34="-"),"",VLOOKUP($G34,為替!$A:$AX,$I34,FALSE)))</f>
        <v/>
      </c>
      <c r="K34" s="204" t="str">
        <f t="shared" si="2"/>
        <v/>
      </c>
      <c r="L34" s="188" t="str">
        <f t="shared" si="3"/>
        <v/>
      </c>
      <c r="M34" s="203" t="str">
        <f>IF($H34="USD",IF(OR($L34="",$L34="-"),"",VLOOKUP($G34,為替!$A:$AX,$L34,FALSE))+$K$3,IF(OR($L34="",$L34="-"),"",VLOOKUP($G34,為替!$A:$AX,$L34,FALSE)))</f>
        <v/>
      </c>
      <c r="N34" s="204" t="str">
        <f t="shared" si="4"/>
        <v/>
      </c>
      <c r="O34" s="205" t="str">
        <f t="shared" si="0"/>
        <v/>
      </c>
      <c r="P34" s="206" t="str">
        <f t="shared" si="5"/>
        <v/>
      </c>
    </row>
    <row r="35" spans="3:16" x14ac:dyDescent="0.4">
      <c r="C35" s="199"/>
      <c r="D35" s="200"/>
      <c r="E35" s="201"/>
      <c r="F35" s="199"/>
      <c r="H35" s="202"/>
      <c r="I35" s="185" t="str">
        <f t="shared" si="1"/>
        <v/>
      </c>
      <c r="J35" s="203" t="str">
        <f>IF($H35="USD",IF(OR($I35="",$I35="-"),"",VLOOKUP($G35,為替!$A:$AX,$I35,FALSE))+$J$3,IF(OR($I35="",$I35="-"),"",VLOOKUP($G35,為替!$A:$AX,$I35,FALSE)))</f>
        <v/>
      </c>
      <c r="K35" s="204" t="str">
        <f t="shared" si="2"/>
        <v/>
      </c>
      <c r="L35" s="188" t="str">
        <f t="shared" si="3"/>
        <v/>
      </c>
      <c r="M35" s="203" t="str">
        <f>IF($H35="USD",IF(OR($L35="",$L35="-"),"",VLOOKUP($G35,為替!$A:$AX,$L35,FALSE))+$K$3,IF(OR($L35="",$L35="-"),"",VLOOKUP($G35,為替!$A:$AX,$L35,FALSE)))</f>
        <v/>
      </c>
      <c r="N35" s="204" t="str">
        <f t="shared" si="4"/>
        <v/>
      </c>
      <c r="O35" s="205" t="str">
        <f t="shared" si="0"/>
        <v/>
      </c>
      <c r="P35" s="206" t="str">
        <f t="shared" si="5"/>
        <v/>
      </c>
    </row>
    <row r="36" spans="3:16" x14ac:dyDescent="0.4">
      <c r="C36" s="199"/>
      <c r="D36" s="200"/>
      <c r="E36" s="201"/>
      <c r="F36" s="199"/>
      <c r="H36" s="202"/>
      <c r="I36" s="185" t="str">
        <f t="shared" si="1"/>
        <v/>
      </c>
      <c r="J36" s="203" t="str">
        <f>IF($H36="USD",IF(OR($I36="",$I36="-"),"",VLOOKUP($G36,為替!$A:$AX,$I36,FALSE))+$J$3,IF(OR($I36="",$I36="-"),"",VLOOKUP($G36,為替!$A:$AX,$I36,FALSE)))</f>
        <v/>
      </c>
      <c r="K36" s="204" t="str">
        <f t="shared" si="2"/>
        <v/>
      </c>
      <c r="L36" s="188" t="str">
        <f t="shared" si="3"/>
        <v/>
      </c>
      <c r="M36" s="203" t="str">
        <f>IF($H36="USD",IF(OR($L36="",$L36="-"),"",VLOOKUP($G36,為替!$A:$AX,$L36,FALSE))+$K$3,IF(OR($L36="",$L36="-"),"",VLOOKUP($G36,為替!$A:$AX,$L36,FALSE)))</f>
        <v/>
      </c>
      <c r="N36" s="204" t="str">
        <f t="shared" si="4"/>
        <v/>
      </c>
      <c r="O36" s="205" t="str">
        <f t="shared" si="0"/>
        <v/>
      </c>
      <c r="P36" s="206" t="str">
        <f t="shared" si="5"/>
        <v/>
      </c>
    </row>
    <row r="37" spans="3:16" x14ac:dyDescent="0.4">
      <c r="C37" s="199"/>
      <c r="D37" s="200"/>
      <c r="E37" s="201"/>
      <c r="F37" s="199"/>
      <c r="H37" s="202"/>
      <c r="I37" s="185" t="str">
        <f t="shared" si="1"/>
        <v/>
      </c>
      <c r="J37" s="203" t="str">
        <f>IF($H37="USD",IF(OR($I37="",$I37="-"),"",VLOOKUP($G37,為替!$A:$AX,$I37,FALSE))+$J$3,IF(OR($I37="",$I37="-"),"",VLOOKUP($G37,為替!$A:$AX,$I37,FALSE)))</f>
        <v/>
      </c>
      <c r="K37" s="204" t="str">
        <f t="shared" si="2"/>
        <v/>
      </c>
      <c r="L37" s="188" t="str">
        <f t="shared" si="3"/>
        <v/>
      </c>
      <c r="M37" s="203" t="str">
        <f>IF($H37="USD",IF(OR($L37="",$L37="-"),"",VLOOKUP($G37,為替!$A:$AX,$L37,FALSE))+$K$3,IF(OR($L37="",$L37="-"),"",VLOOKUP($G37,為替!$A:$AX,$L37,FALSE)))</f>
        <v/>
      </c>
      <c r="N37" s="204" t="str">
        <f t="shared" si="4"/>
        <v/>
      </c>
      <c r="O37" s="205" t="str">
        <f t="shared" si="0"/>
        <v/>
      </c>
      <c r="P37" s="206" t="str">
        <f t="shared" si="5"/>
        <v/>
      </c>
    </row>
    <row r="38" spans="3:16" x14ac:dyDescent="0.4">
      <c r="C38" s="199"/>
      <c r="D38" s="200"/>
      <c r="E38" s="201"/>
      <c r="F38" s="199"/>
      <c r="H38" s="202"/>
      <c r="I38" s="185" t="str">
        <f t="shared" si="1"/>
        <v/>
      </c>
      <c r="J38" s="203" t="str">
        <f>IF($H38="USD",IF(OR($I38="",$I38="-"),"",VLOOKUP($G38,為替!$A:$AX,$I38,FALSE))+$J$3,IF(OR($I38="",$I38="-"),"",VLOOKUP($G38,為替!$A:$AX,$I38,FALSE)))</f>
        <v/>
      </c>
      <c r="K38" s="204" t="str">
        <f t="shared" si="2"/>
        <v/>
      </c>
      <c r="L38" s="188" t="str">
        <f t="shared" si="3"/>
        <v/>
      </c>
      <c r="M38" s="203" t="str">
        <f>IF($H38="USD",IF(OR($L38="",$L38="-"),"",VLOOKUP($G38,為替!$A:$AX,$L38,FALSE))+$K$3,IF(OR($L38="",$L38="-"),"",VLOOKUP($G38,為替!$A:$AX,$L38,FALSE)))</f>
        <v/>
      </c>
      <c r="N38" s="204" t="str">
        <f t="shared" si="4"/>
        <v/>
      </c>
      <c r="O38" s="205" t="str">
        <f t="shared" si="0"/>
        <v/>
      </c>
      <c r="P38" s="206" t="str">
        <f t="shared" si="5"/>
        <v/>
      </c>
    </row>
    <row r="39" spans="3:16" x14ac:dyDescent="0.4">
      <c r="C39" s="199"/>
      <c r="D39" s="200"/>
      <c r="E39" s="201"/>
      <c r="F39" s="199"/>
      <c r="H39" s="202"/>
      <c r="I39" s="185" t="str">
        <f t="shared" si="1"/>
        <v/>
      </c>
      <c r="J39" s="203" t="str">
        <f>IF($H39="USD",IF(OR($I39="",$I39="-"),"",VLOOKUP($G39,為替!$A:$AX,$I39,FALSE))+$J$3,IF(OR($I39="",$I39="-"),"",VLOOKUP($G39,為替!$A:$AX,$I39,FALSE)))</f>
        <v/>
      </c>
      <c r="K39" s="204" t="str">
        <f t="shared" si="2"/>
        <v/>
      </c>
      <c r="L39" s="188" t="str">
        <f t="shared" si="3"/>
        <v/>
      </c>
      <c r="M39" s="203" t="str">
        <f>IF($H39="USD",IF(OR($L39="",$L39="-"),"",VLOOKUP($G39,為替!$A:$AX,$L39,FALSE))+$K$3,IF(OR($L39="",$L39="-"),"",VLOOKUP($G39,為替!$A:$AX,$L39,FALSE)))</f>
        <v/>
      </c>
      <c r="N39" s="204" t="str">
        <f t="shared" si="4"/>
        <v/>
      </c>
      <c r="O39" s="205" t="str">
        <f t="shared" si="0"/>
        <v/>
      </c>
      <c r="P39" s="206" t="str">
        <f t="shared" si="5"/>
        <v/>
      </c>
    </row>
    <row r="40" spans="3:16" x14ac:dyDescent="0.4">
      <c r="C40" s="199"/>
      <c r="D40" s="200"/>
      <c r="E40" s="201"/>
      <c r="F40" s="199"/>
      <c r="H40" s="202"/>
      <c r="I40" s="185" t="str">
        <f t="shared" si="1"/>
        <v/>
      </c>
      <c r="J40" s="203" t="str">
        <f>IF($H40="USD",IF(OR($I40="",$I40="-"),"",VLOOKUP($G40,為替!$A:$AX,$I40,FALSE))+$J$3,IF(OR($I40="",$I40="-"),"",VLOOKUP($G40,為替!$A:$AX,$I40,FALSE)))</f>
        <v/>
      </c>
      <c r="K40" s="204" t="str">
        <f t="shared" si="2"/>
        <v/>
      </c>
      <c r="L40" s="188" t="str">
        <f t="shared" si="3"/>
        <v/>
      </c>
      <c r="M40" s="203" t="str">
        <f>IF($H40="USD",IF(OR($L40="",$L40="-"),"",VLOOKUP($G40,為替!$A:$AX,$L40,FALSE))+$K$3,IF(OR($L40="",$L40="-"),"",VLOOKUP($G40,為替!$A:$AX,$L40,FALSE)))</f>
        <v/>
      </c>
      <c r="N40" s="204" t="str">
        <f t="shared" si="4"/>
        <v/>
      </c>
      <c r="O40" s="205" t="str">
        <f t="shared" si="0"/>
        <v/>
      </c>
      <c r="P40" s="206" t="str">
        <f t="shared" si="5"/>
        <v/>
      </c>
    </row>
    <row r="41" spans="3:16" x14ac:dyDescent="0.4">
      <c r="C41" s="199"/>
      <c r="D41" s="200"/>
      <c r="E41" s="201"/>
      <c r="F41" s="199"/>
      <c r="H41" s="202"/>
      <c r="I41" s="185" t="str">
        <f t="shared" si="1"/>
        <v/>
      </c>
      <c r="J41" s="203" t="str">
        <f>IF($H41="USD",IF(OR($I41="",$I41="-"),"",VLOOKUP($G41,為替!$A:$AX,$I41,FALSE))+$J$3,IF(OR($I41="",$I41="-"),"",VLOOKUP($G41,為替!$A:$AX,$I41,FALSE)))</f>
        <v/>
      </c>
      <c r="K41" s="204" t="str">
        <f t="shared" si="2"/>
        <v/>
      </c>
      <c r="L41" s="188" t="str">
        <f t="shared" si="3"/>
        <v/>
      </c>
      <c r="M41" s="203" t="str">
        <f>IF($H41="USD",IF(OR($L41="",$L41="-"),"",VLOOKUP($G41,為替!$A:$AX,$L41,FALSE))+$K$3,IF(OR($L41="",$L41="-"),"",VLOOKUP($G41,為替!$A:$AX,$L41,FALSE)))</f>
        <v/>
      </c>
      <c r="N41" s="204" t="str">
        <f t="shared" si="4"/>
        <v/>
      </c>
      <c r="O41" s="205" t="str">
        <f t="shared" si="0"/>
        <v/>
      </c>
      <c r="P41" s="206" t="str">
        <f t="shared" si="5"/>
        <v/>
      </c>
    </row>
    <row r="42" spans="3:16" x14ac:dyDescent="0.4">
      <c r="C42" s="199"/>
      <c r="D42" s="200"/>
      <c r="E42" s="201"/>
      <c r="F42" s="199"/>
      <c r="H42" s="202"/>
      <c r="I42" s="185" t="str">
        <f t="shared" si="1"/>
        <v/>
      </c>
      <c r="J42" s="203" t="str">
        <f>IF($H42="USD",IF(OR($I42="",$I42="-"),"",VLOOKUP($G42,為替!$A:$AX,$I42,FALSE))+$J$3,IF(OR($I42="",$I42="-"),"",VLOOKUP($G42,為替!$A:$AX,$I42,FALSE)))</f>
        <v/>
      </c>
      <c r="K42" s="204" t="str">
        <f t="shared" si="2"/>
        <v/>
      </c>
      <c r="L42" s="188" t="str">
        <f t="shared" si="3"/>
        <v/>
      </c>
      <c r="M42" s="203" t="str">
        <f>IF($H42="USD",IF(OR($L42="",$L42="-"),"",VLOOKUP($G42,為替!$A:$AX,$L42,FALSE))+$K$3,IF(OR($L42="",$L42="-"),"",VLOOKUP($G42,為替!$A:$AX,$L42,FALSE)))</f>
        <v/>
      </c>
      <c r="N42" s="204" t="str">
        <f t="shared" si="4"/>
        <v/>
      </c>
      <c r="O42" s="205" t="str">
        <f t="shared" si="0"/>
        <v/>
      </c>
      <c r="P42" s="206" t="str">
        <f t="shared" si="5"/>
        <v/>
      </c>
    </row>
    <row r="43" spans="3:16" x14ac:dyDescent="0.4">
      <c r="C43" s="199"/>
      <c r="D43" s="200"/>
      <c r="E43" s="201"/>
      <c r="F43" s="199"/>
      <c r="H43" s="202"/>
      <c r="I43" s="185" t="str">
        <f t="shared" si="1"/>
        <v/>
      </c>
      <c r="J43" s="203" t="str">
        <f>IF($H43="USD",IF(OR($I43="",$I43="-"),"",VLOOKUP($G43,為替!$A:$AX,$I43,FALSE))+$J$3,IF(OR($I43="",$I43="-"),"",VLOOKUP($G43,為替!$A:$AX,$I43,FALSE)))</f>
        <v/>
      </c>
      <c r="K43" s="204" t="str">
        <f t="shared" si="2"/>
        <v/>
      </c>
      <c r="L43" s="188" t="str">
        <f t="shared" si="3"/>
        <v/>
      </c>
      <c r="M43" s="203" t="str">
        <f>IF($H43="USD",IF(OR($L43="",$L43="-"),"",VLOOKUP($G43,為替!$A:$AX,$L43,FALSE))+$K$3,IF(OR($L43="",$L43="-"),"",VLOOKUP($G43,為替!$A:$AX,$L43,FALSE)))</f>
        <v/>
      </c>
      <c r="N43" s="204" t="str">
        <f t="shared" si="4"/>
        <v/>
      </c>
      <c r="O43" s="205" t="str">
        <f t="shared" si="0"/>
        <v/>
      </c>
      <c r="P43" s="206" t="str">
        <f t="shared" si="5"/>
        <v/>
      </c>
    </row>
    <row r="44" spans="3:16" x14ac:dyDescent="0.4">
      <c r="C44" s="199"/>
      <c r="D44" s="200"/>
      <c r="E44" s="201"/>
      <c r="F44" s="199"/>
      <c r="H44" s="202"/>
      <c r="I44" s="185" t="str">
        <f t="shared" si="1"/>
        <v/>
      </c>
      <c r="J44" s="203" t="str">
        <f>IF($H44="USD",IF(OR($I44="",$I44="-"),"",VLOOKUP($G44,為替!$A:$AX,$I44,FALSE))+$J$3,IF(OR($I44="",$I44="-"),"",VLOOKUP($G44,為替!$A:$AX,$I44,FALSE)))</f>
        <v/>
      </c>
      <c r="K44" s="204" t="str">
        <f t="shared" si="2"/>
        <v/>
      </c>
      <c r="L44" s="188" t="str">
        <f t="shared" si="3"/>
        <v/>
      </c>
      <c r="M44" s="203" t="str">
        <f>IF($H44="USD",IF(OR($L44="",$L44="-"),"",VLOOKUP($G44,為替!$A:$AX,$L44,FALSE))+$K$3,IF(OR($L44="",$L44="-"),"",VLOOKUP($G44,為替!$A:$AX,$L44,FALSE)))</f>
        <v/>
      </c>
      <c r="N44" s="204" t="str">
        <f t="shared" si="4"/>
        <v/>
      </c>
      <c r="O44" s="205" t="str">
        <f t="shared" si="0"/>
        <v/>
      </c>
      <c r="P44" s="206" t="str">
        <f t="shared" si="5"/>
        <v/>
      </c>
    </row>
    <row r="45" spans="3:16" x14ac:dyDescent="0.4">
      <c r="C45" s="199"/>
      <c r="D45" s="200"/>
      <c r="E45" s="201"/>
      <c r="F45" s="199"/>
      <c r="H45" s="202"/>
      <c r="I45" s="185" t="str">
        <f t="shared" si="1"/>
        <v/>
      </c>
      <c r="J45" s="203" t="str">
        <f>IF($H45="USD",IF(OR($I45="",$I45="-"),"",VLOOKUP($G45,為替!$A:$AX,$I45,FALSE))+$J$3,IF(OR($I45="",$I45="-"),"",VLOOKUP($G45,為替!$A:$AX,$I45,FALSE)))</f>
        <v/>
      </c>
      <c r="K45" s="204" t="str">
        <f t="shared" si="2"/>
        <v/>
      </c>
      <c r="L45" s="188" t="str">
        <f t="shared" si="3"/>
        <v/>
      </c>
      <c r="M45" s="203" t="str">
        <f>IF($H45="USD",IF(OR($L45="",$L45="-"),"",VLOOKUP($G45,為替!$A:$AX,$L45,FALSE))+$K$3,IF(OR($L45="",$L45="-"),"",VLOOKUP($G45,為替!$A:$AX,$L45,FALSE)))</f>
        <v/>
      </c>
      <c r="N45" s="204" t="str">
        <f t="shared" si="4"/>
        <v/>
      </c>
      <c r="O45" s="205" t="str">
        <f t="shared" si="0"/>
        <v/>
      </c>
      <c r="P45" s="206" t="str">
        <f t="shared" si="5"/>
        <v/>
      </c>
    </row>
    <row r="46" spans="3:16" x14ac:dyDescent="0.4">
      <c r="C46" s="199"/>
      <c r="D46" s="200"/>
      <c r="E46" s="201"/>
      <c r="F46" s="199"/>
      <c r="H46" s="202"/>
      <c r="I46" s="185" t="str">
        <f t="shared" si="1"/>
        <v/>
      </c>
      <c r="J46" s="203" t="str">
        <f>IF($H46="USD",IF(OR($I46="",$I46="-"),"",VLOOKUP($G46,為替!$A:$AX,$I46,FALSE))+$J$3,IF(OR($I46="",$I46="-"),"",VLOOKUP($G46,為替!$A:$AX,$I46,FALSE)))</f>
        <v/>
      </c>
      <c r="K46" s="204" t="str">
        <f t="shared" si="2"/>
        <v/>
      </c>
      <c r="L46" s="188" t="str">
        <f t="shared" si="3"/>
        <v/>
      </c>
      <c r="M46" s="203" t="str">
        <f>IF($H46="USD",IF(OR($L46="",$L46="-"),"",VLOOKUP($G46,為替!$A:$AX,$L46,FALSE))+$K$3,IF(OR($L46="",$L46="-"),"",VLOOKUP($G46,為替!$A:$AX,$L46,FALSE)))</f>
        <v/>
      </c>
      <c r="N46" s="204" t="str">
        <f t="shared" si="4"/>
        <v/>
      </c>
      <c r="O46" s="205" t="str">
        <f t="shared" si="0"/>
        <v/>
      </c>
      <c r="P46" s="206" t="str">
        <f t="shared" si="5"/>
        <v/>
      </c>
    </row>
    <row r="47" spans="3:16" x14ac:dyDescent="0.4">
      <c r="C47" s="199"/>
      <c r="D47" s="200"/>
      <c r="E47" s="201"/>
      <c r="F47" s="199"/>
      <c r="H47" s="202"/>
      <c r="I47" s="185" t="str">
        <f t="shared" si="1"/>
        <v/>
      </c>
      <c r="J47" s="203" t="str">
        <f>IF($H47="USD",IF(OR($I47="",$I47="-"),"",VLOOKUP($G47,為替!$A:$AX,$I47,FALSE))+$J$3,IF(OR($I47="",$I47="-"),"",VLOOKUP($G47,為替!$A:$AX,$I47,FALSE)))</f>
        <v/>
      </c>
      <c r="K47" s="204" t="str">
        <f t="shared" si="2"/>
        <v/>
      </c>
      <c r="L47" s="188" t="str">
        <f t="shared" si="3"/>
        <v/>
      </c>
      <c r="M47" s="203" t="str">
        <f>IF($H47="USD",IF(OR($L47="",$L47="-"),"",VLOOKUP($G47,為替!$A:$AX,$L47,FALSE))+$K$3,IF(OR($L47="",$L47="-"),"",VLOOKUP($G47,為替!$A:$AX,$L47,FALSE)))</f>
        <v/>
      </c>
      <c r="N47" s="204" t="str">
        <f t="shared" si="4"/>
        <v/>
      </c>
      <c r="O47" s="205" t="str">
        <f t="shared" si="0"/>
        <v/>
      </c>
      <c r="P47" s="206" t="str">
        <f t="shared" si="5"/>
        <v/>
      </c>
    </row>
    <row r="48" spans="3:16" x14ac:dyDescent="0.4">
      <c r="C48" s="199"/>
      <c r="D48" s="200"/>
      <c r="E48" s="201"/>
      <c r="F48" s="199"/>
      <c r="H48" s="202"/>
      <c r="I48" s="185" t="str">
        <f t="shared" si="1"/>
        <v/>
      </c>
      <c r="J48" s="203" t="str">
        <f>IF($H48="USD",IF(OR($I48="",$I48="-"),"",VLOOKUP($G48,為替!$A:$AX,$I48,FALSE))+$J$3,IF(OR($I48="",$I48="-"),"",VLOOKUP($G48,為替!$A:$AX,$I48,FALSE)))</f>
        <v/>
      </c>
      <c r="K48" s="204" t="str">
        <f t="shared" si="2"/>
        <v/>
      </c>
      <c r="L48" s="188" t="str">
        <f t="shared" si="3"/>
        <v/>
      </c>
      <c r="M48" s="203" t="str">
        <f>IF($H48="USD",IF(OR($L48="",$L48="-"),"",VLOOKUP($G48,為替!$A:$AX,$L48,FALSE))+$K$3,IF(OR($L48="",$L48="-"),"",VLOOKUP($G48,為替!$A:$AX,$L48,FALSE)))</f>
        <v/>
      </c>
      <c r="N48" s="204" t="str">
        <f t="shared" si="4"/>
        <v/>
      </c>
      <c r="O48" s="205" t="str">
        <f t="shared" si="0"/>
        <v/>
      </c>
      <c r="P48" s="206" t="str">
        <f t="shared" si="5"/>
        <v/>
      </c>
    </row>
    <row r="49" spans="3:16" x14ac:dyDescent="0.4">
      <c r="C49" s="199"/>
      <c r="D49" s="200"/>
      <c r="E49" s="201"/>
      <c r="F49" s="199"/>
      <c r="H49" s="202"/>
      <c r="I49" s="185" t="str">
        <f t="shared" si="1"/>
        <v/>
      </c>
      <c r="J49" s="203" t="str">
        <f>IF($H49="USD",IF(OR($I49="",$I49="-"),"",VLOOKUP($G49,為替!$A:$AX,$I49,FALSE))+$J$3,IF(OR($I49="",$I49="-"),"",VLOOKUP($G49,為替!$A:$AX,$I49,FALSE)))</f>
        <v/>
      </c>
      <c r="K49" s="204" t="str">
        <f t="shared" si="2"/>
        <v/>
      </c>
      <c r="L49" s="188" t="str">
        <f t="shared" si="3"/>
        <v/>
      </c>
      <c r="M49" s="203" t="str">
        <f>IF($H49="USD",IF(OR($L49="",$L49="-"),"",VLOOKUP($G49,為替!$A:$AX,$L49,FALSE))+$K$3,IF(OR($L49="",$L49="-"),"",VLOOKUP($G49,為替!$A:$AX,$L49,FALSE)))</f>
        <v/>
      </c>
      <c r="N49" s="204" t="str">
        <f t="shared" si="4"/>
        <v/>
      </c>
      <c r="O49" s="205" t="str">
        <f t="shared" si="0"/>
        <v/>
      </c>
      <c r="P49" s="206" t="str">
        <f t="shared" si="5"/>
        <v/>
      </c>
    </row>
    <row r="50" spans="3:16" x14ac:dyDescent="0.4">
      <c r="C50" s="199"/>
      <c r="D50" s="200"/>
      <c r="E50" s="201"/>
      <c r="F50" s="199"/>
      <c r="H50" s="202"/>
      <c r="I50" s="185" t="str">
        <f t="shared" si="1"/>
        <v/>
      </c>
      <c r="J50" s="203" t="str">
        <f>IF($H50="USD",IF(OR($I50="",$I50="-"),"",VLOOKUP($G50,為替!$A:$AX,$I50,FALSE))+$J$3,IF(OR($I50="",$I50="-"),"",VLOOKUP($G50,為替!$A:$AX,$I50,FALSE)))</f>
        <v/>
      </c>
      <c r="K50" s="204" t="str">
        <f t="shared" si="2"/>
        <v/>
      </c>
      <c r="L50" s="188" t="str">
        <f t="shared" si="3"/>
        <v/>
      </c>
      <c r="M50" s="203" t="str">
        <f>IF($H50="USD",IF(OR($L50="",$L50="-"),"",VLOOKUP($G50,為替!$A:$AX,$L50,FALSE))+$K$3,IF(OR($L50="",$L50="-"),"",VLOOKUP($G50,為替!$A:$AX,$L50,FALSE)))</f>
        <v/>
      </c>
      <c r="N50" s="204" t="str">
        <f t="shared" si="4"/>
        <v/>
      </c>
      <c r="O50" s="205" t="str">
        <f t="shared" si="0"/>
        <v/>
      </c>
      <c r="P50" s="206" t="str">
        <f t="shared" si="5"/>
        <v/>
      </c>
    </row>
    <row r="51" spans="3:16" x14ac:dyDescent="0.4">
      <c r="C51" s="199"/>
      <c r="D51" s="200"/>
      <c r="E51" s="201"/>
      <c r="F51" s="199"/>
      <c r="H51" s="202"/>
      <c r="I51" s="185" t="str">
        <f t="shared" si="1"/>
        <v/>
      </c>
      <c r="J51" s="203" t="str">
        <f>IF($H51="USD",IF(OR($I51="",$I51="-"),"",VLOOKUP($G51,為替!$A:$AX,$I51,FALSE))+$J$3,IF(OR($I51="",$I51="-"),"",VLOOKUP($G51,為替!$A:$AX,$I51,FALSE)))</f>
        <v/>
      </c>
      <c r="K51" s="204" t="str">
        <f t="shared" si="2"/>
        <v/>
      </c>
      <c r="L51" s="188" t="str">
        <f t="shared" si="3"/>
        <v/>
      </c>
      <c r="M51" s="203" t="str">
        <f>IF($H51="USD",IF(OR($L51="",$L51="-"),"",VLOOKUP($G51,為替!$A:$AX,$L51,FALSE))+$K$3,IF(OR($L51="",$L51="-"),"",VLOOKUP($G51,為替!$A:$AX,$L51,FALSE)))</f>
        <v/>
      </c>
      <c r="N51" s="204" t="str">
        <f t="shared" si="4"/>
        <v/>
      </c>
      <c r="O51" s="205" t="str">
        <f t="shared" si="0"/>
        <v/>
      </c>
      <c r="P51" s="206" t="str">
        <f t="shared" si="5"/>
        <v/>
      </c>
    </row>
    <row r="52" spans="3:16" x14ac:dyDescent="0.4">
      <c r="C52" s="199"/>
      <c r="D52" s="200"/>
      <c r="E52" s="201"/>
      <c r="F52" s="199"/>
      <c r="H52" s="202"/>
      <c r="I52" s="185" t="str">
        <f t="shared" si="1"/>
        <v/>
      </c>
      <c r="J52" s="203" t="str">
        <f>IF($H52="USD",IF(OR($I52="",$I52="-"),"",VLOOKUP($G52,為替!$A:$AX,$I52,FALSE))+$J$3,IF(OR($I52="",$I52="-"),"",VLOOKUP($G52,為替!$A:$AX,$I52,FALSE)))</f>
        <v/>
      </c>
      <c r="K52" s="204" t="str">
        <f t="shared" si="2"/>
        <v/>
      </c>
      <c r="L52" s="188" t="str">
        <f t="shared" si="3"/>
        <v/>
      </c>
      <c r="M52" s="203" t="str">
        <f>IF($H52="USD",IF(OR($L52="",$L52="-"),"",VLOOKUP($G52,為替!$A:$AX,$L52,FALSE))+$K$3,IF(OR($L52="",$L52="-"),"",VLOOKUP($G52,為替!$A:$AX,$L52,FALSE)))</f>
        <v/>
      </c>
      <c r="N52" s="204" t="str">
        <f t="shared" si="4"/>
        <v/>
      </c>
      <c r="O52" s="205" t="str">
        <f t="shared" si="0"/>
        <v/>
      </c>
      <c r="P52" s="206" t="str">
        <f t="shared" si="5"/>
        <v/>
      </c>
    </row>
    <row r="53" spans="3:16" x14ac:dyDescent="0.4">
      <c r="C53" s="199"/>
      <c r="D53" s="200"/>
      <c r="E53" s="201"/>
      <c r="F53" s="199"/>
      <c r="H53" s="202"/>
      <c r="I53" s="185" t="str">
        <f t="shared" si="1"/>
        <v/>
      </c>
      <c r="J53" s="203" t="str">
        <f>IF($H53="USD",IF(OR($I53="",$I53="-"),"",VLOOKUP($G53,為替!$A:$AX,$I53,FALSE))+$J$3,IF(OR($I53="",$I53="-"),"",VLOOKUP($G53,為替!$A:$AX,$I53,FALSE)))</f>
        <v/>
      </c>
      <c r="K53" s="204" t="str">
        <f t="shared" si="2"/>
        <v/>
      </c>
      <c r="L53" s="188" t="str">
        <f t="shared" si="3"/>
        <v/>
      </c>
      <c r="M53" s="203" t="str">
        <f>IF($H53="USD",IF(OR($L53="",$L53="-"),"",VLOOKUP($G53,為替!$A:$AX,$L53,FALSE))+$K$3,IF(OR($L53="",$L53="-"),"",VLOOKUP($G53,為替!$A:$AX,$L53,FALSE)))</f>
        <v/>
      </c>
      <c r="N53" s="204" t="str">
        <f t="shared" si="4"/>
        <v/>
      </c>
      <c r="O53" s="205" t="str">
        <f t="shared" si="0"/>
        <v/>
      </c>
      <c r="P53" s="206" t="str">
        <f t="shared" si="5"/>
        <v/>
      </c>
    </row>
    <row r="54" spans="3:16" x14ac:dyDescent="0.4">
      <c r="C54" s="199"/>
      <c r="D54" s="200"/>
      <c r="E54" s="201"/>
      <c r="F54" s="199"/>
      <c r="H54" s="202"/>
      <c r="I54" s="185" t="str">
        <f t="shared" si="1"/>
        <v/>
      </c>
      <c r="J54" s="203" t="str">
        <f>IF($H54="USD",IF(OR($I54="",$I54="-"),"",VLOOKUP($G54,為替!$A:$AX,$I54,FALSE))+$J$3,IF(OR($I54="",$I54="-"),"",VLOOKUP($G54,為替!$A:$AX,$I54,FALSE)))</f>
        <v/>
      </c>
      <c r="K54" s="204" t="str">
        <f t="shared" si="2"/>
        <v/>
      </c>
      <c r="L54" s="188" t="str">
        <f t="shared" si="3"/>
        <v/>
      </c>
      <c r="M54" s="203" t="str">
        <f>IF($H54="USD",IF(OR($L54="",$L54="-"),"",VLOOKUP($G54,為替!$A:$AX,$L54,FALSE))+$K$3,IF(OR($L54="",$L54="-"),"",VLOOKUP($G54,為替!$A:$AX,$L54,FALSE)))</f>
        <v/>
      </c>
      <c r="N54" s="204" t="str">
        <f t="shared" si="4"/>
        <v/>
      </c>
      <c r="O54" s="205" t="str">
        <f t="shared" si="0"/>
        <v/>
      </c>
      <c r="P54" s="206" t="str">
        <f t="shared" si="5"/>
        <v/>
      </c>
    </row>
    <row r="55" spans="3:16" x14ac:dyDescent="0.4">
      <c r="C55" s="199"/>
      <c r="D55" s="200"/>
      <c r="E55" s="201"/>
      <c r="F55" s="199"/>
      <c r="H55" s="202"/>
      <c r="I55" s="185" t="str">
        <f t="shared" si="1"/>
        <v/>
      </c>
      <c r="J55" s="203" t="str">
        <f>IF($H55="USD",IF(OR($I55="",$I55="-"),"",VLOOKUP($G55,為替!$A:$AX,$I55,FALSE))+$J$3,IF(OR($I55="",$I55="-"),"",VLOOKUP($G55,為替!$A:$AX,$I55,FALSE)))</f>
        <v/>
      </c>
      <c r="K55" s="204" t="str">
        <f t="shared" si="2"/>
        <v/>
      </c>
      <c r="L55" s="188" t="str">
        <f t="shared" si="3"/>
        <v/>
      </c>
      <c r="M55" s="203" t="str">
        <f>IF($H55="USD",IF(OR($L55="",$L55="-"),"",VLOOKUP($G55,為替!$A:$AX,$L55,FALSE))+$K$3,IF(OR($L55="",$L55="-"),"",VLOOKUP($G55,為替!$A:$AX,$L55,FALSE)))</f>
        <v/>
      </c>
      <c r="N55" s="204" t="str">
        <f t="shared" si="4"/>
        <v/>
      </c>
      <c r="O55" s="205" t="str">
        <f t="shared" si="0"/>
        <v/>
      </c>
      <c r="P55" s="206" t="str">
        <f t="shared" si="5"/>
        <v/>
      </c>
    </row>
    <row r="56" spans="3:16" x14ac:dyDescent="0.4">
      <c r="C56" s="199"/>
      <c r="D56" s="200"/>
      <c r="E56" s="201"/>
      <c r="F56" s="199"/>
      <c r="H56" s="202"/>
      <c r="I56" s="185" t="str">
        <f t="shared" si="1"/>
        <v/>
      </c>
      <c r="J56" s="203" t="str">
        <f>IF($H56="USD",IF(OR($I56="",$I56="-"),"",VLOOKUP($G56,為替!$A:$AX,$I56,FALSE))+$J$3,IF(OR($I56="",$I56="-"),"",VLOOKUP($G56,為替!$A:$AX,$I56,FALSE)))</f>
        <v/>
      </c>
      <c r="K56" s="204" t="str">
        <f t="shared" si="2"/>
        <v/>
      </c>
      <c r="L56" s="188" t="str">
        <f t="shared" si="3"/>
        <v/>
      </c>
      <c r="M56" s="203" t="str">
        <f>IF($H56="USD",IF(OR($L56="",$L56="-"),"",VLOOKUP($G56,為替!$A:$AX,$L56,FALSE))+$K$3,IF(OR($L56="",$L56="-"),"",VLOOKUP($G56,為替!$A:$AX,$L56,FALSE)))</f>
        <v/>
      </c>
      <c r="N56" s="204" t="str">
        <f t="shared" si="4"/>
        <v/>
      </c>
      <c r="O56" s="205" t="str">
        <f t="shared" si="0"/>
        <v/>
      </c>
      <c r="P56" s="206" t="str">
        <f t="shared" si="5"/>
        <v/>
      </c>
    </row>
    <row r="57" spans="3:16" x14ac:dyDescent="0.4">
      <c r="C57" s="199"/>
      <c r="D57" s="200"/>
      <c r="E57" s="201"/>
      <c r="F57" s="199"/>
      <c r="H57" s="202"/>
      <c r="I57" s="185" t="str">
        <f t="shared" si="1"/>
        <v/>
      </c>
      <c r="J57" s="203" t="str">
        <f>IF($H57="USD",IF(OR($I57="",$I57="-"),"",VLOOKUP($G57,為替!$A:$AX,$I57,FALSE))+$J$3,IF(OR($I57="",$I57="-"),"",VLOOKUP($G57,為替!$A:$AX,$I57,FALSE)))</f>
        <v/>
      </c>
      <c r="K57" s="204" t="str">
        <f t="shared" si="2"/>
        <v/>
      </c>
      <c r="L57" s="188" t="str">
        <f t="shared" si="3"/>
        <v/>
      </c>
      <c r="M57" s="203" t="str">
        <f>IF($H57="USD",IF(OR($L57="",$L57="-"),"",VLOOKUP($G57,為替!$A:$AX,$L57,FALSE))+$K$3,IF(OR($L57="",$L57="-"),"",VLOOKUP($G57,為替!$A:$AX,$L57,FALSE)))</f>
        <v/>
      </c>
      <c r="N57" s="204" t="str">
        <f t="shared" si="4"/>
        <v/>
      </c>
      <c r="O57" s="205" t="str">
        <f t="shared" si="0"/>
        <v/>
      </c>
      <c r="P57" s="206" t="str">
        <f t="shared" si="5"/>
        <v/>
      </c>
    </row>
    <row r="58" spans="3:16" x14ac:dyDescent="0.4">
      <c r="C58" s="199"/>
      <c r="D58" s="200"/>
      <c r="E58" s="201"/>
      <c r="F58" s="199"/>
      <c r="H58" s="202"/>
      <c r="I58" s="185" t="str">
        <f t="shared" si="1"/>
        <v/>
      </c>
      <c r="J58" s="203" t="str">
        <f>IF($H58="USD",IF(OR($I58="",$I58="-"),"",VLOOKUP($G58,為替!$A:$AX,$I58,FALSE))+$J$3,IF(OR($I58="",$I58="-"),"",VLOOKUP($G58,為替!$A:$AX,$I58,FALSE)))</f>
        <v/>
      </c>
      <c r="K58" s="204" t="str">
        <f t="shared" si="2"/>
        <v/>
      </c>
      <c r="L58" s="188" t="str">
        <f t="shared" si="3"/>
        <v/>
      </c>
      <c r="M58" s="203" t="str">
        <f>IF($H58="USD",IF(OR($L58="",$L58="-"),"",VLOOKUP($G58,為替!$A:$AX,$L58,FALSE))+$K$3,IF(OR($L58="",$L58="-"),"",VLOOKUP($G58,為替!$A:$AX,$L58,FALSE)))</f>
        <v/>
      </c>
      <c r="N58" s="204" t="str">
        <f t="shared" si="4"/>
        <v/>
      </c>
      <c r="O58" s="205" t="str">
        <f t="shared" si="0"/>
        <v/>
      </c>
      <c r="P58" s="206" t="str">
        <f t="shared" si="5"/>
        <v/>
      </c>
    </row>
    <row r="59" spans="3:16" x14ac:dyDescent="0.4">
      <c r="C59" s="199"/>
      <c r="D59" s="200"/>
      <c r="E59" s="201"/>
      <c r="F59" s="199"/>
      <c r="H59" s="202"/>
      <c r="I59" s="185" t="str">
        <f t="shared" si="1"/>
        <v/>
      </c>
      <c r="J59" s="203" t="str">
        <f>IF($H59="USD",IF(OR($I59="",$I59="-"),"",VLOOKUP($G59,為替!$A:$AX,$I59,FALSE))+$J$3,IF(OR($I59="",$I59="-"),"",VLOOKUP($G59,為替!$A:$AX,$I59,FALSE)))</f>
        <v/>
      </c>
      <c r="K59" s="204" t="str">
        <f t="shared" si="2"/>
        <v/>
      </c>
      <c r="L59" s="188" t="str">
        <f t="shared" si="3"/>
        <v/>
      </c>
      <c r="M59" s="203" t="str">
        <f>IF($H59="USD",IF(OR($L59="",$L59="-"),"",VLOOKUP($G59,為替!$A:$AX,$L59,FALSE))+$K$3,IF(OR($L59="",$L59="-"),"",VLOOKUP($G59,為替!$A:$AX,$L59,FALSE)))</f>
        <v/>
      </c>
      <c r="N59" s="204" t="str">
        <f t="shared" si="4"/>
        <v/>
      </c>
      <c r="O59" s="205" t="str">
        <f t="shared" si="0"/>
        <v/>
      </c>
      <c r="P59" s="206" t="str">
        <f t="shared" si="5"/>
        <v/>
      </c>
    </row>
    <row r="60" spans="3:16" x14ac:dyDescent="0.4">
      <c r="C60" s="199"/>
      <c r="D60" s="200"/>
      <c r="E60" s="201"/>
      <c r="F60" s="199"/>
      <c r="H60" s="202"/>
      <c r="I60" s="185" t="str">
        <f t="shared" si="1"/>
        <v/>
      </c>
      <c r="J60" s="203" t="str">
        <f>IF($H60="USD",IF(OR($I60="",$I60="-"),"",VLOOKUP($G60,為替!$A:$AX,$I60,FALSE))+$J$3,IF(OR($I60="",$I60="-"),"",VLOOKUP($G60,為替!$A:$AX,$I60,FALSE)))</f>
        <v/>
      </c>
      <c r="K60" s="204" t="str">
        <f t="shared" si="2"/>
        <v/>
      </c>
      <c r="L60" s="188" t="str">
        <f t="shared" si="3"/>
        <v/>
      </c>
      <c r="M60" s="203" t="str">
        <f>IF($H60="USD",IF(OR($L60="",$L60="-"),"",VLOOKUP($G60,為替!$A:$AX,$L60,FALSE))+$K$3,IF(OR($L60="",$L60="-"),"",VLOOKUP($G60,為替!$A:$AX,$L60,FALSE)))</f>
        <v/>
      </c>
      <c r="N60" s="204" t="str">
        <f t="shared" si="4"/>
        <v/>
      </c>
      <c r="O60" s="205" t="str">
        <f t="shared" si="0"/>
        <v/>
      </c>
      <c r="P60" s="206" t="str">
        <f t="shared" si="5"/>
        <v/>
      </c>
    </row>
    <row r="61" spans="3:16" x14ac:dyDescent="0.4">
      <c r="C61" s="199"/>
      <c r="D61" s="200"/>
      <c r="E61" s="201"/>
      <c r="F61" s="199"/>
      <c r="H61" s="202"/>
      <c r="I61" s="185" t="str">
        <f t="shared" si="1"/>
        <v/>
      </c>
      <c r="J61" s="203" t="str">
        <f>IF($H61="USD",IF(OR($I61="",$I61="-"),"",VLOOKUP($G61,為替!$A:$AX,$I61,FALSE))+$J$3,IF(OR($I61="",$I61="-"),"",VLOOKUP($G61,為替!$A:$AX,$I61,FALSE)))</f>
        <v/>
      </c>
      <c r="K61" s="204" t="str">
        <f t="shared" si="2"/>
        <v/>
      </c>
      <c r="L61" s="188" t="str">
        <f t="shared" si="3"/>
        <v/>
      </c>
      <c r="M61" s="203" t="str">
        <f>IF($H61="USD",IF(OR($L61="",$L61="-"),"",VLOOKUP($G61,為替!$A:$AX,$L61,FALSE))+$K$3,IF(OR($L61="",$L61="-"),"",VLOOKUP($G61,為替!$A:$AX,$L61,FALSE)))</f>
        <v/>
      </c>
      <c r="N61" s="204" t="str">
        <f t="shared" si="4"/>
        <v/>
      </c>
      <c r="O61" s="205" t="str">
        <f t="shared" si="0"/>
        <v/>
      </c>
      <c r="P61" s="206" t="str">
        <f t="shared" si="5"/>
        <v/>
      </c>
    </row>
    <row r="62" spans="3:16" x14ac:dyDescent="0.4">
      <c r="C62" s="199"/>
      <c r="D62" s="200"/>
      <c r="E62" s="201"/>
      <c r="F62" s="199"/>
      <c r="H62" s="202"/>
      <c r="I62" s="185" t="str">
        <f t="shared" si="1"/>
        <v/>
      </c>
      <c r="J62" s="203" t="str">
        <f>IF($H62="USD",IF(OR($I62="",$I62="-"),"",VLOOKUP($G62,為替!$A:$AX,$I62,FALSE))+$J$3,IF(OR($I62="",$I62="-"),"",VLOOKUP($G62,為替!$A:$AX,$I62,FALSE)))</f>
        <v/>
      </c>
      <c r="K62" s="204" t="str">
        <f t="shared" si="2"/>
        <v/>
      </c>
      <c r="L62" s="188" t="str">
        <f t="shared" si="3"/>
        <v/>
      </c>
      <c r="M62" s="203" t="str">
        <f>IF($H62="USD",IF(OR($L62="",$L62="-"),"",VLOOKUP($G62,為替!$A:$AX,$L62,FALSE))+$K$3,IF(OR($L62="",$L62="-"),"",VLOOKUP($G62,為替!$A:$AX,$L62,FALSE)))</f>
        <v/>
      </c>
      <c r="N62" s="204" t="str">
        <f t="shared" si="4"/>
        <v/>
      </c>
      <c r="O62" s="205" t="str">
        <f t="shared" si="0"/>
        <v/>
      </c>
      <c r="P62" s="206" t="str">
        <f t="shared" si="5"/>
        <v/>
      </c>
    </row>
    <row r="63" spans="3:16" x14ac:dyDescent="0.4">
      <c r="C63" s="199"/>
      <c r="D63" s="200"/>
      <c r="E63" s="201"/>
      <c r="F63" s="199"/>
      <c r="H63" s="202"/>
      <c r="I63" s="185" t="str">
        <f t="shared" si="1"/>
        <v/>
      </c>
      <c r="J63" s="203" t="str">
        <f>IF($H63="USD",IF(OR($I63="",$I63="-"),"",VLOOKUP($G63,為替!$A:$AX,$I63,FALSE))+$J$3,IF(OR($I63="",$I63="-"),"",VLOOKUP($G63,為替!$A:$AX,$I63,FALSE)))</f>
        <v/>
      </c>
      <c r="K63" s="204" t="str">
        <f t="shared" si="2"/>
        <v/>
      </c>
      <c r="L63" s="188" t="str">
        <f t="shared" si="3"/>
        <v/>
      </c>
      <c r="M63" s="203" t="str">
        <f>IF($H63="USD",IF(OR($L63="",$L63="-"),"",VLOOKUP($G63,為替!$A:$AX,$L63,FALSE))+$K$3,IF(OR($L63="",$L63="-"),"",VLOOKUP($G63,為替!$A:$AX,$L63,FALSE)))</f>
        <v/>
      </c>
      <c r="N63" s="204" t="str">
        <f t="shared" si="4"/>
        <v/>
      </c>
      <c r="O63" s="205" t="str">
        <f t="shared" si="0"/>
        <v/>
      </c>
      <c r="P63" s="206" t="str">
        <f t="shared" si="5"/>
        <v/>
      </c>
    </row>
    <row r="64" spans="3:16" x14ac:dyDescent="0.4">
      <c r="C64" s="199"/>
      <c r="D64" s="200"/>
      <c r="E64" s="201"/>
      <c r="F64" s="199"/>
      <c r="H64" s="202"/>
      <c r="I64" s="185" t="str">
        <f t="shared" si="1"/>
        <v/>
      </c>
      <c r="J64" s="203" t="str">
        <f>IF($H64="USD",IF(OR($I64="",$I64="-"),"",VLOOKUP($G64,為替!$A:$AX,$I64,FALSE))+$J$3,IF(OR($I64="",$I64="-"),"",VLOOKUP($G64,為替!$A:$AX,$I64,FALSE)))</f>
        <v/>
      </c>
      <c r="K64" s="204" t="str">
        <f t="shared" si="2"/>
        <v/>
      </c>
      <c r="L64" s="188" t="str">
        <f t="shared" si="3"/>
        <v/>
      </c>
      <c r="M64" s="203" t="str">
        <f>IF($H64="USD",IF(OR($L64="",$L64="-"),"",VLOOKUP($G64,為替!$A:$AX,$L64,FALSE))+$K$3,IF(OR($L64="",$L64="-"),"",VLOOKUP($G64,為替!$A:$AX,$L64,FALSE)))</f>
        <v/>
      </c>
      <c r="N64" s="204" t="str">
        <f t="shared" si="4"/>
        <v/>
      </c>
      <c r="O64" s="205" t="str">
        <f t="shared" si="0"/>
        <v/>
      </c>
      <c r="P64" s="206" t="str">
        <f t="shared" si="5"/>
        <v/>
      </c>
    </row>
    <row r="65" spans="3:16" x14ac:dyDescent="0.4">
      <c r="C65" s="199"/>
      <c r="D65" s="200"/>
      <c r="E65" s="201"/>
      <c r="F65" s="199"/>
      <c r="H65" s="202"/>
      <c r="I65" s="185" t="str">
        <f t="shared" si="1"/>
        <v/>
      </c>
      <c r="J65" s="203" t="str">
        <f>IF($H65="USD",IF(OR($I65="",$I65="-"),"",VLOOKUP($G65,為替!$A:$AX,$I65,FALSE))+$J$3,IF(OR($I65="",$I65="-"),"",VLOOKUP($G65,為替!$A:$AX,$I65,FALSE)))</f>
        <v/>
      </c>
      <c r="K65" s="204" t="str">
        <f t="shared" si="2"/>
        <v/>
      </c>
      <c r="L65" s="188" t="str">
        <f t="shared" si="3"/>
        <v/>
      </c>
      <c r="M65" s="203" t="str">
        <f>IF($H65="USD",IF(OR($L65="",$L65="-"),"",VLOOKUP($G65,為替!$A:$AX,$L65,FALSE))+$K$3,IF(OR($L65="",$L65="-"),"",VLOOKUP($G65,為替!$A:$AX,$L65,FALSE)))</f>
        <v/>
      </c>
      <c r="N65" s="204" t="str">
        <f t="shared" si="4"/>
        <v/>
      </c>
      <c r="O65" s="205" t="str">
        <f t="shared" si="0"/>
        <v/>
      </c>
      <c r="P65" s="206" t="str">
        <f t="shared" si="5"/>
        <v/>
      </c>
    </row>
    <row r="66" spans="3:16" x14ac:dyDescent="0.4">
      <c r="C66" s="199"/>
      <c r="D66" s="200"/>
      <c r="E66" s="201"/>
      <c r="F66" s="199"/>
      <c r="H66" s="202"/>
      <c r="I66" s="185" t="str">
        <f t="shared" si="1"/>
        <v/>
      </c>
      <c r="J66" s="203" t="str">
        <f>IF($H66="USD",IF(OR($I66="",$I66="-"),"",VLOOKUP($G66,為替!$A:$AX,$I66,FALSE))+$J$3,IF(OR($I66="",$I66="-"),"",VLOOKUP($G66,為替!$A:$AX,$I66,FALSE)))</f>
        <v/>
      </c>
      <c r="K66" s="204" t="str">
        <f t="shared" si="2"/>
        <v/>
      </c>
      <c r="L66" s="188" t="str">
        <f t="shared" si="3"/>
        <v/>
      </c>
      <c r="M66" s="203" t="str">
        <f>IF($H66="USD",IF(OR($L66="",$L66="-"),"",VLOOKUP($G66,為替!$A:$AX,$L66,FALSE))+$K$3,IF(OR($L66="",$L66="-"),"",VLOOKUP($G66,為替!$A:$AX,$L66,FALSE)))</f>
        <v/>
      </c>
      <c r="N66" s="204" t="str">
        <f t="shared" si="4"/>
        <v/>
      </c>
      <c r="O66" s="205" t="str">
        <f t="shared" si="0"/>
        <v/>
      </c>
      <c r="P66" s="206" t="str">
        <f t="shared" si="5"/>
        <v/>
      </c>
    </row>
    <row r="67" spans="3:16" x14ac:dyDescent="0.4">
      <c r="C67" s="199"/>
      <c r="D67" s="200"/>
      <c r="E67" s="201"/>
      <c r="F67" s="199"/>
      <c r="H67" s="202"/>
      <c r="I67" s="185" t="str">
        <f t="shared" si="1"/>
        <v/>
      </c>
      <c r="J67" s="203" t="str">
        <f>IF($H67="USD",IF(OR($I67="",$I67="-"),"",VLOOKUP($G67,為替!$A:$AX,$I67,FALSE))+$J$3,IF(OR($I67="",$I67="-"),"",VLOOKUP($G67,為替!$A:$AX,$I67,FALSE)))</f>
        <v/>
      </c>
      <c r="K67" s="204" t="str">
        <f t="shared" si="2"/>
        <v/>
      </c>
      <c r="L67" s="188" t="str">
        <f t="shared" si="3"/>
        <v/>
      </c>
      <c r="M67" s="203" t="str">
        <f>IF($H67="USD",IF(OR($L67="",$L67="-"),"",VLOOKUP($G67,為替!$A:$AX,$L67,FALSE))+$K$3,IF(OR($L67="",$L67="-"),"",VLOOKUP($G67,為替!$A:$AX,$L67,FALSE)))</f>
        <v/>
      </c>
      <c r="N67" s="204" t="str">
        <f t="shared" si="4"/>
        <v/>
      </c>
      <c r="O67" s="205" t="str">
        <f t="shared" si="0"/>
        <v/>
      </c>
      <c r="P67" s="206" t="str">
        <f t="shared" si="5"/>
        <v/>
      </c>
    </row>
    <row r="68" spans="3:16" x14ac:dyDescent="0.4">
      <c r="C68" s="199"/>
      <c r="D68" s="200"/>
      <c r="E68" s="201"/>
      <c r="F68" s="199"/>
      <c r="H68" s="202"/>
      <c r="I68" s="185" t="str">
        <f t="shared" si="1"/>
        <v/>
      </c>
      <c r="J68" s="203" t="str">
        <f>IF($H68="USD",IF(OR($I68="",$I68="-"),"",VLOOKUP($G68,為替!$A:$AX,$I68,FALSE))+$J$3,IF(OR($I68="",$I68="-"),"",VLOOKUP($G68,為替!$A:$AX,$I68,FALSE)))</f>
        <v/>
      </c>
      <c r="K68" s="204" t="str">
        <f t="shared" si="2"/>
        <v/>
      </c>
      <c r="L68" s="188" t="str">
        <f t="shared" si="3"/>
        <v/>
      </c>
      <c r="M68" s="203" t="str">
        <f>IF($H68="USD",IF(OR($L68="",$L68="-"),"",VLOOKUP($G68,為替!$A:$AX,$L68,FALSE))+$K$3,IF(OR($L68="",$L68="-"),"",VLOOKUP($G68,為替!$A:$AX,$L68,FALSE)))</f>
        <v/>
      </c>
      <c r="N68" s="204" t="str">
        <f t="shared" si="4"/>
        <v/>
      </c>
      <c r="O68" s="205" t="str">
        <f t="shared" si="0"/>
        <v/>
      </c>
      <c r="P68" s="206" t="str">
        <f t="shared" si="5"/>
        <v/>
      </c>
    </row>
    <row r="69" spans="3:16" x14ac:dyDescent="0.4">
      <c r="C69" s="199"/>
      <c r="D69" s="200"/>
      <c r="E69" s="201"/>
      <c r="F69" s="199"/>
      <c r="H69" s="202"/>
      <c r="I69" s="185" t="str">
        <f t="shared" si="1"/>
        <v/>
      </c>
      <c r="J69" s="203" t="str">
        <f>IF($H69="USD",IF(OR($I69="",$I69="-"),"",VLOOKUP($G69,為替!$A:$AX,$I69,FALSE))+$J$3,IF(OR($I69="",$I69="-"),"",VLOOKUP($G69,為替!$A:$AX,$I69,FALSE)))</f>
        <v/>
      </c>
      <c r="K69" s="204" t="str">
        <f t="shared" si="2"/>
        <v/>
      </c>
      <c r="L69" s="188" t="str">
        <f t="shared" si="3"/>
        <v/>
      </c>
      <c r="M69" s="203" t="str">
        <f>IF($H69="USD",IF(OR($L69="",$L69="-"),"",VLOOKUP($G69,為替!$A:$AX,$L69,FALSE))+$K$3,IF(OR($L69="",$L69="-"),"",VLOOKUP($G69,為替!$A:$AX,$L69,FALSE)))</f>
        <v/>
      </c>
      <c r="N69" s="204" t="str">
        <f t="shared" si="4"/>
        <v/>
      </c>
      <c r="O69" s="205" t="str">
        <f t="shared" si="0"/>
        <v/>
      </c>
      <c r="P69" s="206" t="str">
        <f t="shared" si="5"/>
        <v/>
      </c>
    </row>
    <row r="70" spans="3:16" x14ac:dyDescent="0.4">
      <c r="C70" s="199"/>
      <c r="D70" s="200"/>
      <c r="E70" s="201"/>
      <c r="F70" s="199"/>
      <c r="H70" s="202"/>
      <c r="I70" s="185" t="str">
        <f t="shared" si="1"/>
        <v/>
      </c>
      <c r="J70" s="203" t="str">
        <f>IF($H70="USD",IF(OR($I70="",$I70="-"),"",VLOOKUP($G70,為替!$A:$AX,$I70,FALSE))+$J$3,IF(OR($I70="",$I70="-"),"",VLOOKUP($G70,為替!$A:$AX,$I70,FALSE)))</f>
        <v/>
      </c>
      <c r="K70" s="204" t="str">
        <f t="shared" si="2"/>
        <v/>
      </c>
      <c r="L70" s="188" t="str">
        <f t="shared" si="3"/>
        <v/>
      </c>
      <c r="M70" s="203" t="str">
        <f>IF($H70="USD",IF(OR($L70="",$L70="-"),"",VLOOKUP($G70,為替!$A:$AX,$L70,FALSE))+$K$3,IF(OR($L70="",$L70="-"),"",VLOOKUP($G70,為替!$A:$AX,$L70,FALSE)))</f>
        <v/>
      </c>
      <c r="N70" s="204" t="str">
        <f t="shared" si="4"/>
        <v/>
      </c>
      <c r="O70" s="205" t="str">
        <f t="shared" ref="O70:O133" si="6">IF(OR(K70="",N70=""),"",K70-N70)</f>
        <v/>
      </c>
      <c r="P70" s="206" t="str">
        <f t="shared" si="5"/>
        <v/>
      </c>
    </row>
    <row r="71" spans="3:16" x14ac:dyDescent="0.4">
      <c r="C71" s="199"/>
      <c r="D71" s="200"/>
      <c r="E71" s="201"/>
      <c r="F71" s="199"/>
      <c r="H71" s="202"/>
      <c r="I71" s="185" t="str">
        <f t="shared" ref="I71:I134" si="7">IF(H71="","",IF(H71="JPY","",IF($H71="USD",4, IF(H71="EUR",7,IF(H71="CNY",47,IF(H71="HKD",34))))))</f>
        <v/>
      </c>
      <c r="J71" s="203" t="str">
        <f>IF($H71="USD",IF(OR($I71="",$I71="-"),"",VLOOKUP($G71,為替!$A:$AX,$I71,FALSE))+$J$3,IF(OR($I71="",$I71="-"),"",VLOOKUP($G71,為替!$A:$AX,$I71,FALSE)))</f>
        <v/>
      </c>
      <c r="K71" s="204" t="str">
        <f t="shared" ref="K71:K134" si="8">IF($H71="JPY",$F71,IF($H71="","",$F71*$J71))</f>
        <v/>
      </c>
      <c r="L71" s="188" t="str">
        <f t="shared" ref="L71:L134" si="9">IF(H71="","",IF(H71="JPY","",IF($H71="USD",3, IF(H71="EUR",6,IF(H71="CNY",46,IF(H71="HKD",33))))))</f>
        <v/>
      </c>
      <c r="M71" s="203" t="str">
        <f>IF($H71="USD",IF(OR($L71="",$L71="-"),"",VLOOKUP($G71,為替!$A:$AX,$L71,FALSE))+$K$3,IF(OR($L71="",$L71="-"),"",VLOOKUP($G71,為替!$A:$AX,$L71,FALSE)))</f>
        <v/>
      </c>
      <c r="N71" s="204" t="str">
        <f t="shared" ref="N71:N134" si="10">IF($E71="JPY",($C71+$D71),IF($E71="","",($C71+$D71)*$M71))</f>
        <v/>
      </c>
      <c r="O71" s="205" t="str">
        <f t="shared" si="6"/>
        <v/>
      </c>
      <c r="P71" s="206" t="str">
        <f t="shared" ref="P71:P134" si="11">IF(OR(K71="",O71=""),"",O71/K71)</f>
        <v/>
      </c>
    </row>
    <row r="72" spans="3:16" x14ac:dyDescent="0.4">
      <c r="C72" s="199"/>
      <c r="D72" s="200"/>
      <c r="E72" s="201"/>
      <c r="F72" s="199"/>
      <c r="H72" s="202"/>
      <c r="I72" s="185" t="str">
        <f t="shared" si="7"/>
        <v/>
      </c>
      <c r="J72" s="203" t="str">
        <f>IF($H72="USD",IF(OR($I72="",$I72="-"),"",VLOOKUP($G72,為替!$A:$AX,$I72,FALSE))+$J$3,IF(OR($I72="",$I72="-"),"",VLOOKUP($G72,為替!$A:$AX,$I72,FALSE)))</f>
        <v/>
      </c>
      <c r="K72" s="204" t="str">
        <f t="shared" si="8"/>
        <v/>
      </c>
      <c r="L72" s="188" t="str">
        <f t="shared" si="9"/>
        <v/>
      </c>
      <c r="M72" s="203" t="str">
        <f>IF($H72="USD",IF(OR($L72="",$L72="-"),"",VLOOKUP($G72,為替!$A:$AX,$L72,FALSE))+$K$3,IF(OR($L72="",$L72="-"),"",VLOOKUP($G72,為替!$A:$AX,$L72,FALSE)))</f>
        <v/>
      </c>
      <c r="N72" s="204" t="str">
        <f t="shared" si="10"/>
        <v/>
      </c>
      <c r="O72" s="205" t="str">
        <f t="shared" si="6"/>
        <v/>
      </c>
      <c r="P72" s="206" t="str">
        <f t="shared" si="11"/>
        <v/>
      </c>
    </row>
    <row r="73" spans="3:16" x14ac:dyDescent="0.4">
      <c r="C73" s="199"/>
      <c r="D73" s="200"/>
      <c r="E73" s="201"/>
      <c r="F73" s="199"/>
      <c r="H73" s="202"/>
      <c r="I73" s="185" t="str">
        <f t="shared" si="7"/>
        <v/>
      </c>
      <c r="J73" s="203" t="str">
        <f>IF($H73="USD",IF(OR($I73="",$I73="-"),"",VLOOKUP($G73,為替!$A:$AX,$I73,FALSE))+$J$3,IF(OR($I73="",$I73="-"),"",VLOOKUP($G73,為替!$A:$AX,$I73,FALSE)))</f>
        <v/>
      </c>
      <c r="K73" s="204" t="str">
        <f t="shared" si="8"/>
        <v/>
      </c>
      <c r="L73" s="188" t="str">
        <f t="shared" si="9"/>
        <v/>
      </c>
      <c r="M73" s="203" t="str">
        <f>IF($H73="USD",IF(OR($L73="",$L73="-"),"",VLOOKUP($G73,為替!$A:$AX,$L73,FALSE))+$K$3,IF(OR($L73="",$L73="-"),"",VLOOKUP($G73,為替!$A:$AX,$L73,FALSE)))</f>
        <v/>
      </c>
      <c r="N73" s="204" t="str">
        <f t="shared" si="10"/>
        <v/>
      </c>
      <c r="O73" s="205" t="str">
        <f t="shared" si="6"/>
        <v/>
      </c>
      <c r="P73" s="206" t="str">
        <f t="shared" si="11"/>
        <v/>
      </c>
    </row>
    <row r="74" spans="3:16" x14ac:dyDescent="0.4">
      <c r="C74" s="199"/>
      <c r="D74" s="200"/>
      <c r="E74" s="201"/>
      <c r="F74" s="199"/>
      <c r="H74" s="202"/>
      <c r="I74" s="185" t="str">
        <f t="shared" si="7"/>
        <v/>
      </c>
      <c r="J74" s="203" t="str">
        <f>IF($H74="USD",IF(OR($I74="",$I74="-"),"",VLOOKUP($G74,為替!$A:$AX,$I74,FALSE))+$J$3,IF(OR($I74="",$I74="-"),"",VLOOKUP($G74,為替!$A:$AX,$I74,FALSE)))</f>
        <v/>
      </c>
      <c r="K74" s="204" t="str">
        <f t="shared" si="8"/>
        <v/>
      </c>
      <c r="L74" s="188" t="str">
        <f t="shared" si="9"/>
        <v/>
      </c>
      <c r="M74" s="203" t="str">
        <f>IF($H74="USD",IF(OR($L74="",$L74="-"),"",VLOOKUP($G74,為替!$A:$AX,$L74,FALSE))+$K$3,IF(OR($L74="",$L74="-"),"",VLOOKUP($G74,為替!$A:$AX,$L74,FALSE)))</f>
        <v/>
      </c>
      <c r="N74" s="204" t="str">
        <f t="shared" si="10"/>
        <v/>
      </c>
      <c r="O74" s="205" t="str">
        <f t="shared" si="6"/>
        <v/>
      </c>
      <c r="P74" s="206" t="str">
        <f t="shared" si="11"/>
        <v/>
      </c>
    </row>
    <row r="75" spans="3:16" x14ac:dyDescent="0.4">
      <c r="C75" s="199"/>
      <c r="D75" s="200"/>
      <c r="E75" s="201"/>
      <c r="F75" s="199"/>
      <c r="H75" s="202"/>
      <c r="I75" s="185" t="str">
        <f t="shared" si="7"/>
        <v/>
      </c>
      <c r="J75" s="203" t="str">
        <f>IF($H75="USD",IF(OR($I75="",$I75="-"),"",VLOOKUP($G75,為替!$A:$AX,$I75,FALSE))+$J$3,IF(OR($I75="",$I75="-"),"",VLOOKUP($G75,為替!$A:$AX,$I75,FALSE)))</f>
        <v/>
      </c>
      <c r="K75" s="204" t="str">
        <f t="shared" si="8"/>
        <v/>
      </c>
      <c r="L75" s="188" t="str">
        <f t="shared" si="9"/>
        <v/>
      </c>
      <c r="M75" s="203" t="str">
        <f>IF($H75="USD",IF(OR($L75="",$L75="-"),"",VLOOKUP($G75,為替!$A:$AX,$L75,FALSE))+$K$3,IF(OR($L75="",$L75="-"),"",VLOOKUP($G75,為替!$A:$AX,$L75,FALSE)))</f>
        <v/>
      </c>
      <c r="N75" s="204" t="str">
        <f t="shared" si="10"/>
        <v/>
      </c>
      <c r="O75" s="205" t="str">
        <f t="shared" si="6"/>
        <v/>
      </c>
      <c r="P75" s="206" t="str">
        <f t="shared" si="11"/>
        <v/>
      </c>
    </row>
    <row r="76" spans="3:16" x14ac:dyDescent="0.4">
      <c r="C76" s="199"/>
      <c r="D76" s="200"/>
      <c r="E76" s="201"/>
      <c r="F76" s="199"/>
      <c r="H76" s="202"/>
      <c r="I76" s="185" t="str">
        <f t="shared" si="7"/>
        <v/>
      </c>
      <c r="J76" s="203" t="str">
        <f>IF($H76="USD",IF(OR($I76="",$I76="-"),"",VLOOKUP($G76,為替!$A:$AX,$I76,FALSE))+$J$3,IF(OR($I76="",$I76="-"),"",VLOOKUP($G76,為替!$A:$AX,$I76,FALSE)))</f>
        <v/>
      </c>
      <c r="K76" s="204" t="str">
        <f t="shared" si="8"/>
        <v/>
      </c>
      <c r="L76" s="188" t="str">
        <f t="shared" si="9"/>
        <v/>
      </c>
      <c r="M76" s="203" t="str">
        <f>IF($H76="USD",IF(OR($L76="",$L76="-"),"",VLOOKUP($G76,為替!$A:$AX,$L76,FALSE))+$K$3,IF(OR($L76="",$L76="-"),"",VLOOKUP($G76,為替!$A:$AX,$L76,FALSE)))</f>
        <v/>
      </c>
      <c r="N76" s="204" t="str">
        <f t="shared" si="10"/>
        <v/>
      </c>
      <c r="O76" s="205" t="str">
        <f t="shared" si="6"/>
        <v/>
      </c>
      <c r="P76" s="206" t="str">
        <f t="shared" si="11"/>
        <v/>
      </c>
    </row>
    <row r="77" spans="3:16" x14ac:dyDescent="0.4">
      <c r="C77" s="199"/>
      <c r="D77" s="200"/>
      <c r="E77" s="201"/>
      <c r="F77" s="199"/>
      <c r="H77" s="202"/>
      <c r="I77" s="185" t="str">
        <f t="shared" si="7"/>
        <v/>
      </c>
      <c r="J77" s="203" t="str">
        <f>IF($H77="USD",IF(OR($I77="",$I77="-"),"",VLOOKUP($G77,為替!$A:$AX,$I77,FALSE))+$J$3,IF(OR($I77="",$I77="-"),"",VLOOKUP($G77,為替!$A:$AX,$I77,FALSE)))</f>
        <v/>
      </c>
      <c r="K77" s="204" t="str">
        <f t="shared" si="8"/>
        <v/>
      </c>
      <c r="L77" s="188" t="str">
        <f t="shared" si="9"/>
        <v/>
      </c>
      <c r="M77" s="203" t="str">
        <f>IF($H77="USD",IF(OR($L77="",$L77="-"),"",VLOOKUP($G77,為替!$A:$AX,$L77,FALSE))+$K$3,IF(OR($L77="",$L77="-"),"",VLOOKUP($G77,為替!$A:$AX,$L77,FALSE)))</f>
        <v/>
      </c>
      <c r="N77" s="204" t="str">
        <f t="shared" si="10"/>
        <v/>
      </c>
      <c r="O77" s="205" t="str">
        <f t="shared" si="6"/>
        <v/>
      </c>
      <c r="P77" s="206" t="str">
        <f t="shared" si="11"/>
        <v/>
      </c>
    </row>
    <row r="78" spans="3:16" x14ac:dyDescent="0.4">
      <c r="C78" s="199"/>
      <c r="D78" s="200"/>
      <c r="E78" s="201"/>
      <c r="F78" s="199"/>
      <c r="H78" s="202"/>
      <c r="I78" s="185" t="str">
        <f t="shared" si="7"/>
        <v/>
      </c>
      <c r="J78" s="203" t="str">
        <f>IF($H78="USD",IF(OR($I78="",$I78="-"),"",VLOOKUP($G78,為替!$A:$AX,$I78,FALSE))+$J$3,IF(OR($I78="",$I78="-"),"",VLOOKUP($G78,為替!$A:$AX,$I78,FALSE)))</f>
        <v/>
      </c>
      <c r="K78" s="204" t="str">
        <f t="shared" si="8"/>
        <v/>
      </c>
      <c r="L78" s="188" t="str">
        <f t="shared" si="9"/>
        <v/>
      </c>
      <c r="M78" s="203" t="str">
        <f>IF($H78="USD",IF(OR($L78="",$L78="-"),"",VLOOKUP($G78,為替!$A:$AX,$L78,FALSE))+$K$3,IF(OR($L78="",$L78="-"),"",VLOOKUP($G78,為替!$A:$AX,$L78,FALSE)))</f>
        <v/>
      </c>
      <c r="N78" s="204" t="str">
        <f t="shared" si="10"/>
        <v/>
      </c>
      <c r="O78" s="205" t="str">
        <f t="shared" si="6"/>
        <v/>
      </c>
      <c r="P78" s="206" t="str">
        <f t="shared" si="11"/>
        <v/>
      </c>
    </row>
    <row r="79" spans="3:16" x14ac:dyDescent="0.4">
      <c r="C79" s="199"/>
      <c r="D79" s="200"/>
      <c r="E79" s="201"/>
      <c r="F79" s="199"/>
      <c r="H79" s="202"/>
      <c r="I79" s="185" t="str">
        <f t="shared" si="7"/>
        <v/>
      </c>
      <c r="J79" s="203" t="str">
        <f>IF($H79="USD",IF(OR($I79="",$I79="-"),"",VLOOKUP($G79,為替!$A:$AX,$I79,FALSE))+$J$3,IF(OR($I79="",$I79="-"),"",VLOOKUP($G79,為替!$A:$AX,$I79,FALSE)))</f>
        <v/>
      </c>
      <c r="K79" s="204" t="str">
        <f t="shared" si="8"/>
        <v/>
      </c>
      <c r="L79" s="188" t="str">
        <f t="shared" si="9"/>
        <v/>
      </c>
      <c r="M79" s="203" t="str">
        <f>IF($H79="USD",IF(OR($L79="",$L79="-"),"",VLOOKUP($G79,為替!$A:$AX,$L79,FALSE))+$K$3,IF(OR($L79="",$L79="-"),"",VLOOKUP($G79,為替!$A:$AX,$L79,FALSE)))</f>
        <v/>
      </c>
      <c r="N79" s="204" t="str">
        <f t="shared" si="10"/>
        <v/>
      </c>
      <c r="O79" s="205" t="str">
        <f t="shared" si="6"/>
        <v/>
      </c>
      <c r="P79" s="206" t="str">
        <f t="shared" si="11"/>
        <v/>
      </c>
    </row>
    <row r="80" spans="3:16" x14ac:dyDescent="0.4">
      <c r="C80" s="199"/>
      <c r="D80" s="200"/>
      <c r="E80" s="201"/>
      <c r="F80" s="199"/>
      <c r="H80" s="202"/>
      <c r="I80" s="185" t="str">
        <f t="shared" si="7"/>
        <v/>
      </c>
      <c r="J80" s="203" t="str">
        <f>IF($H80="USD",IF(OR($I80="",$I80="-"),"",VLOOKUP($G80,為替!$A:$AX,$I80,FALSE))+$J$3,IF(OR($I80="",$I80="-"),"",VLOOKUP($G80,為替!$A:$AX,$I80,FALSE)))</f>
        <v/>
      </c>
      <c r="K80" s="204" t="str">
        <f t="shared" si="8"/>
        <v/>
      </c>
      <c r="L80" s="188" t="str">
        <f t="shared" si="9"/>
        <v/>
      </c>
      <c r="M80" s="203" t="str">
        <f>IF($H80="USD",IF(OR($L80="",$L80="-"),"",VLOOKUP($G80,為替!$A:$AX,$L80,FALSE))+$K$3,IF(OR($L80="",$L80="-"),"",VLOOKUP($G80,為替!$A:$AX,$L80,FALSE)))</f>
        <v/>
      </c>
      <c r="N80" s="204" t="str">
        <f t="shared" si="10"/>
        <v/>
      </c>
      <c r="O80" s="205" t="str">
        <f t="shared" si="6"/>
        <v/>
      </c>
      <c r="P80" s="206" t="str">
        <f t="shared" si="11"/>
        <v/>
      </c>
    </row>
    <row r="81" spans="3:16" x14ac:dyDescent="0.4">
      <c r="C81" s="199"/>
      <c r="D81" s="200"/>
      <c r="E81" s="201"/>
      <c r="F81" s="199"/>
      <c r="H81" s="202"/>
      <c r="I81" s="185" t="str">
        <f t="shared" si="7"/>
        <v/>
      </c>
      <c r="J81" s="203" t="str">
        <f>IF($H81="USD",IF(OR($I81="",$I81="-"),"",VLOOKUP($G81,為替!$A:$AX,$I81,FALSE))+$J$3,IF(OR($I81="",$I81="-"),"",VLOOKUP($G81,為替!$A:$AX,$I81,FALSE)))</f>
        <v/>
      </c>
      <c r="K81" s="204" t="str">
        <f t="shared" si="8"/>
        <v/>
      </c>
      <c r="L81" s="188" t="str">
        <f t="shared" si="9"/>
        <v/>
      </c>
      <c r="M81" s="203" t="str">
        <f>IF($H81="USD",IF(OR($L81="",$L81="-"),"",VLOOKUP($G81,為替!$A:$AX,$L81,FALSE))+$K$3,IF(OR($L81="",$L81="-"),"",VLOOKUP($G81,為替!$A:$AX,$L81,FALSE)))</f>
        <v/>
      </c>
      <c r="N81" s="204" t="str">
        <f t="shared" si="10"/>
        <v/>
      </c>
      <c r="O81" s="205" t="str">
        <f t="shared" si="6"/>
        <v/>
      </c>
      <c r="P81" s="206" t="str">
        <f t="shared" si="11"/>
        <v/>
      </c>
    </row>
    <row r="82" spans="3:16" x14ac:dyDescent="0.4">
      <c r="C82" s="199"/>
      <c r="D82" s="200"/>
      <c r="E82" s="201"/>
      <c r="F82" s="199"/>
      <c r="H82" s="202"/>
      <c r="I82" s="185" t="str">
        <f t="shared" si="7"/>
        <v/>
      </c>
      <c r="J82" s="203" t="str">
        <f>IF($H82="USD",IF(OR($I82="",$I82="-"),"",VLOOKUP($G82,為替!$A:$AX,$I82,FALSE))+$J$3,IF(OR($I82="",$I82="-"),"",VLOOKUP($G82,為替!$A:$AX,$I82,FALSE)))</f>
        <v/>
      </c>
      <c r="K82" s="204" t="str">
        <f t="shared" si="8"/>
        <v/>
      </c>
      <c r="L82" s="188" t="str">
        <f t="shared" si="9"/>
        <v/>
      </c>
      <c r="M82" s="203" t="str">
        <f>IF($H82="USD",IF(OR($L82="",$L82="-"),"",VLOOKUP($G82,為替!$A:$AX,$L82,FALSE))+$K$3,IF(OR($L82="",$L82="-"),"",VLOOKUP($G82,為替!$A:$AX,$L82,FALSE)))</f>
        <v/>
      </c>
      <c r="N82" s="204" t="str">
        <f t="shared" si="10"/>
        <v/>
      </c>
      <c r="O82" s="205" t="str">
        <f t="shared" si="6"/>
        <v/>
      </c>
      <c r="P82" s="206" t="str">
        <f t="shared" si="11"/>
        <v/>
      </c>
    </row>
    <row r="83" spans="3:16" x14ac:dyDescent="0.4">
      <c r="C83" s="199"/>
      <c r="D83" s="200"/>
      <c r="E83" s="201"/>
      <c r="F83" s="199"/>
      <c r="H83" s="202"/>
      <c r="I83" s="185" t="str">
        <f t="shared" si="7"/>
        <v/>
      </c>
      <c r="J83" s="203" t="str">
        <f>IF($H83="USD",IF(OR($I83="",$I83="-"),"",VLOOKUP($G83,為替!$A:$AX,$I83,FALSE))+$J$3,IF(OR($I83="",$I83="-"),"",VLOOKUP($G83,為替!$A:$AX,$I83,FALSE)))</f>
        <v/>
      </c>
      <c r="K83" s="204" t="str">
        <f t="shared" si="8"/>
        <v/>
      </c>
      <c r="L83" s="188" t="str">
        <f t="shared" si="9"/>
        <v/>
      </c>
      <c r="M83" s="203" t="str">
        <f>IF($H83="USD",IF(OR($L83="",$L83="-"),"",VLOOKUP($G83,為替!$A:$AX,$L83,FALSE))+$K$3,IF(OR($L83="",$L83="-"),"",VLOOKUP($G83,為替!$A:$AX,$L83,FALSE)))</f>
        <v/>
      </c>
      <c r="N83" s="204" t="str">
        <f t="shared" si="10"/>
        <v/>
      </c>
      <c r="O83" s="205" t="str">
        <f t="shared" si="6"/>
        <v/>
      </c>
      <c r="P83" s="206" t="str">
        <f t="shared" si="11"/>
        <v/>
      </c>
    </row>
    <row r="84" spans="3:16" x14ac:dyDescent="0.4">
      <c r="C84" s="199"/>
      <c r="D84" s="200"/>
      <c r="E84" s="201"/>
      <c r="F84" s="199"/>
      <c r="H84" s="202"/>
      <c r="I84" s="185" t="str">
        <f t="shared" si="7"/>
        <v/>
      </c>
      <c r="J84" s="203" t="str">
        <f>IF($H84="USD",IF(OR($I84="",$I84="-"),"",VLOOKUP($G84,為替!$A:$AX,$I84,FALSE))+$J$3,IF(OR($I84="",$I84="-"),"",VLOOKUP($G84,為替!$A:$AX,$I84,FALSE)))</f>
        <v/>
      </c>
      <c r="K84" s="204" t="str">
        <f t="shared" si="8"/>
        <v/>
      </c>
      <c r="L84" s="188" t="str">
        <f t="shared" si="9"/>
        <v/>
      </c>
      <c r="M84" s="203" t="str">
        <f>IF($H84="USD",IF(OR($L84="",$L84="-"),"",VLOOKUP($G84,為替!$A:$AX,$L84,FALSE))+$K$3,IF(OR($L84="",$L84="-"),"",VLOOKUP($G84,為替!$A:$AX,$L84,FALSE)))</f>
        <v/>
      </c>
      <c r="N84" s="204" t="str">
        <f t="shared" si="10"/>
        <v/>
      </c>
      <c r="O84" s="205" t="str">
        <f t="shared" si="6"/>
        <v/>
      </c>
      <c r="P84" s="206" t="str">
        <f t="shared" si="11"/>
        <v/>
      </c>
    </row>
    <row r="85" spans="3:16" x14ac:dyDescent="0.4">
      <c r="C85" s="199"/>
      <c r="D85" s="200"/>
      <c r="E85" s="201"/>
      <c r="F85" s="199"/>
      <c r="H85" s="202"/>
      <c r="I85" s="185" t="str">
        <f t="shared" si="7"/>
        <v/>
      </c>
      <c r="J85" s="203" t="str">
        <f>IF($H85="USD",IF(OR($I85="",$I85="-"),"",VLOOKUP($G85,為替!$A:$AX,$I85,FALSE))+$J$3,IF(OR($I85="",$I85="-"),"",VLOOKUP($G85,為替!$A:$AX,$I85,FALSE)))</f>
        <v/>
      </c>
      <c r="K85" s="204" t="str">
        <f t="shared" si="8"/>
        <v/>
      </c>
      <c r="L85" s="188" t="str">
        <f t="shared" si="9"/>
        <v/>
      </c>
      <c r="M85" s="203" t="str">
        <f>IF($H85="USD",IF(OR($L85="",$L85="-"),"",VLOOKUP($G85,為替!$A:$AX,$L85,FALSE))+$K$3,IF(OR($L85="",$L85="-"),"",VLOOKUP($G85,為替!$A:$AX,$L85,FALSE)))</f>
        <v/>
      </c>
      <c r="N85" s="204" t="str">
        <f t="shared" si="10"/>
        <v/>
      </c>
      <c r="O85" s="205" t="str">
        <f t="shared" si="6"/>
        <v/>
      </c>
      <c r="P85" s="206" t="str">
        <f t="shared" si="11"/>
        <v/>
      </c>
    </row>
    <row r="86" spans="3:16" x14ac:dyDescent="0.4">
      <c r="C86" s="199"/>
      <c r="D86" s="200"/>
      <c r="E86" s="201"/>
      <c r="F86" s="199"/>
      <c r="H86" s="202"/>
      <c r="I86" s="185" t="str">
        <f t="shared" si="7"/>
        <v/>
      </c>
      <c r="J86" s="203" t="str">
        <f>IF($H86="USD",IF(OR($I86="",$I86="-"),"",VLOOKUP($G86,為替!$A:$AX,$I86,FALSE))+$J$3,IF(OR($I86="",$I86="-"),"",VLOOKUP($G86,為替!$A:$AX,$I86,FALSE)))</f>
        <v/>
      </c>
      <c r="K86" s="204" t="str">
        <f t="shared" si="8"/>
        <v/>
      </c>
      <c r="L86" s="188" t="str">
        <f t="shared" si="9"/>
        <v/>
      </c>
      <c r="M86" s="203" t="str">
        <f>IF($H86="USD",IF(OR($L86="",$L86="-"),"",VLOOKUP($G86,為替!$A:$AX,$L86,FALSE))+$K$3,IF(OR($L86="",$L86="-"),"",VLOOKUP($G86,為替!$A:$AX,$L86,FALSE)))</f>
        <v/>
      </c>
      <c r="N86" s="204" t="str">
        <f t="shared" si="10"/>
        <v/>
      </c>
      <c r="O86" s="205" t="str">
        <f t="shared" si="6"/>
        <v/>
      </c>
      <c r="P86" s="206" t="str">
        <f t="shared" si="11"/>
        <v/>
      </c>
    </row>
    <row r="87" spans="3:16" x14ac:dyDescent="0.4">
      <c r="C87" s="199"/>
      <c r="D87" s="200"/>
      <c r="E87" s="201"/>
      <c r="F87" s="199"/>
      <c r="H87" s="202"/>
      <c r="I87" s="185" t="str">
        <f t="shared" si="7"/>
        <v/>
      </c>
      <c r="J87" s="203" t="str">
        <f>IF($H87="USD",IF(OR($I87="",$I87="-"),"",VLOOKUP($G87,為替!$A:$AX,$I87,FALSE))+$J$3,IF(OR($I87="",$I87="-"),"",VLOOKUP($G87,為替!$A:$AX,$I87,FALSE)))</f>
        <v/>
      </c>
      <c r="K87" s="204" t="str">
        <f t="shared" si="8"/>
        <v/>
      </c>
      <c r="L87" s="188" t="str">
        <f t="shared" si="9"/>
        <v/>
      </c>
      <c r="M87" s="203" t="str">
        <f>IF($H87="USD",IF(OR($L87="",$L87="-"),"",VLOOKUP($G87,為替!$A:$AX,$L87,FALSE))+$K$3,IF(OR($L87="",$L87="-"),"",VLOOKUP($G87,為替!$A:$AX,$L87,FALSE)))</f>
        <v/>
      </c>
      <c r="N87" s="204" t="str">
        <f t="shared" si="10"/>
        <v/>
      </c>
      <c r="O87" s="205" t="str">
        <f t="shared" si="6"/>
        <v/>
      </c>
      <c r="P87" s="206" t="str">
        <f t="shared" si="11"/>
        <v/>
      </c>
    </row>
    <row r="88" spans="3:16" x14ac:dyDescent="0.4">
      <c r="C88" s="199"/>
      <c r="D88" s="200"/>
      <c r="E88" s="201"/>
      <c r="F88" s="199"/>
      <c r="H88" s="202"/>
      <c r="I88" s="185" t="str">
        <f t="shared" si="7"/>
        <v/>
      </c>
      <c r="J88" s="203" t="str">
        <f>IF($H88="USD",IF(OR($I88="",$I88="-"),"",VLOOKUP($G88,為替!$A:$AX,$I88,FALSE))+$J$3,IF(OR($I88="",$I88="-"),"",VLOOKUP($G88,為替!$A:$AX,$I88,FALSE)))</f>
        <v/>
      </c>
      <c r="K88" s="204" t="str">
        <f t="shared" si="8"/>
        <v/>
      </c>
      <c r="L88" s="188" t="str">
        <f t="shared" si="9"/>
        <v/>
      </c>
      <c r="M88" s="203" t="str">
        <f>IF($H88="USD",IF(OR($L88="",$L88="-"),"",VLOOKUP($G88,為替!$A:$AX,$L88,FALSE))+$K$3,IF(OR($L88="",$L88="-"),"",VLOOKUP($G88,為替!$A:$AX,$L88,FALSE)))</f>
        <v/>
      </c>
      <c r="N88" s="204" t="str">
        <f t="shared" si="10"/>
        <v/>
      </c>
      <c r="O88" s="205" t="str">
        <f t="shared" si="6"/>
        <v/>
      </c>
      <c r="P88" s="206" t="str">
        <f t="shared" si="11"/>
        <v/>
      </c>
    </row>
    <row r="89" spans="3:16" x14ac:dyDescent="0.4">
      <c r="C89" s="199"/>
      <c r="D89" s="200"/>
      <c r="E89" s="201"/>
      <c r="F89" s="199"/>
      <c r="H89" s="202"/>
      <c r="I89" s="185" t="str">
        <f t="shared" si="7"/>
        <v/>
      </c>
      <c r="J89" s="203" t="str">
        <f>IF($H89="USD",IF(OR($I89="",$I89="-"),"",VLOOKUP($G89,為替!$A:$AX,$I89,FALSE))+$J$3,IF(OR($I89="",$I89="-"),"",VLOOKUP($G89,為替!$A:$AX,$I89,FALSE)))</f>
        <v/>
      </c>
      <c r="K89" s="204" t="str">
        <f t="shared" si="8"/>
        <v/>
      </c>
      <c r="L89" s="188" t="str">
        <f t="shared" si="9"/>
        <v/>
      </c>
      <c r="M89" s="203" t="str">
        <f>IF($H89="USD",IF(OR($L89="",$L89="-"),"",VLOOKUP($G89,為替!$A:$AX,$L89,FALSE))+$K$3,IF(OR($L89="",$L89="-"),"",VLOOKUP($G89,為替!$A:$AX,$L89,FALSE)))</f>
        <v/>
      </c>
      <c r="N89" s="204" t="str">
        <f t="shared" si="10"/>
        <v/>
      </c>
      <c r="O89" s="205" t="str">
        <f t="shared" si="6"/>
        <v/>
      </c>
      <c r="P89" s="206" t="str">
        <f t="shared" si="11"/>
        <v/>
      </c>
    </row>
    <row r="90" spans="3:16" x14ac:dyDescent="0.4">
      <c r="C90" s="199"/>
      <c r="D90" s="200"/>
      <c r="E90" s="201"/>
      <c r="F90" s="199"/>
      <c r="H90" s="202"/>
      <c r="I90" s="185" t="str">
        <f t="shared" si="7"/>
        <v/>
      </c>
      <c r="J90" s="203" t="str">
        <f>IF($H90="USD",IF(OR($I90="",$I90="-"),"",VLOOKUP($G90,為替!$A:$AX,$I90,FALSE))+$J$3,IF(OR($I90="",$I90="-"),"",VLOOKUP($G90,為替!$A:$AX,$I90,FALSE)))</f>
        <v/>
      </c>
      <c r="K90" s="204" t="str">
        <f t="shared" si="8"/>
        <v/>
      </c>
      <c r="L90" s="188" t="str">
        <f t="shared" si="9"/>
        <v/>
      </c>
      <c r="M90" s="203" t="str">
        <f>IF($H90="USD",IF(OR($L90="",$L90="-"),"",VLOOKUP($G90,為替!$A:$AX,$L90,FALSE))+$K$3,IF(OR($L90="",$L90="-"),"",VLOOKUP($G90,為替!$A:$AX,$L90,FALSE)))</f>
        <v/>
      </c>
      <c r="N90" s="204" t="str">
        <f t="shared" si="10"/>
        <v/>
      </c>
      <c r="O90" s="205" t="str">
        <f t="shared" si="6"/>
        <v/>
      </c>
      <c r="P90" s="206" t="str">
        <f t="shared" si="11"/>
        <v/>
      </c>
    </row>
    <row r="91" spans="3:16" x14ac:dyDescent="0.4">
      <c r="C91" s="199"/>
      <c r="D91" s="200"/>
      <c r="E91" s="201"/>
      <c r="F91" s="199"/>
      <c r="H91" s="202"/>
      <c r="I91" s="185" t="str">
        <f t="shared" si="7"/>
        <v/>
      </c>
      <c r="J91" s="203" t="str">
        <f>IF($H91="USD",IF(OR($I91="",$I91="-"),"",VLOOKUP($G91,為替!$A:$AX,$I91,FALSE))+$J$3,IF(OR($I91="",$I91="-"),"",VLOOKUP($G91,為替!$A:$AX,$I91,FALSE)))</f>
        <v/>
      </c>
      <c r="K91" s="204" t="str">
        <f t="shared" si="8"/>
        <v/>
      </c>
      <c r="L91" s="188" t="str">
        <f t="shared" si="9"/>
        <v/>
      </c>
      <c r="M91" s="203" t="str">
        <f>IF($H91="USD",IF(OR($L91="",$L91="-"),"",VLOOKUP($G91,為替!$A:$AX,$L91,FALSE))+$K$3,IF(OR($L91="",$L91="-"),"",VLOOKUP($G91,為替!$A:$AX,$L91,FALSE)))</f>
        <v/>
      </c>
      <c r="N91" s="204" t="str">
        <f t="shared" si="10"/>
        <v/>
      </c>
      <c r="O91" s="205" t="str">
        <f t="shared" si="6"/>
        <v/>
      </c>
      <c r="P91" s="206" t="str">
        <f t="shared" si="11"/>
        <v/>
      </c>
    </row>
    <row r="92" spans="3:16" x14ac:dyDescent="0.4">
      <c r="C92" s="199"/>
      <c r="D92" s="200"/>
      <c r="E92" s="201"/>
      <c r="F92" s="199"/>
      <c r="H92" s="202"/>
      <c r="I92" s="185" t="str">
        <f t="shared" si="7"/>
        <v/>
      </c>
      <c r="J92" s="203" t="str">
        <f>IF($H92="USD",IF(OR($I92="",$I92="-"),"",VLOOKUP($G92,為替!$A:$AX,$I92,FALSE))+$J$3,IF(OR($I92="",$I92="-"),"",VLOOKUP($G92,為替!$A:$AX,$I92,FALSE)))</f>
        <v/>
      </c>
      <c r="K92" s="204" t="str">
        <f t="shared" si="8"/>
        <v/>
      </c>
      <c r="L92" s="188" t="str">
        <f t="shared" si="9"/>
        <v/>
      </c>
      <c r="M92" s="203" t="str">
        <f>IF($H92="USD",IF(OR($L92="",$L92="-"),"",VLOOKUP($G92,為替!$A:$AX,$L92,FALSE))+$K$3,IF(OR($L92="",$L92="-"),"",VLOOKUP($G92,為替!$A:$AX,$L92,FALSE)))</f>
        <v/>
      </c>
      <c r="N92" s="204" t="str">
        <f t="shared" si="10"/>
        <v/>
      </c>
      <c r="O92" s="205" t="str">
        <f t="shared" si="6"/>
        <v/>
      </c>
      <c r="P92" s="206" t="str">
        <f t="shared" si="11"/>
        <v/>
      </c>
    </row>
    <row r="93" spans="3:16" x14ac:dyDescent="0.4">
      <c r="C93" s="199"/>
      <c r="D93" s="200"/>
      <c r="E93" s="201"/>
      <c r="F93" s="199"/>
      <c r="H93" s="202"/>
      <c r="I93" s="185" t="str">
        <f t="shared" si="7"/>
        <v/>
      </c>
      <c r="J93" s="203" t="str">
        <f>IF($H93="USD",IF(OR($I93="",$I93="-"),"",VLOOKUP($G93,為替!$A:$AX,$I93,FALSE))+$J$3,IF(OR($I93="",$I93="-"),"",VLOOKUP($G93,為替!$A:$AX,$I93,FALSE)))</f>
        <v/>
      </c>
      <c r="K93" s="204" t="str">
        <f t="shared" si="8"/>
        <v/>
      </c>
      <c r="L93" s="188" t="str">
        <f t="shared" si="9"/>
        <v/>
      </c>
      <c r="M93" s="203" t="str">
        <f>IF($H93="USD",IF(OR($L93="",$L93="-"),"",VLOOKUP($G93,為替!$A:$AX,$L93,FALSE))+$K$3,IF(OR($L93="",$L93="-"),"",VLOOKUP($G93,為替!$A:$AX,$L93,FALSE)))</f>
        <v/>
      </c>
      <c r="N93" s="204" t="str">
        <f t="shared" si="10"/>
        <v/>
      </c>
      <c r="O93" s="205" t="str">
        <f t="shared" si="6"/>
        <v/>
      </c>
      <c r="P93" s="206" t="str">
        <f t="shared" si="11"/>
        <v/>
      </c>
    </row>
    <row r="94" spans="3:16" x14ac:dyDescent="0.4">
      <c r="C94" s="199"/>
      <c r="D94" s="200"/>
      <c r="E94" s="201"/>
      <c r="F94" s="199"/>
      <c r="H94" s="202"/>
      <c r="I94" s="185" t="str">
        <f t="shared" si="7"/>
        <v/>
      </c>
      <c r="J94" s="203" t="str">
        <f>IF($H94="USD",IF(OR($I94="",$I94="-"),"",VLOOKUP($G94,為替!$A:$AX,$I94,FALSE))+$J$3,IF(OR($I94="",$I94="-"),"",VLOOKUP($G94,為替!$A:$AX,$I94,FALSE)))</f>
        <v/>
      </c>
      <c r="K94" s="204" t="str">
        <f t="shared" si="8"/>
        <v/>
      </c>
      <c r="L94" s="188" t="str">
        <f t="shared" si="9"/>
        <v/>
      </c>
      <c r="M94" s="203" t="str">
        <f>IF($H94="USD",IF(OR($L94="",$L94="-"),"",VLOOKUP($G94,為替!$A:$AX,$L94,FALSE))+$K$3,IF(OR($L94="",$L94="-"),"",VLOOKUP($G94,為替!$A:$AX,$L94,FALSE)))</f>
        <v/>
      </c>
      <c r="N94" s="204" t="str">
        <f t="shared" si="10"/>
        <v/>
      </c>
      <c r="O94" s="205" t="str">
        <f t="shared" si="6"/>
        <v/>
      </c>
      <c r="P94" s="206" t="str">
        <f t="shared" si="11"/>
        <v/>
      </c>
    </row>
    <row r="95" spans="3:16" x14ac:dyDescent="0.4">
      <c r="C95" s="199"/>
      <c r="D95" s="200"/>
      <c r="E95" s="201"/>
      <c r="F95" s="199"/>
      <c r="H95" s="202"/>
      <c r="I95" s="185" t="str">
        <f t="shared" si="7"/>
        <v/>
      </c>
      <c r="J95" s="203" t="str">
        <f>IF($H95="USD",IF(OR($I95="",$I95="-"),"",VLOOKUP($G95,為替!$A:$AX,$I95,FALSE))+$J$3,IF(OR($I95="",$I95="-"),"",VLOOKUP($G95,為替!$A:$AX,$I95,FALSE)))</f>
        <v/>
      </c>
      <c r="K95" s="204" t="str">
        <f t="shared" si="8"/>
        <v/>
      </c>
      <c r="L95" s="188" t="str">
        <f t="shared" si="9"/>
        <v/>
      </c>
      <c r="M95" s="203" t="str">
        <f>IF($H95="USD",IF(OR($L95="",$L95="-"),"",VLOOKUP($G95,為替!$A:$AX,$L95,FALSE))+$K$3,IF(OR($L95="",$L95="-"),"",VLOOKUP($G95,為替!$A:$AX,$L95,FALSE)))</f>
        <v/>
      </c>
      <c r="N95" s="204" t="str">
        <f t="shared" si="10"/>
        <v/>
      </c>
      <c r="O95" s="205" t="str">
        <f t="shared" si="6"/>
        <v/>
      </c>
      <c r="P95" s="206" t="str">
        <f t="shared" si="11"/>
        <v/>
      </c>
    </row>
    <row r="96" spans="3:16" x14ac:dyDescent="0.4">
      <c r="C96" s="199"/>
      <c r="D96" s="200"/>
      <c r="E96" s="201"/>
      <c r="F96" s="199"/>
      <c r="H96" s="202"/>
      <c r="I96" s="185" t="str">
        <f t="shared" si="7"/>
        <v/>
      </c>
      <c r="J96" s="203" t="str">
        <f>IF($H96="USD",IF(OR($I96="",$I96="-"),"",VLOOKUP($G96,為替!$A:$AX,$I96,FALSE))+$J$3,IF(OR($I96="",$I96="-"),"",VLOOKUP($G96,為替!$A:$AX,$I96,FALSE)))</f>
        <v/>
      </c>
      <c r="K96" s="204" t="str">
        <f t="shared" si="8"/>
        <v/>
      </c>
      <c r="L96" s="188" t="str">
        <f t="shared" si="9"/>
        <v/>
      </c>
      <c r="M96" s="203" t="str">
        <f>IF($H96="USD",IF(OR($L96="",$L96="-"),"",VLOOKUP($G96,為替!$A:$AX,$L96,FALSE))+$K$3,IF(OR($L96="",$L96="-"),"",VLOOKUP($G96,為替!$A:$AX,$L96,FALSE)))</f>
        <v/>
      </c>
      <c r="N96" s="204" t="str">
        <f t="shared" si="10"/>
        <v/>
      </c>
      <c r="O96" s="205" t="str">
        <f t="shared" si="6"/>
        <v/>
      </c>
      <c r="P96" s="206" t="str">
        <f t="shared" si="11"/>
        <v/>
      </c>
    </row>
    <row r="97" spans="3:16" x14ac:dyDescent="0.4">
      <c r="C97" s="199"/>
      <c r="D97" s="200"/>
      <c r="E97" s="201"/>
      <c r="F97" s="199"/>
      <c r="H97" s="202"/>
      <c r="I97" s="185" t="str">
        <f t="shared" si="7"/>
        <v/>
      </c>
      <c r="J97" s="203" t="str">
        <f>IF($H97="USD",IF(OR($I97="",$I97="-"),"",VLOOKUP($G97,為替!$A:$AX,$I97,FALSE))+$J$3,IF(OR($I97="",$I97="-"),"",VLOOKUP($G97,為替!$A:$AX,$I97,FALSE)))</f>
        <v/>
      </c>
      <c r="K97" s="204" t="str">
        <f t="shared" si="8"/>
        <v/>
      </c>
      <c r="L97" s="188" t="str">
        <f t="shared" si="9"/>
        <v/>
      </c>
      <c r="M97" s="203" t="str">
        <f>IF($H97="USD",IF(OR($L97="",$L97="-"),"",VLOOKUP($G97,為替!$A:$AX,$L97,FALSE))+$K$3,IF(OR($L97="",$L97="-"),"",VLOOKUP($G97,為替!$A:$AX,$L97,FALSE)))</f>
        <v/>
      </c>
      <c r="N97" s="204" t="str">
        <f t="shared" si="10"/>
        <v/>
      </c>
      <c r="O97" s="205" t="str">
        <f t="shared" si="6"/>
        <v/>
      </c>
      <c r="P97" s="206" t="str">
        <f t="shared" si="11"/>
        <v/>
      </c>
    </row>
    <row r="98" spans="3:16" x14ac:dyDescent="0.4">
      <c r="C98" s="199"/>
      <c r="D98" s="200"/>
      <c r="E98" s="201"/>
      <c r="F98" s="199"/>
      <c r="H98" s="202"/>
      <c r="I98" s="185" t="str">
        <f t="shared" si="7"/>
        <v/>
      </c>
      <c r="J98" s="203" t="str">
        <f>IF($H98="USD",IF(OR($I98="",$I98="-"),"",VLOOKUP($G98,為替!$A:$AX,$I98,FALSE))+$J$3,IF(OR($I98="",$I98="-"),"",VLOOKUP($G98,為替!$A:$AX,$I98,FALSE)))</f>
        <v/>
      </c>
      <c r="K98" s="204" t="str">
        <f t="shared" si="8"/>
        <v/>
      </c>
      <c r="L98" s="188" t="str">
        <f t="shared" si="9"/>
        <v/>
      </c>
      <c r="M98" s="203" t="str">
        <f>IF($H98="USD",IF(OR($L98="",$L98="-"),"",VLOOKUP($G98,為替!$A:$AX,$L98,FALSE))+$K$3,IF(OR($L98="",$L98="-"),"",VLOOKUP($G98,為替!$A:$AX,$L98,FALSE)))</f>
        <v/>
      </c>
      <c r="N98" s="204" t="str">
        <f t="shared" si="10"/>
        <v/>
      </c>
      <c r="O98" s="205" t="str">
        <f t="shared" si="6"/>
        <v/>
      </c>
      <c r="P98" s="206" t="str">
        <f t="shared" si="11"/>
        <v/>
      </c>
    </row>
    <row r="99" spans="3:16" x14ac:dyDescent="0.4">
      <c r="C99" s="199"/>
      <c r="D99" s="200"/>
      <c r="E99" s="201"/>
      <c r="F99" s="199"/>
      <c r="H99" s="202"/>
      <c r="I99" s="185" t="str">
        <f t="shared" si="7"/>
        <v/>
      </c>
      <c r="J99" s="203" t="str">
        <f>IF($H99="USD",IF(OR($I99="",$I99="-"),"",VLOOKUP($G99,為替!$A:$AX,$I99,FALSE))+$J$3,IF(OR($I99="",$I99="-"),"",VLOOKUP($G99,為替!$A:$AX,$I99,FALSE)))</f>
        <v/>
      </c>
      <c r="K99" s="204" t="str">
        <f t="shared" si="8"/>
        <v/>
      </c>
      <c r="L99" s="188" t="str">
        <f t="shared" si="9"/>
        <v/>
      </c>
      <c r="M99" s="203" t="str">
        <f>IF($H99="USD",IF(OR($L99="",$L99="-"),"",VLOOKUP($G99,為替!$A:$AX,$L99,FALSE))+$K$3,IF(OR($L99="",$L99="-"),"",VLOOKUP($G99,為替!$A:$AX,$L99,FALSE)))</f>
        <v/>
      </c>
      <c r="N99" s="204" t="str">
        <f t="shared" si="10"/>
        <v/>
      </c>
      <c r="O99" s="205" t="str">
        <f t="shared" si="6"/>
        <v/>
      </c>
      <c r="P99" s="206" t="str">
        <f t="shared" si="11"/>
        <v/>
      </c>
    </row>
    <row r="100" spans="3:16" x14ac:dyDescent="0.4">
      <c r="C100" s="199"/>
      <c r="D100" s="200"/>
      <c r="E100" s="201"/>
      <c r="F100" s="199"/>
      <c r="H100" s="202"/>
      <c r="I100" s="185" t="str">
        <f t="shared" si="7"/>
        <v/>
      </c>
      <c r="J100" s="203" t="str">
        <f>IF($H100="USD",IF(OR($I100="",$I100="-"),"",VLOOKUP($G100,為替!$A:$AX,$I100,FALSE))+$J$3,IF(OR($I100="",$I100="-"),"",VLOOKUP($G100,為替!$A:$AX,$I100,FALSE)))</f>
        <v/>
      </c>
      <c r="K100" s="204" t="str">
        <f t="shared" si="8"/>
        <v/>
      </c>
      <c r="L100" s="188" t="str">
        <f t="shared" si="9"/>
        <v/>
      </c>
      <c r="M100" s="203" t="str">
        <f>IF($H100="USD",IF(OR($L100="",$L100="-"),"",VLOOKUP($G100,為替!$A:$AX,$L100,FALSE))+$K$3,IF(OR($L100="",$L100="-"),"",VLOOKUP($G100,為替!$A:$AX,$L100,FALSE)))</f>
        <v/>
      </c>
      <c r="N100" s="204" t="str">
        <f t="shared" si="10"/>
        <v/>
      </c>
      <c r="O100" s="205" t="str">
        <f t="shared" si="6"/>
        <v/>
      </c>
      <c r="P100" s="206" t="str">
        <f t="shared" si="11"/>
        <v/>
      </c>
    </row>
    <row r="101" spans="3:16" x14ac:dyDescent="0.4">
      <c r="C101" s="199"/>
      <c r="D101" s="200"/>
      <c r="E101" s="201"/>
      <c r="F101" s="199"/>
      <c r="H101" s="202"/>
      <c r="I101" s="185" t="str">
        <f t="shared" si="7"/>
        <v/>
      </c>
      <c r="J101" s="203" t="str">
        <f>IF($H101="USD",IF(OR($I101="",$I101="-"),"",VLOOKUP($G101,為替!$A:$AX,$I101,FALSE))+$J$3,IF(OR($I101="",$I101="-"),"",VLOOKUP($G101,為替!$A:$AX,$I101,FALSE)))</f>
        <v/>
      </c>
      <c r="K101" s="204" t="str">
        <f t="shared" si="8"/>
        <v/>
      </c>
      <c r="L101" s="188" t="str">
        <f t="shared" si="9"/>
        <v/>
      </c>
      <c r="M101" s="203" t="str">
        <f>IF($H101="USD",IF(OR($L101="",$L101="-"),"",VLOOKUP($G101,為替!$A:$AX,$L101,FALSE))+$K$3,IF(OR($L101="",$L101="-"),"",VLOOKUP($G101,為替!$A:$AX,$L101,FALSE)))</f>
        <v/>
      </c>
      <c r="N101" s="204" t="str">
        <f t="shared" si="10"/>
        <v/>
      </c>
      <c r="O101" s="205" t="str">
        <f t="shared" si="6"/>
        <v/>
      </c>
      <c r="P101" s="206" t="str">
        <f t="shared" si="11"/>
        <v/>
      </c>
    </row>
    <row r="102" spans="3:16" x14ac:dyDescent="0.4">
      <c r="C102" s="199"/>
      <c r="D102" s="200"/>
      <c r="E102" s="201"/>
      <c r="F102" s="199"/>
      <c r="H102" s="202"/>
      <c r="I102" s="185" t="str">
        <f t="shared" si="7"/>
        <v/>
      </c>
      <c r="J102" s="203" t="str">
        <f>IF($H102="USD",IF(OR($I102="",$I102="-"),"",VLOOKUP($G102,為替!$A:$AX,$I102,FALSE))+$J$3,IF(OR($I102="",$I102="-"),"",VLOOKUP($G102,為替!$A:$AX,$I102,FALSE)))</f>
        <v/>
      </c>
      <c r="K102" s="204" t="str">
        <f t="shared" si="8"/>
        <v/>
      </c>
      <c r="L102" s="188" t="str">
        <f t="shared" si="9"/>
        <v/>
      </c>
      <c r="M102" s="203" t="str">
        <f>IF($H102="USD",IF(OR($L102="",$L102="-"),"",VLOOKUP($G102,為替!$A:$AX,$L102,FALSE))+$K$3,IF(OR($L102="",$L102="-"),"",VLOOKUP($G102,為替!$A:$AX,$L102,FALSE)))</f>
        <v/>
      </c>
      <c r="N102" s="204" t="str">
        <f t="shared" si="10"/>
        <v/>
      </c>
      <c r="O102" s="205" t="str">
        <f t="shared" si="6"/>
        <v/>
      </c>
      <c r="P102" s="206" t="str">
        <f t="shared" si="11"/>
        <v/>
      </c>
    </row>
    <row r="103" spans="3:16" x14ac:dyDescent="0.4">
      <c r="C103" s="199"/>
      <c r="D103" s="200"/>
      <c r="E103" s="201"/>
      <c r="F103" s="199"/>
      <c r="H103" s="202"/>
      <c r="I103" s="185" t="str">
        <f t="shared" si="7"/>
        <v/>
      </c>
      <c r="J103" s="203" t="str">
        <f>IF($H103="USD",IF(OR($I103="",$I103="-"),"",VLOOKUP($G103,為替!$A:$AX,$I103,FALSE))+$J$3,IF(OR($I103="",$I103="-"),"",VLOOKUP($G103,為替!$A:$AX,$I103,FALSE)))</f>
        <v/>
      </c>
      <c r="K103" s="204" t="str">
        <f t="shared" si="8"/>
        <v/>
      </c>
      <c r="L103" s="188" t="str">
        <f t="shared" si="9"/>
        <v/>
      </c>
      <c r="M103" s="203" t="str">
        <f>IF($H103="USD",IF(OR($L103="",$L103="-"),"",VLOOKUP($G103,為替!$A:$AX,$L103,FALSE))+$K$3,IF(OR($L103="",$L103="-"),"",VLOOKUP($G103,為替!$A:$AX,$L103,FALSE)))</f>
        <v/>
      </c>
      <c r="N103" s="204" t="str">
        <f t="shared" si="10"/>
        <v/>
      </c>
      <c r="O103" s="205" t="str">
        <f t="shared" si="6"/>
        <v/>
      </c>
      <c r="P103" s="206" t="str">
        <f t="shared" si="11"/>
        <v/>
      </c>
    </row>
    <row r="104" spans="3:16" x14ac:dyDescent="0.4">
      <c r="C104" s="199"/>
      <c r="D104" s="200"/>
      <c r="E104" s="201"/>
      <c r="F104" s="199"/>
      <c r="H104" s="202"/>
      <c r="I104" s="185" t="str">
        <f t="shared" si="7"/>
        <v/>
      </c>
      <c r="J104" s="203" t="str">
        <f>IF($H104="USD",IF(OR($I104="",$I104="-"),"",VLOOKUP($G104,為替!$A:$AX,$I104,FALSE))+$J$3,IF(OR($I104="",$I104="-"),"",VLOOKUP($G104,為替!$A:$AX,$I104,FALSE)))</f>
        <v/>
      </c>
      <c r="K104" s="204" t="str">
        <f t="shared" si="8"/>
        <v/>
      </c>
      <c r="L104" s="188" t="str">
        <f t="shared" si="9"/>
        <v/>
      </c>
      <c r="M104" s="203" t="str">
        <f>IF($H104="USD",IF(OR($L104="",$L104="-"),"",VLOOKUP($G104,為替!$A:$AX,$L104,FALSE))+$K$3,IF(OR($L104="",$L104="-"),"",VLOOKUP($G104,為替!$A:$AX,$L104,FALSE)))</f>
        <v/>
      </c>
      <c r="N104" s="204" t="str">
        <f t="shared" si="10"/>
        <v/>
      </c>
      <c r="O104" s="205" t="str">
        <f t="shared" si="6"/>
        <v/>
      </c>
      <c r="P104" s="206" t="str">
        <f t="shared" si="11"/>
        <v/>
      </c>
    </row>
    <row r="105" spans="3:16" x14ac:dyDescent="0.4">
      <c r="C105" s="199"/>
      <c r="D105" s="200"/>
      <c r="E105" s="201"/>
      <c r="F105" s="199"/>
      <c r="H105" s="202"/>
      <c r="I105" s="185" t="str">
        <f t="shared" si="7"/>
        <v/>
      </c>
      <c r="J105" s="203" t="str">
        <f>IF($H105="USD",IF(OR($I105="",$I105="-"),"",VLOOKUP($G105,為替!$A:$AX,$I105,FALSE))+$J$3,IF(OR($I105="",$I105="-"),"",VLOOKUP($G105,為替!$A:$AX,$I105,FALSE)))</f>
        <v/>
      </c>
      <c r="K105" s="204" t="str">
        <f t="shared" si="8"/>
        <v/>
      </c>
      <c r="L105" s="188" t="str">
        <f t="shared" si="9"/>
        <v/>
      </c>
      <c r="M105" s="203" t="str">
        <f>IF($H105="USD",IF(OR($L105="",$L105="-"),"",VLOOKUP($G105,為替!$A:$AX,$L105,FALSE))+$K$3,IF(OR($L105="",$L105="-"),"",VLOOKUP($G105,為替!$A:$AX,$L105,FALSE)))</f>
        <v/>
      </c>
      <c r="N105" s="204" t="str">
        <f t="shared" si="10"/>
        <v/>
      </c>
      <c r="O105" s="205" t="str">
        <f t="shared" si="6"/>
        <v/>
      </c>
      <c r="P105" s="206" t="str">
        <f t="shared" si="11"/>
        <v/>
      </c>
    </row>
    <row r="106" spans="3:16" x14ac:dyDescent="0.4">
      <c r="C106" s="199"/>
      <c r="D106" s="200"/>
      <c r="E106" s="201"/>
      <c r="F106" s="199"/>
      <c r="H106" s="202"/>
      <c r="I106" s="185" t="str">
        <f t="shared" si="7"/>
        <v/>
      </c>
      <c r="J106" s="203" t="str">
        <f>IF($H106="USD",IF(OR($I106="",$I106="-"),"",VLOOKUP($G106,為替!$A:$AX,$I106,FALSE))+$J$3,IF(OR($I106="",$I106="-"),"",VLOOKUP($G106,為替!$A:$AX,$I106,FALSE)))</f>
        <v/>
      </c>
      <c r="K106" s="204" t="str">
        <f t="shared" si="8"/>
        <v/>
      </c>
      <c r="L106" s="188" t="str">
        <f t="shared" si="9"/>
        <v/>
      </c>
      <c r="M106" s="203" t="str">
        <f>IF($H106="USD",IF(OR($L106="",$L106="-"),"",VLOOKUP($G106,為替!$A:$AX,$L106,FALSE))+$K$3,IF(OR($L106="",$L106="-"),"",VLOOKUP($G106,為替!$A:$AX,$L106,FALSE)))</f>
        <v/>
      </c>
      <c r="N106" s="204" t="str">
        <f t="shared" si="10"/>
        <v/>
      </c>
      <c r="O106" s="205" t="str">
        <f t="shared" si="6"/>
        <v/>
      </c>
      <c r="P106" s="206" t="str">
        <f t="shared" si="11"/>
        <v/>
      </c>
    </row>
    <row r="107" spans="3:16" x14ac:dyDescent="0.4">
      <c r="C107" s="199"/>
      <c r="D107" s="200"/>
      <c r="E107" s="201"/>
      <c r="F107" s="199"/>
      <c r="H107" s="202"/>
      <c r="I107" s="185" t="str">
        <f t="shared" si="7"/>
        <v/>
      </c>
      <c r="J107" s="203" t="str">
        <f>IF($H107="USD",IF(OR($I107="",$I107="-"),"",VLOOKUP($G107,為替!$A:$AX,$I107,FALSE))+$J$3,IF(OR($I107="",$I107="-"),"",VLOOKUP($G107,為替!$A:$AX,$I107,FALSE)))</f>
        <v/>
      </c>
      <c r="K107" s="204" t="str">
        <f t="shared" si="8"/>
        <v/>
      </c>
      <c r="L107" s="188" t="str">
        <f t="shared" si="9"/>
        <v/>
      </c>
      <c r="M107" s="203" t="str">
        <f>IF($H107="USD",IF(OR($L107="",$L107="-"),"",VLOOKUP($G107,為替!$A:$AX,$L107,FALSE))+$K$3,IF(OR($L107="",$L107="-"),"",VLOOKUP($G107,為替!$A:$AX,$L107,FALSE)))</f>
        <v/>
      </c>
      <c r="N107" s="204" t="str">
        <f t="shared" si="10"/>
        <v/>
      </c>
      <c r="O107" s="205" t="str">
        <f t="shared" si="6"/>
        <v/>
      </c>
      <c r="P107" s="206" t="str">
        <f t="shared" si="11"/>
        <v/>
      </c>
    </row>
    <row r="108" spans="3:16" x14ac:dyDescent="0.4">
      <c r="C108" s="199"/>
      <c r="D108" s="200"/>
      <c r="E108" s="201"/>
      <c r="F108" s="199"/>
      <c r="H108" s="202"/>
      <c r="I108" s="185" t="str">
        <f t="shared" si="7"/>
        <v/>
      </c>
      <c r="J108" s="203" t="str">
        <f>IF($H108="USD",IF(OR($I108="",$I108="-"),"",VLOOKUP($G108,為替!$A:$AX,$I108,FALSE))+$J$3,IF(OR($I108="",$I108="-"),"",VLOOKUP($G108,為替!$A:$AX,$I108,FALSE)))</f>
        <v/>
      </c>
      <c r="K108" s="204" t="str">
        <f t="shared" si="8"/>
        <v/>
      </c>
      <c r="L108" s="188" t="str">
        <f t="shared" si="9"/>
        <v/>
      </c>
      <c r="M108" s="203" t="str">
        <f>IF($H108="USD",IF(OR($L108="",$L108="-"),"",VLOOKUP($G108,為替!$A:$AX,$L108,FALSE))+$K$3,IF(OR($L108="",$L108="-"),"",VLOOKUP($G108,為替!$A:$AX,$L108,FALSE)))</f>
        <v/>
      </c>
      <c r="N108" s="204" t="str">
        <f t="shared" si="10"/>
        <v/>
      </c>
      <c r="O108" s="205" t="str">
        <f t="shared" si="6"/>
        <v/>
      </c>
      <c r="P108" s="206" t="str">
        <f t="shared" si="11"/>
        <v/>
      </c>
    </row>
    <row r="109" spans="3:16" x14ac:dyDescent="0.4">
      <c r="C109" s="199"/>
      <c r="D109" s="200"/>
      <c r="E109" s="201"/>
      <c r="F109" s="199"/>
      <c r="H109" s="202"/>
      <c r="I109" s="185" t="str">
        <f t="shared" si="7"/>
        <v/>
      </c>
      <c r="J109" s="203" t="str">
        <f>IF($H109="USD",IF(OR($I109="",$I109="-"),"",VLOOKUP($G109,為替!$A:$AX,$I109,FALSE))+$J$3,IF(OR($I109="",$I109="-"),"",VLOOKUP($G109,為替!$A:$AX,$I109,FALSE)))</f>
        <v/>
      </c>
      <c r="K109" s="204" t="str">
        <f t="shared" si="8"/>
        <v/>
      </c>
      <c r="L109" s="188" t="str">
        <f t="shared" si="9"/>
        <v/>
      </c>
      <c r="M109" s="203" t="str">
        <f>IF($H109="USD",IF(OR($L109="",$L109="-"),"",VLOOKUP($G109,為替!$A:$AX,$L109,FALSE))+$K$3,IF(OR($L109="",$L109="-"),"",VLOOKUP($G109,為替!$A:$AX,$L109,FALSE)))</f>
        <v/>
      </c>
      <c r="N109" s="204" t="str">
        <f t="shared" si="10"/>
        <v/>
      </c>
      <c r="O109" s="205" t="str">
        <f t="shared" si="6"/>
        <v/>
      </c>
      <c r="P109" s="206" t="str">
        <f t="shared" si="11"/>
        <v/>
      </c>
    </row>
    <row r="110" spans="3:16" x14ac:dyDescent="0.4">
      <c r="C110" s="199"/>
      <c r="D110" s="200"/>
      <c r="E110" s="201"/>
      <c r="F110" s="199"/>
      <c r="H110" s="202"/>
      <c r="I110" s="185" t="str">
        <f t="shared" si="7"/>
        <v/>
      </c>
      <c r="J110" s="203" t="str">
        <f>IF($H110="USD",IF(OR($I110="",$I110="-"),"",VLOOKUP($G110,為替!$A:$AX,$I110,FALSE))+$J$3,IF(OR($I110="",$I110="-"),"",VLOOKUP($G110,為替!$A:$AX,$I110,FALSE)))</f>
        <v/>
      </c>
      <c r="K110" s="204" t="str">
        <f t="shared" si="8"/>
        <v/>
      </c>
      <c r="L110" s="188" t="str">
        <f t="shared" si="9"/>
        <v/>
      </c>
      <c r="M110" s="203" t="str">
        <f>IF($H110="USD",IF(OR($L110="",$L110="-"),"",VLOOKUP($G110,為替!$A:$AX,$L110,FALSE))+$K$3,IF(OR($L110="",$L110="-"),"",VLOOKUP($G110,為替!$A:$AX,$L110,FALSE)))</f>
        <v/>
      </c>
      <c r="N110" s="204" t="str">
        <f t="shared" si="10"/>
        <v/>
      </c>
      <c r="O110" s="205" t="str">
        <f t="shared" si="6"/>
        <v/>
      </c>
      <c r="P110" s="206" t="str">
        <f t="shared" si="11"/>
        <v/>
      </c>
    </row>
    <row r="111" spans="3:16" x14ac:dyDescent="0.4">
      <c r="C111" s="199"/>
      <c r="D111" s="200"/>
      <c r="E111" s="201"/>
      <c r="F111" s="199"/>
      <c r="H111" s="202"/>
      <c r="I111" s="185" t="str">
        <f t="shared" si="7"/>
        <v/>
      </c>
      <c r="J111" s="203" t="str">
        <f>IF($H111="USD",IF(OR($I111="",$I111="-"),"",VLOOKUP($G111,為替!$A:$AX,$I111,FALSE))+$J$3,IF(OR($I111="",$I111="-"),"",VLOOKUP($G111,為替!$A:$AX,$I111,FALSE)))</f>
        <v/>
      </c>
      <c r="K111" s="204" t="str">
        <f t="shared" si="8"/>
        <v/>
      </c>
      <c r="L111" s="188" t="str">
        <f t="shared" si="9"/>
        <v/>
      </c>
      <c r="M111" s="203" t="str">
        <f>IF($H111="USD",IF(OR($L111="",$L111="-"),"",VLOOKUP($G111,為替!$A:$AX,$L111,FALSE))+$K$3,IF(OR($L111="",$L111="-"),"",VLOOKUP($G111,為替!$A:$AX,$L111,FALSE)))</f>
        <v/>
      </c>
      <c r="N111" s="204" t="str">
        <f t="shared" si="10"/>
        <v/>
      </c>
      <c r="O111" s="205" t="str">
        <f t="shared" si="6"/>
        <v/>
      </c>
      <c r="P111" s="206" t="str">
        <f t="shared" si="11"/>
        <v/>
      </c>
    </row>
    <row r="112" spans="3:16" x14ac:dyDescent="0.4">
      <c r="C112" s="199"/>
      <c r="D112" s="200"/>
      <c r="E112" s="201"/>
      <c r="F112" s="199"/>
      <c r="H112" s="202"/>
      <c r="I112" s="185" t="str">
        <f t="shared" si="7"/>
        <v/>
      </c>
      <c r="J112" s="203" t="str">
        <f>IF($H112="USD",IF(OR($I112="",$I112="-"),"",VLOOKUP($G112,為替!$A:$AX,$I112,FALSE))+$J$3,IF(OR($I112="",$I112="-"),"",VLOOKUP($G112,為替!$A:$AX,$I112,FALSE)))</f>
        <v/>
      </c>
      <c r="K112" s="204" t="str">
        <f t="shared" si="8"/>
        <v/>
      </c>
      <c r="L112" s="188" t="str">
        <f t="shared" si="9"/>
        <v/>
      </c>
      <c r="M112" s="203" t="str">
        <f>IF($H112="USD",IF(OR($L112="",$L112="-"),"",VLOOKUP($G112,為替!$A:$AX,$L112,FALSE))+$K$3,IF(OR($L112="",$L112="-"),"",VLOOKUP($G112,為替!$A:$AX,$L112,FALSE)))</f>
        <v/>
      </c>
      <c r="N112" s="204" t="str">
        <f t="shared" si="10"/>
        <v/>
      </c>
      <c r="O112" s="205" t="str">
        <f t="shared" si="6"/>
        <v/>
      </c>
      <c r="P112" s="206" t="str">
        <f t="shared" si="11"/>
        <v/>
      </c>
    </row>
    <row r="113" spans="3:16" x14ac:dyDescent="0.4">
      <c r="C113" s="199"/>
      <c r="D113" s="200"/>
      <c r="E113" s="201"/>
      <c r="F113" s="199"/>
      <c r="H113" s="202"/>
      <c r="I113" s="185" t="str">
        <f t="shared" si="7"/>
        <v/>
      </c>
      <c r="J113" s="203" t="str">
        <f>IF($H113="USD",IF(OR($I113="",$I113="-"),"",VLOOKUP($G113,為替!$A:$AX,$I113,FALSE))+$J$3,IF(OR($I113="",$I113="-"),"",VLOOKUP($G113,為替!$A:$AX,$I113,FALSE)))</f>
        <v/>
      </c>
      <c r="K113" s="204" t="str">
        <f t="shared" si="8"/>
        <v/>
      </c>
      <c r="L113" s="188" t="str">
        <f t="shared" si="9"/>
        <v/>
      </c>
      <c r="M113" s="203" t="str">
        <f>IF($H113="USD",IF(OR($L113="",$L113="-"),"",VLOOKUP($G113,為替!$A:$AX,$L113,FALSE))+$K$3,IF(OR($L113="",$L113="-"),"",VLOOKUP($G113,為替!$A:$AX,$L113,FALSE)))</f>
        <v/>
      </c>
      <c r="N113" s="204" t="str">
        <f t="shared" si="10"/>
        <v/>
      </c>
      <c r="O113" s="205" t="str">
        <f t="shared" si="6"/>
        <v/>
      </c>
      <c r="P113" s="206" t="str">
        <f t="shared" si="11"/>
        <v/>
      </c>
    </row>
    <row r="114" spans="3:16" x14ac:dyDescent="0.4">
      <c r="C114" s="199"/>
      <c r="D114" s="200"/>
      <c r="E114" s="201"/>
      <c r="F114" s="199"/>
      <c r="H114" s="202"/>
      <c r="I114" s="185" t="str">
        <f t="shared" si="7"/>
        <v/>
      </c>
      <c r="J114" s="203" t="str">
        <f>IF($H114="USD",IF(OR($I114="",$I114="-"),"",VLOOKUP($G114,為替!$A:$AX,$I114,FALSE))+$J$3,IF(OR($I114="",$I114="-"),"",VLOOKUP($G114,為替!$A:$AX,$I114,FALSE)))</f>
        <v/>
      </c>
      <c r="K114" s="204" t="str">
        <f t="shared" si="8"/>
        <v/>
      </c>
      <c r="L114" s="188" t="str">
        <f t="shared" si="9"/>
        <v/>
      </c>
      <c r="M114" s="203" t="str">
        <f>IF($H114="USD",IF(OR($L114="",$L114="-"),"",VLOOKUP($G114,為替!$A:$AX,$L114,FALSE))+$K$3,IF(OR($L114="",$L114="-"),"",VLOOKUP($G114,為替!$A:$AX,$L114,FALSE)))</f>
        <v/>
      </c>
      <c r="N114" s="204" t="str">
        <f t="shared" si="10"/>
        <v/>
      </c>
      <c r="O114" s="205" t="str">
        <f t="shared" si="6"/>
        <v/>
      </c>
      <c r="P114" s="206" t="str">
        <f t="shared" si="11"/>
        <v/>
      </c>
    </row>
    <row r="115" spans="3:16" x14ac:dyDescent="0.4">
      <c r="C115" s="199"/>
      <c r="D115" s="200"/>
      <c r="E115" s="201"/>
      <c r="F115" s="199"/>
      <c r="H115" s="202"/>
      <c r="I115" s="185" t="str">
        <f t="shared" si="7"/>
        <v/>
      </c>
      <c r="J115" s="203" t="str">
        <f>IF($H115="USD",IF(OR($I115="",$I115="-"),"",VLOOKUP($G115,為替!$A:$AX,$I115,FALSE))+$J$3,IF(OR($I115="",$I115="-"),"",VLOOKUP($G115,為替!$A:$AX,$I115,FALSE)))</f>
        <v/>
      </c>
      <c r="K115" s="204" t="str">
        <f t="shared" si="8"/>
        <v/>
      </c>
      <c r="L115" s="188" t="str">
        <f t="shared" si="9"/>
        <v/>
      </c>
      <c r="M115" s="203" t="str">
        <f>IF($H115="USD",IF(OR($L115="",$L115="-"),"",VLOOKUP($G115,為替!$A:$AX,$L115,FALSE))+$K$3,IF(OR($L115="",$L115="-"),"",VLOOKUP($G115,為替!$A:$AX,$L115,FALSE)))</f>
        <v/>
      </c>
      <c r="N115" s="204" t="str">
        <f t="shared" si="10"/>
        <v/>
      </c>
      <c r="O115" s="205" t="str">
        <f t="shared" si="6"/>
        <v/>
      </c>
      <c r="P115" s="206" t="str">
        <f t="shared" si="11"/>
        <v/>
      </c>
    </row>
    <row r="116" spans="3:16" x14ac:dyDescent="0.4">
      <c r="C116" s="199"/>
      <c r="D116" s="200"/>
      <c r="E116" s="201"/>
      <c r="F116" s="199"/>
      <c r="H116" s="202"/>
      <c r="I116" s="185" t="str">
        <f t="shared" si="7"/>
        <v/>
      </c>
      <c r="J116" s="203" t="str">
        <f>IF($H116="USD",IF(OR($I116="",$I116="-"),"",VLOOKUP($G116,為替!$A:$AX,$I116,FALSE))+$J$3,IF(OR($I116="",$I116="-"),"",VLOOKUP($G116,為替!$A:$AX,$I116,FALSE)))</f>
        <v/>
      </c>
      <c r="K116" s="204" t="str">
        <f t="shared" si="8"/>
        <v/>
      </c>
      <c r="L116" s="188" t="str">
        <f t="shared" si="9"/>
        <v/>
      </c>
      <c r="M116" s="203" t="str">
        <f>IF($H116="USD",IF(OR($L116="",$L116="-"),"",VLOOKUP($G116,為替!$A:$AX,$L116,FALSE))+$K$3,IF(OR($L116="",$L116="-"),"",VLOOKUP($G116,為替!$A:$AX,$L116,FALSE)))</f>
        <v/>
      </c>
      <c r="N116" s="204" t="str">
        <f t="shared" si="10"/>
        <v/>
      </c>
      <c r="O116" s="205" t="str">
        <f t="shared" si="6"/>
        <v/>
      </c>
      <c r="P116" s="206" t="str">
        <f t="shared" si="11"/>
        <v/>
      </c>
    </row>
    <row r="117" spans="3:16" x14ac:dyDescent="0.4">
      <c r="C117" s="199"/>
      <c r="D117" s="200"/>
      <c r="E117" s="201"/>
      <c r="F117" s="199"/>
      <c r="H117" s="202"/>
      <c r="I117" s="185" t="str">
        <f t="shared" si="7"/>
        <v/>
      </c>
      <c r="J117" s="203" t="str">
        <f>IF($H117="USD",IF(OR($I117="",$I117="-"),"",VLOOKUP($G117,為替!$A:$AX,$I117,FALSE))+$J$3,IF(OR($I117="",$I117="-"),"",VLOOKUP($G117,為替!$A:$AX,$I117,FALSE)))</f>
        <v/>
      </c>
      <c r="K117" s="204" t="str">
        <f t="shared" si="8"/>
        <v/>
      </c>
      <c r="L117" s="188" t="str">
        <f t="shared" si="9"/>
        <v/>
      </c>
      <c r="M117" s="203" t="str">
        <f>IF($H117="USD",IF(OR($L117="",$L117="-"),"",VLOOKUP($G117,為替!$A:$AX,$L117,FALSE))+$K$3,IF(OR($L117="",$L117="-"),"",VLOOKUP($G117,為替!$A:$AX,$L117,FALSE)))</f>
        <v/>
      </c>
      <c r="N117" s="204" t="str">
        <f t="shared" si="10"/>
        <v/>
      </c>
      <c r="O117" s="205" t="str">
        <f t="shared" si="6"/>
        <v/>
      </c>
      <c r="P117" s="206" t="str">
        <f t="shared" si="11"/>
        <v/>
      </c>
    </row>
    <row r="118" spans="3:16" x14ac:dyDescent="0.4">
      <c r="C118" s="199"/>
      <c r="D118" s="200"/>
      <c r="E118" s="201"/>
      <c r="F118" s="199"/>
      <c r="H118" s="202"/>
      <c r="I118" s="185" t="str">
        <f t="shared" si="7"/>
        <v/>
      </c>
      <c r="J118" s="203" t="str">
        <f>IF($H118="USD",IF(OR($I118="",$I118="-"),"",VLOOKUP($G118,為替!$A:$AX,$I118,FALSE))+$J$3,IF(OR($I118="",$I118="-"),"",VLOOKUP($G118,為替!$A:$AX,$I118,FALSE)))</f>
        <v/>
      </c>
      <c r="K118" s="204" t="str">
        <f t="shared" si="8"/>
        <v/>
      </c>
      <c r="L118" s="188" t="str">
        <f t="shared" si="9"/>
        <v/>
      </c>
      <c r="M118" s="203" t="str">
        <f>IF($H118="USD",IF(OR($L118="",$L118="-"),"",VLOOKUP($G118,為替!$A:$AX,$L118,FALSE))+$K$3,IF(OR($L118="",$L118="-"),"",VLOOKUP($G118,為替!$A:$AX,$L118,FALSE)))</f>
        <v/>
      </c>
      <c r="N118" s="204" t="str">
        <f t="shared" si="10"/>
        <v/>
      </c>
      <c r="O118" s="205" t="str">
        <f t="shared" si="6"/>
        <v/>
      </c>
      <c r="P118" s="206" t="str">
        <f t="shared" si="11"/>
        <v/>
      </c>
    </row>
    <row r="119" spans="3:16" x14ac:dyDescent="0.4">
      <c r="C119" s="199"/>
      <c r="D119" s="200"/>
      <c r="E119" s="201"/>
      <c r="F119" s="199"/>
      <c r="H119" s="202"/>
      <c r="I119" s="185" t="str">
        <f t="shared" si="7"/>
        <v/>
      </c>
      <c r="J119" s="203" t="str">
        <f>IF($H119="USD",IF(OR($I119="",$I119="-"),"",VLOOKUP($G119,為替!$A:$AX,$I119,FALSE))+$J$3,IF(OR($I119="",$I119="-"),"",VLOOKUP($G119,為替!$A:$AX,$I119,FALSE)))</f>
        <v/>
      </c>
      <c r="K119" s="204" t="str">
        <f t="shared" si="8"/>
        <v/>
      </c>
      <c r="L119" s="188" t="str">
        <f t="shared" si="9"/>
        <v/>
      </c>
      <c r="M119" s="203" t="str">
        <f>IF($H119="USD",IF(OR($L119="",$L119="-"),"",VLOOKUP($G119,為替!$A:$AX,$L119,FALSE))+$K$3,IF(OR($L119="",$L119="-"),"",VLOOKUP($G119,為替!$A:$AX,$L119,FALSE)))</f>
        <v/>
      </c>
      <c r="N119" s="204" t="str">
        <f t="shared" si="10"/>
        <v/>
      </c>
      <c r="O119" s="205" t="str">
        <f t="shared" si="6"/>
        <v/>
      </c>
      <c r="P119" s="206" t="str">
        <f t="shared" si="11"/>
        <v/>
      </c>
    </row>
    <row r="120" spans="3:16" x14ac:dyDescent="0.4">
      <c r="C120" s="199"/>
      <c r="D120" s="200"/>
      <c r="E120" s="201"/>
      <c r="F120" s="199"/>
      <c r="H120" s="202"/>
      <c r="I120" s="185" t="str">
        <f t="shared" si="7"/>
        <v/>
      </c>
      <c r="J120" s="203" t="str">
        <f>IF($H120="USD",IF(OR($I120="",$I120="-"),"",VLOOKUP($G120,為替!$A:$AX,$I120,FALSE))+$J$3,IF(OR($I120="",$I120="-"),"",VLOOKUP($G120,為替!$A:$AX,$I120,FALSE)))</f>
        <v/>
      </c>
      <c r="K120" s="204" t="str">
        <f t="shared" si="8"/>
        <v/>
      </c>
      <c r="L120" s="188" t="str">
        <f t="shared" si="9"/>
        <v/>
      </c>
      <c r="M120" s="203" t="str">
        <f>IF($H120="USD",IF(OR($L120="",$L120="-"),"",VLOOKUP($G120,為替!$A:$AX,$L120,FALSE))+$K$3,IF(OR($L120="",$L120="-"),"",VLOOKUP($G120,為替!$A:$AX,$L120,FALSE)))</f>
        <v/>
      </c>
      <c r="N120" s="204" t="str">
        <f t="shared" si="10"/>
        <v/>
      </c>
      <c r="O120" s="205" t="str">
        <f t="shared" si="6"/>
        <v/>
      </c>
      <c r="P120" s="206" t="str">
        <f t="shared" si="11"/>
        <v/>
      </c>
    </row>
    <row r="121" spans="3:16" x14ac:dyDescent="0.4">
      <c r="C121" s="199"/>
      <c r="D121" s="200"/>
      <c r="E121" s="201"/>
      <c r="F121" s="199"/>
      <c r="H121" s="202"/>
      <c r="I121" s="185" t="str">
        <f t="shared" si="7"/>
        <v/>
      </c>
      <c r="J121" s="203" t="str">
        <f>IF($H121="USD",IF(OR($I121="",$I121="-"),"",VLOOKUP($G121,為替!$A:$AX,$I121,FALSE))+$J$3,IF(OR($I121="",$I121="-"),"",VLOOKUP($G121,為替!$A:$AX,$I121,FALSE)))</f>
        <v/>
      </c>
      <c r="K121" s="204" t="str">
        <f t="shared" si="8"/>
        <v/>
      </c>
      <c r="L121" s="188" t="str">
        <f t="shared" si="9"/>
        <v/>
      </c>
      <c r="M121" s="203" t="str">
        <f>IF($H121="USD",IF(OR($L121="",$L121="-"),"",VLOOKUP($G121,為替!$A:$AX,$L121,FALSE))+$K$3,IF(OR($L121="",$L121="-"),"",VLOOKUP($G121,為替!$A:$AX,$L121,FALSE)))</f>
        <v/>
      </c>
      <c r="N121" s="204" t="str">
        <f t="shared" si="10"/>
        <v/>
      </c>
      <c r="O121" s="205" t="str">
        <f t="shared" si="6"/>
        <v/>
      </c>
      <c r="P121" s="206" t="str">
        <f t="shared" si="11"/>
        <v/>
      </c>
    </row>
    <row r="122" spans="3:16" x14ac:dyDescent="0.4">
      <c r="C122" s="199"/>
      <c r="D122" s="200"/>
      <c r="E122" s="201"/>
      <c r="F122" s="199"/>
      <c r="H122" s="202"/>
      <c r="I122" s="185" t="str">
        <f t="shared" si="7"/>
        <v/>
      </c>
      <c r="J122" s="203" t="str">
        <f>IF($H122="USD",IF(OR($I122="",$I122="-"),"",VLOOKUP($G122,為替!$A:$AX,$I122,FALSE))+$J$3,IF(OR($I122="",$I122="-"),"",VLOOKUP($G122,為替!$A:$AX,$I122,FALSE)))</f>
        <v/>
      </c>
      <c r="K122" s="204" t="str">
        <f t="shared" si="8"/>
        <v/>
      </c>
      <c r="L122" s="188" t="str">
        <f t="shared" si="9"/>
        <v/>
      </c>
      <c r="M122" s="203" t="str">
        <f>IF($H122="USD",IF(OR($L122="",$L122="-"),"",VLOOKUP($G122,為替!$A:$AX,$L122,FALSE))+$K$3,IF(OR($L122="",$L122="-"),"",VLOOKUP($G122,為替!$A:$AX,$L122,FALSE)))</f>
        <v/>
      </c>
      <c r="N122" s="204" t="str">
        <f t="shared" si="10"/>
        <v/>
      </c>
      <c r="O122" s="205" t="str">
        <f t="shared" si="6"/>
        <v/>
      </c>
      <c r="P122" s="206" t="str">
        <f t="shared" si="11"/>
        <v/>
      </c>
    </row>
    <row r="123" spans="3:16" x14ac:dyDescent="0.4">
      <c r="C123" s="199"/>
      <c r="D123" s="200"/>
      <c r="E123" s="201"/>
      <c r="F123" s="199"/>
      <c r="H123" s="202"/>
      <c r="I123" s="185" t="str">
        <f t="shared" si="7"/>
        <v/>
      </c>
      <c r="J123" s="203" t="str">
        <f>IF($H123="USD",IF(OR($I123="",$I123="-"),"",VLOOKUP($G123,為替!$A:$AX,$I123,FALSE))+$J$3,IF(OR($I123="",$I123="-"),"",VLOOKUP($G123,為替!$A:$AX,$I123,FALSE)))</f>
        <v/>
      </c>
      <c r="K123" s="204" t="str">
        <f t="shared" si="8"/>
        <v/>
      </c>
      <c r="L123" s="188" t="str">
        <f t="shared" si="9"/>
        <v/>
      </c>
      <c r="M123" s="203" t="str">
        <f>IF($H123="USD",IF(OR($L123="",$L123="-"),"",VLOOKUP($G123,為替!$A:$AX,$L123,FALSE))+$K$3,IF(OR($L123="",$L123="-"),"",VLOOKUP($G123,為替!$A:$AX,$L123,FALSE)))</f>
        <v/>
      </c>
      <c r="N123" s="204" t="str">
        <f t="shared" si="10"/>
        <v/>
      </c>
      <c r="O123" s="205" t="str">
        <f t="shared" si="6"/>
        <v/>
      </c>
      <c r="P123" s="206" t="str">
        <f t="shared" si="11"/>
        <v/>
      </c>
    </row>
    <row r="124" spans="3:16" x14ac:dyDescent="0.4">
      <c r="C124" s="199"/>
      <c r="D124" s="200"/>
      <c r="E124" s="201"/>
      <c r="F124" s="199"/>
      <c r="H124" s="202"/>
      <c r="I124" s="185" t="str">
        <f t="shared" si="7"/>
        <v/>
      </c>
      <c r="J124" s="203" t="str">
        <f>IF($H124="USD",IF(OR($I124="",$I124="-"),"",VLOOKUP($G124,為替!$A:$AX,$I124,FALSE))+$J$3,IF(OR($I124="",$I124="-"),"",VLOOKUP($G124,為替!$A:$AX,$I124,FALSE)))</f>
        <v/>
      </c>
      <c r="K124" s="204" t="str">
        <f t="shared" si="8"/>
        <v/>
      </c>
      <c r="L124" s="188" t="str">
        <f t="shared" si="9"/>
        <v/>
      </c>
      <c r="M124" s="203" t="str">
        <f>IF($H124="USD",IF(OR($L124="",$L124="-"),"",VLOOKUP($G124,為替!$A:$AX,$L124,FALSE))+$K$3,IF(OR($L124="",$L124="-"),"",VLOOKUP($G124,為替!$A:$AX,$L124,FALSE)))</f>
        <v/>
      </c>
      <c r="N124" s="204" t="str">
        <f t="shared" si="10"/>
        <v/>
      </c>
      <c r="O124" s="205" t="str">
        <f t="shared" si="6"/>
        <v/>
      </c>
      <c r="P124" s="206" t="str">
        <f t="shared" si="11"/>
        <v/>
      </c>
    </row>
    <row r="125" spans="3:16" x14ac:dyDescent="0.4">
      <c r="C125" s="199"/>
      <c r="D125" s="200"/>
      <c r="E125" s="201"/>
      <c r="F125" s="199"/>
      <c r="H125" s="202"/>
      <c r="I125" s="185" t="str">
        <f t="shared" si="7"/>
        <v/>
      </c>
      <c r="J125" s="203" t="str">
        <f>IF($H125="USD",IF(OR($I125="",$I125="-"),"",VLOOKUP($G125,為替!$A:$AX,$I125,FALSE))+$J$3,IF(OR($I125="",$I125="-"),"",VLOOKUP($G125,為替!$A:$AX,$I125,FALSE)))</f>
        <v/>
      </c>
      <c r="K125" s="204" t="str">
        <f t="shared" si="8"/>
        <v/>
      </c>
      <c r="L125" s="188" t="str">
        <f t="shared" si="9"/>
        <v/>
      </c>
      <c r="M125" s="203" t="str">
        <f>IF($H125="USD",IF(OR($L125="",$L125="-"),"",VLOOKUP($G125,為替!$A:$AX,$L125,FALSE))+$K$3,IF(OR($L125="",$L125="-"),"",VLOOKUP($G125,為替!$A:$AX,$L125,FALSE)))</f>
        <v/>
      </c>
      <c r="N125" s="204" t="str">
        <f t="shared" si="10"/>
        <v/>
      </c>
      <c r="O125" s="205" t="str">
        <f t="shared" si="6"/>
        <v/>
      </c>
      <c r="P125" s="206" t="str">
        <f t="shared" si="11"/>
        <v/>
      </c>
    </row>
    <row r="126" spans="3:16" x14ac:dyDescent="0.4">
      <c r="C126" s="199"/>
      <c r="D126" s="200"/>
      <c r="E126" s="201"/>
      <c r="F126" s="199"/>
      <c r="H126" s="202"/>
      <c r="I126" s="185" t="str">
        <f t="shared" si="7"/>
        <v/>
      </c>
      <c r="J126" s="203" t="str">
        <f>IF($H126="USD",IF(OR($I126="",$I126="-"),"",VLOOKUP($G126,為替!$A:$AX,$I126,FALSE))+$J$3,IF(OR($I126="",$I126="-"),"",VLOOKUP($G126,為替!$A:$AX,$I126,FALSE)))</f>
        <v/>
      </c>
      <c r="K126" s="204" t="str">
        <f t="shared" si="8"/>
        <v/>
      </c>
      <c r="L126" s="188" t="str">
        <f t="shared" si="9"/>
        <v/>
      </c>
      <c r="M126" s="203" t="str">
        <f>IF($H126="USD",IF(OR($L126="",$L126="-"),"",VLOOKUP($G126,為替!$A:$AX,$L126,FALSE))+$K$3,IF(OR($L126="",$L126="-"),"",VLOOKUP($G126,為替!$A:$AX,$L126,FALSE)))</f>
        <v/>
      </c>
      <c r="N126" s="204" t="str">
        <f t="shared" si="10"/>
        <v/>
      </c>
      <c r="O126" s="205" t="str">
        <f t="shared" si="6"/>
        <v/>
      </c>
      <c r="P126" s="206" t="str">
        <f t="shared" si="11"/>
        <v/>
      </c>
    </row>
    <row r="127" spans="3:16" x14ac:dyDescent="0.4">
      <c r="C127" s="199"/>
      <c r="D127" s="200"/>
      <c r="E127" s="201"/>
      <c r="F127" s="199"/>
      <c r="H127" s="202"/>
      <c r="I127" s="185" t="str">
        <f t="shared" si="7"/>
        <v/>
      </c>
      <c r="J127" s="203" t="str">
        <f>IF($H127="USD",IF(OR($I127="",$I127="-"),"",VLOOKUP($G127,為替!$A:$AX,$I127,FALSE))+$J$3,IF(OR($I127="",$I127="-"),"",VLOOKUP($G127,為替!$A:$AX,$I127,FALSE)))</f>
        <v/>
      </c>
      <c r="K127" s="204" t="str">
        <f t="shared" si="8"/>
        <v/>
      </c>
      <c r="L127" s="188" t="str">
        <f t="shared" si="9"/>
        <v/>
      </c>
      <c r="M127" s="203" t="str">
        <f>IF($H127="USD",IF(OR($L127="",$L127="-"),"",VLOOKUP($G127,為替!$A:$AX,$L127,FALSE))+$K$3,IF(OR($L127="",$L127="-"),"",VLOOKUP($G127,為替!$A:$AX,$L127,FALSE)))</f>
        <v/>
      </c>
      <c r="N127" s="204" t="str">
        <f t="shared" si="10"/>
        <v/>
      </c>
      <c r="O127" s="205" t="str">
        <f t="shared" si="6"/>
        <v/>
      </c>
      <c r="P127" s="206" t="str">
        <f t="shared" si="11"/>
        <v/>
      </c>
    </row>
    <row r="128" spans="3:16" x14ac:dyDescent="0.4">
      <c r="C128" s="199"/>
      <c r="D128" s="200"/>
      <c r="E128" s="201"/>
      <c r="F128" s="199"/>
      <c r="H128" s="202"/>
      <c r="I128" s="185" t="str">
        <f t="shared" si="7"/>
        <v/>
      </c>
      <c r="J128" s="203" t="str">
        <f>IF($H128="USD",IF(OR($I128="",$I128="-"),"",VLOOKUP($G128,為替!$A:$AX,$I128,FALSE))+$J$3,IF(OR($I128="",$I128="-"),"",VLOOKUP($G128,為替!$A:$AX,$I128,FALSE)))</f>
        <v/>
      </c>
      <c r="K128" s="204" t="str">
        <f t="shared" si="8"/>
        <v/>
      </c>
      <c r="L128" s="188" t="str">
        <f t="shared" si="9"/>
        <v/>
      </c>
      <c r="M128" s="203" t="str">
        <f>IF($H128="USD",IF(OR($L128="",$L128="-"),"",VLOOKUP($G128,為替!$A:$AX,$L128,FALSE))+$K$3,IF(OR($L128="",$L128="-"),"",VLOOKUP($G128,為替!$A:$AX,$L128,FALSE)))</f>
        <v/>
      </c>
      <c r="N128" s="204" t="str">
        <f t="shared" si="10"/>
        <v/>
      </c>
      <c r="O128" s="205" t="str">
        <f t="shared" si="6"/>
        <v/>
      </c>
      <c r="P128" s="206" t="str">
        <f t="shared" si="11"/>
        <v/>
      </c>
    </row>
    <row r="129" spans="3:16" x14ac:dyDescent="0.4">
      <c r="C129" s="199"/>
      <c r="D129" s="200"/>
      <c r="E129" s="201"/>
      <c r="F129" s="199"/>
      <c r="H129" s="202"/>
      <c r="I129" s="185" t="str">
        <f t="shared" si="7"/>
        <v/>
      </c>
      <c r="J129" s="203" t="str">
        <f>IF($H129="USD",IF(OR($I129="",$I129="-"),"",VLOOKUP($G129,為替!$A:$AX,$I129,FALSE))+$J$3,IF(OR($I129="",$I129="-"),"",VLOOKUP($G129,為替!$A:$AX,$I129,FALSE)))</f>
        <v/>
      </c>
      <c r="K129" s="204" t="str">
        <f t="shared" si="8"/>
        <v/>
      </c>
      <c r="L129" s="188" t="str">
        <f t="shared" si="9"/>
        <v/>
      </c>
      <c r="M129" s="203" t="str">
        <f>IF($H129="USD",IF(OR($L129="",$L129="-"),"",VLOOKUP($G129,為替!$A:$AX,$L129,FALSE))+$K$3,IF(OR($L129="",$L129="-"),"",VLOOKUP($G129,為替!$A:$AX,$L129,FALSE)))</f>
        <v/>
      </c>
      <c r="N129" s="204" t="str">
        <f t="shared" si="10"/>
        <v/>
      </c>
      <c r="O129" s="205" t="str">
        <f t="shared" si="6"/>
        <v/>
      </c>
      <c r="P129" s="206" t="str">
        <f t="shared" si="11"/>
        <v/>
      </c>
    </row>
    <row r="130" spans="3:16" x14ac:dyDescent="0.4">
      <c r="C130" s="199"/>
      <c r="D130" s="200"/>
      <c r="E130" s="201"/>
      <c r="F130" s="199"/>
      <c r="H130" s="202"/>
      <c r="I130" s="185" t="str">
        <f t="shared" si="7"/>
        <v/>
      </c>
      <c r="J130" s="203" t="str">
        <f>IF($H130="USD",IF(OR($I130="",$I130="-"),"",VLOOKUP($G130,為替!$A:$AX,$I130,FALSE))+$J$3,IF(OR($I130="",$I130="-"),"",VLOOKUP($G130,為替!$A:$AX,$I130,FALSE)))</f>
        <v/>
      </c>
      <c r="K130" s="204" t="str">
        <f t="shared" si="8"/>
        <v/>
      </c>
      <c r="L130" s="188" t="str">
        <f t="shared" si="9"/>
        <v/>
      </c>
      <c r="M130" s="203" t="str">
        <f>IF($H130="USD",IF(OR($L130="",$L130="-"),"",VLOOKUP($G130,為替!$A:$AX,$L130,FALSE))+$K$3,IF(OR($L130="",$L130="-"),"",VLOOKUP($G130,為替!$A:$AX,$L130,FALSE)))</f>
        <v/>
      </c>
      <c r="N130" s="204" t="str">
        <f t="shared" si="10"/>
        <v/>
      </c>
      <c r="O130" s="205" t="str">
        <f t="shared" si="6"/>
        <v/>
      </c>
      <c r="P130" s="206" t="str">
        <f t="shared" si="11"/>
        <v/>
      </c>
    </row>
    <row r="131" spans="3:16" x14ac:dyDescent="0.4">
      <c r="C131" s="199"/>
      <c r="D131" s="200"/>
      <c r="E131" s="201"/>
      <c r="F131" s="199"/>
      <c r="H131" s="202"/>
      <c r="I131" s="185" t="str">
        <f t="shared" si="7"/>
        <v/>
      </c>
      <c r="J131" s="203" t="str">
        <f>IF($H131="USD",IF(OR($I131="",$I131="-"),"",VLOOKUP($G131,為替!$A:$AX,$I131,FALSE))+$J$3,IF(OR($I131="",$I131="-"),"",VLOOKUP($G131,為替!$A:$AX,$I131,FALSE)))</f>
        <v/>
      </c>
      <c r="K131" s="204" t="str">
        <f t="shared" si="8"/>
        <v/>
      </c>
      <c r="L131" s="188" t="str">
        <f t="shared" si="9"/>
        <v/>
      </c>
      <c r="M131" s="203" t="str">
        <f>IF($H131="USD",IF(OR($L131="",$L131="-"),"",VLOOKUP($G131,為替!$A:$AX,$L131,FALSE))+$K$3,IF(OR($L131="",$L131="-"),"",VLOOKUP($G131,為替!$A:$AX,$L131,FALSE)))</f>
        <v/>
      </c>
      <c r="N131" s="204" t="str">
        <f t="shared" si="10"/>
        <v/>
      </c>
      <c r="O131" s="205" t="str">
        <f t="shared" si="6"/>
        <v/>
      </c>
      <c r="P131" s="206" t="str">
        <f t="shared" si="11"/>
        <v/>
      </c>
    </row>
    <row r="132" spans="3:16" x14ac:dyDescent="0.4">
      <c r="C132" s="199"/>
      <c r="D132" s="200"/>
      <c r="E132" s="201"/>
      <c r="F132" s="199"/>
      <c r="H132" s="202"/>
      <c r="I132" s="185" t="str">
        <f t="shared" si="7"/>
        <v/>
      </c>
      <c r="J132" s="203" t="str">
        <f>IF($H132="USD",IF(OR($I132="",$I132="-"),"",VLOOKUP($G132,為替!$A:$AX,$I132,FALSE))+$J$3,IF(OR($I132="",$I132="-"),"",VLOOKUP($G132,為替!$A:$AX,$I132,FALSE)))</f>
        <v/>
      </c>
      <c r="K132" s="204" t="str">
        <f t="shared" si="8"/>
        <v/>
      </c>
      <c r="L132" s="188" t="str">
        <f t="shared" si="9"/>
        <v/>
      </c>
      <c r="M132" s="203" t="str">
        <f>IF($H132="USD",IF(OR($L132="",$L132="-"),"",VLOOKUP($G132,為替!$A:$AX,$L132,FALSE))+$K$3,IF(OR($L132="",$L132="-"),"",VLOOKUP($G132,為替!$A:$AX,$L132,FALSE)))</f>
        <v/>
      </c>
      <c r="N132" s="204" t="str">
        <f t="shared" si="10"/>
        <v/>
      </c>
      <c r="O132" s="205" t="str">
        <f t="shared" si="6"/>
        <v/>
      </c>
      <c r="P132" s="206" t="str">
        <f t="shared" si="11"/>
        <v/>
      </c>
    </row>
    <row r="133" spans="3:16" x14ac:dyDescent="0.4">
      <c r="C133" s="199"/>
      <c r="D133" s="200"/>
      <c r="E133" s="201"/>
      <c r="F133" s="199"/>
      <c r="H133" s="202"/>
      <c r="I133" s="185" t="str">
        <f t="shared" si="7"/>
        <v/>
      </c>
      <c r="J133" s="203" t="str">
        <f>IF($H133="USD",IF(OR($I133="",$I133="-"),"",VLOOKUP($G133,為替!$A:$AX,$I133,FALSE))+$J$3,IF(OR($I133="",$I133="-"),"",VLOOKUP($G133,為替!$A:$AX,$I133,FALSE)))</f>
        <v/>
      </c>
      <c r="K133" s="204" t="str">
        <f t="shared" si="8"/>
        <v/>
      </c>
      <c r="L133" s="188" t="str">
        <f t="shared" si="9"/>
        <v/>
      </c>
      <c r="M133" s="203" t="str">
        <f>IF($H133="USD",IF(OR($L133="",$L133="-"),"",VLOOKUP($G133,為替!$A:$AX,$L133,FALSE))+$K$3,IF(OR($L133="",$L133="-"),"",VLOOKUP($G133,為替!$A:$AX,$L133,FALSE)))</f>
        <v/>
      </c>
      <c r="N133" s="204" t="str">
        <f t="shared" si="10"/>
        <v/>
      </c>
      <c r="O133" s="205" t="str">
        <f t="shared" si="6"/>
        <v/>
      </c>
      <c r="P133" s="206" t="str">
        <f t="shared" si="11"/>
        <v/>
      </c>
    </row>
    <row r="134" spans="3:16" x14ac:dyDescent="0.4">
      <c r="C134" s="199"/>
      <c r="D134" s="200"/>
      <c r="E134" s="201"/>
      <c r="F134" s="199"/>
      <c r="H134" s="202"/>
      <c r="I134" s="185" t="str">
        <f t="shared" si="7"/>
        <v/>
      </c>
      <c r="J134" s="203" t="str">
        <f>IF($H134="USD",IF(OR($I134="",$I134="-"),"",VLOOKUP($G134,為替!$A:$AX,$I134,FALSE))+$J$3,IF(OR($I134="",$I134="-"),"",VLOOKUP($G134,為替!$A:$AX,$I134,FALSE)))</f>
        <v/>
      </c>
      <c r="K134" s="204" t="str">
        <f t="shared" si="8"/>
        <v/>
      </c>
      <c r="L134" s="188" t="str">
        <f t="shared" si="9"/>
        <v/>
      </c>
      <c r="M134" s="203" t="str">
        <f>IF($H134="USD",IF(OR($L134="",$L134="-"),"",VLOOKUP($G134,為替!$A:$AX,$L134,FALSE))+$K$3,IF(OR($L134="",$L134="-"),"",VLOOKUP($G134,為替!$A:$AX,$L134,FALSE)))</f>
        <v/>
      </c>
      <c r="N134" s="204" t="str">
        <f t="shared" si="10"/>
        <v/>
      </c>
      <c r="O134" s="205" t="str">
        <f t="shared" ref="O134:O197" si="12">IF(OR(K134="",N134=""),"",K134-N134)</f>
        <v/>
      </c>
      <c r="P134" s="206" t="str">
        <f t="shared" si="11"/>
        <v/>
      </c>
    </row>
    <row r="135" spans="3:16" x14ac:dyDescent="0.4">
      <c r="C135" s="199"/>
      <c r="D135" s="200"/>
      <c r="E135" s="201"/>
      <c r="F135" s="199"/>
      <c r="H135" s="202"/>
      <c r="I135" s="185" t="str">
        <f t="shared" ref="I135:I198" si="13">IF(H135="","",IF(H135="JPY","",IF($H135="USD",4, IF(H135="EUR",7,IF(H135="CNY",47,IF(H135="HKD",34))))))</f>
        <v/>
      </c>
      <c r="J135" s="203" t="str">
        <f>IF($H135="USD",IF(OR($I135="",$I135="-"),"",VLOOKUP($G135,為替!$A:$AX,$I135,FALSE))+$J$3,IF(OR($I135="",$I135="-"),"",VLOOKUP($G135,為替!$A:$AX,$I135,FALSE)))</f>
        <v/>
      </c>
      <c r="K135" s="204" t="str">
        <f t="shared" ref="K135:K198" si="14">IF($H135="JPY",$F135,IF($H135="","",$F135*$J135))</f>
        <v/>
      </c>
      <c r="L135" s="188" t="str">
        <f t="shared" ref="L135:L198" si="15">IF(H135="","",IF(H135="JPY","",IF($H135="USD",3, IF(H135="EUR",6,IF(H135="CNY",46,IF(H135="HKD",33))))))</f>
        <v/>
      </c>
      <c r="M135" s="203" t="str">
        <f>IF($H135="USD",IF(OR($L135="",$L135="-"),"",VLOOKUP($G135,為替!$A:$AX,$L135,FALSE))+$K$3,IF(OR($L135="",$L135="-"),"",VLOOKUP($G135,為替!$A:$AX,$L135,FALSE)))</f>
        <v/>
      </c>
      <c r="N135" s="204" t="str">
        <f t="shared" ref="N135:N198" si="16">IF($E135="JPY",($C135+$D135),IF($E135="","",($C135+$D135)*$M135))</f>
        <v/>
      </c>
      <c r="O135" s="205" t="str">
        <f t="shared" si="12"/>
        <v/>
      </c>
      <c r="P135" s="206" t="str">
        <f t="shared" ref="P135:P198" si="17">IF(OR(K135="",O135=""),"",O135/K135)</f>
        <v/>
      </c>
    </row>
    <row r="136" spans="3:16" x14ac:dyDescent="0.4">
      <c r="C136" s="199"/>
      <c r="D136" s="200"/>
      <c r="E136" s="201"/>
      <c r="F136" s="199"/>
      <c r="H136" s="202"/>
      <c r="I136" s="185" t="str">
        <f t="shared" si="13"/>
        <v/>
      </c>
      <c r="J136" s="203" t="str">
        <f>IF($H136="USD",IF(OR($I136="",$I136="-"),"",VLOOKUP($G136,為替!$A:$AX,$I136,FALSE))+$J$3,IF(OR($I136="",$I136="-"),"",VLOOKUP($G136,為替!$A:$AX,$I136,FALSE)))</f>
        <v/>
      </c>
      <c r="K136" s="204" t="str">
        <f t="shared" si="14"/>
        <v/>
      </c>
      <c r="L136" s="188" t="str">
        <f t="shared" si="15"/>
        <v/>
      </c>
      <c r="M136" s="203" t="str">
        <f>IF($H136="USD",IF(OR($L136="",$L136="-"),"",VLOOKUP($G136,為替!$A:$AX,$L136,FALSE))+$K$3,IF(OR($L136="",$L136="-"),"",VLOOKUP($G136,為替!$A:$AX,$L136,FALSE)))</f>
        <v/>
      </c>
      <c r="N136" s="204" t="str">
        <f t="shared" si="16"/>
        <v/>
      </c>
      <c r="O136" s="205" t="str">
        <f t="shared" si="12"/>
        <v/>
      </c>
      <c r="P136" s="206" t="str">
        <f t="shared" si="17"/>
        <v/>
      </c>
    </row>
    <row r="137" spans="3:16" x14ac:dyDescent="0.4">
      <c r="C137" s="199"/>
      <c r="D137" s="200"/>
      <c r="E137" s="201"/>
      <c r="F137" s="199"/>
      <c r="H137" s="202"/>
      <c r="I137" s="185" t="str">
        <f t="shared" si="13"/>
        <v/>
      </c>
      <c r="J137" s="203" t="str">
        <f>IF($H137="USD",IF(OR($I137="",$I137="-"),"",VLOOKUP($G137,為替!$A:$AX,$I137,FALSE))+$J$3,IF(OR($I137="",$I137="-"),"",VLOOKUP($G137,為替!$A:$AX,$I137,FALSE)))</f>
        <v/>
      </c>
      <c r="K137" s="204" t="str">
        <f t="shared" si="14"/>
        <v/>
      </c>
      <c r="L137" s="188" t="str">
        <f t="shared" si="15"/>
        <v/>
      </c>
      <c r="M137" s="203" t="str">
        <f>IF($H137="USD",IF(OR($L137="",$L137="-"),"",VLOOKUP($G137,為替!$A:$AX,$L137,FALSE))+$K$3,IF(OR($L137="",$L137="-"),"",VLOOKUP($G137,為替!$A:$AX,$L137,FALSE)))</f>
        <v/>
      </c>
      <c r="N137" s="204" t="str">
        <f t="shared" si="16"/>
        <v/>
      </c>
      <c r="O137" s="205" t="str">
        <f t="shared" si="12"/>
        <v/>
      </c>
      <c r="P137" s="206" t="str">
        <f t="shared" si="17"/>
        <v/>
      </c>
    </row>
    <row r="138" spans="3:16" x14ac:dyDescent="0.4">
      <c r="C138" s="199"/>
      <c r="D138" s="200"/>
      <c r="E138" s="201"/>
      <c r="F138" s="199"/>
      <c r="H138" s="202"/>
      <c r="I138" s="185" t="str">
        <f t="shared" si="13"/>
        <v/>
      </c>
      <c r="J138" s="203" t="str">
        <f>IF($H138="USD",IF(OR($I138="",$I138="-"),"",VLOOKUP($G138,為替!$A:$AX,$I138,FALSE))+$J$3,IF(OR($I138="",$I138="-"),"",VLOOKUP($G138,為替!$A:$AX,$I138,FALSE)))</f>
        <v/>
      </c>
      <c r="K138" s="204" t="str">
        <f t="shared" si="14"/>
        <v/>
      </c>
      <c r="L138" s="188" t="str">
        <f t="shared" si="15"/>
        <v/>
      </c>
      <c r="M138" s="203" t="str">
        <f>IF($H138="USD",IF(OR($L138="",$L138="-"),"",VLOOKUP($G138,為替!$A:$AX,$L138,FALSE))+$K$3,IF(OR($L138="",$L138="-"),"",VLOOKUP($G138,為替!$A:$AX,$L138,FALSE)))</f>
        <v/>
      </c>
      <c r="N138" s="204" t="str">
        <f t="shared" si="16"/>
        <v/>
      </c>
      <c r="O138" s="205" t="str">
        <f t="shared" si="12"/>
        <v/>
      </c>
      <c r="P138" s="206" t="str">
        <f t="shared" si="17"/>
        <v/>
      </c>
    </row>
    <row r="139" spans="3:16" x14ac:dyDescent="0.4">
      <c r="C139" s="199"/>
      <c r="D139" s="200"/>
      <c r="E139" s="201"/>
      <c r="F139" s="199"/>
      <c r="H139" s="202"/>
      <c r="I139" s="185" t="str">
        <f t="shared" si="13"/>
        <v/>
      </c>
      <c r="J139" s="203" t="str">
        <f>IF($H139="USD",IF(OR($I139="",$I139="-"),"",VLOOKUP($G139,為替!$A:$AX,$I139,FALSE))+$J$3,IF(OR($I139="",$I139="-"),"",VLOOKUP($G139,為替!$A:$AX,$I139,FALSE)))</f>
        <v/>
      </c>
      <c r="K139" s="204" t="str">
        <f t="shared" si="14"/>
        <v/>
      </c>
      <c r="L139" s="188" t="str">
        <f t="shared" si="15"/>
        <v/>
      </c>
      <c r="M139" s="203" t="str">
        <f>IF($H139="USD",IF(OR($L139="",$L139="-"),"",VLOOKUP($G139,為替!$A:$AX,$L139,FALSE))+$K$3,IF(OR($L139="",$L139="-"),"",VLOOKUP($G139,為替!$A:$AX,$L139,FALSE)))</f>
        <v/>
      </c>
      <c r="N139" s="204" t="str">
        <f t="shared" si="16"/>
        <v/>
      </c>
      <c r="O139" s="205" t="str">
        <f t="shared" si="12"/>
        <v/>
      </c>
      <c r="P139" s="206" t="str">
        <f t="shared" si="17"/>
        <v/>
      </c>
    </row>
    <row r="140" spans="3:16" x14ac:dyDescent="0.4">
      <c r="C140" s="199"/>
      <c r="D140" s="200"/>
      <c r="E140" s="201"/>
      <c r="F140" s="199"/>
      <c r="H140" s="202"/>
      <c r="I140" s="185" t="str">
        <f t="shared" si="13"/>
        <v/>
      </c>
      <c r="J140" s="203" t="str">
        <f>IF($H140="USD",IF(OR($I140="",$I140="-"),"",VLOOKUP($G140,為替!$A:$AX,$I140,FALSE))+$J$3,IF(OR($I140="",$I140="-"),"",VLOOKUP($G140,為替!$A:$AX,$I140,FALSE)))</f>
        <v/>
      </c>
      <c r="K140" s="204" t="str">
        <f t="shared" si="14"/>
        <v/>
      </c>
      <c r="L140" s="188" t="str">
        <f t="shared" si="15"/>
        <v/>
      </c>
      <c r="M140" s="203" t="str">
        <f>IF($H140="USD",IF(OR($L140="",$L140="-"),"",VLOOKUP($G140,為替!$A:$AX,$L140,FALSE))+$K$3,IF(OR($L140="",$L140="-"),"",VLOOKUP($G140,為替!$A:$AX,$L140,FALSE)))</f>
        <v/>
      </c>
      <c r="N140" s="204" t="str">
        <f t="shared" si="16"/>
        <v/>
      </c>
      <c r="O140" s="205" t="str">
        <f t="shared" si="12"/>
        <v/>
      </c>
      <c r="P140" s="206" t="str">
        <f t="shared" si="17"/>
        <v/>
      </c>
    </row>
    <row r="141" spans="3:16" x14ac:dyDescent="0.4">
      <c r="C141" s="199"/>
      <c r="D141" s="200"/>
      <c r="E141" s="201"/>
      <c r="F141" s="199"/>
      <c r="H141" s="202"/>
      <c r="I141" s="185" t="str">
        <f t="shared" si="13"/>
        <v/>
      </c>
      <c r="J141" s="203" t="str">
        <f>IF($H141="USD",IF(OR($I141="",$I141="-"),"",VLOOKUP($G141,為替!$A:$AX,$I141,FALSE))+$J$3,IF(OR($I141="",$I141="-"),"",VLOOKUP($G141,為替!$A:$AX,$I141,FALSE)))</f>
        <v/>
      </c>
      <c r="K141" s="204" t="str">
        <f t="shared" si="14"/>
        <v/>
      </c>
      <c r="L141" s="188" t="str">
        <f t="shared" si="15"/>
        <v/>
      </c>
      <c r="M141" s="203" t="str">
        <f>IF($H141="USD",IF(OR($L141="",$L141="-"),"",VLOOKUP($G141,為替!$A:$AX,$L141,FALSE))+$K$3,IF(OR($L141="",$L141="-"),"",VLOOKUP($G141,為替!$A:$AX,$L141,FALSE)))</f>
        <v/>
      </c>
      <c r="N141" s="204" t="str">
        <f t="shared" si="16"/>
        <v/>
      </c>
      <c r="O141" s="205" t="str">
        <f t="shared" si="12"/>
        <v/>
      </c>
      <c r="P141" s="206" t="str">
        <f t="shared" si="17"/>
        <v/>
      </c>
    </row>
    <row r="142" spans="3:16" x14ac:dyDescent="0.4">
      <c r="C142" s="199"/>
      <c r="D142" s="200"/>
      <c r="E142" s="201"/>
      <c r="F142" s="199"/>
      <c r="H142" s="202"/>
      <c r="I142" s="185" t="str">
        <f t="shared" si="13"/>
        <v/>
      </c>
      <c r="J142" s="203" t="str">
        <f>IF($H142="USD",IF(OR($I142="",$I142="-"),"",VLOOKUP($G142,為替!$A:$AX,$I142,FALSE))+$J$3,IF(OR($I142="",$I142="-"),"",VLOOKUP($G142,為替!$A:$AX,$I142,FALSE)))</f>
        <v/>
      </c>
      <c r="K142" s="204" t="str">
        <f t="shared" si="14"/>
        <v/>
      </c>
      <c r="L142" s="188" t="str">
        <f t="shared" si="15"/>
        <v/>
      </c>
      <c r="M142" s="203" t="str">
        <f>IF($H142="USD",IF(OR($L142="",$L142="-"),"",VLOOKUP($G142,為替!$A:$AX,$L142,FALSE))+$K$3,IF(OR($L142="",$L142="-"),"",VLOOKUP($G142,為替!$A:$AX,$L142,FALSE)))</f>
        <v/>
      </c>
      <c r="N142" s="204" t="str">
        <f t="shared" si="16"/>
        <v/>
      </c>
      <c r="O142" s="205" t="str">
        <f t="shared" si="12"/>
        <v/>
      </c>
      <c r="P142" s="206" t="str">
        <f t="shared" si="17"/>
        <v/>
      </c>
    </row>
    <row r="143" spans="3:16" x14ac:dyDescent="0.4">
      <c r="C143" s="199"/>
      <c r="D143" s="200"/>
      <c r="E143" s="201"/>
      <c r="F143" s="199"/>
      <c r="H143" s="202"/>
      <c r="I143" s="185" t="str">
        <f t="shared" si="13"/>
        <v/>
      </c>
      <c r="J143" s="203" t="str">
        <f>IF($H143="USD",IF(OR($I143="",$I143="-"),"",VLOOKUP($G143,為替!$A:$AX,$I143,FALSE))+$J$3,IF(OR($I143="",$I143="-"),"",VLOOKUP($G143,為替!$A:$AX,$I143,FALSE)))</f>
        <v/>
      </c>
      <c r="K143" s="204" t="str">
        <f t="shared" si="14"/>
        <v/>
      </c>
      <c r="L143" s="188" t="str">
        <f t="shared" si="15"/>
        <v/>
      </c>
      <c r="M143" s="203" t="str">
        <f>IF($H143="USD",IF(OR($L143="",$L143="-"),"",VLOOKUP($G143,為替!$A:$AX,$L143,FALSE))+$K$3,IF(OR($L143="",$L143="-"),"",VLOOKUP($G143,為替!$A:$AX,$L143,FALSE)))</f>
        <v/>
      </c>
      <c r="N143" s="204" t="str">
        <f t="shared" si="16"/>
        <v/>
      </c>
      <c r="O143" s="205" t="str">
        <f t="shared" si="12"/>
        <v/>
      </c>
      <c r="P143" s="206" t="str">
        <f t="shared" si="17"/>
        <v/>
      </c>
    </row>
    <row r="144" spans="3:16" x14ac:dyDescent="0.4">
      <c r="C144" s="199"/>
      <c r="D144" s="200"/>
      <c r="E144" s="201"/>
      <c r="F144" s="199"/>
      <c r="H144" s="202"/>
      <c r="I144" s="185" t="str">
        <f t="shared" si="13"/>
        <v/>
      </c>
      <c r="J144" s="203" t="str">
        <f>IF($H144="USD",IF(OR($I144="",$I144="-"),"",VLOOKUP($G144,為替!$A:$AX,$I144,FALSE))+$J$3,IF(OR($I144="",$I144="-"),"",VLOOKUP($G144,為替!$A:$AX,$I144,FALSE)))</f>
        <v/>
      </c>
      <c r="K144" s="204" t="str">
        <f t="shared" si="14"/>
        <v/>
      </c>
      <c r="L144" s="188" t="str">
        <f t="shared" si="15"/>
        <v/>
      </c>
      <c r="M144" s="203" t="str">
        <f>IF($H144="USD",IF(OR($L144="",$L144="-"),"",VLOOKUP($G144,為替!$A:$AX,$L144,FALSE))+$K$3,IF(OR($L144="",$L144="-"),"",VLOOKUP($G144,為替!$A:$AX,$L144,FALSE)))</f>
        <v/>
      </c>
      <c r="N144" s="204" t="str">
        <f t="shared" si="16"/>
        <v/>
      </c>
      <c r="O144" s="205" t="str">
        <f t="shared" si="12"/>
        <v/>
      </c>
      <c r="P144" s="206" t="str">
        <f t="shared" si="17"/>
        <v/>
      </c>
    </row>
    <row r="145" spans="3:16" x14ac:dyDescent="0.4">
      <c r="C145" s="199"/>
      <c r="D145" s="200"/>
      <c r="E145" s="201"/>
      <c r="F145" s="199"/>
      <c r="H145" s="202"/>
      <c r="I145" s="185" t="str">
        <f t="shared" si="13"/>
        <v/>
      </c>
      <c r="J145" s="203" t="str">
        <f>IF($H145="USD",IF(OR($I145="",$I145="-"),"",VLOOKUP($G145,為替!$A:$AX,$I145,FALSE))+$J$3,IF(OR($I145="",$I145="-"),"",VLOOKUP($G145,為替!$A:$AX,$I145,FALSE)))</f>
        <v/>
      </c>
      <c r="K145" s="204" t="str">
        <f t="shared" si="14"/>
        <v/>
      </c>
      <c r="L145" s="188" t="str">
        <f t="shared" si="15"/>
        <v/>
      </c>
      <c r="M145" s="203" t="str">
        <f>IF($H145="USD",IF(OR($L145="",$L145="-"),"",VLOOKUP($G145,為替!$A:$AX,$L145,FALSE))+$K$3,IF(OR($L145="",$L145="-"),"",VLOOKUP($G145,為替!$A:$AX,$L145,FALSE)))</f>
        <v/>
      </c>
      <c r="N145" s="204" t="str">
        <f t="shared" si="16"/>
        <v/>
      </c>
      <c r="O145" s="205" t="str">
        <f t="shared" si="12"/>
        <v/>
      </c>
      <c r="P145" s="206" t="str">
        <f t="shared" si="17"/>
        <v/>
      </c>
    </row>
    <row r="146" spans="3:16" x14ac:dyDescent="0.4">
      <c r="C146" s="199"/>
      <c r="D146" s="200"/>
      <c r="E146" s="201"/>
      <c r="F146" s="199"/>
      <c r="H146" s="202"/>
      <c r="I146" s="185" t="str">
        <f t="shared" si="13"/>
        <v/>
      </c>
      <c r="J146" s="203" t="str">
        <f>IF($H146="USD",IF(OR($I146="",$I146="-"),"",VLOOKUP($G146,為替!$A:$AX,$I146,FALSE))+$J$3,IF(OR($I146="",$I146="-"),"",VLOOKUP($G146,為替!$A:$AX,$I146,FALSE)))</f>
        <v/>
      </c>
      <c r="K146" s="204" t="str">
        <f t="shared" si="14"/>
        <v/>
      </c>
      <c r="L146" s="188" t="str">
        <f t="shared" si="15"/>
        <v/>
      </c>
      <c r="M146" s="203" t="str">
        <f>IF($H146="USD",IF(OR($L146="",$L146="-"),"",VLOOKUP($G146,為替!$A:$AX,$L146,FALSE))+$K$3,IF(OR($L146="",$L146="-"),"",VLOOKUP($G146,為替!$A:$AX,$L146,FALSE)))</f>
        <v/>
      </c>
      <c r="N146" s="204" t="str">
        <f t="shared" si="16"/>
        <v/>
      </c>
      <c r="O146" s="205" t="str">
        <f t="shared" si="12"/>
        <v/>
      </c>
      <c r="P146" s="206" t="str">
        <f t="shared" si="17"/>
        <v/>
      </c>
    </row>
    <row r="147" spans="3:16" x14ac:dyDescent="0.4">
      <c r="C147" s="199"/>
      <c r="D147" s="200"/>
      <c r="E147" s="201"/>
      <c r="F147" s="199"/>
      <c r="H147" s="202"/>
      <c r="I147" s="185" t="str">
        <f t="shared" si="13"/>
        <v/>
      </c>
      <c r="J147" s="203" t="str">
        <f>IF($H147="USD",IF(OR($I147="",$I147="-"),"",VLOOKUP($G147,為替!$A:$AX,$I147,FALSE))+$J$3,IF(OR($I147="",$I147="-"),"",VLOOKUP($G147,為替!$A:$AX,$I147,FALSE)))</f>
        <v/>
      </c>
      <c r="K147" s="204" t="str">
        <f t="shared" si="14"/>
        <v/>
      </c>
      <c r="L147" s="188" t="str">
        <f t="shared" si="15"/>
        <v/>
      </c>
      <c r="M147" s="203" t="str">
        <f>IF($H147="USD",IF(OR($L147="",$L147="-"),"",VLOOKUP($G147,為替!$A:$AX,$L147,FALSE))+$K$3,IF(OR($L147="",$L147="-"),"",VLOOKUP($G147,為替!$A:$AX,$L147,FALSE)))</f>
        <v/>
      </c>
      <c r="N147" s="204" t="str">
        <f t="shared" si="16"/>
        <v/>
      </c>
      <c r="O147" s="205" t="str">
        <f t="shared" si="12"/>
        <v/>
      </c>
      <c r="P147" s="206" t="str">
        <f t="shared" si="17"/>
        <v/>
      </c>
    </row>
    <row r="148" spans="3:16" x14ac:dyDescent="0.4">
      <c r="C148" s="199"/>
      <c r="D148" s="200"/>
      <c r="E148" s="201"/>
      <c r="F148" s="199"/>
      <c r="H148" s="202"/>
      <c r="I148" s="185" t="str">
        <f t="shared" si="13"/>
        <v/>
      </c>
      <c r="J148" s="203" t="str">
        <f>IF($H148="USD",IF(OR($I148="",$I148="-"),"",VLOOKUP($G148,為替!$A:$AX,$I148,FALSE))+$J$3,IF(OR($I148="",$I148="-"),"",VLOOKUP($G148,為替!$A:$AX,$I148,FALSE)))</f>
        <v/>
      </c>
      <c r="K148" s="204" t="str">
        <f t="shared" si="14"/>
        <v/>
      </c>
      <c r="L148" s="188" t="str">
        <f t="shared" si="15"/>
        <v/>
      </c>
      <c r="M148" s="203" t="str">
        <f>IF($H148="USD",IF(OR($L148="",$L148="-"),"",VLOOKUP($G148,為替!$A:$AX,$L148,FALSE))+$K$3,IF(OR($L148="",$L148="-"),"",VLOOKUP($G148,為替!$A:$AX,$L148,FALSE)))</f>
        <v/>
      </c>
      <c r="N148" s="204" t="str">
        <f t="shared" si="16"/>
        <v/>
      </c>
      <c r="O148" s="205" t="str">
        <f t="shared" si="12"/>
        <v/>
      </c>
      <c r="P148" s="206" t="str">
        <f t="shared" si="17"/>
        <v/>
      </c>
    </row>
    <row r="149" spans="3:16" x14ac:dyDescent="0.4">
      <c r="C149" s="199"/>
      <c r="D149" s="200"/>
      <c r="E149" s="201"/>
      <c r="F149" s="199"/>
      <c r="H149" s="202"/>
      <c r="I149" s="185" t="str">
        <f t="shared" si="13"/>
        <v/>
      </c>
      <c r="J149" s="203" t="str">
        <f>IF($H149="USD",IF(OR($I149="",$I149="-"),"",VLOOKUP($G149,為替!$A:$AX,$I149,FALSE))+$J$3,IF(OR($I149="",$I149="-"),"",VLOOKUP($G149,為替!$A:$AX,$I149,FALSE)))</f>
        <v/>
      </c>
      <c r="K149" s="204" t="str">
        <f t="shared" si="14"/>
        <v/>
      </c>
      <c r="L149" s="188" t="str">
        <f t="shared" si="15"/>
        <v/>
      </c>
      <c r="M149" s="203" t="str">
        <f>IF($H149="USD",IF(OR($L149="",$L149="-"),"",VLOOKUP($G149,為替!$A:$AX,$L149,FALSE))+$K$3,IF(OR($L149="",$L149="-"),"",VLOOKUP($G149,為替!$A:$AX,$L149,FALSE)))</f>
        <v/>
      </c>
      <c r="N149" s="204" t="str">
        <f t="shared" si="16"/>
        <v/>
      </c>
      <c r="O149" s="205" t="str">
        <f t="shared" si="12"/>
        <v/>
      </c>
      <c r="P149" s="206" t="str">
        <f t="shared" si="17"/>
        <v/>
      </c>
    </row>
    <row r="150" spans="3:16" x14ac:dyDescent="0.4">
      <c r="C150" s="199"/>
      <c r="D150" s="200"/>
      <c r="E150" s="201"/>
      <c r="F150" s="199"/>
      <c r="H150" s="202"/>
      <c r="I150" s="185" t="str">
        <f t="shared" si="13"/>
        <v/>
      </c>
      <c r="J150" s="203" t="str">
        <f>IF($H150="USD",IF(OR($I150="",$I150="-"),"",VLOOKUP($G150,為替!$A:$AX,$I150,FALSE))+$J$3,IF(OR($I150="",$I150="-"),"",VLOOKUP($G150,為替!$A:$AX,$I150,FALSE)))</f>
        <v/>
      </c>
      <c r="K150" s="204" t="str">
        <f t="shared" si="14"/>
        <v/>
      </c>
      <c r="L150" s="188" t="str">
        <f t="shared" si="15"/>
        <v/>
      </c>
      <c r="M150" s="203" t="str">
        <f>IF($H150="USD",IF(OR($L150="",$L150="-"),"",VLOOKUP($G150,為替!$A:$AX,$L150,FALSE))+$K$3,IF(OR($L150="",$L150="-"),"",VLOOKUP($G150,為替!$A:$AX,$L150,FALSE)))</f>
        <v/>
      </c>
      <c r="N150" s="204" t="str">
        <f t="shared" si="16"/>
        <v/>
      </c>
      <c r="O150" s="205" t="str">
        <f t="shared" si="12"/>
        <v/>
      </c>
      <c r="P150" s="206" t="str">
        <f t="shared" si="17"/>
        <v/>
      </c>
    </row>
    <row r="151" spans="3:16" x14ac:dyDescent="0.4">
      <c r="C151" s="199"/>
      <c r="D151" s="200"/>
      <c r="E151" s="201"/>
      <c r="F151" s="199"/>
      <c r="H151" s="202"/>
      <c r="I151" s="185" t="str">
        <f t="shared" si="13"/>
        <v/>
      </c>
      <c r="J151" s="203" t="str">
        <f>IF($H151="USD",IF(OR($I151="",$I151="-"),"",VLOOKUP($G151,為替!$A:$AX,$I151,FALSE))+$J$3,IF(OR($I151="",$I151="-"),"",VLOOKUP($G151,為替!$A:$AX,$I151,FALSE)))</f>
        <v/>
      </c>
      <c r="K151" s="204" t="str">
        <f t="shared" si="14"/>
        <v/>
      </c>
      <c r="L151" s="188" t="str">
        <f t="shared" si="15"/>
        <v/>
      </c>
      <c r="M151" s="203" t="str">
        <f>IF($H151="USD",IF(OR($L151="",$L151="-"),"",VLOOKUP($G151,為替!$A:$AX,$L151,FALSE))+$K$3,IF(OR($L151="",$L151="-"),"",VLOOKUP($G151,為替!$A:$AX,$L151,FALSE)))</f>
        <v/>
      </c>
      <c r="N151" s="204" t="str">
        <f t="shared" si="16"/>
        <v/>
      </c>
      <c r="O151" s="205" t="str">
        <f t="shared" si="12"/>
        <v/>
      </c>
      <c r="P151" s="206" t="str">
        <f t="shared" si="17"/>
        <v/>
      </c>
    </row>
    <row r="152" spans="3:16" x14ac:dyDescent="0.4">
      <c r="C152" s="199"/>
      <c r="D152" s="200"/>
      <c r="E152" s="201"/>
      <c r="F152" s="199"/>
      <c r="H152" s="202"/>
      <c r="I152" s="185" t="str">
        <f t="shared" si="13"/>
        <v/>
      </c>
      <c r="J152" s="203" t="str">
        <f>IF($H152="USD",IF(OR($I152="",$I152="-"),"",VLOOKUP($G152,為替!$A:$AX,$I152,FALSE))+$J$3,IF(OR($I152="",$I152="-"),"",VLOOKUP($G152,為替!$A:$AX,$I152,FALSE)))</f>
        <v/>
      </c>
      <c r="K152" s="204" t="str">
        <f t="shared" si="14"/>
        <v/>
      </c>
      <c r="L152" s="188" t="str">
        <f t="shared" si="15"/>
        <v/>
      </c>
      <c r="M152" s="203" t="str">
        <f>IF($H152="USD",IF(OR($L152="",$L152="-"),"",VLOOKUP($G152,為替!$A:$AX,$L152,FALSE))+$K$3,IF(OR($L152="",$L152="-"),"",VLOOKUP($G152,為替!$A:$AX,$L152,FALSE)))</f>
        <v/>
      </c>
      <c r="N152" s="204" t="str">
        <f t="shared" si="16"/>
        <v/>
      </c>
      <c r="O152" s="205" t="str">
        <f t="shared" si="12"/>
        <v/>
      </c>
      <c r="P152" s="206" t="str">
        <f t="shared" si="17"/>
        <v/>
      </c>
    </row>
    <row r="153" spans="3:16" x14ac:dyDescent="0.4">
      <c r="C153" s="199"/>
      <c r="D153" s="200"/>
      <c r="E153" s="201"/>
      <c r="F153" s="199"/>
      <c r="H153" s="202"/>
      <c r="I153" s="185" t="str">
        <f t="shared" si="13"/>
        <v/>
      </c>
      <c r="J153" s="203" t="str">
        <f>IF($H153="USD",IF(OR($I153="",$I153="-"),"",VLOOKUP($G153,為替!$A:$AX,$I153,FALSE))+$J$3,IF(OR($I153="",$I153="-"),"",VLOOKUP($G153,為替!$A:$AX,$I153,FALSE)))</f>
        <v/>
      </c>
      <c r="K153" s="204" t="str">
        <f t="shared" si="14"/>
        <v/>
      </c>
      <c r="L153" s="188" t="str">
        <f t="shared" si="15"/>
        <v/>
      </c>
      <c r="M153" s="203" t="str">
        <f>IF($H153="USD",IF(OR($L153="",$L153="-"),"",VLOOKUP($G153,為替!$A:$AX,$L153,FALSE))+$K$3,IF(OR($L153="",$L153="-"),"",VLOOKUP($G153,為替!$A:$AX,$L153,FALSE)))</f>
        <v/>
      </c>
      <c r="N153" s="204" t="str">
        <f t="shared" si="16"/>
        <v/>
      </c>
      <c r="O153" s="205" t="str">
        <f t="shared" si="12"/>
        <v/>
      </c>
      <c r="P153" s="206" t="str">
        <f t="shared" si="17"/>
        <v/>
      </c>
    </row>
    <row r="154" spans="3:16" x14ac:dyDescent="0.4">
      <c r="C154" s="199"/>
      <c r="D154" s="200"/>
      <c r="E154" s="201"/>
      <c r="F154" s="199"/>
      <c r="H154" s="202"/>
      <c r="I154" s="185" t="str">
        <f t="shared" si="13"/>
        <v/>
      </c>
      <c r="J154" s="203" t="str">
        <f>IF($H154="USD",IF(OR($I154="",$I154="-"),"",VLOOKUP($G154,為替!$A:$AX,$I154,FALSE))+$J$3,IF(OR($I154="",$I154="-"),"",VLOOKUP($G154,為替!$A:$AX,$I154,FALSE)))</f>
        <v/>
      </c>
      <c r="K154" s="204" t="str">
        <f t="shared" si="14"/>
        <v/>
      </c>
      <c r="L154" s="188" t="str">
        <f t="shared" si="15"/>
        <v/>
      </c>
      <c r="M154" s="203" t="str">
        <f>IF($H154="USD",IF(OR($L154="",$L154="-"),"",VLOOKUP($G154,為替!$A:$AX,$L154,FALSE))+$K$3,IF(OR($L154="",$L154="-"),"",VLOOKUP($G154,為替!$A:$AX,$L154,FALSE)))</f>
        <v/>
      </c>
      <c r="N154" s="204" t="str">
        <f t="shared" si="16"/>
        <v/>
      </c>
      <c r="O154" s="205" t="str">
        <f t="shared" si="12"/>
        <v/>
      </c>
      <c r="P154" s="206" t="str">
        <f t="shared" si="17"/>
        <v/>
      </c>
    </row>
    <row r="155" spans="3:16" x14ac:dyDescent="0.4">
      <c r="C155" s="199"/>
      <c r="D155" s="200"/>
      <c r="E155" s="201"/>
      <c r="F155" s="199"/>
      <c r="H155" s="202"/>
      <c r="I155" s="185" t="str">
        <f t="shared" si="13"/>
        <v/>
      </c>
      <c r="J155" s="203" t="str">
        <f>IF($H155="USD",IF(OR($I155="",$I155="-"),"",VLOOKUP($G155,為替!$A:$AX,$I155,FALSE))+$J$3,IF(OR($I155="",$I155="-"),"",VLOOKUP($G155,為替!$A:$AX,$I155,FALSE)))</f>
        <v/>
      </c>
      <c r="K155" s="204" t="str">
        <f t="shared" si="14"/>
        <v/>
      </c>
      <c r="L155" s="188" t="str">
        <f t="shared" si="15"/>
        <v/>
      </c>
      <c r="M155" s="203" t="str">
        <f>IF($H155="USD",IF(OR($L155="",$L155="-"),"",VLOOKUP($G155,為替!$A:$AX,$L155,FALSE))+$K$3,IF(OR($L155="",$L155="-"),"",VLOOKUP($G155,為替!$A:$AX,$L155,FALSE)))</f>
        <v/>
      </c>
      <c r="N155" s="204" t="str">
        <f t="shared" si="16"/>
        <v/>
      </c>
      <c r="O155" s="205" t="str">
        <f t="shared" si="12"/>
        <v/>
      </c>
      <c r="P155" s="206" t="str">
        <f t="shared" si="17"/>
        <v/>
      </c>
    </row>
    <row r="156" spans="3:16" x14ac:dyDescent="0.4">
      <c r="C156" s="199"/>
      <c r="D156" s="200"/>
      <c r="E156" s="201"/>
      <c r="F156" s="199"/>
      <c r="H156" s="202"/>
      <c r="I156" s="185" t="str">
        <f t="shared" si="13"/>
        <v/>
      </c>
      <c r="J156" s="203" t="str">
        <f>IF($H156="USD",IF(OR($I156="",$I156="-"),"",VLOOKUP($G156,為替!$A:$AX,$I156,FALSE))+$J$3,IF(OR($I156="",$I156="-"),"",VLOOKUP($G156,為替!$A:$AX,$I156,FALSE)))</f>
        <v/>
      </c>
      <c r="K156" s="204" t="str">
        <f t="shared" si="14"/>
        <v/>
      </c>
      <c r="L156" s="188" t="str">
        <f t="shared" si="15"/>
        <v/>
      </c>
      <c r="M156" s="203" t="str">
        <f>IF($H156="USD",IF(OR($L156="",$L156="-"),"",VLOOKUP($G156,為替!$A:$AX,$L156,FALSE))+$K$3,IF(OR($L156="",$L156="-"),"",VLOOKUP($G156,為替!$A:$AX,$L156,FALSE)))</f>
        <v/>
      </c>
      <c r="N156" s="204" t="str">
        <f t="shared" si="16"/>
        <v/>
      </c>
      <c r="O156" s="205" t="str">
        <f t="shared" si="12"/>
        <v/>
      </c>
      <c r="P156" s="206" t="str">
        <f t="shared" si="17"/>
        <v/>
      </c>
    </row>
    <row r="157" spans="3:16" x14ac:dyDescent="0.4">
      <c r="C157" s="199"/>
      <c r="D157" s="200"/>
      <c r="E157" s="201"/>
      <c r="F157" s="199"/>
      <c r="H157" s="202"/>
      <c r="I157" s="185" t="str">
        <f t="shared" si="13"/>
        <v/>
      </c>
      <c r="J157" s="203" t="str">
        <f>IF($H157="USD",IF(OR($I157="",$I157="-"),"",VLOOKUP($G157,為替!$A:$AX,$I157,FALSE))+$J$3,IF(OR($I157="",$I157="-"),"",VLOOKUP($G157,為替!$A:$AX,$I157,FALSE)))</f>
        <v/>
      </c>
      <c r="K157" s="204" t="str">
        <f t="shared" si="14"/>
        <v/>
      </c>
      <c r="L157" s="188" t="str">
        <f t="shared" si="15"/>
        <v/>
      </c>
      <c r="M157" s="203" t="str">
        <f>IF($H157="USD",IF(OR($L157="",$L157="-"),"",VLOOKUP($G157,為替!$A:$AX,$L157,FALSE))+$K$3,IF(OR($L157="",$L157="-"),"",VLOOKUP($G157,為替!$A:$AX,$L157,FALSE)))</f>
        <v/>
      </c>
      <c r="N157" s="204" t="str">
        <f t="shared" si="16"/>
        <v/>
      </c>
      <c r="O157" s="205" t="str">
        <f t="shared" si="12"/>
        <v/>
      </c>
      <c r="P157" s="206" t="str">
        <f t="shared" si="17"/>
        <v/>
      </c>
    </row>
    <row r="158" spans="3:16" x14ac:dyDescent="0.4">
      <c r="C158" s="199"/>
      <c r="D158" s="200"/>
      <c r="E158" s="201"/>
      <c r="F158" s="199"/>
      <c r="H158" s="202"/>
      <c r="I158" s="185" t="str">
        <f t="shared" si="13"/>
        <v/>
      </c>
      <c r="J158" s="203" t="str">
        <f>IF($H158="USD",IF(OR($I158="",$I158="-"),"",VLOOKUP($G158,為替!$A:$AX,$I158,FALSE))+$J$3,IF(OR($I158="",$I158="-"),"",VLOOKUP($G158,為替!$A:$AX,$I158,FALSE)))</f>
        <v/>
      </c>
      <c r="K158" s="204" t="str">
        <f t="shared" si="14"/>
        <v/>
      </c>
      <c r="L158" s="188" t="str">
        <f t="shared" si="15"/>
        <v/>
      </c>
      <c r="M158" s="203" t="str">
        <f>IF($H158="USD",IF(OR($L158="",$L158="-"),"",VLOOKUP($G158,為替!$A:$AX,$L158,FALSE))+$K$3,IF(OR($L158="",$L158="-"),"",VLOOKUP($G158,為替!$A:$AX,$L158,FALSE)))</f>
        <v/>
      </c>
      <c r="N158" s="204" t="str">
        <f t="shared" si="16"/>
        <v/>
      </c>
      <c r="O158" s="205" t="str">
        <f t="shared" si="12"/>
        <v/>
      </c>
      <c r="P158" s="206" t="str">
        <f t="shared" si="17"/>
        <v/>
      </c>
    </row>
    <row r="159" spans="3:16" x14ac:dyDescent="0.4">
      <c r="C159" s="199"/>
      <c r="D159" s="200"/>
      <c r="E159" s="201"/>
      <c r="F159" s="199"/>
      <c r="H159" s="202"/>
      <c r="I159" s="185" t="str">
        <f t="shared" si="13"/>
        <v/>
      </c>
      <c r="J159" s="203" t="str">
        <f>IF($H159="USD",IF(OR($I159="",$I159="-"),"",VLOOKUP($G159,為替!$A:$AX,$I159,FALSE))+$J$3,IF(OR($I159="",$I159="-"),"",VLOOKUP($G159,為替!$A:$AX,$I159,FALSE)))</f>
        <v/>
      </c>
      <c r="K159" s="204" t="str">
        <f t="shared" si="14"/>
        <v/>
      </c>
      <c r="L159" s="188" t="str">
        <f t="shared" si="15"/>
        <v/>
      </c>
      <c r="M159" s="203" t="str">
        <f>IF($H159="USD",IF(OR($L159="",$L159="-"),"",VLOOKUP($G159,為替!$A:$AX,$L159,FALSE))+$K$3,IF(OR($L159="",$L159="-"),"",VLOOKUP($G159,為替!$A:$AX,$L159,FALSE)))</f>
        <v/>
      </c>
      <c r="N159" s="204" t="str">
        <f t="shared" si="16"/>
        <v/>
      </c>
      <c r="O159" s="205" t="str">
        <f t="shared" si="12"/>
        <v/>
      </c>
      <c r="P159" s="206" t="str">
        <f t="shared" si="17"/>
        <v/>
      </c>
    </row>
    <row r="160" spans="3:16" x14ac:dyDescent="0.4">
      <c r="C160" s="199"/>
      <c r="D160" s="200"/>
      <c r="E160" s="201"/>
      <c r="F160" s="199"/>
      <c r="H160" s="202"/>
      <c r="I160" s="185" t="str">
        <f t="shared" si="13"/>
        <v/>
      </c>
      <c r="J160" s="203" t="str">
        <f>IF($H160="USD",IF(OR($I160="",$I160="-"),"",VLOOKUP($G160,為替!$A:$AX,$I160,FALSE))+$J$3,IF(OR($I160="",$I160="-"),"",VLOOKUP($G160,為替!$A:$AX,$I160,FALSE)))</f>
        <v/>
      </c>
      <c r="K160" s="204" t="str">
        <f t="shared" si="14"/>
        <v/>
      </c>
      <c r="L160" s="188" t="str">
        <f t="shared" si="15"/>
        <v/>
      </c>
      <c r="M160" s="203" t="str">
        <f>IF($H160="USD",IF(OR($L160="",$L160="-"),"",VLOOKUP($G160,為替!$A:$AX,$L160,FALSE))+$K$3,IF(OR($L160="",$L160="-"),"",VLOOKUP($G160,為替!$A:$AX,$L160,FALSE)))</f>
        <v/>
      </c>
      <c r="N160" s="204" t="str">
        <f t="shared" si="16"/>
        <v/>
      </c>
      <c r="O160" s="205" t="str">
        <f t="shared" si="12"/>
        <v/>
      </c>
      <c r="P160" s="206" t="str">
        <f t="shared" si="17"/>
        <v/>
      </c>
    </row>
    <row r="161" spans="3:16" x14ac:dyDescent="0.4">
      <c r="C161" s="199"/>
      <c r="D161" s="200"/>
      <c r="E161" s="201"/>
      <c r="F161" s="199"/>
      <c r="H161" s="202"/>
      <c r="I161" s="185" t="str">
        <f t="shared" si="13"/>
        <v/>
      </c>
      <c r="J161" s="203" t="str">
        <f>IF($H161="USD",IF(OR($I161="",$I161="-"),"",VLOOKUP($G161,為替!$A:$AX,$I161,FALSE))+$J$3,IF(OR($I161="",$I161="-"),"",VLOOKUP($G161,為替!$A:$AX,$I161,FALSE)))</f>
        <v/>
      </c>
      <c r="K161" s="204" t="str">
        <f t="shared" si="14"/>
        <v/>
      </c>
      <c r="L161" s="188" t="str">
        <f t="shared" si="15"/>
        <v/>
      </c>
      <c r="M161" s="203" t="str">
        <f>IF($H161="USD",IF(OR($L161="",$L161="-"),"",VLOOKUP($G161,為替!$A:$AX,$L161,FALSE))+$K$3,IF(OR($L161="",$L161="-"),"",VLOOKUP($G161,為替!$A:$AX,$L161,FALSE)))</f>
        <v/>
      </c>
      <c r="N161" s="204" t="str">
        <f t="shared" si="16"/>
        <v/>
      </c>
      <c r="O161" s="205" t="str">
        <f t="shared" si="12"/>
        <v/>
      </c>
      <c r="P161" s="206" t="str">
        <f t="shared" si="17"/>
        <v/>
      </c>
    </row>
    <row r="162" spans="3:16" x14ac:dyDescent="0.4">
      <c r="C162" s="199"/>
      <c r="D162" s="200"/>
      <c r="E162" s="201"/>
      <c r="F162" s="199"/>
      <c r="H162" s="202"/>
      <c r="I162" s="185" t="str">
        <f t="shared" si="13"/>
        <v/>
      </c>
      <c r="J162" s="203" t="str">
        <f>IF($H162="USD",IF(OR($I162="",$I162="-"),"",VLOOKUP($G162,為替!$A:$AX,$I162,FALSE))+$J$3,IF(OR($I162="",$I162="-"),"",VLOOKUP($G162,為替!$A:$AX,$I162,FALSE)))</f>
        <v/>
      </c>
      <c r="K162" s="204" t="str">
        <f t="shared" si="14"/>
        <v/>
      </c>
      <c r="L162" s="188" t="str">
        <f t="shared" si="15"/>
        <v/>
      </c>
      <c r="M162" s="203" t="str">
        <f>IF($H162="USD",IF(OR($L162="",$L162="-"),"",VLOOKUP($G162,為替!$A:$AX,$L162,FALSE))+$K$3,IF(OR($L162="",$L162="-"),"",VLOOKUP($G162,為替!$A:$AX,$L162,FALSE)))</f>
        <v/>
      </c>
      <c r="N162" s="204" t="str">
        <f t="shared" si="16"/>
        <v/>
      </c>
      <c r="O162" s="205" t="str">
        <f t="shared" si="12"/>
        <v/>
      </c>
      <c r="P162" s="206" t="str">
        <f t="shared" si="17"/>
        <v/>
      </c>
    </row>
    <row r="163" spans="3:16" x14ac:dyDescent="0.4">
      <c r="C163" s="199"/>
      <c r="D163" s="200"/>
      <c r="E163" s="201"/>
      <c r="F163" s="199"/>
      <c r="H163" s="202"/>
      <c r="I163" s="185" t="str">
        <f t="shared" si="13"/>
        <v/>
      </c>
      <c r="J163" s="203" t="str">
        <f>IF($H163="USD",IF(OR($I163="",$I163="-"),"",VLOOKUP($G163,為替!$A:$AX,$I163,FALSE))+$J$3,IF(OR($I163="",$I163="-"),"",VLOOKUP($G163,為替!$A:$AX,$I163,FALSE)))</f>
        <v/>
      </c>
      <c r="K163" s="204" t="str">
        <f t="shared" si="14"/>
        <v/>
      </c>
      <c r="L163" s="188" t="str">
        <f t="shared" si="15"/>
        <v/>
      </c>
      <c r="M163" s="203" t="str">
        <f>IF($H163="USD",IF(OR($L163="",$L163="-"),"",VLOOKUP($G163,為替!$A:$AX,$L163,FALSE))+$K$3,IF(OR($L163="",$L163="-"),"",VLOOKUP($G163,為替!$A:$AX,$L163,FALSE)))</f>
        <v/>
      </c>
      <c r="N163" s="204" t="str">
        <f t="shared" si="16"/>
        <v/>
      </c>
      <c r="O163" s="205" t="str">
        <f t="shared" si="12"/>
        <v/>
      </c>
      <c r="P163" s="206" t="str">
        <f t="shared" si="17"/>
        <v/>
      </c>
    </row>
    <row r="164" spans="3:16" x14ac:dyDescent="0.4">
      <c r="C164" s="199"/>
      <c r="D164" s="200"/>
      <c r="E164" s="201"/>
      <c r="F164" s="199"/>
      <c r="H164" s="202"/>
      <c r="I164" s="185" t="str">
        <f t="shared" si="13"/>
        <v/>
      </c>
      <c r="J164" s="203" t="str">
        <f>IF($H164="USD",IF(OR($I164="",$I164="-"),"",VLOOKUP($G164,為替!$A:$AX,$I164,FALSE))+$J$3,IF(OR($I164="",$I164="-"),"",VLOOKUP($G164,為替!$A:$AX,$I164,FALSE)))</f>
        <v/>
      </c>
      <c r="K164" s="204" t="str">
        <f t="shared" si="14"/>
        <v/>
      </c>
      <c r="L164" s="188" t="str">
        <f t="shared" si="15"/>
        <v/>
      </c>
      <c r="M164" s="203" t="str">
        <f>IF($H164="USD",IF(OR($L164="",$L164="-"),"",VLOOKUP($G164,為替!$A:$AX,$L164,FALSE))+$K$3,IF(OR($L164="",$L164="-"),"",VLOOKUP($G164,為替!$A:$AX,$L164,FALSE)))</f>
        <v/>
      </c>
      <c r="N164" s="204" t="str">
        <f t="shared" si="16"/>
        <v/>
      </c>
      <c r="O164" s="205" t="str">
        <f t="shared" si="12"/>
        <v/>
      </c>
      <c r="P164" s="206" t="str">
        <f t="shared" si="17"/>
        <v/>
      </c>
    </row>
    <row r="165" spans="3:16" x14ac:dyDescent="0.4">
      <c r="C165" s="199"/>
      <c r="D165" s="200"/>
      <c r="E165" s="201"/>
      <c r="F165" s="199"/>
      <c r="H165" s="202"/>
      <c r="I165" s="185" t="str">
        <f t="shared" si="13"/>
        <v/>
      </c>
      <c r="J165" s="203" t="str">
        <f>IF($H165="USD",IF(OR($I165="",$I165="-"),"",VLOOKUP($G165,為替!$A:$AX,$I165,FALSE))+$J$3,IF(OR($I165="",$I165="-"),"",VLOOKUP($G165,為替!$A:$AX,$I165,FALSE)))</f>
        <v/>
      </c>
      <c r="K165" s="204" t="str">
        <f t="shared" si="14"/>
        <v/>
      </c>
      <c r="L165" s="188" t="str">
        <f t="shared" si="15"/>
        <v/>
      </c>
      <c r="M165" s="203" t="str">
        <f>IF($H165="USD",IF(OR($L165="",$L165="-"),"",VLOOKUP($G165,為替!$A:$AX,$L165,FALSE))+$K$3,IF(OR($L165="",$L165="-"),"",VLOOKUP($G165,為替!$A:$AX,$L165,FALSE)))</f>
        <v/>
      </c>
      <c r="N165" s="204" t="str">
        <f t="shared" si="16"/>
        <v/>
      </c>
      <c r="O165" s="205" t="str">
        <f t="shared" si="12"/>
        <v/>
      </c>
      <c r="P165" s="206" t="str">
        <f t="shared" si="17"/>
        <v/>
      </c>
    </row>
    <row r="166" spans="3:16" x14ac:dyDescent="0.4">
      <c r="C166" s="199"/>
      <c r="D166" s="200"/>
      <c r="E166" s="201"/>
      <c r="F166" s="199"/>
      <c r="H166" s="202"/>
      <c r="I166" s="185" t="str">
        <f t="shared" si="13"/>
        <v/>
      </c>
      <c r="J166" s="203" t="str">
        <f>IF($H166="USD",IF(OR($I166="",$I166="-"),"",VLOOKUP($G166,為替!$A:$AX,$I166,FALSE))+$J$3,IF(OR($I166="",$I166="-"),"",VLOOKUP($G166,為替!$A:$AX,$I166,FALSE)))</f>
        <v/>
      </c>
      <c r="K166" s="204" t="str">
        <f t="shared" si="14"/>
        <v/>
      </c>
      <c r="L166" s="188" t="str">
        <f t="shared" si="15"/>
        <v/>
      </c>
      <c r="M166" s="203" t="str">
        <f>IF($H166="USD",IF(OR($L166="",$L166="-"),"",VLOOKUP($G166,為替!$A:$AX,$L166,FALSE))+$K$3,IF(OR($L166="",$L166="-"),"",VLOOKUP($G166,為替!$A:$AX,$L166,FALSE)))</f>
        <v/>
      </c>
      <c r="N166" s="204" t="str">
        <f t="shared" si="16"/>
        <v/>
      </c>
      <c r="O166" s="205" t="str">
        <f t="shared" si="12"/>
        <v/>
      </c>
      <c r="P166" s="206" t="str">
        <f t="shared" si="17"/>
        <v/>
      </c>
    </row>
    <row r="167" spans="3:16" x14ac:dyDescent="0.4">
      <c r="C167" s="199"/>
      <c r="D167" s="200"/>
      <c r="E167" s="201"/>
      <c r="F167" s="199"/>
      <c r="H167" s="202"/>
      <c r="I167" s="185" t="str">
        <f t="shared" si="13"/>
        <v/>
      </c>
      <c r="J167" s="203" t="str">
        <f>IF($H167="USD",IF(OR($I167="",$I167="-"),"",VLOOKUP($G167,為替!$A:$AX,$I167,FALSE))+$J$3,IF(OR($I167="",$I167="-"),"",VLOOKUP($G167,為替!$A:$AX,$I167,FALSE)))</f>
        <v/>
      </c>
      <c r="K167" s="204" t="str">
        <f t="shared" si="14"/>
        <v/>
      </c>
      <c r="L167" s="188" t="str">
        <f t="shared" si="15"/>
        <v/>
      </c>
      <c r="M167" s="203" t="str">
        <f>IF($H167="USD",IF(OR($L167="",$L167="-"),"",VLOOKUP($G167,為替!$A:$AX,$L167,FALSE))+$K$3,IF(OR($L167="",$L167="-"),"",VLOOKUP($G167,為替!$A:$AX,$L167,FALSE)))</f>
        <v/>
      </c>
      <c r="N167" s="204" t="str">
        <f t="shared" si="16"/>
        <v/>
      </c>
      <c r="O167" s="205" t="str">
        <f t="shared" si="12"/>
        <v/>
      </c>
      <c r="P167" s="206" t="str">
        <f t="shared" si="17"/>
        <v/>
      </c>
    </row>
    <row r="168" spans="3:16" x14ac:dyDescent="0.4">
      <c r="C168" s="199"/>
      <c r="D168" s="200"/>
      <c r="E168" s="201"/>
      <c r="F168" s="199"/>
      <c r="H168" s="202"/>
      <c r="I168" s="185" t="str">
        <f t="shared" si="13"/>
        <v/>
      </c>
      <c r="J168" s="203" t="str">
        <f>IF($H168="USD",IF(OR($I168="",$I168="-"),"",VLOOKUP($G168,為替!$A:$AX,$I168,FALSE))+$J$3,IF(OR($I168="",$I168="-"),"",VLOOKUP($G168,為替!$A:$AX,$I168,FALSE)))</f>
        <v/>
      </c>
      <c r="K168" s="204" t="str">
        <f t="shared" si="14"/>
        <v/>
      </c>
      <c r="L168" s="188" t="str">
        <f t="shared" si="15"/>
        <v/>
      </c>
      <c r="M168" s="203" t="str">
        <f>IF($H168="USD",IF(OR($L168="",$L168="-"),"",VLOOKUP($G168,為替!$A:$AX,$L168,FALSE))+$K$3,IF(OR($L168="",$L168="-"),"",VLOOKUP($G168,為替!$A:$AX,$L168,FALSE)))</f>
        <v/>
      </c>
      <c r="N168" s="204" t="str">
        <f t="shared" si="16"/>
        <v/>
      </c>
      <c r="O168" s="205" t="str">
        <f t="shared" si="12"/>
        <v/>
      </c>
      <c r="P168" s="206" t="str">
        <f t="shared" si="17"/>
        <v/>
      </c>
    </row>
    <row r="169" spans="3:16" x14ac:dyDescent="0.4">
      <c r="C169" s="199"/>
      <c r="D169" s="200"/>
      <c r="E169" s="201"/>
      <c r="F169" s="199"/>
      <c r="H169" s="202"/>
      <c r="I169" s="185" t="str">
        <f t="shared" si="13"/>
        <v/>
      </c>
      <c r="J169" s="203" t="str">
        <f>IF($H169="USD",IF(OR($I169="",$I169="-"),"",VLOOKUP($G169,為替!$A:$AX,$I169,FALSE))+$J$3,IF(OR($I169="",$I169="-"),"",VLOOKUP($G169,為替!$A:$AX,$I169,FALSE)))</f>
        <v/>
      </c>
      <c r="K169" s="204" t="str">
        <f t="shared" si="14"/>
        <v/>
      </c>
      <c r="L169" s="188" t="str">
        <f t="shared" si="15"/>
        <v/>
      </c>
      <c r="M169" s="203" t="str">
        <f>IF($H169="USD",IF(OR($L169="",$L169="-"),"",VLOOKUP($G169,為替!$A:$AX,$L169,FALSE))+$K$3,IF(OR($L169="",$L169="-"),"",VLOOKUP($G169,為替!$A:$AX,$L169,FALSE)))</f>
        <v/>
      </c>
      <c r="N169" s="204" t="str">
        <f t="shared" si="16"/>
        <v/>
      </c>
      <c r="O169" s="205" t="str">
        <f t="shared" si="12"/>
        <v/>
      </c>
      <c r="P169" s="206" t="str">
        <f t="shared" si="17"/>
        <v/>
      </c>
    </row>
    <row r="170" spans="3:16" x14ac:dyDescent="0.4">
      <c r="C170" s="199"/>
      <c r="D170" s="200"/>
      <c r="E170" s="201"/>
      <c r="F170" s="199"/>
      <c r="H170" s="202"/>
      <c r="I170" s="185" t="str">
        <f t="shared" si="13"/>
        <v/>
      </c>
      <c r="J170" s="203" t="str">
        <f>IF($H170="USD",IF(OR($I170="",$I170="-"),"",VLOOKUP($G170,為替!$A:$AX,$I170,FALSE))+$J$3,IF(OR($I170="",$I170="-"),"",VLOOKUP($G170,為替!$A:$AX,$I170,FALSE)))</f>
        <v/>
      </c>
      <c r="K170" s="204" t="str">
        <f t="shared" si="14"/>
        <v/>
      </c>
      <c r="L170" s="188" t="str">
        <f t="shared" si="15"/>
        <v/>
      </c>
      <c r="M170" s="203" t="str">
        <f>IF($H170="USD",IF(OR($L170="",$L170="-"),"",VLOOKUP($G170,為替!$A:$AX,$L170,FALSE))+$K$3,IF(OR($L170="",$L170="-"),"",VLOOKUP($G170,為替!$A:$AX,$L170,FALSE)))</f>
        <v/>
      </c>
      <c r="N170" s="204" t="str">
        <f t="shared" si="16"/>
        <v/>
      </c>
      <c r="O170" s="205" t="str">
        <f t="shared" si="12"/>
        <v/>
      </c>
      <c r="P170" s="206" t="str">
        <f t="shared" si="17"/>
        <v/>
      </c>
    </row>
    <row r="171" spans="3:16" x14ac:dyDescent="0.4">
      <c r="C171" s="199"/>
      <c r="D171" s="200"/>
      <c r="E171" s="201"/>
      <c r="F171" s="199"/>
      <c r="H171" s="202"/>
      <c r="I171" s="185" t="str">
        <f t="shared" si="13"/>
        <v/>
      </c>
      <c r="J171" s="203" t="str">
        <f>IF($H171="USD",IF(OR($I171="",$I171="-"),"",VLOOKUP($G171,為替!$A:$AX,$I171,FALSE))+$J$3,IF(OR($I171="",$I171="-"),"",VLOOKUP($G171,為替!$A:$AX,$I171,FALSE)))</f>
        <v/>
      </c>
      <c r="K171" s="204" t="str">
        <f t="shared" si="14"/>
        <v/>
      </c>
      <c r="L171" s="188" t="str">
        <f t="shared" si="15"/>
        <v/>
      </c>
      <c r="M171" s="203" t="str">
        <f>IF($H171="USD",IF(OR($L171="",$L171="-"),"",VLOOKUP($G171,為替!$A:$AX,$L171,FALSE))+$K$3,IF(OR($L171="",$L171="-"),"",VLOOKUP($G171,為替!$A:$AX,$L171,FALSE)))</f>
        <v/>
      </c>
      <c r="N171" s="204" t="str">
        <f t="shared" si="16"/>
        <v/>
      </c>
      <c r="O171" s="205" t="str">
        <f t="shared" si="12"/>
        <v/>
      </c>
      <c r="P171" s="206" t="str">
        <f t="shared" si="17"/>
        <v/>
      </c>
    </row>
    <row r="172" spans="3:16" x14ac:dyDescent="0.4">
      <c r="C172" s="199"/>
      <c r="D172" s="200"/>
      <c r="E172" s="201"/>
      <c r="F172" s="199"/>
      <c r="H172" s="202"/>
      <c r="I172" s="185" t="str">
        <f t="shared" si="13"/>
        <v/>
      </c>
      <c r="J172" s="203" t="str">
        <f>IF($H172="USD",IF(OR($I172="",$I172="-"),"",VLOOKUP($G172,為替!$A:$AX,$I172,FALSE))+$J$3,IF(OR($I172="",$I172="-"),"",VLOOKUP($G172,為替!$A:$AX,$I172,FALSE)))</f>
        <v/>
      </c>
      <c r="K172" s="204" t="str">
        <f t="shared" si="14"/>
        <v/>
      </c>
      <c r="L172" s="188" t="str">
        <f t="shared" si="15"/>
        <v/>
      </c>
      <c r="M172" s="203" t="str">
        <f>IF($H172="USD",IF(OR($L172="",$L172="-"),"",VLOOKUP($G172,為替!$A:$AX,$L172,FALSE))+$K$3,IF(OR($L172="",$L172="-"),"",VLOOKUP($G172,為替!$A:$AX,$L172,FALSE)))</f>
        <v/>
      </c>
      <c r="N172" s="204" t="str">
        <f t="shared" si="16"/>
        <v/>
      </c>
      <c r="O172" s="205" t="str">
        <f t="shared" si="12"/>
        <v/>
      </c>
      <c r="P172" s="206" t="str">
        <f t="shared" si="17"/>
        <v/>
      </c>
    </row>
    <row r="173" spans="3:16" x14ac:dyDescent="0.4">
      <c r="C173" s="199"/>
      <c r="D173" s="200"/>
      <c r="E173" s="201"/>
      <c r="F173" s="199"/>
      <c r="H173" s="202"/>
      <c r="I173" s="185" t="str">
        <f t="shared" si="13"/>
        <v/>
      </c>
      <c r="J173" s="203" t="str">
        <f>IF($H173="USD",IF(OR($I173="",$I173="-"),"",VLOOKUP($G173,為替!$A:$AX,$I173,FALSE))+$J$3,IF(OR($I173="",$I173="-"),"",VLOOKUP($G173,為替!$A:$AX,$I173,FALSE)))</f>
        <v/>
      </c>
      <c r="K173" s="204" t="str">
        <f t="shared" si="14"/>
        <v/>
      </c>
      <c r="L173" s="188" t="str">
        <f t="shared" si="15"/>
        <v/>
      </c>
      <c r="M173" s="203" t="str">
        <f>IF($H173="USD",IF(OR($L173="",$L173="-"),"",VLOOKUP($G173,為替!$A:$AX,$L173,FALSE))+$K$3,IF(OR($L173="",$L173="-"),"",VLOOKUP($G173,為替!$A:$AX,$L173,FALSE)))</f>
        <v/>
      </c>
      <c r="N173" s="204" t="str">
        <f t="shared" si="16"/>
        <v/>
      </c>
      <c r="O173" s="205" t="str">
        <f t="shared" si="12"/>
        <v/>
      </c>
      <c r="P173" s="206" t="str">
        <f t="shared" si="17"/>
        <v/>
      </c>
    </row>
    <row r="174" spans="3:16" x14ac:dyDescent="0.4">
      <c r="C174" s="199"/>
      <c r="D174" s="200"/>
      <c r="E174" s="201"/>
      <c r="F174" s="199"/>
      <c r="H174" s="202"/>
      <c r="I174" s="185" t="str">
        <f t="shared" si="13"/>
        <v/>
      </c>
      <c r="J174" s="203" t="str">
        <f>IF($H174="USD",IF(OR($I174="",$I174="-"),"",VLOOKUP($G174,為替!$A:$AX,$I174,FALSE))+$J$3,IF(OR($I174="",$I174="-"),"",VLOOKUP($G174,為替!$A:$AX,$I174,FALSE)))</f>
        <v/>
      </c>
      <c r="K174" s="204" t="str">
        <f t="shared" si="14"/>
        <v/>
      </c>
      <c r="L174" s="188" t="str">
        <f t="shared" si="15"/>
        <v/>
      </c>
      <c r="M174" s="203" t="str">
        <f>IF($H174="USD",IF(OR($L174="",$L174="-"),"",VLOOKUP($G174,為替!$A:$AX,$L174,FALSE))+$K$3,IF(OR($L174="",$L174="-"),"",VLOOKUP($G174,為替!$A:$AX,$L174,FALSE)))</f>
        <v/>
      </c>
      <c r="N174" s="204" t="str">
        <f t="shared" si="16"/>
        <v/>
      </c>
      <c r="O174" s="205" t="str">
        <f t="shared" si="12"/>
        <v/>
      </c>
      <c r="P174" s="206" t="str">
        <f t="shared" si="17"/>
        <v/>
      </c>
    </row>
    <row r="175" spans="3:16" x14ac:dyDescent="0.4">
      <c r="C175" s="199"/>
      <c r="D175" s="200"/>
      <c r="E175" s="201"/>
      <c r="F175" s="199"/>
      <c r="H175" s="202"/>
      <c r="I175" s="185" t="str">
        <f t="shared" si="13"/>
        <v/>
      </c>
      <c r="J175" s="203" t="str">
        <f>IF($H175="USD",IF(OR($I175="",$I175="-"),"",VLOOKUP($G175,為替!$A:$AX,$I175,FALSE))+$J$3,IF(OR($I175="",$I175="-"),"",VLOOKUP($G175,為替!$A:$AX,$I175,FALSE)))</f>
        <v/>
      </c>
      <c r="K175" s="204" t="str">
        <f t="shared" si="14"/>
        <v/>
      </c>
      <c r="L175" s="188" t="str">
        <f t="shared" si="15"/>
        <v/>
      </c>
      <c r="M175" s="203" t="str">
        <f>IF($H175="USD",IF(OR($L175="",$L175="-"),"",VLOOKUP($G175,為替!$A:$AX,$L175,FALSE))+$K$3,IF(OR($L175="",$L175="-"),"",VLOOKUP($G175,為替!$A:$AX,$L175,FALSE)))</f>
        <v/>
      </c>
      <c r="N175" s="204" t="str">
        <f t="shared" si="16"/>
        <v/>
      </c>
      <c r="O175" s="205" t="str">
        <f t="shared" si="12"/>
        <v/>
      </c>
      <c r="P175" s="206" t="str">
        <f t="shared" si="17"/>
        <v/>
      </c>
    </row>
    <row r="176" spans="3:16" x14ac:dyDescent="0.4">
      <c r="C176" s="199"/>
      <c r="D176" s="200"/>
      <c r="E176" s="201"/>
      <c r="F176" s="199"/>
      <c r="H176" s="202"/>
      <c r="I176" s="185" t="str">
        <f t="shared" si="13"/>
        <v/>
      </c>
      <c r="J176" s="203" t="str">
        <f>IF($H176="USD",IF(OR($I176="",$I176="-"),"",VLOOKUP($G176,為替!$A:$AX,$I176,FALSE))+$J$3,IF(OR($I176="",$I176="-"),"",VLOOKUP($G176,為替!$A:$AX,$I176,FALSE)))</f>
        <v/>
      </c>
      <c r="K176" s="204" t="str">
        <f t="shared" si="14"/>
        <v/>
      </c>
      <c r="L176" s="188" t="str">
        <f t="shared" si="15"/>
        <v/>
      </c>
      <c r="M176" s="203" t="str">
        <f>IF($H176="USD",IF(OR($L176="",$L176="-"),"",VLOOKUP($G176,為替!$A:$AX,$L176,FALSE))+$K$3,IF(OR($L176="",$L176="-"),"",VLOOKUP($G176,為替!$A:$AX,$L176,FALSE)))</f>
        <v/>
      </c>
      <c r="N176" s="204" t="str">
        <f t="shared" si="16"/>
        <v/>
      </c>
      <c r="O176" s="205" t="str">
        <f t="shared" si="12"/>
        <v/>
      </c>
      <c r="P176" s="206" t="str">
        <f t="shared" si="17"/>
        <v/>
      </c>
    </row>
    <row r="177" spans="3:16" x14ac:dyDescent="0.4">
      <c r="C177" s="199"/>
      <c r="D177" s="200"/>
      <c r="E177" s="201"/>
      <c r="F177" s="199"/>
      <c r="H177" s="202"/>
      <c r="I177" s="185" t="str">
        <f t="shared" si="13"/>
        <v/>
      </c>
      <c r="J177" s="203" t="str">
        <f>IF($H177="USD",IF(OR($I177="",$I177="-"),"",VLOOKUP($G177,為替!$A:$AX,$I177,FALSE))+$J$3,IF(OR($I177="",$I177="-"),"",VLOOKUP($G177,為替!$A:$AX,$I177,FALSE)))</f>
        <v/>
      </c>
      <c r="K177" s="204" t="str">
        <f t="shared" si="14"/>
        <v/>
      </c>
      <c r="L177" s="188" t="str">
        <f t="shared" si="15"/>
        <v/>
      </c>
      <c r="M177" s="203" t="str">
        <f>IF($H177="USD",IF(OR($L177="",$L177="-"),"",VLOOKUP($G177,為替!$A:$AX,$L177,FALSE))+$K$3,IF(OR($L177="",$L177="-"),"",VLOOKUP($G177,為替!$A:$AX,$L177,FALSE)))</f>
        <v/>
      </c>
      <c r="N177" s="204" t="str">
        <f t="shared" si="16"/>
        <v/>
      </c>
      <c r="O177" s="205" t="str">
        <f t="shared" si="12"/>
        <v/>
      </c>
      <c r="P177" s="206" t="str">
        <f t="shared" si="17"/>
        <v/>
      </c>
    </row>
    <row r="178" spans="3:16" x14ac:dyDescent="0.4">
      <c r="C178" s="199"/>
      <c r="D178" s="200"/>
      <c r="E178" s="201"/>
      <c r="F178" s="199"/>
      <c r="H178" s="202"/>
      <c r="I178" s="185" t="str">
        <f t="shared" si="13"/>
        <v/>
      </c>
      <c r="J178" s="203" t="str">
        <f>IF($H178="USD",IF(OR($I178="",$I178="-"),"",VLOOKUP($G178,為替!$A:$AX,$I178,FALSE))+$J$3,IF(OR($I178="",$I178="-"),"",VLOOKUP($G178,為替!$A:$AX,$I178,FALSE)))</f>
        <v/>
      </c>
      <c r="K178" s="204" t="str">
        <f t="shared" si="14"/>
        <v/>
      </c>
      <c r="L178" s="188" t="str">
        <f t="shared" si="15"/>
        <v/>
      </c>
      <c r="M178" s="203" t="str">
        <f>IF($H178="USD",IF(OR($L178="",$L178="-"),"",VLOOKUP($G178,為替!$A:$AX,$L178,FALSE))+$K$3,IF(OR($L178="",$L178="-"),"",VLOOKUP($G178,為替!$A:$AX,$L178,FALSE)))</f>
        <v/>
      </c>
      <c r="N178" s="204" t="str">
        <f t="shared" si="16"/>
        <v/>
      </c>
      <c r="O178" s="205" t="str">
        <f t="shared" si="12"/>
        <v/>
      </c>
      <c r="P178" s="206" t="str">
        <f t="shared" si="17"/>
        <v/>
      </c>
    </row>
    <row r="179" spans="3:16" x14ac:dyDescent="0.4">
      <c r="C179" s="199"/>
      <c r="D179" s="200"/>
      <c r="E179" s="201"/>
      <c r="F179" s="199"/>
      <c r="H179" s="202"/>
      <c r="I179" s="185" t="str">
        <f t="shared" si="13"/>
        <v/>
      </c>
      <c r="J179" s="203" t="str">
        <f>IF($H179="USD",IF(OR($I179="",$I179="-"),"",VLOOKUP($G179,為替!$A:$AX,$I179,FALSE))+$J$3,IF(OR($I179="",$I179="-"),"",VLOOKUP($G179,為替!$A:$AX,$I179,FALSE)))</f>
        <v/>
      </c>
      <c r="K179" s="204" t="str">
        <f t="shared" si="14"/>
        <v/>
      </c>
      <c r="L179" s="188" t="str">
        <f t="shared" si="15"/>
        <v/>
      </c>
      <c r="M179" s="203" t="str">
        <f>IF($H179="USD",IF(OR($L179="",$L179="-"),"",VLOOKUP($G179,為替!$A:$AX,$L179,FALSE))+$K$3,IF(OR($L179="",$L179="-"),"",VLOOKUP($G179,為替!$A:$AX,$L179,FALSE)))</f>
        <v/>
      </c>
      <c r="N179" s="204" t="str">
        <f t="shared" si="16"/>
        <v/>
      </c>
      <c r="O179" s="205" t="str">
        <f t="shared" si="12"/>
        <v/>
      </c>
      <c r="P179" s="206" t="str">
        <f t="shared" si="17"/>
        <v/>
      </c>
    </row>
    <row r="180" spans="3:16" x14ac:dyDescent="0.4">
      <c r="C180" s="199"/>
      <c r="D180" s="200"/>
      <c r="E180" s="201"/>
      <c r="F180" s="199"/>
      <c r="H180" s="202"/>
      <c r="I180" s="185" t="str">
        <f t="shared" si="13"/>
        <v/>
      </c>
      <c r="J180" s="203" t="str">
        <f>IF($H180="USD",IF(OR($I180="",$I180="-"),"",VLOOKUP($G180,為替!$A:$AX,$I180,FALSE))+$J$3,IF(OR($I180="",$I180="-"),"",VLOOKUP($G180,為替!$A:$AX,$I180,FALSE)))</f>
        <v/>
      </c>
      <c r="K180" s="204" t="str">
        <f t="shared" si="14"/>
        <v/>
      </c>
      <c r="L180" s="188" t="str">
        <f t="shared" si="15"/>
        <v/>
      </c>
      <c r="M180" s="203" t="str">
        <f>IF($H180="USD",IF(OR($L180="",$L180="-"),"",VLOOKUP($G180,為替!$A:$AX,$L180,FALSE))+$K$3,IF(OR($L180="",$L180="-"),"",VLOOKUP($G180,為替!$A:$AX,$L180,FALSE)))</f>
        <v/>
      </c>
      <c r="N180" s="204" t="str">
        <f t="shared" si="16"/>
        <v/>
      </c>
      <c r="O180" s="205" t="str">
        <f t="shared" si="12"/>
        <v/>
      </c>
      <c r="P180" s="206" t="str">
        <f t="shared" si="17"/>
        <v/>
      </c>
    </row>
    <row r="181" spans="3:16" x14ac:dyDescent="0.4">
      <c r="C181" s="199"/>
      <c r="D181" s="200"/>
      <c r="E181" s="201"/>
      <c r="F181" s="199"/>
      <c r="H181" s="202"/>
      <c r="I181" s="185" t="str">
        <f t="shared" si="13"/>
        <v/>
      </c>
      <c r="J181" s="203" t="str">
        <f>IF($H181="USD",IF(OR($I181="",$I181="-"),"",VLOOKUP($G181,為替!$A:$AX,$I181,FALSE))+$J$3,IF(OR($I181="",$I181="-"),"",VLOOKUP($G181,為替!$A:$AX,$I181,FALSE)))</f>
        <v/>
      </c>
      <c r="K181" s="204" t="str">
        <f t="shared" si="14"/>
        <v/>
      </c>
      <c r="L181" s="188" t="str">
        <f t="shared" si="15"/>
        <v/>
      </c>
      <c r="M181" s="203" t="str">
        <f>IF($H181="USD",IF(OR($L181="",$L181="-"),"",VLOOKUP($G181,為替!$A:$AX,$L181,FALSE))+$K$3,IF(OR($L181="",$L181="-"),"",VLOOKUP($G181,為替!$A:$AX,$L181,FALSE)))</f>
        <v/>
      </c>
      <c r="N181" s="204" t="str">
        <f t="shared" si="16"/>
        <v/>
      </c>
      <c r="O181" s="205" t="str">
        <f t="shared" si="12"/>
        <v/>
      </c>
      <c r="P181" s="206" t="str">
        <f t="shared" si="17"/>
        <v/>
      </c>
    </row>
    <row r="182" spans="3:16" x14ac:dyDescent="0.4">
      <c r="C182" s="199"/>
      <c r="D182" s="200"/>
      <c r="E182" s="201"/>
      <c r="F182" s="199"/>
      <c r="H182" s="202"/>
      <c r="I182" s="185" t="str">
        <f t="shared" si="13"/>
        <v/>
      </c>
      <c r="J182" s="203" t="str">
        <f>IF($H182="USD",IF(OR($I182="",$I182="-"),"",VLOOKUP($G182,為替!$A:$AX,$I182,FALSE))+$J$3,IF(OR($I182="",$I182="-"),"",VLOOKUP($G182,為替!$A:$AX,$I182,FALSE)))</f>
        <v/>
      </c>
      <c r="K182" s="204" t="str">
        <f t="shared" si="14"/>
        <v/>
      </c>
      <c r="L182" s="188" t="str">
        <f t="shared" si="15"/>
        <v/>
      </c>
      <c r="M182" s="203" t="str">
        <f>IF($H182="USD",IF(OR($L182="",$L182="-"),"",VLOOKUP($G182,為替!$A:$AX,$L182,FALSE))+$K$3,IF(OR($L182="",$L182="-"),"",VLOOKUP($G182,為替!$A:$AX,$L182,FALSE)))</f>
        <v/>
      </c>
      <c r="N182" s="204" t="str">
        <f t="shared" si="16"/>
        <v/>
      </c>
      <c r="O182" s="205" t="str">
        <f t="shared" si="12"/>
        <v/>
      </c>
      <c r="P182" s="206" t="str">
        <f t="shared" si="17"/>
        <v/>
      </c>
    </row>
    <row r="183" spans="3:16" x14ac:dyDescent="0.4">
      <c r="C183" s="199"/>
      <c r="D183" s="200"/>
      <c r="E183" s="201"/>
      <c r="F183" s="199"/>
      <c r="H183" s="202"/>
      <c r="I183" s="185" t="str">
        <f t="shared" si="13"/>
        <v/>
      </c>
      <c r="J183" s="203" t="str">
        <f>IF($H183="USD",IF(OR($I183="",$I183="-"),"",VLOOKUP($G183,為替!$A:$AX,$I183,FALSE))+$J$3,IF(OR($I183="",$I183="-"),"",VLOOKUP($G183,為替!$A:$AX,$I183,FALSE)))</f>
        <v/>
      </c>
      <c r="K183" s="204" t="str">
        <f t="shared" si="14"/>
        <v/>
      </c>
      <c r="L183" s="188" t="str">
        <f t="shared" si="15"/>
        <v/>
      </c>
      <c r="M183" s="203" t="str">
        <f>IF($H183="USD",IF(OR($L183="",$L183="-"),"",VLOOKUP($G183,為替!$A:$AX,$L183,FALSE))+$K$3,IF(OR($L183="",$L183="-"),"",VLOOKUP($G183,為替!$A:$AX,$L183,FALSE)))</f>
        <v/>
      </c>
      <c r="N183" s="204" t="str">
        <f t="shared" si="16"/>
        <v/>
      </c>
      <c r="O183" s="205" t="str">
        <f t="shared" si="12"/>
        <v/>
      </c>
      <c r="P183" s="206" t="str">
        <f t="shared" si="17"/>
        <v/>
      </c>
    </row>
    <row r="184" spans="3:16" x14ac:dyDescent="0.4">
      <c r="C184" s="199"/>
      <c r="D184" s="200"/>
      <c r="E184" s="201"/>
      <c r="F184" s="199"/>
      <c r="H184" s="202"/>
      <c r="I184" s="185" t="str">
        <f t="shared" si="13"/>
        <v/>
      </c>
      <c r="J184" s="203" t="str">
        <f>IF($H184="USD",IF(OR($I184="",$I184="-"),"",VLOOKUP($G184,為替!$A:$AX,$I184,FALSE))+$J$3,IF(OR($I184="",$I184="-"),"",VLOOKUP($G184,為替!$A:$AX,$I184,FALSE)))</f>
        <v/>
      </c>
      <c r="K184" s="204" t="str">
        <f t="shared" si="14"/>
        <v/>
      </c>
      <c r="L184" s="188" t="str">
        <f t="shared" si="15"/>
        <v/>
      </c>
      <c r="M184" s="203" t="str">
        <f>IF($H184="USD",IF(OR($L184="",$L184="-"),"",VLOOKUP($G184,為替!$A:$AX,$L184,FALSE))+$K$3,IF(OR($L184="",$L184="-"),"",VLOOKUP($G184,為替!$A:$AX,$L184,FALSE)))</f>
        <v/>
      </c>
      <c r="N184" s="204" t="str">
        <f t="shared" si="16"/>
        <v/>
      </c>
      <c r="O184" s="205" t="str">
        <f t="shared" si="12"/>
        <v/>
      </c>
      <c r="P184" s="206" t="str">
        <f t="shared" si="17"/>
        <v/>
      </c>
    </row>
    <row r="185" spans="3:16" x14ac:dyDescent="0.4">
      <c r="C185" s="199"/>
      <c r="D185" s="200"/>
      <c r="E185" s="201"/>
      <c r="F185" s="199"/>
      <c r="H185" s="202"/>
      <c r="I185" s="185" t="str">
        <f t="shared" si="13"/>
        <v/>
      </c>
      <c r="J185" s="203" t="str">
        <f>IF($H185="USD",IF(OR($I185="",$I185="-"),"",VLOOKUP($G185,為替!$A:$AX,$I185,FALSE))+$J$3,IF(OR($I185="",$I185="-"),"",VLOOKUP($G185,為替!$A:$AX,$I185,FALSE)))</f>
        <v/>
      </c>
      <c r="K185" s="204" t="str">
        <f t="shared" si="14"/>
        <v/>
      </c>
      <c r="L185" s="188" t="str">
        <f t="shared" si="15"/>
        <v/>
      </c>
      <c r="M185" s="203" t="str">
        <f>IF($H185="USD",IF(OR($L185="",$L185="-"),"",VLOOKUP($G185,為替!$A:$AX,$L185,FALSE))+$K$3,IF(OR($L185="",$L185="-"),"",VLOOKUP($G185,為替!$A:$AX,$L185,FALSE)))</f>
        <v/>
      </c>
      <c r="N185" s="204" t="str">
        <f t="shared" si="16"/>
        <v/>
      </c>
      <c r="O185" s="205" t="str">
        <f t="shared" si="12"/>
        <v/>
      </c>
      <c r="P185" s="206" t="str">
        <f t="shared" si="17"/>
        <v/>
      </c>
    </row>
    <row r="186" spans="3:16" x14ac:dyDescent="0.4">
      <c r="C186" s="199"/>
      <c r="D186" s="200"/>
      <c r="E186" s="201"/>
      <c r="F186" s="199"/>
      <c r="H186" s="202"/>
      <c r="I186" s="185" t="str">
        <f t="shared" si="13"/>
        <v/>
      </c>
      <c r="J186" s="203" t="str">
        <f>IF($H186="USD",IF(OR($I186="",$I186="-"),"",VLOOKUP($G186,為替!$A:$AX,$I186,FALSE))+$J$3,IF(OR($I186="",$I186="-"),"",VLOOKUP($G186,為替!$A:$AX,$I186,FALSE)))</f>
        <v/>
      </c>
      <c r="K186" s="204" t="str">
        <f t="shared" si="14"/>
        <v/>
      </c>
      <c r="L186" s="188" t="str">
        <f t="shared" si="15"/>
        <v/>
      </c>
      <c r="M186" s="203" t="str">
        <f>IF($H186="USD",IF(OR($L186="",$L186="-"),"",VLOOKUP($G186,為替!$A:$AX,$L186,FALSE))+$K$3,IF(OR($L186="",$L186="-"),"",VLOOKUP($G186,為替!$A:$AX,$L186,FALSE)))</f>
        <v/>
      </c>
      <c r="N186" s="204" t="str">
        <f t="shared" si="16"/>
        <v/>
      </c>
      <c r="O186" s="205" t="str">
        <f t="shared" si="12"/>
        <v/>
      </c>
      <c r="P186" s="206" t="str">
        <f t="shared" si="17"/>
        <v/>
      </c>
    </row>
    <row r="187" spans="3:16" x14ac:dyDescent="0.4">
      <c r="C187" s="199"/>
      <c r="D187" s="200"/>
      <c r="E187" s="201"/>
      <c r="F187" s="199"/>
      <c r="H187" s="202"/>
      <c r="I187" s="185" t="str">
        <f t="shared" si="13"/>
        <v/>
      </c>
      <c r="J187" s="203" t="str">
        <f>IF($H187="USD",IF(OR($I187="",$I187="-"),"",VLOOKUP($G187,為替!$A:$AX,$I187,FALSE))+$J$3,IF(OR($I187="",$I187="-"),"",VLOOKUP($G187,為替!$A:$AX,$I187,FALSE)))</f>
        <v/>
      </c>
      <c r="K187" s="204" t="str">
        <f t="shared" si="14"/>
        <v/>
      </c>
      <c r="L187" s="188" t="str">
        <f t="shared" si="15"/>
        <v/>
      </c>
      <c r="M187" s="203" t="str">
        <f>IF($H187="USD",IF(OR($L187="",$L187="-"),"",VLOOKUP($G187,為替!$A:$AX,$L187,FALSE))+$K$3,IF(OR($L187="",$L187="-"),"",VLOOKUP($G187,為替!$A:$AX,$L187,FALSE)))</f>
        <v/>
      </c>
      <c r="N187" s="204" t="str">
        <f t="shared" si="16"/>
        <v/>
      </c>
      <c r="O187" s="205" t="str">
        <f t="shared" si="12"/>
        <v/>
      </c>
      <c r="P187" s="206" t="str">
        <f t="shared" si="17"/>
        <v/>
      </c>
    </row>
    <row r="188" spans="3:16" x14ac:dyDescent="0.4">
      <c r="C188" s="199"/>
      <c r="D188" s="200"/>
      <c r="E188" s="201"/>
      <c r="F188" s="199"/>
      <c r="H188" s="202"/>
      <c r="I188" s="185" t="str">
        <f t="shared" si="13"/>
        <v/>
      </c>
      <c r="J188" s="203" t="str">
        <f>IF($H188="USD",IF(OR($I188="",$I188="-"),"",VLOOKUP($G188,為替!$A:$AX,$I188,FALSE))+$J$3,IF(OR($I188="",$I188="-"),"",VLOOKUP($G188,為替!$A:$AX,$I188,FALSE)))</f>
        <v/>
      </c>
      <c r="K188" s="204" t="str">
        <f t="shared" si="14"/>
        <v/>
      </c>
      <c r="L188" s="188" t="str">
        <f t="shared" si="15"/>
        <v/>
      </c>
      <c r="M188" s="203" t="str">
        <f>IF($H188="USD",IF(OR($L188="",$L188="-"),"",VLOOKUP($G188,為替!$A:$AX,$L188,FALSE))+$K$3,IF(OR($L188="",$L188="-"),"",VLOOKUP($G188,為替!$A:$AX,$L188,FALSE)))</f>
        <v/>
      </c>
      <c r="N188" s="204" t="str">
        <f t="shared" si="16"/>
        <v/>
      </c>
      <c r="O188" s="205" t="str">
        <f t="shared" si="12"/>
        <v/>
      </c>
      <c r="P188" s="206" t="str">
        <f t="shared" si="17"/>
        <v/>
      </c>
    </row>
    <row r="189" spans="3:16" x14ac:dyDescent="0.4">
      <c r="C189" s="199"/>
      <c r="D189" s="200"/>
      <c r="E189" s="201"/>
      <c r="F189" s="199"/>
      <c r="H189" s="202"/>
      <c r="I189" s="185" t="str">
        <f t="shared" si="13"/>
        <v/>
      </c>
      <c r="J189" s="203" t="str">
        <f>IF($H189="USD",IF(OR($I189="",$I189="-"),"",VLOOKUP($G189,為替!$A:$AX,$I189,FALSE))+$J$3,IF(OR($I189="",$I189="-"),"",VLOOKUP($G189,為替!$A:$AX,$I189,FALSE)))</f>
        <v/>
      </c>
      <c r="K189" s="204" t="str">
        <f t="shared" si="14"/>
        <v/>
      </c>
      <c r="L189" s="188" t="str">
        <f t="shared" si="15"/>
        <v/>
      </c>
      <c r="M189" s="203" t="str">
        <f>IF($H189="USD",IF(OR($L189="",$L189="-"),"",VLOOKUP($G189,為替!$A:$AX,$L189,FALSE))+$K$3,IF(OR($L189="",$L189="-"),"",VLOOKUP($G189,為替!$A:$AX,$L189,FALSE)))</f>
        <v/>
      </c>
      <c r="N189" s="204" t="str">
        <f t="shared" si="16"/>
        <v/>
      </c>
      <c r="O189" s="205" t="str">
        <f t="shared" si="12"/>
        <v/>
      </c>
      <c r="P189" s="206" t="str">
        <f t="shared" si="17"/>
        <v/>
      </c>
    </row>
    <row r="190" spans="3:16" x14ac:dyDescent="0.4">
      <c r="C190" s="199"/>
      <c r="D190" s="200"/>
      <c r="E190" s="201"/>
      <c r="F190" s="199"/>
      <c r="H190" s="202"/>
      <c r="I190" s="185" t="str">
        <f t="shared" si="13"/>
        <v/>
      </c>
      <c r="J190" s="203" t="str">
        <f>IF($H190="USD",IF(OR($I190="",$I190="-"),"",VLOOKUP($G190,為替!$A:$AX,$I190,FALSE))+$J$3,IF(OR($I190="",$I190="-"),"",VLOOKUP($G190,為替!$A:$AX,$I190,FALSE)))</f>
        <v/>
      </c>
      <c r="K190" s="204" t="str">
        <f t="shared" si="14"/>
        <v/>
      </c>
      <c r="L190" s="188" t="str">
        <f t="shared" si="15"/>
        <v/>
      </c>
      <c r="M190" s="203" t="str">
        <f>IF($H190="USD",IF(OR($L190="",$L190="-"),"",VLOOKUP($G190,為替!$A:$AX,$L190,FALSE))+$K$3,IF(OR($L190="",$L190="-"),"",VLOOKUP($G190,為替!$A:$AX,$L190,FALSE)))</f>
        <v/>
      </c>
      <c r="N190" s="204" t="str">
        <f t="shared" si="16"/>
        <v/>
      </c>
      <c r="O190" s="205" t="str">
        <f t="shared" si="12"/>
        <v/>
      </c>
      <c r="P190" s="206" t="str">
        <f t="shared" si="17"/>
        <v/>
      </c>
    </row>
    <row r="191" spans="3:16" x14ac:dyDescent="0.4">
      <c r="C191" s="199"/>
      <c r="D191" s="200"/>
      <c r="E191" s="201"/>
      <c r="F191" s="199"/>
      <c r="H191" s="202"/>
      <c r="I191" s="185" t="str">
        <f t="shared" si="13"/>
        <v/>
      </c>
      <c r="J191" s="203" t="str">
        <f>IF($H191="USD",IF(OR($I191="",$I191="-"),"",VLOOKUP($G191,為替!$A:$AX,$I191,FALSE))+$J$3,IF(OR($I191="",$I191="-"),"",VLOOKUP($G191,為替!$A:$AX,$I191,FALSE)))</f>
        <v/>
      </c>
      <c r="K191" s="204" t="str">
        <f t="shared" si="14"/>
        <v/>
      </c>
      <c r="L191" s="188" t="str">
        <f t="shared" si="15"/>
        <v/>
      </c>
      <c r="M191" s="203" t="str">
        <f>IF($H191="USD",IF(OR($L191="",$L191="-"),"",VLOOKUP($G191,為替!$A:$AX,$L191,FALSE))+$K$3,IF(OR($L191="",$L191="-"),"",VLOOKUP($G191,為替!$A:$AX,$L191,FALSE)))</f>
        <v/>
      </c>
      <c r="N191" s="204" t="str">
        <f t="shared" si="16"/>
        <v/>
      </c>
      <c r="O191" s="205" t="str">
        <f t="shared" si="12"/>
        <v/>
      </c>
      <c r="P191" s="206" t="str">
        <f t="shared" si="17"/>
        <v/>
      </c>
    </row>
    <row r="192" spans="3:16" x14ac:dyDescent="0.4">
      <c r="C192" s="199"/>
      <c r="D192" s="200"/>
      <c r="E192" s="201"/>
      <c r="F192" s="199"/>
      <c r="H192" s="202"/>
      <c r="I192" s="185" t="str">
        <f t="shared" si="13"/>
        <v/>
      </c>
      <c r="J192" s="203" t="str">
        <f>IF($H192="USD",IF(OR($I192="",$I192="-"),"",VLOOKUP($G192,為替!$A:$AX,$I192,FALSE))+$J$3,IF(OR($I192="",$I192="-"),"",VLOOKUP($G192,為替!$A:$AX,$I192,FALSE)))</f>
        <v/>
      </c>
      <c r="K192" s="204" t="str">
        <f t="shared" si="14"/>
        <v/>
      </c>
      <c r="L192" s="188" t="str">
        <f t="shared" si="15"/>
        <v/>
      </c>
      <c r="M192" s="203" t="str">
        <f>IF($H192="USD",IF(OR($L192="",$L192="-"),"",VLOOKUP($G192,為替!$A:$AX,$L192,FALSE))+$K$3,IF(OR($L192="",$L192="-"),"",VLOOKUP($G192,為替!$A:$AX,$L192,FALSE)))</f>
        <v/>
      </c>
      <c r="N192" s="204" t="str">
        <f t="shared" si="16"/>
        <v/>
      </c>
      <c r="O192" s="205" t="str">
        <f t="shared" si="12"/>
        <v/>
      </c>
      <c r="P192" s="206" t="str">
        <f t="shared" si="17"/>
        <v/>
      </c>
    </row>
    <row r="193" spans="3:16" x14ac:dyDescent="0.4">
      <c r="C193" s="199"/>
      <c r="D193" s="200"/>
      <c r="E193" s="201"/>
      <c r="F193" s="199"/>
      <c r="H193" s="202"/>
      <c r="I193" s="185" t="str">
        <f t="shared" si="13"/>
        <v/>
      </c>
      <c r="J193" s="203" t="str">
        <f>IF($H193="USD",IF(OR($I193="",$I193="-"),"",VLOOKUP($G193,為替!$A:$AX,$I193,FALSE))+$J$3,IF(OR($I193="",$I193="-"),"",VLOOKUP($G193,為替!$A:$AX,$I193,FALSE)))</f>
        <v/>
      </c>
      <c r="K193" s="204" t="str">
        <f t="shared" si="14"/>
        <v/>
      </c>
      <c r="L193" s="188" t="str">
        <f t="shared" si="15"/>
        <v/>
      </c>
      <c r="M193" s="203" t="str">
        <f>IF($H193="USD",IF(OR($L193="",$L193="-"),"",VLOOKUP($G193,為替!$A:$AX,$L193,FALSE))+$K$3,IF(OR($L193="",$L193="-"),"",VLOOKUP($G193,為替!$A:$AX,$L193,FALSE)))</f>
        <v/>
      </c>
      <c r="N193" s="204" t="str">
        <f t="shared" si="16"/>
        <v/>
      </c>
      <c r="O193" s="205" t="str">
        <f t="shared" si="12"/>
        <v/>
      </c>
      <c r="P193" s="206" t="str">
        <f t="shared" si="17"/>
        <v/>
      </c>
    </row>
    <row r="194" spans="3:16" x14ac:dyDescent="0.4">
      <c r="C194" s="199"/>
      <c r="D194" s="200"/>
      <c r="E194" s="201"/>
      <c r="F194" s="199"/>
      <c r="H194" s="202"/>
      <c r="I194" s="185" t="str">
        <f t="shared" si="13"/>
        <v/>
      </c>
      <c r="J194" s="203" t="str">
        <f>IF($H194="USD",IF(OR($I194="",$I194="-"),"",VLOOKUP($G194,為替!$A:$AX,$I194,FALSE))+$J$3,IF(OR($I194="",$I194="-"),"",VLOOKUP($G194,為替!$A:$AX,$I194,FALSE)))</f>
        <v/>
      </c>
      <c r="K194" s="204" t="str">
        <f t="shared" si="14"/>
        <v/>
      </c>
      <c r="L194" s="188" t="str">
        <f t="shared" si="15"/>
        <v/>
      </c>
      <c r="M194" s="203" t="str">
        <f>IF($H194="USD",IF(OR($L194="",$L194="-"),"",VLOOKUP($G194,為替!$A:$AX,$L194,FALSE))+$K$3,IF(OR($L194="",$L194="-"),"",VLOOKUP($G194,為替!$A:$AX,$L194,FALSE)))</f>
        <v/>
      </c>
      <c r="N194" s="204" t="str">
        <f t="shared" si="16"/>
        <v/>
      </c>
      <c r="O194" s="205" t="str">
        <f t="shared" si="12"/>
        <v/>
      </c>
      <c r="P194" s="206" t="str">
        <f t="shared" si="17"/>
        <v/>
      </c>
    </row>
    <row r="195" spans="3:16" x14ac:dyDescent="0.4">
      <c r="C195" s="199"/>
      <c r="D195" s="200"/>
      <c r="E195" s="201"/>
      <c r="F195" s="199"/>
      <c r="H195" s="202"/>
      <c r="I195" s="185" t="str">
        <f t="shared" si="13"/>
        <v/>
      </c>
      <c r="J195" s="203" t="str">
        <f>IF($H195="USD",IF(OR($I195="",$I195="-"),"",VLOOKUP($G195,為替!$A:$AX,$I195,FALSE))+$J$3,IF(OR($I195="",$I195="-"),"",VLOOKUP($G195,為替!$A:$AX,$I195,FALSE)))</f>
        <v/>
      </c>
      <c r="K195" s="204" t="str">
        <f t="shared" si="14"/>
        <v/>
      </c>
      <c r="L195" s="188" t="str">
        <f t="shared" si="15"/>
        <v/>
      </c>
      <c r="M195" s="203" t="str">
        <f>IF($H195="USD",IF(OR($L195="",$L195="-"),"",VLOOKUP($G195,為替!$A:$AX,$L195,FALSE))+$K$3,IF(OR($L195="",$L195="-"),"",VLOOKUP($G195,為替!$A:$AX,$L195,FALSE)))</f>
        <v/>
      </c>
      <c r="N195" s="204" t="str">
        <f t="shared" si="16"/>
        <v/>
      </c>
      <c r="O195" s="205" t="str">
        <f t="shared" si="12"/>
        <v/>
      </c>
      <c r="P195" s="206" t="str">
        <f t="shared" si="17"/>
        <v/>
      </c>
    </row>
    <row r="196" spans="3:16" x14ac:dyDescent="0.4">
      <c r="C196" s="199"/>
      <c r="D196" s="200"/>
      <c r="E196" s="201"/>
      <c r="F196" s="199"/>
      <c r="H196" s="202"/>
      <c r="I196" s="185" t="str">
        <f t="shared" si="13"/>
        <v/>
      </c>
      <c r="J196" s="203" t="str">
        <f>IF($H196="USD",IF(OR($I196="",$I196="-"),"",VLOOKUP($G196,為替!$A:$AX,$I196,FALSE))+$J$3,IF(OR($I196="",$I196="-"),"",VLOOKUP($G196,為替!$A:$AX,$I196,FALSE)))</f>
        <v/>
      </c>
      <c r="K196" s="204" t="str">
        <f t="shared" si="14"/>
        <v/>
      </c>
      <c r="L196" s="188" t="str">
        <f t="shared" si="15"/>
        <v/>
      </c>
      <c r="M196" s="203" t="str">
        <f>IF($H196="USD",IF(OR($L196="",$L196="-"),"",VLOOKUP($G196,為替!$A:$AX,$L196,FALSE))+$K$3,IF(OR($L196="",$L196="-"),"",VLOOKUP($G196,為替!$A:$AX,$L196,FALSE)))</f>
        <v/>
      </c>
      <c r="N196" s="204" t="str">
        <f t="shared" si="16"/>
        <v/>
      </c>
      <c r="O196" s="205" t="str">
        <f t="shared" si="12"/>
        <v/>
      </c>
      <c r="P196" s="206" t="str">
        <f t="shared" si="17"/>
        <v/>
      </c>
    </row>
    <row r="197" spans="3:16" x14ac:dyDescent="0.4">
      <c r="C197" s="199"/>
      <c r="D197" s="200"/>
      <c r="E197" s="201"/>
      <c r="F197" s="199"/>
      <c r="H197" s="202"/>
      <c r="I197" s="185" t="str">
        <f t="shared" si="13"/>
        <v/>
      </c>
      <c r="J197" s="203" t="str">
        <f>IF($H197="USD",IF(OR($I197="",$I197="-"),"",VLOOKUP($G197,為替!$A:$AX,$I197,FALSE))+$J$3,IF(OR($I197="",$I197="-"),"",VLOOKUP($G197,為替!$A:$AX,$I197,FALSE)))</f>
        <v/>
      </c>
      <c r="K197" s="204" t="str">
        <f t="shared" si="14"/>
        <v/>
      </c>
      <c r="L197" s="188" t="str">
        <f t="shared" si="15"/>
        <v/>
      </c>
      <c r="M197" s="203" t="str">
        <f>IF($H197="USD",IF(OR($L197="",$L197="-"),"",VLOOKUP($G197,為替!$A:$AX,$L197,FALSE))+$K$3,IF(OR($L197="",$L197="-"),"",VLOOKUP($G197,為替!$A:$AX,$L197,FALSE)))</f>
        <v/>
      </c>
      <c r="N197" s="204" t="str">
        <f t="shared" si="16"/>
        <v/>
      </c>
      <c r="O197" s="205" t="str">
        <f t="shared" si="12"/>
        <v/>
      </c>
      <c r="P197" s="206" t="str">
        <f t="shared" si="17"/>
        <v/>
      </c>
    </row>
    <row r="198" spans="3:16" x14ac:dyDescent="0.4">
      <c r="C198" s="199"/>
      <c r="D198" s="200"/>
      <c r="E198" s="201"/>
      <c r="F198" s="199"/>
      <c r="H198" s="202"/>
      <c r="I198" s="185" t="str">
        <f t="shared" si="13"/>
        <v/>
      </c>
      <c r="J198" s="203" t="str">
        <f>IF($H198="USD",IF(OR($I198="",$I198="-"),"",VLOOKUP($G198,為替!$A:$AX,$I198,FALSE))+$J$3,IF(OR($I198="",$I198="-"),"",VLOOKUP($G198,為替!$A:$AX,$I198,FALSE)))</f>
        <v/>
      </c>
      <c r="K198" s="204" t="str">
        <f t="shared" si="14"/>
        <v/>
      </c>
      <c r="L198" s="188" t="str">
        <f t="shared" si="15"/>
        <v/>
      </c>
      <c r="M198" s="203" t="str">
        <f>IF($H198="USD",IF(OR($L198="",$L198="-"),"",VLOOKUP($G198,為替!$A:$AX,$L198,FALSE))+$K$3,IF(OR($L198="",$L198="-"),"",VLOOKUP($G198,為替!$A:$AX,$L198,FALSE)))</f>
        <v/>
      </c>
      <c r="N198" s="204" t="str">
        <f t="shared" si="16"/>
        <v/>
      </c>
      <c r="O198" s="205" t="str">
        <f t="shared" ref="O198:O261" si="18">IF(OR(K198="",N198=""),"",K198-N198)</f>
        <v/>
      </c>
      <c r="P198" s="206" t="str">
        <f t="shared" si="17"/>
        <v/>
      </c>
    </row>
    <row r="199" spans="3:16" x14ac:dyDescent="0.4">
      <c r="C199" s="199"/>
      <c r="D199" s="200"/>
      <c r="E199" s="201"/>
      <c r="F199" s="199"/>
      <c r="H199" s="202"/>
      <c r="I199" s="185" t="str">
        <f t="shared" ref="I199:I262" si="19">IF(H199="","",IF(H199="JPY","",IF($H199="USD",4, IF(H199="EUR",7,IF(H199="CNY",47,IF(H199="HKD",34))))))</f>
        <v/>
      </c>
      <c r="J199" s="203" t="str">
        <f>IF($H199="USD",IF(OR($I199="",$I199="-"),"",VLOOKUP($G199,為替!$A:$AX,$I199,FALSE))+$J$3,IF(OR($I199="",$I199="-"),"",VLOOKUP($G199,為替!$A:$AX,$I199,FALSE)))</f>
        <v/>
      </c>
      <c r="K199" s="204" t="str">
        <f t="shared" ref="K199:K262" si="20">IF($H199="JPY",$F199,IF($H199="","",$F199*$J199))</f>
        <v/>
      </c>
      <c r="L199" s="188" t="str">
        <f t="shared" ref="L199:L262" si="21">IF(H199="","",IF(H199="JPY","",IF($H199="USD",3, IF(H199="EUR",6,IF(H199="CNY",46,IF(H199="HKD",33))))))</f>
        <v/>
      </c>
      <c r="M199" s="203" t="str">
        <f>IF($H199="USD",IF(OR($L199="",$L199="-"),"",VLOOKUP($G199,為替!$A:$AX,$L199,FALSE))+$K$3,IF(OR($L199="",$L199="-"),"",VLOOKUP($G199,為替!$A:$AX,$L199,FALSE)))</f>
        <v/>
      </c>
      <c r="N199" s="204" t="str">
        <f t="shared" ref="N199:N262" si="22">IF($E199="JPY",($C199+$D199),IF($E199="","",($C199+$D199)*$M199))</f>
        <v/>
      </c>
      <c r="O199" s="205" t="str">
        <f t="shared" si="18"/>
        <v/>
      </c>
      <c r="P199" s="206" t="str">
        <f t="shared" ref="P199:P262" si="23">IF(OR(K199="",O199=""),"",O199/K199)</f>
        <v/>
      </c>
    </row>
    <row r="200" spans="3:16" x14ac:dyDescent="0.4">
      <c r="C200" s="199"/>
      <c r="D200" s="200"/>
      <c r="E200" s="201"/>
      <c r="F200" s="199"/>
      <c r="H200" s="202"/>
      <c r="I200" s="185" t="str">
        <f t="shared" si="19"/>
        <v/>
      </c>
      <c r="J200" s="203" t="str">
        <f>IF($H200="USD",IF(OR($I200="",$I200="-"),"",VLOOKUP($G200,為替!$A:$AX,$I200,FALSE))+$J$3,IF(OR($I200="",$I200="-"),"",VLOOKUP($G200,為替!$A:$AX,$I200,FALSE)))</f>
        <v/>
      </c>
      <c r="K200" s="204" t="str">
        <f t="shared" si="20"/>
        <v/>
      </c>
      <c r="L200" s="188" t="str">
        <f t="shared" si="21"/>
        <v/>
      </c>
      <c r="M200" s="203" t="str">
        <f>IF($H200="USD",IF(OR($L200="",$L200="-"),"",VLOOKUP($G200,為替!$A:$AX,$L200,FALSE))+$K$3,IF(OR($L200="",$L200="-"),"",VLOOKUP($G200,為替!$A:$AX,$L200,FALSE)))</f>
        <v/>
      </c>
      <c r="N200" s="204" t="str">
        <f t="shared" si="22"/>
        <v/>
      </c>
      <c r="O200" s="205" t="str">
        <f t="shared" si="18"/>
        <v/>
      </c>
      <c r="P200" s="206" t="str">
        <f t="shared" si="23"/>
        <v/>
      </c>
    </row>
    <row r="201" spans="3:16" x14ac:dyDescent="0.4">
      <c r="C201" s="199"/>
      <c r="D201" s="200"/>
      <c r="E201" s="201"/>
      <c r="F201" s="199"/>
      <c r="H201" s="202"/>
      <c r="I201" s="185" t="str">
        <f t="shared" si="19"/>
        <v/>
      </c>
      <c r="J201" s="203" t="str">
        <f>IF($H201="USD",IF(OR($I201="",$I201="-"),"",VLOOKUP($G201,為替!$A:$AX,$I201,FALSE))+$J$3,IF(OR($I201="",$I201="-"),"",VLOOKUP($G201,為替!$A:$AX,$I201,FALSE)))</f>
        <v/>
      </c>
      <c r="K201" s="204" t="str">
        <f t="shared" si="20"/>
        <v/>
      </c>
      <c r="L201" s="188" t="str">
        <f t="shared" si="21"/>
        <v/>
      </c>
      <c r="M201" s="203" t="str">
        <f>IF($H201="USD",IF(OR($L201="",$L201="-"),"",VLOOKUP($G201,為替!$A:$AX,$L201,FALSE))+$K$3,IF(OR($L201="",$L201="-"),"",VLOOKUP($G201,為替!$A:$AX,$L201,FALSE)))</f>
        <v/>
      </c>
      <c r="N201" s="204" t="str">
        <f t="shared" si="22"/>
        <v/>
      </c>
      <c r="O201" s="205" t="str">
        <f t="shared" si="18"/>
        <v/>
      </c>
      <c r="P201" s="206" t="str">
        <f t="shared" si="23"/>
        <v/>
      </c>
    </row>
    <row r="202" spans="3:16" x14ac:dyDescent="0.4">
      <c r="C202" s="199"/>
      <c r="D202" s="200"/>
      <c r="E202" s="201"/>
      <c r="F202" s="199"/>
      <c r="H202" s="202"/>
      <c r="I202" s="185" t="str">
        <f t="shared" si="19"/>
        <v/>
      </c>
      <c r="J202" s="203" t="str">
        <f>IF($H202="USD",IF(OR($I202="",$I202="-"),"",VLOOKUP($G202,為替!$A:$AX,$I202,FALSE))+$J$3,IF(OR($I202="",$I202="-"),"",VLOOKUP($G202,為替!$A:$AX,$I202,FALSE)))</f>
        <v/>
      </c>
      <c r="K202" s="204" t="str">
        <f t="shared" si="20"/>
        <v/>
      </c>
      <c r="L202" s="188" t="str">
        <f t="shared" si="21"/>
        <v/>
      </c>
      <c r="M202" s="203" t="str">
        <f>IF($H202="USD",IF(OR($L202="",$L202="-"),"",VLOOKUP($G202,為替!$A:$AX,$L202,FALSE))+$K$3,IF(OR($L202="",$L202="-"),"",VLOOKUP($G202,為替!$A:$AX,$L202,FALSE)))</f>
        <v/>
      </c>
      <c r="N202" s="204" t="str">
        <f t="shared" si="22"/>
        <v/>
      </c>
      <c r="O202" s="205" t="str">
        <f t="shared" si="18"/>
        <v/>
      </c>
      <c r="P202" s="206" t="str">
        <f t="shared" si="23"/>
        <v/>
      </c>
    </row>
    <row r="203" spans="3:16" x14ac:dyDescent="0.4">
      <c r="C203" s="199"/>
      <c r="D203" s="200"/>
      <c r="E203" s="201"/>
      <c r="F203" s="199"/>
      <c r="H203" s="202"/>
      <c r="I203" s="185" t="str">
        <f t="shared" si="19"/>
        <v/>
      </c>
      <c r="J203" s="203" t="str">
        <f>IF($H203="USD",IF(OR($I203="",$I203="-"),"",VLOOKUP($G203,為替!$A:$AX,$I203,FALSE))+$J$3,IF(OR($I203="",$I203="-"),"",VLOOKUP($G203,為替!$A:$AX,$I203,FALSE)))</f>
        <v/>
      </c>
      <c r="K203" s="204" t="str">
        <f t="shared" si="20"/>
        <v/>
      </c>
      <c r="L203" s="188" t="str">
        <f t="shared" si="21"/>
        <v/>
      </c>
      <c r="M203" s="203" t="str">
        <f>IF($H203="USD",IF(OR($L203="",$L203="-"),"",VLOOKUP($G203,為替!$A:$AX,$L203,FALSE))+$K$3,IF(OR($L203="",$L203="-"),"",VLOOKUP($G203,為替!$A:$AX,$L203,FALSE)))</f>
        <v/>
      </c>
      <c r="N203" s="204" t="str">
        <f t="shared" si="22"/>
        <v/>
      </c>
      <c r="O203" s="205" t="str">
        <f t="shared" si="18"/>
        <v/>
      </c>
      <c r="P203" s="206" t="str">
        <f t="shared" si="23"/>
        <v/>
      </c>
    </row>
    <row r="204" spans="3:16" x14ac:dyDescent="0.4">
      <c r="C204" s="199"/>
      <c r="D204" s="200"/>
      <c r="E204" s="201"/>
      <c r="F204" s="199"/>
      <c r="H204" s="202"/>
      <c r="I204" s="185" t="str">
        <f t="shared" si="19"/>
        <v/>
      </c>
      <c r="J204" s="203" t="str">
        <f>IF($H204="USD",IF(OR($I204="",$I204="-"),"",VLOOKUP($G204,為替!$A:$AX,$I204,FALSE))+$J$3,IF(OR($I204="",$I204="-"),"",VLOOKUP($G204,為替!$A:$AX,$I204,FALSE)))</f>
        <v/>
      </c>
      <c r="K204" s="204" t="str">
        <f t="shared" si="20"/>
        <v/>
      </c>
      <c r="L204" s="188" t="str">
        <f t="shared" si="21"/>
        <v/>
      </c>
      <c r="M204" s="203" t="str">
        <f>IF($H204="USD",IF(OR($L204="",$L204="-"),"",VLOOKUP($G204,為替!$A:$AX,$L204,FALSE))+$K$3,IF(OR($L204="",$L204="-"),"",VLOOKUP($G204,為替!$A:$AX,$L204,FALSE)))</f>
        <v/>
      </c>
      <c r="N204" s="204" t="str">
        <f t="shared" si="22"/>
        <v/>
      </c>
      <c r="O204" s="205" t="str">
        <f t="shared" si="18"/>
        <v/>
      </c>
      <c r="P204" s="206" t="str">
        <f t="shared" si="23"/>
        <v/>
      </c>
    </row>
    <row r="205" spans="3:16" x14ac:dyDescent="0.4">
      <c r="C205" s="199"/>
      <c r="D205" s="200"/>
      <c r="E205" s="201"/>
      <c r="F205" s="199"/>
      <c r="H205" s="202"/>
      <c r="I205" s="185" t="str">
        <f t="shared" si="19"/>
        <v/>
      </c>
      <c r="J205" s="203" t="str">
        <f>IF($H205="USD",IF(OR($I205="",$I205="-"),"",VLOOKUP($G205,為替!$A:$AX,$I205,FALSE))+$J$3,IF(OR($I205="",$I205="-"),"",VLOOKUP($G205,為替!$A:$AX,$I205,FALSE)))</f>
        <v/>
      </c>
      <c r="K205" s="204" t="str">
        <f t="shared" si="20"/>
        <v/>
      </c>
      <c r="L205" s="188" t="str">
        <f t="shared" si="21"/>
        <v/>
      </c>
      <c r="M205" s="203" t="str">
        <f>IF($H205="USD",IF(OR($L205="",$L205="-"),"",VLOOKUP($G205,為替!$A:$AX,$L205,FALSE))+$K$3,IF(OR($L205="",$L205="-"),"",VLOOKUP($G205,為替!$A:$AX,$L205,FALSE)))</f>
        <v/>
      </c>
      <c r="N205" s="204" t="str">
        <f t="shared" si="22"/>
        <v/>
      </c>
      <c r="O205" s="205" t="str">
        <f t="shared" si="18"/>
        <v/>
      </c>
      <c r="P205" s="206" t="str">
        <f t="shared" si="23"/>
        <v/>
      </c>
    </row>
    <row r="206" spans="3:16" x14ac:dyDescent="0.4">
      <c r="C206" s="199"/>
      <c r="D206" s="200"/>
      <c r="E206" s="201"/>
      <c r="F206" s="199"/>
      <c r="H206" s="202"/>
      <c r="I206" s="185" t="str">
        <f t="shared" si="19"/>
        <v/>
      </c>
      <c r="J206" s="203" t="str">
        <f>IF($H206="USD",IF(OR($I206="",$I206="-"),"",VLOOKUP($G206,為替!$A:$AX,$I206,FALSE))+$J$3,IF(OR($I206="",$I206="-"),"",VLOOKUP($G206,為替!$A:$AX,$I206,FALSE)))</f>
        <v/>
      </c>
      <c r="K206" s="204" t="str">
        <f t="shared" si="20"/>
        <v/>
      </c>
      <c r="L206" s="188" t="str">
        <f t="shared" si="21"/>
        <v/>
      </c>
      <c r="M206" s="203" t="str">
        <f>IF($H206="USD",IF(OR($L206="",$L206="-"),"",VLOOKUP($G206,為替!$A:$AX,$L206,FALSE))+$K$3,IF(OR($L206="",$L206="-"),"",VLOOKUP($G206,為替!$A:$AX,$L206,FALSE)))</f>
        <v/>
      </c>
      <c r="N206" s="204" t="str">
        <f t="shared" si="22"/>
        <v/>
      </c>
      <c r="O206" s="205" t="str">
        <f t="shared" si="18"/>
        <v/>
      </c>
      <c r="P206" s="206" t="str">
        <f t="shared" si="23"/>
        <v/>
      </c>
    </row>
    <row r="207" spans="3:16" x14ac:dyDescent="0.4">
      <c r="C207" s="199"/>
      <c r="D207" s="200"/>
      <c r="E207" s="201"/>
      <c r="F207" s="199"/>
      <c r="H207" s="202"/>
      <c r="I207" s="185" t="str">
        <f t="shared" si="19"/>
        <v/>
      </c>
      <c r="J207" s="203" t="str">
        <f>IF($H207="USD",IF(OR($I207="",$I207="-"),"",VLOOKUP($G207,為替!$A:$AX,$I207,FALSE))+$J$3,IF(OR($I207="",$I207="-"),"",VLOOKUP($G207,為替!$A:$AX,$I207,FALSE)))</f>
        <v/>
      </c>
      <c r="K207" s="204" t="str">
        <f t="shared" si="20"/>
        <v/>
      </c>
      <c r="L207" s="188" t="str">
        <f t="shared" si="21"/>
        <v/>
      </c>
      <c r="M207" s="203" t="str">
        <f>IF($H207="USD",IF(OR($L207="",$L207="-"),"",VLOOKUP($G207,為替!$A:$AX,$L207,FALSE))+$K$3,IF(OR($L207="",$L207="-"),"",VLOOKUP($G207,為替!$A:$AX,$L207,FALSE)))</f>
        <v/>
      </c>
      <c r="N207" s="204" t="str">
        <f t="shared" si="22"/>
        <v/>
      </c>
      <c r="O207" s="205" t="str">
        <f t="shared" si="18"/>
        <v/>
      </c>
      <c r="P207" s="206" t="str">
        <f t="shared" si="23"/>
        <v/>
      </c>
    </row>
    <row r="208" spans="3:16" x14ac:dyDescent="0.4">
      <c r="C208" s="199"/>
      <c r="D208" s="200"/>
      <c r="E208" s="201"/>
      <c r="F208" s="199"/>
      <c r="H208" s="202"/>
      <c r="I208" s="185" t="str">
        <f t="shared" si="19"/>
        <v/>
      </c>
      <c r="J208" s="203" t="str">
        <f>IF($H208="USD",IF(OR($I208="",$I208="-"),"",VLOOKUP($G208,為替!$A:$AX,$I208,FALSE))+$J$3,IF(OR($I208="",$I208="-"),"",VLOOKUP($G208,為替!$A:$AX,$I208,FALSE)))</f>
        <v/>
      </c>
      <c r="K208" s="204" t="str">
        <f t="shared" si="20"/>
        <v/>
      </c>
      <c r="L208" s="188" t="str">
        <f t="shared" si="21"/>
        <v/>
      </c>
      <c r="M208" s="203" t="str">
        <f>IF($H208="USD",IF(OR($L208="",$L208="-"),"",VLOOKUP($G208,為替!$A:$AX,$L208,FALSE))+$K$3,IF(OR($L208="",$L208="-"),"",VLOOKUP($G208,為替!$A:$AX,$L208,FALSE)))</f>
        <v/>
      </c>
      <c r="N208" s="204" t="str">
        <f t="shared" si="22"/>
        <v/>
      </c>
      <c r="O208" s="205" t="str">
        <f t="shared" si="18"/>
        <v/>
      </c>
      <c r="P208" s="206" t="str">
        <f t="shared" si="23"/>
        <v/>
      </c>
    </row>
    <row r="209" spans="3:16" x14ac:dyDescent="0.4">
      <c r="C209" s="199"/>
      <c r="D209" s="200"/>
      <c r="E209" s="201"/>
      <c r="F209" s="199"/>
      <c r="H209" s="202"/>
      <c r="I209" s="185" t="str">
        <f t="shared" si="19"/>
        <v/>
      </c>
      <c r="J209" s="203" t="str">
        <f>IF($H209="USD",IF(OR($I209="",$I209="-"),"",VLOOKUP($G209,為替!$A:$AX,$I209,FALSE))+$J$3,IF(OR($I209="",$I209="-"),"",VLOOKUP($G209,為替!$A:$AX,$I209,FALSE)))</f>
        <v/>
      </c>
      <c r="K209" s="204" t="str">
        <f t="shared" si="20"/>
        <v/>
      </c>
      <c r="L209" s="188" t="str">
        <f t="shared" si="21"/>
        <v/>
      </c>
      <c r="M209" s="203" t="str">
        <f>IF($H209="USD",IF(OR($L209="",$L209="-"),"",VLOOKUP($G209,為替!$A:$AX,$L209,FALSE))+$K$3,IF(OR($L209="",$L209="-"),"",VLOOKUP($G209,為替!$A:$AX,$L209,FALSE)))</f>
        <v/>
      </c>
      <c r="N209" s="204" t="str">
        <f t="shared" si="22"/>
        <v/>
      </c>
      <c r="O209" s="205" t="str">
        <f t="shared" si="18"/>
        <v/>
      </c>
      <c r="P209" s="206" t="str">
        <f t="shared" si="23"/>
        <v/>
      </c>
    </row>
    <row r="210" spans="3:16" x14ac:dyDescent="0.4">
      <c r="C210" s="199"/>
      <c r="D210" s="200"/>
      <c r="E210" s="201"/>
      <c r="F210" s="199"/>
      <c r="H210" s="202"/>
      <c r="I210" s="185" t="str">
        <f t="shared" si="19"/>
        <v/>
      </c>
      <c r="J210" s="203" t="str">
        <f>IF($H210="USD",IF(OR($I210="",$I210="-"),"",VLOOKUP($G210,為替!$A:$AX,$I210,FALSE))+$J$3,IF(OR($I210="",$I210="-"),"",VLOOKUP($G210,為替!$A:$AX,$I210,FALSE)))</f>
        <v/>
      </c>
      <c r="K210" s="204" t="str">
        <f t="shared" si="20"/>
        <v/>
      </c>
      <c r="L210" s="188" t="str">
        <f t="shared" si="21"/>
        <v/>
      </c>
      <c r="M210" s="203" t="str">
        <f>IF($H210="USD",IF(OR($L210="",$L210="-"),"",VLOOKUP($G210,為替!$A:$AX,$L210,FALSE))+$K$3,IF(OR($L210="",$L210="-"),"",VLOOKUP($G210,為替!$A:$AX,$L210,FALSE)))</f>
        <v/>
      </c>
      <c r="N210" s="204" t="str">
        <f t="shared" si="22"/>
        <v/>
      </c>
      <c r="O210" s="205" t="str">
        <f t="shared" si="18"/>
        <v/>
      </c>
      <c r="P210" s="206" t="str">
        <f t="shared" si="23"/>
        <v/>
      </c>
    </row>
    <row r="211" spans="3:16" x14ac:dyDescent="0.4">
      <c r="C211" s="199"/>
      <c r="D211" s="200"/>
      <c r="E211" s="201"/>
      <c r="F211" s="199"/>
      <c r="H211" s="202"/>
      <c r="I211" s="185" t="str">
        <f t="shared" si="19"/>
        <v/>
      </c>
      <c r="J211" s="203" t="str">
        <f>IF($H211="USD",IF(OR($I211="",$I211="-"),"",VLOOKUP($G211,為替!$A:$AX,$I211,FALSE))+$J$3,IF(OR($I211="",$I211="-"),"",VLOOKUP($G211,為替!$A:$AX,$I211,FALSE)))</f>
        <v/>
      </c>
      <c r="K211" s="204" t="str">
        <f t="shared" si="20"/>
        <v/>
      </c>
      <c r="L211" s="188" t="str">
        <f t="shared" si="21"/>
        <v/>
      </c>
      <c r="M211" s="203" t="str">
        <f>IF($H211="USD",IF(OR($L211="",$L211="-"),"",VLOOKUP($G211,為替!$A:$AX,$L211,FALSE))+$K$3,IF(OR($L211="",$L211="-"),"",VLOOKUP($G211,為替!$A:$AX,$L211,FALSE)))</f>
        <v/>
      </c>
      <c r="N211" s="204" t="str">
        <f t="shared" si="22"/>
        <v/>
      </c>
      <c r="O211" s="205" t="str">
        <f t="shared" si="18"/>
        <v/>
      </c>
      <c r="P211" s="206" t="str">
        <f t="shared" si="23"/>
        <v/>
      </c>
    </row>
    <row r="212" spans="3:16" x14ac:dyDescent="0.4">
      <c r="C212" s="199"/>
      <c r="D212" s="200"/>
      <c r="E212" s="201"/>
      <c r="F212" s="199"/>
      <c r="H212" s="202"/>
      <c r="I212" s="185" t="str">
        <f t="shared" si="19"/>
        <v/>
      </c>
      <c r="J212" s="203" t="str">
        <f>IF($H212="USD",IF(OR($I212="",$I212="-"),"",VLOOKUP($G212,為替!$A:$AX,$I212,FALSE))+$J$3,IF(OR($I212="",$I212="-"),"",VLOOKUP($G212,為替!$A:$AX,$I212,FALSE)))</f>
        <v/>
      </c>
      <c r="K212" s="204" t="str">
        <f t="shared" si="20"/>
        <v/>
      </c>
      <c r="L212" s="188" t="str">
        <f t="shared" si="21"/>
        <v/>
      </c>
      <c r="M212" s="203" t="str">
        <f>IF($H212="USD",IF(OR($L212="",$L212="-"),"",VLOOKUP($G212,為替!$A:$AX,$L212,FALSE))+$K$3,IF(OR($L212="",$L212="-"),"",VLOOKUP($G212,為替!$A:$AX,$L212,FALSE)))</f>
        <v/>
      </c>
      <c r="N212" s="204" t="str">
        <f t="shared" si="22"/>
        <v/>
      </c>
      <c r="O212" s="205" t="str">
        <f t="shared" si="18"/>
        <v/>
      </c>
      <c r="P212" s="206" t="str">
        <f t="shared" si="23"/>
        <v/>
      </c>
    </row>
    <row r="213" spans="3:16" x14ac:dyDescent="0.4">
      <c r="C213" s="199"/>
      <c r="D213" s="200"/>
      <c r="E213" s="201"/>
      <c r="F213" s="199"/>
      <c r="H213" s="202"/>
      <c r="I213" s="185" t="str">
        <f t="shared" si="19"/>
        <v/>
      </c>
      <c r="J213" s="203" t="str">
        <f>IF($H213="USD",IF(OR($I213="",$I213="-"),"",VLOOKUP($G213,為替!$A:$AX,$I213,FALSE))+$J$3,IF(OR($I213="",$I213="-"),"",VLOOKUP($G213,為替!$A:$AX,$I213,FALSE)))</f>
        <v/>
      </c>
      <c r="K213" s="204" t="str">
        <f t="shared" si="20"/>
        <v/>
      </c>
      <c r="L213" s="188" t="str">
        <f t="shared" si="21"/>
        <v/>
      </c>
      <c r="M213" s="203" t="str">
        <f>IF($H213="USD",IF(OR($L213="",$L213="-"),"",VLOOKUP($G213,為替!$A:$AX,$L213,FALSE))+$K$3,IF(OR($L213="",$L213="-"),"",VLOOKUP($G213,為替!$A:$AX,$L213,FALSE)))</f>
        <v/>
      </c>
      <c r="N213" s="204" t="str">
        <f t="shared" si="22"/>
        <v/>
      </c>
      <c r="O213" s="205" t="str">
        <f t="shared" si="18"/>
        <v/>
      </c>
      <c r="P213" s="206" t="str">
        <f t="shared" si="23"/>
        <v/>
      </c>
    </row>
    <row r="214" spans="3:16" x14ac:dyDescent="0.4">
      <c r="C214" s="199"/>
      <c r="D214" s="200"/>
      <c r="E214" s="201"/>
      <c r="F214" s="199"/>
      <c r="H214" s="202"/>
      <c r="I214" s="185" t="str">
        <f t="shared" si="19"/>
        <v/>
      </c>
      <c r="J214" s="203" t="str">
        <f>IF($H214="USD",IF(OR($I214="",$I214="-"),"",VLOOKUP($G214,為替!$A:$AX,$I214,FALSE))+$J$3,IF(OR($I214="",$I214="-"),"",VLOOKUP($G214,為替!$A:$AX,$I214,FALSE)))</f>
        <v/>
      </c>
      <c r="K214" s="204" t="str">
        <f t="shared" si="20"/>
        <v/>
      </c>
      <c r="L214" s="188" t="str">
        <f t="shared" si="21"/>
        <v/>
      </c>
      <c r="M214" s="203" t="str">
        <f>IF($H214="USD",IF(OR($L214="",$L214="-"),"",VLOOKUP($G214,為替!$A:$AX,$L214,FALSE))+$K$3,IF(OR($L214="",$L214="-"),"",VLOOKUP($G214,為替!$A:$AX,$L214,FALSE)))</f>
        <v/>
      </c>
      <c r="N214" s="204" t="str">
        <f t="shared" si="22"/>
        <v/>
      </c>
      <c r="O214" s="205" t="str">
        <f t="shared" si="18"/>
        <v/>
      </c>
      <c r="P214" s="206" t="str">
        <f t="shared" si="23"/>
        <v/>
      </c>
    </row>
    <row r="215" spans="3:16" x14ac:dyDescent="0.4">
      <c r="C215" s="199"/>
      <c r="D215" s="200"/>
      <c r="E215" s="201"/>
      <c r="F215" s="199"/>
      <c r="H215" s="202"/>
      <c r="I215" s="185" t="str">
        <f t="shared" si="19"/>
        <v/>
      </c>
      <c r="J215" s="203" t="str">
        <f>IF($H215="USD",IF(OR($I215="",$I215="-"),"",VLOOKUP($G215,為替!$A:$AX,$I215,FALSE))+$J$3,IF(OR($I215="",$I215="-"),"",VLOOKUP($G215,為替!$A:$AX,$I215,FALSE)))</f>
        <v/>
      </c>
      <c r="K215" s="204" t="str">
        <f t="shared" si="20"/>
        <v/>
      </c>
      <c r="L215" s="188" t="str">
        <f t="shared" si="21"/>
        <v/>
      </c>
      <c r="M215" s="203" t="str">
        <f>IF($H215="USD",IF(OR($L215="",$L215="-"),"",VLOOKUP($G215,為替!$A:$AX,$L215,FALSE))+$K$3,IF(OR($L215="",$L215="-"),"",VLOOKUP($G215,為替!$A:$AX,$L215,FALSE)))</f>
        <v/>
      </c>
      <c r="N215" s="204" t="str">
        <f t="shared" si="22"/>
        <v/>
      </c>
      <c r="O215" s="205" t="str">
        <f t="shared" si="18"/>
        <v/>
      </c>
      <c r="P215" s="206" t="str">
        <f t="shared" si="23"/>
        <v/>
      </c>
    </row>
    <row r="216" spans="3:16" x14ac:dyDescent="0.4">
      <c r="C216" s="199"/>
      <c r="D216" s="200"/>
      <c r="E216" s="201"/>
      <c r="F216" s="199"/>
      <c r="H216" s="202"/>
      <c r="I216" s="185" t="str">
        <f t="shared" si="19"/>
        <v/>
      </c>
      <c r="J216" s="203" t="str">
        <f>IF($H216="USD",IF(OR($I216="",$I216="-"),"",VLOOKUP($G216,為替!$A:$AX,$I216,FALSE))+$J$3,IF(OR($I216="",$I216="-"),"",VLOOKUP($G216,為替!$A:$AX,$I216,FALSE)))</f>
        <v/>
      </c>
      <c r="K216" s="204" t="str">
        <f t="shared" si="20"/>
        <v/>
      </c>
      <c r="L216" s="188" t="str">
        <f t="shared" si="21"/>
        <v/>
      </c>
      <c r="M216" s="203" t="str">
        <f>IF($H216="USD",IF(OR($L216="",$L216="-"),"",VLOOKUP($G216,為替!$A:$AX,$L216,FALSE))+$K$3,IF(OR($L216="",$L216="-"),"",VLOOKUP($G216,為替!$A:$AX,$L216,FALSE)))</f>
        <v/>
      </c>
      <c r="N216" s="204" t="str">
        <f t="shared" si="22"/>
        <v/>
      </c>
      <c r="O216" s="205" t="str">
        <f t="shared" si="18"/>
        <v/>
      </c>
      <c r="P216" s="206" t="str">
        <f t="shared" si="23"/>
        <v/>
      </c>
    </row>
    <row r="217" spans="3:16" x14ac:dyDescent="0.4">
      <c r="C217" s="199"/>
      <c r="D217" s="200"/>
      <c r="E217" s="201"/>
      <c r="F217" s="199"/>
      <c r="H217" s="202"/>
      <c r="I217" s="185" t="str">
        <f t="shared" si="19"/>
        <v/>
      </c>
      <c r="J217" s="203" t="str">
        <f>IF($H217="USD",IF(OR($I217="",$I217="-"),"",VLOOKUP($G217,為替!$A:$AX,$I217,FALSE))+$J$3,IF(OR($I217="",$I217="-"),"",VLOOKUP($G217,為替!$A:$AX,$I217,FALSE)))</f>
        <v/>
      </c>
      <c r="K217" s="204" t="str">
        <f t="shared" si="20"/>
        <v/>
      </c>
      <c r="L217" s="188" t="str">
        <f t="shared" si="21"/>
        <v/>
      </c>
      <c r="M217" s="203" t="str">
        <f>IF($H217="USD",IF(OR($L217="",$L217="-"),"",VLOOKUP($G217,為替!$A:$AX,$L217,FALSE))+$K$3,IF(OR($L217="",$L217="-"),"",VLOOKUP($G217,為替!$A:$AX,$L217,FALSE)))</f>
        <v/>
      </c>
      <c r="N217" s="204" t="str">
        <f t="shared" si="22"/>
        <v/>
      </c>
      <c r="O217" s="205" t="str">
        <f t="shared" si="18"/>
        <v/>
      </c>
      <c r="P217" s="206" t="str">
        <f t="shared" si="23"/>
        <v/>
      </c>
    </row>
    <row r="218" spans="3:16" x14ac:dyDescent="0.4">
      <c r="C218" s="199"/>
      <c r="D218" s="200"/>
      <c r="E218" s="201"/>
      <c r="F218" s="199"/>
      <c r="H218" s="202"/>
      <c r="I218" s="185" t="str">
        <f t="shared" si="19"/>
        <v/>
      </c>
      <c r="J218" s="203" t="str">
        <f>IF($H218="USD",IF(OR($I218="",$I218="-"),"",VLOOKUP($G218,為替!$A:$AX,$I218,FALSE))+$J$3,IF(OR($I218="",$I218="-"),"",VLOOKUP($G218,為替!$A:$AX,$I218,FALSE)))</f>
        <v/>
      </c>
      <c r="K218" s="204" t="str">
        <f t="shared" si="20"/>
        <v/>
      </c>
      <c r="L218" s="188" t="str">
        <f t="shared" si="21"/>
        <v/>
      </c>
      <c r="M218" s="203" t="str">
        <f>IF($H218="USD",IF(OR($L218="",$L218="-"),"",VLOOKUP($G218,為替!$A:$AX,$L218,FALSE))+$K$3,IF(OR($L218="",$L218="-"),"",VLOOKUP($G218,為替!$A:$AX,$L218,FALSE)))</f>
        <v/>
      </c>
      <c r="N218" s="204" t="str">
        <f t="shared" si="22"/>
        <v/>
      </c>
      <c r="O218" s="205" t="str">
        <f t="shared" si="18"/>
        <v/>
      </c>
      <c r="P218" s="206" t="str">
        <f t="shared" si="23"/>
        <v/>
      </c>
    </row>
    <row r="219" spans="3:16" x14ac:dyDescent="0.4">
      <c r="C219" s="199"/>
      <c r="D219" s="200"/>
      <c r="E219" s="201"/>
      <c r="F219" s="199"/>
      <c r="H219" s="202"/>
      <c r="I219" s="185" t="str">
        <f t="shared" si="19"/>
        <v/>
      </c>
      <c r="J219" s="203" t="str">
        <f>IF($H219="USD",IF(OR($I219="",$I219="-"),"",VLOOKUP($G219,為替!$A:$AX,$I219,FALSE))+$J$3,IF(OR($I219="",$I219="-"),"",VLOOKUP($G219,為替!$A:$AX,$I219,FALSE)))</f>
        <v/>
      </c>
      <c r="K219" s="204" t="str">
        <f t="shared" si="20"/>
        <v/>
      </c>
      <c r="L219" s="188" t="str">
        <f t="shared" si="21"/>
        <v/>
      </c>
      <c r="M219" s="203" t="str">
        <f>IF($H219="USD",IF(OR($L219="",$L219="-"),"",VLOOKUP($G219,為替!$A:$AX,$L219,FALSE))+$K$3,IF(OR($L219="",$L219="-"),"",VLOOKUP($G219,為替!$A:$AX,$L219,FALSE)))</f>
        <v/>
      </c>
      <c r="N219" s="204" t="str">
        <f t="shared" si="22"/>
        <v/>
      </c>
      <c r="O219" s="205" t="str">
        <f t="shared" si="18"/>
        <v/>
      </c>
      <c r="P219" s="206" t="str">
        <f t="shared" si="23"/>
        <v/>
      </c>
    </row>
    <row r="220" spans="3:16" x14ac:dyDescent="0.4">
      <c r="C220" s="199"/>
      <c r="D220" s="200"/>
      <c r="E220" s="201"/>
      <c r="F220" s="199"/>
      <c r="H220" s="202"/>
      <c r="I220" s="185" t="str">
        <f t="shared" si="19"/>
        <v/>
      </c>
      <c r="J220" s="203" t="str">
        <f>IF($H220="USD",IF(OR($I220="",$I220="-"),"",VLOOKUP($G220,為替!$A:$AX,$I220,FALSE))+$J$3,IF(OR($I220="",$I220="-"),"",VLOOKUP($G220,為替!$A:$AX,$I220,FALSE)))</f>
        <v/>
      </c>
      <c r="K220" s="204" t="str">
        <f t="shared" si="20"/>
        <v/>
      </c>
      <c r="L220" s="188" t="str">
        <f t="shared" si="21"/>
        <v/>
      </c>
      <c r="M220" s="203" t="str">
        <f>IF($H220="USD",IF(OR($L220="",$L220="-"),"",VLOOKUP($G220,為替!$A:$AX,$L220,FALSE))+$K$3,IF(OR($L220="",$L220="-"),"",VLOOKUP($G220,為替!$A:$AX,$L220,FALSE)))</f>
        <v/>
      </c>
      <c r="N220" s="204" t="str">
        <f t="shared" si="22"/>
        <v/>
      </c>
      <c r="O220" s="205" t="str">
        <f t="shared" si="18"/>
        <v/>
      </c>
      <c r="P220" s="206" t="str">
        <f t="shared" si="23"/>
        <v/>
      </c>
    </row>
    <row r="221" spans="3:16" x14ac:dyDescent="0.4">
      <c r="C221" s="199"/>
      <c r="D221" s="200"/>
      <c r="E221" s="201"/>
      <c r="F221" s="199"/>
      <c r="H221" s="202"/>
      <c r="I221" s="185" t="str">
        <f t="shared" si="19"/>
        <v/>
      </c>
      <c r="J221" s="203" t="str">
        <f>IF($H221="USD",IF(OR($I221="",$I221="-"),"",VLOOKUP($G221,為替!$A:$AX,$I221,FALSE))+$J$3,IF(OR($I221="",$I221="-"),"",VLOOKUP($G221,為替!$A:$AX,$I221,FALSE)))</f>
        <v/>
      </c>
      <c r="K221" s="204" t="str">
        <f t="shared" si="20"/>
        <v/>
      </c>
      <c r="L221" s="188" t="str">
        <f t="shared" si="21"/>
        <v/>
      </c>
      <c r="M221" s="203" t="str">
        <f>IF($H221="USD",IF(OR($L221="",$L221="-"),"",VLOOKUP($G221,為替!$A:$AX,$L221,FALSE))+$K$3,IF(OR($L221="",$L221="-"),"",VLOOKUP($G221,為替!$A:$AX,$L221,FALSE)))</f>
        <v/>
      </c>
      <c r="N221" s="204" t="str">
        <f t="shared" si="22"/>
        <v/>
      </c>
      <c r="O221" s="205" t="str">
        <f t="shared" si="18"/>
        <v/>
      </c>
      <c r="P221" s="206" t="str">
        <f t="shared" si="23"/>
        <v/>
      </c>
    </row>
    <row r="222" spans="3:16" x14ac:dyDescent="0.4">
      <c r="C222" s="199"/>
      <c r="D222" s="200"/>
      <c r="E222" s="201"/>
      <c r="F222" s="199"/>
      <c r="H222" s="202"/>
      <c r="I222" s="185" t="str">
        <f t="shared" si="19"/>
        <v/>
      </c>
      <c r="J222" s="203" t="str">
        <f>IF($H222="USD",IF(OR($I222="",$I222="-"),"",VLOOKUP($G222,為替!$A:$AX,$I222,FALSE))+$J$3,IF(OR($I222="",$I222="-"),"",VLOOKUP($G222,為替!$A:$AX,$I222,FALSE)))</f>
        <v/>
      </c>
      <c r="K222" s="204" t="str">
        <f t="shared" si="20"/>
        <v/>
      </c>
      <c r="L222" s="188" t="str">
        <f t="shared" si="21"/>
        <v/>
      </c>
      <c r="M222" s="203" t="str">
        <f>IF($H222="USD",IF(OR($L222="",$L222="-"),"",VLOOKUP($G222,為替!$A:$AX,$L222,FALSE))+$K$3,IF(OR($L222="",$L222="-"),"",VLOOKUP($G222,為替!$A:$AX,$L222,FALSE)))</f>
        <v/>
      </c>
      <c r="N222" s="204" t="str">
        <f t="shared" si="22"/>
        <v/>
      </c>
      <c r="O222" s="205" t="str">
        <f t="shared" si="18"/>
        <v/>
      </c>
      <c r="P222" s="206" t="str">
        <f t="shared" si="23"/>
        <v/>
      </c>
    </row>
    <row r="223" spans="3:16" x14ac:dyDescent="0.4">
      <c r="C223" s="199"/>
      <c r="D223" s="200"/>
      <c r="E223" s="201"/>
      <c r="F223" s="199"/>
      <c r="H223" s="202"/>
      <c r="I223" s="185" t="str">
        <f t="shared" si="19"/>
        <v/>
      </c>
      <c r="J223" s="203" t="str">
        <f>IF($H223="USD",IF(OR($I223="",$I223="-"),"",VLOOKUP($G223,為替!$A:$AX,$I223,FALSE))+$J$3,IF(OR($I223="",$I223="-"),"",VLOOKUP($G223,為替!$A:$AX,$I223,FALSE)))</f>
        <v/>
      </c>
      <c r="K223" s="204" t="str">
        <f t="shared" si="20"/>
        <v/>
      </c>
      <c r="L223" s="188" t="str">
        <f t="shared" si="21"/>
        <v/>
      </c>
      <c r="M223" s="203" t="str">
        <f>IF($H223="USD",IF(OR($L223="",$L223="-"),"",VLOOKUP($G223,為替!$A:$AX,$L223,FALSE))+$K$3,IF(OR($L223="",$L223="-"),"",VLOOKUP($G223,為替!$A:$AX,$L223,FALSE)))</f>
        <v/>
      </c>
      <c r="N223" s="204" t="str">
        <f t="shared" si="22"/>
        <v/>
      </c>
      <c r="O223" s="205" t="str">
        <f t="shared" si="18"/>
        <v/>
      </c>
      <c r="P223" s="206" t="str">
        <f t="shared" si="23"/>
        <v/>
      </c>
    </row>
    <row r="224" spans="3:16" x14ac:dyDescent="0.4">
      <c r="C224" s="199"/>
      <c r="D224" s="200"/>
      <c r="E224" s="201"/>
      <c r="F224" s="199"/>
      <c r="H224" s="202"/>
      <c r="I224" s="185" t="str">
        <f t="shared" si="19"/>
        <v/>
      </c>
      <c r="J224" s="203" t="str">
        <f>IF($H224="USD",IF(OR($I224="",$I224="-"),"",VLOOKUP($G224,為替!$A:$AX,$I224,FALSE))+$J$3,IF(OR($I224="",$I224="-"),"",VLOOKUP($G224,為替!$A:$AX,$I224,FALSE)))</f>
        <v/>
      </c>
      <c r="K224" s="204" t="str">
        <f t="shared" si="20"/>
        <v/>
      </c>
      <c r="L224" s="188" t="str">
        <f t="shared" si="21"/>
        <v/>
      </c>
      <c r="M224" s="203" t="str">
        <f>IF($H224="USD",IF(OR($L224="",$L224="-"),"",VLOOKUP($G224,為替!$A:$AX,$L224,FALSE))+$K$3,IF(OR($L224="",$L224="-"),"",VLOOKUP($G224,為替!$A:$AX,$L224,FALSE)))</f>
        <v/>
      </c>
      <c r="N224" s="204" t="str">
        <f t="shared" si="22"/>
        <v/>
      </c>
      <c r="O224" s="205" t="str">
        <f t="shared" si="18"/>
        <v/>
      </c>
      <c r="P224" s="206" t="str">
        <f t="shared" si="23"/>
        <v/>
      </c>
    </row>
    <row r="225" spans="3:16" x14ac:dyDescent="0.4">
      <c r="C225" s="199"/>
      <c r="D225" s="200"/>
      <c r="E225" s="201"/>
      <c r="F225" s="199"/>
      <c r="H225" s="202"/>
      <c r="I225" s="185" t="str">
        <f t="shared" si="19"/>
        <v/>
      </c>
      <c r="J225" s="203" t="str">
        <f>IF($H225="USD",IF(OR($I225="",$I225="-"),"",VLOOKUP($G225,為替!$A:$AX,$I225,FALSE))+$J$3,IF(OR($I225="",$I225="-"),"",VLOOKUP($G225,為替!$A:$AX,$I225,FALSE)))</f>
        <v/>
      </c>
      <c r="K225" s="204" t="str">
        <f t="shared" si="20"/>
        <v/>
      </c>
      <c r="L225" s="188" t="str">
        <f t="shared" si="21"/>
        <v/>
      </c>
      <c r="M225" s="203" t="str">
        <f>IF($H225="USD",IF(OR($L225="",$L225="-"),"",VLOOKUP($G225,為替!$A:$AX,$L225,FALSE))+$K$3,IF(OR($L225="",$L225="-"),"",VLOOKUP($G225,為替!$A:$AX,$L225,FALSE)))</f>
        <v/>
      </c>
      <c r="N225" s="204" t="str">
        <f t="shared" si="22"/>
        <v/>
      </c>
      <c r="O225" s="205" t="str">
        <f t="shared" si="18"/>
        <v/>
      </c>
      <c r="P225" s="206" t="str">
        <f t="shared" si="23"/>
        <v/>
      </c>
    </row>
    <row r="226" spans="3:16" x14ac:dyDescent="0.4">
      <c r="C226" s="199"/>
      <c r="D226" s="200"/>
      <c r="E226" s="201"/>
      <c r="F226" s="199"/>
      <c r="H226" s="202"/>
      <c r="I226" s="185" t="str">
        <f t="shared" si="19"/>
        <v/>
      </c>
      <c r="J226" s="203" t="str">
        <f>IF($H226="USD",IF(OR($I226="",$I226="-"),"",VLOOKUP($G226,為替!$A:$AX,$I226,FALSE))+$J$3,IF(OR($I226="",$I226="-"),"",VLOOKUP($G226,為替!$A:$AX,$I226,FALSE)))</f>
        <v/>
      </c>
      <c r="K226" s="204" t="str">
        <f t="shared" si="20"/>
        <v/>
      </c>
      <c r="L226" s="188" t="str">
        <f t="shared" si="21"/>
        <v/>
      </c>
      <c r="M226" s="203" t="str">
        <f>IF($H226="USD",IF(OR($L226="",$L226="-"),"",VLOOKUP($G226,為替!$A:$AX,$L226,FALSE))+$K$3,IF(OR($L226="",$L226="-"),"",VLOOKUP($G226,為替!$A:$AX,$L226,FALSE)))</f>
        <v/>
      </c>
      <c r="N226" s="204" t="str">
        <f t="shared" si="22"/>
        <v/>
      </c>
      <c r="O226" s="205" t="str">
        <f t="shared" si="18"/>
        <v/>
      </c>
      <c r="P226" s="206" t="str">
        <f t="shared" si="23"/>
        <v/>
      </c>
    </row>
    <row r="227" spans="3:16" x14ac:dyDescent="0.4">
      <c r="C227" s="199"/>
      <c r="D227" s="200"/>
      <c r="E227" s="201"/>
      <c r="F227" s="199"/>
      <c r="H227" s="202"/>
      <c r="I227" s="185" t="str">
        <f t="shared" si="19"/>
        <v/>
      </c>
      <c r="J227" s="203" t="str">
        <f>IF($H227="USD",IF(OR($I227="",$I227="-"),"",VLOOKUP($G227,為替!$A:$AX,$I227,FALSE))+$J$3,IF(OR($I227="",$I227="-"),"",VLOOKUP($G227,為替!$A:$AX,$I227,FALSE)))</f>
        <v/>
      </c>
      <c r="K227" s="204" t="str">
        <f t="shared" si="20"/>
        <v/>
      </c>
      <c r="L227" s="188" t="str">
        <f t="shared" si="21"/>
        <v/>
      </c>
      <c r="M227" s="203" t="str">
        <f>IF($H227="USD",IF(OR($L227="",$L227="-"),"",VLOOKUP($G227,為替!$A:$AX,$L227,FALSE))+$K$3,IF(OR($L227="",$L227="-"),"",VLOOKUP($G227,為替!$A:$AX,$L227,FALSE)))</f>
        <v/>
      </c>
      <c r="N227" s="204" t="str">
        <f t="shared" si="22"/>
        <v/>
      </c>
      <c r="O227" s="205" t="str">
        <f t="shared" si="18"/>
        <v/>
      </c>
      <c r="P227" s="206" t="str">
        <f t="shared" si="23"/>
        <v/>
      </c>
    </row>
    <row r="228" spans="3:16" x14ac:dyDescent="0.4">
      <c r="C228" s="199"/>
      <c r="D228" s="200"/>
      <c r="E228" s="201"/>
      <c r="F228" s="199"/>
      <c r="H228" s="202"/>
      <c r="I228" s="185" t="str">
        <f t="shared" si="19"/>
        <v/>
      </c>
      <c r="J228" s="203" t="str">
        <f>IF($H228="USD",IF(OR($I228="",$I228="-"),"",VLOOKUP($G228,為替!$A:$AX,$I228,FALSE))+$J$3,IF(OR($I228="",$I228="-"),"",VLOOKUP($G228,為替!$A:$AX,$I228,FALSE)))</f>
        <v/>
      </c>
      <c r="K228" s="204" t="str">
        <f t="shared" si="20"/>
        <v/>
      </c>
      <c r="L228" s="188" t="str">
        <f t="shared" si="21"/>
        <v/>
      </c>
      <c r="M228" s="203" t="str">
        <f>IF($H228="USD",IF(OR($L228="",$L228="-"),"",VLOOKUP($G228,為替!$A:$AX,$L228,FALSE))+$K$3,IF(OR($L228="",$L228="-"),"",VLOOKUP($G228,為替!$A:$AX,$L228,FALSE)))</f>
        <v/>
      </c>
      <c r="N228" s="204" t="str">
        <f t="shared" si="22"/>
        <v/>
      </c>
      <c r="O228" s="205" t="str">
        <f t="shared" si="18"/>
        <v/>
      </c>
      <c r="P228" s="206" t="str">
        <f t="shared" si="23"/>
        <v/>
      </c>
    </row>
    <row r="229" spans="3:16" x14ac:dyDescent="0.4">
      <c r="C229" s="199"/>
      <c r="D229" s="200"/>
      <c r="E229" s="201"/>
      <c r="F229" s="199"/>
      <c r="H229" s="202"/>
      <c r="I229" s="185" t="str">
        <f t="shared" si="19"/>
        <v/>
      </c>
      <c r="J229" s="203" t="str">
        <f>IF($H229="USD",IF(OR($I229="",$I229="-"),"",VLOOKUP($G229,為替!$A:$AX,$I229,FALSE))+$J$3,IF(OR($I229="",$I229="-"),"",VLOOKUP($G229,為替!$A:$AX,$I229,FALSE)))</f>
        <v/>
      </c>
      <c r="K229" s="204" t="str">
        <f t="shared" si="20"/>
        <v/>
      </c>
      <c r="L229" s="188" t="str">
        <f t="shared" si="21"/>
        <v/>
      </c>
      <c r="M229" s="203" t="str">
        <f>IF($H229="USD",IF(OR($L229="",$L229="-"),"",VLOOKUP($G229,為替!$A:$AX,$L229,FALSE))+$K$3,IF(OR($L229="",$L229="-"),"",VLOOKUP($G229,為替!$A:$AX,$L229,FALSE)))</f>
        <v/>
      </c>
      <c r="N229" s="204" t="str">
        <f t="shared" si="22"/>
        <v/>
      </c>
      <c r="O229" s="205" t="str">
        <f t="shared" si="18"/>
        <v/>
      </c>
      <c r="P229" s="206" t="str">
        <f t="shared" si="23"/>
        <v/>
      </c>
    </row>
    <row r="230" spans="3:16" x14ac:dyDescent="0.4">
      <c r="C230" s="199"/>
      <c r="D230" s="200"/>
      <c r="E230" s="201"/>
      <c r="F230" s="199"/>
      <c r="H230" s="202"/>
      <c r="I230" s="185" t="str">
        <f t="shared" si="19"/>
        <v/>
      </c>
      <c r="J230" s="203" t="str">
        <f>IF($H230="USD",IF(OR($I230="",$I230="-"),"",VLOOKUP($G230,為替!$A:$AX,$I230,FALSE))+$J$3,IF(OR($I230="",$I230="-"),"",VLOOKUP($G230,為替!$A:$AX,$I230,FALSE)))</f>
        <v/>
      </c>
      <c r="K230" s="204" t="str">
        <f t="shared" si="20"/>
        <v/>
      </c>
      <c r="L230" s="188" t="str">
        <f t="shared" si="21"/>
        <v/>
      </c>
      <c r="M230" s="203" t="str">
        <f>IF($H230="USD",IF(OR($L230="",$L230="-"),"",VLOOKUP($G230,為替!$A:$AX,$L230,FALSE))+$K$3,IF(OR($L230="",$L230="-"),"",VLOOKUP($G230,為替!$A:$AX,$L230,FALSE)))</f>
        <v/>
      </c>
      <c r="N230" s="204" t="str">
        <f t="shared" si="22"/>
        <v/>
      </c>
      <c r="O230" s="205" t="str">
        <f t="shared" si="18"/>
        <v/>
      </c>
      <c r="P230" s="206" t="str">
        <f t="shared" si="23"/>
        <v/>
      </c>
    </row>
    <row r="231" spans="3:16" x14ac:dyDescent="0.4">
      <c r="C231" s="199"/>
      <c r="D231" s="200"/>
      <c r="E231" s="201"/>
      <c r="F231" s="199"/>
      <c r="H231" s="202"/>
      <c r="I231" s="185" t="str">
        <f t="shared" si="19"/>
        <v/>
      </c>
      <c r="J231" s="203" t="str">
        <f>IF($H231="USD",IF(OR($I231="",$I231="-"),"",VLOOKUP($G231,為替!$A:$AX,$I231,FALSE))+$J$3,IF(OR($I231="",$I231="-"),"",VLOOKUP($G231,為替!$A:$AX,$I231,FALSE)))</f>
        <v/>
      </c>
      <c r="K231" s="204" t="str">
        <f t="shared" si="20"/>
        <v/>
      </c>
      <c r="L231" s="188" t="str">
        <f t="shared" si="21"/>
        <v/>
      </c>
      <c r="M231" s="203" t="str">
        <f>IF($H231="USD",IF(OR($L231="",$L231="-"),"",VLOOKUP($G231,為替!$A:$AX,$L231,FALSE))+$K$3,IF(OR($L231="",$L231="-"),"",VLOOKUP($G231,為替!$A:$AX,$L231,FALSE)))</f>
        <v/>
      </c>
      <c r="N231" s="204" t="str">
        <f t="shared" si="22"/>
        <v/>
      </c>
      <c r="O231" s="205" t="str">
        <f t="shared" si="18"/>
        <v/>
      </c>
      <c r="P231" s="206" t="str">
        <f t="shared" si="23"/>
        <v/>
      </c>
    </row>
    <row r="232" spans="3:16" x14ac:dyDescent="0.4">
      <c r="C232" s="199"/>
      <c r="D232" s="200"/>
      <c r="E232" s="201"/>
      <c r="F232" s="199"/>
      <c r="H232" s="202"/>
      <c r="I232" s="185" t="str">
        <f t="shared" si="19"/>
        <v/>
      </c>
      <c r="J232" s="203" t="str">
        <f>IF($H232="USD",IF(OR($I232="",$I232="-"),"",VLOOKUP($G232,為替!$A:$AX,$I232,FALSE))+$J$3,IF(OR($I232="",$I232="-"),"",VLOOKUP($G232,為替!$A:$AX,$I232,FALSE)))</f>
        <v/>
      </c>
      <c r="K232" s="204" t="str">
        <f t="shared" si="20"/>
        <v/>
      </c>
      <c r="L232" s="188" t="str">
        <f t="shared" si="21"/>
        <v/>
      </c>
      <c r="M232" s="203" t="str">
        <f>IF($H232="USD",IF(OR($L232="",$L232="-"),"",VLOOKUP($G232,為替!$A:$AX,$L232,FALSE))+$K$3,IF(OR($L232="",$L232="-"),"",VLOOKUP($G232,為替!$A:$AX,$L232,FALSE)))</f>
        <v/>
      </c>
      <c r="N232" s="204" t="str">
        <f t="shared" si="22"/>
        <v/>
      </c>
      <c r="O232" s="205" t="str">
        <f t="shared" si="18"/>
        <v/>
      </c>
      <c r="P232" s="206" t="str">
        <f t="shared" si="23"/>
        <v/>
      </c>
    </row>
    <row r="233" spans="3:16" x14ac:dyDescent="0.4">
      <c r="C233" s="199"/>
      <c r="D233" s="200"/>
      <c r="E233" s="201"/>
      <c r="F233" s="199"/>
      <c r="H233" s="202"/>
      <c r="I233" s="185" t="str">
        <f t="shared" si="19"/>
        <v/>
      </c>
      <c r="J233" s="203" t="str">
        <f>IF($H233="USD",IF(OR($I233="",$I233="-"),"",VLOOKUP($G233,為替!$A:$AX,$I233,FALSE))+$J$3,IF(OR($I233="",$I233="-"),"",VLOOKUP($G233,為替!$A:$AX,$I233,FALSE)))</f>
        <v/>
      </c>
      <c r="K233" s="204" t="str">
        <f t="shared" si="20"/>
        <v/>
      </c>
      <c r="L233" s="188" t="str">
        <f t="shared" si="21"/>
        <v/>
      </c>
      <c r="M233" s="203" t="str">
        <f>IF($H233="USD",IF(OR($L233="",$L233="-"),"",VLOOKUP($G233,為替!$A:$AX,$L233,FALSE))+$K$3,IF(OR($L233="",$L233="-"),"",VLOOKUP($G233,為替!$A:$AX,$L233,FALSE)))</f>
        <v/>
      </c>
      <c r="N233" s="204" t="str">
        <f t="shared" si="22"/>
        <v/>
      </c>
      <c r="O233" s="205" t="str">
        <f t="shared" si="18"/>
        <v/>
      </c>
      <c r="P233" s="206" t="str">
        <f t="shared" si="23"/>
        <v/>
      </c>
    </row>
    <row r="234" spans="3:16" x14ac:dyDescent="0.4">
      <c r="C234" s="199"/>
      <c r="D234" s="200"/>
      <c r="E234" s="201"/>
      <c r="F234" s="199"/>
      <c r="H234" s="202"/>
      <c r="I234" s="185" t="str">
        <f t="shared" si="19"/>
        <v/>
      </c>
      <c r="J234" s="203" t="str">
        <f>IF($H234="USD",IF(OR($I234="",$I234="-"),"",VLOOKUP($G234,為替!$A:$AX,$I234,FALSE))+$J$3,IF(OR($I234="",$I234="-"),"",VLOOKUP($G234,為替!$A:$AX,$I234,FALSE)))</f>
        <v/>
      </c>
      <c r="K234" s="204" t="str">
        <f t="shared" si="20"/>
        <v/>
      </c>
      <c r="L234" s="188" t="str">
        <f t="shared" si="21"/>
        <v/>
      </c>
      <c r="M234" s="203" t="str">
        <f>IF($H234="USD",IF(OR($L234="",$L234="-"),"",VLOOKUP($G234,為替!$A:$AX,$L234,FALSE))+$K$3,IF(OR($L234="",$L234="-"),"",VLOOKUP($G234,為替!$A:$AX,$L234,FALSE)))</f>
        <v/>
      </c>
      <c r="N234" s="204" t="str">
        <f t="shared" si="22"/>
        <v/>
      </c>
      <c r="O234" s="205" t="str">
        <f t="shared" si="18"/>
        <v/>
      </c>
      <c r="P234" s="206" t="str">
        <f t="shared" si="23"/>
        <v/>
      </c>
    </row>
    <row r="235" spans="3:16" x14ac:dyDescent="0.4">
      <c r="C235" s="199"/>
      <c r="D235" s="200"/>
      <c r="E235" s="201"/>
      <c r="F235" s="199"/>
      <c r="H235" s="202"/>
      <c r="I235" s="185" t="str">
        <f t="shared" si="19"/>
        <v/>
      </c>
      <c r="J235" s="203" t="str">
        <f>IF($H235="USD",IF(OR($I235="",$I235="-"),"",VLOOKUP($G235,為替!$A:$AX,$I235,FALSE))+$J$3,IF(OR($I235="",$I235="-"),"",VLOOKUP($G235,為替!$A:$AX,$I235,FALSE)))</f>
        <v/>
      </c>
      <c r="K235" s="204" t="str">
        <f t="shared" si="20"/>
        <v/>
      </c>
      <c r="L235" s="188" t="str">
        <f t="shared" si="21"/>
        <v/>
      </c>
      <c r="M235" s="203" t="str">
        <f>IF($H235="USD",IF(OR($L235="",$L235="-"),"",VLOOKUP($G235,為替!$A:$AX,$L235,FALSE))+$K$3,IF(OR($L235="",$L235="-"),"",VLOOKUP($G235,為替!$A:$AX,$L235,FALSE)))</f>
        <v/>
      </c>
      <c r="N235" s="204" t="str">
        <f t="shared" si="22"/>
        <v/>
      </c>
      <c r="O235" s="205" t="str">
        <f t="shared" si="18"/>
        <v/>
      </c>
      <c r="P235" s="206" t="str">
        <f t="shared" si="23"/>
        <v/>
      </c>
    </row>
    <row r="236" spans="3:16" x14ac:dyDescent="0.4">
      <c r="C236" s="199"/>
      <c r="D236" s="200"/>
      <c r="E236" s="201"/>
      <c r="F236" s="199"/>
      <c r="H236" s="202"/>
      <c r="I236" s="185" t="str">
        <f t="shared" si="19"/>
        <v/>
      </c>
      <c r="J236" s="203" t="str">
        <f>IF($H236="USD",IF(OR($I236="",$I236="-"),"",VLOOKUP($G236,為替!$A:$AX,$I236,FALSE))+$J$3,IF(OR($I236="",$I236="-"),"",VLOOKUP($G236,為替!$A:$AX,$I236,FALSE)))</f>
        <v/>
      </c>
      <c r="K236" s="204" t="str">
        <f t="shared" si="20"/>
        <v/>
      </c>
      <c r="L236" s="188" t="str">
        <f t="shared" si="21"/>
        <v/>
      </c>
      <c r="M236" s="203" t="str">
        <f>IF($H236="USD",IF(OR($L236="",$L236="-"),"",VLOOKUP($G236,為替!$A:$AX,$L236,FALSE))+$K$3,IF(OR($L236="",$L236="-"),"",VLOOKUP($G236,為替!$A:$AX,$L236,FALSE)))</f>
        <v/>
      </c>
      <c r="N236" s="204" t="str">
        <f t="shared" si="22"/>
        <v/>
      </c>
      <c r="O236" s="205" t="str">
        <f t="shared" si="18"/>
        <v/>
      </c>
      <c r="P236" s="206" t="str">
        <f t="shared" si="23"/>
        <v/>
      </c>
    </row>
    <row r="237" spans="3:16" x14ac:dyDescent="0.4">
      <c r="C237" s="199"/>
      <c r="D237" s="200"/>
      <c r="E237" s="201"/>
      <c r="F237" s="199"/>
      <c r="H237" s="202"/>
      <c r="I237" s="185" t="str">
        <f t="shared" si="19"/>
        <v/>
      </c>
      <c r="J237" s="203" t="str">
        <f>IF($H237="USD",IF(OR($I237="",$I237="-"),"",VLOOKUP($G237,為替!$A:$AX,$I237,FALSE))+$J$3,IF(OR($I237="",$I237="-"),"",VLOOKUP($G237,為替!$A:$AX,$I237,FALSE)))</f>
        <v/>
      </c>
      <c r="K237" s="204" t="str">
        <f t="shared" si="20"/>
        <v/>
      </c>
      <c r="L237" s="188" t="str">
        <f t="shared" si="21"/>
        <v/>
      </c>
      <c r="M237" s="203" t="str">
        <f>IF($H237="USD",IF(OR($L237="",$L237="-"),"",VLOOKUP($G237,為替!$A:$AX,$L237,FALSE))+$K$3,IF(OR($L237="",$L237="-"),"",VLOOKUP($G237,為替!$A:$AX,$L237,FALSE)))</f>
        <v/>
      </c>
      <c r="N237" s="204" t="str">
        <f t="shared" si="22"/>
        <v/>
      </c>
      <c r="O237" s="205" t="str">
        <f t="shared" si="18"/>
        <v/>
      </c>
      <c r="P237" s="206" t="str">
        <f t="shared" si="23"/>
        <v/>
      </c>
    </row>
    <row r="238" spans="3:16" x14ac:dyDescent="0.4">
      <c r="C238" s="199"/>
      <c r="D238" s="200"/>
      <c r="E238" s="201"/>
      <c r="F238" s="199"/>
      <c r="H238" s="202"/>
      <c r="I238" s="185" t="str">
        <f t="shared" si="19"/>
        <v/>
      </c>
      <c r="J238" s="203" t="str">
        <f>IF($H238="USD",IF(OR($I238="",$I238="-"),"",VLOOKUP($G238,為替!$A:$AX,$I238,FALSE))+$J$3,IF(OR($I238="",$I238="-"),"",VLOOKUP($G238,為替!$A:$AX,$I238,FALSE)))</f>
        <v/>
      </c>
      <c r="K238" s="204" t="str">
        <f t="shared" si="20"/>
        <v/>
      </c>
      <c r="L238" s="188" t="str">
        <f t="shared" si="21"/>
        <v/>
      </c>
      <c r="M238" s="203" t="str">
        <f>IF($H238="USD",IF(OR($L238="",$L238="-"),"",VLOOKUP($G238,為替!$A:$AX,$L238,FALSE))+$K$3,IF(OR($L238="",$L238="-"),"",VLOOKUP($G238,為替!$A:$AX,$L238,FALSE)))</f>
        <v/>
      </c>
      <c r="N238" s="204" t="str">
        <f t="shared" si="22"/>
        <v/>
      </c>
      <c r="O238" s="205" t="str">
        <f t="shared" si="18"/>
        <v/>
      </c>
      <c r="P238" s="206" t="str">
        <f t="shared" si="23"/>
        <v/>
      </c>
    </row>
    <row r="239" spans="3:16" x14ac:dyDescent="0.4">
      <c r="C239" s="199"/>
      <c r="D239" s="200"/>
      <c r="E239" s="201"/>
      <c r="F239" s="199"/>
      <c r="H239" s="202"/>
      <c r="I239" s="185" t="str">
        <f t="shared" si="19"/>
        <v/>
      </c>
      <c r="J239" s="203" t="str">
        <f>IF($H239="USD",IF(OR($I239="",$I239="-"),"",VLOOKUP($G239,為替!$A:$AX,$I239,FALSE))+$J$3,IF(OR($I239="",$I239="-"),"",VLOOKUP($G239,為替!$A:$AX,$I239,FALSE)))</f>
        <v/>
      </c>
      <c r="K239" s="204" t="str">
        <f t="shared" si="20"/>
        <v/>
      </c>
      <c r="L239" s="188" t="str">
        <f t="shared" si="21"/>
        <v/>
      </c>
      <c r="M239" s="203" t="str">
        <f>IF($H239="USD",IF(OR($L239="",$L239="-"),"",VLOOKUP($G239,為替!$A:$AX,$L239,FALSE))+$K$3,IF(OR($L239="",$L239="-"),"",VLOOKUP($G239,為替!$A:$AX,$L239,FALSE)))</f>
        <v/>
      </c>
      <c r="N239" s="204" t="str">
        <f t="shared" si="22"/>
        <v/>
      </c>
      <c r="O239" s="205" t="str">
        <f t="shared" si="18"/>
        <v/>
      </c>
      <c r="P239" s="206" t="str">
        <f t="shared" si="23"/>
        <v/>
      </c>
    </row>
    <row r="240" spans="3:16" x14ac:dyDescent="0.4">
      <c r="C240" s="199"/>
      <c r="D240" s="200"/>
      <c r="E240" s="201"/>
      <c r="F240" s="199"/>
      <c r="H240" s="202"/>
      <c r="I240" s="185" t="str">
        <f t="shared" si="19"/>
        <v/>
      </c>
      <c r="J240" s="203" t="str">
        <f>IF($H240="USD",IF(OR($I240="",$I240="-"),"",VLOOKUP($G240,為替!$A:$AX,$I240,FALSE))+$J$3,IF(OR($I240="",$I240="-"),"",VLOOKUP($G240,為替!$A:$AX,$I240,FALSE)))</f>
        <v/>
      </c>
      <c r="K240" s="204" t="str">
        <f t="shared" si="20"/>
        <v/>
      </c>
      <c r="L240" s="188" t="str">
        <f t="shared" si="21"/>
        <v/>
      </c>
      <c r="M240" s="203" t="str">
        <f>IF($H240="USD",IF(OR($L240="",$L240="-"),"",VLOOKUP($G240,為替!$A:$AX,$L240,FALSE))+$K$3,IF(OR($L240="",$L240="-"),"",VLOOKUP($G240,為替!$A:$AX,$L240,FALSE)))</f>
        <v/>
      </c>
      <c r="N240" s="204" t="str">
        <f t="shared" si="22"/>
        <v/>
      </c>
      <c r="O240" s="205" t="str">
        <f t="shared" si="18"/>
        <v/>
      </c>
      <c r="P240" s="206" t="str">
        <f t="shared" si="23"/>
        <v/>
      </c>
    </row>
    <row r="241" spans="3:16" x14ac:dyDescent="0.4">
      <c r="C241" s="199"/>
      <c r="D241" s="200"/>
      <c r="E241" s="201"/>
      <c r="F241" s="199"/>
      <c r="H241" s="202"/>
      <c r="I241" s="185" t="str">
        <f t="shared" si="19"/>
        <v/>
      </c>
      <c r="J241" s="203" t="str">
        <f>IF($H241="USD",IF(OR($I241="",$I241="-"),"",VLOOKUP($G241,為替!$A:$AX,$I241,FALSE))+$J$3,IF(OR($I241="",$I241="-"),"",VLOOKUP($G241,為替!$A:$AX,$I241,FALSE)))</f>
        <v/>
      </c>
      <c r="K241" s="204" t="str">
        <f t="shared" si="20"/>
        <v/>
      </c>
      <c r="L241" s="188" t="str">
        <f t="shared" si="21"/>
        <v/>
      </c>
      <c r="M241" s="203" t="str">
        <f>IF($H241="USD",IF(OR($L241="",$L241="-"),"",VLOOKUP($G241,為替!$A:$AX,$L241,FALSE))+$K$3,IF(OR($L241="",$L241="-"),"",VLOOKUP($G241,為替!$A:$AX,$L241,FALSE)))</f>
        <v/>
      </c>
      <c r="N241" s="204" t="str">
        <f t="shared" si="22"/>
        <v/>
      </c>
      <c r="O241" s="205" t="str">
        <f t="shared" si="18"/>
        <v/>
      </c>
      <c r="P241" s="206" t="str">
        <f t="shared" si="23"/>
        <v/>
      </c>
    </row>
    <row r="242" spans="3:16" x14ac:dyDescent="0.4">
      <c r="C242" s="199"/>
      <c r="D242" s="200"/>
      <c r="E242" s="201"/>
      <c r="F242" s="199"/>
      <c r="H242" s="202"/>
      <c r="I242" s="185" t="str">
        <f t="shared" si="19"/>
        <v/>
      </c>
      <c r="J242" s="203" t="str">
        <f>IF($H242="USD",IF(OR($I242="",$I242="-"),"",VLOOKUP($G242,為替!$A:$AX,$I242,FALSE))+$J$3,IF(OR($I242="",$I242="-"),"",VLOOKUP($G242,為替!$A:$AX,$I242,FALSE)))</f>
        <v/>
      </c>
      <c r="K242" s="204" t="str">
        <f t="shared" si="20"/>
        <v/>
      </c>
      <c r="L242" s="188" t="str">
        <f t="shared" si="21"/>
        <v/>
      </c>
      <c r="M242" s="203" t="str">
        <f>IF($H242="USD",IF(OR($L242="",$L242="-"),"",VLOOKUP($G242,為替!$A:$AX,$L242,FALSE))+$K$3,IF(OR($L242="",$L242="-"),"",VLOOKUP($G242,為替!$A:$AX,$L242,FALSE)))</f>
        <v/>
      </c>
      <c r="N242" s="204" t="str">
        <f t="shared" si="22"/>
        <v/>
      </c>
      <c r="O242" s="205" t="str">
        <f t="shared" si="18"/>
        <v/>
      </c>
      <c r="P242" s="206" t="str">
        <f t="shared" si="23"/>
        <v/>
      </c>
    </row>
    <row r="243" spans="3:16" x14ac:dyDescent="0.4">
      <c r="C243" s="199"/>
      <c r="D243" s="200"/>
      <c r="E243" s="201"/>
      <c r="F243" s="199"/>
      <c r="H243" s="202"/>
      <c r="I243" s="185" t="str">
        <f t="shared" si="19"/>
        <v/>
      </c>
      <c r="J243" s="203" t="str">
        <f>IF($H243="USD",IF(OR($I243="",$I243="-"),"",VLOOKUP($G243,為替!$A:$AX,$I243,FALSE))+$J$3,IF(OR($I243="",$I243="-"),"",VLOOKUP($G243,為替!$A:$AX,$I243,FALSE)))</f>
        <v/>
      </c>
      <c r="K243" s="204" t="str">
        <f t="shared" si="20"/>
        <v/>
      </c>
      <c r="L243" s="188" t="str">
        <f t="shared" si="21"/>
        <v/>
      </c>
      <c r="M243" s="203" t="str">
        <f>IF($H243="USD",IF(OR($L243="",$L243="-"),"",VLOOKUP($G243,為替!$A:$AX,$L243,FALSE))+$K$3,IF(OR($L243="",$L243="-"),"",VLOOKUP($G243,為替!$A:$AX,$L243,FALSE)))</f>
        <v/>
      </c>
      <c r="N243" s="204" t="str">
        <f t="shared" si="22"/>
        <v/>
      </c>
      <c r="O243" s="205" t="str">
        <f t="shared" si="18"/>
        <v/>
      </c>
      <c r="P243" s="206" t="str">
        <f t="shared" si="23"/>
        <v/>
      </c>
    </row>
    <row r="244" spans="3:16" x14ac:dyDescent="0.4">
      <c r="C244" s="199"/>
      <c r="D244" s="200"/>
      <c r="E244" s="201"/>
      <c r="F244" s="199"/>
      <c r="H244" s="202"/>
      <c r="I244" s="185" t="str">
        <f t="shared" si="19"/>
        <v/>
      </c>
      <c r="J244" s="203" t="str">
        <f>IF($H244="USD",IF(OR($I244="",$I244="-"),"",VLOOKUP($G244,為替!$A:$AX,$I244,FALSE))+$J$3,IF(OR($I244="",$I244="-"),"",VLOOKUP($G244,為替!$A:$AX,$I244,FALSE)))</f>
        <v/>
      </c>
      <c r="K244" s="204" t="str">
        <f t="shared" si="20"/>
        <v/>
      </c>
      <c r="L244" s="188" t="str">
        <f t="shared" si="21"/>
        <v/>
      </c>
      <c r="M244" s="203" t="str">
        <f>IF($H244="USD",IF(OR($L244="",$L244="-"),"",VLOOKUP($G244,為替!$A:$AX,$L244,FALSE))+$K$3,IF(OR($L244="",$L244="-"),"",VLOOKUP($G244,為替!$A:$AX,$L244,FALSE)))</f>
        <v/>
      </c>
      <c r="N244" s="204" t="str">
        <f t="shared" si="22"/>
        <v/>
      </c>
      <c r="O244" s="205" t="str">
        <f t="shared" si="18"/>
        <v/>
      </c>
      <c r="P244" s="206" t="str">
        <f t="shared" si="23"/>
        <v/>
      </c>
    </row>
    <row r="245" spans="3:16" x14ac:dyDescent="0.4">
      <c r="C245" s="199"/>
      <c r="D245" s="200"/>
      <c r="E245" s="201"/>
      <c r="F245" s="199"/>
      <c r="H245" s="202"/>
      <c r="I245" s="185" t="str">
        <f t="shared" si="19"/>
        <v/>
      </c>
      <c r="J245" s="203" t="str">
        <f>IF($H245="USD",IF(OR($I245="",$I245="-"),"",VLOOKUP($G245,為替!$A:$AX,$I245,FALSE))+$J$3,IF(OR($I245="",$I245="-"),"",VLOOKUP($G245,為替!$A:$AX,$I245,FALSE)))</f>
        <v/>
      </c>
      <c r="K245" s="204" t="str">
        <f t="shared" si="20"/>
        <v/>
      </c>
      <c r="L245" s="188" t="str">
        <f t="shared" si="21"/>
        <v/>
      </c>
      <c r="M245" s="203" t="str">
        <f>IF($H245="USD",IF(OR($L245="",$L245="-"),"",VLOOKUP($G245,為替!$A:$AX,$L245,FALSE))+$K$3,IF(OR($L245="",$L245="-"),"",VLOOKUP($G245,為替!$A:$AX,$L245,FALSE)))</f>
        <v/>
      </c>
      <c r="N245" s="204" t="str">
        <f t="shared" si="22"/>
        <v/>
      </c>
      <c r="O245" s="205" t="str">
        <f t="shared" si="18"/>
        <v/>
      </c>
      <c r="P245" s="206" t="str">
        <f t="shared" si="23"/>
        <v/>
      </c>
    </row>
    <row r="246" spans="3:16" x14ac:dyDescent="0.4">
      <c r="C246" s="199"/>
      <c r="D246" s="200"/>
      <c r="E246" s="201"/>
      <c r="F246" s="199"/>
      <c r="H246" s="202"/>
      <c r="I246" s="185" t="str">
        <f t="shared" si="19"/>
        <v/>
      </c>
      <c r="J246" s="203" t="str">
        <f>IF($H246="USD",IF(OR($I246="",$I246="-"),"",VLOOKUP($G246,為替!$A:$AX,$I246,FALSE))+$J$3,IF(OR($I246="",$I246="-"),"",VLOOKUP($G246,為替!$A:$AX,$I246,FALSE)))</f>
        <v/>
      </c>
      <c r="K246" s="204" t="str">
        <f t="shared" si="20"/>
        <v/>
      </c>
      <c r="L246" s="188" t="str">
        <f t="shared" si="21"/>
        <v/>
      </c>
      <c r="M246" s="203" t="str">
        <f>IF($H246="USD",IF(OR($L246="",$L246="-"),"",VLOOKUP($G246,為替!$A:$AX,$L246,FALSE))+$K$3,IF(OR($L246="",$L246="-"),"",VLOOKUP($G246,為替!$A:$AX,$L246,FALSE)))</f>
        <v/>
      </c>
      <c r="N246" s="204" t="str">
        <f t="shared" si="22"/>
        <v/>
      </c>
      <c r="O246" s="205" t="str">
        <f t="shared" si="18"/>
        <v/>
      </c>
      <c r="P246" s="206" t="str">
        <f t="shared" si="23"/>
        <v/>
      </c>
    </row>
    <row r="247" spans="3:16" x14ac:dyDescent="0.4">
      <c r="C247" s="199"/>
      <c r="D247" s="200"/>
      <c r="E247" s="201"/>
      <c r="F247" s="199"/>
      <c r="H247" s="202"/>
      <c r="I247" s="185" t="str">
        <f t="shared" si="19"/>
        <v/>
      </c>
      <c r="J247" s="203" t="str">
        <f>IF($H247="USD",IF(OR($I247="",$I247="-"),"",VLOOKUP($G247,為替!$A:$AX,$I247,FALSE))+$J$3,IF(OR($I247="",$I247="-"),"",VLOOKUP($G247,為替!$A:$AX,$I247,FALSE)))</f>
        <v/>
      </c>
      <c r="K247" s="204" t="str">
        <f t="shared" si="20"/>
        <v/>
      </c>
      <c r="L247" s="188" t="str">
        <f t="shared" si="21"/>
        <v/>
      </c>
      <c r="M247" s="203" t="str">
        <f>IF($H247="USD",IF(OR($L247="",$L247="-"),"",VLOOKUP($G247,為替!$A:$AX,$L247,FALSE))+$K$3,IF(OR($L247="",$L247="-"),"",VLOOKUP($G247,為替!$A:$AX,$L247,FALSE)))</f>
        <v/>
      </c>
      <c r="N247" s="204" t="str">
        <f t="shared" si="22"/>
        <v/>
      </c>
      <c r="O247" s="205" t="str">
        <f t="shared" si="18"/>
        <v/>
      </c>
      <c r="P247" s="206" t="str">
        <f t="shared" si="23"/>
        <v/>
      </c>
    </row>
    <row r="248" spans="3:16" x14ac:dyDescent="0.4">
      <c r="C248" s="199"/>
      <c r="D248" s="200"/>
      <c r="E248" s="201"/>
      <c r="F248" s="199"/>
      <c r="H248" s="202"/>
      <c r="I248" s="185" t="str">
        <f t="shared" si="19"/>
        <v/>
      </c>
      <c r="J248" s="203" t="str">
        <f>IF($H248="USD",IF(OR($I248="",$I248="-"),"",VLOOKUP($G248,為替!$A:$AX,$I248,FALSE))+$J$3,IF(OR($I248="",$I248="-"),"",VLOOKUP($G248,為替!$A:$AX,$I248,FALSE)))</f>
        <v/>
      </c>
      <c r="K248" s="204" t="str">
        <f t="shared" si="20"/>
        <v/>
      </c>
      <c r="L248" s="188" t="str">
        <f t="shared" si="21"/>
        <v/>
      </c>
      <c r="M248" s="203" t="str">
        <f>IF($H248="USD",IF(OR($L248="",$L248="-"),"",VLOOKUP($G248,為替!$A:$AX,$L248,FALSE))+$K$3,IF(OR($L248="",$L248="-"),"",VLOOKUP($G248,為替!$A:$AX,$L248,FALSE)))</f>
        <v/>
      </c>
      <c r="N248" s="204" t="str">
        <f t="shared" si="22"/>
        <v/>
      </c>
      <c r="O248" s="205" t="str">
        <f t="shared" si="18"/>
        <v/>
      </c>
      <c r="P248" s="206" t="str">
        <f t="shared" si="23"/>
        <v/>
      </c>
    </row>
    <row r="249" spans="3:16" x14ac:dyDescent="0.4">
      <c r="C249" s="199"/>
      <c r="D249" s="200"/>
      <c r="E249" s="201"/>
      <c r="F249" s="199"/>
      <c r="H249" s="202"/>
      <c r="I249" s="185" t="str">
        <f t="shared" si="19"/>
        <v/>
      </c>
      <c r="J249" s="203" t="str">
        <f>IF($H249="USD",IF(OR($I249="",$I249="-"),"",VLOOKUP($G249,為替!$A:$AX,$I249,FALSE))+$J$3,IF(OR($I249="",$I249="-"),"",VLOOKUP($G249,為替!$A:$AX,$I249,FALSE)))</f>
        <v/>
      </c>
      <c r="K249" s="204" t="str">
        <f t="shared" si="20"/>
        <v/>
      </c>
      <c r="L249" s="188" t="str">
        <f t="shared" si="21"/>
        <v/>
      </c>
      <c r="M249" s="203" t="str">
        <f>IF($H249="USD",IF(OR($L249="",$L249="-"),"",VLOOKUP($G249,為替!$A:$AX,$L249,FALSE))+$K$3,IF(OR($L249="",$L249="-"),"",VLOOKUP($G249,為替!$A:$AX,$L249,FALSE)))</f>
        <v/>
      </c>
      <c r="N249" s="204" t="str">
        <f t="shared" si="22"/>
        <v/>
      </c>
      <c r="O249" s="205" t="str">
        <f t="shared" si="18"/>
        <v/>
      </c>
      <c r="P249" s="206" t="str">
        <f t="shared" si="23"/>
        <v/>
      </c>
    </row>
    <row r="250" spans="3:16" x14ac:dyDescent="0.4">
      <c r="C250" s="199"/>
      <c r="D250" s="200"/>
      <c r="E250" s="201"/>
      <c r="F250" s="199"/>
      <c r="H250" s="202"/>
      <c r="I250" s="185" t="str">
        <f t="shared" si="19"/>
        <v/>
      </c>
      <c r="J250" s="203" t="str">
        <f>IF($H250="USD",IF(OR($I250="",$I250="-"),"",VLOOKUP($G250,為替!$A:$AX,$I250,FALSE))+$J$3,IF(OR($I250="",$I250="-"),"",VLOOKUP($G250,為替!$A:$AX,$I250,FALSE)))</f>
        <v/>
      </c>
      <c r="K250" s="204" t="str">
        <f t="shared" si="20"/>
        <v/>
      </c>
      <c r="L250" s="188" t="str">
        <f t="shared" si="21"/>
        <v/>
      </c>
      <c r="M250" s="203" t="str">
        <f>IF($H250="USD",IF(OR($L250="",$L250="-"),"",VLOOKUP($G250,為替!$A:$AX,$L250,FALSE))+$K$3,IF(OR($L250="",$L250="-"),"",VLOOKUP($G250,為替!$A:$AX,$L250,FALSE)))</f>
        <v/>
      </c>
      <c r="N250" s="204" t="str">
        <f t="shared" si="22"/>
        <v/>
      </c>
      <c r="O250" s="205" t="str">
        <f t="shared" si="18"/>
        <v/>
      </c>
      <c r="P250" s="206" t="str">
        <f t="shared" si="23"/>
        <v/>
      </c>
    </row>
    <row r="251" spans="3:16" x14ac:dyDescent="0.4">
      <c r="C251" s="199"/>
      <c r="D251" s="200"/>
      <c r="E251" s="201"/>
      <c r="F251" s="199"/>
      <c r="H251" s="202"/>
      <c r="I251" s="185" t="str">
        <f t="shared" si="19"/>
        <v/>
      </c>
      <c r="J251" s="203" t="str">
        <f>IF($H251="USD",IF(OR($I251="",$I251="-"),"",VLOOKUP($G251,為替!$A:$AX,$I251,FALSE))+$J$3,IF(OR($I251="",$I251="-"),"",VLOOKUP($G251,為替!$A:$AX,$I251,FALSE)))</f>
        <v/>
      </c>
      <c r="K251" s="204" t="str">
        <f t="shared" si="20"/>
        <v/>
      </c>
      <c r="L251" s="188" t="str">
        <f t="shared" si="21"/>
        <v/>
      </c>
      <c r="M251" s="203" t="str">
        <f>IF($H251="USD",IF(OR($L251="",$L251="-"),"",VLOOKUP($G251,為替!$A:$AX,$L251,FALSE))+$K$3,IF(OR($L251="",$L251="-"),"",VLOOKUP($G251,為替!$A:$AX,$L251,FALSE)))</f>
        <v/>
      </c>
      <c r="N251" s="204" t="str">
        <f t="shared" si="22"/>
        <v/>
      </c>
      <c r="O251" s="205" t="str">
        <f t="shared" si="18"/>
        <v/>
      </c>
      <c r="P251" s="206" t="str">
        <f t="shared" si="23"/>
        <v/>
      </c>
    </row>
    <row r="252" spans="3:16" x14ac:dyDescent="0.4">
      <c r="C252" s="199"/>
      <c r="D252" s="200"/>
      <c r="E252" s="201"/>
      <c r="F252" s="199"/>
      <c r="H252" s="202"/>
      <c r="I252" s="185" t="str">
        <f t="shared" si="19"/>
        <v/>
      </c>
      <c r="J252" s="203" t="str">
        <f>IF($H252="USD",IF(OR($I252="",$I252="-"),"",VLOOKUP($G252,為替!$A:$AX,$I252,FALSE))+$J$3,IF(OR($I252="",$I252="-"),"",VLOOKUP($G252,為替!$A:$AX,$I252,FALSE)))</f>
        <v/>
      </c>
      <c r="K252" s="204" t="str">
        <f t="shared" si="20"/>
        <v/>
      </c>
      <c r="L252" s="188" t="str">
        <f t="shared" si="21"/>
        <v/>
      </c>
      <c r="M252" s="203" t="str">
        <f>IF($H252="USD",IF(OR($L252="",$L252="-"),"",VLOOKUP($G252,為替!$A:$AX,$L252,FALSE))+$K$3,IF(OR($L252="",$L252="-"),"",VLOOKUP($G252,為替!$A:$AX,$L252,FALSE)))</f>
        <v/>
      </c>
      <c r="N252" s="204" t="str">
        <f t="shared" si="22"/>
        <v/>
      </c>
      <c r="O252" s="205" t="str">
        <f t="shared" si="18"/>
        <v/>
      </c>
      <c r="P252" s="206" t="str">
        <f t="shared" si="23"/>
        <v/>
      </c>
    </row>
    <row r="253" spans="3:16" x14ac:dyDescent="0.4">
      <c r="C253" s="199"/>
      <c r="D253" s="200"/>
      <c r="E253" s="201"/>
      <c r="F253" s="199"/>
      <c r="H253" s="202"/>
      <c r="I253" s="185" t="str">
        <f t="shared" si="19"/>
        <v/>
      </c>
      <c r="J253" s="203" t="str">
        <f>IF($H253="USD",IF(OR($I253="",$I253="-"),"",VLOOKUP($G253,為替!$A:$AX,$I253,FALSE))+$J$3,IF(OR($I253="",$I253="-"),"",VLOOKUP($G253,為替!$A:$AX,$I253,FALSE)))</f>
        <v/>
      </c>
      <c r="K253" s="204" t="str">
        <f t="shared" si="20"/>
        <v/>
      </c>
      <c r="L253" s="188" t="str">
        <f t="shared" si="21"/>
        <v/>
      </c>
      <c r="M253" s="203" t="str">
        <f>IF($H253="USD",IF(OR($L253="",$L253="-"),"",VLOOKUP($G253,為替!$A:$AX,$L253,FALSE))+$K$3,IF(OR($L253="",$L253="-"),"",VLOOKUP($G253,為替!$A:$AX,$L253,FALSE)))</f>
        <v/>
      </c>
      <c r="N253" s="204" t="str">
        <f t="shared" si="22"/>
        <v/>
      </c>
      <c r="O253" s="205" t="str">
        <f t="shared" si="18"/>
        <v/>
      </c>
      <c r="P253" s="206" t="str">
        <f t="shared" si="23"/>
        <v/>
      </c>
    </row>
    <row r="254" spans="3:16" x14ac:dyDescent="0.4">
      <c r="C254" s="199"/>
      <c r="D254" s="200"/>
      <c r="E254" s="201"/>
      <c r="F254" s="199"/>
      <c r="H254" s="202"/>
      <c r="I254" s="185" t="str">
        <f t="shared" si="19"/>
        <v/>
      </c>
      <c r="J254" s="203" t="str">
        <f>IF($H254="USD",IF(OR($I254="",$I254="-"),"",VLOOKUP($G254,為替!$A:$AX,$I254,FALSE))+$J$3,IF(OR($I254="",$I254="-"),"",VLOOKUP($G254,為替!$A:$AX,$I254,FALSE)))</f>
        <v/>
      </c>
      <c r="K254" s="204" t="str">
        <f t="shared" si="20"/>
        <v/>
      </c>
      <c r="L254" s="188" t="str">
        <f t="shared" si="21"/>
        <v/>
      </c>
      <c r="M254" s="203" t="str">
        <f>IF($H254="USD",IF(OR($L254="",$L254="-"),"",VLOOKUP($G254,為替!$A:$AX,$L254,FALSE))+$K$3,IF(OR($L254="",$L254="-"),"",VLOOKUP($G254,為替!$A:$AX,$L254,FALSE)))</f>
        <v/>
      </c>
      <c r="N254" s="204" t="str">
        <f t="shared" si="22"/>
        <v/>
      </c>
      <c r="O254" s="205" t="str">
        <f t="shared" si="18"/>
        <v/>
      </c>
      <c r="P254" s="206" t="str">
        <f t="shared" si="23"/>
        <v/>
      </c>
    </row>
    <row r="255" spans="3:16" x14ac:dyDescent="0.4">
      <c r="C255" s="199"/>
      <c r="D255" s="200"/>
      <c r="E255" s="201"/>
      <c r="F255" s="199"/>
      <c r="H255" s="202"/>
      <c r="I255" s="185" t="str">
        <f t="shared" si="19"/>
        <v/>
      </c>
      <c r="J255" s="203" t="str">
        <f>IF($H255="USD",IF(OR($I255="",$I255="-"),"",VLOOKUP($G255,為替!$A:$AX,$I255,FALSE))+$J$3,IF(OR($I255="",$I255="-"),"",VLOOKUP($G255,為替!$A:$AX,$I255,FALSE)))</f>
        <v/>
      </c>
      <c r="K255" s="204" t="str">
        <f t="shared" si="20"/>
        <v/>
      </c>
      <c r="L255" s="188" t="str">
        <f t="shared" si="21"/>
        <v/>
      </c>
      <c r="M255" s="203" t="str">
        <f>IF($H255="USD",IF(OR($L255="",$L255="-"),"",VLOOKUP($G255,為替!$A:$AX,$L255,FALSE))+$K$3,IF(OR($L255="",$L255="-"),"",VLOOKUP($G255,為替!$A:$AX,$L255,FALSE)))</f>
        <v/>
      </c>
      <c r="N255" s="204" t="str">
        <f t="shared" si="22"/>
        <v/>
      </c>
      <c r="O255" s="205" t="str">
        <f t="shared" si="18"/>
        <v/>
      </c>
      <c r="P255" s="206" t="str">
        <f t="shared" si="23"/>
        <v/>
      </c>
    </row>
    <row r="256" spans="3:16" x14ac:dyDescent="0.4">
      <c r="C256" s="199"/>
      <c r="D256" s="200"/>
      <c r="E256" s="201"/>
      <c r="F256" s="199"/>
      <c r="H256" s="202"/>
      <c r="I256" s="185" t="str">
        <f t="shared" si="19"/>
        <v/>
      </c>
      <c r="J256" s="203" t="str">
        <f>IF($H256="USD",IF(OR($I256="",$I256="-"),"",VLOOKUP($G256,為替!$A:$AX,$I256,FALSE))+$J$3,IF(OR($I256="",$I256="-"),"",VLOOKUP($G256,為替!$A:$AX,$I256,FALSE)))</f>
        <v/>
      </c>
      <c r="K256" s="204" t="str">
        <f t="shared" si="20"/>
        <v/>
      </c>
      <c r="L256" s="188" t="str">
        <f t="shared" si="21"/>
        <v/>
      </c>
      <c r="M256" s="203" t="str">
        <f>IF($H256="USD",IF(OR($L256="",$L256="-"),"",VLOOKUP($G256,為替!$A:$AX,$L256,FALSE))+$K$3,IF(OR($L256="",$L256="-"),"",VLOOKUP($G256,為替!$A:$AX,$L256,FALSE)))</f>
        <v/>
      </c>
      <c r="N256" s="204" t="str">
        <f t="shared" si="22"/>
        <v/>
      </c>
      <c r="O256" s="205" t="str">
        <f t="shared" si="18"/>
        <v/>
      </c>
      <c r="P256" s="206" t="str">
        <f t="shared" si="23"/>
        <v/>
      </c>
    </row>
    <row r="257" spans="3:16" x14ac:dyDescent="0.4">
      <c r="C257" s="199"/>
      <c r="D257" s="200"/>
      <c r="E257" s="201"/>
      <c r="F257" s="199"/>
      <c r="H257" s="202"/>
      <c r="I257" s="185" t="str">
        <f t="shared" si="19"/>
        <v/>
      </c>
      <c r="J257" s="203" t="str">
        <f>IF($H257="USD",IF(OR($I257="",$I257="-"),"",VLOOKUP($G257,為替!$A:$AX,$I257,FALSE))+$J$3,IF(OR($I257="",$I257="-"),"",VLOOKUP($G257,為替!$A:$AX,$I257,FALSE)))</f>
        <v/>
      </c>
      <c r="K257" s="204" t="str">
        <f t="shared" si="20"/>
        <v/>
      </c>
      <c r="L257" s="188" t="str">
        <f t="shared" si="21"/>
        <v/>
      </c>
      <c r="M257" s="203" t="str">
        <f>IF($H257="USD",IF(OR($L257="",$L257="-"),"",VLOOKUP($G257,為替!$A:$AX,$L257,FALSE))+$K$3,IF(OR($L257="",$L257="-"),"",VLOOKUP($G257,為替!$A:$AX,$L257,FALSE)))</f>
        <v/>
      </c>
      <c r="N257" s="204" t="str">
        <f t="shared" si="22"/>
        <v/>
      </c>
      <c r="O257" s="205" t="str">
        <f t="shared" si="18"/>
        <v/>
      </c>
      <c r="P257" s="206" t="str">
        <f t="shared" si="23"/>
        <v/>
      </c>
    </row>
    <row r="258" spans="3:16" x14ac:dyDescent="0.4">
      <c r="C258" s="199"/>
      <c r="D258" s="200"/>
      <c r="E258" s="201"/>
      <c r="F258" s="199"/>
      <c r="H258" s="202"/>
      <c r="I258" s="185" t="str">
        <f t="shared" si="19"/>
        <v/>
      </c>
      <c r="J258" s="203" t="str">
        <f>IF($H258="USD",IF(OR($I258="",$I258="-"),"",VLOOKUP($G258,為替!$A:$AX,$I258,FALSE))+$J$3,IF(OR($I258="",$I258="-"),"",VLOOKUP($G258,為替!$A:$AX,$I258,FALSE)))</f>
        <v/>
      </c>
      <c r="K258" s="204" t="str">
        <f t="shared" si="20"/>
        <v/>
      </c>
      <c r="L258" s="188" t="str">
        <f t="shared" si="21"/>
        <v/>
      </c>
      <c r="M258" s="203" t="str">
        <f>IF($H258="USD",IF(OR($L258="",$L258="-"),"",VLOOKUP($G258,為替!$A:$AX,$L258,FALSE))+$K$3,IF(OR($L258="",$L258="-"),"",VLOOKUP($G258,為替!$A:$AX,$L258,FALSE)))</f>
        <v/>
      </c>
      <c r="N258" s="204" t="str">
        <f t="shared" si="22"/>
        <v/>
      </c>
      <c r="O258" s="205" t="str">
        <f t="shared" si="18"/>
        <v/>
      </c>
      <c r="P258" s="206" t="str">
        <f t="shared" si="23"/>
        <v/>
      </c>
    </row>
    <row r="259" spans="3:16" x14ac:dyDescent="0.4">
      <c r="C259" s="199"/>
      <c r="D259" s="200"/>
      <c r="E259" s="201"/>
      <c r="F259" s="199"/>
      <c r="H259" s="202"/>
      <c r="I259" s="185" t="str">
        <f t="shared" si="19"/>
        <v/>
      </c>
      <c r="J259" s="203" t="str">
        <f>IF($H259="USD",IF(OR($I259="",$I259="-"),"",VLOOKUP($G259,為替!$A:$AX,$I259,FALSE))+$J$3,IF(OR($I259="",$I259="-"),"",VLOOKUP($G259,為替!$A:$AX,$I259,FALSE)))</f>
        <v/>
      </c>
      <c r="K259" s="204" t="str">
        <f t="shared" si="20"/>
        <v/>
      </c>
      <c r="L259" s="188" t="str">
        <f t="shared" si="21"/>
        <v/>
      </c>
      <c r="M259" s="203" t="str">
        <f>IF($H259="USD",IF(OR($L259="",$L259="-"),"",VLOOKUP($G259,為替!$A:$AX,$L259,FALSE))+$K$3,IF(OR($L259="",$L259="-"),"",VLOOKUP($G259,為替!$A:$AX,$L259,FALSE)))</f>
        <v/>
      </c>
      <c r="N259" s="204" t="str">
        <f t="shared" si="22"/>
        <v/>
      </c>
      <c r="O259" s="205" t="str">
        <f t="shared" si="18"/>
        <v/>
      </c>
      <c r="P259" s="206" t="str">
        <f t="shared" si="23"/>
        <v/>
      </c>
    </row>
    <row r="260" spans="3:16" x14ac:dyDescent="0.4">
      <c r="C260" s="199"/>
      <c r="D260" s="200"/>
      <c r="E260" s="201"/>
      <c r="F260" s="199"/>
      <c r="H260" s="202"/>
      <c r="I260" s="185" t="str">
        <f t="shared" si="19"/>
        <v/>
      </c>
      <c r="J260" s="203" t="str">
        <f>IF($H260="USD",IF(OR($I260="",$I260="-"),"",VLOOKUP($G260,為替!$A:$AX,$I260,FALSE))+$J$3,IF(OR($I260="",$I260="-"),"",VLOOKUP($G260,為替!$A:$AX,$I260,FALSE)))</f>
        <v/>
      </c>
      <c r="K260" s="204" t="str">
        <f t="shared" si="20"/>
        <v/>
      </c>
      <c r="L260" s="188" t="str">
        <f t="shared" si="21"/>
        <v/>
      </c>
      <c r="M260" s="203" t="str">
        <f>IF($H260="USD",IF(OR($L260="",$L260="-"),"",VLOOKUP($G260,為替!$A:$AX,$L260,FALSE))+$K$3,IF(OR($L260="",$L260="-"),"",VLOOKUP($G260,為替!$A:$AX,$L260,FALSE)))</f>
        <v/>
      </c>
      <c r="N260" s="204" t="str">
        <f t="shared" si="22"/>
        <v/>
      </c>
      <c r="O260" s="205" t="str">
        <f t="shared" si="18"/>
        <v/>
      </c>
      <c r="P260" s="206" t="str">
        <f t="shared" si="23"/>
        <v/>
      </c>
    </row>
    <row r="261" spans="3:16" x14ac:dyDescent="0.4">
      <c r="C261" s="199"/>
      <c r="D261" s="200"/>
      <c r="E261" s="201"/>
      <c r="F261" s="199"/>
      <c r="H261" s="202"/>
      <c r="I261" s="185" t="str">
        <f t="shared" si="19"/>
        <v/>
      </c>
      <c r="J261" s="203" t="str">
        <f>IF($H261="USD",IF(OR($I261="",$I261="-"),"",VLOOKUP($G261,為替!$A:$AX,$I261,FALSE))+$J$3,IF(OR($I261="",$I261="-"),"",VLOOKUP($G261,為替!$A:$AX,$I261,FALSE)))</f>
        <v/>
      </c>
      <c r="K261" s="204" t="str">
        <f t="shared" si="20"/>
        <v/>
      </c>
      <c r="L261" s="188" t="str">
        <f t="shared" si="21"/>
        <v/>
      </c>
      <c r="M261" s="203" t="str">
        <f>IF($H261="USD",IF(OR($L261="",$L261="-"),"",VLOOKUP($G261,為替!$A:$AX,$L261,FALSE))+$K$3,IF(OR($L261="",$L261="-"),"",VLOOKUP($G261,為替!$A:$AX,$L261,FALSE)))</f>
        <v/>
      </c>
      <c r="N261" s="204" t="str">
        <f t="shared" si="22"/>
        <v/>
      </c>
      <c r="O261" s="205" t="str">
        <f t="shared" si="18"/>
        <v/>
      </c>
      <c r="P261" s="206" t="str">
        <f t="shared" si="23"/>
        <v/>
      </c>
    </row>
    <row r="262" spans="3:16" x14ac:dyDescent="0.4">
      <c r="C262" s="199"/>
      <c r="D262" s="200"/>
      <c r="E262" s="201"/>
      <c r="F262" s="199"/>
      <c r="H262" s="202"/>
      <c r="I262" s="185" t="str">
        <f t="shared" si="19"/>
        <v/>
      </c>
      <c r="J262" s="203" t="str">
        <f>IF($H262="USD",IF(OR($I262="",$I262="-"),"",VLOOKUP($G262,為替!$A:$AX,$I262,FALSE))+$J$3,IF(OR($I262="",$I262="-"),"",VLOOKUP($G262,為替!$A:$AX,$I262,FALSE)))</f>
        <v/>
      </c>
      <c r="K262" s="204" t="str">
        <f t="shared" si="20"/>
        <v/>
      </c>
      <c r="L262" s="188" t="str">
        <f t="shared" si="21"/>
        <v/>
      </c>
      <c r="M262" s="203" t="str">
        <f>IF($H262="USD",IF(OR($L262="",$L262="-"),"",VLOOKUP($G262,為替!$A:$AX,$L262,FALSE))+$K$3,IF(OR($L262="",$L262="-"),"",VLOOKUP($G262,為替!$A:$AX,$L262,FALSE)))</f>
        <v/>
      </c>
      <c r="N262" s="204" t="str">
        <f t="shared" si="22"/>
        <v/>
      </c>
      <c r="O262" s="205" t="str">
        <f t="shared" ref="O262:O325" si="24">IF(OR(K262="",N262=""),"",K262-N262)</f>
        <v/>
      </c>
      <c r="P262" s="206" t="str">
        <f t="shared" si="23"/>
        <v/>
      </c>
    </row>
    <row r="263" spans="3:16" x14ac:dyDescent="0.4">
      <c r="C263" s="199"/>
      <c r="D263" s="200"/>
      <c r="E263" s="201"/>
      <c r="F263" s="199"/>
      <c r="H263" s="202"/>
      <c r="I263" s="185" t="str">
        <f t="shared" ref="I263:I326" si="25">IF(H263="","",IF(H263="JPY","",IF($H263="USD",4, IF(H263="EUR",7,IF(H263="CNY",47,IF(H263="HKD",34))))))</f>
        <v/>
      </c>
      <c r="J263" s="203" t="str">
        <f>IF($H263="USD",IF(OR($I263="",$I263="-"),"",VLOOKUP($G263,為替!$A:$AX,$I263,FALSE))+$J$3,IF(OR($I263="",$I263="-"),"",VLOOKUP($G263,為替!$A:$AX,$I263,FALSE)))</f>
        <v/>
      </c>
      <c r="K263" s="204" t="str">
        <f t="shared" ref="K263:K326" si="26">IF($H263="JPY",$F263,IF($H263="","",$F263*$J263))</f>
        <v/>
      </c>
      <c r="L263" s="188" t="str">
        <f t="shared" ref="L263:L326" si="27">IF(H263="","",IF(H263="JPY","",IF($H263="USD",3, IF(H263="EUR",6,IF(H263="CNY",46,IF(H263="HKD",33))))))</f>
        <v/>
      </c>
      <c r="M263" s="203" t="str">
        <f>IF($H263="USD",IF(OR($L263="",$L263="-"),"",VLOOKUP($G263,為替!$A:$AX,$L263,FALSE))+$K$3,IF(OR($L263="",$L263="-"),"",VLOOKUP($G263,為替!$A:$AX,$L263,FALSE)))</f>
        <v/>
      </c>
      <c r="N263" s="204" t="str">
        <f t="shared" ref="N263:N326" si="28">IF($E263="JPY",($C263+$D263),IF($E263="","",($C263+$D263)*$M263))</f>
        <v/>
      </c>
      <c r="O263" s="205" t="str">
        <f t="shared" si="24"/>
        <v/>
      </c>
      <c r="P263" s="206" t="str">
        <f t="shared" ref="P263:P326" si="29">IF(OR(K263="",O263=""),"",O263/K263)</f>
        <v/>
      </c>
    </row>
    <row r="264" spans="3:16" x14ac:dyDescent="0.4">
      <c r="C264" s="199"/>
      <c r="D264" s="200"/>
      <c r="E264" s="201"/>
      <c r="F264" s="199"/>
      <c r="H264" s="202"/>
      <c r="I264" s="185" t="str">
        <f t="shared" si="25"/>
        <v/>
      </c>
      <c r="J264" s="203" t="str">
        <f>IF($H264="USD",IF(OR($I264="",$I264="-"),"",VLOOKUP($G264,為替!$A:$AX,$I264,FALSE))+$J$3,IF(OR($I264="",$I264="-"),"",VLOOKUP($G264,為替!$A:$AX,$I264,FALSE)))</f>
        <v/>
      </c>
      <c r="K264" s="204" t="str">
        <f t="shared" si="26"/>
        <v/>
      </c>
      <c r="L264" s="188" t="str">
        <f t="shared" si="27"/>
        <v/>
      </c>
      <c r="M264" s="203" t="str">
        <f>IF($H264="USD",IF(OR($L264="",$L264="-"),"",VLOOKUP($G264,為替!$A:$AX,$L264,FALSE))+$K$3,IF(OR($L264="",$L264="-"),"",VLOOKUP($G264,為替!$A:$AX,$L264,FALSE)))</f>
        <v/>
      </c>
      <c r="N264" s="204" t="str">
        <f t="shared" si="28"/>
        <v/>
      </c>
      <c r="O264" s="205" t="str">
        <f t="shared" si="24"/>
        <v/>
      </c>
      <c r="P264" s="206" t="str">
        <f t="shared" si="29"/>
        <v/>
      </c>
    </row>
    <row r="265" spans="3:16" x14ac:dyDescent="0.4">
      <c r="C265" s="199"/>
      <c r="D265" s="200"/>
      <c r="E265" s="201"/>
      <c r="F265" s="199"/>
      <c r="H265" s="202"/>
      <c r="I265" s="185" t="str">
        <f t="shared" si="25"/>
        <v/>
      </c>
      <c r="J265" s="203" t="str">
        <f>IF($H265="USD",IF(OR($I265="",$I265="-"),"",VLOOKUP($G265,為替!$A:$AX,$I265,FALSE))+$J$3,IF(OR($I265="",$I265="-"),"",VLOOKUP($G265,為替!$A:$AX,$I265,FALSE)))</f>
        <v/>
      </c>
      <c r="K265" s="204" t="str">
        <f t="shared" si="26"/>
        <v/>
      </c>
      <c r="L265" s="188" t="str">
        <f t="shared" si="27"/>
        <v/>
      </c>
      <c r="M265" s="203" t="str">
        <f>IF($H265="USD",IF(OR($L265="",$L265="-"),"",VLOOKUP($G265,為替!$A:$AX,$L265,FALSE))+$K$3,IF(OR($L265="",$L265="-"),"",VLOOKUP($G265,為替!$A:$AX,$L265,FALSE)))</f>
        <v/>
      </c>
      <c r="N265" s="204" t="str">
        <f t="shared" si="28"/>
        <v/>
      </c>
      <c r="O265" s="205" t="str">
        <f t="shared" si="24"/>
        <v/>
      </c>
      <c r="P265" s="206" t="str">
        <f t="shared" si="29"/>
        <v/>
      </c>
    </row>
    <row r="266" spans="3:16" x14ac:dyDescent="0.4">
      <c r="C266" s="199"/>
      <c r="D266" s="200"/>
      <c r="E266" s="201"/>
      <c r="F266" s="199"/>
      <c r="H266" s="202"/>
      <c r="I266" s="185" t="str">
        <f t="shared" si="25"/>
        <v/>
      </c>
      <c r="J266" s="203" t="str">
        <f>IF($H266="USD",IF(OR($I266="",$I266="-"),"",VLOOKUP($G266,為替!$A:$AX,$I266,FALSE))+$J$3,IF(OR($I266="",$I266="-"),"",VLOOKUP($G266,為替!$A:$AX,$I266,FALSE)))</f>
        <v/>
      </c>
      <c r="K266" s="204" t="str">
        <f t="shared" si="26"/>
        <v/>
      </c>
      <c r="L266" s="188" t="str">
        <f t="shared" si="27"/>
        <v/>
      </c>
      <c r="M266" s="203" t="str">
        <f>IF($H266="USD",IF(OR($L266="",$L266="-"),"",VLOOKUP($G266,為替!$A:$AX,$L266,FALSE))+$K$3,IF(OR($L266="",$L266="-"),"",VLOOKUP($G266,為替!$A:$AX,$L266,FALSE)))</f>
        <v/>
      </c>
      <c r="N266" s="204" t="str">
        <f t="shared" si="28"/>
        <v/>
      </c>
      <c r="O266" s="205" t="str">
        <f t="shared" si="24"/>
        <v/>
      </c>
      <c r="P266" s="206" t="str">
        <f t="shared" si="29"/>
        <v/>
      </c>
    </row>
    <row r="267" spans="3:16" x14ac:dyDescent="0.4">
      <c r="C267" s="199"/>
      <c r="D267" s="200"/>
      <c r="E267" s="201"/>
      <c r="F267" s="199"/>
      <c r="H267" s="202"/>
      <c r="I267" s="185" t="str">
        <f t="shared" si="25"/>
        <v/>
      </c>
      <c r="J267" s="203" t="str">
        <f>IF($H267="USD",IF(OR($I267="",$I267="-"),"",VLOOKUP($G267,為替!$A:$AX,$I267,FALSE))+$J$3,IF(OR($I267="",$I267="-"),"",VLOOKUP($G267,為替!$A:$AX,$I267,FALSE)))</f>
        <v/>
      </c>
      <c r="K267" s="204" t="str">
        <f t="shared" si="26"/>
        <v/>
      </c>
      <c r="L267" s="188" t="str">
        <f t="shared" si="27"/>
        <v/>
      </c>
      <c r="M267" s="203" t="str">
        <f>IF($H267="USD",IF(OR($L267="",$L267="-"),"",VLOOKUP($G267,為替!$A:$AX,$L267,FALSE))+$K$3,IF(OR($L267="",$L267="-"),"",VLOOKUP($G267,為替!$A:$AX,$L267,FALSE)))</f>
        <v/>
      </c>
      <c r="N267" s="204" t="str">
        <f t="shared" si="28"/>
        <v/>
      </c>
      <c r="O267" s="205" t="str">
        <f t="shared" si="24"/>
        <v/>
      </c>
      <c r="P267" s="206" t="str">
        <f t="shared" si="29"/>
        <v/>
      </c>
    </row>
    <row r="268" spans="3:16" x14ac:dyDescent="0.4">
      <c r="C268" s="199"/>
      <c r="D268" s="200"/>
      <c r="E268" s="201"/>
      <c r="F268" s="199"/>
      <c r="H268" s="202"/>
      <c r="I268" s="185" t="str">
        <f t="shared" si="25"/>
        <v/>
      </c>
      <c r="J268" s="203" t="str">
        <f>IF($H268="USD",IF(OR($I268="",$I268="-"),"",VLOOKUP($G268,為替!$A:$AX,$I268,FALSE))+$J$3,IF(OR($I268="",$I268="-"),"",VLOOKUP($G268,為替!$A:$AX,$I268,FALSE)))</f>
        <v/>
      </c>
      <c r="K268" s="204" t="str">
        <f t="shared" si="26"/>
        <v/>
      </c>
      <c r="L268" s="188" t="str">
        <f t="shared" si="27"/>
        <v/>
      </c>
      <c r="M268" s="203" t="str">
        <f>IF($H268="USD",IF(OR($L268="",$L268="-"),"",VLOOKUP($G268,為替!$A:$AX,$L268,FALSE))+$K$3,IF(OR($L268="",$L268="-"),"",VLOOKUP($G268,為替!$A:$AX,$L268,FALSE)))</f>
        <v/>
      </c>
      <c r="N268" s="204" t="str">
        <f t="shared" si="28"/>
        <v/>
      </c>
      <c r="O268" s="205" t="str">
        <f t="shared" si="24"/>
        <v/>
      </c>
      <c r="P268" s="206" t="str">
        <f t="shared" si="29"/>
        <v/>
      </c>
    </row>
    <row r="269" spans="3:16" x14ac:dyDescent="0.4">
      <c r="C269" s="199"/>
      <c r="D269" s="200"/>
      <c r="E269" s="201"/>
      <c r="F269" s="199"/>
      <c r="H269" s="202"/>
      <c r="I269" s="185" t="str">
        <f t="shared" si="25"/>
        <v/>
      </c>
      <c r="J269" s="203" t="str">
        <f>IF($H269="USD",IF(OR($I269="",$I269="-"),"",VLOOKUP($G269,為替!$A:$AX,$I269,FALSE))+$J$3,IF(OR($I269="",$I269="-"),"",VLOOKUP($G269,為替!$A:$AX,$I269,FALSE)))</f>
        <v/>
      </c>
      <c r="K269" s="204" t="str">
        <f t="shared" si="26"/>
        <v/>
      </c>
      <c r="L269" s="188" t="str">
        <f t="shared" si="27"/>
        <v/>
      </c>
      <c r="M269" s="203" t="str">
        <f>IF($H269="USD",IF(OR($L269="",$L269="-"),"",VLOOKUP($G269,為替!$A:$AX,$L269,FALSE))+$K$3,IF(OR($L269="",$L269="-"),"",VLOOKUP($G269,為替!$A:$AX,$L269,FALSE)))</f>
        <v/>
      </c>
      <c r="N269" s="204" t="str">
        <f t="shared" si="28"/>
        <v/>
      </c>
      <c r="O269" s="205" t="str">
        <f t="shared" si="24"/>
        <v/>
      </c>
      <c r="P269" s="206" t="str">
        <f t="shared" si="29"/>
        <v/>
      </c>
    </row>
    <row r="270" spans="3:16" x14ac:dyDescent="0.4">
      <c r="C270" s="199"/>
      <c r="D270" s="200"/>
      <c r="E270" s="201"/>
      <c r="F270" s="199"/>
      <c r="H270" s="202"/>
      <c r="I270" s="185" t="str">
        <f t="shared" si="25"/>
        <v/>
      </c>
      <c r="J270" s="203" t="str">
        <f>IF($H270="USD",IF(OR($I270="",$I270="-"),"",VLOOKUP($G270,為替!$A:$AX,$I270,FALSE))+$J$3,IF(OR($I270="",$I270="-"),"",VLOOKUP($G270,為替!$A:$AX,$I270,FALSE)))</f>
        <v/>
      </c>
      <c r="K270" s="204" t="str">
        <f t="shared" si="26"/>
        <v/>
      </c>
      <c r="L270" s="188" t="str">
        <f t="shared" si="27"/>
        <v/>
      </c>
      <c r="M270" s="203" t="str">
        <f>IF($H270="USD",IF(OR($L270="",$L270="-"),"",VLOOKUP($G270,為替!$A:$AX,$L270,FALSE))+$K$3,IF(OR($L270="",$L270="-"),"",VLOOKUP($G270,為替!$A:$AX,$L270,FALSE)))</f>
        <v/>
      </c>
      <c r="N270" s="204" t="str">
        <f t="shared" si="28"/>
        <v/>
      </c>
      <c r="O270" s="205" t="str">
        <f t="shared" si="24"/>
        <v/>
      </c>
      <c r="P270" s="206" t="str">
        <f t="shared" si="29"/>
        <v/>
      </c>
    </row>
    <row r="271" spans="3:16" x14ac:dyDescent="0.4">
      <c r="C271" s="199"/>
      <c r="D271" s="200"/>
      <c r="E271" s="201"/>
      <c r="F271" s="199"/>
      <c r="H271" s="202"/>
      <c r="I271" s="185" t="str">
        <f t="shared" si="25"/>
        <v/>
      </c>
      <c r="J271" s="203" t="str">
        <f>IF($H271="USD",IF(OR($I271="",$I271="-"),"",VLOOKUP($G271,為替!$A:$AX,$I271,FALSE))+$J$3,IF(OR($I271="",$I271="-"),"",VLOOKUP($G271,為替!$A:$AX,$I271,FALSE)))</f>
        <v/>
      </c>
      <c r="K271" s="204" t="str">
        <f t="shared" si="26"/>
        <v/>
      </c>
      <c r="L271" s="188" t="str">
        <f t="shared" si="27"/>
        <v/>
      </c>
      <c r="M271" s="203" t="str">
        <f>IF($H271="USD",IF(OR($L271="",$L271="-"),"",VLOOKUP($G271,為替!$A:$AX,$L271,FALSE))+$K$3,IF(OR($L271="",$L271="-"),"",VLOOKUP($G271,為替!$A:$AX,$L271,FALSE)))</f>
        <v/>
      </c>
      <c r="N271" s="204" t="str">
        <f t="shared" si="28"/>
        <v/>
      </c>
      <c r="O271" s="205" t="str">
        <f t="shared" si="24"/>
        <v/>
      </c>
      <c r="P271" s="206" t="str">
        <f t="shared" si="29"/>
        <v/>
      </c>
    </row>
    <row r="272" spans="3:16" x14ac:dyDescent="0.4">
      <c r="C272" s="199"/>
      <c r="D272" s="200"/>
      <c r="E272" s="201"/>
      <c r="F272" s="199"/>
      <c r="H272" s="202"/>
      <c r="I272" s="185" t="str">
        <f t="shared" si="25"/>
        <v/>
      </c>
      <c r="J272" s="203" t="str">
        <f>IF($H272="USD",IF(OR($I272="",$I272="-"),"",VLOOKUP($G272,為替!$A:$AX,$I272,FALSE))+$J$3,IF(OR($I272="",$I272="-"),"",VLOOKUP($G272,為替!$A:$AX,$I272,FALSE)))</f>
        <v/>
      </c>
      <c r="K272" s="204" t="str">
        <f t="shared" si="26"/>
        <v/>
      </c>
      <c r="L272" s="188" t="str">
        <f t="shared" si="27"/>
        <v/>
      </c>
      <c r="M272" s="203" t="str">
        <f>IF($H272="USD",IF(OR($L272="",$L272="-"),"",VLOOKUP($G272,為替!$A:$AX,$L272,FALSE))+$K$3,IF(OR($L272="",$L272="-"),"",VLOOKUP($G272,為替!$A:$AX,$L272,FALSE)))</f>
        <v/>
      </c>
      <c r="N272" s="204" t="str">
        <f t="shared" si="28"/>
        <v/>
      </c>
      <c r="O272" s="205" t="str">
        <f t="shared" si="24"/>
        <v/>
      </c>
      <c r="P272" s="206" t="str">
        <f t="shared" si="29"/>
        <v/>
      </c>
    </row>
    <row r="273" spans="3:16" x14ac:dyDescent="0.4">
      <c r="C273" s="199"/>
      <c r="D273" s="200"/>
      <c r="E273" s="201"/>
      <c r="F273" s="199"/>
      <c r="H273" s="202"/>
      <c r="I273" s="185" t="str">
        <f t="shared" si="25"/>
        <v/>
      </c>
      <c r="J273" s="203" t="str">
        <f>IF($H273="USD",IF(OR($I273="",$I273="-"),"",VLOOKUP($G273,為替!$A:$AX,$I273,FALSE))+$J$3,IF(OR($I273="",$I273="-"),"",VLOOKUP($G273,為替!$A:$AX,$I273,FALSE)))</f>
        <v/>
      </c>
      <c r="K273" s="204" t="str">
        <f t="shared" si="26"/>
        <v/>
      </c>
      <c r="L273" s="188" t="str">
        <f t="shared" si="27"/>
        <v/>
      </c>
      <c r="M273" s="203" t="str">
        <f>IF($H273="USD",IF(OR($L273="",$L273="-"),"",VLOOKUP($G273,為替!$A:$AX,$L273,FALSE))+$K$3,IF(OR($L273="",$L273="-"),"",VLOOKUP($G273,為替!$A:$AX,$L273,FALSE)))</f>
        <v/>
      </c>
      <c r="N273" s="204" t="str">
        <f t="shared" si="28"/>
        <v/>
      </c>
      <c r="O273" s="205" t="str">
        <f t="shared" si="24"/>
        <v/>
      </c>
      <c r="P273" s="206" t="str">
        <f t="shared" si="29"/>
        <v/>
      </c>
    </row>
    <row r="274" spans="3:16" x14ac:dyDescent="0.4">
      <c r="C274" s="199"/>
      <c r="D274" s="200"/>
      <c r="E274" s="201"/>
      <c r="F274" s="199"/>
      <c r="H274" s="202"/>
      <c r="I274" s="185" t="str">
        <f t="shared" si="25"/>
        <v/>
      </c>
      <c r="J274" s="203" t="str">
        <f>IF($H274="USD",IF(OR($I274="",$I274="-"),"",VLOOKUP($G274,為替!$A:$AX,$I274,FALSE))+$J$3,IF(OR($I274="",$I274="-"),"",VLOOKUP($G274,為替!$A:$AX,$I274,FALSE)))</f>
        <v/>
      </c>
      <c r="K274" s="204" t="str">
        <f t="shared" si="26"/>
        <v/>
      </c>
      <c r="L274" s="188" t="str">
        <f t="shared" si="27"/>
        <v/>
      </c>
      <c r="M274" s="203" t="str">
        <f>IF($H274="USD",IF(OR($L274="",$L274="-"),"",VLOOKUP($G274,為替!$A:$AX,$L274,FALSE))+$K$3,IF(OR($L274="",$L274="-"),"",VLOOKUP($G274,為替!$A:$AX,$L274,FALSE)))</f>
        <v/>
      </c>
      <c r="N274" s="204" t="str">
        <f t="shared" si="28"/>
        <v/>
      </c>
      <c r="O274" s="205" t="str">
        <f t="shared" si="24"/>
        <v/>
      </c>
      <c r="P274" s="206" t="str">
        <f t="shared" si="29"/>
        <v/>
      </c>
    </row>
    <row r="275" spans="3:16" x14ac:dyDescent="0.4">
      <c r="C275" s="199"/>
      <c r="D275" s="200"/>
      <c r="E275" s="201"/>
      <c r="F275" s="199"/>
      <c r="H275" s="202"/>
      <c r="I275" s="185" t="str">
        <f t="shared" si="25"/>
        <v/>
      </c>
      <c r="J275" s="203" t="str">
        <f>IF($H275="USD",IF(OR($I275="",$I275="-"),"",VLOOKUP($G275,為替!$A:$AX,$I275,FALSE))+$J$3,IF(OR($I275="",$I275="-"),"",VLOOKUP($G275,為替!$A:$AX,$I275,FALSE)))</f>
        <v/>
      </c>
      <c r="K275" s="204" t="str">
        <f t="shared" si="26"/>
        <v/>
      </c>
      <c r="L275" s="188" t="str">
        <f t="shared" si="27"/>
        <v/>
      </c>
      <c r="M275" s="203" t="str">
        <f>IF($H275="USD",IF(OR($L275="",$L275="-"),"",VLOOKUP($G275,為替!$A:$AX,$L275,FALSE))+$K$3,IF(OR($L275="",$L275="-"),"",VLOOKUP($G275,為替!$A:$AX,$L275,FALSE)))</f>
        <v/>
      </c>
      <c r="N275" s="204" t="str">
        <f t="shared" si="28"/>
        <v/>
      </c>
      <c r="O275" s="205" t="str">
        <f t="shared" si="24"/>
        <v/>
      </c>
      <c r="P275" s="206" t="str">
        <f t="shared" si="29"/>
        <v/>
      </c>
    </row>
    <row r="276" spans="3:16" x14ac:dyDescent="0.4">
      <c r="C276" s="199"/>
      <c r="D276" s="200"/>
      <c r="E276" s="201"/>
      <c r="F276" s="199"/>
      <c r="H276" s="202"/>
      <c r="I276" s="185" t="str">
        <f t="shared" si="25"/>
        <v/>
      </c>
      <c r="J276" s="203" t="str">
        <f>IF($H276="USD",IF(OR($I276="",$I276="-"),"",VLOOKUP($G276,為替!$A:$AX,$I276,FALSE))+$J$3,IF(OR($I276="",$I276="-"),"",VLOOKUP($G276,為替!$A:$AX,$I276,FALSE)))</f>
        <v/>
      </c>
      <c r="K276" s="204" t="str">
        <f t="shared" si="26"/>
        <v/>
      </c>
      <c r="L276" s="188" t="str">
        <f t="shared" si="27"/>
        <v/>
      </c>
      <c r="M276" s="203" t="str">
        <f>IF($H276="USD",IF(OR($L276="",$L276="-"),"",VLOOKUP($G276,為替!$A:$AX,$L276,FALSE))+$K$3,IF(OR($L276="",$L276="-"),"",VLOOKUP($G276,為替!$A:$AX,$L276,FALSE)))</f>
        <v/>
      </c>
      <c r="N276" s="204" t="str">
        <f t="shared" si="28"/>
        <v/>
      </c>
      <c r="O276" s="205" t="str">
        <f t="shared" si="24"/>
        <v/>
      </c>
      <c r="P276" s="206" t="str">
        <f t="shared" si="29"/>
        <v/>
      </c>
    </row>
    <row r="277" spans="3:16" x14ac:dyDescent="0.4">
      <c r="C277" s="199"/>
      <c r="D277" s="200"/>
      <c r="E277" s="201"/>
      <c r="F277" s="199"/>
      <c r="H277" s="202"/>
      <c r="I277" s="185" t="str">
        <f t="shared" si="25"/>
        <v/>
      </c>
      <c r="J277" s="203" t="str">
        <f>IF($H277="USD",IF(OR($I277="",$I277="-"),"",VLOOKUP($G277,為替!$A:$AX,$I277,FALSE))+$J$3,IF(OR($I277="",$I277="-"),"",VLOOKUP($G277,為替!$A:$AX,$I277,FALSE)))</f>
        <v/>
      </c>
      <c r="K277" s="204" t="str">
        <f t="shared" si="26"/>
        <v/>
      </c>
      <c r="L277" s="188" t="str">
        <f t="shared" si="27"/>
        <v/>
      </c>
      <c r="M277" s="203" t="str">
        <f>IF($H277="USD",IF(OR($L277="",$L277="-"),"",VLOOKUP($G277,為替!$A:$AX,$L277,FALSE))+$K$3,IF(OR($L277="",$L277="-"),"",VLOOKUP($G277,為替!$A:$AX,$L277,FALSE)))</f>
        <v/>
      </c>
      <c r="N277" s="204" t="str">
        <f t="shared" si="28"/>
        <v/>
      </c>
      <c r="O277" s="205" t="str">
        <f t="shared" si="24"/>
        <v/>
      </c>
      <c r="P277" s="206" t="str">
        <f t="shared" si="29"/>
        <v/>
      </c>
    </row>
    <row r="278" spans="3:16" x14ac:dyDescent="0.4">
      <c r="C278" s="199"/>
      <c r="D278" s="200"/>
      <c r="E278" s="201"/>
      <c r="F278" s="199"/>
      <c r="H278" s="202"/>
      <c r="I278" s="185" t="str">
        <f t="shared" si="25"/>
        <v/>
      </c>
      <c r="J278" s="203" t="str">
        <f>IF($H278="USD",IF(OR($I278="",$I278="-"),"",VLOOKUP($G278,為替!$A:$AX,$I278,FALSE))+$J$3,IF(OR($I278="",$I278="-"),"",VLOOKUP($G278,為替!$A:$AX,$I278,FALSE)))</f>
        <v/>
      </c>
      <c r="K278" s="204" t="str">
        <f t="shared" si="26"/>
        <v/>
      </c>
      <c r="L278" s="188" t="str">
        <f t="shared" si="27"/>
        <v/>
      </c>
      <c r="M278" s="203" t="str">
        <f>IF($H278="USD",IF(OR($L278="",$L278="-"),"",VLOOKUP($G278,為替!$A:$AX,$L278,FALSE))+$K$3,IF(OR($L278="",$L278="-"),"",VLOOKUP($G278,為替!$A:$AX,$L278,FALSE)))</f>
        <v/>
      </c>
      <c r="N278" s="204" t="str">
        <f t="shared" si="28"/>
        <v/>
      </c>
      <c r="O278" s="205" t="str">
        <f t="shared" si="24"/>
        <v/>
      </c>
      <c r="P278" s="206" t="str">
        <f t="shared" si="29"/>
        <v/>
      </c>
    </row>
    <row r="279" spans="3:16" x14ac:dyDescent="0.4">
      <c r="C279" s="199"/>
      <c r="D279" s="200"/>
      <c r="E279" s="201"/>
      <c r="F279" s="199"/>
      <c r="H279" s="202"/>
      <c r="I279" s="185" t="str">
        <f t="shared" si="25"/>
        <v/>
      </c>
      <c r="J279" s="203" t="str">
        <f>IF($H279="USD",IF(OR($I279="",$I279="-"),"",VLOOKUP($G279,為替!$A:$AX,$I279,FALSE))+$J$3,IF(OR($I279="",$I279="-"),"",VLOOKUP($G279,為替!$A:$AX,$I279,FALSE)))</f>
        <v/>
      </c>
      <c r="K279" s="204" t="str">
        <f t="shared" si="26"/>
        <v/>
      </c>
      <c r="L279" s="188" t="str">
        <f t="shared" si="27"/>
        <v/>
      </c>
      <c r="M279" s="203" t="str">
        <f>IF($H279="USD",IF(OR($L279="",$L279="-"),"",VLOOKUP($G279,為替!$A:$AX,$L279,FALSE))+$K$3,IF(OR($L279="",$L279="-"),"",VLOOKUP($G279,為替!$A:$AX,$L279,FALSE)))</f>
        <v/>
      </c>
      <c r="N279" s="204" t="str">
        <f t="shared" si="28"/>
        <v/>
      </c>
      <c r="O279" s="205" t="str">
        <f t="shared" si="24"/>
        <v/>
      </c>
      <c r="P279" s="206" t="str">
        <f t="shared" si="29"/>
        <v/>
      </c>
    </row>
    <row r="280" spans="3:16" x14ac:dyDescent="0.4">
      <c r="C280" s="199"/>
      <c r="D280" s="200"/>
      <c r="E280" s="201"/>
      <c r="F280" s="199"/>
      <c r="H280" s="202"/>
      <c r="I280" s="185" t="str">
        <f t="shared" si="25"/>
        <v/>
      </c>
      <c r="J280" s="203" t="str">
        <f>IF($H280="USD",IF(OR($I280="",$I280="-"),"",VLOOKUP($G280,為替!$A:$AX,$I280,FALSE))+$J$3,IF(OR($I280="",$I280="-"),"",VLOOKUP($G280,為替!$A:$AX,$I280,FALSE)))</f>
        <v/>
      </c>
      <c r="K280" s="204" t="str">
        <f t="shared" si="26"/>
        <v/>
      </c>
      <c r="L280" s="188" t="str">
        <f t="shared" si="27"/>
        <v/>
      </c>
      <c r="M280" s="203" t="str">
        <f>IF($H280="USD",IF(OR($L280="",$L280="-"),"",VLOOKUP($G280,為替!$A:$AX,$L280,FALSE))+$K$3,IF(OR($L280="",$L280="-"),"",VLOOKUP($G280,為替!$A:$AX,$L280,FALSE)))</f>
        <v/>
      </c>
      <c r="N280" s="204" t="str">
        <f t="shared" si="28"/>
        <v/>
      </c>
      <c r="O280" s="205" t="str">
        <f t="shared" si="24"/>
        <v/>
      </c>
      <c r="P280" s="206" t="str">
        <f t="shared" si="29"/>
        <v/>
      </c>
    </row>
    <row r="281" spans="3:16" x14ac:dyDescent="0.4">
      <c r="C281" s="199"/>
      <c r="D281" s="200"/>
      <c r="E281" s="201"/>
      <c r="F281" s="199"/>
      <c r="H281" s="202"/>
      <c r="I281" s="185" t="str">
        <f t="shared" si="25"/>
        <v/>
      </c>
      <c r="J281" s="203" t="str">
        <f>IF($H281="USD",IF(OR($I281="",$I281="-"),"",VLOOKUP($G281,為替!$A:$AX,$I281,FALSE))+$J$3,IF(OR($I281="",$I281="-"),"",VLOOKUP($G281,為替!$A:$AX,$I281,FALSE)))</f>
        <v/>
      </c>
      <c r="K281" s="204" t="str">
        <f t="shared" si="26"/>
        <v/>
      </c>
      <c r="L281" s="188" t="str">
        <f t="shared" si="27"/>
        <v/>
      </c>
      <c r="M281" s="203" t="str">
        <f>IF($H281="USD",IF(OR($L281="",$L281="-"),"",VLOOKUP($G281,為替!$A:$AX,$L281,FALSE))+$K$3,IF(OR($L281="",$L281="-"),"",VLOOKUP($G281,為替!$A:$AX,$L281,FALSE)))</f>
        <v/>
      </c>
      <c r="N281" s="204" t="str">
        <f t="shared" si="28"/>
        <v/>
      </c>
      <c r="O281" s="205" t="str">
        <f t="shared" si="24"/>
        <v/>
      </c>
      <c r="P281" s="206" t="str">
        <f t="shared" si="29"/>
        <v/>
      </c>
    </row>
    <row r="282" spans="3:16" x14ac:dyDescent="0.4">
      <c r="C282" s="199"/>
      <c r="D282" s="200"/>
      <c r="E282" s="201"/>
      <c r="F282" s="199"/>
      <c r="H282" s="202"/>
      <c r="I282" s="185" t="str">
        <f t="shared" si="25"/>
        <v/>
      </c>
      <c r="J282" s="203" t="str">
        <f>IF($H282="USD",IF(OR($I282="",$I282="-"),"",VLOOKUP($G282,為替!$A:$AX,$I282,FALSE))+$J$3,IF(OR($I282="",$I282="-"),"",VLOOKUP($G282,為替!$A:$AX,$I282,FALSE)))</f>
        <v/>
      </c>
      <c r="K282" s="204" t="str">
        <f t="shared" si="26"/>
        <v/>
      </c>
      <c r="L282" s="188" t="str">
        <f t="shared" si="27"/>
        <v/>
      </c>
      <c r="M282" s="203" t="str">
        <f>IF($H282="USD",IF(OR($L282="",$L282="-"),"",VLOOKUP($G282,為替!$A:$AX,$L282,FALSE))+$K$3,IF(OR($L282="",$L282="-"),"",VLOOKUP($G282,為替!$A:$AX,$L282,FALSE)))</f>
        <v/>
      </c>
      <c r="N282" s="204" t="str">
        <f t="shared" si="28"/>
        <v/>
      </c>
      <c r="O282" s="205" t="str">
        <f t="shared" si="24"/>
        <v/>
      </c>
      <c r="P282" s="206" t="str">
        <f t="shared" si="29"/>
        <v/>
      </c>
    </row>
    <row r="283" spans="3:16" x14ac:dyDescent="0.4">
      <c r="C283" s="199"/>
      <c r="D283" s="200"/>
      <c r="E283" s="201"/>
      <c r="F283" s="199"/>
      <c r="H283" s="202"/>
      <c r="I283" s="185" t="str">
        <f t="shared" si="25"/>
        <v/>
      </c>
      <c r="J283" s="203" t="str">
        <f>IF($H283="USD",IF(OR($I283="",$I283="-"),"",VLOOKUP($G283,為替!$A:$AX,$I283,FALSE))+$J$3,IF(OR($I283="",$I283="-"),"",VLOOKUP($G283,為替!$A:$AX,$I283,FALSE)))</f>
        <v/>
      </c>
      <c r="K283" s="204" t="str">
        <f t="shared" si="26"/>
        <v/>
      </c>
      <c r="L283" s="188" t="str">
        <f t="shared" si="27"/>
        <v/>
      </c>
      <c r="M283" s="203" t="str">
        <f>IF($H283="USD",IF(OR($L283="",$L283="-"),"",VLOOKUP($G283,為替!$A:$AX,$L283,FALSE))+$K$3,IF(OR($L283="",$L283="-"),"",VLOOKUP($G283,為替!$A:$AX,$L283,FALSE)))</f>
        <v/>
      </c>
      <c r="N283" s="204" t="str">
        <f t="shared" si="28"/>
        <v/>
      </c>
      <c r="O283" s="205" t="str">
        <f t="shared" si="24"/>
        <v/>
      </c>
      <c r="P283" s="206" t="str">
        <f t="shared" si="29"/>
        <v/>
      </c>
    </row>
    <row r="284" spans="3:16" x14ac:dyDescent="0.4">
      <c r="C284" s="199"/>
      <c r="D284" s="200"/>
      <c r="E284" s="201"/>
      <c r="F284" s="199"/>
      <c r="H284" s="202"/>
      <c r="I284" s="185" t="str">
        <f t="shared" si="25"/>
        <v/>
      </c>
      <c r="J284" s="203" t="str">
        <f>IF($H284="USD",IF(OR($I284="",$I284="-"),"",VLOOKUP($G284,為替!$A:$AX,$I284,FALSE))+$J$3,IF(OR($I284="",$I284="-"),"",VLOOKUP($G284,為替!$A:$AX,$I284,FALSE)))</f>
        <v/>
      </c>
      <c r="K284" s="204" t="str">
        <f t="shared" si="26"/>
        <v/>
      </c>
      <c r="L284" s="188" t="str">
        <f t="shared" si="27"/>
        <v/>
      </c>
      <c r="M284" s="203" t="str">
        <f>IF($H284="USD",IF(OR($L284="",$L284="-"),"",VLOOKUP($G284,為替!$A:$AX,$L284,FALSE))+$K$3,IF(OR($L284="",$L284="-"),"",VLOOKUP($G284,為替!$A:$AX,$L284,FALSE)))</f>
        <v/>
      </c>
      <c r="N284" s="204" t="str">
        <f t="shared" si="28"/>
        <v/>
      </c>
      <c r="O284" s="205" t="str">
        <f t="shared" si="24"/>
        <v/>
      </c>
      <c r="P284" s="206" t="str">
        <f t="shared" si="29"/>
        <v/>
      </c>
    </row>
    <row r="285" spans="3:16" x14ac:dyDescent="0.4">
      <c r="C285" s="199"/>
      <c r="D285" s="200"/>
      <c r="E285" s="201"/>
      <c r="F285" s="199"/>
      <c r="H285" s="202"/>
      <c r="I285" s="185" t="str">
        <f t="shared" si="25"/>
        <v/>
      </c>
      <c r="J285" s="203" t="str">
        <f>IF($H285="USD",IF(OR($I285="",$I285="-"),"",VLOOKUP($G285,為替!$A:$AX,$I285,FALSE))+$J$3,IF(OR($I285="",$I285="-"),"",VLOOKUP($G285,為替!$A:$AX,$I285,FALSE)))</f>
        <v/>
      </c>
      <c r="K285" s="204" t="str">
        <f t="shared" si="26"/>
        <v/>
      </c>
      <c r="L285" s="188" t="str">
        <f t="shared" si="27"/>
        <v/>
      </c>
      <c r="M285" s="203" t="str">
        <f>IF($H285="USD",IF(OR($L285="",$L285="-"),"",VLOOKUP($G285,為替!$A:$AX,$L285,FALSE))+$K$3,IF(OR($L285="",$L285="-"),"",VLOOKUP($G285,為替!$A:$AX,$L285,FALSE)))</f>
        <v/>
      </c>
      <c r="N285" s="204" t="str">
        <f t="shared" si="28"/>
        <v/>
      </c>
      <c r="O285" s="205" t="str">
        <f t="shared" si="24"/>
        <v/>
      </c>
      <c r="P285" s="206" t="str">
        <f t="shared" si="29"/>
        <v/>
      </c>
    </row>
    <row r="286" spans="3:16" x14ac:dyDescent="0.4">
      <c r="C286" s="199"/>
      <c r="D286" s="200"/>
      <c r="E286" s="201"/>
      <c r="F286" s="199"/>
      <c r="H286" s="202"/>
      <c r="I286" s="185" t="str">
        <f t="shared" si="25"/>
        <v/>
      </c>
      <c r="J286" s="203" t="str">
        <f>IF($H286="USD",IF(OR($I286="",$I286="-"),"",VLOOKUP($G286,為替!$A:$AX,$I286,FALSE))+$J$3,IF(OR($I286="",$I286="-"),"",VLOOKUP($G286,為替!$A:$AX,$I286,FALSE)))</f>
        <v/>
      </c>
      <c r="K286" s="204" t="str">
        <f t="shared" si="26"/>
        <v/>
      </c>
      <c r="L286" s="188" t="str">
        <f t="shared" si="27"/>
        <v/>
      </c>
      <c r="M286" s="203" t="str">
        <f>IF($H286="USD",IF(OR($L286="",$L286="-"),"",VLOOKUP($G286,為替!$A:$AX,$L286,FALSE))+$K$3,IF(OR($L286="",$L286="-"),"",VLOOKUP($G286,為替!$A:$AX,$L286,FALSE)))</f>
        <v/>
      </c>
      <c r="N286" s="204" t="str">
        <f t="shared" si="28"/>
        <v/>
      </c>
      <c r="O286" s="205" t="str">
        <f t="shared" si="24"/>
        <v/>
      </c>
      <c r="P286" s="206" t="str">
        <f t="shared" si="29"/>
        <v/>
      </c>
    </row>
    <row r="287" spans="3:16" x14ac:dyDescent="0.4">
      <c r="C287" s="199"/>
      <c r="D287" s="200"/>
      <c r="E287" s="201"/>
      <c r="F287" s="199"/>
      <c r="H287" s="202"/>
      <c r="I287" s="185" t="str">
        <f t="shared" si="25"/>
        <v/>
      </c>
      <c r="J287" s="203" t="str">
        <f>IF($H287="USD",IF(OR($I287="",$I287="-"),"",VLOOKUP($G287,為替!$A:$AX,$I287,FALSE))+$J$3,IF(OR($I287="",$I287="-"),"",VLOOKUP($G287,為替!$A:$AX,$I287,FALSE)))</f>
        <v/>
      </c>
      <c r="K287" s="204" t="str">
        <f t="shared" si="26"/>
        <v/>
      </c>
      <c r="L287" s="188" t="str">
        <f t="shared" si="27"/>
        <v/>
      </c>
      <c r="M287" s="203" t="str">
        <f>IF($H287="USD",IF(OR($L287="",$L287="-"),"",VLOOKUP($G287,為替!$A:$AX,$L287,FALSE))+$K$3,IF(OR($L287="",$L287="-"),"",VLOOKUP($G287,為替!$A:$AX,$L287,FALSE)))</f>
        <v/>
      </c>
      <c r="N287" s="204" t="str">
        <f t="shared" si="28"/>
        <v/>
      </c>
      <c r="O287" s="205" t="str">
        <f t="shared" si="24"/>
        <v/>
      </c>
      <c r="P287" s="206" t="str">
        <f t="shared" si="29"/>
        <v/>
      </c>
    </row>
    <row r="288" spans="3:16" x14ac:dyDescent="0.4">
      <c r="C288" s="199"/>
      <c r="D288" s="200"/>
      <c r="E288" s="201"/>
      <c r="F288" s="199"/>
      <c r="H288" s="202"/>
      <c r="I288" s="185" t="str">
        <f t="shared" si="25"/>
        <v/>
      </c>
      <c r="J288" s="203" t="str">
        <f>IF($H288="USD",IF(OR($I288="",$I288="-"),"",VLOOKUP($G288,為替!$A:$AX,$I288,FALSE))+$J$3,IF(OR($I288="",$I288="-"),"",VLOOKUP($G288,為替!$A:$AX,$I288,FALSE)))</f>
        <v/>
      </c>
      <c r="K288" s="204" t="str">
        <f t="shared" si="26"/>
        <v/>
      </c>
      <c r="L288" s="188" t="str">
        <f t="shared" si="27"/>
        <v/>
      </c>
      <c r="M288" s="203" t="str">
        <f>IF($H288="USD",IF(OR($L288="",$L288="-"),"",VLOOKUP($G288,為替!$A:$AX,$L288,FALSE))+$K$3,IF(OR($L288="",$L288="-"),"",VLOOKUP($G288,為替!$A:$AX,$L288,FALSE)))</f>
        <v/>
      </c>
      <c r="N288" s="204" t="str">
        <f t="shared" si="28"/>
        <v/>
      </c>
      <c r="O288" s="205" t="str">
        <f t="shared" si="24"/>
        <v/>
      </c>
      <c r="P288" s="206" t="str">
        <f t="shared" si="29"/>
        <v/>
      </c>
    </row>
    <row r="289" spans="3:16" x14ac:dyDescent="0.4">
      <c r="C289" s="199"/>
      <c r="D289" s="200"/>
      <c r="E289" s="201"/>
      <c r="F289" s="199"/>
      <c r="H289" s="202"/>
      <c r="I289" s="185" t="str">
        <f t="shared" si="25"/>
        <v/>
      </c>
      <c r="J289" s="203" t="str">
        <f>IF($H289="USD",IF(OR($I289="",$I289="-"),"",VLOOKUP($G289,為替!$A:$AX,$I289,FALSE))+$J$3,IF(OR($I289="",$I289="-"),"",VLOOKUP($G289,為替!$A:$AX,$I289,FALSE)))</f>
        <v/>
      </c>
      <c r="K289" s="204" t="str">
        <f t="shared" si="26"/>
        <v/>
      </c>
      <c r="L289" s="188" t="str">
        <f t="shared" si="27"/>
        <v/>
      </c>
      <c r="M289" s="203" t="str">
        <f>IF($H289="USD",IF(OR($L289="",$L289="-"),"",VLOOKUP($G289,為替!$A:$AX,$L289,FALSE))+$K$3,IF(OR($L289="",$L289="-"),"",VLOOKUP($G289,為替!$A:$AX,$L289,FALSE)))</f>
        <v/>
      </c>
      <c r="N289" s="204" t="str">
        <f t="shared" si="28"/>
        <v/>
      </c>
      <c r="O289" s="205" t="str">
        <f t="shared" si="24"/>
        <v/>
      </c>
      <c r="P289" s="206" t="str">
        <f t="shared" si="29"/>
        <v/>
      </c>
    </row>
    <row r="290" spans="3:16" x14ac:dyDescent="0.4">
      <c r="C290" s="199"/>
      <c r="D290" s="200"/>
      <c r="E290" s="201"/>
      <c r="F290" s="199"/>
      <c r="H290" s="202"/>
      <c r="I290" s="185" t="str">
        <f t="shared" si="25"/>
        <v/>
      </c>
      <c r="J290" s="203" t="str">
        <f>IF($H290="USD",IF(OR($I290="",$I290="-"),"",VLOOKUP($G290,為替!$A:$AX,$I290,FALSE))+$J$3,IF(OR($I290="",$I290="-"),"",VLOOKUP($G290,為替!$A:$AX,$I290,FALSE)))</f>
        <v/>
      </c>
      <c r="K290" s="204" t="str">
        <f t="shared" si="26"/>
        <v/>
      </c>
      <c r="L290" s="188" t="str">
        <f t="shared" si="27"/>
        <v/>
      </c>
      <c r="M290" s="203" t="str">
        <f>IF($H290="USD",IF(OR($L290="",$L290="-"),"",VLOOKUP($G290,為替!$A:$AX,$L290,FALSE))+$K$3,IF(OR($L290="",$L290="-"),"",VLOOKUP($G290,為替!$A:$AX,$L290,FALSE)))</f>
        <v/>
      </c>
      <c r="N290" s="204" t="str">
        <f t="shared" si="28"/>
        <v/>
      </c>
      <c r="O290" s="205" t="str">
        <f t="shared" si="24"/>
        <v/>
      </c>
      <c r="P290" s="206" t="str">
        <f t="shared" si="29"/>
        <v/>
      </c>
    </row>
    <row r="291" spans="3:16" x14ac:dyDescent="0.4">
      <c r="C291" s="199"/>
      <c r="D291" s="200"/>
      <c r="E291" s="201"/>
      <c r="F291" s="199"/>
      <c r="H291" s="202"/>
      <c r="I291" s="185" t="str">
        <f t="shared" si="25"/>
        <v/>
      </c>
      <c r="J291" s="203" t="str">
        <f>IF($H291="USD",IF(OR($I291="",$I291="-"),"",VLOOKUP($G291,為替!$A:$AX,$I291,FALSE))+$J$3,IF(OR($I291="",$I291="-"),"",VLOOKUP($G291,為替!$A:$AX,$I291,FALSE)))</f>
        <v/>
      </c>
      <c r="K291" s="204" t="str">
        <f t="shared" si="26"/>
        <v/>
      </c>
      <c r="L291" s="188" t="str">
        <f t="shared" si="27"/>
        <v/>
      </c>
      <c r="M291" s="203" t="str">
        <f>IF($H291="USD",IF(OR($L291="",$L291="-"),"",VLOOKUP($G291,為替!$A:$AX,$L291,FALSE))+$K$3,IF(OR($L291="",$L291="-"),"",VLOOKUP($G291,為替!$A:$AX,$L291,FALSE)))</f>
        <v/>
      </c>
      <c r="N291" s="204" t="str">
        <f t="shared" si="28"/>
        <v/>
      </c>
      <c r="O291" s="205" t="str">
        <f t="shared" si="24"/>
        <v/>
      </c>
      <c r="P291" s="206" t="str">
        <f t="shared" si="29"/>
        <v/>
      </c>
    </row>
    <row r="292" spans="3:16" x14ac:dyDescent="0.4">
      <c r="C292" s="199"/>
      <c r="D292" s="200"/>
      <c r="E292" s="201"/>
      <c r="F292" s="199"/>
      <c r="H292" s="202"/>
      <c r="I292" s="185" t="str">
        <f t="shared" si="25"/>
        <v/>
      </c>
      <c r="J292" s="203" t="str">
        <f>IF($H292="USD",IF(OR($I292="",$I292="-"),"",VLOOKUP($G292,為替!$A:$AX,$I292,FALSE))+$J$3,IF(OR($I292="",$I292="-"),"",VLOOKUP($G292,為替!$A:$AX,$I292,FALSE)))</f>
        <v/>
      </c>
      <c r="K292" s="204" t="str">
        <f t="shared" si="26"/>
        <v/>
      </c>
      <c r="L292" s="188" t="str">
        <f t="shared" si="27"/>
        <v/>
      </c>
      <c r="M292" s="203" t="str">
        <f>IF($H292="USD",IF(OR($L292="",$L292="-"),"",VLOOKUP($G292,為替!$A:$AX,$L292,FALSE))+$K$3,IF(OR($L292="",$L292="-"),"",VLOOKUP($G292,為替!$A:$AX,$L292,FALSE)))</f>
        <v/>
      </c>
      <c r="N292" s="204" t="str">
        <f t="shared" si="28"/>
        <v/>
      </c>
      <c r="O292" s="205" t="str">
        <f t="shared" si="24"/>
        <v/>
      </c>
      <c r="P292" s="206" t="str">
        <f t="shared" si="29"/>
        <v/>
      </c>
    </row>
    <row r="293" spans="3:16" x14ac:dyDescent="0.4">
      <c r="C293" s="199"/>
      <c r="D293" s="200"/>
      <c r="E293" s="201"/>
      <c r="F293" s="199"/>
      <c r="H293" s="202"/>
      <c r="I293" s="185" t="str">
        <f t="shared" si="25"/>
        <v/>
      </c>
      <c r="J293" s="203" t="str">
        <f>IF($H293="USD",IF(OR($I293="",$I293="-"),"",VLOOKUP($G293,為替!$A:$AX,$I293,FALSE))+$J$3,IF(OR($I293="",$I293="-"),"",VLOOKUP($G293,為替!$A:$AX,$I293,FALSE)))</f>
        <v/>
      </c>
      <c r="K293" s="204" t="str">
        <f t="shared" si="26"/>
        <v/>
      </c>
      <c r="L293" s="188" t="str">
        <f t="shared" si="27"/>
        <v/>
      </c>
      <c r="M293" s="203" t="str">
        <f>IF($H293="USD",IF(OR($L293="",$L293="-"),"",VLOOKUP($G293,為替!$A:$AX,$L293,FALSE))+$K$3,IF(OR($L293="",$L293="-"),"",VLOOKUP($G293,為替!$A:$AX,$L293,FALSE)))</f>
        <v/>
      </c>
      <c r="N293" s="204" t="str">
        <f t="shared" si="28"/>
        <v/>
      </c>
      <c r="O293" s="205" t="str">
        <f t="shared" si="24"/>
        <v/>
      </c>
      <c r="P293" s="206" t="str">
        <f t="shared" si="29"/>
        <v/>
      </c>
    </row>
    <row r="294" spans="3:16" x14ac:dyDescent="0.4">
      <c r="C294" s="199"/>
      <c r="D294" s="200"/>
      <c r="E294" s="201"/>
      <c r="F294" s="199"/>
      <c r="H294" s="202"/>
      <c r="I294" s="185" t="str">
        <f t="shared" si="25"/>
        <v/>
      </c>
      <c r="J294" s="203" t="str">
        <f>IF($H294="USD",IF(OR($I294="",$I294="-"),"",VLOOKUP($G294,為替!$A:$AX,$I294,FALSE))+$J$3,IF(OR($I294="",$I294="-"),"",VLOOKUP($G294,為替!$A:$AX,$I294,FALSE)))</f>
        <v/>
      </c>
      <c r="K294" s="204" t="str">
        <f t="shared" si="26"/>
        <v/>
      </c>
      <c r="L294" s="188" t="str">
        <f t="shared" si="27"/>
        <v/>
      </c>
      <c r="M294" s="203" t="str">
        <f>IF($H294="USD",IF(OR($L294="",$L294="-"),"",VLOOKUP($G294,為替!$A:$AX,$L294,FALSE))+$K$3,IF(OR($L294="",$L294="-"),"",VLOOKUP($G294,為替!$A:$AX,$L294,FALSE)))</f>
        <v/>
      </c>
      <c r="N294" s="204" t="str">
        <f t="shared" si="28"/>
        <v/>
      </c>
      <c r="O294" s="205" t="str">
        <f t="shared" si="24"/>
        <v/>
      </c>
      <c r="P294" s="206" t="str">
        <f t="shared" si="29"/>
        <v/>
      </c>
    </row>
    <row r="295" spans="3:16" x14ac:dyDescent="0.4">
      <c r="C295" s="199"/>
      <c r="D295" s="200"/>
      <c r="E295" s="201"/>
      <c r="F295" s="199"/>
      <c r="H295" s="202"/>
      <c r="I295" s="185" t="str">
        <f t="shared" si="25"/>
        <v/>
      </c>
      <c r="J295" s="203" t="str">
        <f>IF($H295="USD",IF(OR($I295="",$I295="-"),"",VLOOKUP($G295,為替!$A:$AX,$I295,FALSE))+$J$3,IF(OR($I295="",$I295="-"),"",VLOOKUP($G295,為替!$A:$AX,$I295,FALSE)))</f>
        <v/>
      </c>
      <c r="K295" s="204" t="str">
        <f t="shared" si="26"/>
        <v/>
      </c>
      <c r="L295" s="188" t="str">
        <f t="shared" si="27"/>
        <v/>
      </c>
      <c r="M295" s="203" t="str">
        <f>IF($H295="USD",IF(OR($L295="",$L295="-"),"",VLOOKUP($G295,為替!$A:$AX,$L295,FALSE))+$K$3,IF(OR($L295="",$L295="-"),"",VLOOKUP($G295,為替!$A:$AX,$L295,FALSE)))</f>
        <v/>
      </c>
      <c r="N295" s="204" t="str">
        <f t="shared" si="28"/>
        <v/>
      </c>
      <c r="O295" s="205" t="str">
        <f t="shared" si="24"/>
        <v/>
      </c>
      <c r="P295" s="206" t="str">
        <f t="shared" si="29"/>
        <v/>
      </c>
    </row>
    <row r="296" spans="3:16" x14ac:dyDescent="0.4">
      <c r="C296" s="199"/>
      <c r="D296" s="200"/>
      <c r="E296" s="201"/>
      <c r="F296" s="199"/>
      <c r="H296" s="202"/>
      <c r="I296" s="185" t="str">
        <f t="shared" si="25"/>
        <v/>
      </c>
      <c r="J296" s="203" t="str">
        <f>IF($H296="USD",IF(OR($I296="",$I296="-"),"",VLOOKUP($G296,為替!$A:$AX,$I296,FALSE))+$J$3,IF(OR($I296="",$I296="-"),"",VLOOKUP($G296,為替!$A:$AX,$I296,FALSE)))</f>
        <v/>
      </c>
      <c r="K296" s="204" t="str">
        <f t="shared" si="26"/>
        <v/>
      </c>
      <c r="L296" s="188" t="str">
        <f t="shared" si="27"/>
        <v/>
      </c>
      <c r="M296" s="203" t="str">
        <f>IF($H296="USD",IF(OR($L296="",$L296="-"),"",VLOOKUP($G296,為替!$A:$AX,$L296,FALSE))+$K$3,IF(OR($L296="",$L296="-"),"",VLOOKUP($G296,為替!$A:$AX,$L296,FALSE)))</f>
        <v/>
      </c>
      <c r="N296" s="204" t="str">
        <f t="shared" si="28"/>
        <v/>
      </c>
      <c r="O296" s="205" t="str">
        <f t="shared" si="24"/>
        <v/>
      </c>
      <c r="P296" s="206" t="str">
        <f t="shared" si="29"/>
        <v/>
      </c>
    </row>
    <row r="297" spans="3:16" x14ac:dyDescent="0.4">
      <c r="C297" s="199"/>
      <c r="D297" s="200"/>
      <c r="E297" s="201"/>
      <c r="F297" s="199"/>
      <c r="H297" s="202"/>
      <c r="I297" s="185" t="str">
        <f t="shared" si="25"/>
        <v/>
      </c>
      <c r="J297" s="203" t="str">
        <f>IF($H297="USD",IF(OR($I297="",$I297="-"),"",VLOOKUP($G297,為替!$A:$AX,$I297,FALSE))+$J$3,IF(OR($I297="",$I297="-"),"",VLOOKUP($G297,為替!$A:$AX,$I297,FALSE)))</f>
        <v/>
      </c>
      <c r="K297" s="204" t="str">
        <f t="shared" si="26"/>
        <v/>
      </c>
      <c r="L297" s="188" t="str">
        <f t="shared" si="27"/>
        <v/>
      </c>
      <c r="M297" s="203" t="str">
        <f>IF($H297="USD",IF(OR($L297="",$L297="-"),"",VLOOKUP($G297,為替!$A:$AX,$L297,FALSE))+$K$3,IF(OR($L297="",$L297="-"),"",VLOOKUP($G297,為替!$A:$AX,$L297,FALSE)))</f>
        <v/>
      </c>
      <c r="N297" s="204" t="str">
        <f t="shared" si="28"/>
        <v/>
      </c>
      <c r="O297" s="205" t="str">
        <f t="shared" si="24"/>
        <v/>
      </c>
      <c r="P297" s="206" t="str">
        <f t="shared" si="29"/>
        <v/>
      </c>
    </row>
    <row r="298" spans="3:16" x14ac:dyDescent="0.4">
      <c r="C298" s="199"/>
      <c r="D298" s="200"/>
      <c r="E298" s="201"/>
      <c r="F298" s="199"/>
      <c r="H298" s="202"/>
      <c r="I298" s="185" t="str">
        <f t="shared" si="25"/>
        <v/>
      </c>
      <c r="J298" s="203" t="str">
        <f>IF($H298="USD",IF(OR($I298="",$I298="-"),"",VLOOKUP($G298,為替!$A:$AX,$I298,FALSE))+$J$3,IF(OR($I298="",$I298="-"),"",VLOOKUP($G298,為替!$A:$AX,$I298,FALSE)))</f>
        <v/>
      </c>
      <c r="K298" s="204" t="str">
        <f t="shared" si="26"/>
        <v/>
      </c>
      <c r="L298" s="188" t="str">
        <f t="shared" si="27"/>
        <v/>
      </c>
      <c r="M298" s="203" t="str">
        <f>IF($H298="USD",IF(OR($L298="",$L298="-"),"",VLOOKUP($G298,為替!$A:$AX,$L298,FALSE))+$K$3,IF(OR($L298="",$L298="-"),"",VLOOKUP($G298,為替!$A:$AX,$L298,FALSE)))</f>
        <v/>
      </c>
      <c r="N298" s="204" t="str">
        <f t="shared" si="28"/>
        <v/>
      </c>
      <c r="O298" s="205" t="str">
        <f t="shared" si="24"/>
        <v/>
      </c>
      <c r="P298" s="206" t="str">
        <f t="shared" si="29"/>
        <v/>
      </c>
    </row>
    <row r="299" spans="3:16" x14ac:dyDescent="0.4">
      <c r="C299" s="199"/>
      <c r="D299" s="200"/>
      <c r="E299" s="201"/>
      <c r="F299" s="199"/>
      <c r="H299" s="202"/>
      <c r="I299" s="185" t="str">
        <f t="shared" si="25"/>
        <v/>
      </c>
      <c r="J299" s="203" t="str">
        <f>IF($H299="USD",IF(OR($I299="",$I299="-"),"",VLOOKUP($G299,為替!$A:$AX,$I299,FALSE))+$J$3,IF(OR($I299="",$I299="-"),"",VLOOKUP($G299,為替!$A:$AX,$I299,FALSE)))</f>
        <v/>
      </c>
      <c r="K299" s="204" t="str">
        <f t="shared" si="26"/>
        <v/>
      </c>
      <c r="L299" s="188" t="str">
        <f t="shared" si="27"/>
        <v/>
      </c>
      <c r="M299" s="203" t="str">
        <f>IF($H299="USD",IF(OR($L299="",$L299="-"),"",VLOOKUP($G299,為替!$A:$AX,$L299,FALSE))+$K$3,IF(OR($L299="",$L299="-"),"",VLOOKUP($G299,為替!$A:$AX,$L299,FALSE)))</f>
        <v/>
      </c>
      <c r="N299" s="204" t="str">
        <f t="shared" si="28"/>
        <v/>
      </c>
      <c r="O299" s="205" t="str">
        <f t="shared" si="24"/>
        <v/>
      </c>
      <c r="P299" s="206" t="str">
        <f t="shared" si="29"/>
        <v/>
      </c>
    </row>
    <row r="300" spans="3:16" x14ac:dyDescent="0.4">
      <c r="C300" s="199"/>
      <c r="D300" s="200"/>
      <c r="E300" s="201"/>
      <c r="F300" s="199"/>
      <c r="H300" s="202"/>
      <c r="I300" s="185" t="str">
        <f t="shared" si="25"/>
        <v/>
      </c>
      <c r="J300" s="203" t="str">
        <f>IF($H300="USD",IF(OR($I300="",$I300="-"),"",VLOOKUP($G300,為替!$A:$AX,$I300,FALSE))+$J$3,IF(OR($I300="",$I300="-"),"",VLOOKUP($G300,為替!$A:$AX,$I300,FALSE)))</f>
        <v/>
      </c>
      <c r="K300" s="204" t="str">
        <f t="shared" si="26"/>
        <v/>
      </c>
      <c r="L300" s="188" t="str">
        <f t="shared" si="27"/>
        <v/>
      </c>
      <c r="M300" s="203" t="str">
        <f>IF($H300="USD",IF(OR($L300="",$L300="-"),"",VLOOKUP($G300,為替!$A:$AX,$L300,FALSE))+$K$3,IF(OR($L300="",$L300="-"),"",VLOOKUP($G300,為替!$A:$AX,$L300,FALSE)))</f>
        <v/>
      </c>
      <c r="N300" s="204" t="str">
        <f t="shared" si="28"/>
        <v/>
      </c>
      <c r="O300" s="205" t="str">
        <f t="shared" si="24"/>
        <v/>
      </c>
      <c r="P300" s="206" t="str">
        <f t="shared" si="29"/>
        <v/>
      </c>
    </row>
    <row r="301" spans="3:16" x14ac:dyDescent="0.4">
      <c r="C301" s="199"/>
      <c r="D301" s="200"/>
      <c r="E301" s="201"/>
      <c r="F301" s="199"/>
      <c r="H301" s="202"/>
      <c r="I301" s="185" t="str">
        <f t="shared" si="25"/>
        <v/>
      </c>
      <c r="J301" s="203" t="str">
        <f>IF($H301="USD",IF(OR($I301="",$I301="-"),"",VLOOKUP($G301,為替!$A:$AX,$I301,FALSE))+$J$3,IF(OR($I301="",$I301="-"),"",VLOOKUP($G301,為替!$A:$AX,$I301,FALSE)))</f>
        <v/>
      </c>
      <c r="K301" s="204" t="str">
        <f t="shared" si="26"/>
        <v/>
      </c>
      <c r="L301" s="188" t="str">
        <f t="shared" si="27"/>
        <v/>
      </c>
      <c r="M301" s="203" t="str">
        <f>IF($H301="USD",IF(OR($L301="",$L301="-"),"",VLOOKUP($G301,為替!$A:$AX,$L301,FALSE))+$K$3,IF(OR($L301="",$L301="-"),"",VLOOKUP($G301,為替!$A:$AX,$L301,FALSE)))</f>
        <v/>
      </c>
      <c r="N301" s="204" t="str">
        <f t="shared" si="28"/>
        <v/>
      </c>
      <c r="O301" s="205" t="str">
        <f t="shared" si="24"/>
        <v/>
      </c>
      <c r="P301" s="206" t="str">
        <f t="shared" si="29"/>
        <v/>
      </c>
    </row>
    <row r="302" spans="3:16" x14ac:dyDescent="0.4">
      <c r="C302" s="199"/>
      <c r="D302" s="200"/>
      <c r="E302" s="201"/>
      <c r="F302" s="199"/>
      <c r="H302" s="202"/>
      <c r="I302" s="185" t="str">
        <f t="shared" si="25"/>
        <v/>
      </c>
      <c r="J302" s="203" t="str">
        <f>IF($H302="USD",IF(OR($I302="",$I302="-"),"",VLOOKUP($G302,為替!$A:$AX,$I302,FALSE))+$J$3,IF(OR($I302="",$I302="-"),"",VLOOKUP($G302,為替!$A:$AX,$I302,FALSE)))</f>
        <v/>
      </c>
      <c r="K302" s="204" t="str">
        <f t="shared" si="26"/>
        <v/>
      </c>
      <c r="L302" s="188" t="str">
        <f t="shared" si="27"/>
        <v/>
      </c>
      <c r="M302" s="203" t="str">
        <f>IF($H302="USD",IF(OR($L302="",$L302="-"),"",VLOOKUP($G302,為替!$A:$AX,$L302,FALSE))+$K$3,IF(OR($L302="",$L302="-"),"",VLOOKUP($G302,為替!$A:$AX,$L302,FALSE)))</f>
        <v/>
      </c>
      <c r="N302" s="204" t="str">
        <f t="shared" si="28"/>
        <v/>
      </c>
      <c r="O302" s="205" t="str">
        <f t="shared" si="24"/>
        <v/>
      </c>
      <c r="P302" s="206" t="str">
        <f t="shared" si="29"/>
        <v/>
      </c>
    </row>
    <row r="303" spans="3:16" x14ac:dyDescent="0.4">
      <c r="C303" s="199"/>
      <c r="D303" s="200"/>
      <c r="E303" s="201"/>
      <c r="F303" s="199"/>
      <c r="H303" s="202"/>
      <c r="I303" s="185" t="str">
        <f t="shared" si="25"/>
        <v/>
      </c>
      <c r="J303" s="203" t="str">
        <f>IF($H303="USD",IF(OR($I303="",$I303="-"),"",VLOOKUP($G303,為替!$A:$AX,$I303,FALSE))+$J$3,IF(OR($I303="",$I303="-"),"",VLOOKUP($G303,為替!$A:$AX,$I303,FALSE)))</f>
        <v/>
      </c>
      <c r="K303" s="204" t="str">
        <f t="shared" si="26"/>
        <v/>
      </c>
      <c r="L303" s="188" t="str">
        <f t="shared" si="27"/>
        <v/>
      </c>
      <c r="M303" s="203" t="str">
        <f>IF($H303="USD",IF(OR($L303="",$L303="-"),"",VLOOKUP($G303,為替!$A:$AX,$L303,FALSE))+$K$3,IF(OR($L303="",$L303="-"),"",VLOOKUP($G303,為替!$A:$AX,$L303,FALSE)))</f>
        <v/>
      </c>
      <c r="N303" s="204" t="str">
        <f t="shared" si="28"/>
        <v/>
      </c>
      <c r="O303" s="205" t="str">
        <f t="shared" si="24"/>
        <v/>
      </c>
      <c r="P303" s="206" t="str">
        <f t="shared" si="29"/>
        <v/>
      </c>
    </row>
    <row r="304" spans="3:16" x14ac:dyDescent="0.4">
      <c r="C304" s="199"/>
      <c r="D304" s="200"/>
      <c r="E304" s="201"/>
      <c r="F304" s="199"/>
      <c r="H304" s="202"/>
      <c r="I304" s="185" t="str">
        <f t="shared" si="25"/>
        <v/>
      </c>
      <c r="J304" s="203" t="str">
        <f>IF($H304="USD",IF(OR($I304="",$I304="-"),"",VLOOKUP($G304,為替!$A:$AX,$I304,FALSE))+$J$3,IF(OR($I304="",$I304="-"),"",VLOOKUP($G304,為替!$A:$AX,$I304,FALSE)))</f>
        <v/>
      </c>
      <c r="K304" s="204" t="str">
        <f t="shared" si="26"/>
        <v/>
      </c>
      <c r="L304" s="188" t="str">
        <f t="shared" si="27"/>
        <v/>
      </c>
      <c r="M304" s="203" t="str">
        <f>IF($H304="USD",IF(OR($L304="",$L304="-"),"",VLOOKUP($G304,為替!$A:$AX,$L304,FALSE))+$K$3,IF(OR($L304="",$L304="-"),"",VLOOKUP($G304,為替!$A:$AX,$L304,FALSE)))</f>
        <v/>
      </c>
      <c r="N304" s="204" t="str">
        <f t="shared" si="28"/>
        <v/>
      </c>
      <c r="O304" s="205" t="str">
        <f t="shared" si="24"/>
        <v/>
      </c>
      <c r="P304" s="206" t="str">
        <f t="shared" si="29"/>
        <v/>
      </c>
    </row>
    <row r="305" spans="3:16" x14ac:dyDescent="0.4">
      <c r="C305" s="199"/>
      <c r="D305" s="200"/>
      <c r="E305" s="201"/>
      <c r="F305" s="199"/>
      <c r="H305" s="202"/>
      <c r="I305" s="185" t="str">
        <f t="shared" si="25"/>
        <v/>
      </c>
      <c r="J305" s="203" t="str">
        <f>IF($H305="USD",IF(OR($I305="",$I305="-"),"",VLOOKUP($G305,為替!$A:$AX,$I305,FALSE))+$J$3,IF(OR($I305="",$I305="-"),"",VLOOKUP($G305,為替!$A:$AX,$I305,FALSE)))</f>
        <v/>
      </c>
      <c r="K305" s="204" t="str">
        <f t="shared" si="26"/>
        <v/>
      </c>
      <c r="L305" s="188" t="str">
        <f t="shared" si="27"/>
        <v/>
      </c>
      <c r="M305" s="203" t="str">
        <f>IF($H305="USD",IF(OR($L305="",$L305="-"),"",VLOOKUP($G305,為替!$A:$AX,$L305,FALSE))+$K$3,IF(OR($L305="",$L305="-"),"",VLOOKUP($G305,為替!$A:$AX,$L305,FALSE)))</f>
        <v/>
      </c>
      <c r="N305" s="204" t="str">
        <f t="shared" si="28"/>
        <v/>
      </c>
      <c r="O305" s="205" t="str">
        <f t="shared" si="24"/>
        <v/>
      </c>
      <c r="P305" s="206" t="str">
        <f t="shared" si="29"/>
        <v/>
      </c>
    </row>
    <row r="306" spans="3:16" x14ac:dyDescent="0.4">
      <c r="C306" s="199"/>
      <c r="D306" s="200"/>
      <c r="E306" s="201"/>
      <c r="F306" s="199"/>
      <c r="H306" s="202"/>
      <c r="I306" s="185" t="str">
        <f t="shared" si="25"/>
        <v/>
      </c>
      <c r="J306" s="203" t="str">
        <f>IF($H306="USD",IF(OR($I306="",$I306="-"),"",VLOOKUP($G306,為替!$A:$AX,$I306,FALSE))+$J$3,IF(OR($I306="",$I306="-"),"",VLOOKUP($G306,為替!$A:$AX,$I306,FALSE)))</f>
        <v/>
      </c>
      <c r="K306" s="204" t="str">
        <f t="shared" si="26"/>
        <v/>
      </c>
      <c r="L306" s="188" t="str">
        <f t="shared" si="27"/>
        <v/>
      </c>
      <c r="M306" s="203" t="str">
        <f>IF($H306="USD",IF(OR($L306="",$L306="-"),"",VLOOKUP($G306,為替!$A:$AX,$L306,FALSE))+$K$3,IF(OR($L306="",$L306="-"),"",VLOOKUP($G306,為替!$A:$AX,$L306,FALSE)))</f>
        <v/>
      </c>
      <c r="N306" s="204" t="str">
        <f t="shared" si="28"/>
        <v/>
      </c>
      <c r="O306" s="205" t="str">
        <f t="shared" si="24"/>
        <v/>
      </c>
      <c r="P306" s="206" t="str">
        <f t="shared" si="29"/>
        <v/>
      </c>
    </row>
    <row r="307" spans="3:16" x14ac:dyDescent="0.4">
      <c r="C307" s="199"/>
      <c r="D307" s="200"/>
      <c r="E307" s="201"/>
      <c r="F307" s="199"/>
      <c r="H307" s="202"/>
      <c r="I307" s="185" t="str">
        <f t="shared" si="25"/>
        <v/>
      </c>
      <c r="J307" s="203" t="str">
        <f>IF($H307="USD",IF(OR($I307="",$I307="-"),"",VLOOKUP($G307,為替!$A:$AX,$I307,FALSE))+$J$3,IF(OR($I307="",$I307="-"),"",VLOOKUP($G307,為替!$A:$AX,$I307,FALSE)))</f>
        <v/>
      </c>
      <c r="K307" s="204" t="str">
        <f t="shared" si="26"/>
        <v/>
      </c>
      <c r="L307" s="188" t="str">
        <f t="shared" si="27"/>
        <v/>
      </c>
      <c r="M307" s="203" t="str">
        <f>IF($H307="USD",IF(OR($L307="",$L307="-"),"",VLOOKUP($G307,為替!$A:$AX,$L307,FALSE))+$K$3,IF(OR($L307="",$L307="-"),"",VLOOKUP($G307,為替!$A:$AX,$L307,FALSE)))</f>
        <v/>
      </c>
      <c r="N307" s="204" t="str">
        <f t="shared" si="28"/>
        <v/>
      </c>
      <c r="O307" s="205" t="str">
        <f t="shared" si="24"/>
        <v/>
      </c>
      <c r="P307" s="206" t="str">
        <f t="shared" si="29"/>
        <v/>
      </c>
    </row>
    <row r="308" spans="3:16" x14ac:dyDescent="0.4">
      <c r="C308" s="199"/>
      <c r="D308" s="200"/>
      <c r="E308" s="201"/>
      <c r="F308" s="199"/>
      <c r="H308" s="202"/>
      <c r="I308" s="185" t="str">
        <f t="shared" si="25"/>
        <v/>
      </c>
      <c r="J308" s="203" t="str">
        <f>IF($H308="USD",IF(OR($I308="",$I308="-"),"",VLOOKUP($G308,為替!$A:$AX,$I308,FALSE))+$J$3,IF(OR($I308="",$I308="-"),"",VLOOKUP($G308,為替!$A:$AX,$I308,FALSE)))</f>
        <v/>
      </c>
      <c r="K308" s="204" t="str">
        <f t="shared" si="26"/>
        <v/>
      </c>
      <c r="L308" s="188" t="str">
        <f t="shared" si="27"/>
        <v/>
      </c>
      <c r="M308" s="203" t="str">
        <f>IF($H308="USD",IF(OR($L308="",$L308="-"),"",VLOOKUP($G308,為替!$A:$AX,$L308,FALSE))+$K$3,IF(OR($L308="",$L308="-"),"",VLOOKUP($G308,為替!$A:$AX,$L308,FALSE)))</f>
        <v/>
      </c>
      <c r="N308" s="204" t="str">
        <f t="shared" si="28"/>
        <v/>
      </c>
      <c r="O308" s="205" t="str">
        <f t="shared" si="24"/>
        <v/>
      </c>
      <c r="P308" s="206" t="str">
        <f t="shared" si="29"/>
        <v/>
      </c>
    </row>
    <row r="309" spans="3:16" x14ac:dyDescent="0.4">
      <c r="C309" s="199"/>
      <c r="D309" s="200"/>
      <c r="E309" s="201"/>
      <c r="F309" s="199"/>
      <c r="H309" s="202"/>
      <c r="I309" s="185" t="str">
        <f t="shared" si="25"/>
        <v/>
      </c>
      <c r="J309" s="203" t="str">
        <f>IF($H309="USD",IF(OR($I309="",$I309="-"),"",VLOOKUP($G309,為替!$A:$AX,$I309,FALSE))+$J$3,IF(OR($I309="",$I309="-"),"",VLOOKUP($G309,為替!$A:$AX,$I309,FALSE)))</f>
        <v/>
      </c>
      <c r="K309" s="204" t="str">
        <f t="shared" si="26"/>
        <v/>
      </c>
      <c r="L309" s="188" t="str">
        <f t="shared" si="27"/>
        <v/>
      </c>
      <c r="M309" s="203" t="str">
        <f>IF($H309="USD",IF(OR($L309="",$L309="-"),"",VLOOKUP($G309,為替!$A:$AX,$L309,FALSE))+$K$3,IF(OR($L309="",$L309="-"),"",VLOOKUP($G309,為替!$A:$AX,$L309,FALSE)))</f>
        <v/>
      </c>
      <c r="N309" s="204" t="str">
        <f t="shared" si="28"/>
        <v/>
      </c>
      <c r="O309" s="205" t="str">
        <f t="shared" si="24"/>
        <v/>
      </c>
      <c r="P309" s="206" t="str">
        <f t="shared" si="29"/>
        <v/>
      </c>
    </row>
    <row r="310" spans="3:16" x14ac:dyDescent="0.4">
      <c r="C310" s="199"/>
      <c r="D310" s="200"/>
      <c r="E310" s="201"/>
      <c r="F310" s="199"/>
      <c r="H310" s="202"/>
      <c r="I310" s="185" t="str">
        <f t="shared" si="25"/>
        <v/>
      </c>
      <c r="J310" s="203" t="str">
        <f>IF($H310="USD",IF(OR($I310="",$I310="-"),"",VLOOKUP($G310,為替!$A:$AX,$I310,FALSE))+$J$3,IF(OR($I310="",$I310="-"),"",VLOOKUP($G310,為替!$A:$AX,$I310,FALSE)))</f>
        <v/>
      </c>
      <c r="K310" s="204" t="str">
        <f t="shared" si="26"/>
        <v/>
      </c>
      <c r="L310" s="188" t="str">
        <f t="shared" si="27"/>
        <v/>
      </c>
      <c r="M310" s="203" t="str">
        <f>IF($H310="USD",IF(OR($L310="",$L310="-"),"",VLOOKUP($G310,為替!$A:$AX,$L310,FALSE))+$K$3,IF(OR($L310="",$L310="-"),"",VLOOKUP($G310,為替!$A:$AX,$L310,FALSE)))</f>
        <v/>
      </c>
      <c r="N310" s="204" t="str">
        <f t="shared" si="28"/>
        <v/>
      </c>
      <c r="O310" s="205" t="str">
        <f t="shared" si="24"/>
        <v/>
      </c>
      <c r="P310" s="206" t="str">
        <f t="shared" si="29"/>
        <v/>
      </c>
    </row>
    <row r="311" spans="3:16" x14ac:dyDescent="0.4">
      <c r="C311" s="199"/>
      <c r="D311" s="200"/>
      <c r="E311" s="201"/>
      <c r="F311" s="199"/>
      <c r="H311" s="202"/>
      <c r="I311" s="185" t="str">
        <f t="shared" si="25"/>
        <v/>
      </c>
      <c r="J311" s="203" t="str">
        <f>IF($H311="USD",IF(OR($I311="",$I311="-"),"",VLOOKUP($G311,為替!$A:$AX,$I311,FALSE))+$J$3,IF(OR($I311="",$I311="-"),"",VLOOKUP($G311,為替!$A:$AX,$I311,FALSE)))</f>
        <v/>
      </c>
      <c r="K311" s="204" t="str">
        <f t="shared" si="26"/>
        <v/>
      </c>
      <c r="L311" s="188" t="str">
        <f t="shared" si="27"/>
        <v/>
      </c>
      <c r="M311" s="203" t="str">
        <f>IF($H311="USD",IF(OR($L311="",$L311="-"),"",VLOOKUP($G311,為替!$A:$AX,$L311,FALSE))+$K$3,IF(OR($L311="",$L311="-"),"",VLOOKUP($G311,為替!$A:$AX,$L311,FALSE)))</f>
        <v/>
      </c>
      <c r="N311" s="204" t="str">
        <f t="shared" si="28"/>
        <v/>
      </c>
      <c r="O311" s="205" t="str">
        <f t="shared" si="24"/>
        <v/>
      </c>
      <c r="P311" s="206" t="str">
        <f t="shared" si="29"/>
        <v/>
      </c>
    </row>
    <row r="312" spans="3:16" x14ac:dyDescent="0.4">
      <c r="C312" s="199"/>
      <c r="D312" s="200"/>
      <c r="E312" s="201"/>
      <c r="F312" s="199"/>
      <c r="H312" s="202"/>
      <c r="I312" s="185" t="str">
        <f t="shared" si="25"/>
        <v/>
      </c>
      <c r="J312" s="203" t="str">
        <f>IF($H312="USD",IF(OR($I312="",$I312="-"),"",VLOOKUP($G312,為替!$A:$AX,$I312,FALSE))+$J$3,IF(OR($I312="",$I312="-"),"",VLOOKUP($G312,為替!$A:$AX,$I312,FALSE)))</f>
        <v/>
      </c>
      <c r="K312" s="204" t="str">
        <f t="shared" si="26"/>
        <v/>
      </c>
      <c r="L312" s="188" t="str">
        <f t="shared" si="27"/>
        <v/>
      </c>
      <c r="M312" s="203" t="str">
        <f>IF($H312="USD",IF(OR($L312="",$L312="-"),"",VLOOKUP($G312,為替!$A:$AX,$L312,FALSE))+$K$3,IF(OR($L312="",$L312="-"),"",VLOOKUP($G312,為替!$A:$AX,$L312,FALSE)))</f>
        <v/>
      </c>
      <c r="N312" s="204" t="str">
        <f t="shared" si="28"/>
        <v/>
      </c>
      <c r="O312" s="205" t="str">
        <f t="shared" si="24"/>
        <v/>
      </c>
      <c r="P312" s="206" t="str">
        <f t="shared" si="29"/>
        <v/>
      </c>
    </row>
    <row r="313" spans="3:16" x14ac:dyDescent="0.4">
      <c r="C313" s="199"/>
      <c r="D313" s="200"/>
      <c r="E313" s="201"/>
      <c r="F313" s="199"/>
      <c r="H313" s="202"/>
      <c r="I313" s="185" t="str">
        <f t="shared" si="25"/>
        <v/>
      </c>
      <c r="J313" s="203" t="str">
        <f>IF($H313="USD",IF(OR($I313="",$I313="-"),"",VLOOKUP($G313,為替!$A:$AX,$I313,FALSE))+$J$3,IF(OR($I313="",$I313="-"),"",VLOOKUP($G313,為替!$A:$AX,$I313,FALSE)))</f>
        <v/>
      </c>
      <c r="K313" s="204" t="str">
        <f t="shared" si="26"/>
        <v/>
      </c>
      <c r="L313" s="188" t="str">
        <f t="shared" si="27"/>
        <v/>
      </c>
      <c r="M313" s="203" t="str">
        <f>IF($H313="USD",IF(OR($L313="",$L313="-"),"",VLOOKUP($G313,為替!$A:$AX,$L313,FALSE))+$K$3,IF(OR($L313="",$L313="-"),"",VLOOKUP($G313,為替!$A:$AX,$L313,FALSE)))</f>
        <v/>
      </c>
      <c r="N313" s="204" t="str">
        <f t="shared" si="28"/>
        <v/>
      </c>
      <c r="O313" s="205" t="str">
        <f t="shared" si="24"/>
        <v/>
      </c>
      <c r="P313" s="206" t="str">
        <f t="shared" si="29"/>
        <v/>
      </c>
    </row>
    <row r="314" spans="3:16" x14ac:dyDescent="0.4">
      <c r="C314" s="199"/>
      <c r="D314" s="200"/>
      <c r="E314" s="201"/>
      <c r="F314" s="199"/>
      <c r="H314" s="202"/>
      <c r="I314" s="185" t="str">
        <f t="shared" si="25"/>
        <v/>
      </c>
      <c r="J314" s="203" t="str">
        <f>IF($H314="USD",IF(OR($I314="",$I314="-"),"",VLOOKUP($G314,為替!$A:$AX,$I314,FALSE))+$J$3,IF(OR($I314="",$I314="-"),"",VLOOKUP($G314,為替!$A:$AX,$I314,FALSE)))</f>
        <v/>
      </c>
      <c r="K314" s="204" t="str">
        <f t="shared" si="26"/>
        <v/>
      </c>
      <c r="L314" s="188" t="str">
        <f t="shared" si="27"/>
        <v/>
      </c>
      <c r="M314" s="203" t="str">
        <f>IF($H314="USD",IF(OR($L314="",$L314="-"),"",VLOOKUP($G314,為替!$A:$AX,$L314,FALSE))+$K$3,IF(OR($L314="",$L314="-"),"",VLOOKUP($G314,為替!$A:$AX,$L314,FALSE)))</f>
        <v/>
      </c>
      <c r="N314" s="204" t="str">
        <f t="shared" si="28"/>
        <v/>
      </c>
      <c r="O314" s="205" t="str">
        <f t="shared" si="24"/>
        <v/>
      </c>
      <c r="P314" s="206" t="str">
        <f t="shared" si="29"/>
        <v/>
      </c>
    </row>
    <row r="315" spans="3:16" x14ac:dyDescent="0.4">
      <c r="C315" s="199"/>
      <c r="D315" s="200"/>
      <c r="E315" s="201"/>
      <c r="F315" s="199"/>
      <c r="H315" s="202"/>
      <c r="I315" s="185" t="str">
        <f t="shared" si="25"/>
        <v/>
      </c>
      <c r="J315" s="203" t="str">
        <f>IF($H315="USD",IF(OR($I315="",$I315="-"),"",VLOOKUP($G315,為替!$A:$AX,$I315,FALSE))+$J$3,IF(OR($I315="",$I315="-"),"",VLOOKUP($G315,為替!$A:$AX,$I315,FALSE)))</f>
        <v/>
      </c>
      <c r="K315" s="204" t="str">
        <f t="shared" si="26"/>
        <v/>
      </c>
      <c r="L315" s="188" t="str">
        <f t="shared" si="27"/>
        <v/>
      </c>
      <c r="M315" s="203" t="str">
        <f>IF($H315="USD",IF(OR($L315="",$L315="-"),"",VLOOKUP($G315,為替!$A:$AX,$L315,FALSE))+$K$3,IF(OR($L315="",$L315="-"),"",VLOOKUP($G315,為替!$A:$AX,$L315,FALSE)))</f>
        <v/>
      </c>
      <c r="N315" s="204" t="str">
        <f t="shared" si="28"/>
        <v/>
      </c>
      <c r="O315" s="205" t="str">
        <f t="shared" si="24"/>
        <v/>
      </c>
      <c r="P315" s="206" t="str">
        <f t="shared" si="29"/>
        <v/>
      </c>
    </row>
    <row r="316" spans="3:16" x14ac:dyDescent="0.4">
      <c r="C316" s="199"/>
      <c r="D316" s="200"/>
      <c r="E316" s="201"/>
      <c r="F316" s="199"/>
      <c r="H316" s="202"/>
      <c r="I316" s="185" t="str">
        <f t="shared" si="25"/>
        <v/>
      </c>
      <c r="J316" s="203" t="str">
        <f>IF($H316="USD",IF(OR($I316="",$I316="-"),"",VLOOKUP($G316,為替!$A:$AX,$I316,FALSE))+$J$3,IF(OR($I316="",$I316="-"),"",VLOOKUP($G316,為替!$A:$AX,$I316,FALSE)))</f>
        <v/>
      </c>
      <c r="K316" s="204" t="str">
        <f t="shared" si="26"/>
        <v/>
      </c>
      <c r="L316" s="188" t="str">
        <f t="shared" si="27"/>
        <v/>
      </c>
      <c r="M316" s="203" t="str">
        <f>IF($H316="USD",IF(OR($L316="",$L316="-"),"",VLOOKUP($G316,為替!$A:$AX,$L316,FALSE))+$K$3,IF(OR($L316="",$L316="-"),"",VLOOKUP($G316,為替!$A:$AX,$L316,FALSE)))</f>
        <v/>
      </c>
      <c r="N316" s="204" t="str">
        <f t="shared" si="28"/>
        <v/>
      </c>
      <c r="O316" s="205" t="str">
        <f t="shared" si="24"/>
        <v/>
      </c>
      <c r="P316" s="206" t="str">
        <f t="shared" si="29"/>
        <v/>
      </c>
    </row>
    <row r="317" spans="3:16" x14ac:dyDescent="0.4">
      <c r="C317" s="199"/>
      <c r="D317" s="200"/>
      <c r="E317" s="201"/>
      <c r="F317" s="199"/>
      <c r="H317" s="202"/>
      <c r="I317" s="185" t="str">
        <f t="shared" si="25"/>
        <v/>
      </c>
      <c r="J317" s="203" t="str">
        <f>IF($H317="USD",IF(OR($I317="",$I317="-"),"",VLOOKUP($G317,為替!$A:$AX,$I317,FALSE))+$J$3,IF(OR($I317="",$I317="-"),"",VLOOKUP($G317,為替!$A:$AX,$I317,FALSE)))</f>
        <v/>
      </c>
      <c r="K317" s="204" t="str">
        <f t="shared" si="26"/>
        <v/>
      </c>
      <c r="L317" s="188" t="str">
        <f t="shared" si="27"/>
        <v/>
      </c>
      <c r="M317" s="203" t="str">
        <f>IF($H317="USD",IF(OR($L317="",$L317="-"),"",VLOOKUP($G317,為替!$A:$AX,$L317,FALSE))+$K$3,IF(OR($L317="",$L317="-"),"",VLOOKUP($G317,為替!$A:$AX,$L317,FALSE)))</f>
        <v/>
      </c>
      <c r="N317" s="204" t="str">
        <f t="shared" si="28"/>
        <v/>
      </c>
      <c r="O317" s="205" t="str">
        <f t="shared" si="24"/>
        <v/>
      </c>
      <c r="P317" s="206" t="str">
        <f t="shared" si="29"/>
        <v/>
      </c>
    </row>
    <row r="318" spans="3:16" x14ac:dyDescent="0.4">
      <c r="C318" s="199"/>
      <c r="D318" s="200"/>
      <c r="E318" s="201"/>
      <c r="F318" s="199"/>
      <c r="H318" s="202"/>
      <c r="I318" s="185" t="str">
        <f t="shared" si="25"/>
        <v/>
      </c>
      <c r="J318" s="203" t="str">
        <f>IF($H318="USD",IF(OR($I318="",$I318="-"),"",VLOOKUP($G318,為替!$A:$AX,$I318,FALSE))+$J$3,IF(OR($I318="",$I318="-"),"",VLOOKUP($G318,為替!$A:$AX,$I318,FALSE)))</f>
        <v/>
      </c>
      <c r="K318" s="204" t="str">
        <f t="shared" si="26"/>
        <v/>
      </c>
      <c r="L318" s="188" t="str">
        <f t="shared" si="27"/>
        <v/>
      </c>
      <c r="M318" s="203" t="str">
        <f>IF($H318="USD",IF(OR($L318="",$L318="-"),"",VLOOKUP($G318,為替!$A:$AX,$L318,FALSE))+$K$3,IF(OR($L318="",$L318="-"),"",VLOOKUP($G318,為替!$A:$AX,$L318,FALSE)))</f>
        <v/>
      </c>
      <c r="N318" s="204" t="str">
        <f t="shared" si="28"/>
        <v/>
      </c>
      <c r="O318" s="205" t="str">
        <f t="shared" si="24"/>
        <v/>
      </c>
      <c r="P318" s="206" t="str">
        <f t="shared" si="29"/>
        <v/>
      </c>
    </row>
    <row r="319" spans="3:16" x14ac:dyDescent="0.4">
      <c r="C319" s="199"/>
      <c r="D319" s="200"/>
      <c r="E319" s="201"/>
      <c r="F319" s="199"/>
      <c r="H319" s="202"/>
      <c r="I319" s="185" t="str">
        <f t="shared" si="25"/>
        <v/>
      </c>
      <c r="J319" s="203" t="str">
        <f>IF($H319="USD",IF(OR($I319="",$I319="-"),"",VLOOKUP($G319,為替!$A:$AX,$I319,FALSE))+$J$3,IF(OR($I319="",$I319="-"),"",VLOOKUP($G319,為替!$A:$AX,$I319,FALSE)))</f>
        <v/>
      </c>
      <c r="K319" s="204" t="str">
        <f t="shared" si="26"/>
        <v/>
      </c>
      <c r="L319" s="188" t="str">
        <f t="shared" si="27"/>
        <v/>
      </c>
      <c r="M319" s="203" t="str">
        <f>IF($H319="USD",IF(OR($L319="",$L319="-"),"",VLOOKUP($G319,為替!$A:$AX,$L319,FALSE))+$K$3,IF(OR($L319="",$L319="-"),"",VLOOKUP($G319,為替!$A:$AX,$L319,FALSE)))</f>
        <v/>
      </c>
      <c r="N319" s="204" t="str">
        <f t="shared" si="28"/>
        <v/>
      </c>
      <c r="O319" s="205" t="str">
        <f t="shared" si="24"/>
        <v/>
      </c>
      <c r="P319" s="206" t="str">
        <f t="shared" si="29"/>
        <v/>
      </c>
    </row>
    <row r="320" spans="3:16" x14ac:dyDescent="0.4">
      <c r="C320" s="199"/>
      <c r="D320" s="200"/>
      <c r="E320" s="201"/>
      <c r="F320" s="199"/>
      <c r="H320" s="202"/>
      <c r="I320" s="185" t="str">
        <f t="shared" si="25"/>
        <v/>
      </c>
      <c r="J320" s="203" t="str">
        <f>IF($H320="USD",IF(OR($I320="",$I320="-"),"",VLOOKUP($G320,為替!$A:$AX,$I320,FALSE))+$J$3,IF(OR($I320="",$I320="-"),"",VLOOKUP($G320,為替!$A:$AX,$I320,FALSE)))</f>
        <v/>
      </c>
      <c r="K320" s="204" t="str">
        <f t="shared" si="26"/>
        <v/>
      </c>
      <c r="L320" s="188" t="str">
        <f t="shared" si="27"/>
        <v/>
      </c>
      <c r="M320" s="203" t="str">
        <f>IF($H320="USD",IF(OR($L320="",$L320="-"),"",VLOOKUP($G320,為替!$A:$AX,$L320,FALSE))+$K$3,IF(OR($L320="",$L320="-"),"",VLOOKUP($G320,為替!$A:$AX,$L320,FALSE)))</f>
        <v/>
      </c>
      <c r="N320" s="204" t="str">
        <f t="shared" si="28"/>
        <v/>
      </c>
      <c r="O320" s="205" t="str">
        <f t="shared" si="24"/>
        <v/>
      </c>
      <c r="P320" s="206" t="str">
        <f t="shared" si="29"/>
        <v/>
      </c>
    </row>
    <row r="321" spans="3:16" x14ac:dyDescent="0.4">
      <c r="C321" s="199"/>
      <c r="D321" s="200"/>
      <c r="E321" s="201"/>
      <c r="F321" s="199"/>
      <c r="H321" s="202"/>
      <c r="I321" s="185" t="str">
        <f t="shared" si="25"/>
        <v/>
      </c>
      <c r="J321" s="203" t="str">
        <f>IF($H321="USD",IF(OR($I321="",$I321="-"),"",VLOOKUP($G321,為替!$A:$AX,$I321,FALSE))+$J$3,IF(OR($I321="",$I321="-"),"",VLOOKUP($G321,為替!$A:$AX,$I321,FALSE)))</f>
        <v/>
      </c>
      <c r="K321" s="204" t="str">
        <f t="shared" si="26"/>
        <v/>
      </c>
      <c r="L321" s="188" t="str">
        <f t="shared" si="27"/>
        <v/>
      </c>
      <c r="M321" s="203" t="str">
        <f>IF($H321="USD",IF(OR($L321="",$L321="-"),"",VLOOKUP($G321,為替!$A:$AX,$L321,FALSE))+$K$3,IF(OR($L321="",$L321="-"),"",VLOOKUP($G321,為替!$A:$AX,$L321,FALSE)))</f>
        <v/>
      </c>
      <c r="N321" s="204" t="str">
        <f t="shared" si="28"/>
        <v/>
      </c>
      <c r="O321" s="205" t="str">
        <f t="shared" si="24"/>
        <v/>
      </c>
      <c r="P321" s="206" t="str">
        <f t="shared" si="29"/>
        <v/>
      </c>
    </row>
    <row r="322" spans="3:16" x14ac:dyDescent="0.4">
      <c r="C322" s="199"/>
      <c r="D322" s="200"/>
      <c r="E322" s="201"/>
      <c r="F322" s="199"/>
      <c r="H322" s="202"/>
      <c r="I322" s="185" t="str">
        <f t="shared" si="25"/>
        <v/>
      </c>
      <c r="J322" s="203" t="str">
        <f>IF($H322="USD",IF(OR($I322="",$I322="-"),"",VLOOKUP($G322,為替!$A:$AX,$I322,FALSE))+$J$3,IF(OR($I322="",$I322="-"),"",VLOOKUP($G322,為替!$A:$AX,$I322,FALSE)))</f>
        <v/>
      </c>
      <c r="K322" s="204" t="str">
        <f t="shared" si="26"/>
        <v/>
      </c>
      <c r="L322" s="188" t="str">
        <f t="shared" si="27"/>
        <v/>
      </c>
      <c r="M322" s="203" t="str">
        <f>IF($H322="USD",IF(OR($L322="",$L322="-"),"",VLOOKUP($G322,為替!$A:$AX,$L322,FALSE))+$K$3,IF(OR($L322="",$L322="-"),"",VLOOKUP($G322,為替!$A:$AX,$L322,FALSE)))</f>
        <v/>
      </c>
      <c r="N322" s="204" t="str">
        <f t="shared" si="28"/>
        <v/>
      </c>
      <c r="O322" s="205" t="str">
        <f t="shared" si="24"/>
        <v/>
      </c>
      <c r="P322" s="206" t="str">
        <f t="shared" si="29"/>
        <v/>
      </c>
    </row>
    <row r="323" spans="3:16" x14ac:dyDescent="0.4">
      <c r="C323" s="199"/>
      <c r="D323" s="200"/>
      <c r="E323" s="201"/>
      <c r="F323" s="199"/>
      <c r="H323" s="202"/>
      <c r="I323" s="185" t="str">
        <f t="shared" si="25"/>
        <v/>
      </c>
      <c r="J323" s="203" t="str">
        <f>IF($H323="USD",IF(OR($I323="",$I323="-"),"",VLOOKUP($G323,為替!$A:$AX,$I323,FALSE))+$J$3,IF(OR($I323="",$I323="-"),"",VLOOKUP($G323,為替!$A:$AX,$I323,FALSE)))</f>
        <v/>
      </c>
      <c r="K323" s="204" t="str">
        <f t="shared" si="26"/>
        <v/>
      </c>
      <c r="L323" s="188" t="str">
        <f t="shared" si="27"/>
        <v/>
      </c>
      <c r="M323" s="203" t="str">
        <f>IF($H323="USD",IF(OR($L323="",$L323="-"),"",VLOOKUP($G323,為替!$A:$AX,$L323,FALSE))+$K$3,IF(OR($L323="",$L323="-"),"",VLOOKUP($G323,為替!$A:$AX,$L323,FALSE)))</f>
        <v/>
      </c>
      <c r="N323" s="204" t="str">
        <f t="shared" si="28"/>
        <v/>
      </c>
      <c r="O323" s="205" t="str">
        <f t="shared" si="24"/>
        <v/>
      </c>
      <c r="P323" s="206" t="str">
        <f t="shared" si="29"/>
        <v/>
      </c>
    </row>
    <row r="324" spans="3:16" x14ac:dyDescent="0.4">
      <c r="C324" s="199"/>
      <c r="D324" s="200"/>
      <c r="E324" s="201"/>
      <c r="F324" s="199"/>
      <c r="H324" s="202"/>
      <c r="I324" s="185" t="str">
        <f t="shared" si="25"/>
        <v/>
      </c>
      <c r="J324" s="203" t="str">
        <f>IF($H324="USD",IF(OR($I324="",$I324="-"),"",VLOOKUP($G324,為替!$A:$AX,$I324,FALSE))+$J$3,IF(OR($I324="",$I324="-"),"",VLOOKUP($G324,為替!$A:$AX,$I324,FALSE)))</f>
        <v/>
      </c>
      <c r="K324" s="204" t="str">
        <f t="shared" si="26"/>
        <v/>
      </c>
      <c r="L324" s="188" t="str">
        <f t="shared" si="27"/>
        <v/>
      </c>
      <c r="M324" s="203" t="str">
        <f>IF($H324="USD",IF(OR($L324="",$L324="-"),"",VLOOKUP($G324,為替!$A:$AX,$L324,FALSE))+$K$3,IF(OR($L324="",$L324="-"),"",VLOOKUP($G324,為替!$A:$AX,$L324,FALSE)))</f>
        <v/>
      </c>
      <c r="N324" s="204" t="str">
        <f t="shared" si="28"/>
        <v/>
      </c>
      <c r="O324" s="205" t="str">
        <f t="shared" si="24"/>
        <v/>
      </c>
      <c r="P324" s="206" t="str">
        <f t="shared" si="29"/>
        <v/>
      </c>
    </row>
    <row r="325" spans="3:16" x14ac:dyDescent="0.4">
      <c r="C325" s="199"/>
      <c r="D325" s="200"/>
      <c r="E325" s="201"/>
      <c r="F325" s="199"/>
      <c r="H325" s="202"/>
      <c r="I325" s="185" t="str">
        <f t="shared" si="25"/>
        <v/>
      </c>
      <c r="J325" s="203" t="str">
        <f>IF($H325="USD",IF(OR($I325="",$I325="-"),"",VLOOKUP($G325,為替!$A:$AX,$I325,FALSE))+$J$3,IF(OR($I325="",$I325="-"),"",VLOOKUP($G325,為替!$A:$AX,$I325,FALSE)))</f>
        <v/>
      </c>
      <c r="K325" s="204" t="str">
        <f t="shared" si="26"/>
        <v/>
      </c>
      <c r="L325" s="188" t="str">
        <f t="shared" si="27"/>
        <v/>
      </c>
      <c r="M325" s="203" t="str">
        <f>IF($H325="USD",IF(OR($L325="",$L325="-"),"",VLOOKUP($G325,為替!$A:$AX,$L325,FALSE))+$K$3,IF(OR($L325="",$L325="-"),"",VLOOKUP($G325,為替!$A:$AX,$L325,FALSE)))</f>
        <v/>
      </c>
      <c r="N325" s="204" t="str">
        <f t="shared" si="28"/>
        <v/>
      </c>
      <c r="O325" s="205" t="str">
        <f t="shared" si="24"/>
        <v/>
      </c>
      <c r="P325" s="206" t="str">
        <f t="shared" si="29"/>
        <v/>
      </c>
    </row>
    <row r="326" spans="3:16" x14ac:dyDescent="0.4">
      <c r="C326" s="199"/>
      <c r="D326" s="200"/>
      <c r="E326" s="201"/>
      <c r="F326" s="199"/>
      <c r="H326" s="202"/>
      <c r="I326" s="185" t="str">
        <f t="shared" si="25"/>
        <v/>
      </c>
      <c r="J326" s="203" t="str">
        <f>IF($H326="USD",IF(OR($I326="",$I326="-"),"",VLOOKUP($G326,為替!$A:$AX,$I326,FALSE))+$J$3,IF(OR($I326="",$I326="-"),"",VLOOKUP($G326,為替!$A:$AX,$I326,FALSE)))</f>
        <v/>
      </c>
      <c r="K326" s="204" t="str">
        <f t="shared" si="26"/>
        <v/>
      </c>
      <c r="L326" s="188" t="str">
        <f t="shared" si="27"/>
        <v/>
      </c>
      <c r="M326" s="203" t="str">
        <f>IF($H326="USD",IF(OR($L326="",$L326="-"),"",VLOOKUP($G326,為替!$A:$AX,$L326,FALSE))+$K$3,IF(OR($L326="",$L326="-"),"",VLOOKUP($G326,為替!$A:$AX,$L326,FALSE)))</f>
        <v/>
      </c>
      <c r="N326" s="204" t="str">
        <f t="shared" si="28"/>
        <v/>
      </c>
      <c r="O326" s="205" t="str">
        <f t="shared" ref="O326:O389" si="30">IF(OR(K326="",N326=""),"",K326-N326)</f>
        <v/>
      </c>
      <c r="P326" s="206" t="str">
        <f t="shared" si="29"/>
        <v/>
      </c>
    </row>
    <row r="327" spans="3:16" x14ac:dyDescent="0.4">
      <c r="C327" s="199"/>
      <c r="D327" s="200"/>
      <c r="E327" s="201"/>
      <c r="F327" s="199"/>
      <c r="H327" s="202"/>
      <c r="I327" s="185" t="str">
        <f t="shared" ref="I327:I390" si="31">IF(H327="","",IF(H327="JPY","",IF($H327="USD",4, IF(H327="EUR",7,IF(H327="CNY",47,IF(H327="HKD",34))))))</f>
        <v/>
      </c>
      <c r="J327" s="203" t="str">
        <f>IF($H327="USD",IF(OR($I327="",$I327="-"),"",VLOOKUP($G327,為替!$A:$AX,$I327,FALSE))+$J$3,IF(OR($I327="",$I327="-"),"",VLOOKUP($G327,為替!$A:$AX,$I327,FALSE)))</f>
        <v/>
      </c>
      <c r="K327" s="204" t="str">
        <f t="shared" ref="K327:K390" si="32">IF($H327="JPY",$F327,IF($H327="","",$F327*$J327))</f>
        <v/>
      </c>
      <c r="L327" s="188" t="str">
        <f t="shared" ref="L327:L390" si="33">IF(H327="","",IF(H327="JPY","",IF($H327="USD",3, IF(H327="EUR",6,IF(H327="CNY",46,IF(H327="HKD",33))))))</f>
        <v/>
      </c>
      <c r="M327" s="203" t="str">
        <f>IF($H327="USD",IF(OR($L327="",$L327="-"),"",VLOOKUP($G327,為替!$A:$AX,$L327,FALSE))+$K$3,IF(OR($L327="",$L327="-"),"",VLOOKUP($G327,為替!$A:$AX,$L327,FALSE)))</f>
        <v/>
      </c>
      <c r="N327" s="204" t="str">
        <f t="shared" ref="N327:N390" si="34">IF($E327="JPY",($C327+$D327),IF($E327="","",($C327+$D327)*$M327))</f>
        <v/>
      </c>
      <c r="O327" s="205" t="str">
        <f t="shared" si="30"/>
        <v/>
      </c>
      <c r="P327" s="206" t="str">
        <f t="shared" ref="P327:P390" si="35">IF(OR(K327="",O327=""),"",O327/K327)</f>
        <v/>
      </c>
    </row>
    <row r="328" spans="3:16" x14ac:dyDescent="0.4">
      <c r="C328" s="199"/>
      <c r="D328" s="200"/>
      <c r="E328" s="201"/>
      <c r="F328" s="199"/>
      <c r="H328" s="202"/>
      <c r="I328" s="185" t="str">
        <f t="shared" si="31"/>
        <v/>
      </c>
      <c r="J328" s="203" t="str">
        <f>IF($H328="USD",IF(OR($I328="",$I328="-"),"",VLOOKUP($G328,為替!$A:$AX,$I328,FALSE))+$J$3,IF(OR($I328="",$I328="-"),"",VLOOKUP($G328,為替!$A:$AX,$I328,FALSE)))</f>
        <v/>
      </c>
      <c r="K328" s="204" t="str">
        <f t="shared" si="32"/>
        <v/>
      </c>
      <c r="L328" s="188" t="str">
        <f t="shared" si="33"/>
        <v/>
      </c>
      <c r="M328" s="203" t="str">
        <f>IF($H328="USD",IF(OR($L328="",$L328="-"),"",VLOOKUP($G328,為替!$A:$AX,$L328,FALSE))+$K$3,IF(OR($L328="",$L328="-"),"",VLOOKUP($G328,為替!$A:$AX,$L328,FALSE)))</f>
        <v/>
      </c>
      <c r="N328" s="204" t="str">
        <f t="shared" si="34"/>
        <v/>
      </c>
      <c r="O328" s="205" t="str">
        <f t="shared" si="30"/>
        <v/>
      </c>
      <c r="P328" s="206" t="str">
        <f t="shared" si="35"/>
        <v/>
      </c>
    </row>
    <row r="329" spans="3:16" x14ac:dyDescent="0.4">
      <c r="C329" s="199"/>
      <c r="D329" s="200"/>
      <c r="E329" s="201"/>
      <c r="F329" s="199"/>
      <c r="H329" s="202"/>
      <c r="I329" s="185" t="str">
        <f t="shared" si="31"/>
        <v/>
      </c>
      <c r="J329" s="203" t="str">
        <f>IF($H329="USD",IF(OR($I329="",$I329="-"),"",VLOOKUP($G329,為替!$A:$AX,$I329,FALSE))+$J$3,IF(OR($I329="",$I329="-"),"",VLOOKUP($G329,為替!$A:$AX,$I329,FALSE)))</f>
        <v/>
      </c>
      <c r="K329" s="204" t="str">
        <f t="shared" si="32"/>
        <v/>
      </c>
      <c r="L329" s="188" t="str">
        <f t="shared" si="33"/>
        <v/>
      </c>
      <c r="M329" s="203" t="str">
        <f>IF($H329="USD",IF(OR($L329="",$L329="-"),"",VLOOKUP($G329,為替!$A:$AX,$L329,FALSE))+$K$3,IF(OR($L329="",$L329="-"),"",VLOOKUP($G329,為替!$A:$AX,$L329,FALSE)))</f>
        <v/>
      </c>
      <c r="N329" s="204" t="str">
        <f t="shared" si="34"/>
        <v/>
      </c>
      <c r="O329" s="205" t="str">
        <f t="shared" si="30"/>
        <v/>
      </c>
      <c r="P329" s="206" t="str">
        <f t="shared" si="35"/>
        <v/>
      </c>
    </row>
    <row r="330" spans="3:16" x14ac:dyDescent="0.4">
      <c r="C330" s="199"/>
      <c r="D330" s="200"/>
      <c r="E330" s="201"/>
      <c r="F330" s="199"/>
      <c r="H330" s="202"/>
      <c r="I330" s="185" t="str">
        <f t="shared" si="31"/>
        <v/>
      </c>
      <c r="J330" s="203" t="str">
        <f>IF($H330="USD",IF(OR($I330="",$I330="-"),"",VLOOKUP($G330,為替!$A:$AX,$I330,FALSE))+$J$3,IF(OR($I330="",$I330="-"),"",VLOOKUP($G330,為替!$A:$AX,$I330,FALSE)))</f>
        <v/>
      </c>
      <c r="K330" s="204" t="str">
        <f t="shared" si="32"/>
        <v/>
      </c>
      <c r="L330" s="188" t="str">
        <f t="shared" si="33"/>
        <v/>
      </c>
      <c r="M330" s="203" t="str">
        <f>IF($H330="USD",IF(OR($L330="",$L330="-"),"",VLOOKUP($G330,為替!$A:$AX,$L330,FALSE))+$K$3,IF(OR($L330="",$L330="-"),"",VLOOKUP($G330,為替!$A:$AX,$L330,FALSE)))</f>
        <v/>
      </c>
      <c r="N330" s="204" t="str">
        <f t="shared" si="34"/>
        <v/>
      </c>
      <c r="O330" s="205" t="str">
        <f t="shared" si="30"/>
        <v/>
      </c>
      <c r="P330" s="206" t="str">
        <f t="shared" si="35"/>
        <v/>
      </c>
    </row>
    <row r="331" spans="3:16" x14ac:dyDescent="0.4">
      <c r="C331" s="199"/>
      <c r="D331" s="200"/>
      <c r="E331" s="201"/>
      <c r="F331" s="199"/>
      <c r="H331" s="202"/>
      <c r="I331" s="185" t="str">
        <f t="shared" si="31"/>
        <v/>
      </c>
      <c r="J331" s="203" t="str">
        <f>IF($H331="USD",IF(OR($I331="",$I331="-"),"",VLOOKUP($G331,為替!$A:$AX,$I331,FALSE))+$J$3,IF(OR($I331="",$I331="-"),"",VLOOKUP($G331,為替!$A:$AX,$I331,FALSE)))</f>
        <v/>
      </c>
      <c r="K331" s="204" t="str">
        <f t="shared" si="32"/>
        <v/>
      </c>
      <c r="L331" s="188" t="str">
        <f t="shared" si="33"/>
        <v/>
      </c>
      <c r="M331" s="203" t="str">
        <f>IF($H331="USD",IF(OR($L331="",$L331="-"),"",VLOOKUP($G331,為替!$A:$AX,$L331,FALSE))+$K$3,IF(OR($L331="",$L331="-"),"",VLOOKUP($G331,為替!$A:$AX,$L331,FALSE)))</f>
        <v/>
      </c>
      <c r="N331" s="204" t="str">
        <f t="shared" si="34"/>
        <v/>
      </c>
      <c r="O331" s="205" t="str">
        <f t="shared" si="30"/>
        <v/>
      </c>
      <c r="P331" s="206" t="str">
        <f t="shared" si="35"/>
        <v/>
      </c>
    </row>
    <row r="332" spans="3:16" x14ac:dyDescent="0.4">
      <c r="C332" s="199"/>
      <c r="D332" s="200"/>
      <c r="E332" s="201"/>
      <c r="F332" s="199"/>
      <c r="H332" s="202"/>
      <c r="I332" s="185" t="str">
        <f t="shared" si="31"/>
        <v/>
      </c>
      <c r="J332" s="203" t="str">
        <f>IF($H332="USD",IF(OR($I332="",$I332="-"),"",VLOOKUP($G332,為替!$A:$AX,$I332,FALSE))+$J$3,IF(OR($I332="",$I332="-"),"",VLOOKUP($G332,為替!$A:$AX,$I332,FALSE)))</f>
        <v/>
      </c>
      <c r="K332" s="204" t="str">
        <f t="shared" si="32"/>
        <v/>
      </c>
      <c r="L332" s="188" t="str">
        <f t="shared" si="33"/>
        <v/>
      </c>
      <c r="M332" s="203" t="str">
        <f>IF($H332="USD",IF(OR($L332="",$L332="-"),"",VLOOKUP($G332,為替!$A:$AX,$L332,FALSE))+$K$3,IF(OR($L332="",$L332="-"),"",VLOOKUP($G332,為替!$A:$AX,$L332,FALSE)))</f>
        <v/>
      </c>
      <c r="N332" s="204" t="str">
        <f t="shared" si="34"/>
        <v/>
      </c>
      <c r="O332" s="205" t="str">
        <f t="shared" si="30"/>
        <v/>
      </c>
      <c r="P332" s="206" t="str">
        <f t="shared" si="35"/>
        <v/>
      </c>
    </row>
    <row r="333" spans="3:16" x14ac:dyDescent="0.4">
      <c r="C333" s="199"/>
      <c r="D333" s="200"/>
      <c r="E333" s="201"/>
      <c r="F333" s="199"/>
      <c r="H333" s="202"/>
      <c r="I333" s="185" t="str">
        <f t="shared" si="31"/>
        <v/>
      </c>
      <c r="J333" s="203" t="str">
        <f>IF($H333="USD",IF(OR($I333="",$I333="-"),"",VLOOKUP($G333,為替!$A:$AX,$I333,FALSE))+$J$3,IF(OR($I333="",$I333="-"),"",VLOOKUP($G333,為替!$A:$AX,$I333,FALSE)))</f>
        <v/>
      </c>
      <c r="K333" s="204" t="str">
        <f t="shared" si="32"/>
        <v/>
      </c>
      <c r="L333" s="188" t="str">
        <f t="shared" si="33"/>
        <v/>
      </c>
      <c r="M333" s="203" t="str">
        <f>IF($H333="USD",IF(OR($L333="",$L333="-"),"",VLOOKUP($G333,為替!$A:$AX,$L333,FALSE))+$K$3,IF(OR($L333="",$L333="-"),"",VLOOKUP($G333,為替!$A:$AX,$L333,FALSE)))</f>
        <v/>
      </c>
      <c r="N333" s="204" t="str">
        <f t="shared" si="34"/>
        <v/>
      </c>
      <c r="O333" s="205" t="str">
        <f t="shared" si="30"/>
        <v/>
      </c>
      <c r="P333" s="206" t="str">
        <f t="shared" si="35"/>
        <v/>
      </c>
    </row>
    <row r="334" spans="3:16" x14ac:dyDescent="0.4">
      <c r="C334" s="199"/>
      <c r="D334" s="200"/>
      <c r="E334" s="201"/>
      <c r="F334" s="199"/>
      <c r="H334" s="202"/>
      <c r="I334" s="185" t="str">
        <f t="shared" si="31"/>
        <v/>
      </c>
      <c r="J334" s="203" t="str">
        <f>IF($H334="USD",IF(OR($I334="",$I334="-"),"",VLOOKUP($G334,為替!$A:$AX,$I334,FALSE))+$J$3,IF(OR($I334="",$I334="-"),"",VLOOKUP($G334,為替!$A:$AX,$I334,FALSE)))</f>
        <v/>
      </c>
      <c r="K334" s="204" t="str">
        <f t="shared" si="32"/>
        <v/>
      </c>
      <c r="L334" s="188" t="str">
        <f t="shared" si="33"/>
        <v/>
      </c>
      <c r="M334" s="203" t="str">
        <f>IF($H334="USD",IF(OR($L334="",$L334="-"),"",VLOOKUP($G334,為替!$A:$AX,$L334,FALSE))+$K$3,IF(OR($L334="",$L334="-"),"",VLOOKUP($G334,為替!$A:$AX,$L334,FALSE)))</f>
        <v/>
      </c>
      <c r="N334" s="204" t="str">
        <f t="shared" si="34"/>
        <v/>
      </c>
      <c r="O334" s="205" t="str">
        <f t="shared" si="30"/>
        <v/>
      </c>
      <c r="P334" s="206" t="str">
        <f t="shared" si="35"/>
        <v/>
      </c>
    </row>
    <row r="335" spans="3:16" x14ac:dyDescent="0.4">
      <c r="C335" s="199"/>
      <c r="D335" s="200"/>
      <c r="E335" s="201"/>
      <c r="F335" s="199"/>
      <c r="H335" s="202"/>
      <c r="I335" s="185" t="str">
        <f t="shared" si="31"/>
        <v/>
      </c>
      <c r="J335" s="203" t="str">
        <f>IF($H335="USD",IF(OR($I335="",$I335="-"),"",VLOOKUP($G335,為替!$A:$AX,$I335,FALSE))+$J$3,IF(OR($I335="",$I335="-"),"",VLOOKUP($G335,為替!$A:$AX,$I335,FALSE)))</f>
        <v/>
      </c>
      <c r="K335" s="204" t="str">
        <f t="shared" si="32"/>
        <v/>
      </c>
      <c r="L335" s="188" t="str">
        <f t="shared" si="33"/>
        <v/>
      </c>
      <c r="M335" s="203" t="str">
        <f>IF($H335="USD",IF(OR($L335="",$L335="-"),"",VLOOKUP($G335,為替!$A:$AX,$L335,FALSE))+$K$3,IF(OR($L335="",$L335="-"),"",VLOOKUP($G335,為替!$A:$AX,$L335,FALSE)))</f>
        <v/>
      </c>
      <c r="N335" s="204" t="str">
        <f t="shared" si="34"/>
        <v/>
      </c>
      <c r="O335" s="205" t="str">
        <f t="shared" si="30"/>
        <v/>
      </c>
      <c r="P335" s="206" t="str">
        <f t="shared" si="35"/>
        <v/>
      </c>
    </row>
    <row r="336" spans="3:16" x14ac:dyDescent="0.4">
      <c r="C336" s="199"/>
      <c r="D336" s="200"/>
      <c r="E336" s="201"/>
      <c r="F336" s="199"/>
      <c r="H336" s="202"/>
      <c r="I336" s="185" t="str">
        <f t="shared" si="31"/>
        <v/>
      </c>
      <c r="J336" s="203" t="str">
        <f>IF($H336="USD",IF(OR($I336="",$I336="-"),"",VLOOKUP($G336,為替!$A:$AX,$I336,FALSE))+$J$3,IF(OR($I336="",$I336="-"),"",VLOOKUP($G336,為替!$A:$AX,$I336,FALSE)))</f>
        <v/>
      </c>
      <c r="K336" s="204" t="str">
        <f t="shared" si="32"/>
        <v/>
      </c>
      <c r="L336" s="188" t="str">
        <f t="shared" si="33"/>
        <v/>
      </c>
      <c r="M336" s="203" t="str">
        <f>IF($H336="USD",IF(OR($L336="",$L336="-"),"",VLOOKUP($G336,為替!$A:$AX,$L336,FALSE))+$K$3,IF(OR($L336="",$L336="-"),"",VLOOKUP($G336,為替!$A:$AX,$L336,FALSE)))</f>
        <v/>
      </c>
      <c r="N336" s="204" t="str">
        <f t="shared" si="34"/>
        <v/>
      </c>
      <c r="O336" s="205" t="str">
        <f t="shared" si="30"/>
        <v/>
      </c>
      <c r="P336" s="206" t="str">
        <f t="shared" si="35"/>
        <v/>
      </c>
    </row>
    <row r="337" spans="3:16" x14ac:dyDescent="0.4">
      <c r="C337" s="199"/>
      <c r="D337" s="200"/>
      <c r="E337" s="201"/>
      <c r="F337" s="199"/>
      <c r="H337" s="202"/>
      <c r="I337" s="185" t="str">
        <f t="shared" si="31"/>
        <v/>
      </c>
      <c r="J337" s="203" t="str">
        <f>IF($H337="USD",IF(OR($I337="",$I337="-"),"",VLOOKUP($G337,為替!$A:$AX,$I337,FALSE))+$J$3,IF(OR($I337="",$I337="-"),"",VLOOKUP($G337,為替!$A:$AX,$I337,FALSE)))</f>
        <v/>
      </c>
      <c r="K337" s="204" t="str">
        <f t="shared" si="32"/>
        <v/>
      </c>
      <c r="L337" s="188" t="str">
        <f t="shared" si="33"/>
        <v/>
      </c>
      <c r="M337" s="203" t="str">
        <f>IF($H337="USD",IF(OR($L337="",$L337="-"),"",VLOOKUP($G337,為替!$A:$AX,$L337,FALSE))+$K$3,IF(OR($L337="",$L337="-"),"",VLOOKUP($G337,為替!$A:$AX,$L337,FALSE)))</f>
        <v/>
      </c>
      <c r="N337" s="204" t="str">
        <f t="shared" si="34"/>
        <v/>
      </c>
      <c r="O337" s="205" t="str">
        <f t="shared" si="30"/>
        <v/>
      </c>
      <c r="P337" s="206" t="str">
        <f t="shared" si="35"/>
        <v/>
      </c>
    </row>
    <row r="338" spans="3:16" x14ac:dyDescent="0.4">
      <c r="C338" s="199"/>
      <c r="D338" s="200"/>
      <c r="E338" s="201"/>
      <c r="F338" s="199"/>
      <c r="H338" s="202"/>
      <c r="I338" s="185" t="str">
        <f t="shared" si="31"/>
        <v/>
      </c>
      <c r="J338" s="203" t="str">
        <f>IF($H338="USD",IF(OR($I338="",$I338="-"),"",VLOOKUP($G338,為替!$A:$AX,$I338,FALSE))+$J$3,IF(OR($I338="",$I338="-"),"",VLOOKUP($G338,為替!$A:$AX,$I338,FALSE)))</f>
        <v/>
      </c>
      <c r="K338" s="204" t="str">
        <f t="shared" si="32"/>
        <v/>
      </c>
      <c r="L338" s="188" t="str">
        <f t="shared" si="33"/>
        <v/>
      </c>
      <c r="M338" s="203" t="str">
        <f>IF($H338="USD",IF(OR($L338="",$L338="-"),"",VLOOKUP($G338,為替!$A:$AX,$L338,FALSE))+$K$3,IF(OR($L338="",$L338="-"),"",VLOOKUP($G338,為替!$A:$AX,$L338,FALSE)))</f>
        <v/>
      </c>
      <c r="N338" s="204" t="str">
        <f t="shared" si="34"/>
        <v/>
      </c>
      <c r="O338" s="205" t="str">
        <f t="shared" si="30"/>
        <v/>
      </c>
      <c r="P338" s="206" t="str">
        <f t="shared" si="35"/>
        <v/>
      </c>
    </row>
    <row r="339" spans="3:16" x14ac:dyDescent="0.4">
      <c r="C339" s="199"/>
      <c r="D339" s="200"/>
      <c r="E339" s="201"/>
      <c r="F339" s="199"/>
      <c r="H339" s="202"/>
      <c r="I339" s="185" t="str">
        <f t="shared" si="31"/>
        <v/>
      </c>
      <c r="J339" s="203" t="str">
        <f>IF($H339="USD",IF(OR($I339="",$I339="-"),"",VLOOKUP($G339,為替!$A:$AX,$I339,FALSE))+$J$3,IF(OR($I339="",$I339="-"),"",VLOOKUP($G339,為替!$A:$AX,$I339,FALSE)))</f>
        <v/>
      </c>
      <c r="K339" s="204" t="str">
        <f t="shared" si="32"/>
        <v/>
      </c>
      <c r="L339" s="188" t="str">
        <f t="shared" si="33"/>
        <v/>
      </c>
      <c r="M339" s="203" t="str">
        <f>IF($H339="USD",IF(OR($L339="",$L339="-"),"",VLOOKUP($G339,為替!$A:$AX,$L339,FALSE))+$K$3,IF(OR($L339="",$L339="-"),"",VLOOKUP($G339,為替!$A:$AX,$L339,FALSE)))</f>
        <v/>
      </c>
      <c r="N339" s="204" t="str">
        <f t="shared" si="34"/>
        <v/>
      </c>
      <c r="O339" s="205" t="str">
        <f t="shared" si="30"/>
        <v/>
      </c>
      <c r="P339" s="206" t="str">
        <f t="shared" si="35"/>
        <v/>
      </c>
    </row>
    <row r="340" spans="3:16" x14ac:dyDescent="0.4">
      <c r="C340" s="199"/>
      <c r="D340" s="200"/>
      <c r="E340" s="201"/>
      <c r="F340" s="199"/>
      <c r="H340" s="202"/>
      <c r="I340" s="185" t="str">
        <f t="shared" si="31"/>
        <v/>
      </c>
      <c r="J340" s="203" t="str">
        <f>IF($H340="USD",IF(OR($I340="",$I340="-"),"",VLOOKUP($G340,為替!$A:$AX,$I340,FALSE))+$J$3,IF(OR($I340="",$I340="-"),"",VLOOKUP($G340,為替!$A:$AX,$I340,FALSE)))</f>
        <v/>
      </c>
      <c r="K340" s="204" t="str">
        <f t="shared" si="32"/>
        <v/>
      </c>
      <c r="L340" s="188" t="str">
        <f t="shared" si="33"/>
        <v/>
      </c>
      <c r="M340" s="203" t="str">
        <f>IF($H340="USD",IF(OR($L340="",$L340="-"),"",VLOOKUP($G340,為替!$A:$AX,$L340,FALSE))+$K$3,IF(OR($L340="",$L340="-"),"",VLOOKUP($G340,為替!$A:$AX,$L340,FALSE)))</f>
        <v/>
      </c>
      <c r="N340" s="204" t="str">
        <f t="shared" si="34"/>
        <v/>
      </c>
      <c r="O340" s="205" t="str">
        <f t="shared" si="30"/>
        <v/>
      </c>
      <c r="P340" s="206" t="str">
        <f t="shared" si="35"/>
        <v/>
      </c>
    </row>
    <row r="341" spans="3:16" x14ac:dyDescent="0.4">
      <c r="C341" s="199"/>
      <c r="D341" s="200"/>
      <c r="E341" s="201"/>
      <c r="F341" s="199"/>
      <c r="H341" s="202"/>
      <c r="I341" s="185" t="str">
        <f t="shared" si="31"/>
        <v/>
      </c>
      <c r="J341" s="203" t="str">
        <f>IF($H341="USD",IF(OR($I341="",$I341="-"),"",VLOOKUP($G341,為替!$A:$AX,$I341,FALSE))+$J$3,IF(OR($I341="",$I341="-"),"",VLOOKUP($G341,為替!$A:$AX,$I341,FALSE)))</f>
        <v/>
      </c>
      <c r="K341" s="204" t="str">
        <f t="shared" si="32"/>
        <v/>
      </c>
      <c r="L341" s="188" t="str">
        <f t="shared" si="33"/>
        <v/>
      </c>
      <c r="M341" s="203" t="str">
        <f>IF($H341="USD",IF(OR($L341="",$L341="-"),"",VLOOKUP($G341,為替!$A:$AX,$L341,FALSE))+$K$3,IF(OR($L341="",$L341="-"),"",VLOOKUP($G341,為替!$A:$AX,$L341,FALSE)))</f>
        <v/>
      </c>
      <c r="N341" s="204" t="str">
        <f t="shared" si="34"/>
        <v/>
      </c>
      <c r="O341" s="205" t="str">
        <f t="shared" si="30"/>
        <v/>
      </c>
      <c r="P341" s="206" t="str">
        <f t="shared" si="35"/>
        <v/>
      </c>
    </row>
    <row r="342" spans="3:16" x14ac:dyDescent="0.4">
      <c r="C342" s="199"/>
      <c r="D342" s="200"/>
      <c r="E342" s="201"/>
      <c r="F342" s="199"/>
      <c r="H342" s="202"/>
      <c r="I342" s="185" t="str">
        <f t="shared" si="31"/>
        <v/>
      </c>
      <c r="J342" s="203" t="str">
        <f>IF($H342="USD",IF(OR($I342="",$I342="-"),"",VLOOKUP($G342,為替!$A:$AX,$I342,FALSE))+$J$3,IF(OR($I342="",$I342="-"),"",VLOOKUP($G342,為替!$A:$AX,$I342,FALSE)))</f>
        <v/>
      </c>
      <c r="K342" s="204" t="str">
        <f t="shared" si="32"/>
        <v/>
      </c>
      <c r="L342" s="188" t="str">
        <f t="shared" si="33"/>
        <v/>
      </c>
      <c r="M342" s="203" t="str">
        <f>IF($H342="USD",IF(OR($L342="",$L342="-"),"",VLOOKUP($G342,為替!$A:$AX,$L342,FALSE))+$K$3,IF(OR($L342="",$L342="-"),"",VLOOKUP($G342,為替!$A:$AX,$L342,FALSE)))</f>
        <v/>
      </c>
      <c r="N342" s="204" t="str">
        <f t="shared" si="34"/>
        <v/>
      </c>
      <c r="O342" s="205" t="str">
        <f t="shared" si="30"/>
        <v/>
      </c>
      <c r="P342" s="206" t="str">
        <f t="shared" si="35"/>
        <v/>
      </c>
    </row>
    <row r="343" spans="3:16" x14ac:dyDescent="0.4">
      <c r="C343" s="199"/>
      <c r="D343" s="200"/>
      <c r="E343" s="201"/>
      <c r="F343" s="199"/>
      <c r="H343" s="202"/>
      <c r="I343" s="185" t="str">
        <f t="shared" si="31"/>
        <v/>
      </c>
      <c r="J343" s="203" t="str">
        <f>IF($H343="USD",IF(OR($I343="",$I343="-"),"",VLOOKUP($G343,為替!$A:$AX,$I343,FALSE))+$J$3,IF(OR($I343="",$I343="-"),"",VLOOKUP($G343,為替!$A:$AX,$I343,FALSE)))</f>
        <v/>
      </c>
      <c r="K343" s="204" t="str">
        <f t="shared" si="32"/>
        <v/>
      </c>
      <c r="L343" s="188" t="str">
        <f t="shared" si="33"/>
        <v/>
      </c>
      <c r="M343" s="203" t="str">
        <f>IF($H343="USD",IF(OR($L343="",$L343="-"),"",VLOOKUP($G343,為替!$A:$AX,$L343,FALSE))+$K$3,IF(OR($L343="",$L343="-"),"",VLOOKUP($G343,為替!$A:$AX,$L343,FALSE)))</f>
        <v/>
      </c>
      <c r="N343" s="204" t="str">
        <f t="shared" si="34"/>
        <v/>
      </c>
      <c r="O343" s="205" t="str">
        <f t="shared" si="30"/>
        <v/>
      </c>
      <c r="P343" s="206" t="str">
        <f t="shared" si="35"/>
        <v/>
      </c>
    </row>
    <row r="344" spans="3:16" x14ac:dyDescent="0.4">
      <c r="C344" s="199"/>
      <c r="D344" s="200"/>
      <c r="E344" s="201"/>
      <c r="F344" s="199"/>
      <c r="H344" s="202"/>
      <c r="I344" s="185" t="str">
        <f t="shared" si="31"/>
        <v/>
      </c>
      <c r="J344" s="203" t="str">
        <f>IF($H344="USD",IF(OR($I344="",$I344="-"),"",VLOOKUP($G344,為替!$A:$AX,$I344,FALSE))+$J$3,IF(OR($I344="",$I344="-"),"",VLOOKUP($G344,為替!$A:$AX,$I344,FALSE)))</f>
        <v/>
      </c>
      <c r="K344" s="204" t="str">
        <f t="shared" si="32"/>
        <v/>
      </c>
      <c r="L344" s="188" t="str">
        <f t="shared" si="33"/>
        <v/>
      </c>
      <c r="M344" s="203" t="str">
        <f>IF($H344="USD",IF(OR($L344="",$L344="-"),"",VLOOKUP($G344,為替!$A:$AX,$L344,FALSE))+$K$3,IF(OR($L344="",$L344="-"),"",VLOOKUP($G344,為替!$A:$AX,$L344,FALSE)))</f>
        <v/>
      </c>
      <c r="N344" s="204" t="str">
        <f t="shared" si="34"/>
        <v/>
      </c>
      <c r="O344" s="205" t="str">
        <f t="shared" si="30"/>
        <v/>
      </c>
      <c r="P344" s="206" t="str">
        <f t="shared" si="35"/>
        <v/>
      </c>
    </row>
    <row r="345" spans="3:16" x14ac:dyDescent="0.4">
      <c r="C345" s="199"/>
      <c r="D345" s="200"/>
      <c r="E345" s="201"/>
      <c r="F345" s="199"/>
      <c r="H345" s="202"/>
      <c r="I345" s="185" t="str">
        <f t="shared" si="31"/>
        <v/>
      </c>
      <c r="J345" s="203" t="str">
        <f>IF($H345="USD",IF(OR($I345="",$I345="-"),"",VLOOKUP($G345,為替!$A:$AX,$I345,FALSE))+$J$3,IF(OR($I345="",$I345="-"),"",VLOOKUP($G345,為替!$A:$AX,$I345,FALSE)))</f>
        <v/>
      </c>
      <c r="K345" s="204" t="str">
        <f t="shared" si="32"/>
        <v/>
      </c>
      <c r="L345" s="188" t="str">
        <f t="shared" si="33"/>
        <v/>
      </c>
      <c r="M345" s="203" t="str">
        <f>IF($H345="USD",IF(OR($L345="",$L345="-"),"",VLOOKUP($G345,為替!$A:$AX,$L345,FALSE))+$K$3,IF(OR($L345="",$L345="-"),"",VLOOKUP($G345,為替!$A:$AX,$L345,FALSE)))</f>
        <v/>
      </c>
      <c r="N345" s="204" t="str">
        <f t="shared" si="34"/>
        <v/>
      </c>
      <c r="O345" s="205" t="str">
        <f t="shared" si="30"/>
        <v/>
      </c>
      <c r="P345" s="206" t="str">
        <f t="shared" si="35"/>
        <v/>
      </c>
    </row>
    <row r="346" spans="3:16" x14ac:dyDescent="0.4">
      <c r="C346" s="199"/>
      <c r="D346" s="200"/>
      <c r="E346" s="201"/>
      <c r="F346" s="199"/>
      <c r="H346" s="202"/>
      <c r="I346" s="185" t="str">
        <f t="shared" si="31"/>
        <v/>
      </c>
      <c r="J346" s="203" t="str">
        <f>IF($H346="USD",IF(OR($I346="",$I346="-"),"",VLOOKUP($G346,為替!$A:$AX,$I346,FALSE))+$J$3,IF(OR($I346="",$I346="-"),"",VLOOKUP($G346,為替!$A:$AX,$I346,FALSE)))</f>
        <v/>
      </c>
      <c r="K346" s="204" t="str">
        <f t="shared" si="32"/>
        <v/>
      </c>
      <c r="L346" s="188" t="str">
        <f t="shared" si="33"/>
        <v/>
      </c>
      <c r="M346" s="203" t="str">
        <f>IF($H346="USD",IF(OR($L346="",$L346="-"),"",VLOOKUP($G346,為替!$A:$AX,$L346,FALSE))+$K$3,IF(OR($L346="",$L346="-"),"",VLOOKUP($G346,為替!$A:$AX,$L346,FALSE)))</f>
        <v/>
      </c>
      <c r="N346" s="204" t="str">
        <f t="shared" si="34"/>
        <v/>
      </c>
      <c r="O346" s="205" t="str">
        <f t="shared" si="30"/>
        <v/>
      </c>
      <c r="P346" s="206" t="str">
        <f t="shared" si="35"/>
        <v/>
      </c>
    </row>
    <row r="347" spans="3:16" x14ac:dyDescent="0.4">
      <c r="C347" s="199"/>
      <c r="D347" s="200"/>
      <c r="E347" s="201"/>
      <c r="F347" s="199"/>
      <c r="H347" s="202"/>
      <c r="I347" s="185" t="str">
        <f t="shared" si="31"/>
        <v/>
      </c>
      <c r="J347" s="203" t="str">
        <f>IF($H347="USD",IF(OR($I347="",$I347="-"),"",VLOOKUP($G347,為替!$A:$AX,$I347,FALSE))+$J$3,IF(OR($I347="",$I347="-"),"",VLOOKUP($G347,為替!$A:$AX,$I347,FALSE)))</f>
        <v/>
      </c>
      <c r="K347" s="204" t="str">
        <f t="shared" si="32"/>
        <v/>
      </c>
      <c r="L347" s="188" t="str">
        <f t="shared" si="33"/>
        <v/>
      </c>
      <c r="M347" s="203" t="str">
        <f>IF($H347="USD",IF(OR($L347="",$L347="-"),"",VLOOKUP($G347,為替!$A:$AX,$L347,FALSE))+$K$3,IF(OR($L347="",$L347="-"),"",VLOOKUP($G347,為替!$A:$AX,$L347,FALSE)))</f>
        <v/>
      </c>
      <c r="N347" s="204" t="str">
        <f t="shared" si="34"/>
        <v/>
      </c>
      <c r="O347" s="205" t="str">
        <f t="shared" si="30"/>
        <v/>
      </c>
      <c r="P347" s="206" t="str">
        <f t="shared" si="35"/>
        <v/>
      </c>
    </row>
    <row r="348" spans="3:16" x14ac:dyDescent="0.4">
      <c r="C348" s="199"/>
      <c r="D348" s="200"/>
      <c r="E348" s="201"/>
      <c r="F348" s="199"/>
      <c r="H348" s="202"/>
      <c r="I348" s="185" t="str">
        <f t="shared" si="31"/>
        <v/>
      </c>
      <c r="J348" s="203" t="str">
        <f>IF($H348="USD",IF(OR($I348="",$I348="-"),"",VLOOKUP($G348,為替!$A:$AX,$I348,FALSE))+$J$3,IF(OR($I348="",$I348="-"),"",VLOOKUP($G348,為替!$A:$AX,$I348,FALSE)))</f>
        <v/>
      </c>
      <c r="K348" s="204" t="str">
        <f t="shared" si="32"/>
        <v/>
      </c>
      <c r="L348" s="188" t="str">
        <f t="shared" si="33"/>
        <v/>
      </c>
      <c r="M348" s="203" t="str">
        <f>IF($H348="USD",IF(OR($L348="",$L348="-"),"",VLOOKUP($G348,為替!$A:$AX,$L348,FALSE))+$K$3,IF(OR($L348="",$L348="-"),"",VLOOKUP($G348,為替!$A:$AX,$L348,FALSE)))</f>
        <v/>
      </c>
      <c r="N348" s="204" t="str">
        <f t="shared" si="34"/>
        <v/>
      </c>
      <c r="O348" s="205" t="str">
        <f t="shared" si="30"/>
        <v/>
      </c>
      <c r="P348" s="206" t="str">
        <f t="shared" si="35"/>
        <v/>
      </c>
    </row>
    <row r="349" spans="3:16" x14ac:dyDescent="0.4">
      <c r="C349" s="199"/>
      <c r="D349" s="200"/>
      <c r="E349" s="201"/>
      <c r="F349" s="199"/>
      <c r="H349" s="202"/>
      <c r="I349" s="185" t="str">
        <f t="shared" si="31"/>
        <v/>
      </c>
      <c r="J349" s="203" t="str">
        <f>IF($H349="USD",IF(OR($I349="",$I349="-"),"",VLOOKUP($G349,為替!$A:$AX,$I349,FALSE))+$J$3,IF(OR($I349="",$I349="-"),"",VLOOKUP($G349,為替!$A:$AX,$I349,FALSE)))</f>
        <v/>
      </c>
      <c r="K349" s="204" t="str">
        <f t="shared" si="32"/>
        <v/>
      </c>
      <c r="L349" s="188" t="str">
        <f t="shared" si="33"/>
        <v/>
      </c>
      <c r="M349" s="203" t="str">
        <f>IF($H349="USD",IF(OR($L349="",$L349="-"),"",VLOOKUP($G349,為替!$A:$AX,$L349,FALSE))+$K$3,IF(OR($L349="",$L349="-"),"",VLOOKUP($G349,為替!$A:$AX,$L349,FALSE)))</f>
        <v/>
      </c>
      <c r="N349" s="204" t="str">
        <f t="shared" si="34"/>
        <v/>
      </c>
      <c r="O349" s="205" t="str">
        <f t="shared" si="30"/>
        <v/>
      </c>
      <c r="P349" s="206" t="str">
        <f t="shared" si="35"/>
        <v/>
      </c>
    </row>
    <row r="350" spans="3:16" x14ac:dyDescent="0.4">
      <c r="C350" s="199"/>
      <c r="D350" s="200"/>
      <c r="E350" s="201"/>
      <c r="F350" s="199"/>
      <c r="H350" s="202"/>
      <c r="I350" s="185" t="str">
        <f t="shared" si="31"/>
        <v/>
      </c>
      <c r="J350" s="203" t="str">
        <f>IF($H350="USD",IF(OR($I350="",$I350="-"),"",VLOOKUP($G350,為替!$A:$AX,$I350,FALSE))+$J$3,IF(OR($I350="",$I350="-"),"",VLOOKUP($G350,為替!$A:$AX,$I350,FALSE)))</f>
        <v/>
      </c>
      <c r="K350" s="204" t="str">
        <f t="shared" si="32"/>
        <v/>
      </c>
      <c r="L350" s="188" t="str">
        <f t="shared" si="33"/>
        <v/>
      </c>
      <c r="M350" s="203" t="str">
        <f>IF($H350="USD",IF(OR($L350="",$L350="-"),"",VLOOKUP($G350,為替!$A:$AX,$L350,FALSE))+$K$3,IF(OR($L350="",$L350="-"),"",VLOOKUP($G350,為替!$A:$AX,$L350,FALSE)))</f>
        <v/>
      </c>
      <c r="N350" s="204" t="str">
        <f t="shared" si="34"/>
        <v/>
      </c>
      <c r="O350" s="205" t="str">
        <f t="shared" si="30"/>
        <v/>
      </c>
      <c r="P350" s="206" t="str">
        <f t="shared" si="35"/>
        <v/>
      </c>
    </row>
    <row r="351" spans="3:16" x14ac:dyDescent="0.4">
      <c r="C351" s="199"/>
      <c r="D351" s="200"/>
      <c r="E351" s="201"/>
      <c r="F351" s="199"/>
      <c r="H351" s="202"/>
      <c r="I351" s="185" t="str">
        <f t="shared" si="31"/>
        <v/>
      </c>
      <c r="J351" s="203" t="str">
        <f>IF($H351="USD",IF(OR($I351="",$I351="-"),"",VLOOKUP($G351,為替!$A:$AX,$I351,FALSE))+$J$3,IF(OR($I351="",$I351="-"),"",VLOOKUP($G351,為替!$A:$AX,$I351,FALSE)))</f>
        <v/>
      </c>
      <c r="K351" s="204" t="str">
        <f t="shared" si="32"/>
        <v/>
      </c>
      <c r="L351" s="188" t="str">
        <f t="shared" si="33"/>
        <v/>
      </c>
      <c r="M351" s="203" t="str">
        <f>IF($H351="USD",IF(OR($L351="",$L351="-"),"",VLOOKUP($G351,為替!$A:$AX,$L351,FALSE))+$K$3,IF(OR($L351="",$L351="-"),"",VLOOKUP($G351,為替!$A:$AX,$L351,FALSE)))</f>
        <v/>
      </c>
      <c r="N351" s="204" t="str">
        <f t="shared" si="34"/>
        <v/>
      </c>
      <c r="O351" s="205" t="str">
        <f t="shared" si="30"/>
        <v/>
      </c>
      <c r="P351" s="206" t="str">
        <f t="shared" si="35"/>
        <v/>
      </c>
    </row>
    <row r="352" spans="3:16" x14ac:dyDescent="0.4">
      <c r="C352" s="199"/>
      <c r="D352" s="200"/>
      <c r="E352" s="201"/>
      <c r="F352" s="199"/>
      <c r="H352" s="202"/>
      <c r="I352" s="185" t="str">
        <f t="shared" si="31"/>
        <v/>
      </c>
      <c r="J352" s="203" t="str">
        <f>IF($H352="USD",IF(OR($I352="",$I352="-"),"",VLOOKUP($G352,為替!$A:$AX,$I352,FALSE))+$J$3,IF(OR($I352="",$I352="-"),"",VLOOKUP($G352,為替!$A:$AX,$I352,FALSE)))</f>
        <v/>
      </c>
      <c r="K352" s="204" t="str">
        <f t="shared" si="32"/>
        <v/>
      </c>
      <c r="L352" s="188" t="str">
        <f t="shared" si="33"/>
        <v/>
      </c>
      <c r="M352" s="203" t="str">
        <f>IF($H352="USD",IF(OR($L352="",$L352="-"),"",VLOOKUP($G352,為替!$A:$AX,$L352,FALSE))+$K$3,IF(OR($L352="",$L352="-"),"",VLOOKUP($G352,為替!$A:$AX,$L352,FALSE)))</f>
        <v/>
      </c>
      <c r="N352" s="204" t="str">
        <f t="shared" si="34"/>
        <v/>
      </c>
      <c r="O352" s="205" t="str">
        <f t="shared" si="30"/>
        <v/>
      </c>
      <c r="P352" s="206" t="str">
        <f t="shared" si="35"/>
        <v/>
      </c>
    </row>
    <row r="353" spans="3:16" x14ac:dyDescent="0.4">
      <c r="C353" s="199"/>
      <c r="D353" s="200"/>
      <c r="E353" s="201"/>
      <c r="F353" s="199"/>
      <c r="H353" s="202"/>
      <c r="I353" s="185" t="str">
        <f t="shared" si="31"/>
        <v/>
      </c>
      <c r="J353" s="203" t="str">
        <f>IF($H353="USD",IF(OR($I353="",$I353="-"),"",VLOOKUP($G353,為替!$A:$AX,$I353,FALSE))+$J$3,IF(OR($I353="",$I353="-"),"",VLOOKUP($G353,為替!$A:$AX,$I353,FALSE)))</f>
        <v/>
      </c>
      <c r="K353" s="204" t="str">
        <f t="shared" si="32"/>
        <v/>
      </c>
      <c r="L353" s="188" t="str">
        <f t="shared" si="33"/>
        <v/>
      </c>
      <c r="M353" s="203" t="str">
        <f>IF($H353="USD",IF(OR($L353="",$L353="-"),"",VLOOKUP($G353,為替!$A:$AX,$L353,FALSE))+$K$3,IF(OR($L353="",$L353="-"),"",VLOOKUP($G353,為替!$A:$AX,$L353,FALSE)))</f>
        <v/>
      </c>
      <c r="N353" s="204" t="str">
        <f t="shared" si="34"/>
        <v/>
      </c>
      <c r="O353" s="205" t="str">
        <f t="shared" si="30"/>
        <v/>
      </c>
      <c r="P353" s="206" t="str">
        <f t="shared" si="35"/>
        <v/>
      </c>
    </row>
    <row r="354" spans="3:16" x14ac:dyDescent="0.4">
      <c r="C354" s="199"/>
      <c r="D354" s="200"/>
      <c r="E354" s="201"/>
      <c r="F354" s="199"/>
      <c r="H354" s="202"/>
      <c r="I354" s="185" t="str">
        <f t="shared" si="31"/>
        <v/>
      </c>
      <c r="J354" s="203" t="str">
        <f>IF($H354="USD",IF(OR($I354="",$I354="-"),"",VLOOKUP($G354,為替!$A:$AX,$I354,FALSE))+$J$3,IF(OR($I354="",$I354="-"),"",VLOOKUP($G354,為替!$A:$AX,$I354,FALSE)))</f>
        <v/>
      </c>
      <c r="K354" s="204" t="str">
        <f t="shared" si="32"/>
        <v/>
      </c>
      <c r="L354" s="188" t="str">
        <f t="shared" si="33"/>
        <v/>
      </c>
      <c r="M354" s="203" t="str">
        <f>IF($H354="USD",IF(OR($L354="",$L354="-"),"",VLOOKUP($G354,為替!$A:$AX,$L354,FALSE))+$K$3,IF(OR($L354="",$L354="-"),"",VLOOKUP($G354,為替!$A:$AX,$L354,FALSE)))</f>
        <v/>
      </c>
      <c r="N354" s="204" t="str">
        <f t="shared" si="34"/>
        <v/>
      </c>
      <c r="O354" s="205" t="str">
        <f t="shared" si="30"/>
        <v/>
      </c>
      <c r="P354" s="206" t="str">
        <f t="shared" si="35"/>
        <v/>
      </c>
    </row>
    <row r="355" spans="3:16" x14ac:dyDescent="0.4">
      <c r="C355" s="199"/>
      <c r="D355" s="200"/>
      <c r="E355" s="201"/>
      <c r="F355" s="199"/>
      <c r="H355" s="202"/>
      <c r="I355" s="185" t="str">
        <f t="shared" si="31"/>
        <v/>
      </c>
      <c r="J355" s="203" t="str">
        <f>IF($H355="USD",IF(OR($I355="",$I355="-"),"",VLOOKUP($G355,為替!$A:$AX,$I355,FALSE))+$J$3,IF(OR($I355="",$I355="-"),"",VLOOKUP($G355,為替!$A:$AX,$I355,FALSE)))</f>
        <v/>
      </c>
      <c r="K355" s="204" t="str">
        <f t="shared" si="32"/>
        <v/>
      </c>
      <c r="L355" s="188" t="str">
        <f t="shared" si="33"/>
        <v/>
      </c>
      <c r="M355" s="203" t="str">
        <f>IF($H355="USD",IF(OR($L355="",$L355="-"),"",VLOOKUP($G355,為替!$A:$AX,$L355,FALSE))+$K$3,IF(OR($L355="",$L355="-"),"",VLOOKUP($G355,為替!$A:$AX,$L355,FALSE)))</f>
        <v/>
      </c>
      <c r="N355" s="204" t="str">
        <f t="shared" si="34"/>
        <v/>
      </c>
      <c r="O355" s="205" t="str">
        <f t="shared" si="30"/>
        <v/>
      </c>
      <c r="P355" s="206" t="str">
        <f t="shared" si="35"/>
        <v/>
      </c>
    </row>
    <row r="356" spans="3:16" x14ac:dyDescent="0.4">
      <c r="C356" s="199"/>
      <c r="D356" s="200"/>
      <c r="E356" s="201"/>
      <c r="F356" s="199"/>
      <c r="H356" s="202"/>
      <c r="I356" s="185" t="str">
        <f t="shared" si="31"/>
        <v/>
      </c>
      <c r="J356" s="203" t="str">
        <f>IF($H356="USD",IF(OR($I356="",$I356="-"),"",VLOOKUP($G356,為替!$A:$AX,$I356,FALSE))+$J$3,IF(OR($I356="",$I356="-"),"",VLOOKUP($G356,為替!$A:$AX,$I356,FALSE)))</f>
        <v/>
      </c>
      <c r="K356" s="204" t="str">
        <f t="shared" si="32"/>
        <v/>
      </c>
      <c r="L356" s="188" t="str">
        <f t="shared" si="33"/>
        <v/>
      </c>
      <c r="M356" s="203" t="str">
        <f>IF($H356="USD",IF(OR($L356="",$L356="-"),"",VLOOKUP($G356,為替!$A:$AX,$L356,FALSE))+$K$3,IF(OR($L356="",$L356="-"),"",VLOOKUP($G356,為替!$A:$AX,$L356,FALSE)))</f>
        <v/>
      </c>
      <c r="N356" s="204" t="str">
        <f t="shared" si="34"/>
        <v/>
      </c>
      <c r="O356" s="205" t="str">
        <f t="shared" si="30"/>
        <v/>
      </c>
      <c r="P356" s="206" t="str">
        <f t="shared" si="35"/>
        <v/>
      </c>
    </row>
    <row r="357" spans="3:16" x14ac:dyDescent="0.4">
      <c r="C357" s="199"/>
      <c r="D357" s="200"/>
      <c r="E357" s="201"/>
      <c r="F357" s="199"/>
      <c r="H357" s="202"/>
      <c r="I357" s="185" t="str">
        <f t="shared" si="31"/>
        <v/>
      </c>
      <c r="J357" s="203" t="str">
        <f>IF($H357="USD",IF(OR($I357="",$I357="-"),"",VLOOKUP($G357,為替!$A:$AX,$I357,FALSE))+$J$3,IF(OR($I357="",$I357="-"),"",VLOOKUP($G357,為替!$A:$AX,$I357,FALSE)))</f>
        <v/>
      </c>
      <c r="K357" s="204" t="str">
        <f t="shared" si="32"/>
        <v/>
      </c>
      <c r="L357" s="188" t="str">
        <f t="shared" si="33"/>
        <v/>
      </c>
      <c r="M357" s="203" t="str">
        <f>IF($H357="USD",IF(OR($L357="",$L357="-"),"",VLOOKUP($G357,為替!$A:$AX,$L357,FALSE))+$K$3,IF(OR($L357="",$L357="-"),"",VLOOKUP($G357,為替!$A:$AX,$L357,FALSE)))</f>
        <v/>
      </c>
      <c r="N357" s="204" t="str">
        <f t="shared" si="34"/>
        <v/>
      </c>
      <c r="O357" s="205" t="str">
        <f t="shared" si="30"/>
        <v/>
      </c>
      <c r="P357" s="206" t="str">
        <f t="shared" si="35"/>
        <v/>
      </c>
    </row>
    <row r="358" spans="3:16" x14ac:dyDescent="0.4">
      <c r="C358" s="199"/>
      <c r="D358" s="200"/>
      <c r="E358" s="201"/>
      <c r="F358" s="199"/>
      <c r="H358" s="202"/>
      <c r="I358" s="185" t="str">
        <f t="shared" si="31"/>
        <v/>
      </c>
      <c r="J358" s="203" t="str">
        <f>IF($H358="USD",IF(OR($I358="",$I358="-"),"",VLOOKUP($G358,為替!$A:$AX,$I358,FALSE))+$J$3,IF(OR($I358="",$I358="-"),"",VLOOKUP($G358,為替!$A:$AX,$I358,FALSE)))</f>
        <v/>
      </c>
      <c r="K358" s="204" t="str">
        <f t="shared" si="32"/>
        <v/>
      </c>
      <c r="L358" s="188" t="str">
        <f t="shared" si="33"/>
        <v/>
      </c>
      <c r="M358" s="203" t="str">
        <f>IF($H358="USD",IF(OR($L358="",$L358="-"),"",VLOOKUP($G358,為替!$A:$AX,$L358,FALSE))+$K$3,IF(OR($L358="",$L358="-"),"",VLOOKUP($G358,為替!$A:$AX,$L358,FALSE)))</f>
        <v/>
      </c>
      <c r="N358" s="204" t="str">
        <f t="shared" si="34"/>
        <v/>
      </c>
      <c r="O358" s="205" t="str">
        <f t="shared" si="30"/>
        <v/>
      </c>
      <c r="P358" s="206" t="str">
        <f t="shared" si="35"/>
        <v/>
      </c>
    </row>
    <row r="359" spans="3:16" x14ac:dyDescent="0.4">
      <c r="C359" s="199"/>
      <c r="D359" s="200"/>
      <c r="E359" s="201"/>
      <c r="F359" s="199"/>
      <c r="H359" s="202"/>
      <c r="I359" s="185" t="str">
        <f t="shared" si="31"/>
        <v/>
      </c>
      <c r="J359" s="203" t="str">
        <f>IF($H359="USD",IF(OR($I359="",$I359="-"),"",VLOOKUP($G359,為替!$A:$AX,$I359,FALSE))+$J$3,IF(OR($I359="",$I359="-"),"",VLOOKUP($G359,為替!$A:$AX,$I359,FALSE)))</f>
        <v/>
      </c>
      <c r="K359" s="204" t="str">
        <f t="shared" si="32"/>
        <v/>
      </c>
      <c r="L359" s="188" t="str">
        <f t="shared" si="33"/>
        <v/>
      </c>
      <c r="M359" s="203" t="str">
        <f>IF($H359="USD",IF(OR($L359="",$L359="-"),"",VLOOKUP($G359,為替!$A:$AX,$L359,FALSE))+$K$3,IF(OR($L359="",$L359="-"),"",VLOOKUP($G359,為替!$A:$AX,$L359,FALSE)))</f>
        <v/>
      </c>
      <c r="N359" s="204" t="str">
        <f t="shared" si="34"/>
        <v/>
      </c>
      <c r="O359" s="205" t="str">
        <f t="shared" si="30"/>
        <v/>
      </c>
      <c r="P359" s="206" t="str">
        <f t="shared" si="35"/>
        <v/>
      </c>
    </row>
    <row r="360" spans="3:16" x14ac:dyDescent="0.4">
      <c r="C360" s="199"/>
      <c r="D360" s="200"/>
      <c r="E360" s="201"/>
      <c r="F360" s="199"/>
      <c r="H360" s="202"/>
      <c r="I360" s="185" t="str">
        <f t="shared" si="31"/>
        <v/>
      </c>
      <c r="J360" s="203" t="str">
        <f>IF($H360="USD",IF(OR($I360="",$I360="-"),"",VLOOKUP($G360,為替!$A:$AX,$I360,FALSE))+$J$3,IF(OR($I360="",$I360="-"),"",VLOOKUP($G360,為替!$A:$AX,$I360,FALSE)))</f>
        <v/>
      </c>
      <c r="K360" s="204" t="str">
        <f t="shared" si="32"/>
        <v/>
      </c>
      <c r="L360" s="188" t="str">
        <f t="shared" si="33"/>
        <v/>
      </c>
      <c r="M360" s="203" t="str">
        <f>IF($H360="USD",IF(OR($L360="",$L360="-"),"",VLOOKUP($G360,為替!$A:$AX,$L360,FALSE))+$K$3,IF(OR($L360="",$L360="-"),"",VLOOKUP($G360,為替!$A:$AX,$L360,FALSE)))</f>
        <v/>
      </c>
      <c r="N360" s="204" t="str">
        <f t="shared" si="34"/>
        <v/>
      </c>
      <c r="O360" s="205" t="str">
        <f t="shared" si="30"/>
        <v/>
      </c>
      <c r="P360" s="206" t="str">
        <f t="shared" si="35"/>
        <v/>
      </c>
    </row>
    <row r="361" spans="3:16" x14ac:dyDescent="0.4">
      <c r="C361" s="199"/>
      <c r="D361" s="200"/>
      <c r="E361" s="201"/>
      <c r="F361" s="199"/>
      <c r="H361" s="202"/>
      <c r="I361" s="185" t="str">
        <f t="shared" si="31"/>
        <v/>
      </c>
      <c r="J361" s="203" t="str">
        <f>IF($H361="USD",IF(OR($I361="",$I361="-"),"",VLOOKUP($G361,為替!$A:$AX,$I361,FALSE))+$J$3,IF(OR($I361="",$I361="-"),"",VLOOKUP($G361,為替!$A:$AX,$I361,FALSE)))</f>
        <v/>
      </c>
      <c r="K361" s="204" t="str">
        <f t="shared" si="32"/>
        <v/>
      </c>
      <c r="L361" s="188" t="str">
        <f t="shared" si="33"/>
        <v/>
      </c>
      <c r="M361" s="203" t="str">
        <f>IF($H361="USD",IF(OR($L361="",$L361="-"),"",VLOOKUP($G361,為替!$A:$AX,$L361,FALSE))+$K$3,IF(OR($L361="",$L361="-"),"",VLOOKUP($G361,為替!$A:$AX,$L361,FALSE)))</f>
        <v/>
      </c>
      <c r="N361" s="204" t="str">
        <f t="shared" si="34"/>
        <v/>
      </c>
      <c r="O361" s="205" t="str">
        <f t="shared" si="30"/>
        <v/>
      </c>
      <c r="P361" s="206" t="str">
        <f t="shared" si="35"/>
        <v/>
      </c>
    </row>
    <row r="362" spans="3:16" x14ac:dyDescent="0.4">
      <c r="C362" s="199"/>
      <c r="D362" s="200"/>
      <c r="E362" s="201"/>
      <c r="F362" s="199"/>
      <c r="H362" s="202"/>
      <c r="I362" s="185" t="str">
        <f t="shared" si="31"/>
        <v/>
      </c>
      <c r="J362" s="203" t="str">
        <f>IF($H362="USD",IF(OR($I362="",$I362="-"),"",VLOOKUP($G362,為替!$A:$AX,$I362,FALSE))+$J$3,IF(OR($I362="",$I362="-"),"",VLOOKUP($G362,為替!$A:$AX,$I362,FALSE)))</f>
        <v/>
      </c>
      <c r="K362" s="204" t="str">
        <f t="shared" si="32"/>
        <v/>
      </c>
      <c r="L362" s="188" t="str">
        <f t="shared" si="33"/>
        <v/>
      </c>
      <c r="M362" s="203" t="str">
        <f>IF($H362="USD",IF(OR($L362="",$L362="-"),"",VLOOKUP($G362,為替!$A:$AX,$L362,FALSE))+$K$3,IF(OR($L362="",$L362="-"),"",VLOOKUP($G362,為替!$A:$AX,$L362,FALSE)))</f>
        <v/>
      </c>
      <c r="N362" s="204" t="str">
        <f t="shared" si="34"/>
        <v/>
      </c>
      <c r="O362" s="205" t="str">
        <f t="shared" si="30"/>
        <v/>
      </c>
      <c r="P362" s="206" t="str">
        <f t="shared" si="35"/>
        <v/>
      </c>
    </row>
    <row r="363" spans="3:16" x14ac:dyDescent="0.4">
      <c r="C363" s="199"/>
      <c r="D363" s="200"/>
      <c r="E363" s="201"/>
      <c r="F363" s="199"/>
      <c r="H363" s="202"/>
      <c r="I363" s="185" t="str">
        <f t="shared" si="31"/>
        <v/>
      </c>
      <c r="J363" s="203" t="str">
        <f>IF($H363="USD",IF(OR($I363="",$I363="-"),"",VLOOKUP($G363,為替!$A:$AX,$I363,FALSE))+$J$3,IF(OR($I363="",$I363="-"),"",VLOOKUP($G363,為替!$A:$AX,$I363,FALSE)))</f>
        <v/>
      </c>
      <c r="K363" s="204" t="str">
        <f t="shared" si="32"/>
        <v/>
      </c>
      <c r="L363" s="188" t="str">
        <f t="shared" si="33"/>
        <v/>
      </c>
      <c r="M363" s="203" t="str">
        <f>IF($H363="USD",IF(OR($L363="",$L363="-"),"",VLOOKUP($G363,為替!$A:$AX,$L363,FALSE))+$K$3,IF(OR($L363="",$L363="-"),"",VLOOKUP($G363,為替!$A:$AX,$L363,FALSE)))</f>
        <v/>
      </c>
      <c r="N363" s="204" t="str">
        <f t="shared" si="34"/>
        <v/>
      </c>
      <c r="O363" s="205" t="str">
        <f t="shared" si="30"/>
        <v/>
      </c>
      <c r="P363" s="206" t="str">
        <f t="shared" si="35"/>
        <v/>
      </c>
    </row>
    <row r="364" spans="3:16" x14ac:dyDescent="0.4">
      <c r="C364" s="199"/>
      <c r="D364" s="200"/>
      <c r="E364" s="201"/>
      <c r="F364" s="199"/>
      <c r="H364" s="202"/>
      <c r="I364" s="185" t="str">
        <f t="shared" si="31"/>
        <v/>
      </c>
      <c r="J364" s="203" t="str">
        <f>IF($H364="USD",IF(OR($I364="",$I364="-"),"",VLOOKUP($G364,為替!$A:$AX,$I364,FALSE))+$J$3,IF(OR($I364="",$I364="-"),"",VLOOKUP($G364,為替!$A:$AX,$I364,FALSE)))</f>
        <v/>
      </c>
      <c r="K364" s="204" t="str">
        <f t="shared" si="32"/>
        <v/>
      </c>
      <c r="L364" s="188" t="str">
        <f t="shared" si="33"/>
        <v/>
      </c>
      <c r="M364" s="203" t="str">
        <f>IF($H364="USD",IF(OR($L364="",$L364="-"),"",VLOOKUP($G364,為替!$A:$AX,$L364,FALSE))+$K$3,IF(OR($L364="",$L364="-"),"",VLOOKUP($G364,為替!$A:$AX,$L364,FALSE)))</f>
        <v/>
      </c>
      <c r="N364" s="204" t="str">
        <f t="shared" si="34"/>
        <v/>
      </c>
      <c r="O364" s="205" t="str">
        <f t="shared" si="30"/>
        <v/>
      </c>
      <c r="P364" s="206" t="str">
        <f t="shared" si="35"/>
        <v/>
      </c>
    </row>
    <row r="365" spans="3:16" x14ac:dyDescent="0.4">
      <c r="C365" s="199"/>
      <c r="D365" s="200"/>
      <c r="E365" s="201"/>
      <c r="F365" s="199"/>
      <c r="H365" s="202"/>
      <c r="I365" s="185" t="str">
        <f t="shared" si="31"/>
        <v/>
      </c>
      <c r="J365" s="203" t="str">
        <f>IF($H365="USD",IF(OR($I365="",$I365="-"),"",VLOOKUP($G365,為替!$A:$AX,$I365,FALSE))+$J$3,IF(OR($I365="",$I365="-"),"",VLOOKUP($G365,為替!$A:$AX,$I365,FALSE)))</f>
        <v/>
      </c>
      <c r="K365" s="204" t="str">
        <f t="shared" si="32"/>
        <v/>
      </c>
      <c r="L365" s="188" t="str">
        <f t="shared" si="33"/>
        <v/>
      </c>
      <c r="M365" s="203" t="str">
        <f>IF($H365="USD",IF(OR($L365="",$L365="-"),"",VLOOKUP($G365,為替!$A:$AX,$L365,FALSE))+$K$3,IF(OR($L365="",$L365="-"),"",VLOOKUP($G365,為替!$A:$AX,$L365,FALSE)))</f>
        <v/>
      </c>
      <c r="N365" s="204" t="str">
        <f t="shared" si="34"/>
        <v/>
      </c>
      <c r="O365" s="205" t="str">
        <f t="shared" si="30"/>
        <v/>
      </c>
      <c r="P365" s="206" t="str">
        <f t="shared" si="35"/>
        <v/>
      </c>
    </row>
    <row r="366" spans="3:16" x14ac:dyDescent="0.4">
      <c r="C366" s="199"/>
      <c r="D366" s="200"/>
      <c r="E366" s="201"/>
      <c r="F366" s="199"/>
      <c r="H366" s="202"/>
      <c r="I366" s="185" t="str">
        <f t="shared" si="31"/>
        <v/>
      </c>
      <c r="J366" s="203" t="str">
        <f>IF($H366="USD",IF(OR($I366="",$I366="-"),"",VLOOKUP($G366,為替!$A:$AX,$I366,FALSE))+$J$3,IF(OR($I366="",$I366="-"),"",VLOOKUP($G366,為替!$A:$AX,$I366,FALSE)))</f>
        <v/>
      </c>
      <c r="K366" s="204" t="str">
        <f t="shared" si="32"/>
        <v/>
      </c>
      <c r="L366" s="188" t="str">
        <f t="shared" si="33"/>
        <v/>
      </c>
      <c r="M366" s="203" t="str">
        <f>IF($H366="USD",IF(OR($L366="",$L366="-"),"",VLOOKUP($G366,為替!$A:$AX,$L366,FALSE))+$K$3,IF(OR($L366="",$L366="-"),"",VLOOKUP($G366,為替!$A:$AX,$L366,FALSE)))</f>
        <v/>
      </c>
      <c r="N366" s="204" t="str">
        <f t="shared" si="34"/>
        <v/>
      </c>
      <c r="O366" s="205" t="str">
        <f t="shared" si="30"/>
        <v/>
      </c>
      <c r="P366" s="206" t="str">
        <f t="shared" si="35"/>
        <v/>
      </c>
    </row>
    <row r="367" spans="3:16" x14ac:dyDescent="0.4">
      <c r="C367" s="199"/>
      <c r="D367" s="200"/>
      <c r="E367" s="201"/>
      <c r="F367" s="199"/>
      <c r="H367" s="202"/>
      <c r="I367" s="185" t="str">
        <f t="shared" si="31"/>
        <v/>
      </c>
      <c r="J367" s="203" t="str">
        <f>IF($H367="USD",IF(OR($I367="",$I367="-"),"",VLOOKUP($G367,為替!$A:$AX,$I367,FALSE))+$J$3,IF(OR($I367="",$I367="-"),"",VLOOKUP($G367,為替!$A:$AX,$I367,FALSE)))</f>
        <v/>
      </c>
      <c r="K367" s="204" t="str">
        <f t="shared" si="32"/>
        <v/>
      </c>
      <c r="L367" s="188" t="str">
        <f t="shared" si="33"/>
        <v/>
      </c>
      <c r="M367" s="203" t="str">
        <f>IF($H367="USD",IF(OR($L367="",$L367="-"),"",VLOOKUP($G367,為替!$A:$AX,$L367,FALSE))+$K$3,IF(OR($L367="",$L367="-"),"",VLOOKUP($G367,為替!$A:$AX,$L367,FALSE)))</f>
        <v/>
      </c>
      <c r="N367" s="204" t="str">
        <f t="shared" si="34"/>
        <v/>
      </c>
      <c r="O367" s="205" t="str">
        <f t="shared" si="30"/>
        <v/>
      </c>
      <c r="P367" s="206" t="str">
        <f t="shared" si="35"/>
        <v/>
      </c>
    </row>
    <row r="368" spans="3:16" x14ac:dyDescent="0.4">
      <c r="C368" s="199"/>
      <c r="D368" s="200"/>
      <c r="E368" s="201"/>
      <c r="F368" s="199"/>
      <c r="H368" s="202"/>
      <c r="I368" s="185" t="str">
        <f t="shared" si="31"/>
        <v/>
      </c>
      <c r="J368" s="203" t="str">
        <f>IF($H368="USD",IF(OR($I368="",$I368="-"),"",VLOOKUP($G368,為替!$A:$AX,$I368,FALSE))+$J$3,IF(OR($I368="",$I368="-"),"",VLOOKUP($G368,為替!$A:$AX,$I368,FALSE)))</f>
        <v/>
      </c>
      <c r="K368" s="204" t="str">
        <f t="shared" si="32"/>
        <v/>
      </c>
      <c r="L368" s="188" t="str">
        <f t="shared" si="33"/>
        <v/>
      </c>
      <c r="M368" s="203" t="str">
        <f>IF($H368="USD",IF(OR($L368="",$L368="-"),"",VLOOKUP($G368,為替!$A:$AX,$L368,FALSE))+$K$3,IF(OR($L368="",$L368="-"),"",VLOOKUP($G368,為替!$A:$AX,$L368,FALSE)))</f>
        <v/>
      </c>
      <c r="N368" s="204" t="str">
        <f t="shared" si="34"/>
        <v/>
      </c>
      <c r="O368" s="205" t="str">
        <f t="shared" si="30"/>
        <v/>
      </c>
      <c r="P368" s="206" t="str">
        <f t="shared" si="35"/>
        <v/>
      </c>
    </row>
    <row r="369" spans="3:16" x14ac:dyDescent="0.4">
      <c r="C369" s="199"/>
      <c r="D369" s="200"/>
      <c r="E369" s="201"/>
      <c r="F369" s="199"/>
      <c r="H369" s="202"/>
      <c r="I369" s="185" t="str">
        <f t="shared" si="31"/>
        <v/>
      </c>
      <c r="J369" s="203" t="str">
        <f>IF($H369="USD",IF(OR($I369="",$I369="-"),"",VLOOKUP($G369,為替!$A:$AX,$I369,FALSE))+$J$3,IF(OR($I369="",$I369="-"),"",VLOOKUP($G369,為替!$A:$AX,$I369,FALSE)))</f>
        <v/>
      </c>
      <c r="K369" s="204" t="str">
        <f t="shared" si="32"/>
        <v/>
      </c>
      <c r="L369" s="188" t="str">
        <f t="shared" si="33"/>
        <v/>
      </c>
      <c r="M369" s="203" t="str">
        <f>IF($H369="USD",IF(OR($L369="",$L369="-"),"",VLOOKUP($G369,為替!$A:$AX,$L369,FALSE))+$K$3,IF(OR($L369="",$L369="-"),"",VLOOKUP($G369,為替!$A:$AX,$L369,FALSE)))</f>
        <v/>
      </c>
      <c r="N369" s="204" t="str">
        <f t="shared" si="34"/>
        <v/>
      </c>
      <c r="O369" s="205" t="str">
        <f t="shared" si="30"/>
        <v/>
      </c>
      <c r="P369" s="206" t="str">
        <f t="shared" si="35"/>
        <v/>
      </c>
    </row>
    <row r="370" spans="3:16" x14ac:dyDescent="0.4">
      <c r="C370" s="199"/>
      <c r="D370" s="200"/>
      <c r="E370" s="201"/>
      <c r="F370" s="199"/>
      <c r="H370" s="202"/>
      <c r="I370" s="185" t="str">
        <f t="shared" si="31"/>
        <v/>
      </c>
      <c r="J370" s="203" t="str">
        <f>IF($H370="USD",IF(OR($I370="",$I370="-"),"",VLOOKUP($G370,為替!$A:$AX,$I370,FALSE))+$J$3,IF(OR($I370="",$I370="-"),"",VLOOKUP($G370,為替!$A:$AX,$I370,FALSE)))</f>
        <v/>
      </c>
      <c r="K370" s="204" t="str">
        <f t="shared" si="32"/>
        <v/>
      </c>
      <c r="L370" s="188" t="str">
        <f t="shared" si="33"/>
        <v/>
      </c>
      <c r="M370" s="203" t="str">
        <f>IF($H370="USD",IF(OR($L370="",$L370="-"),"",VLOOKUP($G370,為替!$A:$AX,$L370,FALSE))+$K$3,IF(OR($L370="",$L370="-"),"",VLOOKUP($G370,為替!$A:$AX,$L370,FALSE)))</f>
        <v/>
      </c>
      <c r="N370" s="204" t="str">
        <f t="shared" si="34"/>
        <v/>
      </c>
      <c r="O370" s="205" t="str">
        <f t="shared" si="30"/>
        <v/>
      </c>
      <c r="P370" s="206" t="str">
        <f t="shared" si="35"/>
        <v/>
      </c>
    </row>
    <row r="371" spans="3:16" x14ac:dyDescent="0.4">
      <c r="C371" s="199"/>
      <c r="D371" s="200"/>
      <c r="E371" s="201"/>
      <c r="F371" s="199"/>
      <c r="H371" s="202"/>
      <c r="I371" s="185" t="str">
        <f t="shared" si="31"/>
        <v/>
      </c>
      <c r="J371" s="203" t="str">
        <f>IF($H371="USD",IF(OR($I371="",$I371="-"),"",VLOOKUP($G371,為替!$A:$AX,$I371,FALSE))+$J$3,IF(OR($I371="",$I371="-"),"",VLOOKUP($G371,為替!$A:$AX,$I371,FALSE)))</f>
        <v/>
      </c>
      <c r="K371" s="204" t="str">
        <f t="shared" si="32"/>
        <v/>
      </c>
      <c r="L371" s="188" t="str">
        <f t="shared" si="33"/>
        <v/>
      </c>
      <c r="M371" s="203" t="str">
        <f>IF($H371="USD",IF(OR($L371="",$L371="-"),"",VLOOKUP($G371,為替!$A:$AX,$L371,FALSE))+$K$3,IF(OR($L371="",$L371="-"),"",VLOOKUP($G371,為替!$A:$AX,$L371,FALSE)))</f>
        <v/>
      </c>
      <c r="N371" s="204" t="str">
        <f t="shared" si="34"/>
        <v/>
      </c>
      <c r="O371" s="205" t="str">
        <f t="shared" si="30"/>
        <v/>
      </c>
      <c r="P371" s="206" t="str">
        <f t="shared" si="35"/>
        <v/>
      </c>
    </row>
    <row r="372" spans="3:16" x14ac:dyDescent="0.4">
      <c r="C372" s="199"/>
      <c r="D372" s="200"/>
      <c r="E372" s="201"/>
      <c r="F372" s="199"/>
      <c r="H372" s="202"/>
      <c r="I372" s="185" t="str">
        <f t="shared" si="31"/>
        <v/>
      </c>
      <c r="J372" s="203" t="str">
        <f>IF($H372="USD",IF(OR($I372="",$I372="-"),"",VLOOKUP($G372,為替!$A:$AX,$I372,FALSE))+$J$3,IF(OR($I372="",$I372="-"),"",VLOOKUP($G372,為替!$A:$AX,$I372,FALSE)))</f>
        <v/>
      </c>
      <c r="K372" s="204" t="str">
        <f t="shared" si="32"/>
        <v/>
      </c>
      <c r="L372" s="188" t="str">
        <f t="shared" si="33"/>
        <v/>
      </c>
      <c r="M372" s="203" t="str">
        <f>IF($H372="USD",IF(OR($L372="",$L372="-"),"",VLOOKUP($G372,為替!$A:$AX,$L372,FALSE))+$K$3,IF(OR($L372="",$L372="-"),"",VLOOKUP($G372,為替!$A:$AX,$L372,FALSE)))</f>
        <v/>
      </c>
      <c r="N372" s="204" t="str">
        <f t="shared" si="34"/>
        <v/>
      </c>
      <c r="O372" s="205" t="str">
        <f t="shared" si="30"/>
        <v/>
      </c>
      <c r="P372" s="206" t="str">
        <f t="shared" si="35"/>
        <v/>
      </c>
    </row>
    <row r="373" spans="3:16" x14ac:dyDescent="0.4">
      <c r="C373" s="199"/>
      <c r="D373" s="200"/>
      <c r="E373" s="201"/>
      <c r="F373" s="199"/>
      <c r="H373" s="202"/>
      <c r="I373" s="185" t="str">
        <f t="shared" si="31"/>
        <v/>
      </c>
      <c r="J373" s="203" t="str">
        <f>IF($H373="USD",IF(OR($I373="",$I373="-"),"",VLOOKUP($G373,為替!$A:$AX,$I373,FALSE))+$J$3,IF(OR($I373="",$I373="-"),"",VLOOKUP($G373,為替!$A:$AX,$I373,FALSE)))</f>
        <v/>
      </c>
      <c r="K373" s="204" t="str">
        <f t="shared" si="32"/>
        <v/>
      </c>
      <c r="L373" s="188" t="str">
        <f t="shared" si="33"/>
        <v/>
      </c>
      <c r="M373" s="203" t="str">
        <f>IF($H373="USD",IF(OR($L373="",$L373="-"),"",VLOOKUP($G373,為替!$A:$AX,$L373,FALSE))+$K$3,IF(OR($L373="",$L373="-"),"",VLOOKUP($G373,為替!$A:$AX,$L373,FALSE)))</f>
        <v/>
      </c>
      <c r="N373" s="204" t="str">
        <f t="shared" si="34"/>
        <v/>
      </c>
      <c r="O373" s="205" t="str">
        <f t="shared" si="30"/>
        <v/>
      </c>
      <c r="P373" s="206" t="str">
        <f t="shared" si="35"/>
        <v/>
      </c>
    </row>
    <row r="374" spans="3:16" x14ac:dyDescent="0.4">
      <c r="C374" s="199"/>
      <c r="D374" s="200"/>
      <c r="E374" s="201"/>
      <c r="F374" s="199"/>
      <c r="H374" s="202"/>
      <c r="I374" s="185" t="str">
        <f t="shared" si="31"/>
        <v/>
      </c>
      <c r="J374" s="203" t="str">
        <f>IF($H374="USD",IF(OR($I374="",$I374="-"),"",VLOOKUP($G374,為替!$A:$AX,$I374,FALSE))+$J$3,IF(OR($I374="",$I374="-"),"",VLOOKUP($G374,為替!$A:$AX,$I374,FALSE)))</f>
        <v/>
      </c>
      <c r="K374" s="204" t="str">
        <f t="shared" si="32"/>
        <v/>
      </c>
      <c r="L374" s="188" t="str">
        <f t="shared" si="33"/>
        <v/>
      </c>
      <c r="M374" s="203" t="str">
        <f>IF($H374="USD",IF(OR($L374="",$L374="-"),"",VLOOKUP($G374,為替!$A:$AX,$L374,FALSE))+$K$3,IF(OR($L374="",$L374="-"),"",VLOOKUP($G374,為替!$A:$AX,$L374,FALSE)))</f>
        <v/>
      </c>
      <c r="N374" s="204" t="str">
        <f t="shared" si="34"/>
        <v/>
      </c>
      <c r="O374" s="205" t="str">
        <f t="shared" si="30"/>
        <v/>
      </c>
      <c r="P374" s="206" t="str">
        <f t="shared" si="35"/>
        <v/>
      </c>
    </row>
    <row r="375" spans="3:16" x14ac:dyDescent="0.4">
      <c r="C375" s="199"/>
      <c r="D375" s="200"/>
      <c r="E375" s="201"/>
      <c r="F375" s="199"/>
      <c r="H375" s="202"/>
      <c r="I375" s="185" t="str">
        <f t="shared" si="31"/>
        <v/>
      </c>
      <c r="J375" s="203" t="str">
        <f>IF($H375="USD",IF(OR($I375="",$I375="-"),"",VLOOKUP($G375,為替!$A:$AX,$I375,FALSE))+$J$3,IF(OR($I375="",$I375="-"),"",VLOOKUP($G375,為替!$A:$AX,$I375,FALSE)))</f>
        <v/>
      </c>
      <c r="K375" s="204" t="str">
        <f t="shared" si="32"/>
        <v/>
      </c>
      <c r="L375" s="188" t="str">
        <f t="shared" si="33"/>
        <v/>
      </c>
      <c r="M375" s="203" t="str">
        <f>IF($H375="USD",IF(OR($L375="",$L375="-"),"",VLOOKUP($G375,為替!$A:$AX,$L375,FALSE))+$K$3,IF(OR($L375="",$L375="-"),"",VLOOKUP($G375,為替!$A:$AX,$L375,FALSE)))</f>
        <v/>
      </c>
      <c r="N375" s="204" t="str">
        <f t="shared" si="34"/>
        <v/>
      </c>
      <c r="O375" s="205" t="str">
        <f t="shared" si="30"/>
        <v/>
      </c>
      <c r="P375" s="206" t="str">
        <f t="shared" si="35"/>
        <v/>
      </c>
    </row>
    <row r="376" spans="3:16" x14ac:dyDescent="0.4">
      <c r="C376" s="199"/>
      <c r="D376" s="200"/>
      <c r="E376" s="201"/>
      <c r="F376" s="199"/>
      <c r="H376" s="202"/>
      <c r="I376" s="185" t="str">
        <f t="shared" si="31"/>
        <v/>
      </c>
      <c r="J376" s="203" t="str">
        <f>IF($H376="USD",IF(OR($I376="",$I376="-"),"",VLOOKUP($G376,為替!$A:$AX,$I376,FALSE))+$J$3,IF(OR($I376="",$I376="-"),"",VLOOKUP($G376,為替!$A:$AX,$I376,FALSE)))</f>
        <v/>
      </c>
      <c r="K376" s="204" t="str">
        <f t="shared" si="32"/>
        <v/>
      </c>
      <c r="L376" s="188" t="str">
        <f t="shared" si="33"/>
        <v/>
      </c>
      <c r="M376" s="203" t="str">
        <f>IF($H376="USD",IF(OR($L376="",$L376="-"),"",VLOOKUP($G376,為替!$A:$AX,$L376,FALSE))+$K$3,IF(OR($L376="",$L376="-"),"",VLOOKUP($G376,為替!$A:$AX,$L376,FALSE)))</f>
        <v/>
      </c>
      <c r="N376" s="204" t="str">
        <f t="shared" si="34"/>
        <v/>
      </c>
      <c r="O376" s="205" t="str">
        <f t="shared" si="30"/>
        <v/>
      </c>
      <c r="P376" s="206" t="str">
        <f t="shared" si="35"/>
        <v/>
      </c>
    </row>
    <row r="377" spans="3:16" x14ac:dyDescent="0.4">
      <c r="C377" s="199"/>
      <c r="D377" s="200"/>
      <c r="E377" s="201"/>
      <c r="F377" s="199"/>
      <c r="H377" s="202"/>
      <c r="I377" s="185" t="str">
        <f t="shared" si="31"/>
        <v/>
      </c>
      <c r="J377" s="203" t="str">
        <f>IF($H377="USD",IF(OR($I377="",$I377="-"),"",VLOOKUP($G377,為替!$A:$AX,$I377,FALSE))+$J$3,IF(OR($I377="",$I377="-"),"",VLOOKUP($G377,為替!$A:$AX,$I377,FALSE)))</f>
        <v/>
      </c>
      <c r="K377" s="204" t="str">
        <f t="shared" si="32"/>
        <v/>
      </c>
      <c r="L377" s="188" t="str">
        <f t="shared" si="33"/>
        <v/>
      </c>
      <c r="M377" s="203" t="str">
        <f>IF($H377="USD",IF(OR($L377="",$L377="-"),"",VLOOKUP($G377,為替!$A:$AX,$L377,FALSE))+$K$3,IF(OR($L377="",$L377="-"),"",VLOOKUP($G377,為替!$A:$AX,$L377,FALSE)))</f>
        <v/>
      </c>
      <c r="N377" s="204" t="str">
        <f t="shared" si="34"/>
        <v/>
      </c>
      <c r="O377" s="205" t="str">
        <f t="shared" si="30"/>
        <v/>
      </c>
      <c r="P377" s="206" t="str">
        <f t="shared" si="35"/>
        <v/>
      </c>
    </row>
    <row r="378" spans="3:16" x14ac:dyDescent="0.4">
      <c r="C378" s="199"/>
      <c r="D378" s="200"/>
      <c r="E378" s="201"/>
      <c r="F378" s="199"/>
      <c r="H378" s="202"/>
      <c r="I378" s="185" t="str">
        <f t="shared" si="31"/>
        <v/>
      </c>
      <c r="J378" s="203" t="str">
        <f>IF($H378="USD",IF(OR($I378="",$I378="-"),"",VLOOKUP($G378,為替!$A:$AX,$I378,FALSE))+$J$3,IF(OR($I378="",$I378="-"),"",VLOOKUP($G378,為替!$A:$AX,$I378,FALSE)))</f>
        <v/>
      </c>
      <c r="K378" s="204" t="str">
        <f t="shared" si="32"/>
        <v/>
      </c>
      <c r="L378" s="188" t="str">
        <f t="shared" si="33"/>
        <v/>
      </c>
      <c r="M378" s="203" t="str">
        <f>IF($H378="USD",IF(OR($L378="",$L378="-"),"",VLOOKUP($G378,為替!$A:$AX,$L378,FALSE))+$K$3,IF(OR($L378="",$L378="-"),"",VLOOKUP($G378,為替!$A:$AX,$L378,FALSE)))</f>
        <v/>
      </c>
      <c r="N378" s="204" t="str">
        <f t="shared" si="34"/>
        <v/>
      </c>
      <c r="O378" s="205" t="str">
        <f t="shared" si="30"/>
        <v/>
      </c>
      <c r="P378" s="206" t="str">
        <f t="shared" si="35"/>
        <v/>
      </c>
    </row>
    <row r="379" spans="3:16" x14ac:dyDescent="0.4">
      <c r="C379" s="199"/>
      <c r="D379" s="200"/>
      <c r="E379" s="201"/>
      <c r="F379" s="199"/>
      <c r="H379" s="202"/>
      <c r="I379" s="185" t="str">
        <f t="shared" si="31"/>
        <v/>
      </c>
      <c r="J379" s="203" t="str">
        <f>IF($H379="USD",IF(OR($I379="",$I379="-"),"",VLOOKUP($G379,為替!$A:$AX,$I379,FALSE))+$J$3,IF(OR($I379="",$I379="-"),"",VLOOKUP($G379,為替!$A:$AX,$I379,FALSE)))</f>
        <v/>
      </c>
      <c r="K379" s="204" t="str">
        <f t="shared" si="32"/>
        <v/>
      </c>
      <c r="L379" s="188" t="str">
        <f t="shared" si="33"/>
        <v/>
      </c>
      <c r="M379" s="203" t="str">
        <f>IF($H379="USD",IF(OR($L379="",$L379="-"),"",VLOOKUP($G379,為替!$A:$AX,$L379,FALSE))+$K$3,IF(OR($L379="",$L379="-"),"",VLOOKUP($G379,為替!$A:$AX,$L379,FALSE)))</f>
        <v/>
      </c>
      <c r="N379" s="204" t="str">
        <f t="shared" si="34"/>
        <v/>
      </c>
      <c r="O379" s="205" t="str">
        <f t="shared" si="30"/>
        <v/>
      </c>
      <c r="P379" s="206" t="str">
        <f t="shared" si="35"/>
        <v/>
      </c>
    </row>
    <row r="380" spans="3:16" x14ac:dyDescent="0.4">
      <c r="C380" s="199"/>
      <c r="D380" s="200"/>
      <c r="E380" s="201"/>
      <c r="F380" s="199"/>
      <c r="H380" s="202"/>
      <c r="I380" s="185" t="str">
        <f t="shared" si="31"/>
        <v/>
      </c>
      <c r="J380" s="203" t="str">
        <f>IF($H380="USD",IF(OR($I380="",$I380="-"),"",VLOOKUP($G380,為替!$A:$AX,$I380,FALSE))+$J$3,IF(OR($I380="",$I380="-"),"",VLOOKUP($G380,為替!$A:$AX,$I380,FALSE)))</f>
        <v/>
      </c>
      <c r="K380" s="204" t="str">
        <f t="shared" si="32"/>
        <v/>
      </c>
      <c r="L380" s="188" t="str">
        <f t="shared" si="33"/>
        <v/>
      </c>
      <c r="M380" s="203" t="str">
        <f>IF($H380="USD",IF(OR($L380="",$L380="-"),"",VLOOKUP($G380,為替!$A:$AX,$L380,FALSE))+$K$3,IF(OR($L380="",$L380="-"),"",VLOOKUP($G380,為替!$A:$AX,$L380,FALSE)))</f>
        <v/>
      </c>
      <c r="N380" s="204" t="str">
        <f t="shared" si="34"/>
        <v/>
      </c>
      <c r="O380" s="205" t="str">
        <f t="shared" si="30"/>
        <v/>
      </c>
      <c r="P380" s="206" t="str">
        <f t="shared" si="35"/>
        <v/>
      </c>
    </row>
    <row r="381" spans="3:16" x14ac:dyDescent="0.4">
      <c r="C381" s="199"/>
      <c r="D381" s="200"/>
      <c r="E381" s="201"/>
      <c r="F381" s="199"/>
      <c r="H381" s="202"/>
      <c r="I381" s="185" t="str">
        <f t="shared" si="31"/>
        <v/>
      </c>
      <c r="J381" s="203" t="str">
        <f>IF($H381="USD",IF(OR($I381="",$I381="-"),"",VLOOKUP($G381,為替!$A:$AX,$I381,FALSE))+$J$3,IF(OR($I381="",$I381="-"),"",VLOOKUP($G381,為替!$A:$AX,$I381,FALSE)))</f>
        <v/>
      </c>
      <c r="K381" s="204" t="str">
        <f t="shared" si="32"/>
        <v/>
      </c>
      <c r="L381" s="188" t="str">
        <f t="shared" si="33"/>
        <v/>
      </c>
      <c r="M381" s="203" t="str">
        <f>IF($H381="USD",IF(OR($L381="",$L381="-"),"",VLOOKUP($G381,為替!$A:$AX,$L381,FALSE))+$K$3,IF(OR($L381="",$L381="-"),"",VLOOKUP($G381,為替!$A:$AX,$L381,FALSE)))</f>
        <v/>
      </c>
      <c r="N381" s="204" t="str">
        <f t="shared" si="34"/>
        <v/>
      </c>
      <c r="O381" s="205" t="str">
        <f t="shared" si="30"/>
        <v/>
      </c>
      <c r="P381" s="206" t="str">
        <f t="shared" si="35"/>
        <v/>
      </c>
    </row>
    <row r="382" spans="3:16" x14ac:dyDescent="0.4">
      <c r="C382" s="199"/>
      <c r="D382" s="200"/>
      <c r="E382" s="201"/>
      <c r="F382" s="199"/>
      <c r="H382" s="202"/>
      <c r="I382" s="185" t="str">
        <f t="shared" si="31"/>
        <v/>
      </c>
      <c r="J382" s="203" t="str">
        <f>IF($H382="USD",IF(OR($I382="",$I382="-"),"",VLOOKUP($G382,為替!$A:$AX,$I382,FALSE))+$J$3,IF(OR($I382="",$I382="-"),"",VLOOKUP($G382,為替!$A:$AX,$I382,FALSE)))</f>
        <v/>
      </c>
      <c r="K382" s="204" t="str">
        <f t="shared" si="32"/>
        <v/>
      </c>
      <c r="L382" s="188" t="str">
        <f t="shared" si="33"/>
        <v/>
      </c>
      <c r="M382" s="203" t="str">
        <f>IF($H382="USD",IF(OR($L382="",$L382="-"),"",VLOOKUP($G382,為替!$A:$AX,$L382,FALSE))+$K$3,IF(OR($L382="",$L382="-"),"",VLOOKUP($G382,為替!$A:$AX,$L382,FALSE)))</f>
        <v/>
      </c>
      <c r="N382" s="204" t="str">
        <f t="shared" si="34"/>
        <v/>
      </c>
      <c r="O382" s="205" t="str">
        <f t="shared" si="30"/>
        <v/>
      </c>
      <c r="P382" s="206" t="str">
        <f t="shared" si="35"/>
        <v/>
      </c>
    </row>
    <row r="383" spans="3:16" x14ac:dyDescent="0.4">
      <c r="C383" s="199"/>
      <c r="D383" s="200"/>
      <c r="E383" s="201"/>
      <c r="F383" s="199"/>
      <c r="H383" s="202"/>
      <c r="I383" s="185" t="str">
        <f t="shared" si="31"/>
        <v/>
      </c>
      <c r="J383" s="203" t="str">
        <f>IF($H383="USD",IF(OR($I383="",$I383="-"),"",VLOOKUP($G383,為替!$A:$AX,$I383,FALSE))+$J$3,IF(OR($I383="",$I383="-"),"",VLOOKUP($G383,為替!$A:$AX,$I383,FALSE)))</f>
        <v/>
      </c>
      <c r="K383" s="204" t="str">
        <f t="shared" si="32"/>
        <v/>
      </c>
      <c r="L383" s="188" t="str">
        <f t="shared" si="33"/>
        <v/>
      </c>
      <c r="M383" s="203" t="str">
        <f>IF($H383="USD",IF(OR($L383="",$L383="-"),"",VLOOKUP($G383,為替!$A:$AX,$L383,FALSE))+$K$3,IF(OR($L383="",$L383="-"),"",VLOOKUP($G383,為替!$A:$AX,$L383,FALSE)))</f>
        <v/>
      </c>
      <c r="N383" s="204" t="str">
        <f t="shared" si="34"/>
        <v/>
      </c>
      <c r="O383" s="205" t="str">
        <f t="shared" si="30"/>
        <v/>
      </c>
      <c r="P383" s="206" t="str">
        <f t="shared" si="35"/>
        <v/>
      </c>
    </row>
    <row r="384" spans="3:16" x14ac:dyDescent="0.4">
      <c r="C384" s="199"/>
      <c r="D384" s="200"/>
      <c r="E384" s="201"/>
      <c r="F384" s="199"/>
      <c r="H384" s="202"/>
      <c r="I384" s="185" t="str">
        <f t="shared" si="31"/>
        <v/>
      </c>
      <c r="J384" s="203" t="str">
        <f>IF($H384="USD",IF(OR($I384="",$I384="-"),"",VLOOKUP($G384,為替!$A:$AX,$I384,FALSE))+$J$3,IF(OR($I384="",$I384="-"),"",VLOOKUP($G384,為替!$A:$AX,$I384,FALSE)))</f>
        <v/>
      </c>
      <c r="K384" s="204" t="str">
        <f t="shared" si="32"/>
        <v/>
      </c>
      <c r="L384" s="188" t="str">
        <f t="shared" si="33"/>
        <v/>
      </c>
      <c r="M384" s="203" t="str">
        <f>IF($H384="USD",IF(OR($L384="",$L384="-"),"",VLOOKUP($G384,為替!$A:$AX,$L384,FALSE))+$K$3,IF(OR($L384="",$L384="-"),"",VLOOKUP($G384,為替!$A:$AX,$L384,FALSE)))</f>
        <v/>
      </c>
      <c r="N384" s="204" t="str">
        <f t="shared" si="34"/>
        <v/>
      </c>
      <c r="O384" s="205" t="str">
        <f t="shared" si="30"/>
        <v/>
      </c>
      <c r="P384" s="206" t="str">
        <f t="shared" si="35"/>
        <v/>
      </c>
    </row>
    <row r="385" spans="3:16" x14ac:dyDescent="0.4">
      <c r="C385" s="199"/>
      <c r="D385" s="200"/>
      <c r="E385" s="201"/>
      <c r="F385" s="199"/>
      <c r="H385" s="202"/>
      <c r="I385" s="185" t="str">
        <f t="shared" si="31"/>
        <v/>
      </c>
      <c r="J385" s="203" t="str">
        <f>IF($H385="USD",IF(OR($I385="",$I385="-"),"",VLOOKUP($G385,為替!$A:$AX,$I385,FALSE))+$J$3,IF(OR($I385="",$I385="-"),"",VLOOKUP($G385,為替!$A:$AX,$I385,FALSE)))</f>
        <v/>
      </c>
      <c r="K385" s="204" t="str">
        <f t="shared" si="32"/>
        <v/>
      </c>
      <c r="L385" s="188" t="str">
        <f t="shared" si="33"/>
        <v/>
      </c>
      <c r="M385" s="203" t="str">
        <f>IF($H385="USD",IF(OR($L385="",$L385="-"),"",VLOOKUP($G385,為替!$A:$AX,$L385,FALSE))+$K$3,IF(OR($L385="",$L385="-"),"",VLOOKUP($G385,為替!$A:$AX,$L385,FALSE)))</f>
        <v/>
      </c>
      <c r="N385" s="204" t="str">
        <f t="shared" si="34"/>
        <v/>
      </c>
      <c r="O385" s="205" t="str">
        <f t="shared" si="30"/>
        <v/>
      </c>
      <c r="P385" s="206" t="str">
        <f t="shared" si="35"/>
        <v/>
      </c>
    </row>
    <row r="386" spans="3:16" x14ac:dyDescent="0.4">
      <c r="C386" s="199"/>
      <c r="D386" s="200"/>
      <c r="E386" s="201"/>
      <c r="F386" s="199"/>
      <c r="H386" s="202"/>
      <c r="I386" s="185" t="str">
        <f t="shared" si="31"/>
        <v/>
      </c>
      <c r="J386" s="203" t="str">
        <f>IF($H386="USD",IF(OR($I386="",$I386="-"),"",VLOOKUP($G386,為替!$A:$AX,$I386,FALSE))+$J$3,IF(OR($I386="",$I386="-"),"",VLOOKUP($G386,為替!$A:$AX,$I386,FALSE)))</f>
        <v/>
      </c>
      <c r="K386" s="204" t="str">
        <f t="shared" si="32"/>
        <v/>
      </c>
      <c r="L386" s="188" t="str">
        <f t="shared" si="33"/>
        <v/>
      </c>
      <c r="M386" s="203" t="str">
        <f>IF($H386="USD",IF(OR($L386="",$L386="-"),"",VLOOKUP($G386,為替!$A:$AX,$L386,FALSE))+$K$3,IF(OR($L386="",$L386="-"),"",VLOOKUP($G386,為替!$A:$AX,$L386,FALSE)))</f>
        <v/>
      </c>
      <c r="N386" s="204" t="str">
        <f t="shared" si="34"/>
        <v/>
      </c>
      <c r="O386" s="205" t="str">
        <f t="shared" si="30"/>
        <v/>
      </c>
      <c r="P386" s="206" t="str">
        <f t="shared" si="35"/>
        <v/>
      </c>
    </row>
    <row r="387" spans="3:16" x14ac:dyDescent="0.4">
      <c r="C387" s="199"/>
      <c r="D387" s="200"/>
      <c r="E387" s="201"/>
      <c r="F387" s="199"/>
      <c r="H387" s="202"/>
      <c r="I387" s="185" t="str">
        <f t="shared" si="31"/>
        <v/>
      </c>
      <c r="J387" s="203" t="str">
        <f>IF($H387="USD",IF(OR($I387="",$I387="-"),"",VLOOKUP($G387,為替!$A:$AX,$I387,FALSE))+$J$3,IF(OR($I387="",$I387="-"),"",VLOOKUP($G387,為替!$A:$AX,$I387,FALSE)))</f>
        <v/>
      </c>
      <c r="K387" s="204" t="str">
        <f t="shared" si="32"/>
        <v/>
      </c>
      <c r="L387" s="188" t="str">
        <f t="shared" si="33"/>
        <v/>
      </c>
      <c r="M387" s="203" t="str">
        <f>IF($H387="USD",IF(OR($L387="",$L387="-"),"",VLOOKUP($G387,為替!$A:$AX,$L387,FALSE))+$K$3,IF(OR($L387="",$L387="-"),"",VLOOKUP($G387,為替!$A:$AX,$L387,FALSE)))</f>
        <v/>
      </c>
      <c r="N387" s="204" t="str">
        <f t="shared" si="34"/>
        <v/>
      </c>
      <c r="O387" s="205" t="str">
        <f t="shared" si="30"/>
        <v/>
      </c>
      <c r="P387" s="206" t="str">
        <f t="shared" si="35"/>
        <v/>
      </c>
    </row>
    <row r="388" spans="3:16" x14ac:dyDescent="0.4">
      <c r="C388" s="199"/>
      <c r="D388" s="200"/>
      <c r="E388" s="201"/>
      <c r="F388" s="199"/>
      <c r="H388" s="202"/>
      <c r="I388" s="185" t="str">
        <f t="shared" si="31"/>
        <v/>
      </c>
      <c r="J388" s="203" t="str">
        <f>IF($H388="USD",IF(OR($I388="",$I388="-"),"",VLOOKUP($G388,為替!$A:$AX,$I388,FALSE))+$J$3,IF(OR($I388="",$I388="-"),"",VLOOKUP($G388,為替!$A:$AX,$I388,FALSE)))</f>
        <v/>
      </c>
      <c r="K388" s="204" t="str">
        <f t="shared" si="32"/>
        <v/>
      </c>
      <c r="L388" s="188" t="str">
        <f t="shared" si="33"/>
        <v/>
      </c>
      <c r="M388" s="203" t="str">
        <f>IF($H388="USD",IF(OR($L388="",$L388="-"),"",VLOOKUP($G388,為替!$A:$AX,$L388,FALSE))+$K$3,IF(OR($L388="",$L388="-"),"",VLOOKUP($G388,為替!$A:$AX,$L388,FALSE)))</f>
        <v/>
      </c>
      <c r="N388" s="204" t="str">
        <f t="shared" si="34"/>
        <v/>
      </c>
      <c r="O388" s="205" t="str">
        <f t="shared" si="30"/>
        <v/>
      </c>
      <c r="P388" s="206" t="str">
        <f t="shared" si="35"/>
        <v/>
      </c>
    </row>
    <row r="389" spans="3:16" x14ac:dyDescent="0.4">
      <c r="C389" s="199"/>
      <c r="D389" s="200"/>
      <c r="E389" s="201"/>
      <c r="F389" s="199"/>
      <c r="H389" s="202"/>
      <c r="I389" s="185" t="str">
        <f t="shared" si="31"/>
        <v/>
      </c>
      <c r="J389" s="203" t="str">
        <f>IF($H389="USD",IF(OR($I389="",$I389="-"),"",VLOOKUP($G389,為替!$A:$AX,$I389,FALSE))+$J$3,IF(OR($I389="",$I389="-"),"",VLOOKUP($G389,為替!$A:$AX,$I389,FALSE)))</f>
        <v/>
      </c>
      <c r="K389" s="204" t="str">
        <f t="shared" si="32"/>
        <v/>
      </c>
      <c r="L389" s="188" t="str">
        <f t="shared" si="33"/>
        <v/>
      </c>
      <c r="M389" s="203" t="str">
        <f>IF($H389="USD",IF(OR($L389="",$L389="-"),"",VLOOKUP($G389,為替!$A:$AX,$L389,FALSE))+$K$3,IF(OR($L389="",$L389="-"),"",VLOOKUP($G389,為替!$A:$AX,$L389,FALSE)))</f>
        <v/>
      </c>
      <c r="N389" s="204" t="str">
        <f t="shared" si="34"/>
        <v/>
      </c>
      <c r="O389" s="205" t="str">
        <f t="shared" si="30"/>
        <v/>
      </c>
      <c r="P389" s="206" t="str">
        <f t="shared" si="35"/>
        <v/>
      </c>
    </row>
    <row r="390" spans="3:16" x14ac:dyDescent="0.4">
      <c r="C390" s="199"/>
      <c r="D390" s="200"/>
      <c r="E390" s="201"/>
      <c r="F390" s="199"/>
      <c r="H390" s="202"/>
      <c r="I390" s="185" t="str">
        <f t="shared" si="31"/>
        <v/>
      </c>
      <c r="J390" s="203" t="str">
        <f>IF($H390="USD",IF(OR($I390="",$I390="-"),"",VLOOKUP($G390,為替!$A:$AX,$I390,FALSE))+$J$3,IF(OR($I390="",$I390="-"),"",VLOOKUP($G390,為替!$A:$AX,$I390,FALSE)))</f>
        <v/>
      </c>
      <c r="K390" s="204" t="str">
        <f t="shared" si="32"/>
        <v/>
      </c>
      <c r="L390" s="188" t="str">
        <f t="shared" si="33"/>
        <v/>
      </c>
      <c r="M390" s="203" t="str">
        <f>IF($H390="USD",IF(OR($L390="",$L390="-"),"",VLOOKUP($G390,為替!$A:$AX,$L390,FALSE))+$K$3,IF(OR($L390="",$L390="-"),"",VLOOKUP($G390,為替!$A:$AX,$L390,FALSE)))</f>
        <v/>
      </c>
      <c r="N390" s="204" t="str">
        <f t="shared" si="34"/>
        <v/>
      </c>
      <c r="O390" s="205" t="str">
        <f t="shared" ref="O390:O400" si="36">IF(OR(K390="",N390=""),"",K390-N390)</f>
        <v/>
      </c>
      <c r="P390" s="206" t="str">
        <f t="shared" si="35"/>
        <v/>
      </c>
    </row>
    <row r="391" spans="3:16" x14ac:dyDescent="0.4">
      <c r="C391" s="199"/>
      <c r="D391" s="200"/>
      <c r="E391" s="201"/>
      <c r="F391" s="199"/>
      <c r="H391" s="202"/>
      <c r="I391" s="185" t="str">
        <f t="shared" ref="I391:I400" si="37">IF(H391="","",IF(H391="JPY","",IF($H391="USD",4, IF(H391="EUR",7,IF(H391="CNY",47,IF(H391="HKD",34))))))</f>
        <v/>
      </c>
      <c r="J391" s="203" t="str">
        <f>IF($H391="USD",IF(OR($I391="",$I391="-"),"",VLOOKUP($G391,為替!$A:$AX,$I391,FALSE))+$J$3,IF(OR($I391="",$I391="-"),"",VLOOKUP($G391,為替!$A:$AX,$I391,FALSE)))</f>
        <v/>
      </c>
      <c r="K391" s="204" t="str">
        <f t="shared" ref="K391:K400" si="38">IF($H391="JPY",$F391,IF($H391="","",$F391*$J391))</f>
        <v/>
      </c>
      <c r="L391" s="188" t="str">
        <f t="shared" ref="L391:L400" si="39">IF(H391="","",IF(H391="JPY","",IF($H391="USD",3, IF(H391="EUR",6,IF(H391="CNY",46,IF(H391="HKD",33))))))</f>
        <v/>
      </c>
      <c r="M391" s="203" t="str">
        <f>IF($H391="USD",IF(OR($L391="",$L391="-"),"",VLOOKUP($G391,為替!$A:$AX,$L391,FALSE))+$K$3,IF(OR($L391="",$L391="-"),"",VLOOKUP($G391,為替!$A:$AX,$L391,FALSE)))</f>
        <v/>
      </c>
      <c r="N391" s="204" t="str">
        <f t="shared" ref="N391:N400" si="40">IF($E391="JPY",($C391+$D391),IF($E391="","",($C391+$D391)*$M391))</f>
        <v/>
      </c>
      <c r="O391" s="205" t="str">
        <f t="shared" si="36"/>
        <v/>
      </c>
      <c r="P391" s="206" t="str">
        <f t="shared" ref="P391:P400" si="41">IF(OR(K391="",O391=""),"",O391/K391)</f>
        <v/>
      </c>
    </row>
    <row r="392" spans="3:16" x14ac:dyDescent="0.4">
      <c r="C392" s="199"/>
      <c r="D392" s="200"/>
      <c r="E392" s="201"/>
      <c r="F392" s="199"/>
      <c r="H392" s="202"/>
      <c r="I392" s="185" t="str">
        <f t="shared" si="37"/>
        <v/>
      </c>
      <c r="J392" s="203" t="str">
        <f>IF($H392="USD",IF(OR($I392="",$I392="-"),"",VLOOKUP($G392,為替!$A:$AX,$I392,FALSE))+$J$3,IF(OR($I392="",$I392="-"),"",VLOOKUP($G392,為替!$A:$AX,$I392,FALSE)))</f>
        <v/>
      </c>
      <c r="K392" s="204" t="str">
        <f t="shared" si="38"/>
        <v/>
      </c>
      <c r="L392" s="188" t="str">
        <f t="shared" si="39"/>
        <v/>
      </c>
      <c r="M392" s="203" t="str">
        <f>IF($H392="USD",IF(OR($L392="",$L392="-"),"",VLOOKUP($G392,為替!$A:$AX,$L392,FALSE))+$K$3,IF(OR($L392="",$L392="-"),"",VLOOKUP($G392,為替!$A:$AX,$L392,FALSE)))</f>
        <v/>
      </c>
      <c r="N392" s="204" t="str">
        <f t="shared" si="40"/>
        <v/>
      </c>
      <c r="O392" s="205" t="str">
        <f t="shared" si="36"/>
        <v/>
      </c>
      <c r="P392" s="206" t="str">
        <f t="shared" si="41"/>
        <v/>
      </c>
    </row>
    <row r="393" spans="3:16" x14ac:dyDescent="0.4">
      <c r="C393" s="199"/>
      <c r="D393" s="200"/>
      <c r="E393" s="201"/>
      <c r="F393" s="199"/>
      <c r="H393" s="202"/>
      <c r="I393" s="185" t="str">
        <f t="shared" si="37"/>
        <v/>
      </c>
      <c r="J393" s="203" t="str">
        <f>IF($H393="USD",IF(OR($I393="",$I393="-"),"",VLOOKUP($G393,為替!$A:$AX,$I393,FALSE))+$J$3,IF(OR($I393="",$I393="-"),"",VLOOKUP($G393,為替!$A:$AX,$I393,FALSE)))</f>
        <v/>
      </c>
      <c r="K393" s="204" t="str">
        <f t="shared" si="38"/>
        <v/>
      </c>
      <c r="L393" s="188" t="str">
        <f t="shared" si="39"/>
        <v/>
      </c>
      <c r="M393" s="203" t="str">
        <f>IF($H393="USD",IF(OR($L393="",$L393="-"),"",VLOOKUP($G393,為替!$A:$AX,$L393,FALSE))+$K$3,IF(OR($L393="",$L393="-"),"",VLOOKUP($G393,為替!$A:$AX,$L393,FALSE)))</f>
        <v/>
      </c>
      <c r="N393" s="204" t="str">
        <f t="shared" si="40"/>
        <v/>
      </c>
      <c r="O393" s="205" t="str">
        <f t="shared" si="36"/>
        <v/>
      </c>
      <c r="P393" s="206" t="str">
        <f t="shared" si="41"/>
        <v/>
      </c>
    </row>
    <row r="394" spans="3:16" x14ac:dyDescent="0.4">
      <c r="C394" s="199"/>
      <c r="D394" s="200"/>
      <c r="E394" s="201"/>
      <c r="F394" s="199"/>
      <c r="H394" s="202"/>
      <c r="I394" s="185" t="str">
        <f t="shared" si="37"/>
        <v/>
      </c>
      <c r="J394" s="203" t="str">
        <f>IF($H394="USD",IF(OR($I394="",$I394="-"),"",VLOOKUP($G394,為替!$A:$AX,$I394,FALSE))+$J$3,IF(OR($I394="",$I394="-"),"",VLOOKUP($G394,為替!$A:$AX,$I394,FALSE)))</f>
        <v/>
      </c>
      <c r="K394" s="204" t="str">
        <f t="shared" si="38"/>
        <v/>
      </c>
      <c r="L394" s="188" t="str">
        <f t="shared" si="39"/>
        <v/>
      </c>
      <c r="M394" s="203" t="str">
        <f>IF($H394="USD",IF(OR($L394="",$L394="-"),"",VLOOKUP($G394,為替!$A:$AX,$L394,FALSE))+$K$3,IF(OR($L394="",$L394="-"),"",VLOOKUP($G394,為替!$A:$AX,$L394,FALSE)))</f>
        <v/>
      </c>
      <c r="N394" s="204" t="str">
        <f t="shared" si="40"/>
        <v/>
      </c>
      <c r="O394" s="205" t="str">
        <f t="shared" si="36"/>
        <v/>
      </c>
      <c r="P394" s="206" t="str">
        <f t="shared" si="41"/>
        <v/>
      </c>
    </row>
    <row r="395" spans="3:16" x14ac:dyDescent="0.4">
      <c r="C395" s="199"/>
      <c r="D395" s="200"/>
      <c r="E395" s="201"/>
      <c r="F395" s="199"/>
      <c r="H395" s="202"/>
      <c r="I395" s="185" t="str">
        <f t="shared" si="37"/>
        <v/>
      </c>
      <c r="J395" s="203" t="str">
        <f>IF($H395="USD",IF(OR($I395="",$I395="-"),"",VLOOKUP($G395,為替!$A:$AX,$I395,FALSE))+$J$3,IF(OR($I395="",$I395="-"),"",VLOOKUP($G395,為替!$A:$AX,$I395,FALSE)))</f>
        <v/>
      </c>
      <c r="K395" s="204" t="str">
        <f t="shared" si="38"/>
        <v/>
      </c>
      <c r="L395" s="188" t="str">
        <f t="shared" si="39"/>
        <v/>
      </c>
      <c r="M395" s="203" t="str">
        <f>IF($H395="USD",IF(OR($L395="",$L395="-"),"",VLOOKUP($G395,為替!$A:$AX,$L395,FALSE))+$K$3,IF(OR($L395="",$L395="-"),"",VLOOKUP($G395,為替!$A:$AX,$L395,FALSE)))</f>
        <v/>
      </c>
      <c r="N395" s="204" t="str">
        <f t="shared" si="40"/>
        <v/>
      </c>
      <c r="O395" s="205" t="str">
        <f t="shared" si="36"/>
        <v/>
      </c>
      <c r="P395" s="206" t="str">
        <f t="shared" si="41"/>
        <v/>
      </c>
    </row>
    <row r="396" spans="3:16" x14ac:dyDescent="0.4">
      <c r="C396" s="199"/>
      <c r="D396" s="200"/>
      <c r="E396" s="201"/>
      <c r="F396" s="199"/>
      <c r="H396" s="202"/>
      <c r="I396" s="185" t="str">
        <f t="shared" si="37"/>
        <v/>
      </c>
      <c r="J396" s="203" t="str">
        <f>IF($H396="USD",IF(OR($I396="",$I396="-"),"",VLOOKUP($G396,為替!$A:$AX,$I396,FALSE))+$J$3,IF(OR($I396="",$I396="-"),"",VLOOKUP($G396,為替!$A:$AX,$I396,FALSE)))</f>
        <v/>
      </c>
      <c r="K396" s="204" t="str">
        <f t="shared" si="38"/>
        <v/>
      </c>
      <c r="L396" s="188" t="str">
        <f t="shared" si="39"/>
        <v/>
      </c>
      <c r="M396" s="203" t="str">
        <f>IF($H396="USD",IF(OR($L396="",$L396="-"),"",VLOOKUP($G396,為替!$A:$AX,$L396,FALSE))+$K$3,IF(OR($L396="",$L396="-"),"",VLOOKUP($G396,為替!$A:$AX,$L396,FALSE)))</f>
        <v/>
      </c>
      <c r="N396" s="204" t="str">
        <f t="shared" si="40"/>
        <v/>
      </c>
      <c r="O396" s="205" t="str">
        <f t="shared" si="36"/>
        <v/>
      </c>
      <c r="P396" s="206" t="str">
        <f t="shared" si="41"/>
        <v/>
      </c>
    </row>
    <row r="397" spans="3:16" x14ac:dyDescent="0.4">
      <c r="C397" s="199"/>
      <c r="D397" s="200"/>
      <c r="E397" s="201"/>
      <c r="F397" s="199"/>
      <c r="H397" s="202"/>
      <c r="I397" s="185" t="str">
        <f t="shared" si="37"/>
        <v/>
      </c>
      <c r="J397" s="203" t="str">
        <f>IF($H397="USD",IF(OR($I397="",$I397="-"),"",VLOOKUP($G397,為替!$A:$AX,$I397,FALSE))+$J$3,IF(OR($I397="",$I397="-"),"",VLOOKUP($G397,為替!$A:$AX,$I397,FALSE)))</f>
        <v/>
      </c>
      <c r="K397" s="204" t="str">
        <f t="shared" si="38"/>
        <v/>
      </c>
      <c r="L397" s="188" t="str">
        <f t="shared" si="39"/>
        <v/>
      </c>
      <c r="M397" s="203" t="str">
        <f>IF($H397="USD",IF(OR($L397="",$L397="-"),"",VLOOKUP($G397,為替!$A:$AX,$L397,FALSE))+$K$3,IF(OR($L397="",$L397="-"),"",VLOOKUP($G397,為替!$A:$AX,$L397,FALSE)))</f>
        <v/>
      </c>
      <c r="N397" s="204" t="str">
        <f t="shared" si="40"/>
        <v/>
      </c>
      <c r="O397" s="205" t="str">
        <f t="shared" si="36"/>
        <v/>
      </c>
      <c r="P397" s="206" t="str">
        <f t="shared" si="41"/>
        <v/>
      </c>
    </row>
    <row r="398" spans="3:16" x14ac:dyDescent="0.4">
      <c r="C398" s="199"/>
      <c r="D398" s="200"/>
      <c r="E398" s="201"/>
      <c r="F398" s="199"/>
      <c r="H398" s="202"/>
      <c r="I398" s="185" t="str">
        <f t="shared" si="37"/>
        <v/>
      </c>
      <c r="J398" s="203" t="str">
        <f>IF($H398="USD",IF(OR($I398="",$I398="-"),"",VLOOKUP($G398,為替!$A:$AX,$I398,FALSE))+$J$3,IF(OR($I398="",$I398="-"),"",VLOOKUP($G398,為替!$A:$AX,$I398,FALSE)))</f>
        <v/>
      </c>
      <c r="K398" s="204" t="str">
        <f t="shared" si="38"/>
        <v/>
      </c>
      <c r="L398" s="188" t="str">
        <f t="shared" si="39"/>
        <v/>
      </c>
      <c r="M398" s="203" t="str">
        <f>IF($H398="USD",IF(OR($L398="",$L398="-"),"",VLOOKUP($G398,為替!$A:$AX,$L398,FALSE))+$K$3,IF(OR($L398="",$L398="-"),"",VLOOKUP($G398,為替!$A:$AX,$L398,FALSE)))</f>
        <v/>
      </c>
      <c r="N398" s="204" t="str">
        <f t="shared" si="40"/>
        <v/>
      </c>
      <c r="O398" s="205" t="str">
        <f t="shared" si="36"/>
        <v/>
      </c>
      <c r="P398" s="206" t="str">
        <f t="shared" si="41"/>
        <v/>
      </c>
    </row>
    <row r="399" spans="3:16" x14ac:dyDescent="0.4">
      <c r="C399" s="199"/>
      <c r="D399" s="200"/>
      <c r="E399" s="201"/>
      <c r="F399" s="199"/>
      <c r="H399" s="202"/>
      <c r="I399" s="185" t="str">
        <f t="shared" si="37"/>
        <v/>
      </c>
      <c r="J399" s="203" t="str">
        <f>IF($H399="USD",IF(OR($I399="",$I399="-"),"",VLOOKUP($G399,為替!$A:$AX,$I399,FALSE))+$J$3,IF(OR($I399="",$I399="-"),"",VLOOKUP($G399,為替!$A:$AX,$I399,FALSE)))</f>
        <v/>
      </c>
      <c r="K399" s="204" t="str">
        <f t="shared" si="38"/>
        <v/>
      </c>
      <c r="L399" s="188" t="str">
        <f t="shared" si="39"/>
        <v/>
      </c>
      <c r="M399" s="203" t="str">
        <f>IF($H399="USD",IF(OR($L399="",$L399="-"),"",VLOOKUP($G399,為替!$A:$AX,$L399,FALSE))+$K$3,IF(OR($L399="",$L399="-"),"",VLOOKUP($G399,為替!$A:$AX,$L399,FALSE)))</f>
        <v/>
      </c>
      <c r="N399" s="204" t="str">
        <f t="shared" si="40"/>
        <v/>
      </c>
      <c r="O399" s="205" t="str">
        <f t="shared" si="36"/>
        <v/>
      </c>
      <c r="P399" s="206" t="str">
        <f t="shared" si="41"/>
        <v/>
      </c>
    </row>
    <row r="400" spans="3:16" x14ac:dyDescent="0.4">
      <c r="C400" s="199"/>
      <c r="D400" s="200"/>
      <c r="E400" s="201"/>
      <c r="F400" s="199"/>
      <c r="H400" s="202"/>
      <c r="I400" s="185" t="str">
        <f t="shared" si="37"/>
        <v/>
      </c>
      <c r="J400" s="203" t="str">
        <f>IF($H400="USD",IF(OR($I400="",$I400="-"),"",VLOOKUP($G400,為替!$A:$AX,$I400,FALSE))+$J$3,IF(OR($I400="",$I400="-"),"",VLOOKUP($G400,為替!$A:$AX,$I400,FALSE)))</f>
        <v/>
      </c>
      <c r="K400" s="204" t="str">
        <f t="shared" si="38"/>
        <v/>
      </c>
      <c r="L400" s="188" t="str">
        <f t="shared" si="39"/>
        <v/>
      </c>
      <c r="M400" s="203" t="str">
        <f>IF($H400="USD",IF(OR($L400="",$L400="-"),"",VLOOKUP($G400,為替!$A:$AX,$L400,FALSE))+$K$3,IF(OR($L400="",$L400="-"),"",VLOOKUP($G400,為替!$A:$AX,$L400,FALSE)))</f>
        <v/>
      </c>
      <c r="N400" s="204" t="str">
        <f t="shared" si="40"/>
        <v/>
      </c>
      <c r="O400" s="205" t="str">
        <f t="shared" si="36"/>
        <v/>
      </c>
      <c r="P400" s="206" t="str">
        <f t="shared" si="41"/>
        <v/>
      </c>
    </row>
  </sheetData>
  <mergeCells count="1">
    <mergeCell ref="A1:E2"/>
  </mergeCells>
  <phoneticPr fontId="2"/>
  <conditionalFormatting sqref="P6:P400">
    <cfRule type="cellIs" dxfId="0" priority="1" operator="greaterThan">
      <formula>$P$3</formula>
    </cfRule>
  </conditionalFormatting>
  <dataValidations count="2">
    <dataValidation type="list" allowBlank="1" showInputMessage="1" showErrorMessage="1" sqref="E6:E400 H6:H400" xr:uid="{0E60D7E1-0269-4798-A9F2-34885F209771}">
      <formula1>"JPY,USD,EUR,CNY,HKD"</formula1>
    </dataValidation>
    <dataValidation type="list" allowBlank="1" showInputMessage="1" showErrorMessage="1" sqref="A6:A400" xr:uid="{E178F7BB-15AA-4D37-9ACE-5F8A42B1BCB9}">
      <formula1>$M$3:$O$3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3A862-EF7B-441E-B385-FF16AEEAB8D0}">
  <sheetPr codeName="Sheet19"/>
  <dimension ref="A1:CS402"/>
  <sheetViews>
    <sheetView topLeftCell="A193" workbookViewId="0">
      <selection activeCell="E14" sqref="E14:P14"/>
    </sheetView>
  </sheetViews>
  <sheetFormatPr defaultRowHeight="18.75" x14ac:dyDescent="0.4"/>
  <sheetData>
    <row r="1" spans="1:97" x14ac:dyDescent="0.4">
      <c r="C1" s="209"/>
      <c r="D1" s="210"/>
      <c r="E1" s="211"/>
      <c r="H1" s="211"/>
      <c r="K1" s="211"/>
      <c r="N1" s="211"/>
      <c r="Q1" s="211"/>
      <c r="T1" s="211"/>
      <c r="W1" s="211"/>
      <c r="Z1" s="211"/>
      <c r="AC1" s="211"/>
      <c r="AF1" s="211"/>
      <c r="AI1" s="211"/>
      <c r="AL1" s="211"/>
      <c r="AO1" s="211"/>
      <c r="AR1" s="211"/>
      <c r="AU1" s="211"/>
      <c r="AX1" s="211"/>
      <c r="BA1" s="211"/>
      <c r="BD1" s="211"/>
      <c r="BG1" s="211"/>
      <c r="BJ1" s="211"/>
      <c r="BM1" s="211"/>
      <c r="BP1" s="211"/>
      <c r="BS1" s="211"/>
      <c r="BV1" s="211"/>
      <c r="BY1" s="211"/>
      <c r="CB1" s="211"/>
      <c r="CE1" s="211"/>
      <c r="CH1" s="211"/>
      <c r="CK1" s="211"/>
      <c r="CN1" s="211"/>
    </row>
    <row r="2" spans="1:97" x14ac:dyDescent="0.4">
      <c r="C2" s="209"/>
      <c r="D2" s="210"/>
      <c r="AX2" s="211"/>
      <c r="BD2" s="211"/>
      <c r="BG2" s="211"/>
      <c r="BP2" s="211"/>
      <c r="BV2" s="211"/>
      <c r="BY2" s="211"/>
    </row>
    <row r="3" spans="1:97" x14ac:dyDescent="0.4">
      <c r="A3" s="209" t="s">
        <v>252</v>
      </c>
      <c r="B3" s="210"/>
      <c r="C3" s="211" t="s">
        <v>253</v>
      </c>
      <c r="F3" s="211" t="s">
        <v>254</v>
      </c>
      <c r="I3" s="211" t="s">
        <v>255</v>
      </c>
      <c r="L3" s="211" t="s">
        <v>256</v>
      </c>
      <c r="O3" s="211" t="s">
        <v>257</v>
      </c>
      <c r="R3" s="211" t="s">
        <v>258</v>
      </c>
      <c r="U3" s="211" t="s">
        <v>259</v>
      </c>
      <c r="X3" s="211" t="s">
        <v>260</v>
      </c>
      <c r="AA3" s="211" t="s">
        <v>261</v>
      </c>
      <c r="AD3" s="211" t="s">
        <v>262</v>
      </c>
      <c r="AG3" s="211" t="s">
        <v>263</v>
      </c>
      <c r="AJ3" s="211" t="s">
        <v>264</v>
      </c>
      <c r="AM3" s="211" t="s">
        <v>265</v>
      </c>
      <c r="AP3" s="211" t="s">
        <v>266</v>
      </c>
      <c r="AS3" s="211" t="s">
        <v>267</v>
      </c>
      <c r="AV3" s="211" t="s">
        <v>268</v>
      </c>
      <c r="AY3" s="211" t="s">
        <v>269</v>
      </c>
      <c r="BB3" s="211" t="s">
        <v>270</v>
      </c>
      <c r="BE3" s="211" t="s">
        <v>271</v>
      </c>
      <c r="BH3" s="211" t="s">
        <v>272</v>
      </c>
      <c r="BK3" s="211" t="s">
        <v>273</v>
      </c>
      <c r="BN3" s="211" t="s">
        <v>274</v>
      </c>
      <c r="BQ3" s="211" t="s">
        <v>275</v>
      </c>
      <c r="BT3" s="211" t="s">
        <v>276</v>
      </c>
      <c r="BW3" s="211" t="s">
        <v>277</v>
      </c>
      <c r="BZ3" s="211" t="s">
        <v>278</v>
      </c>
      <c r="CC3" s="211" t="s">
        <v>279</v>
      </c>
      <c r="CF3" s="211" t="s">
        <v>280</v>
      </c>
      <c r="CI3" s="211" t="s">
        <v>281</v>
      </c>
      <c r="CL3" s="211" t="s">
        <v>282</v>
      </c>
      <c r="CO3" t="s">
        <v>283</v>
      </c>
      <c r="CR3" s="211"/>
      <c r="CS3" s="211"/>
    </row>
    <row r="4" spans="1:97" x14ac:dyDescent="0.4">
      <c r="A4" s="209"/>
      <c r="B4" s="210"/>
      <c r="AV4" s="211" t="s">
        <v>284</v>
      </c>
      <c r="BB4" s="211" t="s">
        <v>285</v>
      </c>
      <c r="BE4" s="211" t="s">
        <v>285</v>
      </c>
      <c r="BN4" s="211" t="s">
        <v>286</v>
      </c>
      <c r="BT4" s="211" t="s">
        <v>287</v>
      </c>
      <c r="BW4" s="211" t="s">
        <v>285</v>
      </c>
      <c r="CC4" t="s">
        <v>288</v>
      </c>
      <c r="CF4" t="s">
        <v>288</v>
      </c>
      <c r="CI4" t="s">
        <v>288</v>
      </c>
      <c r="CL4" t="s">
        <v>288</v>
      </c>
      <c r="CR4" s="212"/>
      <c r="CS4" s="212"/>
    </row>
    <row r="5" spans="1:97" x14ac:dyDescent="0.4">
      <c r="A5" s="209" t="s">
        <v>289</v>
      </c>
      <c r="B5" s="210" t="s">
        <v>290</v>
      </c>
      <c r="C5" s="211" t="s">
        <v>291</v>
      </c>
      <c r="D5" s="211" t="s">
        <v>292</v>
      </c>
      <c r="E5" s="211" t="s">
        <v>293</v>
      </c>
      <c r="F5" s="211" t="s">
        <v>291</v>
      </c>
      <c r="G5" s="211" t="s">
        <v>292</v>
      </c>
      <c r="H5" s="211" t="s">
        <v>293</v>
      </c>
      <c r="I5" s="211" t="s">
        <v>291</v>
      </c>
      <c r="J5" s="211" t="s">
        <v>292</v>
      </c>
      <c r="K5" s="211" t="s">
        <v>293</v>
      </c>
      <c r="L5" s="211" t="s">
        <v>291</v>
      </c>
      <c r="M5" s="211" t="s">
        <v>292</v>
      </c>
      <c r="N5" s="211" t="s">
        <v>293</v>
      </c>
      <c r="O5" s="211" t="s">
        <v>291</v>
      </c>
      <c r="P5" s="211" t="s">
        <v>292</v>
      </c>
      <c r="Q5" s="211" t="s">
        <v>293</v>
      </c>
      <c r="R5" s="211" t="s">
        <v>291</v>
      </c>
      <c r="S5" s="211" t="s">
        <v>292</v>
      </c>
      <c r="T5" s="211" t="s">
        <v>293</v>
      </c>
      <c r="U5" s="211" t="s">
        <v>291</v>
      </c>
      <c r="V5" s="211" t="s">
        <v>292</v>
      </c>
      <c r="W5" s="211" t="s">
        <v>293</v>
      </c>
      <c r="X5" s="211" t="s">
        <v>291</v>
      </c>
      <c r="Y5" s="211" t="s">
        <v>292</v>
      </c>
      <c r="Z5" s="211" t="s">
        <v>293</v>
      </c>
      <c r="AA5" s="211" t="s">
        <v>291</v>
      </c>
      <c r="AB5" s="211" t="s">
        <v>292</v>
      </c>
      <c r="AC5" s="211" t="s">
        <v>293</v>
      </c>
      <c r="AD5" s="211" t="s">
        <v>291</v>
      </c>
      <c r="AE5" s="211" t="s">
        <v>292</v>
      </c>
      <c r="AF5" s="211" t="s">
        <v>293</v>
      </c>
      <c r="AG5" s="211" t="s">
        <v>291</v>
      </c>
      <c r="AH5" s="211" t="s">
        <v>292</v>
      </c>
      <c r="AI5" s="211" t="s">
        <v>293</v>
      </c>
      <c r="AJ5" s="211" t="s">
        <v>291</v>
      </c>
      <c r="AK5" s="211" t="s">
        <v>292</v>
      </c>
      <c r="AL5" s="211" t="s">
        <v>293</v>
      </c>
      <c r="AM5" s="211" t="s">
        <v>291</v>
      </c>
      <c r="AN5" s="211" t="s">
        <v>292</v>
      </c>
      <c r="AO5" s="211" t="s">
        <v>293</v>
      </c>
      <c r="AP5" s="211" t="s">
        <v>291</v>
      </c>
      <c r="AQ5" s="211" t="s">
        <v>292</v>
      </c>
      <c r="AR5" s="211" t="s">
        <v>293</v>
      </c>
      <c r="AS5" s="211" t="s">
        <v>291</v>
      </c>
      <c r="AT5" s="211" t="s">
        <v>292</v>
      </c>
      <c r="AU5" s="211" t="s">
        <v>293</v>
      </c>
      <c r="AV5" s="211" t="s">
        <v>291</v>
      </c>
      <c r="AW5" s="211" t="s">
        <v>292</v>
      </c>
      <c r="AX5" s="211" t="s">
        <v>293</v>
      </c>
      <c r="AY5" s="211" t="s">
        <v>291</v>
      </c>
      <c r="AZ5" s="211" t="s">
        <v>292</v>
      </c>
      <c r="BA5" s="211" t="s">
        <v>293</v>
      </c>
      <c r="BB5" s="211" t="s">
        <v>291</v>
      </c>
      <c r="BC5" s="211" t="s">
        <v>292</v>
      </c>
      <c r="BD5" s="211" t="s">
        <v>293</v>
      </c>
      <c r="BE5" s="211" t="s">
        <v>291</v>
      </c>
      <c r="BF5" s="211" t="s">
        <v>292</v>
      </c>
      <c r="BG5" s="211" t="s">
        <v>293</v>
      </c>
      <c r="BH5" s="211" t="s">
        <v>291</v>
      </c>
      <c r="BI5" s="211" t="s">
        <v>292</v>
      </c>
      <c r="BJ5" s="211" t="s">
        <v>293</v>
      </c>
      <c r="BK5" s="211" t="s">
        <v>291</v>
      </c>
      <c r="BL5" s="211" t="s">
        <v>292</v>
      </c>
      <c r="BM5" s="211" t="s">
        <v>293</v>
      </c>
      <c r="BN5" s="211" t="s">
        <v>291</v>
      </c>
      <c r="BO5" s="211" t="s">
        <v>292</v>
      </c>
      <c r="BP5" s="211" t="s">
        <v>293</v>
      </c>
      <c r="BQ5" s="211" t="s">
        <v>291</v>
      </c>
      <c r="BR5" s="211" t="s">
        <v>292</v>
      </c>
      <c r="BS5" s="211" t="s">
        <v>293</v>
      </c>
      <c r="BT5" s="211" t="s">
        <v>291</v>
      </c>
      <c r="BU5" s="211" t="s">
        <v>292</v>
      </c>
      <c r="BV5" s="211" t="s">
        <v>293</v>
      </c>
      <c r="BW5" s="211" t="s">
        <v>291</v>
      </c>
      <c r="BX5" s="211" t="s">
        <v>292</v>
      </c>
      <c r="BY5" s="211" t="s">
        <v>293</v>
      </c>
      <c r="BZ5" s="211" t="s">
        <v>291</v>
      </c>
      <c r="CA5" s="211" t="s">
        <v>292</v>
      </c>
      <c r="CB5" s="211" t="s">
        <v>293</v>
      </c>
      <c r="CC5" s="211" t="s">
        <v>291</v>
      </c>
      <c r="CD5" s="211" t="s">
        <v>292</v>
      </c>
      <c r="CE5" s="211" t="s">
        <v>293</v>
      </c>
      <c r="CF5" s="211" t="s">
        <v>291</v>
      </c>
      <c r="CG5" s="211" t="s">
        <v>292</v>
      </c>
      <c r="CH5" s="211" t="s">
        <v>293</v>
      </c>
      <c r="CI5" s="211" t="s">
        <v>291</v>
      </c>
      <c r="CJ5" s="211" t="s">
        <v>292</v>
      </c>
      <c r="CK5" s="211" t="s">
        <v>293</v>
      </c>
      <c r="CL5" s="211" t="s">
        <v>291</v>
      </c>
      <c r="CM5" s="211" t="s">
        <v>292</v>
      </c>
      <c r="CN5" s="211" t="s">
        <v>293</v>
      </c>
      <c r="CO5" s="211" t="s">
        <v>291</v>
      </c>
      <c r="CP5" s="211" t="s">
        <v>292</v>
      </c>
      <c r="CQ5" s="211" t="s">
        <v>293</v>
      </c>
      <c r="CR5" s="212"/>
      <c r="CS5" s="212"/>
    </row>
    <row r="6" spans="1:97" x14ac:dyDescent="0.4">
      <c r="A6" s="209">
        <v>45292</v>
      </c>
      <c r="B6" s="210" t="s">
        <v>294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/>
      <c r="AR6" s="212"/>
      <c r="AS6" s="212"/>
      <c r="AT6" s="212"/>
      <c r="AU6" s="212"/>
      <c r="AV6" s="212"/>
      <c r="AW6" s="212"/>
      <c r="AX6" s="212"/>
      <c r="AY6" s="212"/>
      <c r="AZ6" s="212"/>
      <c r="BA6" s="212"/>
      <c r="BB6" s="212"/>
      <c r="BC6" s="212"/>
      <c r="BD6" s="212"/>
      <c r="BE6" s="212"/>
      <c r="BF6" s="212"/>
      <c r="BG6" s="212"/>
      <c r="BH6" s="212"/>
      <c r="BI6" s="212"/>
      <c r="BJ6" s="212"/>
      <c r="BK6" s="212"/>
      <c r="BL6" s="212"/>
      <c r="BM6" s="212"/>
      <c r="BN6" s="212"/>
      <c r="BO6" s="212"/>
      <c r="BP6" s="212"/>
      <c r="BQ6" s="212"/>
      <c r="BR6" s="212"/>
      <c r="BS6" s="212"/>
      <c r="BT6" s="212"/>
      <c r="BU6" s="212"/>
      <c r="BV6" s="212"/>
      <c r="BW6" s="212"/>
      <c r="BX6" s="212"/>
      <c r="BY6" s="212"/>
      <c r="BZ6" s="212"/>
      <c r="CA6" s="212"/>
      <c r="CB6" s="212"/>
      <c r="CC6" s="212"/>
      <c r="CD6" s="212"/>
      <c r="CE6" s="212"/>
      <c r="CF6" s="212"/>
      <c r="CG6" s="212"/>
      <c r="CH6" s="212"/>
      <c r="CI6" s="212"/>
      <c r="CJ6" s="212"/>
      <c r="CK6" s="212"/>
      <c r="CL6" s="212"/>
      <c r="CM6" s="212"/>
      <c r="CN6" s="212"/>
      <c r="CO6" s="212"/>
      <c r="CP6" s="212"/>
      <c r="CQ6" s="212"/>
      <c r="CR6" s="212"/>
      <c r="CS6" s="212"/>
    </row>
    <row r="7" spans="1:97" x14ac:dyDescent="0.4">
      <c r="A7" s="209">
        <v>45293</v>
      </c>
      <c r="B7" s="210" t="s">
        <v>295</v>
      </c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  <c r="AP7" s="212"/>
      <c r="AQ7" s="212"/>
      <c r="AR7" s="212"/>
      <c r="AS7" s="212"/>
      <c r="AT7" s="212"/>
      <c r="AU7" s="212"/>
      <c r="AV7" s="212"/>
      <c r="AW7" s="212"/>
      <c r="AX7" s="212"/>
      <c r="AY7" s="212"/>
      <c r="AZ7" s="212"/>
      <c r="BA7" s="212"/>
      <c r="BB7" s="212"/>
      <c r="BC7" s="212"/>
      <c r="BD7" s="212"/>
      <c r="BE7" s="212"/>
      <c r="BF7" s="212"/>
      <c r="BG7" s="212"/>
      <c r="BH7" s="212"/>
      <c r="BI7" s="212"/>
      <c r="BJ7" s="212"/>
      <c r="BK7" s="212"/>
      <c r="BL7" s="212"/>
      <c r="BM7" s="212"/>
      <c r="BN7" s="212"/>
      <c r="BO7" s="212"/>
      <c r="BP7" s="212"/>
      <c r="BQ7" s="212"/>
      <c r="BR7" s="212"/>
      <c r="BS7" s="212"/>
      <c r="BT7" s="212"/>
      <c r="BU7" s="212"/>
      <c r="BV7" s="212"/>
      <c r="BW7" s="212"/>
      <c r="BX7" s="212"/>
      <c r="BY7" s="212"/>
      <c r="BZ7" s="212"/>
      <c r="CA7" s="212"/>
      <c r="CB7" s="212"/>
      <c r="CC7" s="212"/>
      <c r="CD7" s="212"/>
      <c r="CE7" s="212"/>
      <c r="CF7" s="212"/>
      <c r="CG7" s="212"/>
      <c r="CH7" s="212"/>
      <c r="CI7" s="212"/>
      <c r="CJ7" s="212"/>
      <c r="CK7" s="212"/>
      <c r="CL7" s="212"/>
      <c r="CM7" s="212"/>
      <c r="CN7" s="212"/>
      <c r="CO7" s="212"/>
      <c r="CP7" s="212"/>
      <c r="CQ7" s="212"/>
      <c r="CR7" s="212"/>
      <c r="CS7" s="212"/>
    </row>
    <row r="8" spans="1:97" x14ac:dyDescent="0.4">
      <c r="A8" s="209">
        <v>45294</v>
      </c>
      <c r="B8" s="210" t="s">
        <v>296</v>
      </c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212"/>
      <c r="AA8" s="212"/>
      <c r="AB8" s="212"/>
      <c r="AC8" s="212"/>
      <c r="AD8" s="212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  <c r="AP8" s="212"/>
      <c r="AQ8" s="212"/>
      <c r="AR8" s="212"/>
      <c r="AS8" s="212"/>
      <c r="AT8" s="212"/>
      <c r="AU8" s="212"/>
      <c r="AV8" s="212"/>
      <c r="AW8" s="212"/>
      <c r="AX8" s="212"/>
      <c r="AY8" s="212"/>
      <c r="AZ8" s="212"/>
      <c r="BA8" s="212"/>
      <c r="BB8" s="212"/>
      <c r="BC8" s="212"/>
      <c r="BD8" s="212"/>
      <c r="BE8" s="212"/>
      <c r="BF8" s="212"/>
      <c r="BG8" s="212"/>
      <c r="BH8" s="212"/>
      <c r="BI8" s="212"/>
      <c r="BJ8" s="212"/>
      <c r="BK8" s="212"/>
      <c r="BL8" s="212"/>
      <c r="BM8" s="212"/>
      <c r="BN8" s="212"/>
      <c r="BO8" s="212"/>
      <c r="BP8" s="212"/>
      <c r="BQ8" s="212"/>
      <c r="BR8" s="212"/>
      <c r="BS8" s="212"/>
      <c r="BT8" s="212"/>
      <c r="BU8" s="212"/>
      <c r="BV8" s="212"/>
      <c r="BW8" s="212"/>
      <c r="BX8" s="212"/>
      <c r="BY8" s="212"/>
      <c r="BZ8" s="212"/>
      <c r="CA8" s="212"/>
      <c r="CB8" s="212"/>
      <c r="CC8" s="212"/>
      <c r="CD8" s="212"/>
      <c r="CE8" s="212"/>
      <c r="CF8" s="212"/>
      <c r="CG8" s="212"/>
      <c r="CH8" s="212"/>
      <c r="CI8" s="212"/>
      <c r="CJ8" s="212"/>
      <c r="CK8" s="212"/>
      <c r="CL8" s="212"/>
      <c r="CM8" s="212"/>
      <c r="CN8" s="212"/>
      <c r="CO8" s="212"/>
      <c r="CP8" s="212"/>
      <c r="CQ8" s="212"/>
      <c r="CR8" s="212"/>
      <c r="CS8" s="212"/>
    </row>
    <row r="9" spans="1:97" x14ac:dyDescent="0.4">
      <c r="A9" s="209">
        <v>45295</v>
      </c>
      <c r="B9" s="210" t="s">
        <v>297</v>
      </c>
      <c r="C9" s="212">
        <v>144.44</v>
      </c>
      <c r="D9" s="212">
        <v>142.44</v>
      </c>
      <c r="E9" s="212">
        <v>143.44</v>
      </c>
      <c r="F9" s="212">
        <v>158.09</v>
      </c>
      <c r="G9" s="212">
        <v>155.09</v>
      </c>
      <c r="H9" s="212">
        <v>156.59</v>
      </c>
      <c r="I9" s="212">
        <v>109.04</v>
      </c>
      <c r="J9" s="212">
        <v>105.84</v>
      </c>
      <c r="K9" s="212">
        <v>107.44</v>
      </c>
      <c r="L9" s="212">
        <v>185.71</v>
      </c>
      <c r="M9" s="212">
        <v>177.71</v>
      </c>
      <c r="N9" s="212">
        <v>181.71</v>
      </c>
      <c r="O9" s="212">
        <v>169.57</v>
      </c>
      <c r="P9" s="212">
        <v>167.76999999999998</v>
      </c>
      <c r="Q9" s="212">
        <v>168.67</v>
      </c>
      <c r="R9" s="212">
        <v>21.3</v>
      </c>
      <c r="S9" s="212">
        <v>20.7</v>
      </c>
      <c r="T9" s="212">
        <v>21</v>
      </c>
      <c r="U9" s="212">
        <v>14.17</v>
      </c>
      <c r="V9" s="212">
        <v>13.57</v>
      </c>
      <c r="W9" s="212">
        <v>13.870000000000001</v>
      </c>
      <c r="X9" s="212">
        <v>14.35</v>
      </c>
      <c r="Y9" s="212">
        <v>13.549999999999999</v>
      </c>
      <c r="Z9" s="212">
        <v>13.95</v>
      </c>
      <c r="AA9" s="212">
        <v>98.48</v>
      </c>
      <c r="AB9" s="212">
        <v>94.48</v>
      </c>
      <c r="AC9" s="212">
        <v>96.48</v>
      </c>
      <c r="AD9" s="212">
        <v>91.51</v>
      </c>
      <c r="AE9" s="212">
        <v>87.51</v>
      </c>
      <c r="AF9" s="212">
        <v>89.51</v>
      </c>
      <c r="AG9" s="212">
        <v>18.8</v>
      </c>
      <c r="AH9" s="212">
        <v>17.940000000000001</v>
      </c>
      <c r="AI9" s="212">
        <v>18.37</v>
      </c>
      <c r="AJ9" s="212"/>
      <c r="AK9" s="212"/>
      <c r="AL9" s="212"/>
      <c r="AM9" s="212">
        <v>108.76</v>
      </c>
      <c r="AN9" s="212">
        <v>107.10000000000001</v>
      </c>
      <c r="AO9" s="212">
        <v>107.93</v>
      </c>
      <c r="AP9" s="212">
        <v>39.11</v>
      </c>
      <c r="AQ9" s="212">
        <v>37.51</v>
      </c>
      <c r="AR9" s="212">
        <v>38.31</v>
      </c>
      <c r="AS9" s="212">
        <v>39.81</v>
      </c>
      <c r="AT9" s="212">
        <v>38.450000000000003</v>
      </c>
      <c r="AU9" s="212">
        <v>39.130000000000003</v>
      </c>
      <c r="AV9" s="212">
        <v>20.329999999999998</v>
      </c>
      <c r="AW9" s="212">
        <v>19.729999999999997</v>
      </c>
      <c r="AX9" s="212">
        <v>20.029999999999998</v>
      </c>
      <c r="AY9" s="212">
        <v>4.24</v>
      </c>
      <c r="AZ9" s="212">
        <v>4.08</v>
      </c>
      <c r="BA9" s="212">
        <v>4.16</v>
      </c>
      <c r="BB9" s="212">
        <v>1.88</v>
      </c>
      <c r="BC9" s="212">
        <v>1.5799999999999998</v>
      </c>
      <c r="BD9" s="212">
        <v>1.73</v>
      </c>
      <c r="BE9" s="212">
        <v>0.66</v>
      </c>
      <c r="BF9" s="212">
        <v>0.36000000000000004</v>
      </c>
      <c r="BG9" s="212">
        <v>0.51</v>
      </c>
      <c r="BH9" s="212">
        <v>475.23</v>
      </c>
      <c r="BI9" s="212">
        <v>459.23</v>
      </c>
      <c r="BJ9" s="212">
        <v>467.23</v>
      </c>
      <c r="BK9" s="212">
        <v>39.99</v>
      </c>
      <c r="BL9" s="212">
        <v>38.630000000000003</v>
      </c>
      <c r="BM9" s="212">
        <v>39.31</v>
      </c>
      <c r="BN9" s="212">
        <v>1.05</v>
      </c>
      <c r="BO9" s="212">
        <v>0.81</v>
      </c>
      <c r="BP9" s="212">
        <v>0.93</v>
      </c>
      <c r="BQ9" s="212">
        <v>9.43</v>
      </c>
      <c r="BR9" s="212">
        <v>7.43</v>
      </c>
      <c r="BS9" s="212">
        <v>8.43</v>
      </c>
      <c r="BT9" s="212">
        <v>11.17</v>
      </c>
      <c r="BU9" s="212">
        <v>10.77</v>
      </c>
      <c r="BV9" s="212">
        <v>10.969999999999999</v>
      </c>
      <c r="BW9" s="212">
        <v>2.74</v>
      </c>
      <c r="BX9" s="212">
        <v>2.46</v>
      </c>
      <c r="BY9" s="212">
        <v>2.6</v>
      </c>
      <c r="BZ9" s="212">
        <v>9.16</v>
      </c>
      <c r="CA9" s="212">
        <v>6.16</v>
      </c>
      <c r="CB9" s="212">
        <v>7.66</v>
      </c>
      <c r="CC9" s="212">
        <v>6.48</v>
      </c>
      <c r="CD9" s="212">
        <v>6.24</v>
      </c>
      <c r="CE9" s="212">
        <v>6.36</v>
      </c>
      <c r="CF9" s="212">
        <v>1.81</v>
      </c>
      <c r="CG9" s="212">
        <v>1.31</v>
      </c>
      <c r="CH9" s="212">
        <v>1.56</v>
      </c>
      <c r="CI9" s="212">
        <v>0.43</v>
      </c>
      <c r="CJ9" s="212">
        <v>0.39</v>
      </c>
      <c r="CK9" s="212">
        <v>0.41000000000000003</v>
      </c>
      <c r="CL9" s="212">
        <v>37.200000000000003</v>
      </c>
      <c r="CM9" s="212">
        <v>34.800000000000004</v>
      </c>
      <c r="CN9" s="212">
        <v>36</v>
      </c>
      <c r="CO9" s="212">
        <v>7.32</v>
      </c>
      <c r="CP9" s="212">
        <v>2.3200000000000003</v>
      </c>
      <c r="CQ9" s="212">
        <v>4.82</v>
      </c>
      <c r="CR9" s="212"/>
      <c r="CS9" s="212"/>
    </row>
    <row r="10" spans="1:97" x14ac:dyDescent="0.4">
      <c r="A10" s="209">
        <v>45296</v>
      </c>
      <c r="B10" s="210" t="s">
        <v>298</v>
      </c>
      <c r="C10" s="212">
        <v>146.02000000000001</v>
      </c>
      <c r="D10" s="212">
        <v>144.02000000000001</v>
      </c>
      <c r="E10" s="212">
        <v>145.02000000000001</v>
      </c>
      <c r="F10" s="212">
        <v>160.31</v>
      </c>
      <c r="G10" s="212">
        <v>157.31</v>
      </c>
      <c r="H10" s="212">
        <v>158.81</v>
      </c>
      <c r="I10" s="212">
        <v>110.23</v>
      </c>
      <c r="J10" s="212">
        <v>107.03</v>
      </c>
      <c r="K10" s="212">
        <v>108.63</v>
      </c>
      <c r="L10" s="212">
        <v>188.06</v>
      </c>
      <c r="M10" s="212">
        <v>180.06</v>
      </c>
      <c r="N10" s="212">
        <v>184.06</v>
      </c>
      <c r="O10" s="212">
        <v>171.53</v>
      </c>
      <c r="P10" s="212">
        <v>169.73</v>
      </c>
      <c r="Q10" s="212">
        <v>170.63</v>
      </c>
      <c r="R10" s="212">
        <v>21.59</v>
      </c>
      <c r="S10" s="212">
        <v>20.99</v>
      </c>
      <c r="T10" s="212">
        <v>21.29</v>
      </c>
      <c r="U10" s="212">
        <v>14.4</v>
      </c>
      <c r="V10" s="212">
        <v>13.8</v>
      </c>
      <c r="W10" s="212">
        <v>14.100000000000001</v>
      </c>
      <c r="X10" s="212">
        <v>14.61</v>
      </c>
      <c r="Y10" s="212">
        <v>13.809999999999999</v>
      </c>
      <c r="Z10" s="212">
        <v>14.209999999999999</v>
      </c>
      <c r="AA10" s="212">
        <v>99.31</v>
      </c>
      <c r="AB10" s="212">
        <v>95.31</v>
      </c>
      <c r="AC10" s="212">
        <v>97.31</v>
      </c>
      <c r="AD10" s="212">
        <v>92.45</v>
      </c>
      <c r="AE10" s="212">
        <v>88.45</v>
      </c>
      <c r="AF10" s="212">
        <v>90.45</v>
      </c>
      <c r="AG10" s="212">
        <v>19</v>
      </c>
      <c r="AH10" s="212">
        <v>18.14</v>
      </c>
      <c r="AI10" s="212">
        <v>18.57</v>
      </c>
      <c r="AJ10" s="212"/>
      <c r="AK10" s="212"/>
      <c r="AL10" s="212"/>
      <c r="AM10" s="212">
        <v>109.95</v>
      </c>
      <c r="AN10" s="212">
        <v>108.29</v>
      </c>
      <c r="AO10" s="212">
        <v>109.12</v>
      </c>
      <c r="AP10" s="212">
        <v>39.53</v>
      </c>
      <c r="AQ10" s="212">
        <v>37.93</v>
      </c>
      <c r="AR10" s="212">
        <v>38.730000000000004</v>
      </c>
      <c r="AS10" s="212">
        <v>40.1</v>
      </c>
      <c r="AT10" s="212">
        <v>38.74</v>
      </c>
      <c r="AU10" s="212">
        <v>39.42</v>
      </c>
      <c r="AV10" s="212">
        <v>20.51</v>
      </c>
      <c r="AW10" s="212">
        <v>19.91</v>
      </c>
      <c r="AX10" s="212">
        <v>20.21</v>
      </c>
      <c r="AY10" s="212">
        <v>4.28</v>
      </c>
      <c r="AZ10" s="212">
        <v>4.12</v>
      </c>
      <c r="BA10" s="212">
        <v>4.2</v>
      </c>
      <c r="BB10" s="212">
        <v>1.9</v>
      </c>
      <c r="BC10" s="212">
        <v>1.5999999999999999</v>
      </c>
      <c r="BD10" s="212">
        <v>1.75</v>
      </c>
      <c r="BE10" s="212">
        <v>0.67</v>
      </c>
      <c r="BF10" s="212">
        <v>0.37000000000000005</v>
      </c>
      <c r="BG10" s="212">
        <v>0.52</v>
      </c>
      <c r="BH10" s="212">
        <v>480.38</v>
      </c>
      <c r="BI10" s="212">
        <v>464.38</v>
      </c>
      <c r="BJ10" s="212">
        <v>472.38</v>
      </c>
      <c r="BK10" s="212">
        <v>40.54</v>
      </c>
      <c r="BL10" s="212">
        <v>39.18</v>
      </c>
      <c r="BM10" s="212">
        <v>39.86</v>
      </c>
      <c r="BN10" s="212">
        <v>1.06</v>
      </c>
      <c r="BO10" s="212">
        <v>0.82000000000000006</v>
      </c>
      <c r="BP10" s="212">
        <v>0.94000000000000006</v>
      </c>
      <c r="BQ10" s="212">
        <v>9.5299999999999994</v>
      </c>
      <c r="BR10" s="212">
        <v>7.5299999999999994</v>
      </c>
      <c r="BS10" s="212">
        <v>8.5299999999999994</v>
      </c>
      <c r="BT10" s="212">
        <v>11.26</v>
      </c>
      <c r="BU10" s="212">
        <v>10.86</v>
      </c>
      <c r="BV10" s="212">
        <v>11.059999999999999</v>
      </c>
      <c r="BW10" s="212">
        <v>2.77</v>
      </c>
      <c r="BX10" s="212">
        <v>2.4900000000000002</v>
      </c>
      <c r="BY10" s="212">
        <v>2.63</v>
      </c>
      <c r="BZ10" s="212">
        <v>9.25</v>
      </c>
      <c r="CA10" s="212">
        <v>6.25</v>
      </c>
      <c r="CB10" s="212">
        <v>7.75</v>
      </c>
      <c r="CC10" s="212">
        <v>6.56</v>
      </c>
      <c r="CD10" s="212">
        <v>6.3199999999999994</v>
      </c>
      <c r="CE10" s="212">
        <v>6.4399999999999995</v>
      </c>
      <c r="CF10" s="212">
        <v>1.84</v>
      </c>
      <c r="CG10" s="212">
        <v>1.34</v>
      </c>
      <c r="CH10" s="212">
        <v>1.59</v>
      </c>
      <c r="CI10" s="212">
        <v>0.44</v>
      </c>
      <c r="CJ10" s="212">
        <v>0.4</v>
      </c>
      <c r="CK10" s="212">
        <v>0.42000000000000004</v>
      </c>
      <c r="CL10" s="212">
        <v>37.74</v>
      </c>
      <c r="CM10" s="212">
        <v>35.340000000000003</v>
      </c>
      <c r="CN10" s="212">
        <v>36.540000000000006</v>
      </c>
      <c r="CO10" s="212">
        <v>7.38</v>
      </c>
      <c r="CP10" s="212">
        <v>2.38</v>
      </c>
      <c r="CQ10" s="212">
        <v>4.88</v>
      </c>
      <c r="CR10" s="212"/>
      <c r="CS10" s="212"/>
    </row>
    <row r="11" spans="1:97" x14ac:dyDescent="0.4">
      <c r="A11" s="209">
        <v>45297</v>
      </c>
      <c r="B11" s="210" t="s">
        <v>299</v>
      </c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/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</row>
    <row r="12" spans="1:97" x14ac:dyDescent="0.4">
      <c r="A12" s="209">
        <v>45298</v>
      </c>
      <c r="B12" s="210" t="s">
        <v>300</v>
      </c>
      <c r="C12" s="212"/>
      <c r="D12" s="212"/>
      <c r="E12" s="212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2"/>
      <c r="BN12" s="212"/>
      <c r="BO12" s="212"/>
      <c r="BP12" s="212"/>
      <c r="BQ12" s="212"/>
      <c r="BR12" s="212"/>
      <c r="BS12" s="212"/>
      <c r="BT12" s="212"/>
      <c r="BU12" s="212"/>
      <c r="BV12" s="212"/>
      <c r="BW12" s="212"/>
      <c r="BX12" s="212"/>
      <c r="BY12" s="212"/>
      <c r="BZ12" s="212"/>
      <c r="CA12" s="212"/>
      <c r="CB12" s="212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2"/>
      <c r="CP12" s="212"/>
      <c r="CQ12" s="212"/>
      <c r="CR12" s="212"/>
      <c r="CS12" s="212"/>
    </row>
    <row r="13" spans="1:97" x14ac:dyDescent="0.4">
      <c r="A13" s="209">
        <v>45299</v>
      </c>
      <c r="B13" s="210" t="s">
        <v>294</v>
      </c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2"/>
      <c r="AX13" s="212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2"/>
      <c r="BN13" s="212"/>
      <c r="BO13" s="212"/>
      <c r="BP13" s="212"/>
      <c r="BQ13" s="212"/>
      <c r="BR13" s="212"/>
      <c r="BS13" s="212"/>
      <c r="BT13" s="212"/>
      <c r="BU13" s="212"/>
      <c r="BV13" s="212"/>
      <c r="BW13" s="212"/>
      <c r="BX13" s="212"/>
      <c r="BY13" s="212"/>
      <c r="BZ13" s="212"/>
      <c r="CA13" s="212"/>
      <c r="CB13" s="212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12"/>
      <c r="CO13" s="212"/>
      <c r="CP13" s="212"/>
      <c r="CQ13" s="212"/>
      <c r="CR13" s="212"/>
      <c r="CS13" s="212"/>
    </row>
    <row r="14" spans="1:97" x14ac:dyDescent="0.4">
      <c r="A14" s="209">
        <v>45300</v>
      </c>
      <c r="B14" s="210" t="s">
        <v>295</v>
      </c>
      <c r="C14" s="212">
        <v>144.97999999999999</v>
      </c>
      <c r="D14" s="212">
        <v>142.97999999999999</v>
      </c>
      <c r="E14" s="212">
        <v>143.97999999999999</v>
      </c>
      <c r="F14" s="212">
        <v>159.19999999999999</v>
      </c>
      <c r="G14" s="212">
        <v>156.19999999999999</v>
      </c>
      <c r="H14" s="212">
        <v>157.69999999999999</v>
      </c>
      <c r="I14" s="212">
        <v>109.44</v>
      </c>
      <c r="J14" s="212">
        <v>106.24</v>
      </c>
      <c r="K14" s="212">
        <v>107.84</v>
      </c>
      <c r="L14" s="212">
        <v>187.68</v>
      </c>
      <c r="M14" s="212">
        <v>179.68</v>
      </c>
      <c r="N14" s="212">
        <v>183.68</v>
      </c>
      <c r="O14" s="212">
        <v>170.75</v>
      </c>
      <c r="P14" s="212">
        <v>168.95</v>
      </c>
      <c r="Q14" s="212">
        <v>169.85</v>
      </c>
      <c r="R14" s="212">
        <v>21.44</v>
      </c>
      <c r="S14" s="212">
        <v>20.84</v>
      </c>
      <c r="T14" s="212">
        <v>21.14</v>
      </c>
      <c r="U14" s="212">
        <v>14.18</v>
      </c>
      <c r="V14" s="212">
        <v>13.58</v>
      </c>
      <c r="W14" s="212">
        <v>13.879999999999999</v>
      </c>
      <c r="X14" s="212">
        <v>14.5</v>
      </c>
      <c r="Y14" s="212">
        <v>13.7</v>
      </c>
      <c r="Z14" s="212">
        <v>14.1</v>
      </c>
      <c r="AA14" s="212">
        <v>98.81</v>
      </c>
      <c r="AB14" s="212">
        <v>94.81</v>
      </c>
      <c r="AC14" s="212">
        <v>96.81</v>
      </c>
      <c r="AD14" s="212">
        <v>92.05</v>
      </c>
      <c r="AE14" s="212">
        <v>88.05</v>
      </c>
      <c r="AF14" s="212">
        <v>90.05</v>
      </c>
      <c r="AG14" s="212">
        <v>18.87</v>
      </c>
      <c r="AH14" s="212">
        <v>18.010000000000002</v>
      </c>
      <c r="AI14" s="212">
        <v>18.440000000000001</v>
      </c>
      <c r="AJ14" s="212"/>
      <c r="AK14" s="212"/>
      <c r="AL14" s="212"/>
      <c r="AM14" s="212">
        <v>109.22</v>
      </c>
      <c r="AN14" s="212">
        <v>107.56</v>
      </c>
      <c r="AO14" s="212">
        <v>108.39</v>
      </c>
      <c r="AP14" s="212">
        <v>39.26</v>
      </c>
      <c r="AQ14" s="212">
        <v>37.659999999999997</v>
      </c>
      <c r="AR14" s="212">
        <v>38.459999999999994</v>
      </c>
      <c r="AS14" s="212">
        <v>39.950000000000003</v>
      </c>
      <c r="AT14" s="212">
        <v>38.590000000000003</v>
      </c>
      <c r="AU14" s="212">
        <v>39.270000000000003</v>
      </c>
      <c r="AV14" s="212">
        <v>20.399999999999999</v>
      </c>
      <c r="AW14" s="212">
        <v>19.799999999999997</v>
      </c>
      <c r="AX14" s="212">
        <v>20.099999999999998</v>
      </c>
      <c r="AY14" s="212">
        <v>4.2</v>
      </c>
      <c r="AZ14" s="212">
        <v>4.04</v>
      </c>
      <c r="BA14" s="212">
        <v>4.12</v>
      </c>
      <c r="BB14" s="212">
        <v>1.89</v>
      </c>
      <c r="BC14" s="212">
        <v>1.5899999999999999</v>
      </c>
      <c r="BD14" s="212">
        <v>1.7399999999999998</v>
      </c>
      <c r="BE14" s="212">
        <v>0.66</v>
      </c>
      <c r="BF14" s="212">
        <v>0.36000000000000004</v>
      </c>
      <c r="BG14" s="212">
        <v>0.51</v>
      </c>
      <c r="BH14" s="212">
        <v>475.92</v>
      </c>
      <c r="BI14" s="212">
        <v>459.92</v>
      </c>
      <c r="BJ14" s="212">
        <v>467.92</v>
      </c>
      <c r="BK14" s="212">
        <v>40.26</v>
      </c>
      <c r="BL14" s="212">
        <v>38.9</v>
      </c>
      <c r="BM14" s="212">
        <v>39.58</v>
      </c>
      <c r="BN14" s="212">
        <v>1.05</v>
      </c>
      <c r="BO14" s="212">
        <v>0.81</v>
      </c>
      <c r="BP14" s="212">
        <v>0.93</v>
      </c>
      <c r="BQ14" s="212">
        <v>9.56</v>
      </c>
      <c r="BR14" s="212">
        <v>7.5600000000000005</v>
      </c>
      <c r="BS14" s="212">
        <v>8.56</v>
      </c>
      <c r="BT14" s="212">
        <v>11.19</v>
      </c>
      <c r="BU14" s="212">
        <v>10.79</v>
      </c>
      <c r="BV14" s="212">
        <v>10.989999999999998</v>
      </c>
      <c r="BW14" s="212">
        <v>2.75</v>
      </c>
      <c r="BX14" s="212">
        <v>2.4699999999999998</v>
      </c>
      <c r="BY14" s="212">
        <v>2.61</v>
      </c>
      <c r="BZ14" s="212">
        <v>9.24</v>
      </c>
      <c r="CA14" s="212">
        <v>6.24</v>
      </c>
      <c r="CB14" s="212">
        <v>7.74</v>
      </c>
      <c r="CC14" s="212">
        <v>6.54</v>
      </c>
      <c r="CD14" s="212">
        <v>6.3</v>
      </c>
      <c r="CE14" s="212">
        <v>6.42</v>
      </c>
      <c r="CF14" s="212">
        <v>1.83</v>
      </c>
      <c r="CG14" s="212">
        <v>1.33</v>
      </c>
      <c r="CH14" s="212">
        <v>1.58</v>
      </c>
      <c r="CI14" s="212">
        <v>0.44</v>
      </c>
      <c r="CJ14" s="212">
        <v>0.4</v>
      </c>
      <c r="CK14" s="212">
        <v>0.42000000000000004</v>
      </c>
      <c r="CL14" s="212">
        <v>37.590000000000003</v>
      </c>
      <c r="CM14" s="212">
        <v>35.190000000000005</v>
      </c>
      <c r="CN14" s="212">
        <v>36.39</v>
      </c>
      <c r="CO14" s="212">
        <v>7.32</v>
      </c>
      <c r="CP14" s="212">
        <v>2.3200000000000003</v>
      </c>
      <c r="CQ14" s="212">
        <v>4.82</v>
      </c>
      <c r="CR14" s="212"/>
      <c r="CS14" s="212"/>
    </row>
    <row r="15" spans="1:97" x14ac:dyDescent="0.4">
      <c r="A15" s="209">
        <v>45301</v>
      </c>
      <c r="B15" s="210" t="s">
        <v>296</v>
      </c>
      <c r="C15" s="212">
        <v>145.69</v>
      </c>
      <c r="D15" s="212">
        <v>143.69</v>
      </c>
      <c r="E15" s="212">
        <v>144.69</v>
      </c>
      <c r="F15" s="212">
        <v>159.69999999999999</v>
      </c>
      <c r="G15" s="212">
        <v>156.69999999999999</v>
      </c>
      <c r="H15" s="212">
        <v>158.19999999999999</v>
      </c>
      <c r="I15" s="212">
        <v>109.69</v>
      </c>
      <c r="J15" s="212">
        <v>106.49</v>
      </c>
      <c r="K15" s="212">
        <v>108.09</v>
      </c>
      <c r="L15" s="212">
        <v>187.96</v>
      </c>
      <c r="M15" s="212">
        <v>179.96</v>
      </c>
      <c r="N15" s="212">
        <v>183.96</v>
      </c>
      <c r="O15" s="212">
        <v>170.66</v>
      </c>
      <c r="P15" s="212">
        <v>168.85999999999999</v>
      </c>
      <c r="Q15" s="212">
        <v>169.76</v>
      </c>
      <c r="R15" s="212">
        <v>21.51</v>
      </c>
      <c r="S15" s="212">
        <v>20.91</v>
      </c>
      <c r="T15" s="212">
        <v>21.21</v>
      </c>
      <c r="U15" s="212">
        <v>14.28</v>
      </c>
      <c r="V15" s="212">
        <v>13.68</v>
      </c>
      <c r="W15" s="212">
        <v>13.98</v>
      </c>
      <c r="X15" s="212">
        <v>14.52</v>
      </c>
      <c r="Y15" s="212">
        <v>13.719999999999999</v>
      </c>
      <c r="Z15" s="212">
        <v>14.12</v>
      </c>
      <c r="AA15" s="212">
        <v>98.8</v>
      </c>
      <c r="AB15" s="212">
        <v>94.8</v>
      </c>
      <c r="AC15" s="212">
        <v>96.8</v>
      </c>
      <c r="AD15" s="212">
        <v>92.2</v>
      </c>
      <c r="AE15" s="212">
        <v>88.2</v>
      </c>
      <c r="AF15" s="212">
        <v>90.2</v>
      </c>
      <c r="AG15" s="212">
        <v>18.940000000000001</v>
      </c>
      <c r="AH15" s="212">
        <v>18.080000000000002</v>
      </c>
      <c r="AI15" s="212">
        <v>18.510000000000002</v>
      </c>
      <c r="AJ15" s="212"/>
      <c r="AK15" s="212"/>
      <c r="AL15" s="212"/>
      <c r="AM15" s="212">
        <v>109.55</v>
      </c>
      <c r="AN15" s="212">
        <v>107.89</v>
      </c>
      <c r="AO15" s="212">
        <v>108.72</v>
      </c>
      <c r="AP15" s="212">
        <v>39.450000000000003</v>
      </c>
      <c r="AQ15" s="212">
        <v>37.85</v>
      </c>
      <c r="AR15" s="212">
        <v>38.650000000000006</v>
      </c>
      <c r="AS15" s="212">
        <v>40.14</v>
      </c>
      <c r="AT15" s="212">
        <v>38.78</v>
      </c>
      <c r="AU15" s="212">
        <v>39.46</v>
      </c>
      <c r="AV15" s="212">
        <v>20.45</v>
      </c>
      <c r="AW15" s="212">
        <v>19.849999999999998</v>
      </c>
      <c r="AX15" s="212">
        <v>20.149999999999999</v>
      </c>
      <c r="AY15" s="212">
        <v>4.22</v>
      </c>
      <c r="AZ15" s="212">
        <v>4.0599999999999996</v>
      </c>
      <c r="BA15" s="212">
        <v>4.1399999999999997</v>
      </c>
      <c r="BB15" s="212">
        <v>1.9</v>
      </c>
      <c r="BC15" s="212">
        <v>1.5999999999999999</v>
      </c>
      <c r="BD15" s="212">
        <v>1.75</v>
      </c>
      <c r="BE15" s="212">
        <v>0.67</v>
      </c>
      <c r="BF15" s="212">
        <v>0.37000000000000005</v>
      </c>
      <c r="BG15" s="212">
        <v>0.52</v>
      </c>
      <c r="BH15" s="212">
        <v>479.46</v>
      </c>
      <c r="BI15" s="212">
        <v>463.46</v>
      </c>
      <c r="BJ15" s="212">
        <v>471.46</v>
      </c>
      <c r="BK15" s="212">
        <v>40.450000000000003</v>
      </c>
      <c r="BL15" s="212">
        <v>39.090000000000003</v>
      </c>
      <c r="BM15" s="212">
        <v>39.770000000000003</v>
      </c>
      <c r="BN15" s="212">
        <v>1.05</v>
      </c>
      <c r="BO15" s="212">
        <v>0.81</v>
      </c>
      <c r="BP15" s="212">
        <v>0.93</v>
      </c>
      <c r="BQ15" s="212">
        <v>9.5299999999999994</v>
      </c>
      <c r="BR15" s="212">
        <v>7.5299999999999994</v>
      </c>
      <c r="BS15" s="212">
        <v>8.5299999999999994</v>
      </c>
      <c r="BT15" s="212">
        <v>11.16</v>
      </c>
      <c r="BU15" s="212">
        <v>10.76</v>
      </c>
      <c r="BV15" s="212">
        <v>10.96</v>
      </c>
      <c r="BW15" s="212">
        <v>2.74</v>
      </c>
      <c r="BX15" s="212">
        <v>2.46</v>
      </c>
      <c r="BY15" s="212">
        <v>2.6</v>
      </c>
      <c r="BZ15" s="212">
        <v>9.24</v>
      </c>
      <c r="CA15" s="212">
        <v>6.24</v>
      </c>
      <c r="CB15" s="212">
        <v>7.74</v>
      </c>
      <c r="CC15" s="212">
        <v>6.56</v>
      </c>
      <c r="CD15" s="212">
        <v>6.3199999999999994</v>
      </c>
      <c r="CE15" s="212">
        <v>6.4399999999999995</v>
      </c>
      <c r="CF15" s="212">
        <v>1.87</v>
      </c>
      <c r="CG15" s="212">
        <v>1.37</v>
      </c>
      <c r="CH15" s="212">
        <v>1.62</v>
      </c>
      <c r="CI15" s="212">
        <v>0.44</v>
      </c>
      <c r="CJ15" s="212">
        <v>0.4</v>
      </c>
      <c r="CK15" s="212">
        <v>0.42000000000000004</v>
      </c>
      <c r="CL15" s="212">
        <v>37.619999999999997</v>
      </c>
      <c r="CM15" s="212">
        <v>35.22</v>
      </c>
      <c r="CN15" s="212">
        <v>36.42</v>
      </c>
      <c r="CO15" s="212">
        <v>7.34</v>
      </c>
      <c r="CP15" s="212">
        <v>2.34</v>
      </c>
      <c r="CQ15" s="212">
        <v>4.84</v>
      </c>
      <c r="CR15" s="212"/>
      <c r="CS15" s="212"/>
    </row>
    <row r="16" spans="1:97" x14ac:dyDescent="0.4">
      <c r="A16" s="209">
        <v>45302</v>
      </c>
      <c r="B16" s="210" t="s">
        <v>297</v>
      </c>
      <c r="C16" s="212">
        <v>146.65</v>
      </c>
      <c r="D16" s="212">
        <v>144.65</v>
      </c>
      <c r="E16" s="212">
        <v>145.65</v>
      </c>
      <c r="F16" s="212">
        <v>161.31</v>
      </c>
      <c r="G16" s="212">
        <v>158.31</v>
      </c>
      <c r="H16" s="212">
        <v>159.81</v>
      </c>
      <c r="I16" s="212">
        <v>110.49</v>
      </c>
      <c r="J16" s="212">
        <v>107.28999999999999</v>
      </c>
      <c r="K16" s="212">
        <v>108.88999999999999</v>
      </c>
      <c r="L16" s="212">
        <v>189.67</v>
      </c>
      <c r="M16" s="212">
        <v>181.67</v>
      </c>
      <c r="N16" s="212">
        <v>185.67</v>
      </c>
      <c r="O16" s="212">
        <v>172.15</v>
      </c>
      <c r="P16" s="212">
        <v>170.35</v>
      </c>
      <c r="Q16" s="212">
        <v>171.25</v>
      </c>
      <c r="R16" s="212">
        <v>21.73</v>
      </c>
      <c r="S16" s="212">
        <v>21.13</v>
      </c>
      <c r="T16" s="212">
        <v>21.43</v>
      </c>
      <c r="U16" s="212">
        <v>14.37</v>
      </c>
      <c r="V16" s="212">
        <v>13.77</v>
      </c>
      <c r="W16" s="212">
        <v>14.07</v>
      </c>
      <c r="X16" s="212">
        <v>14.64</v>
      </c>
      <c r="Y16" s="212">
        <v>13.84</v>
      </c>
      <c r="Z16" s="212">
        <v>14.24</v>
      </c>
      <c r="AA16" s="212">
        <v>99.7</v>
      </c>
      <c r="AB16" s="212">
        <v>95.7</v>
      </c>
      <c r="AC16" s="212">
        <v>97.7</v>
      </c>
      <c r="AD16" s="212">
        <v>92.83</v>
      </c>
      <c r="AE16" s="212">
        <v>88.83</v>
      </c>
      <c r="AF16" s="212">
        <v>90.83</v>
      </c>
      <c r="AG16" s="212">
        <v>19.059999999999999</v>
      </c>
      <c r="AH16" s="212">
        <v>18.2</v>
      </c>
      <c r="AI16" s="212">
        <v>18.63</v>
      </c>
      <c r="AJ16" s="212"/>
      <c r="AK16" s="212"/>
      <c r="AL16" s="212"/>
      <c r="AM16" s="212">
        <v>110.28</v>
      </c>
      <c r="AN16" s="212">
        <v>108.62</v>
      </c>
      <c r="AO16" s="212">
        <v>109.45</v>
      </c>
      <c r="AP16" s="212">
        <v>39.700000000000003</v>
      </c>
      <c r="AQ16" s="212">
        <v>38.1</v>
      </c>
      <c r="AR16" s="212">
        <v>38.900000000000006</v>
      </c>
      <c r="AS16" s="212">
        <v>40.409999999999997</v>
      </c>
      <c r="AT16" s="212">
        <v>39.049999999999997</v>
      </c>
      <c r="AU16" s="212">
        <v>39.729999999999997</v>
      </c>
      <c r="AV16" s="212">
        <v>20.58</v>
      </c>
      <c r="AW16" s="212">
        <v>19.979999999999997</v>
      </c>
      <c r="AX16" s="212">
        <v>20.279999999999998</v>
      </c>
      <c r="AY16" s="212">
        <v>4.25</v>
      </c>
      <c r="AZ16" s="212">
        <v>4.09</v>
      </c>
      <c r="BA16" s="212">
        <v>4.17</v>
      </c>
      <c r="BB16" s="212">
        <v>1.92</v>
      </c>
      <c r="BC16" s="212">
        <v>1.6199999999999999</v>
      </c>
      <c r="BD16" s="212">
        <v>1.77</v>
      </c>
      <c r="BE16" s="212">
        <v>0.67</v>
      </c>
      <c r="BF16" s="212">
        <v>0.37000000000000005</v>
      </c>
      <c r="BG16" s="212">
        <v>0.52</v>
      </c>
      <c r="BH16" s="212">
        <v>482.58</v>
      </c>
      <c r="BI16" s="212">
        <v>466.58</v>
      </c>
      <c r="BJ16" s="212">
        <v>474.58</v>
      </c>
      <c r="BK16" s="212">
        <v>40.700000000000003</v>
      </c>
      <c r="BL16" s="212">
        <v>39.340000000000003</v>
      </c>
      <c r="BM16" s="212">
        <v>40.020000000000003</v>
      </c>
      <c r="BN16" s="212">
        <v>1.06</v>
      </c>
      <c r="BO16" s="212">
        <v>0.82000000000000006</v>
      </c>
      <c r="BP16" s="212">
        <v>0.94000000000000006</v>
      </c>
      <c r="BQ16" s="212">
        <v>9.59</v>
      </c>
      <c r="BR16" s="212">
        <v>7.59</v>
      </c>
      <c r="BS16" s="212">
        <v>8.59</v>
      </c>
      <c r="BT16" s="212">
        <v>11.27</v>
      </c>
      <c r="BU16" s="212">
        <v>10.87</v>
      </c>
      <c r="BV16" s="212">
        <v>11.07</v>
      </c>
      <c r="BW16" s="212">
        <v>2.75</v>
      </c>
      <c r="BX16" s="212">
        <v>2.4699999999999998</v>
      </c>
      <c r="BY16" s="212">
        <v>2.61</v>
      </c>
      <c r="BZ16" s="212">
        <v>9.2899999999999991</v>
      </c>
      <c r="CA16" s="212">
        <v>6.2899999999999991</v>
      </c>
      <c r="CB16" s="212">
        <v>7.7899999999999991</v>
      </c>
      <c r="CC16" s="212">
        <v>6.64</v>
      </c>
      <c r="CD16" s="212">
        <v>6.3999999999999995</v>
      </c>
      <c r="CE16" s="212">
        <v>6.52</v>
      </c>
      <c r="CF16" s="212">
        <v>1.88</v>
      </c>
      <c r="CG16" s="212">
        <v>1.38</v>
      </c>
      <c r="CH16" s="212">
        <v>1.63</v>
      </c>
      <c r="CI16" s="212">
        <v>0.44</v>
      </c>
      <c r="CJ16" s="212">
        <v>0.4</v>
      </c>
      <c r="CK16" s="212">
        <v>0.42000000000000004</v>
      </c>
      <c r="CL16" s="212">
        <v>38.1</v>
      </c>
      <c r="CM16" s="212">
        <v>35.700000000000003</v>
      </c>
      <c r="CN16" s="212">
        <v>36.900000000000006</v>
      </c>
      <c r="CO16" s="212">
        <v>7.41</v>
      </c>
      <c r="CP16" s="212">
        <v>2.41</v>
      </c>
      <c r="CQ16" s="212">
        <v>4.91</v>
      </c>
      <c r="CR16" s="212"/>
      <c r="CS16" s="212"/>
    </row>
    <row r="17" spans="1:97" x14ac:dyDescent="0.4">
      <c r="A17" s="209">
        <v>45303</v>
      </c>
      <c r="B17" s="210" t="s">
        <v>298</v>
      </c>
      <c r="C17" s="212">
        <v>146.32</v>
      </c>
      <c r="D17" s="212">
        <v>144.32</v>
      </c>
      <c r="E17" s="212">
        <v>145.32</v>
      </c>
      <c r="F17" s="212">
        <v>161.05000000000001</v>
      </c>
      <c r="G17" s="212">
        <v>158.05000000000001</v>
      </c>
      <c r="H17" s="212">
        <v>159.55000000000001</v>
      </c>
      <c r="I17" s="212">
        <v>110.21</v>
      </c>
      <c r="J17" s="212">
        <v>107.00999999999999</v>
      </c>
      <c r="K17" s="212">
        <v>108.60999999999999</v>
      </c>
      <c r="L17" s="212">
        <v>189.62</v>
      </c>
      <c r="M17" s="212">
        <v>181.62</v>
      </c>
      <c r="N17" s="212">
        <v>185.62</v>
      </c>
      <c r="O17" s="212">
        <v>171.48</v>
      </c>
      <c r="P17" s="212">
        <v>169.67999999999998</v>
      </c>
      <c r="Q17" s="212">
        <v>170.57999999999998</v>
      </c>
      <c r="R17" s="212">
        <v>21.69</v>
      </c>
      <c r="S17" s="212">
        <v>21.09</v>
      </c>
      <c r="T17" s="212">
        <v>21.39</v>
      </c>
      <c r="U17" s="212">
        <v>14.43</v>
      </c>
      <c r="V17" s="212">
        <v>13.83</v>
      </c>
      <c r="W17" s="212">
        <v>14.129999999999999</v>
      </c>
      <c r="X17" s="212">
        <v>14.57</v>
      </c>
      <c r="Y17" s="212">
        <v>13.77</v>
      </c>
      <c r="Z17" s="212">
        <v>14.17</v>
      </c>
      <c r="AA17" s="212">
        <v>99.36</v>
      </c>
      <c r="AB17" s="212">
        <v>95.36</v>
      </c>
      <c r="AC17" s="212">
        <v>97.36</v>
      </c>
      <c r="AD17" s="212">
        <v>92.72</v>
      </c>
      <c r="AE17" s="212">
        <v>88.72</v>
      </c>
      <c r="AF17" s="212">
        <v>90.72</v>
      </c>
      <c r="AG17" s="212">
        <v>19.02</v>
      </c>
      <c r="AH17" s="212">
        <v>18.16</v>
      </c>
      <c r="AI17" s="212">
        <v>18.59</v>
      </c>
      <c r="AJ17" s="212"/>
      <c r="AK17" s="212"/>
      <c r="AL17" s="212"/>
      <c r="AM17" s="212">
        <v>110.09</v>
      </c>
      <c r="AN17" s="212">
        <v>108.43</v>
      </c>
      <c r="AO17" s="212">
        <v>109.26</v>
      </c>
      <c r="AP17" s="212">
        <v>39.61</v>
      </c>
      <c r="AQ17" s="212">
        <v>38.01</v>
      </c>
      <c r="AR17" s="212">
        <v>38.81</v>
      </c>
      <c r="AS17" s="212">
        <v>40.32</v>
      </c>
      <c r="AT17" s="212">
        <v>38.96</v>
      </c>
      <c r="AU17" s="212">
        <v>39.64</v>
      </c>
      <c r="AV17" s="212">
        <v>20.57</v>
      </c>
      <c r="AW17" s="212">
        <v>19.97</v>
      </c>
      <c r="AX17" s="212">
        <v>20.27</v>
      </c>
      <c r="AY17" s="212">
        <v>4.24</v>
      </c>
      <c r="AZ17" s="212">
        <v>4.08</v>
      </c>
      <c r="BA17" s="212">
        <v>4.16</v>
      </c>
      <c r="BB17" s="212">
        <v>1.91</v>
      </c>
      <c r="BC17" s="212">
        <v>1.6099999999999999</v>
      </c>
      <c r="BD17" s="212">
        <v>1.7599999999999998</v>
      </c>
      <c r="BE17" s="212">
        <v>0.67</v>
      </c>
      <c r="BF17" s="212">
        <v>0.37000000000000005</v>
      </c>
      <c r="BG17" s="212">
        <v>0.52</v>
      </c>
      <c r="BH17" s="212">
        <v>480.43</v>
      </c>
      <c r="BI17" s="212">
        <v>464.43</v>
      </c>
      <c r="BJ17" s="212">
        <v>472.43</v>
      </c>
      <c r="BK17" s="212">
        <v>40.61</v>
      </c>
      <c r="BL17" s="212">
        <v>39.25</v>
      </c>
      <c r="BM17" s="212">
        <v>39.93</v>
      </c>
      <c r="BN17" s="212">
        <v>1.06</v>
      </c>
      <c r="BO17" s="212">
        <v>0.82000000000000006</v>
      </c>
      <c r="BP17" s="212">
        <v>0.94000000000000006</v>
      </c>
      <c r="BQ17" s="212">
        <v>9.6</v>
      </c>
      <c r="BR17" s="212">
        <v>7.6</v>
      </c>
      <c r="BS17" s="212">
        <v>8.6</v>
      </c>
      <c r="BT17" s="212">
        <v>11.27</v>
      </c>
      <c r="BU17" s="212">
        <v>10.87</v>
      </c>
      <c r="BV17" s="212">
        <v>11.07</v>
      </c>
      <c r="BW17" s="212">
        <v>2.76</v>
      </c>
      <c r="BX17" s="212">
        <v>2.4799999999999995</v>
      </c>
      <c r="BY17" s="212">
        <v>2.6199999999999997</v>
      </c>
      <c r="BZ17" s="212">
        <v>9.3000000000000007</v>
      </c>
      <c r="CA17" s="212">
        <v>6.3000000000000007</v>
      </c>
      <c r="CB17" s="212">
        <v>7.8000000000000007</v>
      </c>
      <c r="CC17" s="212">
        <v>6.59</v>
      </c>
      <c r="CD17" s="212">
        <v>6.35</v>
      </c>
      <c r="CE17" s="212">
        <v>6.47</v>
      </c>
      <c r="CF17" s="212">
        <v>1.9</v>
      </c>
      <c r="CG17" s="212">
        <v>1.4</v>
      </c>
      <c r="CH17" s="212">
        <v>1.65</v>
      </c>
      <c r="CI17" s="212">
        <v>0.44</v>
      </c>
      <c r="CJ17" s="212">
        <v>0.4</v>
      </c>
      <c r="CK17" s="212">
        <v>0.42000000000000004</v>
      </c>
      <c r="CL17" s="212">
        <v>37.880000000000003</v>
      </c>
      <c r="CM17" s="212">
        <v>35.480000000000004</v>
      </c>
      <c r="CN17" s="212">
        <v>36.680000000000007</v>
      </c>
      <c r="CO17" s="212">
        <v>7.36</v>
      </c>
      <c r="CP17" s="212">
        <v>2.3600000000000003</v>
      </c>
      <c r="CQ17" s="212">
        <v>4.8600000000000003</v>
      </c>
      <c r="CR17" s="212"/>
      <c r="CS17" s="212"/>
    </row>
    <row r="18" spans="1:97" x14ac:dyDescent="0.4">
      <c r="A18" s="209">
        <v>45304</v>
      </c>
      <c r="B18" s="210" t="s">
        <v>299</v>
      </c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2"/>
      <c r="P18" s="212"/>
      <c r="Q18" s="212"/>
      <c r="R18" s="212"/>
      <c r="S18" s="212"/>
      <c r="T18" s="212"/>
      <c r="U18" s="212"/>
      <c r="V18" s="212"/>
      <c r="W18" s="212"/>
      <c r="X18" s="212"/>
      <c r="Y18" s="212"/>
      <c r="Z18" s="212"/>
      <c r="AA18" s="212"/>
      <c r="AB18" s="212"/>
      <c r="AC18" s="212"/>
      <c r="AD18" s="212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  <c r="AP18" s="212"/>
      <c r="AQ18" s="212"/>
      <c r="AR18" s="212"/>
      <c r="AS18" s="212"/>
      <c r="AT18" s="212"/>
      <c r="AU18" s="212"/>
      <c r="AV18" s="212"/>
      <c r="AW18" s="212"/>
      <c r="AX18" s="212"/>
      <c r="AY18" s="212"/>
      <c r="AZ18" s="212"/>
      <c r="BA18" s="212"/>
      <c r="BB18" s="212"/>
      <c r="BC18" s="212"/>
      <c r="BD18" s="212"/>
      <c r="BE18" s="212"/>
      <c r="BF18" s="212"/>
      <c r="BG18" s="212"/>
      <c r="BH18" s="212"/>
      <c r="BI18" s="212"/>
      <c r="BJ18" s="212"/>
      <c r="BK18" s="212"/>
      <c r="BL18" s="212"/>
      <c r="BM18" s="212"/>
      <c r="BN18" s="212"/>
      <c r="BO18" s="212"/>
      <c r="BP18" s="212"/>
      <c r="BQ18" s="212"/>
      <c r="BR18" s="212"/>
      <c r="BS18" s="212"/>
      <c r="BT18" s="212"/>
      <c r="BU18" s="212"/>
      <c r="BV18" s="212"/>
      <c r="BW18" s="212"/>
      <c r="BX18" s="212"/>
      <c r="BY18" s="212"/>
      <c r="BZ18" s="212"/>
      <c r="CA18" s="212"/>
      <c r="CB18" s="212"/>
      <c r="CC18" s="212"/>
      <c r="CD18" s="212"/>
      <c r="CE18" s="212"/>
      <c r="CF18" s="212"/>
      <c r="CG18" s="212"/>
      <c r="CH18" s="212"/>
      <c r="CI18" s="212"/>
      <c r="CJ18" s="212"/>
      <c r="CK18" s="212"/>
      <c r="CL18" s="212"/>
      <c r="CM18" s="212"/>
      <c r="CN18" s="212"/>
      <c r="CO18" s="212"/>
      <c r="CP18" s="212"/>
      <c r="CQ18" s="212"/>
      <c r="CR18" s="212"/>
      <c r="CS18" s="212"/>
    </row>
    <row r="19" spans="1:97" x14ac:dyDescent="0.4">
      <c r="A19" s="209">
        <v>45305</v>
      </c>
      <c r="B19" s="210" t="s">
        <v>300</v>
      </c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212"/>
      <c r="AA19" s="212"/>
      <c r="AB19" s="212"/>
      <c r="AC19" s="212"/>
      <c r="AD19" s="212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  <c r="AP19" s="212"/>
      <c r="AQ19" s="212"/>
      <c r="AR19" s="212"/>
      <c r="AS19" s="212"/>
      <c r="AT19" s="212"/>
      <c r="AU19" s="212"/>
      <c r="AV19" s="212"/>
      <c r="AW19" s="212"/>
      <c r="AX19" s="212"/>
      <c r="AY19" s="212"/>
      <c r="AZ19" s="212"/>
      <c r="BA19" s="212"/>
      <c r="BB19" s="212"/>
      <c r="BC19" s="212"/>
      <c r="BD19" s="212"/>
      <c r="BE19" s="212"/>
      <c r="BF19" s="212"/>
      <c r="BG19" s="212"/>
      <c r="BH19" s="212"/>
      <c r="BI19" s="212"/>
      <c r="BJ19" s="212"/>
      <c r="BK19" s="212"/>
      <c r="BL19" s="212"/>
      <c r="BM19" s="212"/>
      <c r="BN19" s="212"/>
      <c r="BO19" s="212"/>
      <c r="BP19" s="212"/>
      <c r="BQ19" s="212"/>
      <c r="BR19" s="212"/>
      <c r="BS19" s="212"/>
      <c r="BT19" s="212"/>
      <c r="BU19" s="212"/>
      <c r="BV19" s="212"/>
      <c r="BW19" s="212"/>
      <c r="BX19" s="212"/>
      <c r="BY19" s="212"/>
      <c r="BZ19" s="212"/>
      <c r="CA19" s="212"/>
      <c r="CB19" s="212"/>
      <c r="CC19" s="212"/>
      <c r="CD19" s="212"/>
      <c r="CE19" s="212"/>
      <c r="CF19" s="212"/>
      <c r="CG19" s="212"/>
      <c r="CH19" s="212"/>
      <c r="CI19" s="212"/>
      <c r="CJ19" s="212"/>
      <c r="CK19" s="212"/>
      <c r="CL19" s="212"/>
      <c r="CM19" s="212"/>
      <c r="CN19" s="212"/>
      <c r="CO19" s="212"/>
      <c r="CP19" s="212"/>
      <c r="CQ19" s="212"/>
      <c r="CR19" s="212"/>
      <c r="CS19" s="212"/>
    </row>
    <row r="20" spans="1:97" x14ac:dyDescent="0.4">
      <c r="A20" s="209">
        <v>45306</v>
      </c>
      <c r="B20" s="210" t="s">
        <v>294</v>
      </c>
      <c r="C20" s="212">
        <v>146.16999999999999</v>
      </c>
      <c r="D20" s="212">
        <v>144.16999999999999</v>
      </c>
      <c r="E20" s="212">
        <v>145.16999999999999</v>
      </c>
      <c r="F20" s="212">
        <v>160.52000000000001</v>
      </c>
      <c r="G20" s="212">
        <v>157.52000000000001</v>
      </c>
      <c r="H20" s="212">
        <v>159.02000000000001</v>
      </c>
      <c r="I20" s="212">
        <v>109.92</v>
      </c>
      <c r="J20" s="212">
        <v>106.72</v>
      </c>
      <c r="K20" s="212">
        <v>108.32</v>
      </c>
      <c r="L20" s="212">
        <v>188.92</v>
      </c>
      <c r="M20" s="212">
        <v>180.92</v>
      </c>
      <c r="N20" s="212">
        <v>184.92</v>
      </c>
      <c r="O20" s="212">
        <v>171.03</v>
      </c>
      <c r="P20" s="212">
        <v>169.23</v>
      </c>
      <c r="Q20" s="212">
        <v>170.13</v>
      </c>
      <c r="R20" s="212">
        <v>21.62</v>
      </c>
      <c r="S20" s="212">
        <v>21.02</v>
      </c>
      <c r="T20" s="212">
        <v>21.32</v>
      </c>
      <c r="U20" s="212">
        <v>14.41</v>
      </c>
      <c r="V20" s="212">
        <v>13.81</v>
      </c>
      <c r="W20" s="212">
        <v>14.11</v>
      </c>
      <c r="X20" s="212">
        <v>14.52</v>
      </c>
      <c r="Y20" s="212">
        <v>13.719999999999999</v>
      </c>
      <c r="Z20" s="212">
        <v>14.12</v>
      </c>
      <c r="AA20" s="212">
        <v>99.13</v>
      </c>
      <c r="AB20" s="212">
        <v>95.13</v>
      </c>
      <c r="AC20" s="212">
        <v>97.13</v>
      </c>
      <c r="AD20" s="212">
        <v>92.48</v>
      </c>
      <c r="AE20" s="212">
        <v>88.48</v>
      </c>
      <c r="AF20" s="212">
        <v>90.48</v>
      </c>
      <c r="AG20" s="212">
        <v>18.989999999999998</v>
      </c>
      <c r="AH20" s="212">
        <v>18.13</v>
      </c>
      <c r="AI20" s="212">
        <v>18.559999999999999</v>
      </c>
      <c r="AJ20" s="212"/>
      <c r="AK20" s="212"/>
      <c r="AL20" s="212"/>
      <c r="AM20" s="212">
        <v>109.85</v>
      </c>
      <c r="AN20" s="212">
        <v>108.19</v>
      </c>
      <c r="AO20" s="212">
        <v>109.02</v>
      </c>
      <c r="AP20" s="212">
        <v>39.57</v>
      </c>
      <c r="AQ20" s="212">
        <v>37.97</v>
      </c>
      <c r="AR20" s="212">
        <v>38.769999999999996</v>
      </c>
      <c r="AS20" s="212">
        <v>40.270000000000003</v>
      </c>
      <c r="AT20" s="212">
        <v>38.910000000000004</v>
      </c>
      <c r="AU20" s="212">
        <v>39.590000000000003</v>
      </c>
      <c r="AV20" s="212">
        <v>20.5</v>
      </c>
      <c r="AW20" s="212">
        <v>19.899999999999999</v>
      </c>
      <c r="AX20" s="212">
        <v>20.2</v>
      </c>
      <c r="AY20" s="212">
        <v>4.24</v>
      </c>
      <c r="AZ20" s="212">
        <v>4.08</v>
      </c>
      <c r="BA20" s="212">
        <v>4.16</v>
      </c>
      <c r="BB20" s="212">
        <v>1.91</v>
      </c>
      <c r="BC20" s="212">
        <v>1.6099999999999999</v>
      </c>
      <c r="BD20" s="212">
        <v>1.7599999999999998</v>
      </c>
      <c r="BE20" s="212">
        <v>0.67</v>
      </c>
      <c r="BF20" s="212">
        <v>0.37000000000000005</v>
      </c>
      <c r="BG20" s="212">
        <v>0.52</v>
      </c>
      <c r="BH20" s="212">
        <v>481.33</v>
      </c>
      <c r="BI20" s="212">
        <v>465.33</v>
      </c>
      <c r="BJ20" s="212">
        <v>473.33</v>
      </c>
      <c r="BK20" s="212">
        <v>40.549999999999997</v>
      </c>
      <c r="BL20" s="212">
        <v>39.19</v>
      </c>
      <c r="BM20" s="212">
        <v>39.869999999999997</v>
      </c>
      <c r="BN20" s="212">
        <v>1.06</v>
      </c>
      <c r="BO20" s="212">
        <v>0.82000000000000006</v>
      </c>
      <c r="BP20" s="212">
        <v>0.94000000000000006</v>
      </c>
      <c r="BQ20" s="212">
        <v>9.61</v>
      </c>
      <c r="BR20" s="212">
        <v>7.6099999999999994</v>
      </c>
      <c r="BS20" s="212">
        <v>8.61</v>
      </c>
      <c r="BT20" s="212">
        <v>11.23</v>
      </c>
      <c r="BU20" s="212">
        <v>10.83</v>
      </c>
      <c r="BV20" s="212">
        <v>11.030000000000001</v>
      </c>
      <c r="BW20" s="212">
        <v>2.76</v>
      </c>
      <c r="BX20" s="212">
        <v>2.4799999999999995</v>
      </c>
      <c r="BY20" s="212">
        <v>2.6199999999999997</v>
      </c>
      <c r="BZ20" s="212">
        <v>9.2899999999999991</v>
      </c>
      <c r="CA20" s="212">
        <v>6.2899999999999991</v>
      </c>
      <c r="CB20" s="212">
        <v>7.7899999999999991</v>
      </c>
      <c r="CC20" s="212">
        <v>6.58</v>
      </c>
      <c r="CD20" s="212">
        <v>6.34</v>
      </c>
      <c r="CE20" s="212">
        <v>6.46</v>
      </c>
      <c r="CF20" s="212">
        <v>1.89</v>
      </c>
      <c r="CG20" s="212">
        <v>1.39</v>
      </c>
      <c r="CH20" s="212">
        <v>1.64</v>
      </c>
      <c r="CI20" s="212">
        <v>0.44</v>
      </c>
      <c r="CJ20" s="212">
        <v>0.4</v>
      </c>
      <c r="CK20" s="212">
        <v>0.42000000000000004</v>
      </c>
      <c r="CL20" s="212">
        <v>37.71</v>
      </c>
      <c r="CM20" s="212">
        <v>35.31</v>
      </c>
      <c r="CN20" s="212">
        <v>36.510000000000005</v>
      </c>
      <c r="CO20" s="212">
        <v>7.33</v>
      </c>
      <c r="CP20" s="212">
        <v>2.33</v>
      </c>
      <c r="CQ20" s="212">
        <v>4.83</v>
      </c>
      <c r="CR20" s="212"/>
      <c r="CS20" s="212"/>
    </row>
    <row r="21" spans="1:97" x14ac:dyDescent="0.4">
      <c r="A21" s="209">
        <v>45307</v>
      </c>
      <c r="B21" s="210" t="s">
        <v>295</v>
      </c>
      <c r="C21" s="212">
        <v>146.91</v>
      </c>
      <c r="D21" s="212">
        <v>144.91</v>
      </c>
      <c r="E21" s="212">
        <v>145.91</v>
      </c>
      <c r="F21" s="212">
        <v>160.91999999999999</v>
      </c>
      <c r="G21" s="212">
        <v>157.91999999999999</v>
      </c>
      <c r="H21" s="212">
        <v>159.41999999999999</v>
      </c>
      <c r="I21" s="212">
        <v>110.08</v>
      </c>
      <c r="J21" s="212">
        <v>106.88</v>
      </c>
      <c r="K21" s="212">
        <v>108.47999999999999</v>
      </c>
      <c r="L21" s="212">
        <v>189.26</v>
      </c>
      <c r="M21" s="212">
        <v>181.26</v>
      </c>
      <c r="N21" s="212">
        <v>185.26</v>
      </c>
      <c r="O21" s="212">
        <v>171.08</v>
      </c>
      <c r="P21" s="212">
        <v>169.28</v>
      </c>
      <c r="Q21" s="212">
        <v>170.18</v>
      </c>
      <c r="R21" s="212">
        <v>21.67</v>
      </c>
      <c r="S21" s="212">
        <v>21.07</v>
      </c>
      <c r="T21" s="212">
        <v>21.37</v>
      </c>
      <c r="U21" s="212">
        <v>14.35</v>
      </c>
      <c r="V21" s="212">
        <v>13.75</v>
      </c>
      <c r="W21" s="212">
        <v>14.05</v>
      </c>
      <c r="X21" s="212">
        <v>14.49</v>
      </c>
      <c r="Y21" s="212">
        <v>13.69</v>
      </c>
      <c r="Z21" s="212">
        <v>14.09</v>
      </c>
      <c r="AA21" s="212">
        <v>98.75</v>
      </c>
      <c r="AB21" s="212">
        <v>94.75</v>
      </c>
      <c r="AC21" s="212">
        <v>96.75</v>
      </c>
      <c r="AD21" s="212">
        <v>92.07</v>
      </c>
      <c r="AE21" s="212">
        <v>88.07</v>
      </c>
      <c r="AF21" s="212">
        <v>90.07</v>
      </c>
      <c r="AG21" s="212">
        <v>19.079999999999998</v>
      </c>
      <c r="AH21" s="212">
        <v>18.22</v>
      </c>
      <c r="AI21" s="212">
        <v>18.649999999999999</v>
      </c>
      <c r="AJ21" s="212"/>
      <c r="AK21" s="212"/>
      <c r="AL21" s="212"/>
      <c r="AM21" s="212">
        <v>110.06</v>
      </c>
      <c r="AN21" s="212">
        <v>108.4</v>
      </c>
      <c r="AO21" s="212">
        <v>109.23</v>
      </c>
      <c r="AP21" s="212">
        <v>39.770000000000003</v>
      </c>
      <c r="AQ21" s="212">
        <v>38.17</v>
      </c>
      <c r="AR21" s="212">
        <v>38.97</v>
      </c>
      <c r="AS21" s="212">
        <v>40.47</v>
      </c>
      <c r="AT21" s="212">
        <v>39.11</v>
      </c>
      <c r="AU21" s="212">
        <v>39.79</v>
      </c>
      <c r="AV21" s="212">
        <v>20.59</v>
      </c>
      <c r="AW21" s="212">
        <v>19.989999999999998</v>
      </c>
      <c r="AX21" s="212">
        <v>20.29</v>
      </c>
      <c r="AY21" s="212">
        <v>4.24</v>
      </c>
      <c r="AZ21" s="212">
        <v>4.08</v>
      </c>
      <c r="BA21" s="212">
        <v>4.16</v>
      </c>
      <c r="BB21" s="212">
        <v>1.92</v>
      </c>
      <c r="BC21" s="212">
        <v>1.6199999999999999</v>
      </c>
      <c r="BD21" s="212">
        <v>1.77</v>
      </c>
      <c r="BE21" s="212">
        <v>0.67</v>
      </c>
      <c r="BF21" s="212">
        <v>0.37000000000000005</v>
      </c>
      <c r="BG21" s="212">
        <v>0.52</v>
      </c>
      <c r="BH21" s="212">
        <v>481.73</v>
      </c>
      <c r="BI21" s="212">
        <v>465.73</v>
      </c>
      <c r="BJ21" s="212">
        <v>473.73</v>
      </c>
      <c r="BK21" s="212">
        <v>40.770000000000003</v>
      </c>
      <c r="BL21" s="212">
        <v>39.410000000000004</v>
      </c>
      <c r="BM21" s="212">
        <v>40.090000000000003</v>
      </c>
      <c r="BN21" s="212">
        <v>1.06</v>
      </c>
      <c r="BO21" s="212">
        <v>0.82000000000000006</v>
      </c>
      <c r="BP21" s="212">
        <v>0.94000000000000006</v>
      </c>
      <c r="BQ21" s="212">
        <v>9.6300000000000008</v>
      </c>
      <c r="BR21" s="212">
        <v>7.6300000000000008</v>
      </c>
      <c r="BS21" s="212">
        <v>8.6300000000000008</v>
      </c>
      <c r="BT21" s="212">
        <v>11.19</v>
      </c>
      <c r="BU21" s="212">
        <v>10.79</v>
      </c>
      <c r="BV21" s="212">
        <v>10.989999999999998</v>
      </c>
      <c r="BW21" s="212">
        <v>2.78</v>
      </c>
      <c r="BX21" s="212">
        <v>2.5</v>
      </c>
      <c r="BY21" s="212">
        <v>2.6399999999999997</v>
      </c>
      <c r="BZ21" s="212">
        <v>9.2899999999999991</v>
      </c>
      <c r="CA21" s="212">
        <v>6.2899999999999991</v>
      </c>
      <c r="CB21" s="212">
        <v>7.7899999999999991</v>
      </c>
      <c r="CC21" s="212">
        <v>6.58</v>
      </c>
      <c r="CD21" s="212">
        <v>6.34</v>
      </c>
      <c r="CE21" s="212">
        <v>6.46</v>
      </c>
      <c r="CF21" s="212">
        <v>1.91</v>
      </c>
      <c r="CG21" s="212">
        <v>1.41</v>
      </c>
      <c r="CH21" s="212">
        <v>1.66</v>
      </c>
      <c r="CI21" s="212">
        <v>0.44</v>
      </c>
      <c r="CJ21" s="212">
        <v>0.4</v>
      </c>
      <c r="CK21" s="212">
        <v>0.42000000000000004</v>
      </c>
      <c r="CL21" s="212">
        <v>37.659999999999997</v>
      </c>
      <c r="CM21" s="212">
        <v>35.26</v>
      </c>
      <c r="CN21" s="212">
        <v>36.459999999999994</v>
      </c>
      <c r="CO21" s="212">
        <v>7.35</v>
      </c>
      <c r="CP21" s="212">
        <v>2.3499999999999996</v>
      </c>
      <c r="CQ21" s="212">
        <v>4.8499999999999996</v>
      </c>
      <c r="CR21" s="212"/>
      <c r="CS21" s="212"/>
    </row>
    <row r="22" spans="1:97" x14ac:dyDescent="0.4">
      <c r="A22" s="209">
        <v>45308</v>
      </c>
      <c r="B22" s="210" t="s">
        <v>296</v>
      </c>
      <c r="C22" s="212">
        <v>148.44</v>
      </c>
      <c r="D22" s="212">
        <v>146.44</v>
      </c>
      <c r="E22" s="212">
        <v>147.44</v>
      </c>
      <c r="F22" s="212">
        <v>161.87</v>
      </c>
      <c r="G22" s="212">
        <v>158.87</v>
      </c>
      <c r="H22" s="212">
        <v>160.37</v>
      </c>
      <c r="I22" s="212">
        <v>110.9</v>
      </c>
      <c r="J22" s="212">
        <v>107.7</v>
      </c>
      <c r="K22" s="212">
        <v>109.30000000000001</v>
      </c>
      <c r="L22" s="212">
        <v>190.33</v>
      </c>
      <c r="M22" s="212">
        <v>182.33</v>
      </c>
      <c r="N22" s="212">
        <v>186.33</v>
      </c>
      <c r="O22" s="212">
        <v>172</v>
      </c>
      <c r="P22" s="212">
        <v>170.2</v>
      </c>
      <c r="Q22" s="212">
        <v>171.1</v>
      </c>
      <c r="R22" s="212">
        <v>21.8</v>
      </c>
      <c r="S22" s="212">
        <v>21.2</v>
      </c>
      <c r="T22" s="212">
        <v>21.5</v>
      </c>
      <c r="U22" s="212">
        <v>14.39</v>
      </c>
      <c r="V22" s="212">
        <v>13.790000000000001</v>
      </c>
      <c r="W22" s="212">
        <v>14.09</v>
      </c>
      <c r="X22" s="212">
        <v>14.53</v>
      </c>
      <c r="Y22" s="212">
        <v>13.729999999999999</v>
      </c>
      <c r="Z22" s="212">
        <v>14.129999999999999</v>
      </c>
      <c r="AA22" s="212">
        <v>99.19</v>
      </c>
      <c r="AB22" s="212">
        <v>95.19</v>
      </c>
      <c r="AC22" s="212">
        <v>97.19</v>
      </c>
      <c r="AD22" s="212">
        <v>92.51</v>
      </c>
      <c r="AE22" s="212">
        <v>88.51</v>
      </c>
      <c r="AF22" s="212">
        <v>90.51</v>
      </c>
      <c r="AG22" s="212">
        <v>19.27</v>
      </c>
      <c r="AH22" s="212">
        <v>18.41</v>
      </c>
      <c r="AI22" s="212">
        <v>18.84</v>
      </c>
      <c r="AJ22" s="212"/>
      <c r="AK22" s="212"/>
      <c r="AL22" s="212"/>
      <c r="AM22" s="212">
        <v>110.66</v>
      </c>
      <c r="AN22" s="212">
        <v>109</v>
      </c>
      <c r="AO22" s="212">
        <v>109.83</v>
      </c>
      <c r="AP22" s="212">
        <v>40.18</v>
      </c>
      <c r="AQ22" s="212">
        <v>38.58</v>
      </c>
      <c r="AR22" s="212">
        <v>39.379999999999995</v>
      </c>
      <c r="AS22" s="212">
        <v>40.76</v>
      </c>
      <c r="AT22" s="212">
        <v>39.4</v>
      </c>
      <c r="AU22" s="212">
        <v>40.08</v>
      </c>
      <c r="AV22" s="212">
        <v>20.73</v>
      </c>
      <c r="AW22" s="212">
        <v>20.13</v>
      </c>
      <c r="AX22" s="212">
        <v>20.43</v>
      </c>
      <c r="AY22" s="212">
        <v>4.24</v>
      </c>
      <c r="AZ22" s="212">
        <v>4.08</v>
      </c>
      <c r="BA22" s="212">
        <v>4.16</v>
      </c>
      <c r="BB22" s="212">
        <v>1.93</v>
      </c>
      <c r="BC22" s="212">
        <v>1.63</v>
      </c>
      <c r="BD22" s="212">
        <v>1.7799999999999998</v>
      </c>
      <c r="BE22" s="212">
        <v>0.68</v>
      </c>
      <c r="BF22" s="212">
        <v>0.38000000000000006</v>
      </c>
      <c r="BG22" s="212">
        <v>0.53</v>
      </c>
      <c r="BH22" s="212">
        <v>487.79</v>
      </c>
      <c r="BI22" s="212">
        <v>471.79</v>
      </c>
      <c r="BJ22" s="212">
        <v>479.79</v>
      </c>
      <c r="BK22" s="212">
        <v>41.19</v>
      </c>
      <c r="BL22" s="212">
        <v>39.83</v>
      </c>
      <c r="BM22" s="212">
        <v>40.51</v>
      </c>
      <c r="BN22" s="212">
        <v>1.07</v>
      </c>
      <c r="BO22" s="212">
        <v>0.83000000000000007</v>
      </c>
      <c r="BP22" s="212">
        <v>0.95000000000000007</v>
      </c>
      <c r="BQ22" s="212">
        <v>9.56</v>
      </c>
      <c r="BR22" s="212">
        <v>7.5600000000000005</v>
      </c>
      <c r="BS22" s="212">
        <v>8.56</v>
      </c>
      <c r="BT22" s="212">
        <v>11.23</v>
      </c>
      <c r="BU22" s="212">
        <v>10.83</v>
      </c>
      <c r="BV22" s="212">
        <v>11.030000000000001</v>
      </c>
      <c r="BW22" s="212">
        <v>2.8</v>
      </c>
      <c r="BX22" s="212">
        <v>2.5199999999999996</v>
      </c>
      <c r="BY22" s="212">
        <v>2.6599999999999997</v>
      </c>
      <c r="BZ22" s="212">
        <v>9.2799999999999994</v>
      </c>
      <c r="CA22" s="212">
        <v>6.2799999999999994</v>
      </c>
      <c r="CB22" s="212">
        <v>7.7799999999999994</v>
      </c>
      <c r="CC22" s="212">
        <v>6.61</v>
      </c>
      <c r="CD22" s="212">
        <v>6.37</v>
      </c>
      <c r="CE22" s="212">
        <v>6.49</v>
      </c>
      <c r="CF22" s="212">
        <v>1.92</v>
      </c>
      <c r="CG22" s="212">
        <v>1.42</v>
      </c>
      <c r="CH22" s="212">
        <v>1.67</v>
      </c>
      <c r="CI22" s="212">
        <v>0.44</v>
      </c>
      <c r="CJ22" s="212">
        <v>0.4</v>
      </c>
      <c r="CK22" s="212">
        <v>0.42000000000000004</v>
      </c>
      <c r="CL22" s="212">
        <v>37.74</v>
      </c>
      <c r="CM22" s="212">
        <v>35.340000000000003</v>
      </c>
      <c r="CN22" s="212">
        <v>36.540000000000006</v>
      </c>
      <c r="CO22" s="212">
        <v>7.4</v>
      </c>
      <c r="CP22" s="212">
        <v>2.4000000000000004</v>
      </c>
      <c r="CQ22" s="212">
        <v>4.9000000000000004</v>
      </c>
      <c r="CR22" s="212"/>
      <c r="CS22" s="212"/>
    </row>
    <row r="23" spans="1:97" x14ac:dyDescent="0.4">
      <c r="A23" s="209">
        <v>45309</v>
      </c>
      <c r="B23" s="210" t="s">
        <v>297</v>
      </c>
      <c r="C23" s="212">
        <v>149.26</v>
      </c>
      <c r="D23" s="212">
        <v>147.26</v>
      </c>
      <c r="E23" s="212">
        <v>148.26</v>
      </c>
      <c r="F23" s="212">
        <v>162.91</v>
      </c>
      <c r="G23" s="212">
        <v>159.91</v>
      </c>
      <c r="H23" s="212">
        <v>161.41</v>
      </c>
      <c r="I23" s="212">
        <v>111.42</v>
      </c>
      <c r="J23" s="212">
        <v>108.22</v>
      </c>
      <c r="K23" s="212">
        <v>109.82</v>
      </c>
      <c r="L23" s="212">
        <v>191.92</v>
      </c>
      <c r="M23" s="212">
        <v>183.92</v>
      </c>
      <c r="N23" s="212">
        <v>187.92</v>
      </c>
      <c r="O23" s="212">
        <v>172.34</v>
      </c>
      <c r="P23" s="212">
        <v>170.54</v>
      </c>
      <c r="Q23" s="212">
        <v>171.44</v>
      </c>
      <c r="R23" s="212">
        <v>21.94</v>
      </c>
      <c r="S23" s="212">
        <v>21.34</v>
      </c>
      <c r="T23" s="212">
        <v>21.64</v>
      </c>
      <c r="U23" s="212">
        <v>14.38</v>
      </c>
      <c r="V23" s="212">
        <v>13.780000000000001</v>
      </c>
      <c r="W23" s="212">
        <v>14.080000000000002</v>
      </c>
      <c r="X23" s="212">
        <v>14.59</v>
      </c>
      <c r="Y23" s="212">
        <v>13.79</v>
      </c>
      <c r="Z23" s="212">
        <v>14.19</v>
      </c>
      <c r="AA23" s="212">
        <v>99.1</v>
      </c>
      <c r="AB23" s="212">
        <v>95.1</v>
      </c>
      <c r="AC23" s="212">
        <v>97.1</v>
      </c>
      <c r="AD23" s="212">
        <v>92.68</v>
      </c>
      <c r="AE23" s="212">
        <v>88.68</v>
      </c>
      <c r="AF23" s="212">
        <v>90.68</v>
      </c>
      <c r="AG23" s="212">
        <v>19.39</v>
      </c>
      <c r="AH23" s="212">
        <v>18.53</v>
      </c>
      <c r="AI23" s="212">
        <v>18.96</v>
      </c>
      <c r="AJ23" s="212"/>
      <c r="AK23" s="212"/>
      <c r="AL23" s="212"/>
      <c r="AM23" s="212">
        <v>111.17</v>
      </c>
      <c r="AN23" s="212">
        <v>109.51</v>
      </c>
      <c r="AO23" s="212">
        <v>110.34</v>
      </c>
      <c r="AP23" s="212">
        <v>40.4</v>
      </c>
      <c r="AQ23" s="212">
        <v>38.799999999999997</v>
      </c>
      <c r="AR23" s="212">
        <v>39.599999999999994</v>
      </c>
      <c r="AS23" s="212">
        <v>41.11</v>
      </c>
      <c r="AT23" s="212">
        <v>39.75</v>
      </c>
      <c r="AU23" s="212">
        <v>40.43</v>
      </c>
      <c r="AV23" s="212">
        <v>20.84</v>
      </c>
      <c r="AW23" s="212">
        <v>20.239999999999998</v>
      </c>
      <c r="AX23" s="212">
        <v>20.54</v>
      </c>
      <c r="AY23" s="212">
        <v>4.26</v>
      </c>
      <c r="AZ23" s="212">
        <v>4.0999999999999996</v>
      </c>
      <c r="BA23" s="212">
        <v>4.18</v>
      </c>
      <c r="BB23" s="212">
        <v>1.94</v>
      </c>
      <c r="BC23" s="212">
        <v>1.64</v>
      </c>
      <c r="BD23" s="212">
        <v>1.79</v>
      </c>
      <c r="BE23" s="212">
        <v>0.68</v>
      </c>
      <c r="BF23" s="212">
        <v>0.38000000000000006</v>
      </c>
      <c r="BG23" s="212">
        <v>0.53</v>
      </c>
      <c r="BH23" s="212">
        <v>490.3</v>
      </c>
      <c r="BI23" s="212">
        <v>474.3</v>
      </c>
      <c r="BJ23" s="212">
        <v>482.3</v>
      </c>
      <c r="BK23" s="212">
        <v>41.42</v>
      </c>
      <c r="BL23" s="212">
        <v>40.06</v>
      </c>
      <c r="BM23" s="212">
        <v>40.74</v>
      </c>
      <c r="BN23" s="212">
        <v>1.07</v>
      </c>
      <c r="BO23" s="212">
        <v>0.83000000000000007</v>
      </c>
      <c r="BP23" s="212">
        <v>0.95000000000000007</v>
      </c>
      <c r="BQ23" s="212">
        <v>9.6300000000000008</v>
      </c>
      <c r="BR23" s="212">
        <v>7.6300000000000008</v>
      </c>
      <c r="BS23" s="212">
        <v>8.6300000000000008</v>
      </c>
      <c r="BT23" s="212">
        <v>11.27</v>
      </c>
      <c r="BU23" s="212">
        <v>10.87</v>
      </c>
      <c r="BV23" s="212">
        <v>11.07</v>
      </c>
      <c r="BW23" s="212">
        <v>2.81</v>
      </c>
      <c r="BX23" s="212">
        <v>2.5300000000000002</v>
      </c>
      <c r="BY23" s="212">
        <v>2.67</v>
      </c>
      <c r="BZ23" s="212">
        <v>9.2799999999999994</v>
      </c>
      <c r="CA23" s="212">
        <v>6.2799999999999994</v>
      </c>
      <c r="CB23" s="212">
        <v>7.7799999999999994</v>
      </c>
      <c r="CC23" s="212">
        <v>6.65</v>
      </c>
      <c r="CD23" s="212">
        <v>6.41</v>
      </c>
      <c r="CE23" s="212">
        <v>6.53</v>
      </c>
      <c r="CF23" s="212">
        <v>1.92</v>
      </c>
      <c r="CG23" s="212">
        <v>1.42</v>
      </c>
      <c r="CH23" s="212">
        <v>1.67</v>
      </c>
      <c r="CI23" s="212">
        <v>0.45</v>
      </c>
      <c r="CJ23" s="212">
        <v>0.41000000000000003</v>
      </c>
      <c r="CK23" s="212">
        <v>0.43000000000000005</v>
      </c>
      <c r="CL23" s="212">
        <v>37.82</v>
      </c>
      <c r="CM23" s="212">
        <v>35.42</v>
      </c>
      <c r="CN23" s="212">
        <v>36.620000000000005</v>
      </c>
      <c r="CO23" s="212">
        <v>7.42</v>
      </c>
      <c r="CP23" s="212">
        <v>2.42</v>
      </c>
      <c r="CQ23" s="212">
        <v>4.92</v>
      </c>
      <c r="CR23" s="212"/>
      <c r="CS23" s="212"/>
    </row>
    <row r="24" spans="1:97" x14ac:dyDescent="0.4">
      <c r="A24" s="209">
        <v>45310</v>
      </c>
      <c r="B24" s="210" t="s">
        <v>298</v>
      </c>
      <c r="C24" s="212">
        <v>149.19</v>
      </c>
      <c r="D24" s="212">
        <v>147.19</v>
      </c>
      <c r="E24" s="212">
        <v>148.19</v>
      </c>
      <c r="F24" s="212">
        <v>162.75</v>
      </c>
      <c r="G24" s="212">
        <v>159.75</v>
      </c>
      <c r="H24" s="212">
        <v>161.25</v>
      </c>
      <c r="I24" s="212">
        <v>111.48</v>
      </c>
      <c r="J24" s="212">
        <v>108.28</v>
      </c>
      <c r="K24" s="212">
        <v>109.88</v>
      </c>
      <c r="L24" s="212">
        <v>192.35</v>
      </c>
      <c r="M24" s="212">
        <v>184.35</v>
      </c>
      <c r="N24" s="212">
        <v>188.35</v>
      </c>
      <c r="O24" s="212">
        <v>171.57</v>
      </c>
      <c r="P24" s="212">
        <v>169.76999999999998</v>
      </c>
      <c r="Q24" s="212">
        <v>170.67</v>
      </c>
      <c r="R24" s="212">
        <v>21.92</v>
      </c>
      <c r="S24" s="212">
        <v>21.32</v>
      </c>
      <c r="T24" s="212">
        <v>21.62</v>
      </c>
      <c r="U24" s="212">
        <v>14.39</v>
      </c>
      <c r="V24" s="212">
        <v>13.790000000000001</v>
      </c>
      <c r="W24" s="212">
        <v>14.09</v>
      </c>
      <c r="X24" s="212">
        <v>14.53</v>
      </c>
      <c r="Y24" s="212">
        <v>13.729999999999999</v>
      </c>
      <c r="Z24" s="212">
        <v>14.129999999999999</v>
      </c>
      <c r="AA24" s="212">
        <v>99.57</v>
      </c>
      <c r="AB24" s="212">
        <v>95.57</v>
      </c>
      <c r="AC24" s="212">
        <v>97.57</v>
      </c>
      <c r="AD24" s="212">
        <v>92.75</v>
      </c>
      <c r="AE24" s="212">
        <v>88.75</v>
      </c>
      <c r="AF24" s="212">
        <v>90.75</v>
      </c>
      <c r="AG24" s="212">
        <v>19.38</v>
      </c>
      <c r="AH24" s="212">
        <v>18.52</v>
      </c>
      <c r="AI24" s="212">
        <v>18.95</v>
      </c>
      <c r="AJ24" s="212"/>
      <c r="AK24" s="212"/>
      <c r="AL24" s="212"/>
      <c r="AM24" s="212">
        <v>111.12</v>
      </c>
      <c r="AN24" s="212">
        <v>109.46000000000001</v>
      </c>
      <c r="AO24" s="212">
        <v>110.29</v>
      </c>
      <c r="AP24" s="212">
        <v>40.380000000000003</v>
      </c>
      <c r="AQ24" s="212">
        <v>38.78</v>
      </c>
      <c r="AR24" s="212">
        <v>39.58</v>
      </c>
      <c r="AS24" s="212">
        <v>41.09</v>
      </c>
      <c r="AT24" s="212">
        <v>39.730000000000004</v>
      </c>
      <c r="AU24" s="212">
        <v>40.410000000000004</v>
      </c>
      <c r="AV24" s="212">
        <v>20.85</v>
      </c>
      <c r="AW24" s="212">
        <v>20.25</v>
      </c>
      <c r="AX24" s="212">
        <v>20.55</v>
      </c>
      <c r="AY24" s="212">
        <v>4.26</v>
      </c>
      <c r="AZ24" s="212">
        <v>4.0999999999999996</v>
      </c>
      <c r="BA24" s="212">
        <v>4.18</v>
      </c>
      <c r="BB24" s="212">
        <v>1.94</v>
      </c>
      <c r="BC24" s="212">
        <v>1.64</v>
      </c>
      <c r="BD24" s="212">
        <v>1.79</v>
      </c>
      <c r="BE24" s="212">
        <v>0.69</v>
      </c>
      <c r="BF24" s="212">
        <v>0.38999999999999996</v>
      </c>
      <c r="BG24" s="212">
        <v>0.53999999999999992</v>
      </c>
      <c r="BH24" s="212">
        <v>488.67</v>
      </c>
      <c r="BI24" s="212">
        <v>472.67</v>
      </c>
      <c r="BJ24" s="212">
        <v>480.67</v>
      </c>
      <c r="BK24" s="212">
        <v>41.4</v>
      </c>
      <c r="BL24" s="212">
        <v>40.04</v>
      </c>
      <c r="BM24" s="212">
        <v>40.72</v>
      </c>
      <c r="BN24" s="212">
        <v>1.07</v>
      </c>
      <c r="BO24" s="212">
        <v>0.83000000000000007</v>
      </c>
      <c r="BP24" s="212">
        <v>0.95000000000000007</v>
      </c>
      <c r="BQ24" s="212">
        <v>9.64</v>
      </c>
      <c r="BR24" s="212">
        <v>7.6400000000000006</v>
      </c>
      <c r="BS24" s="212">
        <v>8.64</v>
      </c>
      <c r="BT24" s="212">
        <v>11.32</v>
      </c>
      <c r="BU24" s="212">
        <v>10.92</v>
      </c>
      <c r="BV24" s="212">
        <v>11.120000000000001</v>
      </c>
      <c r="BW24" s="212">
        <v>2.82</v>
      </c>
      <c r="BX24" s="212">
        <v>2.54</v>
      </c>
      <c r="BY24" s="212">
        <v>2.6799999999999997</v>
      </c>
      <c r="BZ24" s="212">
        <v>9.34</v>
      </c>
      <c r="CA24" s="212">
        <v>6.34</v>
      </c>
      <c r="CB24" s="212">
        <v>7.84</v>
      </c>
      <c r="CC24" s="212">
        <v>6.63</v>
      </c>
      <c r="CD24" s="212">
        <v>6.39</v>
      </c>
      <c r="CE24" s="212">
        <v>6.51</v>
      </c>
      <c r="CF24" s="212">
        <v>1.91</v>
      </c>
      <c r="CG24" s="212">
        <v>1.41</v>
      </c>
      <c r="CH24" s="212">
        <v>1.66</v>
      </c>
      <c r="CI24" s="212">
        <v>0.44</v>
      </c>
      <c r="CJ24" s="212">
        <v>0.4</v>
      </c>
      <c r="CK24" s="212">
        <v>0.42000000000000004</v>
      </c>
      <c r="CL24" s="212">
        <v>37.99</v>
      </c>
      <c r="CM24" s="212">
        <v>35.590000000000003</v>
      </c>
      <c r="CN24" s="212">
        <v>36.790000000000006</v>
      </c>
      <c r="CO24" s="212">
        <v>7.43</v>
      </c>
      <c r="CP24" s="212">
        <v>2.4299999999999997</v>
      </c>
      <c r="CQ24" s="212">
        <v>4.93</v>
      </c>
      <c r="CR24" s="212"/>
      <c r="CS24" s="212"/>
    </row>
    <row r="25" spans="1:97" x14ac:dyDescent="0.4">
      <c r="A25" s="209">
        <v>45311</v>
      </c>
      <c r="B25" s="210" t="s">
        <v>299</v>
      </c>
      <c r="C25" s="212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2"/>
      <c r="AX25" s="212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2"/>
      <c r="BN25" s="212"/>
      <c r="BO25" s="212"/>
      <c r="BP25" s="212"/>
      <c r="BQ25" s="212"/>
      <c r="BR25" s="212"/>
      <c r="BS25" s="212"/>
      <c r="BT25" s="212"/>
      <c r="BU25" s="212"/>
      <c r="BV25" s="212"/>
      <c r="BW25" s="212"/>
      <c r="BX25" s="212"/>
      <c r="BY25" s="212"/>
      <c r="BZ25" s="212"/>
      <c r="CA25" s="212"/>
      <c r="CB25" s="212"/>
      <c r="CC25" s="212"/>
      <c r="CD25" s="212"/>
      <c r="CE25" s="212"/>
      <c r="CF25" s="212"/>
      <c r="CG25" s="212"/>
      <c r="CH25" s="212"/>
      <c r="CI25" s="212"/>
      <c r="CJ25" s="212"/>
      <c r="CK25" s="212"/>
      <c r="CL25" s="212"/>
      <c r="CM25" s="212"/>
      <c r="CN25" s="212"/>
      <c r="CO25" s="212"/>
      <c r="CP25" s="212"/>
      <c r="CQ25" s="212"/>
      <c r="CR25" s="212"/>
      <c r="CS25" s="212"/>
    </row>
    <row r="26" spans="1:97" x14ac:dyDescent="0.4">
      <c r="A26" s="209">
        <v>45312</v>
      </c>
      <c r="B26" s="210" t="s">
        <v>300</v>
      </c>
      <c r="C26" s="212"/>
      <c r="D26" s="212"/>
      <c r="E26" s="212"/>
      <c r="F26" s="212"/>
      <c r="G26" s="212"/>
      <c r="H26" s="212"/>
      <c r="I26" s="212"/>
      <c r="J26" s="212"/>
      <c r="K26" s="212"/>
      <c r="L26" s="212"/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2"/>
      <c r="BN26" s="212"/>
      <c r="BO26" s="212"/>
      <c r="BP26" s="212"/>
      <c r="BQ26" s="212"/>
      <c r="BR26" s="212"/>
      <c r="BS26" s="212"/>
      <c r="BT26" s="212"/>
      <c r="BU26" s="212"/>
      <c r="BV26" s="212"/>
      <c r="BW26" s="212"/>
      <c r="BX26" s="212"/>
      <c r="BY26" s="212"/>
      <c r="BZ26" s="212"/>
      <c r="CA26" s="212"/>
      <c r="CB26" s="212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2"/>
      <c r="CP26" s="212"/>
      <c r="CQ26" s="212"/>
      <c r="CR26" s="212"/>
      <c r="CS26" s="212"/>
    </row>
    <row r="27" spans="1:97" x14ac:dyDescent="0.4">
      <c r="A27" s="209">
        <v>45313</v>
      </c>
      <c r="B27" s="210" t="s">
        <v>294</v>
      </c>
      <c r="C27" s="212">
        <v>149.19999999999999</v>
      </c>
      <c r="D27" s="212">
        <v>147.19999999999999</v>
      </c>
      <c r="E27" s="212">
        <v>148.19999999999999</v>
      </c>
      <c r="F27" s="212">
        <v>163.02000000000001</v>
      </c>
      <c r="G27" s="212">
        <v>160.02000000000001</v>
      </c>
      <c r="H27" s="212">
        <v>161.52000000000001</v>
      </c>
      <c r="I27" s="212">
        <v>111.95</v>
      </c>
      <c r="J27" s="212">
        <v>108.75</v>
      </c>
      <c r="K27" s="212">
        <v>110.35</v>
      </c>
      <c r="L27" s="212">
        <v>192.35</v>
      </c>
      <c r="M27" s="212">
        <v>184.35</v>
      </c>
      <c r="N27" s="212">
        <v>188.35</v>
      </c>
      <c r="O27" s="212">
        <v>171.58</v>
      </c>
      <c r="P27" s="212">
        <v>169.78</v>
      </c>
      <c r="Q27" s="212">
        <v>170.68</v>
      </c>
      <c r="R27" s="212">
        <v>21.95</v>
      </c>
      <c r="S27" s="212">
        <v>21.349999999999998</v>
      </c>
      <c r="T27" s="212">
        <v>21.65</v>
      </c>
      <c r="U27" s="212">
        <v>14.44</v>
      </c>
      <c r="V27" s="212">
        <v>13.84</v>
      </c>
      <c r="W27" s="212">
        <v>14.14</v>
      </c>
      <c r="X27" s="212">
        <v>14.56</v>
      </c>
      <c r="Y27" s="212">
        <v>13.76</v>
      </c>
      <c r="Z27" s="212">
        <v>14.16</v>
      </c>
      <c r="AA27" s="212">
        <v>99.86</v>
      </c>
      <c r="AB27" s="212">
        <v>95.86</v>
      </c>
      <c r="AC27" s="212">
        <v>97.86</v>
      </c>
      <c r="AD27" s="212">
        <v>92.79</v>
      </c>
      <c r="AE27" s="212">
        <v>88.79</v>
      </c>
      <c r="AF27" s="212">
        <v>90.79</v>
      </c>
      <c r="AG27" s="212">
        <v>19.38</v>
      </c>
      <c r="AH27" s="212">
        <v>18.52</v>
      </c>
      <c r="AI27" s="212">
        <v>18.95</v>
      </c>
      <c r="AJ27" s="212"/>
      <c r="AK27" s="212"/>
      <c r="AL27" s="212"/>
      <c r="AM27" s="212">
        <v>111.47</v>
      </c>
      <c r="AN27" s="212">
        <v>109.81</v>
      </c>
      <c r="AO27" s="212">
        <v>110.64</v>
      </c>
      <c r="AP27" s="212">
        <v>40.369999999999997</v>
      </c>
      <c r="AQ27" s="212">
        <v>38.769999999999996</v>
      </c>
      <c r="AR27" s="212">
        <v>39.569999999999993</v>
      </c>
      <c r="AS27" s="212">
        <v>41.09</v>
      </c>
      <c r="AT27" s="212">
        <v>39.730000000000004</v>
      </c>
      <c r="AU27" s="212">
        <v>40.410000000000004</v>
      </c>
      <c r="AV27" s="212">
        <v>20.89</v>
      </c>
      <c r="AW27" s="212">
        <v>20.29</v>
      </c>
      <c r="AX27" s="212">
        <v>20.59</v>
      </c>
      <c r="AY27" s="212">
        <v>4.26</v>
      </c>
      <c r="AZ27" s="212">
        <v>4.0999999999999996</v>
      </c>
      <c r="BA27" s="212">
        <v>4.18</v>
      </c>
      <c r="BB27" s="212">
        <v>1.94</v>
      </c>
      <c r="BC27" s="212">
        <v>1.64</v>
      </c>
      <c r="BD27" s="212">
        <v>1.79</v>
      </c>
      <c r="BE27" s="212">
        <v>0.69</v>
      </c>
      <c r="BF27" s="212">
        <v>0.38999999999999996</v>
      </c>
      <c r="BG27" s="212">
        <v>0.53999999999999992</v>
      </c>
      <c r="BH27" s="212">
        <v>490.42</v>
      </c>
      <c r="BI27" s="212">
        <v>474.42</v>
      </c>
      <c r="BJ27" s="212">
        <v>482.42</v>
      </c>
      <c r="BK27" s="212">
        <v>41.41</v>
      </c>
      <c r="BL27" s="212">
        <v>40.049999999999997</v>
      </c>
      <c r="BM27" s="212">
        <v>40.729999999999997</v>
      </c>
      <c r="BN27" s="212">
        <v>1.07</v>
      </c>
      <c r="BO27" s="212">
        <v>0.83000000000000007</v>
      </c>
      <c r="BP27" s="212">
        <v>0.95000000000000007</v>
      </c>
      <c r="BQ27" s="212">
        <v>9.67</v>
      </c>
      <c r="BR27" s="212">
        <v>7.67</v>
      </c>
      <c r="BS27" s="212">
        <v>8.67</v>
      </c>
      <c r="BT27" s="212">
        <v>11.31</v>
      </c>
      <c r="BU27" s="212">
        <v>10.91</v>
      </c>
      <c r="BV27" s="212">
        <v>11.11</v>
      </c>
      <c r="BW27" s="212">
        <v>2.81</v>
      </c>
      <c r="BX27" s="212">
        <v>2.5300000000000002</v>
      </c>
      <c r="BY27" s="212">
        <v>2.67</v>
      </c>
      <c r="BZ27" s="212">
        <v>9.2899999999999991</v>
      </c>
      <c r="CA27" s="212">
        <v>6.2899999999999991</v>
      </c>
      <c r="CB27" s="212">
        <v>7.7899999999999991</v>
      </c>
      <c r="CC27" s="212">
        <v>6.64</v>
      </c>
      <c r="CD27" s="212">
        <v>6.3999999999999995</v>
      </c>
      <c r="CE27" s="212">
        <v>6.52</v>
      </c>
      <c r="CF27" s="212">
        <v>1.93</v>
      </c>
      <c r="CG27" s="212">
        <v>1.43</v>
      </c>
      <c r="CH27" s="212">
        <v>1.68</v>
      </c>
      <c r="CI27" s="212">
        <v>0.44</v>
      </c>
      <c r="CJ27" s="212">
        <v>0.4</v>
      </c>
      <c r="CK27" s="212">
        <v>0.42000000000000004</v>
      </c>
      <c r="CL27" s="212">
        <v>38.32</v>
      </c>
      <c r="CM27" s="212">
        <v>35.92</v>
      </c>
      <c r="CN27" s="212">
        <v>37.120000000000005</v>
      </c>
      <c r="CO27" s="212">
        <v>7.41</v>
      </c>
      <c r="CP27" s="212">
        <v>2.41</v>
      </c>
      <c r="CQ27" s="212">
        <v>4.91</v>
      </c>
      <c r="CR27" s="212"/>
      <c r="CS27" s="212"/>
    </row>
    <row r="28" spans="1:97" x14ac:dyDescent="0.4">
      <c r="A28" s="209">
        <v>45314</v>
      </c>
      <c r="B28" s="210" t="s">
        <v>295</v>
      </c>
      <c r="C28" s="212">
        <v>149.15</v>
      </c>
      <c r="D28" s="212">
        <v>147.15</v>
      </c>
      <c r="E28" s="212">
        <v>148.15</v>
      </c>
      <c r="F28" s="212">
        <v>162.72999999999999</v>
      </c>
      <c r="G28" s="212">
        <v>159.72999999999999</v>
      </c>
      <c r="H28" s="212">
        <v>161.22999999999999</v>
      </c>
      <c r="I28" s="212">
        <v>111.56</v>
      </c>
      <c r="J28" s="212">
        <v>108.36</v>
      </c>
      <c r="K28" s="212">
        <v>109.96000000000001</v>
      </c>
      <c r="L28" s="212">
        <v>192.33</v>
      </c>
      <c r="M28" s="212">
        <v>184.33</v>
      </c>
      <c r="N28" s="212">
        <v>188.33</v>
      </c>
      <c r="O28" s="212">
        <v>171.42</v>
      </c>
      <c r="P28" s="212">
        <v>169.61999999999998</v>
      </c>
      <c r="Q28" s="212">
        <v>170.51999999999998</v>
      </c>
      <c r="R28" s="212">
        <v>21.92</v>
      </c>
      <c r="S28" s="212">
        <v>21.32</v>
      </c>
      <c r="T28" s="212">
        <v>21.62</v>
      </c>
      <c r="U28" s="212">
        <v>14.38</v>
      </c>
      <c r="V28" s="212">
        <v>13.780000000000001</v>
      </c>
      <c r="W28" s="212">
        <v>14.080000000000002</v>
      </c>
      <c r="X28" s="212">
        <v>14.57</v>
      </c>
      <c r="Y28" s="212">
        <v>13.77</v>
      </c>
      <c r="Z28" s="212">
        <v>14.17</v>
      </c>
      <c r="AA28" s="212">
        <v>99.51</v>
      </c>
      <c r="AB28" s="212">
        <v>95.51</v>
      </c>
      <c r="AC28" s="212">
        <v>97.51</v>
      </c>
      <c r="AD28" s="212">
        <v>92.1</v>
      </c>
      <c r="AE28" s="212">
        <v>88.1</v>
      </c>
      <c r="AF28" s="212">
        <v>90.1</v>
      </c>
      <c r="AG28" s="212">
        <v>19.38</v>
      </c>
      <c r="AH28" s="212">
        <v>18.52</v>
      </c>
      <c r="AI28" s="212">
        <v>18.95</v>
      </c>
      <c r="AJ28" s="212"/>
      <c r="AK28" s="212"/>
      <c r="AL28" s="212"/>
      <c r="AM28" s="212">
        <v>111.27</v>
      </c>
      <c r="AN28" s="212">
        <v>109.61</v>
      </c>
      <c r="AO28" s="212">
        <v>110.44</v>
      </c>
      <c r="AP28" s="212">
        <v>40.36</v>
      </c>
      <c r="AQ28" s="212">
        <v>38.76</v>
      </c>
      <c r="AR28" s="212">
        <v>39.56</v>
      </c>
      <c r="AS28" s="212">
        <v>41.08</v>
      </c>
      <c r="AT28" s="212">
        <v>39.72</v>
      </c>
      <c r="AU28" s="212">
        <v>40.4</v>
      </c>
      <c r="AV28" s="212">
        <v>20.9</v>
      </c>
      <c r="AW28" s="212">
        <v>20.299999999999997</v>
      </c>
      <c r="AX28" s="212">
        <v>20.599999999999998</v>
      </c>
      <c r="AY28" s="212">
        <v>4.25</v>
      </c>
      <c r="AZ28" s="212">
        <v>4.09</v>
      </c>
      <c r="BA28" s="212">
        <v>4.17</v>
      </c>
      <c r="BB28" s="212">
        <v>1.94</v>
      </c>
      <c r="BC28" s="212">
        <v>1.64</v>
      </c>
      <c r="BD28" s="212">
        <v>1.79</v>
      </c>
      <c r="BE28" s="212">
        <v>0.68</v>
      </c>
      <c r="BF28" s="212">
        <v>0.38000000000000006</v>
      </c>
      <c r="BG28" s="212">
        <v>0.53</v>
      </c>
      <c r="BH28" s="212">
        <v>490.26</v>
      </c>
      <c r="BI28" s="212">
        <v>474.26</v>
      </c>
      <c r="BJ28" s="212">
        <v>482.26</v>
      </c>
      <c r="BK28" s="212">
        <v>41.38</v>
      </c>
      <c r="BL28" s="212">
        <v>40.020000000000003</v>
      </c>
      <c r="BM28" s="212">
        <v>40.700000000000003</v>
      </c>
      <c r="BN28" s="212">
        <v>1.07</v>
      </c>
      <c r="BO28" s="212">
        <v>0.83000000000000007</v>
      </c>
      <c r="BP28" s="212">
        <v>0.95000000000000007</v>
      </c>
      <c r="BQ28" s="212">
        <v>9.6300000000000008</v>
      </c>
      <c r="BR28" s="212">
        <v>7.6300000000000008</v>
      </c>
      <c r="BS28" s="212">
        <v>8.6300000000000008</v>
      </c>
      <c r="BT28" s="212">
        <v>11.29</v>
      </c>
      <c r="BU28" s="212">
        <v>10.889999999999999</v>
      </c>
      <c r="BV28" s="212">
        <v>11.09</v>
      </c>
      <c r="BW28" s="212">
        <v>2.79</v>
      </c>
      <c r="BX28" s="212">
        <v>2.5099999999999998</v>
      </c>
      <c r="BY28" s="212">
        <v>2.65</v>
      </c>
      <c r="BZ28" s="212">
        <v>9.2100000000000009</v>
      </c>
      <c r="CA28" s="212">
        <v>6.2100000000000009</v>
      </c>
      <c r="CB28" s="212">
        <v>7.7100000000000009</v>
      </c>
      <c r="CC28" s="212">
        <v>6.63</v>
      </c>
      <c r="CD28" s="212">
        <v>6.39</v>
      </c>
      <c r="CE28" s="212">
        <v>6.51</v>
      </c>
      <c r="CF28" s="212">
        <v>1.93</v>
      </c>
      <c r="CG28" s="212">
        <v>1.43</v>
      </c>
      <c r="CH28" s="212">
        <v>1.68</v>
      </c>
      <c r="CI28" s="212">
        <v>0.44</v>
      </c>
      <c r="CJ28" s="212">
        <v>0.4</v>
      </c>
      <c r="CK28" s="212">
        <v>0.42000000000000004</v>
      </c>
      <c r="CL28" s="212">
        <v>38.18</v>
      </c>
      <c r="CM28" s="212">
        <v>35.78</v>
      </c>
      <c r="CN28" s="212">
        <v>36.980000000000004</v>
      </c>
      <c r="CO28" s="212">
        <v>7.4</v>
      </c>
      <c r="CP28" s="212">
        <v>2.4000000000000004</v>
      </c>
      <c r="CQ28" s="212">
        <v>4.9000000000000004</v>
      </c>
      <c r="CR28" s="212"/>
      <c r="CS28" s="212"/>
    </row>
    <row r="29" spans="1:97" x14ac:dyDescent="0.4">
      <c r="A29" s="209">
        <v>45315</v>
      </c>
      <c r="B29" s="210" t="s">
        <v>296</v>
      </c>
      <c r="C29" s="212">
        <v>149.16999999999999</v>
      </c>
      <c r="D29" s="212">
        <v>147.16999999999999</v>
      </c>
      <c r="E29" s="212">
        <v>148.16999999999999</v>
      </c>
      <c r="F29" s="212">
        <v>162.4</v>
      </c>
      <c r="G29" s="212">
        <v>159.4</v>
      </c>
      <c r="H29" s="212">
        <v>160.9</v>
      </c>
      <c r="I29" s="212">
        <v>111.66</v>
      </c>
      <c r="J29" s="212">
        <v>108.46</v>
      </c>
      <c r="K29" s="212">
        <v>110.06</v>
      </c>
      <c r="L29" s="212">
        <v>192.18</v>
      </c>
      <c r="M29" s="212">
        <v>184.18</v>
      </c>
      <c r="N29" s="212">
        <v>188.18</v>
      </c>
      <c r="O29" s="212">
        <v>171.27</v>
      </c>
      <c r="P29" s="212">
        <v>169.47</v>
      </c>
      <c r="Q29" s="212">
        <v>170.37</v>
      </c>
      <c r="R29" s="212">
        <v>21.88</v>
      </c>
      <c r="S29" s="212">
        <v>21.279999999999998</v>
      </c>
      <c r="T29" s="212">
        <v>21.58</v>
      </c>
      <c r="U29" s="212">
        <v>14.41</v>
      </c>
      <c r="V29" s="212">
        <v>13.81</v>
      </c>
      <c r="W29" s="212">
        <v>14.11</v>
      </c>
      <c r="X29" s="212">
        <v>14.53</v>
      </c>
      <c r="Y29" s="212">
        <v>13.729999999999999</v>
      </c>
      <c r="Z29" s="212">
        <v>14.129999999999999</v>
      </c>
      <c r="AA29" s="212">
        <v>99.47</v>
      </c>
      <c r="AB29" s="212">
        <v>95.47</v>
      </c>
      <c r="AC29" s="212">
        <v>97.47</v>
      </c>
      <c r="AD29" s="212">
        <v>92.37</v>
      </c>
      <c r="AE29" s="212">
        <v>88.37</v>
      </c>
      <c r="AF29" s="212">
        <v>90.37</v>
      </c>
      <c r="AG29" s="212">
        <v>19.37</v>
      </c>
      <c r="AH29" s="212">
        <v>18.510000000000002</v>
      </c>
      <c r="AI29" s="212">
        <v>18.940000000000001</v>
      </c>
      <c r="AJ29" s="212"/>
      <c r="AK29" s="212"/>
      <c r="AL29" s="212"/>
      <c r="AM29" s="212">
        <v>111.34</v>
      </c>
      <c r="AN29" s="212">
        <v>109.68</v>
      </c>
      <c r="AO29" s="212">
        <v>110.51</v>
      </c>
      <c r="AP29" s="212">
        <v>40.4</v>
      </c>
      <c r="AQ29" s="212">
        <v>38.799999999999997</v>
      </c>
      <c r="AR29" s="212">
        <v>39.599999999999994</v>
      </c>
      <c r="AS29" s="212">
        <v>41.09</v>
      </c>
      <c r="AT29" s="212">
        <v>39.730000000000004</v>
      </c>
      <c r="AU29" s="212">
        <v>40.410000000000004</v>
      </c>
      <c r="AV29" s="212">
        <v>20.98</v>
      </c>
      <c r="AW29" s="212">
        <v>20.38</v>
      </c>
      <c r="AX29" s="212">
        <v>20.68</v>
      </c>
      <c r="AY29" s="212">
        <v>4.22</v>
      </c>
      <c r="AZ29" s="212">
        <v>4.0599999999999996</v>
      </c>
      <c r="BA29" s="212">
        <v>4.1399999999999997</v>
      </c>
      <c r="BB29" s="212">
        <v>1.94</v>
      </c>
      <c r="BC29" s="212">
        <v>1.64</v>
      </c>
      <c r="BD29" s="212">
        <v>1.79</v>
      </c>
      <c r="BE29" s="212">
        <v>0.68</v>
      </c>
      <c r="BF29" s="212">
        <v>0.38000000000000006</v>
      </c>
      <c r="BG29" s="212">
        <v>0.53</v>
      </c>
      <c r="BH29" s="212">
        <v>490.48</v>
      </c>
      <c r="BI29" s="212">
        <v>474.48</v>
      </c>
      <c r="BJ29" s="212">
        <v>482.48</v>
      </c>
      <c r="BK29" s="212">
        <v>41.41</v>
      </c>
      <c r="BL29" s="212">
        <v>40.049999999999997</v>
      </c>
      <c r="BM29" s="212">
        <v>40.729999999999997</v>
      </c>
      <c r="BN29" s="212">
        <v>1.07</v>
      </c>
      <c r="BO29" s="212">
        <v>0.83000000000000007</v>
      </c>
      <c r="BP29" s="212">
        <v>0.95000000000000007</v>
      </c>
      <c r="BQ29" s="212">
        <v>9.56</v>
      </c>
      <c r="BR29" s="212">
        <v>7.5600000000000005</v>
      </c>
      <c r="BS29" s="212">
        <v>8.56</v>
      </c>
      <c r="BT29" s="212">
        <v>11.28</v>
      </c>
      <c r="BU29" s="212">
        <v>10.879999999999999</v>
      </c>
      <c r="BV29" s="212">
        <v>11.079999999999998</v>
      </c>
      <c r="BW29" s="212">
        <v>2.8</v>
      </c>
      <c r="BX29" s="212">
        <v>2.5199999999999996</v>
      </c>
      <c r="BY29" s="212">
        <v>2.6599999999999997</v>
      </c>
      <c r="BZ29" s="212">
        <v>9.2899999999999991</v>
      </c>
      <c r="CA29" s="212">
        <v>6.2899999999999991</v>
      </c>
      <c r="CB29" s="212">
        <v>7.7899999999999991</v>
      </c>
      <c r="CC29" s="212">
        <v>6.59</v>
      </c>
      <c r="CD29" s="212">
        <v>6.35</v>
      </c>
      <c r="CE29" s="212">
        <v>6.47</v>
      </c>
      <c r="CF29" s="212">
        <v>1.92</v>
      </c>
      <c r="CG29" s="212">
        <v>1.42</v>
      </c>
      <c r="CH29" s="212">
        <v>1.67</v>
      </c>
      <c r="CI29" s="212">
        <v>0.44</v>
      </c>
      <c r="CJ29" s="212">
        <v>0.4</v>
      </c>
      <c r="CK29" s="212">
        <v>0.42000000000000004</v>
      </c>
      <c r="CL29" s="212">
        <v>37.840000000000003</v>
      </c>
      <c r="CM29" s="212">
        <v>35.440000000000005</v>
      </c>
      <c r="CN29" s="212">
        <v>36.64</v>
      </c>
      <c r="CO29" s="212">
        <v>7.4</v>
      </c>
      <c r="CP29" s="212">
        <v>2.4000000000000004</v>
      </c>
      <c r="CQ29" s="212">
        <v>4.9000000000000004</v>
      </c>
      <c r="CR29" s="212"/>
      <c r="CS29" s="212"/>
    </row>
    <row r="30" spans="1:97" x14ac:dyDescent="0.4">
      <c r="A30" s="209">
        <v>45316</v>
      </c>
      <c r="B30" s="210" t="s">
        <v>297</v>
      </c>
      <c r="C30" s="212">
        <v>148.86000000000001</v>
      </c>
      <c r="D30" s="212">
        <v>146.86000000000001</v>
      </c>
      <c r="E30" s="212">
        <v>147.86000000000001</v>
      </c>
      <c r="F30" s="212">
        <v>162.31</v>
      </c>
      <c r="G30" s="212">
        <v>159.31</v>
      </c>
      <c r="H30" s="212">
        <v>160.81</v>
      </c>
      <c r="I30" s="212">
        <v>110.9</v>
      </c>
      <c r="J30" s="212">
        <v>107.7</v>
      </c>
      <c r="K30" s="212">
        <v>109.30000000000001</v>
      </c>
      <c r="L30" s="212">
        <v>191.93</v>
      </c>
      <c r="M30" s="212">
        <v>183.93</v>
      </c>
      <c r="N30" s="212">
        <v>187.93</v>
      </c>
      <c r="O30" s="212">
        <v>171.94</v>
      </c>
      <c r="P30" s="212">
        <v>170.14</v>
      </c>
      <c r="Q30" s="212">
        <v>171.04</v>
      </c>
      <c r="R30" s="212">
        <v>21.87</v>
      </c>
      <c r="S30" s="212">
        <v>21.27</v>
      </c>
      <c r="T30" s="212">
        <v>21.57</v>
      </c>
      <c r="U30" s="212">
        <v>14.41</v>
      </c>
      <c r="V30" s="212">
        <v>13.81</v>
      </c>
      <c r="W30" s="212">
        <v>14.11</v>
      </c>
      <c r="X30" s="212">
        <v>14.55</v>
      </c>
      <c r="Y30" s="212">
        <v>13.75</v>
      </c>
      <c r="Z30" s="212">
        <v>14.15</v>
      </c>
      <c r="AA30" s="212">
        <v>99.17</v>
      </c>
      <c r="AB30" s="212">
        <v>95.17</v>
      </c>
      <c r="AC30" s="212">
        <v>97.17</v>
      </c>
      <c r="AD30" s="212">
        <v>92.33</v>
      </c>
      <c r="AE30" s="212">
        <v>88.33</v>
      </c>
      <c r="AF30" s="212">
        <v>90.33</v>
      </c>
      <c r="AG30" s="212">
        <v>19.34</v>
      </c>
      <c r="AH30" s="212">
        <v>18.48</v>
      </c>
      <c r="AI30" s="212">
        <v>18.91</v>
      </c>
      <c r="AJ30" s="212"/>
      <c r="AK30" s="212"/>
      <c r="AL30" s="212"/>
      <c r="AM30" s="212">
        <v>111.21</v>
      </c>
      <c r="AN30" s="212">
        <v>109.55</v>
      </c>
      <c r="AO30" s="212">
        <v>110.38</v>
      </c>
      <c r="AP30" s="212">
        <v>40.29</v>
      </c>
      <c r="AQ30" s="212">
        <v>38.69</v>
      </c>
      <c r="AR30" s="212">
        <v>39.489999999999995</v>
      </c>
      <c r="AS30" s="212">
        <v>41.01</v>
      </c>
      <c r="AT30" s="212">
        <v>39.65</v>
      </c>
      <c r="AU30" s="212">
        <v>40.33</v>
      </c>
      <c r="AV30" s="212">
        <v>20.96</v>
      </c>
      <c r="AW30" s="212">
        <v>20.36</v>
      </c>
      <c r="AX30" s="212">
        <v>20.66</v>
      </c>
      <c r="AY30" s="212">
        <v>4.22</v>
      </c>
      <c r="AZ30" s="212">
        <v>4.0599999999999996</v>
      </c>
      <c r="BA30" s="212">
        <v>4.1399999999999997</v>
      </c>
      <c r="BB30" s="212">
        <v>1.94</v>
      </c>
      <c r="BC30" s="212">
        <v>1.64</v>
      </c>
      <c r="BD30" s="212">
        <v>1.79</v>
      </c>
      <c r="BE30" s="212">
        <v>0.68</v>
      </c>
      <c r="BF30" s="212">
        <v>0.38000000000000006</v>
      </c>
      <c r="BG30" s="212">
        <v>0.53</v>
      </c>
      <c r="BH30" s="212">
        <v>489.47</v>
      </c>
      <c r="BI30" s="212">
        <v>473.47</v>
      </c>
      <c r="BJ30" s="212">
        <v>481.47</v>
      </c>
      <c r="BK30" s="212">
        <v>41.32</v>
      </c>
      <c r="BL30" s="212">
        <v>39.96</v>
      </c>
      <c r="BM30" s="212">
        <v>40.64</v>
      </c>
      <c r="BN30" s="212">
        <v>1.07</v>
      </c>
      <c r="BO30" s="212">
        <v>0.83000000000000007</v>
      </c>
      <c r="BP30" s="212">
        <v>0.95000000000000007</v>
      </c>
      <c r="BQ30" s="212">
        <v>9.58</v>
      </c>
      <c r="BR30" s="212">
        <v>7.58</v>
      </c>
      <c r="BS30" s="212">
        <v>8.58</v>
      </c>
      <c r="BT30" s="212">
        <v>11.3</v>
      </c>
      <c r="BU30" s="212">
        <v>10.9</v>
      </c>
      <c r="BV30" s="212">
        <v>11.100000000000001</v>
      </c>
      <c r="BW30" s="212">
        <v>2.79</v>
      </c>
      <c r="BX30" s="212">
        <v>2.5099999999999998</v>
      </c>
      <c r="BY30" s="212">
        <v>2.65</v>
      </c>
      <c r="BZ30" s="212">
        <v>9.32</v>
      </c>
      <c r="CA30" s="212">
        <v>6.32</v>
      </c>
      <c r="CB30" s="212">
        <v>7.82</v>
      </c>
      <c r="CC30" s="212">
        <v>6.59</v>
      </c>
      <c r="CD30" s="212">
        <v>6.35</v>
      </c>
      <c r="CE30" s="212">
        <v>6.47</v>
      </c>
      <c r="CF30" s="212">
        <v>1.92</v>
      </c>
      <c r="CG30" s="212">
        <v>1.42</v>
      </c>
      <c r="CH30" s="212">
        <v>1.67</v>
      </c>
      <c r="CI30" s="212">
        <v>0.44</v>
      </c>
      <c r="CJ30" s="212">
        <v>0.4</v>
      </c>
      <c r="CK30" s="212">
        <v>0.42000000000000004</v>
      </c>
      <c r="CL30" s="212">
        <v>37.96</v>
      </c>
      <c r="CM30" s="212">
        <v>35.56</v>
      </c>
      <c r="CN30" s="212">
        <v>36.760000000000005</v>
      </c>
      <c r="CO30" s="212">
        <v>7.39</v>
      </c>
      <c r="CP30" s="212">
        <v>2.3899999999999997</v>
      </c>
      <c r="CQ30" s="212">
        <v>4.8899999999999997</v>
      </c>
      <c r="CR30" s="212"/>
      <c r="CS30" s="212"/>
    </row>
    <row r="31" spans="1:97" x14ac:dyDescent="0.4">
      <c r="A31" s="209">
        <v>45317</v>
      </c>
      <c r="B31" s="210" t="s">
        <v>298</v>
      </c>
      <c r="C31" s="212">
        <v>148.69999999999999</v>
      </c>
      <c r="D31" s="212">
        <v>146.69999999999999</v>
      </c>
      <c r="E31" s="212">
        <v>147.69999999999999</v>
      </c>
      <c r="F31" s="212">
        <v>161.66999999999999</v>
      </c>
      <c r="G31" s="212">
        <v>158.66999999999999</v>
      </c>
      <c r="H31" s="212">
        <v>160.16999999999999</v>
      </c>
      <c r="I31" s="212">
        <v>111.2</v>
      </c>
      <c r="J31" s="212">
        <v>108</v>
      </c>
      <c r="K31" s="212">
        <v>109.6</v>
      </c>
      <c r="L31" s="212">
        <v>191.62</v>
      </c>
      <c r="M31" s="212">
        <v>183.62</v>
      </c>
      <c r="N31" s="212">
        <v>187.62</v>
      </c>
      <c r="O31" s="212">
        <v>171.14</v>
      </c>
      <c r="P31" s="212">
        <v>169.33999999999997</v>
      </c>
      <c r="Q31" s="212">
        <v>170.23999999999998</v>
      </c>
      <c r="R31" s="212">
        <v>21.78</v>
      </c>
      <c r="S31" s="212">
        <v>21.18</v>
      </c>
      <c r="T31" s="212">
        <v>21.48</v>
      </c>
      <c r="U31" s="212">
        <v>14.46</v>
      </c>
      <c r="V31" s="212">
        <v>13.860000000000001</v>
      </c>
      <c r="W31" s="212">
        <v>14.16</v>
      </c>
      <c r="X31" s="212">
        <v>14.53</v>
      </c>
      <c r="Y31" s="212">
        <v>13.729999999999999</v>
      </c>
      <c r="Z31" s="212">
        <v>14.129999999999999</v>
      </c>
      <c r="AA31" s="212">
        <v>99.23</v>
      </c>
      <c r="AB31" s="212">
        <v>95.23</v>
      </c>
      <c r="AC31" s="212">
        <v>97.23</v>
      </c>
      <c r="AD31" s="212">
        <v>92.2</v>
      </c>
      <c r="AE31" s="212">
        <v>88.2</v>
      </c>
      <c r="AF31" s="212">
        <v>90.2</v>
      </c>
      <c r="AG31" s="212">
        <v>19.32</v>
      </c>
      <c r="AH31" s="212">
        <v>18.46</v>
      </c>
      <c r="AI31" s="212">
        <v>18.89</v>
      </c>
      <c r="AJ31" s="212"/>
      <c r="AK31" s="212"/>
      <c r="AL31" s="212"/>
      <c r="AM31" s="212">
        <v>111</v>
      </c>
      <c r="AN31" s="212">
        <v>109.34</v>
      </c>
      <c r="AO31" s="212">
        <v>110.17</v>
      </c>
      <c r="AP31" s="212">
        <v>40.25</v>
      </c>
      <c r="AQ31" s="212">
        <v>38.65</v>
      </c>
      <c r="AR31" s="212">
        <v>39.450000000000003</v>
      </c>
      <c r="AS31" s="212">
        <v>40.97</v>
      </c>
      <c r="AT31" s="212">
        <v>39.61</v>
      </c>
      <c r="AU31" s="212">
        <v>40.29</v>
      </c>
      <c r="AV31" s="212">
        <v>20.87</v>
      </c>
      <c r="AW31" s="212">
        <v>20.27</v>
      </c>
      <c r="AX31" s="212">
        <v>20.57</v>
      </c>
      <c r="AY31" s="212">
        <v>4.21</v>
      </c>
      <c r="AZ31" s="212">
        <v>4.05</v>
      </c>
      <c r="BA31" s="212">
        <v>4.13</v>
      </c>
      <c r="BB31" s="212">
        <v>1.94</v>
      </c>
      <c r="BC31" s="212">
        <v>1.64</v>
      </c>
      <c r="BD31" s="212">
        <v>1.79</v>
      </c>
      <c r="BE31" s="212">
        <v>0.68</v>
      </c>
      <c r="BF31" s="212">
        <v>0.38000000000000006</v>
      </c>
      <c r="BG31" s="212">
        <v>0.53</v>
      </c>
      <c r="BH31" s="212">
        <v>488.95</v>
      </c>
      <c r="BI31" s="212">
        <v>472.95</v>
      </c>
      <c r="BJ31" s="212">
        <v>480.95</v>
      </c>
      <c r="BK31" s="212">
        <v>41.27</v>
      </c>
      <c r="BL31" s="212">
        <v>39.910000000000004</v>
      </c>
      <c r="BM31" s="212">
        <v>40.590000000000003</v>
      </c>
      <c r="BN31" s="212">
        <v>1.06</v>
      </c>
      <c r="BO31" s="212">
        <v>0.82000000000000006</v>
      </c>
      <c r="BP31" s="212">
        <v>0.94000000000000006</v>
      </c>
      <c r="BQ31" s="212">
        <v>9.59</v>
      </c>
      <c r="BR31" s="212">
        <v>7.59</v>
      </c>
      <c r="BS31" s="212">
        <v>8.59</v>
      </c>
      <c r="BT31" s="212">
        <v>11.26</v>
      </c>
      <c r="BU31" s="212">
        <v>10.86</v>
      </c>
      <c r="BV31" s="212">
        <v>11.059999999999999</v>
      </c>
      <c r="BW31" s="212">
        <v>2.77</v>
      </c>
      <c r="BX31" s="212">
        <v>2.4900000000000002</v>
      </c>
      <c r="BY31" s="212">
        <v>2.63</v>
      </c>
      <c r="BZ31" s="212">
        <v>9.32</v>
      </c>
      <c r="CA31" s="212">
        <v>6.32</v>
      </c>
      <c r="CB31" s="212">
        <v>7.82</v>
      </c>
      <c r="CC31" s="212">
        <v>6.6</v>
      </c>
      <c r="CD31" s="212">
        <v>6.3599999999999994</v>
      </c>
      <c r="CE31" s="212">
        <v>6.4799999999999995</v>
      </c>
      <c r="CF31" s="212">
        <v>1.91</v>
      </c>
      <c r="CG31" s="212">
        <v>1.41</v>
      </c>
      <c r="CH31" s="212">
        <v>1.66</v>
      </c>
      <c r="CI31" s="212">
        <v>0.44</v>
      </c>
      <c r="CJ31" s="212">
        <v>0.4</v>
      </c>
      <c r="CK31" s="212">
        <v>0.42000000000000004</v>
      </c>
      <c r="CL31" s="212">
        <v>37.840000000000003</v>
      </c>
      <c r="CM31" s="212">
        <v>35.440000000000005</v>
      </c>
      <c r="CN31" s="212">
        <v>36.64</v>
      </c>
      <c r="CO31" s="212">
        <v>7.39</v>
      </c>
      <c r="CP31" s="212">
        <v>2.3899999999999997</v>
      </c>
      <c r="CQ31" s="212">
        <v>4.8899999999999997</v>
      </c>
      <c r="CR31" s="212"/>
      <c r="CS31" s="212"/>
    </row>
    <row r="32" spans="1:97" x14ac:dyDescent="0.4">
      <c r="A32" s="209">
        <v>45318</v>
      </c>
      <c r="B32" s="210" t="s">
        <v>299</v>
      </c>
      <c r="C32" s="212"/>
      <c r="D32" s="212"/>
      <c r="E32" s="212"/>
      <c r="F32" s="212"/>
      <c r="G32" s="212"/>
      <c r="H32" s="212"/>
      <c r="I32" s="212"/>
      <c r="J32" s="212"/>
      <c r="K32" s="212"/>
      <c r="L32" s="212"/>
      <c r="M32" s="212"/>
      <c r="N32" s="212"/>
      <c r="O32" s="212"/>
      <c r="P32" s="212"/>
      <c r="Q32" s="212"/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2"/>
      <c r="AX32" s="212"/>
      <c r="AY32" s="212"/>
      <c r="AZ32" s="212"/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  <c r="BK32" s="212"/>
      <c r="BL32" s="212"/>
      <c r="BM32" s="212"/>
      <c r="BN32" s="212"/>
      <c r="BO32" s="212"/>
      <c r="BP32" s="212"/>
      <c r="BQ32" s="212"/>
      <c r="BR32" s="212"/>
      <c r="BS32" s="212"/>
      <c r="BT32" s="212"/>
      <c r="BU32" s="212"/>
      <c r="BV32" s="212"/>
      <c r="BW32" s="212"/>
      <c r="BX32" s="212"/>
      <c r="BY32" s="212"/>
      <c r="BZ32" s="212"/>
      <c r="CA32" s="212"/>
      <c r="CB32" s="212"/>
      <c r="CC32" s="212"/>
      <c r="CD32" s="212"/>
      <c r="CE32" s="212"/>
      <c r="CF32" s="212"/>
      <c r="CG32" s="212"/>
      <c r="CH32" s="212"/>
      <c r="CI32" s="212"/>
      <c r="CJ32" s="212"/>
      <c r="CK32" s="212"/>
      <c r="CL32" s="212"/>
      <c r="CM32" s="212"/>
      <c r="CN32" s="212"/>
      <c r="CO32" s="212"/>
      <c r="CP32" s="212"/>
      <c r="CQ32" s="212"/>
      <c r="CR32" s="212"/>
      <c r="CS32" s="212"/>
    </row>
    <row r="33" spans="1:97" x14ac:dyDescent="0.4">
      <c r="A33" s="209">
        <v>45319</v>
      </c>
      <c r="B33" s="210" t="s">
        <v>300</v>
      </c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2"/>
      <c r="O33" s="212"/>
      <c r="P33" s="212"/>
      <c r="Q33" s="212"/>
      <c r="R33" s="212"/>
      <c r="S33" s="212"/>
      <c r="T33" s="212"/>
      <c r="U33" s="212"/>
      <c r="V33" s="212"/>
      <c r="W33" s="212"/>
      <c r="X33" s="212"/>
      <c r="Y33" s="212"/>
      <c r="Z33" s="212"/>
      <c r="AA33" s="212"/>
      <c r="AB33" s="212"/>
      <c r="AC33" s="212"/>
      <c r="AD33" s="212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  <c r="AP33" s="212"/>
      <c r="AQ33" s="212"/>
      <c r="AR33" s="212"/>
      <c r="AS33" s="212"/>
      <c r="AT33" s="212"/>
      <c r="AU33" s="212"/>
      <c r="AV33" s="212"/>
      <c r="AW33" s="212"/>
      <c r="AX33" s="212"/>
      <c r="AY33" s="212"/>
      <c r="AZ33" s="212"/>
      <c r="BA33" s="212"/>
      <c r="BB33" s="212"/>
      <c r="BC33" s="212"/>
      <c r="BD33" s="212"/>
      <c r="BE33" s="212"/>
      <c r="BF33" s="212"/>
      <c r="BG33" s="212"/>
      <c r="BH33" s="212"/>
      <c r="BI33" s="212"/>
      <c r="BJ33" s="212"/>
      <c r="BK33" s="212"/>
      <c r="BL33" s="212"/>
      <c r="BM33" s="212"/>
      <c r="BN33" s="212"/>
      <c r="BO33" s="212"/>
      <c r="BP33" s="212"/>
      <c r="BQ33" s="212"/>
      <c r="BR33" s="212"/>
      <c r="BS33" s="212"/>
      <c r="BT33" s="212"/>
      <c r="BU33" s="212"/>
      <c r="BV33" s="212"/>
      <c r="BW33" s="212"/>
      <c r="BX33" s="212"/>
      <c r="BY33" s="212"/>
      <c r="BZ33" s="212"/>
      <c r="CA33" s="212"/>
      <c r="CB33" s="212"/>
      <c r="CC33" s="212"/>
      <c r="CD33" s="212"/>
      <c r="CE33" s="212"/>
      <c r="CF33" s="212"/>
      <c r="CG33" s="212"/>
      <c r="CH33" s="212"/>
      <c r="CI33" s="212"/>
      <c r="CJ33" s="212"/>
      <c r="CK33" s="212"/>
      <c r="CL33" s="212"/>
      <c r="CM33" s="212"/>
      <c r="CN33" s="212"/>
      <c r="CO33" s="212"/>
      <c r="CP33" s="212"/>
      <c r="CQ33" s="212"/>
      <c r="CR33" s="212"/>
      <c r="CS33" s="212"/>
    </row>
    <row r="34" spans="1:97" x14ac:dyDescent="0.4">
      <c r="A34" s="209">
        <v>45320</v>
      </c>
      <c r="B34" s="210" t="s">
        <v>294</v>
      </c>
      <c r="C34" s="212">
        <v>149.25</v>
      </c>
      <c r="D34" s="212">
        <v>147.25</v>
      </c>
      <c r="E34" s="212">
        <v>148.25</v>
      </c>
      <c r="F34" s="212">
        <v>162.22999999999999</v>
      </c>
      <c r="G34" s="212">
        <v>159.22999999999999</v>
      </c>
      <c r="H34" s="212">
        <v>160.72999999999999</v>
      </c>
      <c r="I34" s="212">
        <v>111.75</v>
      </c>
      <c r="J34" s="212">
        <v>108.55</v>
      </c>
      <c r="K34" s="212">
        <v>110.15</v>
      </c>
      <c r="L34" s="212">
        <v>192.11</v>
      </c>
      <c r="M34" s="212">
        <v>184.11</v>
      </c>
      <c r="N34" s="212">
        <v>188.11</v>
      </c>
      <c r="O34" s="212">
        <v>172.49</v>
      </c>
      <c r="P34" s="212">
        <v>170.69</v>
      </c>
      <c r="Q34" s="212">
        <v>171.59</v>
      </c>
      <c r="R34" s="212">
        <v>21.86</v>
      </c>
      <c r="S34" s="212">
        <v>21.259999999999998</v>
      </c>
      <c r="T34" s="212">
        <v>21.56</v>
      </c>
      <c r="U34" s="212">
        <v>14.51</v>
      </c>
      <c r="V34" s="212">
        <v>13.91</v>
      </c>
      <c r="W34" s="212">
        <v>14.21</v>
      </c>
      <c r="X34" s="212">
        <v>14.57</v>
      </c>
      <c r="Y34" s="212">
        <v>13.77</v>
      </c>
      <c r="Z34" s="212">
        <v>14.17</v>
      </c>
      <c r="AA34" s="212">
        <v>99.49</v>
      </c>
      <c r="AB34" s="212">
        <v>95.49</v>
      </c>
      <c r="AC34" s="212">
        <v>97.49</v>
      </c>
      <c r="AD34" s="212">
        <v>92.37</v>
      </c>
      <c r="AE34" s="212">
        <v>88.37</v>
      </c>
      <c r="AF34" s="212">
        <v>90.37</v>
      </c>
      <c r="AG34" s="212">
        <v>19.399999999999999</v>
      </c>
      <c r="AH34" s="212">
        <v>18.54</v>
      </c>
      <c r="AI34" s="212">
        <v>18.97</v>
      </c>
      <c r="AJ34" s="212"/>
      <c r="AK34" s="212"/>
      <c r="AL34" s="212"/>
      <c r="AM34" s="212">
        <v>111.23</v>
      </c>
      <c r="AN34" s="212">
        <v>109.57000000000001</v>
      </c>
      <c r="AO34" s="212">
        <v>110.4</v>
      </c>
      <c r="AP34" s="212">
        <v>40.29</v>
      </c>
      <c r="AQ34" s="212">
        <v>38.69</v>
      </c>
      <c r="AR34" s="212">
        <v>39.489999999999995</v>
      </c>
      <c r="AS34" s="212">
        <v>41.11</v>
      </c>
      <c r="AT34" s="212">
        <v>39.75</v>
      </c>
      <c r="AU34" s="212">
        <v>40.43</v>
      </c>
      <c r="AV34" s="212">
        <v>20.91</v>
      </c>
      <c r="AW34" s="212">
        <v>20.309999999999999</v>
      </c>
      <c r="AX34" s="212">
        <v>20.61</v>
      </c>
      <c r="AY34" s="212">
        <v>4.24</v>
      </c>
      <c r="AZ34" s="212">
        <v>4.08</v>
      </c>
      <c r="BA34" s="212">
        <v>4.16</v>
      </c>
      <c r="BB34" s="212">
        <v>1.94</v>
      </c>
      <c r="BC34" s="212">
        <v>1.64</v>
      </c>
      <c r="BD34" s="212">
        <v>1.79</v>
      </c>
      <c r="BE34" s="212">
        <v>0.68</v>
      </c>
      <c r="BF34" s="212">
        <v>0.38000000000000006</v>
      </c>
      <c r="BG34" s="212">
        <v>0.53</v>
      </c>
      <c r="BH34" s="212">
        <v>490.9</v>
      </c>
      <c r="BI34" s="212">
        <v>474.9</v>
      </c>
      <c r="BJ34" s="212">
        <v>482.9</v>
      </c>
      <c r="BK34" s="212">
        <v>41.43</v>
      </c>
      <c r="BL34" s="212">
        <v>40.07</v>
      </c>
      <c r="BM34" s="212">
        <v>40.75</v>
      </c>
      <c r="BN34" s="212">
        <v>1.06</v>
      </c>
      <c r="BO34" s="212">
        <v>0.82000000000000006</v>
      </c>
      <c r="BP34" s="212">
        <v>0.94000000000000006</v>
      </c>
      <c r="BQ34" s="212">
        <v>9.6300000000000008</v>
      </c>
      <c r="BR34" s="212">
        <v>7.6300000000000008</v>
      </c>
      <c r="BS34" s="212">
        <v>8.6300000000000008</v>
      </c>
      <c r="BT34" s="212">
        <v>11.3</v>
      </c>
      <c r="BU34" s="212">
        <v>10.9</v>
      </c>
      <c r="BV34" s="212">
        <v>11.100000000000001</v>
      </c>
      <c r="BW34" s="212">
        <v>2.79</v>
      </c>
      <c r="BX34" s="212">
        <v>2.5099999999999998</v>
      </c>
      <c r="BY34" s="212">
        <v>2.65</v>
      </c>
      <c r="BZ34" s="212">
        <v>9.3800000000000008</v>
      </c>
      <c r="CA34" s="212">
        <v>6.3800000000000008</v>
      </c>
      <c r="CB34" s="212">
        <v>7.8800000000000008</v>
      </c>
      <c r="CC34" s="212">
        <v>6.62</v>
      </c>
      <c r="CD34" s="212">
        <v>6.38</v>
      </c>
      <c r="CE34" s="212">
        <v>6.5</v>
      </c>
      <c r="CF34" s="212">
        <v>1.9</v>
      </c>
      <c r="CG34" s="212">
        <v>1.4</v>
      </c>
      <c r="CH34" s="212">
        <v>1.65</v>
      </c>
      <c r="CI34" s="212">
        <v>0.43</v>
      </c>
      <c r="CJ34" s="212">
        <v>0.39</v>
      </c>
      <c r="CK34" s="212">
        <v>0.41000000000000003</v>
      </c>
      <c r="CL34" s="212">
        <v>38.01</v>
      </c>
      <c r="CM34" s="212">
        <v>35.61</v>
      </c>
      <c r="CN34" s="212">
        <v>36.81</v>
      </c>
      <c r="CO34" s="212">
        <v>7.39</v>
      </c>
      <c r="CP34" s="212">
        <v>2.3899999999999997</v>
      </c>
      <c r="CQ34" s="212">
        <v>4.8899999999999997</v>
      </c>
      <c r="CR34" s="212"/>
      <c r="CS34" s="212"/>
    </row>
    <row r="35" spans="1:97" x14ac:dyDescent="0.4">
      <c r="A35" s="209">
        <v>45321</v>
      </c>
      <c r="B35" s="210" t="s">
        <v>295</v>
      </c>
      <c r="C35" s="212">
        <v>148.38</v>
      </c>
      <c r="D35" s="212">
        <v>146.38</v>
      </c>
      <c r="E35" s="212">
        <v>147.38</v>
      </c>
      <c r="F35" s="212">
        <v>161.30000000000001</v>
      </c>
      <c r="G35" s="212">
        <v>158.30000000000001</v>
      </c>
      <c r="H35" s="212">
        <v>159.80000000000001</v>
      </c>
      <c r="I35" s="212">
        <v>111.57</v>
      </c>
      <c r="J35" s="212">
        <v>108.36999999999999</v>
      </c>
      <c r="K35" s="212">
        <v>109.97</v>
      </c>
      <c r="L35" s="212">
        <v>191.45</v>
      </c>
      <c r="M35" s="212">
        <v>183.45</v>
      </c>
      <c r="N35" s="212">
        <v>187.45</v>
      </c>
      <c r="O35" s="212">
        <v>172.01</v>
      </c>
      <c r="P35" s="212">
        <v>170.20999999999998</v>
      </c>
      <c r="Q35" s="212">
        <v>171.10999999999999</v>
      </c>
      <c r="R35" s="212">
        <v>21.74</v>
      </c>
      <c r="S35" s="212">
        <v>21.139999999999997</v>
      </c>
      <c r="T35" s="212">
        <v>21.439999999999998</v>
      </c>
      <c r="U35" s="212">
        <v>14.46</v>
      </c>
      <c r="V35" s="212">
        <v>13.860000000000001</v>
      </c>
      <c r="W35" s="212">
        <v>14.16</v>
      </c>
      <c r="X35" s="212">
        <v>14.58</v>
      </c>
      <c r="Y35" s="212">
        <v>13.78</v>
      </c>
      <c r="Z35" s="212">
        <v>14.18</v>
      </c>
      <c r="AA35" s="212">
        <v>99.61</v>
      </c>
      <c r="AB35" s="212">
        <v>95.61</v>
      </c>
      <c r="AC35" s="212">
        <v>97.61</v>
      </c>
      <c r="AD35" s="212">
        <v>92.54</v>
      </c>
      <c r="AE35" s="212">
        <v>88.54</v>
      </c>
      <c r="AF35" s="212">
        <v>90.54</v>
      </c>
      <c r="AG35" s="212">
        <v>19.29</v>
      </c>
      <c r="AH35" s="212">
        <v>18.43</v>
      </c>
      <c r="AI35" s="212">
        <v>18.86</v>
      </c>
      <c r="AJ35" s="212"/>
      <c r="AK35" s="212"/>
      <c r="AL35" s="212"/>
      <c r="AM35" s="212">
        <v>110.91</v>
      </c>
      <c r="AN35" s="212">
        <v>109.25</v>
      </c>
      <c r="AO35" s="212">
        <v>110.08</v>
      </c>
      <c r="AP35" s="212">
        <v>40.159999999999997</v>
      </c>
      <c r="AQ35" s="212">
        <v>38.559999999999995</v>
      </c>
      <c r="AR35" s="212">
        <v>39.36</v>
      </c>
      <c r="AS35" s="212">
        <v>40.869999999999997</v>
      </c>
      <c r="AT35" s="212">
        <v>39.51</v>
      </c>
      <c r="AU35" s="212">
        <v>40.19</v>
      </c>
      <c r="AV35" s="212">
        <v>20.81</v>
      </c>
      <c r="AW35" s="212">
        <v>20.209999999999997</v>
      </c>
      <c r="AX35" s="212">
        <v>20.509999999999998</v>
      </c>
      <c r="AY35" s="212">
        <v>4.25</v>
      </c>
      <c r="AZ35" s="212">
        <v>4.09</v>
      </c>
      <c r="BA35" s="212">
        <v>4.17</v>
      </c>
      <c r="BB35" s="212">
        <v>1.93</v>
      </c>
      <c r="BC35" s="212">
        <v>1.63</v>
      </c>
      <c r="BD35" s="212">
        <v>1.7799999999999998</v>
      </c>
      <c r="BE35" s="212">
        <v>0.68</v>
      </c>
      <c r="BF35" s="212">
        <v>0.38000000000000006</v>
      </c>
      <c r="BG35" s="212">
        <v>0.53</v>
      </c>
      <c r="BH35" s="212">
        <v>487.91</v>
      </c>
      <c r="BI35" s="212">
        <v>471.91</v>
      </c>
      <c r="BJ35" s="212">
        <v>479.91</v>
      </c>
      <c r="BK35" s="212">
        <v>41.18</v>
      </c>
      <c r="BL35" s="212">
        <v>39.82</v>
      </c>
      <c r="BM35" s="212">
        <v>40.5</v>
      </c>
      <c r="BN35" s="212">
        <v>1.06</v>
      </c>
      <c r="BO35" s="212">
        <v>0.82000000000000006</v>
      </c>
      <c r="BP35" s="212">
        <v>0.94000000000000006</v>
      </c>
      <c r="BQ35" s="212">
        <v>9.56</v>
      </c>
      <c r="BR35" s="212">
        <v>7.5600000000000005</v>
      </c>
      <c r="BS35" s="212">
        <v>8.56</v>
      </c>
      <c r="BT35" s="212">
        <v>11.29</v>
      </c>
      <c r="BU35" s="212">
        <v>10.889999999999999</v>
      </c>
      <c r="BV35" s="212">
        <v>11.09</v>
      </c>
      <c r="BW35" s="212">
        <v>2.78</v>
      </c>
      <c r="BX35" s="212">
        <v>2.5</v>
      </c>
      <c r="BY35" s="212">
        <v>2.6399999999999997</v>
      </c>
      <c r="BZ35" s="212">
        <v>9.33</v>
      </c>
      <c r="CA35" s="212">
        <v>6.33</v>
      </c>
      <c r="CB35" s="212">
        <v>7.83</v>
      </c>
      <c r="CC35" s="212">
        <v>6.57</v>
      </c>
      <c r="CD35" s="212">
        <v>6.33</v>
      </c>
      <c r="CE35" s="212">
        <v>6.45</v>
      </c>
      <c r="CF35" s="212">
        <v>1.9</v>
      </c>
      <c r="CG35" s="212">
        <v>1.4</v>
      </c>
      <c r="CH35" s="212">
        <v>1.65</v>
      </c>
      <c r="CI35" s="212">
        <v>0.43</v>
      </c>
      <c r="CJ35" s="212">
        <v>0.39</v>
      </c>
      <c r="CK35" s="212">
        <v>0.41000000000000003</v>
      </c>
      <c r="CL35" s="212">
        <v>37.82</v>
      </c>
      <c r="CM35" s="212">
        <v>35.42</v>
      </c>
      <c r="CN35" s="212">
        <v>36.620000000000005</v>
      </c>
      <c r="CO35" s="212">
        <v>7.36</v>
      </c>
      <c r="CP35" s="212">
        <v>2.3600000000000003</v>
      </c>
      <c r="CQ35" s="212">
        <v>4.8600000000000003</v>
      </c>
      <c r="CR35" s="212"/>
      <c r="CS35" s="212"/>
    </row>
    <row r="36" spans="1:97" x14ac:dyDescent="0.4">
      <c r="A36" s="209">
        <v>45322</v>
      </c>
      <c r="B36" s="210" t="s">
        <v>296</v>
      </c>
      <c r="C36" s="212">
        <v>148.55000000000001</v>
      </c>
      <c r="D36" s="212">
        <v>146.55000000000001</v>
      </c>
      <c r="E36" s="212">
        <v>147.55000000000001</v>
      </c>
      <c r="F36" s="212">
        <v>161.47</v>
      </c>
      <c r="G36" s="212">
        <v>158.47</v>
      </c>
      <c r="H36" s="212">
        <v>159.97</v>
      </c>
      <c r="I36" s="212">
        <v>111.66</v>
      </c>
      <c r="J36" s="212">
        <v>108.46</v>
      </c>
      <c r="K36" s="212">
        <v>110.06</v>
      </c>
      <c r="L36" s="212">
        <v>191.33</v>
      </c>
      <c r="M36" s="212">
        <v>183.33</v>
      </c>
      <c r="N36" s="212">
        <v>187.33</v>
      </c>
      <c r="O36" s="212">
        <v>172.07</v>
      </c>
      <c r="P36" s="212">
        <v>170.26999999999998</v>
      </c>
      <c r="Q36" s="212">
        <v>171.17</v>
      </c>
      <c r="R36" s="212">
        <v>21.76</v>
      </c>
      <c r="S36" s="212">
        <v>21.16</v>
      </c>
      <c r="T36" s="212">
        <v>21.46</v>
      </c>
      <c r="U36" s="212">
        <v>14.44</v>
      </c>
      <c r="V36" s="212">
        <v>13.84</v>
      </c>
      <c r="W36" s="212">
        <v>14.14</v>
      </c>
      <c r="X36" s="212">
        <v>14.57</v>
      </c>
      <c r="Y36" s="212">
        <v>13.77</v>
      </c>
      <c r="Z36" s="212">
        <v>14.17</v>
      </c>
      <c r="AA36" s="212">
        <v>99.16</v>
      </c>
      <c r="AB36" s="212">
        <v>95.16</v>
      </c>
      <c r="AC36" s="212">
        <v>97.16</v>
      </c>
      <c r="AD36" s="212">
        <v>92.49</v>
      </c>
      <c r="AE36" s="212">
        <v>88.49</v>
      </c>
      <c r="AF36" s="212">
        <v>90.49</v>
      </c>
      <c r="AG36" s="212">
        <v>19.3</v>
      </c>
      <c r="AH36" s="212">
        <v>18.440000000000001</v>
      </c>
      <c r="AI36" s="212">
        <v>18.87</v>
      </c>
      <c r="AJ36" s="212"/>
      <c r="AK36" s="212"/>
      <c r="AL36" s="212"/>
      <c r="AM36" s="212">
        <v>111</v>
      </c>
      <c r="AN36" s="212">
        <v>109.34</v>
      </c>
      <c r="AO36" s="212">
        <v>110.17</v>
      </c>
      <c r="AP36" s="212">
        <v>40.21</v>
      </c>
      <c r="AQ36" s="212">
        <v>38.61</v>
      </c>
      <c r="AR36" s="212">
        <v>39.409999999999997</v>
      </c>
      <c r="AS36" s="212">
        <v>40.92</v>
      </c>
      <c r="AT36" s="212">
        <v>39.56</v>
      </c>
      <c r="AU36" s="212">
        <v>40.24</v>
      </c>
      <c r="AV36" s="212">
        <v>20.82</v>
      </c>
      <c r="AW36" s="212">
        <v>20.22</v>
      </c>
      <c r="AX36" s="212">
        <v>20.52</v>
      </c>
      <c r="AY36" s="212">
        <v>4.26</v>
      </c>
      <c r="AZ36" s="212">
        <v>4.0999999999999996</v>
      </c>
      <c r="BA36" s="212">
        <v>4.18</v>
      </c>
      <c r="BB36" s="212">
        <v>1.94</v>
      </c>
      <c r="BC36" s="212">
        <v>1.64</v>
      </c>
      <c r="BD36" s="212">
        <v>1.79</v>
      </c>
      <c r="BE36" s="212">
        <v>0.68</v>
      </c>
      <c r="BF36" s="212">
        <v>0.38000000000000006</v>
      </c>
      <c r="BG36" s="212">
        <v>0.53</v>
      </c>
      <c r="BH36" s="212">
        <v>488.46</v>
      </c>
      <c r="BI36" s="212">
        <v>472.46</v>
      </c>
      <c r="BJ36" s="212">
        <v>480.46</v>
      </c>
      <c r="BK36" s="212">
        <v>41.24</v>
      </c>
      <c r="BL36" s="212">
        <v>39.880000000000003</v>
      </c>
      <c r="BM36" s="212">
        <v>40.56</v>
      </c>
      <c r="BN36" s="212">
        <v>1.06</v>
      </c>
      <c r="BO36" s="212">
        <v>0.82000000000000006</v>
      </c>
      <c r="BP36" s="212">
        <v>0.94000000000000006</v>
      </c>
      <c r="BQ36" s="212">
        <v>9.6</v>
      </c>
      <c r="BR36" s="212">
        <v>7.6</v>
      </c>
      <c r="BS36" s="212">
        <v>8.6</v>
      </c>
      <c r="BT36" s="212">
        <v>11.29</v>
      </c>
      <c r="BU36" s="212">
        <v>10.889999999999999</v>
      </c>
      <c r="BV36" s="212">
        <v>11.09</v>
      </c>
      <c r="BW36" s="212">
        <v>2.78</v>
      </c>
      <c r="BX36" s="212">
        <v>2.5</v>
      </c>
      <c r="BY36" s="212">
        <v>2.6399999999999997</v>
      </c>
      <c r="BZ36" s="212">
        <v>9.35</v>
      </c>
      <c r="CA36" s="212">
        <v>6.35</v>
      </c>
      <c r="CB36" s="212">
        <v>7.85</v>
      </c>
      <c r="CC36" s="212">
        <v>6.59</v>
      </c>
      <c r="CD36" s="212">
        <v>6.35</v>
      </c>
      <c r="CE36" s="212">
        <v>6.47</v>
      </c>
      <c r="CF36" s="212">
        <v>1.9</v>
      </c>
      <c r="CG36" s="212">
        <v>1.4</v>
      </c>
      <c r="CH36" s="212">
        <v>1.65</v>
      </c>
      <c r="CI36" s="212">
        <v>0.43</v>
      </c>
      <c r="CJ36" s="212">
        <v>0.39</v>
      </c>
      <c r="CK36" s="212">
        <v>0.41000000000000003</v>
      </c>
      <c r="CL36" s="212">
        <v>37.99</v>
      </c>
      <c r="CM36" s="212">
        <v>35.590000000000003</v>
      </c>
      <c r="CN36" s="212">
        <v>36.790000000000006</v>
      </c>
      <c r="CO36" s="212">
        <v>7.37</v>
      </c>
      <c r="CP36" s="212">
        <v>2.37</v>
      </c>
      <c r="CQ36" s="212">
        <v>4.87</v>
      </c>
      <c r="CR36" s="212"/>
      <c r="CS36" s="212"/>
    </row>
    <row r="37" spans="1:97" x14ac:dyDescent="0.4">
      <c r="A37" s="209">
        <v>45323</v>
      </c>
      <c r="B37" s="210" t="s">
        <v>297</v>
      </c>
      <c r="C37" s="212">
        <v>147.85</v>
      </c>
      <c r="D37" s="212">
        <v>145.85</v>
      </c>
      <c r="E37" s="212">
        <v>146.85</v>
      </c>
      <c r="F37" s="212">
        <v>160.27000000000001</v>
      </c>
      <c r="G37" s="212">
        <v>157.27000000000001</v>
      </c>
      <c r="H37" s="212">
        <v>158.77000000000001</v>
      </c>
      <c r="I37" s="212">
        <v>110.99</v>
      </c>
      <c r="J37" s="212">
        <v>107.78999999999999</v>
      </c>
      <c r="K37" s="212">
        <v>109.38999999999999</v>
      </c>
      <c r="L37" s="212">
        <v>190.34</v>
      </c>
      <c r="M37" s="212">
        <v>182.34</v>
      </c>
      <c r="N37" s="212">
        <v>186.34</v>
      </c>
      <c r="O37" s="212">
        <v>171.16</v>
      </c>
      <c r="P37" s="212">
        <v>169.35999999999999</v>
      </c>
      <c r="Q37" s="212">
        <v>170.26</v>
      </c>
      <c r="R37" s="212">
        <v>21.6</v>
      </c>
      <c r="S37" s="212">
        <v>21</v>
      </c>
      <c r="T37" s="212">
        <v>21.3</v>
      </c>
      <c r="U37" s="212">
        <v>14.27</v>
      </c>
      <c r="V37" s="212">
        <v>13.67</v>
      </c>
      <c r="W37" s="212">
        <v>13.969999999999999</v>
      </c>
      <c r="X37" s="212">
        <v>14.54</v>
      </c>
      <c r="Y37" s="212">
        <v>13.739999999999998</v>
      </c>
      <c r="Z37" s="212">
        <v>14.139999999999999</v>
      </c>
      <c r="AA37" s="212">
        <v>98.6</v>
      </c>
      <c r="AB37" s="212">
        <v>94.6</v>
      </c>
      <c r="AC37" s="212">
        <v>96.6</v>
      </c>
      <c r="AD37" s="212">
        <v>91.96</v>
      </c>
      <c r="AE37" s="212">
        <v>87.96</v>
      </c>
      <c r="AF37" s="212">
        <v>89.96</v>
      </c>
      <c r="AG37" s="212">
        <v>19.21</v>
      </c>
      <c r="AH37" s="212">
        <v>18.350000000000001</v>
      </c>
      <c r="AI37" s="212">
        <v>18.78</v>
      </c>
      <c r="AJ37" s="212"/>
      <c r="AK37" s="212"/>
      <c r="AL37" s="212"/>
      <c r="AM37" s="212">
        <v>110.46</v>
      </c>
      <c r="AN37" s="212">
        <v>108.8</v>
      </c>
      <c r="AO37" s="212">
        <v>109.63</v>
      </c>
      <c r="AP37" s="212">
        <v>40.020000000000003</v>
      </c>
      <c r="AQ37" s="212">
        <v>38.42</v>
      </c>
      <c r="AR37" s="212">
        <v>39.22</v>
      </c>
      <c r="AS37" s="212">
        <v>40.729999999999997</v>
      </c>
      <c r="AT37" s="212">
        <v>39.369999999999997</v>
      </c>
      <c r="AU37" s="212">
        <v>40.049999999999997</v>
      </c>
      <c r="AV37" s="212">
        <v>20.74</v>
      </c>
      <c r="AW37" s="212">
        <v>20.139999999999997</v>
      </c>
      <c r="AX37" s="212">
        <v>20.439999999999998</v>
      </c>
      <c r="AY37" s="212">
        <v>4.22</v>
      </c>
      <c r="AZ37" s="212">
        <v>4.0599999999999996</v>
      </c>
      <c r="BA37" s="212">
        <v>4.1399999999999997</v>
      </c>
      <c r="BB37" s="212">
        <v>1.93</v>
      </c>
      <c r="BC37" s="212">
        <v>1.63</v>
      </c>
      <c r="BD37" s="212">
        <v>1.7799999999999998</v>
      </c>
      <c r="BE37" s="212">
        <v>0.68</v>
      </c>
      <c r="BF37" s="212">
        <v>0.38000000000000006</v>
      </c>
      <c r="BG37" s="212">
        <v>0.53</v>
      </c>
      <c r="BH37" s="212">
        <v>486.49</v>
      </c>
      <c r="BI37" s="212">
        <v>470.49</v>
      </c>
      <c r="BJ37" s="212">
        <v>478.49</v>
      </c>
      <c r="BK37" s="212">
        <v>41.05</v>
      </c>
      <c r="BL37" s="212">
        <v>39.69</v>
      </c>
      <c r="BM37" s="212">
        <v>40.369999999999997</v>
      </c>
      <c r="BN37" s="212">
        <v>1.05</v>
      </c>
      <c r="BO37" s="212">
        <v>0.81</v>
      </c>
      <c r="BP37" s="212">
        <v>0.93</v>
      </c>
      <c r="BQ37" s="212">
        <v>9.5399999999999991</v>
      </c>
      <c r="BR37" s="212">
        <v>7.5399999999999991</v>
      </c>
      <c r="BS37" s="212">
        <v>8.5399999999999991</v>
      </c>
      <c r="BT37" s="212">
        <v>11.24</v>
      </c>
      <c r="BU37" s="212">
        <v>10.84</v>
      </c>
      <c r="BV37" s="212">
        <v>11.04</v>
      </c>
      <c r="BW37" s="212">
        <v>2.77</v>
      </c>
      <c r="BX37" s="212">
        <v>2.4900000000000002</v>
      </c>
      <c r="BY37" s="212">
        <v>2.63</v>
      </c>
      <c r="BZ37" s="212">
        <v>9.3800000000000008</v>
      </c>
      <c r="CA37" s="212">
        <v>6.3800000000000008</v>
      </c>
      <c r="CB37" s="212">
        <v>7.8800000000000008</v>
      </c>
      <c r="CC37" s="212">
        <v>6.53</v>
      </c>
      <c r="CD37" s="212">
        <v>6.29</v>
      </c>
      <c r="CE37" s="212">
        <v>6.41</v>
      </c>
      <c r="CF37" s="212">
        <v>1.88</v>
      </c>
      <c r="CG37" s="212">
        <v>1.38</v>
      </c>
      <c r="CH37" s="212">
        <v>1.63</v>
      </c>
      <c r="CI37" s="212">
        <v>0.43</v>
      </c>
      <c r="CJ37" s="212">
        <v>0.39</v>
      </c>
      <c r="CK37" s="212">
        <v>0.41000000000000003</v>
      </c>
      <c r="CL37" s="212">
        <v>37.9</v>
      </c>
      <c r="CM37" s="212">
        <v>35.5</v>
      </c>
      <c r="CN37" s="212">
        <v>36.700000000000003</v>
      </c>
      <c r="CO37" s="212">
        <v>7.34</v>
      </c>
      <c r="CP37" s="212">
        <v>2.34</v>
      </c>
      <c r="CQ37" s="212">
        <v>4.84</v>
      </c>
      <c r="CR37" s="212"/>
      <c r="CS37" s="212"/>
    </row>
    <row r="38" spans="1:97" x14ac:dyDescent="0.4">
      <c r="A38" s="209">
        <v>45324</v>
      </c>
      <c r="B38" s="210" t="s">
        <v>298</v>
      </c>
      <c r="C38" s="212">
        <v>147.49</v>
      </c>
      <c r="D38" s="212">
        <v>145.49</v>
      </c>
      <c r="E38" s="212">
        <v>146.49</v>
      </c>
      <c r="F38" s="212">
        <v>160.84</v>
      </c>
      <c r="G38" s="212">
        <v>157.84</v>
      </c>
      <c r="H38" s="212">
        <v>159.34</v>
      </c>
      <c r="I38" s="212">
        <v>111.11</v>
      </c>
      <c r="J38" s="212">
        <v>107.91</v>
      </c>
      <c r="K38" s="212">
        <v>109.50999999999999</v>
      </c>
      <c r="L38" s="212">
        <v>190.73</v>
      </c>
      <c r="M38" s="212">
        <v>182.73</v>
      </c>
      <c r="N38" s="212">
        <v>186.73</v>
      </c>
      <c r="O38" s="212">
        <v>171.77</v>
      </c>
      <c r="P38" s="212">
        <v>169.97</v>
      </c>
      <c r="Q38" s="212">
        <v>170.87</v>
      </c>
      <c r="R38" s="212">
        <v>21.67</v>
      </c>
      <c r="S38" s="212">
        <v>21.07</v>
      </c>
      <c r="T38" s="212">
        <v>21.37</v>
      </c>
      <c r="U38" s="212">
        <v>14.35</v>
      </c>
      <c r="V38" s="212">
        <v>13.75</v>
      </c>
      <c r="W38" s="212">
        <v>14.05</v>
      </c>
      <c r="X38" s="212">
        <v>14.51</v>
      </c>
      <c r="Y38" s="212">
        <v>13.709999999999999</v>
      </c>
      <c r="Z38" s="212">
        <v>14.11</v>
      </c>
      <c r="AA38" s="212">
        <v>98.41</v>
      </c>
      <c r="AB38" s="212">
        <v>94.41</v>
      </c>
      <c r="AC38" s="212">
        <v>96.41</v>
      </c>
      <c r="AD38" s="212">
        <v>92.06</v>
      </c>
      <c r="AE38" s="212">
        <v>88.06</v>
      </c>
      <c r="AF38" s="212">
        <v>90.06</v>
      </c>
      <c r="AG38" s="212">
        <v>19.16</v>
      </c>
      <c r="AH38" s="212">
        <v>18.3</v>
      </c>
      <c r="AI38" s="212">
        <v>18.73</v>
      </c>
      <c r="AJ38" s="212"/>
      <c r="AK38" s="212"/>
      <c r="AL38" s="212"/>
      <c r="AM38" s="212">
        <v>110.41</v>
      </c>
      <c r="AN38" s="212">
        <v>108.75</v>
      </c>
      <c r="AO38" s="212">
        <v>109.58</v>
      </c>
      <c r="AP38" s="212">
        <v>39.93</v>
      </c>
      <c r="AQ38" s="212">
        <v>38.33</v>
      </c>
      <c r="AR38" s="212">
        <v>39.129999999999995</v>
      </c>
      <c r="AS38" s="212">
        <v>40.630000000000003</v>
      </c>
      <c r="AT38" s="212">
        <v>39.270000000000003</v>
      </c>
      <c r="AU38" s="212">
        <v>39.950000000000003</v>
      </c>
      <c r="AV38" s="212">
        <v>20.67</v>
      </c>
      <c r="AW38" s="212">
        <v>20.07</v>
      </c>
      <c r="AX38" s="212">
        <v>20.37</v>
      </c>
      <c r="AY38" s="212">
        <v>4.2300000000000004</v>
      </c>
      <c r="AZ38" s="212">
        <v>4.07</v>
      </c>
      <c r="BA38" s="212">
        <v>4.1500000000000004</v>
      </c>
      <c r="BB38" s="212">
        <v>1.93</v>
      </c>
      <c r="BC38" s="212">
        <v>1.63</v>
      </c>
      <c r="BD38" s="212">
        <v>1.7799999999999998</v>
      </c>
      <c r="BE38" s="212">
        <v>0.68</v>
      </c>
      <c r="BF38" s="212">
        <v>0.38000000000000006</v>
      </c>
      <c r="BG38" s="212">
        <v>0.53</v>
      </c>
      <c r="BH38" s="212">
        <v>485.17</v>
      </c>
      <c r="BI38" s="212">
        <v>469.17</v>
      </c>
      <c r="BJ38" s="212">
        <v>477.17</v>
      </c>
      <c r="BK38" s="212">
        <v>40.94</v>
      </c>
      <c r="BL38" s="212">
        <v>39.58</v>
      </c>
      <c r="BM38" s="212">
        <v>40.26</v>
      </c>
      <c r="BN38" s="212">
        <v>1.05</v>
      </c>
      <c r="BO38" s="212">
        <v>0.81</v>
      </c>
      <c r="BP38" s="212">
        <v>0.93</v>
      </c>
      <c r="BQ38" s="212">
        <v>9.58</v>
      </c>
      <c r="BR38" s="212">
        <v>7.58</v>
      </c>
      <c r="BS38" s="212">
        <v>8.58</v>
      </c>
      <c r="BT38" s="212">
        <v>11.26</v>
      </c>
      <c r="BU38" s="212">
        <v>10.86</v>
      </c>
      <c r="BV38" s="212">
        <v>11.059999999999999</v>
      </c>
      <c r="BW38" s="212">
        <v>2.77</v>
      </c>
      <c r="BX38" s="212">
        <v>2.4900000000000002</v>
      </c>
      <c r="BY38" s="212">
        <v>2.63</v>
      </c>
      <c r="BZ38" s="212">
        <v>9.39</v>
      </c>
      <c r="CA38" s="212">
        <v>6.3900000000000006</v>
      </c>
      <c r="CB38" s="212">
        <v>7.8900000000000006</v>
      </c>
      <c r="CC38" s="212">
        <v>6.54</v>
      </c>
      <c r="CD38" s="212">
        <v>6.3</v>
      </c>
      <c r="CE38" s="212">
        <v>6.42</v>
      </c>
      <c r="CF38" s="212">
        <v>1.87</v>
      </c>
      <c r="CG38" s="212">
        <v>1.37</v>
      </c>
      <c r="CH38" s="212">
        <v>1.62</v>
      </c>
      <c r="CI38" s="212">
        <v>0.44</v>
      </c>
      <c r="CJ38" s="212">
        <v>0.4</v>
      </c>
      <c r="CK38" s="212">
        <v>0.42000000000000004</v>
      </c>
      <c r="CL38" s="212">
        <v>38.130000000000003</v>
      </c>
      <c r="CM38" s="212">
        <v>35.730000000000004</v>
      </c>
      <c r="CN38" s="212">
        <v>36.930000000000007</v>
      </c>
      <c r="CO38" s="212">
        <v>7.33</v>
      </c>
      <c r="CP38" s="212">
        <v>2.33</v>
      </c>
      <c r="CQ38" s="212">
        <v>4.83</v>
      </c>
      <c r="CR38" s="212"/>
      <c r="CS38" s="212"/>
    </row>
    <row r="39" spans="1:97" x14ac:dyDescent="0.4">
      <c r="A39" s="209">
        <v>45325</v>
      </c>
      <c r="B39" s="210" t="s">
        <v>299</v>
      </c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2"/>
      <c r="W39" s="212"/>
      <c r="X39" s="212"/>
      <c r="Y39" s="212"/>
      <c r="Z39" s="212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2"/>
      <c r="AX39" s="212"/>
      <c r="AY39" s="212"/>
      <c r="AZ39" s="212"/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  <c r="BK39" s="212"/>
      <c r="BL39" s="212"/>
      <c r="BM39" s="212"/>
      <c r="BN39" s="212"/>
      <c r="BO39" s="212"/>
      <c r="BP39" s="212"/>
      <c r="BQ39" s="212"/>
      <c r="BR39" s="212"/>
      <c r="BS39" s="212"/>
      <c r="BT39" s="212"/>
      <c r="BU39" s="212"/>
      <c r="BV39" s="212"/>
      <c r="BW39" s="212"/>
      <c r="BX39" s="212"/>
      <c r="BY39" s="212"/>
      <c r="BZ39" s="212"/>
      <c r="CA39" s="212"/>
      <c r="CB39" s="212"/>
      <c r="CC39" s="212"/>
      <c r="CD39" s="212"/>
      <c r="CE39" s="212"/>
      <c r="CF39" s="212"/>
      <c r="CG39" s="212"/>
      <c r="CH39" s="212"/>
      <c r="CI39" s="212"/>
      <c r="CJ39" s="212"/>
      <c r="CK39" s="212"/>
      <c r="CL39" s="212"/>
      <c r="CM39" s="212"/>
      <c r="CN39" s="212"/>
      <c r="CO39" s="212"/>
      <c r="CP39" s="212"/>
      <c r="CQ39" s="212"/>
      <c r="CR39" s="212"/>
      <c r="CS39" s="212"/>
    </row>
    <row r="40" spans="1:97" x14ac:dyDescent="0.4">
      <c r="A40" s="209">
        <v>45326</v>
      </c>
      <c r="B40" s="210" t="s">
        <v>300</v>
      </c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  <c r="T40" s="212"/>
      <c r="U40" s="212"/>
      <c r="V40" s="212"/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2"/>
      <c r="AX40" s="212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2"/>
      <c r="BN40" s="212"/>
      <c r="BO40" s="212"/>
      <c r="BP40" s="212"/>
      <c r="BQ40" s="212"/>
      <c r="BR40" s="212"/>
      <c r="BS40" s="212"/>
      <c r="BT40" s="212"/>
      <c r="BU40" s="212"/>
      <c r="BV40" s="212"/>
      <c r="BW40" s="212"/>
      <c r="BX40" s="212"/>
      <c r="BY40" s="212"/>
      <c r="BZ40" s="212"/>
      <c r="CA40" s="212"/>
      <c r="CB40" s="212"/>
      <c r="CC40" s="212"/>
      <c r="CD40" s="212"/>
      <c r="CE40" s="212"/>
      <c r="CF40" s="212"/>
      <c r="CG40" s="212"/>
      <c r="CH40" s="212"/>
      <c r="CI40" s="212"/>
      <c r="CJ40" s="212"/>
      <c r="CK40" s="212"/>
      <c r="CL40" s="212"/>
      <c r="CM40" s="212"/>
      <c r="CN40" s="212"/>
      <c r="CO40" s="212"/>
      <c r="CP40" s="212"/>
      <c r="CQ40" s="212"/>
      <c r="CR40" s="212"/>
      <c r="CS40" s="212"/>
    </row>
    <row r="41" spans="1:97" x14ac:dyDescent="0.4">
      <c r="A41" s="209">
        <v>45327</v>
      </c>
      <c r="B41" s="210" t="s">
        <v>294</v>
      </c>
      <c r="C41" s="212">
        <v>149.76</v>
      </c>
      <c r="D41" s="212">
        <v>147.76</v>
      </c>
      <c r="E41" s="212">
        <v>148.76</v>
      </c>
      <c r="F41" s="212">
        <v>161.77000000000001</v>
      </c>
      <c r="G41" s="212">
        <v>158.77000000000001</v>
      </c>
      <c r="H41" s="212">
        <v>160.27000000000001</v>
      </c>
      <c r="I41" s="212">
        <v>111.92</v>
      </c>
      <c r="J41" s="212">
        <v>108.72</v>
      </c>
      <c r="K41" s="212">
        <v>110.32</v>
      </c>
      <c r="L41" s="212">
        <v>191.56</v>
      </c>
      <c r="M41" s="212">
        <v>183.56</v>
      </c>
      <c r="N41" s="212">
        <v>187.56</v>
      </c>
      <c r="O41" s="212">
        <v>172.34</v>
      </c>
      <c r="P41" s="212">
        <v>170.54</v>
      </c>
      <c r="Q41" s="212">
        <v>171.44</v>
      </c>
      <c r="R41" s="212">
        <v>21.8</v>
      </c>
      <c r="S41" s="212">
        <v>21.2</v>
      </c>
      <c r="T41" s="212">
        <v>21.5</v>
      </c>
      <c r="U41" s="212">
        <v>14.29</v>
      </c>
      <c r="V41" s="212">
        <v>13.69</v>
      </c>
      <c r="W41" s="212">
        <v>13.989999999999998</v>
      </c>
      <c r="X41" s="212">
        <v>14.53</v>
      </c>
      <c r="Y41" s="212">
        <v>13.729999999999999</v>
      </c>
      <c r="Z41" s="212">
        <v>14.129999999999999</v>
      </c>
      <c r="AA41" s="212">
        <v>98.55</v>
      </c>
      <c r="AB41" s="212">
        <v>94.55</v>
      </c>
      <c r="AC41" s="212">
        <v>96.55</v>
      </c>
      <c r="AD41" s="212">
        <v>92.03</v>
      </c>
      <c r="AE41" s="212">
        <v>88.03</v>
      </c>
      <c r="AF41" s="212">
        <v>90.03</v>
      </c>
      <c r="AG41" s="212">
        <v>19.45</v>
      </c>
      <c r="AH41" s="212">
        <v>18.59</v>
      </c>
      <c r="AI41" s="212">
        <v>19.02</v>
      </c>
      <c r="AJ41" s="212"/>
      <c r="AK41" s="212"/>
      <c r="AL41" s="212"/>
      <c r="AM41" s="212">
        <v>111.47</v>
      </c>
      <c r="AN41" s="212">
        <v>109.81</v>
      </c>
      <c r="AO41" s="212">
        <v>110.64</v>
      </c>
      <c r="AP41" s="212">
        <v>40.53</v>
      </c>
      <c r="AQ41" s="212">
        <v>38.93</v>
      </c>
      <c r="AR41" s="212">
        <v>39.730000000000004</v>
      </c>
      <c r="AS41" s="212">
        <v>41.25</v>
      </c>
      <c r="AT41" s="212">
        <v>39.89</v>
      </c>
      <c r="AU41" s="212">
        <v>40.57</v>
      </c>
      <c r="AV41" s="212">
        <v>20.9</v>
      </c>
      <c r="AW41" s="212">
        <v>20.299999999999997</v>
      </c>
      <c r="AX41" s="212">
        <v>20.599999999999998</v>
      </c>
      <c r="AY41" s="212">
        <v>4.25</v>
      </c>
      <c r="AZ41" s="212">
        <v>4.09</v>
      </c>
      <c r="BA41" s="212">
        <v>4.17</v>
      </c>
      <c r="BB41" s="212">
        <v>1.95</v>
      </c>
      <c r="BC41" s="212">
        <v>1.65</v>
      </c>
      <c r="BD41" s="212">
        <v>1.7999999999999998</v>
      </c>
      <c r="BE41" s="212">
        <v>0.69</v>
      </c>
      <c r="BF41" s="212">
        <v>0.38999999999999996</v>
      </c>
      <c r="BG41" s="212">
        <v>0.53999999999999992</v>
      </c>
      <c r="BH41" s="212">
        <v>492.24</v>
      </c>
      <c r="BI41" s="212">
        <v>476.24</v>
      </c>
      <c r="BJ41" s="212">
        <v>484.24</v>
      </c>
      <c r="BK41" s="212">
        <v>41.56</v>
      </c>
      <c r="BL41" s="212">
        <v>40.200000000000003</v>
      </c>
      <c r="BM41" s="212">
        <v>40.880000000000003</v>
      </c>
      <c r="BN41" s="212">
        <v>1.07</v>
      </c>
      <c r="BO41" s="212">
        <v>0.83000000000000007</v>
      </c>
      <c r="BP41" s="212">
        <v>0.95000000000000007</v>
      </c>
      <c r="BQ41" s="212">
        <v>9.66</v>
      </c>
      <c r="BR41" s="212">
        <v>7.66</v>
      </c>
      <c r="BS41" s="212">
        <v>8.66</v>
      </c>
      <c r="BT41" s="212">
        <v>11.33</v>
      </c>
      <c r="BU41" s="212">
        <v>10.93</v>
      </c>
      <c r="BV41" s="212">
        <v>11.129999999999999</v>
      </c>
      <c r="BW41" s="212">
        <v>2.82</v>
      </c>
      <c r="BX41" s="212">
        <v>2.54</v>
      </c>
      <c r="BY41" s="212">
        <v>2.6799999999999997</v>
      </c>
      <c r="BZ41" s="212">
        <v>9.35</v>
      </c>
      <c r="CA41" s="212">
        <v>6.35</v>
      </c>
      <c r="CB41" s="212">
        <v>7.85</v>
      </c>
      <c r="CC41" s="212">
        <v>6.55</v>
      </c>
      <c r="CD41" s="212">
        <v>6.31</v>
      </c>
      <c r="CE41" s="212">
        <v>6.43</v>
      </c>
      <c r="CF41" s="212">
        <v>1.89</v>
      </c>
      <c r="CG41" s="212">
        <v>1.39</v>
      </c>
      <c r="CH41" s="212">
        <v>1.64</v>
      </c>
      <c r="CI41" s="212">
        <v>0.44</v>
      </c>
      <c r="CJ41" s="212">
        <v>0.4</v>
      </c>
      <c r="CK41" s="212">
        <v>0.42000000000000004</v>
      </c>
      <c r="CL41" s="212">
        <v>38.32</v>
      </c>
      <c r="CM41" s="212">
        <v>35.92</v>
      </c>
      <c r="CN41" s="212">
        <v>37.120000000000005</v>
      </c>
      <c r="CO41" s="212">
        <v>7.39</v>
      </c>
      <c r="CP41" s="212">
        <v>2.3899999999999997</v>
      </c>
      <c r="CQ41" s="212">
        <v>4.8899999999999997</v>
      </c>
      <c r="CR41" s="212"/>
      <c r="CS41" s="212"/>
    </row>
    <row r="42" spans="1:97" x14ac:dyDescent="0.4">
      <c r="A42" s="209">
        <v>45328</v>
      </c>
      <c r="B42" s="210" t="s">
        <v>295</v>
      </c>
      <c r="C42" s="212">
        <v>149.68</v>
      </c>
      <c r="D42" s="212">
        <v>147.68</v>
      </c>
      <c r="E42" s="212">
        <v>148.68</v>
      </c>
      <c r="F42" s="212">
        <v>161.26</v>
      </c>
      <c r="G42" s="212">
        <v>158.26</v>
      </c>
      <c r="H42" s="212">
        <v>159.76</v>
      </c>
      <c r="I42" s="212">
        <v>111.44</v>
      </c>
      <c r="J42" s="212">
        <v>108.24</v>
      </c>
      <c r="K42" s="212">
        <v>109.84</v>
      </c>
      <c r="L42" s="212">
        <v>190.46</v>
      </c>
      <c r="M42" s="212">
        <v>182.46</v>
      </c>
      <c r="N42" s="212">
        <v>186.46</v>
      </c>
      <c r="O42" s="212">
        <v>171.68</v>
      </c>
      <c r="P42" s="212">
        <v>169.88</v>
      </c>
      <c r="Q42" s="212">
        <v>170.78</v>
      </c>
      <c r="R42" s="212">
        <v>21.72</v>
      </c>
      <c r="S42" s="212">
        <v>21.119999999999997</v>
      </c>
      <c r="T42" s="212">
        <v>21.419999999999998</v>
      </c>
      <c r="U42" s="212">
        <v>14.22</v>
      </c>
      <c r="V42" s="212">
        <v>13.620000000000001</v>
      </c>
      <c r="W42" s="212">
        <v>13.920000000000002</v>
      </c>
      <c r="X42" s="212">
        <v>14.43</v>
      </c>
      <c r="Y42" s="212">
        <v>13.629999999999999</v>
      </c>
      <c r="Z42" s="212">
        <v>14.03</v>
      </c>
      <c r="AA42" s="212">
        <v>98.4</v>
      </c>
      <c r="AB42" s="212">
        <v>94.4</v>
      </c>
      <c r="AC42" s="212">
        <v>96.4</v>
      </c>
      <c r="AD42" s="212">
        <v>92.01</v>
      </c>
      <c r="AE42" s="212">
        <v>88.01</v>
      </c>
      <c r="AF42" s="212">
        <v>90.01</v>
      </c>
      <c r="AG42" s="212">
        <v>19.440000000000001</v>
      </c>
      <c r="AH42" s="212">
        <v>18.580000000000002</v>
      </c>
      <c r="AI42" s="212">
        <v>19.010000000000002</v>
      </c>
      <c r="AJ42" s="212"/>
      <c r="AK42" s="212"/>
      <c r="AL42" s="212"/>
      <c r="AM42" s="212">
        <v>111.23</v>
      </c>
      <c r="AN42" s="212">
        <v>109.57000000000001</v>
      </c>
      <c r="AO42" s="212">
        <v>110.4</v>
      </c>
      <c r="AP42" s="212">
        <v>40.51</v>
      </c>
      <c r="AQ42" s="212">
        <v>38.909999999999997</v>
      </c>
      <c r="AR42" s="212">
        <v>39.709999999999994</v>
      </c>
      <c r="AS42" s="212">
        <v>41.23</v>
      </c>
      <c r="AT42" s="212">
        <v>39.869999999999997</v>
      </c>
      <c r="AU42" s="212">
        <v>40.549999999999997</v>
      </c>
      <c r="AV42" s="212">
        <v>20.9</v>
      </c>
      <c r="AW42" s="212">
        <v>20.299999999999997</v>
      </c>
      <c r="AX42" s="212">
        <v>20.599999999999998</v>
      </c>
      <c r="AY42" s="212">
        <v>4.24</v>
      </c>
      <c r="AZ42" s="212">
        <v>4.08</v>
      </c>
      <c r="BA42" s="212">
        <v>4.16</v>
      </c>
      <c r="BB42" s="212">
        <v>1.95</v>
      </c>
      <c r="BC42" s="212">
        <v>1.65</v>
      </c>
      <c r="BD42" s="212">
        <v>1.7999999999999998</v>
      </c>
      <c r="BE42" s="212">
        <v>0.69</v>
      </c>
      <c r="BF42" s="212">
        <v>0.38999999999999996</v>
      </c>
      <c r="BG42" s="212">
        <v>0.53999999999999992</v>
      </c>
      <c r="BH42" s="212">
        <v>491.83</v>
      </c>
      <c r="BI42" s="212">
        <v>475.83</v>
      </c>
      <c r="BJ42" s="212">
        <v>483.83</v>
      </c>
      <c r="BK42" s="212">
        <v>41.54</v>
      </c>
      <c r="BL42" s="212">
        <v>40.18</v>
      </c>
      <c r="BM42" s="212">
        <v>40.86</v>
      </c>
      <c r="BN42" s="212">
        <v>1.07</v>
      </c>
      <c r="BO42" s="212">
        <v>0.83000000000000007</v>
      </c>
      <c r="BP42" s="212">
        <v>0.95000000000000007</v>
      </c>
      <c r="BQ42" s="212">
        <v>9.69</v>
      </c>
      <c r="BR42" s="212">
        <v>7.6899999999999995</v>
      </c>
      <c r="BS42" s="212">
        <v>8.69</v>
      </c>
      <c r="BT42" s="212">
        <v>11.37</v>
      </c>
      <c r="BU42" s="212">
        <v>10.969999999999999</v>
      </c>
      <c r="BV42" s="212">
        <v>11.169999999999998</v>
      </c>
      <c r="BW42" s="212">
        <v>2.8</v>
      </c>
      <c r="BX42" s="212">
        <v>2.5199999999999996</v>
      </c>
      <c r="BY42" s="212">
        <v>2.6599999999999997</v>
      </c>
      <c r="BZ42" s="212">
        <v>9.3000000000000007</v>
      </c>
      <c r="CA42" s="212">
        <v>6.3000000000000007</v>
      </c>
      <c r="CB42" s="212">
        <v>7.8000000000000007</v>
      </c>
      <c r="CC42" s="212">
        <v>6.51</v>
      </c>
      <c r="CD42" s="212">
        <v>6.27</v>
      </c>
      <c r="CE42" s="212">
        <v>6.39</v>
      </c>
      <c r="CF42" s="212">
        <v>1.89</v>
      </c>
      <c r="CG42" s="212">
        <v>1.39</v>
      </c>
      <c r="CH42" s="212">
        <v>1.64</v>
      </c>
      <c r="CI42" s="212">
        <v>0.43</v>
      </c>
      <c r="CJ42" s="212">
        <v>0.39</v>
      </c>
      <c r="CK42" s="212">
        <v>0.41000000000000003</v>
      </c>
      <c r="CL42" s="212">
        <v>38.020000000000003</v>
      </c>
      <c r="CM42" s="212">
        <v>35.620000000000005</v>
      </c>
      <c r="CN42" s="212">
        <v>36.820000000000007</v>
      </c>
      <c r="CO42" s="212">
        <v>7.37</v>
      </c>
      <c r="CP42" s="212">
        <v>2.37</v>
      </c>
      <c r="CQ42" s="212">
        <v>4.87</v>
      </c>
      <c r="CR42" s="212"/>
      <c r="CS42" s="212"/>
    </row>
    <row r="43" spans="1:97" x14ac:dyDescent="0.4">
      <c r="A43" s="209">
        <v>45329</v>
      </c>
      <c r="B43" s="210" t="s">
        <v>296</v>
      </c>
      <c r="C43" s="212">
        <v>148.88</v>
      </c>
      <c r="D43" s="212">
        <v>146.88</v>
      </c>
      <c r="E43" s="212">
        <v>147.88</v>
      </c>
      <c r="F43" s="212">
        <v>160.62</v>
      </c>
      <c r="G43" s="212">
        <v>157.62</v>
      </c>
      <c r="H43" s="212">
        <v>159.12</v>
      </c>
      <c r="I43" s="212">
        <v>111.23</v>
      </c>
      <c r="J43" s="212">
        <v>108.03</v>
      </c>
      <c r="K43" s="212">
        <v>109.63</v>
      </c>
      <c r="L43" s="212">
        <v>190.34</v>
      </c>
      <c r="M43" s="212">
        <v>182.34</v>
      </c>
      <c r="N43" s="212">
        <v>186.34</v>
      </c>
      <c r="O43" s="212">
        <v>170.94</v>
      </c>
      <c r="P43" s="212">
        <v>169.14</v>
      </c>
      <c r="Q43" s="212">
        <v>170.04</v>
      </c>
      <c r="R43" s="212">
        <v>21.63</v>
      </c>
      <c r="S43" s="212">
        <v>21.029999999999998</v>
      </c>
      <c r="T43" s="212">
        <v>21.33</v>
      </c>
      <c r="U43" s="212">
        <v>14.27</v>
      </c>
      <c r="V43" s="212">
        <v>13.67</v>
      </c>
      <c r="W43" s="212">
        <v>13.969999999999999</v>
      </c>
      <c r="X43" s="212">
        <v>14.48</v>
      </c>
      <c r="Y43" s="212">
        <v>13.68</v>
      </c>
      <c r="Z43" s="212">
        <v>14.08</v>
      </c>
      <c r="AA43" s="212">
        <v>98.54</v>
      </c>
      <c r="AB43" s="212">
        <v>94.54</v>
      </c>
      <c r="AC43" s="212">
        <v>96.54</v>
      </c>
      <c r="AD43" s="212">
        <v>92.18</v>
      </c>
      <c r="AE43" s="212">
        <v>88.18</v>
      </c>
      <c r="AF43" s="212">
        <v>90.18</v>
      </c>
      <c r="AG43" s="212">
        <v>19.34</v>
      </c>
      <c r="AH43" s="212">
        <v>18.48</v>
      </c>
      <c r="AI43" s="212">
        <v>18.91</v>
      </c>
      <c r="AJ43" s="212"/>
      <c r="AK43" s="212"/>
      <c r="AL43" s="212"/>
      <c r="AM43" s="212">
        <v>110.88</v>
      </c>
      <c r="AN43" s="212">
        <v>109.22</v>
      </c>
      <c r="AO43" s="212">
        <v>110.05</v>
      </c>
      <c r="AP43" s="212">
        <v>40.299999999999997</v>
      </c>
      <c r="AQ43" s="212">
        <v>38.699999999999996</v>
      </c>
      <c r="AR43" s="212">
        <v>39.5</v>
      </c>
      <c r="AS43" s="212">
        <v>41.01</v>
      </c>
      <c r="AT43" s="212">
        <v>39.65</v>
      </c>
      <c r="AU43" s="212">
        <v>40.33</v>
      </c>
      <c r="AV43" s="212">
        <v>20.84</v>
      </c>
      <c r="AW43" s="212">
        <v>20.239999999999998</v>
      </c>
      <c r="AX43" s="212">
        <v>20.54</v>
      </c>
      <c r="AY43" s="212">
        <v>4.24</v>
      </c>
      <c r="AZ43" s="212">
        <v>4.08</v>
      </c>
      <c r="BA43" s="212">
        <v>4.16</v>
      </c>
      <c r="BB43" s="212">
        <v>1.94</v>
      </c>
      <c r="BC43" s="212">
        <v>1.64</v>
      </c>
      <c r="BD43" s="212">
        <v>1.79</v>
      </c>
      <c r="BE43" s="212">
        <v>0.68</v>
      </c>
      <c r="BF43" s="212">
        <v>0.38000000000000006</v>
      </c>
      <c r="BG43" s="212">
        <v>0.53</v>
      </c>
      <c r="BH43" s="212">
        <v>489.38</v>
      </c>
      <c r="BI43" s="212">
        <v>473.38</v>
      </c>
      <c r="BJ43" s="212">
        <v>481.38</v>
      </c>
      <c r="BK43" s="212">
        <v>41.32</v>
      </c>
      <c r="BL43" s="212">
        <v>39.96</v>
      </c>
      <c r="BM43" s="212">
        <v>40.64</v>
      </c>
      <c r="BN43" s="212">
        <v>1.06</v>
      </c>
      <c r="BO43" s="212">
        <v>0.82000000000000006</v>
      </c>
      <c r="BP43" s="212">
        <v>0.94000000000000006</v>
      </c>
      <c r="BQ43" s="212">
        <v>9.68</v>
      </c>
      <c r="BR43" s="212">
        <v>7.68</v>
      </c>
      <c r="BS43" s="212">
        <v>8.68</v>
      </c>
      <c r="BT43" s="212">
        <v>11.39</v>
      </c>
      <c r="BU43" s="212">
        <v>10.99</v>
      </c>
      <c r="BV43" s="212">
        <v>11.190000000000001</v>
      </c>
      <c r="BW43" s="212">
        <v>2.79</v>
      </c>
      <c r="BX43" s="212">
        <v>2.5099999999999998</v>
      </c>
      <c r="BY43" s="212">
        <v>2.65</v>
      </c>
      <c r="BZ43" s="212">
        <v>9.35</v>
      </c>
      <c r="CA43" s="212">
        <v>6.35</v>
      </c>
      <c r="CB43" s="212">
        <v>7.85</v>
      </c>
      <c r="CC43" s="212">
        <v>6.51</v>
      </c>
      <c r="CD43" s="212">
        <v>6.27</v>
      </c>
      <c r="CE43" s="212">
        <v>6.39</v>
      </c>
      <c r="CF43" s="212">
        <v>1.88</v>
      </c>
      <c r="CG43" s="212">
        <v>1.38</v>
      </c>
      <c r="CH43" s="212">
        <v>1.63</v>
      </c>
      <c r="CI43" s="212">
        <v>0.43</v>
      </c>
      <c r="CJ43" s="212">
        <v>0.39</v>
      </c>
      <c r="CK43" s="212">
        <v>0.41000000000000003</v>
      </c>
      <c r="CL43" s="212">
        <v>37.799999999999997</v>
      </c>
      <c r="CM43" s="212">
        <v>35.4</v>
      </c>
      <c r="CN43" s="212">
        <v>36.599999999999994</v>
      </c>
      <c r="CO43" s="212">
        <v>7.34</v>
      </c>
      <c r="CP43" s="212">
        <v>2.34</v>
      </c>
      <c r="CQ43" s="212">
        <v>4.84</v>
      </c>
      <c r="CR43" s="212"/>
      <c r="CS43" s="212"/>
    </row>
    <row r="44" spans="1:97" x14ac:dyDescent="0.4">
      <c r="A44" s="209">
        <v>45330</v>
      </c>
      <c r="B44" s="210" t="s">
        <v>297</v>
      </c>
      <c r="C44" s="212">
        <v>149.15</v>
      </c>
      <c r="D44" s="212">
        <v>147.15</v>
      </c>
      <c r="E44" s="212">
        <v>148.15</v>
      </c>
      <c r="F44" s="212">
        <v>161.18</v>
      </c>
      <c r="G44" s="212">
        <v>158.18</v>
      </c>
      <c r="H44" s="212">
        <v>159.68</v>
      </c>
      <c r="I44" s="212">
        <v>111.68</v>
      </c>
      <c r="J44" s="212">
        <v>108.48</v>
      </c>
      <c r="K44" s="212">
        <v>110.08000000000001</v>
      </c>
      <c r="L44" s="212">
        <v>191.13</v>
      </c>
      <c r="M44" s="212">
        <v>183.13</v>
      </c>
      <c r="N44" s="212">
        <v>187.13</v>
      </c>
      <c r="O44" s="212">
        <v>170.45</v>
      </c>
      <c r="P44" s="212">
        <v>168.64999999999998</v>
      </c>
      <c r="Q44" s="212">
        <v>169.54999999999998</v>
      </c>
      <c r="R44" s="212">
        <v>21.71</v>
      </c>
      <c r="S44" s="212">
        <v>21.11</v>
      </c>
      <c r="T44" s="212">
        <v>21.41</v>
      </c>
      <c r="U44" s="212">
        <v>14.31</v>
      </c>
      <c r="V44" s="212">
        <v>13.71</v>
      </c>
      <c r="W44" s="212">
        <v>14.010000000000002</v>
      </c>
      <c r="X44" s="212">
        <v>14.54</v>
      </c>
      <c r="Y44" s="212">
        <v>13.739999999999998</v>
      </c>
      <c r="Z44" s="212">
        <v>14.139999999999999</v>
      </c>
      <c r="AA44" s="212">
        <v>98.67</v>
      </c>
      <c r="AB44" s="212">
        <v>94.67</v>
      </c>
      <c r="AC44" s="212">
        <v>96.67</v>
      </c>
      <c r="AD44" s="212">
        <v>92.59</v>
      </c>
      <c r="AE44" s="212">
        <v>88.59</v>
      </c>
      <c r="AF44" s="212">
        <v>90.59</v>
      </c>
      <c r="AG44" s="212">
        <v>19.38</v>
      </c>
      <c r="AH44" s="212">
        <v>18.52</v>
      </c>
      <c r="AI44" s="212">
        <v>18.95</v>
      </c>
      <c r="AJ44" s="212"/>
      <c r="AK44" s="212"/>
      <c r="AL44" s="212"/>
      <c r="AM44" s="212">
        <v>111.16</v>
      </c>
      <c r="AN44" s="212">
        <v>109.5</v>
      </c>
      <c r="AO44" s="212">
        <v>110.33</v>
      </c>
      <c r="AP44" s="212">
        <v>40.369999999999997</v>
      </c>
      <c r="AQ44" s="212">
        <v>38.769999999999996</v>
      </c>
      <c r="AR44" s="212">
        <v>39.569999999999993</v>
      </c>
      <c r="AS44" s="212">
        <v>41.08</v>
      </c>
      <c r="AT44" s="212">
        <v>39.72</v>
      </c>
      <c r="AU44" s="212">
        <v>40.4</v>
      </c>
      <c r="AV44" s="212">
        <v>20.85</v>
      </c>
      <c r="AW44" s="212">
        <v>20.25</v>
      </c>
      <c r="AX44" s="212">
        <v>20.55</v>
      </c>
      <c r="AY44" s="212">
        <v>4.24</v>
      </c>
      <c r="AZ44" s="212">
        <v>4.08</v>
      </c>
      <c r="BA44" s="212">
        <v>4.16</v>
      </c>
      <c r="BB44" s="212">
        <v>1.95</v>
      </c>
      <c r="BC44" s="212">
        <v>1.65</v>
      </c>
      <c r="BD44" s="212">
        <v>1.7999999999999998</v>
      </c>
      <c r="BE44" s="212">
        <v>0.68</v>
      </c>
      <c r="BF44" s="212">
        <v>0.38000000000000006</v>
      </c>
      <c r="BG44" s="212">
        <v>0.53</v>
      </c>
      <c r="BH44" s="212">
        <v>490.1</v>
      </c>
      <c r="BI44" s="212">
        <v>474.1</v>
      </c>
      <c r="BJ44" s="212">
        <v>482.1</v>
      </c>
      <c r="BK44" s="212">
        <v>41.39</v>
      </c>
      <c r="BL44" s="212">
        <v>40.03</v>
      </c>
      <c r="BM44" s="212">
        <v>40.71</v>
      </c>
      <c r="BN44" s="212">
        <v>1.07</v>
      </c>
      <c r="BO44" s="212">
        <v>0.83000000000000007</v>
      </c>
      <c r="BP44" s="212">
        <v>0.95000000000000007</v>
      </c>
      <c r="BQ44" s="212">
        <v>9.69</v>
      </c>
      <c r="BR44" s="212">
        <v>7.6899999999999995</v>
      </c>
      <c r="BS44" s="212">
        <v>8.69</v>
      </c>
      <c r="BT44" s="212">
        <v>11.4</v>
      </c>
      <c r="BU44" s="212">
        <v>11</v>
      </c>
      <c r="BV44" s="212">
        <v>11.2</v>
      </c>
      <c r="BW44" s="212">
        <v>2.81</v>
      </c>
      <c r="BX44" s="212">
        <v>2.5300000000000002</v>
      </c>
      <c r="BY44" s="212">
        <v>2.67</v>
      </c>
      <c r="BZ44" s="212">
        <v>9.35</v>
      </c>
      <c r="CA44" s="212">
        <v>6.35</v>
      </c>
      <c r="CB44" s="212">
        <v>7.85</v>
      </c>
      <c r="CC44" s="212">
        <v>6.52</v>
      </c>
      <c r="CD44" s="212">
        <v>6.2799999999999994</v>
      </c>
      <c r="CE44" s="212">
        <v>6.3999999999999995</v>
      </c>
      <c r="CF44" s="212">
        <v>1.87</v>
      </c>
      <c r="CG44" s="212">
        <v>1.37</v>
      </c>
      <c r="CH44" s="212">
        <v>1.62</v>
      </c>
      <c r="CI44" s="212">
        <v>0.43</v>
      </c>
      <c r="CJ44" s="212">
        <v>0.39</v>
      </c>
      <c r="CK44" s="212">
        <v>0.41000000000000003</v>
      </c>
      <c r="CL44" s="212">
        <v>37.979999999999997</v>
      </c>
      <c r="CM44" s="212">
        <v>35.58</v>
      </c>
      <c r="CN44" s="212">
        <v>36.78</v>
      </c>
      <c r="CO44" s="212">
        <v>7.35</v>
      </c>
      <c r="CP44" s="212">
        <v>2.3499999999999996</v>
      </c>
      <c r="CQ44" s="212">
        <v>4.8499999999999996</v>
      </c>
      <c r="CR44" s="212"/>
      <c r="CS44" s="212"/>
    </row>
    <row r="45" spans="1:97" x14ac:dyDescent="0.4">
      <c r="A45" s="209">
        <v>45331</v>
      </c>
      <c r="B45" s="210" t="s">
        <v>298</v>
      </c>
      <c r="C45" s="212">
        <v>150.53</v>
      </c>
      <c r="D45" s="212">
        <v>148.53</v>
      </c>
      <c r="E45" s="212">
        <v>149.53</v>
      </c>
      <c r="F45" s="212">
        <v>162.59</v>
      </c>
      <c r="G45" s="212">
        <v>159.59</v>
      </c>
      <c r="H45" s="212">
        <v>161.09</v>
      </c>
      <c r="I45" s="212">
        <v>112.68</v>
      </c>
      <c r="J45" s="212">
        <v>109.48</v>
      </c>
      <c r="K45" s="212">
        <v>111.08000000000001</v>
      </c>
      <c r="L45" s="212">
        <v>192.63</v>
      </c>
      <c r="M45" s="212">
        <v>184.63</v>
      </c>
      <c r="N45" s="212">
        <v>188.63</v>
      </c>
      <c r="O45" s="212">
        <v>171.95</v>
      </c>
      <c r="P45" s="212">
        <v>170.14999999999998</v>
      </c>
      <c r="Q45" s="212">
        <v>171.04999999999998</v>
      </c>
      <c r="R45" s="212">
        <v>21.91</v>
      </c>
      <c r="S45" s="212">
        <v>21.31</v>
      </c>
      <c r="T45" s="212">
        <v>21.61</v>
      </c>
      <c r="U45" s="212">
        <v>14.36</v>
      </c>
      <c r="V45" s="212">
        <v>13.76</v>
      </c>
      <c r="W45" s="212">
        <v>14.059999999999999</v>
      </c>
      <c r="X45" s="212">
        <v>14.67</v>
      </c>
      <c r="Y45" s="212">
        <v>13.87</v>
      </c>
      <c r="Z45" s="212">
        <v>14.27</v>
      </c>
      <c r="AA45" s="212">
        <v>99.02</v>
      </c>
      <c r="AB45" s="212">
        <v>95.02</v>
      </c>
      <c r="AC45" s="212">
        <v>97.02</v>
      </c>
      <c r="AD45" s="212">
        <v>93.45</v>
      </c>
      <c r="AE45" s="212">
        <v>89.45</v>
      </c>
      <c r="AF45" s="212">
        <v>91.45</v>
      </c>
      <c r="AG45" s="212">
        <v>19.55</v>
      </c>
      <c r="AH45" s="212">
        <v>18.690000000000001</v>
      </c>
      <c r="AI45" s="212">
        <v>19.12</v>
      </c>
      <c r="AJ45" s="212"/>
      <c r="AK45" s="212"/>
      <c r="AL45" s="212"/>
      <c r="AM45" s="212">
        <v>111.78</v>
      </c>
      <c r="AN45" s="212">
        <v>110.12</v>
      </c>
      <c r="AO45" s="212">
        <v>110.95</v>
      </c>
      <c r="AP45" s="212">
        <v>40.74</v>
      </c>
      <c r="AQ45" s="212">
        <v>39.14</v>
      </c>
      <c r="AR45" s="212">
        <v>39.94</v>
      </c>
      <c r="AS45" s="212">
        <v>41.46</v>
      </c>
      <c r="AT45" s="212">
        <v>40.1</v>
      </c>
      <c r="AU45" s="212">
        <v>40.78</v>
      </c>
      <c r="AV45" s="212">
        <v>21.03</v>
      </c>
      <c r="AW45" s="212">
        <v>20.43</v>
      </c>
      <c r="AX45" s="212">
        <v>20.73</v>
      </c>
      <c r="AY45" s="212">
        <v>4.25</v>
      </c>
      <c r="AZ45" s="212">
        <v>4.09</v>
      </c>
      <c r="BA45" s="212">
        <v>4.17</v>
      </c>
      <c r="BB45" s="212">
        <v>1.96</v>
      </c>
      <c r="BC45" s="212">
        <v>1.66</v>
      </c>
      <c r="BD45" s="212">
        <v>1.81</v>
      </c>
      <c r="BE45" s="212">
        <v>0.69</v>
      </c>
      <c r="BF45" s="212">
        <v>0.38999999999999996</v>
      </c>
      <c r="BG45" s="212">
        <v>0.53999999999999992</v>
      </c>
      <c r="BH45" s="212">
        <v>494.28</v>
      </c>
      <c r="BI45" s="212">
        <v>478.28</v>
      </c>
      <c r="BJ45" s="212">
        <v>486.28</v>
      </c>
      <c r="BK45" s="212">
        <v>41.77</v>
      </c>
      <c r="BL45" s="212">
        <v>40.410000000000004</v>
      </c>
      <c r="BM45" s="212">
        <v>41.09</v>
      </c>
      <c r="BN45" s="212">
        <v>1.08</v>
      </c>
      <c r="BO45" s="212">
        <v>0.84000000000000008</v>
      </c>
      <c r="BP45" s="212">
        <v>0.96000000000000008</v>
      </c>
      <c r="BQ45" s="212">
        <v>9.73</v>
      </c>
      <c r="BR45" s="212">
        <v>7.73</v>
      </c>
      <c r="BS45" s="212">
        <v>8.73</v>
      </c>
      <c r="BT45" s="212">
        <v>11.44</v>
      </c>
      <c r="BU45" s="212">
        <v>11.04</v>
      </c>
      <c r="BV45" s="212">
        <v>11.239999999999998</v>
      </c>
      <c r="BW45" s="212">
        <v>2.84</v>
      </c>
      <c r="BX45" s="212">
        <v>2.5599999999999996</v>
      </c>
      <c r="BY45" s="212">
        <v>2.6999999999999997</v>
      </c>
      <c r="BZ45" s="212">
        <v>9.3800000000000008</v>
      </c>
      <c r="CA45" s="212">
        <v>6.3800000000000008</v>
      </c>
      <c r="CB45" s="212">
        <v>7.8800000000000008</v>
      </c>
      <c r="CC45" s="212">
        <v>6.51</v>
      </c>
      <c r="CD45" s="212">
        <v>6.27</v>
      </c>
      <c r="CE45" s="212">
        <v>6.39</v>
      </c>
      <c r="CF45" s="212">
        <v>1.89</v>
      </c>
      <c r="CG45" s="212">
        <v>1.39</v>
      </c>
      <c r="CH45" s="212">
        <v>1.64</v>
      </c>
      <c r="CI45" s="212">
        <v>0.44</v>
      </c>
      <c r="CJ45" s="212">
        <v>0.4</v>
      </c>
      <c r="CK45" s="212">
        <v>0.42000000000000004</v>
      </c>
      <c r="CL45" s="212">
        <v>38.450000000000003</v>
      </c>
      <c r="CM45" s="212">
        <v>36.050000000000004</v>
      </c>
      <c r="CN45" s="212">
        <v>37.25</v>
      </c>
      <c r="CO45" s="212">
        <v>7.39</v>
      </c>
      <c r="CP45" s="212">
        <v>2.3899999999999997</v>
      </c>
      <c r="CQ45" s="212">
        <v>4.8899999999999997</v>
      </c>
      <c r="CR45" s="212"/>
      <c r="CS45" s="212"/>
    </row>
    <row r="46" spans="1:97" x14ac:dyDescent="0.4">
      <c r="A46" s="209">
        <v>45332</v>
      </c>
      <c r="B46" s="210" t="s">
        <v>299</v>
      </c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212"/>
      <c r="AA46" s="212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  <c r="AS46" s="212"/>
      <c r="AT46" s="212"/>
      <c r="AU46" s="212"/>
      <c r="AV46" s="212"/>
      <c r="AW46" s="212"/>
      <c r="AX46" s="212"/>
      <c r="AY46" s="212"/>
      <c r="AZ46" s="212"/>
      <c r="BA46" s="212"/>
      <c r="BB46" s="212"/>
      <c r="BC46" s="212"/>
      <c r="BD46" s="212"/>
      <c r="BE46" s="212"/>
      <c r="BF46" s="212"/>
      <c r="BG46" s="212"/>
      <c r="BH46" s="212"/>
      <c r="BI46" s="212"/>
      <c r="BJ46" s="212"/>
      <c r="BK46" s="212"/>
      <c r="BL46" s="212"/>
      <c r="BM46" s="212"/>
      <c r="BN46" s="212"/>
      <c r="BO46" s="212"/>
      <c r="BP46" s="212"/>
      <c r="BQ46" s="212"/>
      <c r="BR46" s="212"/>
      <c r="BS46" s="212"/>
      <c r="BT46" s="212"/>
      <c r="BU46" s="212"/>
      <c r="BV46" s="212"/>
      <c r="BW46" s="212"/>
      <c r="BX46" s="212"/>
      <c r="BY46" s="212"/>
      <c r="BZ46" s="212"/>
      <c r="CA46" s="212"/>
      <c r="CB46" s="212"/>
      <c r="CC46" s="212"/>
      <c r="CD46" s="212"/>
      <c r="CE46" s="212"/>
      <c r="CF46" s="212"/>
      <c r="CG46" s="212"/>
      <c r="CH46" s="212"/>
      <c r="CI46" s="212"/>
      <c r="CJ46" s="212"/>
      <c r="CK46" s="212"/>
      <c r="CL46" s="212"/>
      <c r="CM46" s="212"/>
      <c r="CN46" s="212"/>
      <c r="CO46" s="212"/>
      <c r="CP46" s="212"/>
      <c r="CQ46" s="212"/>
      <c r="CR46" s="212"/>
      <c r="CS46" s="212"/>
    </row>
    <row r="47" spans="1:97" x14ac:dyDescent="0.4">
      <c r="A47" s="209">
        <v>45333</v>
      </c>
      <c r="B47" s="210" t="s">
        <v>300</v>
      </c>
      <c r="C47" s="212"/>
      <c r="D47" s="212"/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  <c r="AA47" s="212"/>
      <c r="AB47" s="212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2"/>
      <c r="AT47" s="212"/>
      <c r="AU47" s="212"/>
      <c r="AV47" s="212"/>
      <c r="AW47" s="212"/>
      <c r="AX47" s="212"/>
      <c r="AY47" s="212"/>
      <c r="AZ47" s="212"/>
      <c r="BA47" s="212"/>
      <c r="BB47" s="212"/>
      <c r="BC47" s="212"/>
      <c r="BD47" s="212"/>
      <c r="BE47" s="212"/>
      <c r="BF47" s="212"/>
      <c r="BG47" s="212"/>
      <c r="BH47" s="212"/>
      <c r="BI47" s="212"/>
      <c r="BJ47" s="212"/>
      <c r="BK47" s="212"/>
      <c r="BL47" s="212"/>
      <c r="BM47" s="212"/>
      <c r="BN47" s="212"/>
      <c r="BO47" s="212"/>
      <c r="BP47" s="212"/>
      <c r="BQ47" s="212"/>
      <c r="BR47" s="212"/>
      <c r="BS47" s="212"/>
      <c r="BT47" s="212"/>
      <c r="BU47" s="212"/>
      <c r="BV47" s="212"/>
      <c r="BW47" s="212"/>
      <c r="BX47" s="212"/>
      <c r="BY47" s="212"/>
      <c r="BZ47" s="212"/>
      <c r="CA47" s="212"/>
      <c r="CB47" s="212"/>
      <c r="CC47" s="212"/>
      <c r="CD47" s="212"/>
      <c r="CE47" s="212"/>
      <c r="CF47" s="212"/>
      <c r="CG47" s="212"/>
      <c r="CH47" s="212"/>
      <c r="CI47" s="212"/>
      <c r="CJ47" s="212"/>
      <c r="CK47" s="212"/>
      <c r="CL47" s="212"/>
      <c r="CM47" s="212"/>
      <c r="CN47" s="212"/>
      <c r="CO47" s="212"/>
      <c r="CP47" s="212"/>
      <c r="CQ47" s="212"/>
      <c r="CR47" s="212"/>
      <c r="CS47" s="212"/>
    </row>
    <row r="48" spans="1:97" x14ac:dyDescent="0.4">
      <c r="A48" s="209">
        <v>45334</v>
      </c>
      <c r="B48" s="210" t="s">
        <v>294</v>
      </c>
      <c r="C48" s="212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2"/>
      <c r="AX48" s="212"/>
      <c r="AY48" s="212"/>
      <c r="AZ48" s="212"/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2"/>
      <c r="BN48" s="212"/>
      <c r="BO48" s="212"/>
      <c r="BP48" s="212"/>
      <c r="BQ48" s="212"/>
      <c r="BR48" s="212"/>
      <c r="BS48" s="212"/>
      <c r="BT48" s="212"/>
      <c r="BU48" s="212"/>
      <c r="BV48" s="212"/>
      <c r="BW48" s="212"/>
      <c r="BX48" s="212"/>
      <c r="BY48" s="212"/>
      <c r="BZ48" s="212"/>
      <c r="CA48" s="212"/>
      <c r="CB48" s="212"/>
      <c r="CC48" s="212"/>
      <c r="CD48" s="212"/>
      <c r="CE48" s="212"/>
      <c r="CF48" s="212"/>
      <c r="CG48" s="212"/>
      <c r="CH48" s="212"/>
      <c r="CI48" s="212"/>
      <c r="CJ48" s="212"/>
      <c r="CK48" s="212"/>
      <c r="CL48" s="212"/>
      <c r="CM48" s="212"/>
      <c r="CN48" s="212"/>
      <c r="CO48" s="212"/>
      <c r="CP48" s="212"/>
      <c r="CQ48" s="212"/>
      <c r="CR48" s="212"/>
      <c r="CS48" s="212"/>
    </row>
    <row r="49" spans="1:97" x14ac:dyDescent="0.4">
      <c r="A49" s="209">
        <v>45335</v>
      </c>
      <c r="B49" s="210" t="s">
        <v>295</v>
      </c>
      <c r="C49" s="212">
        <v>150.38999999999999</v>
      </c>
      <c r="D49" s="212">
        <v>148.38999999999999</v>
      </c>
      <c r="E49" s="212">
        <v>149.38999999999999</v>
      </c>
      <c r="F49" s="212">
        <v>162.41999999999999</v>
      </c>
      <c r="G49" s="212">
        <v>159.41999999999999</v>
      </c>
      <c r="H49" s="212">
        <v>160.91999999999999</v>
      </c>
      <c r="I49" s="212">
        <v>112.65</v>
      </c>
      <c r="J49" s="212">
        <v>109.45</v>
      </c>
      <c r="K49" s="212">
        <v>111.05000000000001</v>
      </c>
      <c r="L49" s="212">
        <v>192.62</v>
      </c>
      <c r="M49" s="212">
        <v>184.62</v>
      </c>
      <c r="N49" s="212">
        <v>188.62</v>
      </c>
      <c r="O49" s="212">
        <v>171.46</v>
      </c>
      <c r="P49" s="212">
        <v>169.66</v>
      </c>
      <c r="Q49" s="212">
        <v>170.56</v>
      </c>
      <c r="R49" s="212">
        <v>21.89</v>
      </c>
      <c r="S49" s="212">
        <v>21.29</v>
      </c>
      <c r="T49" s="212">
        <v>21.59</v>
      </c>
      <c r="U49" s="212">
        <v>14.52</v>
      </c>
      <c r="V49" s="212">
        <v>13.92</v>
      </c>
      <c r="W49" s="212">
        <v>14.219999999999999</v>
      </c>
      <c r="X49" s="212">
        <v>14.76</v>
      </c>
      <c r="Y49" s="212">
        <v>13.959999999999999</v>
      </c>
      <c r="Z49" s="212">
        <v>14.36</v>
      </c>
      <c r="AA49" s="212">
        <v>99.51</v>
      </c>
      <c r="AB49" s="212">
        <v>95.51</v>
      </c>
      <c r="AC49" s="212">
        <v>97.51</v>
      </c>
      <c r="AD49" s="212">
        <v>93.47</v>
      </c>
      <c r="AE49" s="212">
        <v>89.47</v>
      </c>
      <c r="AF49" s="212">
        <v>91.47</v>
      </c>
      <c r="AG49" s="212">
        <v>19.54</v>
      </c>
      <c r="AH49" s="212">
        <v>18.68</v>
      </c>
      <c r="AI49" s="212">
        <v>19.11</v>
      </c>
      <c r="AJ49" s="212"/>
      <c r="AK49" s="212"/>
      <c r="AL49" s="212"/>
      <c r="AM49" s="212">
        <v>111.88</v>
      </c>
      <c r="AN49" s="212">
        <v>110.22</v>
      </c>
      <c r="AO49" s="212">
        <v>111.05</v>
      </c>
      <c r="AP49" s="212">
        <v>40.700000000000003</v>
      </c>
      <c r="AQ49" s="212">
        <v>39.1</v>
      </c>
      <c r="AR49" s="212">
        <v>39.900000000000006</v>
      </c>
      <c r="AS49" s="212">
        <v>41.42</v>
      </c>
      <c r="AT49" s="212">
        <v>40.06</v>
      </c>
      <c r="AU49" s="212">
        <v>40.74</v>
      </c>
      <c r="AV49" s="212">
        <v>20.99</v>
      </c>
      <c r="AW49" s="212">
        <v>20.389999999999997</v>
      </c>
      <c r="AX49" s="212">
        <v>20.689999999999998</v>
      </c>
      <c r="AY49" s="212">
        <v>4.25</v>
      </c>
      <c r="AZ49" s="212">
        <v>4.09</v>
      </c>
      <c r="BA49" s="212">
        <v>4.17</v>
      </c>
      <c r="BB49" s="212">
        <v>1.96</v>
      </c>
      <c r="BC49" s="212">
        <v>1.66</v>
      </c>
      <c r="BD49" s="212">
        <v>1.81</v>
      </c>
      <c r="BE49" s="212">
        <v>0.69</v>
      </c>
      <c r="BF49" s="212">
        <v>0.38999999999999996</v>
      </c>
      <c r="BG49" s="212">
        <v>0.53999999999999992</v>
      </c>
      <c r="BH49" s="212">
        <v>492.25</v>
      </c>
      <c r="BI49" s="212">
        <v>476.25</v>
      </c>
      <c r="BJ49" s="212">
        <v>484.25</v>
      </c>
      <c r="BK49" s="212">
        <v>41.72</v>
      </c>
      <c r="BL49" s="212">
        <v>40.36</v>
      </c>
      <c r="BM49" s="212">
        <v>41.04</v>
      </c>
      <c r="BN49" s="212">
        <v>1.08</v>
      </c>
      <c r="BO49" s="212">
        <v>0.84000000000000008</v>
      </c>
      <c r="BP49" s="212">
        <v>0.96000000000000008</v>
      </c>
      <c r="BQ49" s="212">
        <v>9.75</v>
      </c>
      <c r="BR49" s="212">
        <v>7.75</v>
      </c>
      <c r="BS49" s="212">
        <v>8.75</v>
      </c>
      <c r="BT49" s="212">
        <v>11.45</v>
      </c>
      <c r="BU49" s="212">
        <v>11.049999999999999</v>
      </c>
      <c r="BV49" s="212">
        <v>11.25</v>
      </c>
      <c r="BW49" s="212">
        <v>2.83</v>
      </c>
      <c r="BX49" s="212">
        <v>2.5499999999999998</v>
      </c>
      <c r="BY49" s="212">
        <v>2.69</v>
      </c>
      <c r="BZ49" s="212">
        <v>9.39</v>
      </c>
      <c r="CA49" s="212">
        <v>6.3900000000000006</v>
      </c>
      <c r="CB49" s="212">
        <v>7.8900000000000006</v>
      </c>
      <c r="CC49" s="212">
        <v>6.51</v>
      </c>
      <c r="CD49" s="212">
        <v>6.27</v>
      </c>
      <c r="CE49" s="212">
        <v>6.39</v>
      </c>
      <c r="CF49" s="212">
        <v>1.89</v>
      </c>
      <c r="CG49" s="212">
        <v>1.39</v>
      </c>
      <c r="CH49" s="212">
        <v>1.64</v>
      </c>
      <c r="CI49" s="212">
        <v>0.44</v>
      </c>
      <c r="CJ49" s="212">
        <v>0.4</v>
      </c>
      <c r="CK49" s="212">
        <v>0.42000000000000004</v>
      </c>
      <c r="CL49" s="212">
        <v>38.56</v>
      </c>
      <c r="CM49" s="212">
        <v>36.160000000000004</v>
      </c>
      <c r="CN49" s="212">
        <v>37.36</v>
      </c>
      <c r="CO49" s="212">
        <v>7.37</v>
      </c>
      <c r="CP49" s="212">
        <v>2.37</v>
      </c>
      <c r="CQ49" s="212">
        <v>4.87</v>
      </c>
      <c r="CR49" s="212"/>
      <c r="CS49" s="212"/>
    </row>
    <row r="50" spans="1:97" x14ac:dyDescent="0.4">
      <c r="A50" s="209">
        <v>45336</v>
      </c>
      <c r="B50" s="210" t="s">
        <v>296</v>
      </c>
      <c r="C50" s="212">
        <v>151.68</v>
      </c>
      <c r="D50" s="212">
        <v>149.68</v>
      </c>
      <c r="E50" s="212">
        <v>150.68</v>
      </c>
      <c r="F50" s="212">
        <v>162.94999999999999</v>
      </c>
      <c r="G50" s="212">
        <v>159.94999999999999</v>
      </c>
      <c r="H50" s="212">
        <v>161.44999999999999</v>
      </c>
      <c r="I50" s="212">
        <v>112.68</v>
      </c>
      <c r="J50" s="212">
        <v>109.48</v>
      </c>
      <c r="K50" s="212">
        <v>111.08000000000001</v>
      </c>
      <c r="L50" s="212">
        <v>193.84</v>
      </c>
      <c r="M50" s="212">
        <v>185.84</v>
      </c>
      <c r="N50" s="212">
        <v>189.84</v>
      </c>
      <c r="O50" s="212">
        <v>170.81</v>
      </c>
      <c r="P50" s="212">
        <v>169.01</v>
      </c>
      <c r="Q50" s="212">
        <v>169.91</v>
      </c>
      <c r="R50" s="212">
        <v>21.96</v>
      </c>
      <c r="S50" s="212">
        <v>21.36</v>
      </c>
      <c r="T50" s="212">
        <v>21.66</v>
      </c>
      <c r="U50" s="212">
        <v>14.43</v>
      </c>
      <c r="V50" s="212">
        <v>13.83</v>
      </c>
      <c r="W50" s="212">
        <v>14.129999999999999</v>
      </c>
      <c r="X50" s="212">
        <v>14.65</v>
      </c>
      <c r="Y50" s="212">
        <v>13.85</v>
      </c>
      <c r="Z50" s="212">
        <v>14.25</v>
      </c>
      <c r="AA50" s="212">
        <v>99.26</v>
      </c>
      <c r="AB50" s="212">
        <v>95.26</v>
      </c>
      <c r="AC50" s="212">
        <v>97.26</v>
      </c>
      <c r="AD50" s="212">
        <v>93.27</v>
      </c>
      <c r="AE50" s="212">
        <v>89.27</v>
      </c>
      <c r="AF50" s="212">
        <v>91.27</v>
      </c>
      <c r="AG50" s="212">
        <v>19.7</v>
      </c>
      <c r="AH50" s="212">
        <v>18.84</v>
      </c>
      <c r="AI50" s="212">
        <v>19.27</v>
      </c>
      <c r="AJ50" s="212"/>
      <c r="AK50" s="212"/>
      <c r="AL50" s="212"/>
      <c r="AM50" s="212">
        <v>112.39</v>
      </c>
      <c r="AN50" s="212">
        <v>110.73</v>
      </c>
      <c r="AO50" s="212">
        <v>111.56</v>
      </c>
      <c r="AP50" s="212">
        <v>41.05</v>
      </c>
      <c r="AQ50" s="212">
        <v>39.449999999999996</v>
      </c>
      <c r="AR50" s="212">
        <v>40.25</v>
      </c>
      <c r="AS50" s="212">
        <v>41.77</v>
      </c>
      <c r="AT50" s="212">
        <v>40.410000000000004</v>
      </c>
      <c r="AU50" s="212">
        <v>41.09</v>
      </c>
      <c r="AV50" s="212">
        <v>21.16</v>
      </c>
      <c r="AW50" s="212">
        <v>20.56</v>
      </c>
      <c r="AX50" s="212">
        <v>20.86</v>
      </c>
      <c r="AY50" s="212">
        <v>4.26</v>
      </c>
      <c r="AZ50" s="212">
        <v>4.0999999999999996</v>
      </c>
      <c r="BA50" s="212">
        <v>4.18</v>
      </c>
      <c r="BB50" s="212">
        <v>1.97</v>
      </c>
      <c r="BC50" s="212">
        <v>1.67</v>
      </c>
      <c r="BD50" s="212">
        <v>1.8199999999999998</v>
      </c>
      <c r="BE50" s="212">
        <v>0.69</v>
      </c>
      <c r="BF50" s="212">
        <v>0.38999999999999996</v>
      </c>
      <c r="BG50" s="212">
        <v>0.53999999999999992</v>
      </c>
      <c r="BH50" s="212">
        <v>497.7</v>
      </c>
      <c r="BI50" s="212">
        <v>481.7</v>
      </c>
      <c r="BJ50" s="212">
        <v>489.7</v>
      </c>
      <c r="BK50" s="212">
        <v>42.09</v>
      </c>
      <c r="BL50" s="212">
        <v>40.730000000000004</v>
      </c>
      <c r="BM50" s="212">
        <v>41.410000000000004</v>
      </c>
      <c r="BN50" s="212">
        <v>1.0900000000000001</v>
      </c>
      <c r="BO50" s="212">
        <v>0.85000000000000009</v>
      </c>
      <c r="BP50" s="212">
        <v>0.97000000000000008</v>
      </c>
      <c r="BQ50" s="212">
        <v>9.77</v>
      </c>
      <c r="BR50" s="212">
        <v>7.77</v>
      </c>
      <c r="BS50" s="212">
        <v>8.77</v>
      </c>
      <c r="BT50" s="212">
        <v>11.49</v>
      </c>
      <c r="BU50" s="212">
        <v>11.09</v>
      </c>
      <c r="BV50" s="212">
        <v>11.29</v>
      </c>
      <c r="BW50" s="212">
        <v>2.85</v>
      </c>
      <c r="BX50" s="212">
        <v>2.5700000000000003</v>
      </c>
      <c r="BY50" s="212">
        <v>2.71</v>
      </c>
      <c r="BZ50" s="212">
        <v>9.3699999999999992</v>
      </c>
      <c r="CA50" s="212">
        <v>6.3699999999999992</v>
      </c>
      <c r="CB50" s="212">
        <v>7.8699999999999992</v>
      </c>
      <c r="CC50" s="212">
        <v>6.49</v>
      </c>
      <c r="CD50" s="212">
        <v>6.25</v>
      </c>
      <c r="CE50" s="212">
        <v>6.37</v>
      </c>
      <c r="CF50" s="212">
        <v>1.9</v>
      </c>
      <c r="CG50" s="212">
        <v>1.4</v>
      </c>
      <c r="CH50" s="212">
        <v>1.65</v>
      </c>
      <c r="CI50" s="212">
        <v>0.44</v>
      </c>
      <c r="CJ50" s="212">
        <v>0.4</v>
      </c>
      <c r="CK50" s="212">
        <v>0.42000000000000004</v>
      </c>
      <c r="CL50" s="212">
        <v>38.44</v>
      </c>
      <c r="CM50" s="212">
        <v>36.04</v>
      </c>
      <c r="CN50" s="212">
        <v>37.239999999999995</v>
      </c>
      <c r="CO50" s="212">
        <v>7.41</v>
      </c>
      <c r="CP50" s="212">
        <v>2.41</v>
      </c>
      <c r="CQ50" s="212">
        <v>4.91</v>
      </c>
      <c r="CR50" s="212"/>
      <c r="CS50" s="212"/>
    </row>
    <row r="51" spans="1:97" x14ac:dyDescent="0.4">
      <c r="A51" s="209">
        <v>45337</v>
      </c>
      <c r="B51" s="210" t="s">
        <v>297</v>
      </c>
      <c r="C51" s="212">
        <v>151.49</v>
      </c>
      <c r="D51" s="212">
        <v>149.49</v>
      </c>
      <c r="E51" s="212">
        <v>150.49</v>
      </c>
      <c r="F51" s="212">
        <v>163.02000000000001</v>
      </c>
      <c r="G51" s="212">
        <v>160.02000000000001</v>
      </c>
      <c r="H51" s="212">
        <v>161.52000000000001</v>
      </c>
      <c r="I51" s="212">
        <v>112.74</v>
      </c>
      <c r="J51" s="212">
        <v>109.53999999999999</v>
      </c>
      <c r="K51" s="212">
        <v>111.13999999999999</v>
      </c>
      <c r="L51" s="212">
        <v>193.17</v>
      </c>
      <c r="M51" s="212">
        <v>185.17</v>
      </c>
      <c r="N51" s="212">
        <v>189.17</v>
      </c>
      <c r="O51" s="212">
        <v>170.83</v>
      </c>
      <c r="P51" s="212">
        <v>169.03</v>
      </c>
      <c r="Q51" s="212">
        <v>169.93</v>
      </c>
      <c r="R51" s="212">
        <v>21.97</v>
      </c>
      <c r="S51" s="212">
        <v>21.369999999999997</v>
      </c>
      <c r="T51" s="212">
        <v>21.669999999999998</v>
      </c>
      <c r="U51" s="212">
        <v>14.53</v>
      </c>
      <c r="V51" s="212">
        <v>13.93</v>
      </c>
      <c r="W51" s="212">
        <v>14.23</v>
      </c>
      <c r="X51" s="212">
        <v>14.72</v>
      </c>
      <c r="Y51" s="212">
        <v>13.92</v>
      </c>
      <c r="Z51" s="212">
        <v>14.32</v>
      </c>
      <c r="AA51" s="212">
        <v>99.61</v>
      </c>
      <c r="AB51" s="212">
        <v>95.61</v>
      </c>
      <c r="AC51" s="212">
        <v>97.61</v>
      </c>
      <c r="AD51" s="212">
        <v>93.65</v>
      </c>
      <c r="AE51" s="212">
        <v>89.65</v>
      </c>
      <c r="AF51" s="212">
        <v>91.65</v>
      </c>
      <c r="AG51" s="212">
        <v>19.68</v>
      </c>
      <c r="AH51" s="212">
        <v>18.82</v>
      </c>
      <c r="AI51" s="212">
        <v>19.25</v>
      </c>
      <c r="AJ51" s="212"/>
      <c r="AK51" s="212"/>
      <c r="AL51" s="212"/>
      <c r="AM51" s="212">
        <v>112.48</v>
      </c>
      <c r="AN51" s="212">
        <v>110.82000000000001</v>
      </c>
      <c r="AO51" s="212">
        <v>111.65</v>
      </c>
      <c r="AP51" s="212">
        <v>40.99</v>
      </c>
      <c r="AQ51" s="212">
        <v>39.39</v>
      </c>
      <c r="AR51" s="212">
        <v>40.19</v>
      </c>
      <c r="AS51" s="212">
        <v>41.73</v>
      </c>
      <c r="AT51" s="212">
        <v>40.369999999999997</v>
      </c>
      <c r="AU51" s="212">
        <v>41.05</v>
      </c>
      <c r="AV51" s="212">
        <v>21.14</v>
      </c>
      <c r="AW51" s="212">
        <v>20.54</v>
      </c>
      <c r="AX51" s="212">
        <v>20.84</v>
      </c>
      <c r="AY51" s="212">
        <v>4.25</v>
      </c>
      <c r="AZ51" s="212">
        <v>4.09</v>
      </c>
      <c r="BA51" s="212">
        <v>4.17</v>
      </c>
      <c r="BB51" s="212">
        <v>1.97</v>
      </c>
      <c r="BC51" s="212">
        <v>1.67</v>
      </c>
      <c r="BD51" s="212">
        <v>1.8199999999999998</v>
      </c>
      <c r="BE51" s="212">
        <v>0.69</v>
      </c>
      <c r="BF51" s="212">
        <v>0.38999999999999996</v>
      </c>
      <c r="BG51" s="212">
        <v>0.53999999999999992</v>
      </c>
      <c r="BH51" s="212">
        <v>495.65</v>
      </c>
      <c r="BI51" s="212">
        <v>479.65</v>
      </c>
      <c r="BJ51" s="212">
        <v>487.65</v>
      </c>
      <c r="BK51" s="212">
        <v>42.02</v>
      </c>
      <c r="BL51" s="212">
        <v>40.660000000000004</v>
      </c>
      <c r="BM51" s="212">
        <v>41.34</v>
      </c>
      <c r="BN51" s="212">
        <v>1.0900000000000001</v>
      </c>
      <c r="BO51" s="212">
        <v>0.85000000000000009</v>
      </c>
      <c r="BP51" s="212">
        <v>0.97000000000000008</v>
      </c>
      <c r="BQ51" s="212">
        <v>9.81</v>
      </c>
      <c r="BR51" s="212">
        <v>7.8100000000000005</v>
      </c>
      <c r="BS51" s="212">
        <v>8.81</v>
      </c>
      <c r="BT51" s="212">
        <v>11.52</v>
      </c>
      <c r="BU51" s="212">
        <v>11.12</v>
      </c>
      <c r="BV51" s="212">
        <v>11.32</v>
      </c>
      <c r="BW51" s="212">
        <v>2.84</v>
      </c>
      <c r="BX51" s="212">
        <v>2.5599999999999996</v>
      </c>
      <c r="BY51" s="212">
        <v>2.6999999999999997</v>
      </c>
      <c r="BZ51" s="212">
        <v>9.39</v>
      </c>
      <c r="CA51" s="212">
        <v>6.3900000000000006</v>
      </c>
      <c r="CB51" s="212">
        <v>7.8900000000000006</v>
      </c>
      <c r="CC51" s="212">
        <v>6.49</v>
      </c>
      <c r="CD51" s="212">
        <v>6.25</v>
      </c>
      <c r="CE51" s="212">
        <v>6.37</v>
      </c>
      <c r="CF51" s="212">
        <v>1.89</v>
      </c>
      <c r="CG51" s="212">
        <v>1.39</v>
      </c>
      <c r="CH51" s="212">
        <v>1.64</v>
      </c>
      <c r="CI51" s="212">
        <v>0.44</v>
      </c>
      <c r="CJ51" s="212">
        <v>0.4</v>
      </c>
      <c r="CK51" s="212">
        <v>0.42000000000000004</v>
      </c>
      <c r="CL51" s="212">
        <v>38.44</v>
      </c>
      <c r="CM51" s="212">
        <v>36.04</v>
      </c>
      <c r="CN51" s="212">
        <v>37.239999999999995</v>
      </c>
      <c r="CO51" s="212">
        <v>7.41</v>
      </c>
      <c r="CP51" s="212">
        <v>2.41</v>
      </c>
      <c r="CQ51" s="212">
        <v>4.91</v>
      </c>
      <c r="CR51" s="212"/>
      <c r="CS51" s="212"/>
    </row>
    <row r="52" spans="1:97" x14ac:dyDescent="0.4">
      <c r="A52" s="209">
        <v>45338</v>
      </c>
      <c r="B52" s="210" t="s">
        <v>298</v>
      </c>
      <c r="C52" s="212">
        <v>151.26</v>
      </c>
      <c r="D52" s="212">
        <v>149.26</v>
      </c>
      <c r="E52" s="212">
        <v>150.26</v>
      </c>
      <c r="F52" s="212">
        <v>163.25</v>
      </c>
      <c r="G52" s="212">
        <v>160.25</v>
      </c>
      <c r="H52" s="212">
        <v>161.75</v>
      </c>
      <c r="I52" s="212">
        <v>113.08</v>
      </c>
      <c r="J52" s="212">
        <v>109.88</v>
      </c>
      <c r="K52" s="212">
        <v>111.47999999999999</v>
      </c>
      <c r="L52" s="212">
        <v>193.09</v>
      </c>
      <c r="M52" s="212">
        <v>185.09</v>
      </c>
      <c r="N52" s="212">
        <v>189.09</v>
      </c>
      <c r="O52" s="212">
        <v>171.49</v>
      </c>
      <c r="P52" s="212">
        <v>169.69</v>
      </c>
      <c r="Q52" s="212">
        <v>170.59</v>
      </c>
      <c r="R52" s="212">
        <v>22</v>
      </c>
      <c r="S52" s="212">
        <v>21.4</v>
      </c>
      <c r="T52" s="212">
        <v>21.7</v>
      </c>
      <c r="U52" s="212">
        <v>14.53</v>
      </c>
      <c r="V52" s="212">
        <v>13.93</v>
      </c>
      <c r="W52" s="212">
        <v>14.23</v>
      </c>
      <c r="X52" s="212">
        <v>14.74</v>
      </c>
      <c r="Y52" s="212">
        <v>13.94</v>
      </c>
      <c r="Z52" s="212">
        <v>14.34</v>
      </c>
      <c r="AA52" s="212">
        <v>99.88</v>
      </c>
      <c r="AB52" s="212">
        <v>95.88</v>
      </c>
      <c r="AC52" s="212">
        <v>97.88</v>
      </c>
      <c r="AD52" s="212">
        <v>93.6</v>
      </c>
      <c r="AE52" s="212">
        <v>89.6</v>
      </c>
      <c r="AF52" s="212">
        <v>91.6</v>
      </c>
      <c r="AG52" s="212">
        <v>19.64</v>
      </c>
      <c r="AH52" s="212">
        <v>18.78</v>
      </c>
      <c r="AI52" s="212">
        <v>19.21</v>
      </c>
      <c r="AJ52" s="212"/>
      <c r="AK52" s="212"/>
      <c r="AL52" s="212"/>
      <c r="AM52" s="212">
        <v>112.42</v>
      </c>
      <c r="AN52" s="212">
        <v>110.76</v>
      </c>
      <c r="AO52" s="212">
        <v>111.59</v>
      </c>
      <c r="AP52" s="212">
        <v>40.93</v>
      </c>
      <c r="AQ52" s="212">
        <v>39.33</v>
      </c>
      <c r="AR52" s="212">
        <v>40.129999999999995</v>
      </c>
      <c r="AS52" s="212">
        <v>41.67</v>
      </c>
      <c r="AT52" s="212">
        <v>40.31</v>
      </c>
      <c r="AU52" s="212">
        <v>40.99</v>
      </c>
      <c r="AV52" s="212">
        <v>21.11</v>
      </c>
      <c r="AW52" s="212">
        <v>20.509999999999998</v>
      </c>
      <c r="AX52" s="212">
        <v>20.81</v>
      </c>
      <c r="AY52" s="212">
        <v>4.25</v>
      </c>
      <c r="AZ52" s="212">
        <v>4.09</v>
      </c>
      <c r="BA52" s="212">
        <v>4.17</v>
      </c>
      <c r="BB52" s="212">
        <v>1.97</v>
      </c>
      <c r="BC52" s="212">
        <v>1.67</v>
      </c>
      <c r="BD52" s="212">
        <v>1.8199999999999998</v>
      </c>
      <c r="BE52" s="212">
        <v>0.69</v>
      </c>
      <c r="BF52" s="212">
        <v>0.38999999999999996</v>
      </c>
      <c r="BG52" s="212">
        <v>0.53999999999999992</v>
      </c>
      <c r="BH52" s="212">
        <v>496.81</v>
      </c>
      <c r="BI52" s="212">
        <v>480.81</v>
      </c>
      <c r="BJ52" s="212">
        <v>488.81</v>
      </c>
      <c r="BK52" s="212">
        <v>41.96</v>
      </c>
      <c r="BL52" s="212">
        <v>40.6</v>
      </c>
      <c r="BM52" s="212">
        <v>41.28</v>
      </c>
      <c r="BN52" s="212">
        <v>1.0900000000000001</v>
      </c>
      <c r="BO52" s="212">
        <v>0.85000000000000009</v>
      </c>
      <c r="BP52" s="212">
        <v>0.97000000000000008</v>
      </c>
      <c r="BQ52" s="212">
        <v>9.82</v>
      </c>
      <c r="BR52" s="212">
        <v>7.82</v>
      </c>
      <c r="BS52" s="212">
        <v>8.82</v>
      </c>
      <c r="BT52" s="212">
        <v>11.5</v>
      </c>
      <c r="BU52" s="212">
        <v>11.1</v>
      </c>
      <c r="BV52" s="212">
        <v>11.3</v>
      </c>
      <c r="BW52" s="212">
        <v>2.84</v>
      </c>
      <c r="BX52" s="212">
        <v>2.5599999999999996</v>
      </c>
      <c r="BY52" s="212">
        <v>2.6999999999999997</v>
      </c>
      <c r="BZ52" s="212">
        <v>9.43</v>
      </c>
      <c r="CA52" s="212">
        <v>6.43</v>
      </c>
      <c r="CB52" s="212">
        <v>7.93</v>
      </c>
      <c r="CC52" s="212">
        <v>6.51</v>
      </c>
      <c r="CD52" s="212">
        <v>6.27</v>
      </c>
      <c r="CE52" s="212">
        <v>6.39</v>
      </c>
      <c r="CF52" s="212">
        <v>1.88</v>
      </c>
      <c r="CG52" s="212">
        <v>1.38</v>
      </c>
      <c r="CH52" s="212">
        <v>1.63</v>
      </c>
      <c r="CI52" s="212">
        <v>0.44</v>
      </c>
      <c r="CJ52" s="212">
        <v>0.4</v>
      </c>
      <c r="CK52" s="212">
        <v>0.42000000000000004</v>
      </c>
      <c r="CL52" s="212">
        <v>38.409999999999997</v>
      </c>
      <c r="CM52" s="212">
        <v>36.01</v>
      </c>
      <c r="CN52" s="212">
        <v>37.209999999999994</v>
      </c>
      <c r="CO52" s="212">
        <v>7.4</v>
      </c>
      <c r="CP52" s="212">
        <v>2.4000000000000004</v>
      </c>
      <c r="CQ52" s="212">
        <v>4.9000000000000004</v>
      </c>
      <c r="CR52" s="212"/>
      <c r="CS52" s="212"/>
    </row>
    <row r="53" spans="1:97" x14ac:dyDescent="0.4">
      <c r="A53" s="209">
        <v>45339</v>
      </c>
      <c r="B53" s="210" t="s">
        <v>299</v>
      </c>
      <c r="C53" s="212"/>
      <c r="D53" s="212"/>
      <c r="E53" s="212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  <c r="AS53" s="212"/>
      <c r="AT53" s="212"/>
      <c r="AU53" s="212"/>
      <c r="AV53" s="212"/>
      <c r="AW53" s="212"/>
      <c r="AX53" s="212"/>
      <c r="AY53" s="212"/>
      <c r="AZ53" s="212"/>
      <c r="BA53" s="212"/>
      <c r="BB53" s="212"/>
      <c r="BC53" s="212"/>
      <c r="BD53" s="212"/>
      <c r="BE53" s="212"/>
      <c r="BF53" s="212"/>
      <c r="BG53" s="212"/>
      <c r="BH53" s="212"/>
      <c r="BI53" s="212"/>
      <c r="BJ53" s="212"/>
      <c r="BK53" s="212"/>
      <c r="BL53" s="212"/>
      <c r="BM53" s="212"/>
      <c r="BN53" s="212"/>
      <c r="BO53" s="212"/>
      <c r="BP53" s="212"/>
      <c r="BQ53" s="212"/>
      <c r="BR53" s="212"/>
      <c r="BS53" s="212"/>
      <c r="BT53" s="212"/>
      <c r="BU53" s="212"/>
      <c r="BV53" s="212"/>
      <c r="BW53" s="212"/>
      <c r="BX53" s="212"/>
      <c r="BY53" s="212"/>
      <c r="BZ53" s="212"/>
      <c r="CA53" s="212"/>
      <c r="CB53" s="212"/>
      <c r="CC53" s="212"/>
      <c r="CD53" s="212"/>
      <c r="CE53" s="212"/>
      <c r="CF53" s="212"/>
      <c r="CG53" s="212"/>
      <c r="CH53" s="212"/>
      <c r="CI53" s="212"/>
      <c r="CJ53" s="212"/>
      <c r="CK53" s="212"/>
      <c r="CL53" s="212"/>
      <c r="CM53" s="212"/>
      <c r="CN53" s="212"/>
      <c r="CO53" s="212"/>
      <c r="CP53" s="212"/>
      <c r="CQ53" s="212"/>
      <c r="CR53" s="212"/>
      <c r="CS53" s="212"/>
    </row>
    <row r="54" spans="1:97" x14ac:dyDescent="0.4">
      <c r="A54" s="209">
        <v>45340</v>
      </c>
      <c r="B54" s="210" t="s">
        <v>300</v>
      </c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  <c r="AS54" s="212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212"/>
      <c r="BV54" s="212"/>
      <c r="BW54" s="212"/>
      <c r="BX54" s="212"/>
      <c r="BY54" s="212"/>
      <c r="BZ54" s="212"/>
      <c r="CA54" s="212"/>
      <c r="CB54" s="212"/>
      <c r="CC54" s="212"/>
      <c r="CD54" s="212"/>
      <c r="CE54" s="212"/>
      <c r="CF54" s="212"/>
      <c r="CG54" s="212"/>
      <c r="CH54" s="212"/>
      <c r="CI54" s="212"/>
      <c r="CJ54" s="212"/>
      <c r="CK54" s="212"/>
      <c r="CL54" s="212"/>
      <c r="CM54" s="212"/>
      <c r="CN54" s="212"/>
      <c r="CO54" s="212"/>
      <c r="CP54" s="212"/>
      <c r="CQ54" s="212"/>
      <c r="CR54" s="212"/>
      <c r="CS54" s="212"/>
    </row>
    <row r="55" spans="1:97" x14ac:dyDescent="0.4">
      <c r="A55" s="209">
        <v>45341</v>
      </c>
      <c r="B55" s="210" t="s">
        <v>294</v>
      </c>
      <c r="C55" s="212">
        <v>151.03</v>
      </c>
      <c r="D55" s="212">
        <v>149.03</v>
      </c>
      <c r="E55" s="212">
        <v>150.03</v>
      </c>
      <c r="F55" s="212">
        <v>163.31</v>
      </c>
      <c r="G55" s="212">
        <v>160.31</v>
      </c>
      <c r="H55" s="212">
        <v>161.81</v>
      </c>
      <c r="I55" s="212">
        <v>112.99</v>
      </c>
      <c r="J55" s="212">
        <v>109.78999999999999</v>
      </c>
      <c r="K55" s="212">
        <v>111.38999999999999</v>
      </c>
      <c r="L55" s="212">
        <v>193.35</v>
      </c>
      <c r="M55" s="212">
        <v>185.35</v>
      </c>
      <c r="N55" s="212">
        <v>189.35</v>
      </c>
      <c r="O55" s="212">
        <v>171.39</v>
      </c>
      <c r="P55" s="212">
        <v>169.58999999999997</v>
      </c>
      <c r="Q55" s="212">
        <v>170.48999999999998</v>
      </c>
      <c r="R55" s="212">
        <v>22</v>
      </c>
      <c r="S55" s="212">
        <v>21.4</v>
      </c>
      <c r="T55" s="212">
        <v>21.7</v>
      </c>
      <c r="U55" s="212">
        <v>14.58</v>
      </c>
      <c r="V55" s="212">
        <v>13.98</v>
      </c>
      <c r="W55" s="212">
        <v>14.280000000000001</v>
      </c>
      <c r="X55" s="212">
        <v>14.79</v>
      </c>
      <c r="Y55" s="212">
        <v>13.989999999999998</v>
      </c>
      <c r="Z55" s="212">
        <v>14.389999999999999</v>
      </c>
      <c r="AA55" s="212">
        <v>100.24</v>
      </c>
      <c r="AB55" s="212">
        <v>96.24</v>
      </c>
      <c r="AC55" s="212">
        <v>98.24</v>
      </c>
      <c r="AD55" s="212">
        <v>94.1</v>
      </c>
      <c r="AE55" s="212">
        <v>90.1</v>
      </c>
      <c r="AF55" s="212">
        <v>92.1</v>
      </c>
      <c r="AG55" s="212">
        <v>19.61</v>
      </c>
      <c r="AH55" s="212">
        <v>18.75</v>
      </c>
      <c r="AI55" s="212">
        <v>19.18</v>
      </c>
      <c r="AJ55" s="212"/>
      <c r="AK55" s="212"/>
      <c r="AL55" s="212"/>
      <c r="AM55" s="212">
        <v>112.37</v>
      </c>
      <c r="AN55" s="212">
        <v>110.71000000000001</v>
      </c>
      <c r="AO55" s="212">
        <v>111.54</v>
      </c>
      <c r="AP55" s="212">
        <v>40.869999999999997</v>
      </c>
      <c r="AQ55" s="212">
        <v>39.269999999999996</v>
      </c>
      <c r="AR55" s="212">
        <v>40.069999999999993</v>
      </c>
      <c r="AS55" s="212">
        <v>41.59</v>
      </c>
      <c r="AT55" s="212">
        <v>40.230000000000004</v>
      </c>
      <c r="AU55" s="212">
        <v>40.910000000000004</v>
      </c>
      <c r="AV55" s="212">
        <v>21.12</v>
      </c>
      <c r="AW55" s="212">
        <v>20.52</v>
      </c>
      <c r="AX55" s="212">
        <v>20.82</v>
      </c>
      <c r="AY55" s="212">
        <v>4.25</v>
      </c>
      <c r="AZ55" s="212">
        <v>4.09</v>
      </c>
      <c r="BA55" s="212">
        <v>4.17</v>
      </c>
      <c r="BB55" s="212">
        <v>1.97</v>
      </c>
      <c r="BC55" s="212">
        <v>1.67</v>
      </c>
      <c r="BD55" s="212">
        <v>1.8199999999999998</v>
      </c>
      <c r="BE55" s="212">
        <v>0.7</v>
      </c>
      <c r="BF55" s="212">
        <v>0.39999999999999997</v>
      </c>
      <c r="BG55" s="212">
        <v>0.54999999999999993</v>
      </c>
      <c r="BH55" s="212">
        <v>496.06</v>
      </c>
      <c r="BI55" s="212">
        <v>480.06</v>
      </c>
      <c r="BJ55" s="212">
        <v>488.06</v>
      </c>
      <c r="BK55" s="212">
        <v>41.9</v>
      </c>
      <c r="BL55" s="212">
        <v>40.54</v>
      </c>
      <c r="BM55" s="212">
        <v>41.22</v>
      </c>
      <c r="BN55" s="212">
        <v>1.08</v>
      </c>
      <c r="BO55" s="212">
        <v>0.84000000000000008</v>
      </c>
      <c r="BP55" s="212">
        <v>0.96000000000000008</v>
      </c>
      <c r="BQ55" s="212">
        <v>9.81</v>
      </c>
      <c r="BR55" s="212">
        <v>7.8100000000000005</v>
      </c>
      <c r="BS55" s="212">
        <v>8.81</v>
      </c>
      <c r="BT55" s="212">
        <v>11.48</v>
      </c>
      <c r="BU55" s="212">
        <v>11.08</v>
      </c>
      <c r="BV55" s="212">
        <v>11.280000000000001</v>
      </c>
      <c r="BW55" s="212">
        <v>2.84</v>
      </c>
      <c r="BX55" s="212">
        <v>2.5599999999999996</v>
      </c>
      <c r="BY55" s="212">
        <v>2.6999999999999997</v>
      </c>
      <c r="BZ55" s="212">
        <v>9.4600000000000009</v>
      </c>
      <c r="CA55" s="212">
        <v>6.4600000000000009</v>
      </c>
      <c r="CB55" s="212">
        <v>7.9600000000000009</v>
      </c>
      <c r="CC55" s="212">
        <v>6.49</v>
      </c>
      <c r="CD55" s="212">
        <v>6.25</v>
      </c>
      <c r="CE55" s="212">
        <v>6.37</v>
      </c>
      <c r="CF55" s="212">
        <v>1.88</v>
      </c>
      <c r="CG55" s="212">
        <v>1.38</v>
      </c>
      <c r="CH55" s="212">
        <v>1.63</v>
      </c>
      <c r="CI55" s="212">
        <v>0.44</v>
      </c>
      <c r="CJ55" s="212">
        <v>0.4</v>
      </c>
      <c r="CK55" s="212">
        <v>0.42000000000000004</v>
      </c>
      <c r="CL55" s="212">
        <v>38.49</v>
      </c>
      <c r="CM55" s="212">
        <v>36.090000000000003</v>
      </c>
      <c r="CN55" s="212">
        <v>37.290000000000006</v>
      </c>
      <c r="CO55" s="212">
        <v>7.37</v>
      </c>
      <c r="CP55" s="212">
        <v>2.37</v>
      </c>
      <c r="CQ55" s="212">
        <v>4.87</v>
      </c>
      <c r="CR55" s="212"/>
      <c r="CS55" s="212"/>
    </row>
    <row r="56" spans="1:97" x14ac:dyDescent="0.4">
      <c r="A56" s="209">
        <v>45342</v>
      </c>
      <c r="B56" s="210" t="s">
        <v>295</v>
      </c>
      <c r="C56" s="212">
        <v>151.38</v>
      </c>
      <c r="D56" s="212">
        <v>149.38</v>
      </c>
      <c r="E56" s="212">
        <v>150.38</v>
      </c>
      <c r="F56" s="212">
        <v>163.44</v>
      </c>
      <c r="G56" s="212">
        <v>160.44</v>
      </c>
      <c r="H56" s="212">
        <v>161.94</v>
      </c>
      <c r="I56" s="212">
        <v>112.98</v>
      </c>
      <c r="J56" s="212">
        <v>109.78</v>
      </c>
      <c r="K56" s="212">
        <v>111.38</v>
      </c>
      <c r="L56" s="212">
        <v>193.3</v>
      </c>
      <c r="M56" s="212">
        <v>185.3</v>
      </c>
      <c r="N56" s="212">
        <v>189.3</v>
      </c>
      <c r="O56" s="212">
        <v>171.21</v>
      </c>
      <c r="P56" s="212">
        <v>169.41</v>
      </c>
      <c r="Q56" s="212">
        <v>170.31</v>
      </c>
      <c r="R56" s="212">
        <v>22.02</v>
      </c>
      <c r="S56" s="212">
        <v>21.419999999999998</v>
      </c>
      <c r="T56" s="212">
        <v>21.72</v>
      </c>
      <c r="U56" s="212">
        <v>14.63</v>
      </c>
      <c r="V56" s="212">
        <v>14.030000000000001</v>
      </c>
      <c r="W56" s="212">
        <v>14.330000000000002</v>
      </c>
      <c r="X56" s="212">
        <v>14.86</v>
      </c>
      <c r="Y56" s="212">
        <v>14.059999999999999</v>
      </c>
      <c r="Z56" s="212">
        <v>14.459999999999999</v>
      </c>
      <c r="AA56" s="212">
        <v>100.21</v>
      </c>
      <c r="AB56" s="212">
        <v>96.21</v>
      </c>
      <c r="AC56" s="212">
        <v>98.21</v>
      </c>
      <c r="AD56" s="212">
        <v>94.33</v>
      </c>
      <c r="AE56" s="212">
        <v>90.33</v>
      </c>
      <c r="AF56" s="212">
        <v>92.33</v>
      </c>
      <c r="AG56" s="212">
        <v>19.66</v>
      </c>
      <c r="AH56" s="212">
        <v>18.8</v>
      </c>
      <c r="AI56" s="212">
        <v>19.23</v>
      </c>
      <c r="AJ56" s="212"/>
      <c r="AK56" s="212"/>
      <c r="AL56" s="212"/>
      <c r="AM56" s="212">
        <v>112.5</v>
      </c>
      <c r="AN56" s="212">
        <v>110.84</v>
      </c>
      <c r="AO56" s="212">
        <v>111.67</v>
      </c>
      <c r="AP56" s="212">
        <v>40.97</v>
      </c>
      <c r="AQ56" s="212">
        <v>39.369999999999997</v>
      </c>
      <c r="AR56" s="212">
        <v>40.17</v>
      </c>
      <c r="AS56" s="212">
        <v>41.69</v>
      </c>
      <c r="AT56" s="212">
        <v>40.33</v>
      </c>
      <c r="AU56" s="212">
        <v>41.01</v>
      </c>
      <c r="AV56" s="212">
        <v>21.14</v>
      </c>
      <c r="AW56" s="212">
        <v>20.54</v>
      </c>
      <c r="AX56" s="212">
        <v>20.84</v>
      </c>
      <c r="AY56" s="212">
        <v>4.24</v>
      </c>
      <c r="AZ56" s="212">
        <v>4.08</v>
      </c>
      <c r="BA56" s="212">
        <v>4.16</v>
      </c>
      <c r="BB56" s="212">
        <v>1.97</v>
      </c>
      <c r="BC56" s="212">
        <v>1.67</v>
      </c>
      <c r="BD56" s="212">
        <v>1.8199999999999998</v>
      </c>
      <c r="BE56" s="212">
        <v>0.69</v>
      </c>
      <c r="BF56" s="212">
        <v>0.38999999999999996</v>
      </c>
      <c r="BG56" s="212">
        <v>0.53999999999999992</v>
      </c>
      <c r="BH56" s="212">
        <v>497.2</v>
      </c>
      <c r="BI56" s="212">
        <v>481.2</v>
      </c>
      <c r="BJ56" s="212">
        <v>489.2</v>
      </c>
      <c r="BK56" s="212">
        <v>41.99</v>
      </c>
      <c r="BL56" s="212">
        <v>40.630000000000003</v>
      </c>
      <c r="BM56" s="212">
        <v>41.31</v>
      </c>
      <c r="BN56" s="212">
        <v>1.0900000000000001</v>
      </c>
      <c r="BO56" s="212">
        <v>0.85000000000000009</v>
      </c>
      <c r="BP56" s="212">
        <v>0.97000000000000008</v>
      </c>
      <c r="BQ56" s="212">
        <v>9.82</v>
      </c>
      <c r="BR56" s="212">
        <v>7.82</v>
      </c>
      <c r="BS56" s="212">
        <v>8.82</v>
      </c>
      <c r="BT56" s="212">
        <v>11.44</v>
      </c>
      <c r="BU56" s="212">
        <v>11.04</v>
      </c>
      <c r="BV56" s="212">
        <v>11.239999999999998</v>
      </c>
      <c r="BW56" s="212">
        <v>2.84</v>
      </c>
      <c r="BX56" s="212">
        <v>2.5599999999999996</v>
      </c>
      <c r="BY56" s="212">
        <v>2.6999999999999997</v>
      </c>
      <c r="BZ56" s="212">
        <v>9.42</v>
      </c>
      <c r="CA56" s="212">
        <v>6.42</v>
      </c>
      <c r="CB56" s="212">
        <v>7.92</v>
      </c>
      <c r="CC56" s="212">
        <v>6.48</v>
      </c>
      <c r="CD56" s="212">
        <v>6.24</v>
      </c>
      <c r="CE56" s="212">
        <v>6.36</v>
      </c>
      <c r="CF56" s="212">
        <v>1.88</v>
      </c>
      <c r="CG56" s="212">
        <v>1.38</v>
      </c>
      <c r="CH56" s="212">
        <v>1.63</v>
      </c>
      <c r="CI56" s="212">
        <v>0.44</v>
      </c>
      <c r="CJ56" s="212">
        <v>0.4</v>
      </c>
      <c r="CK56" s="212">
        <v>0.42000000000000004</v>
      </c>
      <c r="CL56" s="212">
        <v>38.61</v>
      </c>
      <c r="CM56" s="212">
        <v>36.21</v>
      </c>
      <c r="CN56" s="212">
        <v>37.409999999999997</v>
      </c>
      <c r="CO56" s="212">
        <v>7.37</v>
      </c>
      <c r="CP56" s="212">
        <v>2.37</v>
      </c>
      <c r="CQ56" s="212">
        <v>4.87</v>
      </c>
      <c r="CR56" s="212"/>
      <c r="CS56" s="212"/>
    </row>
    <row r="57" spans="1:97" x14ac:dyDescent="0.4">
      <c r="A57" s="209">
        <v>45343</v>
      </c>
      <c r="B57" s="210" t="s">
        <v>296</v>
      </c>
      <c r="C57" s="212">
        <v>151.16</v>
      </c>
      <c r="D57" s="212">
        <v>149.16</v>
      </c>
      <c r="E57" s="212">
        <v>150.16</v>
      </c>
      <c r="F57" s="212">
        <v>163.84</v>
      </c>
      <c r="G57" s="212">
        <v>160.84</v>
      </c>
      <c r="H57" s="212">
        <v>162.34</v>
      </c>
      <c r="I57" s="212">
        <v>112.62</v>
      </c>
      <c r="J57" s="212">
        <v>109.42</v>
      </c>
      <c r="K57" s="212">
        <v>111.02000000000001</v>
      </c>
      <c r="L57" s="212">
        <v>193.58</v>
      </c>
      <c r="M57" s="212">
        <v>185.58</v>
      </c>
      <c r="N57" s="212">
        <v>189.58</v>
      </c>
      <c r="O57" s="212">
        <v>171.19</v>
      </c>
      <c r="P57" s="212">
        <v>169.39</v>
      </c>
      <c r="Q57" s="212">
        <v>170.29</v>
      </c>
      <c r="R57" s="212">
        <v>22.08</v>
      </c>
      <c r="S57" s="212">
        <v>21.479999999999997</v>
      </c>
      <c r="T57" s="212">
        <v>21.779999999999998</v>
      </c>
      <c r="U57" s="212">
        <v>14.63</v>
      </c>
      <c r="V57" s="212">
        <v>14.030000000000001</v>
      </c>
      <c r="W57" s="212">
        <v>14.330000000000002</v>
      </c>
      <c r="X57" s="212">
        <v>14.91</v>
      </c>
      <c r="Y57" s="212">
        <v>14.11</v>
      </c>
      <c r="Z57" s="212">
        <v>14.51</v>
      </c>
      <c r="AA57" s="212">
        <v>100.41</v>
      </c>
      <c r="AB57" s="212">
        <v>96.41</v>
      </c>
      <c r="AC57" s="212">
        <v>98.41</v>
      </c>
      <c r="AD57" s="212">
        <v>94.63</v>
      </c>
      <c r="AE57" s="212">
        <v>90.63</v>
      </c>
      <c r="AF57" s="212">
        <v>92.63</v>
      </c>
      <c r="AG57" s="212">
        <v>19.63</v>
      </c>
      <c r="AH57" s="212">
        <v>18.77</v>
      </c>
      <c r="AI57" s="212">
        <v>19.2</v>
      </c>
      <c r="AJ57" s="212"/>
      <c r="AK57" s="212"/>
      <c r="AL57" s="212"/>
      <c r="AM57" s="212">
        <v>112.56</v>
      </c>
      <c r="AN57" s="212">
        <v>110.9</v>
      </c>
      <c r="AO57" s="212">
        <v>111.73</v>
      </c>
      <c r="AP57" s="212">
        <v>40.909999999999997</v>
      </c>
      <c r="AQ57" s="212">
        <v>39.309999999999995</v>
      </c>
      <c r="AR57" s="212">
        <v>40.11</v>
      </c>
      <c r="AS57" s="212">
        <v>41.63</v>
      </c>
      <c r="AT57" s="212">
        <v>40.270000000000003</v>
      </c>
      <c r="AU57" s="212">
        <v>40.950000000000003</v>
      </c>
      <c r="AV57" s="212">
        <v>21.15</v>
      </c>
      <c r="AW57" s="212">
        <v>20.549999999999997</v>
      </c>
      <c r="AX57" s="212">
        <v>20.849999999999998</v>
      </c>
      <c r="AY57" s="212">
        <v>4.25</v>
      </c>
      <c r="AZ57" s="212">
        <v>4.09</v>
      </c>
      <c r="BA57" s="212">
        <v>4.17</v>
      </c>
      <c r="BB57" s="212">
        <v>1.97</v>
      </c>
      <c r="BC57" s="212">
        <v>1.67</v>
      </c>
      <c r="BD57" s="212">
        <v>1.8199999999999998</v>
      </c>
      <c r="BE57" s="212">
        <v>0.69</v>
      </c>
      <c r="BF57" s="212">
        <v>0.38999999999999996</v>
      </c>
      <c r="BG57" s="212">
        <v>0.53999999999999992</v>
      </c>
      <c r="BH57" s="212">
        <v>496.8</v>
      </c>
      <c r="BI57" s="212">
        <v>480.8</v>
      </c>
      <c r="BJ57" s="212">
        <v>488.8</v>
      </c>
      <c r="BK57" s="212">
        <v>41.93</v>
      </c>
      <c r="BL57" s="212">
        <v>40.57</v>
      </c>
      <c r="BM57" s="212">
        <v>41.25</v>
      </c>
      <c r="BN57" s="212">
        <v>1.08</v>
      </c>
      <c r="BO57" s="212">
        <v>0.84000000000000008</v>
      </c>
      <c r="BP57" s="212">
        <v>0.96000000000000008</v>
      </c>
      <c r="BQ57" s="212">
        <v>9.81</v>
      </c>
      <c r="BR57" s="212">
        <v>7.8100000000000005</v>
      </c>
      <c r="BS57" s="212">
        <v>8.81</v>
      </c>
      <c r="BT57" s="212">
        <v>11.45</v>
      </c>
      <c r="BU57" s="212">
        <v>11.049999999999999</v>
      </c>
      <c r="BV57" s="212">
        <v>11.25</v>
      </c>
      <c r="BW57" s="212">
        <v>2.84</v>
      </c>
      <c r="BX57" s="212">
        <v>2.5599999999999996</v>
      </c>
      <c r="BY57" s="212">
        <v>2.6999999999999997</v>
      </c>
      <c r="BZ57" s="212">
        <v>9.4499999999999993</v>
      </c>
      <c r="CA57" s="212">
        <v>6.4499999999999993</v>
      </c>
      <c r="CB57" s="212">
        <v>7.9499999999999993</v>
      </c>
      <c r="CC57" s="212">
        <v>6.52</v>
      </c>
      <c r="CD57" s="212">
        <v>6.2799999999999994</v>
      </c>
      <c r="CE57" s="212">
        <v>6.3999999999999995</v>
      </c>
      <c r="CF57" s="212">
        <v>1.88</v>
      </c>
      <c r="CG57" s="212">
        <v>1.38</v>
      </c>
      <c r="CH57" s="212">
        <v>1.63</v>
      </c>
      <c r="CI57" s="212">
        <v>0.44</v>
      </c>
      <c r="CJ57" s="212">
        <v>0.4</v>
      </c>
      <c r="CK57" s="212">
        <v>0.42000000000000004</v>
      </c>
      <c r="CL57" s="212">
        <v>38.840000000000003</v>
      </c>
      <c r="CM57" s="212">
        <v>36.440000000000005</v>
      </c>
      <c r="CN57" s="212">
        <v>37.64</v>
      </c>
      <c r="CO57" s="212">
        <v>7.36</v>
      </c>
      <c r="CP57" s="212">
        <v>2.3600000000000003</v>
      </c>
      <c r="CQ57" s="212">
        <v>4.8600000000000003</v>
      </c>
      <c r="CR57" s="212"/>
      <c r="CS57" s="212"/>
    </row>
    <row r="58" spans="1:97" x14ac:dyDescent="0.4">
      <c r="A58" s="209">
        <v>45344</v>
      </c>
      <c r="B58" s="210" t="s">
        <v>297</v>
      </c>
      <c r="C58" s="212">
        <v>151.55000000000001</v>
      </c>
      <c r="D58" s="212">
        <v>149.55000000000001</v>
      </c>
      <c r="E58" s="212">
        <v>150.55000000000001</v>
      </c>
      <c r="F58" s="212">
        <v>164.56</v>
      </c>
      <c r="G58" s="212">
        <v>161.56</v>
      </c>
      <c r="H58" s="212">
        <v>163.06</v>
      </c>
      <c r="I58" s="212">
        <v>113.23</v>
      </c>
      <c r="J58" s="212">
        <v>110.03</v>
      </c>
      <c r="K58" s="212">
        <v>111.63</v>
      </c>
      <c r="L58" s="212">
        <v>194.37</v>
      </c>
      <c r="M58" s="212">
        <v>186.37</v>
      </c>
      <c r="N58" s="212">
        <v>190.37</v>
      </c>
      <c r="O58" s="212">
        <v>172.23</v>
      </c>
      <c r="P58" s="212">
        <v>170.42999999999998</v>
      </c>
      <c r="Q58" s="212">
        <v>171.32999999999998</v>
      </c>
      <c r="R58" s="212">
        <v>22.17</v>
      </c>
      <c r="S58" s="212">
        <v>21.57</v>
      </c>
      <c r="T58" s="212">
        <v>21.87</v>
      </c>
      <c r="U58" s="212">
        <v>14.67</v>
      </c>
      <c r="V58" s="212">
        <v>14.07</v>
      </c>
      <c r="W58" s="212">
        <v>14.370000000000001</v>
      </c>
      <c r="X58" s="212">
        <v>14.95</v>
      </c>
      <c r="Y58" s="212">
        <v>14.149999999999999</v>
      </c>
      <c r="Z58" s="212">
        <v>14.549999999999999</v>
      </c>
      <c r="AA58" s="212">
        <v>100.76</v>
      </c>
      <c r="AB58" s="212">
        <v>96.76</v>
      </c>
      <c r="AC58" s="212">
        <v>98.76</v>
      </c>
      <c r="AD58" s="212">
        <v>95.25</v>
      </c>
      <c r="AE58" s="212">
        <v>91.25</v>
      </c>
      <c r="AF58" s="212">
        <v>93.25</v>
      </c>
      <c r="AG58" s="212">
        <v>19.68</v>
      </c>
      <c r="AH58" s="212">
        <v>18.82</v>
      </c>
      <c r="AI58" s="212">
        <v>19.25</v>
      </c>
      <c r="AJ58" s="212"/>
      <c r="AK58" s="212"/>
      <c r="AL58" s="212"/>
      <c r="AM58" s="212">
        <v>112.92</v>
      </c>
      <c r="AN58" s="212">
        <v>111.26</v>
      </c>
      <c r="AO58" s="212">
        <v>112.09</v>
      </c>
      <c r="AP58" s="212">
        <v>40.9</v>
      </c>
      <c r="AQ58" s="212">
        <v>39.299999999999997</v>
      </c>
      <c r="AR58" s="212">
        <v>40.099999999999994</v>
      </c>
      <c r="AS58" s="212">
        <v>41.74</v>
      </c>
      <c r="AT58" s="212">
        <v>40.380000000000003</v>
      </c>
      <c r="AU58" s="212">
        <v>41.06</v>
      </c>
      <c r="AV58" s="212">
        <v>21.22</v>
      </c>
      <c r="AW58" s="212">
        <v>20.619999999999997</v>
      </c>
      <c r="AX58" s="212">
        <v>20.919999999999998</v>
      </c>
      <c r="AY58" s="212">
        <v>4.28</v>
      </c>
      <c r="AZ58" s="212">
        <v>4.12</v>
      </c>
      <c r="BA58" s="212">
        <v>4.2</v>
      </c>
      <c r="BB58" s="212">
        <v>1.98</v>
      </c>
      <c r="BC58" s="212">
        <v>1.68</v>
      </c>
      <c r="BD58" s="212">
        <v>1.83</v>
      </c>
      <c r="BE58" s="212">
        <v>0.69</v>
      </c>
      <c r="BF58" s="212">
        <v>0.38999999999999996</v>
      </c>
      <c r="BG58" s="212">
        <v>0.53999999999999992</v>
      </c>
      <c r="BH58" s="212">
        <v>498.23</v>
      </c>
      <c r="BI58" s="212">
        <v>482.23</v>
      </c>
      <c r="BJ58" s="212">
        <v>490.23</v>
      </c>
      <c r="BK58" s="212">
        <v>42.04</v>
      </c>
      <c r="BL58" s="212">
        <v>40.68</v>
      </c>
      <c r="BM58" s="212">
        <v>41.36</v>
      </c>
      <c r="BN58" s="212">
        <v>1.0900000000000001</v>
      </c>
      <c r="BO58" s="212">
        <v>0.85000000000000009</v>
      </c>
      <c r="BP58" s="212">
        <v>0.97000000000000008</v>
      </c>
      <c r="BQ58" s="212">
        <v>9.83</v>
      </c>
      <c r="BR58" s="212">
        <v>7.83</v>
      </c>
      <c r="BS58" s="212">
        <v>8.83</v>
      </c>
      <c r="BT58" s="212">
        <v>11.53</v>
      </c>
      <c r="BU58" s="212">
        <v>11.129999999999999</v>
      </c>
      <c r="BV58" s="212">
        <v>11.329999999999998</v>
      </c>
      <c r="BW58" s="212">
        <v>2.85</v>
      </c>
      <c r="BX58" s="212">
        <v>2.5700000000000003</v>
      </c>
      <c r="BY58" s="212">
        <v>2.71</v>
      </c>
      <c r="BZ58" s="212">
        <v>9.4600000000000009</v>
      </c>
      <c r="CA58" s="212">
        <v>6.4600000000000009</v>
      </c>
      <c r="CB58" s="212">
        <v>7.9600000000000009</v>
      </c>
      <c r="CC58" s="212">
        <v>6.57</v>
      </c>
      <c r="CD58" s="212">
        <v>6.33</v>
      </c>
      <c r="CE58" s="212">
        <v>6.45</v>
      </c>
      <c r="CF58" s="212">
        <v>1.88</v>
      </c>
      <c r="CG58" s="212">
        <v>1.38</v>
      </c>
      <c r="CH58" s="212">
        <v>1.63</v>
      </c>
      <c r="CI58" s="212">
        <v>0.44</v>
      </c>
      <c r="CJ58" s="212">
        <v>0.4</v>
      </c>
      <c r="CK58" s="212">
        <v>0.42000000000000004</v>
      </c>
      <c r="CL58" s="212">
        <v>38.979999999999997</v>
      </c>
      <c r="CM58" s="212">
        <v>36.58</v>
      </c>
      <c r="CN58" s="212">
        <v>37.78</v>
      </c>
      <c r="CO58" s="212">
        <v>7.36</v>
      </c>
      <c r="CP58" s="212">
        <v>2.3600000000000003</v>
      </c>
      <c r="CQ58" s="212">
        <v>4.8600000000000003</v>
      </c>
      <c r="CR58" s="212"/>
      <c r="CS58" s="212"/>
    </row>
    <row r="59" spans="1:97" x14ac:dyDescent="0.4">
      <c r="A59" s="209">
        <v>45345</v>
      </c>
      <c r="B59" s="210" t="s">
        <v>298</v>
      </c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  <c r="AS59" s="212"/>
      <c r="AT59" s="212"/>
      <c r="AU59" s="212"/>
      <c r="AV59" s="212"/>
      <c r="AW59" s="212"/>
      <c r="AX59" s="212"/>
      <c r="AY59" s="212"/>
      <c r="AZ59" s="212"/>
      <c r="BA59" s="212"/>
      <c r="BB59" s="212"/>
      <c r="BC59" s="212"/>
      <c r="BD59" s="212"/>
      <c r="BE59" s="212"/>
      <c r="BF59" s="212"/>
      <c r="BG59" s="212"/>
      <c r="BH59" s="212"/>
      <c r="BI59" s="212"/>
      <c r="BJ59" s="212"/>
      <c r="BK59" s="212"/>
      <c r="BL59" s="212"/>
      <c r="BM59" s="212"/>
      <c r="BN59" s="212"/>
      <c r="BO59" s="212"/>
      <c r="BP59" s="212"/>
      <c r="BQ59" s="212"/>
      <c r="BR59" s="212"/>
      <c r="BS59" s="212"/>
      <c r="BT59" s="212"/>
      <c r="BU59" s="212"/>
      <c r="BV59" s="212"/>
      <c r="BW59" s="212"/>
      <c r="BX59" s="212"/>
      <c r="BY59" s="212"/>
      <c r="BZ59" s="212"/>
      <c r="CA59" s="212"/>
      <c r="CB59" s="212"/>
      <c r="CC59" s="212"/>
      <c r="CD59" s="212"/>
      <c r="CE59" s="212"/>
      <c r="CF59" s="212"/>
      <c r="CG59" s="212"/>
      <c r="CH59" s="212"/>
      <c r="CI59" s="212"/>
      <c r="CJ59" s="212"/>
      <c r="CK59" s="212"/>
      <c r="CL59" s="212"/>
      <c r="CM59" s="212"/>
      <c r="CN59" s="212"/>
      <c r="CO59" s="212"/>
      <c r="CP59" s="212"/>
      <c r="CQ59" s="212"/>
      <c r="CR59" s="212"/>
      <c r="CS59" s="212"/>
    </row>
    <row r="60" spans="1:97" x14ac:dyDescent="0.4">
      <c r="A60" s="209">
        <v>45346</v>
      </c>
      <c r="B60" s="210" t="s">
        <v>299</v>
      </c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212"/>
      <c r="T60" s="212"/>
      <c r="U60" s="212"/>
      <c r="V60" s="212"/>
      <c r="W60" s="212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  <c r="AS60" s="212"/>
      <c r="AT60" s="212"/>
      <c r="AU60" s="212"/>
      <c r="AV60" s="212"/>
      <c r="AW60" s="212"/>
      <c r="AX60" s="212"/>
      <c r="AY60" s="212"/>
      <c r="AZ60" s="212"/>
      <c r="BA60" s="212"/>
      <c r="BB60" s="212"/>
      <c r="BC60" s="212"/>
      <c r="BD60" s="212"/>
      <c r="BE60" s="212"/>
      <c r="BF60" s="212"/>
      <c r="BG60" s="212"/>
      <c r="BH60" s="212"/>
      <c r="BI60" s="212"/>
      <c r="BJ60" s="212"/>
      <c r="BK60" s="212"/>
      <c r="BL60" s="212"/>
      <c r="BM60" s="212"/>
      <c r="BN60" s="212"/>
      <c r="BO60" s="212"/>
      <c r="BP60" s="212"/>
      <c r="BQ60" s="212"/>
      <c r="BR60" s="212"/>
      <c r="BS60" s="212"/>
      <c r="BT60" s="212"/>
      <c r="BU60" s="212"/>
      <c r="BV60" s="212"/>
      <c r="BW60" s="212"/>
      <c r="BX60" s="212"/>
      <c r="BY60" s="212"/>
      <c r="BZ60" s="212"/>
      <c r="CA60" s="212"/>
      <c r="CB60" s="212"/>
      <c r="CC60" s="212"/>
      <c r="CD60" s="212"/>
      <c r="CE60" s="212"/>
      <c r="CF60" s="212"/>
      <c r="CG60" s="212"/>
      <c r="CH60" s="212"/>
      <c r="CI60" s="212"/>
      <c r="CJ60" s="212"/>
      <c r="CK60" s="212"/>
      <c r="CL60" s="212"/>
      <c r="CM60" s="212"/>
      <c r="CN60" s="212"/>
      <c r="CO60" s="212"/>
      <c r="CP60" s="212"/>
      <c r="CQ60" s="212"/>
      <c r="CR60" s="212"/>
      <c r="CS60" s="212"/>
    </row>
    <row r="61" spans="1:97" x14ac:dyDescent="0.4">
      <c r="A61" s="209">
        <v>45347</v>
      </c>
      <c r="B61" s="210" t="s">
        <v>300</v>
      </c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212"/>
      <c r="Q61" s="212"/>
      <c r="R61" s="212"/>
      <c r="S61" s="212"/>
      <c r="T61" s="212"/>
      <c r="U61" s="212"/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  <c r="AP61" s="212"/>
      <c r="AQ61" s="212"/>
      <c r="AR61" s="212"/>
      <c r="AS61" s="212"/>
      <c r="AT61" s="212"/>
      <c r="AU61" s="212"/>
      <c r="AV61" s="212"/>
      <c r="AW61" s="212"/>
      <c r="AX61" s="212"/>
      <c r="AY61" s="212"/>
      <c r="AZ61" s="212"/>
      <c r="BA61" s="212"/>
      <c r="BB61" s="212"/>
      <c r="BC61" s="212"/>
      <c r="BD61" s="212"/>
      <c r="BE61" s="212"/>
      <c r="BF61" s="212"/>
      <c r="BG61" s="212"/>
      <c r="BH61" s="212"/>
      <c r="BI61" s="212"/>
      <c r="BJ61" s="212"/>
      <c r="BK61" s="212"/>
      <c r="BL61" s="212"/>
      <c r="BM61" s="212"/>
      <c r="BN61" s="212"/>
      <c r="BO61" s="212"/>
      <c r="BP61" s="212"/>
      <c r="BQ61" s="212"/>
      <c r="BR61" s="212"/>
      <c r="BS61" s="212"/>
      <c r="BT61" s="212"/>
      <c r="BU61" s="212"/>
      <c r="BV61" s="212"/>
      <c r="BW61" s="212"/>
      <c r="BX61" s="212"/>
      <c r="BY61" s="212"/>
      <c r="BZ61" s="212"/>
      <c r="CA61" s="212"/>
      <c r="CB61" s="212"/>
      <c r="CC61" s="212"/>
      <c r="CD61" s="212"/>
      <c r="CE61" s="212"/>
      <c r="CF61" s="212"/>
      <c r="CG61" s="212"/>
      <c r="CH61" s="212"/>
      <c r="CI61" s="212"/>
      <c r="CJ61" s="212"/>
      <c r="CK61" s="212"/>
      <c r="CL61" s="212"/>
      <c r="CM61" s="212"/>
      <c r="CN61" s="212"/>
      <c r="CO61" s="212"/>
      <c r="CP61" s="212"/>
      <c r="CQ61" s="212"/>
      <c r="CR61" s="212"/>
      <c r="CS61" s="212"/>
    </row>
    <row r="62" spans="1:97" x14ac:dyDescent="0.4">
      <c r="A62" s="209">
        <v>45348</v>
      </c>
      <c r="B62" s="210" t="s">
        <v>294</v>
      </c>
      <c r="C62" s="212">
        <v>151.36000000000001</v>
      </c>
      <c r="D62" s="212">
        <v>149.36000000000001</v>
      </c>
      <c r="E62" s="212">
        <v>150.36000000000001</v>
      </c>
      <c r="F62" s="212">
        <v>164.17</v>
      </c>
      <c r="G62" s="212">
        <v>161.16999999999999</v>
      </c>
      <c r="H62" s="212">
        <v>162.66999999999999</v>
      </c>
      <c r="I62" s="212">
        <v>112.84</v>
      </c>
      <c r="J62" s="212">
        <v>109.64</v>
      </c>
      <c r="K62" s="212">
        <v>111.24000000000001</v>
      </c>
      <c r="L62" s="212">
        <v>194.4</v>
      </c>
      <c r="M62" s="212">
        <v>186.4</v>
      </c>
      <c r="N62" s="212">
        <v>190.4</v>
      </c>
      <c r="O62" s="212">
        <v>171.47</v>
      </c>
      <c r="P62" s="212">
        <v>169.67</v>
      </c>
      <c r="Q62" s="212">
        <v>170.57</v>
      </c>
      <c r="R62" s="212">
        <v>22.12</v>
      </c>
      <c r="S62" s="212">
        <v>21.52</v>
      </c>
      <c r="T62" s="212">
        <v>21.82</v>
      </c>
      <c r="U62" s="212">
        <v>14.55</v>
      </c>
      <c r="V62" s="212">
        <v>13.950000000000001</v>
      </c>
      <c r="W62" s="212">
        <v>14.25</v>
      </c>
      <c r="X62" s="212">
        <v>14.96</v>
      </c>
      <c r="Y62" s="212">
        <v>14.16</v>
      </c>
      <c r="Z62" s="212">
        <v>14.56</v>
      </c>
      <c r="AA62" s="212">
        <v>100.53</v>
      </c>
      <c r="AB62" s="212">
        <v>96.53</v>
      </c>
      <c r="AC62" s="212">
        <v>98.53</v>
      </c>
      <c r="AD62" s="212">
        <v>94.68</v>
      </c>
      <c r="AE62" s="212">
        <v>90.68</v>
      </c>
      <c r="AF62" s="212">
        <v>92.68</v>
      </c>
      <c r="AG62" s="212">
        <v>19.649999999999999</v>
      </c>
      <c r="AH62" s="212">
        <v>18.79</v>
      </c>
      <c r="AI62" s="212">
        <v>19.22</v>
      </c>
      <c r="AJ62" s="212"/>
      <c r="AK62" s="212"/>
      <c r="AL62" s="212"/>
      <c r="AM62" s="212">
        <v>112.66</v>
      </c>
      <c r="AN62" s="212">
        <v>111</v>
      </c>
      <c r="AO62" s="212">
        <v>111.83</v>
      </c>
      <c r="AP62" s="212">
        <v>40.950000000000003</v>
      </c>
      <c r="AQ62" s="212">
        <v>39.35</v>
      </c>
      <c r="AR62" s="212">
        <v>40.150000000000006</v>
      </c>
      <c r="AS62" s="212">
        <v>41.55</v>
      </c>
      <c r="AT62" s="212">
        <v>40.19</v>
      </c>
      <c r="AU62" s="212">
        <v>40.869999999999997</v>
      </c>
      <c r="AV62" s="212">
        <v>21.16</v>
      </c>
      <c r="AW62" s="212">
        <v>20.56</v>
      </c>
      <c r="AX62" s="212">
        <v>20.86</v>
      </c>
      <c r="AY62" s="212">
        <v>4.25</v>
      </c>
      <c r="AZ62" s="212">
        <v>4.09</v>
      </c>
      <c r="BA62" s="212">
        <v>4.17</v>
      </c>
      <c r="BB62" s="212">
        <v>1.97</v>
      </c>
      <c r="BC62" s="212">
        <v>1.67</v>
      </c>
      <c r="BD62" s="212">
        <v>1.8199999999999998</v>
      </c>
      <c r="BE62" s="212">
        <v>0.7</v>
      </c>
      <c r="BF62" s="212">
        <v>0.39999999999999997</v>
      </c>
      <c r="BG62" s="212">
        <v>0.54999999999999993</v>
      </c>
      <c r="BH62" s="212">
        <v>497.45</v>
      </c>
      <c r="BI62" s="212">
        <v>481.45</v>
      </c>
      <c r="BJ62" s="212">
        <v>489.45</v>
      </c>
      <c r="BK62" s="212">
        <v>41.98</v>
      </c>
      <c r="BL62" s="212">
        <v>40.619999999999997</v>
      </c>
      <c r="BM62" s="212">
        <v>41.3</v>
      </c>
      <c r="BN62" s="212">
        <v>1.0900000000000001</v>
      </c>
      <c r="BO62" s="212">
        <v>0.85000000000000009</v>
      </c>
      <c r="BP62" s="212">
        <v>0.97000000000000008</v>
      </c>
      <c r="BQ62" s="212">
        <v>9.7799999999999994</v>
      </c>
      <c r="BR62" s="212">
        <v>7.7799999999999994</v>
      </c>
      <c r="BS62" s="212">
        <v>8.7799999999999994</v>
      </c>
      <c r="BT62" s="212">
        <v>11.51</v>
      </c>
      <c r="BU62" s="212">
        <v>11.11</v>
      </c>
      <c r="BV62" s="212">
        <v>11.309999999999999</v>
      </c>
      <c r="BW62" s="212">
        <v>2.85</v>
      </c>
      <c r="BX62" s="212">
        <v>2.5700000000000003</v>
      </c>
      <c r="BY62" s="212">
        <v>2.71</v>
      </c>
      <c r="BZ62" s="212">
        <v>9.2799999999999994</v>
      </c>
      <c r="CA62" s="212">
        <v>6.2799999999999994</v>
      </c>
      <c r="CB62" s="212">
        <v>7.7799999999999994</v>
      </c>
      <c r="CC62" s="212">
        <v>6.54</v>
      </c>
      <c r="CD62" s="212">
        <v>6.3</v>
      </c>
      <c r="CE62" s="212">
        <v>6.42</v>
      </c>
      <c r="CF62" s="212">
        <v>1.86</v>
      </c>
      <c r="CG62" s="212">
        <v>1.36</v>
      </c>
      <c r="CH62" s="212">
        <v>1.61</v>
      </c>
      <c r="CI62" s="212">
        <v>0.44</v>
      </c>
      <c r="CJ62" s="212">
        <v>0.4</v>
      </c>
      <c r="CK62" s="212">
        <v>0.42000000000000004</v>
      </c>
      <c r="CL62" s="212">
        <v>39</v>
      </c>
      <c r="CM62" s="212">
        <v>36.6</v>
      </c>
      <c r="CN62" s="212">
        <v>37.799999999999997</v>
      </c>
      <c r="CO62" s="212">
        <v>7.34</v>
      </c>
      <c r="CP62" s="212">
        <v>2.34</v>
      </c>
      <c r="CQ62" s="212">
        <v>4.84</v>
      </c>
      <c r="CR62" s="212"/>
      <c r="CS62" s="212"/>
    </row>
    <row r="63" spans="1:97" x14ac:dyDescent="0.4">
      <c r="A63" s="209">
        <v>45349</v>
      </c>
      <c r="B63" s="210" t="s">
        <v>295</v>
      </c>
      <c r="C63" s="212">
        <v>151.66</v>
      </c>
      <c r="D63" s="212">
        <v>149.66</v>
      </c>
      <c r="E63" s="212">
        <v>150.66</v>
      </c>
      <c r="F63" s="212">
        <v>164.91</v>
      </c>
      <c r="G63" s="212">
        <v>161.91</v>
      </c>
      <c r="H63" s="212">
        <v>163.41</v>
      </c>
      <c r="I63" s="212">
        <v>113.13</v>
      </c>
      <c r="J63" s="212">
        <v>109.92999999999999</v>
      </c>
      <c r="K63" s="212">
        <v>111.53</v>
      </c>
      <c r="L63" s="212">
        <v>195.02</v>
      </c>
      <c r="M63" s="212">
        <v>187.02</v>
      </c>
      <c r="N63" s="212">
        <v>191.02</v>
      </c>
      <c r="O63" s="212">
        <v>172.01</v>
      </c>
      <c r="P63" s="212">
        <v>170.20999999999998</v>
      </c>
      <c r="Q63" s="212">
        <v>171.10999999999999</v>
      </c>
      <c r="R63" s="212">
        <v>22.22</v>
      </c>
      <c r="S63" s="212">
        <v>21.619999999999997</v>
      </c>
      <c r="T63" s="212">
        <v>21.919999999999998</v>
      </c>
      <c r="U63" s="212">
        <v>14.63</v>
      </c>
      <c r="V63" s="212">
        <v>14.030000000000001</v>
      </c>
      <c r="W63" s="212">
        <v>14.330000000000002</v>
      </c>
      <c r="X63" s="212">
        <v>15.05</v>
      </c>
      <c r="Y63" s="212">
        <v>14.25</v>
      </c>
      <c r="Z63" s="212">
        <v>14.65</v>
      </c>
      <c r="AA63" s="212">
        <v>100.4</v>
      </c>
      <c r="AB63" s="212">
        <v>96.4</v>
      </c>
      <c r="AC63" s="212">
        <v>98.4</v>
      </c>
      <c r="AD63" s="212">
        <v>94.76</v>
      </c>
      <c r="AE63" s="212">
        <v>90.76</v>
      </c>
      <c r="AF63" s="212">
        <v>92.76</v>
      </c>
      <c r="AG63" s="212">
        <v>19.690000000000001</v>
      </c>
      <c r="AH63" s="212">
        <v>18.830000000000002</v>
      </c>
      <c r="AI63" s="212">
        <v>19.260000000000002</v>
      </c>
      <c r="AJ63" s="212"/>
      <c r="AK63" s="212"/>
      <c r="AL63" s="212"/>
      <c r="AM63" s="212">
        <v>112.87</v>
      </c>
      <c r="AN63" s="212">
        <v>111.21000000000001</v>
      </c>
      <c r="AO63" s="212">
        <v>112.04</v>
      </c>
      <c r="AP63" s="212">
        <v>41.03</v>
      </c>
      <c r="AQ63" s="212">
        <v>39.43</v>
      </c>
      <c r="AR63" s="212">
        <v>40.230000000000004</v>
      </c>
      <c r="AS63" s="212">
        <v>41.63</v>
      </c>
      <c r="AT63" s="212">
        <v>40.270000000000003</v>
      </c>
      <c r="AU63" s="212">
        <v>40.950000000000003</v>
      </c>
      <c r="AV63" s="212">
        <v>21.19</v>
      </c>
      <c r="AW63" s="212">
        <v>20.59</v>
      </c>
      <c r="AX63" s="212">
        <v>20.89</v>
      </c>
      <c r="AY63" s="212">
        <v>4.28</v>
      </c>
      <c r="AZ63" s="212">
        <v>4.12</v>
      </c>
      <c r="BA63" s="212">
        <v>4.2</v>
      </c>
      <c r="BB63" s="212">
        <v>1.98</v>
      </c>
      <c r="BC63" s="212">
        <v>1.68</v>
      </c>
      <c r="BD63" s="212">
        <v>1.83</v>
      </c>
      <c r="BE63" s="212">
        <v>0.69</v>
      </c>
      <c r="BF63" s="212">
        <v>0.38999999999999996</v>
      </c>
      <c r="BG63" s="212">
        <v>0.53999999999999992</v>
      </c>
      <c r="BH63" s="212">
        <v>498.43</v>
      </c>
      <c r="BI63" s="212">
        <v>482.43</v>
      </c>
      <c r="BJ63" s="212">
        <v>490.43</v>
      </c>
      <c r="BK63" s="212">
        <v>42.07</v>
      </c>
      <c r="BL63" s="212">
        <v>40.71</v>
      </c>
      <c r="BM63" s="212">
        <v>41.39</v>
      </c>
      <c r="BN63" s="212">
        <v>1.0900000000000001</v>
      </c>
      <c r="BO63" s="212">
        <v>0.85000000000000009</v>
      </c>
      <c r="BP63" s="212">
        <v>0.97000000000000008</v>
      </c>
      <c r="BQ63" s="212">
        <v>9.81</v>
      </c>
      <c r="BR63" s="212">
        <v>7.8100000000000005</v>
      </c>
      <c r="BS63" s="212">
        <v>8.81</v>
      </c>
      <c r="BT63" s="212">
        <v>11.52</v>
      </c>
      <c r="BU63" s="212">
        <v>11.12</v>
      </c>
      <c r="BV63" s="212">
        <v>11.32</v>
      </c>
      <c r="BW63" s="212">
        <v>2.85</v>
      </c>
      <c r="BX63" s="212">
        <v>2.5700000000000003</v>
      </c>
      <c r="BY63" s="212">
        <v>2.71</v>
      </c>
      <c r="BZ63" s="212">
        <v>9.3000000000000007</v>
      </c>
      <c r="CA63" s="212">
        <v>6.3000000000000007</v>
      </c>
      <c r="CB63" s="212">
        <v>7.8000000000000007</v>
      </c>
      <c r="CC63" s="212">
        <v>6.57</v>
      </c>
      <c r="CD63" s="212">
        <v>6.33</v>
      </c>
      <c r="CE63" s="212">
        <v>6.45</v>
      </c>
      <c r="CF63" s="212">
        <v>1.89</v>
      </c>
      <c r="CG63" s="212">
        <v>1.39</v>
      </c>
      <c r="CH63" s="212">
        <v>1.64</v>
      </c>
      <c r="CI63" s="212">
        <v>0.44</v>
      </c>
      <c r="CJ63" s="212">
        <v>0.4</v>
      </c>
      <c r="CK63" s="212">
        <v>0.42000000000000004</v>
      </c>
      <c r="CL63" s="212">
        <v>39.15</v>
      </c>
      <c r="CM63" s="212">
        <v>36.75</v>
      </c>
      <c r="CN63" s="212">
        <v>37.950000000000003</v>
      </c>
      <c r="CO63" s="212">
        <v>7.34</v>
      </c>
      <c r="CP63" s="212">
        <v>2.34</v>
      </c>
      <c r="CQ63" s="212">
        <v>4.84</v>
      </c>
      <c r="CR63" s="212"/>
      <c r="CS63" s="212"/>
    </row>
    <row r="64" spans="1:97" x14ac:dyDescent="0.4">
      <c r="A64" s="209">
        <v>45350</v>
      </c>
      <c r="B64" s="210" t="s">
        <v>296</v>
      </c>
      <c r="C64" s="212">
        <v>151.5</v>
      </c>
      <c r="D64" s="212">
        <v>149.5</v>
      </c>
      <c r="E64" s="212">
        <v>150.5</v>
      </c>
      <c r="F64" s="212">
        <v>164.7</v>
      </c>
      <c r="G64" s="212">
        <v>161.69999999999999</v>
      </c>
      <c r="H64" s="212">
        <v>163.19999999999999</v>
      </c>
      <c r="I64" s="212">
        <v>112.85</v>
      </c>
      <c r="J64" s="212">
        <v>109.64999999999999</v>
      </c>
      <c r="K64" s="212">
        <v>111.25</v>
      </c>
      <c r="L64" s="212">
        <v>194.85</v>
      </c>
      <c r="M64" s="212">
        <v>186.85</v>
      </c>
      <c r="N64" s="212">
        <v>190.85</v>
      </c>
      <c r="O64" s="212">
        <v>172.1</v>
      </c>
      <c r="P64" s="212">
        <v>170.29999999999998</v>
      </c>
      <c r="Q64" s="212">
        <v>171.2</v>
      </c>
      <c r="R64" s="212">
        <v>22.2</v>
      </c>
      <c r="S64" s="212">
        <v>21.599999999999998</v>
      </c>
      <c r="T64" s="212">
        <v>21.9</v>
      </c>
      <c r="U64" s="212">
        <v>14.6</v>
      </c>
      <c r="V64" s="212">
        <v>14</v>
      </c>
      <c r="W64" s="212">
        <v>14.3</v>
      </c>
      <c r="X64" s="212">
        <v>15.01</v>
      </c>
      <c r="Y64" s="212">
        <v>14.209999999999999</v>
      </c>
      <c r="Z64" s="212">
        <v>14.61</v>
      </c>
      <c r="AA64" s="212">
        <v>100.55</v>
      </c>
      <c r="AB64" s="212">
        <v>96.55</v>
      </c>
      <c r="AC64" s="212">
        <v>98.55</v>
      </c>
      <c r="AD64" s="212">
        <v>94.95</v>
      </c>
      <c r="AE64" s="212">
        <v>90.95</v>
      </c>
      <c r="AF64" s="212">
        <v>92.95</v>
      </c>
      <c r="AG64" s="212">
        <v>19.66</v>
      </c>
      <c r="AH64" s="212">
        <v>18.8</v>
      </c>
      <c r="AI64" s="212">
        <v>19.23</v>
      </c>
      <c r="AJ64" s="212"/>
      <c r="AK64" s="212"/>
      <c r="AL64" s="212"/>
      <c r="AM64" s="212">
        <v>112.86</v>
      </c>
      <c r="AN64" s="212">
        <v>111.2</v>
      </c>
      <c r="AO64" s="212">
        <v>112.03</v>
      </c>
      <c r="AP64" s="212">
        <v>40.869999999999997</v>
      </c>
      <c r="AQ64" s="212">
        <v>39.269999999999996</v>
      </c>
      <c r="AR64" s="212">
        <v>40.069999999999993</v>
      </c>
      <c r="AS64" s="212">
        <v>41.72</v>
      </c>
      <c r="AT64" s="212">
        <v>40.36</v>
      </c>
      <c r="AU64" s="212">
        <v>41.04</v>
      </c>
      <c r="AV64" s="212">
        <v>21.16</v>
      </c>
      <c r="AW64" s="212">
        <v>20.56</v>
      </c>
      <c r="AX64" s="212">
        <v>20.86</v>
      </c>
      <c r="AY64" s="212">
        <v>4.28</v>
      </c>
      <c r="AZ64" s="212">
        <v>4.12</v>
      </c>
      <c r="BA64" s="212">
        <v>4.2</v>
      </c>
      <c r="BB64" s="212">
        <v>1.98</v>
      </c>
      <c r="BC64" s="212">
        <v>1.68</v>
      </c>
      <c r="BD64" s="212">
        <v>1.83</v>
      </c>
      <c r="BE64" s="212">
        <v>0.69</v>
      </c>
      <c r="BF64" s="212">
        <v>0.38999999999999996</v>
      </c>
      <c r="BG64" s="212">
        <v>0.53999999999999992</v>
      </c>
      <c r="BH64" s="212">
        <v>498.07</v>
      </c>
      <c r="BI64" s="212">
        <v>482.07</v>
      </c>
      <c r="BJ64" s="212">
        <v>490.07</v>
      </c>
      <c r="BK64" s="212">
        <v>42.04</v>
      </c>
      <c r="BL64" s="212">
        <v>40.68</v>
      </c>
      <c r="BM64" s="212">
        <v>41.36</v>
      </c>
      <c r="BN64" s="212">
        <v>1.0900000000000001</v>
      </c>
      <c r="BO64" s="212">
        <v>0.85000000000000009</v>
      </c>
      <c r="BP64" s="212">
        <v>0.97000000000000008</v>
      </c>
      <c r="BQ64" s="212">
        <v>9.82</v>
      </c>
      <c r="BR64" s="212">
        <v>7.82</v>
      </c>
      <c r="BS64" s="212">
        <v>8.82</v>
      </c>
      <c r="BT64" s="212">
        <v>11.52</v>
      </c>
      <c r="BU64" s="212">
        <v>11.12</v>
      </c>
      <c r="BV64" s="212">
        <v>11.32</v>
      </c>
      <c r="BW64" s="212">
        <v>2.84</v>
      </c>
      <c r="BX64" s="212">
        <v>2.5599999999999996</v>
      </c>
      <c r="BY64" s="212">
        <v>2.6999999999999997</v>
      </c>
      <c r="BZ64" s="212">
        <v>9.3800000000000008</v>
      </c>
      <c r="CA64" s="212">
        <v>6.3800000000000008</v>
      </c>
      <c r="CB64" s="212">
        <v>7.8800000000000008</v>
      </c>
      <c r="CC64" s="212">
        <v>6.57</v>
      </c>
      <c r="CD64" s="212">
        <v>6.33</v>
      </c>
      <c r="CE64" s="212">
        <v>6.45</v>
      </c>
      <c r="CF64" s="212">
        <v>1.89</v>
      </c>
      <c r="CG64" s="212">
        <v>1.39</v>
      </c>
      <c r="CH64" s="212">
        <v>1.64</v>
      </c>
      <c r="CI64" s="212">
        <v>0.44</v>
      </c>
      <c r="CJ64" s="212">
        <v>0.4</v>
      </c>
      <c r="CK64" s="212">
        <v>0.42000000000000004</v>
      </c>
      <c r="CL64" s="212">
        <v>39.130000000000003</v>
      </c>
      <c r="CM64" s="212">
        <v>36.730000000000004</v>
      </c>
      <c r="CN64" s="212">
        <v>37.930000000000007</v>
      </c>
      <c r="CO64" s="212">
        <v>7.34</v>
      </c>
      <c r="CP64" s="212">
        <v>2.34</v>
      </c>
      <c r="CQ64" s="212">
        <v>4.84</v>
      </c>
      <c r="CR64" s="212"/>
      <c r="CS64" s="212"/>
    </row>
    <row r="65" spans="1:97" x14ac:dyDescent="0.4">
      <c r="A65" s="209">
        <v>45351</v>
      </c>
      <c r="B65" s="210" t="s">
        <v>297</v>
      </c>
      <c r="C65" s="212">
        <v>151.66999999999999</v>
      </c>
      <c r="D65" s="212">
        <v>149.66999999999999</v>
      </c>
      <c r="E65" s="212">
        <v>150.66999999999999</v>
      </c>
      <c r="F65" s="212">
        <v>164.75</v>
      </c>
      <c r="G65" s="212">
        <v>161.75</v>
      </c>
      <c r="H65" s="212">
        <v>163.25</v>
      </c>
      <c r="I65" s="212">
        <v>112.49</v>
      </c>
      <c r="J65" s="212">
        <v>109.28999999999999</v>
      </c>
      <c r="K65" s="212">
        <v>110.88999999999999</v>
      </c>
      <c r="L65" s="212">
        <v>194.75</v>
      </c>
      <c r="M65" s="212">
        <v>186.75</v>
      </c>
      <c r="N65" s="212">
        <v>190.75</v>
      </c>
      <c r="O65" s="212">
        <v>172.37</v>
      </c>
      <c r="P65" s="212">
        <v>170.57</v>
      </c>
      <c r="Q65" s="212">
        <v>171.47</v>
      </c>
      <c r="R65" s="212">
        <v>22.2</v>
      </c>
      <c r="S65" s="212">
        <v>21.599999999999998</v>
      </c>
      <c r="T65" s="212">
        <v>21.9</v>
      </c>
      <c r="U65" s="212">
        <v>14.52</v>
      </c>
      <c r="V65" s="212">
        <v>13.92</v>
      </c>
      <c r="W65" s="212">
        <v>14.219999999999999</v>
      </c>
      <c r="X65" s="212">
        <v>14.98</v>
      </c>
      <c r="Y65" s="212">
        <v>14.18</v>
      </c>
      <c r="Z65" s="212">
        <v>14.58</v>
      </c>
      <c r="AA65" s="212">
        <v>99.88</v>
      </c>
      <c r="AB65" s="212">
        <v>95.88</v>
      </c>
      <c r="AC65" s="212">
        <v>97.88</v>
      </c>
      <c r="AD65" s="212">
        <v>93.76</v>
      </c>
      <c r="AE65" s="212">
        <v>89.76</v>
      </c>
      <c r="AF65" s="212">
        <v>91.76</v>
      </c>
      <c r="AG65" s="212">
        <v>19.68</v>
      </c>
      <c r="AH65" s="212">
        <v>18.82</v>
      </c>
      <c r="AI65" s="212">
        <v>19.25</v>
      </c>
      <c r="AJ65" s="212"/>
      <c r="AK65" s="212"/>
      <c r="AL65" s="212"/>
      <c r="AM65" s="212">
        <v>112.79</v>
      </c>
      <c r="AN65" s="212">
        <v>111.13000000000001</v>
      </c>
      <c r="AO65" s="212">
        <v>111.96000000000001</v>
      </c>
      <c r="AP65" s="212">
        <v>41.04</v>
      </c>
      <c r="AQ65" s="212">
        <v>39.44</v>
      </c>
      <c r="AR65" s="212">
        <v>40.239999999999995</v>
      </c>
      <c r="AS65" s="212">
        <v>41.77</v>
      </c>
      <c r="AT65" s="212">
        <v>40.410000000000004</v>
      </c>
      <c r="AU65" s="212">
        <v>41.09</v>
      </c>
      <c r="AV65" s="212">
        <v>21.18</v>
      </c>
      <c r="AW65" s="212">
        <v>20.58</v>
      </c>
      <c r="AX65" s="212">
        <v>20.88</v>
      </c>
      <c r="AY65" s="212">
        <v>4.2699999999999996</v>
      </c>
      <c r="AZ65" s="212">
        <v>4.1099999999999994</v>
      </c>
      <c r="BA65" s="212">
        <v>4.1899999999999995</v>
      </c>
      <c r="BB65" s="212">
        <v>1.98</v>
      </c>
      <c r="BC65" s="212">
        <v>1.68</v>
      </c>
      <c r="BD65" s="212">
        <v>1.83</v>
      </c>
      <c r="BE65" s="212">
        <v>0.69</v>
      </c>
      <c r="BF65" s="212">
        <v>0.38999999999999996</v>
      </c>
      <c r="BG65" s="212">
        <v>0.53999999999999992</v>
      </c>
      <c r="BH65" s="212">
        <v>498.62</v>
      </c>
      <c r="BI65" s="212">
        <v>482.62</v>
      </c>
      <c r="BJ65" s="212">
        <v>490.62</v>
      </c>
      <c r="BK65" s="212">
        <v>42.07</v>
      </c>
      <c r="BL65" s="212">
        <v>40.71</v>
      </c>
      <c r="BM65" s="212">
        <v>41.39</v>
      </c>
      <c r="BN65" s="212">
        <v>1.08</v>
      </c>
      <c r="BO65" s="212">
        <v>0.84000000000000008</v>
      </c>
      <c r="BP65" s="212">
        <v>0.96000000000000008</v>
      </c>
      <c r="BQ65" s="212">
        <v>9.81</v>
      </c>
      <c r="BR65" s="212">
        <v>7.8100000000000005</v>
      </c>
      <c r="BS65" s="212">
        <v>8.81</v>
      </c>
      <c r="BT65" s="212">
        <v>11.5</v>
      </c>
      <c r="BU65" s="212">
        <v>11.1</v>
      </c>
      <c r="BV65" s="212">
        <v>11.3</v>
      </c>
      <c r="BW65" s="212">
        <v>2.84</v>
      </c>
      <c r="BX65" s="212">
        <v>2.5599999999999996</v>
      </c>
      <c r="BY65" s="212">
        <v>2.6999999999999997</v>
      </c>
      <c r="BZ65" s="212">
        <v>9.31</v>
      </c>
      <c r="CA65" s="212">
        <v>6.3100000000000005</v>
      </c>
      <c r="CB65" s="212">
        <v>7.8100000000000005</v>
      </c>
      <c r="CC65" s="212">
        <v>6.58</v>
      </c>
      <c r="CD65" s="212">
        <v>6.34</v>
      </c>
      <c r="CE65" s="212">
        <v>6.46</v>
      </c>
      <c r="CF65" s="212">
        <v>1.9</v>
      </c>
      <c r="CG65" s="212">
        <v>1.4</v>
      </c>
      <c r="CH65" s="212">
        <v>1.65</v>
      </c>
      <c r="CI65" s="212">
        <v>0.44</v>
      </c>
      <c r="CJ65" s="212">
        <v>0.4</v>
      </c>
      <c r="CK65" s="212">
        <v>0.42000000000000004</v>
      </c>
      <c r="CL65" s="212">
        <v>38.96</v>
      </c>
      <c r="CM65" s="212">
        <v>36.56</v>
      </c>
      <c r="CN65" s="212">
        <v>37.760000000000005</v>
      </c>
      <c r="CO65" s="212">
        <v>7.33</v>
      </c>
      <c r="CP65" s="212">
        <v>2.33</v>
      </c>
      <c r="CQ65" s="212">
        <v>4.83</v>
      </c>
      <c r="CR65" s="212"/>
      <c r="CS65" s="212"/>
    </row>
    <row r="66" spans="1:97" x14ac:dyDescent="0.4">
      <c r="A66" s="209">
        <v>45352</v>
      </c>
      <c r="B66" s="210" t="s">
        <v>298</v>
      </c>
      <c r="C66" s="212">
        <v>151.31</v>
      </c>
      <c r="D66" s="212">
        <v>149.31</v>
      </c>
      <c r="E66" s="212">
        <v>150.31</v>
      </c>
      <c r="F66" s="212">
        <v>163.97</v>
      </c>
      <c r="G66" s="212">
        <v>160.97</v>
      </c>
      <c r="H66" s="212">
        <v>162.47</v>
      </c>
      <c r="I66" s="212">
        <v>112.33</v>
      </c>
      <c r="J66" s="212">
        <v>109.13</v>
      </c>
      <c r="K66" s="212">
        <v>110.72999999999999</v>
      </c>
      <c r="L66" s="212">
        <v>193.78</v>
      </c>
      <c r="M66" s="212">
        <v>185.78</v>
      </c>
      <c r="N66" s="212">
        <v>189.78</v>
      </c>
      <c r="O66" s="212">
        <v>170.88</v>
      </c>
      <c r="P66" s="212">
        <v>169.07999999999998</v>
      </c>
      <c r="Q66" s="212">
        <v>169.98</v>
      </c>
      <c r="R66" s="212">
        <v>22.1</v>
      </c>
      <c r="S66" s="212">
        <v>21.5</v>
      </c>
      <c r="T66" s="212">
        <v>21.8</v>
      </c>
      <c r="U66" s="212">
        <v>14.46</v>
      </c>
      <c r="V66" s="212">
        <v>13.860000000000001</v>
      </c>
      <c r="W66" s="212">
        <v>14.16</v>
      </c>
      <c r="X66" s="212">
        <v>14.89</v>
      </c>
      <c r="Y66" s="212">
        <v>14.09</v>
      </c>
      <c r="Z66" s="212">
        <v>14.49</v>
      </c>
      <c r="AA66" s="212">
        <v>99.78</v>
      </c>
      <c r="AB66" s="212">
        <v>95.78</v>
      </c>
      <c r="AC66" s="212">
        <v>97.78</v>
      </c>
      <c r="AD66" s="212">
        <v>93.52</v>
      </c>
      <c r="AE66" s="212">
        <v>89.52</v>
      </c>
      <c r="AF66" s="212">
        <v>91.52</v>
      </c>
      <c r="AG66" s="212">
        <v>19.63</v>
      </c>
      <c r="AH66" s="212">
        <v>18.77</v>
      </c>
      <c r="AI66" s="212">
        <v>19.2</v>
      </c>
      <c r="AJ66" s="212"/>
      <c r="AK66" s="212"/>
      <c r="AL66" s="212"/>
      <c r="AM66" s="212">
        <v>112.53</v>
      </c>
      <c r="AN66" s="212">
        <v>110.87</v>
      </c>
      <c r="AO66" s="212">
        <v>111.7</v>
      </c>
      <c r="AP66" s="212">
        <v>40.950000000000003</v>
      </c>
      <c r="AQ66" s="212">
        <v>39.35</v>
      </c>
      <c r="AR66" s="212">
        <v>40.150000000000006</v>
      </c>
      <c r="AS66" s="212">
        <v>41.67</v>
      </c>
      <c r="AT66" s="212">
        <v>40.31</v>
      </c>
      <c r="AU66" s="212">
        <v>40.99</v>
      </c>
      <c r="AV66" s="212">
        <v>21.15</v>
      </c>
      <c r="AW66" s="212">
        <v>20.549999999999997</v>
      </c>
      <c r="AX66" s="212">
        <v>20.849999999999998</v>
      </c>
      <c r="AY66" s="212">
        <v>4.2699999999999996</v>
      </c>
      <c r="AZ66" s="212">
        <v>4.1099999999999994</v>
      </c>
      <c r="BA66" s="212">
        <v>4.1899999999999995</v>
      </c>
      <c r="BB66" s="212">
        <v>1.97</v>
      </c>
      <c r="BC66" s="212">
        <v>1.67</v>
      </c>
      <c r="BD66" s="212">
        <v>1.8199999999999998</v>
      </c>
      <c r="BE66" s="212">
        <v>0.69</v>
      </c>
      <c r="BF66" s="212">
        <v>0.38999999999999996</v>
      </c>
      <c r="BG66" s="212">
        <v>0.53999999999999992</v>
      </c>
      <c r="BH66" s="212">
        <v>495.39</v>
      </c>
      <c r="BI66" s="212">
        <v>479.39</v>
      </c>
      <c r="BJ66" s="212">
        <v>487.39</v>
      </c>
      <c r="BK66" s="212">
        <v>41.97</v>
      </c>
      <c r="BL66" s="212">
        <v>40.61</v>
      </c>
      <c r="BM66" s="212">
        <v>41.29</v>
      </c>
      <c r="BN66" s="212">
        <v>1.08</v>
      </c>
      <c r="BO66" s="212">
        <v>0.84000000000000008</v>
      </c>
      <c r="BP66" s="212">
        <v>0.96000000000000008</v>
      </c>
      <c r="BQ66" s="212">
        <v>9.82</v>
      </c>
      <c r="BR66" s="212">
        <v>7.82</v>
      </c>
      <c r="BS66" s="212">
        <v>8.82</v>
      </c>
      <c r="BT66" s="212">
        <v>11.47</v>
      </c>
      <c r="BU66" s="212">
        <v>11.07</v>
      </c>
      <c r="BV66" s="212">
        <v>11.27</v>
      </c>
      <c r="BW66" s="212">
        <v>2.84</v>
      </c>
      <c r="BX66" s="212">
        <v>2.5599999999999996</v>
      </c>
      <c r="BY66" s="212">
        <v>2.6999999999999997</v>
      </c>
      <c r="BZ66" s="212">
        <v>9.35</v>
      </c>
      <c r="CA66" s="212">
        <v>6.35</v>
      </c>
      <c r="CB66" s="212">
        <v>7.85</v>
      </c>
      <c r="CC66" s="212">
        <v>6.54</v>
      </c>
      <c r="CD66" s="212">
        <v>6.3</v>
      </c>
      <c r="CE66" s="212">
        <v>6.42</v>
      </c>
      <c r="CF66" s="212">
        <v>1.9</v>
      </c>
      <c r="CG66" s="212">
        <v>1.4</v>
      </c>
      <c r="CH66" s="212">
        <v>1.65</v>
      </c>
      <c r="CI66" s="212">
        <v>0.43</v>
      </c>
      <c r="CJ66" s="212">
        <v>0.39</v>
      </c>
      <c r="CK66" s="212">
        <v>0.41000000000000003</v>
      </c>
      <c r="CL66" s="212">
        <v>38.869999999999997</v>
      </c>
      <c r="CM66" s="212">
        <v>36.47</v>
      </c>
      <c r="CN66" s="212">
        <v>37.67</v>
      </c>
      <c r="CO66" s="212">
        <v>7.32</v>
      </c>
      <c r="CP66" s="212">
        <v>2.3200000000000003</v>
      </c>
      <c r="CQ66" s="212">
        <v>4.82</v>
      </c>
      <c r="CR66" s="212"/>
      <c r="CS66" s="212"/>
    </row>
    <row r="67" spans="1:97" x14ac:dyDescent="0.4">
      <c r="A67" s="209">
        <v>45353</v>
      </c>
      <c r="B67" s="210" t="s">
        <v>299</v>
      </c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D67" s="212"/>
      <c r="BE67" s="212"/>
      <c r="BF67" s="212"/>
      <c r="BG67" s="212"/>
      <c r="BH67" s="212"/>
      <c r="BI67" s="212"/>
      <c r="BJ67" s="212"/>
      <c r="BK67" s="212"/>
      <c r="BL67" s="212"/>
      <c r="BM67" s="212"/>
      <c r="BN67" s="212"/>
      <c r="BO67" s="212"/>
      <c r="BP67" s="212"/>
      <c r="BQ67" s="212"/>
      <c r="BR67" s="212"/>
      <c r="BS67" s="212"/>
      <c r="BT67" s="212"/>
      <c r="BU67" s="212"/>
      <c r="BV67" s="212"/>
      <c r="BW67" s="212"/>
      <c r="BX67" s="212"/>
      <c r="BY67" s="212"/>
      <c r="BZ67" s="212"/>
      <c r="CA67" s="212"/>
      <c r="CB67" s="212"/>
      <c r="CC67" s="212"/>
      <c r="CD67" s="212"/>
      <c r="CE67" s="212"/>
      <c r="CF67" s="212"/>
      <c r="CG67" s="212"/>
      <c r="CH67" s="212"/>
      <c r="CI67" s="212"/>
      <c r="CJ67" s="212"/>
      <c r="CK67" s="212"/>
      <c r="CL67" s="212"/>
      <c r="CM67" s="212"/>
      <c r="CN67" s="212"/>
      <c r="CO67" s="212"/>
      <c r="CP67" s="212"/>
      <c r="CQ67" s="212"/>
      <c r="CR67" s="212"/>
      <c r="CS67" s="212"/>
    </row>
    <row r="68" spans="1:97" x14ac:dyDescent="0.4">
      <c r="A68" s="209">
        <v>45354</v>
      </c>
      <c r="B68" s="210" t="s">
        <v>300</v>
      </c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2"/>
      <c r="O68" s="212"/>
      <c r="P68" s="212"/>
      <c r="Q68" s="212"/>
      <c r="R68" s="212"/>
      <c r="S68" s="212"/>
      <c r="T68" s="212"/>
      <c r="U68" s="212"/>
      <c r="V68" s="212"/>
      <c r="W68" s="212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  <c r="AP68" s="212"/>
      <c r="AQ68" s="212"/>
      <c r="AR68" s="212"/>
      <c r="AS68" s="212"/>
      <c r="AT68" s="212"/>
      <c r="AU68" s="212"/>
      <c r="AV68" s="212"/>
      <c r="AW68" s="212"/>
      <c r="AX68" s="212"/>
      <c r="AY68" s="212"/>
      <c r="AZ68" s="212"/>
      <c r="BA68" s="212"/>
      <c r="BB68" s="212"/>
      <c r="BC68" s="212"/>
      <c r="BD68" s="212"/>
      <c r="BE68" s="212"/>
      <c r="BF68" s="212"/>
      <c r="BG68" s="212"/>
      <c r="BH68" s="212"/>
      <c r="BI68" s="212"/>
      <c r="BJ68" s="212"/>
      <c r="BK68" s="212"/>
      <c r="BL68" s="212"/>
      <c r="BM68" s="212"/>
      <c r="BN68" s="212"/>
      <c r="BO68" s="212"/>
      <c r="BP68" s="212"/>
      <c r="BQ68" s="212"/>
      <c r="BR68" s="212"/>
      <c r="BS68" s="212"/>
      <c r="BT68" s="212"/>
      <c r="BU68" s="212"/>
      <c r="BV68" s="212"/>
      <c r="BW68" s="212"/>
      <c r="BX68" s="212"/>
      <c r="BY68" s="212"/>
      <c r="BZ68" s="212"/>
      <c r="CA68" s="212"/>
      <c r="CB68" s="212"/>
      <c r="CC68" s="212"/>
      <c r="CD68" s="212"/>
      <c r="CE68" s="212"/>
      <c r="CF68" s="212"/>
      <c r="CG68" s="212"/>
      <c r="CH68" s="212"/>
      <c r="CI68" s="212"/>
      <c r="CJ68" s="212"/>
      <c r="CK68" s="212"/>
      <c r="CL68" s="212"/>
      <c r="CM68" s="212"/>
      <c r="CN68" s="212"/>
      <c r="CO68" s="212"/>
      <c r="CP68" s="212"/>
      <c r="CQ68" s="212"/>
      <c r="CR68" s="212"/>
      <c r="CS68" s="212"/>
    </row>
    <row r="69" spans="1:97" x14ac:dyDescent="0.4">
      <c r="A69" s="209">
        <v>45355</v>
      </c>
      <c r="B69" s="210" t="s">
        <v>294</v>
      </c>
      <c r="C69" s="212">
        <v>151.08000000000001</v>
      </c>
      <c r="D69" s="212">
        <v>149.08000000000001</v>
      </c>
      <c r="E69" s="212">
        <v>150.08000000000001</v>
      </c>
      <c r="F69" s="212">
        <v>164.31</v>
      </c>
      <c r="G69" s="212">
        <v>161.31</v>
      </c>
      <c r="H69" s="212">
        <v>162.81</v>
      </c>
      <c r="I69" s="212">
        <v>112.38</v>
      </c>
      <c r="J69" s="212">
        <v>109.17999999999999</v>
      </c>
      <c r="K69" s="212">
        <v>110.78</v>
      </c>
      <c r="L69" s="212">
        <v>194.11</v>
      </c>
      <c r="M69" s="212">
        <v>186.11</v>
      </c>
      <c r="N69" s="212">
        <v>190.11</v>
      </c>
      <c r="O69" s="212">
        <v>170.9</v>
      </c>
      <c r="P69" s="212">
        <v>169.1</v>
      </c>
      <c r="Q69" s="212">
        <v>170</v>
      </c>
      <c r="R69" s="212">
        <v>22.14</v>
      </c>
      <c r="S69" s="212">
        <v>21.54</v>
      </c>
      <c r="T69" s="212">
        <v>21.84</v>
      </c>
      <c r="U69" s="212">
        <v>14.59</v>
      </c>
      <c r="V69" s="212">
        <v>13.99</v>
      </c>
      <c r="W69" s="212">
        <v>14.29</v>
      </c>
      <c r="X69" s="212">
        <v>14.96</v>
      </c>
      <c r="Y69" s="212">
        <v>14.16</v>
      </c>
      <c r="Z69" s="212">
        <v>14.56</v>
      </c>
      <c r="AA69" s="212">
        <v>100.06</v>
      </c>
      <c r="AB69" s="212">
        <v>96.06</v>
      </c>
      <c r="AC69" s="212">
        <v>98.06</v>
      </c>
      <c r="AD69" s="212">
        <v>93.67</v>
      </c>
      <c r="AE69" s="212">
        <v>89.67</v>
      </c>
      <c r="AF69" s="212">
        <v>91.67</v>
      </c>
      <c r="AG69" s="212">
        <v>19.600000000000001</v>
      </c>
      <c r="AH69" s="212">
        <v>18.740000000000002</v>
      </c>
      <c r="AI69" s="212">
        <v>19.170000000000002</v>
      </c>
      <c r="AJ69" s="212"/>
      <c r="AK69" s="212"/>
      <c r="AL69" s="212"/>
      <c r="AM69" s="212">
        <v>112.55</v>
      </c>
      <c r="AN69" s="212">
        <v>110.89</v>
      </c>
      <c r="AO69" s="212">
        <v>111.72</v>
      </c>
      <c r="AP69" s="212">
        <v>40.89</v>
      </c>
      <c r="AQ69" s="212">
        <v>39.29</v>
      </c>
      <c r="AR69" s="212">
        <v>40.090000000000003</v>
      </c>
      <c r="AS69" s="212">
        <v>41.61</v>
      </c>
      <c r="AT69" s="212">
        <v>40.25</v>
      </c>
      <c r="AU69" s="212">
        <v>40.93</v>
      </c>
      <c r="AV69" s="212">
        <v>21.12</v>
      </c>
      <c r="AW69" s="212">
        <v>20.52</v>
      </c>
      <c r="AX69" s="212">
        <v>20.82</v>
      </c>
      <c r="AY69" s="212">
        <v>4.28</v>
      </c>
      <c r="AZ69" s="212">
        <v>4.12</v>
      </c>
      <c r="BA69" s="212">
        <v>4.2</v>
      </c>
      <c r="BB69" s="212">
        <v>1.97</v>
      </c>
      <c r="BC69" s="212">
        <v>1.67</v>
      </c>
      <c r="BD69" s="212">
        <v>1.8199999999999998</v>
      </c>
      <c r="BE69" s="212">
        <v>0.7</v>
      </c>
      <c r="BF69" s="212">
        <v>0.39999999999999997</v>
      </c>
      <c r="BG69" s="212">
        <v>0.54999999999999993</v>
      </c>
      <c r="BH69" s="212">
        <v>496.86</v>
      </c>
      <c r="BI69" s="212">
        <v>480.86</v>
      </c>
      <c r="BJ69" s="212">
        <v>488.86</v>
      </c>
      <c r="BK69" s="212">
        <v>41.9</v>
      </c>
      <c r="BL69" s="212">
        <v>40.54</v>
      </c>
      <c r="BM69" s="212">
        <v>41.22</v>
      </c>
      <c r="BN69" s="212">
        <v>1.08</v>
      </c>
      <c r="BO69" s="212">
        <v>0.84000000000000008</v>
      </c>
      <c r="BP69" s="212">
        <v>0.96000000000000008</v>
      </c>
      <c r="BQ69" s="212">
        <v>9.83</v>
      </c>
      <c r="BR69" s="212">
        <v>7.83</v>
      </c>
      <c r="BS69" s="212">
        <v>8.83</v>
      </c>
      <c r="BT69" s="212">
        <v>11.49</v>
      </c>
      <c r="BU69" s="212">
        <v>11.09</v>
      </c>
      <c r="BV69" s="212">
        <v>11.29</v>
      </c>
      <c r="BW69" s="212">
        <v>2.84</v>
      </c>
      <c r="BX69" s="212">
        <v>2.5599999999999996</v>
      </c>
      <c r="BY69" s="212">
        <v>2.6999999999999997</v>
      </c>
      <c r="BZ69" s="212">
        <v>9.36</v>
      </c>
      <c r="CA69" s="212">
        <v>6.3599999999999994</v>
      </c>
      <c r="CB69" s="212">
        <v>7.8599999999999994</v>
      </c>
      <c r="CC69" s="212">
        <v>6.55</v>
      </c>
      <c r="CD69" s="212">
        <v>6.31</v>
      </c>
      <c r="CE69" s="212">
        <v>6.43</v>
      </c>
      <c r="CF69" s="212">
        <v>1.89</v>
      </c>
      <c r="CG69" s="212">
        <v>1.39</v>
      </c>
      <c r="CH69" s="212">
        <v>1.64</v>
      </c>
      <c r="CI69" s="212">
        <v>0.43</v>
      </c>
      <c r="CJ69" s="212">
        <v>0.39</v>
      </c>
      <c r="CK69" s="212">
        <v>0.41000000000000003</v>
      </c>
      <c r="CL69" s="212">
        <v>38.94</v>
      </c>
      <c r="CM69" s="212">
        <v>36.54</v>
      </c>
      <c r="CN69" s="212">
        <v>37.739999999999995</v>
      </c>
      <c r="CO69" s="212">
        <v>7.29</v>
      </c>
      <c r="CP69" s="212">
        <v>2.29</v>
      </c>
      <c r="CQ69" s="212">
        <v>4.79</v>
      </c>
      <c r="CR69" s="212"/>
      <c r="CS69" s="212"/>
    </row>
    <row r="70" spans="1:97" x14ac:dyDescent="0.4">
      <c r="A70" s="209">
        <v>45356</v>
      </c>
      <c r="B70" s="210" t="s">
        <v>295</v>
      </c>
      <c r="C70" s="212">
        <v>151.41999999999999</v>
      </c>
      <c r="D70" s="212">
        <v>149.41999999999999</v>
      </c>
      <c r="E70" s="212">
        <v>150.41999999999999</v>
      </c>
      <c r="F70" s="212">
        <v>164.77</v>
      </c>
      <c r="G70" s="212">
        <v>161.77000000000001</v>
      </c>
      <c r="H70" s="212">
        <v>163.27000000000001</v>
      </c>
      <c r="I70" s="212">
        <v>112.41</v>
      </c>
      <c r="J70" s="212">
        <v>109.21</v>
      </c>
      <c r="K70" s="212">
        <v>110.81</v>
      </c>
      <c r="L70" s="212">
        <v>194.94</v>
      </c>
      <c r="M70" s="212">
        <v>186.94</v>
      </c>
      <c r="N70" s="212">
        <v>190.94</v>
      </c>
      <c r="O70" s="212">
        <v>170.85</v>
      </c>
      <c r="P70" s="212">
        <v>169.04999999999998</v>
      </c>
      <c r="Q70" s="212">
        <v>169.95</v>
      </c>
      <c r="R70" s="212">
        <v>22.2</v>
      </c>
      <c r="S70" s="212">
        <v>21.599999999999998</v>
      </c>
      <c r="T70" s="212">
        <v>21.9</v>
      </c>
      <c r="U70" s="212">
        <v>14.52</v>
      </c>
      <c r="V70" s="212">
        <v>13.92</v>
      </c>
      <c r="W70" s="212">
        <v>14.219999999999999</v>
      </c>
      <c r="X70" s="212">
        <v>14.91</v>
      </c>
      <c r="Y70" s="212">
        <v>14.11</v>
      </c>
      <c r="Z70" s="212">
        <v>14.51</v>
      </c>
      <c r="AA70" s="212">
        <v>99.89</v>
      </c>
      <c r="AB70" s="212">
        <v>95.89</v>
      </c>
      <c r="AC70" s="212">
        <v>97.89</v>
      </c>
      <c r="AD70" s="212">
        <v>93.71</v>
      </c>
      <c r="AE70" s="212">
        <v>89.71</v>
      </c>
      <c r="AF70" s="212">
        <v>91.71</v>
      </c>
      <c r="AG70" s="212">
        <v>19.649999999999999</v>
      </c>
      <c r="AH70" s="212">
        <v>18.79</v>
      </c>
      <c r="AI70" s="212">
        <v>19.22</v>
      </c>
      <c r="AJ70" s="212"/>
      <c r="AK70" s="212"/>
      <c r="AL70" s="212"/>
      <c r="AM70" s="212">
        <v>112.78</v>
      </c>
      <c r="AN70" s="212">
        <v>111.12</v>
      </c>
      <c r="AO70" s="212">
        <v>111.95</v>
      </c>
      <c r="AP70" s="212">
        <v>40.98</v>
      </c>
      <c r="AQ70" s="212">
        <v>39.379999999999995</v>
      </c>
      <c r="AR70" s="212">
        <v>40.179999999999993</v>
      </c>
      <c r="AS70" s="212">
        <v>41.7</v>
      </c>
      <c r="AT70" s="212">
        <v>40.340000000000003</v>
      </c>
      <c r="AU70" s="212">
        <v>41.02</v>
      </c>
      <c r="AV70" s="212">
        <v>21.16</v>
      </c>
      <c r="AW70" s="212">
        <v>20.56</v>
      </c>
      <c r="AX70" s="212">
        <v>20.86</v>
      </c>
      <c r="AY70" s="212">
        <v>4.28</v>
      </c>
      <c r="AZ70" s="212">
        <v>4.12</v>
      </c>
      <c r="BA70" s="212">
        <v>4.2</v>
      </c>
      <c r="BB70" s="212">
        <v>1.97</v>
      </c>
      <c r="BC70" s="212">
        <v>1.67</v>
      </c>
      <c r="BD70" s="212">
        <v>1.8199999999999998</v>
      </c>
      <c r="BE70" s="212">
        <v>0.7</v>
      </c>
      <c r="BF70" s="212">
        <v>0.39999999999999997</v>
      </c>
      <c r="BG70" s="212">
        <v>0.54999999999999993</v>
      </c>
      <c r="BH70" s="212">
        <v>497.97</v>
      </c>
      <c r="BI70" s="212">
        <v>481.97</v>
      </c>
      <c r="BJ70" s="212">
        <v>489.97</v>
      </c>
      <c r="BK70" s="212">
        <v>41.99</v>
      </c>
      <c r="BL70" s="212">
        <v>40.630000000000003</v>
      </c>
      <c r="BM70" s="212">
        <v>41.31</v>
      </c>
      <c r="BN70" s="212">
        <v>1.08</v>
      </c>
      <c r="BO70" s="212">
        <v>0.84000000000000008</v>
      </c>
      <c r="BP70" s="212">
        <v>0.96000000000000008</v>
      </c>
      <c r="BQ70" s="212">
        <v>9.8699999999999992</v>
      </c>
      <c r="BR70" s="212">
        <v>7.8699999999999992</v>
      </c>
      <c r="BS70" s="212">
        <v>8.8699999999999992</v>
      </c>
      <c r="BT70" s="212">
        <v>11.51</v>
      </c>
      <c r="BU70" s="212">
        <v>11.11</v>
      </c>
      <c r="BV70" s="212">
        <v>11.309999999999999</v>
      </c>
      <c r="BW70" s="212">
        <v>2.85</v>
      </c>
      <c r="BX70" s="212">
        <v>2.5700000000000003</v>
      </c>
      <c r="BY70" s="212">
        <v>2.71</v>
      </c>
      <c r="BZ70" s="212">
        <v>9.4</v>
      </c>
      <c r="CA70" s="212">
        <v>6.4</v>
      </c>
      <c r="CB70" s="212">
        <v>7.9</v>
      </c>
      <c r="CC70" s="212">
        <v>6.56</v>
      </c>
      <c r="CD70" s="212">
        <v>6.3199999999999994</v>
      </c>
      <c r="CE70" s="212">
        <v>6.4399999999999995</v>
      </c>
      <c r="CF70" s="212">
        <v>1.9</v>
      </c>
      <c r="CG70" s="212">
        <v>1.4</v>
      </c>
      <c r="CH70" s="212">
        <v>1.65</v>
      </c>
      <c r="CI70" s="212">
        <v>0.43</v>
      </c>
      <c r="CJ70" s="212">
        <v>0.39</v>
      </c>
      <c r="CK70" s="212">
        <v>0.41000000000000003</v>
      </c>
      <c r="CL70" s="212">
        <v>38.99</v>
      </c>
      <c r="CM70" s="212">
        <v>36.590000000000003</v>
      </c>
      <c r="CN70" s="212">
        <v>37.790000000000006</v>
      </c>
      <c r="CO70" s="212">
        <v>7.27</v>
      </c>
      <c r="CP70" s="212">
        <v>2.2699999999999996</v>
      </c>
      <c r="CQ70" s="212">
        <v>4.7699999999999996</v>
      </c>
      <c r="CR70" s="212"/>
      <c r="CS70" s="212"/>
    </row>
    <row r="71" spans="1:97" x14ac:dyDescent="0.4">
      <c r="A71" s="209">
        <v>45357</v>
      </c>
      <c r="B71" s="210" t="s">
        <v>296</v>
      </c>
      <c r="C71" s="212">
        <v>151.05000000000001</v>
      </c>
      <c r="D71" s="212">
        <v>149.05000000000001</v>
      </c>
      <c r="E71" s="212">
        <v>150.05000000000001</v>
      </c>
      <c r="F71" s="212">
        <v>164.33</v>
      </c>
      <c r="G71" s="212">
        <v>161.33000000000001</v>
      </c>
      <c r="H71" s="212">
        <v>162.83000000000001</v>
      </c>
      <c r="I71" s="212">
        <v>111.95</v>
      </c>
      <c r="J71" s="212">
        <v>108.75</v>
      </c>
      <c r="K71" s="212">
        <v>110.35</v>
      </c>
      <c r="L71" s="212">
        <v>194.5</v>
      </c>
      <c r="M71" s="212">
        <v>186.5</v>
      </c>
      <c r="N71" s="212">
        <v>190.5</v>
      </c>
      <c r="O71" s="212">
        <v>170.54</v>
      </c>
      <c r="P71" s="212">
        <v>168.73999999999998</v>
      </c>
      <c r="Q71" s="212">
        <v>169.64</v>
      </c>
      <c r="R71" s="212">
        <v>22.14</v>
      </c>
      <c r="S71" s="212">
        <v>21.54</v>
      </c>
      <c r="T71" s="212">
        <v>21.84</v>
      </c>
      <c r="U71" s="212">
        <v>14.49</v>
      </c>
      <c r="V71" s="212">
        <v>13.89</v>
      </c>
      <c r="W71" s="212">
        <v>14.190000000000001</v>
      </c>
      <c r="X71" s="212">
        <v>14.85</v>
      </c>
      <c r="Y71" s="212">
        <v>14.049999999999999</v>
      </c>
      <c r="Z71" s="212">
        <v>14.45</v>
      </c>
      <c r="AA71" s="212">
        <v>99.46</v>
      </c>
      <c r="AB71" s="212">
        <v>95.46</v>
      </c>
      <c r="AC71" s="212">
        <v>97.46</v>
      </c>
      <c r="AD71" s="212">
        <v>93.14</v>
      </c>
      <c r="AE71" s="212">
        <v>89.14</v>
      </c>
      <c r="AF71" s="212">
        <v>91.14</v>
      </c>
      <c r="AG71" s="212">
        <v>19.61</v>
      </c>
      <c r="AH71" s="212">
        <v>18.75</v>
      </c>
      <c r="AI71" s="212">
        <v>19.18</v>
      </c>
      <c r="AJ71" s="212"/>
      <c r="AK71" s="212"/>
      <c r="AL71" s="212"/>
      <c r="AM71" s="212">
        <v>112.54</v>
      </c>
      <c r="AN71" s="212">
        <v>110.88000000000001</v>
      </c>
      <c r="AO71" s="212">
        <v>111.71000000000001</v>
      </c>
      <c r="AP71" s="212">
        <v>40.880000000000003</v>
      </c>
      <c r="AQ71" s="212">
        <v>39.28</v>
      </c>
      <c r="AR71" s="212">
        <v>40.08</v>
      </c>
      <c r="AS71" s="212">
        <v>41.6</v>
      </c>
      <c r="AT71" s="212">
        <v>40.24</v>
      </c>
      <c r="AU71" s="212">
        <v>40.92</v>
      </c>
      <c r="AV71" s="212">
        <v>21.1</v>
      </c>
      <c r="AW71" s="212">
        <v>20.5</v>
      </c>
      <c r="AX71" s="212">
        <v>20.8</v>
      </c>
      <c r="AY71" s="212">
        <v>4.2699999999999996</v>
      </c>
      <c r="AZ71" s="212">
        <v>4.1099999999999994</v>
      </c>
      <c r="BA71" s="212">
        <v>4.1899999999999995</v>
      </c>
      <c r="BB71" s="212">
        <v>1.97</v>
      </c>
      <c r="BC71" s="212">
        <v>1.67</v>
      </c>
      <c r="BD71" s="212">
        <v>1.8199999999999998</v>
      </c>
      <c r="BE71" s="212">
        <v>0.69</v>
      </c>
      <c r="BF71" s="212">
        <v>0.38999999999999996</v>
      </c>
      <c r="BG71" s="212">
        <v>0.53999999999999992</v>
      </c>
      <c r="BH71" s="212">
        <v>494.86</v>
      </c>
      <c r="BI71" s="212">
        <v>478.86</v>
      </c>
      <c r="BJ71" s="212">
        <v>486.86</v>
      </c>
      <c r="BK71" s="212">
        <v>41.9</v>
      </c>
      <c r="BL71" s="212">
        <v>40.54</v>
      </c>
      <c r="BM71" s="212">
        <v>41.22</v>
      </c>
      <c r="BN71" s="212">
        <v>1.07</v>
      </c>
      <c r="BO71" s="212">
        <v>0.83000000000000007</v>
      </c>
      <c r="BP71" s="212">
        <v>0.95000000000000007</v>
      </c>
      <c r="BQ71" s="212">
        <v>9.85</v>
      </c>
      <c r="BR71" s="212">
        <v>7.85</v>
      </c>
      <c r="BS71" s="212">
        <v>8.85</v>
      </c>
      <c r="BT71" s="212">
        <v>11.44</v>
      </c>
      <c r="BU71" s="212">
        <v>11.04</v>
      </c>
      <c r="BV71" s="212">
        <v>11.239999999999998</v>
      </c>
      <c r="BW71" s="212">
        <v>2.84</v>
      </c>
      <c r="BX71" s="212">
        <v>2.5599999999999996</v>
      </c>
      <c r="BY71" s="212">
        <v>2.6999999999999997</v>
      </c>
      <c r="BZ71" s="212">
        <v>9.4</v>
      </c>
      <c r="CA71" s="212">
        <v>6.4</v>
      </c>
      <c r="CB71" s="212">
        <v>7.9</v>
      </c>
      <c r="CC71" s="212">
        <v>6.54</v>
      </c>
      <c r="CD71" s="212">
        <v>6.3</v>
      </c>
      <c r="CE71" s="212">
        <v>6.42</v>
      </c>
      <c r="CF71" s="212">
        <v>1.9</v>
      </c>
      <c r="CG71" s="212">
        <v>1.4</v>
      </c>
      <c r="CH71" s="212">
        <v>1.65</v>
      </c>
      <c r="CI71" s="212">
        <v>0.43</v>
      </c>
      <c r="CJ71" s="212">
        <v>0.39</v>
      </c>
      <c r="CK71" s="212">
        <v>0.41000000000000003</v>
      </c>
      <c r="CL71" s="212">
        <v>38.979999999999997</v>
      </c>
      <c r="CM71" s="212">
        <v>36.58</v>
      </c>
      <c r="CN71" s="212">
        <v>37.78</v>
      </c>
      <c r="CO71" s="212">
        <v>7.24</v>
      </c>
      <c r="CP71" s="212">
        <v>2.2400000000000002</v>
      </c>
      <c r="CQ71" s="212">
        <v>4.74</v>
      </c>
      <c r="CR71" s="212"/>
      <c r="CS71" s="212"/>
    </row>
    <row r="72" spans="1:97" x14ac:dyDescent="0.4">
      <c r="A72" s="209">
        <v>45358</v>
      </c>
      <c r="B72" s="210" t="s">
        <v>297</v>
      </c>
      <c r="C72" s="212">
        <v>150.02000000000001</v>
      </c>
      <c r="D72" s="212">
        <v>148.02000000000001</v>
      </c>
      <c r="E72" s="212">
        <v>149.02000000000001</v>
      </c>
      <c r="F72" s="212">
        <v>163.92</v>
      </c>
      <c r="G72" s="212">
        <v>160.91999999999999</v>
      </c>
      <c r="H72" s="212">
        <v>162.41999999999999</v>
      </c>
      <c r="I72" s="212">
        <v>111.85</v>
      </c>
      <c r="J72" s="212">
        <v>108.64999999999999</v>
      </c>
      <c r="K72" s="212">
        <v>110.25</v>
      </c>
      <c r="L72" s="212">
        <v>193.79</v>
      </c>
      <c r="M72" s="212">
        <v>185.79</v>
      </c>
      <c r="N72" s="212">
        <v>189.79</v>
      </c>
      <c r="O72" s="212">
        <v>169.8</v>
      </c>
      <c r="P72" s="212">
        <v>168</v>
      </c>
      <c r="Q72" s="212">
        <v>168.9</v>
      </c>
      <c r="R72" s="212">
        <v>22.09</v>
      </c>
      <c r="S72" s="212">
        <v>21.49</v>
      </c>
      <c r="T72" s="212">
        <v>21.79</v>
      </c>
      <c r="U72" s="212">
        <v>14.5</v>
      </c>
      <c r="V72" s="212">
        <v>13.9</v>
      </c>
      <c r="W72" s="212">
        <v>14.2</v>
      </c>
      <c r="X72" s="212">
        <v>14.88</v>
      </c>
      <c r="Y72" s="212">
        <v>14.08</v>
      </c>
      <c r="Z72" s="212">
        <v>14.48</v>
      </c>
      <c r="AA72" s="212">
        <v>99.92</v>
      </c>
      <c r="AB72" s="212">
        <v>95.92</v>
      </c>
      <c r="AC72" s="212">
        <v>97.92</v>
      </c>
      <c r="AD72" s="212">
        <v>93.39</v>
      </c>
      <c r="AE72" s="212">
        <v>89.39</v>
      </c>
      <c r="AF72" s="212">
        <v>91.39</v>
      </c>
      <c r="AG72" s="212">
        <v>19.48</v>
      </c>
      <c r="AH72" s="212">
        <v>18.62</v>
      </c>
      <c r="AI72" s="212">
        <v>19.05</v>
      </c>
      <c r="AJ72" s="212"/>
      <c r="AK72" s="212"/>
      <c r="AL72" s="212"/>
      <c r="AM72" s="212">
        <v>112.26</v>
      </c>
      <c r="AN72" s="212">
        <v>110.60000000000001</v>
      </c>
      <c r="AO72" s="212">
        <v>111.43</v>
      </c>
      <c r="AP72" s="212">
        <v>40.6</v>
      </c>
      <c r="AQ72" s="212">
        <v>39</v>
      </c>
      <c r="AR72" s="212">
        <v>39.799999999999997</v>
      </c>
      <c r="AS72" s="212">
        <v>41.32</v>
      </c>
      <c r="AT72" s="212">
        <v>39.96</v>
      </c>
      <c r="AU72" s="212">
        <v>40.64</v>
      </c>
      <c r="AV72" s="212">
        <v>20.97</v>
      </c>
      <c r="AW72" s="212">
        <v>20.369999999999997</v>
      </c>
      <c r="AX72" s="212">
        <v>20.669999999999998</v>
      </c>
      <c r="AY72" s="212">
        <v>4.2699999999999996</v>
      </c>
      <c r="AZ72" s="212">
        <v>4.1099999999999994</v>
      </c>
      <c r="BA72" s="212">
        <v>4.1899999999999995</v>
      </c>
      <c r="BB72" s="212">
        <v>1.96</v>
      </c>
      <c r="BC72" s="212">
        <v>1.66</v>
      </c>
      <c r="BD72" s="212">
        <v>1.81</v>
      </c>
      <c r="BE72" s="212">
        <v>0.69</v>
      </c>
      <c r="BF72" s="212">
        <v>0.38999999999999996</v>
      </c>
      <c r="BG72" s="212">
        <v>0.53999999999999992</v>
      </c>
      <c r="BH72" s="212">
        <v>493.57</v>
      </c>
      <c r="BI72" s="212">
        <v>477.57</v>
      </c>
      <c r="BJ72" s="212">
        <v>485.57</v>
      </c>
      <c r="BK72" s="212">
        <v>41.62</v>
      </c>
      <c r="BL72" s="212">
        <v>40.26</v>
      </c>
      <c r="BM72" s="212">
        <v>40.94</v>
      </c>
      <c r="BN72" s="212">
        <v>1.07</v>
      </c>
      <c r="BO72" s="212">
        <v>0.83000000000000007</v>
      </c>
      <c r="BP72" s="212">
        <v>0.95000000000000007</v>
      </c>
      <c r="BQ72" s="212">
        <v>9.83</v>
      </c>
      <c r="BR72" s="212">
        <v>7.83</v>
      </c>
      <c r="BS72" s="212">
        <v>8.83</v>
      </c>
      <c r="BT72" s="212">
        <v>11.43</v>
      </c>
      <c r="BU72" s="212">
        <v>11.03</v>
      </c>
      <c r="BV72" s="212">
        <v>11.23</v>
      </c>
      <c r="BW72" s="212">
        <v>2.83</v>
      </c>
      <c r="BX72" s="212">
        <v>2.5499999999999998</v>
      </c>
      <c r="BY72" s="212">
        <v>2.69</v>
      </c>
      <c r="BZ72" s="212">
        <v>9.42</v>
      </c>
      <c r="CA72" s="212">
        <v>6.42</v>
      </c>
      <c r="CB72" s="212">
        <v>7.92</v>
      </c>
      <c r="CC72" s="212">
        <v>6.53</v>
      </c>
      <c r="CD72" s="212">
        <v>6.29</v>
      </c>
      <c r="CE72" s="212">
        <v>6.41</v>
      </c>
      <c r="CF72" s="212">
        <v>1.89</v>
      </c>
      <c r="CG72" s="212">
        <v>1.39</v>
      </c>
      <c r="CH72" s="212">
        <v>1.64</v>
      </c>
      <c r="CI72" s="212">
        <v>0.43</v>
      </c>
      <c r="CJ72" s="212">
        <v>0.39</v>
      </c>
      <c r="CK72" s="212">
        <v>0.41000000000000003</v>
      </c>
      <c r="CL72" s="212">
        <v>38.99</v>
      </c>
      <c r="CM72" s="212">
        <v>36.590000000000003</v>
      </c>
      <c r="CN72" s="212">
        <v>37.790000000000006</v>
      </c>
      <c r="CO72" s="212">
        <v>7.19</v>
      </c>
      <c r="CP72" s="212">
        <v>2.1900000000000004</v>
      </c>
      <c r="CQ72" s="212">
        <v>4.6900000000000004</v>
      </c>
      <c r="CR72" s="212"/>
      <c r="CS72" s="212"/>
    </row>
    <row r="73" spans="1:97" x14ac:dyDescent="0.4">
      <c r="A73" s="209">
        <v>45359</v>
      </c>
      <c r="B73" s="210" t="s">
        <v>298</v>
      </c>
      <c r="C73" s="212">
        <v>148.86000000000001</v>
      </c>
      <c r="D73" s="212">
        <v>146.86000000000001</v>
      </c>
      <c r="E73" s="212">
        <v>147.86000000000001</v>
      </c>
      <c r="F73" s="212">
        <v>163.44</v>
      </c>
      <c r="G73" s="212">
        <v>160.44</v>
      </c>
      <c r="H73" s="212">
        <v>161.94</v>
      </c>
      <c r="I73" s="212">
        <v>111.52</v>
      </c>
      <c r="J73" s="212">
        <v>108.32</v>
      </c>
      <c r="K73" s="212">
        <v>109.91999999999999</v>
      </c>
      <c r="L73" s="212">
        <v>193.5</v>
      </c>
      <c r="M73" s="212">
        <v>185.5</v>
      </c>
      <c r="N73" s="212">
        <v>189.5</v>
      </c>
      <c r="O73" s="212">
        <v>169.44</v>
      </c>
      <c r="P73" s="212">
        <v>167.64</v>
      </c>
      <c r="Q73" s="212">
        <v>168.54</v>
      </c>
      <c r="R73" s="212">
        <v>22.02</v>
      </c>
      <c r="S73" s="212">
        <v>21.419999999999998</v>
      </c>
      <c r="T73" s="212">
        <v>21.72</v>
      </c>
      <c r="U73" s="212">
        <v>14.52</v>
      </c>
      <c r="V73" s="212">
        <v>13.92</v>
      </c>
      <c r="W73" s="212">
        <v>14.219999999999999</v>
      </c>
      <c r="X73" s="212">
        <v>14.87</v>
      </c>
      <c r="Y73" s="212">
        <v>14.069999999999999</v>
      </c>
      <c r="Z73" s="212">
        <v>14.469999999999999</v>
      </c>
      <c r="AA73" s="212">
        <v>99.99</v>
      </c>
      <c r="AB73" s="212">
        <v>95.99</v>
      </c>
      <c r="AC73" s="212">
        <v>97.99</v>
      </c>
      <c r="AD73" s="212">
        <v>93.36</v>
      </c>
      <c r="AE73" s="212">
        <v>89.36</v>
      </c>
      <c r="AF73" s="212">
        <v>91.36</v>
      </c>
      <c r="AG73" s="212">
        <v>19.329999999999998</v>
      </c>
      <c r="AH73" s="212">
        <v>18.47</v>
      </c>
      <c r="AI73" s="212">
        <v>18.899999999999999</v>
      </c>
      <c r="AJ73" s="212"/>
      <c r="AK73" s="212"/>
      <c r="AL73" s="212"/>
      <c r="AM73" s="212">
        <v>111.79</v>
      </c>
      <c r="AN73" s="212">
        <v>110.13000000000001</v>
      </c>
      <c r="AO73" s="212">
        <v>110.96000000000001</v>
      </c>
      <c r="AP73" s="212">
        <v>40.29</v>
      </c>
      <c r="AQ73" s="212">
        <v>38.69</v>
      </c>
      <c r="AR73" s="212">
        <v>39.489999999999995</v>
      </c>
      <c r="AS73" s="212">
        <v>41</v>
      </c>
      <c r="AT73" s="212">
        <v>39.64</v>
      </c>
      <c r="AU73" s="212">
        <v>40.32</v>
      </c>
      <c r="AV73" s="212">
        <v>20.84</v>
      </c>
      <c r="AW73" s="212">
        <v>20.239999999999998</v>
      </c>
      <c r="AX73" s="212">
        <v>20.54</v>
      </c>
      <c r="AY73" s="212">
        <v>4.24</v>
      </c>
      <c r="AZ73" s="212">
        <v>4.08</v>
      </c>
      <c r="BA73" s="212">
        <v>4.16</v>
      </c>
      <c r="BB73" s="212">
        <v>1.95</v>
      </c>
      <c r="BC73" s="212">
        <v>1.65</v>
      </c>
      <c r="BD73" s="212">
        <v>1.7999999999999998</v>
      </c>
      <c r="BE73" s="212">
        <v>0.68</v>
      </c>
      <c r="BF73" s="212">
        <v>0.38000000000000006</v>
      </c>
      <c r="BG73" s="212">
        <v>0.53</v>
      </c>
      <c r="BH73" s="212">
        <v>490.26</v>
      </c>
      <c r="BI73" s="212">
        <v>474.26</v>
      </c>
      <c r="BJ73" s="212">
        <v>482.26</v>
      </c>
      <c r="BK73" s="212">
        <v>41.29</v>
      </c>
      <c r="BL73" s="212">
        <v>39.93</v>
      </c>
      <c r="BM73" s="212">
        <v>40.61</v>
      </c>
      <c r="BN73" s="212">
        <v>1.07</v>
      </c>
      <c r="BO73" s="212">
        <v>0.83000000000000007</v>
      </c>
      <c r="BP73" s="212">
        <v>0.95000000000000007</v>
      </c>
      <c r="BQ73" s="212">
        <v>9.77</v>
      </c>
      <c r="BR73" s="212">
        <v>7.77</v>
      </c>
      <c r="BS73" s="212">
        <v>8.77</v>
      </c>
      <c r="BT73" s="212">
        <v>11.37</v>
      </c>
      <c r="BU73" s="212">
        <v>10.969999999999999</v>
      </c>
      <c r="BV73" s="212">
        <v>11.169999999999998</v>
      </c>
      <c r="BW73" s="212">
        <v>2.81</v>
      </c>
      <c r="BX73" s="212">
        <v>2.5300000000000002</v>
      </c>
      <c r="BY73" s="212">
        <v>2.67</v>
      </c>
      <c r="BZ73" s="212">
        <v>9.41</v>
      </c>
      <c r="CA73" s="212">
        <v>6.41</v>
      </c>
      <c r="CB73" s="212">
        <v>7.91</v>
      </c>
      <c r="CC73" s="212">
        <v>6.51</v>
      </c>
      <c r="CD73" s="212">
        <v>6.27</v>
      </c>
      <c r="CE73" s="212">
        <v>6.39</v>
      </c>
      <c r="CF73" s="212">
        <v>1.88</v>
      </c>
      <c r="CG73" s="212">
        <v>1.38</v>
      </c>
      <c r="CH73" s="212">
        <v>1.63</v>
      </c>
      <c r="CI73" s="212">
        <v>0.43</v>
      </c>
      <c r="CJ73" s="212">
        <v>0.39</v>
      </c>
      <c r="CK73" s="212">
        <v>0.41000000000000003</v>
      </c>
      <c r="CL73" s="212">
        <v>38.840000000000003</v>
      </c>
      <c r="CM73" s="212">
        <v>36.440000000000005</v>
      </c>
      <c r="CN73" s="212">
        <v>37.64</v>
      </c>
      <c r="CO73" s="212">
        <v>7.15</v>
      </c>
      <c r="CP73" s="212">
        <v>2.1500000000000004</v>
      </c>
      <c r="CQ73" s="212">
        <v>4.6500000000000004</v>
      </c>
      <c r="CR73" s="212"/>
      <c r="CS73" s="212"/>
    </row>
    <row r="74" spans="1:97" x14ac:dyDescent="0.4">
      <c r="A74" s="209">
        <v>45360</v>
      </c>
      <c r="B74" s="210" t="s">
        <v>299</v>
      </c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212"/>
      <c r="N74" s="212"/>
      <c r="O74" s="212"/>
      <c r="P74" s="212"/>
      <c r="Q74" s="212"/>
      <c r="R74" s="212"/>
      <c r="S74" s="212"/>
      <c r="T74" s="212"/>
      <c r="U74" s="212"/>
      <c r="V74" s="212"/>
      <c r="W74" s="212"/>
      <c r="X74" s="212"/>
      <c r="Y74" s="212"/>
      <c r="Z74" s="212"/>
      <c r="AA74" s="212"/>
      <c r="AB74" s="212"/>
      <c r="AC74" s="212"/>
      <c r="AD74" s="212"/>
      <c r="AE74" s="212"/>
      <c r="AF74" s="212"/>
      <c r="AG74" s="212"/>
      <c r="AH74" s="212"/>
      <c r="AI74" s="212"/>
      <c r="AJ74" s="212"/>
      <c r="AK74" s="212"/>
      <c r="AL74" s="212"/>
      <c r="AM74" s="212"/>
      <c r="AN74" s="212"/>
      <c r="AO74" s="212"/>
      <c r="AP74" s="212"/>
      <c r="AQ74" s="212"/>
      <c r="AR74" s="212"/>
      <c r="AS74" s="212"/>
      <c r="AT74" s="212"/>
      <c r="AU74" s="212"/>
      <c r="AV74" s="212"/>
      <c r="AW74" s="212"/>
      <c r="AX74" s="212"/>
      <c r="AY74" s="212"/>
      <c r="AZ74" s="212"/>
      <c r="BA74" s="212"/>
      <c r="BB74" s="212"/>
      <c r="BC74" s="212"/>
      <c r="BD74" s="212"/>
      <c r="BE74" s="212"/>
      <c r="BF74" s="212"/>
      <c r="BG74" s="212"/>
      <c r="BH74" s="212"/>
      <c r="BI74" s="212"/>
      <c r="BJ74" s="212"/>
      <c r="BK74" s="212"/>
      <c r="BL74" s="212"/>
      <c r="BM74" s="212"/>
      <c r="BN74" s="212"/>
      <c r="BO74" s="212"/>
      <c r="BP74" s="212"/>
      <c r="BQ74" s="212"/>
      <c r="BR74" s="212"/>
      <c r="BS74" s="212"/>
      <c r="BT74" s="212"/>
      <c r="BU74" s="212"/>
      <c r="BV74" s="212"/>
      <c r="BW74" s="212"/>
      <c r="BX74" s="212"/>
      <c r="BY74" s="212"/>
      <c r="BZ74" s="212"/>
      <c r="CA74" s="212"/>
      <c r="CB74" s="212"/>
      <c r="CC74" s="212"/>
      <c r="CD74" s="212"/>
      <c r="CE74" s="212"/>
      <c r="CF74" s="212"/>
      <c r="CG74" s="212"/>
      <c r="CH74" s="212"/>
      <c r="CI74" s="212"/>
      <c r="CJ74" s="212"/>
      <c r="CK74" s="212"/>
      <c r="CL74" s="212"/>
      <c r="CM74" s="212"/>
      <c r="CN74" s="212"/>
      <c r="CO74" s="212"/>
      <c r="CP74" s="212"/>
      <c r="CQ74" s="212"/>
      <c r="CR74" s="212"/>
      <c r="CS74" s="212"/>
    </row>
    <row r="75" spans="1:97" x14ac:dyDescent="0.4">
      <c r="A75" s="209">
        <v>45361</v>
      </c>
      <c r="B75" s="210" t="s">
        <v>300</v>
      </c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212"/>
      <c r="N75" s="212"/>
      <c r="O75" s="212"/>
      <c r="P75" s="212"/>
      <c r="Q75" s="212"/>
      <c r="R75" s="212"/>
      <c r="S75" s="212"/>
      <c r="T75" s="212"/>
      <c r="U75" s="212"/>
      <c r="V75" s="212"/>
      <c r="W75" s="212"/>
      <c r="X75" s="212"/>
      <c r="Y75" s="212"/>
      <c r="Z75" s="212"/>
      <c r="AA75" s="212"/>
      <c r="AB75" s="212"/>
      <c r="AC75" s="212"/>
      <c r="AD75" s="212"/>
      <c r="AE75" s="212"/>
      <c r="AF75" s="212"/>
      <c r="AG75" s="212"/>
      <c r="AH75" s="212"/>
      <c r="AI75" s="212"/>
      <c r="AJ75" s="212"/>
      <c r="AK75" s="212"/>
      <c r="AL75" s="212"/>
      <c r="AM75" s="212"/>
      <c r="AN75" s="212"/>
      <c r="AO75" s="212"/>
      <c r="AP75" s="212"/>
      <c r="AQ75" s="212"/>
      <c r="AR75" s="212"/>
      <c r="AS75" s="212"/>
      <c r="AT75" s="212"/>
      <c r="AU75" s="212"/>
      <c r="AV75" s="212"/>
      <c r="AW75" s="212"/>
      <c r="AX75" s="212"/>
      <c r="AY75" s="212"/>
      <c r="AZ75" s="212"/>
      <c r="BA75" s="212"/>
      <c r="BB75" s="212"/>
      <c r="BC75" s="212"/>
      <c r="BD75" s="212"/>
      <c r="BE75" s="212"/>
      <c r="BF75" s="212"/>
      <c r="BG75" s="212"/>
      <c r="BH75" s="212"/>
      <c r="BI75" s="212"/>
      <c r="BJ75" s="212"/>
      <c r="BK75" s="212"/>
      <c r="BL75" s="212"/>
      <c r="BM75" s="212"/>
      <c r="BN75" s="212"/>
      <c r="BO75" s="212"/>
      <c r="BP75" s="212"/>
      <c r="BQ75" s="212"/>
      <c r="BR75" s="212"/>
      <c r="BS75" s="212"/>
      <c r="BT75" s="212"/>
      <c r="BU75" s="212"/>
      <c r="BV75" s="212"/>
      <c r="BW75" s="212"/>
      <c r="BX75" s="212"/>
      <c r="BY75" s="212"/>
      <c r="BZ75" s="212"/>
      <c r="CA75" s="212"/>
      <c r="CB75" s="212"/>
      <c r="CC75" s="212"/>
      <c r="CD75" s="212"/>
      <c r="CE75" s="212"/>
      <c r="CF75" s="212"/>
      <c r="CG75" s="212"/>
      <c r="CH75" s="212"/>
      <c r="CI75" s="212"/>
      <c r="CJ75" s="212"/>
      <c r="CK75" s="212"/>
      <c r="CL75" s="212"/>
      <c r="CM75" s="212"/>
      <c r="CN75" s="212"/>
      <c r="CO75" s="212"/>
      <c r="CP75" s="212"/>
      <c r="CQ75" s="212"/>
      <c r="CR75" s="212"/>
      <c r="CS75" s="212"/>
    </row>
    <row r="76" spans="1:97" x14ac:dyDescent="0.4">
      <c r="A76" s="209">
        <v>45362</v>
      </c>
      <c r="B76" s="210" t="s">
        <v>294</v>
      </c>
      <c r="C76" s="212">
        <v>147.82</v>
      </c>
      <c r="D76" s="212">
        <v>145.82</v>
      </c>
      <c r="E76" s="212">
        <v>146.82</v>
      </c>
      <c r="F76" s="212">
        <v>162.18</v>
      </c>
      <c r="G76" s="212">
        <v>159.18</v>
      </c>
      <c r="H76" s="212">
        <v>160.68</v>
      </c>
      <c r="I76" s="212">
        <v>110.53</v>
      </c>
      <c r="J76" s="212">
        <v>107.33</v>
      </c>
      <c r="K76" s="212">
        <v>108.93</v>
      </c>
      <c r="L76" s="212">
        <v>192.8</v>
      </c>
      <c r="M76" s="212">
        <v>184.8</v>
      </c>
      <c r="N76" s="212">
        <v>188.8</v>
      </c>
      <c r="O76" s="212">
        <v>168.29</v>
      </c>
      <c r="P76" s="212">
        <v>166.48999999999998</v>
      </c>
      <c r="Q76" s="212">
        <v>167.39</v>
      </c>
      <c r="R76" s="212">
        <v>21.85</v>
      </c>
      <c r="S76" s="212">
        <v>21.25</v>
      </c>
      <c r="T76" s="212">
        <v>21.55</v>
      </c>
      <c r="U76" s="212">
        <v>14.38</v>
      </c>
      <c r="V76" s="212">
        <v>13.780000000000001</v>
      </c>
      <c r="W76" s="212">
        <v>14.080000000000002</v>
      </c>
      <c r="X76" s="212">
        <v>14.79</v>
      </c>
      <c r="Y76" s="212">
        <v>13.989999999999998</v>
      </c>
      <c r="Z76" s="212">
        <v>14.389999999999999</v>
      </c>
      <c r="AA76" s="212">
        <v>99.27</v>
      </c>
      <c r="AB76" s="212">
        <v>95.27</v>
      </c>
      <c r="AC76" s="212">
        <v>97.27</v>
      </c>
      <c r="AD76" s="212">
        <v>92.72</v>
      </c>
      <c r="AE76" s="212">
        <v>88.72</v>
      </c>
      <c r="AF76" s="212">
        <v>90.72</v>
      </c>
      <c r="AG76" s="212">
        <v>19.2</v>
      </c>
      <c r="AH76" s="212">
        <v>18.34</v>
      </c>
      <c r="AI76" s="212">
        <v>18.77</v>
      </c>
      <c r="AJ76" s="212"/>
      <c r="AK76" s="212"/>
      <c r="AL76" s="212"/>
      <c r="AM76" s="212">
        <v>111.19</v>
      </c>
      <c r="AN76" s="212">
        <v>109.53</v>
      </c>
      <c r="AO76" s="212">
        <v>110.36</v>
      </c>
      <c r="AP76" s="212">
        <v>40</v>
      </c>
      <c r="AQ76" s="212">
        <v>38.4</v>
      </c>
      <c r="AR76" s="212">
        <v>39.200000000000003</v>
      </c>
      <c r="AS76" s="212">
        <v>40.72</v>
      </c>
      <c r="AT76" s="212">
        <v>39.36</v>
      </c>
      <c r="AU76" s="212">
        <v>40.04</v>
      </c>
      <c r="AV76" s="212">
        <v>20.7</v>
      </c>
      <c r="AW76" s="212">
        <v>20.099999999999998</v>
      </c>
      <c r="AX76" s="212">
        <v>20.399999999999999</v>
      </c>
      <c r="AY76" s="212">
        <v>4.2300000000000004</v>
      </c>
      <c r="AZ76" s="212">
        <v>4.07</v>
      </c>
      <c r="BA76" s="212">
        <v>4.1500000000000004</v>
      </c>
      <c r="BB76" s="212">
        <v>1.93</v>
      </c>
      <c r="BC76" s="212">
        <v>1.63</v>
      </c>
      <c r="BD76" s="212">
        <v>1.7799999999999998</v>
      </c>
      <c r="BE76" s="212">
        <v>0.69</v>
      </c>
      <c r="BF76" s="212">
        <v>0.38999999999999996</v>
      </c>
      <c r="BG76" s="212">
        <v>0.53999999999999992</v>
      </c>
      <c r="BH76" s="212">
        <v>487.02</v>
      </c>
      <c r="BI76" s="212">
        <v>471.02</v>
      </c>
      <c r="BJ76" s="212">
        <v>479.02</v>
      </c>
      <c r="BK76" s="212">
        <v>41</v>
      </c>
      <c r="BL76" s="212">
        <v>39.64</v>
      </c>
      <c r="BM76" s="212">
        <v>40.32</v>
      </c>
      <c r="BN76" s="212">
        <v>1.07</v>
      </c>
      <c r="BO76" s="212">
        <v>0.83000000000000007</v>
      </c>
      <c r="BP76" s="212">
        <v>0.95000000000000007</v>
      </c>
      <c r="BQ76" s="212">
        <v>9.74</v>
      </c>
      <c r="BR76" s="212">
        <v>7.74</v>
      </c>
      <c r="BS76" s="212">
        <v>8.74</v>
      </c>
      <c r="BT76" s="212">
        <v>11.37</v>
      </c>
      <c r="BU76" s="212">
        <v>10.969999999999999</v>
      </c>
      <c r="BV76" s="212">
        <v>11.169999999999998</v>
      </c>
      <c r="BW76" s="212">
        <v>2.8</v>
      </c>
      <c r="BX76" s="212">
        <v>2.5199999999999996</v>
      </c>
      <c r="BY76" s="212">
        <v>2.6599999999999997</v>
      </c>
      <c r="BZ76" s="212">
        <v>9.32</v>
      </c>
      <c r="CA76" s="212">
        <v>6.32</v>
      </c>
      <c r="CB76" s="212">
        <v>7.82</v>
      </c>
      <c r="CC76" s="212">
        <v>6.46</v>
      </c>
      <c r="CD76" s="212">
        <v>6.22</v>
      </c>
      <c r="CE76" s="212">
        <v>6.34</v>
      </c>
      <c r="CF76" s="212">
        <v>1.86</v>
      </c>
      <c r="CG76" s="212">
        <v>1.36</v>
      </c>
      <c r="CH76" s="212">
        <v>1.61</v>
      </c>
      <c r="CI76" s="212">
        <v>0.43</v>
      </c>
      <c r="CJ76" s="212">
        <v>0.39</v>
      </c>
      <c r="CK76" s="212">
        <v>0.41000000000000003</v>
      </c>
      <c r="CL76" s="212">
        <v>38.57</v>
      </c>
      <c r="CM76" s="212">
        <v>36.17</v>
      </c>
      <c r="CN76" s="212">
        <v>37.370000000000005</v>
      </c>
      <c r="CO76" s="212">
        <v>7.09</v>
      </c>
      <c r="CP76" s="212">
        <v>2.09</v>
      </c>
      <c r="CQ76" s="212">
        <v>4.59</v>
      </c>
      <c r="CR76" s="212"/>
      <c r="CS76" s="212"/>
    </row>
    <row r="77" spans="1:97" x14ac:dyDescent="0.4">
      <c r="A77" s="209">
        <v>45363</v>
      </c>
      <c r="B77" s="210" t="s">
        <v>295</v>
      </c>
      <c r="C77" s="212">
        <v>147.85</v>
      </c>
      <c r="D77" s="212">
        <v>145.85</v>
      </c>
      <c r="E77" s="212">
        <v>146.85</v>
      </c>
      <c r="F77" s="212">
        <v>161.96</v>
      </c>
      <c r="G77" s="212">
        <v>158.96</v>
      </c>
      <c r="H77" s="212">
        <v>160.46</v>
      </c>
      <c r="I77" s="212">
        <v>110.52</v>
      </c>
      <c r="J77" s="212">
        <v>107.32</v>
      </c>
      <c r="K77" s="212">
        <v>108.91999999999999</v>
      </c>
      <c r="L77" s="212">
        <v>192.22</v>
      </c>
      <c r="M77" s="212">
        <v>184.22</v>
      </c>
      <c r="N77" s="212">
        <v>188.22</v>
      </c>
      <c r="O77" s="212">
        <v>168.25</v>
      </c>
      <c r="P77" s="212">
        <v>166.45</v>
      </c>
      <c r="Q77" s="212">
        <v>167.35</v>
      </c>
      <c r="R77" s="212">
        <v>21.82</v>
      </c>
      <c r="S77" s="212">
        <v>21.22</v>
      </c>
      <c r="T77" s="212">
        <v>21.52</v>
      </c>
      <c r="U77" s="212">
        <v>14.34</v>
      </c>
      <c r="V77" s="212">
        <v>13.74</v>
      </c>
      <c r="W77" s="212">
        <v>14.04</v>
      </c>
      <c r="X77" s="212">
        <v>14.74</v>
      </c>
      <c r="Y77" s="212">
        <v>13.94</v>
      </c>
      <c r="Z77" s="212">
        <v>14.34</v>
      </c>
      <c r="AA77" s="212">
        <v>99.19</v>
      </c>
      <c r="AB77" s="212">
        <v>95.19</v>
      </c>
      <c r="AC77" s="212">
        <v>97.19</v>
      </c>
      <c r="AD77" s="212">
        <v>92.58</v>
      </c>
      <c r="AE77" s="212">
        <v>88.58</v>
      </c>
      <c r="AF77" s="212">
        <v>90.58</v>
      </c>
      <c r="AG77" s="212">
        <v>19.21</v>
      </c>
      <c r="AH77" s="212">
        <v>18.350000000000001</v>
      </c>
      <c r="AI77" s="212">
        <v>18.78</v>
      </c>
      <c r="AJ77" s="212"/>
      <c r="AK77" s="212"/>
      <c r="AL77" s="212"/>
      <c r="AM77" s="212">
        <v>111.24</v>
      </c>
      <c r="AN77" s="212">
        <v>109.58</v>
      </c>
      <c r="AO77" s="212">
        <v>110.41</v>
      </c>
      <c r="AP77" s="212">
        <v>40.01</v>
      </c>
      <c r="AQ77" s="212">
        <v>38.409999999999997</v>
      </c>
      <c r="AR77" s="212">
        <v>39.209999999999994</v>
      </c>
      <c r="AS77" s="212">
        <v>40.729999999999997</v>
      </c>
      <c r="AT77" s="212">
        <v>39.369999999999997</v>
      </c>
      <c r="AU77" s="212">
        <v>40.049999999999997</v>
      </c>
      <c r="AV77" s="212">
        <v>20.75</v>
      </c>
      <c r="AW77" s="212">
        <v>20.149999999999999</v>
      </c>
      <c r="AX77" s="212">
        <v>20.45</v>
      </c>
      <c r="AY77" s="212">
        <v>4.22</v>
      </c>
      <c r="AZ77" s="212">
        <v>4.0599999999999996</v>
      </c>
      <c r="BA77" s="212">
        <v>4.1399999999999997</v>
      </c>
      <c r="BB77" s="212">
        <v>1.93</v>
      </c>
      <c r="BC77" s="212">
        <v>1.63</v>
      </c>
      <c r="BD77" s="212">
        <v>1.7799999999999998</v>
      </c>
      <c r="BE77" s="212">
        <v>0.68</v>
      </c>
      <c r="BF77" s="212">
        <v>0.38000000000000006</v>
      </c>
      <c r="BG77" s="212">
        <v>0.53</v>
      </c>
      <c r="BH77" s="212">
        <v>486.96</v>
      </c>
      <c r="BI77" s="212">
        <v>470.96</v>
      </c>
      <c r="BJ77" s="212">
        <v>478.96</v>
      </c>
      <c r="BK77" s="212">
        <v>41.01</v>
      </c>
      <c r="BL77" s="212">
        <v>39.65</v>
      </c>
      <c r="BM77" s="212">
        <v>40.33</v>
      </c>
      <c r="BN77" s="212">
        <v>1.07</v>
      </c>
      <c r="BO77" s="212">
        <v>0.83000000000000007</v>
      </c>
      <c r="BP77" s="212">
        <v>0.95000000000000007</v>
      </c>
      <c r="BQ77" s="212">
        <v>9.74</v>
      </c>
      <c r="BR77" s="212">
        <v>7.74</v>
      </c>
      <c r="BS77" s="212">
        <v>8.74</v>
      </c>
      <c r="BT77" s="212">
        <v>11.41</v>
      </c>
      <c r="BU77" s="212">
        <v>11.01</v>
      </c>
      <c r="BV77" s="212">
        <v>11.21</v>
      </c>
      <c r="BW77" s="212">
        <v>2.81</v>
      </c>
      <c r="BX77" s="212">
        <v>2.5300000000000002</v>
      </c>
      <c r="BY77" s="212">
        <v>2.67</v>
      </c>
      <c r="BZ77" s="212">
        <v>9.36</v>
      </c>
      <c r="CA77" s="212">
        <v>6.3599999999999994</v>
      </c>
      <c r="CB77" s="212">
        <v>7.8599999999999994</v>
      </c>
      <c r="CC77" s="212">
        <v>6.45</v>
      </c>
      <c r="CD77" s="212">
        <v>6.21</v>
      </c>
      <c r="CE77" s="212">
        <v>6.33</v>
      </c>
      <c r="CF77" s="212">
        <v>1.87</v>
      </c>
      <c r="CG77" s="212">
        <v>1.37</v>
      </c>
      <c r="CH77" s="212">
        <v>1.62</v>
      </c>
      <c r="CI77" s="212">
        <v>0.43</v>
      </c>
      <c r="CJ77" s="212">
        <v>0.39</v>
      </c>
      <c r="CK77" s="212">
        <v>0.41000000000000003</v>
      </c>
      <c r="CL77" s="212">
        <v>38.69</v>
      </c>
      <c r="CM77" s="212">
        <v>36.29</v>
      </c>
      <c r="CN77" s="212">
        <v>37.489999999999995</v>
      </c>
      <c r="CO77" s="212">
        <v>7.09</v>
      </c>
      <c r="CP77" s="212">
        <v>2.09</v>
      </c>
      <c r="CQ77" s="212">
        <v>4.59</v>
      </c>
      <c r="CR77" s="212"/>
      <c r="CS77" s="212"/>
    </row>
    <row r="78" spans="1:97" x14ac:dyDescent="0.4">
      <c r="A78" s="209">
        <v>45364</v>
      </c>
      <c r="B78" s="210" t="s">
        <v>296</v>
      </c>
      <c r="C78" s="212">
        <v>148.53</v>
      </c>
      <c r="D78" s="212">
        <v>146.53</v>
      </c>
      <c r="E78" s="212">
        <v>147.53</v>
      </c>
      <c r="F78" s="212">
        <v>162.68</v>
      </c>
      <c r="G78" s="212">
        <v>159.68</v>
      </c>
      <c r="H78" s="212">
        <v>161.18</v>
      </c>
      <c r="I78" s="212">
        <v>110.92</v>
      </c>
      <c r="J78" s="212">
        <v>107.72</v>
      </c>
      <c r="K78" s="212">
        <v>109.32</v>
      </c>
      <c r="L78" s="212">
        <v>192.76</v>
      </c>
      <c r="M78" s="212">
        <v>184.76</v>
      </c>
      <c r="N78" s="212">
        <v>188.76</v>
      </c>
      <c r="O78" s="212">
        <v>169.01</v>
      </c>
      <c r="P78" s="212">
        <v>167.20999999999998</v>
      </c>
      <c r="Q78" s="212">
        <v>168.10999999999999</v>
      </c>
      <c r="R78" s="212">
        <v>21.91</v>
      </c>
      <c r="S78" s="212">
        <v>21.31</v>
      </c>
      <c r="T78" s="212">
        <v>21.61</v>
      </c>
      <c r="U78" s="212">
        <v>14.32</v>
      </c>
      <c r="V78" s="212">
        <v>13.72</v>
      </c>
      <c r="W78" s="212">
        <v>14.02</v>
      </c>
      <c r="X78" s="212">
        <v>14.81</v>
      </c>
      <c r="Y78" s="212">
        <v>14.01</v>
      </c>
      <c r="Z78" s="212">
        <v>14.41</v>
      </c>
      <c r="AA78" s="212">
        <v>99.41</v>
      </c>
      <c r="AB78" s="212">
        <v>95.41</v>
      </c>
      <c r="AC78" s="212">
        <v>97.41</v>
      </c>
      <c r="AD78" s="212">
        <v>92.7</v>
      </c>
      <c r="AE78" s="212">
        <v>88.7</v>
      </c>
      <c r="AF78" s="212">
        <v>90.7</v>
      </c>
      <c r="AG78" s="212">
        <v>19.29</v>
      </c>
      <c r="AH78" s="212">
        <v>18.43</v>
      </c>
      <c r="AI78" s="212">
        <v>18.86</v>
      </c>
      <c r="AJ78" s="212"/>
      <c r="AK78" s="212"/>
      <c r="AL78" s="212"/>
      <c r="AM78" s="212">
        <v>111.59</v>
      </c>
      <c r="AN78" s="212">
        <v>109.93</v>
      </c>
      <c r="AO78" s="212">
        <v>110.76</v>
      </c>
      <c r="AP78" s="212">
        <v>40.200000000000003</v>
      </c>
      <c r="AQ78" s="212">
        <v>38.6</v>
      </c>
      <c r="AR78" s="212">
        <v>39.400000000000006</v>
      </c>
      <c r="AS78" s="212">
        <v>40.909999999999997</v>
      </c>
      <c r="AT78" s="212">
        <v>39.549999999999997</v>
      </c>
      <c r="AU78" s="212">
        <v>40.229999999999997</v>
      </c>
      <c r="AV78" s="212">
        <v>20.83</v>
      </c>
      <c r="AW78" s="212">
        <v>20.229999999999997</v>
      </c>
      <c r="AX78" s="212">
        <v>20.529999999999998</v>
      </c>
      <c r="AY78" s="212">
        <v>4.21</v>
      </c>
      <c r="AZ78" s="212">
        <v>4.05</v>
      </c>
      <c r="BA78" s="212">
        <v>4.13</v>
      </c>
      <c r="BB78" s="212">
        <v>1.94</v>
      </c>
      <c r="BC78" s="212">
        <v>1.64</v>
      </c>
      <c r="BD78" s="212">
        <v>1.79</v>
      </c>
      <c r="BE78" s="212">
        <v>0.68</v>
      </c>
      <c r="BF78" s="212">
        <v>0.38000000000000006</v>
      </c>
      <c r="BG78" s="212">
        <v>0.53</v>
      </c>
      <c r="BH78" s="212">
        <v>489.18</v>
      </c>
      <c r="BI78" s="212">
        <v>473.18</v>
      </c>
      <c r="BJ78" s="212">
        <v>481.18</v>
      </c>
      <c r="BK78" s="212">
        <v>41.21</v>
      </c>
      <c r="BL78" s="212">
        <v>39.85</v>
      </c>
      <c r="BM78" s="212">
        <v>40.53</v>
      </c>
      <c r="BN78" s="212">
        <v>1.07</v>
      </c>
      <c r="BO78" s="212">
        <v>0.83000000000000007</v>
      </c>
      <c r="BP78" s="212">
        <v>0.95000000000000007</v>
      </c>
      <c r="BQ78" s="212">
        <v>9.7799999999999994</v>
      </c>
      <c r="BR78" s="212">
        <v>7.7799999999999994</v>
      </c>
      <c r="BS78" s="212">
        <v>8.7799999999999994</v>
      </c>
      <c r="BT78" s="212">
        <v>11.46</v>
      </c>
      <c r="BU78" s="212">
        <v>11.06</v>
      </c>
      <c r="BV78" s="212">
        <v>11.260000000000002</v>
      </c>
      <c r="BW78" s="212">
        <v>2.83</v>
      </c>
      <c r="BX78" s="212">
        <v>2.5499999999999998</v>
      </c>
      <c r="BY78" s="212">
        <v>2.69</v>
      </c>
      <c r="BZ78" s="212">
        <v>9.4</v>
      </c>
      <c r="CA78" s="212">
        <v>6.4</v>
      </c>
      <c r="CB78" s="212">
        <v>7.9</v>
      </c>
      <c r="CC78" s="212">
        <v>6.5</v>
      </c>
      <c r="CD78" s="212">
        <v>6.26</v>
      </c>
      <c r="CE78" s="212">
        <v>6.38</v>
      </c>
      <c r="CF78" s="212">
        <v>1.97</v>
      </c>
      <c r="CG78" s="212">
        <v>1.47</v>
      </c>
      <c r="CH78" s="212">
        <v>1.72</v>
      </c>
      <c r="CI78" s="212">
        <v>0.42</v>
      </c>
      <c r="CJ78" s="212">
        <v>0.38</v>
      </c>
      <c r="CK78" s="212">
        <v>0.4</v>
      </c>
      <c r="CL78" s="212">
        <v>38.79</v>
      </c>
      <c r="CM78" s="212">
        <v>36.39</v>
      </c>
      <c r="CN78" s="212">
        <v>37.590000000000003</v>
      </c>
      <c r="CO78" s="212">
        <v>7.1</v>
      </c>
      <c r="CP78" s="212">
        <v>2.0999999999999996</v>
      </c>
      <c r="CQ78" s="212">
        <v>4.5999999999999996</v>
      </c>
      <c r="CR78" s="212"/>
      <c r="CS78" s="212"/>
    </row>
    <row r="79" spans="1:97" x14ac:dyDescent="0.4">
      <c r="A79" s="209">
        <v>45365</v>
      </c>
      <c r="B79" s="210" t="s">
        <v>297</v>
      </c>
      <c r="C79" s="212">
        <v>148.68</v>
      </c>
      <c r="D79" s="212">
        <v>146.68</v>
      </c>
      <c r="E79" s="212">
        <v>147.68</v>
      </c>
      <c r="F79" s="212">
        <v>163.18</v>
      </c>
      <c r="G79" s="212">
        <v>160.18</v>
      </c>
      <c r="H79" s="212">
        <v>161.68</v>
      </c>
      <c r="I79" s="212">
        <v>111.27</v>
      </c>
      <c r="J79" s="212">
        <v>108.07</v>
      </c>
      <c r="K79" s="212">
        <v>109.66999999999999</v>
      </c>
      <c r="L79" s="212">
        <v>193.03</v>
      </c>
      <c r="M79" s="212">
        <v>185.03</v>
      </c>
      <c r="N79" s="212">
        <v>189.03</v>
      </c>
      <c r="O79" s="212">
        <v>168.95</v>
      </c>
      <c r="P79" s="212">
        <v>167.14999999999998</v>
      </c>
      <c r="Q79" s="212">
        <v>168.04999999999998</v>
      </c>
      <c r="R79" s="212">
        <v>21.98</v>
      </c>
      <c r="S79" s="212">
        <v>21.38</v>
      </c>
      <c r="T79" s="212">
        <v>21.68</v>
      </c>
      <c r="U79" s="212">
        <v>14.4</v>
      </c>
      <c r="V79" s="212">
        <v>13.8</v>
      </c>
      <c r="W79" s="212">
        <v>14.100000000000001</v>
      </c>
      <c r="X79" s="212">
        <v>14.84</v>
      </c>
      <c r="Y79" s="212">
        <v>14.04</v>
      </c>
      <c r="Z79" s="212">
        <v>14.44</v>
      </c>
      <c r="AA79" s="212">
        <v>99.85</v>
      </c>
      <c r="AB79" s="212">
        <v>95.85</v>
      </c>
      <c r="AC79" s="212">
        <v>97.85</v>
      </c>
      <c r="AD79" s="212">
        <v>93.06</v>
      </c>
      <c r="AE79" s="212">
        <v>89.06</v>
      </c>
      <c r="AF79" s="212">
        <v>91.06</v>
      </c>
      <c r="AG79" s="212">
        <v>19.309999999999999</v>
      </c>
      <c r="AH79" s="212">
        <v>18.45</v>
      </c>
      <c r="AI79" s="212">
        <v>18.88</v>
      </c>
      <c r="AJ79" s="212"/>
      <c r="AK79" s="212"/>
      <c r="AL79" s="212"/>
      <c r="AM79" s="212">
        <v>111.69</v>
      </c>
      <c r="AN79" s="212">
        <v>110.03</v>
      </c>
      <c r="AO79" s="212">
        <v>110.86</v>
      </c>
      <c r="AP79" s="212">
        <v>40.24</v>
      </c>
      <c r="AQ79" s="212">
        <v>38.64</v>
      </c>
      <c r="AR79" s="212">
        <v>39.44</v>
      </c>
      <c r="AS79" s="212">
        <v>40.950000000000003</v>
      </c>
      <c r="AT79" s="212">
        <v>39.590000000000003</v>
      </c>
      <c r="AU79" s="212">
        <v>40.270000000000003</v>
      </c>
      <c r="AV79" s="212">
        <v>20.83</v>
      </c>
      <c r="AW79" s="212">
        <v>20.229999999999997</v>
      </c>
      <c r="AX79" s="212">
        <v>20.529999999999998</v>
      </c>
      <c r="AY79" s="212">
        <v>4.22</v>
      </c>
      <c r="AZ79" s="212">
        <v>4.0599999999999996</v>
      </c>
      <c r="BA79" s="212">
        <v>4.1399999999999997</v>
      </c>
      <c r="BB79" s="212">
        <v>1.94</v>
      </c>
      <c r="BC79" s="212">
        <v>1.64</v>
      </c>
      <c r="BD79" s="212">
        <v>1.79</v>
      </c>
      <c r="BE79" s="212">
        <v>0.68</v>
      </c>
      <c r="BF79" s="212">
        <v>0.38000000000000006</v>
      </c>
      <c r="BG79" s="212">
        <v>0.53</v>
      </c>
      <c r="BH79" s="212">
        <v>489.83</v>
      </c>
      <c r="BI79" s="212">
        <v>473.83</v>
      </c>
      <c r="BJ79" s="212">
        <v>481.83</v>
      </c>
      <c r="BK79" s="212">
        <v>41.25</v>
      </c>
      <c r="BL79" s="212">
        <v>39.89</v>
      </c>
      <c r="BM79" s="212">
        <v>40.57</v>
      </c>
      <c r="BN79" s="212">
        <v>1.07</v>
      </c>
      <c r="BO79" s="212">
        <v>0.83000000000000007</v>
      </c>
      <c r="BP79" s="212">
        <v>0.95000000000000007</v>
      </c>
      <c r="BQ79" s="212">
        <v>9.86</v>
      </c>
      <c r="BR79" s="212">
        <v>7.8599999999999994</v>
      </c>
      <c r="BS79" s="212">
        <v>8.86</v>
      </c>
      <c r="BT79" s="212">
        <v>11.43</v>
      </c>
      <c r="BU79" s="212">
        <v>11.03</v>
      </c>
      <c r="BV79" s="212">
        <v>11.23</v>
      </c>
      <c r="BW79" s="212">
        <v>2.83</v>
      </c>
      <c r="BX79" s="212">
        <v>2.5499999999999998</v>
      </c>
      <c r="BY79" s="212">
        <v>2.69</v>
      </c>
      <c r="BZ79" s="212">
        <v>9.4499999999999993</v>
      </c>
      <c r="CA79" s="212">
        <v>6.4499999999999993</v>
      </c>
      <c r="CB79" s="212">
        <v>7.9499999999999993</v>
      </c>
      <c r="CC79" s="212">
        <v>6.53</v>
      </c>
      <c r="CD79" s="212">
        <v>6.29</v>
      </c>
      <c r="CE79" s="212">
        <v>6.41</v>
      </c>
      <c r="CF79" s="212">
        <v>1.87</v>
      </c>
      <c r="CG79" s="212">
        <v>1.37</v>
      </c>
      <c r="CH79" s="212">
        <v>1.62</v>
      </c>
      <c r="CI79" s="212">
        <v>0.43</v>
      </c>
      <c r="CJ79" s="212">
        <v>0.39</v>
      </c>
      <c r="CK79" s="212">
        <v>0.41000000000000003</v>
      </c>
      <c r="CL79" s="212">
        <v>38.97</v>
      </c>
      <c r="CM79" s="212">
        <v>36.57</v>
      </c>
      <c r="CN79" s="212">
        <v>37.769999999999996</v>
      </c>
      <c r="CO79" s="212">
        <v>7.1</v>
      </c>
      <c r="CP79" s="212">
        <v>2.0999999999999996</v>
      </c>
      <c r="CQ79" s="212">
        <v>4.5999999999999996</v>
      </c>
      <c r="CR79" s="212"/>
      <c r="CS79" s="212"/>
    </row>
    <row r="80" spans="1:97" x14ac:dyDescent="0.4">
      <c r="A80" s="209">
        <v>45366</v>
      </c>
      <c r="B80" s="210" t="s">
        <v>298</v>
      </c>
      <c r="C80" s="212">
        <v>149.59</v>
      </c>
      <c r="D80" s="212">
        <v>147.59</v>
      </c>
      <c r="E80" s="212">
        <v>148.59</v>
      </c>
      <c r="F80" s="212">
        <v>163.18</v>
      </c>
      <c r="G80" s="212">
        <v>160.18</v>
      </c>
      <c r="H80" s="212">
        <v>161.68</v>
      </c>
      <c r="I80" s="212">
        <v>111.38</v>
      </c>
      <c r="J80" s="212">
        <v>108.17999999999999</v>
      </c>
      <c r="K80" s="212">
        <v>109.78</v>
      </c>
      <c r="L80" s="212">
        <v>193.3</v>
      </c>
      <c r="M80" s="212">
        <v>185.3</v>
      </c>
      <c r="N80" s="212">
        <v>189.3</v>
      </c>
      <c r="O80" s="212">
        <v>168.86</v>
      </c>
      <c r="P80" s="212">
        <v>167.06</v>
      </c>
      <c r="Q80" s="212">
        <v>167.96</v>
      </c>
      <c r="R80" s="212">
        <v>21.98</v>
      </c>
      <c r="S80" s="212">
        <v>21.38</v>
      </c>
      <c r="T80" s="212">
        <v>21.68</v>
      </c>
      <c r="U80" s="212">
        <v>14.33</v>
      </c>
      <c r="V80" s="212">
        <v>13.73</v>
      </c>
      <c r="W80" s="212">
        <v>14.030000000000001</v>
      </c>
      <c r="X80" s="212">
        <v>14.75</v>
      </c>
      <c r="Y80" s="212">
        <v>13.95</v>
      </c>
      <c r="Z80" s="212">
        <v>14.35</v>
      </c>
      <c r="AA80" s="212">
        <v>99.62</v>
      </c>
      <c r="AB80" s="212">
        <v>95.62</v>
      </c>
      <c r="AC80" s="212">
        <v>97.62</v>
      </c>
      <c r="AD80" s="212">
        <v>92.82</v>
      </c>
      <c r="AE80" s="212">
        <v>88.82</v>
      </c>
      <c r="AF80" s="212">
        <v>90.82</v>
      </c>
      <c r="AG80" s="212">
        <v>19.420000000000002</v>
      </c>
      <c r="AH80" s="212">
        <v>18.560000000000002</v>
      </c>
      <c r="AI80" s="212">
        <v>18.990000000000002</v>
      </c>
      <c r="AJ80" s="212"/>
      <c r="AK80" s="212"/>
      <c r="AL80" s="212"/>
      <c r="AM80" s="212">
        <v>112.01</v>
      </c>
      <c r="AN80" s="212">
        <v>110.35000000000001</v>
      </c>
      <c r="AO80" s="212">
        <v>111.18</v>
      </c>
      <c r="AP80" s="212">
        <v>40.49</v>
      </c>
      <c r="AQ80" s="212">
        <v>38.89</v>
      </c>
      <c r="AR80" s="212">
        <v>39.69</v>
      </c>
      <c r="AS80" s="212">
        <v>41.21</v>
      </c>
      <c r="AT80" s="212">
        <v>39.85</v>
      </c>
      <c r="AU80" s="212">
        <v>40.53</v>
      </c>
      <c r="AV80" s="212">
        <v>20.93</v>
      </c>
      <c r="AW80" s="212">
        <v>20.329999999999998</v>
      </c>
      <c r="AX80" s="212">
        <v>20.63</v>
      </c>
      <c r="AY80" s="212">
        <v>4.24</v>
      </c>
      <c r="AZ80" s="212">
        <v>4.08</v>
      </c>
      <c r="BA80" s="212">
        <v>4.16</v>
      </c>
      <c r="BB80" s="212">
        <v>1.95</v>
      </c>
      <c r="BC80" s="212">
        <v>1.65</v>
      </c>
      <c r="BD80" s="212">
        <v>1.7999999999999998</v>
      </c>
      <c r="BE80" s="212">
        <v>0.68</v>
      </c>
      <c r="BF80" s="212">
        <v>0.38000000000000006</v>
      </c>
      <c r="BG80" s="212">
        <v>0.53</v>
      </c>
      <c r="BH80" s="212">
        <v>492.32</v>
      </c>
      <c r="BI80" s="212">
        <v>476.32</v>
      </c>
      <c r="BJ80" s="212">
        <v>484.32</v>
      </c>
      <c r="BK80" s="212">
        <v>41.5</v>
      </c>
      <c r="BL80" s="212">
        <v>40.14</v>
      </c>
      <c r="BM80" s="212">
        <v>40.82</v>
      </c>
      <c r="BN80" s="212">
        <v>1.08</v>
      </c>
      <c r="BO80" s="212">
        <v>0.84000000000000008</v>
      </c>
      <c r="BP80" s="212">
        <v>0.96000000000000008</v>
      </c>
      <c r="BQ80" s="212">
        <v>9.9</v>
      </c>
      <c r="BR80" s="212">
        <v>7.9</v>
      </c>
      <c r="BS80" s="212">
        <v>8.9</v>
      </c>
      <c r="BT80" s="212">
        <v>11.42</v>
      </c>
      <c r="BU80" s="212">
        <v>11.02</v>
      </c>
      <c r="BV80" s="212">
        <v>11.219999999999999</v>
      </c>
      <c r="BW80" s="212">
        <v>2.84</v>
      </c>
      <c r="BX80" s="212">
        <v>2.5599999999999996</v>
      </c>
      <c r="BY80" s="212">
        <v>2.6999999999999997</v>
      </c>
      <c r="BZ80" s="212">
        <v>9.42</v>
      </c>
      <c r="CA80" s="212">
        <v>6.42</v>
      </c>
      <c r="CB80" s="212">
        <v>7.92</v>
      </c>
      <c r="CC80" s="212">
        <v>6.55</v>
      </c>
      <c r="CD80" s="212">
        <v>6.31</v>
      </c>
      <c r="CE80" s="212">
        <v>6.43</v>
      </c>
      <c r="CF80" s="212">
        <v>1.88</v>
      </c>
      <c r="CG80" s="212">
        <v>1.38</v>
      </c>
      <c r="CH80" s="212">
        <v>1.63</v>
      </c>
      <c r="CI80" s="212">
        <v>0.43</v>
      </c>
      <c r="CJ80" s="212">
        <v>0.39</v>
      </c>
      <c r="CK80" s="212">
        <v>0.41000000000000003</v>
      </c>
      <c r="CL80" s="212">
        <v>38.82</v>
      </c>
      <c r="CM80" s="212">
        <v>36.42</v>
      </c>
      <c r="CN80" s="212">
        <v>37.620000000000005</v>
      </c>
      <c r="CO80" s="212">
        <v>7.14</v>
      </c>
      <c r="CP80" s="212">
        <v>2.1399999999999997</v>
      </c>
      <c r="CQ80" s="212">
        <v>4.6399999999999997</v>
      </c>
      <c r="CR80" s="212"/>
      <c r="CS80" s="212"/>
    </row>
    <row r="81" spans="1:97" x14ac:dyDescent="0.4">
      <c r="A81" s="209">
        <v>45367</v>
      </c>
      <c r="B81" s="210" t="s">
        <v>299</v>
      </c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212"/>
      <c r="N81" s="212"/>
      <c r="O81" s="212"/>
      <c r="P81" s="212"/>
      <c r="Q81" s="212"/>
      <c r="R81" s="212"/>
      <c r="S81" s="212"/>
      <c r="T81" s="212"/>
      <c r="U81" s="212"/>
      <c r="V81" s="212"/>
      <c r="W81" s="212"/>
      <c r="X81" s="212"/>
      <c r="Y81" s="212"/>
      <c r="Z81" s="212"/>
      <c r="AA81" s="212"/>
      <c r="AB81" s="212"/>
      <c r="AC81" s="212"/>
      <c r="AD81" s="212"/>
      <c r="AE81" s="212"/>
      <c r="AF81" s="212"/>
      <c r="AG81" s="212"/>
      <c r="AH81" s="212"/>
      <c r="AI81" s="212"/>
      <c r="AJ81" s="212"/>
      <c r="AK81" s="212"/>
      <c r="AL81" s="212"/>
      <c r="AM81" s="212"/>
      <c r="AN81" s="212"/>
      <c r="AO81" s="212"/>
      <c r="AP81" s="212"/>
      <c r="AQ81" s="212"/>
      <c r="AR81" s="212"/>
      <c r="AS81" s="212"/>
      <c r="AT81" s="212"/>
      <c r="AU81" s="212"/>
      <c r="AV81" s="212"/>
      <c r="AW81" s="212"/>
      <c r="AX81" s="212"/>
      <c r="AY81" s="212"/>
      <c r="AZ81" s="212"/>
      <c r="BA81" s="212"/>
      <c r="BB81" s="212"/>
      <c r="BC81" s="212"/>
      <c r="BD81" s="212"/>
      <c r="BE81" s="212"/>
      <c r="BF81" s="212"/>
      <c r="BG81" s="212"/>
      <c r="BH81" s="212"/>
      <c r="BI81" s="212"/>
      <c r="BJ81" s="212"/>
      <c r="BK81" s="212"/>
      <c r="BL81" s="212"/>
      <c r="BM81" s="212"/>
      <c r="BN81" s="212"/>
      <c r="BO81" s="212"/>
      <c r="BP81" s="212"/>
      <c r="BQ81" s="212"/>
      <c r="BR81" s="212"/>
      <c r="BS81" s="212"/>
      <c r="BT81" s="212"/>
      <c r="BU81" s="212"/>
      <c r="BV81" s="212"/>
      <c r="BW81" s="212"/>
      <c r="BX81" s="212"/>
      <c r="BY81" s="212"/>
      <c r="BZ81" s="212"/>
      <c r="CA81" s="212"/>
      <c r="CB81" s="212"/>
      <c r="CC81" s="212"/>
      <c r="CD81" s="212"/>
      <c r="CE81" s="212"/>
      <c r="CF81" s="212"/>
      <c r="CG81" s="212"/>
      <c r="CH81" s="212"/>
      <c r="CI81" s="212"/>
      <c r="CJ81" s="212"/>
      <c r="CK81" s="212"/>
      <c r="CL81" s="212"/>
      <c r="CM81" s="212"/>
      <c r="CN81" s="212"/>
      <c r="CO81" s="212"/>
      <c r="CP81" s="212"/>
      <c r="CQ81" s="212"/>
      <c r="CR81" s="212"/>
      <c r="CS81" s="212"/>
    </row>
    <row r="82" spans="1:97" x14ac:dyDescent="0.4">
      <c r="A82" s="209">
        <v>45368</v>
      </c>
      <c r="B82" s="210" t="s">
        <v>300</v>
      </c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212"/>
      <c r="N82" s="212"/>
      <c r="O82" s="212"/>
      <c r="P82" s="212"/>
      <c r="Q82" s="212"/>
      <c r="R82" s="212"/>
      <c r="S82" s="212"/>
      <c r="T82" s="212"/>
      <c r="U82" s="212"/>
      <c r="V82" s="212"/>
      <c r="W82" s="212"/>
      <c r="X82" s="212"/>
      <c r="Y82" s="212"/>
      <c r="Z82" s="212"/>
      <c r="AA82" s="212"/>
      <c r="AB82" s="212"/>
      <c r="AC82" s="212"/>
      <c r="AD82" s="212"/>
      <c r="AE82" s="212"/>
      <c r="AF82" s="212"/>
      <c r="AG82" s="212"/>
      <c r="AH82" s="212"/>
      <c r="AI82" s="212"/>
      <c r="AJ82" s="212"/>
      <c r="AK82" s="212"/>
      <c r="AL82" s="212"/>
      <c r="AM82" s="212"/>
      <c r="AN82" s="212"/>
      <c r="AO82" s="212"/>
      <c r="AP82" s="212"/>
      <c r="AQ82" s="212"/>
      <c r="AR82" s="212"/>
      <c r="AS82" s="212"/>
      <c r="AT82" s="212"/>
      <c r="AU82" s="212"/>
      <c r="AV82" s="212"/>
      <c r="AW82" s="212"/>
      <c r="AX82" s="212"/>
      <c r="AY82" s="212"/>
      <c r="AZ82" s="212"/>
      <c r="BA82" s="212"/>
      <c r="BB82" s="212"/>
      <c r="BC82" s="212"/>
      <c r="BD82" s="212"/>
      <c r="BE82" s="212"/>
      <c r="BF82" s="212"/>
      <c r="BG82" s="212"/>
      <c r="BH82" s="212"/>
      <c r="BI82" s="212"/>
      <c r="BJ82" s="212"/>
      <c r="BK82" s="212"/>
      <c r="BL82" s="212"/>
      <c r="BM82" s="212"/>
      <c r="BN82" s="212"/>
      <c r="BO82" s="212"/>
      <c r="BP82" s="212"/>
      <c r="BQ82" s="212"/>
      <c r="BR82" s="212"/>
      <c r="BS82" s="212"/>
      <c r="BT82" s="212"/>
      <c r="BU82" s="212"/>
      <c r="BV82" s="212"/>
      <c r="BW82" s="212"/>
      <c r="BX82" s="212"/>
      <c r="BY82" s="212"/>
      <c r="BZ82" s="212"/>
      <c r="CA82" s="212"/>
      <c r="CB82" s="212"/>
      <c r="CC82" s="212"/>
      <c r="CD82" s="212"/>
      <c r="CE82" s="212"/>
      <c r="CF82" s="212"/>
      <c r="CG82" s="212"/>
      <c r="CH82" s="212"/>
      <c r="CI82" s="212"/>
      <c r="CJ82" s="212"/>
      <c r="CK82" s="212"/>
      <c r="CL82" s="212"/>
      <c r="CM82" s="212"/>
      <c r="CN82" s="212"/>
      <c r="CO82" s="212"/>
      <c r="CP82" s="212"/>
      <c r="CQ82" s="212"/>
      <c r="CR82" s="212"/>
      <c r="CS82" s="212"/>
    </row>
    <row r="83" spans="1:97" x14ac:dyDescent="0.4">
      <c r="A83" s="209">
        <v>45369</v>
      </c>
      <c r="B83" s="210" t="s">
        <v>294</v>
      </c>
      <c r="C83" s="212">
        <v>150.32</v>
      </c>
      <c r="D83" s="212">
        <v>148.32</v>
      </c>
      <c r="E83" s="212">
        <v>149.32</v>
      </c>
      <c r="F83" s="212">
        <v>164.08</v>
      </c>
      <c r="G83" s="212">
        <v>161.08000000000001</v>
      </c>
      <c r="H83" s="212">
        <v>162.58000000000001</v>
      </c>
      <c r="I83" s="212">
        <v>111.85</v>
      </c>
      <c r="J83" s="212">
        <v>108.64999999999999</v>
      </c>
      <c r="K83" s="212">
        <v>110.25</v>
      </c>
      <c r="L83" s="212">
        <v>194.13</v>
      </c>
      <c r="M83" s="212">
        <v>186.13</v>
      </c>
      <c r="N83" s="212">
        <v>190.13</v>
      </c>
      <c r="O83" s="212">
        <v>169.89</v>
      </c>
      <c r="P83" s="212">
        <v>168.08999999999997</v>
      </c>
      <c r="Q83" s="212">
        <v>168.98999999999998</v>
      </c>
      <c r="R83" s="212">
        <v>22.1</v>
      </c>
      <c r="S83" s="212">
        <v>21.5</v>
      </c>
      <c r="T83" s="212">
        <v>21.8</v>
      </c>
      <c r="U83" s="212">
        <v>14.38</v>
      </c>
      <c r="V83" s="212">
        <v>13.780000000000001</v>
      </c>
      <c r="W83" s="212">
        <v>14.080000000000002</v>
      </c>
      <c r="X83" s="212">
        <v>14.8</v>
      </c>
      <c r="Y83" s="212">
        <v>14</v>
      </c>
      <c r="Z83" s="212">
        <v>14.4</v>
      </c>
      <c r="AA83" s="212">
        <v>99.95</v>
      </c>
      <c r="AB83" s="212">
        <v>95.95</v>
      </c>
      <c r="AC83" s="212">
        <v>97.95</v>
      </c>
      <c r="AD83" s="212">
        <v>92.89</v>
      </c>
      <c r="AE83" s="212">
        <v>88.89</v>
      </c>
      <c r="AF83" s="212">
        <v>90.89</v>
      </c>
      <c r="AG83" s="212">
        <v>19.52</v>
      </c>
      <c r="AH83" s="212">
        <v>18.66</v>
      </c>
      <c r="AI83" s="212">
        <v>19.09</v>
      </c>
      <c r="AJ83" s="212"/>
      <c r="AK83" s="212"/>
      <c r="AL83" s="212"/>
      <c r="AM83" s="212">
        <v>112.38</v>
      </c>
      <c r="AN83" s="212">
        <v>110.72</v>
      </c>
      <c r="AO83" s="212">
        <v>111.55</v>
      </c>
      <c r="AP83" s="212">
        <v>40.68</v>
      </c>
      <c r="AQ83" s="212">
        <v>39.08</v>
      </c>
      <c r="AR83" s="212">
        <v>39.879999999999995</v>
      </c>
      <c r="AS83" s="212">
        <v>41.41</v>
      </c>
      <c r="AT83" s="212">
        <v>40.049999999999997</v>
      </c>
      <c r="AU83" s="212">
        <v>40.729999999999997</v>
      </c>
      <c r="AV83" s="212">
        <v>21.02</v>
      </c>
      <c r="AW83" s="212">
        <v>20.419999999999998</v>
      </c>
      <c r="AX83" s="212">
        <v>20.72</v>
      </c>
      <c r="AY83" s="212">
        <v>4.24</v>
      </c>
      <c r="AZ83" s="212">
        <v>4.08</v>
      </c>
      <c r="BA83" s="212">
        <v>4.16</v>
      </c>
      <c r="BB83" s="212">
        <v>1.96</v>
      </c>
      <c r="BC83" s="212">
        <v>1.66</v>
      </c>
      <c r="BD83" s="212">
        <v>1.81</v>
      </c>
      <c r="BE83" s="212">
        <v>0.69</v>
      </c>
      <c r="BF83" s="212">
        <v>0.38999999999999996</v>
      </c>
      <c r="BG83" s="212">
        <v>0.53999999999999992</v>
      </c>
      <c r="BH83" s="212">
        <v>494.7</v>
      </c>
      <c r="BI83" s="212">
        <v>478.7</v>
      </c>
      <c r="BJ83" s="212">
        <v>486.7</v>
      </c>
      <c r="BK83" s="212">
        <v>41.68</v>
      </c>
      <c r="BL83" s="212">
        <v>40.32</v>
      </c>
      <c r="BM83" s="212">
        <v>41</v>
      </c>
      <c r="BN83" s="212">
        <v>1.08</v>
      </c>
      <c r="BO83" s="212">
        <v>0.84000000000000008</v>
      </c>
      <c r="BP83" s="212">
        <v>0.96000000000000008</v>
      </c>
      <c r="BQ83" s="212">
        <v>9.93</v>
      </c>
      <c r="BR83" s="212">
        <v>7.93</v>
      </c>
      <c r="BS83" s="212">
        <v>8.93</v>
      </c>
      <c r="BT83" s="212">
        <v>11.43</v>
      </c>
      <c r="BU83" s="212">
        <v>11.03</v>
      </c>
      <c r="BV83" s="212">
        <v>11.23</v>
      </c>
      <c r="BW83" s="212">
        <v>2.85</v>
      </c>
      <c r="BX83" s="212">
        <v>2.5700000000000003</v>
      </c>
      <c r="BY83" s="212">
        <v>2.71</v>
      </c>
      <c r="BZ83" s="212">
        <v>9.4600000000000009</v>
      </c>
      <c r="CA83" s="212">
        <v>6.4600000000000009</v>
      </c>
      <c r="CB83" s="212">
        <v>7.9600000000000009</v>
      </c>
      <c r="CC83" s="212">
        <v>6.59</v>
      </c>
      <c r="CD83" s="212">
        <v>6.35</v>
      </c>
      <c r="CE83" s="212">
        <v>6.47</v>
      </c>
      <c r="CF83" s="212">
        <v>1.86</v>
      </c>
      <c r="CG83" s="212">
        <v>1.36</v>
      </c>
      <c r="CH83" s="212">
        <v>1.61</v>
      </c>
      <c r="CI83" s="212">
        <v>0.43</v>
      </c>
      <c r="CJ83" s="212">
        <v>0.39</v>
      </c>
      <c r="CK83" s="212">
        <v>0.41000000000000003</v>
      </c>
      <c r="CL83" s="212">
        <v>39.01</v>
      </c>
      <c r="CM83" s="212">
        <v>36.61</v>
      </c>
      <c r="CN83" s="212">
        <v>37.81</v>
      </c>
      <c r="CO83" s="212">
        <v>7.13</v>
      </c>
      <c r="CP83" s="212">
        <v>2.13</v>
      </c>
      <c r="CQ83" s="212">
        <v>4.63</v>
      </c>
      <c r="CR83" s="212"/>
      <c r="CS83" s="212"/>
    </row>
    <row r="84" spans="1:97" x14ac:dyDescent="0.4">
      <c r="A84" s="209">
        <v>45370</v>
      </c>
      <c r="B84" s="210" t="s">
        <v>295</v>
      </c>
      <c r="C84" s="212">
        <v>150.28</v>
      </c>
      <c r="D84" s="212">
        <v>148.28</v>
      </c>
      <c r="E84" s="212">
        <v>149.28</v>
      </c>
      <c r="F84" s="212">
        <v>163.75</v>
      </c>
      <c r="G84" s="212">
        <v>160.75</v>
      </c>
      <c r="H84" s="212">
        <v>162.25</v>
      </c>
      <c r="I84" s="212">
        <v>111.82</v>
      </c>
      <c r="J84" s="212">
        <v>108.61999999999999</v>
      </c>
      <c r="K84" s="212">
        <v>110.22</v>
      </c>
      <c r="L84" s="212">
        <v>193.91</v>
      </c>
      <c r="M84" s="212">
        <v>185.91</v>
      </c>
      <c r="N84" s="212">
        <v>189.91</v>
      </c>
      <c r="O84" s="212">
        <v>168.95</v>
      </c>
      <c r="P84" s="212">
        <v>167.14999999999998</v>
      </c>
      <c r="Q84" s="212">
        <v>168.04999999999998</v>
      </c>
      <c r="R84" s="212">
        <v>22.06</v>
      </c>
      <c r="S84" s="212">
        <v>21.459999999999997</v>
      </c>
      <c r="T84" s="212">
        <v>21.759999999999998</v>
      </c>
      <c r="U84" s="212">
        <v>14.31</v>
      </c>
      <c r="V84" s="212">
        <v>13.71</v>
      </c>
      <c r="W84" s="212">
        <v>14.010000000000002</v>
      </c>
      <c r="X84" s="212">
        <v>14.7</v>
      </c>
      <c r="Y84" s="212">
        <v>13.899999999999999</v>
      </c>
      <c r="Z84" s="212">
        <v>14.299999999999999</v>
      </c>
      <c r="AA84" s="212">
        <v>99.78</v>
      </c>
      <c r="AB84" s="212">
        <v>95.78</v>
      </c>
      <c r="AC84" s="212">
        <v>97.78</v>
      </c>
      <c r="AD84" s="212">
        <v>92.67</v>
      </c>
      <c r="AE84" s="212">
        <v>88.67</v>
      </c>
      <c r="AF84" s="212">
        <v>90.67</v>
      </c>
      <c r="AG84" s="212">
        <v>19.52</v>
      </c>
      <c r="AH84" s="212">
        <v>18.66</v>
      </c>
      <c r="AI84" s="212">
        <v>19.09</v>
      </c>
      <c r="AJ84" s="212"/>
      <c r="AK84" s="212"/>
      <c r="AL84" s="212"/>
      <c r="AM84" s="212">
        <v>112.3</v>
      </c>
      <c r="AN84" s="212">
        <v>110.64</v>
      </c>
      <c r="AO84" s="212">
        <v>111.47</v>
      </c>
      <c r="AP84" s="212">
        <v>40.67</v>
      </c>
      <c r="AQ84" s="212">
        <v>39.07</v>
      </c>
      <c r="AR84" s="212">
        <v>39.870000000000005</v>
      </c>
      <c r="AS84" s="212">
        <v>41.4</v>
      </c>
      <c r="AT84" s="212">
        <v>40.04</v>
      </c>
      <c r="AU84" s="212">
        <v>40.72</v>
      </c>
      <c r="AV84" s="212">
        <v>21.02</v>
      </c>
      <c r="AW84" s="212">
        <v>20.419999999999998</v>
      </c>
      <c r="AX84" s="212">
        <v>20.72</v>
      </c>
      <c r="AY84" s="212">
        <v>4.24</v>
      </c>
      <c r="AZ84" s="212">
        <v>4.08</v>
      </c>
      <c r="BA84" s="212">
        <v>4.16</v>
      </c>
      <c r="BB84" s="212">
        <v>1.96</v>
      </c>
      <c r="BC84" s="212">
        <v>1.66</v>
      </c>
      <c r="BD84" s="212">
        <v>1.81</v>
      </c>
      <c r="BE84" s="212">
        <v>0.69</v>
      </c>
      <c r="BF84" s="212">
        <v>0.38999999999999996</v>
      </c>
      <c r="BG84" s="212">
        <v>0.53999999999999992</v>
      </c>
      <c r="BH84" s="212">
        <v>492.83</v>
      </c>
      <c r="BI84" s="212">
        <v>476.83</v>
      </c>
      <c r="BJ84" s="212">
        <v>484.83</v>
      </c>
      <c r="BK84" s="212">
        <v>41.67</v>
      </c>
      <c r="BL84" s="212">
        <v>40.31</v>
      </c>
      <c r="BM84" s="212">
        <v>40.99</v>
      </c>
      <c r="BN84" s="212">
        <v>1.07</v>
      </c>
      <c r="BO84" s="212">
        <v>0.83000000000000007</v>
      </c>
      <c r="BP84" s="212">
        <v>0.95000000000000007</v>
      </c>
      <c r="BQ84" s="212">
        <v>9.8699999999999992</v>
      </c>
      <c r="BR84" s="212">
        <v>7.8699999999999992</v>
      </c>
      <c r="BS84" s="212">
        <v>8.8699999999999992</v>
      </c>
      <c r="BT84" s="212">
        <v>11.37</v>
      </c>
      <c r="BU84" s="212">
        <v>10.969999999999999</v>
      </c>
      <c r="BV84" s="212">
        <v>11.169999999999998</v>
      </c>
      <c r="BW84" s="212">
        <v>2.85</v>
      </c>
      <c r="BX84" s="212">
        <v>2.5700000000000003</v>
      </c>
      <c r="BY84" s="212">
        <v>2.71</v>
      </c>
      <c r="BZ84" s="212">
        <v>9.3699999999999992</v>
      </c>
      <c r="CA84" s="212">
        <v>6.3699999999999992</v>
      </c>
      <c r="CB84" s="212">
        <v>7.8699999999999992</v>
      </c>
      <c r="CC84" s="212">
        <v>6.55</v>
      </c>
      <c r="CD84" s="212">
        <v>6.31</v>
      </c>
      <c r="CE84" s="212">
        <v>6.43</v>
      </c>
      <c r="CF84" s="212">
        <v>1.88</v>
      </c>
      <c r="CG84" s="212">
        <v>1.38</v>
      </c>
      <c r="CH84" s="212">
        <v>1.63</v>
      </c>
      <c r="CI84" s="212">
        <v>0.43</v>
      </c>
      <c r="CJ84" s="212">
        <v>0.39</v>
      </c>
      <c r="CK84" s="212">
        <v>0.41000000000000003</v>
      </c>
      <c r="CL84" s="212">
        <v>38.72</v>
      </c>
      <c r="CM84" s="212">
        <v>36.32</v>
      </c>
      <c r="CN84" s="212">
        <v>37.519999999999996</v>
      </c>
      <c r="CO84" s="212">
        <v>7.12</v>
      </c>
      <c r="CP84" s="212">
        <v>2.12</v>
      </c>
      <c r="CQ84" s="212">
        <v>4.62</v>
      </c>
      <c r="CR84" s="212"/>
      <c r="CS84" s="212"/>
    </row>
    <row r="85" spans="1:97" x14ac:dyDescent="0.4">
      <c r="A85" s="209">
        <v>45371</v>
      </c>
      <c r="B85" s="210" t="s">
        <v>296</v>
      </c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212"/>
      <c r="N85" s="212"/>
      <c r="O85" s="212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2"/>
      <c r="AA85" s="212"/>
      <c r="AB85" s="212"/>
      <c r="AC85" s="212"/>
      <c r="AD85" s="212"/>
      <c r="AE85" s="212"/>
      <c r="AF85" s="212"/>
      <c r="AG85" s="212"/>
      <c r="AH85" s="212"/>
      <c r="AI85" s="212"/>
      <c r="AJ85" s="212"/>
      <c r="AK85" s="212"/>
      <c r="AL85" s="212"/>
      <c r="AM85" s="212"/>
      <c r="AN85" s="212"/>
      <c r="AO85" s="212"/>
      <c r="AP85" s="212"/>
      <c r="AQ85" s="212"/>
      <c r="AR85" s="212"/>
      <c r="AS85" s="212"/>
      <c r="AT85" s="212"/>
      <c r="AU85" s="212"/>
      <c r="AV85" s="212"/>
      <c r="AW85" s="212"/>
      <c r="AX85" s="212"/>
      <c r="AY85" s="212"/>
      <c r="AZ85" s="212"/>
      <c r="BA85" s="212"/>
      <c r="BB85" s="212"/>
      <c r="BC85" s="212"/>
      <c r="BD85" s="212"/>
      <c r="BE85" s="212"/>
      <c r="BF85" s="212"/>
      <c r="BG85" s="212"/>
      <c r="BH85" s="212"/>
      <c r="BI85" s="212"/>
      <c r="BJ85" s="212"/>
      <c r="BK85" s="212"/>
      <c r="BL85" s="212"/>
      <c r="BM85" s="212"/>
      <c r="BN85" s="212"/>
      <c r="BO85" s="212"/>
      <c r="BP85" s="212"/>
      <c r="BQ85" s="212"/>
      <c r="BR85" s="212"/>
      <c r="BS85" s="212"/>
      <c r="BT85" s="212"/>
      <c r="BU85" s="212"/>
      <c r="BV85" s="212"/>
      <c r="BW85" s="212"/>
      <c r="BX85" s="212"/>
      <c r="BY85" s="212"/>
      <c r="BZ85" s="212"/>
      <c r="CA85" s="212"/>
      <c r="CB85" s="212"/>
      <c r="CC85" s="212"/>
      <c r="CD85" s="212"/>
      <c r="CE85" s="212"/>
      <c r="CF85" s="212"/>
      <c r="CG85" s="212"/>
      <c r="CH85" s="212"/>
      <c r="CI85" s="212"/>
      <c r="CJ85" s="212"/>
      <c r="CK85" s="212"/>
      <c r="CL85" s="212"/>
      <c r="CM85" s="212"/>
      <c r="CN85" s="212"/>
      <c r="CO85" s="212"/>
      <c r="CP85" s="212"/>
      <c r="CQ85" s="212"/>
      <c r="CR85" s="212"/>
      <c r="CS85" s="212"/>
    </row>
    <row r="86" spans="1:97" x14ac:dyDescent="0.4">
      <c r="A86" s="209">
        <v>45372</v>
      </c>
      <c r="B86" s="210" t="s">
        <v>297</v>
      </c>
      <c r="C86" s="212">
        <v>151.79</v>
      </c>
      <c r="D86" s="212">
        <v>149.79</v>
      </c>
      <c r="E86" s="212">
        <v>150.79</v>
      </c>
      <c r="F86" s="212">
        <v>166.31</v>
      </c>
      <c r="G86" s="212">
        <v>163.31</v>
      </c>
      <c r="H86" s="212">
        <v>164.81</v>
      </c>
      <c r="I86" s="212">
        <v>113.52</v>
      </c>
      <c r="J86" s="212">
        <v>110.32</v>
      </c>
      <c r="K86" s="212">
        <v>111.91999999999999</v>
      </c>
      <c r="L86" s="212">
        <v>196.92</v>
      </c>
      <c r="M86" s="212">
        <v>188.92</v>
      </c>
      <c r="N86" s="212">
        <v>192.92</v>
      </c>
      <c r="O86" s="212">
        <v>171.13</v>
      </c>
      <c r="P86" s="212">
        <v>169.32999999999998</v>
      </c>
      <c r="Q86" s="212">
        <v>170.23</v>
      </c>
      <c r="R86" s="212">
        <v>22.4</v>
      </c>
      <c r="S86" s="212">
        <v>21.799999999999997</v>
      </c>
      <c r="T86" s="212">
        <v>22.099999999999998</v>
      </c>
      <c r="U86" s="212">
        <v>14.6</v>
      </c>
      <c r="V86" s="212">
        <v>14</v>
      </c>
      <c r="W86" s="212">
        <v>14.3</v>
      </c>
      <c r="X86" s="212">
        <v>14.93</v>
      </c>
      <c r="Y86" s="212">
        <v>14.129999999999999</v>
      </c>
      <c r="Z86" s="212">
        <v>14.53</v>
      </c>
      <c r="AA86" s="212">
        <v>101.69</v>
      </c>
      <c r="AB86" s="212">
        <v>97.69</v>
      </c>
      <c r="AC86" s="212">
        <v>99.69</v>
      </c>
      <c r="AD86" s="212">
        <v>93.83</v>
      </c>
      <c r="AE86" s="212">
        <v>89.83</v>
      </c>
      <c r="AF86" s="212">
        <v>91.83</v>
      </c>
      <c r="AG86" s="212">
        <v>19.71</v>
      </c>
      <c r="AH86" s="212">
        <v>18.850000000000001</v>
      </c>
      <c r="AI86" s="212">
        <v>19.28</v>
      </c>
      <c r="AJ86" s="212"/>
      <c r="AK86" s="212"/>
      <c r="AL86" s="212"/>
      <c r="AM86" s="212">
        <v>113.49</v>
      </c>
      <c r="AN86" s="212">
        <v>111.83</v>
      </c>
      <c r="AO86" s="212">
        <v>112.66</v>
      </c>
      <c r="AP86" s="212">
        <v>41.08</v>
      </c>
      <c r="AQ86" s="212">
        <v>39.479999999999997</v>
      </c>
      <c r="AR86" s="212">
        <v>40.28</v>
      </c>
      <c r="AS86" s="212">
        <v>41.81</v>
      </c>
      <c r="AT86" s="212">
        <v>40.450000000000003</v>
      </c>
      <c r="AU86" s="212">
        <v>41.13</v>
      </c>
      <c r="AV86" s="212">
        <v>21.22</v>
      </c>
      <c r="AW86" s="212">
        <v>20.619999999999997</v>
      </c>
      <c r="AX86" s="212">
        <v>20.919999999999998</v>
      </c>
      <c r="AY86" s="212">
        <v>4.28</v>
      </c>
      <c r="AZ86" s="212">
        <v>4.12</v>
      </c>
      <c r="BA86" s="212">
        <v>4.2</v>
      </c>
      <c r="BB86" s="212">
        <v>1.98</v>
      </c>
      <c r="BC86" s="212">
        <v>1.68</v>
      </c>
      <c r="BD86" s="212">
        <v>1.83</v>
      </c>
      <c r="BE86" s="212">
        <v>0.69</v>
      </c>
      <c r="BF86" s="212">
        <v>0.38999999999999996</v>
      </c>
      <c r="BG86" s="212">
        <v>0.53999999999999992</v>
      </c>
      <c r="BH86" s="212">
        <v>499.33</v>
      </c>
      <c r="BI86" s="212">
        <v>483.33</v>
      </c>
      <c r="BJ86" s="212">
        <v>491.33</v>
      </c>
      <c r="BK86" s="212">
        <v>41.95</v>
      </c>
      <c r="BL86" s="212">
        <v>40.590000000000003</v>
      </c>
      <c r="BM86" s="212">
        <v>41.27</v>
      </c>
      <c r="BN86" s="212">
        <v>1.08</v>
      </c>
      <c r="BO86" s="212">
        <v>0.84000000000000008</v>
      </c>
      <c r="BP86" s="212">
        <v>0.96000000000000008</v>
      </c>
      <c r="BQ86" s="212">
        <v>10.039999999999999</v>
      </c>
      <c r="BR86" s="212">
        <v>8.0399999999999991</v>
      </c>
      <c r="BS86" s="212">
        <v>9.0399999999999991</v>
      </c>
      <c r="BT86" s="212">
        <v>11.57</v>
      </c>
      <c r="BU86" s="212">
        <v>11.17</v>
      </c>
      <c r="BV86" s="212">
        <v>11.370000000000001</v>
      </c>
      <c r="BW86" s="212">
        <v>2.85</v>
      </c>
      <c r="BX86" s="212">
        <v>2.5700000000000003</v>
      </c>
      <c r="BY86" s="212">
        <v>2.71</v>
      </c>
      <c r="BZ86" s="212">
        <v>9.56</v>
      </c>
      <c r="CA86" s="212">
        <v>6.5600000000000005</v>
      </c>
      <c r="CB86" s="212">
        <v>8.06</v>
      </c>
      <c r="CC86" s="212">
        <v>6.67</v>
      </c>
      <c r="CD86" s="212">
        <v>6.43</v>
      </c>
      <c r="CE86" s="212">
        <v>6.55</v>
      </c>
      <c r="CF86" s="212">
        <v>1.89</v>
      </c>
      <c r="CG86" s="212">
        <v>1.39</v>
      </c>
      <c r="CH86" s="212">
        <v>1.64</v>
      </c>
      <c r="CI86" s="212">
        <v>0.44</v>
      </c>
      <c r="CJ86" s="212">
        <v>0.4</v>
      </c>
      <c r="CK86" s="212">
        <v>0.42000000000000004</v>
      </c>
      <c r="CL86" s="212">
        <v>39.450000000000003</v>
      </c>
      <c r="CM86" s="212">
        <v>37.050000000000004</v>
      </c>
      <c r="CN86" s="212">
        <v>38.25</v>
      </c>
      <c r="CO86" s="212">
        <v>7.16</v>
      </c>
      <c r="CP86" s="212">
        <v>2.16</v>
      </c>
      <c r="CQ86" s="212">
        <v>4.66</v>
      </c>
      <c r="CR86" s="212"/>
      <c r="CS86" s="212"/>
    </row>
    <row r="87" spans="1:97" x14ac:dyDescent="0.4">
      <c r="A87" s="209">
        <v>45373</v>
      </c>
      <c r="B87" s="210" t="s">
        <v>298</v>
      </c>
      <c r="C87" s="212">
        <v>152.59</v>
      </c>
      <c r="D87" s="212">
        <v>150.59</v>
      </c>
      <c r="E87" s="212">
        <v>151.59</v>
      </c>
      <c r="F87" s="212">
        <v>166.2</v>
      </c>
      <c r="G87" s="212">
        <v>163.19999999999999</v>
      </c>
      <c r="H87" s="212">
        <v>164.7</v>
      </c>
      <c r="I87" s="212">
        <v>113.69</v>
      </c>
      <c r="J87" s="212">
        <v>110.49</v>
      </c>
      <c r="K87" s="212">
        <v>112.09</v>
      </c>
      <c r="L87" s="212">
        <v>196.13</v>
      </c>
      <c r="M87" s="212">
        <v>188.13</v>
      </c>
      <c r="N87" s="212">
        <v>192.13</v>
      </c>
      <c r="O87" s="212">
        <v>169.8</v>
      </c>
      <c r="P87" s="212">
        <v>168</v>
      </c>
      <c r="Q87" s="212">
        <v>168.9</v>
      </c>
      <c r="R87" s="212">
        <v>22.38</v>
      </c>
      <c r="S87" s="212">
        <v>21.779999999999998</v>
      </c>
      <c r="T87" s="212">
        <v>22.08</v>
      </c>
      <c r="U87" s="212">
        <v>14.52</v>
      </c>
      <c r="V87" s="212">
        <v>13.92</v>
      </c>
      <c r="W87" s="212">
        <v>14.219999999999999</v>
      </c>
      <c r="X87" s="212">
        <v>14.88</v>
      </c>
      <c r="Y87" s="212">
        <v>14.08</v>
      </c>
      <c r="Z87" s="212">
        <v>14.48</v>
      </c>
      <c r="AA87" s="212">
        <v>101.67</v>
      </c>
      <c r="AB87" s="212">
        <v>97.67</v>
      </c>
      <c r="AC87" s="212">
        <v>99.67</v>
      </c>
      <c r="AD87" s="212">
        <v>93.71</v>
      </c>
      <c r="AE87" s="212">
        <v>89.71</v>
      </c>
      <c r="AF87" s="212">
        <v>91.71</v>
      </c>
      <c r="AG87" s="212">
        <v>19.809999999999999</v>
      </c>
      <c r="AH87" s="212">
        <v>18.95</v>
      </c>
      <c r="AI87" s="212">
        <v>19.38</v>
      </c>
      <c r="AJ87" s="212"/>
      <c r="AK87" s="212"/>
      <c r="AL87" s="212"/>
      <c r="AM87" s="212">
        <v>113.7</v>
      </c>
      <c r="AN87" s="212">
        <v>112.04</v>
      </c>
      <c r="AO87" s="212">
        <v>112.87</v>
      </c>
      <c r="AP87" s="212">
        <v>41.29</v>
      </c>
      <c r="AQ87" s="212">
        <v>39.69</v>
      </c>
      <c r="AR87" s="212">
        <v>40.489999999999995</v>
      </c>
      <c r="AS87" s="212">
        <v>41.88</v>
      </c>
      <c r="AT87" s="212">
        <v>40.520000000000003</v>
      </c>
      <c r="AU87" s="212">
        <v>41.2</v>
      </c>
      <c r="AV87" s="212">
        <v>21.3</v>
      </c>
      <c r="AW87" s="212">
        <v>20.7</v>
      </c>
      <c r="AX87" s="212">
        <v>21</v>
      </c>
      <c r="AY87" s="212">
        <v>4.26</v>
      </c>
      <c r="AZ87" s="212">
        <v>4.0999999999999996</v>
      </c>
      <c r="BA87" s="212">
        <v>4.18</v>
      </c>
      <c r="BB87" s="212">
        <v>1.98</v>
      </c>
      <c r="BC87" s="212">
        <v>1.68</v>
      </c>
      <c r="BD87" s="212">
        <v>1.83</v>
      </c>
      <c r="BE87" s="212">
        <v>0.7</v>
      </c>
      <c r="BF87" s="212">
        <v>0.39999999999999997</v>
      </c>
      <c r="BG87" s="212">
        <v>0.54999999999999993</v>
      </c>
      <c r="BH87" s="212">
        <v>501.78</v>
      </c>
      <c r="BI87" s="212">
        <v>485.78</v>
      </c>
      <c r="BJ87" s="212">
        <v>493.78</v>
      </c>
      <c r="BK87" s="212">
        <v>42.31</v>
      </c>
      <c r="BL87" s="212">
        <v>40.950000000000003</v>
      </c>
      <c r="BM87" s="212">
        <v>41.63</v>
      </c>
      <c r="BN87" s="212">
        <v>1.0900000000000001</v>
      </c>
      <c r="BO87" s="212">
        <v>0.85000000000000009</v>
      </c>
      <c r="BP87" s="212">
        <v>0.97000000000000008</v>
      </c>
      <c r="BQ87" s="212">
        <v>10.07</v>
      </c>
      <c r="BR87" s="212">
        <v>8.07</v>
      </c>
      <c r="BS87" s="212">
        <v>9.07</v>
      </c>
      <c r="BT87" s="212">
        <v>11.61</v>
      </c>
      <c r="BU87" s="212">
        <v>11.209999999999999</v>
      </c>
      <c r="BV87" s="212">
        <v>11.41</v>
      </c>
      <c r="BW87" s="212">
        <v>2.87</v>
      </c>
      <c r="BX87" s="212">
        <v>2.59</v>
      </c>
      <c r="BY87" s="212">
        <v>2.73</v>
      </c>
      <c r="BZ87" s="212">
        <v>9.56</v>
      </c>
      <c r="CA87" s="212">
        <v>6.5600000000000005</v>
      </c>
      <c r="CB87" s="212">
        <v>8.06</v>
      </c>
      <c r="CC87" s="212">
        <v>6.63</v>
      </c>
      <c r="CD87" s="212">
        <v>6.39</v>
      </c>
      <c r="CE87" s="212">
        <v>6.51</v>
      </c>
      <c r="CF87" s="212">
        <v>1.9</v>
      </c>
      <c r="CG87" s="212">
        <v>1.4</v>
      </c>
      <c r="CH87" s="212">
        <v>1.65</v>
      </c>
      <c r="CI87" s="212">
        <v>0.44</v>
      </c>
      <c r="CJ87" s="212">
        <v>0.4</v>
      </c>
      <c r="CK87" s="212">
        <v>0.42000000000000004</v>
      </c>
      <c r="CL87" s="212">
        <v>39.479999999999997</v>
      </c>
      <c r="CM87" s="212">
        <v>37.08</v>
      </c>
      <c r="CN87" s="212">
        <v>38.28</v>
      </c>
      <c r="CO87" s="212">
        <v>7.24</v>
      </c>
      <c r="CP87" s="212">
        <v>2.2400000000000002</v>
      </c>
      <c r="CQ87" s="212">
        <v>4.74</v>
      </c>
      <c r="CR87" s="212"/>
      <c r="CS87" s="212"/>
    </row>
    <row r="88" spans="1:97" x14ac:dyDescent="0.4">
      <c r="A88" s="209">
        <v>45374</v>
      </c>
      <c r="B88" s="210" t="s">
        <v>299</v>
      </c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212"/>
      <c r="N88" s="212"/>
      <c r="O88" s="212"/>
      <c r="P88" s="212"/>
      <c r="Q88" s="212"/>
      <c r="R88" s="212"/>
      <c r="S88" s="212"/>
      <c r="T88" s="212"/>
      <c r="U88" s="212"/>
      <c r="V88" s="212"/>
      <c r="W88" s="212"/>
      <c r="X88" s="212"/>
      <c r="Y88" s="212"/>
      <c r="Z88" s="212"/>
      <c r="AA88" s="212"/>
      <c r="AB88" s="212"/>
      <c r="AC88" s="212"/>
      <c r="AD88" s="212"/>
      <c r="AE88" s="212"/>
      <c r="AF88" s="212"/>
      <c r="AG88" s="212"/>
      <c r="AH88" s="212"/>
      <c r="AI88" s="212"/>
      <c r="AJ88" s="212"/>
      <c r="AK88" s="212"/>
      <c r="AL88" s="212"/>
      <c r="AM88" s="212"/>
      <c r="AN88" s="212"/>
      <c r="AO88" s="212"/>
      <c r="AP88" s="212"/>
      <c r="AQ88" s="212"/>
      <c r="AR88" s="212"/>
      <c r="AS88" s="212"/>
      <c r="AT88" s="212"/>
      <c r="AU88" s="212"/>
      <c r="AV88" s="212"/>
      <c r="AW88" s="212"/>
      <c r="AX88" s="212"/>
      <c r="AY88" s="212"/>
      <c r="AZ88" s="212"/>
      <c r="BA88" s="212"/>
      <c r="BB88" s="212"/>
      <c r="BC88" s="212"/>
      <c r="BD88" s="212"/>
      <c r="BE88" s="212"/>
      <c r="BF88" s="212"/>
      <c r="BG88" s="212"/>
      <c r="BH88" s="212"/>
      <c r="BI88" s="212"/>
      <c r="BJ88" s="212"/>
      <c r="BK88" s="212"/>
      <c r="BL88" s="212"/>
      <c r="BM88" s="212"/>
      <c r="BN88" s="212"/>
      <c r="BO88" s="212"/>
      <c r="BP88" s="212"/>
      <c r="BQ88" s="212"/>
      <c r="BR88" s="212"/>
      <c r="BS88" s="212"/>
      <c r="BT88" s="212"/>
      <c r="BU88" s="212"/>
      <c r="BV88" s="212"/>
      <c r="BW88" s="212"/>
      <c r="BX88" s="212"/>
      <c r="BY88" s="212"/>
      <c r="BZ88" s="212"/>
      <c r="CA88" s="212"/>
      <c r="CB88" s="212"/>
      <c r="CC88" s="212"/>
      <c r="CD88" s="212"/>
      <c r="CE88" s="212"/>
      <c r="CF88" s="212"/>
      <c r="CG88" s="212"/>
      <c r="CH88" s="212"/>
      <c r="CI88" s="212"/>
      <c r="CJ88" s="212"/>
      <c r="CK88" s="212"/>
      <c r="CL88" s="212"/>
      <c r="CM88" s="212"/>
      <c r="CN88" s="212"/>
      <c r="CO88" s="212"/>
      <c r="CP88" s="212"/>
      <c r="CQ88" s="212"/>
      <c r="CR88" s="212"/>
      <c r="CS88" s="212"/>
    </row>
    <row r="89" spans="1:97" x14ac:dyDescent="0.4">
      <c r="A89" s="209">
        <v>45375</v>
      </c>
      <c r="B89" s="210" t="s">
        <v>300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  <c r="R89" s="212"/>
      <c r="S89" s="212"/>
      <c r="T89" s="212"/>
      <c r="U89" s="212"/>
      <c r="V89" s="212"/>
      <c r="W89" s="212"/>
      <c r="X89" s="212"/>
      <c r="Y89" s="212"/>
      <c r="Z89" s="212"/>
      <c r="AA89" s="212"/>
      <c r="AB89" s="212"/>
      <c r="AC89" s="212"/>
      <c r="AD89" s="212"/>
      <c r="AE89" s="212"/>
      <c r="AF89" s="212"/>
      <c r="AG89" s="212"/>
      <c r="AH89" s="212"/>
      <c r="AI89" s="212"/>
      <c r="AJ89" s="212"/>
      <c r="AK89" s="212"/>
      <c r="AL89" s="212"/>
      <c r="AM89" s="212"/>
      <c r="AN89" s="212"/>
      <c r="AO89" s="212"/>
      <c r="AP89" s="212"/>
      <c r="AQ89" s="212"/>
      <c r="AR89" s="212"/>
      <c r="AS89" s="212"/>
      <c r="AT89" s="212"/>
      <c r="AU89" s="212"/>
      <c r="AV89" s="212"/>
      <c r="AW89" s="212"/>
      <c r="AX89" s="212"/>
      <c r="AY89" s="212"/>
      <c r="AZ89" s="212"/>
      <c r="BA89" s="212"/>
      <c r="BB89" s="212"/>
      <c r="BC89" s="212"/>
      <c r="BD89" s="212"/>
      <c r="BE89" s="212"/>
      <c r="BF89" s="212"/>
      <c r="BG89" s="212"/>
      <c r="BH89" s="212"/>
      <c r="BI89" s="212"/>
      <c r="BJ89" s="212"/>
      <c r="BK89" s="212"/>
      <c r="BL89" s="212"/>
      <c r="BM89" s="212"/>
      <c r="BN89" s="212"/>
      <c r="BO89" s="212"/>
      <c r="BP89" s="212"/>
      <c r="BQ89" s="212"/>
      <c r="BR89" s="212"/>
      <c r="BS89" s="212"/>
      <c r="BT89" s="212"/>
      <c r="BU89" s="212"/>
      <c r="BV89" s="212"/>
      <c r="BW89" s="212"/>
      <c r="BX89" s="212"/>
      <c r="BY89" s="212"/>
      <c r="BZ89" s="212"/>
      <c r="CA89" s="212"/>
      <c r="CB89" s="212"/>
      <c r="CC89" s="212"/>
      <c r="CD89" s="212"/>
      <c r="CE89" s="212"/>
      <c r="CF89" s="212"/>
      <c r="CG89" s="212"/>
      <c r="CH89" s="212"/>
      <c r="CI89" s="212"/>
      <c r="CJ89" s="212"/>
      <c r="CK89" s="212"/>
      <c r="CL89" s="212"/>
      <c r="CM89" s="212"/>
      <c r="CN89" s="212"/>
      <c r="CO89" s="212"/>
      <c r="CP89" s="212"/>
      <c r="CQ89" s="212"/>
      <c r="CR89" s="212"/>
      <c r="CS89" s="212"/>
    </row>
    <row r="90" spans="1:97" x14ac:dyDescent="0.4">
      <c r="A90" s="209">
        <v>45376</v>
      </c>
      <c r="B90" s="210" t="s">
        <v>294</v>
      </c>
      <c r="C90" s="212">
        <v>152.43</v>
      </c>
      <c r="D90" s="212">
        <v>150.43</v>
      </c>
      <c r="E90" s="212">
        <v>151.43</v>
      </c>
      <c r="F90" s="212">
        <v>165.1</v>
      </c>
      <c r="G90" s="212">
        <v>162.1</v>
      </c>
      <c r="H90" s="212">
        <v>163.6</v>
      </c>
      <c r="I90" s="212">
        <v>112.82</v>
      </c>
      <c r="J90" s="212">
        <v>109.61999999999999</v>
      </c>
      <c r="K90" s="212">
        <v>111.22</v>
      </c>
      <c r="L90" s="212">
        <v>194.71</v>
      </c>
      <c r="M90" s="212">
        <v>186.71</v>
      </c>
      <c r="N90" s="212">
        <v>190.71</v>
      </c>
      <c r="O90" s="212">
        <v>169.46</v>
      </c>
      <c r="P90" s="212">
        <v>167.66</v>
      </c>
      <c r="Q90" s="212">
        <v>168.56</v>
      </c>
      <c r="R90" s="212">
        <v>22.24</v>
      </c>
      <c r="S90" s="212">
        <v>21.639999999999997</v>
      </c>
      <c r="T90" s="212">
        <v>21.939999999999998</v>
      </c>
      <c r="U90" s="212">
        <v>14.37</v>
      </c>
      <c r="V90" s="212">
        <v>13.77</v>
      </c>
      <c r="W90" s="212">
        <v>14.07</v>
      </c>
      <c r="X90" s="212">
        <v>14.73</v>
      </c>
      <c r="Y90" s="212">
        <v>13.93</v>
      </c>
      <c r="Z90" s="212">
        <v>14.33</v>
      </c>
      <c r="AA90" s="212">
        <v>100.64</v>
      </c>
      <c r="AB90" s="212">
        <v>96.64</v>
      </c>
      <c r="AC90" s="212">
        <v>98.64</v>
      </c>
      <c r="AD90" s="212">
        <v>92.75</v>
      </c>
      <c r="AE90" s="212">
        <v>88.75</v>
      </c>
      <c r="AF90" s="212">
        <v>90.75</v>
      </c>
      <c r="AG90" s="212">
        <v>19.79</v>
      </c>
      <c r="AH90" s="212">
        <v>18.93</v>
      </c>
      <c r="AI90" s="212">
        <v>19.36</v>
      </c>
      <c r="AJ90" s="212"/>
      <c r="AK90" s="212"/>
      <c r="AL90" s="212"/>
      <c r="AM90" s="212">
        <v>113.03</v>
      </c>
      <c r="AN90" s="212">
        <v>111.37</v>
      </c>
      <c r="AO90" s="212">
        <v>112.2</v>
      </c>
      <c r="AP90" s="212">
        <v>41.24</v>
      </c>
      <c r="AQ90" s="212">
        <v>39.64</v>
      </c>
      <c r="AR90" s="212">
        <v>40.44</v>
      </c>
      <c r="AS90" s="212">
        <v>41.99</v>
      </c>
      <c r="AT90" s="212">
        <v>40.630000000000003</v>
      </c>
      <c r="AU90" s="212">
        <v>41.31</v>
      </c>
      <c r="AV90" s="212">
        <v>21.12</v>
      </c>
      <c r="AW90" s="212">
        <v>20.52</v>
      </c>
      <c r="AX90" s="212">
        <v>20.82</v>
      </c>
      <c r="AY90" s="212">
        <v>4.25</v>
      </c>
      <c r="AZ90" s="212">
        <v>4.09</v>
      </c>
      <c r="BA90" s="212">
        <v>4.17</v>
      </c>
      <c r="BB90" s="212">
        <v>1.97</v>
      </c>
      <c r="BC90" s="212">
        <v>1.67</v>
      </c>
      <c r="BD90" s="212">
        <v>1.8199999999999998</v>
      </c>
      <c r="BE90" s="212">
        <v>0.7</v>
      </c>
      <c r="BF90" s="212">
        <v>0.39999999999999997</v>
      </c>
      <c r="BG90" s="212">
        <v>0.54999999999999993</v>
      </c>
      <c r="BH90" s="212">
        <v>501.1</v>
      </c>
      <c r="BI90" s="212">
        <v>485.1</v>
      </c>
      <c r="BJ90" s="212">
        <v>493.1</v>
      </c>
      <c r="BK90" s="212">
        <v>42.27</v>
      </c>
      <c r="BL90" s="212">
        <v>40.910000000000004</v>
      </c>
      <c r="BM90" s="212">
        <v>41.59</v>
      </c>
      <c r="BN90" s="212">
        <v>1.08</v>
      </c>
      <c r="BO90" s="212">
        <v>0.84000000000000008</v>
      </c>
      <c r="BP90" s="212">
        <v>0.96000000000000008</v>
      </c>
      <c r="BQ90" s="212">
        <v>10.039999999999999</v>
      </c>
      <c r="BR90" s="212">
        <v>8.0399999999999991</v>
      </c>
      <c r="BS90" s="212">
        <v>9.0399999999999991</v>
      </c>
      <c r="BT90" s="212">
        <v>11.48</v>
      </c>
      <c r="BU90" s="212">
        <v>11.08</v>
      </c>
      <c r="BV90" s="212">
        <v>11.280000000000001</v>
      </c>
      <c r="BW90" s="212">
        <v>2.85</v>
      </c>
      <c r="BX90" s="212">
        <v>2.5700000000000003</v>
      </c>
      <c r="BY90" s="212">
        <v>2.71</v>
      </c>
      <c r="BZ90" s="212">
        <v>9.4600000000000009</v>
      </c>
      <c r="CA90" s="212">
        <v>6.4600000000000009</v>
      </c>
      <c r="CB90" s="212">
        <v>7.9600000000000009</v>
      </c>
      <c r="CC90" s="212">
        <v>6.58</v>
      </c>
      <c r="CD90" s="212">
        <v>6.34</v>
      </c>
      <c r="CE90" s="212">
        <v>6.46</v>
      </c>
      <c r="CF90" s="212">
        <v>1.89</v>
      </c>
      <c r="CG90" s="212">
        <v>1.39</v>
      </c>
      <c r="CH90" s="212">
        <v>1.64</v>
      </c>
      <c r="CI90" s="212">
        <v>0.43</v>
      </c>
      <c r="CJ90" s="212">
        <v>0.39</v>
      </c>
      <c r="CK90" s="212">
        <v>0.41000000000000003</v>
      </c>
      <c r="CL90" s="212">
        <v>39.07</v>
      </c>
      <c r="CM90" s="212">
        <v>36.67</v>
      </c>
      <c r="CN90" s="212">
        <v>37.870000000000005</v>
      </c>
      <c r="CO90" s="212">
        <v>7.22</v>
      </c>
      <c r="CP90" s="212">
        <v>2.2199999999999998</v>
      </c>
      <c r="CQ90" s="212">
        <v>4.72</v>
      </c>
      <c r="CR90" s="212"/>
      <c r="CS90" s="212"/>
    </row>
    <row r="91" spans="1:97" x14ac:dyDescent="0.4">
      <c r="A91" s="209">
        <v>45377</v>
      </c>
      <c r="B91" s="210" t="s">
        <v>295</v>
      </c>
      <c r="C91" s="212">
        <v>152.33000000000001</v>
      </c>
      <c r="D91" s="212">
        <v>150.33000000000001</v>
      </c>
      <c r="E91" s="212">
        <v>151.33000000000001</v>
      </c>
      <c r="F91" s="212">
        <v>165.54</v>
      </c>
      <c r="G91" s="212">
        <v>162.54</v>
      </c>
      <c r="H91" s="212">
        <v>164.04</v>
      </c>
      <c r="I91" s="212">
        <v>113.03</v>
      </c>
      <c r="J91" s="212">
        <v>109.83</v>
      </c>
      <c r="K91" s="212">
        <v>111.43</v>
      </c>
      <c r="L91" s="212">
        <v>195.33</v>
      </c>
      <c r="M91" s="212">
        <v>187.33</v>
      </c>
      <c r="N91" s="212">
        <v>191.33</v>
      </c>
      <c r="O91" s="212">
        <v>169.12</v>
      </c>
      <c r="P91" s="212">
        <v>167.32</v>
      </c>
      <c r="Q91" s="212">
        <v>168.22</v>
      </c>
      <c r="R91" s="212">
        <v>22.29</v>
      </c>
      <c r="S91" s="212">
        <v>21.689999999999998</v>
      </c>
      <c r="T91" s="212">
        <v>21.99</v>
      </c>
      <c r="U91" s="212">
        <v>14.43</v>
      </c>
      <c r="V91" s="212">
        <v>13.83</v>
      </c>
      <c r="W91" s="212">
        <v>14.129999999999999</v>
      </c>
      <c r="X91" s="212">
        <v>14.71</v>
      </c>
      <c r="Y91" s="212">
        <v>13.91</v>
      </c>
      <c r="Z91" s="212">
        <v>14.31</v>
      </c>
      <c r="AA91" s="212">
        <v>101.03</v>
      </c>
      <c r="AB91" s="212">
        <v>97.03</v>
      </c>
      <c r="AC91" s="212">
        <v>99.03</v>
      </c>
      <c r="AD91" s="212">
        <v>92.93</v>
      </c>
      <c r="AE91" s="212">
        <v>88.93</v>
      </c>
      <c r="AF91" s="212">
        <v>90.93</v>
      </c>
      <c r="AG91" s="212">
        <v>19.78</v>
      </c>
      <c r="AH91" s="212">
        <v>18.920000000000002</v>
      </c>
      <c r="AI91" s="212">
        <v>19.350000000000001</v>
      </c>
      <c r="AJ91" s="212"/>
      <c r="AK91" s="212"/>
      <c r="AL91" s="212"/>
      <c r="AM91" s="212">
        <v>113.34</v>
      </c>
      <c r="AN91" s="212">
        <v>111.68</v>
      </c>
      <c r="AO91" s="212">
        <v>112.51</v>
      </c>
      <c r="AP91" s="212">
        <v>41.21</v>
      </c>
      <c r="AQ91" s="212">
        <v>39.61</v>
      </c>
      <c r="AR91" s="212">
        <v>40.409999999999997</v>
      </c>
      <c r="AS91" s="212">
        <v>41.96</v>
      </c>
      <c r="AT91" s="212">
        <v>40.6</v>
      </c>
      <c r="AU91" s="212">
        <v>41.28</v>
      </c>
      <c r="AV91" s="212">
        <v>21.18</v>
      </c>
      <c r="AW91" s="212">
        <v>20.58</v>
      </c>
      <c r="AX91" s="212">
        <v>20.88</v>
      </c>
      <c r="AY91" s="212">
        <v>4.24</v>
      </c>
      <c r="AZ91" s="212">
        <v>4.08</v>
      </c>
      <c r="BA91" s="212">
        <v>4.16</v>
      </c>
      <c r="BB91" s="212">
        <v>1.97</v>
      </c>
      <c r="BC91" s="212">
        <v>1.67</v>
      </c>
      <c r="BD91" s="212">
        <v>1.8199999999999998</v>
      </c>
      <c r="BE91" s="212">
        <v>0.7</v>
      </c>
      <c r="BF91" s="212">
        <v>0.39999999999999997</v>
      </c>
      <c r="BG91" s="212">
        <v>0.54999999999999993</v>
      </c>
      <c r="BH91" s="212">
        <v>499.33</v>
      </c>
      <c r="BI91" s="212">
        <v>483.33</v>
      </c>
      <c r="BJ91" s="212">
        <v>491.33</v>
      </c>
      <c r="BK91" s="212">
        <v>42.23</v>
      </c>
      <c r="BL91" s="212">
        <v>40.869999999999997</v>
      </c>
      <c r="BM91" s="212">
        <v>41.55</v>
      </c>
      <c r="BN91" s="212">
        <v>1.08</v>
      </c>
      <c r="BO91" s="212">
        <v>0.84000000000000008</v>
      </c>
      <c r="BP91" s="212">
        <v>0.96000000000000008</v>
      </c>
      <c r="BQ91" s="212">
        <v>10.08</v>
      </c>
      <c r="BR91" s="212">
        <v>8.08</v>
      </c>
      <c r="BS91" s="212">
        <v>9.08</v>
      </c>
      <c r="BT91" s="212">
        <v>11.53</v>
      </c>
      <c r="BU91" s="212">
        <v>11.129999999999999</v>
      </c>
      <c r="BV91" s="212">
        <v>11.329999999999998</v>
      </c>
      <c r="BW91" s="212">
        <v>2.84</v>
      </c>
      <c r="BX91" s="212">
        <v>2.5599999999999996</v>
      </c>
      <c r="BY91" s="212">
        <v>2.6999999999999997</v>
      </c>
      <c r="BZ91" s="212">
        <v>9.52</v>
      </c>
      <c r="CA91" s="212">
        <v>6.52</v>
      </c>
      <c r="CB91" s="212">
        <v>8.02</v>
      </c>
      <c r="CC91" s="212">
        <v>6.6</v>
      </c>
      <c r="CD91" s="212">
        <v>6.3599999999999994</v>
      </c>
      <c r="CE91" s="212">
        <v>6.4799999999999995</v>
      </c>
      <c r="CF91" s="212">
        <v>1.88</v>
      </c>
      <c r="CG91" s="212">
        <v>1.38</v>
      </c>
      <c r="CH91" s="212">
        <v>1.63</v>
      </c>
      <c r="CI91" s="212">
        <v>0.43</v>
      </c>
      <c r="CJ91" s="212">
        <v>0.39</v>
      </c>
      <c r="CK91" s="212">
        <v>0.41000000000000003</v>
      </c>
      <c r="CL91" s="212">
        <v>39.32</v>
      </c>
      <c r="CM91" s="212">
        <v>36.92</v>
      </c>
      <c r="CN91" s="212">
        <v>38.120000000000005</v>
      </c>
      <c r="CO91" s="212">
        <v>7.21</v>
      </c>
      <c r="CP91" s="212">
        <v>2.21</v>
      </c>
      <c r="CQ91" s="212">
        <v>4.71</v>
      </c>
      <c r="CR91" s="212"/>
      <c r="CS91" s="212"/>
    </row>
    <row r="92" spans="1:97" x14ac:dyDescent="0.4">
      <c r="A92" s="209">
        <v>45378</v>
      </c>
      <c r="B92" s="210" t="s">
        <v>296</v>
      </c>
      <c r="C92" s="212">
        <v>152.57</v>
      </c>
      <c r="D92" s="212">
        <v>150.57</v>
      </c>
      <c r="E92" s="212">
        <v>151.57</v>
      </c>
      <c r="F92" s="212">
        <v>165.65</v>
      </c>
      <c r="G92" s="212">
        <v>162.65</v>
      </c>
      <c r="H92" s="212">
        <v>164.15</v>
      </c>
      <c r="I92" s="212">
        <v>113.15</v>
      </c>
      <c r="J92" s="212">
        <v>109.95</v>
      </c>
      <c r="K92" s="212">
        <v>111.55000000000001</v>
      </c>
      <c r="L92" s="212">
        <v>195.34</v>
      </c>
      <c r="M92" s="212">
        <v>187.34</v>
      </c>
      <c r="N92" s="212">
        <v>191.34</v>
      </c>
      <c r="O92" s="212">
        <v>168.55</v>
      </c>
      <c r="P92" s="212">
        <v>166.75</v>
      </c>
      <c r="Q92" s="212">
        <v>167.65</v>
      </c>
      <c r="R92" s="212">
        <v>22.3</v>
      </c>
      <c r="S92" s="212">
        <v>21.7</v>
      </c>
      <c r="T92" s="212">
        <v>22</v>
      </c>
      <c r="U92" s="212">
        <v>14.39</v>
      </c>
      <c r="V92" s="212">
        <v>13.790000000000001</v>
      </c>
      <c r="W92" s="212">
        <v>14.09</v>
      </c>
      <c r="X92" s="212">
        <v>14.71</v>
      </c>
      <c r="Y92" s="212">
        <v>13.91</v>
      </c>
      <c r="Z92" s="212">
        <v>14.31</v>
      </c>
      <c r="AA92" s="212">
        <v>100.88</v>
      </c>
      <c r="AB92" s="212">
        <v>96.88</v>
      </c>
      <c r="AC92" s="212">
        <v>98.88</v>
      </c>
      <c r="AD92" s="212">
        <v>92.97</v>
      </c>
      <c r="AE92" s="212">
        <v>88.97</v>
      </c>
      <c r="AF92" s="212">
        <v>90.97</v>
      </c>
      <c r="AG92" s="212">
        <v>19.8</v>
      </c>
      <c r="AH92" s="212">
        <v>18.940000000000001</v>
      </c>
      <c r="AI92" s="212">
        <v>19.37</v>
      </c>
      <c r="AJ92" s="212"/>
      <c r="AK92" s="212"/>
      <c r="AL92" s="212"/>
      <c r="AM92" s="212">
        <v>113.48</v>
      </c>
      <c r="AN92" s="212">
        <v>111.82000000000001</v>
      </c>
      <c r="AO92" s="212">
        <v>112.65</v>
      </c>
      <c r="AP92" s="212">
        <v>41.28</v>
      </c>
      <c r="AQ92" s="212">
        <v>39.68</v>
      </c>
      <c r="AR92" s="212">
        <v>40.480000000000004</v>
      </c>
      <c r="AS92" s="212">
        <v>42.02</v>
      </c>
      <c r="AT92" s="212">
        <v>40.660000000000004</v>
      </c>
      <c r="AU92" s="212">
        <v>41.34</v>
      </c>
      <c r="AV92" s="212">
        <v>21.21</v>
      </c>
      <c r="AW92" s="212">
        <v>20.61</v>
      </c>
      <c r="AX92" s="212">
        <v>20.91</v>
      </c>
      <c r="AY92" s="212">
        <v>4.25</v>
      </c>
      <c r="AZ92" s="212">
        <v>4.09</v>
      </c>
      <c r="BA92" s="212">
        <v>4.17</v>
      </c>
      <c r="BB92" s="212">
        <v>1.98</v>
      </c>
      <c r="BC92" s="212">
        <v>1.68</v>
      </c>
      <c r="BD92" s="212">
        <v>1.83</v>
      </c>
      <c r="BE92" s="212">
        <v>0.7</v>
      </c>
      <c r="BF92" s="212">
        <v>0.39999999999999997</v>
      </c>
      <c r="BG92" s="212">
        <v>0.54999999999999993</v>
      </c>
      <c r="BH92" s="212">
        <v>501.55</v>
      </c>
      <c r="BI92" s="212">
        <v>485.55</v>
      </c>
      <c r="BJ92" s="212">
        <v>493.55</v>
      </c>
      <c r="BK92" s="212">
        <v>42.31</v>
      </c>
      <c r="BL92" s="212">
        <v>40.950000000000003</v>
      </c>
      <c r="BM92" s="212">
        <v>41.63</v>
      </c>
      <c r="BN92" s="212">
        <v>1.08</v>
      </c>
      <c r="BO92" s="212">
        <v>0.84000000000000008</v>
      </c>
      <c r="BP92" s="212">
        <v>0.96000000000000008</v>
      </c>
      <c r="BQ92" s="212">
        <v>10.11</v>
      </c>
      <c r="BR92" s="212">
        <v>8.11</v>
      </c>
      <c r="BS92" s="212">
        <v>9.11</v>
      </c>
      <c r="BT92" s="212">
        <v>11.5</v>
      </c>
      <c r="BU92" s="212">
        <v>11.1</v>
      </c>
      <c r="BV92" s="212">
        <v>11.3</v>
      </c>
      <c r="BW92" s="212">
        <v>2.85</v>
      </c>
      <c r="BX92" s="212">
        <v>2.5700000000000003</v>
      </c>
      <c r="BY92" s="212">
        <v>2.71</v>
      </c>
      <c r="BZ92" s="212">
        <v>9.49</v>
      </c>
      <c r="CA92" s="212">
        <v>6.49</v>
      </c>
      <c r="CB92" s="212">
        <v>7.99</v>
      </c>
      <c r="CC92" s="212">
        <v>6.61</v>
      </c>
      <c r="CD92" s="212">
        <v>6.37</v>
      </c>
      <c r="CE92" s="212">
        <v>6.49</v>
      </c>
      <c r="CF92" s="212">
        <v>1.89</v>
      </c>
      <c r="CG92" s="212">
        <v>1.39</v>
      </c>
      <c r="CH92" s="212">
        <v>1.64</v>
      </c>
      <c r="CI92" s="212">
        <v>0.44</v>
      </c>
      <c r="CJ92" s="212">
        <v>0.4</v>
      </c>
      <c r="CK92" s="212">
        <v>0.42000000000000004</v>
      </c>
      <c r="CL92" s="212">
        <v>39.32</v>
      </c>
      <c r="CM92" s="212">
        <v>36.92</v>
      </c>
      <c r="CN92" s="212">
        <v>38.120000000000005</v>
      </c>
      <c r="CO92" s="212">
        <v>7.21</v>
      </c>
      <c r="CP92" s="212">
        <v>2.21</v>
      </c>
      <c r="CQ92" s="212">
        <v>4.71</v>
      </c>
      <c r="CR92" s="212"/>
      <c r="CS92" s="212"/>
    </row>
    <row r="93" spans="1:97" x14ac:dyDescent="0.4">
      <c r="A93" s="209">
        <v>45379</v>
      </c>
      <c r="B93" s="210" t="s">
        <v>297</v>
      </c>
      <c r="C93" s="212">
        <v>152.52000000000001</v>
      </c>
      <c r="D93" s="212">
        <v>150.52000000000001</v>
      </c>
      <c r="E93" s="212">
        <v>151.52000000000001</v>
      </c>
      <c r="F93" s="212">
        <v>165.43</v>
      </c>
      <c r="G93" s="212">
        <v>162.43</v>
      </c>
      <c r="H93" s="212">
        <v>163.93</v>
      </c>
      <c r="I93" s="212">
        <v>113.11</v>
      </c>
      <c r="J93" s="212">
        <v>109.91</v>
      </c>
      <c r="K93" s="212">
        <v>111.50999999999999</v>
      </c>
      <c r="L93" s="212">
        <v>195.32</v>
      </c>
      <c r="M93" s="212">
        <v>187.32</v>
      </c>
      <c r="N93" s="212">
        <v>191.32</v>
      </c>
      <c r="O93" s="212">
        <v>168.09</v>
      </c>
      <c r="P93" s="212">
        <v>166.29</v>
      </c>
      <c r="Q93" s="212">
        <v>167.19</v>
      </c>
      <c r="R93" s="212">
        <v>22.28</v>
      </c>
      <c r="S93" s="212">
        <v>21.68</v>
      </c>
      <c r="T93" s="212">
        <v>21.98</v>
      </c>
      <c r="U93" s="212">
        <v>14.32</v>
      </c>
      <c r="V93" s="212">
        <v>13.72</v>
      </c>
      <c r="W93" s="212">
        <v>14.02</v>
      </c>
      <c r="X93" s="212">
        <v>14.66</v>
      </c>
      <c r="Y93" s="212">
        <v>13.86</v>
      </c>
      <c r="Z93" s="212">
        <v>14.26</v>
      </c>
      <c r="AA93" s="212">
        <v>100.78</v>
      </c>
      <c r="AB93" s="212">
        <v>96.78</v>
      </c>
      <c r="AC93" s="212">
        <v>98.78</v>
      </c>
      <c r="AD93" s="212">
        <v>92.7</v>
      </c>
      <c r="AE93" s="212">
        <v>88.7</v>
      </c>
      <c r="AF93" s="212">
        <v>90.7</v>
      </c>
      <c r="AG93" s="212">
        <v>19.8</v>
      </c>
      <c r="AH93" s="212">
        <v>18.940000000000001</v>
      </c>
      <c r="AI93" s="212">
        <v>19.37</v>
      </c>
      <c r="AJ93" s="212"/>
      <c r="AK93" s="212"/>
      <c r="AL93" s="212"/>
      <c r="AM93" s="212">
        <v>113.2</v>
      </c>
      <c r="AN93" s="212">
        <v>111.54</v>
      </c>
      <c r="AO93" s="212">
        <v>112.37</v>
      </c>
      <c r="AP93" s="212">
        <v>41.27</v>
      </c>
      <c r="AQ93" s="212">
        <v>39.67</v>
      </c>
      <c r="AR93" s="212">
        <v>40.47</v>
      </c>
      <c r="AS93" s="212">
        <v>42.01</v>
      </c>
      <c r="AT93" s="212">
        <v>40.65</v>
      </c>
      <c r="AU93" s="212">
        <v>41.33</v>
      </c>
      <c r="AV93" s="212">
        <v>21.18</v>
      </c>
      <c r="AW93" s="212">
        <v>20.58</v>
      </c>
      <c r="AX93" s="212">
        <v>20.88</v>
      </c>
      <c r="AY93" s="212">
        <v>4.2300000000000004</v>
      </c>
      <c r="AZ93" s="212">
        <v>4.07</v>
      </c>
      <c r="BA93" s="212">
        <v>4.1500000000000004</v>
      </c>
      <c r="BB93" s="212">
        <v>1.98</v>
      </c>
      <c r="BC93" s="212">
        <v>1.68</v>
      </c>
      <c r="BD93" s="212">
        <v>1.83</v>
      </c>
      <c r="BE93" s="212">
        <v>0.7</v>
      </c>
      <c r="BF93" s="212">
        <v>0.39999999999999997</v>
      </c>
      <c r="BG93" s="212">
        <v>0.54999999999999993</v>
      </c>
      <c r="BH93" s="212">
        <v>501.55</v>
      </c>
      <c r="BI93" s="212">
        <v>485.55</v>
      </c>
      <c r="BJ93" s="212">
        <v>493.55</v>
      </c>
      <c r="BK93" s="212">
        <v>42.31</v>
      </c>
      <c r="BL93" s="212">
        <v>40.950000000000003</v>
      </c>
      <c r="BM93" s="212">
        <v>41.63</v>
      </c>
      <c r="BN93" s="212">
        <v>1.08</v>
      </c>
      <c r="BO93" s="212">
        <v>0.84000000000000008</v>
      </c>
      <c r="BP93" s="212">
        <v>0.96000000000000008</v>
      </c>
      <c r="BQ93" s="212">
        <v>10.15</v>
      </c>
      <c r="BR93" s="212">
        <v>8.15</v>
      </c>
      <c r="BS93" s="212">
        <v>9.15</v>
      </c>
      <c r="BT93" s="212">
        <v>11.44</v>
      </c>
      <c r="BU93" s="212">
        <v>11.04</v>
      </c>
      <c r="BV93" s="212">
        <v>11.239999999999998</v>
      </c>
      <c r="BW93" s="212">
        <v>2.86</v>
      </c>
      <c r="BX93" s="212">
        <v>2.58</v>
      </c>
      <c r="BY93" s="212">
        <v>2.7199999999999998</v>
      </c>
      <c r="BZ93" s="212">
        <v>9.49</v>
      </c>
      <c r="CA93" s="212">
        <v>6.49</v>
      </c>
      <c r="CB93" s="212">
        <v>7.99</v>
      </c>
      <c r="CC93" s="212">
        <v>6.6</v>
      </c>
      <c r="CD93" s="212">
        <v>6.3599999999999994</v>
      </c>
      <c r="CE93" s="212">
        <v>6.4799999999999995</v>
      </c>
      <c r="CF93" s="212">
        <v>1.89</v>
      </c>
      <c r="CG93" s="212">
        <v>1.39</v>
      </c>
      <c r="CH93" s="212">
        <v>1.64</v>
      </c>
      <c r="CI93" s="212">
        <v>0.44</v>
      </c>
      <c r="CJ93" s="212">
        <v>0.4</v>
      </c>
      <c r="CK93" s="212">
        <v>0.42000000000000004</v>
      </c>
      <c r="CL93" s="212">
        <v>39.200000000000003</v>
      </c>
      <c r="CM93" s="212">
        <v>36.800000000000004</v>
      </c>
      <c r="CN93" s="212">
        <v>38</v>
      </c>
      <c r="CO93" s="212">
        <v>7.19</v>
      </c>
      <c r="CP93" s="212">
        <v>2.1900000000000004</v>
      </c>
      <c r="CQ93" s="212">
        <v>4.6900000000000004</v>
      </c>
      <c r="CR93" s="212"/>
      <c r="CS93" s="212"/>
    </row>
    <row r="94" spans="1:97" x14ac:dyDescent="0.4">
      <c r="A94" s="209">
        <v>45380</v>
      </c>
      <c r="B94" s="210" t="s">
        <v>298</v>
      </c>
      <c r="C94" s="212">
        <v>152.41</v>
      </c>
      <c r="D94" s="212">
        <v>150.41</v>
      </c>
      <c r="E94" s="212">
        <v>151.41</v>
      </c>
      <c r="F94" s="212">
        <v>164.74</v>
      </c>
      <c r="G94" s="212">
        <v>161.74</v>
      </c>
      <c r="H94" s="212">
        <v>163.24</v>
      </c>
      <c r="I94" s="212">
        <v>113.41</v>
      </c>
      <c r="J94" s="212">
        <v>110.21</v>
      </c>
      <c r="K94" s="212">
        <v>111.81</v>
      </c>
      <c r="L94" s="212">
        <v>195.22</v>
      </c>
      <c r="M94" s="212">
        <v>187.22</v>
      </c>
      <c r="N94" s="212">
        <v>191.22</v>
      </c>
      <c r="O94" s="212">
        <v>168.82</v>
      </c>
      <c r="P94" s="212">
        <v>167.01999999999998</v>
      </c>
      <c r="Q94" s="212">
        <v>167.92</v>
      </c>
      <c r="R94" s="212">
        <v>22.18</v>
      </c>
      <c r="S94" s="212">
        <v>21.58</v>
      </c>
      <c r="T94" s="212">
        <v>21.88</v>
      </c>
      <c r="U94" s="212">
        <v>14.24</v>
      </c>
      <c r="V94" s="212">
        <v>13.64</v>
      </c>
      <c r="W94" s="212">
        <v>13.940000000000001</v>
      </c>
      <c r="X94" s="212">
        <v>14.55</v>
      </c>
      <c r="Y94" s="212">
        <v>13.75</v>
      </c>
      <c r="Z94" s="212">
        <v>14.15</v>
      </c>
      <c r="AA94" s="212">
        <v>100.61</v>
      </c>
      <c r="AB94" s="212">
        <v>96.61</v>
      </c>
      <c r="AC94" s="212">
        <v>98.61</v>
      </c>
      <c r="AD94" s="212">
        <v>92.5</v>
      </c>
      <c r="AE94" s="212">
        <v>88.5</v>
      </c>
      <c r="AF94" s="212">
        <v>90.5</v>
      </c>
      <c r="AG94" s="212">
        <v>19.77</v>
      </c>
      <c r="AH94" s="212">
        <v>18.91</v>
      </c>
      <c r="AI94" s="212">
        <v>19.34</v>
      </c>
      <c r="AJ94" s="212"/>
      <c r="AK94" s="212"/>
      <c r="AL94" s="212"/>
      <c r="AM94" s="212">
        <v>112.94</v>
      </c>
      <c r="AN94" s="212">
        <v>111.28</v>
      </c>
      <c r="AO94" s="212">
        <v>112.11</v>
      </c>
      <c r="AP94" s="212">
        <v>41.11</v>
      </c>
      <c r="AQ94" s="212">
        <v>39.51</v>
      </c>
      <c r="AR94" s="212">
        <v>40.31</v>
      </c>
      <c r="AS94" s="212">
        <v>41.98</v>
      </c>
      <c r="AT94" s="212">
        <v>40.619999999999997</v>
      </c>
      <c r="AU94" s="212">
        <v>41.3</v>
      </c>
      <c r="AV94" s="212">
        <v>21.13</v>
      </c>
      <c r="AW94" s="212">
        <v>20.529999999999998</v>
      </c>
      <c r="AX94" s="212">
        <v>20.83</v>
      </c>
      <c r="AY94" s="212">
        <v>4.24</v>
      </c>
      <c r="AZ94" s="212">
        <v>4.08</v>
      </c>
      <c r="BA94" s="212">
        <v>4.16</v>
      </c>
      <c r="BB94" s="212">
        <v>1.98</v>
      </c>
      <c r="BC94" s="212">
        <v>1.68</v>
      </c>
      <c r="BD94" s="212">
        <v>1.83</v>
      </c>
      <c r="BE94" s="212">
        <v>0.7</v>
      </c>
      <c r="BF94" s="212">
        <v>0.39999999999999997</v>
      </c>
      <c r="BG94" s="212">
        <v>0.54999999999999993</v>
      </c>
      <c r="BH94" s="212">
        <v>501.03</v>
      </c>
      <c r="BI94" s="212">
        <v>485.03</v>
      </c>
      <c r="BJ94" s="212">
        <v>493.03</v>
      </c>
      <c r="BK94" s="212">
        <v>42.28</v>
      </c>
      <c r="BL94" s="212">
        <v>40.92</v>
      </c>
      <c r="BM94" s="212">
        <v>41.6</v>
      </c>
      <c r="BN94" s="212">
        <v>1.08</v>
      </c>
      <c r="BO94" s="212">
        <v>0.84000000000000008</v>
      </c>
      <c r="BP94" s="212">
        <v>0.96000000000000008</v>
      </c>
      <c r="BQ94" s="212">
        <v>10.130000000000001</v>
      </c>
      <c r="BR94" s="212">
        <v>8.1300000000000008</v>
      </c>
      <c r="BS94" s="212">
        <v>9.1300000000000008</v>
      </c>
      <c r="BT94" s="212">
        <v>11.45</v>
      </c>
      <c r="BU94" s="212">
        <v>11.049999999999999</v>
      </c>
      <c r="BV94" s="212">
        <v>11.25</v>
      </c>
      <c r="BW94" s="212">
        <v>2.85</v>
      </c>
      <c r="BX94" s="212">
        <v>2.5700000000000003</v>
      </c>
      <c r="BY94" s="212">
        <v>2.71</v>
      </c>
      <c r="BZ94" s="212">
        <v>9.49</v>
      </c>
      <c r="CA94" s="212">
        <v>6.49</v>
      </c>
      <c r="CB94" s="212">
        <v>7.99</v>
      </c>
      <c r="CC94" s="212">
        <v>6.59</v>
      </c>
      <c r="CD94" s="212">
        <v>6.35</v>
      </c>
      <c r="CE94" s="212">
        <v>6.47</v>
      </c>
      <c r="CF94" s="212">
        <v>1.89</v>
      </c>
      <c r="CG94" s="212">
        <v>1.39</v>
      </c>
      <c r="CH94" s="212">
        <v>1.64</v>
      </c>
      <c r="CI94" s="212">
        <v>0.43</v>
      </c>
      <c r="CJ94" s="212">
        <v>0.39</v>
      </c>
      <c r="CK94" s="212">
        <v>0.41000000000000003</v>
      </c>
      <c r="CL94" s="212">
        <v>39.17</v>
      </c>
      <c r="CM94" s="212">
        <v>36.770000000000003</v>
      </c>
      <c r="CN94" s="212">
        <v>37.97</v>
      </c>
      <c r="CO94" s="212">
        <v>7.18</v>
      </c>
      <c r="CP94" s="212">
        <v>2.1799999999999997</v>
      </c>
      <c r="CQ94" s="212">
        <v>4.68</v>
      </c>
      <c r="CR94" s="212"/>
      <c r="CS94" s="212"/>
    </row>
    <row r="95" spans="1:97" x14ac:dyDescent="0.4">
      <c r="A95" s="209">
        <v>45381</v>
      </c>
      <c r="B95" s="210" t="s">
        <v>299</v>
      </c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2"/>
      <c r="P95" s="212"/>
      <c r="Q95" s="212"/>
      <c r="R95" s="212"/>
      <c r="S95" s="212"/>
      <c r="T95" s="212"/>
      <c r="U95" s="212"/>
      <c r="V95" s="212"/>
      <c r="W95" s="212"/>
      <c r="X95" s="212"/>
      <c r="Y95" s="212"/>
      <c r="Z95" s="212"/>
      <c r="AA95" s="212"/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2"/>
      <c r="AP95" s="212"/>
      <c r="AQ95" s="212"/>
      <c r="AR95" s="212"/>
      <c r="AS95" s="212"/>
      <c r="AT95" s="212"/>
      <c r="AU95" s="212"/>
      <c r="AV95" s="212"/>
      <c r="AW95" s="212"/>
      <c r="AX95" s="212"/>
      <c r="AY95" s="212"/>
      <c r="AZ95" s="212"/>
      <c r="BA95" s="212"/>
      <c r="BB95" s="212"/>
      <c r="BC95" s="212"/>
      <c r="BD95" s="212"/>
      <c r="BE95" s="212"/>
      <c r="BF95" s="212"/>
      <c r="BG95" s="212"/>
      <c r="BH95" s="212"/>
      <c r="BI95" s="212"/>
      <c r="BJ95" s="212"/>
      <c r="BK95" s="212"/>
      <c r="BL95" s="212"/>
      <c r="BM95" s="212"/>
      <c r="BN95" s="212"/>
      <c r="BO95" s="212"/>
      <c r="BP95" s="212"/>
      <c r="BQ95" s="212"/>
      <c r="BR95" s="212"/>
      <c r="BS95" s="212"/>
      <c r="BT95" s="212"/>
      <c r="BU95" s="212"/>
      <c r="BV95" s="212"/>
      <c r="BW95" s="212"/>
      <c r="BX95" s="212"/>
      <c r="BY95" s="212"/>
      <c r="BZ95" s="212"/>
      <c r="CA95" s="212"/>
      <c r="CB95" s="212"/>
      <c r="CC95" s="212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12"/>
      <c r="CS95" s="212"/>
    </row>
    <row r="96" spans="1:97" x14ac:dyDescent="0.4">
      <c r="A96" s="209">
        <v>45382</v>
      </c>
      <c r="B96" s="210" t="s">
        <v>300</v>
      </c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212"/>
      <c r="N96" s="212"/>
      <c r="O96" s="212"/>
      <c r="P96" s="212"/>
      <c r="Q96" s="212"/>
      <c r="R96" s="212"/>
      <c r="S96" s="212"/>
      <c r="T96" s="212"/>
      <c r="U96" s="212"/>
      <c r="V96" s="212"/>
      <c r="W96" s="212"/>
      <c r="X96" s="212"/>
      <c r="Y96" s="212"/>
      <c r="Z96" s="212"/>
      <c r="AA96" s="212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2"/>
      <c r="AP96" s="212"/>
      <c r="AQ96" s="212"/>
      <c r="AR96" s="212"/>
      <c r="AS96" s="212"/>
      <c r="AT96" s="212"/>
      <c r="AU96" s="212"/>
      <c r="AV96" s="212"/>
      <c r="AW96" s="212"/>
      <c r="AX96" s="212"/>
      <c r="AY96" s="212"/>
      <c r="AZ96" s="212"/>
      <c r="BA96" s="212"/>
      <c r="BB96" s="212"/>
      <c r="BC96" s="212"/>
      <c r="BD96" s="212"/>
      <c r="BE96" s="212"/>
      <c r="BF96" s="212"/>
      <c r="BG96" s="212"/>
      <c r="BH96" s="212"/>
      <c r="BI96" s="212"/>
      <c r="BJ96" s="212"/>
      <c r="BK96" s="212"/>
      <c r="BL96" s="212"/>
      <c r="BM96" s="212"/>
      <c r="BN96" s="212"/>
      <c r="BO96" s="212"/>
      <c r="BP96" s="212"/>
      <c r="BQ96" s="212"/>
      <c r="BR96" s="212"/>
      <c r="BS96" s="212"/>
      <c r="BT96" s="212"/>
      <c r="BU96" s="212"/>
      <c r="BV96" s="212"/>
      <c r="BW96" s="212"/>
      <c r="BX96" s="212"/>
      <c r="BY96" s="212"/>
      <c r="BZ96" s="212"/>
      <c r="CA96" s="212"/>
      <c r="CB96" s="212"/>
      <c r="CC96" s="212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12"/>
      <c r="CS96" s="212"/>
    </row>
    <row r="97" spans="1:97" x14ac:dyDescent="0.4">
      <c r="A97" s="209">
        <v>45383</v>
      </c>
      <c r="B97" s="210" t="s">
        <v>294</v>
      </c>
      <c r="C97" s="212">
        <v>152.43</v>
      </c>
      <c r="D97" s="212">
        <v>150.43</v>
      </c>
      <c r="E97" s="212">
        <v>151.43</v>
      </c>
      <c r="F97" s="212">
        <v>164.92</v>
      </c>
      <c r="G97" s="212">
        <v>161.91999999999999</v>
      </c>
      <c r="H97" s="212">
        <v>163.41999999999999</v>
      </c>
      <c r="I97" s="212">
        <v>113.6</v>
      </c>
      <c r="J97" s="212">
        <v>110.39999999999999</v>
      </c>
      <c r="K97" s="212">
        <v>112</v>
      </c>
      <c r="L97" s="212">
        <v>195.35</v>
      </c>
      <c r="M97" s="212">
        <v>187.35</v>
      </c>
      <c r="N97" s="212">
        <v>191.35</v>
      </c>
      <c r="O97" s="212">
        <v>168.82</v>
      </c>
      <c r="P97" s="212">
        <v>167.01999999999998</v>
      </c>
      <c r="Q97" s="212">
        <v>167.92</v>
      </c>
      <c r="R97" s="212">
        <v>22.21</v>
      </c>
      <c r="S97" s="212">
        <v>21.61</v>
      </c>
      <c r="T97" s="212">
        <v>21.91</v>
      </c>
      <c r="U97" s="212">
        <v>14.27</v>
      </c>
      <c r="V97" s="212">
        <v>13.67</v>
      </c>
      <c r="W97" s="212">
        <v>13.969999999999999</v>
      </c>
      <c r="X97" s="212">
        <v>14.58</v>
      </c>
      <c r="Y97" s="212">
        <v>13.78</v>
      </c>
      <c r="Z97" s="212">
        <v>14.18</v>
      </c>
      <c r="AA97" s="212">
        <v>100.96</v>
      </c>
      <c r="AB97" s="212">
        <v>96.96</v>
      </c>
      <c r="AC97" s="212">
        <v>98.96</v>
      </c>
      <c r="AD97" s="212">
        <v>92.74</v>
      </c>
      <c r="AE97" s="212">
        <v>88.74</v>
      </c>
      <c r="AF97" s="212">
        <v>90.74</v>
      </c>
      <c r="AG97" s="212">
        <v>19.78</v>
      </c>
      <c r="AH97" s="212">
        <v>18.920000000000002</v>
      </c>
      <c r="AI97" s="212">
        <v>19.350000000000001</v>
      </c>
      <c r="AJ97" s="212"/>
      <c r="AK97" s="212"/>
      <c r="AL97" s="212"/>
      <c r="AM97" s="212">
        <v>113.18</v>
      </c>
      <c r="AN97" s="212">
        <v>111.52000000000001</v>
      </c>
      <c r="AO97" s="212">
        <v>112.35000000000001</v>
      </c>
      <c r="AP97" s="212">
        <v>41.24</v>
      </c>
      <c r="AQ97" s="212">
        <v>39.64</v>
      </c>
      <c r="AR97" s="212">
        <v>40.44</v>
      </c>
      <c r="AS97" s="212">
        <v>41.99</v>
      </c>
      <c r="AT97" s="212">
        <v>40.630000000000003</v>
      </c>
      <c r="AU97" s="212">
        <v>41.31</v>
      </c>
      <c r="AV97" s="212">
        <v>21.18</v>
      </c>
      <c r="AW97" s="212">
        <v>20.58</v>
      </c>
      <c r="AX97" s="212">
        <v>20.88</v>
      </c>
      <c r="AY97" s="212">
        <v>4.25</v>
      </c>
      <c r="AZ97" s="212">
        <v>4.09</v>
      </c>
      <c r="BA97" s="212">
        <v>4.17</v>
      </c>
      <c r="BB97" s="212">
        <v>1.98</v>
      </c>
      <c r="BC97" s="212">
        <v>1.68</v>
      </c>
      <c r="BD97" s="212">
        <v>1.83</v>
      </c>
      <c r="BE97" s="212">
        <v>0.7</v>
      </c>
      <c r="BF97" s="212">
        <v>0.39999999999999997</v>
      </c>
      <c r="BG97" s="212">
        <v>0.54999999999999993</v>
      </c>
      <c r="BH97" s="212">
        <v>501.1</v>
      </c>
      <c r="BI97" s="212">
        <v>485.1</v>
      </c>
      <c r="BJ97" s="212">
        <v>493.1</v>
      </c>
      <c r="BK97" s="212">
        <v>42.28</v>
      </c>
      <c r="BL97" s="212">
        <v>40.92</v>
      </c>
      <c r="BM97" s="212">
        <v>41.6</v>
      </c>
      <c r="BN97" s="212">
        <v>1.08</v>
      </c>
      <c r="BO97" s="212">
        <v>0.84000000000000008</v>
      </c>
      <c r="BP97" s="212">
        <v>0.96000000000000008</v>
      </c>
      <c r="BQ97" s="212">
        <v>10.15</v>
      </c>
      <c r="BR97" s="212">
        <v>8.15</v>
      </c>
      <c r="BS97" s="212">
        <v>9.15</v>
      </c>
      <c r="BT97" s="212">
        <v>11.47</v>
      </c>
      <c r="BU97" s="212">
        <v>11.07</v>
      </c>
      <c r="BV97" s="212">
        <v>11.27</v>
      </c>
      <c r="BW97" s="212">
        <v>2.85</v>
      </c>
      <c r="BX97" s="212">
        <v>2.5700000000000003</v>
      </c>
      <c r="BY97" s="212">
        <v>2.71</v>
      </c>
      <c r="BZ97" s="212">
        <v>9.5299999999999994</v>
      </c>
      <c r="CA97" s="212">
        <v>6.5299999999999994</v>
      </c>
      <c r="CB97" s="212">
        <v>8.0299999999999994</v>
      </c>
      <c r="CC97" s="212">
        <v>6.6</v>
      </c>
      <c r="CD97" s="212">
        <v>6.3599999999999994</v>
      </c>
      <c r="CE97" s="212">
        <v>6.4799999999999995</v>
      </c>
      <c r="CF97" s="212">
        <v>1.89</v>
      </c>
      <c r="CG97" s="212">
        <v>1.39</v>
      </c>
      <c r="CH97" s="212">
        <v>1.64</v>
      </c>
      <c r="CI97" s="212">
        <v>0.44</v>
      </c>
      <c r="CJ97" s="212">
        <v>0.4</v>
      </c>
      <c r="CK97" s="212">
        <v>0.42000000000000004</v>
      </c>
      <c r="CL97" s="212">
        <v>39.25</v>
      </c>
      <c r="CM97" s="212">
        <v>36.85</v>
      </c>
      <c r="CN97" s="212">
        <v>38.049999999999997</v>
      </c>
      <c r="CO97" s="212">
        <v>7.18</v>
      </c>
      <c r="CP97" s="212">
        <v>2.1799999999999997</v>
      </c>
      <c r="CQ97" s="212">
        <v>4.68</v>
      </c>
      <c r="CR97" s="212"/>
      <c r="CS97" s="212"/>
    </row>
    <row r="98" spans="1:97" x14ac:dyDescent="0.4">
      <c r="A98" s="209">
        <v>45384</v>
      </c>
      <c r="B98" s="210" t="s">
        <v>295</v>
      </c>
      <c r="C98" s="212">
        <v>152.76</v>
      </c>
      <c r="D98" s="212">
        <v>150.76</v>
      </c>
      <c r="E98" s="212">
        <v>151.76</v>
      </c>
      <c r="F98" s="212">
        <v>164.48</v>
      </c>
      <c r="G98" s="212">
        <v>161.47999999999999</v>
      </c>
      <c r="H98" s="212">
        <v>162.97999999999999</v>
      </c>
      <c r="I98" s="212">
        <v>113.4</v>
      </c>
      <c r="J98" s="212">
        <v>110.2</v>
      </c>
      <c r="K98" s="212">
        <v>111.80000000000001</v>
      </c>
      <c r="L98" s="212">
        <v>194.4</v>
      </c>
      <c r="M98" s="212">
        <v>186.4</v>
      </c>
      <c r="N98" s="212">
        <v>190.4</v>
      </c>
      <c r="O98" s="212">
        <v>168.54</v>
      </c>
      <c r="P98" s="212">
        <v>166.73999999999998</v>
      </c>
      <c r="Q98" s="212">
        <v>167.64</v>
      </c>
      <c r="R98" s="212">
        <v>22.15</v>
      </c>
      <c r="S98" s="212">
        <v>21.549999999999997</v>
      </c>
      <c r="T98" s="212">
        <v>21.849999999999998</v>
      </c>
      <c r="U98" s="212">
        <v>14.14</v>
      </c>
      <c r="V98" s="212">
        <v>13.540000000000001</v>
      </c>
      <c r="W98" s="212">
        <v>13.84</v>
      </c>
      <c r="X98" s="212">
        <v>14.45</v>
      </c>
      <c r="Y98" s="212">
        <v>13.649999999999999</v>
      </c>
      <c r="Z98" s="212">
        <v>14.049999999999999</v>
      </c>
      <c r="AA98" s="212">
        <v>100.51</v>
      </c>
      <c r="AB98" s="212">
        <v>96.51</v>
      </c>
      <c r="AC98" s="212">
        <v>98.51</v>
      </c>
      <c r="AD98" s="212">
        <v>92.27</v>
      </c>
      <c r="AE98" s="212">
        <v>88.27</v>
      </c>
      <c r="AF98" s="212">
        <v>90.27</v>
      </c>
      <c r="AG98" s="212">
        <v>19.82</v>
      </c>
      <c r="AH98" s="212">
        <v>18.96</v>
      </c>
      <c r="AI98" s="212">
        <v>19.39</v>
      </c>
      <c r="AJ98" s="212"/>
      <c r="AK98" s="212"/>
      <c r="AL98" s="212"/>
      <c r="AM98" s="212">
        <v>113.01</v>
      </c>
      <c r="AN98" s="212">
        <v>111.35000000000001</v>
      </c>
      <c r="AO98" s="212">
        <v>112.18</v>
      </c>
      <c r="AP98" s="212">
        <v>41.32</v>
      </c>
      <c r="AQ98" s="212">
        <v>39.72</v>
      </c>
      <c r="AR98" s="212">
        <v>40.519999999999996</v>
      </c>
      <c r="AS98" s="212">
        <v>42.08</v>
      </c>
      <c r="AT98" s="212">
        <v>40.72</v>
      </c>
      <c r="AU98" s="212">
        <v>41.4</v>
      </c>
      <c r="AV98" s="212">
        <v>21.2</v>
      </c>
      <c r="AW98" s="212">
        <v>20.599999999999998</v>
      </c>
      <c r="AX98" s="212">
        <v>20.9</v>
      </c>
      <c r="AY98" s="212">
        <v>4.2300000000000004</v>
      </c>
      <c r="AZ98" s="212">
        <v>4.07</v>
      </c>
      <c r="BA98" s="212">
        <v>4.1500000000000004</v>
      </c>
      <c r="BB98" s="212">
        <v>1.98</v>
      </c>
      <c r="BC98" s="212">
        <v>1.68</v>
      </c>
      <c r="BD98" s="212">
        <v>1.83</v>
      </c>
      <c r="BE98" s="212">
        <v>0.7</v>
      </c>
      <c r="BF98" s="212">
        <v>0.39999999999999997</v>
      </c>
      <c r="BG98" s="212">
        <v>0.54999999999999993</v>
      </c>
      <c r="BH98" s="212">
        <v>502.01</v>
      </c>
      <c r="BI98" s="212">
        <v>486.01</v>
      </c>
      <c r="BJ98" s="212">
        <v>494.01</v>
      </c>
      <c r="BK98" s="212">
        <v>42.38</v>
      </c>
      <c r="BL98" s="212">
        <v>41.02</v>
      </c>
      <c r="BM98" s="212">
        <v>41.7</v>
      </c>
      <c r="BN98" s="212">
        <v>1.08</v>
      </c>
      <c r="BO98" s="212">
        <v>0.84000000000000008</v>
      </c>
      <c r="BP98" s="212">
        <v>0.96000000000000008</v>
      </c>
      <c r="BQ98" s="212">
        <v>10.14</v>
      </c>
      <c r="BR98" s="212">
        <v>8.14</v>
      </c>
      <c r="BS98" s="212">
        <v>9.14</v>
      </c>
      <c r="BT98" s="212">
        <v>11.42</v>
      </c>
      <c r="BU98" s="212">
        <v>11.02</v>
      </c>
      <c r="BV98" s="212">
        <v>11.219999999999999</v>
      </c>
      <c r="BW98" s="212">
        <v>2.86</v>
      </c>
      <c r="BX98" s="212">
        <v>2.58</v>
      </c>
      <c r="BY98" s="212">
        <v>2.7199999999999998</v>
      </c>
      <c r="BZ98" s="212">
        <v>9.52</v>
      </c>
      <c r="CA98" s="212">
        <v>6.52</v>
      </c>
      <c r="CB98" s="212">
        <v>8.02</v>
      </c>
      <c r="CC98" s="212">
        <v>6.58</v>
      </c>
      <c r="CD98" s="212">
        <v>6.34</v>
      </c>
      <c r="CE98" s="212">
        <v>6.46</v>
      </c>
      <c r="CF98" s="212">
        <v>1.9</v>
      </c>
      <c r="CG98" s="212">
        <v>1.4</v>
      </c>
      <c r="CH98" s="212">
        <v>1.65</v>
      </c>
      <c r="CI98" s="212">
        <v>0.43</v>
      </c>
      <c r="CJ98" s="212">
        <v>0.39</v>
      </c>
      <c r="CK98" s="212">
        <v>0.41000000000000003</v>
      </c>
      <c r="CL98" s="212">
        <v>39.17</v>
      </c>
      <c r="CM98" s="212">
        <v>36.770000000000003</v>
      </c>
      <c r="CN98" s="212">
        <v>37.97</v>
      </c>
      <c r="CO98" s="212">
        <v>7.2</v>
      </c>
      <c r="CP98" s="212">
        <v>2.2000000000000002</v>
      </c>
      <c r="CQ98" s="212">
        <v>4.7</v>
      </c>
      <c r="CR98" s="212"/>
      <c r="CS98" s="212"/>
    </row>
    <row r="99" spans="1:97" x14ac:dyDescent="0.4">
      <c r="A99" s="209">
        <v>45385</v>
      </c>
      <c r="B99" s="210" t="s">
        <v>296</v>
      </c>
      <c r="C99" s="212">
        <v>152.6</v>
      </c>
      <c r="D99" s="212">
        <v>150.6</v>
      </c>
      <c r="E99" s="212">
        <v>151.6</v>
      </c>
      <c r="F99" s="212">
        <v>164.8</v>
      </c>
      <c r="G99" s="212">
        <v>161.80000000000001</v>
      </c>
      <c r="H99" s="212">
        <v>163.30000000000001</v>
      </c>
      <c r="I99" s="212">
        <v>113.35</v>
      </c>
      <c r="J99" s="212">
        <v>110.14999999999999</v>
      </c>
      <c r="K99" s="212">
        <v>111.75</v>
      </c>
      <c r="L99" s="212">
        <v>194.64</v>
      </c>
      <c r="M99" s="212">
        <v>186.64</v>
      </c>
      <c r="N99" s="212">
        <v>190.64</v>
      </c>
      <c r="O99" s="212">
        <v>167.84</v>
      </c>
      <c r="P99" s="212">
        <v>166.04</v>
      </c>
      <c r="Q99" s="212">
        <v>166.94</v>
      </c>
      <c r="R99" s="212">
        <v>22.19</v>
      </c>
      <c r="S99" s="212">
        <v>21.59</v>
      </c>
      <c r="T99" s="212">
        <v>21.89</v>
      </c>
      <c r="U99" s="212">
        <v>14.29</v>
      </c>
      <c r="V99" s="212">
        <v>13.69</v>
      </c>
      <c r="W99" s="212">
        <v>13.989999999999998</v>
      </c>
      <c r="X99" s="212">
        <v>14.51</v>
      </c>
      <c r="Y99" s="212">
        <v>13.709999999999999</v>
      </c>
      <c r="Z99" s="212">
        <v>14.11</v>
      </c>
      <c r="AA99" s="212">
        <v>100.71</v>
      </c>
      <c r="AB99" s="212">
        <v>96.71</v>
      </c>
      <c r="AC99" s="212">
        <v>98.71</v>
      </c>
      <c r="AD99" s="212">
        <v>92.41</v>
      </c>
      <c r="AE99" s="212">
        <v>88.41</v>
      </c>
      <c r="AF99" s="212">
        <v>90.41</v>
      </c>
      <c r="AG99" s="212">
        <v>19.79</v>
      </c>
      <c r="AH99" s="212">
        <v>18.93</v>
      </c>
      <c r="AI99" s="212">
        <v>19.36</v>
      </c>
      <c r="AJ99" s="212"/>
      <c r="AK99" s="212"/>
      <c r="AL99" s="212"/>
      <c r="AM99" s="212">
        <v>113.02</v>
      </c>
      <c r="AN99" s="212">
        <v>111.36</v>
      </c>
      <c r="AO99" s="212">
        <v>112.19</v>
      </c>
      <c r="AP99" s="212">
        <v>41.18</v>
      </c>
      <c r="AQ99" s="212">
        <v>39.58</v>
      </c>
      <c r="AR99" s="212">
        <v>40.379999999999995</v>
      </c>
      <c r="AS99" s="212">
        <v>42.03</v>
      </c>
      <c r="AT99" s="212">
        <v>40.67</v>
      </c>
      <c r="AU99" s="212">
        <v>41.35</v>
      </c>
      <c r="AV99" s="212">
        <v>21.2</v>
      </c>
      <c r="AW99" s="212">
        <v>20.599999999999998</v>
      </c>
      <c r="AX99" s="212">
        <v>20.9</v>
      </c>
      <c r="AY99" s="212">
        <v>4.22</v>
      </c>
      <c r="AZ99" s="212">
        <v>4.0599999999999996</v>
      </c>
      <c r="BA99" s="212">
        <v>4.1399999999999997</v>
      </c>
      <c r="BB99" s="212">
        <v>1.98</v>
      </c>
      <c r="BC99" s="212">
        <v>1.68</v>
      </c>
      <c r="BD99" s="212">
        <v>1.83</v>
      </c>
      <c r="BE99" s="212">
        <v>0.7</v>
      </c>
      <c r="BF99" s="212">
        <v>0.39999999999999997</v>
      </c>
      <c r="BG99" s="212">
        <v>0.54999999999999993</v>
      </c>
      <c r="BH99" s="212">
        <v>501.65</v>
      </c>
      <c r="BI99" s="212">
        <v>485.65</v>
      </c>
      <c r="BJ99" s="212">
        <v>493.65</v>
      </c>
      <c r="BK99" s="212">
        <v>42.34</v>
      </c>
      <c r="BL99" s="212">
        <v>40.980000000000004</v>
      </c>
      <c r="BM99" s="212">
        <v>41.660000000000004</v>
      </c>
      <c r="BN99" s="212">
        <v>1.08</v>
      </c>
      <c r="BO99" s="212">
        <v>0.84000000000000008</v>
      </c>
      <c r="BP99" s="212">
        <v>0.96000000000000008</v>
      </c>
      <c r="BQ99" s="212">
        <v>10.15</v>
      </c>
      <c r="BR99" s="212">
        <v>8.15</v>
      </c>
      <c r="BS99" s="212">
        <v>9.15</v>
      </c>
      <c r="BT99" s="212">
        <v>11.45</v>
      </c>
      <c r="BU99" s="212">
        <v>11.049999999999999</v>
      </c>
      <c r="BV99" s="212">
        <v>11.25</v>
      </c>
      <c r="BW99" s="212">
        <v>2.85</v>
      </c>
      <c r="BX99" s="212">
        <v>2.5700000000000003</v>
      </c>
      <c r="BY99" s="212">
        <v>2.71</v>
      </c>
      <c r="BZ99" s="212">
        <v>9.57</v>
      </c>
      <c r="CA99" s="212">
        <v>6.57</v>
      </c>
      <c r="CB99" s="212">
        <v>8.07</v>
      </c>
      <c r="CC99" s="212">
        <v>6.58</v>
      </c>
      <c r="CD99" s="212">
        <v>6.34</v>
      </c>
      <c r="CE99" s="212">
        <v>6.46</v>
      </c>
      <c r="CF99" s="212">
        <v>1.89</v>
      </c>
      <c r="CG99" s="212">
        <v>1.39</v>
      </c>
      <c r="CH99" s="212">
        <v>1.64</v>
      </c>
      <c r="CI99" s="212">
        <v>0.43</v>
      </c>
      <c r="CJ99" s="212">
        <v>0.39</v>
      </c>
      <c r="CK99" s="212">
        <v>0.41000000000000003</v>
      </c>
      <c r="CL99" s="212">
        <v>39.229999999999997</v>
      </c>
      <c r="CM99" s="212">
        <v>36.83</v>
      </c>
      <c r="CN99" s="212">
        <v>38.03</v>
      </c>
      <c r="CO99" s="212">
        <v>7.22</v>
      </c>
      <c r="CP99" s="212">
        <v>2.2199999999999998</v>
      </c>
      <c r="CQ99" s="212">
        <v>4.72</v>
      </c>
      <c r="CR99" s="212"/>
      <c r="CS99" s="212"/>
    </row>
    <row r="100" spans="1:97" x14ac:dyDescent="0.4">
      <c r="A100" s="209">
        <v>45386</v>
      </c>
      <c r="B100" s="210" t="s">
        <v>297</v>
      </c>
      <c r="C100" s="212">
        <v>152.74</v>
      </c>
      <c r="D100" s="212">
        <v>150.74</v>
      </c>
      <c r="E100" s="212">
        <v>151.74</v>
      </c>
      <c r="F100" s="212">
        <v>166.02</v>
      </c>
      <c r="G100" s="212">
        <v>163.02000000000001</v>
      </c>
      <c r="H100" s="212">
        <v>164.52</v>
      </c>
      <c r="I100" s="212">
        <v>113.85</v>
      </c>
      <c r="J100" s="212">
        <v>110.64999999999999</v>
      </c>
      <c r="K100" s="212">
        <v>112.25</v>
      </c>
      <c r="L100" s="212">
        <v>195.98</v>
      </c>
      <c r="M100" s="212">
        <v>187.98</v>
      </c>
      <c r="N100" s="212">
        <v>191.98</v>
      </c>
      <c r="O100" s="212">
        <v>168.92</v>
      </c>
      <c r="P100" s="212">
        <v>167.11999999999998</v>
      </c>
      <c r="Q100" s="212">
        <v>168.01999999999998</v>
      </c>
      <c r="R100" s="212">
        <v>22.35</v>
      </c>
      <c r="S100" s="212">
        <v>21.75</v>
      </c>
      <c r="T100" s="212">
        <v>22.05</v>
      </c>
      <c r="U100" s="212">
        <v>14.47</v>
      </c>
      <c r="V100" s="212">
        <v>13.870000000000001</v>
      </c>
      <c r="W100" s="212">
        <v>14.170000000000002</v>
      </c>
      <c r="X100" s="212">
        <v>14.67</v>
      </c>
      <c r="Y100" s="212">
        <v>13.87</v>
      </c>
      <c r="Z100" s="212">
        <v>14.27</v>
      </c>
      <c r="AA100" s="212">
        <v>101.77</v>
      </c>
      <c r="AB100" s="212">
        <v>97.77</v>
      </c>
      <c r="AC100" s="212">
        <v>99.77</v>
      </c>
      <c r="AD100" s="212">
        <v>93.41</v>
      </c>
      <c r="AE100" s="212">
        <v>89.41</v>
      </c>
      <c r="AF100" s="212">
        <v>91.41</v>
      </c>
      <c r="AG100" s="212">
        <v>19.809999999999999</v>
      </c>
      <c r="AH100" s="212">
        <v>18.95</v>
      </c>
      <c r="AI100" s="212">
        <v>19.38</v>
      </c>
      <c r="AJ100" s="212"/>
      <c r="AK100" s="212"/>
      <c r="AL100" s="212"/>
      <c r="AM100" s="212">
        <v>113.41</v>
      </c>
      <c r="AN100" s="212">
        <v>111.75</v>
      </c>
      <c r="AO100" s="212">
        <v>112.58</v>
      </c>
      <c r="AP100" s="212">
        <v>41.32</v>
      </c>
      <c r="AQ100" s="212">
        <v>39.72</v>
      </c>
      <c r="AR100" s="212">
        <v>40.519999999999996</v>
      </c>
      <c r="AS100" s="212">
        <v>42.07</v>
      </c>
      <c r="AT100" s="212">
        <v>40.71</v>
      </c>
      <c r="AU100" s="212">
        <v>41.39</v>
      </c>
      <c r="AV100" s="212">
        <v>21.23</v>
      </c>
      <c r="AW100" s="212">
        <v>20.63</v>
      </c>
      <c r="AX100" s="212">
        <v>20.93</v>
      </c>
      <c r="AY100" s="212">
        <v>4.2300000000000004</v>
      </c>
      <c r="AZ100" s="212">
        <v>4.07</v>
      </c>
      <c r="BA100" s="212">
        <v>4.1500000000000004</v>
      </c>
      <c r="BB100" s="212">
        <v>1.98</v>
      </c>
      <c r="BC100" s="212">
        <v>1.68</v>
      </c>
      <c r="BD100" s="212">
        <v>1.83</v>
      </c>
      <c r="BE100" s="212">
        <v>0.7</v>
      </c>
      <c r="BF100" s="212">
        <v>0.39999999999999997</v>
      </c>
      <c r="BG100" s="212">
        <v>0.54999999999999993</v>
      </c>
      <c r="BH100" s="212">
        <v>502.43</v>
      </c>
      <c r="BI100" s="212">
        <v>486.43</v>
      </c>
      <c r="BJ100" s="212">
        <v>494.43</v>
      </c>
      <c r="BK100" s="212">
        <v>42.38</v>
      </c>
      <c r="BL100" s="212">
        <v>41.02</v>
      </c>
      <c r="BM100" s="212">
        <v>41.7</v>
      </c>
      <c r="BN100" s="212">
        <v>1.08</v>
      </c>
      <c r="BO100" s="212">
        <v>0.84000000000000008</v>
      </c>
      <c r="BP100" s="212">
        <v>0.96000000000000008</v>
      </c>
      <c r="BQ100" s="212">
        <v>10.18</v>
      </c>
      <c r="BR100" s="212">
        <v>8.18</v>
      </c>
      <c r="BS100" s="212">
        <v>9.18</v>
      </c>
      <c r="BT100" s="212">
        <v>11.5</v>
      </c>
      <c r="BU100" s="212">
        <v>11.1</v>
      </c>
      <c r="BV100" s="212">
        <v>11.3</v>
      </c>
      <c r="BW100" s="212">
        <v>2.85</v>
      </c>
      <c r="BX100" s="212">
        <v>2.5700000000000003</v>
      </c>
      <c r="BY100" s="212">
        <v>2.71</v>
      </c>
      <c r="BZ100" s="212">
        <v>9.6300000000000008</v>
      </c>
      <c r="CA100" s="212">
        <v>6.6300000000000008</v>
      </c>
      <c r="CB100" s="212">
        <v>8.1300000000000008</v>
      </c>
      <c r="CC100" s="212">
        <v>6.62</v>
      </c>
      <c r="CD100" s="212">
        <v>6.38</v>
      </c>
      <c r="CE100" s="212">
        <v>6.5</v>
      </c>
      <c r="CF100" s="212">
        <v>1.89</v>
      </c>
      <c r="CG100" s="212">
        <v>1.39</v>
      </c>
      <c r="CH100" s="212">
        <v>1.64</v>
      </c>
      <c r="CI100" s="212">
        <v>0.44</v>
      </c>
      <c r="CJ100" s="212">
        <v>0.4</v>
      </c>
      <c r="CK100" s="212">
        <v>0.42000000000000004</v>
      </c>
      <c r="CL100" s="212">
        <v>39.549999999999997</v>
      </c>
      <c r="CM100" s="212">
        <v>37.15</v>
      </c>
      <c r="CN100" s="212">
        <v>38.349999999999994</v>
      </c>
      <c r="CO100" s="212">
        <v>7.25</v>
      </c>
      <c r="CP100" s="212">
        <v>2.25</v>
      </c>
      <c r="CQ100" s="212">
        <v>4.75</v>
      </c>
      <c r="CR100" s="212"/>
      <c r="CS100" s="212"/>
    </row>
    <row r="101" spans="1:97" x14ac:dyDescent="0.4">
      <c r="A101" s="209">
        <v>45387</v>
      </c>
      <c r="B101" s="210" t="s">
        <v>298</v>
      </c>
      <c r="C101" s="212">
        <v>151.99</v>
      </c>
      <c r="D101" s="212">
        <v>149.99</v>
      </c>
      <c r="E101" s="212">
        <v>150.99</v>
      </c>
      <c r="F101" s="212">
        <v>165.22</v>
      </c>
      <c r="G101" s="212">
        <v>162.22</v>
      </c>
      <c r="H101" s="212">
        <v>163.72</v>
      </c>
      <c r="I101" s="212">
        <v>113.06</v>
      </c>
      <c r="J101" s="212">
        <v>109.86</v>
      </c>
      <c r="K101" s="212">
        <v>111.46000000000001</v>
      </c>
      <c r="L101" s="212">
        <v>194.96</v>
      </c>
      <c r="M101" s="212">
        <v>186.96</v>
      </c>
      <c r="N101" s="212">
        <v>190.96</v>
      </c>
      <c r="O101" s="212">
        <v>168.39</v>
      </c>
      <c r="P101" s="212">
        <v>166.58999999999997</v>
      </c>
      <c r="Q101" s="212">
        <v>167.48999999999998</v>
      </c>
      <c r="R101" s="212">
        <v>22.25</v>
      </c>
      <c r="S101" s="212">
        <v>21.65</v>
      </c>
      <c r="T101" s="212">
        <v>21.95</v>
      </c>
      <c r="U101" s="212">
        <v>14.38</v>
      </c>
      <c r="V101" s="212">
        <v>13.780000000000001</v>
      </c>
      <c r="W101" s="212">
        <v>14.080000000000002</v>
      </c>
      <c r="X101" s="212">
        <v>14.6</v>
      </c>
      <c r="Y101" s="212">
        <v>13.799999999999999</v>
      </c>
      <c r="Z101" s="212">
        <v>14.2</v>
      </c>
      <c r="AA101" s="212">
        <v>101.53</v>
      </c>
      <c r="AB101" s="212">
        <v>97.53</v>
      </c>
      <c r="AC101" s="212">
        <v>99.53</v>
      </c>
      <c r="AD101" s="212">
        <v>93.08</v>
      </c>
      <c r="AE101" s="212">
        <v>89.08</v>
      </c>
      <c r="AF101" s="212">
        <v>91.08</v>
      </c>
      <c r="AG101" s="212">
        <v>19.72</v>
      </c>
      <c r="AH101" s="212">
        <v>18.86</v>
      </c>
      <c r="AI101" s="212">
        <v>19.29</v>
      </c>
      <c r="AJ101" s="212"/>
      <c r="AK101" s="212"/>
      <c r="AL101" s="212"/>
      <c r="AM101" s="212">
        <v>112.86</v>
      </c>
      <c r="AN101" s="212">
        <v>111.2</v>
      </c>
      <c r="AO101" s="212">
        <v>112.03</v>
      </c>
      <c r="AP101" s="212">
        <v>41.12</v>
      </c>
      <c r="AQ101" s="212">
        <v>39.519999999999996</v>
      </c>
      <c r="AR101" s="212">
        <v>40.319999999999993</v>
      </c>
      <c r="AS101" s="212">
        <v>41.87</v>
      </c>
      <c r="AT101" s="212">
        <v>40.51</v>
      </c>
      <c r="AU101" s="212">
        <v>41.19</v>
      </c>
      <c r="AV101" s="212">
        <v>21.14</v>
      </c>
      <c r="AW101" s="212">
        <v>20.54</v>
      </c>
      <c r="AX101" s="212">
        <v>20.84</v>
      </c>
      <c r="AY101" s="212">
        <v>4.1900000000000004</v>
      </c>
      <c r="AZ101" s="212">
        <v>4.03</v>
      </c>
      <c r="BA101" s="212">
        <v>4.1100000000000003</v>
      </c>
      <c r="BB101" s="212">
        <v>1.97</v>
      </c>
      <c r="BC101" s="212">
        <v>1.67</v>
      </c>
      <c r="BD101" s="212">
        <v>1.8199999999999998</v>
      </c>
      <c r="BE101" s="212">
        <v>0.7</v>
      </c>
      <c r="BF101" s="212">
        <v>0.39999999999999997</v>
      </c>
      <c r="BG101" s="212">
        <v>0.54999999999999993</v>
      </c>
      <c r="BH101" s="212">
        <v>500.14</v>
      </c>
      <c r="BI101" s="212">
        <v>484.14</v>
      </c>
      <c r="BJ101" s="212">
        <v>492.14</v>
      </c>
      <c r="BK101" s="212">
        <v>42.17</v>
      </c>
      <c r="BL101" s="212">
        <v>40.81</v>
      </c>
      <c r="BM101" s="212">
        <v>41.49</v>
      </c>
      <c r="BN101" s="212">
        <v>1.08</v>
      </c>
      <c r="BO101" s="212">
        <v>0.84000000000000008</v>
      </c>
      <c r="BP101" s="212">
        <v>0.96000000000000008</v>
      </c>
      <c r="BQ101" s="212">
        <v>10.119999999999999</v>
      </c>
      <c r="BR101" s="212">
        <v>8.1199999999999992</v>
      </c>
      <c r="BS101" s="212">
        <v>9.1199999999999992</v>
      </c>
      <c r="BT101" s="212">
        <v>11.41</v>
      </c>
      <c r="BU101" s="212">
        <v>11.01</v>
      </c>
      <c r="BV101" s="212">
        <v>11.21</v>
      </c>
      <c r="BW101" s="212">
        <v>2.84</v>
      </c>
      <c r="BX101" s="212">
        <v>2.5599999999999996</v>
      </c>
      <c r="BY101" s="212">
        <v>2.6999999999999997</v>
      </c>
      <c r="BZ101" s="212">
        <v>9.58</v>
      </c>
      <c r="CA101" s="212">
        <v>6.58</v>
      </c>
      <c r="CB101" s="212">
        <v>8.08</v>
      </c>
      <c r="CC101" s="212">
        <v>6.59</v>
      </c>
      <c r="CD101" s="212">
        <v>6.35</v>
      </c>
      <c r="CE101" s="212">
        <v>6.47</v>
      </c>
      <c r="CF101" s="212">
        <v>1.89</v>
      </c>
      <c r="CG101" s="212">
        <v>1.39</v>
      </c>
      <c r="CH101" s="212">
        <v>1.64</v>
      </c>
      <c r="CI101" s="212">
        <v>0.44</v>
      </c>
      <c r="CJ101" s="212">
        <v>0.4</v>
      </c>
      <c r="CK101" s="212">
        <v>0.42000000000000004</v>
      </c>
      <c r="CL101" s="212">
        <v>39.39</v>
      </c>
      <c r="CM101" s="212">
        <v>36.99</v>
      </c>
      <c r="CN101" s="212">
        <v>38.19</v>
      </c>
      <c r="CO101" s="212">
        <v>7.24</v>
      </c>
      <c r="CP101" s="212">
        <v>2.2400000000000002</v>
      </c>
      <c r="CQ101" s="212">
        <v>4.74</v>
      </c>
      <c r="CR101" s="212"/>
      <c r="CS101" s="212"/>
    </row>
    <row r="102" spans="1:97" x14ac:dyDescent="0.4">
      <c r="A102" s="209">
        <v>45388</v>
      </c>
      <c r="B102" s="210" t="s">
        <v>299</v>
      </c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212"/>
      <c r="N102" s="212"/>
      <c r="O102" s="212"/>
      <c r="P102" s="212"/>
      <c r="Q102" s="212"/>
      <c r="R102" s="212"/>
      <c r="S102" s="212"/>
      <c r="T102" s="212"/>
      <c r="U102" s="212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2"/>
      <c r="AP102" s="212"/>
      <c r="AQ102" s="212"/>
      <c r="AR102" s="212"/>
      <c r="AS102" s="212"/>
      <c r="AT102" s="212"/>
      <c r="AU102" s="212"/>
      <c r="AV102" s="212"/>
      <c r="AW102" s="212"/>
      <c r="AX102" s="212"/>
      <c r="AY102" s="212"/>
      <c r="AZ102" s="212"/>
      <c r="BA102" s="212"/>
      <c r="BB102" s="212"/>
      <c r="BC102" s="212"/>
      <c r="BD102" s="212"/>
      <c r="BE102" s="212"/>
      <c r="BF102" s="212"/>
      <c r="BG102" s="212"/>
      <c r="BH102" s="212"/>
      <c r="BI102" s="212"/>
      <c r="BJ102" s="212"/>
      <c r="BK102" s="212"/>
      <c r="BL102" s="212"/>
      <c r="BM102" s="212"/>
      <c r="BN102" s="212"/>
      <c r="BO102" s="212"/>
      <c r="BP102" s="212"/>
      <c r="BQ102" s="212"/>
      <c r="BR102" s="212"/>
      <c r="BS102" s="212"/>
      <c r="BT102" s="212"/>
      <c r="BU102" s="212"/>
      <c r="BV102" s="212"/>
      <c r="BW102" s="212"/>
      <c r="BX102" s="212"/>
      <c r="BY102" s="212"/>
      <c r="BZ102" s="212"/>
      <c r="CA102" s="212"/>
      <c r="CB102" s="212"/>
      <c r="CC102" s="212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12"/>
      <c r="CS102" s="212"/>
    </row>
    <row r="103" spans="1:97" x14ac:dyDescent="0.4">
      <c r="A103" s="209">
        <v>45389</v>
      </c>
      <c r="B103" s="210" t="s">
        <v>300</v>
      </c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212"/>
      <c r="N103" s="212"/>
      <c r="O103" s="212"/>
      <c r="P103" s="212"/>
      <c r="Q103" s="212"/>
      <c r="R103" s="212"/>
      <c r="S103" s="212"/>
      <c r="T103" s="212"/>
      <c r="U103" s="212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2"/>
      <c r="AP103" s="212"/>
      <c r="AQ103" s="212"/>
      <c r="AR103" s="212"/>
      <c r="AS103" s="212"/>
      <c r="AT103" s="212"/>
      <c r="AU103" s="212"/>
      <c r="AV103" s="212"/>
      <c r="AW103" s="212"/>
      <c r="AX103" s="212"/>
      <c r="AY103" s="212"/>
      <c r="AZ103" s="212"/>
      <c r="BA103" s="212"/>
      <c r="BB103" s="212"/>
      <c r="BC103" s="212"/>
      <c r="BD103" s="212"/>
      <c r="BE103" s="212"/>
      <c r="BF103" s="212"/>
      <c r="BG103" s="212"/>
      <c r="BH103" s="212"/>
      <c r="BI103" s="212"/>
      <c r="BJ103" s="212"/>
      <c r="BK103" s="212"/>
      <c r="BL103" s="212"/>
      <c r="BM103" s="212"/>
      <c r="BN103" s="212"/>
      <c r="BO103" s="212"/>
      <c r="BP103" s="212"/>
      <c r="BQ103" s="212"/>
      <c r="BR103" s="212"/>
      <c r="BS103" s="212"/>
      <c r="BT103" s="212"/>
      <c r="BU103" s="212"/>
      <c r="BV103" s="212"/>
      <c r="BW103" s="212"/>
      <c r="BX103" s="212"/>
      <c r="BY103" s="212"/>
      <c r="BZ103" s="212"/>
      <c r="CA103" s="212"/>
      <c r="CB103" s="212"/>
      <c r="CC103" s="212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12"/>
      <c r="CS103" s="212"/>
    </row>
    <row r="104" spans="1:97" x14ac:dyDescent="0.4">
      <c r="A104" s="209">
        <v>45390</v>
      </c>
      <c r="B104" s="210" t="s">
        <v>294</v>
      </c>
      <c r="C104" s="212">
        <v>152.80000000000001</v>
      </c>
      <c r="D104" s="212">
        <v>150.80000000000001</v>
      </c>
      <c r="E104" s="212">
        <v>151.80000000000001</v>
      </c>
      <c r="F104" s="212">
        <v>165.87</v>
      </c>
      <c r="G104" s="212">
        <v>162.87</v>
      </c>
      <c r="H104" s="212">
        <v>164.37</v>
      </c>
      <c r="I104" s="212">
        <v>113.09</v>
      </c>
      <c r="J104" s="212">
        <v>109.89</v>
      </c>
      <c r="K104" s="212">
        <v>111.49000000000001</v>
      </c>
      <c r="L104" s="212">
        <v>195.54</v>
      </c>
      <c r="M104" s="212">
        <v>187.54</v>
      </c>
      <c r="N104" s="212">
        <v>191.54</v>
      </c>
      <c r="O104" s="212">
        <v>168.78</v>
      </c>
      <c r="P104" s="212">
        <v>166.98</v>
      </c>
      <c r="Q104" s="212">
        <v>167.88</v>
      </c>
      <c r="R104" s="212">
        <v>22.34</v>
      </c>
      <c r="S104" s="212">
        <v>21.74</v>
      </c>
      <c r="T104" s="212">
        <v>22.04</v>
      </c>
      <c r="U104" s="212">
        <v>14.4</v>
      </c>
      <c r="V104" s="212">
        <v>13.8</v>
      </c>
      <c r="W104" s="212">
        <v>14.100000000000001</v>
      </c>
      <c r="X104" s="212">
        <v>14.64</v>
      </c>
      <c r="Y104" s="212">
        <v>13.84</v>
      </c>
      <c r="Z104" s="212">
        <v>14.24</v>
      </c>
      <c r="AA104" s="212">
        <v>101.6</v>
      </c>
      <c r="AB104" s="212">
        <v>97.6</v>
      </c>
      <c r="AC104" s="212">
        <v>99.6</v>
      </c>
      <c r="AD104" s="212">
        <v>93.19</v>
      </c>
      <c r="AE104" s="212">
        <v>89.19</v>
      </c>
      <c r="AF104" s="212">
        <v>91.19</v>
      </c>
      <c r="AG104" s="212">
        <v>19.82</v>
      </c>
      <c r="AH104" s="212">
        <v>18.96</v>
      </c>
      <c r="AI104" s="212">
        <v>19.39</v>
      </c>
      <c r="AJ104" s="212"/>
      <c r="AK104" s="212"/>
      <c r="AL104" s="212"/>
      <c r="AM104" s="212">
        <v>113.3</v>
      </c>
      <c r="AN104" s="212">
        <v>111.64</v>
      </c>
      <c r="AO104" s="212">
        <v>112.47</v>
      </c>
      <c r="AP104" s="212">
        <v>41.33</v>
      </c>
      <c r="AQ104" s="212">
        <v>39.729999999999997</v>
      </c>
      <c r="AR104" s="212">
        <v>40.53</v>
      </c>
      <c r="AS104" s="212">
        <v>41.97</v>
      </c>
      <c r="AT104" s="212">
        <v>40.61</v>
      </c>
      <c r="AU104" s="212">
        <v>41.29</v>
      </c>
      <c r="AV104" s="212">
        <v>21.23</v>
      </c>
      <c r="AW104" s="212">
        <v>20.63</v>
      </c>
      <c r="AX104" s="212">
        <v>20.93</v>
      </c>
      <c r="AY104" s="212">
        <v>4.22</v>
      </c>
      <c r="AZ104" s="212">
        <v>4.0599999999999996</v>
      </c>
      <c r="BA104" s="212">
        <v>4.1399999999999997</v>
      </c>
      <c r="BB104" s="212">
        <v>1.98</v>
      </c>
      <c r="BC104" s="212">
        <v>1.68</v>
      </c>
      <c r="BD104" s="212">
        <v>1.83</v>
      </c>
      <c r="BE104" s="212">
        <v>0.7</v>
      </c>
      <c r="BF104" s="212">
        <v>0.39999999999999997</v>
      </c>
      <c r="BG104" s="212">
        <v>0.54999999999999993</v>
      </c>
      <c r="BH104" s="212">
        <v>502.62</v>
      </c>
      <c r="BI104" s="212">
        <v>486.62</v>
      </c>
      <c r="BJ104" s="212">
        <v>494.62</v>
      </c>
      <c r="BK104" s="212">
        <v>42.39</v>
      </c>
      <c r="BL104" s="212">
        <v>41.03</v>
      </c>
      <c r="BM104" s="212">
        <v>41.71</v>
      </c>
      <c r="BN104" s="212">
        <v>1.08</v>
      </c>
      <c r="BO104" s="212">
        <v>0.84000000000000008</v>
      </c>
      <c r="BP104" s="212">
        <v>0.96000000000000008</v>
      </c>
      <c r="BQ104" s="212">
        <v>10.210000000000001</v>
      </c>
      <c r="BR104" s="212">
        <v>8.2100000000000009</v>
      </c>
      <c r="BS104" s="212">
        <v>9.2100000000000009</v>
      </c>
      <c r="BT104" s="212">
        <v>11.42</v>
      </c>
      <c r="BU104" s="212">
        <v>11.02</v>
      </c>
      <c r="BV104" s="212">
        <v>11.219999999999999</v>
      </c>
      <c r="BW104" s="212">
        <v>2.85</v>
      </c>
      <c r="BX104" s="212">
        <v>2.5700000000000003</v>
      </c>
      <c r="BY104" s="212">
        <v>2.71</v>
      </c>
      <c r="BZ104" s="212">
        <v>9.6</v>
      </c>
      <c r="CA104" s="212">
        <v>6.6</v>
      </c>
      <c r="CB104" s="212">
        <v>8.1</v>
      </c>
      <c r="CC104" s="212">
        <v>6.61</v>
      </c>
      <c r="CD104" s="212">
        <v>6.37</v>
      </c>
      <c r="CE104" s="212">
        <v>6.49</v>
      </c>
      <c r="CF104" s="212">
        <v>1.89</v>
      </c>
      <c r="CG104" s="212">
        <v>1.39</v>
      </c>
      <c r="CH104" s="212">
        <v>1.64</v>
      </c>
      <c r="CI104" s="212">
        <v>0.44</v>
      </c>
      <c r="CJ104" s="212">
        <v>0.4</v>
      </c>
      <c r="CK104" s="212">
        <v>0.42000000000000004</v>
      </c>
      <c r="CL104" s="212">
        <v>39.61</v>
      </c>
      <c r="CM104" s="212">
        <v>37.21</v>
      </c>
      <c r="CN104" s="212">
        <v>38.409999999999997</v>
      </c>
      <c r="CO104" s="212">
        <v>7.24</v>
      </c>
      <c r="CP104" s="212">
        <v>2.2400000000000002</v>
      </c>
      <c r="CQ104" s="212">
        <v>4.74</v>
      </c>
      <c r="CR104" s="212"/>
      <c r="CS104" s="212"/>
    </row>
    <row r="105" spans="1:97" x14ac:dyDescent="0.4">
      <c r="A105" s="209">
        <v>45391</v>
      </c>
      <c r="B105" s="210" t="s">
        <v>295</v>
      </c>
      <c r="C105" s="212">
        <v>152.97999999999999</v>
      </c>
      <c r="D105" s="212">
        <v>150.97999999999999</v>
      </c>
      <c r="E105" s="212">
        <v>151.97999999999999</v>
      </c>
      <c r="F105" s="212">
        <v>166.54</v>
      </c>
      <c r="G105" s="212">
        <v>163.54</v>
      </c>
      <c r="H105" s="212">
        <v>165.04</v>
      </c>
      <c r="I105" s="212">
        <v>113.58</v>
      </c>
      <c r="J105" s="212">
        <v>110.38</v>
      </c>
      <c r="K105" s="212">
        <v>111.97999999999999</v>
      </c>
      <c r="L105" s="212">
        <v>196.32</v>
      </c>
      <c r="M105" s="212">
        <v>188.32</v>
      </c>
      <c r="N105" s="212">
        <v>192.32</v>
      </c>
      <c r="O105" s="212">
        <v>168.7</v>
      </c>
      <c r="P105" s="212">
        <v>166.89999999999998</v>
      </c>
      <c r="Q105" s="212">
        <v>167.79999999999998</v>
      </c>
      <c r="R105" s="212">
        <v>22.43</v>
      </c>
      <c r="S105" s="212">
        <v>21.83</v>
      </c>
      <c r="T105" s="212">
        <v>22.13</v>
      </c>
      <c r="U105" s="212">
        <v>14.53</v>
      </c>
      <c r="V105" s="212">
        <v>13.93</v>
      </c>
      <c r="W105" s="212">
        <v>14.23</v>
      </c>
      <c r="X105" s="212">
        <v>14.78</v>
      </c>
      <c r="Y105" s="212">
        <v>13.979999999999999</v>
      </c>
      <c r="Z105" s="212">
        <v>14.379999999999999</v>
      </c>
      <c r="AA105" s="212">
        <v>102.38</v>
      </c>
      <c r="AB105" s="212">
        <v>98.38</v>
      </c>
      <c r="AC105" s="212">
        <v>100.38</v>
      </c>
      <c r="AD105" s="212">
        <v>93.81</v>
      </c>
      <c r="AE105" s="212">
        <v>89.81</v>
      </c>
      <c r="AF105" s="212">
        <v>91.81</v>
      </c>
      <c r="AG105" s="212">
        <v>19.84</v>
      </c>
      <c r="AH105" s="212">
        <v>18.98</v>
      </c>
      <c r="AI105" s="212">
        <v>19.41</v>
      </c>
      <c r="AJ105" s="212"/>
      <c r="AK105" s="212"/>
      <c r="AL105" s="212"/>
      <c r="AM105" s="212">
        <v>113.61</v>
      </c>
      <c r="AN105" s="212">
        <v>111.95</v>
      </c>
      <c r="AO105" s="212">
        <v>112.78</v>
      </c>
      <c r="AP105" s="212">
        <v>41.38</v>
      </c>
      <c r="AQ105" s="212">
        <v>39.78</v>
      </c>
      <c r="AR105" s="212">
        <v>40.58</v>
      </c>
      <c r="AS105" s="212">
        <v>42.14</v>
      </c>
      <c r="AT105" s="212">
        <v>40.78</v>
      </c>
      <c r="AU105" s="212">
        <v>41.46</v>
      </c>
      <c r="AV105" s="212">
        <v>21.28</v>
      </c>
      <c r="AW105" s="212">
        <v>20.68</v>
      </c>
      <c r="AX105" s="212">
        <v>20.98</v>
      </c>
      <c r="AY105" s="212">
        <v>4.22</v>
      </c>
      <c r="AZ105" s="212">
        <v>4.0599999999999996</v>
      </c>
      <c r="BA105" s="212">
        <v>4.1399999999999997</v>
      </c>
      <c r="BB105" s="212">
        <v>1.98</v>
      </c>
      <c r="BC105" s="212">
        <v>1.68</v>
      </c>
      <c r="BD105" s="212">
        <v>1.83</v>
      </c>
      <c r="BE105" s="212">
        <v>0.7</v>
      </c>
      <c r="BF105" s="212">
        <v>0.39999999999999997</v>
      </c>
      <c r="BG105" s="212">
        <v>0.54999999999999993</v>
      </c>
      <c r="BH105" s="212">
        <v>503.21</v>
      </c>
      <c r="BI105" s="212">
        <v>487.21</v>
      </c>
      <c r="BJ105" s="212">
        <v>495.21</v>
      </c>
      <c r="BK105" s="212">
        <v>42.44</v>
      </c>
      <c r="BL105" s="212">
        <v>41.08</v>
      </c>
      <c r="BM105" s="212">
        <v>41.76</v>
      </c>
      <c r="BN105" s="212">
        <v>1.08</v>
      </c>
      <c r="BO105" s="212">
        <v>0.84000000000000008</v>
      </c>
      <c r="BP105" s="212">
        <v>0.96000000000000008</v>
      </c>
      <c r="BQ105" s="212">
        <v>10.31</v>
      </c>
      <c r="BR105" s="212">
        <v>8.31</v>
      </c>
      <c r="BS105" s="212">
        <v>9.31</v>
      </c>
      <c r="BT105" s="212">
        <v>11.44</v>
      </c>
      <c r="BU105" s="212">
        <v>11.04</v>
      </c>
      <c r="BV105" s="212">
        <v>11.239999999999998</v>
      </c>
      <c r="BW105" s="212">
        <v>2.85</v>
      </c>
      <c r="BX105" s="212">
        <v>2.5700000000000003</v>
      </c>
      <c r="BY105" s="212">
        <v>2.71</v>
      </c>
      <c r="BZ105" s="212">
        <v>9.65</v>
      </c>
      <c r="CA105" s="212">
        <v>6.65</v>
      </c>
      <c r="CB105" s="212">
        <v>8.15</v>
      </c>
      <c r="CC105" s="212">
        <v>6.64</v>
      </c>
      <c r="CD105" s="212">
        <v>6.3999999999999995</v>
      </c>
      <c r="CE105" s="212">
        <v>6.52</v>
      </c>
      <c r="CF105" s="212">
        <v>1.89</v>
      </c>
      <c r="CG105" s="212">
        <v>1.39</v>
      </c>
      <c r="CH105" s="212">
        <v>1.64</v>
      </c>
      <c r="CI105" s="212">
        <v>0.44</v>
      </c>
      <c r="CJ105" s="212">
        <v>0.4</v>
      </c>
      <c r="CK105" s="212">
        <v>0.42000000000000004</v>
      </c>
      <c r="CL105" s="212">
        <v>39.909999999999997</v>
      </c>
      <c r="CM105" s="212">
        <v>37.51</v>
      </c>
      <c r="CN105" s="212">
        <v>38.709999999999994</v>
      </c>
      <c r="CO105" s="212">
        <v>7.26</v>
      </c>
      <c r="CP105" s="212">
        <v>2.2599999999999998</v>
      </c>
      <c r="CQ105" s="212">
        <v>4.76</v>
      </c>
      <c r="CR105" s="212"/>
      <c r="CS105" s="212"/>
    </row>
    <row r="106" spans="1:97" x14ac:dyDescent="0.4">
      <c r="A106" s="209">
        <v>45392</v>
      </c>
      <c r="B106" s="210" t="s">
        <v>296</v>
      </c>
      <c r="C106" s="212">
        <v>152.82</v>
      </c>
      <c r="D106" s="212">
        <v>150.82</v>
      </c>
      <c r="E106" s="212">
        <v>151.82</v>
      </c>
      <c r="F106" s="212">
        <v>166.35</v>
      </c>
      <c r="G106" s="212">
        <v>163.35</v>
      </c>
      <c r="H106" s="212">
        <v>164.85</v>
      </c>
      <c r="I106" s="212">
        <v>113.51</v>
      </c>
      <c r="J106" s="212">
        <v>110.31</v>
      </c>
      <c r="K106" s="212">
        <v>111.91</v>
      </c>
      <c r="L106" s="212">
        <v>196.46</v>
      </c>
      <c r="M106" s="212">
        <v>188.46</v>
      </c>
      <c r="N106" s="212">
        <v>192.46</v>
      </c>
      <c r="O106" s="212">
        <v>168.95</v>
      </c>
      <c r="P106" s="212">
        <v>167.14999999999998</v>
      </c>
      <c r="Q106" s="212">
        <v>168.04999999999998</v>
      </c>
      <c r="R106" s="212">
        <v>22.4</v>
      </c>
      <c r="S106" s="212">
        <v>21.799999999999997</v>
      </c>
      <c r="T106" s="212">
        <v>22.099999999999998</v>
      </c>
      <c r="U106" s="212">
        <v>14.53</v>
      </c>
      <c r="V106" s="212">
        <v>13.93</v>
      </c>
      <c r="W106" s="212">
        <v>14.23</v>
      </c>
      <c r="X106" s="212">
        <v>14.79</v>
      </c>
      <c r="Y106" s="212">
        <v>13.989999999999998</v>
      </c>
      <c r="Z106" s="212">
        <v>14.389999999999999</v>
      </c>
      <c r="AA106" s="212">
        <v>102.64</v>
      </c>
      <c r="AB106" s="212">
        <v>98.64</v>
      </c>
      <c r="AC106" s="212">
        <v>100.64</v>
      </c>
      <c r="AD106" s="212">
        <v>94.03</v>
      </c>
      <c r="AE106" s="212">
        <v>90.03</v>
      </c>
      <c r="AF106" s="212">
        <v>92.03</v>
      </c>
      <c r="AG106" s="212">
        <v>19.809999999999999</v>
      </c>
      <c r="AH106" s="212">
        <v>18.95</v>
      </c>
      <c r="AI106" s="212">
        <v>19.38</v>
      </c>
      <c r="AJ106" s="212"/>
      <c r="AK106" s="212"/>
      <c r="AL106" s="212"/>
      <c r="AM106" s="212">
        <v>113.72</v>
      </c>
      <c r="AN106" s="212">
        <v>112.06</v>
      </c>
      <c r="AO106" s="212">
        <v>112.89</v>
      </c>
      <c r="AP106" s="212">
        <v>41.34</v>
      </c>
      <c r="AQ106" s="212">
        <v>39.74</v>
      </c>
      <c r="AR106" s="212">
        <v>40.540000000000006</v>
      </c>
      <c r="AS106" s="212">
        <v>42.09</v>
      </c>
      <c r="AT106" s="212">
        <v>40.730000000000004</v>
      </c>
      <c r="AU106" s="212">
        <v>41.410000000000004</v>
      </c>
      <c r="AV106" s="212">
        <v>21.28</v>
      </c>
      <c r="AW106" s="212">
        <v>20.68</v>
      </c>
      <c r="AX106" s="212">
        <v>20.98</v>
      </c>
      <c r="AY106" s="212">
        <v>4.25</v>
      </c>
      <c r="AZ106" s="212">
        <v>4.09</v>
      </c>
      <c r="BA106" s="212">
        <v>4.17</v>
      </c>
      <c r="BB106" s="212">
        <v>1.99</v>
      </c>
      <c r="BC106" s="212">
        <v>1.69</v>
      </c>
      <c r="BD106" s="212">
        <v>1.8399999999999999</v>
      </c>
      <c r="BE106" s="212">
        <v>0.7</v>
      </c>
      <c r="BF106" s="212">
        <v>0.39999999999999997</v>
      </c>
      <c r="BG106" s="212">
        <v>0.54999999999999993</v>
      </c>
      <c r="BH106" s="212">
        <v>502.69</v>
      </c>
      <c r="BI106" s="212">
        <v>486.69</v>
      </c>
      <c r="BJ106" s="212">
        <v>494.69</v>
      </c>
      <c r="BK106" s="212">
        <v>42.4</v>
      </c>
      <c r="BL106" s="212">
        <v>41.04</v>
      </c>
      <c r="BM106" s="212">
        <v>41.72</v>
      </c>
      <c r="BN106" s="212">
        <v>1.08</v>
      </c>
      <c r="BO106" s="212">
        <v>0.84000000000000008</v>
      </c>
      <c r="BP106" s="212">
        <v>0.96000000000000008</v>
      </c>
      <c r="BQ106" s="212">
        <v>10.27</v>
      </c>
      <c r="BR106" s="212">
        <v>8.27</v>
      </c>
      <c r="BS106" s="212">
        <v>9.27</v>
      </c>
      <c r="BT106" s="212">
        <v>11.44</v>
      </c>
      <c r="BU106" s="212">
        <v>11.04</v>
      </c>
      <c r="BV106" s="212">
        <v>11.239999999999998</v>
      </c>
      <c r="BW106" s="212">
        <v>2.84</v>
      </c>
      <c r="BX106" s="212">
        <v>2.5599999999999996</v>
      </c>
      <c r="BY106" s="212">
        <v>2.6999999999999997</v>
      </c>
      <c r="BZ106" s="212">
        <v>9.73</v>
      </c>
      <c r="CA106" s="212">
        <v>6.73</v>
      </c>
      <c r="CB106" s="212">
        <v>8.23</v>
      </c>
      <c r="CC106" s="212">
        <v>6.61</v>
      </c>
      <c r="CD106" s="212">
        <v>6.37</v>
      </c>
      <c r="CE106" s="212">
        <v>6.49</v>
      </c>
      <c r="CF106" s="212">
        <v>1.89</v>
      </c>
      <c r="CG106" s="212">
        <v>1.39</v>
      </c>
      <c r="CH106" s="212">
        <v>1.64</v>
      </c>
      <c r="CI106" s="212">
        <v>0.44</v>
      </c>
      <c r="CJ106" s="212">
        <v>0.4</v>
      </c>
      <c r="CK106" s="212">
        <v>0.42000000000000004</v>
      </c>
      <c r="CL106" s="212">
        <v>39.86</v>
      </c>
      <c r="CM106" s="212">
        <v>37.46</v>
      </c>
      <c r="CN106" s="212">
        <v>38.659999999999997</v>
      </c>
      <c r="CO106" s="212">
        <v>7.24</v>
      </c>
      <c r="CP106" s="212">
        <v>2.2400000000000002</v>
      </c>
      <c r="CQ106" s="212">
        <v>4.74</v>
      </c>
      <c r="CR106" s="212"/>
      <c r="CS106" s="212"/>
    </row>
    <row r="107" spans="1:97" x14ac:dyDescent="0.4">
      <c r="A107" s="209">
        <v>45393</v>
      </c>
      <c r="B107" s="210" t="s">
        <v>297</v>
      </c>
      <c r="C107" s="212">
        <v>154.01</v>
      </c>
      <c r="D107" s="212">
        <v>152.01</v>
      </c>
      <c r="E107" s="212">
        <v>153.01</v>
      </c>
      <c r="F107" s="212">
        <v>165.85</v>
      </c>
      <c r="G107" s="212">
        <v>162.85</v>
      </c>
      <c r="H107" s="212">
        <v>164.35</v>
      </c>
      <c r="I107" s="212">
        <v>113.35</v>
      </c>
      <c r="J107" s="212">
        <v>110.14999999999999</v>
      </c>
      <c r="K107" s="212">
        <v>111.75</v>
      </c>
      <c r="L107" s="212">
        <v>195.83</v>
      </c>
      <c r="M107" s="212">
        <v>187.83</v>
      </c>
      <c r="N107" s="212">
        <v>191.83</v>
      </c>
      <c r="O107" s="212">
        <v>168.36</v>
      </c>
      <c r="P107" s="212">
        <v>166.56</v>
      </c>
      <c r="Q107" s="212">
        <v>167.46</v>
      </c>
      <c r="R107" s="212">
        <v>22.33</v>
      </c>
      <c r="S107" s="212">
        <v>21.729999999999997</v>
      </c>
      <c r="T107" s="212">
        <v>22.029999999999998</v>
      </c>
      <c r="U107" s="212">
        <v>14.41</v>
      </c>
      <c r="V107" s="212">
        <v>13.81</v>
      </c>
      <c r="W107" s="212">
        <v>14.11</v>
      </c>
      <c r="X107" s="212">
        <v>14.66</v>
      </c>
      <c r="Y107" s="212">
        <v>13.86</v>
      </c>
      <c r="Z107" s="212">
        <v>14.26</v>
      </c>
      <c r="AA107" s="212">
        <v>101.53</v>
      </c>
      <c r="AB107" s="212">
        <v>97.53</v>
      </c>
      <c r="AC107" s="212">
        <v>99.53</v>
      </c>
      <c r="AD107" s="212">
        <v>93.41</v>
      </c>
      <c r="AE107" s="212">
        <v>89.41</v>
      </c>
      <c r="AF107" s="212">
        <v>91.41</v>
      </c>
      <c r="AG107" s="212">
        <v>19.96</v>
      </c>
      <c r="AH107" s="212">
        <v>19.100000000000001</v>
      </c>
      <c r="AI107" s="212">
        <v>19.53</v>
      </c>
      <c r="AJ107" s="212"/>
      <c r="AK107" s="212"/>
      <c r="AL107" s="212"/>
      <c r="AM107" s="212">
        <v>113.85</v>
      </c>
      <c r="AN107" s="212">
        <v>112.19</v>
      </c>
      <c r="AO107" s="212">
        <v>113.02</v>
      </c>
      <c r="AP107" s="212">
        <v>41.66</v>
      </c>
      <c r="AQ107" s="212">
        <v>40.059999999999995</v>
      </c>
      <c r="AR107" s="212">
        <v>40.86</v>
      </c>
      <c r="AS107" s="212">
        <v>42.3</v>
      </c>
      <c r="AT107" s="212">
        <v>40.94</v>
      </c>
      <c r="AU107" s="212">
        <v>41.62</v>
      </c>
      <c r="AV107" s="212">
        <v>21.38</v>
      </c>
      <c r="AW107" s="212">
        <v>20.779999999999998</v>
      </c>
      <c r="AX107" s="212">
        <v>21.08</v>
      </c>
      <c r="AY107" s="212">
        <v>4.24</v>
      </c>
      <c r="AZ107" s="212">
        <v>4.08</v>
      </c>
      <c r="BA107" s="212">
        <v>4.16</v>
      </c>
      <c r="BB107" s="212">
        <v>1.99</v>
      </c>
      <c r="BC107" s="212">
        <v>1.69</v>
      </c>
      <c r="BD107" s="212">
        <v>1.8399999999999999</v>
      </c>
      <c r="BE107" s="212">
        <v>0.7</v>
      </c>
      <c r="BF107" s="212">
        <v>0.39999999999999997</v>
      </c>
      <c r="BG107" s="212">
        <v>0.54999999999999993</v>
      </c>
      <c r="BH107" s="212">
        <v>506.57</v>
      </c>
      <c r="BI107" s="212">
        <v>490.57</v>
      </c>
      <c r="BJ107" s="212">
        <v>498.57</v>
      </c>
      <c r="BK107" s="212">
        <v>42.73</v>
      </c>
      <c r="BL107" s="212">
        <v>41.37</v>
      </c>
      <c r="BM107" s="212">
        <v>42.05</v>
      </c>
      <c r="BN107" s="212">
        <v>1.0900000000000001</v>
      </c>
      <c r="BO107" s="212">
        <v>0.85000000000000009</v>
      </c>
      <c r="BP107" s="212">
        <v>0.97000000000000008</v>
      </c>
      <c r="BQ107" s="212">
        <v>10.3</v>
      </c>
      <c r="BR107" s="212">
        <v>8.3000000000000007</v>
      </c>
      <c r="BS107" s="212">
        <v>9.3000000000000007</v>
      </c>
      <c r="BT107" s="212">
        <v>11.43</v>
      </c>
      <c r="BU107" s="212">
        <v>11.03</v>
      </c>
      <c r="BV107" s="212">
        <v>11.23</v>
      </c>
      <c r="BW107" s="212">
        <v>2.86</v>
      </c>
      <c r="BX107" s="212">
        <v>2.58</v>
      </c>
      <c r="BY107" s="212">
        <v>2.7199999999999998</v>
      </c>
      <c r="BZ107" s="212">
        <v>9.65</v>
      </c>
      <c r="CA107" s="212">
        <v>6.65</v>
      </c>
      <c r="CB107" s="212">
        <v>8.15</v>
      </c>
      <c r="CC107" s="212">
        <v>6.59</v>
      </c>
      <c r="CD107" s="212">
        <v>6.35</v>
      </c>
      <c r="CE107" s="212">
        <v>6.47</v>
      </c>
      <c r="CF107" s="212">
        <v>1.89</v>
      </c>
      <c r="CG107" s="212">
        <v>1.39</v>
      </c>
      <c r="CH107" s="212">
        <v>1.64</v>
      </c>
      <c r="CI107" s="212">
        <v>0.44</v>
      </c>
      <c r="CJ107" s="212">
        <v>0.4</v>
      </c>
      <c r="CK107" s="212">
        <v>0.42000000000000004</v>
      </c>
      <c r="CL107" s="212">
        <v>39.74</v>
      </c>
      <c r="CM107" s="212">
        <v>37.340000000000003</v>
      </c>
      <c r="CN107" s="212">
        <v>38.540000000000006</v>
      </c>
      <c r="CO107" s="212">
        <v>7.26</v>
      </c>
      <c r="CP107" s="212">
        <v>2.2599999999999998</v>
      </c>
      <c r="CQ107" s="212">
        <v>4.76</v>
      </c>
      <c r="CR107" s="212"/>
      <c r="CS107" s="212"/>
    </row>
    <row r="108" spans="1:97" x14ac:dyDescent="0.4">
      <c r="A108" s="209">
        <v>45394</v>
      </c>
      <c r="B108" s="210" t="s">
        <v>298</v>
      </c>
      <c r="C108" s="212">
        <v>154.09</v>
      </c>
      <c r="D108" s="212">
        <v>152.09</v>
      </c>
      <c r="E108" s="212">
        <v>153.09</v>
      </c>
      <c r="F108" s="212">
        <v>165.67</v>
      </c>
      <c r="G108" s="212">
        <v>162.66999999999999</v>
      </c>
      <c r="H108" s="212">
        <v>164.17</v>
      </c>
      <c r="I108" s="212">
        <v>113.44</v>
      </c>
      <c r="J108" s="212">
        <v>110.24</v>
      </c>
      <c r="K108" s="212">
        <v>111.84</v>
      </c>
      <c r="L108" s="212">
        <v>196.17</v>
      </c>
      <c r="M108" s="212">
        <v>188.17</v>
      </c>
      <c r="N108" s="212">
        <v>192.17</v>
      </c>
      <c r="O108" s="212">
        <v>169.13</v>
      </c>
      <c r="P108" s="212">
        <v>167.32999999999998</v>
      </c>
      <c r="Q108" s="212">
        <v>168.23</v>
      </c>
      <c r="R108" s="212">
        <v>22.31</v>
      </c>
      <c r="S108" s="212">
        <v>21.709999999999997</v>
      </c>
      <c r="T108" s="212">
        <v>22.009999999999998</v>
      </c>
      <c r="U108" s="212">
        <v>14.44</v>
      </c>
      <c r="V108" s="212">
        <v>13.84</v>
      </c>
      <c r="W108" s="212">
        <v>14.14</v>
      </c>
      <c r="X108" s="212">
        <v>14.67</v>
      </c>
      <c r="Y108" s="212">
        <v>13.87</v>
      </c>
      <c r="Z108" s="212">
        <v>14.27</v>
      </c>
      <c r="AA108" s="212">
        <v>102.09</v>
      </c>
      <c r="AB108" s="212">
        <v>98.09</v>
      </c>
      <c r="AC108" s="212">
        <v>100.09</v>
      </c>
      <c r="AD108" s="212">
        <v>93.93</v>
      </c>
      <c r="AE108" s="212">
        <v>89.93</v>
      </c>
      <c r="AF108" s="212">
        <v>91.93</v>
      </c>
      <c r="AG108" s="212">
        <v>19.96</v>
      </c>
      <c r="AH108" s="212">
        <v>19.100000000000001</v>
      </c>
      <c r="AI108" s="212">
        <v>19.53</v>
      </c>
      <c r="AJ108" s="212"/>
      <c r="AK108" s="212"/>
      <c r="AL108" s="212"/>
      <c r="AM108" s="212">
        <v>113.97</v>
      </c>
      <c r="AN108" s="212">
        <v>112.31</v>
      </c>
      <c r="AO108" s="212">
        <v>113.14</v>
      </c>
      <c r="AP108" s="212">
        <v>41.68</v>
      </c>
      <c r="AQ108" s="212">
        <v>40.08</v>
      </c>
      <c r="AR108" s="212">
        <v>40.879999999999995</v>
      </c>
      <c r="AS108" s="212">
        <v>42.44</v>
      </c>
      <c r="AT108" s="212">
        <v>41.08</v>
      </c>
      <c r="AU108" s="212">
        <v>41.76</v>
      </c>
      <c r="AV108" s="212">
        <v>21.4</v>
      </c>
      <c r="AW108" s="212">
        <v>20.799999999999997</v>
      </c>
      <c r="AX108" s="212">
        <v>21.099999999999998</v>
      </c>
      <c r="AY108" s="212">
        <v>4.28</v>
      </c>
      <c r="AZ108" s="212">
        <v>4.12</v>
      </c>
      <c r="BA108" s="212">
        <v>4.2</v>
      </c>
      <c r="BB108" s="212">
        <v>2</v>
      </c>
      <c r="BC108" s="212">
        <v>1.7</v>
      </c>
      <c r="BD108" s="212">
        <v>1.85</v>
      </c>
      <c r="BE108" s="212">
        <v>0.7</v>
      </c>
      <c r="BF108" s="212">
        <v>0.39999999999999997</v>
      </c>
      <c r="BG108" s="212">
        <v>0.54999999999999993</v>
      </c>
      <c r="BH108" s="212">
        <v>506.18</v>
      </c>
      <c r="BI108" s="212">
        <v>490.18</v>
      </c>
      <c r="BJ108" s="212">
        <v>498.18</v>
      </c>
      <c r="BK108" s="212">
        <v>42.75</v>
      </c>
      <c r="BL108" s="212">
        <v>41.39</v>
      </c>
      <c r="BM108" s="212">
        <v>42.07</v>
      </c>
      <c r="BN108" s="212">
        <v>1.0900000000000001</v>
      </c>
      <c r="BO108" s="212">
        <v>0.85000000000000009</v>
      </c>
      <c r="BP108" s="212">
        <v>0.97000000000000008</v>
      </c>
      <c r="BQ108" s="212">
        <v>10.32</v>
      </c>
      <c r="BR108" s="212">
        <v>8.32</v>
      </c>
      <c r="BS108" s="212">
        <v>9.32</v>
      </c>
      <c r="BT108" s="212">
        <v>11.41</v>
      </c>
      <c r="BU108" s="212">
        <v>11.01</v>
      </c>
      <c r="BV108" s="212">
        <v>11.21</v>
      </c>
      <c r="BW108" s="212">
        <v>2.87</v>
      </c>
      <c r="BX108" s="212">
        <v>2.59</v>
      </c>
      <c r="BY108" s="212">
        <v>2.73</v>
      </c>
      <c r="BZ108" s="212">
        <v>9.68</v>
      </c>
      <c r="CA108" s="212">
        <v>6.68</v>
      </c>
      <c r="CB108" s="212">
        <v>8.18</v>
      </c>
      <c r="CC108" s="212">
        <v>6.6</v>
      </c>
      <c r="CD108" s="212">
        <v>6.3599999999999994</v>
      </c>
      <c r="CE108" s="212">
        <v>6.4799999999999995</v>
      </c>
      <c r="CF108" s="212">
        <v>1.89</v>
      </c>
      <c r="CG108" s="212">
        <v>1.39</v>
      </c>
      <c r="CH108" s="212">
        <v>1.64</v>
      </c>
      <c r="CI108" s="212">
        <v>0.44</v>
      </c>
      <c r="CJ108" s="212">
        <v>0.4</v>
      </c>
      <c r="CK108" s="212">
        <v>0.42000000000000004</v>
      </c>
      <c r="CL108" s="212">
        <v>39.729999999999997</v>
      </c>
      <c r="CM108" s="212">
        <v>37.33</v>
      </c>
      <c r="CN108" s="212">
        <v>38.53</v>
      </c>
      <c r="CO108" s="212">
        <v>7.25</v>
      </c>
      <c r="CP108" s="212">
        <v>2.25</v>
      </c>
      <c r="CQ108" s="212">
        <v>4.75</v>
      </c>
      <c r="CR108" s="212"/>
      <c r="CS108" s="212"/>
    </row>
    <row r="109" spans="1:97" x14ac:dyDescent="0.4">
      <c r="A109" s="209">
        <v>45395</v>
      </c>
      <c r="B109" s="210" t="s">
        <v>299</v>
      </c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212"/>
      <c r="N109" s="212"/>
      <c r="O109" s="212"/>
      <c r="P109" s="212"/>
      <c r="Q109" s="212"/>
      <c r="R109" s="212"/>
      <c r="S109" s="212"/>
      <c r="T109" s="212"/>
      <c r="U109" s="212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12"/>
      <c r="AF109" s="212"/>
      <c r="AG109" s="212"/>
      <c r="AH109" s="212"/>
      <c r="AI109" s="212"/>
      <c r="AJ109" s="212"/>
      <c r="AK109" s="212"/>
      <c r="AL109" s="212"/>
      <c r="AM109" s="212"/>
      <c r="AN109" s="212"/>
      <c r="AO109" s="212"/>
      <c r="AP109" s="212"/>
      <c r="AQ109" s="212"/>
      <c r="AR109" s="212"/>
      <c r="AS109" s="212"/>
      <c r="AT109" s="212"/>
      <c r="AU109" s="212"/>
      <c r="AV109" s="212"/>
      <c r="AW109" s="212"/>
      <c r="AX109" s="212"/>
      <c r="AY109" s="212"/>
      <c r="AZ109" s="212"/>
      <c r="BA109" s="212"/>
      <c r="BB109" s="212"/>
      <c r="BC109" s="212"/>
      <c r="BD109" s="212"/>
      <c r="BE109" s="212"/>
      <c r="BF109" s="212"/>
      <c r="BG109" s="212"/>
      <c r="BH109" s="212"/>
      <c r="BI109" s="212"/>
      <c r="BJ109" s="212"/>
      <c r="BK109" s="212"/>
      <c r="BL109" s="212"/>
      <c r="BM109" s="212"/>
      <c r="BN109" s="212"/>
      <c r="BO109" s="212"/>
      <c r="BP109" s="212"/>
      <c r="BQ109" s="212"/>
      <c r="BR109" s="212"/>
      <c r="BS109" s="212"/>
      <c r="BT109" s="212"/>
      <c r="BU109" s="212"/>
      <c r="BV109" s="212"/>
      <c r="BW109" s="212"/>
      <c r="BX109" s="212"/>
      <c r="BY109" s="212"/>
      <c r="BZ109" s="212"/>
      <c r="CA109" s="212"/>
      <c r="CB109" s="212"/>
      <c r="CC109" s="212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12"/>
      <c r="CS109" s="212"/>
    </row>
    <row r="110" spans="1:97" x14ac:dyDescent="0.4">
      <c r="A110" s="209">
        <v>45396</v>
      </c>
      <c r="B110" s="210" t="s">
        <v>300</v>
      </c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212"/>
      <c r="N110" s="212"/>
      <c r="O110" s="212"/>
      <c r="P110" s="212"/>
      <c r="Q110" s="212"/>
      <c r="R110" s="212"/>
      <c r="S110" s="212"/>
      <c r="T110" s="212"/>
      <c r="U110" s="212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12"/>
      <c r="AF110" s="212"/>
      <c r="AG110" s="212"/>
      <c r="AH110" s="212"/>
      <c r="AI110" s="212"/>
      <c r="AJ110" s="212"/>
      <c r="AK110" s="212"/>
      <c r="AL110" s="212"/>
      <c r="AM110" s="212"/>
      <c r="AN110" s="212"/>
      <c r="AO110" s="212"/>
      <c r="AP110" s="212"/>
      <c r="AQ110" s="212"/>
      <c r="AR110" s="212"/>
      <c r="AS110" s="212"/>
      <c r="AT110" s="212"/>
      <c r="AU110" s="212"/>
      <c r="AV110" s="212"/>
      <c r="AW110" s="212"/>
      <c r="AX110" s="212"/>
      <c r="AY110" s="212"/>
      <c r="AZ110" s="212"/>
      <c r="BA110" s="212"/>
      <c r="BB110" s="212"/>
      <c r="BC110" s="212"/>
      <c r="BD110" s="212"/>
      <c r="BE110" s="212"/>
      <c r="BF110" s="212"/>
      <c r="BG110" s="212"/>
      <c r="BH110" s="212"/>
      <c r="BI110" s="212"/>
      <c r="BJ110" s="212"/>
      <c r="BK110" s="212"/>
      <c r="BL110" s="212"/>
      <c r="BM110" s="212"/>
      <c r="BN110" s="212"/>
      <c r="BO110" s="212"/>
      <c r="BP110" s="212"/>
      <c r="BQ110" s="212"/>
      <c r="BR110" s="212"/>
      <c r="BS110" s="212"/>
      <c r="BT110" s="212"/>
      <c r="BU110" s="212"/>
      <c r="BV110" s="212"/>
      <c r="BW110" s="212"/>
      <c r="BX110" s="212"/>
      <c r="BY110" s="212"/>
      <c r="BZ110" s="212"/>
      <c r="CA110" s="212"/>
      <c r="CB110" s="212"/>
      <c r="CC110" s="212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12"/>
      <c r="CS110" s="212"/>
    </row>
    <row r="111" spans="1:97" x14ac:dyDescent="0.4">
      <c r="A111" s="209">
        <v>45397</v>
      </c>
      <c r="B111" s="210" t="s">
        <v>294</v>
      </c>
      <c r="C111" s="212">
        <v>154.46</v>
      </c>
      <c r="D111" s="212">
        <v>152.46</v>
      </c>
      <c r="E111" s="212">
        <v>153.46</v>
      </c>
      <c r="F111" s="212">
        <v>164.9</v>
      </c>
      <c r="G111" s="212">
        <v>161.9</v>
      </c>
      <c r="H111" s="212">
        <v>163.4</v>
      </c>
      <c r="I111" s="212">
        <v>113.05</v>
      </c>
      <c r="J111" s="212">
        <v>109.85</v>
      </c>
      <c r="K111" s="212">
        <v>111.44999999999999</v>
      </c>
      <c r="L111" s="212">
        <v>195.15</v>
      </c>
      <c r="M111" s="212">
        <v>187.15</v>
      </c>
      <c r="N111" s="212">
        <v>191.15</v>
      </c>
      <c r="O111" s="212">
        <v>168.8</v>
      </c>
      <c r="P111" s="212">
        <v>167</v>
      </c>
      <c r="Q111" s="212">
        <v>167.9</v>
      </c>
      <c r="R111" s="212">
        <v>22.2</v>
      </c>
      <c r="S111" s="212">
        <v>21.599999999999998</v>
      </c>
      <c r="T111" s="212">
        <v>21.9</v>
      </c>
      <c r="U111" s="212">
        <v>14.41</v>
      </c>
      <c r="V111" s="212">
        <v>13.81</v>
      </c>
      <c r="W111" s="212">
        <v>14.11</v>
      </c>
      <c r="X111" s="212">
        <v>14.53</v>
      </c>
      <c r="Y111" s="212">
        <v>13.729999999999999</v>
      </c>
      <c r="Z111" s="212">
        <v>14.129999999999999</v>
      </c>
      <c r="AA111" s="212">
        <v>101.33</v>
      </c>
      <c r="AB111" s="212">
        <v>97.33</v>
      </c>
      <c r="AC111" s="212">
        <v>99.33</v>
      </c>
      <c r="AD111" s="212">
        <v>93.12</v>
      </c>
      <c r="AE111" s="212">
        <v>89.12</v>
      </c>
      <c r="AF111" s="212">
        <v>91.12</v>
      </c>
      <c r="AG111" s="212">
        <v>20.010000000000002</v>
      </c>
      <c r="AH111" s="212">
        <v>19.150000000000002</v>
      </c>
      <c r="AI111" s="212">
        <v>19.580000000000002</v>
      </c>
      <c r="AJ111" s="212"/>
      <c r="AK111" s="212"/>
      <c r="AL111" s="212"/>
      <c r="AM111" s="212">
        <v>113.61</v>
      </c>
      <c r="AN111" s="212">
        <v>111.95</v>
      </c>
      <c r="AO111" s="212">
        <v>112.78</v>
      </c>
      <c r="AP111" s="212">
        <v>41.78</v>
      </c>
      <c r="AQ111" s="212">
        <v>40.18</v>
      </c>
      <c r="AR111" s="212">
        <v>40.980000000000004</v>
      </c>
      <c r="AS111" s="212">
        <v>42.54</v>
      </c>
      <c r="AT111" s="212">
        <v>41.18</v>
      </c>
      <c r="AU111" s="212">
        <v>41.86</v>
      </c>
      <c r="AV111" s="212">
        <v>21.43</v>
      </c>
      <c r="AW111" s="212">
        <v>20.83</v>
      </c>
      <c r="AX111" s="212">
        <v>21.13</v>
      </c>
      <c r="AY111" s="212">
        <v>4.26</v>
      </c>
      <c r="AZ111" s="212">
        <v>4.0999999999999996</v>
      </c>
      <c r="BA111" s="212">
        <v>4.18</v>
      </c>
      <c r="BB111" s="212">
        <v>2</v>
      </c>
      <c r="BC111" s="212">
        <v>1.7</v>
      </c>
      <c r="BD111" s="212">
        <v>1.85</v>
      </c>
      <c r="BE111" s="212">
        <v>0.7</v>
      </c>
      <c r="BF111" s="212">
        <v>0.39999999999999997</v>
      </c>
      <c r="BG111" s="212">
        <v>0.54999999999999993</v>
      </c>
      <c r="BH111" s="212">
        <v>506.89</v>
      </c>
      <c r="BI111" s="212">
        <v>490.89</v>
      </c>
      <c r="BJ111" s="212">
        <v>498.89</v>
      </c>
      <c r="BK111" s="212">
        <v>42.85</v>
      </c>
      <c r="BL111" s="212">
        <v>41.49</v>
      </c>
      <c r="BM111" s="212">
        <v>42.17</v>
      </c>
      <c r="BN111" s="212">
        <v>1.0900000000000001</v>
      </c>
      <c r="BO111" s="212">
        <v>0.85000000000000009</v>
      </c>
      <c r="BP111" s="212">
        <v>0.97000000000000008</v>
      </c>
      <c r="BQ111" s="212">
        <v>10.24</v>
      </c>
      <c r="BR111" s="212">
        <v>8.24</v>
      </c>
      <c r="BS111" s="212">
        <v>9.24</v>
      </c>
      <c r="BT111" s="212">
        <v>11.29</v>
      </c>
      <c r="BU111" s="212">
        <v>10.889999999999999</v>
      </c>
      <c r="BV111" s="212">
        <v>11.09</v>
      </c>
      <c r="BW111" s="212">
        <v>2.87</v>
      </c>
      <c r="BX111" s="212">
        <v>2.59</v>
      </c>
      <c r="BY111" s="212">
        <v>2.73</v>
      </c>
      <c r="BZ111" s="212">
        <v>9.64</v>
      </c>
      <c r="CA111" s="212">
        <v>6.6400000000000006</v>
      </c>
      <c r="CB111" s="212">
        <v>8.14</v>
      </c>
      <c r="CC111" s="212">
        <v>6.57</v>
      </c>
      <c r="CD111" s="212">
        <v>6.33</v>
      </c>
      <c r="CE111" s="212">
        <v>6.45</v>
      </c>
      <c r="CF111" s="212">
        <v>1.9</v>
      </c>
      <c r="CG111" s="212">
        <v>1.4</v>
      </c>
      <c r="CH111" s="212">
        <v>1.65</v>
      </c>
      <c r="CI111" s="212">
        <v>0.44</v>
      </c>
      <c r="CJ111" s="212">
        <v>0.4</v>
      </c>
      <c r="CK111" s="212">
        <v>0.42000000000000004</v>
      </c>
      <c r="CL111" s="212">
        <v>39.340000000000003</v>
      </c>
      <c r="CM111" s="212">
        <v>36.940000000000005</v>
      </c>
      <c r="CN111" s="212">
        <v>38.14</v>
      </c>
      <c r="CO111" s="212">
        <v>7.24</v>
      </c>
      <c r="CP111" s="212">
        <v>2.2400000000000002</v>
      </c>
      <c r="CQ111" s="212">
        <v>4.74</v>
      </c>
      <c r="CR111" s="212"/>
      <c r="CS111" s="212"/>
    </row>
    <row r="112" spans="1:97" x14ac:dyDescent="0.4">
      <c r="A112" s="209">
        <v>45398</v>
      </c>
      <c r="B112" s="210" t="s">
        <v>295</v>
      </c>
      <c r="C112" s="212">
        <v>155.41999999999999</v>
      </c>
      <c r="D112" s="212">
        <v>153.41999999999999</v>
      </c>
      <c r="E112" s="212">
        <v>154.41999999999999</v>
      </c>
      <c r="F112" s="212">
        <v>165.49</v>
      </c>
      <c r="G112" s="212">
        <v>162.49</v>
      </c>
      <c r="H112" s="212">
        <v>163.99</v>
      </c>
      <c r="I112" s="212">
        <v>113.55</v>
      </c>
      <c r="J112" s="212">
        <v>110.35</v>
      </c>
      <c r="K112" s="212">
        <v>111.94999999999999</v>
      </c>
      <c r="L112" s="212">
        <v>196.1</v>
      </c>
      <c r="M112" s="212">
        <v>188.1</v>
      </c>
      <c r="N112" s="212">
        <v>192.1</v>
      </c>
      <c r="O112" s="212">
        <v>170.09</v>
      </c>
      <c r="P112" s="212">
        <v>168.29</v>
      </c>
      <c r="Q112" s="212">
        <v>169.19</v>
      </c>
      <c r="R112" s="212">
        <v>22.28</v>
      </c>
      <c r="S112" s="212">
        <v>21.68</v>
      </c>
      <c r="T112" s="212">
        <v>21.98</v>
      </c>
      <c r="U112" s="212">
        <v>14.39</v>
      </c>
      <c r="V112" s="212">
        <v>13.790000000000001</v>
      </c>
      <c r="W112" s="212">
        <v>14.09</v>
      </c>
      <c r="X112" s="212">
        <v>14.56</v>
      </c>
      <c r="Y112" s="212">
        <v>13.76</v>
      </c>
      <c r="Z112" s="212">
        <v>14.16</v>
      </c>
      <c r="AA112" s="212">
        <v>101.25</v>
      </c>
      <c r="AB112" s="212">
        <v>97.25</v>
      </c>
      <c r="AC112" s="212">
        <v>99.25</v>
      </c>
      <c r="AD112" s="212">
        <v>93</v>
      </c>
      <c r="AE112" s="212">
        <v>89</v>
      </c>
      <c r="AF112" s="212">
        <v>91</v>
      </c>
      <c r="AG112" s="212">
        <v>20.149999999999999</v>
      </c>
      <c r="AH112" s="212">
        <v>19.29</v>
      </c>
      <c r="AI112" s="212">
        <v>19.72</v>
      </c>
      <c r="AJ112" s="212"/>
      <c r="AK112" s="212"/>
      <c r="AL112" s="212"/>
      <c r="AM112" s="212">
        <v>114.07</v>
      </c>
      <c r="AN112" s="212">
        <v>112.41</v>
      </c>
      <c r="AO112" s="212">
        <v>113.24</v>
      </c>
      <c r="AP112" s="212">
        <v>42.03</v>
      </c>
      <c r="AQ112" s="212">
        <v>40.43</v>
      </c>
      <c r="AR112" s="212">
        <v>41.230000000000004</v>
      </c>
      <c r="AS112" s="212">
        <v>42.8</v>
      </c>
      <c r="AT112" s="212">
        <v>41.44</v>
      </c>
      <c r="AU112" s="212">
        <v>42.12</v>
      </c>
      <c r="AV112" s="212">
        <v>21.56</v>
      </c>
      <c r="AW112" s="212">
        <v>20.959999999999997</v>
      </c>
      <c r="AX112" s="212">
        <v>21.259999999999998</v>
      </c>
      <c r="AY112" s="212">
        <v>4.2699999999999996</v>
      </c>
      <c r="AZ112" s="212">
        <v>4.1099999999999994</v>
      </c>
      <c r="BA112" s="212">
        <v>4.1899999999999995</v>
      </c>
      <c r="BB112" s="212">
        <v>2.0099999999999998</v>
      </c>
      <c r="BC112" s="212">
        <v>1.7099999999999997</v>
      </c>
      <c r="BD112" s="212">
        <v>1.8599999999999999</v>
      </c>
      <c r="BE112" s="212">
        <v>0.71</v>
      </c>
      <c r="BF112" s="212">
        <v>0.41</v>
      </c>
      <c r="BG112" s="212">
        <v>0.55999999999999994</v>
      </c>
      <c r="BH112" s="212">
        <v>508.55</v>
      </c>
      <c r="BI112" s="212">
        <v>492.55</v>
      </c>
      <c r="BJ112" s="212">
        <v>500.55</v>
      </c>
      <c r="BK112" s="212">
        <v>43.1</v>
      </c>
      <c r="BL112" s="212">
        <v>41.74</v>
      </c>
      <c r="BM112" s="212">
        <v>42.42</v>
      </c>
      <c r="BN112" s="212">
        <v>1.1000000000000001</v>
      </c>
      <c r="BO112" s="212">
        <v>0.8600000000000001</v>
      </c>
      <c r="BP112" s="212">
        <v>0.98000000000000009</v>
      </c>
      <c r="BQ112" s="212">
        <v>10.24</v>
      </c>
      <c r="BR112" s="212">
        <v>8.24</v>
      </c>
      <c r="BS112" s="212">
        <v>9.24</v>
      </c>
      <c r="BT112" s="212">
        <v>11.3</v>
      </c>
      <c r="BU112" s="212">
        <v>10.9</v>
      </c>
      <c r="BV112" s="212">
        <v>11.100000000000001</v>
      </c>
      <c r="BW112" s="212">
        <v>2.88</v>
      </c>
      <c r="BX112" s="212">
        <v>2.5999999999999996</v>
      </c>
      <c r="BY112" s="212">
        <v>2.7399999999999998</v>
      </c>
      <c r="BZ112" s="212">
        <v>9.6300000000000008</v>
      </c>
      <c r="CA112" s="212">
        <v>6.6300000000000008</v>
      </c>
      <c r="CB112" s="212">
        <v>8.1300000000000008</v>
      </c>
      <c r="CC112" s="212">
        <v>6.61</v>
      </c>
      <c r="CD112" s="212">
        <v>6.37</v>
      </c>
      <c r="CE112" s="212">
        <v>6.49</v>
      </c>
      <c r="CF112" s="212">
        <v>1.9</v>
      </c>
      <c r="CG112" s="212">
        <v>1.4</v>
      </c>
      <c r="CH112" s="212">
        <v>1.65</v>
      </c>
      <c r="CI112" s="212">
        <v>0.44</v>
      </c>
      <c r="CJ112" s="212">
        <v>0.4</v>
      </c>
      <c r="CK112" s="212">
        <v>0.42000000000000004</v>
      </c>
      <c r="CL112" s="212">
        <v>39.200000000000003</v>
      </c>
      <c r="CM112" s="212">
        <v>36.800000000000004</v>
      </c>
      <c r="CN112" s="212">
        <v>38</v>
      </c>
      <c r="CO112" s="212">
        <v>7.26</v>
      </c>
      <c r="CP112" s="212">
        <v>2.2599999999999998</v>
      </c>
      <c r="CQ112" s="212">
        <v>4.76</v>
      </c>
      <c r="CR112" s="212"/>
      <c r="CS112" s="212"/>
    </row>
    <row r="113" spans="1:97" x14ac:dyDescent="0.4">
      <c r="A113" s="209">
        <v>45399</v>
      </c>
      <c r="B113" s="210" t="s">
        <v>296</v>
      </c>
      <c r="C113" s="212">
        <v>155.79</v>
      </c>
      <c r="D113" s="212">
        <v>153.79</v>
      </c>
      <c r="E113" s="212">
        <v>154.79</v>
      </c>
      <c r="F113" s="212">
        <v>165.9</v>
      </c>
      <c r="G113" s="212">
        <v>162.9</v>
      </c>
      <c r="H113" s="212">
        <v>164.4</v>
      </c>
      <c r="I113" s="212">
        <v>113.59</v>
      </c>
      <c r="J113" s="212">
        <v>110.39</v>
      </c>
      <c r="K113" s="212">
        <v>111.99000000000001</v>
      </c>
      <c r="L113" s="212">
        <v>196.39</v>
      </c>
      <c r="M113" s="212">
        <v>188.39</v>
      </c>
      <c r="N113" s="212">
        <v>192.39</v>
      </c>
      <c r="O113" s="212">
        <v>170.55</v>
      </c>
      <c r="P113" s="212">
        <v>168.75</v>
      </c>
      <c r="Q113" s="212">
        <v>169.65</v>
      </c>
      <c r="R113" s="212">
        <v>22.34</v>
      </c>
      <c r="S113" s="212">
        <v>21.74</v>
      </c>
      <c r="T113" s="212">
        <v>22.04</v>
      </c>
      <c r="U113" s="212">
        <v>14.41</v>
      </c>
      <c r="V113" s="212">
        <v>13.81</v>
      </c>
      <c r="W113" s="212">
        <v>14.11</v>
      </c>
      <c r="X113" s="212">
        <v>14.53</v>
      </c>
      <c r="Y113" s="212">
        <v>13.729999999999999</v>
      </c>
      <c r="Z113" s="212">
        <v>14.129999999999999</v>
      </c>
      <c r="AA113" s="212">
        <v>101.27</v>
      </c>
      <c r="AB113" s="212">
        <v>97.27</v>
      </c>
      <c r="AC113" s="212">
        <v>99.27</v>
      </c>
      <c r="AD113" s="212">
        <v>93.33</v>
      </c>
      <c r="AE113" s="212">
        <v>89.33</v>
      </c>
      <c r="AF113" s="212">
        <v>91.33</v>
      </c>
      <c r="AG113" s="212">
        <v>20.190000000000001</v>
      </c>
      <c r="AH113" s="212">
        <v>19.330000000000002</v>
      </c>
      <c r="AI113" s="212">
        <v>19.760000000000002</v>
      </c>
      <c r="AJ113" s="212"/>
      <c r="AK113" s="212"/>
      <c r="AL113" s="212"/>
      <c r="AM113" s="212">
        <v>114.3</v>
      </c>
      <c r="AN113" s="212">
        <v>112.64</v>
      </c>
      <c r="AO113" s="212">
        <v>113.47</v>
      </c>
      <c r="AP113" s="212">
        <v>42.13</v>
      </c>
      <c r="AQ113" s="212">
        <v>40.53</v>
      </c>
      <c r="AR113" s="212">
        <v>41.33</v>
      </c>
      <c r="AS113" s="212">
        <v>42.9</v>
      </c>
      <c r="AT113" s="212">
        <v>41.54</v>
      </c>
      <c r="AU113" s="212">
        <v>42.22</v>
      </c>
      <c r="AV113" s="212">
        <v>21.61</v>
      </c>
      <c r="AW113" s="212">
        <v>21.009999999999998</v>
      </c>
      <c r="AX113" s="212">
        <v>21.31</v>
      </c>
      <c r="AY113" s="212">
        <v>4.3099999999999996</v>
      </c>
      <c r="AZ113" s="212">
        <v>4.1499999999999995</v>
      </c>
      <c r="BA113" s="212">
        <v>4.2299999999999995</v>
      </c>
      <c r="BB113" s="212">
        <v>2.0099999999999998</v>
      </c>
      <c r="BC113" s="212">
        <v>1.7099999999999997</v>
      </c>
      <c r="BD113" s="212">
        <v>1.8599999999999999</v>
      </c>
      <c r="BE113" s="212">
        <v>0.71</v>
      </c>
      <c r="BF113" s="212">
        <v>0.41</v>
      </c>
      <c r="BG113" s="212">
        <v>0.55999999999999994</v>
      </c>
      <c r="BH113" s="212">
        <v>511.38</v>
      </c>
      <c r="BI113" s="212">
        <v>495.38</v>
      </c>
      <c r="BJ113" s="212">
        <v>503.38</v>
      </c>
      <c r="BK113" s="212">
        <v>43.2</v>
      </c>
      <c r="BL113" s="212">
        <v>41.84</v>
      </c>
      <c r="BM113" s="212">
        <v>42.52</v>
      </c>
      <c r="BN113" s="212">
        <v>1.08</v>
      </c>
      <c r="BO113" s="212">
        <v>0.84000000000000008</v>
      </c>
      <c r="BP113" s="212">
        <v>0.96000000000000008</v>
      </c>
      <c r="BQ113" s="212">
        <v>10.09</v>
      </c>
      <c r="BR113" s="212">
        <v>8.09</v>
      </c>
      <c r="BS113" s="212">
        <v>9.09</v>
      </c>
      <c r="BT113" s="212">
        <v>11.36</v>
      </c>
      <c r="BU113" s="212">
        <v>10.959999999999999</v>
      </c>
      <c r="BV113" s="212">
        <v>11.16</v>
      </c>
      <c r="BW113" s="212">
        <v>2.88</v>
      </c>
      <c r="BX113" s="212">
        <v>2.5999999999999996</v>
      </c>
      <c r="BY113" s="212">
        <v>2.7399999999999998</v>
      </c>
      <c r="BZ113" s="212">
        <v>9.6199999999999992</v>
      </c>
      <c r="CA113" s="212">
        <v>6.6199999999999992</v>
      </c>
      <c r="CB113" s="212">
        <v>8.1199999999999992</v>
      </c>
      <c r="CC113" s="212">
        <v>6.66</v>
      </c>
      <c r="CD113" s="212">
        <v>6.42</v>
      </c>
      <c r="CE113" s="212">
        <v>6.54</v>
      </c>
      <c r="CF113" s="212">
        <v>1.89</v>
      </c>
      <c r="CG113" s="212">
        <v>1.39</v>
      </c>
      <c r="CH113" s="212">
        <v>1.64</v>
      </c>
      <c r="CI113" s="212">
        <v>0.44</v>
      </c>
      <c r="CJ113" s="212">
        <v>0.4</v>
      </c>
      <c r="CK113" s="212">
        <v>0.42000000000000004</v>
      </c>
      <c r="CL113" s="212">
        <v>38.880000000000003</v>
      </c>
      <c r="CM113" s="212">
        <v>36.480000000000004</v>
      </c>
      <c r="CN113" s="212">
        <v>37.680000000000007</v>
      </c>
      <c r="CO113" s="212">
        <v>7.27</v>
      </c>
      <c r="CP113" s="212">
        <v>2.2699999999999996</v>
      </c>
      <c r="CQ113" s="212">
        <v>4.7699999999999996</v>
      </c>
      <c r="CR113" s="212"/>
      <c r="CS113" s="212"/>
    </row>
    <row r="114" spans="1:97" x14ac:dyDescent="0.4">
      <c r="A114" s="209">
        <v>45400</v>
      </c>
      <c r="B114" s="210" t="s">
        <v>297</v>
      </c>
      <c r="C114" s="212">
        <v>155.46</v>
      </c>
      <c r="D114" s="212">
        <v>153.46</v>
      </c>
      <c r="E114" s="212">
        <v>154.46</v>
      </c>
      <c r="F114" s="212">
        <v>166.23</v>
      </c>
      <c r="G114" s="212">
        <v>163.22999999999999</v>
      </c>
      <c r="H114" s="212">
        <v>164.73</v>
      </c>
      <c r="I114" s="212">
        <v>113.76</v>
      </c>
      <c r="J114" s="212">
        <v>110.56</v>
      </c>
      <c r="K114" s="212">
        <v>112.16</v>
      </c>
      <c r="L114" s="212">
        <v>196.32</v>
      </c>
      <c r="M114" s="212">
        <v>188.32</v>
      </c>
      <c r="N114" s="212">
        <v>192.32</v>
      </c>
      <c r="O114" s="212">
        <v>170.49</v>
      </c>
      <c r="P114" s="212">
        <v>168.69</v>
      </c>
      <c r="Q114" s="212">
        <v>169.59</v>
      </c>
      <c r="R114" s="212">
        <v>22.38</v>
      </c>
      <c r="S114" s="212">
        <v>21.779999999999998</v>
      </c>
      <c r="T114" s="212">
        <v>22.08</v>
      </c>
      <c r="U114" s="212">
        <v>14.33</v>
      </c>
      <c r="V114" s="212">
        <v>13.73</v>
      </c>
      <c r="W114" s="212">
        <v>14.030000000000001</v>
      </c>
      <c r="X114" s="212">
        <v>14.51</v>
      </c>
      <c r="Y114" s="212">
        <v>13.709999999999999</v>
      </c>
      <c r="Z114" s="212">
        <v>14.11</v>
      </c>
      <c r="AA114" s="212">
        <v>101.41</v>
      </c>
      <c r="AB114" s="212">
        <v>97.41</v>
      </c>
      <c r="AC114" s="212">
        <v>99.41</v>
      </c>
      <c r="AD114" s="212">
        <v>93.33</v>
      </c>
      <c r="AE114" s="212">
        <v>89.33</v>
      </c>
      <c r="AF114" s="212">
        <v>91.33</v>
      </c>
      <c r="AG114" s="212">
        <v>20.16</v>
      </c>
      <c r="AH114" s="212">
        <v>19.3</v>
      </c>
      <c r="AI114" s="212">
        <v>19.73</v>
      </c>
      <c r="AJ114" s="212"/>
      <c r="AK114" s="212"/>
      <c r="AL114" s="212"/>
      <c r="AM114" s="212">
        <v>114.38</v>
      </c>
      <c r="AN114" s="212">
        <v>112.72</v>
      </c>
      <c r="AO114" s="212">
        <v>113.55</v>
      </c>
      <c r="AP114" s="212">
        <v>42.04</v>
      </c>
      <c r="AQ114" s="212">
        <v>40.44</v>
      </c>
      <c r="AR114" s="212">
        <v>41.239999999999995</v>
      </c>
      <c r="AS114" s="212">
        <v>42.81</v>
      </c>
      <c r="AT114" s="212">
        <v>41.45</v>
      </c>
      <c r="AU114" s="212">
        <v>42.13</v>
      </c>
      <c r="AV114" s="212">
        <v>21.62</v>
      </c>
      <c r="AW114" s="212">
        <v>21.02</v>
      </c>
      <c r="AX114" s="212">
        <v>21.32</v>
      </c>
      <c r="AY114" s="212">
        <v>4.3</v>
      </c>
      <c r="AZ114" s="212">
        <v>4.1399999999999997</v>
      </c>
      <c r="BA114" s="212">
        <v>4.22</v>
      </c>
      <c r="BB114" s="212">
        <v>2.0099999999999998</v>
      </c>
      <c r="BC114" s="212">
        <v>1.7099999999999997</v>
      </c>
      <c r="BD114" s="212">
        <v>1.8599999999999999</v>
      </c>
      <c r="BE114" s="212">
        <v>0.71</v>
      </c>
      <c r="BF114" s="212">
        <v>0.41</v>
      </c>
      <c r="BG114" s="212">
        <v>0.55999999999999994</v>
      </c>
      <c r="BH114" s="212">
        <v>510.31</v>
      </c>
      <c r="BI114" s="212">
        <v>494.31</v>
      </c>
      <c r="BJ114" s="212">
        <v>502.31</v>
      </c>
      <c r="BK114" s="212">
        <v>43.11</v>
      </c>
      <c r="BL114" s="212">
        <v>41.75</v>
      </c>
      <c r="BM114" s="212">
        <v>42.43</v>
      </c>
      <c r="BN114" s="212">
        <v>1.08</v>
      </c>
      <c r="BO114" s="212">
        <v>0.84000000000000008</v>
      </c>
      <c r="BP114" s="212">
        <v>0.96000000000000008</v>
      </c>
      <c r="BQ114" s="212">
        <v>10.11</v>
      </c>
      <c r="BR114" s="212">
        <v>8.11</v>
      </c>
      <c r="BS114" s="212">
        <v>9.11</v>
      </c>
      <c r="BT114" s="212">
        <v>11.42</v>
      </c>
      <c r="BU114" s="212">
        <v>11.02</v>
      </c>
      <c r="BV114" s="212">
        <v>11.219999999999999</v>
      </c>
      <c r="BW114" s="212">
        <v>2.86</v>
      </c>
      <c r="BX114" s="212">
        <v>2.58</v>
      </c>
      <c r="BY114" s="212">
        <v>2.7199999999999998</v>
      </c>
      <c r="BZ114" s="212">
        <v>9.61</v>
      </c>
      <c r="CA114" s="212">
        <v>6.6099999999999994</v>
      </c>
      <c r="CB114" s="212">
        <v>8.11</v>
      </c>
      <c r="CC114" s="212">
        <v>6.65</v>
      </c>
      <c r="CD114" s="212">
        <v>6.41</v>
      </c>
      <c r="CE114" s="212">
        <v>6.53</v>
      </c>
      <c r="CF114" s="212">
        <v>1.89</v>
      </c>
      <c r="CG114" s="212">
        <v>1.39</v>
      </c>
      <c r="CH114" s="212">
        <v>1.64</v>
      </c>
      <c r="CI114" s="212">
        <v>0.44</v>
      </c>
      <c r="CJ114" s="212">
        <v>0.4</v>
      </c>
      <c r="CK114" s="212">
        <v>0.42000000000000004</v>
      </c>
      <c r="CL114" s="212">
        <v>39.200000000000003</v>
      </c>
      <c r="CM114" s="212">
        <v>36.800000000000004</v>
      </c>
      <c r="CN114" s="212">
        <v>38</v>
      </c>
      <c r="CO114" s="212">
        <v>7.26</v>
      </c>
      <c r="CP114" s="212">
        <v>2.2599999999999998</v>
      </c>
      <c r="CQ114" s="212">
        <v>4.76</v>
      </c>
      <c r="CR114" s="212"/>
      <c r="CS114" s="212"/>
    </row>
    <row r="115" spans="1:97" x14ac:dyDescent="0.4">
      <c r="A115" s="209">
        <v>45401</v>
      </c>
      <c r="B115" s="210" t="s">
        <v>298</v>
      </c>
      <c r="C115" s="212">
        <v>155.76</v>
      </c>
      <c r="D115" s="212">
        <v>153.76</v>
      </c>
      <c r="E115" s="212">
        <v>154.76</v>
      </c>
      <c r="F115" s="212">
        <v>166.2</v>
      </c>
      <c r="G115" s="212">
        <v>163.19999999999999</v>
      </c>
      <c r="H115" s="212">
        <v>164.7</v>
      </c>
      <c r="I115" s="212">
        <v>113.92</v>
      </c>
      <c r="J115" s="212">
        <v>110.72</v>
      </c>
      <c r="K115" s="212">
        <v>112.32</v>
      </c>
      <c r="L115" s="212">
        <v>196.37</v>
      </c>
      <c r="M115" s="212">
        <v>188.37</v>
      </c>
      <c r="N115" s="212">
        <v>192.37</v>
      </c>
      <c r="O115" s="212">
        <v>170.5</v>
      </c>
      <c r="P115" s="212">
        <v>168.7</v>
      </c>
      <c r="Q115" s="212">
        <v>169.6</v>
      </c>
      <c r="R115" s="212">
        <v>22.37</v>
      </c>
      <c r="S115" s="212">
        <v>21.77</v>
      </c>
      <c r="T115" s="212">
        <v>22.07</v>
      </c>
      <c r="U115" s="212">
        <v>14.29</v>
      </c>
      <c r="V115" s="212">
        <v>13.69</v>
      </c>
      <c r="W115" s="212">
        <v>13.989999999999998</v>
      </c>
      <c r="X115" s="212">
        <v>14.49</v>
      </c>
      <c r="Y115" s="212">
        <v>13.69</v>
      </c>
      <c r="Z115" s="212">
        <v>14.09</v>
      </c>
      <c r="AA115" s="212">
        <v>101.2</v>
      </c>
      <c r="AB115" s="212">
        <v>97.2</v>
      </c>
      <c r="AC115" s="212">
        <v>99.2</v>
      </c>
      <c r="AD115" s="212">
        <v>93.29</v>
      </c>
      <c r="AE115" s="212">
        <v>89.29</v>
      </c>
      <c r="AF115" s="212">
        <v>91.29</v>
      </c>
      <c r="AG115" s="212">
        <v>20.190000000000001</v>
      </c>
      <c r="AH115" s="212">
        <v>19.330000000000002</v>
      </c>
      <c r="AI115" s="212">
        <v>19.760000000000002</v>
      </c>
      <c r="AJ115" s="212"/>
      <c r="AK115" s="212"/>
      <c r="AL115" s="212"/>
      <c r="AM115" s="212">
        <v>114.41</v>
      </c>
      <c r="AN115" s="212">
        <v>112.75</v>
      </c>
      <c r="AO115" s="212">
        <v>113.58</v>
      </c>
      <c r="AP115" s="212">
        <v>42.12</v>
      </c>
      <c r="AQ115" s="212">
        <v>40.519999999999996</v>
      </c>
      <c r="AR115" s="212">
        <v>41.319999999999993</v>
      </c>
      <c r="AS115" s="212">
        <v>42.89</v>
      </c>
      <c r="AT115" s="212">
        <v>41.53</v>
      </c>
      <c r="AU115" s="212">
        <v>42.21</v>
      </c>
      <c r="AV115" s="212">
        <v>21.64</v>
      </c>
      <c r="AW115" s="212">
        <v>21.04</v>
      </c>
      <c r="AX115" s="212">
        <v>21.34</v>
      </c>
      <c r="AY115" s="212">
        <v>4.29</v>
      </c>
      <c r="AZ115" s="212">
        <v>4.13</v>
      </c>
      <c r="BA115" s="212">
        <v>4.21</v>
      </c>
      <c r="BB115" s="212">
        <v>2.0099999999999998</v>
      </c>
      <c r="BC115" s="212">
        <v>1.7099999999999997</v>
      </c>
      <c r="BD115" s="212">
        <v>1.8599999999999999</v>
      </c>
      <c r="BE115" s="212">
        <v>0.71</v>
      </c>
      <c r="BF115" s="212">
        <v>0.41</v>
      </c>
      <c r="BG115" s="212">
        <v>0.55999999999999994</v>
      </c>
      <c r="BH115" s="212">
        <v>510.79</v>
      </c>
      <c r="BI115" s="212">
        <v>494.79</v>
      </c>
      <c r="BJ115" s="212">
        <v>502.79</v>
      </c>
      <c r="BK115" s="212">
        <v>43.2</v>
      </c>
      <c r="BL115" s="212">
        <v>41.84</v>
      </c>
      <c r="BM115" s="212">
        <v>42.52</v>
      </c>
      <c r="BN115" s="212">
        <v>1.08</v>
      </c>
      <c r="BO115" s="212">
        <v>0.84000000000000008</v>
      </c>
      <c r="BP115" s="212">
        <v>0.96000000000000008</v>
      </c>
      <c r="BQ115" s="212">
        <v>10.050000000000001</v>
      </c>
      <c r="BR115" s="212">
        <v>8.0500000000000007</v>
      </c>
      <c r="BS115" s="212">
        <v>9.0500000000000007</v>
      </c>
      <c r="BT115" s="212">
        <v>11.39</v>
      </c>
      <c r="BU115" s="212">
        <v>10.99</v>
      </c>
      <c r="BV115" s="212">
        <v>11.190000000000001</v>
      </c>
      <c r="BW115" s="212">
        <v>2.87</v>
      </c>
      <c r="BX115" s="212">
        <v>2.59</v>
      </c>
      <c r="BY115" s="212">
        <v>2.73</v>
      </c>
      <c r="BZ115" s="212">
        <v>9.56</v>
      </c>
      <c r="CA115" s="212">
        <v>6.5600000000000005</v>
      </c>
      <c r="CB115" s="212">
        <v>8.06</v>
      </c>
      <c r="CC115" s="212">
        <v>6.64</v>
      </c>
      <c r="CD115" s="212">
        <v>6.3999999999999995</v>
      </c>
      <c r="CE115" s="212">
        <v>6.52</v>
      </c>
      <c r="CF115" s="212">
        <v>1.89</v>
      </c>
      <c r="CG115" s="212">
        <v>1.39</v>
      </c>
      <c r="CH115" s="212">
        <v>1.64</v>
      </c>
      <c r="CI115" s="212">
        <v>0.44</v>
      </c>
      <c r="CJ115" s="212">
        <v>0.4</v>
      </c>
      <c r="CK115" s="212">
        <v>0.42000000000000004</v>
      </c>
      <c r="CL115" s="212">
        <v>39.17</v>
      </c>
      <c r="CM115" s="212">
        <v>36.770000000000003</v>
      </c>
      <c r="CN115" s="212">
        <v>37.97</v>
      </c>
      <c r="CO115" s="212">
        <v>7.27</v>
      </c>
      <c r="CP115" s="212">
        <v>2.2699999999999996</v>
      </c>
      <c r="CQ115" s="212">
        <v>4.7699999999999996</v>
      </c>
      <c r="CR115" s="212"/>
      <c r="CS115" s="212"/>
    </row>
    <row r="116" spans="1:97" x14ac:dyDescent="0.4">
      <c r="A116" s="209">
        <v>45402</v>
      </c>
      <c r="B116" s="210" t="s">
        <v>299</v>
      </c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  <c r="M116" s="212"/>
      <c r="N116" s="212"/>
      <c r="O116" s="212"/>
      <c r="P116" s="212"/>
      <c r="Q116" s="212"/>
      <c r="R116" s="212"/>
      <c r="S116" s="212"/>
      <c r="T116" s="212"/>
      <c r="U116" s="212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12"/>
      <c r="AF116" s="212"/>
      <c r="AG116" s="212"/>
      <c r="AH116" s="212"/>
      <c r="AI116" s="212"/>
      <c r="AJ116" s="212"/>
      <c r="AK116" s="212"/>
      <c r="AL116" s="212"/>
      <c r="AM116" s="212"/>
      <c r="AN116" s="212"/>
      <c r="AO116" s="212"/>
      <c r="AP116" s="212"/>
      <c r="AQ116" s="212"/>
      <c r="AR116" s="212"/>
      <c r="AS116" s="212"/>
      <c r="AT116" s="212"/>
      <c r="AU116" s="212"/>
      <c r="AV116" s="212"/>
      <c r="AW116" s="212"/>
      <c r="AX116" s="212"/>
      <c r="AY116" s="212"/>
      <c r="AZ116" s="212"/>
      <c r="BA116" s="212"/>
      <c r="BB116" s="212"/>
      <c r="BC116" s="212"/>
      <c r="BD116" s="212"/>
      <c r="BE116" s="212"/>
      <c r="BF116" s="212"/>
      <c r="BG116" s="212"/>
      <c r="BH116" s="212"/>
      <c r="BI116" s="212"/>
      <c r="BJ116" s="212"/>
      <c r="BK116" s="212"/>
      <c r="BL116" s="212"/>
      <c r="BM116" s="212"/>
      <c r="BN116" s="212"/>
      <c r="BO116" s="212"/>
      <c r="BP116" s="212"/>
      <c r="BQ116" s="212"/>
      <c r="BR116" s="212"/>
      <c r="BS116" s="212"/>
      <c r="BT116" s="212"/>
      <c r="BU116" s="212"/>
      <c r="BV116" s="212"/>
      <c r="BW116" s="212"/>
      <c r="BX116" s="212"/>
      <c r="BY116" s="212"/>
      <c r="BZ116" s="212"/>
      <c r="CA116" s="212"/>
      <c r="CB116" s="212"/>
      <c r="CC116" s="212"/>
      <c r="CD116" s="212"/>
      <c r="CE116" s="212"/>
      <c r="CF116" s="212"/>
      <c r="CG116" s="212"/>
      <c r="CH116" s="212"/>
      <c r="CI116" s="212"/>
      <c r="CJ116" s="212"/>
      <c r="CK116" s="212"/>
      <c r="CL116" s="212"/>
      <c r="CM116" s="212"/>
      <c r="CN116" s="212"/>
      <c r="CO116" s="212"/>
      <c r="CP116" s="212"/>
      <c r="CQ116" s="212"/>
      <c r="CR116" s="212"/>
      <c r="CS116" s="212"/>
    </row>
    <row r="117" spans="1:97" x14ac:dyDescent="0.4">
      <c r="A117" s="209">
        <v>45403</v>
      </c>
      <c r="B117" s="210" t="s">
        <v>300</v>
      </c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12"/>
      <c r="S117" s="212"/>
      <c r="T117" s="212"/>
      <c r="U117" s="212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12"/>
      <c r="AF117" s="212"/>
      <c r="AG117" s="212"/>
      <c r="AH117" s="212"/>
      <c r="AI117" s="212"/>
      <c r="AJ117" s="212"/>
      <c r="AK117" s="212"/>
      <c r="AL117" s="212"/>
      <c r="AM117" s="212"/>
      <c r="AN117" s="212"/>
      <c r="AO117" s="212"/>
      <c r="AP117" s="212"/>
      <c r="AQ117" s="212"/>
      <c r="AR117" s="212"/>
      <c r="AS117" s="212"/>
      <c r="AT117" s="212"/>
      <c r="AU117" s="212"/>
      <c r="AV117" s="212"/>
      <c r="AW117" s="212"/>
      <c r="AX117" s="212"/>
      <c r="AY117" s="212"/>
      <c r="AZ117" s="212"/>
      <c r="BA117" s="212"/>
      <c r="BB117" s="212"/>
      <c r="BC117" s="212"/>
      <c r="BD117" s="212"/>
      <c r="BE117" s="212"/>
      <c r="BF117" s="212"/>
      <c r="BG117" s="212"/>
      <c r="BH117" s="212"/>
      <c r="BI117" s="212"/>
      <c r="BJ117" s="212"/>
      <c r="BK117" s="212"/>
      <c r="BL117" s="212"/>
      <c r="BM117" s="212"/>
      <c r="BN117" s="212"/>
      <c r="BO117" s="212"/>
      <c r="BP117" s="212"/>
      <c r="BQ117" s="212"/>
      <c r="BR117" s="212"/>
      <c r="BS117" s="212"/>
      <c r="BT117" s="212"/>
      <c r="BU117" s="212"/>
      <c r="BV117" s="212"/>
      <c r="BW117" s="212"/>
      <c r="BX117" s="212"/>
      <c r="BY117" s="212"/>
      <c r="BZ117" s="212"/>
      <c r="CA117" s="212"/>
      <c r="CB117" s="212"/>
      <c r="CC117" s="212"/>
      <c r="CD117" s="212"/>
      <c r="CE117" s="212"/>
      <c r="CF117" s="212"/>
      <c r="CG117" s="212"/>
      <c r="CH117" s="212"/>
      <c r="CI117" s="212"/>
      <c r="CJ117" s="212"/>
      <c r="CK117" s="212"/>
      <c r="CL117" s="212"/>
      <c r="CM117" s="212"/>
      <c r="CN117" s="212"/>
      <c r="CO117" s="212"/>
      <c r="CP117" s="212"/>
      <c r="CQ117" s="212"/>
      <c r="CR117" s="212"/>
      <c r="CS117" s="212"/>
    </row>
    <row r="118" spans="1:97" x14ac:dyDescent="0.4">
      <c r="A118" s="209">
        <v>45404</v>
      </c>
      <c r="B118" s="210" t="s">
        <v>294</v>
      </c>
      <c r="C118" s="212">
        <v>155.80000000000001</v>
      </c>
      <c r="D118" s="212">
        <v>153.80000000000001</v>
      </c>
      <c r="E118" s="212">
        <v>154.80000000000001</v>
      </c>
      <c r="F118" s="212">
        <v>166.49</v>
      </c>
      <c r="G118" s="212">
        <v>163.49</v>
      </c>
      <c r="H118" s="212">
        <v>164.99</v>
      </c>
      <c r="I118" s="212">
        <v>114.27</v>
      </c>
      <c r="J118" s="212">
        <v>111.07</v>
      </c>
      <c r="K118" s="212">
        <v>112.66999999999999</v>
      </c>
      <c r="L118" s="212">
        <v>195.55</v>
      </c>
      <c r="M118" s="212">
        <v>187.55</v>
      </c>
      <c r="N118" s="212">
        <v>191.55</v>
      </c>
      <c r="O118" s="212">
        <v>170.79</v>
      </c>
      <c r="P118" s="212">
        <v>168.98999999999998</v>
      </c>
      <c r="Q118" s="212">
        <v>169.89</v>
      </c>
      <c r="R118" s="212">
        <v>22.41</v>
      </c>
      <c r="S118" s="212">
        <v>21.81</v>
      </c>
      <c r="T118" s="212">
        <v>22.11</v>
      </c>
      <c r="U118" s="212">
        <v>14.37</v>
      </c>
      <c r="V118" s="212">
        <v>13.77</v>
      </c>
      <c r="W118" s="212">
        <v>14.07</v>
      </c>
      <c r="X118" s="212">
        <v>14.58</v>
      </c>
      <c r="Y118" s="212">
        <v>13.78</v>
      </c>
      <c r="Z118" s="212">
        <v>14.18</v>
      </c>
      <c r="AA118" s="212">
        <v>101.58</v>
      </c>
      <c r="AB118" s="212">
        <v>97.58</v>
      </c>
      <c r="AC118" s="212">
        <v>99.58</v>
      </c>
      <c r="AD118" s="212">
        <v>93.41</v>
      </c>
      <c r="AE118" s="212">
        <v>89.41</v>
      </c>
      <c r="AF118" s="212">
        <v>91.41</v>
      </c>
      <c r="AG118" s="212">
        <v>20.190000000000001</v>
      </c>
      <c r="AH118" s="212">
        <v>19.330000000000002</v>
      </c>
      <c r="AI118" s="212">
        <v>19.760000000000002</v>
      </c>
      <c r="AJ118" s="212"/>
      <c r="AK118" s="212"/>
      <c r="AL118" s="212"/>
      <c r="AM118" s="212">
        <v>114.39</v>
      </c>
      <c r="AN118" s="212">
        <v>112.73</v>
      </c>
      <c r="AO118" s="212">
        <v>113.56</v>
      </c>
      <c r="AP118" s="212">
        <v>42.14</v>
      </c>
      <c r="AQ118" s="212">
        <v>40.54</v>
      </c>
      <c r="AR118" s="212">
        <v>41.34</v>
      </c>
      <c r="AS118" s="212">
        <v>42.91</v>
      </c>
      <c r="AT118" s="212">
        <v>41.55</v>
      </c>
      <c r="AU118" s="212">
        <v>42.23</v>
      </c>
      <c r="AV118" s="212">
        <v>21.64</v>
      </c>
      <c r="AW118" s="212">
        <v>21.04</v>
      </c>
      <c r="AX118" s="212">
        <v>21.34</v>
      </c>
      <c r="AY118" s="212">
        <v>4.2699999999999996</v>
      </c>
      <c r="AZ118" s="212">
        <v>4.1099999999999994</v>
      </c>
      <c r="BA118" s="212">
        <v>4.1899999999999995</v>
      </c>
      <c r="BB118" s="212">
        <v>2.02</v>
      </c>
      <c r="BC118" s="212">
        <v>1.72</v>
      </c>
      <c r="BD118" s="212">
        <v>1.87</v>
      </c>
      <c r="BE118" s="212">
        <v>0.71</v>
      </c>
      <c r="BF118" s="212">
        <v>0.41</v>
      </c>
      <c r="BG118" s="212">
        <v>0.55999999999999994</v>
      </c>
      <c r="BH118" s="212">
        <v>510.92</v>
      </c>
      <c r="BI118" s="212">
        <v>494.92</v>
      </c>
      <c r="BJ118" s="212">
        <v>502.92</v>
      </c>
      <c r="BK118" s="212">
        <v>43.2</v>
      </c>
      <c r="BL118" s="212">
        <v>41.84</v>
      </c>
      <c r="BM118" s="212">
        <v>42.52</v>
      </c>
      <c r="BN118" s="212">
        <v>1.08</v>
      </c>
      <c r="BO118" s="212">
        <v>0.84000000000000008</v>
      </c>
      <c r="BP118" s="212">
        <v>0.96000000000000008</v>
      </c>
      <c r="BQ118" s="212">
        <v>10.06</v>
      </c>
      <c r="BR118" s="212">
        <v>8.06</v>
      </c>
      <c r="BS118" s="212">
        <v>9.06</v>
      </c>
      <c r="BT118" s="212">
        <v>11.41</v>
      </c>
      <c r="BU118" s="212">
        <v>11.01</v>
      </c>
      <c r="BV118" s="212">
        <v>11.21</v>
      </c>
      <c r="BW118" s="212">
        <v>2.84</v>
      </c>
      <c r="BX118" s="212">
        <v>2.5599999999999996</v>
      </c>
      <c r="BY118" s="212">
        <v>2.6999999999999997</v>
      </c>
      <c r="BZ118" s="212">
        <v>9.59</v>
      </c>
      <c r="CA118" s="212">
        <v>6.59</v>
      </c>
      <c r="CB118" s="212">
        <v>8.09</v>
      </c>
      <c r="CC118" s="212">
        <v>6.66</v>
      </c>
      <c r="CD118" s="212">
        <v>6.42</v>
      </c>
      <c r="CE118" s="212">
        <v>6.54</v>
      </c>
      <c r="CF118" s="212">
        <v>1.91</v>
      </c>
      <c r="CG118" s="212">
        <v>1.41</v>
      </c>
      <c r="CH118" s="212">
        <v>1.66</v>
      </c>
      <c r="CI118" s="212">
        <v>0.44</v>
      </c>
      <c r="CJ118" s="212">
        <v>0.4</v>
      </c>
      <c r="CK118" s="212">
        <v>0.42000000000000004</v>
      </c>
      <c r="CL118" s="212">
        <v>39.520000000000003</v>
      </c>
      <c r="CM118" s="212">
        <v>37.120000000000005</v>
      </c>
      <c r="CN118" s="212">
        <v>38.320000000000007</v>
      </c>
      <c r="CO118" s="212">
        <v>7.25</v>
      </c>
      <c r="CP118" s="212">
        <v>2.25</v>
      </c>
      <c r="CQ118" s="212">
        <v>4.75</v>
      </c>
      <c r="CR118" s="212"/>
      <c r="CS118" s="212"/>
    </row>
    <row r="119" spans="1:97" x14ac:dyDescent="0.4">
      <c r="A119" s="209">
        <v>45405</v>
      </c>
      <c r="B119" s="210" t="s">
        <v>295</v>
      </c>
      <c r="C119" s="212">
        <v>155.85</v>
      </c>
      <c r="D119" s="212">
        <v>153.85</v>
      </c>
      <c r="E119" s="212">
        <v>154.85</v>
      </c>
      <c r="F119" s="212">
        <v>166.55</v>
      </c>
      <c r="G119" s="212">
        <v>163.55000000000001</v>
      </c>
      <c r="H119" s="212">
        <v>165.05</v>
      </c>
      <c r="I119" s="212">
        <v>114.67</v>
      </c>
      <c r="J119" s="212">
        <v>111.47</v>
      </c>
      <c r="K119" s="212">
        <v>113.07</v>
      </c>
      <c r="L119" s="212">
        <v>195.27</v>
      </c>
      <c r="M119" s="212">
        <v>187.27</v>
      </c>
      <c r="N119" s="212">
        <v>191.27</v>
      </c>
      <c r="O119" s="212">
        <v>170.73</v>
      </c>
      <c r="P119" s="212">
        <v>168.92999999999998</v>
      </c>
      <c r="Q119" s="212">
        <v>169.82999999999998</v>
      </c>
      <c r="R119" s="212">
        <v>22.42</v>
      </c>
      <c r="S119" s="212">
        <v>21.82</v>
      </c>
      <c r="T119" s="212">
        <v>22.12</v>
      </c>
      <c r="U119" s="212">
        <v>14.41</v>
      </c>
      <c r="V119" s="212">
        <v>13.81</v>
      </c>
      <c r="W119" s="212">
        <v>14.11</v>
      </c>
      <c r="X119" s="212">
        <v>14.65</v>
      </c>
      <c r="Y119" s="212">
        <v>13.85</v>
      </c>
      <c r="Z119" s="212">
        <v>14.25</v>
      </c>
      <c r="AA119" s="212">
        <v>101.99</v>
      </c>
      <c r="AB119" s="212">
        <v>97.99</v>
      </c>
      <c r="AC119" s="212">
        <v>99.99</v>
      </c>
      <c r="AD119" s="212">
        <v>93.72</v>
      </c>
      <c r="AE119" s="212">
        <v>89.72</v>
      </c>
      <c r="AF119" s="212">
        <v>91.72</v>
      </c>
      <c r="AG119" s="212">
        <v>20.190000000000001</v>
      </c>
      <c r="AH119" s="212">
        <v>19.330000000000002</v>
      </c>
      <c r="AI119" s="212">
        <v>19.760000000000002</v>
      </c>
      <c r="AJ119" s="212"/>
      <c r="AK119" s="212"/>
      <c r="AL119" s="212"/>
      <c r="AM119" s="212">
        <v>114.57</v>
      </c>
      <c r="AN119" s="212">
        <v>112.91</v>
      </c>
      <c r="AO119" s="212">
        <v>113.74</v>
      </c>
      <c r="AP119" s="212">
        <v>42.15</v>
      </c>
      <c r="AQ119" s="212">
        <v>40.549999999999997</v>
      </c>
      <c r="AR119" s="212">
        <v>41.349999999999994</v>
      </c>
      <c r="AS119" s="212">
        <v>42.8</v>
      </c>
      <c r="AT119" s="212">
        <v>41.44</v>
      </c>
      <c r="AU119" s="212">
        <v>42.12</v>
      </c>
      <c r="AV119" s="212">
        <v>21.65</v>
      </c>
      <c r="AW119" s="212">
        <v>21.049999999999997</v>
      </c>
      <c r="AX119" s="212">
        <v>21.349999999999998</v>
      </c>
      <c r="AY119" s="212">
        <v>4.26</v>
      </c>
      <c r="AZ119" s="212">
        <v>4.0999999999999996</v>
      </c>
      <c r="BA119" s="212">
        <v>4.18</v>
      </c>
      <c r="BB119" s="212">
        <v>2.02</v>
      </c>
      <c r="BC119" s="212">
        <v>1.72</v>
      </c>
      <c r="BD119" s="212">
        <v>1.87</v>
      </c>
      <c r="BE119" s="212">
        <v>0.71</v>
      </c>
      <c r="BF119" s="212">
        <v>0.41</v>
      </c>
      <c r="BG119" s="212">
        <v>0.55999999999999994</v>
      </c>
      <c r="BH119" s="212">
        <v>511.41</v>
      </c>
      <c r="BI119" s="212">
        <v>495.41</v>
      </c>
      <c r="BJ119" s="212">
        <v>503.41</v>
      </c>
      <c r="BK119" s="212">
        <v>43.09</v>
      </c>
      <c r="BL119" s="212">
        <v>41.730000000000004</v>
      </c>
      <c r="BM119" s="212">
        <v>42.410000000000004</v>
      </c>
      <c r="BN119" s="212">
        <v>1.08</v>
      </c>
      <c r="BO119" s="212">
        <v>0.84000000000000008</v>
      </c>
      <c r="BP119" s="212">
        <v>0.96000000000000008</v>
      </c>
      <c r="BQ119" s="212">
        <v>10.050000000000001</v>
      </c>
      <c r="BR119" s="212">
        <v>8.0500000000000007</v>
      </c>
      <c r="BS119" s="212">
        <v>9.0500000000000007</v>
      </c>
      <c r="BT119" s="212">
        <v>11.44</v>
      </c>
      <c r="BU119" s="212">
        <v>11.04</v>
      </c>
      <c r="BV119" s="212">
        <v>11.239999999999998</v>
      </c>
      <c r="BW119" s="212">
        <v>2.85</v>
      </c>
      <c r="BX119" s="212">
        <v>2.5700000000000003</v>
      </c>
      <c r="BY119" s="212">
        <v>2.71</v>
      </c>
      <c r="BZ119" s="212">
        <v>9.57</v>
      </c>
      <c r="CA119" s="212">
        <v>6.57</v>
      </c>
      <c r="CB119" s="212">
        <v>8.07</v>
      </c>
      <c r="CC119" s="212">
        <v>6.66</v>
      </c>
      <c r="CD119" s="212">
        <v>6.42</v>
      </c>
      <c r="CE119" s="212">
        <v>6.54</v>
      </c>
      <c r="CF119" s="212">
        <v>1.9</v>
      </c>
      <c r="CG119" s="212">
        <v>1.4</v>
      </c>
      <c r="CH119" s="212">
        <v>1.65</v>
      </c>
      <c r="CI119" s="212">
        <v>0.44</v>
      </c>
      <c r="CJ119" s="212">
        <v>0.4</v>
      </c>
      <c r="CK119" s="212">
        <v>0.42000000000000004</v>
      </c>
      <c r="CL119" s="212">
        <v>39.47</v>
      </c>
      <c r="CM119" s="212">
        <v>37.07</v>
      </c>
      <c r="CN119" s="212">
        <v>38.269999999999996</v>
      </c>
      <c r="CO119" s="212">
        <v>7.26</v>
      </c>
      <c r="CP119" s="212">
        <v>2.2599999999999998</v>
      </c>
      <c r="CQ119" s="212">
        <v>4.76</v>
      </c>
      <c r="CR119" s="212"/>
      <c r="CS119" s="212"/>
    </row>
    <row r="120" spans="1:97" x14ac:dyDescent="0.4">
      <c r="A120" s="209">
        <v>45406</v>
      </c>
      <c r="B120" s="210" t="s">
        <v>296</v>
      </c>
      <c r="C120" s="212">
        <v>155.86000000000001</v>
      </c>
      <c r="D120" s="212">
        <v>153.86000000000001</v>
      </c>
      <c r="E120" s="212">
        <v>154.86000000000001</v>
      </c>
      <c r="F120" s="212">
        <v>167.31</v>
      </c>
      <c r="G120" s="212">
        <v>164.31</v>
      </c>
      <c r="H120" s="212">
        <v>165.81</v>
      </c>
      <c r="I120" s="212">
        <v>114.98</v>
      </c>
      <c r="J120" s="212">
        <v>111.78</v>
      </c>
      <c r="K120" s="212">
        <v>113.38</v>
      </c>
      <c r="L120" s="212">
        <v>196.96</v>
      </c>
      <c r="M120" s="212">
        <v>188.96</v>
      </c>
      <c r="N120" s="212">
        <v>192.96</v>
      </c>
      <c r="O120" s="212">
        <v>170.76</v>
      </c>
      <c r="P120" s="212">
        <v>168.95999999999998</v>
      </c>
      <c r="Q120" s="212">
        <v>169.85999999999999</v>
      </c>
      <c r="R120" s="212">
        <v>22.53</v>
      </c>
      <c r="S120" s="212">
        <v>21.93</v>
      </c>
      <c r="T120" s="212">
        <v>22.23</v>
      </c>
      <c r="U120" s="212">
        <v>14.52</v>
      </c>
      <c r="V120" s="212">
        <v>13.92</v>
      </c>
      <c r="W120" s="212">
        <v>14.219999999999999</v>
      </c>
      <c r="X120" s="212">
        <v>14.75</v>
      </c>
      <c r="Y120" s="212">
        <v>13.95</v>
      </c>
      <c r="Z120" s="212">
        <v>14.35</v>
      </c>
      <c r="AA120" s="212">
        <v>102.6</v>
      </c>
      <c r="AB120" s="212">
        <v>98.6</v>
      </c>
      <c r="AC120" s="212">
        <v>100.6</v>
      </c>
      <c r="AD120" s="212">
        <v>94.06</v>
      </c>
      <c r="AE120" s="212">
        <v>90.06</v>
      </c>
      <c r="AF120" s="212">
        <v>92.06</v>
      </c>
      <c r="AG120" s="212">
        <v>20.190000000000001</v>
      </c>
      <c r="AH120" s="212">
        <v>19.330000000000002</v>
      </c>
      <c r="AI120" s="212">
        <v>19.760000000000002</v>
      </c>
      <c r="AJ120" s="212"/>
      <c r="AK120" s="212"/>
      <c r="AL120" s="212"/>
      <c r="AM120" s="212">
        <v>114.66</v>
      </c>
      <c r="AN120" s="212">
        <v>113</v>
      </c>
      <c r="AO120" s="212">
        <v>113.83</v>
      </c>
      <c r="AP120" s="212">
        <v>42.15</v>
      </c>
      <c r="AQ120" s="212">
        <v>40.549999999999997</v>
      </c>
      <c r="AR120" s="212">
        <v>41.349999999999994</v>
      </c>
      <c r="AS120" s="212">
        <v>42.91</v>
      </c>
      <c r="AT120" s="212">
        <v>41.55</v>
      </c>
      <c r="AU120" s="212">
        <v>42.23</v>
      </c>
      <c r="AV120" s="212">
        <v>21.63</v>
      </c>
      <c r="AW120" s="212">
        <v>21.029999999999998</v>
      </c>
      <c r="AX120" s="212">
        <v>21.33</v>
      </c>
      <c r="AY120" s="212">
        <v>4.28</v>
      </c>
      <c r="AZ120" s="212">
        <v>4.12</v>
      </c>
      <c r="BA120" s="212">
        <v>4.2</v>
      </c>
      <c r="BB120" s="212">
        <v>2.02</v>
      </c>
      <c r="BC120" s="212">
        <v>1.72</v>
      </c>
      <c r="BD120" s="212">
        <v>1.87</v>
      </c>
      <c r="BE120" s="212">
        <v>0.71</v>
      </c>
      <c r="BF120" s="212">
        <v>0.41</v>
      </c>
      <c r="BG120" s="212">
        <v>0.55999999999999994</v>
      </c>
      <c r="BH120" s="212">
        <v>511.77</v>
      </c>
      <c r="BI120" s="212">
        <v>495.77</v>
      </c>
      <c r="BJ120" s="212">
        <v>503.77</v>
      </c>
      <c r="BK120" s="212">
        <v>43.24</v>
      </c>
      <c r="BL120" s="212">
        <v>41.88</v>
      </c>
      <c r="BM120" s="212">
        <v>42.56</v>
      </c>
      <c r="BN120" s="212">
        <v>1.08</v>
      </c>
      <c r="BO120" s="212">
        <v>0.84000000000000008</v>
      </c>
      <c r="BP120" s="212">
        <v>0.96000000000000008</v>
      </c>
      <c r="BQ120" s="212">
        <v>10.14</v>
      </c>
      <c r="BR120" s="212">
        <v>8.14</v>
      </c>
      <c r="BS120" s="212">
        <v>9.14</v>
      </c>
      <c r="BT120" s="212">
        <v>11.52</v>
      </c>
      <c r="BU120" s="212">
        <v>11.12</v>
      </c>
      <c r="BV120" s="212">
        <v>11.32</v>
      </c>
      <c r="BW120" s="212">
        <v>2.85</v>
      </c>
      <c r="BX120" s="212">
        <v>2.5700000000000003</v>
      </c>
      <c r="BY120" s="212">
        <v>2.71</v>
      </c>
      <c r="BZ120" s="212">
        <v>9.6</v>
      </c>
      <c r="CA120" s="212">
        <v>6.6</v>
      </c>
      <c r="CB120" s="212">
        <v>8.1</v>
      </c>
      <c r="CC120" s="212">
        <v>6.7</v>
      </c>
      <c r="CD120" s="212">
        <v>6.46</v>
      </c>
      <c r="CE120" s="212">
        <v>6.58</v>
      </c>
      <c r="CF120" s="212">
        <v>1.91</v>
      </c>
      <c r="CG120" s="212">
        <v>1.41</v>
      </c>
      <c r="CH120" s="212">
        <v>1.66</v>
      </c>
      <c r="CI120" s="212">
        <v>0.44</v>
      </c>
      <c r="CJ120" s="212">
        <v>0.4</v>
      </c>
      <c r="CK120" s="212">
        <v>0.42000000000000004</v>
      </c>
      <c r="CL120" s="212">
        <v>39.69</v>
      </c>
      <c r="CM120" s="212">
        <v>37.29</v>
      </c>
      <c r="CN120" s="212">
        <v>38.489999999999995</v>
      </c>
      <c r="CO120" s="212">
        <v>7.27</v>
      </c>
      <c r="CP120" s="212">
        <v>2.2699999999999996</v>
      </c>
      <c r="CQ120" s="212">
        <v>4.7699999999999996</v>
      </c>
      <c r="CR120" s="212"/>
      <c r="CS120" s="212"/>
    </row>
    <row r="121" spans="1:97" x14ac:dyDescent="0.4">
      <c r="A121" s="209">
        <v>45407</v>
      </c>
      <c r="B121" s="210" t="s">
        <v>297</v>
      </c>
      <c r="C121" s="212">
        <v>156.53</v>
      </c>
      <c r="D121" s="212">
        <v>154.53</v>
      </c>
      <c r="E121" s="212">
        <v>155.53</v>
      </c>
      <c r="F121" s="212">
        <v>167.99</v>
      </c>
      <c r="G121" s="212">
        <v>164.99</v>
      </c>
      <c r="H121" s="212">
        <v>166.49</v>
      </c>
      <c r="I121" s="212">
        <v>115.16</v>
      </c>
      <c r="J121" s="212">
        <v>111.96</v>
      </c>
      <c r="K121" s="212">
        <v>113.56</v>
      </c>
      <c r="L121" s="212">
        <v>197.87</v>
      </c>
      <c r="M121" s="212">
        <v>189.87</v>
      </c>
      <c r="N121" s="212">
        <v>193.87</v>
      </c>
      <c r="O121" s="212">
        <v>170.92</v>
      </c>
      <c r="P121" s="212">
        <v>169.11999999999998</v>
      </c>
      <c r="Q121" s="212">
        <v>170.01999999999998</v>
      </c>
      <c r="R121" s="212">
        <v>22.62</v>
      </c>
      <c r="S121" s="212">
        <v>22.02</v>
      </c>
      <c r="T121" s="212">
        <v>22.32</v>
      </c>
      <c r="U121" s="212">
        <v>14.46</v>
      </c>
      <c r="V121" s="212">
        <v>13.860000000000001</v>
      </c>
      <c r="W121" s="212">
        <v>14.16</v>
      </c>
      <c r="X121" s="212">
        <v>14.7</v>
      </c>
      <c r="Y121" s="212">
        <v>13.899999999999999</v>
      </c>
      <c r="Z121" s="212">
        <v>14.299999999999999</v>
      </c>
      <c r="AA121" s="212">
        <v>103.11</v>
      </c>
      <c r="AB121" s="212">
        <v>99.11</v>
      </c>
      <c r="AC121" s="212">
        <v>101.11</v>
      </c>
      <c r="AD121" s="212">
        <v>94.37</v>
      </c>
      <c r="AE121" s="212">
        <v>90.37</v>
      </c>
      <c r="AF121" s="212">
        <v>92.37</v>
      </c>
      <c r="AG121" s="212">
        <v>20.29</v>
      </c>
      <c r="AH121" s="212">
        <v>19.43</v>
      </c>
      <c r="AI121" s="212">
        <v>19.86</v>
      </c>
      <c r="AJ121" s="212"/>
      <c r="AK121" s="212"/>
      <c r="AL121" s="212"/>
      <c r="AM121" s="212">
        <v>115.06</v>
      </c>
      <c r="AN121" s="212">
        <v>113.4</v>
      </c>
      <c r="AO121" s="212">
        <v>114.23</v>
      </c>
      <c r="AP121" s="212">
        <v>42.34</v>
      </c>
      <c r="AQ121" s="212">
        <v>40.74</v>
      </c>
      <c r="AR121" s="212">
        <v>41.540000000000006</v>
      </c>
      <c r="AS121" s="212">
        <v>43.1</v>
      </c>
      <c r="AT121" s="212">
        <v>41.74</v>
      </c>
      <c r="AU121" s="212">
        <v>42.42</v>
      </c>
      <c r="AV121" s="212">
        <v>21.68</v>
      </c>
      <c r="AW121" s="212">
        <v>21.08</v>
      </c>
      <c r="AX121" s="212">
        <v>21.38</v>
      </c>
      <c r="AY121" s="212">
        <v>4.28</v>
      </c>
      <c r="AZ121" s="212">
        <v>4.12</v>
      </c>
      <c r="BA121" s="212">
        <v>4.2</v>
      </c>
      <c r="BB121" s="212">
        <v>2.0299999999999998</v>
      </c>
      <c r="BC121" s="212">
        <v>1.7299999999999998</v>
      </c>
      <c r="BD121" s="212">
        <v>1.88</v>
      </c>
      <c r="BE121" s="212">
        <v>0.71</v>
      </c>
      <c r="BF121" s="212">
        <v>0.41</v>
      </c>
      <c r="BG121" s="212">
        <v>0.55999999999999994</v>
      </c>
      <c r="BH121" s="212">
        <v>513.95000000000005</v>
      </c>
      <c r="BI121" s="212">
        <v>497.95000000000005</v>
      </c>
      <c r="BJ121" s="212">
        <v>505.95000000000005</v>
      </c>
      <c r="BK121" s="212">
        <v>43.41</v>
      </c>
      <c r="BL121" s="212">
        <v>42.05</v>
      </c>
      <c r="BM121" s="212">
        <v>42.73</v>
      </c>
      <c r="BN121" s="212">
        <v>1.0900000000000001</v>
      </c>
      <c r="BO121" s="212">
        <v>0.85000000000000009</v>
      </c>
      <c r="BP121" s="212">
        <v>0.97000000000000008</v>
      </c>
      <c r="BQ121" s="212">
        <v>10.11</v>
      </c>
      <c r="BR121" s="212">
        <v>8.11</v>
      </c>
      <c r="BS121" s="212">
        <v>9.11</v>
      </c>
      <c r="BT121" s="212">
        <v>11.51</v>
      </c>
      <c r="BU121" s="212">
        <v>11.11</v>
      </c>
      <c r="BV121" s="212">
        <v>11.309999999999999</v>
      </c>
      <c r="BW121" s="212">
        <v>2.86</v>
      </c>
      <c r="BX121" s="212">
        <v>2.58</v>
      </c>
      <c r="BY121" s="212">
        <v>2.7199999999999998</v>
      </c>
      <c r="BZ121" s="212">
        <v>9.59</v>
      </c>
      <c r="CA121" s="212">
        <v>6.59</v>
      </c>
      <c r="CB121" s="212">
        <v>8.09</v>
      </c>
      <c r="CC121" s="212">
        <v>6.72</v>
      </c>
      <c r="CD121" s="212">
        <v>6.4799999999999995</v>
      </c>
      <c r="CE121" s="212">
        <v>6.6</v>
      </c>
      <c r="CF121" s="212">
        <v>1.94</v>
      </c>
      <c r="CG121" s="212">
        <v>1.44</v>
      </c>
      <c r="CH121" s="212">
        <v>1.69</v>
      </c>
      <c r="CI121" s="212">
        <v>0.44</v>
      </c>
      <c r="CJ121" s="212">
        <v>0.4</v>
      </c>
      <c r="CK121" s="212">
        <v>0.42000000000000004</v>
      </c>
      <c r="CL121" s="212">
        <v>39.630000000000003</v>
      </c>
      <c r="CM121" s="212">
        <v>37.230000000000004</v>
      </c>
      <c r="CN121" s="212">
        <v>38.430000000000007</v>
      </c>
      <c r="CO121" s="212">
        <v>7.29</v>
      </c>
      <c r="CP121" s="212">
        <v>2.29</v>
      </c>
      <c r="CQ121" s="212">
        <v>4.79</v>
      </c>
      <c r="CR121" s="212"/>
      <c r="CS121" s="212"/>
    </row>
    <row r="122" spans="1:97" x14ac:dyDescent="0.4">
      <c r="A122" s="209">
        <v>45408</v>
      </c>
      <c r="B122" s="210" t="s">
        <v>298</v>
      </c>
      <c r="C122" s="212">
        <v>156.76</v>
      </c>
      <c r="D122" s="212">
        <v>154.76</v>
      </c>
      <c r="E122" s="212">
        <v>155.76</v>
      </c>
      <c r="F122" s="212">
        <v>168.55</v>
      </c>
      <c r="G122" s="212">
        <v>165.55</v>
      </c>
      <c r="H122" s="212">
        <v>167.05</v>
      </c>
      <c r="I122" s="212">
        <v>115.65</v>
      </c>
      <c r="J122" s="212">
        <v>112.45</v>
      </c>
      <c r="K122" s="212">
        <v>114.05000000000001</v>
      </c>
      <c r="L122" s="212">
        <v>198.76</v>
      </c>
      <c r="M122" s="212">
        <v>190.76</v>
      </c>
      <c r="N122" s="212">
        <v>194.76</v>
      </c>
      <c r="O122" s="212">
        <v>171.48</v>
      </c>
      <c r="P122" s="212">
        <v>169.67999999999998</v>
      </c>
      <c r="Q122" s="212">
        <v>170.57999999999998</v>
      </c>
      <c r="R122" s="212">
        <v>22.7</v>
      </c>
      <c r="S122" s="212">
        <v>22.099999999999998</v>
      </c>
      <c r="T122" s="212">
        <v>22.4</v>
      </c>
      <c r="U122" s="212">
        <v>14.51</v>
      </c>
      <c r="V122" s="212">
        <v>13.91</v>
      </c>
      <c r="W122" s="212">
        <v>14.21</v>
      </c>
      <c r="X122" s="212">
        <v>14.7</v>
      </c>
      <c r="Y122" s="212">
        <v>13.899999999999999</v>
      </c>
      <c r="Z122" s="212">
        <v>14.299999999999999</v>
      </c>
      <c r="AA122" s="212">
        <v>103.65</v>
      </c>
      <c r="AB122" s="212">
        <v>99.65</v>
      </c>
      <c r="AC122" s="212">
        <v>101.65</v>
      </c>
      <c r="AD122" s="212">
        <v>94.9</v>
      </c>
      <c r="AE122" s="212">
        <v>90.9</v>
      </c>
      <c r="AF122" s="212">
        <v>92.9</v>
      </c>
      <c r="AG122" s="212">
        <v>20.329999999999998</v>
      </c>
      <c r="AH122" s="212">
        <v>19.47</v>
      </c>
      <c r="AI122" s="212">
        <v>19.899999999999999</v>
      </c>
      <c r="AJ122" s="212"/>
      <c r="AK122" s="212"/>
      <c r="AL122" s="212"/>
      <c r="AM122" s="212">
        <v>115.42</v>
      </c>
      <c r="AN122" s="212">
        <v>113.76</v>
      </c>
      <c r="AO122" s="212">
        <v>114.59</v>
      </c>
      <c r="AP122" s="212">
        <v>42.4</v>
      </c>
      <c r="AQ122" s="212">
        <v>40.799999999999997</v>
      </c>
      <c r="AR122" s="212">
        <v>41.599999999999994</v>
      </c>
      <c r="AS122" s="212">
        <v>43.16</v>
      </c>
      <c r="AT122" s="212">
        <v>41.8</v>
      </c>
      <c r="AU122" s="212">
        <v>42.48</v>
      </c>
      <c r="AV122" s="212">
        <v>21.76</v>
      </c>
      <c r="AW122" s="212">
        <v>21.16</v>
      </c>
      <c r="AX122" s="212">
        <v>21.46</v>
      </c>
      <c r="AY122" s="212">
        <v>4.29</v>
      </c>
      <c r="AZ122" s="212">
        <v>4.13</v>
      </c>
      <c r="BA122" s="212">
        <v>4.21</v>
      </c>
      <c r="BB122" s="212">
        <v>2.0299999999999998</v>
      </c>
      <c r="BC122" s="212">
        <v>1.7299999999999998</v>
      </c>
      <c r="BD122" s="212">
        <v>1.88</v>
      </c>
      <c r="BE122" s="212">
        <v>0.71</v>
      </c>
      <c r="BF122" s="212">
        <v>0.41</v>
      </c>
      <c r="BG122" s="212">
        <v>0.55999999999999994</v>
      </c>
      <c r="BH122" s="212">
        <v>513.05999999999995</v>
      </c>
      <c r="BI122" s="212">
        <v>497.05999999999995</v>
      </c>
      <c r="BJ122" s="212">
        <v>505.05999999999995</v>
      </c>
      <c r="BK122" s="212">
        <v>43.47</v>
      </c>
      <c r="BL122" s="212">
        <v>42.11</v>
      </c>
      <c r="BM122" s="212">
        <v>42.79</v>
      </c>
      <c r="BN122" s="212">
        <v>1.0900000000000001</v>
      </c>
      <c r="BO122" s="212">
        <v>0.85000000000000009</v>
      </c>
      <c r="BP122" s="212">
        <v>0.97000000000000008</v>
      </c>
      <c r="BQ122" s="212">
        <v>10.06</v>
      </c>
      <c r="BR122" s="212">
        <v>8.06</v>
      </c>
      <c r="BS122" s="212">
        <v>9.06</v>
      </c>
      <c r="BT122" s="212">
        <v>11.55</v>
      </c>
      <c r="BU122" s="212">
        <v>11.15</v>
      </c>
      <c r="BV122" s="212">
        <v>11.350000000000001</v>
      </c>
      <c r="BW122" s="212">
        <v>2.86</v>
      </c>
      <c r="BX122" s="212">
        <v>2.58</v>
      </c>
      <c r="BY122" s="212">
        <v>2.7199999999999998</v>
      </c>
      <c r="BZ122" s="212">
        <v>9.69</v>
      </c>
      <c r="CA122" s="212">
        <v>6.6899999999999995</v>
      </c>
      <c r="CB122" s="212">
        <v>8.19</v>
      </c>
      <c r="CC122" s="212">
        <v>6.77</v>
      </c>
      <c r="CD122" s="212">
        <v>6.5299999999999994</v>
      </c>
      <c r="CE122" s="212">
        <v>6.6499999999999995</v>
      </c>
      <c r="CF122" s="212">
        <v>1.94</v>
      </c>
      <c r="CG122" s="212">
        <v>1.44</v>
      </c>
      <c r="CH122" s="212">
        <v>1.69</v>
      </c>
      <c r="CI122" s="212">
        <v>0.45</v>
      </c>
      <c r="CJ122" s="212">
        <v>0.41000000000000003</v>
      </c>
      <c r="CK122" s="212">
        <v>0.43000000000000005</v>
      </c>
      <c r="CL122" s="212">
        <v>39.950000000000003</v>
      </c>
      <c r="CM122" s="212">
        <v>37.550000000000004</v>
      </c>
      <c r="CN122" s="212">
        <v>38.75</v>
      </c>
      <c r="CO122" s="212">
        <v>7.31</v>
      </c>
      <c r="CP122" s="212">
        <v>2.3099999999999996</v>
      </c>
      <c r="CQ122" s="212">
        <v>4.8099999999999996</v>
      </c>
      <c r="CR122" s="212"/>
      <c r="CS122" s="212"/>
    </row>
    <row r="123" spans="1:97" x14ac:dyDescent="0.4">
      <c r="A123" s="209">
        <v>45409</v>
      </c>
      <c r="B123" s="210" t="s">
        <v>299</v>
      </c>
      <c r="C123" s="212"/>
      <c r="D123" s="212"/>
      <c r="E123" s="212"/>
      <c r="F123" s="212"/>
      <c r="G123" s="212"/>
      <c r="H123" s="212"/>
      <c r="I123" s="212"/>
      <c r="J123" s="212"/>
      <c r="K123" s="212"/>
      <c r="L123" s="212"/>
      <c r="M123" s="212"/>
      <c r="N123" s="212"/>
      <c r="O123" s="212"/>
      <c r="P123" s="212"/>
      <c r="Q123" s="212"/>
      <c r="R123" s="212"/>
      <c r="S123" s="212"/>
      <c r="T123" s="212"/>
      <c r="U123" s="212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12"/>
      <c r="AF123" s="212"/>
      <c r="AG123" s="212"/>
      <c r="AH123" s="212"/>
      <c r="AI123" s="212"/>
      <c r="AJ123" s="212"/>
      <c r="AK123" s="212"/>
      <c r="AL123" s="212"/>
      <c r="AM123" s="212"/>
      <c r="AN123" s="212"/>
      <c r="AO123" s="212"/>
      <c r="AP123" s="212"/>
      <c r="AQ123" s="212"/>
      <c r="AR123" s="212"/>
      <c r="AS123" s="212"/>
      <c r="AT123" s="212"/>
      <c r="AU123" s="212"/>
      <c r="AV123" s="212"/>
      <c r="AW123" s="212"/>
      <c r="AX123" s="212"/>
      <c r="AY123" s="212"/>
      <c r="AZ123" s="212"/>
      <c r="BA123" s="212"/>
      <c r="BB123" s="212"/>
      <c r="BC123" s="212"/>
      <c r="BD123" s="212"/>
      <c r="BE123" s="212"/>
      <c r="BF123" s="212"/>
      <c r="BG123" s="212"/>
      <c r="BH123" s="212"/>
      <c r="BI123" s="212"/>
      <c r="BJ123" s="212"/>
      <c r="BK123" s="212"/>
      <c r="BL123" s="212"/>
      <c r="BM123" s="212"/>
      <c r="BN123" s="212"/>
      <c r="BO123" s="212"/>
      <c r="BP123" s="212"/>
      <c r="BQ123" s="212"/>
      <c r="BR123" s="212"/>
      <c r="BS123" s="212"/>
      <c r="BT123" s="212"/>
      <c r="BU123" s="212"/>
      <c r="BV123" s="212"/>
      <c r="BW123" s="212"/>
      <c r="BX123" s="212"/>
      <c r="BY123" s="212"/>
      <c r="BZ123" s="212"/>
      <c r="CA123" s="212"/>
      <c r="CB123" s="212"/>
      <c r="CC123" s="212"/>
      <c r="CD123" s="212"/>
      <c r="CE123" s="212"/>
      <c r="CF123" s="212"/>
      <c r="CG123" s="212"/>
      <c r="CH123" s="212"/>
      <c r="CI123" s="212"/>
      <c r="CJ123" s="212"/>
      <c r="CK123" s="212"/>
      <c r="CL123" s="212"/>
      <c r="CM123" s="212"/>
      <c r="CN123" s="212"/>
      <c r="CO123" s="212"/>
      <c r="CP123" s="212"/>
      <c r="CQ123" s="212"/>
      <c r="CR123" s="212"/>
      <c r="CS123" s="212"/>
    </row>
    <row r="124" spans="1:97" x14ac:dyDescent="0.4">
      <c r="A124" s="209">
        <v>45410</v>
      </c>
      <c r="B124" s="210" t="s">
        <v>300</v>
      </c>
      <c r="C124" s="212"/>
      <c r="D124" s="212"/>
      <c r="E124" s="212"/>
      <c r="F124" s="212"/>
      <c r="G124" s="212"/>
      <c r="H124" s="212"/>
      <c r="I124" s="212"/>
      <c r="J124" s="212"/>
      <c r="K124" s="212"/>
      <c r="L124" s="212"/>
      <c r="M124" s="212"/>
      <c r="N124" s="212"/>
      <c r="O124" s="212"/>
      <c r="P124" s="212"/>
      <c r="Q124" s="212"/>
      <c r="R124" s="212"/>
      <c r="S124" s="212"/>
      <c r="T124" s="212"/>
      <c r="U124" s="212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12"/>
      <c r="AF124" s="212"/>
      <c r="AG124" s="212"/>
      <c r="AH124" s="212"/>
      <c r="AI124" s="212"/>
      <c r="AJ124" s="212"/>
      <c r="AK124" s="212"/>
      <c r="AL124" s="212"/>
      <c r="AM124" s="212"/>
      <c r="AN124" s="212"/>
      <c r="AO124" s="212"/>
      <c r="AP124" s="212"/>
      <c r="AQ124" s="212"/>
      <c r="AR124" s="212"/>
      <c r="AS124" s="212"/>
      <c r="AT124" s="212"/>
      <c r="AU124" s="212"/>
      <c r="AV124" s="212"/>
      <c r="AW124" s="212"/>
      <c r="AX124" s="212"/>
      <c r="AY124" s="212"/>
      <c r="AZ124" s="212"/>
      <c r="BA124" s="212"/>
      <c r="BB124" s="212"/>
      <c r="BC124" s="212"/>
      <c r="BD124" s="212"/>
      <c r="BE124" s="212"/>
      <c r="BF124" s="212"/>
      <c r="BG124" s="212"/>
      <c r="BH124" s="212"/>
      <c r="BI124" s="212"/>
      <c r="BJ124" s="212"/>
      <c r="BK124" s="212"/>
      <c r="BL124" s="212"/>
      <c r="BM124" s="212"/>
      <c r="BN124" s="212"/>
      <c r="BO124" s="212"/>
      <c r="BP124" s="212"/>
      <c r="BQ124" s="212"/>
      <c r="BR124" s="212"/>
      <c r="BS124" s="212"/>
      <c r="BT124" s="212"/>
      <c r="BU124" s="212"/>
      <c r="BV124" s="212"/>
      <c r="BW124" s="212"/>
      <c r="BX124" s="212"/>
      <c r="BY124" s="212"/>
      <c r="BZ124" s="212"/>
      <c r="CA124" s="212"/>
      <c r="CB124" s="212"/>
      <c r="CC124" s="212"/>
      <c r="CD124" s="212"/>
      <c r="CE124" s="212"/>
      <c r="CF124" s="212"/>
      <c r="CG124" s="212"/>
      <c r="CH124" s="212"/>
      <c r="CI124" s="212"/>
      <c r="CJ124" s="212"/>
      <c r="CK124" s="212"/>
      <c r="CL124" s="212"/>
      <c r="CM124" s="212"/>
      <c r="CN124" s="212"/>
      <c r="CO124" s="212"/>
      <c r="CP124" s="212"/>
      <c r="CQ124" s="212"/>
      <c r="CR124" s="212"/>
      <c r="CS124" s="212"/>
    </row>
    <row r="125" spans="1:97" x14ac:dyDescent="0.4">
      <c r="A125" s="209">
        <v>45411</v>
      </c>
      <c r="B125" s="210" t="s">
        <v>294</v>
      </c>
      <c r="C125" s="212"/>
      <c r="D125" s="212"/>
      <c r="E125" s="212"/>
      <c r="F125" s="212"/>
      <c r="G125" s="212"/>
      <c r="H125" s="212"/>
      <c r="I125" s="212"/>
      <c r="J125" s="212"/>
      <c r="K125" s="212"/>
      <c r="L125" s="212"/>
      <c r="M125" s="212"/>
      <c r="N125" s="212"/>
      <c r="O125" s="212"/>
      <c r="P125" s="212"/>
      <c r="Q125" s="212"/>
      <c r="R125" s="212"/>
      <c r="S125" s="212"/>
      <c r="T125" s="212"/>
      <c r="U125" s="212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12"/>
      <c r="AF125" s="212"/>
      <c r="AG125" s="212"/>
      <c r="AH125" s="212"/>
      <c r="AI125" s="212"/>
      <c r="AJ125" s="212"/>
      <c r="AK125" s="212"/>
      <c r="AL125" s="212"/>
      <c r="AM125" s="212"/>
      <c r="AN125" s="212"/>
      <c r="AO125" s="212"/>
      <c r="AP125" s="212"/>
      <c r="AQ125" s="212"/>
      <c r="AR125" s="212"/>
      <c r="AS125" s="212"/>
      <c r="AT125" s="212"/>
      <c r="AU125" s="212"/>
      <c r="AV125" s="212"/>
      <c r="AW125" s="212"/>
      <c r="AX125" s="212"/>
      <c r="AY125" s="212"/>
      <c r="AZ125" s="212"/>
      <c r="BA125" s="212"/>
      <c r="BB125" s="212"/>
      <c r="BC125" s="212"/>
      <c r="BD125" s="212"/>
      <c r="BE125" s="212"/>
      <c r="BF125" s="212"/>
      <c r="BG125" s="212"/>
      <c r="BH125" s="212"/>
      <c r="BI125" s="212"/>
      <c r="BJ125" s="212"/>
      <c r="BK125" s="212"/>
      <c r="BL125" s="212"/>
      <c r="BM125" s="212"/>
      <c r="BN125" s="212"/>
      <c r="BO125" s="212"/>
      <c r="BP125" s="212"/>
      <c r="BQ125" s="212"/>
      <c r="BR125" s="212"/>
      <c r="BS125" s="212"/>
      <c r="BT125" s="212"/>
      <c r="BU125" s="212"/>
      <c r="BV125" s="212"/>
      <c r="BW125" s="212"/>
      <c r="BX125" s="212"/>
      <c r="BY125" s="212"/>
      <c r="BZ125" s="212"/>
      <c r="CA125" s="212"/>
      <c r="CB125" s="212"/>
      <c r="CC125" s="212"/>
      <c r="CD125" s="212"/>
      <c r="CE125" s="212"/>
      <c r="CF125" s="212"/>
      <c r="CG125" s="212"/>
      <c r="CH125" s="212"/>
      <c r="CI125" s="212"/>
      <c r="CJ125" s="212"/>
      <c r="CK125" s="212"/>
      <c r="CL125" s="212"/>
      <c r="CM125" s="212"/>
      <c r="CN125" s="212"/>
      <c r="CO125" s="212"/>
      <c r="CP125" s="212"/>
      <c r="CQ125" s="212"/>
      <c r="CR125" s="212"/>
      <c r="CS125" s="212"/>
    </row>
    <row r="126" spans="1:97" x14ac:dyDescent="0.4">
      <c r="A126" s="209">
        <v>45412</v>
      </c>
      <c r="B126" s="210" t="s">
        <v>295</v>
      </c>
      <c r="C126" s="212">
        <v>157.9</v>
      </c>
      <c r="D126" s="212">
        <v>155.9</v>
      </c>
      <c r="E126" s="212">
        <v>156.9</v>
      </c>
      <c r="F126" s="212">
        <v>169.62</v>
      </c>
      <c r="G126" s="212">
        <v>166.62</v>
      </c>
      <c r="H126" s="212">
        <v>168.12</v>
      </c>
      <c r="I126" s="212">
        <v>116.37</v>
      </c>
      <c r="J126" s="212">
        <v>113.17</v>
      </c>
      <c r="K126" s="212">
        <v>114.77000000000001</v>
      </c>
      <c r="L126" s="212">
        <v>201.02</v>
      </c>
      <c r="M126" s="212">
        <v>193.02</v>
      </c>
      <c r="N126" s="212">
        <v>197.02</v>
      </c>
      <c r="O126" s="212">
        <v>173.07</v>
      </c>
      <c r="P126" s="212">
        <v>171.26999999999998</v>
      </c>
      <c r="Q126" s="212">
        <v>172.17</v>
      </c>
      <c r="R126" s="212">
        <v>22.85</v>
      </c>
      <c r="S126" s="212">
        <v>22.25</v>
      </c>
      <c r="T126" s="212">
        <v>22.55</v>
      </c>
      <c r="U126" s="212">
        <v>14.56</v>
      </c>
      <c r="V126" s="212">
        <v>13.96</v>
      </c>
      <c r="W126" s="212">
        <v>14.260000000000002</v>
      </c>
      <c r="X126" s="212">
        <v>14.74</v>
      </c>
      <c r="Y126" s="212">
        <v>13.94</v>
      </c>
      <c r="Z126" s="212">
        <v>14.34</v>
      </c>
      <c r="AA126" s="212">
        <v>104.96</v>
      </c>
      <c r="AB126" s="212">
        <v>100.96</v>
      </c>
      <c r="AC126" s="212">
        <v>102.96</v>
      </c>
      <c r="AD126" s="212">
        <v>95.61</v>
      </c>
      <c r="AE126" s="212">
        <v>91.61</v>
      </c>
      <c r="AF126" s="212">
        <v>93.61</v>
      </c>
      <c r="AG126" s="212">
        <v>20.48</v>
      </c>
      <c r="AH126" s="212">
        <v>19.62</v>
      </c>
      <c r="AI126" s="212">
        <v>20.05</v>
      </c>
      <c r="AJ126" s="212"/>
      <c r="AK126" s="212"/>
      <c r="AL126" s="212"/>
      <c r="AM126" s="212">
        <v>116.16</v>
      </c>
      <c r="AN126" s="212">
        <v>114.5</v>
      </c>
      <c r="AO126" s="212">
        <v>115.33</v>
      </c>
      <c r="AP126" s="212">
        <v>42.7</v>
      </c>
      <c r="AQ126" s="212">
        <v>41.1</v>
      </c>
      <c r="AR126" s="212">
        <v>41.900000000000006</v>
      </c>
      <c r="AS126" s="212">
        <v>43.47</v>
      </c>
      <c r="AT126" s="212">
        <v>42.11</v>
      </c>
      <c r="AU126" s="212">
        <v>42.79</v>
      </c>
      <c r="AV126" s="212">
        <v>21.93</v>
      </c>
      <c r="AW126" s="212">
        <v>21.33</v>
      </c>
      <c r="AX126" s="212">
        <v>21.63</v>
      </c>
      <c r="AY126" s="212">
        <v>4.32</v>
      </c>
      <c r="AZ126" s="212">
        <v>4.16</v>
      </c>
      <c r="BA126" s="212">
        <v>4.24</v>
      </c>
      <c r="BB126" s="212">
        <v>2.04</v>
      </c>
      <c r="BC126" s="212">
        <v>1.74</v>
      </c>
      <c r="BD126" s="212">
        <v>1.8900000000000001</v>
      </c>
      <c r="BE126" s="212">
        <v>0.72</v>
      </c>
      <c r="BF126" s="212">
        <v>0.42</v>
      </c>
      <c r="BG126" s="212">
        <v>0.56999999999999995</v>
      </c>
      <c r="BH126" s="212">
        <v>518.58000000000004</v>
      </c>
      <c r="BI126" s="212">
        <v>502.58000000000004</v>
      </c>
      <c r="BJ126" s="212">
        <v>510.58000000000004</v>
      </c>
      <c r="BK126" s="212">
        <v>43.78</v>
      </c>
      <c r="BL126" s="212">
        <v>42.42</v>
      </c>
      <c r="BM126" s="212">
        <v>43.1</v>
      </c>
      <c r="BN126" s="212">
        <v>1.0900000000000001</v>
      </c>
      <c r="BO126" s="212">
        <v>0.85000000000000009</v>
      </c>
      <c r="BP126" s="212">
        <v>0.97000000000000008</v>
      </c>
      <c r="BQ126" s="212">
        <v>10.220000000000001</v>
      </c>
      <c r="BR126" s="212">
        <v>8.2200000000000006</v>
      </c>
      <c r="BS126" s="212">
        <v>9.2200000000000006</v>
      </c>
      <c r="BT126" s="212">
        <v>11.61</v>
      </c>
      <c r="BU126" s="212">
        <v>11.209999999999999</v>
      </c>
      <c r="BV126" s="212">
        <v>11.41</v>
      </c>
      <c r="BW126" s="212">
        <v>2.88</v>
      </c>
      <c r="BX126" s="212">
        <v>2.5999999999999996</v>
      </c>
      <c r="BY126" s="212">
        <v>2.7399999999999998</v>
      </c>
      <c r="BZ126" s="212">
        <v>9.91</v>
      </c>
      <c r="CA126" s="212">
        <v>6.91</v>
      </c>
      <c r="CB126" s="212">
        <v>8.41</v>
      </c>
      <c r="CC126" s="212">
        <v>6.81</v>
      </c>
      <c r="CD126" s="212">
        <v>6.5699999999999994</v>
      </c>
      <c r="CE126" s="212">
        <v>6.6899999999999995</v>
      </c>
      <c r="CF126" s="212">
        <v>1.94</v>
      </c>
      <c r="CG126" s="212">
        <v>1.44</v>
      </c>
      <c r="CH126" s="212">
        <v>1.69</v>
      </c>
      <c r="CI126" s="212">
        <v>0.45</v>
      </c>
      <c r="CJ126" s="212">
        <v>0.41000000000000003</v>
      </c>
      <c r="CK126" s="212">
        <v>0.43000000000000005</v>
      </c>
      <c r="CL126" s="212">
        <v>40.19</v>
      </c>
      <c r="CM126" s="212">
        <v>37.79</v>
      </c>
      <c r="CN126" s="212">
        <v>38.989999999999995</v>
      </c>
      <c r="CO126" s="212">
        <v>7.34</v>
      </c>
      <c r="CP126" s="212">
        <v>2.34</v>
      </c>
      <c r="CQ126" s="212">
        <v>4.84</v>
      </c>
      <c r="CR126" s="212"/>
      <c r="CS126" s="212"/>
    </row>
    <row r="127" spans="1:97" x14ac:dyDescent="0.4">
      <c r="A127" s="209">
        <v>45413</v>
      </c>
      <c r="B127" s="210" t="s">
        <v>296</v>
      </c>
      <c r="C127" s="212">
        <v>158.97</v>
      </c>
      <c r="D127" s="212">
        <v>156.97</v>
      </c>
      <c r="E127" s="212">
        <v>157.97</v>
      </c>
      <c r="F127" s="212">
        <v>169.86</v>
      </c>
      <c r="G127" s="212">
        <v>166.86</v>
      </c>
      <c r="H127" s="212">
        <v>168.36</v>
      </c>
      <c r="I127" s="212">
        <v>116.24</v>
      </c>
      <c r="J127" s="212">
        <v>113.03999999999999</v>
      </c>
      <c r="K127" s="212">
        <v>114.63999999999999</v>
      </c>
      <c r="L127" s="212">
        <v>201.26</v>
      </c>
      <c r="M127" s="212">
        <v>193.26</v>
      </c>
      <c r="N127" s="212">
        <v>197.26</v>
      </c>
      <c r="O127" s="212">
        <v>172.63</v>
      </c>
      <c r="P127" s="212">
        <v>170.82999999999998</v>
      </c>
      <c r="Q127" s="212">
        <v>171.73</v>
      </c>
      <c r="R127" s="212">
        <v>22.87</v>
      </c>
      <c r="S127" s="212">
        <v>22.27</v>
      </c>
      <c r="T127" s="212">
        <v>22.57</v>
      </c>
      <c r="U127" s="212">
        <v>14.5</v>
      </c>
      <c r="V127" s="212">
        <v>13.9</v>
      </c>
      <c r="W127" s="212">
        <v>14.2</v>
      </c>
      <c r="X127" s="212">
        <v>14.73</v>
      </c>
      <c r="Y127" s="212">
        <v>13.93</v>
      </c>
      <c r="Z127" s="212">
        <v>14.33</v>
      </c>
      <c r="AA127" s="212">
        <v>104.14</v>
      </c>
      <c r="AB127" s="212">
        <v>100.14</v>
      </c>
      <c r="AC127" s="212">
        <v>102.14</v>
      </c>
      <c r="AD127" s="212">
        <v>94.9</v>
      </c>
      <c r="AE127" s="212">
        <v>90.9</v>
      </c>
      <c r="AF127" s="212">
        <v>92.9</v>
      </c>
      <c r="AG127" s="212">
        <v>20.62</v>
      </c>
      <c r="AH127" s="212">
        <v>19.760000000000002</v>
      </c>
      <c r="AI127" s="212">
        <v>20.190000000000001</v>
      </c>
      <c r="AJ127" s="212"/>
      <c r="AK127" s="212"/>
      <c r="AL127" s="212"/>
      <c r="AM127" s="212">
        <v>116.53</v>
      </c>
      <c r="AN127" s="212">
        <v>114.87</v>
      </c>
      <c r="AO127" s="212">
        <v>115.7</v>
      </c>
      <c r="AP127" s="212">
        <v>42.99</v>
      </c>
      <c r="AQ127" s="212">
        <v>41.39</v>
      </c>
      <c r="AR127" s="212">
        <v>42.19</v>
      </c>
      <c r="AS127" s="212">
        <v>43.76</v>
      </c>
      <c r="AT127" s="212">
        <v>42.4</v>
      </c>
      <c r="AU127" s="212">
        <v>43.08</v>
      </c>
      <c r="AV127" s="212">
        <v>22.06</v>
      </c>
      <c r="AW127" s="212">
        <v>21.459999999999997</v>
      </c>
      <c r="AX127" s="212">
        <v>21.759999999999998</v>
      </c>
      <c r="AY127" s="212">
        <v>4.32</v>
      </c>
      <c r="AZ127" s="212">
        <v>4.16</v>
      </c>
      <c r="BA127" s="212">
        <v>4.24</v>
      </c>
      <c r="BB127" s="212">
        <v>2.0499999999999998</v>
      </c>
      <c r="BC127" s="212">
        <v>1.7499999999999998</v>
      </c>
      <c r="BD127" s="212">
        <v>1.9</v>
      </c>
      <c r="BE127" s="212">
        <v>0.72</v>
      </c>
      <c r="BF127" s="212">
        <v>0.42</v>
      </c>
      <c r="BG127" s="212">
        <v>0.56999999999999995</v>
      </c>
      <c r="BH127" s="212">
        <v>521.55999999999995</v>
      </c>
      <c r="BI127" s="212">
        <v>505.55999999999995</v>
      </c>
      <c r="BJ127" s="212">
        <v>513.55999999999995</v>
      </c>
      <c r="BK127" s="212">
        <v>44.08</v>
      </c>
      <c r="BL127" s="212">
        <v>42.72</v>
      </c>
      <c r="BM127" s="212">
        <v>43.4</v>
      </c>
      <c r="BN127" s="212">
        <v>1.0900000000000001</v>
      </c>
      <c r="BO127" s="212">
        <v>0.85000000000000009</v>
      </c>
      <c r="BP127" s="212">
        <v>0.97000000000000008</v>
      </c>
      <c r="BQ127" s="212">
        <v>10.220000000000001</v>
      </c>
      <c r="BR127" s="212">
        <v>8.2200000000000006</v>
      </c>
      <c r="BS127" s="212">
        <v>9.2200000000000006</v>
      </c>
      <c r="BT127" s="212">
        <v>11.61</v>
      </c>
      <c r="BU127" s="212">
        <v>11.209999999999999</v>
      </c>
      <c r="BV127" s="212">
        <v>11.41</v>
      </c>
      <c r="BW127" s="212">
        <v>2.89</v>
      </c>
      <c r="BX127" s="212">
        <v>2.6100000000000003</v>
      </c>
      <c r="BY127" s="212">
        <v>2.75</v>
      </c>
      <c r="BZ127" s="212">
        <v>9.91</v>
      </c>
      <c r="CA127" s="212">
        <v>6.91</v>
      </c>
      <c r="CB127" s="212">
        <v>8.41</v>
      </c>
      <c r="CC127" s="212">
        <v>6.82</v>
      </c>
      <c r="CD127" s="212">
        <v>6.58</v>
      </c>
      <c r="CE127" s="212">
        <v>6.7</v>
      </c>
      <c r="CF127" s="212">
        <v>1.94</v>
      </c>
      <c r="CG127" s="212">
        <v>1.44</v>
      </c>
      <c r="CH127" s="212">
        <v>1.69</v>
      </c>
      <c r="CI127" s="212">
        <v>0.45</v>
      </c>
      <c r="CJ127" s="212">
        <v>0.41000000000000003</v>
      </c>
      <c r="CK127" s="212">
        <v>0.43000000000000005</v>
      </c>
      <c r="CL127" s="212">
        <v>40.06</v>
      </c>
      <c r="CM127" s="212">
        <v>37.660000000000004</v>
      </c>
      <c r="CN127" s="212">
        <v>38.86</v>
      </c>
      <c r="CO127" s="212">
        <v>7.38</v>
      </c>
      <c r="CP127" s="212">
        <v>2.38</v>
      </c>
      <c r="CQ127" s="212">
        <v>4.88</v>
      </c>
      <c r="CR127" s="212"/>
      <c r="CS127" s="212"/>
    </row>
    <row r="128" spans="1:97" x14ac:dyDescent="0.4">
      <c r="A128" s="209">
        <v>45414</v>
      </c>
      <c r="B128" s="210" t="s">
        <v>297</v>
      </c>
      <c r="C128" s="212">
        <v>157.13999999999999</v>
      </c>
      <c r="D128" s="212">
        <v>155.13999999999999</v>
      </c>
      <c r="E128" s="212">
        <v>156.13999999999999</v>
      </c>
      <c r="F128" s="212">
        <v>168.76</v>
      </c>
      <c r="G128" s="212">
        <v>165.76</v>
      </c>
      <c r="H128" s="212">
        <v>167.26</v>
      </c>
      <c r="I128" s="212">
        <v>115.31</v>
      </c>
      <c r="J128" s="212">
        <v>112.11</v>
      </c>
      <c r="K128" s="212">
        <v>113.71000000000001</v>
      </c>
      <c r="L128" s="212">
        <v>199.66</v>
      </c>
      <c r="M128" s="212">
        <v>191.66</v>
      </c>
      <c r="N128" s="212">
        <v>195.66</v>
      </c>
      <c r="O128" s="212">
        <v>171.21</v>
      </c>
      <c r="P128" s="212">
        <v>169.41</v>
      </c>
      <c r="Q128" s="212">
        <v>170.31</v>
      </c>
      <c r="R128" s="212">
        <v>22.72</v>
      </c>
      <c r="S128" s="212">
        <v>22.119999999999997</v>
      </c>
      <c r="T128" s="212">
        <v>22.419999999999998</v>
      </c>
      <c r="U128" s="212">
        <v>14.45</v>
      </c>
      <c r="V128" s="212">
        <v>13.85</v>
      </c>
      <c r="W128" s="212">
        <v>14.149999999999999</v>
      </c>
      <c r="X128" s="212">
        <v>14.7</v>
      </c>
      <c r="Y128" s="212">
        <v>13.899999999999999</v>
      </c>
      <c r="Z128" s="212">
        <v>14.299999999999999</v>
      </c>
      <c r="AA128" s="212">
        <v>103.87</v>
      </c>
      <c r="AB128" s="212">
        <v>99.87</v>
      </c>
      <c r="AC128" s="212">
        <v>101.87</v>
      </c>
      <c r="AD128" s="212">
        <v>94.51</v>
      </c>
      <c r="AE128" s="212">
        <v>90.51</v>
      </c>
      <c r="AF128" s="212">
        <v>92.51</v>
      </c>
      <c r="AG128" s="212">
        <v>20.39</v>
      </c>
      <c r="AH128" s="212">
        <v>19.53</v>
      </c>
      <c r="AI128" s="212">
        <v>19.96</v>
      </c>
      <c r="AJ128" s="212"/>
      <c r="AK128" s="212"/>
      <c r="AL128" s="212"/>
      <c r="AM128" s="212">
        <v>115.55</v>
      </c>
      <c r="AN128" s="212">
        <v>113.89</v>
      </c>
      <c r="AO128" s="212">
        <v>114.72</v>
      </c>
      <c r="AP128" s="212">
        <v>42.5</v>
      </c>
      <c r="AQ128" s="212">
        <v>40.9</v>
      </c>
      <c r="AR128" s="212">
        <v>41.7</v>
      </c>
      <c r="AS128" s="212">
        <v>43.26</v>
      </c>
      <c r="AT128" s="212">
        <v>41.9</v>
      </c>
      <c r="AU128" s="212">
        <v>42.58</v>
      </c>
      <c r="AV128" s="212">
        <v>21.86</v>
      </c>
      <c r="AW128" s="212">
        <v>21.259999999999998</v>
      </c>
      <c r="AX128" s="212">
        <v>21.56</v>
      </c>
      <c r="AY128" s="212">
        <v>4.3</v>
      </c>
      <c r="AZ128" s="212">
        <v>4.1399999999999997</v>
      </c>
      <c r="BA128" s="212">
        <v>4.22</v>
      </c>
      <c r="BB128" s="212">
        <v>2.0299999999999998</v>
      </c>
      <c r="BC128" s="212">
        <v>1.7299999999999998</v>
      </c>
      <c r="BD128" s="212">
        <v>1.88</v>
      </c>
      <c r="BE128" s="212">
        <v>0.71</v>
      </c>
      <c r="BF128" s="212">
        <v>0.41</v>
      </c>
      <c r="BG128" s="212">
        <v>0.55999999999999994</v>
      </c>
      <c r="BH128" s="212">
        <v>515.94000000000005</v>
      </c>
      <c r="BI128" s="212">
        <v>499.94000000000005</v>
      </c>
      <c r="BJ128" s="212">
        <v>507.94000000000005</v>
      </c>
      <c r="BK128" s="212">
        <v>43.58</v>
      </c>
      <c r="BL128" s="212">
        <v>42.22</v>
      </c>
      <c r="BM128" s="212">
        <v>42.9</v>
      </c>
      <c r="BN128" s="212">
        <v>1.08</v>
      </c>
      <c r="BO128" s="212">
        <v>0.84000000000000008</v>
      </c>
      <c r="BP128" s="212">
        <v>0.96000000000000008</v>
      </c>
      <c r="BQ128" s="212">
        <v>10.220000000000001</v>
      </c>
      <c r="BR128" s="212">
        <v>8.2200000000000006</v>
      </c>
      <c r="BS128" s="212">
        <v>9.2200000000000006</v>
      </c>
      <c r="BT128" s="212">
        <v>11.52</v>
      </c>
      <c r="BU128" s="212">
        <v>11.12</v>
      </c>
      <c r="BV128" s="212">
        <v>11.32</v>
      </c>
      <c r="BW128" s="212">
        <v>2.86</v>
      </c>
      <c r="BX128" s="212">
        <v>2.58</v>
      </c>
      <c r="BY128" s="212">
        <v>2.7199999999999998</v>
      </c>
      <c r="BZ128" s="212">
        <v>9.9</v>
      </c>
      <c r="CA128" s="212">
        <v>6.9</v>
      </c>
      <c r="CB128" s="212">
        <v>8.4</v>
      </c>
      <c r="CC128" s="212">
        <v>6.8</v>
      </c>
      <c r="CD128" s="212">
        <v>6.56</v>
      </c>
      <c r="CE128" s="212">
        <v>6.68</v>
      </c>
      <c r="CF128" s="212">
        <v>1.91</v>
      </c>
      <c r="CG128" s="212">
        <v>1.41</v>
      </c>
      <c r="CH128" s="212">
        <v>1.66</v>
      </c>
      <c r="CI128" s="212">
        <v>0.45</v>
      </c>
      <c r="CJ128" s="212">
        <v>0.41000000000000003</v>
      </c>
      <c r="CK128" s="212">
        <v>0.43000000000000005</v>
      </c>
      <c r="CL128" s="212">
        <v>39.909999999999997</v>
      </c>
      <c r="CM128" s="212">
        <v>37.51</v>
      </c>
      <c r="CN128" s="212">
        <v>38.709999999999994</v>
      </c>
      <c r="CO128" s="212">
        <v>7.35</v>
      </c>
      <c r="CP128" s="212">
        <v>2.3499999999999996</v>
      </c>
      <c r="CQ128" s="212">
        <v>4.8499999999999996</v>
      </c>
      <c r="CR128" s="212"/>
      <c r="CS128" s="212"/>
    </row>
    <row r="129" spans="1:97" x14ac:dyDescent="0.4">
      <c r="A129" s="209">
        <v>45415</v>
      </c>
      <c r="B129" s="210" t="s">
        <v>298</v>
      </c>
      <c r="C129" s="212"/>
      <c r="D129" s="212"/>
      <c r="E129" s="212"/>
      <c r="F129" s="212"/>
      <c r="G129" s="212"/>
      <c r="H129" s="212"/>
      <c r="I129" s="212"/>
      <c r="J129" s="212"/>
      <c r="K129" s="212"/>
      <c r="L129" s="212"/>
      <c r="M129" s="212"/>
      <c r="N129" s="212"/>
      <c r="O129" s="212"/>
      <c r="P129" s="212"/>
      <c r="Q129" s="212"/>
      <c r="R129" s="212"/>
      <c r="S129" s="212"/>
      <c r="T129" s="212"/>
      <c r="U129" s="212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12"/>
      <c r="AF129" s="212"/>
      <c r="AG129" s="212"/>
      <c r="AH129" s="212"/>
      <c r="AI129" s="212"/>
      <c r="AJ129" s="212"/>
      <c r="AK129" s="212"/>
      <c r="AL129" s="212"/>
      <c r="AM129" s="212"/>
      <c r="AN129" s="212"/>
      <c r="AO129" s="212"/>
      <c r="AP129" s="212"/>
      <c r="AQ129" s="212"/>
      <c r="AR129" s="212"/>
      <c r="AS129" s="212"/>
      <c r="AT129" s="212"/>
      <c r="AU129" s="212"/>
      <c r="AV129" s="212"/>
      <c r="AW129" s="212"/>
      <c r="AX129" s="212"/>
      <c r="AY129" s="212"/>
      <c r="AZ129" s="212"/>
      <c r="BA129" s="212"/>
      <c r="BB129" s="212"/>
      <c r="BC129" s="212"/>
      <c r="BD129" s="212"/>
      <c r="BE129" s="212"/>
      <c r="BF129" s="212"/>
      <c r="BG129" s="212"/>
      <c r="BH129" s="212"/>
      <c r="BI129" s="212"/>
      <c r="BJ129" s="212"/>
      <c r="BK129" s="212"/>
      <c r="BL129" s="212"/>
      <c r="BM129" s="212"/>
      <c r="BN129" s="212"/>
      <c r="BO129" s="212"/>
      <c r="BP129" s="212"/>
      <c r="BQ129" s="212"/>
      <c r="BR129" s="212"/>
      <c r="BS129" s="212"/>
      <c r="BT129" s="212"/>
      <c r="BU129" s="212"/>
      <c r="BV129" s="212"/>
      <c r="BW129" s="212"/>
      <c r="BX129" s="212"/>
      <c r="BY129" s="212"/>
      <c r="BZ129" s="212"/>
      <c r="CA129" s="212"/>
      <c r="CB129" s="212"/>
      <c r="CC129" s="212"/>
      <c r="CD129" s="212"/>
      <c r="CE129" s="212"/>
      <c r="CF129" s="212"/>
      <c r="CG129" s="212"/>
      <c r="CH129" s="212"/>
      <c r="CI129" s="212"/>
      <c r="CJ129" s="212"/>
      <c r="CK129" s="212"/>
      <c r="CL129" s="212"/>
      <c r="CM129" s="212"/>
      <c r="CN129" s="212"/>
      <c r="CO129" s="212"/>
      <c r="CP129" s="212"/>
      <c r="CQ129" s="212"/>
      <c r="CR129" s="212"/>
      <c r="CS129" s="212"/>
    </row>
    <row r="130" spans="1:97" x14ac:dyDescent="0.4">
      <c r="A130" s="209">
        <v>45416</v>
      </c>
      <c r="B130" s="210" t="s">
        <v>299</v>
      </c>
      <c r="C130" s="212"/>
      <c r="D130" s="212"/>
      <c r="E130" s="212"/>
      <c r="F130" s="212"/>
      <c r="G130" s="212"/>
      <c r="H130" s="212"/>
      <c r="I130" s="212"/>
      <c r="J130" s="212"/>
      <c r="K130" s="212"/>
      <c r="L130" s="212"/>
      <c r="M130" s="212"/>
      <c r="N130" s="212"/>
      <c r="O130" s="212"/>
      <c r="P130" s="212"/>
      <c r="Q130" s="212"/>
      <c r="R130" s="212"/>
      <c r="S130" s="212"/>
      <c r="T130" s="212"/>
      <c r="U130" s="212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12"/>
      <c r="AF130" s="212"/>
      <c r="AG130" s="212"/>
      <c r="AH130" s="212"/>
      <c r="AI130" s="212"/>
      <c r="AJ130" s="212"/>
      <c r="AK130" s="212"/>
      <c r="AL130" s="212"/>
      <c r="AM130" s="212"/>
      <c r="AN130" s="212"/>
      <c r="AO130" s="212"/>
      <c r="AP130" s="212"/>
      <c r="AQ130" s="212"/>
      <c r="AR130" s="212"/>
      <c r="AS130" s="212"/>
      <c r="AT130" s="212"/>
      <c r="AU130" s="212"/>
      <c r="AV130" s="212"/>
      <c r="AW130" s="212"/>
      <c r="AX130" s="212"/>
      <c r="AY130" s="212"/>
      <c r="AZ130" s="212"/>
      <c r="BA130" s="212"/>
      <c r="BB130" s="212"/>
      <c r="BC130" s="212"/>
      <c r="BD130" s="212"/>
      <c r="BE130" s="212"/>
      <c r="BF130" s="212"/>
      <c r="BG130" s="212"/>
      <c r="BH130" s="212"/>
      <c r="BI130" s="212"/>
      <c r="BJ130" s="212"/>
      <c r="BK130" s="212"/>
      <c r="BL130" s="212"/>
      <c r="BM130" s="212"/>
      <c r="BN130" s="212"/>
      <c r="BO130" s="212"/>
      <c r="BP130" s="212"/>
      <c r="BQ130" s="212"/>
      <c r="BR130" s="212"/>
      <c r="BS130" s="212"/>
      <c r="BT130" s="212"/>
      <c r="BU130" s="212"/>
      <c r="BV130" s="212"/>
      <c r="BW130" s="212"/>
      <c r="BX130" s="212"/>
      <c r="BY130" s="212"/>
      <c r="BZ130" s="212"/>
      <c r="CA130" s="212"/>
      <c r="CB130" s="212"/>
      <c r="CC130" s="212"/>
      <c r="CD130" s="212"/>
      <c r="CE130" s="212"/>
      <c r="CF130" s="212"/>
      <c r="CG130" s="212"/>
      <c r="CH130" s="212"/>
      <c r="CI130" s="212"/>
      <c r="CJ130" s="212"/>
      <c r="CK130" s="212"/>
      <c r="CL130" s="212"/>
      <c r="CM130" s="212"/>
      <c r="CN130" s="212"/>
      <c r="CO130" s="212"/>
      <c r="CP130" s="212"/>
      <c r="CQ130" s="212"/>
      <c r="CR130" s="212"/>
      <c r="CS130" s="212"/>
    </row>
    <row r="131" spans="1:97" x14ac:dyDescent="0.4">
      <c r="A131" s="209">
        <v>45417</v>
      </c>
      <c r="B131" s="210" t="s">
        <v>300</v>
      </c>
      <c r="C131" s="212"/>
      <c r="D131" s="212"/>
      <c r="E131" s="212"/>
      <c r="F131" s="212"/>
      <c r="G131" s="212"/>
      <c r="H131" s="212"/>
      <c r="I131" s="212"/>
      <c r="J131" s="212"/>
      <c r="K131" s="212"/>
      <c r="L131" s="212"/>
      <c r="M131" s="212"/>
      <c r="N131" s="212"/>
      <c r="O131" s="212"/>
      <c r="P131" s="212"/>
      <c r="Q131" s="212"/>
      <c r="R131" s="212"/>
      <c r="S131" s="212"/>
      <c r="T131" s="212"/>
      <c r="U131" s="212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12"/>
      <c r="AF131" s="212"/>
      <c r="AG131" s="212"/>
      <c r="AH131" s="212"/>
      <c r="AI131" s="212"/>
      <c r="AJ131" s="212"/>
      <c r="AK131" s="212"/>
      <c r="AL131" s="212"/>
      <c r="AM131" s="212"/>
      <c r="AN131" s="212"/>
      <c r="AO131" s="212"/>
      <c r="AP131" s="212"/>
      <c r="AQ131" s="212"/>
      <c r="AR131" s="212"/>
      <c r="AS131" s="212"/>
      <c r="AT131" s="212"/>
      <c r="AU131" s="212"/>
      <c r="AV131" s="212"/>
      <c r="AW131" s="212"/>
      <c r="AX131" s="212"/>
      <c r="AY131" s="212"/>
      <c r="AZ131" s="212"/>
      <c r="BA131" s="212"/>
      <c r="BB131" s="212"/>
      <c r="BC131" s="212"/>
      <c r="BD131" s="212"/>
      <c r="BE131" s="212"/>
      <c r="BF131" s="212"/>
      <c r="BG131" s="212"/>
      <c r="BH131" s="212"/>
      <c r="BI131" s="212"/>
      <c r="BJ131" s="212"/>
      <c r="BK131" s="212"/>
      <c r="BL131" s="212"/>
      <c r="BM131" s="212"/>
      <c r="BN131" s="212"/>
      <c r="BO131" s="212"/>
      <c r="BP131" s="212"/>
      <c r="BQ131" s="212"/>
      <c r="BR131" s="212"/>
      <c r="BS131" s="212"/>
      <c r="BT131" s="212"/>
      <c r="BU131" s="212"/>
      <c r="BV131" s="212"/>
      <c r="BW131" s="212"/>
      <c r="BX131" s="212"/>
      <c r="BY131" s="212"/>
      <c r="BZ131" s="212"/>
      <c r="CA131" s="212"/>
      <c r="CB131" s="212"/>
      <c r="CC131" s="212"/>
      <c r="CD131" s="212"/>
      <c r="CE131" s="212"/>
      <c r="CF131" s="212"/>
      <c r="CG131" s="212"/>
      <c r="CH131" s="212"/>
      <c r="CI131" s="212"/>
      <c r="CJ131" s="212"/>
      <c r="CK131" s="212"/>
      <c r="CL131" s="212"/>
      <c r="CM131" s="212"/>
      <c r="CN131" s="212"/>
      <c r="CO131" s="212"/>
      <c r="CP131" s="212"/>
      <c r="CQ131" s="212"/>
      <c r="CR131" s="212"/>
      <c r="CS131" s="212"/>
    </row>
    <row r="132" spans="1:97" x14ac:dyDescent="0.4">
      <c r="A132" s="209">
        <v>45418</v>
      </c>
      <c r="B132" s="210" t="s">
        <v>294</v>
      </c>
      <c r="C132" s="212"/>
      <c r="D132" s="212"/>
      <c r="E132" s="212"/>
      <c r="F132" s="212"/>
      <c r="G132" s="212"/>
      <c r="H132" s="212"/>
      <c r="I132" s="212"/>
      <c r="J132" s="212"/>
      <c r="K132" s="212"/>
      <c r="L132" s="212"/>
      <c r="M132" s="212"/>
      <c r="N132" s="212"/>
      <c r="O132" s="212"/>
      <c r="P132" s="212"/>
      <c r="Q132" s="212"/>
      <c r="R132" s="212"/>
      <c r="S132" s="212"/>
      <c r="T132" s="212"/>
      <c r="U132" s="212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12"/>
      <c r="AF132" s="212"/>
      <c r="AG132" s="212"/>
      <c r="AH132" s="212"/>
      <c r="AI132" s="212"/>
      <c r="AJ132" s="212"/>
      <c r="AK132" s="212"/>
      <c r="AL132" s="212"/>
      <c r="AM132" s="212"/>
      <c r="AN132" s="212"/>
      <c r="AO132" s="212"/>
      <c r="AP132" s="212"/>
      <c r="AQ132" s="212"/>
      <c r="AR132" s="212"/>
      <c r="AS132" s="212"/>
      <c r="AT132" s="212"/>
      <c r="AU132" s="212"/>
      <c r="AV132" s="212"/>
      <c r="AW132" s="212"/>
      <c r="AX132" s="212"/>
      <c r="AY132" s="212"/>
      <c r="AZ132" s="212"/>
      <c r="BA132" s="212"/>
      <c r="BB132" s="212"/>
      <c r="BC132" s="212"/>
      <c r="BD132" s="212"/>
      <c r="BE132" s="212"/>
      <c r="BF132" s="212"/>
      <c r="BG132" s="212"/>
      <c r="BH132" s="212"/>
      <c r="BI132" s="212"/>
      <c r="BJ132" s="212"/>
      <c r="BK132" s="212"/>
      <c r="BL132" s="212"/>
      <c r="BM132" s="212"/>
      <c r="BN132" s="212"/>
      <c r="BO132" s="212"/>
      <c r="BP132" s="212"/>
      <c r="BQ132" s="212"/>
      <c r="BR132" s="212"/>
      <c r="BS132" s="212"/>
      <c r="BT132" s="212"/>
      <c r="BU132" s="212"/>
      <c r="BV132" s="212"/>
      <c r="BW132" s="212"/>
      <c r="BX132" s="212"/>
      <c r="BY132" s="212"/>
      <c r="BZ132" s="212"/>
      <c r="CA132" s="212"/>
      <c r="CB132" s="212"/>
      <c r="CC132" s="212"/>
      <c r="CD132" s="212"/>
      <c r="CE132" s="212"/>
      <c r="CF132" s="212"/>
      <c r="CG132" s="212"/>
      <c r="CH132" s="212"/>
      <c r="CI132" s="212"/>
      <c r="CJ132" s="212"/>
      <c r="CK132" s="212"/>
      <c r="CL132" s="212"/>
      <c r="CM132" s="212"/>
      <c r="CN132" s="212"/>
      <c r="CO132" s="212"/>
      <c r="CP132" s="212"/>
      <c r="CQ132" s="212"/>
      <c r="CR132" s="212"/>
      <c r="CS132" s="212"/>
    </row>
    <row r="133" spans="1:97" x14ac:dyDescent="0.4">
      <c r="A133" s="209">
        <v>45419</v>
      </c>
      <c r="B133" s="210" t="s">
        <v>295</v>
      </c>
      <c r="C133" s="212">
        <v>155.11000000000001</v>
      </c>
      <c r="D133" s="212">
        <v>153.11000000000001</v>
      </c>
      <c r="E133" s="212">
        <v>154.11000000000001</v>
      </c>
      <c r="F133" s="212">
        <v>167.54</v>
      </c>
      <c r="G133" s="212">
        <v>164.54</v>
      </c>
      <c r="H133" s="212">
        <v>166.04</v>
      </c>
      <c r="I133" s="212">
        <v>114.37</v>
      </c>
      <c r="J133" s="212">
        <v>111.17</v>
      </c>
      <c r="K133" s="212">
        <v>112.77000000000001</v>
      </c>
      <c r="L133" s="212">
        <v>197.69</v>
      </c>
      <c r="M133" s="212">
        <v>189.69</v>
      </c>
      <c r="N133" s="212">
        <v>193.69</v>
      </c>
      <c r="O133" s="212">
        <v>170.89</v>
      </c>
      <c r="P133" s="212">
        <v>169.08999999999997</v>
      </c>
      <c r="Q133" s="212">
        <v>169.98999999999998</v>
      </c>
      <c r="R133" s="212">
        <v>22.55</v>
      </c>
      <c r="S133" s="212">
        <v>21.95</v>
      </c>
      <c r="T133" s="212">
        <v>22.25</v>
      </c>
      <c r="U133" s="212">
        <v>14.55</v>
      </c>
      <c r="V133" s="212">
        <v>13.950000000000001</v>
      </c>
      <c r="W133" s="212">
        <v>14.25</v>
      </c>
      <c r="X133" s="212">
        <v>14.67</v>
      </c>
      <c r="Y133" s="212">
        <v>13.87</v>
      </c>
      <c r="Z133" s="212">
        <v>14.27</v>
      </c>
      <c r="AA133" s="212">
        <v>104.3</v>
      </c>
      <c r="AB133" s="212">
        <v>100.3</v>
      </c>
      <c r="AC133" s="212">
        <v>102.3</v>
      </c>
      <c r="AD133" s="212">
        <v>94.79</v>
      </c>
      <c r="AE133" s="212">
        <v>90.79</v>
      </c>
      <c r="AF133" s="212">
        <v>92.79</v>
      </c>
      <c r="AG133" s="212">
        <v>20.14</v>
      </c>
      <c r="AH133" s="212">
        <v>19.28</v>
      </c>
      <c r="AI133" s="212">
        <v>19.71</v>
      </c>
      <c r="AJ133" s="212"/>
      <c r="AK133" s="212"/>
      <c r="AL133" s="212"/>
      <c r="AM133" s="212">
        <v>114.93</v>
      </c>
      <c r="AN133" s="212">
        <v>113.27000000000001</v>
      </c>
      <c r="AO133" s="212">
        <v>114.10000000000001</v>
      </c>
      <c r="AP133" s="212">
        <v>41.83</v>
      </c>
      <c r="AQ133" s="212">
        <v>40.229999999999997</v>
      </c>
      <c r="AR133" s="212">
        <v>41.03</v>
      </c>
      <c r="AS133" s="212">
        <v>42.71</v>
      </c>
      <c r="AT133" s="212">
        <v>41.35</v>
      </c>
      <c r="AU133" s="212">
        <v>42.03</v>
      </c>
      <c r="AV133" s="212">
        <v>21.66</v>
      </c>
      <c r="AW133" s="212">
        <v>21.06</v>
      </c>
      <c r="AX133" s="212">
        <v>21.36</v>
      </c>
      <c r="AY133" s="212">
        <v>4.2699999999999996</v>
      </c>
      <c r="AZ133" s="212">
        <v>4.1099999999999994</v>
      </c>
      <c r="BA133" s="212">
        <v>4.1899999999999995</v>
      </c>
      <c r="BB133" s="212">
        <v>2.0099999999999998</v>
      </c>
      <c r="BC133" s="212">
        <v>1.7099999999999997</v>
      </c>
      <c r="BD133" s="212">
        <v>1.8599999999999999</v>
      </c>
      <c r="BE133" s="212">
        <v>0.71</v>
      </c>
      <c r="BF133" s="212">
        <v>0.41</v>
      </c>
      <c r="BG133" s="212">
        <v>0.55999999999999994</v>
      </c>
      <c r="BH133" s="212">
        <v>508.36</v>
      </c>
      <c r="BI133" s="212">
        <v>492.36</v>
      </c>
      <c r="BJ133" s="212">
        <v>500.36</v>
      </c>
      <c r="BK133" s="212">
        <v>43.02</v>
      </c>
      <c r="BL133" s="212">
        <v>41.660000000000004</v>
      </c>
      <c r="BM133" s="212">
        <v>42.34</v>
      </c>
      <c r="BN133" s="212">
        <v>1.0900000000000001</v>
      </c>
      <c r="BO133" s="212">
        <v>0.85000000000000009</v>
      </c>
      <c r="BP133" s="212">
        <v>0.97000000000000008</v>
      </c>
      <c r="BQ133" s="212">
        <v>10.14</v>
      </c>
      <c r="BR133" s="212">
        <v>8.14</v>
      </c>
      <c r="BS133" s="212">
        <v>9.14</v>
      </c>
      <c r="BT133" s="212">
        <v>11.57</v>
      </c>
      <c r="BU133" s="212">
        <v>11.17</v>
      </c>
      <c r="BV133" s="212">
        <v>11.370000000000001</v>
      </c>
      <c r="BW133" s="212">
        <v>2.85</v>
      </c>
      <c r="BX133" s="212">
        <v>2.5700000000000003</v>
      </c>
      <c r="BY133" s="212">
        <v>2.71</v>
      </c>
      <c r="BZ133" s="212">
        <v>9.83</v>
      </c>
      <c r="CA133" s="212">
        <v>6.83</v>
      </c>
      <c r="CB133" s="212">
        <v>8.33</v>
      </c>
      <c r="CC133" s="212">
        <v>6.76</v>
      </c>
      <c r="CD133" s="212">
        <v>6.52</v>
      </c>
      <c r="CE133" s="212">
        <v>6.64</v>
      </c>
      <c r="CF133" s="212">
        <v>1.94</v>
      </c>
      <c r="CG133" s="212">
        <v>1.44</v>
      </c>
      <c r="CH133" s="212">
        <v>1.69</v>
      </c>
      <c r="CI133" s="212">
        <v>0.45</v>
      </c>
      <c r="CJ133" s="212">
        <v>0.41000000000000003</v>
      </c>
      <c r="CK133" s="212">
        <v>0.43000000000000005</v>
      </c>
      <c r="CL133" s="212">
        <v>39.770000000000003</v>
      </c>
      <c r="CM133" s="212">
        <v>37.370000000000005</v>
      </c>
      <c r="CN133" s="212">
        <v>38.570000000000007</v>
      </c>
      <c r="CO133" s="212">
        <v>7.27</v>
      </c>
      <c r="CP133" s="212">
        <v>2.2699999999999996</v>
      </c>
      <c r="CQ133" s="212">
        <v>4.7699999999999996</v>
      </c>
      <c r="CR133" s="212"/>
      <c r="CS133" s="212"/>
    </row>
    <row r="134" spans="1:97" x14ac:dyDescent="0.4">
      <c r="A134" s="209">
        <v>45420</v>
      </c>
      <c r="B134" s="210" t="s">
        <v>296</v>
      </c>
      <c r="C134" s="212">
        <v>155.94999999999999</v>
      </c>
      <c r="D134" s="212">
        <v>153.94999999999999</v>
      </c>
      <c r="E134" s="212">
        <v>154.94999999999999</v>
      </c>
      <c r="F134" s="212">
        <v>168.06</v>
      </c>
      <c r="G134" s="212">
        <v>165.06</v>
      </c>
      <c r="H134" s="212">
        <v>166.56</v>
      </c>
      <c r="I134" s="212">
        <v>114.41</v>
      </c>
      <c r="J134" s="212">
        <v>111.21</v>
      </c>
      <c r="K134" s="212">
        <v>112.81</v>
      </c>
      <c r="L134" s="212">
        <v>197.66</v>
      </c>
      <c r="M134" s="212">
        <v>189.66</v>
      </c>
      <c r="N134" s="212">
        <v>193.66</v>
      </c>
      <c r="O134" s="212">
        <v>171.36</v>
      </c>
      <c r="P134" s="212">
        <v>169.56</v>
      </c>
      <c r="Q134" s="212">
        <v>170.46</v>
      </c>
      <c r="R134" s="212">
        <v>22.62</v>
      </c>
      <c r="S134" s="212">
        <v>22.02</v>
      </c>
      <c r="T134" s="212">
        <v>22.32</v>
      </c>
      <c r="U134" s="212">
        <v>14.47</v>
      </c>
      <c r="V134" s="212">
        <v>13.870000000000001</v>
      </c>
      <c r="W134" s="212">
        <v>14.170000000000002</v>
      </c>
      <c r="X134" s="212">
        <v>14.64</v>
      </c>
      <c r="Y134" s="212">
        <v>13.84</v>
      </c>
      <c r="Z134" s="212">
        <v>14.24</v>
      </c>
      <c r="AA134" s="212">
        <v>104.03</v>
      </c>
      <c r="AB134" s="212">
        <v>100.03</v>
      </c>
      <c r="AC134" s="212">
        <v>102.03</v>
      </c>
      <c r="AD134" s="212">
        <v>94.86</v>
      </c>
      <c r="AE134" s="212">
        <v>90.86</v>
      </c>
      <c r="AF134" s="212">
        <v>92.86</v>
      </c>
      <c r="AG134" s="212">
        <v>20.239999999999998</v>
      </c>
      <c r="AH134" s="212">
        <v>19.38</v>
      </c>
      <c r="AI134" s="212">
        <v>19.809999999999999</v>
      </c>
      <c r="AJ134" s="212"/>
      <c r="AK134" s="212"/>
      <c r="AL134" s="212"/>
      <c r="AM134" s="212">
        <v>115.18</v>
      </c>
      <c r="AN134" s="212">
        <v>113.52000000000001</v>
      </c>
      <c r="AO134" s="212">
        <v>114.35000000000001</v>
      </c>
      <c r="AP134" s="212">
        <v>42.19</v>
      </c>
      <c r="AQ134" s="212">
        <v>40.589999999999996</v>
      </c>
      <c r="AR134" s="212">
        <v>41.39</v>
      </c>
      <c r="AS134" s="212">
        <v>42.94</v>
      </c>
      <c r="AT134" s="212">
        <v>41.58</v>
      </c>
      <c r="AU134" s="212">
        <v>42.26</v>
      </c>
      <c r="AV134" s="212">
        <v>21.74</v>
      </c>
      <c r="AW134" s="212">
        <v>21.139999999999997</v>
      </c>
      <c r="AX134" s="212">
        <v>21.439999999999998</v>
      </c>
      <c r="AY134" s="212">
        <v>4.28</v>
      </c>
      <c r="AZ134" s="212">
        <v>4.12</v>
      </c>
      <c r="BA134" s="212">
        <v>4.2</v>
      </c>
      <c r="BB134" s="212">
        <v>2.0099999999999998</v>
      </c>
      <c r="BC134" s="212">
        <v>1.7099999999999997</v>
      </c>
      <c r="BD134" s="212">
        <v>1.8599999999999999</v>
      </c>
      <c r="BE134" s="212">
        <v>0.71</v>
      </c>
      <c r="BF134" s="212">
        <v>0.41</v>
      </c>
      <c r="BG134" s="212">
        <v>0.55999999999999994</v>
      </c>
      <c r="BH134" s="212">
        <v>511.57</v>
      </c>
      <c r="BI134" s="212">
        <v>495.57</v>
      </c>
      <c r="BJ134" s="212">
        <v>503.57</v>
      </c>
      <c r="BK134" s="212">
        <v>43.26</v>
      </c>
      <c r="BL134" s="212">
        <v>41.9</v>
      </c>
      <c r="BM134" s="212">
        <v>42.58</v>
      </c>
      <c r="BN134" s="212">
        <v>1.08</v>
      </c>
      <c r="BO134" s="212">
        <v>0.84000000000000008</v>
      </c>
      <c r="BP134" s="212">
        <v>0.96000000000000008</v>
      </c>
      <c r="BQ134" s="212">
        <v>10.16</v>
      </c>
      <c r="BR134" s="212">
        <v>8.16</v>
      </c>
      <c r="BS134" s="212">
        <v>9.16</v>
      </c>
      <c r="BT134" s="212">
        <v>11.57</v>
      </c>
      <c r="BU134" s="212">
        <v>11.17</v>
      </c>
      <c r="BV134" s="212">
        <v>11.370000000000001</v>
      </c>
      <c r="BW134" s="212">
        <v>2.87</v>
      </c>
      <c r="BX134" s="212">
        <v>2.59</v>
      </c>
      <c r="BY134" s="212">
        <v>2.73</v>
      </c>
      <c r="BZ134" s="212">
        <v>9.8699999999999992</v>
      </c>
      <c r="CA134" s="212">
        <v>6.8699999999999992</v>
      </c>
      <c r="CB134" s="212">
        <v>8.3699999999999992</v>
      </c>
      <c r="CC134" s="212">
        <v>6.78</v>
      </c>
      <c r="CD134" s="212">
        <v>6.54</v>
      </c>
      <c r="CE134" s="212">
        <v>6.66</v>
      </c>
      <c r="CF134" s="212">
        <v>1.95</v>
      </c>
      <c r="CG134" s="212">
        <v>1.45</v>
      </c>
      <c r="CH134" s="212">
        <v>1.7</v>
      </c>
      <c r="CI134" s="212">
        <v>0.45</v>
      </c>
      <c r="CJ134" s="212">
        <v>0.41000000000000003</v>
      </c>
      <c r="CK134" s="212">
        <v>0.43000000000000005</v>
      </c>
      <c r="CL134" s="212">
        <v>39.840000000000003</v>
      </c>
      <c r="CM134" s="212">
        <v>37.440000000000005</v>
      </c>
      <c r="CN134" s="212">
        <v>38.64</v>
      </c>
      <c r="CO134" s="212">
        <v>7.31</v>
      </c>
      <c r="CP134" s="212">
        <v>2.3099999999999996</v>
      </c>
      <c r="CQ134" s="212">
        <v>4.8099999999999996</v>
      </c>
      <c r="CR134" s="212"/>
      <c r="CS134" s="212"/>
    </row>
    <row r="135" spans="1:97" x14ac:dyDescent="0.4">
      <c r="A135" s="209">
        <v>45421</v>
      </c>
      <c r="B135" s="210" t="s">
        <v>297</v>
      </c>
      <c r="C135" s="212">
        <v>156.65</v>
      </c>
      <c r="D135" s="212">
        <v>154.65</v>
      </c>
      <c r="E135" s="212">
        <v>155.65</v>
      </c>
      <c r="F135" s="212">
        <v>168.75</v>
      </c>
      <c r="G135" s="212">
        <v>165.75</v>
      </c>
      <c r="H135" s="212">
        <v>167.25</v>
      </c>
      <c r="I135" s="212">
        <v>114.98</v>
      </c>
      <c r="J135" s="212">
        <v>111.78</v>
      </c>
      <c r="K135" s="212">
        <v>113.38</v>
      </c>
      <c r="L135" s="212">
        <v>198.47</v>
      </c>
      <c r="M135" s="212">
        <v>190.47</v>
      </c>
      <c r="N135" s="212">
        <v>194.47</v>
      </c>
      <c r="O135" s="212">
        <v>172.23</v>
      </c>
      <c r="P135" s="212">
        <v>170.42999999999998</v>
      </c>
      <c r="Q135" s="212">
        <v>171.32999999999998</v>
      </c>
      <c r="R135" s="212">
        <v>22.72</v>
      </c>
      <c r="S135" s="212">
        <v>22.119999999999997</v>
      </c>
      <c r="T135" s="212">
        <v>22.419999999999998</v>
      </c>
      <c r="U135" s="212">
        <v>14.57</v>
      </c>
      <c r="V135" s="212">
        <v>13.97</v>
      </c>
      <c r="W135" s="212">
        <v>14.27</v>
      </c>
      <c r="X135" s="212">
        <v>14.67</v>
      </c>
      <c r="Y135" s="212">
        <v>13.87</v>
      </c>
      <c r="Z135" s="212">
        <v>14.27</v>
      </c>
      <c r="AA135" s="212">
        <v>104.32</v>
      </c>
      <c r="AB135" s="212">
        <v>100.32</v>
      </c>
      <c r="AC135" s="212">
        <v>102.32</v>
      </c>
      <c r="AD135" s="212">
        <v>95.31</v>
      </c>
      <c r="AE135" s="212">
        <v>91.31</v>
      </c>
      <c r="AF135" s="212">
        <v>93.31</v>
      </c>
      <c r="AG135" s="212">
        <v>20.34</v>
      </c>
      <c r="AH135" s="212">
        <v>19.48</v>
      </c>
      <c r="AI135" s="212">
        <v>19.91</v>
      </c>
      <c r="AJ135" s="212"/>
      <c r="AK135" s="212"/>
      <c r="AL135" s="212"/>
      <c r="AM135" s="212">
        <v>115.62</v>
      </c>
      <c r="AN135" s="212">
        <v>113.96000000000001</v>
      </c>
      <c r="AO135" s="212">
        <v>114.79</v>
      </c>
      <c r="AP135" s="212">
        <v>42.37</v>
      </c>
      <c r="AQ135" s="212">
        <v>40.769999999999996</v>
      </c>
      <c r="AR135" s="212">
        <v>41.569999999999993</v>
      </c>
      <c r="AS135" s="212">
        <v>43.13</v>
      </c>
      <c r="AT135" s="212">
        <v>41.77</v>
      </c>
      <c r="AU135" s="212">
        <v>42.45</v>
      </c>
      <c r="AV135" s="212">
        <v>21.83</v>
      </c>
      <c r="AW135" s="212">
        <v>21.229999999999997</v>
      </c>
      <c r="AX135" s="212">
        <v>21.529999999999998</v>
      </c>
      <c r="AY135" s="212">
        <v>4.3</v>
      </c>
      <c r="AZ135" s="212">
        <v>4.1399999999999997</v>
      </c>
      <c r="BA135" s="212">
        <v>4.22</v>
      </c>
      <c r="BB135" s="212">
        <v>2.0299999999999998</v>
      </c>
      <c r="BC135" s="212">
        <v>1.7299999999999998</v>
      </c>
      <c r="BD135" s="212">
        <v>1.88</v>
      </c>
      <c r="BE135" s="212">
        <v>0.71</v>
      </c>
      <c r="BF135" s="212">
        <v>0.41</v>
      </c>
      <c r="BG135" s="212">
        <v>0.55999999999999994</v>
      </c>
      <c r="BH135" s="212">
        <v>515</v>
      </c>
      <c r="BI135" s="212">
        <v>499</v>
      </c>
      <c r="BJ135" s="212">
        <v>507</v>
      </c>
      <c r="BK135" s="212">
        <v>43.45</v>
      </c>
      <c r="BL135" s="212">
        <v>42.09</v>
      </c>
      <c r="BM135" s="212">
        <v>42.77</v>
      </c>
      <c r="BN135" s="212">
        <v>1.0900000000000001</v>
      </c>
      <c r="BO135" s="212">
        <v>0.85000000000000009</v>
      </c>
      <c r="BP135" s="212">
        <v>0.97000000000000008</v>
      </c>
      <c r="BQ135" s="212">
        <v>10.199999999999999</v>
      </c>
      <c r="BR135" s="212">
        <v>8.1999999999999993</v>
      </c>
      <c r="BS135" s="212">
        <v>9.1999999999999993</v>
      </c>
      <c r="BT135" s="212">
        <v>11.6</v>
      </c>
      <c r="BU135" s="212">
        <v>11.2</v>
      </c>
      <c r="BV135" s="212">
        <v>11.399999999999999</v>
      </c>
      <c r="BW135" s="212">
        <v>2.87</v>
      </c>
      <c r="BX135" s="212">
        <v>2.59</v>
      </c>
      <c r="BY135" s="212">
        <v>2.73</v>
      </c>
      <c r="BZ135" s="212">
        <v>9.8800000000000008</v>
      </c>
      <c r="CA135" s="212">
        <v>6.8800000000000008</v>
      </c>
      <c r="CB135" s="212">
        <v>8.3800000000000008</v>
      </c>
      <c r="CC135" s="212">
        <v>6.81</v>
      </c>
      <c r="CD135" s="212">
        <v>6.5699999999999994</v>
      </c>
      <c r="CE135" s="212">
        <v>6.6899999999999995</v>
      </c>
      <c r="CF135" s="212">
        <v>1.95</v>
      </c>
      <c r="CG135" s="212">
        <v>1.45</v>
      </c>
      <c r="CH135" s="212">
        <v>1.7</v>
      </c>
      <c r="CI135" s="212">
        <v>0.45</v>
      </c>
      <c r="CJ135" s="212">
        <v>0.41000000000000003</v>
      </c>
      <c r="CK135" s="212">
        <v>0.43000000000000005</v>
      </c>
      <c r="CL135" s="212">
        <v>40.08</v>
      </c>
      <c r="CM135" s="212">
        <v>37.68</v>
      </c>
      <c r="CN135" s="212">
        <v>38.879999999999995</v>
      </c>
      <c r="CO135" s="212">
        <v>7.33</v>
      </c>
      <c r="CP135" s="212">
        <v>2.33</v>
      </c>
      <c r="CQ135" s="212">
        <v>4.83</v>
      </c>
      <c r="CR135" s="212"/>
      <c r="CS135" s="212"/>
    </row>
    <row r="136" spans="1:97" x14ac:dyDescent="0.4">
      <c r="A136" s="209">
        <v>45422</v>
      </c>
      <c r="B136" s="210" t="s">
        <v>298</v>
      </c>
      <c r="C136" s="212">
        <v>156.69999999999999</v>
      </c>
      <c r="D136" s="212">
        <v>154.69999999999999</v>
      </c>
      <c r="E136" s="212">
        <v>155.69999999999999</v>
      </c>
      <c r="F136" s="212">
        <v>169.33</v>
      </c>
      <c r="G136" s="212">
        <v>166.33</v>
      </c>
      <c r="H136" s="212">
        <v>167.83</v>
      </c>
      <c r="I136" s="212">
        <v>115.41</v>
      </c>
      <c r="J136" s="212">
        <v>112.21</v>
      </c>
      <c r="K136" s="212">
        <v>113.81</v>
      </c>
      <c r="L136" s="212">
        <v>198.95</v>
      </c>
      <c r="M136" s="212">
        <v>190.95</v>
      </c>
      <c r="N136" s="212">
        <v>194.95</v>
      </c>
      <c r="O136" s="212">
        <v>172.62</v>
      </c>
      <c r="P136" s="212">
        <v>170.82</v>
      </c>
      <c r="Q136" s="212">
        <v>171.72</v>
      </c>
      <c r="R136" s="212">
        <v>22.79</v>
      </c>
      <c r="S136" s="212">
        <v>22.189999999999998</v>
      </c>
      <c r="T136" s="212">
        <v>22.49</v>
      </c>
      <c r="U136" s="212">
        <v>14.65</v>
      </c>
      <c r="V136" s="212">
        <v>14.05</v>
      </c>
      <c r="W136" s="212">
        <v>14.350000000000001</v>
      </c>
      <c r="X136" s="212">
        <v>14.74</v>
      </c>
      <c r="Y136" s="212">
        <v>13.94</v>
      </c>
      <c r="Z136" s="212">
        <v>14.34</v>
      </c>
      <c r="AA136" s="212">
        <v>104.95</v>
      </c>
      <c r="AB136" s="212">
        <v>100.95</v>
      </c>
      <c r="AC136" s="212">
        <v>102.95</v>
      </c>
      <c r="AD136" s="212">
        <v>95.87</v>
      </c>
      <c r="AE136" s="212">
        <v>91.87</v>
      </c>
      <c r="AF136" s="212">
        <v>93.87</v>
      </c>
      <c r="AG136" s="212">
        <v>20.350000000000001</v>
      </c>
      <c r="AH136" s="212">
        <v>19.490000000000002</v>
      </c>
      <c r="AI136" s="212">
        <v>19.920000000000002</v>
      </c>
      <c r="AJ136" s="212"/>
      <c r="AK136" s="212"/>
      <c r="AL136" s="212"/>
      <c r="AM136" s="212">
        <v>115.89</v>
      </c>
      <c r="AN136" s="212">
        <v>114.23</v>
      </c>
      <c r="AO136" s="212">
        <v>115.06</v>
      </c>
      <c r="AP136" s="212">
        <v>42.39</v>
      </c>
      <c r="AQ136" s="212">
        <v>40.79</v>
      </c>
      <c r="AR136" s="212">
        <v>41.59</v>
      </c>
      <c r="AS136" s="212">
        <v>43.14</v>
      </c>
      <c r="AT136" s="212">
        <v>41.78</v>
      </c>
      <c r="AU136" s="212">
        <v>42.46</v>
      </c>
      <c r="AV136" s="212">
        <v>21.83</v>
      </c>
      <c r="AW136" s="212">
        <v>21.229999999999997</v>
      </c>
      <c r="AX136" s="212">
        <v>21.529999999999998</v>
      </c>
      <c r="AY136" s="212">
        <v>4.32</v>
      </c>
      <c r="AZ136" s="212">
        <v>4.16</v>
      </c>
      <c r="BA136" s="212">
        <v>4.24</v>
      </c>
      <c r="BB136" s="212">
        <v>2.0299999999999998</v>
      </c>
      <c r="BC136" s="212">
        <v>1.7299999999999998</v>
      </c>
      <c r="BD136" s="212">
        <v>1.88</v>
      </c>
      <c r="BE136" s="212">
        <v>0.71</v>
      </c>
      <c r="BF136" s="212">
        <v>0.41</v>
      </c>
      <c r="BG136" s="212">
        <v>0.55999999999999994</v>
      </c>
      <c r="BH136" s="212">
        <v>515.33000000000004</v>
      </c>
      <c r="BI136" s="212">
        <v>499.33000000000004</v>
      </c>
      <c r="BJ136" s="212">
        <v>507.33000000000004</v>
      </c>
      <c r="BK136" s="212">
        <v>43.47</v>
      </c>
      <c r="BL136" s="212">
        <v>42.11</v>
      </c>
      <c r="BM136" s="212">
        <v>42.79</v>
      </c>
      <c r="BN136" s="212">
        <v>1.0900000000000001</v>
      </c>
      <c r="BO136" s="212">
        <v>0.85000000000000009</v>
      </c>
      <c r="BP136" s="212">
        <v>0.97000000000000008</v>
      </c>
      <c r="BQ136" s="212">
        <v>10.28</v>
      </c>
      <c r="BR136" s="212">
        <v>8.2799999999999994</v>
      </c>
      <c r="BS136" s="212">
        <v>9.2799999999999994</v>
      </c>
      <c r="BT136" s="212">
        <v>11.6</v>
      </c>
      <c r="BU136" s="212">
        <v>11.2</v>
      </c>
      <c r="BV136" s="212">
        <v>11.399999999999999</v>
      </c>
      <c r="BW136" s="212">
        <v>2.87</v>
      </c>
      <c r="BX136" s="212">
        <v>2.59</v>
      </c>
      <c r="BY136" s="212">
        <v>2.73</v>
      </c>
      <c r="BZ136" s="212">
        <v>9.93</v>
      </c>
      <c r="CA136" s="212">
        <v>6.93</v>
      </c>
      <c r="CB136" s="212">
        <v>8.43</v>
      </c>
      <c r="CC136" s="212">
        <v>6.86</v>
      </c>
      <c r="CD136" s="212">
        <v>6.62</v>
      </c>
      <c r="CE136" s="212">
        <v>6.74</v>
      </c>
      <c r="CF136" s="212">
        <v>1.93</v>
      </c>
      <c r="CG136" s="212">
        <v>1.43</v>
      </c>
      <c r="CH136" s="212">
        <v>1.68</v>
      </c>
      <c r="CI136" s="212">
        <v>0.45</v>
      </c>
      <c r="CJ136" s="212">
        <v>0.41000000000000003</v>
      </c>
      <c r="CK136" s="212">
        <v>0.43000000000000005</v>
      </c>
      <c r="CL136" s="212">
        <v>40.380000000000003</v>
      </c>
      <c r="CM136" s="212">
        <v>37.980000000000004</v>
      </c>
      <c r="CN136" s="212">
        <v>39.180000000000007</v>
      </c>
      <c r="CO136" s="212">
        <v>7.34</v>
      </c>
      <c r="CP136" s="212">
        <v>2.34</v>
      </c>
      <c r="CQ136" s="212">
        <v>4.84</v>
      </c>
      <c r="CR136" s="212"/>
      <c r="CS136" s="212"/>
    </row>
    <row r="137" spans="1:97" x14ac:dyDescent="0.4">
      <c r="A137" s="209">
        <v>45423</v>
      </c>
      <c r="B137" s="210" t="s">
        <v>299</v>
      </c>
      <c r="C137" s="212"/>
      <c r="D137" s="212"/>
      <c r="E137" s="212"/>
      <c r="F137" s="212"/>
      <c r="G137" s="212"/>
      <c r="H137" s="212"/>
      <c r="I137" s="212"/>
      <c r="J137" s="212"/>
      <c r="K137" s="212"/>
      <c r="L137" s="212"/>
      <c r="M137" s="212"/>
      <c r="N137" s="212"/>
      <c r="O137" s="212"/>
      <c r="P137" s="212"/>
      <c r="Q137" s="212"/>
      <c r="R137" s="212"/>
      <c r="S137" s="212"/>
      <c r="T137" s="212"/>
      <c r="U137" s="212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12"/>
      <c r="AF137" s="212"/>
      <c r="AG137" s="212"/>
      <c r="AH137" s="212"/>
      <c r="AI137" s="212"/>
      <c r="AJ137" s="212"/>
      <c r="AK137" s="212"/>
      <c r="AL137" s="212"/>
      <c r="AM137" s="212"/>
      <c r="AN137" s="212"/>
      <c r="AO137" s="212"/>
      <c r="AP137" s="212"/>
      <c r="AQ137" s="212"/>
      <c r="AR137" s="212"/>
      <c r="AS137" s="212"/>
      <c r="AT137" s="212"/>
      <c r="AU137" s="212"/>
      <c r="AV137" s="212"/>
      <c r="AW137" s="212"/>
      <c r="AX137" s="212"/>
      <c r="AY137" s="212"/>
      <c r="AZ137" s="212"/>
      <c r="BA137" s="212"/>
      <c r="BB137" s="212"/>
      <c r="BC137" s="212"/>
      <c r="BD137" s="212"/>
      <c r="BE137" s="212"/>
      <c r="BF137" s="212"/>
      <c r="BG137" s="212"/>
      <c r="BH137" s="212"/>
      <c r="BI137" s="212"/>
      <c r="BJ137" s="212"/>
      <c r="BK137" s="212"/>
      <c r="BL137" s="212"/>
      <c r="BM137" s="212"/>
      <c r="BN137" s="212"/>
      <c r="BO137" s="212"/>
      <c r="BP137" s="212"/>
      <c r="BQ137" s="212"/>
      <c r="BR137" s="212"/>
      <c r="BS137" s="212"/>
      <c r="BT137" s="212"/>
      <c r="BU137" s="212"/>
      <c r="BV137" s="212"/>
      <c r="BW137" s="212"/>
      <c r="BX137" s="212"/>
      <c r="BY137" s="212"/>
      <c r="BZ137" s="212"/>
      <c r="CA137" s="212"/>
      <c r="CB137" s="212"/>
      <c r="CC137" s="212"/>
      <c r="CD137" s="212"/>
      <c r="CE137" s="212"/>
      <c r="CF137" s="212"/>
      <c r="CG137" s="212"/>
      <c r="CH137" s="212"/>
      <c r="CI137" s="212"/>
      <c r="CJ137" s="212"/>
      <c r="CK137" s="212"/>
      <c r="CL137" s="212"/>
      <c r="CM137" s="212"/>
      <c r="CN137" s="212"/>
      <c r="CO137" s="212"/>
      <c r="CP137" s="212"/>
      <c r="CQ137" s="212"/>
      <c r="CR137" s="212"/>
      <c r="CS137" s="212"/>
    </row>
    <row r="138" spans="1:97" x14ac:dyDescent="0.4">
      <c r="A138" s="209">
        <v>45424</v>
      </c>
      <c r="B138" s="210" t="s">
        <v>300</v>
      </c>
      <c r="C138" s="212"/>
      <c r="D138" s="212"/>
      <c r="E138" s="212"/>
      <c r="F138" s="212"/>
      <c r="G138" s="212"/>
      <c r="H138" s="212"/>
      <c r="I138" s="212"/>
      <c r="J138" s="212"/>
      <c r="K138" s="212"/>
      <c r="L138" s="212"/>
      <c r="M138" s="212"/>
      <c r="N138" s="212"/>
      <c r="O138" s="212"/>
      <c r="P138" s="212"/>
      <c r="Q138" s="212"/>
      <c r="R138" s="212"/>
      <c r="S138" s="212"/>
      <c r="T138" s="212"/>
      <c r="U138" s="212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12"/>
      <c r="AF138" s="212"/>
      <c r="AG138" s="212"/>
      <c r="AH138" s="212"/>
      <c r="AI138" s="212"/>
      <c r="AJ138" s="212"/>
      <c r="AK138" s="212"/>
      <c r="AL138" s="212"/>
      <c r="AM138" s="212"/>
      <c r="AN138" s="212"/>
      <c r="AO138" s="212"/>
      <c r="AP138" s="212"/>
      <c r="AQ138" s="212"/>
      <c r="AR138" s="212"/>
      <c r="AS138" s="212"/>
      <c r="AT138" s="212"/>
      <c r="AU138" s="212"/>
      <c r="AV138" s="212"/>
      <c r="AW138" s="212"/>
      <c r="AX138" s="212"/>
      <c r="AY138" s="212"/>
      <c r="AZ138" s="212"/>
      <c r="BA138" s="212"/>
      <c r="BB138" s="212"/>
      <c r="BC138" s="212"/>
      <c r="BD138" s="212"/>
      <c r="BE138" s="212"/>
      <c r="BF138" s="212"/>
      <c r="BG138" s="212"/>
      <c r="BH138" s="212"/>
      <c r="BI138" s="212"/>
      <c r="BJ138" s="212"/>
      <c r="BK138" s="212"/>
      <c r="BL138" s="212"/>
      <c r="BM138" s="212"/>
      <c r="BN138" s="212"/>
      <c r="BO138" s="212"/>
      <c r="BP138" s="212"/>
      <c r="BQ138" s="212"/>
      <c r="BR138" s="212"/>
      <c r="BS138" s="212"/>
      <c r="BT138" s="212"/>
      <c r="BU138" s="212"/>
      <c r="BV138" s="212"/>
      <c r="BW138" s="212"/>
      <c r="BX138" s="212"/>
      <c r="BY138" s="212"/>
      <c r="BZ138" s="212"/>
      <c r="CA138" s="212"/>
      <c r="CB138" s="212"/>
      <c r="CC138" s="212"/>
      <c r="CD138" s="212"/>
      <c r="CE138" s="212"/>
      <c r="CF138" s="212"/>
      <c r="CG138" s="212"/>
      <c r="CH138" s="212"/>
      <c r="CI138" s="212"/>
      <c r="CJ138" s="212"/>
      <c r="CK138" s="212"/>
      <c r="CL138" s="212"/>
      <c r="CM138" s="212"/>
      <c r="CN138" s="212"/>
      <c r="CO138" s="212"/>
      <c r="CP138" s="212"/>
      <c r="CQ138" s="212"/>
      <c r="CR138" s="212"/>
      <c r="CS138" s="212"/>
    </row>
    <row r="139" spans="1:97" x14ac:dyDescent="0.4">
      <c r="A139" s="209">
        <v>45425</v>
      </c>
      <c r="B139" s="210" t="s">
        <v>294</v>
      </c>
      <c r="C139" s="212">
        <v>156.97999999999999</v>
      </c>
      <c r="D139" s="212">
        <v>154.97999999999999</v>
      </c>
      <c r="E139" s="212">
        <v>155.97999999999999</v>
      </c>
      <c r="F139" s="212">
        <v>169.46</v>
      </c>
      <c r="G139" s="212">
        <v>166.46</v>
      </c>
      <c r="H139" s="212">
        <v>167.96</v>
      </c>
      <c r="I139" s="212">
        <v>115.62</v>
      </c>
      <c r="J139" s="212">
        <v>112.42</v>
      </c>
      <c r="K139" s="212">
        <v>114.02000000000001</v>
      </c>
      <c r="L139" s="212">
        <v>199.24</v>
      </c>
      <c r="M139" s="212">
        <v>191.24</v>
      </c>
      <c r="N139" s="212">
        <v>195.24</v>
      </c>
      <c r="O139" s="212">
        <v>172.93</v>
      </c>
      <c r="P139" s="212">
        <v>171.13</v>
      </c>
      <c r="Q139" s="212">
        <v>172.03</v>
      </c>
      <c r="R139" s="212">
        <v>22.82</v>
      </c>
      <c r="S139" s="212">
        <v>22.22</v>
      </c>
      <c r="T139" s="212">
        <v>22.52</v>
      </c>
      <c r="U139" s="212">
        <v>14.66</v>
      </c>
      <c r="V139" s="212">
        <v>14.06</v>
      </c>
      <c r="W139" s="212">
        <v>14.36</v>
      </c>
      <c r="X139" s="212">
        <v>14.78</v>
      </c>
      <c r="Y139" s="212">
        <v>13.979999999999999</v>
      </c>
      <c r="Z139" s="212">
        <v>14.379999999999999</v>
      </c>
      <c r="AA139" s="212">
        <v>104.88</v>
      </c>
      <c r="AB139" s="212">
        <v>100.88</v>
      </c>
      <c r="AC139" s="212">
        <v>102.88</v>
      </c>
      <c r="AD139" s="212">
        <v>95.81</v>
      </c>
      <c r="AE139" s="212">
        <v>91.81</v>
      </c>
      <c r="AF139" s="212">
        <v>93.81</v>
      </c>
      <c r="AG139" s="212">
        <v>20.39</v>
      </c>
      <c r="AH139" s="212">
        <v>19.53</v>
      </c>
      <c r="AI139" s="212">
        <v>19.96</v>
      </c>
      <c r="AJ139" s="212"/>
      <c r="AK139" s="212"/>
      <c r="AL139" s="212"/>
      <c r="AM139" s="212">
        <v>115.96</v>
      </c>
      <c r="AN139" s="212">
        <v>114.3</v>
      </c>
      <c r="AO139" s="212">
        <v>115.13</v>
      </c>
      <c r="AP139" s="212">
        <v>42.45</v>
      </c>
      <c r="AQ139" s="212">
        <v>40.85</v>
      </c>
      <c r="AR139" s="212">
        <v>41.650000000000006</v>
      </c>
      <c r="AS139" s="212">
        <v>43.22</v>
      </c>
      <c r="AT139" s="212">
        <v>41.86</v>
      </c>
      <c r="AU139" s="212">
        <v>42.54</v>
      </c>
      <c r="AV139" s="212">
        <v>21.85</v>
      </c>
      <c r="AW139" s="212">
        <v>21.25</v>
      </c>
      <c r="AX139" s="212">
        <v>21.55</v>
      </c>
      <c r="AY139" s="212">
        <v>4.32</v>
      </c>
      <c r="AZ139" s="212">
        <v>4.16</v>
      </c>
      <c r="BA139" s="212">
        <v>4.24</v>
      </c>
      <c r="BB139" s="212">
        <v>2.0299999999999998</v>
      </c>
      <c r="BC139" s="212">
        <v>1.7299999999999998</v>
      </c>
      <c r="BD139" s="212">
        <v>1.88</v>
      </c>
      <c r="BE139" s="212">
        <v>0.71</v>
      </c>
      <c r="BF139" s="212">
        <v>0.41</v>
      </c>
      <c r="BG139" s="212">
        <v>0.55999999999999994</v>
      </c>
      <c r="BH139" s="212">
        <v>516.24</v>
      </c>
      <c r="BI139" s="212">
        <v>500.24</v>
      </c>
      <c r="BJ139" s="212">
        <v>508.24</v>
      </c>
      <c r="BK139" s="212">
        <v>43.53</v>
      </c>
      <c r="BL139" s="212">
        <v>42.17</v>
      </c>
      <c r="BM139" s="212">
        <v>42.85</v>
      </c>
      <c r="BN139" s="212">
        <v>1.1000000000000001</v>
      </c>
      <c r="BO139" s="212">
        <v>0.8600000000000001</v>
      </c>
      <c r="BP139" s="212">
        <v>0.98000000000000009</v>
      </c>
      <c r="BQ139" s="212">
        <v>10.3</v>
      </c>
      <c r="BR139" s="212">
        <v>8.3000000000000007</v>
      </c>
      <c r="BS139" s="212">
        <v>9.3000000000000007</v>
      </c>
      <c r="BT139" s="212">
        <v>11.58</v>
      </c>
      <c r="BU139" s="212">
        <v>11.18</v>
      </c>
      <c r="BV139" s="212">
        <v>11.379999999999999</v>
      </c>
      <c r="BW139" s="212">
        <v>2.88</v>
      </c>
      <c r="BX139" s="212">
        <v>2.5999999999999996</v>
      </c>
      <c r="BY139" s="212">
        <v>2.7399999999999998</v>
      </c>
      <c r="BZ139" s="212">
        <v>9.9499999999999993</v>
      </c>
      <c r="CA139" s="212">
        <v>6.9499999999999993</v>
      </c>
      <c r="CB139" s="212">
        <v>8.4499999999999993</v>
      </c>
      <c r="CC139" s="212">
        <v>6.86</v>
      </c>
      <c r="CD139" s="212">
        <v>6.62</v>
      </c>
      <c r="CE139" s="212">
        <v>6.74</v>
      </c>
      <c r="CF139" s="212">
        <v>1.93</v>
      </c>
      <c r="CG139" s="212">
        <v>1.43</v>
      </c>
      <c r="CH139" s="212">
        <v>1.68</v>
      </c>
      <c r="CI139" s="212">
        <v>0.45</v>
      </c>
      <c r="CJ139" s="212">
        <v>0.41000000000000003</v>
      </c>
      <c r="CK139" s="212">
        <v>0.43000000000000005</v>
      </c>
      <c r="CL139" s="212">
        <v>40.26</v>
      </c>
      <c r="CM139" s="212">
        <v>37.86</v>
      </c>
      <c r="CN139" s="212">
        <v>39.06</v>
      </c>
      <c r="CO139" s="212">
        <v>7.35</v>
      </c>
      <c r="CP139" s="212">
        <v>2.3499999999999996</v>
      </c>
      <c r="CQ139" s="212">
        <v>4.8499999999999996</v>
      </c>
      <c r="CR139" s="212"/>
      <c r="CS139" s="212"/>
    </row>
    <row r="140" spans="1:97" x14ac:dyDescent="0.4">
      <c r="A140" s="209">
        <v>45426</v>
      </c>
      <c r="B140" s="210" t="s">
        <v>295</v>
      </c>
      <c r="C140" s="212">
        <v>157.36000000000001</v>
      </c>
      <c r="D140" s="212">
        <v>155.36000000000001</v>
      </c>
      <c r="E140" s="212">
        <v>156.36000000000001</v>
      </c>
      <c r="F140" s="212">
        <v>170.17</v>
      </c>
      <c r="G140" s="212">
        <v>167.17</v>
      </c>
      <c r="H140" s="212">
        <v>168.67</v>
      </c>
      <c r="I140" s="212">
        <v>115.97</v>
      </c>
      <c r="J140" s="212">
        <v>112.77</v>
      </c>
      <c r="K140" s="212">
        <v>114.37</v>
      </c>
      <c r="L140" s="212">
        <v>200.34</v>
      </c>
      <c r="M140" s="212">
        <v>192.34</v>
      </c>
      <c r="N140" s="212">
        <v>196.34</v>
      </c>
      <c r="O140" s="212">
        <v>173.03</v>
      </c>
      <c r="P140" s="212">
        <v>171.23</v>
      </c>
      <c r="Q140" s="212">
        <v>172.13</v>
      </c>
      <c r="R140" s="212">
        <v>22.91</v>
      </c>
      <c r="S140" s="212">
        <v>22.31</v>
      </c>
      <c r="T140" s="212">
        <v>22.61</v>
      </c>
      <c r="U140" s="212">
        <v>14.77</v>
      </c>
      <c r="V140" s="212">
        <v>14.17</v>
      </c>
      <c r="W140" s="212">
        <v>14.469999999999999</v>
      </c>
      <c r="X140" s="212">
        <v>14.82</v>
      </c>
      <c r="Y140" s="212">
        <v>14.02</v>
      </c>
      <c r="Z140" s="212">
        <v>14.42</v>
      </c>
      <c r="AA140" s="212">
        <v>105.26</v>
      </c>
      <c r="AB140" s="212">
        <v>101.26</v>
      </c>
      <c r="AC140" s="212">
        <v>103.26</v>
      </c>
      <c r="AD140" s="212">
        <v>96.05</v>
      </c>
      <c r="AE140" s="212">
        <v>92.05</v>
      </c>
      <c r="AF140" s="212">
        <v>94.05</v>
      </c>
      <c r="AG140" s="212">
        <v>20.440000000000001</v>
      </c>
      <c r="AH140" s="212">
        <v>19.580000000000002</v>
      </c>
      <c r="AI140" s="212">
        <v>20.010000000000002</v>
      </c>
      <c r="AJ140" s="212"/>
      <c r="AK140" s="212"/>
      <c r="AL140" s="212"/>
      <c r="AM140" s="212">
        <v>116.35</v>
      </c>
      <c r="AN140" s="212">
        <v>114.69</v>
      </c>
      <c r="AO140" s="212">
        <v>115.52</v>
      </c>
      <c r="AP140" s="212">
        <v>42.55</v>
      </c>
      <c r="AQ140" s="212">
        <v>40.949999999999996</v>
      </c>
      <c r="AR140" s="212">
        <v>41.75</v>
      </c>
      <c r="AS140" s="212">
        <v>43.32</v>
      </c>
      <c r="AT140" s="212">
        <v>41.96</v>
      </c>
      <c r="AU140" s="212">
        <v>42.64</v>
      </c>
      <c r="AV140" s="212">
        <v>21.89</v>
      </c>
      <c r="AW140" s="212">
        <v>21.29</v>
      </c>
      <c r="AX140" s="212">
        <v>21.59</v>
      </c>
      <c r="AY140" s="212">
        <v>4.33</v>
      </c>
      <c r="AZ140" s="212">
        <v>4.17</v>
      </c>
      <c r="BA140" s="212">
        <v>4.25</v>
      </c>
      <c r="BB140" s="212">
        <v>2.0299999999999998</v>
      </c>
      <c r="BC140" s="212">
        <v>1.7299999999999998</v>
      </c>
      <c r="BD140" s="212">
        <v>1.88</v>
      </c>
      <c r="BE140" s="212">
        <v>0.71</v>
      </c>
      <c r="BF140" s="212">
        <v>0.41</v>
      </c>
      <c r="BG140" s="212">
        <v>0.55999999999999994</v>
      </c>
      <c r="BH140" s="212">
        <v>517.32000000000005</v>
      </c>
      <c r="BI140" s="212">
        <v>501.32000000000005</v>
      </c>
      <c r="BJ140" s="212">
        <v>509.32000000000005</v>
      </c>
      <c r="BK140" s="212">
        <v>43.64</v>
      </c>
      <c r="BL140" s="212">
        <v>42.28</v>
      </c>
      <c r="BM140" s="212">
        <v>42.96</v>
      </c>
      <c r="BN140" s="212">
        <v>1.1000000000000001</v>
      </c>
      <c r="BO140" s="212">
        <v>0.8600000000000001</v>
      </c>
      <c r="BP140" s="212">
        <v>0.98000000000000009</v>
      </c>
      <c r="BQ140" s="212">
        <v>10.31</v>
      </c>
      <c r="BR140" s="212">
        <v>8.31</v>
      </c>
      <c r="BS140" s="212">
        <v>9.31</v>
      </c>
      <c r="BT140" s="212">
        <v>11.63</v>
      </c>
      <c r="BU140" s="212">
        <v>11.23</v>
      </c>
      <c r="BV140" s="212">
        <v>11.43</v>
      </c>
      <c r="BW140" s="212">
        <v>2.86</v>
      </c>
      <c r="BX140" s="212">
        <v>2.58</v>
      </c>
      <c r="BY140" s="212">
        <v>2.7199999999999998</v>
      </c>
      <c r="BZ140" s="212">
        <v>10.02</v>
      </c>
      <c r="CA140" s="212">
        <v>7.02</v>
      </c>
      <c r="CB140" s="212">
        <v>8.52</v>
      </c>
      <c r="CC140" s="212">
        <v>6.93</v>
      </c>
      <c r="CD140" s="212">
        <v>6.6899999999999995</v>
      </c>
      <c r="CE140" s="212">
        <v>6.81</v>
      </c>
      <c r="CF140" s="212">
        <v>1.96</v>
      </c>
      <c r="CG140" s="212">
        <v>1.46</v>
      </c>
      <c r="CH140" s="212">
        <v>1.71</v>
      </c>
      <c r="CI140" s="212">
        <v>0.46</v>
      </c>
      <c r="CJ140" s="212">
        <v>0.42000000000000004</v>
      </c>
      <c r="CK140" s="212">
        <v>0.44000000000000006</v>
      </c>
      <c r="CL140" s="212">
        <v>40.58</v>
      </c>
      <c r="CM140" s="212">
        <v>38.18</v>
      </c>
      <c r="CN140" s="212">
        <v>39.379999999999995</v>
      </c>
      <c r="CO140" s="212">
        <v>7.36</v>
      </c>
      <c r="CP140" s="212">
        <v>2.3600000000000003</v>
      </c>
      <c r="CQ140" s="212">
        <v>4.8600000000000003</v>
      </c>
      <c r="CR140" s="212"/>
      <c r="CS140" s="212"/>
    </row>
    <row r="141" spans="1:97" x14ac:dyDescent="0.4">
      <c r="A141" s="209">
        <v>45427</v>
      </c>
      <c r="B141" s="210" t="s">
        <v>296</v>
      </c>
      <c r="C141" s="212">
        <v>157.53</v>
      </c>
      <c r="D141" s="212">
        <v>155.53</v>
      </c>
      <c r="E141" s="212">
        <v>156.53</v>
      </c>
      <c r="F141" s="212">
        <v>170.83</v>
      </c>
      <c r="G141" s="212">
        <v>167.83</v>
      </c>
      <c r="H141" s="212">
        <v>169.33</v>
      </c>
      <c r="I141" s="212">
        <v>116.26</v>
      </c>
      <c r="J141" s="212">
        <v>113.06</v>
      </c>
      <c r="K141" s="212">
        <v>114.66</v>
      </c>
      <c r="L141" s="212">
        <v>201.04</v>
      </c>
      <c r="M141" s="212">
        <v>193.04</v>
      </c>
      <c r="N141" s="212">
        <v>197.04</v>
      </c>
      <c r="O141" s="212">
        <v>173.59</v>
      </c>
      <c r="P141" s="212">
        <v>171.79</v>
      </c>
      <c r="Q141" s="212">
        <v>172.69</v>
      </c>
      <c r="R141" s="212">
        <v>23</v>
      </c>
      <c r="S141" s="212">
        <v>22.4</v>
      </c>
      <c r="T141" s="212">
        <v>22.7</v>
      </c>
      <c r="U141" s="212">
        <v>14.79</v>
      </c>
      <c r="V141" s="212">
        <v>14.19</v>
      </c>
      <c r="W141" s="212">
        <v>14.489999999999998</v>
      </c>
      <c r="X141" s="212">
        <v>14.87</v>
      </c>
      <c r="Y141" s="212">
        <v>14.069999999999999</v>
      </c>
      <c r="Z141" s="212">
        <v>14.469999999999999</v>
      </c>
      <c r="AA141" s="212">
        <v>105.73</v>
      </c>
      <c r="AB141" s="212">
        <v>101.73</v>
      </c>
      <c r="AC141" s="212">
        <v>103.73</v>
      </c>
      <c r="AD141" s="212">
        <v>96.62</v>
      </c>
      <c r="AE141" s="212">
        <v>92.62</v>
      </c>
      <c r="AF141" s="212">
        <v>94.62</v>
      </c>
      <c r="AG141" s="212">
        <v>20.47</v>
      </c>
      <c r="AH141" s="212">
        <v>19.61</v>
      </c>
      <c r="AI141" s="212">
        <v>20.04</v>
      </c>
      <c r="AJ141" s="212"/>
      <c r="AK141" s="212"/>
      <c r="AL141" s="212"/>
      <c r="AM141" s="212">
        <v>116.58</v>
      </c>
      <c r="AN141" s="212">
        <v>114.92</v>
      </c>
      <c r="AO141" s="212">
        <v>115.75</v>
      </c>
      <c r="AP141" s="212">
        <v>42.61</v>
      </c>
      <c r="AQ141" s="212">
        <v>41.01</v>
      </c>
      <c r="AR141" s="212">
        <v>41.81</v>
      </c>
      <c r="AS141" s="212">
        <v>43.37</v>
      </c>
      <c r="AT141" s="212">
        <v>42.01</v>
      </c>
      <c r="AU141" s="212">
        <v>42.69</v>
      </c>
      <c r="AV141" s="212">
        <v>21.92</v>
      </c>
      <c r="AW141" s="212">
        <v>21.32</v>
      </c>
      <c r="AX141" s="212">
        <v>21.62</v>
      </c>
      <c r="AY141" s="212">
        <v>4.37</v>
      </c>
      <c r="AZ141" s="212">
        <v>4.21</v>
      </c>
      <c r="BA141" s="212">
        <v>4.29</v>
      </c>
      <c r="BB141" s="212">
        <v>2.0299999999999998</v>
      </c>
      <c r="BC141" s="212">
        <v>1.7299999999999998</v>
      </c>
      <c r="BD141" s="212">
        <v>1.88</v>
      </c>
      <c r="BE141" s="212">
        <v>0.72</v>
      </c>
      <c r="BF141" s="212">
        <v>0.42</v>
      </c>
      <c r="BG141" s="212">
        <v>0.56999999999999995</v>
      </c>
      <c r="BH141" s="212">
        <v>518.04</v>
      </c>
      <c r="BI141" s="212">
        <v>502.03999999999996</v>
      </c>
      <c r="BJ141" s="212">
        <v>510.03999999999996</v>
      </c>
      <c r="BK141" s="212">
        <v>43.69</v>
      </c>
      <c r="BL141" s="212">
        <v>42.33</v>
      </c>
      <c r="BM141" s="212">
        <v>43.01</v>
      </c>
      <c r="BN141" s="212">
        <v>1.1000000000000001</v>
      </c>
      <c r="BO141" s="212">
        <v>0.8600000000000001</v>
      </c>
      <c r="BP141" s="212">
        <v>0.98000000000000009</v>
      </c>
      <c r="BQ141" s="212">
        <v>10.29</v>
      </c>
      <c r="BR141" s="212">
        <v>8.2899999999999991</v>
      </c>
      <c r="BS141" s="212">
        <v>9.2899999999999991</v>
      </c>
      <c r="BT141" s="212">
        <v>11.68</v>
      </c>
      <c r="BU141" s="212">
        <v>11.28</v>
      </c>
      <c r="BV141" s="212">
        <v>11.48</v>
      </c>
      <c r="BW141" s="212">
        <v>2.87</v>
      </c>
      <c r="BX141" s="212">
        <v>2.59</v>
      </c>
      <c r="BY141" s="212">
        <v>2.73</v>
      </c>
      <c r="BZ141" s="212">
        <v>10.01</v>
      </c>
      <c r="CA141" s="212">
        <v>7.01</v>
      </c>
      <c r="CB141" s="212">
        <v>8.51</v>
      </c>
      <c r="CC141" s="212">
        <v>6.95</v>
      </c>
      <c r="CD141" s="212">
        <v>6.71</v>
      </c>
      <c r="CE141" s="212">
        <v>6.83</v>
      </c>
      <c r="CF141" s="212">
        <v>1.96</v>
      </c>
      <c r="CG141" s="212">
        <v>1.46</v>
      </c>
      <c r="CH141" s="212">
        <v>1.71</v>
      </c>
      <c r="CI141" s="212">
        <v>0.46</v>
      </c>
      <c r="CJ141" s="212">
        <v>0.42000000000000004</v>
      </c>
      <c r="CK141" s="212">
        <v>0.44000000000000006</v>
      </c>
      <c r="CL141" s="212">
        <v>40.869999999999997</v>
      </c>
      <c r="CM141" s="212">
        <v>38.47</v>
      </c>
      <c r="CN141" s="212">
        <v>39.67</v>
      </c>
      <c r="CO141" s="212">
        <v>7.36</v>
      </c>
      <c r="CP141" s="212">
        <v>2.3600000000000003</v>
      </c>
      <c r="CQ141" s="212">
        <v>4.8600000000000003</v>
      </c>
      <c r="CR141" s="212"/>
      <c r="CS141" s="212"/>
    </row>
    <row r="142" spans="1:97" x14ac:dyDescent="0.4">
      <c r="A142" s="209">
        <v>45428</v>
      </c>
      <c r="B142" s="210" t="s">
        <v>297</v>
      </c>
      <c r="C142" s="212">
        <v>154.94</v>
      </c>
      <c r="D142" s="212">
        <v>152.94</v>
      </c>
      <c r="E142" s="212">
        <v>153.94</v>
      </c>
      <c r="F142" s="212">
        <v>169.17</v>
      </c>
      <c r="G142" s="212">
        <v>166.17</v>
      </c>
      <c r="H142" s="212">
        <v>167.67</v>
      </c>
      <c r="I142" s="212">
        <v>114.87</v>
      </c>
      <c r="J142" s="212">
        <v>111.67</v>
      </c>
      <c r="K142" s="212">
        <v>113.27000000000001</v>
      </c>
      <c r="L142" s="212">
        <v>199.43</v>
      </c>
      <c r="M142" s="212">
        <v>191.43</v>
      </c>
      <c r="N142" s="212">
        <v>195.43</v>
      </c>
      <c r="O142" s="212">
        <v>172</v>
      </c>
      <c r="P142" s="212">
        <v>170.2</v>
      </c>
      <c r="Q142" s="212">
        <v>171.1</v>
      </c>
      <c r="R142" s="212">
        <v>22.77</v>
      </c>
      <c r="S142" s="212">
        <v>22.169999999999998</v>
      </c>
      <c r="T142" s="212">
        <v>22.47</v>
      </c>
      <c r="U142" s="212">
        <v>14.75</v>
      </c>
      <c r="V142" s="212">
        <v>14.15</v>
      </c>
      <c r="W142" s="212">
        <v>14.45</v>
      </c>
      <c r="X142" s="212">
        <v>14.86</v>
      </c>
      <c r="Y142" s="212">
        <v>14.059999999999999</v>
      </c>
      <c r="Z142" s="212">
        <v>14.459999999999999</v>
      </c>
      <c r="AA142" s="212">
        <v>105.32</v>
      </c>
      <c r="AB142" s="212">
        <v>101.32</v>
      </c>
      <c r="AC142" s="212">
        <v>103.32</v>
      </c>
      <c r="AD142" s="212">
        <v>96.53</v>
      </c>
      <c r="AE142" s="212">
        <v>92.53</v>
      </c>
      <c r="AF142" s="212">
        <v>94.53</v>
      </c>
      <c r="AG142" s="212">
        <v>20.149999999999999</v>
      </c>
      <c r="AH142" s="212">
        <v>19.29</v>
      </c>
      <c r="AI142" s="212">
        <v>19.72</v>
      </c>
      <c r="AJ142" s="212"/>
      <c r="AK142" s="212"/>
      <c r="AL142" s="212"/>
      <c r="AM142" s="212">
        <v>115.51</v>
      </c>
      <c r="AN142" s="212">
        <v>113.85000000000001</v>
      </c>
      <c r="AO142" s="212">
        <v>114.68</v>
      </c>
      <c r="AP142" s="212">
        <v>41.92</v>
      </c>
      <c r="AQ142" s="212">
        <v>40.32</v>
      </c>
      <c r="AR142" s="212">
        <v>41.120000000000005</v>
      </c>
      <c r="AS142" s="212">
        <v>42.66</v>
      </c>
      <c r="AT142" s="212">
        <v>41.3</v>
      </c>
      <c r="AU142" s="212">
        <v>41.98</v>
      </c>
      <c r="AV142" s="212">
        <v>21.66</v>
      </c>
      <c r="AW142" s="212">
        <v>21.06</v>
      </c>
      <c r="AX142" s="212">
        <v>21.36</v>
      </c>
      <c r="AY142" s="212">
        <v>4.33</v>
      </c>
      <c r="AZ142" s="212">
        <v>4.17</v>
      </c>
      <c r="BA142" s="212">
        <v>4.25</v>
      </c>
      <c r="BB142" s="212">
        <v>2.0099999999999998</v>
      </c>
      <c r="BC142" s="212">
        <v>1.7099999999999997</v>
      </c>
      <c r="BD142" s="212">
        <v>1.8599999999999999</v>
      </c>
      <c r="BE142" s="212">
        <v>0.71</v>
      </c>
      <c r="BF142" s="212">
        <v>0.41</v>
      </c>
      <c r="BG142" s="212">
        <v>0.55999999999999994</v>
      </c>
      <c r="BH142" s="212">
        <v>508.46</v>
      </c>
      <c r="BI142" s="212">
        <v>492.46</v>
      </c>
      <c r="BJ142" s="212">
        <v>500.46</v>
      </c>
      <c r="BK142" s="212">
        <v>42.98</v>
      </c>
      <c r="BL142" s="212">
        <v>41.62</v>
      </c>
      <c r="BM142" s="212">
        <v>42.3</v>
      </c>
      <c r="BN142" s="212">
        <v>1.08</v>
      </c>
      <c r="BO142" s="212">
        <v>0.84000000000000008</v>
      </c>
      <c r="BP142" s="212">
        <v>0.96000000000000008</v>
      </c>
      <c r="BQ142" s="212">
        <v>10.23</v>
      </c>
      <c r="BR142" s="212">
        <v>8.23</v>
      </c>
      <c r="BS142" s="212">
        <v>9.23</v>
      </c>
      <c r="BT142" s="212">
        <v>11.62</v>
      </c>
      <c r="BU142" s="212">
        <v>11.219999999999999</v>
      </c>
      <c r="BV142" s="212">
        <v>11.419999999999998</v>
      </c>
      <c r="BW142" s="212">
        <v>2.84</v>
      </c>
      <c r="BX142" s="212">
        <v>2.5599999999999996</v>
      </c>
      <c r="BY142" s="212">
        <v>2.6999999999999997</v>
      </c>
      <c r="BZ142" s="212">
        <v>9.94</v>
      </c>
      <c r="CA142" s="212">
        <v>6.9399999999999995</v>
      </c>
      <c r="CB142" s="212">
        <v>8.44</v>
      </c>
      <c r="CC142" s="212">
        <v>6.9</v>
      </c>
      <c r="CD142" s="212">
        <v>6.66</v>
      </c>
      <c r="CE142" s="212">
        <v>6.78</v>
      </c>
      <c r="CF142" s="212">
        <v>1.94</v>
      </c>
      <c r="CG142" s="212">
        <v>1.44</v>
      </c>
      <c r="CH142" s="212">
        <v>1.69</v>
      </c>
      <c r="CI142" s="212">
        <v>0.46</v>
      </c>
      <c r="CJ142" s="212">
        <v>0.42000000000000004</v>
      </c>
      <c r="CK142" s="212">
        <v>0.44000000000000006</v>
      </c>
      <c r="CL142" s="212">
        <v>40.56</v>
      </c>
      <c r="CM142" s="212">
        <v>38.160000000000004</v>
      </c>
      <c r="CN142" s="212">
        <v>39.36</v>
      </c>
      <c r="CO142" s="212">
        <v>7.31</v>
      </c>
      <c r="CP142" s="212">
        <v>2.3099999999999996</v>
      </c>
      <c r="CQ142" s="212">
        <v>4.8099999999999996</v>
      </c>
      <c r="CR142" s="212"/>
      <c r="CS142" s="212"/>
    </row>
    <row r="143" spans="1:97" x14ac:dyDescent="0.4">
      <c r="A143" s="209">
        <v>45429</v>
      </c>
      <c r="B143" s="210" t="s">
        <v>298</v>
      </c>
      <c r="C143" s="212">
        <v>156.58000000000001</v>
      </c>
      <c r="D143" s="212">
        <v>154.58000000000001</v>
      </c>
      <c r="E143" s="212">
        <v>155.58000000000001</v>
      </c>
      <c r="F143" s="212">
        <v>170.49</v>
      </c>
      <c r="G143" s="212">
        <v>167.49</v>
      </c>
      <c r="H143" s="212">
        <v>168.99</v>
      </c>
      <c r="I143" s="212">
        <v>115.82</v>
      </c>
      <c r="J143" s="212">
        <v>112.61999999999999</v>
      </c>
      <c r="K143" s="212">
        <v>114.22</v>
      </c>
      <c r="L143" s="212">
        <v>201.04</v>
      </c>
      <c r="M143" s="212">
        <v>193.04</v>
      </c>
      <c r="N143" s="212">
        <v>197.04</v>
      </c>
      <c r="O143" s="212">
        <v>172.38</v>
      </c>
      <c r="P143" s="212">
        <v>170.57999999999998</v>
      </c>
      <c r="Q143" s="212">
        <v>171.48</v>
      </c>
      <c r="R143" s="212">
        <v>22.95</v>
      </c>
      <c r="S143" s="212">
        <v>22.349999999999998</v>
      </c>
      <c r="T143" s="212">
        <v>22.65</v>
      </c>
      <c r="U143" s="212">
        <v>14.82</v>
      </c>
      <c r="V143" s="212">
        <v>14.22</v>
      </c>
      <c r="W143" s="212">
        <v>14.52</v>
      </c>
      <c r="X143" s="212">
        <v>14.9</v>
      </c>
      <c r="Y143" s="212">
        <v>14.1</v>
      </c>
      <c r="Z143" s="212">
        <v>14.5</v>
      </c>
      <c r="AA143" s="212">
        <v>105.85</v>
      </c>
      <c r="AB143" s="212">
        <v>101.85</v>
      </c>
      <c r="AC143" s="212">
        <v>103.85</v>
      </c>
      <c r="AD143" s="212">
        <v>97.18</v>
      </c>
      <c r="AE143" s="212">
        <v>93.18</v>
      </c>
      <c r="AF143" s="212">
        <v>95.18</v>
      </c>
      <c r="AG143" s="212">
        <v>20.37</v>
      </c>
      <c r="AH143" s="212">
        <v>19.510000000000002</v>
      </c>
      <c r="AI143" s="212">
        <v>19.940000000000001</v>
      </c>
      <c r="AJ143" s="212"/>
      <c r="AK143" s="212"/>
      <c r="AL143" s="212"/>
      <c r="AM143" s="212">
        <v>116.36</v>
      </c>
      <c r="AN143" s="212">
        <v>114.7</v>
      </c>
      <c r="AO143" s="212">
        <v>115.53</v>
      </c>
      <c r="AP143" s="212">
        <v>42.35</v>
      </c>
      <c r="AQ143" s="212">
        <v>40.75</v>
      </c>
      <c r="AR143" s="212">
        <v>41.55</v>
      </c>
      <c r="AS143" s="212">
        <v>43.11</v>
      </c>
      <c r="AT143" s="212">
        <v>41.75</v>
      </c>
      <c r="AU143" s="212">
        <v>42.43</v>
      </c>
      <c r="AV143" s="212">
        <v>21.83</v>
      </c>
      <c r="AW143" s="212">
        <v>21.229999999999997</v>
      </c>
      <c r="AX143" s="212">
        <v>21.529999999999998</v>
      </c>
      <c r="AY143" s="212">
        <v>4.37</v>
      </c>
      <c r="AZ143" s="212">
        <v>4.21</v>
      </c>
      <c r="BA143" s="212">
        <v>4.29</v>
      </c>
      <c r="BB143" s="212">
        <v>2.02</v>
      </c>
      <c r="BC143" s="212">
        <v>1.72</v>
      </c>
      <c r="BD143" s="212">
        <v>1.87</v>
      </c>
      <c r="BE143" s="212">
        <v>0.71</v>
      </c>
      <c r="BF143" s="212">
        <v>0.41</v>
      </c>
      <c r="BG143" s="212">
        <v>0.55999999999999994</v>
      </c>
      <c r="BH143" s="212">
        <v>515.44000000000005</v>
      </c>
      <c r="BI143" s="212">
        <v>499.44000000000005</v>
      </c>
      <c r="BJ143" s="212">
        <v>507.44000000000005</v>
      </c>
      <c r="BK143" s="212">
        <v>43.43</v>
      </c>
      <c r="BL143" s="212">
        <v>42.07</v>
      </c>
      <c r="BM143" s="212">
        <v>42.75</v>
      </c>
      <c r="BN143" s="212">
        <v>1.1000000000000001</v>
      </c>
      <c r="BO143" s="212">
        <v>0.8600000000000001</v>
      </c>
      <c r="BP143" s="212">
        <v>0.98000000000000009</v>
      </c>
      <c r="BQ143" s="212">
        <v>10.33</v>
      </c>
      <c r="BR143" s="212">
        <v>8.33</v>
      </c>
      <c r="BS143" s="212">
        <v>9.33</v>
      </c>
      <c r="BT143" s="212">
        <v>11.72</v>
      </c>
      <c r="BU143" s="212">
        <v>11.32</v>
      </c>
      <c r="BV143" s="212">
        <v>11.52</v>
      </c>
      <c r="BW143" s="212">
        <v>2.87</v>
      </c>
      <c r="BX143" s="212">
        <v>2.59</v>
      </c>
      <c r="BY143" s="212">
        <v>2.73</v>
      </c>
      <c r="BZ143" s="212">
        <v>10.050000000000001</v>
      </c>
      <c r="CA143" s="212">
        <v>7.0500000000000007</v>
      </c>
      <c r="CB143" s="212">
        <v>8.5500000000000007</v>
      </c>
      <c r="CC143" s="212">
        <v>6.97</v>
      </c>
      <c r="CD143" s="212">
        <v>6.7299999999999995</v>
      </c>
      <c r="CE143" s="212">
        <v>6.85</v>
      </c>
      <c r="CF143" s="212">
        <v>1.96</v>
      </c>
      <c r="CG143" s="212">
        <v>1.46</v>
      </c>
      <c r="CH143" s="212">
        <v>1.71</v>
      </c>
      <c r="CI143" s="212">
        <v>0.46</v>
      </c>
      <c r="CJ143" s="212">
        <v>0.42000000000000004</v>
      </c>
      <c r="CK143" s="212">
        <v>0.44000000000000006</v>
      </c>
      <c r="CL143" s="212">
        <v>40.81</v>
      </c>
      <c r="CM143" s="212">
        <v>38.410000000000004</v>
      </c>
      <c r="CN143" s="212">
        <v>39.61</v>
      </c>
      <c r="CO143" s="212">
        <v>7.34</v>
      </c>
      <c r="CP143" s="212">
        <v>2.34</v>
      </c>
      <c r="CQ143" s="212">
        <v>4.84</v>
      </c>
      <c r="CR143" s="212"/>
      <c r="CS143" s="212"/>
    </row>
    <row r="144" spans="1:97" x14ac:dyDescent="0.4">
      <c r="A144" s="209">
        <v>45430</v>
      </c>
      <c r="B144" s="210" t="s">
        <v>299</v>
      </c>
      <c r="C144" s="212"/>
      <c r="D144" s="212"/>
      <c r="E144" s="212"/>
      <c r="F144" s="212"/>
      <c r="G144" s="212"/>
      <c r="H144" s="212"/>
      <c r="I144" s="212"/>
      <c r="J144" s="212"/>
      <c r="K144" s="212"/>
      <c r="L144" s="212"/>
      <c r="M144" s="212"/>
      <c r="N144" s="212"/>
      <c r="O144" s="212"/>
      <c r="P144" s="212"/>
      <c r="Q144" s="212"/>
      <c r="R144" s="212"/>
      <c r="S144" s="212"/>
      <c r="T144" s="212"/>
      <c r="U144" s="212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12"/>
      <c r="AF144" s="212"/>
      <c r="AG144" s="212"/>
      <c r="AH144" s="212"/>
      <c r="AI144" s="212"/>
      <c r="AJ144" s="212"/>
      <c r="AK144" s="212"/>
      <c r="AL144" s="212"/>
      <c r="AM144" s="212"/>
      <c r="AN144" s="212"/>
      <c r="AO144" s="212"/>
      <c r="AP144" s="212"/>
      <c r="AQ144" s="212"/>
      <c r="AR144" s="212"/>
      <c r="AS144" s="212"/>
      <c r="AT144" s="212"/>
      <c r="AU144" s="212"/>
      <c r="AV144" s="212"/>
      <c r="AW144" s="212"/>
      <c r="AX144" s="212"/>
      <c r="AY144" s="212"/>
      <c r="AZ144" s="212"/>
      <c r="BA144" s="212"/>
      <c r="BB144" s="212"/>
      <c r="BC144" s="212"/>
      <c r="BD144" s="212"/>
      <c r="BE144" s="212"/>
      <c r="BF144" s="212"/>
      <c r="BG144" s="212"/>
      <c r="BH144" s="212"/>
      <c r="BI144" s="212"/>
      <c r="BJ144" s="212"/>
      <c r="BK144" s="212"/>
      <c r="BL144" s="212"/>
      <c r="BM144" s="212"/>
      <c r="BN144" s="212"/>
      <c r="BO144" s="212"/>
      <c r="BP144" s="212"/>
      <c r="BQ144" s="212"/>
      <c r="BR144" s="212"/>
      <c r="BS144" s="212"/>
      <c r="BT144" s="212"/>
      <c r="BU144" s="212"/>
      <c r="BV144" s="212"/>
      <c r="BW144" s="212"/>
      <c r="BX144" s="212"/>
      <c r="BY144" s="212"/>
      <c r="BZ144" s="212"/>
      <c r="CA144" s="212"/>
      <c r="CB144" s="212"/>
      <c r="CC144" s="212"/>
      <c r="CD144" s="212"/>
      <c r="CE144" s="212"/>
      <c r="CF144" s="212"/>
      <c r="CG144" s="212"/>
      <c r="CH144" s="212"/>
      <c r="CI144" s="212"/>
      <c r="CJ144" s="212"/>
      <c r="CK144" s="212"/>
      <c r="CL144" s="212"/>
      <c r="CM144" s="212"/>
      <c r="CN144" s="212"/>
      <c r="CO144" s="212"/>
      <c r="CP144" s="212"/>
      <c r="CQ144" s="212"/>
      <c r="CR144" s="212"/>
      <c r="CS144" s="212"/>
    </row>
    <row r="145" spans="1:97" x14ac:dyDescent="0.4">
      <c r="A145" s="209">
        <v>45431</v>
      </c>
      <c r="B145" s="210" t="s">
        <v>300</v>
      </c>
      <c r="C145" s="212"/>
      <c r="D145" s="212"/>
      <c r="E145" s="212"/>
      <c r="F145" s="212"/>
      <c r="G145" s="212"/>
      <c r="H145" s="212"/>
      <c r="I145" s="212"/>
      <c r="J145" s="212"/>
      <c r="K145" s="212"/>
      <c r="L145" s="212"/>
      <c r="M145" s="212"/>
      <c r="N145" s="212"/>
      <c r="O145" s="212"/>
      <c r="P145" s="212"/>
      <c r="Q145" s="212"/>
      <c r="R145" s="212"/>
      <c r="S145" s="212"/>
      <c r="T145" s="212"/>
      <c r="U145" s="212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12"/>
      <c r="AF145" s="212"/>
      <c r="AG145" s="212"/>
      <c r="AH145" s="212"/>
      <c r="AI145" s="212"/>
      <c r="AJ145" s="212"/>
      <c r="AK145" s="212"/>
      <c r="AL145" s="212"/>
      <c r="AM145" s="212"/>
      <c r="AN145" s="212"/>
      <c r="AO145" s="212"/>
      <c r="AP145" s="212"/>
      <c r="AQ145" s="212"/>
      <c r="AR145" s="212"/>
      <c r="AS145" s="212"/>
      <c r="AT145" s="212"/>
      <c r="AU145" s="212"/>
      <c r="AV145" s="212"/>
      <c r="AW145" s="212"/>
      <c r="AX145" s="212"/>
      <c r="AY145" s="212"/>
      <c r="AZ145" s="212"/>
      <c r="BA145" s="212"/>
      <c r="BB145" s="212"/>
      <c r="BC145" s="212"/>
      <c r="BD145" s="212"/>
      <c r="BE145" s="212"/>
      <c r="BF145" s="212"/>
      <c r="BG145" s="212"/>
      <c r="BH145" s="212"/>
      <c r="BI145" s="212"/>
      <c r="BJ145" s="212"/>
      <c r="BK145" s="212"/>
      <c r="BL145" s="212"/>
      <c r="BM145" s="212"/>
      <c r="BN145" s="212"/>
      <c r="BO145" s="212"/>
      <c r="BP145" s="212"/>
      <c r="BQ145" s="212"/>
      <c r="BR145" s="212"/>
      <c r="BS145" s="212"/>
      <c r="BT145" s="212"/>
      <c r="BU145" s="212"/>
      <c r="BV145" s="212"/>
      <c r="BW145" s="212"/>
      <c r="BX145" s="212"/>
      <c r="BY145" s="212"/>
      <c r="BZ145" s="212"/>
      <c r="CA145" s="212"/>
      <c r="CB145" s="212"/>
      <c r="CC145" s="212"/>
      <c r="CD145" s="212"/>
      <c r="CE145" s="212"/>
      <c r="CF145" s="212"/>
      <c r="CG145" s="212"/>
      <c r="CH145" s="212"/>
      <c r="CI145" s="212"/>
      <c r="CJ145" s="212"/>
      <c r="CK145" s="212"/>
      <c r="CL145" s="212"/>
      <c r="CM145" s="212"/>
      <c r="CN145" s="212"/>
      <c r="CO145" s="212"/>
      <c r="CP145" s="212"/>
      <c r="CQ145" s="212"/>
      <c r="CR145" s="212"/>
      <c r="CS145" s="212"/>
    </row>
    <row r="146" spans="1:97" x14ac:dyDescent="0.4">
      <c r="A146" s="209">
        <v>45432</v>
      </c>
      <c r="B146" s="210" t="s">
        <v>294</v>
      </c>
      <c r="C146" s="212">
        <v>156.91</v>
      </c>
      <c r="D146" s="212">
        <v>154.91</v>
      </c>
      <c r="E146" s="212">
        <v>155.91</v>
      </c>
      <c r="F146" s="212">
        <v>171.07</v>
      </c>
      <c r="G146" s="212">
        <v>168.07</v>
      </c>
      <c r="H146" s="212">
        <v>169.57</v>
      </c>
      <c r="I146" s="212">
        <v>116.18</v>
      </c>
      <c r="J146" s="212">
        <v>112.98</v>
      </c>
      <c r="K146" s="212">
        <v>114.58000000000001</v>
      </c>
      <c r="L146" s="212">
        <v>202.1</v>
      </c>
      <c r="M146" s="212">
        <v>194.1</v>
      </c>
      <c r="N146" s="212">
        <v>198.1</v>
      </c>
      <c r="O146" s="212">
        <v>172.36</v>
      </c>
      <c r="P146" s="212">
        <v>170.56</v>
      </c>
      <c r="Q146" s="212">
        <v>171.46</v>
      </c>
      <c r="R146" s="212">
        <v>23.03</v>
      </c>
      <c r="S146" s="212">
        <v>22.43</v>
      </c>
      <c r="T146" s="212">
        <v>22.73</v>
      </c>
      <c r="U146" s="212">
        <v>14.92</v>
      </c>
      <c r="V146" s="212">
        <v>14.32</v>
      </c>
      <c r="W146" s="212">
        <v>14.620000000000001</v>
      </c>
      <c r="X146" s="212">
        <v>14.97</v>
      </c>
      <c r="Y146" s="212">
        <v>14.17</v>
      </c>
      <c r="Z146" s="212">
        <v>14.57</v>
      </c>
      <c r="AA146" s="212">
        <v>106.51</v>
      </c>
      <c r="AB146" s="212">
        <v>102.51</v>
      </c>
      <c r="AC146" s="212">
        <v>104.51</v>
      </c>
      <c r="AD146" s="212">
        <v>97.65</v>
      </c>
      <c r="AE146" s="212">
        <v>93.65</v>
      </c>
      <c r="AF146" s="212">
        <v>95.65</v>
      </c>
      <c r="AG146" s="212">
        <v>20.41</v>
      </c>
      <c r="AH146" s="212">
        <v>19.55</v>
      </c>
      <c r="AI146" s="212">
        <v>19.98</v>
      </c>
      <c r="AJ146" s="212"/>
      <c r="AK146" s="212"/>
      <c r="AL146" s="212"/>
      <c r="AM146" s="212">
        <v>116.77</v>
      </c>
      <c r="AN146" s="212">
        <v>115.11</v>
      </c>
      <c r="AO146" s="212">
        <v>115.94</v>
      </c>
      <c r="AP146" s="212">
        <v>42.43</v>
      </c>
      <c r="AQ146" s="212">
        <v>40.83</v>
      </c>
      <c r="AR146" s="212">
        <v>41.629999999999995</v>
      </c>
      <c r="AS146" s="212">
        <v>43.2</v>
      </c>
      <c r="AT146" s="212">
        <v>41.84</v>
      </c>
      <c r="AU146" s="212">
        <v>42.52</v>
      </c>
      <c r="AV146" s="212">
        <v>21.86</v>
      </c>
      <c r="AW146" s="212">
        <v>21.259999999999998</v>
      </c>
      <c r="AX146" s="212">
        <v>21.56</v>
      </c>
      <c r="AY146" s="212">
        <v>4.41</v>
      </c>
      <c r="AZ146" s="212">
        <v>4.25</v>
      </c>
      <c r="BA146" s="212">
        <v>4.33</v>
      </c>
      <c r="BB146" s="212">
        <v>2.0299999999999998</v>
      </c>
      <c r="BC146" s="212">
        <v>1.7299999999999998</v>
      </c>
      <c r="BD146" s="212">
        <v>1.88</v>
      </c>
      <c r="BE146" s="212">
        <v>0.71</v>
      </c>
      <c r="BF146" s="212">
        <v>0.41</v>
      </c>
      <c r="BG146" s="212">
        <v>0.55999999999999994</v>
      </c>
      <c r="BH146" s="212">
        <v>516.35</v>
      </c>
      <c r="BI146" s="212">
        <v>500.35</v>
      </c>
      <c r="BJ146" s="212">
        <v>508.35</v>
      </c>
      <c r="BK146" s="212">
        <v>43.52</v>
      </c>
      <c r="BL146" s="212">
        <v>42.160000000000004</v>
      </c>
      <c r="BM146" s="212">
        <v>42.84</v>
      </c>
      <c r="BN146" s="212">
        <v>1.1000000000000001</v>
      </c>
      <c r="BO146" s="212">
        <v>0.8600000000000001</v>
      </c>
      <c r="BP146" s="212">
        <v>0.98000000000000009</v>
      </c>
      <c r="BQ146" s="212">
        <v>10.4</v>
      </c>
      <c r="BR146" s="212">
        <v>8.4</v>
      </c>
      <c r="BS146" s="212">
        <v>9.4</v>
      </c>
      <c r="BT146" s="212">
        <v>11.71</v>
      </c>
      <c r="BU146" s="212">
        <v>11.31</v>
      </c>
      <c r="BV146" s="212">
        <v>11.510000000000002</v>
      </c>
      <c r="BW146" s="212">
        <v>2.87</v>
      </c>
      <c r="BX146" s="212">
        <v>2.59</v>
      </c>
      <c r="BY146" s="212">
        <v>2.73</v>
      </c>
      <c r="BZ146" s="212">
        <v>10.08</v>
      </c>
      <c r="CA146" s="212">
        <v>7.08</v>
      </c>
      <c r="CB146" s="212">
        <v>8.58</v>
      </c>
      <c r="CC146" s="212">
        <v>6.99</v>
      </c>
      <c r="CD146" s="212">
        <v>6.75</v>
      </c>
      <c r="CE146" s="212">
        <v>6.87</v>
      </c>
      <c r="CF146" s="212">
        <v>1.96</v>
      </c>
      <c r="CG146" s="212">
        <v>1.46</v>
      </c>
      <c r="CH146" s="212">
        <v>1.71</v>
      </c>
      <c r="CI146" s="212">
        <v>0.46</v>
      </c>
      <c r="CJ146" s="212">
        <v>0.42000000000000004</v>
      </c>
      <c r="CK146" s="212">
        <v>0.44000000000000006</v>
      </c>
      <c r="CL146" s="212">
        <v>41.03</v>
      </c>
      <c r="CM146" s="212">
        <v>38.630000000000003</v>
      </c>
      <c r="CN146" s="212">
        <v>39.83</v>
      </c>
      <c r="CO146" s="212">
        <v>7.36</v>
      </c>
      <c r="CP146" s="212">
        <v>2.3600000000000003</v>
      </c>
      <c r="CQ146" s="212">
        <v>4.8600000000000003</v>
      </c>
      <c r="CR146" s="212"/>
      <c r="CS146" s="212"/>
    </row>
    <row r="147" spans="1:97" x14ac:dyDescent="0.4">
      <c r="A147" s="209">
        <v>45433</v>
      </c>
      <c r="B147" s="210" t="s">
        <v>295</v>
      </c>
      <c r="C147" s="212">
        <v>157.49</v>
      </c>
      <c r="D147" s="212">
        <v>155.49</v>
      </c>
      <c r="E147" s="212">
        <v>156.49</v>
      </c>
      <c r="F147" s="212">
        <v>171.48</v>
      </c>
      <c r="G147" s="212">
        <v>168.48</v>
      </c>
      <c r="H147" s="212">
        <v>169.98</v>
      </c>
      <c r="I147" s="212">
        <v>116.44</v>
      </c>
      <c r="J147" s="212">
        <v>113.24</v>
      </c>
      <c r="K147" s="212">
        <v>114.84</v>
      </c>
      <c r="L147" s="212">
        <v>202.93</v>
      </c>
      <c r="M147" s="212">
        <v>194.93</v>
      </c>
      <c r="N147" s="212">
        <v>198.93</v>
      </c>
      <c r="O147" s="212">
        <v>172.73</v>
      </c>
      <c r="P147" s="212">
        <v>170.92999999999998</v>
      </c>
      <c r="Q147" s="212">
        <v>171.82999999999998</v>
      </c>
      <c r="R147" s="212">
        <v>23.08</v>
      </c>
      <c r="S147" s="212">
        <v>22.479999999999997</v>
      </c>
      <c r="T147" s="212">
        <v>22.779999999999998</v>
      </c>
      <c r="U147" s="212">
        <v>14.93</v>
      </c>
      <c r="V147" s="212">
        <v>14.33</v>
      </c>
      <c r="W147" s="212">
        <v>14.629999999999999</v>
      </c>
      <c r="X147" s="212">
        <v>15.05</v>
      </c>
      <c r="Y147" s="212">
        <v>14.25</v>
      </c>
      <c r="Z147" s="212">
        <v>14.65</v>
      </c>
      <c r="AA147" s="212">
        <v>106.41</v>
      </c>
      <c r="AB147" s="212">
        <v>102.41</v>
      </c>
      <c r="AC147" s="212">
        <v>104.41</v>
      </c>
      <c r="AD147" s="212">
        <v>97.6</v>
      </c>
      <c r="AE147" s="212">
        <v>93.6</v>
      </c>
      <c r="AF147" s="212">
        <v>95.6</v>
      </c>
      <c r="AG147" s="212">
        <v>20.5</v>
      </c>
      <c r="AH147" s="212">
        <v>19.64</v>
      </c>
      <c r="AI147" s="212">
        <v>20.07</v>
      </c>
      <c r="AJ147" s="212"/>
      <c r="AK147" s="212"/>
      <c r="AL147" s="212"/>
      <c r="AM147" s="212">
        <v>116.99</v>
      </c>
      <c r="AN147" s="212">
        <v>115.33</v>
      </c>
      <c r="AO147" s="212">
        <v>116.16</v>
      </c>
      <c r="AP147" s="212">
        <v>42.59</v>
      </c>
      <c r="AQ147" s="212">
        <v>40.99</v>
      </c>
      <c r="AR147" s="212">
        <v>41.790000000000006</v>
      </c>
      <c r="AS147" s="212">
        <v>43.36</v>
      </c>
      <c r="AT147" s="212">
        <v>42</v>
      </c>
      <c r="AU147" s="212">
        <v>42.68</v>
      </c>
      <c r="AV147" s="212">
        <v>21.9</v>
      </c>
      <c r="AW147" s="212">
        <v>21.299999999999997</v>
      </c>
      <c r="AX147" s="212">
        <v>21.599999999999998</v>
      </c>
      <c r="AY147" s="212">
        <v>4.4000000000000004</v>
      </c>
      <c r="AZ147" s="212">
        <v>4.24</v>
      </c>
      <c r="BA147" s="212">
        <v>4.32</v>
      </c>
      <c r="BB147" s="212">
        <v>2.04</v>
      </c>
      <c r="BC147" s="212">
        <v>1.74</v>
      </c>
      <c r="BD147" s="212">
        <v>1.8900000000000001</v>
      </c>
      <c r="BE147" s="212">
        <v>0.71</v>
      </c>
      <c r="BF147" s="212">
        <v>0.41</v>
      </c>
      <c r="BG147" s="212">
        <v>0.55999999999999994</v>
      </c>
      <c r="BH147" s="212">
        <v>518.9</v>
      </c>
      <c r="BI147" s="212">
        <v>502.9</v>
      </c>
      <c r="BJ147" s="212">
        <v>510.9</v>
      </c>
      <c r="BK147" s="212">
        <v>43.68</v>
      </c>
      <c r="BL147" s="212">
        <v>42.32</v>
      </c>
      <c r="BM147" s="212">
        <v>43</v>
      </c>
      <c r="BN147" s="212">
        <v>1.1000000000000001</v>
      </c>
      <c r="BO147" s="212">
        <v>0.8600000000000001</v>
      </c>
      <c r="BP147" s="212">
        <v>0.98000000000000009</v>
      </c>
      <c r="BQ147" s="212">
        <v>10.46</v>
      </c>
      <c r="BR147" s="212">
        <v>8.4600000000000009</v>
      </c>
      <c r="BS147" s="212">
        <v>9.4600000000000009</v>
      </c>
      <c r="BT147" s="212">
        <v>11.69</v>
      </c>
      <c r="BU147" s="212">
        <v>11.29</v>
      </c>
      <c r="BV147" s="212">
        <v>11.489999999999998</v>
      </c>
      <c r="BW147" s="212">
        <v>2.86</v>
      </c>
      <c r="BX147" s="212">
        <v>2.58</v>
      </c>
      <c r="BY147" s="212">
        <v>2.7199999999999998</v>
      </c>
      <c r="BZ147" s="212">
        <v>10.11</v>
      </c>
      <c r="CA147" s="212">
        <v>7.1099999999999994</v>
      </c>
      <c r="CB147" s="212">
        <v>8.61</v>
      </c>
      <c r="CC147" s="212">
        <v>7</v>
      </c>
      <c r="CD147" s="212">
        <v>6.76</v>
      </c>
      <c r="CE147" s="212">
        <v>6.88</v>
      </c>
      <c r="CF147" s="212">
        <v>1.98</v>
      </c>
      <c r="CG147" s="212">
        <v>1.48</v>
      </c>
      <c r="CH147" s="212">
        <v>1.73</v>
      </c>
      <c r="CI147" s="212">
        <v>0.46</v>
      </c>
      <c r="CJ147" s="212">
        <v>0.42000000000000004</v>
      </c>
      <c r="CK147" s="212">
        <v>0.44000000000000006</v>
      </c>
      <c r="CL147" s="212">
        <v>41.19</v>
      </c>
      <c r="CM147" s="212">
        <v>38.79</v>
      </c>
      <c r="CN147" s="212">
        <v>39.989999999999995</v>
      </c>
      <c r="CO147" s="212">
        <v>7.36</v>
      </c>
      <c r="CP147" s="212">
        <v>2.3600000000000003</v>
      </c>
      <c r="CQ147" s="212">
        <v>4.8600000000000003</v>
      </c>
      <c r="CR147" s="212"/>
      <c r="CS147" s="212"/>
    </row>
    <row r="148" spans="1:97" x14ac:dyDescent="0.4">
      <c r="A148" s="209">
        <v>45434</v>
      </c>
      <c r="B148" s="210" t="s">
        <v>296</v>
      </c>
      <c r="C148" s="212">
        <v>157.33000000000001</v>
      </c>
      <c r="D148" s="212">
        <v>155.33000000000001</v>
      </c>
      <c r="E148" s="212">
        <v>156.33000000000001</v>
      </c>
      <c r="F148" s="212">
        <v>171.26</v>
      </c>
      <c r="G148" s="212">
        <v>168.26</v>
      </c>
      <c r="H148" s="212">
        <v>169.76</v>
      </c>
      <c r="I148" s="212">
        <v>116.23</v>
      </c>
      <c r="J148" s="212">
        <v>113.03</v>
      </c>
      <c r="K148" s="212">
        <v>114.63</v>
      </c>
      <c r="L148" s="212">
        <v>202.77</v>
      </c>
      <c r="M148" s="212">
        <v>194.77</v>
      </c>
      <c r="N148" s="212">
        <v>198.77</v>
      </c>
      <c r="O148" s="212">
        <v>172.46</v>
      </c>
      <c r="P148" s="212">
        <v>170.66</v>
      </c>
      <c r="Q148" s="212">
        <v>171.56</v>
      </c>
      <c r="R148" s="212">
        <v>23.05</v>
      </c>
      <c r="S148" s="212">
        <v>22.45</v>
      </c>
      <c r="T148" s="212">
        <v>22.75</v>
      </c>
      <c r="U148" s="212">
        <v>14.96</v>
      </c>
      <c r="V148" s="212">
        <v>14.360000000000001</v>
      </c>
      <c r="W148" s="212">
        <v>14.66</v>
      </c>
      <c r="X148" s="212">
        <v>15.02</v>
      </c>
      <c r="Y148" s="212">
        <v>14.219999999999999</v>
      </c>
      <c r="Z148" s="212">
        <v>14.62</v>
      </c>
      <c r="AA148" s="212">
        <v>106.23</v>
      </c>
      <c r="AB148" s="212">
        <v>102.23</v>
      </c>
      <c r="AC148" s="212">
        <v>104.23</v>
      </c>
      <c r="AD148" s="212">
        <v>97.35</v>
      </c>
      <c r="AE148" s="212">
        <v>93.35</v>
      </c>
      <c r="AF148" s="212">
        <v>95.35</v>
      </c>
      <c r="AG148" s="212">
        <v>20.46</v>
      </c>
      <c r="AH148" s="212">
        <v>19.600000000000001</v>
      </c>
      <c r="AI148" s="212">
        <v>20.03</v>
      </c>
      <c r="AJ148" s="212"/>
      <c r="AK148" s="212"/>
      <c r="AL148" s="212"/>
      <c r="AM148" s="212">
        <v>116.91</v>
      </c>
      <c r="AN148" s="212">
        <v>115.25</v>
      </c>
      <c r="AO148" s="212">
        <v>116.08</v>
      </c>
      <c r="AP148" s="212">
        <v>42.55</v>
      </c>
      <c r="AQ148" s="212">
        <v>40.949999999999996</v>
      </c>
      <c r="AR148" s="212">
        <v>41.75</v>
      </c>
      <c r="AS148" s="212">
        <v>43.17</v>
      </c>
      <c r="AT148" s="212">
        <v>41.81</v>
      </c>
      <c r="AU148" s="212">
        <v>42.49</v>
      </c>
      <c r="AV148" s="212">
        <v>21.87</v>
      </c>
      <c r="AW148" s="212">
        <v>21.27</v>
      </c>
      <c r="AX148" s="212">
        <v>21.57</v>
      </c>
      <c r="AY148" s="212">
        <v>4.37</v>
      </c>
      <c r="AZ148" s="212">
        <v>4.21</v>
      </c>
      <c r="BA148" s="212">
        <v>4.29</v>
      </c>
      <c r="BB148" s="212">
        <v>2.04</v>
      </c>
      <c r="BC148" s="212">
        <v>1.74</v>
      </c>
      <c r="BD148" s="212">
        <v>1.8900000000000001</v>
      </c>
      <c r="BE148" s="212">
        <v>0.71</v>
      </c>
      <c r="BF148" s="212">
        <v>0.41</v>
      </c>
      <c r="BG148" s="212">
        <v>0.55999999999999994</v>
      </c>
      <c r="BH148" s="212">
        <v>518.38</v>
      </c>
      <c r="BI148" s="212">
        <v>502.38</v>
      </c>
      <c r="BJ148" s="212">
        <v>510.38</v>
      </c>
      <c r="BK148" s="212">
        <v>43.65</v>
      </c>
      <c r="BL148" s="212">
        <v>42.29</v>
      </c>
      <c r="BM148" s="212">
        <v>42.97</v>
      </c>
      <c r="BN148" s="212">
        <v>1.1000000000000001</v>
      </c>
      <c r="BO148" s="212">
        <v>0.8600000000000001</v>
      </c>
      <c r="BP148" s="212">
        <v>0.98000000000000009</v>
      </c>
      <c r="BQ148" s="212">
        <v>10.4</v>
      </c>
      <c r="BR148" s="212">
        <v>8.4</v>
      </c>
      <c r="BS148" s="212">
        <v>9.4</v>
      </c>
      <c r="BT148" s="212">
        <v>11.66</v>
      </c>
      <c r="BU148" s="212">
        <v>11.26</v>
      </c>
      <c r="BV148" s="212">
        <v>11.46</v>
      </c>
      <c r="BW148" s="212">
        <v>2.84</v>
      </c>
      <c r="BX148" s="212">
        <v>2.5599999999999996</v>
      </c>
      <c r="BY148" s="212">
        <v>2.6999999999999997</v>
      </c>
      <c r="BZ148" s="212">
        <v>10.15</v>
      </c>
      <c r="CA148" s="212">
        <v>7.15</v>
      </c>
      <c r="CB148" s="212">
        <v>8.65</v>
      </c>
      <c r="CC148" s="212">
        <v>6.99</v>
      </c>
      <c r="CD148" s="212">
        <v>6.75</v>
      </c>
      <c r="CE148" s="212">
        <v>6.87</v>
      </c>
      <c r="CF148" s="212">
        <v>1.98</v>
      </c>
      <c r="CG148" s="212">
        <v>1.48</v>
      </c>
      <c r="CH148" s="212">
        <v>1.73</v>
      </c>
      <c r="CI148" s="212">
        <v>0.46</v>
      </c>
      <c r="CJ148" s="212">
        <v>0.42000000000000004</v>
      </c>
      <c r="CK148" s="212">
        <v>0.44000000000000006</v>
      </c>
      <c r="CL148" s="212">
        <v>41.15</v>
      </c>
      <c r="CM148" s="212">
        <v>38.75</v>
      </c>
      <c r="CN148" s="212">
        <v>39.950000000000003</v>
      </c>
      <c r="CO148" s="212">
        <v>7.36</v>
      </c>
      <c r="CP148" s="212">
        <v>2.3600000000000003</v>
      </c>
      <c r="CQ148" s="212">
        <v>4.8600000000000003</v>
      </c>
      <c r="CR148" s="212"/>
      <c r="CS148" s="212"/>
    </row>
    <row r="149" spans="1:97" x14ac:dyDescent="0.4">
      <c r="A149" s="209">
        <v>45435</v>
      </c>
      <c r="B149" s="210" t="s">
        <v>297</v>
      </c>
      <c r="C149" s="212">
        <v>157.91999999999999</v>
      </c>
      <c r="D149" s="212">
        <v>155.91999999999999</v>
      </c>
      <c r="E149" s="212">
        <v>156.91999999999999</v>
      </c>
      <c r="F149" s="212">
        <v>171.37</v>
      </c>
      <c r="G149" s="212">
        <v>168.37</v>
      </c>
      <c r="H149" s="212">
        <v>169.87</v>
      </c>
      <c r="I149" s="212">
        <v>116.23</v>
      </c>
      <c r="J149" s="212">
        <v>113.03</v>
      </c>
      <c r="K149" s="212">
        <v>114.63</v>
      </c>
      <c r="L149" s="212">
        <v>203.63</v>
      </c>
      <c r="M149" s="212">
        <v>195.63</v>
      </c>
      <c r="N149" s="212">
        <v>199.63</v>
      </c>
      <c r="O149" s="212">
        <v>172.32</v>
      </c>
      <c r="P149" s="212">
        <v>170.51999999999998</v>
      </c>
      <c r="Q149" s="212">
        <v>171.42</v>
      </c>
      <c r="R149" s="212">
        <v>23.06</v>
      </c>
      <c r="S149" s="212">
        <v>22.459999999999997</v>
      </c>
      <c r="T149" s="212">
        <v>22.759999999999998</v>
      </c>
      <c r="U149" s="212">
        <v>14.96</v>
      </c>
      <c r="V149" s="212">
        <v>14.360000000000001</v>
      </c>
      <c r="W149" s="212">
        <v>14.66</v>
      </c>
      <c r="X149" s="212">
        <v>15.02</v>
      </c>
      <c r="Y149" s="212">
        <v>14.219999999999999</v>
      </c>
      <c r="Z149" s="212">
        <v>14.62</v>
      </c>
      <c r="AA149" s="212">
        <v>105.9</v>
      </c>
      <c r="AB149" s="212">
        <v>101.9</v>
      </c>
      <c r="AC149" s="212">
        <v>103.9</v>
      </c>
      <c r="AD149" s="212">
        <v>97.82</v>
      </c>
      <c r="AE149" s="212">
        <v>93.82</v>
      </c>
      <c r="AF149" s="212">
        <v>95.82</v>
      </c>
      <c r="AG149" s="212">
        <v>20.53</v>
      </c>
      <c r="AH149" s="212">
        <v>19.670000000000002</v>
      </c>
      <c r="AI149" s="212">
        <v>20.100000000000001</v>
      </c>
      <c r="AJ149" s="212"/>
      <c r="AK149" s="212"/>
      <c r="AL149" s="212"/>
      <c r="AM149" s="212">
        <v>117.03</v>
      </c>
      <c r="AN149" s="212">
        <v>115.37</v>
      </c>
      <c r="AO149" s="212">
        <v>116.2</v>
      </c>
      <c r="AP149" s="212">
        <v>42.71</v>
      </c>
      <c r="AQ149" s="212">
        <v>41.11</v>
      </c>
      <c r="AR149" s="212">
        <v>41.91</v>
      </c>
      <c r="AS149" s="212">
        <v>43.47</v>
      </c>
      <c r="AT149" s="212">
        <v>42.11</v>
      </c>
      <c r="AU149" s="212">
        <v>42.79</v>
      </c>
      <c r="AV149" s="212">
        <v>21.93</v>
      </c>
      <c r="AW149" s="212">
        <v>21.33</v>
      </c>
      <c r="AX149" s="212">
        <v>21.63</v>
      </c>
      <c r="AY149" s="212">
        <v>4.3899999999999997</v>
      </c>
      <c r="AZ149" s="212">
        <v>4.2299999999999995</v>
      </c>
      <c r="BA149" s="212">
        <v>4.3099999999999996</v>
      </c>
      <c r="BB149" s="212">
        <v>2.0499999999999998</v>
      </c>
      <c r="BC149" s="212">
        <v>1.7499999999999998</v>
      </c>
      <c r="BD149" s="212">
        <v>1.9</v>
      </c>
      <c r="BE149" s="212">
        <v>0.72</v>
      </c>
      <c r="BF149" s="212">
        <v>0.42</v>
      </c>
      <c r="BG149" s="212">
        <v>0.56999999999999995</v>
      </c>
      <c r="BH149" s="212">
        <v>520.30999999999995</v>
      </c>
      <c r="BI149" s="212">
        <v>504.30999999999995</v>
      </c>
      <c r="BJ149" s="212">
        <v>512.30999999999995</v>
      </c>
      <c r="BK149" s="212">
        <v>43.81</v>
      </c>
      <c r="BL149" s="212">
        <v>42.45</v>
      </c>
      <c r="BM149" s="212">
        <v>43.13</v>
      </c>
      <c r="BN149" s="212">
        <v>1.1100000000000001</v>
      </c>
      <c r="BO149" s="212">
        <v>0.87000000000000011</v>
      </c>
      <c r="BP149" s="212">
        <v>0.9900000000000001</v>
      </c>
      <c r="BQ149" s="212">
        <v>10.42</v>
      </c>
      <c r="BR149" s="212">
        <v>8.42</v>
      </c>
      <c r="BS149" s="212">
        <v>9.42</v>
      </c>
      <c r="BT149" s="212">
        <v>11.72</v>
      </c>
      <c r="BU149" s="212">
        <v>11.32</v>
      </c>
      <c r="BV149" s="212">
        <v>11.52</v>
      </c>
      <c r="BW149" s="212">
        <v>2.86</v>
      </c>
      <c r="BX149" s="212">
        <v>2.58</v>
      </c>
      <c r="BY149" s="212">
        <v>2.7199999999999998</v>
      </c>
      <c r="BZ149" s="212">
        <v>10.08</v>
      </c>
      <c r="CA149" s="212">
        <v>7.08</v>
      </c>
      <c r="CB149" s="212">
        <v>8.58</v>
      </c>
      <c r="CC149" s="212">
        <v>7</v>
      </c>
      <c r="CD149" s="212">
        <v>6.76</v>
      </c>
      <c r="CE149" s="212">
        <v>6.88</v>
      </c>
      <c r="CF149" s="212">
        <v>1.99</v>
      </c>
      <c r="CG149" s="212">
        <v>1.49</v>
      </c>
      <c r="CH149" s="212">
        <v>1.74</v>
      </c>
      <c r="CI149" s="212">
        <v>0.46</v>
      </c>
      <c r="CJ149" s="212">
        <v>0.42000000000000004</v>
      </c>
      <c r="CK149" s="212">
        <v>0.44000000000000006</v>
      </c>
      <c r="CL149" s="212">
        <v>41.06</v>
      </c>
      <c r="CM149" s="212">
        <v>38.660000000000004</v>
      </c>
      <c r="CN149" s="212">
        <v>39.86</v>
      </c>
      <c r="CO149" s="212">
        <v>7.38</v>
      </c>
      <c r="CP149" s="212">
        <v>2.38</v>
      </c>
      <c r="CQ149" s="212">
        <v>4.88</v>
      </c>
      <c r="CR149" s="212"/>
      <c r="CS149" s="212"/>
    </row>
    <row r="150" spans="1:97" x14ac:dyDescent="0.4">
      <c r="A150" s="209">
        <v>45436</v>
      </c>
      <c r="B150" s="210" t="s">
        <v>298</v>
      </c>
      <c r="C150" s="212">
        <v>158.16</v>
      </c>
      <c r="D150" s="212">
        <v>156.16</v>
      </c>
      <c r="E150" s="212">
        <v>157.16</v>
      </c>
      <c r="F150" s="212">
        <v>171.42</v>
      </c>
      <c r="G150" s="212">
        <v>168.42</v>
      </c>
      <c r="H150" s="212">
        <v>169.92</v>
      </c>
      <c r="I150" s="212">
        <v>116.04</v>
      </c>
      <c r="J150" s="212">
        <v>112.84</v>
      </c>
      <c r="K150" s="212">
        <v>114.44</v>
      </c>
      <c r="L150" s="212">
        <v>203.53</v>
      </c>
      <c r="M150" s="212">
        <v>195.53</v>
      </c>
      <c r="N150" s="212">
        <v>199.53</v>
      </c>
      <c r="O150" s="212">
        <v>172.68</v>
      </c>
      <c r="P150" s="212">
        <v>170.88</v>
      </c>
      <c r="Q150" s="212">
        <v>171.78</v>
      </c>
      <c r="R150" s="212">
        <v>23.07</v>
      </c>
      <c r="S150" s="212">
        <v>22.47</v>
      </c>
      <c r="T150" s="212">
        <v>22.77</v>
      </c>
      <c r="U150" s="212">
        <v>15.03</v>
      </c>
      <c r="V150" s="212">
        <v>14.43</v>
      </c>
      <c r="W150" s="212">
        <v>14.73</v>
      </c>
      <c r="X150" s="212">
        <v>15.04</v>
      </c>
      <c r="Y150" s="212">
        <v>14.239999999999998</v>
      </c>
      <c r="Z150" s="212">
        <v>14.639999999999999</v>
      </c>
      <c r="AA150" s="212">
        <v>105.76</v>
      </c>
      <c r="AB150" s="212">
        <v>101.76</v>
      </c>
      <c r="AC150" s="212">
        <v>103.76</v>
      </c>
      <c r="AD150" s="212">
        <v>97.76</v>
      </c>
      <c r="AE150" s="212">
        <v>93.76</v>
      </c>
      <c r="AF150" s="212">
        <v>95.76</v>
      </c>
      <c r="AG150" s="212">
        <v>20.55</v>
      </c>
      <c r="AH150" s="212">
        <v>19.690000000000001</v>
      </c>
      <c r="AI150" s="212">
        <v>20.12</v>
      </c>
      <c r="AJ150" s="212"/>
      <c r="AK150" s="212"/>
      <c r="AL150" s="212"/>
      <c r="AM150" s="212">
        <v>117.08</v>
      </c>
      <c r="AN150" s="212">
        <v>115.42</v>
      </c>
      <c r="AO150" s="212">
        <v>116.25</v>
      </c>
      <c r="AP150" s="212">
        <v>42.78</v>
      </c>
      <c r="AQ150" s="212">
        <v>41.18</v>
      </c>
      <c r="AR150" s="212">
        <v>41.980000000000004</v>
      </c>
      <c r="AS150" s="212">
        <v>43.55</v>
      </c>
      <c r="AT150" s="212">
        <v>42.19</v>
      </c>
      <c r="AU150" s="212">
        <v>42.87</v>
      </c>
      <c r="AV150" s="212">
        <v>21.95</v>
      </c>
      <c r="AW150" s="212">
        <v>21.349999999999998</v>
      </c>
      <c r="AX150" s="212">
        <v>21.65</v>
      </c>
      <c r="AY150" s="212">
        <v>4.38</v>
      </c>
      <c r="AZ150" s="212">
        <v>4.22</v>
      </c>
      <c r="BA150" s="212">
        <v>4.3</v>
      </c>
      <c r="BB150" s="212">
        <v>2.0499999999999998</v>
      </c>
      <c r="BC150" s="212">
        <v>1.7499999999999998</v>
      </c>
      <c r="BD150" s="212">
        <v>1.9</v>
      </c>
      <c r="BE150" s="212">
        <v>0.72</v>
      </c>
      <c r="BF150" s="212">
        <v>0.42</v>
      </c>
      <c r="BG150" s="212">
        <v>0.56999999999999995</v>
      </c>
      <c r="BH150" s="212">
        <v>520.91999999999996</v>
      </c>
      <c r="BI150" s="212">
        <v>504.91999999999996</v>
      </c>
      <c r="BJ150" s="212">
        <v>512.91999999999996</v>
      </c>
      <c r="BK150" s="212">
        <v>43.88</v>
      </c>
      <c r="BL150" s="212">
        <v>42.52</v>
      </c>
      <c r="BM150" s="212">
        <v>43.2</v>
      </c>
      <c r="BN150" s="212">
        <v>1.1100000000000001</v>
      </c>
      <c r="BO150" s="212">
        <v>0.87000000000000011</v>
      </c>
      <c r="BP150" s="212">
        <v>0.9900000000000001</v>
      </c>
      <c r="BQ150" s="212">
        <v>10.4</v>
      </c>
      <c r="BR150" s="212">
        <v>8.4</v>
      </c>
      <c r="BS150" s="212">
        <v>9.4</v>
      </c>
      <c r="BT150" s="212">
        <v>11.69</v>
      </c>
      <c r="BU150" s="212">
        <v>11.29</v>
      </c>
      <c r="BV150" s="212">
        <v>11.489999999999998</v>
      </c>
      <c r="BW150" s="212">
        <v>2.86</v>
      </c>
      <c r="BX150" s="212">
        <v>2.58</v>
      </c>
      <c r="BY150" s="212">
        <v>2.7199999999999998</v>
      </c>
      <c r="BZ150" s="212">
        <v>10.01</v>
      </c>
      <c r="CA150" s="212">
        <v>7.01</v>
      </c>
      <c r="CB150" s="212">
        <v>8.51</v>
      </c>
      <c r="CC150" s="212">
        <v>6.99</v>
      </c>
      <c r="CD150" s="212">
        <v>6.75</v>
      </c>
      <c r="CE150" s="212">
        <v>6.87</v>
      </c>
      <c r="CF150" s="212">
        <v>1.97</v>
      </c>
      <c r="CG150" s="212">
        <v>1.47</v>
      </c>
      <c r="CH150" s="212">
        <v>1.72</v>
      </c>
      <c r="CI150" s="212">
        <v>0.46</v>
      </c>
      <c r="CJ150" s="212">
        <v>0.42000000000000004</v>
      </c>
      <c r="CK150" s="212">
        <v>0.44000000000000006</v>
      </c>
      <c r="CL150" s="212">
        <v>41.08</v>
      </c>
      <c r="CM150" s="212">
        <v>38.68</v>
      </c>
      <c r="CN150" s="212">
        <v>39.879999999999995</v>
      </c>
      <c r="CO150" s="212">
        <v>7.4</v>
      </c>
      <c r="CP150" s="212">
        <v>2.4000000000000004</v>
      </c>
      <c r="CQ150" s="212">
        <v>4.9000000000000004</v>
      </c>
      <c r="CR150" s="212"/>
      <c r="CS150" s="212"/>
    </row>
    <row r="151" spans="1:97" x14ac:dyDescent="0.4">
      <c r="A151" s="209">
        <v>45437</v>
      </c>
      <c r="B151" s="210" t="s">
        <v>299</v>
      </c>
      <c r="C151" s="212"/>
      <c r="D151" s="212"/>
      <c r="E151" s="212"/>
      <c r="F151" s="212"/>
      <c r="G151" s="212"/>
      <c r="H151" s="212"/>
      <c r="I151" s="212"/>
      <c r="J151" s="212"/>
      <c r="K151" s="212"/>
      <c r="L151" s="212"/>
      <c r="M151" s="212"/>
      <c r="N151" s="212"/>
      <c r="O151" s="212"/>
      <c r="P151" s="212"/>
      <c r="Q151" s="212"/>
      <c r="R151" s="212"/>
      <c r="S151" s="212"/>
      <c r="T151" s="212"/>
      <c r="U151" s="212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12"/>
      <c r="AF151" s="212"/>
      <c r="AG151" s="212"/>
      <c r="AH151" s="212"/>
      <c r="AI151" s="212"/>
      <c r="AJ151" s="212"/>
      <c r="AK151" s="212"/>
      <c r="AL151" s="212"/>
      <c r="AM151" s="212"/>
      <c r="AN151" s="212"/>
      <c r="AO151" s="212"/>
      <c r="AP151" s="212"/>
      <c r="AQ151" s="212"/>
      <c r="AR151" s="212"/>
      <c r="AS151" s="212"/>
      <c r="AT151" s="212"/>
      <c r="AU151" s="212"/>
      <c r="AV151" s="212"/>
      <c r="AW151" s="212"/>
      <c r="AX151" s="212"/>
      <c r="AY151" s="212"/>
      <c r="AZ151" s="212"/>
      <c r="BA151" s="212"/>
      <c r="BB151" s="212"/>
      <c r="BC151" s="212"/>
      <c r="BD151" s="212"/>
      <c r="BE151" s="212"/>
      <c r="BF151" s="212"/>
      <c r="BG151" s="212"/>
      <c r="BH151" s="212"/>
      <c r="BI151" s="212"/>
      <c r="BJ151" s="212"/>
      <c r="BK151" s="212"/>
      <c r="BL151" s="212"/>
      <c r="BM151" s="212"/>
      <c r="BN151" s="212"/>
      <c r="BO151" s="212"/>
      <c r="BP151" s="212"/>
      <c r="BQ151" s="212"/>
      <c r="BR151" s="212"/>
      <c r="BS151" s="212"/>
      <c r="BT151" s="212"/>
      <c r="BU151" s="212"/>
      <c r="BV151" s="212"/>
      <c r="BW151" s="212"/>
      <c r="BX151" s="212"/>
      <c r="BY151" s="212"/>
      <c r="BZ151" s="212"/>
      <c r="CA151" s="212"/>
      <c r="CB151" s="212"/>
      <c r="CC151" s="212"/>
      <c r="CD151" s="212"/>
      <c r="CE151" s="212"/>
      <c r="CF151" s="212"/>
      <c r="CG151" s="212"/>
      <c r="CH151" s="212"/>
      <c r="CI151" s="212"/>
      <c r="CJ151" s="212"/>
      <c r="CK151" s="212"/>
      <c r="CL151" s="212"/>
      <c r="CM151" s="212"/>
      <c r="CN151" s="212"/>
      <c r="CO151" s="212"/>
      <c r="CP151" s="212"/>
      <c r="CQ151" s="212"/>
      <c r="CR151" s="212"/>
      <c r="CS151" s="212"/>
    </row>
    <row r="152" spans="1:97" x14ac:dyDescent="0.4">
      <c r="A152" s="209">
        <v>45438</v>
      </c>
      <c r="B152" s="210" t="s">
        <v>300</v>
      </c>
      <c r="C152" s="212"/>
      <c r="D152" s="212"/>
      <c r="E152" s="212"/>
      <c r="F152" s="212"/>
      <c r="G152" s="212"/>
      <c r="H152" s="212"/>
      <c r="I152" s="212"/>
      <c r="J152" s="212"/>
      <c r="K152" s="212"/>
      <c r="L152" s="212"/>
      <c r="M152" s="212"/>
      <c r="N152" s="212"/>
      <c r="O152" s="212"/>
      <c r="P152" s="212"/>
      <c r="Q152" s="212"/>
      <c r="R152" s="212"/>
      <c r="S152" s="212"/>
      <c r="T152" s="212"/>
      <c r="U152" s="212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12"/>
      <c r="AF152" s="212"/>
      <c r="AG152" s="212"/>
      <c r="AH152" s="212"/>
      <c r="AI152" s="212"/>
      <c r="AJ152" s="212"/>
      <c r="AK152" s="212"/>
      <c r="AL152" s="212"/>
      <c r="AM152" s="212"/>
      <c r="AN152" s="212"/>
      <c r="AO152" s="212"/>
      <c r="AP152" s="212"/>
      <c r="AQ152" s="212"/>
      <c r="AR152" s="212"/>
      <c r="AS152" s="212"/>
      <c r="AT152" s="212"/>
      <c r="AU152" s="212"/>
      <c r="AV152" s="212"/>
      <c r="AW152" s="212"/>
      <c r="AX152" s="212"/>
      <c r="AY152" s="212"/>
      <c r="AZ152" s="212"/>
      <c r="BA152" s="212"/>
      <c r="BB152" s="212"/>
      <c r="BC152" s="212"/>
      <c r="BD152" s="212"/>
      <c r="BE152" s="212"/>
      <c r="BF152" s="212"/>
      <c r="BG152" s="212"/>
      <c r="BH152" s="212"/>
      <c r="BI152" s="212"/>
      <c r="BJ152" s="212"/>
      <c r="BK152" s="212"/>
      <c r="BL152" s="212"/>
      <c r="BM152" s="212"/>
      <c r="BN152" s="212"/>
      <c r="BO152" s="212"/>
      <c r="BP152" s="212"/>
      <c r="BQ152" s="212"/>
      <c r="BR152" s="212"/>
      <c r="BS152" s="212"/>
      <c r="BT152" s="212"/>
      <c r="BU152" s="212"/>
      <c r="BV152" s="212"/>
      <c r="BW152" s="212"/>
      <c r="BX152" s="212"/>
      <c r="BY152" s="212"/>
      <c r="BZ152" s="212"/>
      <c r="CA152" s="212"/>
      <c r="CB152" s="212"/>
      <c r="CC152" s="212"/>
      <c r="CD152" s="212"/>
      <c r="CE152" s="212"/>
      <c r="CF152" s="212"/>
      <c r="CG152" s="212"/>
      <c r="CH152" s="212"/>
      <c r="CI152" s="212"/>
      <c r="CJ152" s="212"/>
      <c r="CK152" s="212"/>
      <c r="CL152" s="212"/>
      <c r="CM152" s="212"/>
      <c r="CN152" s="212"/>
      <c r="CO152" s="212"/>
      <c r="CP152" s="212"/>
      <c r="CQ152" s="212"/>
      <c r="CR152" s="212"/>
      <c r="CS152" s="212"/>
    </row>
    <row r="153" spans="1:97" x14ac:dyDescent="0.4">
      <c r="A153" s="209">
        <v>45439</v>
      </c>
      <c r="B153" s="210" t="s">
        <v>294</v>
      </c>
      <c r="C153" s="212">
        <v>157.87</v>
      </c>
      <c r="D153" s="212">
        <v>155.87</v>
      </c>
      <c r="E153" s="212">
        <v>156.87</v>
      </c>
      <c r="F153" s="212">
        <v>171.67</v>
      </c>
      <c r="G153" s="212">
        <v>168.67</v>
      </c>
      <c r="H153" s="212">
        <v>170.17</v>
      </c>
      <c r="I153" s="212">
        <v>116.36</v>
      </c>
      <c r="J153" s="212">
        <v>113.16</v>
      </c>
      <c r="K153" s="212">
        <v>114.75999999999999</v>
      </c>
      <c r="L153" s="212">
        <v>203.84</v>
      </c>
      <c r="M153" s="212">
        <v>195.84</v>
      </c>
      <c r="N153" s="212">
        <v>199.84</v>
      </c>
      <c r="O153" s="212">
        <v>172.4</v>
      </c>
      <c r="P153" s="212">
        <v>170.6</v>
      </c>
      <c r="Q153" s="212">
        <v>171.5</v>
      </c>
      <c r="R153" s="212">
        <v>23.11</v>
      </c>
      <c r="S153" s="212">
        <v>22.509999999999998</v>
      </c>
      <c r="T153" s="212">
        <v>22.81</v>
      </c>
      <c r="U153" s="212">
        <v>15.11</v>
      </c>
      <c r="V153" s="212">
        <v>14.51</v>
      </c>
      <c r="W153" s="212">
        <v>14.809999999999999</v>
      </c>
      <c r="X153" s="212">
        <v>15.1</v>
      </c>
      <c r="Y153" s="212">
        <v>14.299999999999999</v>
      </c>
      <c r="Z153" s="212">
        <v>14.7</v>
      </c>
      <c r="AA153" s="212">
        <v>105.94</v>
      </c>
      <c r="AB153" s="212">
        <v>101.94</v>
      </c>
      <c r="AC153" s="212">
        <v>103.94</v>
      </c>
      <c r="AD153" s="212">
        <v>98.05</v>
      </c>
      <c r="AE153" s="212">
        <v>94.05</v>
      </c>
      <c r="AF153" s="212">
        <v>96.05</v>
      </c>
      <c r="AG153" s="212">
        <v>20.51</v>
      </c>
      <c r="AH153" s="212">
        <v>19.650000000000002</v>
      </c>
      <c r="AI153" s="212">
        <v>20.080000000000002</v>
      </c>
      <c r="AJ153" s="212"/>
      <c r="AK153" s="212"/>
      <c r="AL153" s="212"/>
      <c r="AM153" s="212">
        <v>117.07</v>
      </c>
      <c r="AN153" s="212">
        <v>115.41</v>
      </c>
      <c r="AO153" s="212">
        <v>116.24</v>
      </c>
      <c r="AP153" s="212">
        <v>42.57</v>
      </c>
      <c r="AQ153" s="212">
        <v>40.97</v>
      </c>
      <c r="AR153" s="212">
        <v>41.769999999999996</v>
      </c>
      <c r="AS153" s="212">
        <v>43.46</v>
      </c>
      <c r="AT153" s="212">
        <v>42.1</v>
      </c>
      <c r="AU153" s="212">
        <v>42.78</v>
      </c>
      <c r="AV153" s="212">
        <v>21.9</v>
      </c>
      <c r="AW153" s="212">
        <v>21.299999999999997</v>
      </c>
      <c r="AX153" s="212">
        <v>21.599999999999998</v>
      </c>
      <c r="AY153" s="212">
        <v>4.3600000000000003</v>
      </c>
      <c r="AZ153" s="212">
        <v>4.2</v>
      </c>
      <c r="BA153" s="212">
        <v>4.28</v>
      </c>
      <c r="BB153" s="212">
        <v>2.0499999999999998</v>
      </c>
      <c r="BC153" s="212">
        <v>1.7499999999999998</v>
      </c>
      <c r="BD153" s="212">
        <v>1.9</v>
      </c>
      <c r="BE153" s="212">
        <v>0.72</v>
      </c>
      <c r="BF153" s="212">
        <v>0.42</v>
      </c>
      <c r="BG153" s="212">
        <v>0.56999999999999995</v>
      </c>
      <c r="BH153" s="212">
        <v>519.98</v>
      </c>
      <c r="BI153" s="212">
        <v>503.98</v>
      </c>
      <c r="BJ153" s="212">
        <v>511.98</v>
      </c>
      <c r="BK153" s="212">
        <v>43.79</v>
      </c>
      <c r="BL153" s="212">
        <v>42.43</v>
      </c>
      <c r="BM153" s="212">
        <v>43.11</v>
      </c>
      <c r="BN153" s="212">
        <v>1.1000000000000001</v>
      </c>
      <c r="BO153" s="212">
        <v>0.8600000000000001</v>
      </c>
      <c r="BP153" s="212">
        <v>0.98000000000000009</v>
      </c>
      <c r="BQ153" s="212">
        <v>10.4</v>
      </c>
      <c r="BR153" s="212">
        <v>8.4</v>
      </c>
      <c r="BS153" s="212">
        <v>9.4</v>
      </c>
      <c r="BT153" s="212">
        <v>11.69</v>
      </c>
      <c r="BU153" s="212">
        <v>11.29</v>
      </c>
      <c r="BV153" s="212">
        <v>11.489999999999998</v>
      </c>
      <c r="BW153" s="212">
        <v>2.85</v>
      </c>
      <c r="BX153" s="212">
        <v>2.5700000000000003</v>
      </c>
      <c r="BY153" s="212">
        <v>2.71</v>
      </c>
      <c r="BZ153" s="212">
        <v>10</v>
      </c>
      <c r="CA153" s="212">
        <v>7</v>
      </c>
      <c r="CB153" s="212">
        <v>8.5</v>
      </c>
      <c r="CC153" s="212">
        <v>7.04</v>
      </c>
      <c r="CD153" s="212">
        <v>6.8</v>
      </c>
      <c r="CE153" s="212">
        <v>6.92</v>
      </c>
      <c r="CF153" s="212">
        <v>2</v>
      </c>
      <c r="CG153" s="212">
        <v>1.5</v>
      </c>
      <c r="CH153" s="212">
        <v>1.75</v>
      </c>
      <c r="CI153" s="212">
        <v>0.46</v>
      </c>
      <c r="CJ153" s="212">
        <v>0.42000000000000004</v>
      </c>
      <c r="CK153" s="212">
        <v>0.44000000000000006</v>
      </c>
      <c r="CL153" s="212">
        <v>41.23</v>
      </c>
      <c r="CM153" s="212">
        <v>38.83</v>
      </c>
      <c r="CN153" s="212">
        <v>40.03</v>
      </c>
      <c r="CO153" s="212">
        <v>7.38</v>
      </c>
      <c r="CP153" s="212">
        <v>2.38</v>
      </c>
      <c r="CQ153" s="212">
        <v>4.88</v>
      </c>
      <c r="CR153" s="212"/>
      <c r="CS153" s="212"/>
    </row>
    <row r="154" spans="1:97" x14ac:dyDescent="0.4">
      <c r="A154" s="209">
        <v>45440</v>
      </c>
      <c r="B154" s="210" t="s">
        <v>295</v>
      </c>
      <c r="C154" s="212">
        <v>157.94</v>
      </c>
      <c r="D154" s="212">
        <v>155.94</v>
      </c>
      <c r="E154" s="212">
        <v>156.94</v>
      </c>
      <c r="F154" s="212">
        <v>172.08</v>
      </c>
      <c r="G154" s="212">
        <v>169.08</v>
      </c>
      <c r="H154" s="212">
        <v>170.58</v>
      </c>
      <c r="I154" s="212">
        <v>116.77</v>
      </c>
      <c r="J154" s="212">
        <v>113.57</v>
      </c>
      <c r="K154" s="212">
        <v>115.16999999999999</v>
      </c>
      <c r="L154" s="212">
        <v>204.49</v>
      </c>
      <c r="M154" s="212">
        <v>196.49</v>
      </c>
      <c r="N154" s="212">
        <v>200.49</v>
      </c>
      <c r="O154" s="212">
        <v>172.81</v>
      </c>
      <c r="P154" s="212">
        <v>171.01</v>
      </c>
      <c r="Q154" s="212">
        <v>171.91</v>
      </c>
      <c r="R154" s="212">
        <v>23.16</v>
      </c>
      <c r="S154" s="212">
        <v>22.56</v>
      </c>
      <c r="T154" s="212">
        <v>22.86</v>
      </c>
      <c r="U154" s="212">
        <v>15.26</v>
      </c>
      <c r="V154" s="212">
        <v>14.66</v>
      </c>
      <c r="W154" s="212">
        <v>14.96</v>
      </c>
      <c r="X154" s="212">
        <v>15.2</v>
      </c>
      <c r="Y154" s="212">
        <v>14.399999999999999</v>
      </c>
      <c r="Z154" s="212">
        <v>14.799999999999999</v>
      </c>
      <c r="AA154" s="212">
        <v>106.46</v>
      </c>
      <c r="AB154" s="212">
        <v>102.46</v>
      </c>
      <c r="AC154" s="212">
        <v>104.46</v>
      </c>
      <c r="AD154" s="212">
        <v>98.63</v>
      </c>
      <c r="AE154" s="212">
        <v>94.63</v>
      </c>
      <c r="AF154" s="212">
        <v>96.63</v>
      </c>
      <c r="AG154" s="212">
        <v>20.53</v>
      </c>
      <c r="AH154" s="212">
        <v>19.670000000000002</v>
      </c>
      <c r="AI154" s="212">
        <v>20.100000000000001</v>
      </c>
      <c r="AJ154" s="212"/>
      <c r="AK154" s="212"/>
      <c r="AL154" s="212"/>
      <c r="AM154" s="212">
        <v>117.22</v>
      </c>
      <c r="AN154" s="212">
        <v>115.56</v>
      </c>
      <c r="AO154" s="212">
        <v>116.39</v>
      </c>
      <c r="AP154" s="212">
        <v>42.71</v>
      </c>
      <c r="AQ154" s="212">
        <v>41.11</v>
      </c>
      <c r="AR154" s="212">
        <v>41.91</v>
      </c>
      <c r="AS154" s="212">
        <v>43.48</v>
      </c>
      <c r="AT154" s="212">
        <v>42.12</v>
      </c>
      <c r="AU154" s="212">
        <v>42.8</v>
      </c>
      <c r="AV154" s="212">
        <v>21.91</v>
      </c>
      <c r="AW154" s="212">
        <v>21.31</v>
      </c>
      <c r="AX154" s="212">
        <v>21.61</v>
      </c>
      <c r="AY154" s="212">
        <v>4.37</v>
      </c>
      <c r="AZ154" s="212">
        <v>4.21</v>
      </c>
      <c r="BA154" s="212">
        <v>4.29</v>
      </c>
      <c r="BB154" s="212">
        <v>2.0499999999999998</v>
      </c>
      <c r="BC154" s="212">
        <v>1.7499999999999998</v>
      </c>
      <c r="BD154" s="212">
        <v>1.9</v>
      </c>
      <c r="BE154" s="212">
        <v>0.72</v>
      </c>
      <c r="BF154" s="212">
        <v>0.42</v>
      </c>
      <c r="BG154" s="212">
        <v>0.56999999999999995</v>
      </c>
      <c r="BH154" s="212">
        <v>520.54</v>
      </c>
      <c r="BI154" s="212">
        <v>504.53999999999996</v>
      </c>
      <c r="BJ154" s="212">
        <v>512.54</v>
      </c>
      <c r="BK154" s="212">
        <v>43.69</v>
      </c>
      <c r="BL154" s="212">
        <v>42.33</v>
      </c>
      <c r="BM154" s="212">
        <v>43.01</v>
      </c>
      <c r="BN154" s="212">
        <v>1.1000000000000001</v>
      </c>
      <c r="BO154" s="212">
        <v>0.8600000000000001</v>
      </c>
      <c r="BP154" s="212">
        <v>0.98000000000000009</v>
      </c>
      <c r="BQ154" s="212">
        <v>10.41</v>
      </c>
      <c r="BR154" s="212">
        <v>8.41</v>
      </c>
      <c r="BS154" s="212">
        <v>9.41</v>
      </c>
      <c r="BT154" s="212">
        <v>11.74</v>
      </c>
      <c r="BU154" s="212">
        <v>11.34</v>
      </c>
      <c r="BV154" s="212">
        <v>11.54</v>
      </c>
      <c r="BW154" s="212">
        <v>2.86</v>
      </c>
      <c r="BX154" s="212">
        <v>2.58</v>
      </c>
      <c r="BY154" s="212">
        <v>2.7199999999999998</v>
      </c>
      <c r="BZ154" s="212">
        <v>10.039999999999999</v>
      </c>
      <c r="CA154" s="212">
        <v>7.0399999999999991</v>
      </c>
      <c r="CB154" s="212">
        <v>8.5399999999999991</v>
      </c>
      <c r="CC154" s="212">
        <v>7.03</v>
      </c>
      <c r="CD154" s="212">
        <v>6.79</v>
      </c>
      <c r="CE154" s="212">
        <v>6.91</v>
      </c>
      <c r="CF154" s="212">
        <v>2.02</v>
      </c>
      <c r="CG154" s="212">
        <v>1.52</v>
      </c>
      <c r="CH154" s="212">
        <v>1.77</v>
      </c>
      <c r="CI154" s="212">
        <v>0.46</v>
      </c>
      <c r="CJ154" s="212">
        <v>0.42000000000000004</v>
      </c>
      <c r="CK154" s="212">
        <v>0.44000000000000006</v>
      </c>
      <c r="CL154" s="212">
        <v>41.25</v>
      </c>
      <c r="CM154" s="212">
        <v>38.85</v>
      </c>
      <c r="CN154" s="212">
        <v>40.049999999999997</v>
      </c>
      <c r="CO154" s="212">
        <v>7.37</v>
      </c>
      <c r="CP154" s="212">
        <v>2.37</v>
      </c>
      <c r="CQ154" s="212">
        <v>4.87</v>
      </c>
      <c r="CR154" s="212"/>
      <c r="CS154" s="212"/>
    </row>
    <row r="155" spans="1:97" x14ac:dyDescent="0.4">
      <c r="A155" s="209">
        <v>45441</v>
      </c>
      <c r="B155" s="210" t="s">
        <v>296</v>
      </c>
      <c r="C155" s="212">
        <v>158.4</v>
      </c>
      <c r="D155" s="212">
        <v>156.4</v>
      </c>
      <c r="E155" s="212">
        <v>157.4</v>
      </c>
      <c r="F155" s="212">
        <v>172.29</v>
      </c>
      <c r="G155" s="212">
        <v>169.29</v>
      </c>
      <c r="H155" s="212">
        <v>170.79</v>
      </c>
      <c r="I155" s="212">
        <v>116.86</v>
      </c>
      <c r="J155" s="212">
        <v>113.66</v>
      </c>
      <c r="K155" s="212">
        <v>115.25999999999999</v>
      </c>
      <c r="L155" s="212">
        <v>204.78</v>
      </c>
      <c r="M155" s="212">
        <v>196.78</v>
      </c>
      <c r="N155" s="212">
        <v>200.78</v>
      </c>
      <c r="O155" s="212">
        <v>173.37</v>
      </c>
      <c r="P155" s="212">
        <v>171.57</v>
      </c>
      <c r="Q155" s="212">
        <v>172.47</v>
      </c>
      <c r="R155" s="212">
        <v>23.19</v>
      </c>
      <c r="S155" s="212">
        <v>22.59</v>
      </c>
      <c r="T155" s="212">
        <v>22.89</v>
      </c>
      <c r="U155" s="212">
        <v>15.27</v>
      </c>
      <c r="V155" s="212">
        <v>14.67</v>
      </c>
      <c r="W155" s="212">
        <v>14.969999999999999</v>
      </c>
      <c r="X155" s="212">
        <v>15.26</v>
      </c>
      <c r="Y155" s="212">
        <v>14.459999999999999</v>
      </c>
      <c r="Z155" s="212">
        <v>14.86</v>
      </c>
      <c r="AA155" s="212">
        <v>106.53</v>
      </c>
      <c r="AB155" s="212">
        <v>102.53</v>
      </c>
      <c r="AC155" s="212">
        <v>104.53</v>
      </c>
      <c r="AD155" s="212">
        <v>98.55</v>
      </c>
      <c r="AE155" s="212">
        <v>94.55</v>
      </c>
      <c r="AF155" s="212">
        <v>96.55</v>
      </c>
      <c r="AG155" s="212">
        <v>20.58</v>
      </c>
      <c r="AH155" s="212">
        <v>19.72</v>
      </c>
      <c r="AI155" s="212">
        <v>20.149999999999999</v>
      </c>
      <c r="AJ155" s="212"/>
      <c r="AK155" s="212"/>
      <c r="AL155" s="212"/>
      <c r="AM155" s="212">
        <v>117.49</v>
      </c>
      <c r="AN155" s="212">
        <v>115.83</v>
      </c>
      <c r="AO155" s="212">
        <v>116.66</v>
      </c>
      <c r="AP155" s="212">
        <v>42.84</v>
      </c>
      <c r="AQ155" s="212">
        <v>41.24</v>
      </c>
      <c r="AR155" s="212">
        <v>42.040000000000006</v>
      </c>
      <c r="AS155" s="212">
        <v>43.6</v>
      </c>
      <c r="AT155" s="212">
        <v>42.24</v>
      </c>
      <c r="AU155" s="212">
        <v>42.92</v>
      </c>
      <c r="AV155" s="212">
        <v>21.96</v>
      </c>
      <c r="AW155" s="212">
        <v>21.36</v>
      </c>
      <c r="AX155" s="212">
        <v>21.66</v>
      </c>
      <c r="AY155" s="212">
        <v>4.37</v>
      </c>
      <c r="AZ155" s="212">
        <v>4.21</v>
      </c>
      <c r="BA155" s="212">
        <v>4.29</v>
      </c>
      <c r="BB155" s="212">
        <v>2.0499999999999998</v>
      </c>
      <c r="BC155" s="212">
        <v>1.7499999999999998</v>
      </c>
      <c r="BD155" s="212">
        <v>1.9</v>
      </c>
      <c r="BE155" s="212">
        <v>0.72</v>
      </c>
      <c r="BF155" s="212">
        <v>0.42</v>
      </c>
      <c r="BG155" s="212">
        <v>0.56999999999999995</v>
      </c>
      <c r="BH155" s="212">
        <v>522.21</v>
      </c>
      <c r="BI155" s="212">
        <v>506.21000000000004</v>
      </c>
      <c r="BJ155" s="212">
        <v>514.21</v>
      </c>
      <c r="BK155" s="212">
        <v>43.95</v>
      </c>
      <c r="BL155" s="212">
        <v>42.59</v>
      </c>
      <c r="BM155" s="212">
        <v>43.27</v>
      </c>
      <c r="BN155" s="212">
        <v>1.1000000000000001</v>
      </c>
      <c r="BO155" s="212">
        <v>0.8600000000000001</v>
      </c>
      <c r="BP155" s="212">
        <v>0.98000000000000009</v>
      </c>
      <c r="BQ155" s="212">
        <v>10.37</v>
      </c>
      <c r="BR155" s="212">
        <v>8.3699999999999992</v>
      </c>
      <c r="BS155" s="212">
        <v>9.3699999999999992</v>
      </c>
      <c r="BT155" s="212">
        <v>11.74</v>
      </c>
      <c r="BU155" s="212">
        <v>11.34</v>
      </c>
      <c r="BV155" s="212">
        <v>11.54</v>
      </c>
      <c r="BW155" s="212">
        <v>2.88</v>
      </c>
      <c r="BX155" s="212">
        <v>2.5999999999999996</v>
      </c>
      <c r="BY155" s="212">
        <v>2.7399999999999998</v>
      </c>
      <c r="BZ155" s="212">
        <v>10.1</v>
      </c>
      <c r="CA155" s="212">
        <v>7.1</v>
      </c>
      <c r="CB155" s="212">
        <v>8.6</v>
      </c>
      <c r="CC155" s="212">
        <v>7.05</v>
      </c>
      <c r="CD155" s="212">
        <v>6.81</v>
      </c>
      <c r="CE155" s="212">
        <v>6.93</v>
      </c>
      <c r="CF155" s="212">
        <v>2.0299999999999998</v>
      </c>
      <c r="CG155" s="212">
        <v>1.5299999999999998</v>
      </c>
      <c r="CH155" s="212">
        <v>1.7799999999999998</v>
      </c>
      <c r="CI155" s="212">
        <v>0.46</v>
      </c>
      <c r="CJ155" s="212">
        <v>0.42000000000000004</v>
      </c>
      <c r="CK155" s="212">
        <v>0.44000000000000006</v>
      </c>
      <c r="CL155" s="212">
        <v>41.38</v>
      </c>
      <c r="CM155" s="212">
        <v>38.980000000000004</v>
      </c>
      <c r="CN155" s="212">
        <v>40.180000000000007</v>
      </c>
      <c r="CO155" s="212">
        <v>7.39</v>
      </c>
      <c r="CP155" s="212">
        <v>2.3899999999999997</v>
      </c>
      <c r="CQ155" s="212">
        <v>4.8899999999999997</v>
      </c>
      <c r="CR155" s="212"/>
      <c r="CS155" s="212"/>
    </row>
    <row r="156" spans="1:97" x14ac:dyDescent="0.4">
      <c r="A156" s="209">
        <v>45442</v>
      </c>
      <c r="B156" s="210" t="s">
        <v>297</v>
      </c>
      <c r="C156" s="212">
        <v>158.62</v>
      </c>
      <c r="D156" s="212">
        <v>156.62</v>
      </c>
      <c r="E156" s="212">
        <v>157.62</v>
      </c>
      <c r="F156" s="212">
        <v>171.65</v>
      </c>
      <c r="G156" s="212">
        <v>168.65</v>
      </c>
      <c r="H156" s="212">
        <v>170.15</v>
      </c>
      <c r="I156" s="212">
        <v>116.48</v>
      </c>
      <c r="J156" s="212">
        <v>113.28</v>
      </c>
      <c r="K156" s="212">
        <v>114.88</v>
      </c>
      <c r="L156" s="212">
        <v>204.08</v>
      </c>
      <c r="M156" s="212">
        <v>196.08</v>
      </c>
      <c r="N156" s="212">
        <v>200.08</v>
      </c>
      <c r="O156" s="212">
        <v>173.39</v>
      </c>
      <c r="P156" s="212">
        <v>171.58999999999997</v>
      </c>
      <c r="Q156" s="212">
        <v>172.48999999999998</v>
      </c>
      <c r="R156" s="212">
        <v>23.11</v>
      </c>
      <c r="S156" s="212">
        <v>22.509999999999998</v>
      </c>
      <c r="T156" s="212">
        <v>22.81</v>
      </c>
      <c r="U156" s="212">
        <v>15.18</v>
      </c>
      <c r="V156" s="212">
        <v>14.58</v>
      </c>
      <c r="W156" s="212">
        <v>14.879999999999999</v>
      </c>
      <c r="X156" s="212">
        <v>15.15</v>
      </c>
      <c r="Y156" s="212">
        <v>14.35</v>
      </c>
      <c r="Z156" s="212">
        <v>14.75</v>
      </c>
      <c r="AA156" s="212">
        <v>106.19</v>
      </c>
      <c r="AB156" s="212">
        <v>102.19</v>
      </c>
      <c r="AC156" s="212">
        <v>104.19</v>
      </c>
      <c r="AD156" s="212">
        <v>98.23</v>
      </c>
      <c r="AE156" s="212">
        <v>94.23</v>
      </c>
      <c r="AF156" s="212">
        <v>96.23</v>
      </c>
      <c r="AG156" s="212">
        <v>20.6</v>
      </c>
      <c r="AH156" s="212">
        <v>19.740000000000002</v>
      </c>
      <c r="AI156" s="212">
        <v>20.170000000000002</v>
      </c>
      <c r="AJ156" s="212"/>
      <c r="AK156" s="212"/>
      <c r="AL156" s="212"/>
      <c r="AM156" s="212">
        <v>117.35</v>
      </c>
      <c r="AN156" s="212">
        <v>115.69</v>
      </c>
      <c r="AO156" s="212">
        <v>116.52</v>
      </c>
      <c r="AP156" s="212">
        <v>42.9</v>
      </c>
      <c r="AQ156" s="212">
        <v>41.3</v>
      </c>
      <c r="AR156" s="212">
        <v>42.099999999999994</v>
      </c>
      <c r="AS156" s="212">
        <v>43.66</v>
      </c>
      <c r="AT156" s="212">
        <v>42.3</v>
      </c>
      <c r="AU156" s="212">
        <v>42.98</v>
      </c>
      <c r="AV156" s="212">
        <v>21.97</v>
      </c>
      <c r="AW156" s="212">
        <v>21.369999999999997</v>
      </c>
      <c r="AX156" s="212">
        <v>21.669999999999998</v>
      </c>
      <c r="AY156" s="212">
        <v>4.3600000000000003</v>
      </c>
      <c r="AZ156" s="212">
        <v>4.2</v>
      </c>
      <c r="BA156" s="212">
        <v>4.28</v>
      </c>
      <c r="BB156" s="212">
        <v>2.0499999999999998</v>
      </c>
      <c r="BC156" s="212">
        <v>1.7499999999999998</v>
      </c>
      <c r="BD156" s="212">
        <v>1.9</v>
      </c>
      <c r="BE156" s="212">
        <v>0.72</v>
      </c>
      <c r="BF156" s="212">
        <v>0.42</v>
      </c>
      <c r="BG156" s="212">
        <v>0.56999999999999995</v>
      </c>
      <c r="BH156" s="212">
        <v>522.59</v>
      </c>
      <c r="BI156" s="212">
        <v>506.59000000000003</v>
      </c>
      <c r="BJ156" s="212">
        <v>514.59</v>
      </c>
      <c r="BK156" s="212">
        <v>43.99</v>
      </c>
      <c r="BL156" s="212">
        <v>42.63</v>
      </c>
      <c r="BM156" s="212">
        <v>43.31</v>
      </c>
      <c r="BN156" s="212">
        <v>1.1000000000000001</v>
      </c>
      <c r="BO156" s="212">
        <v>0.8600000000000001</v>
      </c>
      <c r="BP156" s="212">
        <v>0.98000000000000009</v>
      </c>
      <c r="BQ156" s="212">
        <v>10.24</v>
      </c>
      <c r="BR156" s="212">
        <v>8.24</v>
      </c>
      <c r="BS156" s="212">
        <v>9.24</v>
      </c>
      <c r="BT156" s="212">
        <v>11.68</v>
      </c>
      <c r="BU156" s="212">
        <v>11.28</v>
      </c>
      <c r="BV156" s="212">
        <v>11.48</v>
      </c>
      <c r="BW156" s="212">
        <v>2.86</v>
      </c>
      <c r="BX156" s="212">
        <v>2.58</v>
      </c>
      <c r="BY156" s="212">
        <v>2.7199999999999998</v>
      </c>
      <c r="BZ156" s="212">
        <v>10.039999999999999</v>
      </c>
      <c r="CA156" s="212">
        <v>7.0399999999999991</v>
      </c>
      <c r="CB156" s="212">
        <v>8.5399999999999991</v>
      </c>
      <c r="CC156" s="212">
        <v>7</v>
      </c>
      <c r="CD156" s="212">
        <v>6.76</v>
      </c>
      <c r="CE156" s="212">
        <v>6.88</v>
      </c>
      <c r="CF156" s="212">
        <v>2.0099999999999998</v>
      </c>
      <c r="CG156" s="212">
        <v>1.5099999999999998</v>
      </c>
      <c r="CH156" s="212">
        <v>1.7599999999999998</v>
      </c>
      <c r="CI156" s="212">
        <v>0.46</v>
      </c>
      <c r="CJ156" s="212">
        <v>0.42000000000000004</v>
      </c>
      <c r="CK156" s="212">
        <v>0.44000000000000006</v>
      </c>
      <c r="CL156" s="212">
        <v>40.96</v>
      </c>
      <c r="CM156" s="212">
        <v>38.56</v>
      </c>
      <c r="CN156" s="212">
        <v>39.760000000000005</v>
      </c>
      <c r="CO156" s="212">
        <v>7.39</v>
      </c>
      <c r="CP156" s="212">
        <v>2.3899999999999997</v>
      </c>
      <c r="CQ156" s="212">
        <v>4.8899999999999997</v>
      </c>
      <c r="CR156" s="212"/>
      <c r="CS156" s="212"/>
    </row>
    <row r="157" spans="1:97" x14ac:dyDescent="0.4">
      <c r="A157" s="209">
        <v>45443</v>
      </c>
      <c r="B157" s="210" t="s">
        <v>298</v>
      </c>
      <c r="C157" s="212">
        <v>157.74</v>
      </c>
      <c r="D157" s="212">
        <v>155.74</v>
      </c>
      <c r="E157" s="212">
        <v>156.74</v>
      </c>
      <c r="F157" s="212">
        <v>171.28</v>
      </c>
      <c r="G157" s="212">
        <v>168.28</v>
      </c>
      <c r="H157" s="212">
        <v>169.78</v>
      </c>
      <c r="I157" s="212">
        <v>116.15</v>
      </c>
      <c r="J157" s="212">
        <v>112.95</v>
      </c>
      <c r="K157" s="212">
        <v>114.55000000000001</v>
      </c>
      <c r="L157" s="212">
        <v>203.61</v>
      </c>
      <c r="M157" s="212">
        <v>195.61</v>
      </c>
      <c r="N157" s="212">
        <v>199.61</v>
      </c>
      <c r="O157" s="212">
        <v>174.5</v>
      </c>
      <c r="P157" s="212">
        <v>172.7</v>
      </c>
      <c r="Q157" s="212">
        <v>173.6</v>
      </c>
      <c r="R157" s="212">
        <v>23.06</v>
      </c>
      <c r="S157" s="212">
        <v>22.459999999999997</v>
      </c>
      <c r="T157" s="212">
        <v>22.759999999999998</v>
      </c>
      <c r="U157" s="212">
        <v>15.15</v>
      </c>
      <c r="V157" s="212">
        <v>14.55</v>
      </c>
      <c r="W157" s="212">
        <v>14.850000000000001</v>
      </c>
      <c r="X157" s="212">
        <v>15.19</v>
      </c>
      <c r="Y157" s="212">
        <v>14.389999999999999</v>
      </c>
      <c r="Z157" s="212">
        <v>14.79</v>
      </c>
      <c r="AA157" s="212">
        <v>106.01</v>
      </c>
      <c r="AB157" s="212">
        <v>102.01</v>
      </c>
      <c r="AC157" s="212">
        <v>104.01</v>
      </c>
      <c r="AD157" s="212">
        <v>97.96</v>
      </c>
      <c r="AE157" s="212">
        <v>93.96</v>
      </c>
      <c r="AF157" s="212">
        <v>95.96</v>
      </c>
      <c r="AG157" s="212">
        <v>20.48</v>
      </c>
      <c r="AH157" s="212">
        <v>19.62</v>
      </c>
      <c r="AI157" s="212">
        <v>20.05</v>
      </c>
      <c r="AJ157" s="212"/>
      <c r="AK157" s="212"/>
      <c r="AL157" s="212"/>
      <c r="AM157" s="212">
        <v>116.95</v>
      </c>
      <c r="AN157" s="212">
        <v>115.29</v>
      </c>
      <c r="AO157" s="212">
        <v>116.12</v>
      </c>
      <c r="AP157" s="212">
        <v>42.65</v>
      </c>
      <c r="AQ157" s="212">
        <v>41.05</v>
      </c>
      <c r="AR157" s="212">
        <v>41.849999999999994</v>
      </c>
      <c r="AS157" s="212">
        <v>43.42</v>
      </c>
      <c r="AT157" s="212">
        <v>42.06</v>
      </c>
      <c r="AU157" s="212">
        <v>42.74</v>
      </c>
      <c r="AV157" s="212">
        <v>21.91</v>
      </c>
      <c r="AW157" s="212">
        <v>21.31</v>
      </c>
      <c r="AX157" s="212">
        <v>21.61</v>
      </c>
      <c r="AY157" s="212">
        <v>4.3499999999999996</v>
      </c>
      <c r="AZ157" s="212">
        <v>4.1899999999999995</v>
      </c>
      <c r="BA157" s="212">
        <v>4.2699999999999996</v>
      </c>
      <c r="BB157" s="212">
        <v>2.04</v>
      </c>
      <c r="BC157" s="212">
        <v>1.74</v>
      </c>
      <c r="BD157" s="212">
        <v>1.8900000000000001</v>
      </c>
      <c r="BE157" s="212">
        <v>0.72</v>
      </c>
      <c r="BF157" s="212">
        <v>0.42</v>
      </c>
      <c r="BG157" s="212">
        <v>0.56999999999999995</v>
      </c>
      <c r="BH157" s="212">
        <v>518.39</v>
      </c>
      <c r="BI157" s="212">
        <v>502.39</v>
      </c>
      <c r="BJ157" s="212">
        <v>510.39</v>
      </c>
      <c r="BK157" s="212">
        <v>43.75</v>
      </c>
      <c r="BL157" s="212">
        <v>42.39</v>
      </c>
      <c r="BM157" s="212">
        <v>43.07</v>
      </c>
      <c r="BN157" s="212">
        <v>1.0900000000000001</v>
      </c>
      <c r="BO157" s="212">
        <v>0.85000000000000009</v>
      </c>
      <c r="BP157" s="212">
        <v>0.97000000000000008</v>
      </c>
      <c r="BQ157" s="212">
        <v>10.210000000000001</v>
      </c>
      <c r="BR157" s="212">
        <v>8.2100000000000009</v>
      </c>
      <c r="BS157" s="212">
        <v>9.2100000000000009</v>
      </c>
      <c r="BT157" s="212">
        <v>11.58</v>
      </c>
      <c r="BU157" s="212">
        <v>11.18</v>
      </c>
      <c r="BV157" s="212">
        <v>11.379999999999999</v>
      </c>
      <c r="BW157" s="212">
        <v>2.83</v>
      </c>
      <c r="BX157" s="212">
        <v>2.5499999999999998</v>
      </c>
      <c r="BY157" s="212">
        <v>2.69</v>
      </c>
      <c r="BZ157" s="212">
        <v>9.8800000000000008</v>
      </c>
      <c r="CA157" s="212">
        <v>6.8800000000000008</v>
      </c>
      <c r="CB157" s="212">
        <v>8.3800000000000008</v>
      </c>
      <c r="CC157" s="212">
        <v>6.98</v>
      </c>
      <c r="CD157" s="212">
        <v>6.74</v>
      </c>
      <c r="CE157" s="212">
        <v>6.86</v>
      </c>
      <c r="CF157" s="212">
        <v>1.99</v>
      </c>
      <c r="CG157" s="212">
        <v>1.49</v>
      </c>
      <c r="CH157" s="212">
        <v>1.74</v>
      </c>
      <c r="CI157" s="212">
        <v>0.46</v>
      </c>
      <c r="CJ157" s="212">
        <v>0.42000000000000004</v>
      </c>
      <c r="CK157" s="212">
        <v>0.44000000000000006</v>
      </c>
      <c r="CL157" s="212">
        <v>40.86</v>
      </c>
      <c r="CM157" s="212">
        <v>38.46</v>
      </c>
      <c r="CN157" s="212">
        <v>39.659999999999997</v>
      </c>
      <c r="CO157" s="212">
        <v>7.37</v>
      </c>
      <c r="CP157" s="212">
        <v>2.37</v>
      </c>
      <c r="CQ157" s="212">
        <v>4.87</v>
      </c>
      <c r="CR157" s="212"/>
      <c r="CS157" s="212"/>
    </row>
    <row r="158" spans="1:97" x14ac:dyDescent="0.4">
      <c r="A158" s="209">
        <v>45444</v>
      </c>
      <c r="B158" s="210" t="s">
        <v>299</v>
      </c>
      <c r="C158" s="212"/>
      <c r="D158" s="212"/>
      <c r="E158" s="212"/>
      <c r="F158" s="212"/>
      <c r="G158" s="212"/>
      <c r="H158" s="212"/>
      <c r="I158" s="212"/>
      <c r="J158" s="212"/>
      <c r="K158" s="212"/>
      <c r="L158" s="212"/>
      <c r="M158" s="212"/>
      <c r="N158" s="212"/>
      <c r="O158" s="212"/>
      <c r="P158" s="212"/>
      <c r="Q158" s="212"/>
      <c r="R158" s="212"/>
      <c r="S158" s="212"/>
      <c r="T158" s="212"/>
      <c r="U158" s="212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12"/>
      <c r="AF158" s="212"/>
      <c r="AG158" s="212"/>
      <c r="AH158" s="212"/>
      <c r="AI158" s="212"/>
      <c r="AJ158" s="212"/>
      <c r="AK158" s="212"/>
      <c r="AL158" s="212"/>
      <c r="AM158" s="212"/>
      <c r="AN158" s="212"/>
      <c r="AO158" s="212"/>
      <c r="AP158" s="212"/>
      <c r="AQ158" s="212"/>
      <c r="AR158" s="212"/>
      <c r="AS158" s="212"/>
      <c r="AT158" s="212"/>
      <c r="AU158" s="212"/>
      <c r="AV158" s="212"/>
      <c r="AW158" s="212"/>
      <c r="AX158" s="212"/>
      <c r="AY158" s="212"/>
      <c r="AZ158" s="212"/>
      <c r="BA158" s="212"/>
      <c r="BB158" s="212"/>
      <c r="BC158" s="212"/>
      <c r="BD158" s="212"/>
      <c r="BE158" s="212"/>
      <c r="BF158" s="212"/>
      <c r="BG158" s="212"/>
      <c r="BH158" s="212"/>
      <c r="BI158" s="212"/>
      <c r="BJ158" s="212"/>
      <c r="BK158" s="212"/>
      <c r="BL158" s="212"/>
      <c r="BM158" s="212"/>
      <c r="BN158" s="212"/>
      <c r="BO158" s="212"/>
      <c r="BP158" s="212"/>
      <c r="BQ158" s="212"/>
      <c r="BR158" s="212"/>
      <c r="BS158" s="212"/>
      <c r="BT158" s="212"/>
      <c r="BU158" s="212"/>
      <c r="BV158" s="212"/>
      <c r="BW158" s="212"/>
      <c r="BX158" s="212"/>
      <c r="BY158" s="212"/>
      <c r="BZ158" s="212"/>
      <c r="CA158" s="212"/>
      <c r="CB158" s="212"/>
      <c r="CC158" s="212"/>
      <c r="CD158" s="212"/>
      <c r="CE158" s="212"/>
      <c r="CF158" s="212"/>
      <c r="CG158" s="212"/>
      <c r="CH158" s="212"/>
      <c r="CI158" s="212"/>
      <c r="CJ158" s="212"/>
      <c r="CK158" s="212"/>
      <c r="CL158" s="212"/>
      <c r="CM158" s="212"/>
      <c r="CN158" s="212"/>
      <c r="CO158" s="212"/>
      <c r="CP158" s="212"/>
      <c r="CQ158" s="212"/>
      <c r="CR158" s="212"/>
      <c r="CS158" s="212"/>
    </row>
    <row r="159" spans="1:97" x14ac:dyDescent="0.4">
      <c r="A159" s="209">
        <v>45445</v>
      </c>
      <c r="B159" s="210" t="s">
        <v>300</v>
      </c>
      <c r="C159" s="212"/>
      <c r="D159" s="212"/>
      <c r="E159" s="212"/>
      <c r="F159" s="212"/>
      <c r="G159" s="212"/>
      <c r="H159" s="212"/>
      <c r="I159" s="212"/>
      <c r="J159" s="212"/>
      <c r="K159" s="212"/>
      <c r="L159" s="212"/>
      <c r="M159" s="212"/>
      <c r="N159" s="212"/>
      <c r="O159" s="212"/>
      <c r="P159" s="212"/>
      <c r="Q159" s="212"/>
      <c r="R159" s="212"/>
      <c r="S159" s="212"/>
      <c r="T159" s="212"/>
      <c r="U159" s="212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12"/>
      <c r="AF159" s="212"/>
      <c r="AG159" s="212"/>
      <c r="AH159" s="212"/>
      <c r="AI159" s="212"/>
      <c r="AJ159" s="212"/>
      <c r="AK159" s="212"/>
      <c r="AL159" s="212"/>
      <c r="AM159" s="212"/>
      <c r="AN159" s="212"/>
      <c r="AO159" s="212"/>
      <c r="AP159" s="212"/>
      <c r="AQ159" s="212"/>
      <c r="AR159" s="212"/>
      <c r="AS159" s="212"/>
      <c r="AT159" s="212"/>
      <c r="AU159" s="212"/>
      <c r="AV159" s="212"/>
      <c r="AW159" s="212"/>
      <c r="AX159" s="212"/>
      <c r="AY159" s="212"/>
      <c r="AZ159" s="212"/>
      <c r="BA159" s="212"/>
      <c r="BB159" s="212"/>
      <c r="BC159" s="212"/>
      <c r="BD159" s="212"/>
      <c r="BE159" s="212"/>
      <c r="BF159" s="212"/>
      <c r="BG159" s="212"/>
      <c r="BH159" s="212"/>
      <c r="BI159" s="212"/>
      <c r="BJ159" s="212"/>
      <c r="BK159" s="212"/>
      <c r="BL159" s="212"/>
      <c r="BM159" s="212"/>
      <c r="BN159" s="212"/>
      <c r="BO159" s="212"/>
      <c r="BP159" s="212"/>
      <c r="BQ159" s="212"/>
      <c r="BR159" s="212"/>
      <c r="BS159" s="212"/>
      <c r="BT159" s="212"/>
      <c r="BU159" s="212"/>
      <c r="BV159" s="212"/>
      <c r="BW159" s="212"/>
      <c r="BX159" s="212"/>
      <c r="BY159" s="212"/>
      <c r="BZ159" s="212"/>
      <c r="CA159" s="212"/>
      <c r="CB159" s="212"/>
      <c r="CC159" s="212"/>
      <c r="CD159" s="212"/>
      <c r="CE159" s="212"/>
      <c r="CF159" s="212"/>
      <c r="CG159" s="212"/>
      <c r="CH159" s="212"/>
      <c r="CI159" s="212"/>
      <c r="CJ159" s="212"/>
      <c r="CK159" s="212"/>
      <c r="CL159" s="212"/>
      <c r="CM159" s="212"/>
      <c r="CN159" s="212"/>
      <c r="CO159" s="212"/>
      <c r="CP159" s="212"/>
      <c r="CQ159" s="212"/>
      <c r="CR159" s="212"/>
      <c r="CS159" s="212"/>
    </row>
    <row r="160" spans="1:97" x14ac:dyDescent="0.4">
      <c r="A160" s="209">
        <v>45446</v>
      </c>
      <c r="B160" s="210" t="s">
        <v>294</v>
      </c>
      <c r="C160" s="212">
        <v>158.18</v>
      </c>
      <c r="D160" s="212">
        <v>156.18</v>
      </c>
      <c r="E160" s="212">
        <v>157.18</v>
      </c>
      <c r="F160" s="212">
        <v>172.12</v>
      </c>
      <c r="G160" s="212">
        <v>169.12</v>
      </c>
      <c r="H160" s="212">
        <v>170.62</v>
      </c>
      <c r="I160" s="212">
        <v>117.09</v>
      </c>
      <c r="J160" s="212">
        <v>113.89</v>
      </c>
      <c r="K160" s="212">
        <v>115.49000000000001</v>
      </c>
      <c r="L160" s="212">
        <v>204.44</v>
      </c>
      <c r="M160" s="212">
        <v>196.44</v>
      </c>
      <c r="N160" s="212">
        <v>200.44</v>
      </c>
      <c r="O160" s="212">
        <v>175.31</v>
      </c>
      <c r="P160" s="212">
        <v>173.51</v>
      </c>
      <c r="Q160" s="212">
        <v>174.41</v>
      </c>
      <c r="R160" s="212">
        <v>23.17</v>
      </c>
      <c r="S160" s="212">
        <v>22.57</v>
      </c>
      <c r="T160" s="212">
        <v>22.87</v>
      </c>
      <c r="U160" s="212">
        <v>15.28</v>
      </c>
      <c r="V160" s="212">
        <v>14.68</v>
      </c>
      <c r="W160" s="212">
        <v>14.98</v>
      </c>
      <c r="X160" s="212">
        <v>15.35</v>
      </c>
      <c r="Y160" s="212">
        <v>14.549999999999999</v>
      </c>
      <c r="Z160" s="212">
        <v>14.95</v>
      </c>
      <c r="AA160" s="212">
        <v>106.71</v>
      </c>
      <c r="AB160" s="212">
        <v>102.71</v>
      </c>
      <c r="AC160" s="212">
        <v>104.71</v>
      </c>
      <c r="AD160" s="212">
        <v>98.76</v>
      </c>
      <c r="AE160" s="212">
        <v>94.76</v>
      </c>
      <c r="AF160" s="212">
        <v>96.76</v>
      </c>
      <c r="AG160" s="212">
        <v>20.53</v>
      </c>
      <c r="AH160" s="212">
        <v>19.670000000000002</v>
      </c>
      <c r="AI160" s="212">
        <v>20.100000000000001</v>
      </c>
      <c r="AJ160" s="212"/>
      <c r="AK160" s="212"/>
      <c r="AL160" s="212"/>
      <c r="AM160" s="212">
        <v>117.23</v>
      </c>
      <c r="AN160" s="212">
        <v>115.57000000000001</v>
      </c>
      <c r="AO160" s="212">
        <v>116.4</v>
      </c>
      <c r="AP160" s="212">
        <v>42.77</v>
      </c>
      <c r="AQ160" s="212">
        <v>41.17</v>
      </c>
      <c r="AR160" s="212">
        <v>41.97</v>
      </c>
      <c r="AS160" s="212">
        <v>43.54</v>
      </c>
      <c r="AT160" s="212">
        <v>42.18</v>
      </c>
      <c r="AU160" s="212">
        <v>42.86</v>
      </c>
      <c r="AV160" s="212">
        <v>21.94</v>
      </c>
      <c r="AW160" s="212">
        <v>21.34</v>
      </c>
      <c r="AX160" s="212">
        <v>21.64</v>
      </c>
      <c r="AY160" s="212">
        <v>4.3600000000000003</v>
      </c>
      <c r="AZ160" s="212">
        <v>4.2</v>
      </c>
      <c r="BA160" s="212">
        <v>4.28</v>
      </c>
      <c r="BB160" s="212">
        <v>2.0499999999999998</v>
      </c>
      <c r="BC160" s="212">
        <v>1.7499999999999998</v>
      </c>
      <c r="BD160" s="212">
        <v>1.9</v>
      </c>
      <c r="BE160" s="212">
        <v>0.72</v>
      </c>
      <c r="BF160" s="212">
        <v>0.42</v>
      </c>
      <c r="BG160" s="212">
        <v>0.56999999999999995</v>
      </c>
      <c r="BH160" s="212">
        <v>519.65</v>
      </c>
      <c r="BI160" s="212">
        <v>503.65</v>
      </c>
      <c r="BJ160" s="212">
        <v>511.65</v>
      </c>
      <c r="BK160" s="212">
        <v>43.87</v>
      </c>
      <c r="BL160" s="212">
        <v>42.51</v>
      </c>
      <c r="BM160" s="212">
        <v>43.19</v>
      </c>
      <c r="BN160" s="212">
        <v>1.0900000000000001</v>
      </c>
      <c r="BO160" s="212">
        <v>0.85000000000000009</v>
      </c>
      <c r="BP160" s="212">
        <v>0.97000000000000008</v>
      </c>
      <c r="BQ160" s="212">
        <v>10.27</v>
      </c>
      <c r="BR160" s="212">
        <v>8.27</v>
      </c>
      <c r="BS160" s="212">
        <v>9.27</v>
      </c>
      <c r="BT160" s="212">
        <v>11.61</v>
      </c>
      <c r="BU160" s="212">
        <v>11.209999999999999</v>
      </c>
      <c r="BV160" s="212">
        <v>11.41</v>
      </c>
      <c r="BW160" s="212">
        <v>2.85</v>
      </c>
      <c r="BX160" s="212">
        <v>2.5700000000000003</v>
      </c>
      <c r="BY160" s="212">
        <v>2.71</v>
      </c>
      <c r="BZ160" s="212">
        <v>9.8800000000000008</v>
      </c>
      <c r="CA160" s="212">
        <v>6.8800000000000008</v>
      </c>
      <c r="CB160" s="212">
        <v>8.3800000000000008</v>
      </c>
      <c r="CC160" s="212">
        <v>7.04</v>
      </c>
      <c r="CD160" s="212">
        <v>6.8</v>
      </c>
      <c r="CE160" s="212">
        <v>6.92</v>
      </c>
      <c r="CF160" s="212">
        <v>1.99</v>
      </c>
      <c r="CG160" s="212">
        <v>1.49</v>
      </c>
      <c r="CH160" s="212">
        <v>1.74</v>
      </c>
      <c r="CI160" s="212">
        <v>0.46</v>
      </c>
      <c r="CJ160" s="212">
        <v>0.42000000000000004</v>
      </c>
      <c r="CK160" s="212">
        <v>0.44000000000000006</v>
      </c>
      <c r="CL160" s="212">
        <v>41.15</v>
      </c>
      <c r="CM160" s="212">
        <v>38.75</v>
      </c>
      <c r="CN160" s="212">
        <v>39.950000000000003</v>
      </c>
      <c r="CO160" s="212">
        <v>7.37</v>
      </c>
      <c r="CP160" s="212">
        <v>2.37</v>
      </c>
      <c r="CQ160" s="212">
        <v>4.87</v>
      </c>
      <c r="CR160" s="212"/>
      <c r="CS160" s="212"/>
    </row>
    <row r="161" spans="1:97" x14ac:dyDescent="0.4">
      <c r="A161" s="209">
        <v>45447</v>
      </c>
      <c r="B161" s="210" t="s">
        <v>295</v>
      </c>
      <c r="C161" s="212">
        <v>157.47</v>
      </c>
      <c r="D161" s="212">
        <v>155.47</v>
      </c>
      <c r="E161" s="212">
        <v>156.47</v>
      </c>
      <c r="F161" s="212">
        <v>172.3</v>
      </c>
      <c r="G161" s="212">
        <v>169.3</v>
      </c>
      <c r="H161" s="212">
        <v>170.8</v>
      </c>
      <c r="I161" s="212">
        <v>116.45</v>
      </c>
      <c r="J161" s="212">
        <v>113.25</v>
      </c>
      <c r="K161" s="212">
        <v>114.85</v>
      </c>
      <c r="L161" s="212">
        <v>204.47</v>
      </c>
      <c r="M161" s="212">
        <v>196.47</v>
      </c>
      <c r="N161" s="212">
        <v>200.47</v>
      </c>
      <c r="O161" s="212">
        <v>175.69</v>
      </c>
      <c r="P161" s="212">
        <v>173.89</v>
      </c>
      <c r="Q161" s="212">
        <v>174.79</v>
      </c>
      <c r="R161" s="212">
        <v>23.2</v>
      </c>
      <c r="S161" s="212">
        <v>22.599999999999998</v>
      </c>
      <c r="T161" s="212">
        <v>22.9</v>
      </c>
      <c r="U161" s="212">
        <v>15.28</v>
      </c>
      <c r="V161" s="212">
        <v>14.68</v>
      </c>
      <c r="W161" s="212">
        <v>14.98</v>
      </c>
      <c r="X161" s="212">
        <v>15.44</v>
      </c>
      <c r="Y161" s="212">
        <v>14.639999999999999</v>
      </c>
      <c r="Z161" s="212">
        <v>15.04</v>
      </c>
      <c r="AA161" s="212">
        <v>106.68</v>
      </c>
      <c r="AB161" s="212">
        <v>102.68</v>
      </c>
      <c r="AC161" s="212">
        <v>104.68</v>
      </c>
      <c r="AD161" s="212">
        <v>98.89</v>
      </c>
      <c r="AE161" s="212">
        <v>94.89</v>
      </c>
      <c r="AF161" s="212">
        <v>96.89</v>
      </c>
      <c r="AG161" s="212">
        <v>20.440000000000001</v>
      </c>
      <c r="AH161" s="212">
        <v>19.580000000000002</v>
      </c>
      <c r="AI161" s="212">
        <v>20.010000000000002</v>
      </c>
      <c r="AJ161" s="212"/>
      <c r="AK161" s="212"/>
      <c r="AL161" s="212"/>
      <c r="AM161" s="212">
        <v>117.06</v>
      </c>
      <c r="AN161" s="212">
        <v>115.4</v>
      </c>
      <c r="AO161" s="212">
        <v>116.23</v>
      </c>
      <c r="AP161" s="212">
        <v>42.58</v>
      </c>
      <c r="AQ161" s="212">
        <v>40.98</v>
      </c>
      <c r="AR161" s="212">
        <v>41.78</v>
      </c>
      <c r="AS161" s="212">
        <v>43.35</v>
      </c>
      <c r="AT161" s="212">
        <v>41.99</v>
      </c>
      <c r="AU161" s="212">
        <v>42.67</v>
      </c>
      <c r="AV161" s="212">
        <v>21.87</v>
      </c>
      <c r="AW161" s="212">
        <v>21.27</v>
      </c>
      <c r="AX161" s="212">
        <v>21.57</v>
      </c>
      <c r="AY161" s="212">
        <v>4.3600000000000003</v>
      </c>
      <c r="AZ161" s="212">
        <v>4.2</v>
      </c>
      <c r="BA161" s="212">
        <v>4.28</v>
      </c>
      <c r="BB161" s="212">
        <v>2.04</v>
      </c>
      <c r="BC161" s="212">
        <v>1.74</v>
      </c>
      <c r="BD161" s="212">
        <v>1.8900000000000001</v>
      </c>
      <c r="BE161" s="212">
        <v>0.71</v>
      </c>
      <c r="BF161" s="212">
        <v>0.41</v>
      </c>
      <c r="BG161" s="212">
        <v>0.55999999999999994</v>
      </c>
      <c r="BH161" s="212">
        <v>519.16999999999996</v>
      </c>
      <c r="BI161" s="212">
        <v>503.16999999999996</v>
      </c>
      <c r="BJ161" s="212">
        <v>511.16999999999996</v>
      </c>
      <c r="BK161" s="212">
        <v>43.67</v>
      </c>
      <c r="BL161" s="212">
        <v>42.31</v>
      </c>
      <c r="BM161" s="212">
        <v>42.99</v>
      </c>
      <c r="BN161" s="212">
        <v>1.0900000000000001</v>
      </c>
      <c r="BO161" s="212">
        <v>0.85000000000000009</v>
      </c>
      <c r="BP161" s="212">
        <v>0.97000000000000008</v>
      </c>
      <c r="BQ161" s="212">
        <v>9.89</v>
      </c>
      <c r="BR161" s="212">
        <v>7.8900000000000006</v>
      </c>
      <c r="BS161" s="212">
        <v>8.89</v>
      </c>
      <c r="BT161" s="212">
        <v>11.61</v>
      </c>
      <c r="BU161" s="212">
        <v>11.209999999999999</v>
      </c>
      <c r="BV161" s="212">
        <v>11.41</v>
      </c>
      <c r="BW161" s="212">
        <v>2.83</v>
      </c>
      <c r="BX161" s="212">
        <v>2.5499999999999998</v>
      </c>
      <c r="BY161" s="212">
        <v>2.69</v>
      </c>
      <c r="BZ161" s="212">
        <v>9.94</v>
      </c>
      <c r="CA161" s="212">
        <v>6.9399999999999995</v>
      </c>
      <c r="CB161" s="212">
        <v>8.44</v>
      </c>
      <c r="CC161" s="212">
        <v>7.05</v>
      </c>
      <c r="CD161" s="212">
        <v>6.81</v>
      </c>
      <c r="CE161" s="212">
        <v>6.93</v>
      </c>
      <c r="CF161" s="212">
        <v>2</v>
      </c>
      <c r="CG161" s="212">
        <v>1.5</v>
      </c>
      <c r="CH161" s="212">
        <v>1.75</v>
      </c>
      <c r="CI161" s="212">
        <v>0.46</v>
      </c>
      <c r="CJ161" s="212">
        <v>0.42000000000000004</v>
      </c>
      <c r="CK161" s="212">
        <v>0.44000000000000006</v>
      </c>
      <c r="CL161" s="212">
        <v>41.2</v>
      </c>
      <c r="CM161" s="212">
        <v>38.800000000000004</v>
      </c>
      <c r="CN161" s="212">
        <v>40</v>
      </c>
      <c r="CO161" s="212">
        <v>7.37</v>
      </c>
      <c r="CP161" s="212">
        <v>2.37</v>
      </c>
      <c r="CQ161" s="212">
        <v>4.87</v>
      </c>
      <c r="CR161" s="212"/>
      <c r="CS161" s="212"/>
    </row>
    <row r="162" spans="1:97" x14ac:dyDescent="0.4">
      <c r="A162" s="209">
        <v>45448</v>
      </c>
      <c r="B162" s="210" t="s">
        <v>296</v>
      </c>
      <c r="C162" s="212">
        <v>156.30000000000001</v>
      </c>
      <c r="D162" s="212">
        <v>154.30000000000001</v>
      </c>
      <c r="E162" s="212">
        <v>155.30000000000001</v>
      </c>
      <c r="F162" s="212">
        <v>170.51</v>
      </c>
      <c r="G162" s="212">
        <v>167.51</v>
      </c>
      <c r="H162" s="212">
        <v>169.01</v>
      </c>
      <c r="I162" s="212">
        <v>115.14</v>
      </c>
      <c r="J162" s="212">
        <v>111.94</v>
      </c>
      <c r="K162" s="212">
        <v>113.53999999999999</v>
      </c>
      <c r="L162" s="212">
        <v>202.36</v>
      </c>
      <c r="M162" s="212">
        <v>194.36</v>
      </c>
      <c r="N162" s="212">
        <v>198.36</v>
      </c>
      <c r="O162" s="212">
        <v>175.26</v>
      </c>
      <c r="P162" s="212">
        <v>173.45999999999998</v>
      </c>
      <c r="Q162" s="212">
        <v>174.35999999999999</v>
      </c>
      <c r="R162" s="212">
        <v>22.95</v>
      </c>
      <c r="S162" s="212">
        <v>22.349999999999998</v>
      </c>
      <c r="T162" s="212">
        <v>22.65</v>
      </c>
      <c r="U162" s="212">
        <v>15.01</v>
      </c>
      <c r="V162" s="212">
        <v>14.41</v>
      </c>
      <c r="W162" s="212">
        <v>14.71</v>
      </c>
      <c r="X162" s="212">
        <v>15.3</v>
      </c>
      <c r="Y162" s="212">
        <v>14.5</v>
      </c>
      <c r="Z162" s="212">
        <v>14.9</v>
      </c>
      <c r="AA162" s="212">
        <v>105.29</v>
      </c>
      <c r="AB162" s="212">
        <v>101.29</v>
      </c>
      <c r="AC162" s="212">
        <v>103.29</v>
      </c>
      <c r="AD162" s="212">
        <v>97.99</v>
      </c>
      <c r="AE162" s="212">
        <v>93.99</v>
      </c>
      <c r="AF162" s="212">
        <v>95.99</v>
      </c>
      <c r="AG162" s="212">
        <v>20.309999999999999</v>
      </c>
      <c r="AH162" s="212">
        <v>19.45</v>
      </c>
      <c r="AI162" s="212">
        <v>19.88</v>
      </c>
      <c r="AJ162" s="212"/>
      <c r="AK162" s="212"/>
      <c r="AL162" s="212"/>
      <c r="AM162" s="212">
        <v>116.17</v>
      </c>
      <c r="AN162" s="212">
        <v>114.51</v>
      </c>
      <c r="AO162" s="212">
        <v>115.34</v>
      </c>
      <c r="AP162" s="212">
        <v>42.28</v>
      </c>
      <c r="AQ162" s="212">
        <v>40.68</v>
      </c>
      <c r="AR162" s="212">
        <v>41.480000000000004</v>
      </c>
      <c r="AS162" s="212">
        <v>43.03</v>
      </c>
      <c r="AT162" s="212">
        <v>41.67</v>
      </c>
      <c r="AU162" s="212">
        <v>42.35</v>
      </c>
      <c r="AV162" s="212">
        <v>21.72</v>
      </c>
      <c r="AW162" s="212">
        <v>21.119999999999997</v>
      </c>
      <c r="AX162" s="212">
        <v>21.419999999999998</v>
      </c>
      <c r="AY162" s="212">
        <v>4.32</v>
      </c>
      <c r="AZ162" s="212">
        <v>4.16</v>
      </c>
      <c r="BA162" s="212">
        <v>4.24</v>
      </c>
      <c r="BB162" s="212">
        <v>2.02</v>
      </c>
      <c r="BC162" s="212">
        <v>1.72</v>
      </c>
      <c r="BD162" s="212">
        <v>1.87</v>
      </c>
      <c r="BE162" s="212">
        <v>0.71</v>
      </c>
      <c r="BF162" s="212">
        <v>0.41</v>
      </c>
      <c r="BG162" s="212">
        <v>0.55999999999999994</v>
      </c>
      <c r="BH162" s="212">
        <v>515.85</v>
      </c>
      <c r="BI162" s="212">
        <v>499.85</v>
      </c>
      <c r="BJ162" s="212">
        <v>507.85</v>
      </c>
      <c r="BK162" s="212">
        <v>43.36</v>
      </c>
      <c r="BL162" s="212">
        <v>42</v>
      </c>
      <c r="BM162" s="212">
        <v>42.68</v>
      </c>
      <c r="BN162" s="212">
        <v>1.08</v>
      </c>
      <c r="BO162" s="212">
        <v>0.84000000000000008</v>
      </c>
      <c r="BP162" s="212">
        <v>0.96000000000000008</v>
      </c>
      <c r="BQ162" s="212">
        <v>9.74</v>
      </c>
      <c r="BR162" s="212">
        <v>7.74</v>
      </c>
      <c r="BS162" s="212">
        <v>8.74</v>
      </c>
      <c r="BT162" s="212">
        <v>11.51</v>
      </c>
      <c r="BU162" s="212">
        <v>11.11</v>
      </c>
      <c r="BV162" s="212">
        <v>11.309999999999999</v>
      </c>
      <c r="BW162" s="212">
        <v>2.8</v>
      </c>
      <c r="BX162" s="212">
        <v>2.5199999999999996</v>
      </c>
      <c r="BY162" s="212">
        <v>2.6599999999999997</v>
      </c>
      <c r="BZ162" s="212">
        <v>9.8000000000000007</v>
      </c>
      <c r="CA162" s="212">
        <v>6.8000000000000007</v>
      </c>
      <c r="CB162" s="212">
        <v>8.3000000000000007</v>
      </c>
      <c r="CC162" s="212">
        <v>6.96</v>
      </c>
      <c r="CD162" s="212">
        <v>6.72</v>
      </c>
      <c r="CE162" s="212">
        <v>6.84</v>
      </c>
      <c r="CF162" s="212">
        <v>2</v>
      </c>
      <c r="CG162" s="212">
        <v>1.5</v>
      </c>
      <c r="CH162" s="212">
        <v>1.75</v>
      </c>
      <c r="CI162" s="212">
        <v>0.45</v>
      </c>
      <c r="CJ162" s="212">
        <v>0.41000000000000003</v>
      </c>
      <c r="CK162" s="212">
        <v>0.43000000000000005</v>
      </c>
      <c r="CL162" s="212">
        <v>40.409999999999997</v>
      </c>
      <c r="CM162" s="212">
        <v>38.01</v>
      </c>
      <c r="CN162" s="212">
        <v>39.209999999999994</v>
      </c>
      <c r="CO162" s="212">
        <v>7.26</v>
      </c>
      <c r="CP162" s="212">
        <v>2.2599999999999998</v>
      </c>
      <c r="CQ162" s="212">
        <v>4.76</v>
      </c>
      <c r="CR162" s="212"/>
      <c r="CS162" s="212"/>
    </row>
    <row r="163" spans="1:97" x14ac:dyDescent="0.4">
      <c r="A163" s="209">
        <v>45449</v>
      </c>
      <c r="B163" s="210" t="s">
        <v>297</v>
      </c>
      <c r="C163" s="212">
        <v>156.78</v>
      </c>
      <c r="D163" s="212">
        <v>154.78</v>
      </c>
      <c r="E163" s="212">
        <v>155.78</v>
      </c>
      <c r="F163" s="212">
        <v>171</v>
      </c>
      <c r="G163" s="212">
        <v>168</v>
      </c>
      <c r="H163" s="212">
        <v>169.5</v>
      </c>
      <c r="I163" s="212">
        <v>115.45</v>
      </c>
      <c r="J163" s="212">
        <v>112.25</v>
      </c>
      <c r="K163" s="212">
        <v>113.85</v>
      </c>
      <c r="L163" s="212">
        <v>203.45</v>
      </c>
      <c r="M163" s="212">
        <v>195.45</v>
      </c>
      <c r="N163" s="212">
        <v>199.45</v>
      </c>
      <c r="O163" s="212">
        <v>175.58</v>
      </c>
      <c r="P163" s="212">
        <v>173.78</v>
      </c>
      <c r="Q163" s="212">
        <v>174.68</v>
      </c>
      <c r="R163" s="212">
        <v>23.02</v>
      </c>
      <c r="S163" s="212">
        <v>22.419999999999998</v>
      </c>
      <c r="T163" s="212">
        <v>22.72</v>
      </c>
      <c r="U163" s="212">
        <v>15.04</v>
      </c>
      <c r="V163" s="212">
        <v>14.44</v>
      </c>
      <c r="W163" s="212">
        <v>14.739999999999998</v>
      </c>
      <c r="X163" s="212">
        <v>15.41</v>
      </c>
      <c r="Y163" s="212">
        <v>14.61</v>
      </c>
      <c r="Z163" s="212">
        <v>15.01</v>
      </c>
      <c r="AA163" s="212">
        <v>105.83</v>
      </c>
      <c r="AB163" s="212">
        <v>101.83</v>
      </c>
      <c r="AC163" s="212">
        <v>103.83</v>
      </c>
      <c r="AD163" s="212">
        <v>98.66</v>
      </c>
      <c r="AE163" s="212">
        <v>94.66</v>
      </c>
      <c r="AF163" s="212">
        <v>96.66</v>
      </c>
      <c r="AG163" s="212">
        <v>20.38</v>
      </c>
      <c r="AH163" s="212">
        <v>19.52</v>
      </c>
      <c r="AI163" s="212">
        <v>19.95</v>
      </c>
      <c r="AJ163" s="212"/>
      <c r="AK163" s="212"/>
      <c r="AL163" s="212"/>
      <c r="AM163" s="212">
        <v>116.49</v>
      </c>
      <c r="AN163" s="212">
        <v>114.83</v>
      </c>
      <c r="AO163" s="212">
        <v>115.66</v>
      </c>
      <c r="AP163" s="212">
        <v>42.41</v>
      </c>
      <c r="AQ163" s="212">
        <v>40.809999999999995</v>
      </c>
      <c r="AR163" s="212">
        <v>41.61</v>
      </c>
      <c r="AS163" s="212">
        <v>43.16</v>
      </c>
      <c r="AT163" s="212">
        <v>41.8</v>
      </c>
      <c r="AU163" s="212">
        <v>42.48</v>
      </c>
      <c r="AV163" s="212">
        <v>21.76</v>
      </c>
      <c r="AW163" s="212">
        <v>21.16</v>
      </c>
      <c r="AX163" s="212">
        <v>21.46</v>
      </c>
      <c r="AY163" s="212">
        <v>4.34</v>
      </c>
      <c r="AZ163" s="212">
        <v>4.18</v>
      </c>
      <c r="BA163" s="212">
        <v>4.26</v>
      </c>
      <c r="BB163" s="212">
        <v>2.0299999999999998</v>
      </c>
      <c r="BC163" s="212">
        <v>1.7299999999999998</v>
      </c>
      <c r="BD163" s="212">
        <v>1.88</v>
      </c>
      <c r="BE163" s="212">
        <v>0.71</v>
      </c>
      <c r="BF163" s="212">
        <v>0.41</v>
      </c>
      <c r="BG163" s="212">
        <v>0.55999999999999994</v>
      </c>
      <c r="BH163" s="212">
        <v>517.41999999999996</v>
      </c>
      <c r="BI163" s="212">
        <v>501.41999999999996</v>
      </c>
      <c r="BJ163" s="212">
        <v>509.41999999999996</v>
      </c>
      <c r="BK163" s="212">
        <v>43.48</v>
      </c>
      <c r="BL163" s="212">
        <v>42.12</v>
      </c>
      <c r="BM163" s="212">
        <v>42.8</v>
      </c>
      <c r="BN163" s="212">
        <v>1.08</v>
      </c>
      <c r="BO163" s="212">
        <v>0.84000000000000008</v>
      </c>
      <c r="BP163" s="212">
        <v>0.96000000000000008</v>
      </c>
      <c r="BQ163" s="212">
        <v>9.91</v>
      </c>
      <c r="BR163" s="212">
        <v>7.91</v>
      </c>
      <c r="BS163" s="212">
        <v>8.91</v>
      </c>
      <c r="BT163" s="212">
        <v>11.6</v>
      </c>
      <c r="BU163" s="212">
        <v>11.2</v>
      </c>
      <c r="BV163" s="212">
        <v>11.399999999999999</v>
      </c>
      <c r="BW163" s="212">
        <v>2.81</v>
      </c>
      <c r="BX163" s="212">
        <v>2.5300000000000002</v>
      </c>
      <c r="BY163" s="212">
        <v>2.67</v>
      </c>
      <c r="BZ163" s="212">
        <v>9.74</v>
      </c>
      <c r="CA163" s="212">
        <v>6.74</v>
      </c>
      <c r="CB163" s="212">
        <v>8.24</v>
      </c>
      <c r="CC163" s="212">
        <v>7</v>
      </c>
      <c r="CD163" s="212">
        <v>6.76</v>
      </c>
      <c r="CE163" s="212">
        <v>6.88</v>
      </c>
      <c r="CF163" s="212">
        <v>2</v>
      </c>
      <c r="CG163" s="212">
        <v>1.5</v>
      </c>
      <c r="CH163" s="212">
        <v>1.75</v>
      </c>
      <c r="CI163" s="212">
        <v>0.45</v>
      </c>
      <c r="CJ163" s="212">
        <v>0.41000000000000003</v>
      </c>
      <c r="CK163" s="212">
        <v>0.43000000000000005</v>
      </c>
      <c r="CL163" s="212">
        <v>40.72</v>
      </c>
      <c r="CM163" s="212">
        <v>38.32</v>
      </c>
      <c r="CN163" s="212">
        <v>39.519999999999996</v>
      </c>
      <c r="CO163" s="212">
        <v>7.34</v>
      </c>
      <c r="CP163" s="212">
        <v>2.34</v>
      </c>
      <c r="CQ163" s="212">
        <v>4.84</v>
      </c>
      <c r="CR163" s="212"/>
      <c r="CS163" s="212"/>
    </row>
    <row r="164" spans="1:97" x14ac:dyDescent="0.4">
      <c r="A164" s="209">
        <v>45450</v>
      </c>
      <c r="B164" s="210" t="s">
        <v>298</v>
      </c>
      <c r="C164" s="212">
        <v>156.81</v>
      </c>
      <c r="D164" s="212">
        <v>154.81</v>
      </c>
      <c r="E164" s="212">
        <v>155.81</v>
      </c>
      <c r="F164" s="212">
        <v>171.19</v>
      </c>
      <c r="G164" s="212">
        <v>168.19</v>
      </c>
      <c r="H164" s="212">
        <v>169.69</v>
      </c>
      <c r="I164" s="212">
        <v>115.6</v>
      </c>
      <c r="J164" s="212">
        <v>112.39999999999999</v>
      </c>
      <c r="K164" s="212">
        <v>114</v>
      </c>
      <c r="L164" s="212">
        <v>203.3</v>
      </c>
      <c r="M164" s="212">
        <v>195.3</v>
      </c>
      <c r="N164" s="212">
        <v>199.3</v>
      </c>
      <c r="O164" s="212">
        <v>175.91</v>
      </c>
      <c r="P164" s="212">
        <v>174.10999999999999</v>
      </c>
      <c r="Q164" s="212">
        <v>175.01</v>
      </c>
      <c r="R164" s="212">
        <v>23.05</v>
      </c>
      <c r="S164" s="212">
        <v>22.45</v>
      </c>
      <c r="T164" s="212">
        <v>22.75</v>
      </c>
      <c r="U164" s="212">
        <v>15.05</v>
      </c>
      <c r="V164" s="212">
        <v>14.450000000000001</v>
      </c>
      <c r="W164" s="212">
        <v>14.75</v>
      </c>
      <c r="X164" s="212">
        <v>15.41</v>
      </c>
      <c r="Y164" s="212">
        <v>14.61</v>
      </c>
      <c r="Z164" s="212">
        <v>15.01</v>
      </c>
      <c r="AA164" s="212">
        <v>105.91</v>
      </c>
      <c r="AB164" s="212">
        <v>101.91</v>
      </c>
      <c r="AC164" s="212">
        <v>103.91</v>
      </c>
      <c r="AD164" s="212">
        <v>98.54</v>
      </c>
      <c r="AE164" s="212">
        <v>94.54</v>
      </c>
      <c r="AF164" s="212">
        <v>96.54</v>
      </c>
      <c r="AG164" s="212">
        <v>20.38</v>
      </c>
      <c r="AH164" s="212">
        <v>19.52</v>
      </c>
      <c r="AI164" s="212">
        <v>19.95</v>
      </c>
      <c r="AJ164" s="212"/>
      <c r="AK164" s="212"/>
      <c r="AL164" s="212"/>
      <c r="AM164" s="212">
        <v>116.66</v>
      </c>
      <c r="AN164" s="212">
        <v>115</v>
      </c>
      <c r="AO164" s="212">
        <v>115.83</v>
      </c>
      <c r="AP164" s="212">
        <v>42.42</v>
      </c>
      <c r="AQ164" s="212">
        <v>40.82</v>
      </c>
      <c r="AR164" s="212">
        <v>41.620000000000005</v>
      </c>
      <c r="AS164" s="212">
        <v>43.07</v>
      </c>
      <c r="AT164" s="212">
        <v>41.71</v>
      </c>
      <c r="AU164" s="212">
        <v>42.39</v>
      </c>
      <c r="AV164" s="212">
        <v>21.76</v>
      </c>
      <c r="AW164" s="212">
        <v>21.16</v>
      </c>
      <c r="AX164" s="212">
        <v>21.46</v>
      </c>
      <c r="AY164" s="212">
        <v>4.3600000000000003</v>
      </c>
      <c r="AZ164" s="212">
        <v>4.2</v>
      </c>
      <c r="BA164" s="212">
        <v>4.28</v>
      </c>
      <c r="BB164" s="212">
        <v>2.0299999999999998</v>
      </c>
      <c r="BC164" s="212">
        <v>1.7299999999999998</v>
      </c>
      <c r="BD164" s="212">
        <v>1.88</v>
      </c>
      <c r="BE164" s="212">
        <v>0.71</v>
      </c>
      <c r="BF164" s="212">
        <v>0.41</v>
      </c>
      <c r="BG164" s="212">
        <v>0.55999999999999994</v>
      </c>
      <c r="BH164" s="212">
        <v>516.02</v>
      </c>
      <c r="BI164" s="212">
        <v>500.02</v>
      </c>
      <c r="BJ164" s="212">
        <v>508.02</v>
      </c>
      <c r="BK164" s="212">
        <v>43.5</v>
      </c>
      <c r="BL164" s="212">
        <v>42.14</v>
      </c>
      <c r="BM164" s="212">
        <v>42.82</v>
      </c>
      <c r="BN164" s="212">
        <v>1.08</v>
      </c>
      <c r="BO164" s="212">
        <v>0.84000000000000008</v>
      </c>
      <c r="BP164" s="212">
        <v>0.96000000000000008</v>
      </c>
      <c r="BQ164" s="212">
        <v>9.68</v>
      </c>
      <c r="BR164" s="212">
        <v>7.68</v>
      </c>
      <c r="BS164" s="212">
        <v>8.68</v>
      </c>
      <c r="BT164" s="212">
        <v>11.65</v>
      </c>
      <c r="BU164" s="212">
        <v>11.25</v>
      </c>
      <c r="BV164" s="212">
        <v>11.45</v>
      </c>
      <c r="BW164" s="212">
        <v>2.82</v>
      </c>
      <c r="BX164" s="212">
        <v>2.54</v>
      </c>
      <c r="BY164" s="212">
        <v>2.6799999999999997</v>
      </c>
      <c r="BZ164" s="212">
        <v>9.7200000000000006</v>
      </c>
      <c r="CA164" s="212">
        <v>6.7200000000000006</v>
      </c>
      <c r="CB164" s="212">
        <v>8.2200000000000006</v>
      </c>
      <c r="CC164" s="212">
        <v>7.04</v>
      </c>
      <c r="CD164" s="212">
        <v>6.8</v>
      </c>
      <c r="CE164" s="212">
        <v>6.92</v>
      </c>
      <c r="CF164" s="212">
        <v>2</v>
      </c>
      <c r="CG164" s="212">
        <v>1.5</v>
      </c>
      <c r="CH164" s="212">
        <v>1.75</v>
      </c>
      <c r="CI164" s="212">
        <v>0.46</v>
      </c>
      <c r="CJ164" s="212">
        <v>0.42000000000000004</v>
      </c>
      <c r="CK164" s="212">
        <v>0.44000000000000006</v>
      </c>
      <c r="CL164" s="212">
        <v>40.82</v>
      </c>
      <c r="CM164" s="212">
        <v>38.42</v>
      </c>
      <c r="CN164" s="212">
        <v>39.620000000000005</v>
      </c>
      <c r="CO164" s="212">
        <v>7.36</v>
      </c>
      <c r="CP164" s="212">
        <v>2.3600000000000003</v>
      </c>
      <c r="CQ164" s="212">
        <v>4.8600000000000003</v>
      </c>
      <c r="CR164" s="212"/>
      <c r="CS164" s="212"/>
    </row>
    <row r="165" spans="1:97" x14ac:dyDescent="0.4">
      <c r="A165" s="209">
        <v>45451</v>
      </c>
      <c r="B165" s="210" t="s">
        <v>299</v>
      </c>
      <c r="C165" s="212"/>
      <c r="D165" s="212"/>
      <c r="E165" s="212"/>
      <c r="F165" s="212"/>
      <c r="G165" s="212"/>
      <c r="H165" s="212"/>
      <c r="I165" s="212"/>
      <c r="J165" s="212"/>
      <c r="K165" s="212"/>
      <c r="L165" s="212"/>
      <c r="M165" s="212"/>
      <c r="N165" s="212"/>
      <c r="O165" s="212"/>
      <c r="P165" s="212"/>
      <c r="Q165" s="212"/>
      <c r="R165" s="212"/>
      <c r="S165" s="212"/>
      <c r="T165" s="212"/>
      <c r="U165" s="212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12"/>
      <c r="AF165" s="212"/>
      <c r="AG165" s="212"/>
      <c r="AH165" s="212"/>
      <c r="AI165" s="212"/>
      <c r="AJ165" s="212"/>
      <c r="AK165" s="212"/>
      <c r="AL165" s="212"/>
      <c r="AM165" s="212"/>
      <c r="AN165" s="212"/>
      <c r="AO165" s="212"/>
      <c r="AP165" s="212"/>
      <c r="AQ165" s="212"/>
      <c r="AR165" s="212"/>
      <c r="AS165" s="212"/>
      <c r="AT165" s="212"/>
      <c r="AU165" s="212"/>
      <c r="AV165" s="212"/>
      <c r="AW165" s="212"/>
      <c r="AX165" s="212"/>
      <c r="AY165" s="212"/>
      <c r="AZ165" s="212"/>
      <c r="BA165" s="212"/>
      <c r="BB165" s="212"/>
      <c r="BC165" s="212"/>
      <c r="BD165" s="212"/>
      <c r="BE165" s="212"/>
      <c r="BF165" s="212"/>
      <c r="BG165" s="212"/>
      <c r="BH165" s="212"/>
      <c r="BI165" s="212"/>
      <c r="BJ165" s="212"/>
      <c r="BK165" s="212"/>
      <c r="BL165" s="212"/>
      <c r="BM165" s="212"/>
      <c r="BN165" s="212"/>
      <c r="BO165" s="212"/>
      <c r="BP165" s="212"/>
      <c r="BQ165" s="212"/>
      <c r="BR165" s="212"/>
      <c r="BS165" s="212"/>
      <c r="BT165" s="212"/>
      <c r="BU165" s="212"/>
      <c r="BV165" s="212"/>
      <c r="BW165" s="212"/>
      <c r="BX165" s="212"/>
      <c r="BY165" s="212"/>
      <c r="BZ165" s="212"/>
      <c r="CA165" s="212"/>
      <c r="CB165" s="212"/>
      <c r="CC165" s="212"/>
      <c r="CD165" s="212"/>
      <c r="CE165" s="212"/>
      <c r="CF165" s="212"/>
      <c r="CG165" s="212"/>
      <c r="CH165" s="212"/>
      <c r="CI165" s="212"/>
      <c r="CJ165" s="212"/>
      <c r="CK165" s="212"/>
      <c r="CL165" s="212"/>
      <c r="CM165" s="212"/>
      <c r="CN165" s="212"/>
      <c r="CO165" s="212"/>
      <c r="CP165" s="212"/>
      <c r="CQ165" s="212"/>
      <c r="CR165" s="212"/>
      <c r="CS165" s="212"/>
    </row>
    <row r="166" spans="1:97" x14ac:dyDescent="0.4">
      <c r="A166" s="209">
        <v>45452</v>
      </c>
      <c r="B166" s="210" t="s">
        <v>300</v>
      </c>
      <c r="C166" s="212"/>
      <c r="D166" s="212"/>
      <c r="E166" s="212"/>
      <c r="F166" s="212"/>
      <c r="G166" s="212"/>
      <c r="H166" s="212"/>
      <c r="I166" s="212"/>
      <c r="J166" s="212"/>
      <c r="K166" s="212"/>
      <c r="L166" s="212"/>
      <c r="M166" s="212"/>
      <c r="N166" s="212"/>
      <c r="O166" s="212"/>
      <c r="P166" s="212"/>
      <c r="Q166" s="212"/>
      <c r="R166" s="212"/>
      <c r="S166" s="212"/>
      <c r="T166" s="212"/>
      <c r="U166" s="212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12"/>
      <c r="AF166" s="212"/>
      <c r="AG166" s="212"/>
      <c r="AH166" s="212"/>
      <c r="AI166" s="212"/>
      <c r="AJ166" s="212"/>
      <c r="AK166" s="212"/>
      <c r="AL166" s="212"/>
      <c r="AM166" s="212"/>
      <c r="AN166" s="212"/>
      <c r="AO166" s="212"/>
      <c r="AP166" s="212"/>
      <c r="AQ166" s="212"/>
      <c r="AR166" s="212"/>
      <c r="AS166" s="212"/>
      <c r="AT166" s="212"/>
      <c r="AU166" s="212"/>
      <c r="AV166" s="212"/>
      <c r="AW166" s="212"/>
      <c r="AX166" s="212"/>
      <c r="AY166" s="212"/>
      <c r="AZ166" s="212"/>
      <c r="BA166" s="212"/>
      <c r="BB166" s="212"/>
      <c r="BC166" s="212"/>
      <c r="BD166" s="212"/>
      <c r="BE166" s="212"/>
      <c r="BF166" s="212"/>
      <c r="BG166" s="212"/>
      <c r="BH166" s="212"/>
      <c r="BI166" s="212"/>
      <c r="BJ166" s="212"/>
      <c r="BK166" s="212"/>
      <c r="BL166" s="212"/>
      <c r="BM166" s="212"/>
      <c r="BN166" s="212"/>
      <c r="BO166" s="212"/>
      <c r="BP166" s="212"/>
      <c r="BQ166" s="212"/>
      <c r="BR166" s="212"/>
      <c r="BS166" s="212"/>
      <c r="BT166" s="212"/>
      <c r="BU166" s="212"/>
      <c r="BV166" s="212"/>
      <c r="BW166" s="212"/>
      <c r="BX166" s="212"/>
      <c r="BY166" s="212"/>
      <c r="BZ166" s="212"/>
      <c r="CA166" s="212"/>
      <c r="CB166" s="212"/>
      <c r="CC166" s="212"/>
      <c r="CD166" s="212"/>
      <c r="CE166" s="212"/>
      <c r="CF166" s="212"/>
      <c r="CG166" s="212"/>
      <c r="CH166" s="212"/>
      <c r="CI166" s="212"/>
      <c r="CJ166" s="212"/>
      <c r="CK166" s="212"/>
      <c r="CL166" s="212"/>
      <c r="CM166" s="212"/>
      <c r="CN166" s="212"/>
      <c r="CO166" s="212"/>
      <c r="CP166" s="212"/>
      <c r="CQ166" s="212"/>
      <c r="CR166" s="212"/>
      <c r="CS166" s="212"/>
    </row>
    <row r="167" spans="1:97" x14ac:dyDescent="0.4">
      <c r="A167" s="209">
        <v>45453</v>
      </c>
      <c r="B167" s="210" t="s">
        <v>294</v>
      </c>
      <c r="C167" s="212">
        <v>158.01</v>
      </c>
      <c r="D167" s="212">
        <v>156.01</v>
      </c>
      <c r="E167" s="212">
        <v>157.01</v>
      </c>
      <c r="F167" s="212">
        <v>170.73</v>
      </c>
      <c r="G167" s="212">
        <v>167.73</v>
      </c>
      <c r="H167" s="212">
        <v>169.23</v>
      </c>
      <c r="I167" s="212">
        <v>115.66</v>
      </c>
      <c r="J167" s="212">
        <v>112.46</v>
      </c>
      <c r="K167" s="212">
        <v>114.06</v>
      </c>
      <c r="L167" s="212">
        <v>203.72</v>
      </c>
      <c r="M167" s="212">
        <v>195.72</v>
      </c>
      <c r="N167" s="212">
        <v>199.72</v>
      </c>
      <c r="O167" s="212">
        <v>175.96</v>
      </c>
      <c r="P167" s="212">
        <v>174.16</v>
      </c>
      <c r="Q167" s="212">
        <v>175.06</v>
      </c>
      <c r="R167" s="212">
        <v>22.98</v>
      </c>
      <c r="S167" s="212">
        <v>22.38</v>
      </c>
      <c r="T167" s="212">
        <v>22.68</v>
      </c>
      <c r="U167" s="212">
        <v>14.93</v>
      </c>
      <c r="V167" s="212">
        <v>14.33</v>
      </c>
      <c r="W167" s="212">
        <v>14.629999999999999</v>
      </c>
      <c r="X167" s="212">
        <v>15.27</v>
      </c>
      <c r="Y167" s="212">
        <v>14.469999999999999</v>
      </c>
      <c r="Z167" s="212">
        <v>14.87</v>
      </c>
      <c r="AA167" s="212">
        <v>105.23</v>
      </c>
      <c r="AB167" s="212">
        <v>101.23</v>
      </c>
      <c r="AC167" s="212">
        <v>103.23</v>
      </c>
      <c r="AD167" s="212">
        <v>97.79</v>
      </c>
      <c r="AE167" s="212">
        <v>93.79</v>
      </c>
      <c r="AF167" s="212">
        <v>95.79</v>
      </c>
      <c r="AG167" s="212">
        <v>20.53</v>
      </c>
      <c r="AH167" s="212">
        <v>19.670000000000002</v>
      </c>
      <c r="AI167" s="212">
        <v>20.100000000000001</v>
      </c>
      <c r="AJ167" s="212"/>
      <c r="AK167" s="212"/>
      <c r="AL167" s="212"/>
      <c r="AM167" s="212">
        <v>116.89</v>
      </c>
      <c r="AN167" s="212">
        <v>115.23</v>
      </c>
      <c r="AO167" s="212">
        <v>116.06</v>
      </c>
      <c r="AP167" s="212">
        <v>42.73</v>
      </c>
      <c r="AQ167" s="212">
        <v>41.129999999999995</v>
      </c>
      <c r="AR167" s="212">
        <v>41.929999999999993</v>
      </c>
      <c r="AS167" s="212">
        <v>43.5</v>
      </c>
      <c r="AT167" s="212">
        <v>42.14</v>
      </c>
      <c r="AU167" s="212">
        <v>42.82</v>
      </c>
      <c r="AV167" s="212">
        <v>21.91</v>
      </c>
      <c r="AW167" s="212">
        <v>21.31</v>
      </c>
      <c r="AX167" s="212">
        <v>21.61</v>
      </c>
      <c r="AY167" s="212">
        <v>4.34</v>
      </c>
      <c r="AZ167" s="212">
        <v>4.18</v>
      </c>
      <c r="BA167" s="212">
        <v>4.26</v>
      </c>
      <c r="BB167" s="212">
        <v>2.04</v>
      </c>
      <c r="BC167" s="212">
        <v>1.74</v>
      </c>
      <c r="BD167" s="212">
        <v>1.8900000000000001</v>
      </c>
      <c r="BE167" s="212">
        <v>0.72</v>
      </c>
      <c r="BF167" s="212">
        <v>0.42</v>
      </c>
      <c r="BG167" s="212">
        <v>0.56999999999999995</v>
      </c>
      <c r="BH167" s="212">
        <v>519.27</v>
      </c>
      <c r="BI167" s="212">
        <v>503.27</v>
      </c>
      <c r="BJ167" s="212">
        <v>511.27</v>
      </c>
      <c r="BK167" s="212">
        <v>43.81</v>
      </c>
      <c r="BL167" s="212">
        <v>42.45</v>
      </c>
      <c r="BM167" s="212">
        <v>43.13</v>
      </c>
      <c r="BN167" s="212">
        <v>1.0900000000000001</v>
      </c>
      <c r="BO167" s="212">
        <v>0.85000000000000009</v>
      </c>
      <c r="BP167" s="212">
        <v>0.97000000000000008</v>
      </c>
      <c r="BQ167" s="212">
        <v>9.5399999999999991</v>
      </c>
      <c r="BR167" s="212">
        <v>7.5399999999999991</v>
      </c>
      <c r="BS167" s="212">
        <v>8.5399999999999991</v>
      </c>
      <c r="BT167" s="212">
        <v>11.59</v>
      </c>
      <c r="BU167" s="212">
        <v>11.19</v>
      </c>
      <c r="BV167" s="212">
        <v>11.39</v>
      </c>
      <c r="BW167" s="212">
        <v>2.84</v>
      </c>
      <c r="BX167" s="212">
        <v>2.5599999999999996</v>
      </c>
      <c r="BY167" s="212">
        <v>2.6999999999999997</v>
      </c>
      <c r="BZ167" s="212">
        <v>9.81</v>
      </c>
      <c r="CA167" s="212">
        <v>6.8100000000000005</v>
      </c>
      <c r="CB167" s="212">
        <v>8.31</v>
      </c>
      <c r="CC167" s="212">
        <v>6.99</v>
      </c>
      <c r="CD167" s="212">
        <v>6.75</v>
      </c>
      <c r="CE167" s="212">
        <v>6.87</v>
      </c>
      <c r="CF167" s="212">
        <v>2.02</v>
      </c>
      <c r="CG167" s="212">
        <v>1.52</v>
      </c>
      <c r="CH167" s="212">
        <v>1.77</v>
      </c>
      <c r="CI167" s="212">
        <v>0.45</v>
      </c>
      <c r="CJ167" s="212">
        <v>0.41000000000000003</v>
      </c>
      <c r="CK167" s="212">
        <v>0.43000000000000005</v>
      </c>
      <c r="CL167" s="212">
        <v>40.47</v>
      </c>
      <c r="CM167" s="212">
        <v>38.07</v>
      </c>
      <c r="CN167" s="212">
        <v>39.269999999999996</v>
      </c>
      <c r="CO167" s="212">
        <v>7.32</v>
      </c>
      <c r="CP167" s="212">
        <v>2.3200000000000003</v>
      </c>
      <c r="CQ167" s="212">
        <v>4.82</v>
      </c>
      <c r="CR167" s="212"/>
      <c r="CS167" s="212"/>
    </row>
    <row r="168" spans="1:97" x14ac:dyDescent="0.4">
      <c r="A168" s="209">
        <v>45454</v>
      </c>
      <c r="B168" s="210" t="s">
        <v>295</v>
      </c>
      <c r="C168" s="212">
        <v>158.33000000000001</v>
      </c>
      <c r="D168" s="212">
        <v>156.33000000000001</v>
      </c>
      <c r="E168" s="212">
        <v>157.33000000000001</v>
      </c>
      <c r="F168" s="212">
        <v>170.83</v>
      </c>
      <c r="G168" s="212">
        <v>167.83</v>
      </c>
      <c r="H168" s="212">
        <v>169.33</v>
      </c>
      <c r="I168" s="212">
        <v>115.9</v>
      </c>
      <c r="J168" s="212">
        <v>112.7</v>
      </c>
      <c r="K168" s="212">
        <v>114.30000000000001</v>
      </c>
      <c r="L168" s="212">
        <v>204.27</v>
      </c>
      <c r="M168" s="212">
        <v>196.27</v>
      </c>
      <c r="N168" s="212">
        <v>200.27</v>
      </c>
      <c r="O168" s="212">
        <v>176.26</v>
      </c>
      <c r="P168" s="212">
        <v>174.45999999999998</v>
      </c>
      <c r="Q168" s="212">
        <v>175.35999999999999</v>
      </c>
      <c r="R168" s="212">
        <v>23</v>
      </c>
      <c r="S168" s="212">
        <v>22.4</v>
      </c>
      <c r="T168" s="212">
        <v>22.7</v>
      </c>
      <c r="U168" s="212">
        <v>15.08</v>
      </c>
      <c r="V168" s="212">
        <v>14.48</v>
      </c>
      <c r="W168" s="212">
        <v>14.780000000000001</v>
      </c>
      <c r="X168" s="212">
        <v>15.4</v>
      </c>
      <c r="Y168" s="212">
        <v>14.6</v>
      </c>
      <c r="Z168" s="212">
        <v>15</v>
      </c>
      <c r="AA168" s="212">
        <v>105.9</v>
      </c>
      <c r="AB168" s="212">
        <v>101.9</v>
      </c>
      <c r="AC168" s="212">
        <v>103.9</v>
      </c>
      <c r="AD168" s="212">
        <v>98.41</v>
      </c>
      <c r="AE168" s="212">
        <v>94.41</v>
      </c>
      <c r="AF168" s="212">
        <v>96.41</v>
      </c>
      <c r="AG168" s="212">
        <v>20.57</v>
      </c>
      <c r="AH168" s="212">
        <v>19.71</v>
      </c>
      <c r="AI168" s="212">
        <v>20.14</v>
      </c>
      <c r="AJ168" s="212"/>
      <c r="AK168" s="212"/>
      <c r="AL168" s="212"/>
      <c r="AM168" s="212">
        <v>117.1</v>
      </c>
      <c r="AN168" s="212">
        <v>115.44</v>
      </c>
      <c r="AO168" s="212">
        <v>116.27</v>
      </c>
      <c r="AP168" s="212">
        <v>42.82</v>
      </c>
      <c r="AQ168" s="212">
        <v>41.22</v>
      </c>
      <c r="AR168" s="212">
        <v>42.019999999999996</v>
      </c>
      <c r="AS168" s="212">
        <v>43.58</v>
      </c>
      <c r="AT168" s="212">
        <v>42.22</v>
      </c>
      <c r="AU168" s="212">
        <v>42.9</v>
      </c>
      <c r="AV168" s="212">
        <v>21.94</v>
      </c>
      <c r="AW168" s="212">
        <v>21.34</v>
      </c>
      <c r="AX168" s="212">
        <v>21.64</v>
      </c>
      <c r="AY168" s="212">
        <v>4.3600000000000003</v>
      </c>
      <c r="AZ168" s="212">
        <v>4.2</v>
      </c>
      <c r="BA168" s="212">
        <v>4.28</v>
      </c>
      <c r="BB168" s="212">
        <v>2.04</v>
      </c>
      <c r="BC168" s="212">
        <v>1.74</v>
      </c>
      <c r="BD168" s="212">
        <v>1.8900000000000001</v>
      </c>
      <c r="BE168" s="212">
        <v>0.72</v>
      </c>
      <c r="BF168" s="212">
        <v>0.42</v>
      </c>
      <c r="BG168" s="212">
        <v>0.56999999999999995</v>
      </c>
      <c r="BH168" s="212">
        <v>521.80999999999995</v>
      </c>
      <c r="BI168" s="212">
        <v>505.80999999999995</v>
      </c>
      <c r="BJ168" s="212">
        <v>513.80999999999995</v>
      </c>
      <c r="BK168" s="212">
        <v>43.91</v>
      </c>
      <c r="BL168" s="212">
        <v>42.55</v>
      </c>
      <c r="BM168" s="212">
        <v>43.23</v>
      </c>
      <c r="BN168" s="212">
        <v>1.0900000000000001</v>
      </c>
      <c r="BO168" s="212">
        <v>0.85000000000000009</v>
      </c>
      <c r="BP168" s="212">
        <v>0.97000000000000008</v>
      </c>
      <c r="BQ168" s="212">
        <v>9.5500000000000007</v>
      </c>
      <c r="BR168" s="212">
        <v>7.5500000000000007</v>
      </c>
      <c r="BS168" s="212">
        <v>8.5500000000000007</v>
      </c>
      <c r="BT168" s="212">
        <v>11.63</v>
      </c>
      <c r="BU168" s="212">
        <v>11.23</v>
      </c>
      <c r="BV168" s="212">
        <v>11.43</v>
      </c>
      <c r="BW168" s="212">
        <v>2.84</v>
      </c>
      <c r="BX168" s="212">
        <v>2.5599999999999996</v>
      </c>
      <c r="BY168" s="212">
        <v>2.6999999999999997</v>
      </c>
      <c r="BZ168" s="212">
        <v>9.89</v>
      </c>
      <c r="CA168" s="212">
        <v>6.8900000000000006</v>
      </c>
      <c r="CB168" s="212">
        <v>8.39</v>
      </c>
      <c r="CC168" s="212">
        <v>7</v>
      </c>
      <c r="CD168" s="212">
        <v>6.76</v>
      </c>
      <c r="CE168" s="212">
        <v>6.88</v>
      </c>
      <c r="CF168" s="212">
        <v>2.02</v>
      </c>
      <c r="CG168" s="212">
        <v>1.52</v>
      </c>
      <c r="CH168" s="212">
        <v>1.77</v>
      </c>
      <c r="CI168" s="212">
        <v>0.45</v>
      </c>
      <c r="CJ168" s="212">
        <v>0.41000000000000003</v>
      </c>
      <c r="CK168" s="212">
        <v>0.43000000000000005</v>
      </c>
      <c r="CL168" s="212">
        <v>40.380000000000003</v>
      </c>
      <c r="CM168" s="212">
        <v>37.980000000000004</v>
      </c>
      <c r="CN168" s="212">
        <v>39.180000000000007</v>
      </c>
      <c r="CO168" s="212">
        <v>7.37</v>
      </c>
      <c r="CP168" s="212">
        <v>2.37</v>
      </c>
      <c r="CQ168" s="212">
        <v>4.87</v>
      </c>
      <c r="CR168" s="212"/>
      <c r="CS168" s="212"/>
    </row>
    <row r="169" spans="1:97" x14ac:dyDescent="0.4">
      <c r="A169" s="209">
        <v>45455</v>
      </c>
      <c r="B169" s="210" t="s">
        <v>296</v>
      </c>
      <c r="C169" s="212">
        <v>158.21</v>
      </c>
      <c r="D169" s="212">
        <v>156.21</v>
      </c>
      <c r="E169" s="212">
        <v>157.21</v>
      </c>
      <c r="F169" s="212">
        <v>170.28</v>
      </c>
      <c r="G169" s="212">
        <v>167.28</v>
      </c>
      <c r="H169" s="212">
        <v>168.78</v>
      </c>
      <c r="I169" s="212">
        <v>115.87</v>
      </c>
      <c r="J169" s="212">
        <v>112.67</v>
      </c>
      <c r="K169" s="212">
        <v>114.27000000000001</v>
      </c>
      <c r="L169" s="212">
        <v>204.19</v>
      </c>
      <c r="M169" s="212">
        <v>196.19</v>
      </c>
      <c r="N169" s="212">
        <v>200.19</v>
      </c>
      <c r="O169" s="212">
        <v>175.89</v>
      </c>
      <c r="P169" s="212">
        <v>174.08999999999997</v>
      </c>
      <c r="Q169" s="212">
        <v>174.98999999999998</v>
      </c>
      <c r="R169" s="212">
        <v>22.93</v>
      </c>
      <c r="S169" s="212">
        <v>22.33</v>
      </c>
      <c r="T169" s="212">
        <v>22.63</v>
      </c>
      <c r="U169" s="212">
        <v>14.98</v>
      </c>
      <c r="V169" s="212">
        <v>14.38</v>
      </c>
      <c r="W169" s="212">
        <v>14.68</v>
      </c>
      <c r="X169" s="212">
        <v>15.39</v>
      </c>
      <c r="Y169" s="212">
        <v>14.59</v>
      </c>
      <c r="Z169" s="212">
        <v>14.99</v>
      </c>
      <c r="AA169" s="212">
        <v>105.71</v>
      </c>
      <c r="AB169" s="212">
        <v>101.71</v>
      </c>
      <c r="AC169" s="212">
        <v>103.71</v>
      </c>
      <c r="AD169" s="212">
        <v>98.45</v>
      </c>
      <c r="AE169" s="212">
        <v>94.45</v>
      </c>
      <c r="AF169" s="212">
        <v>96.45</v>
      </c>
      <c r="AG169" s="212">
        <v>20.56</v>
      </c>
      <c r="AH169" s="212">
        <v>19.7</v>
      </c>
      <c r="AI169" s="212">
        <v>20.13</v>
      </c>
      <c r="AJ169" s="212"/>
      <c r="AK169" s="212"/>
      <c r="AL169" s="212"/>
      <c r="AM169" s="212">
        <v>117.01</v>
      </c>
      <c r="AN169" s="212">
        <v>115.35000000000001</v>
      </c>
      <c r="AO169" s="212">
        <v>116.18</v>
      </c>
      <c r="AP169" s="212">
        <v>42.79</v>
      </c>
      <c r="AQ169" s="212">
        <v>41.19</v>
      </c>
      <c r="AR169" s="212">
        <v>41.989999999999995</v>
      </c>
      <c r="AS169" s="212">
        <v>43.55</v>
      </c>
      <c r="AT169" s="212">
        <v>42.19</v>
      </c>
      <c r="AU169" s="212">
        <v>42.87</v>
      </c>
      <c r="AV169" s="212">
        <v>21.91</v>
      </c>
      <c r="AW169" s="212">
        <v>21.31</v>
      </c>
      <c r="AX169" s="212">
        <v>21.61</v>
      </c>
      <c r="AY169" s="212">
        <v>4.3600000000000003</v>
      </c>
      <c r="AZ169" s="212">
        <v>4.2</v>
      </c>
      <c r="BA169" s="212">
        <v>4.28</v>
      </c>
      <c r="BB169" s="212">
        <v>2.04</v>
      </c>
      <c r="BC169" s="212">
        <v>1.74</v>
      </c>
      <c r="BD169" s="212">
        <v>1.8900000000000001</v>
      </c>
      <c r="BE169" s="212">
        <v>0.72</v>
      </c>
      <c r="BF169" s="212">
        <v>0.42</v>
      </c>
      <c r="BG169" s="212">
        <v>0.56999999999999995</v>
      </c>
      <c r="BH169" s="212">
        <v>521.59</v>
      </c>
      <c r="BI169" s="212">
        <v>505.59000000000003</v>
      </c>
      <c r="BJ169" s="212">
        <v>513.59</v>
      </c>
      <c r="BK169" s="212">
        <v>43.88</v>
      </c>
      <c r="BL169" s="212">
        <v>42.52</v>
      </c>
      <c r="BM169" s="212">
        <v>43.2</v>
      </c>
      <c r="BN169" s="212">
        <v>1.0900000000000001</v>
      </c>
      <c r="BO169" s="212">
        <v>0.85000000000000009</v>
      </c>
      <c r="BP169" s="212">
        <v>0.97000000000000008</v>
      </c>
      <c r="BQ169" s="212">
        <v>9.4600000000000009</v>
      </c>
      <c r="BR169" s="212">
        <v>7.4600000000000009</v>
      </c>
      <c r="BS169" s="212">
        <v>8.4600000000000009</v>
      </c>
      <c r="BT169" s="212">
        <v>11.61</v>
      </c>
      <c r="BU169" s="212">
        <v>11.209999999999999</v>
      </c>
      <c r="BV169" s="212">
        <v>11.41</v>
      </c>
      <c r="BW169" s="212">
        <v>2.84</v>
      </c>
      <c r="BX169" s="212">
        <v>2.5599999999999996</v>
      </c>
      <c r="BY169" s="212">
        <v>2.6999999999999997</v>
      </c>
      <c r="BZ169" s="212">
        <v>9.9600000000000009</v>
      </c>
      <c r="CA169" s="212">
        <v>6.9600000000000009</v>
      </c>
      <c r="CB169" s="212">
        <v>8.4600000000000009</v>
      </c>
      <c r="CC169" s="212">
        <v>6.95</v>
      </c>
      <c r="CD169" s="212">
        <v>6.71</v>
      </c>
      <c r="CE169" s="212">
        <v>6.83</v>
      </c>
      <c r="CF169" s="212">
        <v>2.0099999999999998</v>
      </c>
      <c r="CG169" s="212">
        <v>1.5099999999999998</v>
      </c>
      <c r="CH169" s="212">
        <v>1.7599999999999998</v>
      </c>
      <c r="CI169" s="212">
        <v>0.45</v>
      </c>
      <c r="CJ169" s="212">
        <v>0.41000000000000003</v>
      </c>
      <c r="CK169" s="212">
        <v>0.43000000000000005</v>
      </c>
      <c r="CL169" s="212">
        <v>40.11</v>
      </c>
      <c r="CM169" s="212">
        <v>37.71</v>
      </c>
      <c r="CN169" s="212">
        <v>38.909999999999997</v>
      </c>
      <c r="CO169" s="212">
        <v>7.37</v>
      </c>
      <c r="CP169" s="212">
        <v>2.37</v>
      </c>
      <c r="CQ169" s="212">
        <v>4.87</v>
      </c>
      <c r="CR169" s="212"/>
      <c r="CS169" s="212"/>
    </row>
    <row r="170" spans="1:97" x14ac:dyDescent="0.4">
      <c r="A170" s="209">
        <v>45456</v>
      </c>
      <c r="B170" s="210" t="s">
        <v>297</v>
      </c>
      <c r="C170" s="212">
        <v>157.88999999999999</v>
      </c>
      <c r="D170" s="212">
        <v>155.88999999999999</v>
      </c>
      <c r="E170" s="212">
        <v>156.88999999999999</v>
      </c>
      <c r="F170" s="212">
        <v>171.11</v>
      </c>
      <c r="G170" s="212">
        <v>168.11</v>
      </c>
      <c r="H170" s="212">
        <v>169.61</v>
      </c>
      <c r="I170" s="212">
        <v>115.88</v>
      </c>
      <c r="J170" s="212">
        <v>112.67999999999999</v>
      </c>
      <c r="K170" s="212">
        <v>114.28</v>
      </c>
      <c r="L170" s="212">
        <v>204.74</v>
      </c>
      <c r="M170" s="212">
        <v>196.74</v>
      </c>
      <c r="N170" s="212">
        <v>200.74</v>
      </c>
      <c r="O170" s="212">
        <v>176.31</v>
      </c>
      <c r="P170" s="212">
        <v>174.51</v>
      </c>
      <c r="Q170" s="212">
        <v>175.41</v>
      </c>
      <c r="R170" s="212">
        <v>23.04</v>
      </c>
      <c r="S170" s="212">
        <v>22.439999999999998</v>
      </c>
      <c r="T170" s="212">
        <v>22.74</v>
      </c>
      <c r="U170" s="212">
        <v>15.13</v>
      </c>
      <c r="V170" s="212">
        <v>14.530000000000001</v>
      </c>
      <c r="W170" s="212">
        <v>14.830000000000002</v>
      </c>
      <c r="X170" s="212">
        <v>15.51</v>
      </c>
      <c r="Y170" s="212">
        <v>14.709999999999999</v>
      </c>
      <c r="Z170" s="212">
        <v>15.11</v>
      </c>
      <c r="AA170" s="212">
        <v>106.43</v>
      </c>
      <c r="AB170" s="212">
        <v>102.43</v>
      </c>
      <c r="AC170" s="212">
        <v>104.43</v>
      </c>
      <c r="AD170" s="212">
        <v>98.97</v>
      </c>
      <c r="AE170" s="212">
        <v>94.97</v>
      </c>
      <c r="AF170" s="212">
        <v>96.97</v>
      </c>
      <c r="AG170" s="212">
        <v>20.52</v>
      </c>
      <c r="AH170" s="212">
        <v>19.66</v>
      </c>
      <c r="AI170" s="212">
        <v>20.09</v>
      </c>
      <c r="AJ170" s="212"/>
      <c r="AK170" s="212"/>
      <c r="AL170" s="212"/>
      <c r="AM170" s="212">
        <v>117.16</v>
      </c>
      <c r="AN170" s="212">
        <v>115.5</v>
      </c>
      <c r="AO170" s="212">
        <v>116.33</v>
      </c>
      <c r="AP170" s="212">
        <v>42.69</v>
      </c>
      <c r="AQ170" s="212">
        <v>41.089999999999996</v>
      </c>
      <c r="AR170" s="212">
        <v>41.89</v>
      </c>
      <c r="AS170" s="212">
        <v>43.46</v>
      </c>
      <c r="AT170" s="212">
        <v>42.1</v>
      </c>
      <c r="AU170" s="212">
        <v>42.78</v>
      </c>
      <c r="AV170" s="212">
        <v>21.9</v>
      </c>
      <c r="AW170" s="212">
        <v>21.299999999999997</v>
      </c>
      <c r="AX170" s="212">
        <v>21.599999999999998</v>
      </c>
      <c r="AY170" s="212">
        <v>4.37</v>
      </c>
      <c r="AZ170" s="212">
        <v>4.21</v>
      </c>
      <c r="BA170" s="212">
        <v>4.29</v>
      </c>
      <c r="BB170" s="212">
        <v>2.04</v>
      </c>
      <c r="BC170" s="212">
        <v>1.74</v>
      </c>
      <c r="BD170" s="212">
        <v>1.8900000000000001</v>
      </c>
      <c r="BE170" s="212">
        <v>0.72</v>
      </c>
      <c r="BF170" s="212">
        <v>0.42</v>
      </c>
      <c r="BG170" s="212">
        <v>0.56999999999999995</v>
      </c>
      <c r="BH170" s="212">
        <v>521.04999999999995</v>
      </c>
      <c r="BI170" s="212">
        <v>505.04999999999995</v>
      </c>
      <c r="BJ170" s="212">
        <v>513.04999999999995</v>
      </c>
      <c r="BK170" s="212">
        <v>43.79</v>
      </c>
      <c r="BL170" s="212">
        <v>42.43</v>
      </c>
      <c r="BM170" s="212">
        <v>43.11</v>
      </c>
      <c r="BN170" s="212">
        <v>1.0900000000000001</v>
      </c>
      <c r="BO170" s="212">
        <v>0.85000000000000009</v>
      </c>
      <c r="BP170" s="212">
        <v>0.97000000000000008</v>
      </c>
      <c r="BQ170" s="212">
        <v>9.34</v>
      </c>
      <c r="BR170" s="212">
        <v>7.34</v>
      </c>
      <c r="BS170" s="212">
        <v>8.34</v>
      </c>
      <c r="BT170" s="212">
        <v>11.68</v>
      </c>
      <c r="BU170" s="212">
        <v>11.28</v>
      </c>
      <c r="BV170" s="212">
        <v>11.48</v>
      </c>
      <c r="BW170" s="212">
        <v>2.83</v>
      </c>
      <c r="BX170" s="212">
        <v>2.5499999999999998</v>
      </c>
      <c r="BY170" s="212">
        <v>2.69</v>
      </c>
      <c r="BZ170" s="212">
        <v>10.039999999999999</v>
      </c>
      <c r="CA170" s="212">
        <v>7.0399999999999991</v>
      </c>
      <c r="CB170" s="212">
        <v>8.5399999999999991</v>
      </c>
      <c r="CC170" s="212">
        <v>7</v>
      </c>
      <c r="CD170" s="212">
        <v>6.76</v>
      </c>
      <c r="CE170" s="212">
        <v>6.88</v>
      </c>
      <c r="CF170" s="212">
        <v>2.0099999999999998</v>
      </c>
      <c r="CG170" s="212">
        <v>1.5099999999999998</v>
      </c>
      <c r="CH170" s="212">
        <v>1.7599999999999998</v>
      </c>
      <c r="CI170" s="212">
        <v>0.45</v>
      </c>
      <c r="CJ170" s="212">
        <v>0.41000000000000003</v>
      </c>
      <c r="CK170" s="212">
        <v>0.43000000000000005</v>
      </c>
      <c r="CL170" s="212">
        <v>40.380000000000003</v>
      </c>
      <c r="CM170" s="212">
        <v>37.980000000000004</v>
      </c>
      <c r="CN170" s="212">
        <v>39.180000000000007</v>
      </c>
      <c r="CO170" s="212">
        <v>7.37</v>
      </c>
      <c r="CP170" s="212">
        <v>2.37</v>
      </c>
      <c r="CQ170" s="212">
        <v>4.87</v>
      </c>
      <c r="CR170" s="212"/>
      <c r="CS170" s="212"/>
    </row>
    <row r="171" spans="1:97" x14ac:dyDescent="0.4">
      <c r="A171" s="209">
        <v>45457</v>
      </c>
      <c r="B171" s="210" t="s">
        <v>298</v>
      </c>
      <c r="C171" s="212">
        <v>158.31</v>
      </c>
      <c r="D171" s="212">
        <v>156.31</v>
      </c>
      <c r="E171" s="212">
        <v>157.31</v>
      </c>
      <c r="F171" s="212">
        <v>170.44</v>
      </c>
      <c r="G171" s="212">
        <v>167.44</v>
      </c>
      <c r="H171" s="212">
        <v>168.94</v>
      </c>
      <c r="I171" s="212">
        <v>116.03</v>
      </c>
      <c r="J171" s="212">
        <v>112.83</v>
      </c>
      <c r="K171" s="212">
        <v>114.43</v>
      </c>
      <c r="L171" s="212">
        <v>204.62</v>
      </c>
      <c r="M171" s="212">
        <v>196.62</v>
      </c>
      <c r="N171" s="212">
        <v>200.62</v>
      </c>
      <c r="O171" s="212">
        <v>176.8</v>
      </c>
      <c r="P171" s="212">
        <v>175</v>
      </c>
      <c r="Q171" s="212">
        <v>175.9</v>
      </c>
      <c r="R171" s="212">
        <v>22.95</v>
      </c>
      <c r="S171" s="212">
        <v>22.349999999999998</v>
      </c>
      <c r="T171" s="212">
        <v>22.65</v>
      </c>
      <c r="U171" s="212">
        <v>15.06</v>
      </c>
      <c r="V171" s="212">
        <v>14.46</v>
      </c>
      <c r="W171" s="212">
        <v>14.760000000000002</v>
      </c>
      <c r="X171" s="212">
        <v>15.4</v>
      </c>
      <c r="Y171" s="212">
        <v>14.6</v>
      </c>
      <c r="Z171" s="212">
        <v>15</v>
      </c>
      <c r="AA171" s="212">
        <v>106.17</v>
      </c>
      <c r="AB171" s="212">
        <v>102.17</v>
      </c>
      <c r="AC171" s="212">
        <v>104.17</v>
      </c>
      <c r="AD171" s="212">
        <v>98.76</v>
      </c>
      <c r="AE171" s="212">
        <v>94.76</v>
      </c>
      <c r="AF171" s="212">
        <v>96.76</v>
      </c>
      <c r="AG171" s="212">
        <v>20.57</v>
      </c>
      <c r="AH171" s="212">
        <v>19.71</v>
      </c>
      <c r="AI171" s="212">
        <v>20.14</v>
      </c>
      <c r="AJ171" s="212"/>
      <c r="AK171" s="212"/>
      <c r="AL171" s="212"/>
      <c r="AM171" s="212">
        <v>117.24</v>
      </c>
      <c r="AN171" s="212">
        <v>115.58</v>
      </c>
      <c r="AO171" s="212">
        <v>116.41</v>
      </c>
      <c r="AP171" s="212">
        <v>42.82</v>
      </c>
      <c r="AQ171" s="212">
        <v>41.22</v>
      </c>
      <c r="AR171" s="212">
        <v>42.019999999999996</v>
      </c>
      <c r="AS171" s="212">
        <v>43.58</v>
      </c>
      <c r="AT171" s="212">
        <v>42.22</v>
      </c>
      <c r="AU171" s="212">
        <v>42.9</v>
      </c>
      <c r="AV171" s="212">
        <v>21.93</v>
      </c>
      <c r="AW171" s="212">
        <v>21.33</v>
      </c>
      <c r="AX171" s="212">
        <v>21.63</v>
      </c>
      <c r="AY171" s="212">
        <v>4.3600000000000003</v>
      </c>
      <c r="AZ171" s="212">
        <v>4.2</v>
      </c>
      <c r="BA171" s="212">
        <v>4.28</v>
      </c>
      <c r="BB171" s="212">
        <v>2.04</v>
      </c>
      <c r="BC171" s="212">
        <v>1.74</v>
      </c>
      <c r="BD171" s="212">
        <v>1.8900000000000001</v>
      </c>
      <c r="BE171" s="212">
        <v>0.72</v>
      </c>
      <c r="BF171" s="212">
        <v>0.42</v>
      </c>
      <c r="BG171" s="212">
        <v>0.56999999999999995</v>
      </c>
      <c r="BH171" s="212">
        <v>522.25</v>
      </c>
      <c r="BI171" s="212">
        <v>506.25</v>
      </c>
      <c r="BJ171" s="212">
        <v>514.25</v>
      </c>
      <c r="BK171" s="212">
        <v>43.91</v>
      </c>
      <c r="BL171" s="212">
        <v>42.55</v>
      </c>
      <c r="BM171" s="212">
        <v>43.23</v>
      </c>
      <c r="BN171" s="212">
        <v>1.0900000000000001</v>
      </c>
      <c r="BO171" s="212">
        <v>0.85000000000000009</v>
      </c>
      <c r="BP171" s="212">
        <v>0.97000000000000008</v>
      </c>
      <c r="BQ171" s="212">
        <v>9.5299999999999994</v>
      </c>
      <c r="BR171" s="212">
        <v>7.5299999999999994</v>
      </c>
      <c r="BS171" s="212">
        <v>8.5299999999999994</v>
      </c>
      <c r="BT171" s="212">
        <v>11.64</v>
      </c>
      <c r="BU171" s="212">
        <v>11.24</v>
      </c>
      <c r="BV171" s="212">
        <v>11.440000000000001</v>
      </c>
      <c r="BW171" s="212">
        <v>2.85</v>
      </c>
      <c r="BX171" s="212">
        <v>2.5700000000000003</v>
      </c>
      <c r="BY171" s="212">
        <v>2.71</v>
      </c>
      <c r="BZ171" s="212">
        <v>10.02</v>
      </c>
      <c r="CA171" s="212">
        <v>7.02</v>
      </c>
      <c r="CB171" s="212">
        <v>8.52</v>
      </c>
      <c r="CC171" s="212">
        <v>6.96</v>
      </c>
      <c r="CD171" s="212">
        <v>6.72</v>
      </c>
      <c r="CE171" s="212">
        <v>6.84</v>
      </c>
      <c r="CF171" s="212">
        <v>2.0499999999999998</v>
      </c>
      <c r="CG171" s="212">
        <v>1.5499999999999998</v>
      </c>
      <c r="CH171" s="212">
        <v>1.7999999999999998</v>
      </c>
      <c r="CI171" s="212">
        <v>0.45</v>
      </c>
      <c r="CJ171" s="212">
        <v>0.41000000000000003</v>
      </c>
      <c r="CK171" s="212">
        <v>0.43000000000000005</v>
      </c>
      <c r="CL171" s="212">
        <v>40.090000000000003</v>
      </c>
      <c r="CM171" s="212">
        <v>37.690000000000005</v>
      </c>
      <c r="CN171" s="212">
        <v>38.89</v>
      </c>
      <c r="CO171" s="212">
        <v>7.38</v>
      </c>
      <c r="CP171" s="212">
        <v>2.38</v>
      </c>
      <c r="CQ171" s="212">
        <v>4.88</v>
      </c>
      <c r="CR171" s="212"/>
      <c r="CS171" s="212"/>
    </row>
    <row r="172" spans="1:97" x14ac:dyDescent="0.4">
      <c r="A172" s="209">
        <v>45458</v>
      </c>
      <c r="B172" s="210" t="s">
        <v>299</v>
      </c>
      <c r="C172" s="212"/>
      <c r="D172" s="212"/>
      <c r="E172" s="212"/>
      <c r="F172" s="212"/>
      <c r="G172" s="212"/>
      <c r="H172" s="212"/>
      <c r="I172" s="212"/>
      <c r="J172" s="212"/>
      <c r="K172" s="212"/>
      <c r="L172" s="212"/>
      <c r="M172" s="212"/>
      <c r="N172" s="212"/>
      <c r="O172" s="212"/>
      <c r="P172" s="212"/>
      <c r="Q172" s="212"/>
      <c r="R172" s="212"/>
      <c r="S172" s="212"/>
      <c r="T172" s="212"/>
      <c r="U172" s="212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12"/>
      <c r="AF172" s="212"/>
      <c r="AG172" s="212"/>
      <c r="AH172" s="212"/>
      <c r="AI172" s="212"/>
      <c r="AJ172" s="212"/>
      <c r="AK172" s="212"/>
      <c r="AL172" s="212"/>
      <c r="AM172" s="212"/>
      <c r="AN172" s="212"/>
      <c r="AO172" s="212"/>
      <c r="AP172" s="212"/>
      <c r="AQ172" s="212"/>
      <c r="AR172" s="212"/>
      <c r="AS172" s="212"/>
      <c r="AT172" s="212"/>
      <c r="AU172" s="212"/>
      <c r="AV172" s="212"/>
      <c r="AW172" s="212"/>
      <c r="AX172" s="212"/>
      <c r="AY172" s="212"/>
      <c r="AZ172" s="212"/>
      <c r="BA172" s="212"/>
      <c r="BB172" s="212"/>
      <c r="BC172" s="212"/>
      <c r="BD172" s="212"/>
      <c r="BE172" s="212"/>
      <c r="BF172" s="212"/>
      <c r="BG172" s="212"/>
      <c r="BH172" s="212"/>
      <c r="BI172" s="212"/>
      <c r="BJ172" s="212"/>
      <c r="BK172" s="212"/>
      <c r="BL172" s="212"/>
      <c r="BM172" s="212"/>
      <c r="BN172" s="212"/>
      <c r="BO172" s="212"/>
      <c r="BP172" s="212"/>
      <c r="BQ172" s="212"/>
      <c r="BR172" s="212"/>
      <c r="BS172" s="212"/>
      <c r="BT172" s="212"/>
      <c r="BU172" s="212"/>
      <c r="BV172" s="212"/>
      <c r="BW172" s="212"/>
      <c r="BX172" s="212"/>
      <c r="BY172" s="212"/>
      <c r="BZ172" s="212"/>
      <c r="CA172" s="212"/>
      <c r="CB172" s="212"/>
      <c r="CC172" s="212"/>
      <c r="CD172" s="212"/>
      <c r="CE172" s="212"/>
      <c r="CF172" s="212"/>
      <c r="CG172" s="212"/>
      <c r="CH172" s="212"/>
      <c r="CI172" s="212"/>
      <c r="CJ172" s="212"/>
      <c r="CK172" s="212"/>
      <c r="CL172" s="212"/>
      <c r="CM172" s="212"/>
      <c r="CN172" s="212"/>
      <c r="CO172" s="212"/>
      <c r="CP172" s="212"/>
      <c r="CQ172" s="212"/>
      <c r="CR172" s="212"/>
      <c r="CS172" s="212"/>
    </row>
    <row r="173" spans="1:97" x14ac:dyDescent="0.4">
      <c r="A173" s="209">
        <v>45459</v>
      </c>
      <c r="B173" s="210" t="s">
        <v>300</v>
      </c>
      <c r="C173" s="212"/>
      <c r="D173" s="212"/>
      <c r="E173" s="212"/>
      <c r="F173" s="212"/>
      <c r="G173" s="212"/>
      <c r="H173" s="212"/>
      <c r="I173" s="212"/>
      <c r="J173" s="212"/>
      <c r="K173" s="212"/>
      <c r="L173" s="212"/>
      <c r="M173" s="212"/>
      <c r="N173" s="212"/>
      <c r="O173" s="212"/>
      <c r="P173" s="212"/>
      <c r="Q173" s="212"/>
      <c r="R173" s="212"/>
      <c r="S173" s="212"/>
      <c r="T173" s="212"/>
      <c r="U173" s="212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12"/>
      <c r="AF173" s="212"/>
      <c r="AG173" s="212"/>
      <c r="AH173" s="212"/>
      <c r="AI173" s="212"/>
      <c r="AJ173" s="212"/>
      <c r="AK173" s="212"/>
      <c r="AL173" s="212"/>
      <c r="AM173" s="212"/>
      <c r="AN173" s="212"/>
      <c r="AO173" s="212"/>
      <c r="AP173" s="212"/>
      <c r="AQ173" s="212"/>
      <c r="AR173" s="212"/>
      <c r="AS173" s="212"/>
      <c r="AT173" s="212"/>
      <c r="AU173" s="212"/>
      <c r="AV173" s="212"/>
      <c r="AW173" s="212"/>
      <c r="AX173" s="212"/>
      <c r="AY173" s="212"/>
      <c r="AZ173" s="212"/>
      <c r="BA173" s="212"/>
      <c r="BB173" s="212"/>
      <c r="BC173" s="212"/>
      <c r="BD173" s="212"/>
      <c r="BE173" s="212"/>
      <c r="BF173" s="212"/>
      <c r="BG173" s="212"/>
      <c r="BH173" s="212"/>
      <c r="BI173" s="212"/>
      <c r="BJ173" s="212"/>
      <c r="BK173" s="212"/>
      <c r="BL173" s="212"/>
      <c r="BM173" s="212"/>
      <c r="BN173" s="212"/>
      <c r="BO173" s="212"/>
      <c r="BP173" s="212"/>
      <c r="BQ173" s="212"/>
      <c r="BR173" s="212"/>
      <c r="BS173" s="212"/>
      <c r="BT173" s="212"/>
      <c r="BU173" s="212"/>
      <c r="BV173" s="212"/>
      <c r="BW173" s="212"/>
      <c r="BX173" s="212"/>
      <c r="BY173" s="212"/>
      <c r="BZ173" s="212"/>
      <c r="CA173" s="212"/>
      <c r="CB173" s="212"/>
      <c r="CC173" s="212"/>
      <c r="CD173" s="212"/>
      <c r="CE173" s="212"/>
      <c r="CF173" s="212"/>
      <c r="CG173" s="212"/>
      <c r="CH173" s="212"/>
      <c r="CI173" s="212"/>
      <c r="CJ173" s="212"/>
      <c r="CK173" s="212"/>
      <c r="CL173" s="212"/>
      <c r="CM173" s="212"/>
      <c r="CN173" s="212"/>
      <c r="CO173" s="212"/>
      <c r="CP173" s="212"/>
      <c r="CQ173" s="212"/>
      <c r="CR173" s="212"/>
      <c r="CS173" s="212"/>
    </row>
    <row r="174" spans="1:97" x14ac:dyDescent="0.4">
      <c r="A174" s="209">
        <v>45460</v>
      </c>
      <c r="B174" s="210" t="s">
        <v>294</v>
      </c>
      <c r="C174" s="212">
        <v>158.53</v>
      </c>
      <c r="D174" s="212">
        <v>156.53</v>
      </c>
      <c r="E174" s="212">
        <v>157.53</v>
      </c>
      <c r="F174" s="212">
        <v>170.14</v>
      </c>
      <c r="G174" s="212">
        <v>167.14</v>
      </c>
      <c r="H174" s="212">
        <v>168.64</v>
      </c>
      <c r="I174" s="212">
        <v>116.29</v>
      </c>
      <c r="J174" s="212">
        <v>113.09</v>
      </c>
      <c r="K174" s="212">
        <v>114.69</v>
      </c>
      <c r="L174" s="212">
        <v>203.87</v>
      </c>
      <c r="M174" s="212">
        <v>195.87</v>
      </c>
      <c r="N174" s="212">
        <v>199.87</v>
      </c>
      <c r="O174" s="212">
        <v>177.74</v>
      </c>
      <c r="P174" s="212">
        <v>175.94</v>
      </c>
      <c r="Q174" s="212">
        <v>176.84</v>
      </c>
      <c r="R174" s="212">
        <v>22.9</v>
      </c>
      <c r="S174" s="212">
        <v>22.299999999999997</v>
      </c>
      <c r="T174" s="212">
        <v>22.599999999999998</v>
      </c>
      <c r="U174" s="212">
        <v>15.07</v>
      </c>
      <c r="V174" s="212">
        <v>14.47</v>
      </c>
      <c r="W174" s="212">
        <v>14.77</v>
      </c>
      <c r="X174" s="212">
        <v>15.37</v>
      </c>
      <c r="Y174" s="212">
        <v>14.569999999999999</v>
      </c>
      <c r="Z174" s="212">
        <v>14.969999999999999</v>
      </c>
      <c r="AA174" s="212">
        <v>106.17</v>
      </c>
      <c r="AB174" s="212">
        <v>102.17</v>
      </c>
      <c r="AC174" s="212">
        <v>104.17</v>
      </c>
      <c r="AD174" s="212">
        <v>98.66</v>
      </c>
      <c r="AE174" s="212">
        <v>94.66</v>
      </c>
      <c r="AF174" s="212">
        <v>96.66</v>
      </c>
      <c r="AG174" s="212">
        <v>20.59</v>
      </c>
      <c r="AH174" s="212">
        <v>19.73</v>
      </c>
      <c r="AI174" s="212">
        <v>20.16</v>
      </c>
      <c r="AJ174" s="212"/>
      <c r="AK174" s="212"/>
      <c r="AL174" s="212"/>
      <c r="AM174" s="212">
        <v>117.3</v>
      </c>
      <c r="AN174" s="212">
        <v>115.64</v>
      </c>
      <c r="AO174" s="212">
        <v>116.47</v>
      </c>
      <c r="AP174" s="212">
        <v>42.88</v>
      </c>
      <c r="AQ174" s="212">
        <v>41.28</v>
      </c>
      <c r="AR174" s="212">
        <v>42.08</v>
      </c>
      <c r="AS174" s="212">
        <v>43.64</v>
      </c>
      <c r="AT174" s="212">
        <v>42.28</v>
      </c>
      <c r="AU174" s="212">
        <v>42.96</v>
      </c>
      <c r="AV174" s="212">
        <v>21.96</v>
      </c>
      <c r="AW174" s="212">
        <v>21.36</v>
      </c>
      <c r="AX174" s="212">
        <v>21.66</v>
      </c>
      <c r="AY174" s="212">
        <v>4.38</v>
      </c>
      <c r="AZ174" s="212">
        <v>4.22</v>
      </c>
      <c r="BA174" s="212">
        <v>4.3</v>
      </c>
      <c r="BB174" s="212">
        <v>2.0499999999999998</v>
      </c>
      <c r="BC174" s="212">
        <v>1.7499999999999998</v>
      </c>
      <c r="BD174" s="212">
        <v>1.9</v>
      </c>
      <c r="BE174" s="212">
        <v>0.72</v>
      </c>
      <c r="BF174" s="212">
        <v>0.42</v>
      </c>
      <c r="BG174" s="212">
        <v>0.56999999999999995</v>
      </c>
      <c r="BH174" s="212">
        <v>522.47</v>
      </c>
      <c r="BI174" s="212">
        <v>506.47</v>
      </c>
      <c r="BJ174" s="212">
        <v>514.47</v>
      </c>
      <c r="BK174" s="212">
        <v>43.97</v>
      </c>
      <c r="BL174" s="212">
        <v>42.61</v>
      </c>
      <c r="BM174" s="212">
        <v>43.29</v>
      </c>
      <c r="BN174" s="212">
        <v>1.08</v>
      </c>
      <c r="BO174" s="212">
        <v>0.84000000000000008</v>
      </c>
      <c r="BP174" s="212">
        <v>0.96000000000000008</v>
      </c>
      <c r="BQ174" s="212">
        <v>9.51</v>
      </c>
      <c r="BR174" s="212">
        <v>7.51</v>
      </c>
      <c r="BS174" s="212">
        <v>8.51</v>
      </c>
      <c r="BT174" s="212">
        <v>11.63</v>
      </c>
      <c r="BU174" s="212">
        <v>11.23</v>
      </c>
      <c r="BV174" s="212">
        <v>11.43</v>
      </c>
      <c r="BW174" s="212">
        <v>2.84</v>
      </c>
      <c r="BX174" s="212">
        <v>2.5599999999999996</v>
      </c>
      <c r="BY174" s="212">
        <v>2.6999999999999997</v>
      </c>
      <c r="BZ174" s="212">
        <v>10.08</v>
      </c>
      <c r="CA174" s="212">
        <v>7.08</v>
      </c>
      <c r="CB174" s="212">
        <v>8.58</v>
      </c>
      <c r="CC174" s="212">
        <v>6.95</v>
      </c>
      <c r="CD174" s="212">
        <v>6.71</v>
      </c>
      <c r="CE174" s="212">
        <v>6.83</v>
      </c>
      <c r="CF174" s="212">
        <v>2.0099999999999998</v>
      </c>
      <c r="CG174" s="212">
        <v>1.5099999999999998</v>
      </c>
      <c r="CH174" s="212">
        <v>1.7599999999999998</v>
      </c>
      <c r="CI174" s="212">
        <v>0.44</v>
      </c>
      <c r="CJ174" s="212">
        <v>0.4</v>
      </c>
      <c r="CK174" s="212">
        <v>0.42000000000000004</v>
      </c>
      <c r="CL174" s="212">
        <v>39.74</v>
      </c>
      <c r="CM174" s="212">
        <v>37.340000000000003</v>
      </c>
      <c r="CN174" s="212">
        <v>38.540000000000006</v>
      </c>
      <c r="CO174" s="212">
        <v>7.34</v>
      </c>
      <c r="CP174" s="212">
        <v>2.34</v>
      </c>
      <c r="CQ174" s="212">
        <v>4.84</v>
      </c>
      <c r="CR174" s="212"/>
      <c r="CS174" s="212"/>
    </row>
    <row r="175" spans="1:97" x14ac:dyDescent="0.4">
      <c r="A175" s="209">
        <v>45461</v>
      </c>
      <c r="B175" s="210" t="s">
        <v>295</v>
      </c>
      <c r="C175" s="212">
        <v>158.74</v>
      </c>
      <c r="D175" s="212">
        <v>156.74</v>
      </c>
      <c r="E175" s="212">
        <v>157.74</v>
      </c>
      <c r="F175" s="212">
        <v>170.83</v>
      </c>
      <c r="G175" s="212">
        <v>167.83</v>
      </c>
      <c r="H175" s="212">
        <v>169.33</v>
      </c>
      <c r="I175" s="212">
        <v>116.6</v>
      </c>
      <c r="J175" s="212">
        <v>113.39999999999999</v>
      </c>
      <c r="K175" s="212">
        <v>115</v>
      </c>
      <c r="L175" s="212">
        <v>204.52</v>
      </c>
      <c r="M175" s="212">
        <v>196.52</v>
      </c>
      <c r="N175" s="212">
        <v>200.52</v>
      </c>
      <c r="O175" s="212">
        <v>178.5</v>
      </c>
      <c r="P175" s="212">
        <v>176.7</v>
      </c>
      <c r="Q175" s="212">
        <v>177.6</v>
      </c>
      <c r="R175" s="212">
        <v>23</v>
      </c>
      <c r="S175" s="212">
        <v>22.4</v>
      </c>
      <c r="T175" s="212">
        <v>22.7</v>
      </c>
      <c r="U175" s="212">
        <v>15.09</v>
      </c>
      <c r="V175" s="212">
        <v>14.49</v>
      </c>
      <c r="W175" s="212">
        <v>14.79</v>
      </c>
      <c r="X175" s="212">
        <v>15.45</v>
      </c>
      <c r="Y175" s="212">
        <v>14.649999999999999</v>
      </c>
      <c r="Z175" s="212">
        <v>15.049999999999999</v>
      </c>
      <c r="AA175" s="212">
        <v>106.39</v>
      </c>
      <c r="AB175" s="212">
        <v>102.39</v>
      </c>
      <c r="AC175" s="212">
        <v>104.39</v>
      </c>
      <c r="AD175" s="212">
        <v>98.82</v>
      </c>
      <c r="AE175" s="212">
        <v>94.82</v>
      </c>
      <c r="AF175" s="212">
        <v>96.82</v>
      </c>
      <c r="AG175" s="212">
        <v>20.62</v>
      </c>
      <c r="AH175" s="212">
        <v>19.760000000000002</v>
      </c>
      <c r="AI175" s="212">
        <v>20.190000000000001</v>
      </c>
      <c r="AJ175" s="212"/>
      <c r="AK175" s="212"/>
      <c r="AL175" s="212"/>
      <c r="AM175" s="212">
        <v>117.49</v>
      </c>
      <c r="AN175" s="212">
        <v>115.83</v>
      </c>
      <c r="AO175" s="212">
        <v>116.66</v>
      </c>
      <c r="AP175" s="212">
        <v>42.91</v>
      </c>
      <c r="AQ175" s="212">
        <v>41.309999999999995</v>
      </c>
      <c r="AR175" s="212">
        <v>42.11</v>
      </c>
      <c r="AS175" s="212">
        <v>43.7</v>
      </c>
      <c r="AT175" s="212">
        <v>42.34</v>
      </c>
      <c r="AU175" s="212">
        <v>43.02</v>
      </c>
      <c r="AV175" s="212">
        <v>21.99</v>
      </c>
      <c r="AW175" s="212">
        <v>21.389999999999997</v>
      </c>
      <c r="AX175" s="212">
        <v>21.689999999999998</v>
      </c>
      <c r="AY175" s="212">
        <v>4.37</v>
      </c>
      <c r="AZ175" s="212">
        <v>4.21</v>
      </c>
      <c r="BA175" s="212">
        <v>4.29</v>
      </c>
      <c r="BB175" s="212">
        <v>2.0499999999999998</v>
      </c>
      <c r="BC175" s="212">
        <v>1.7499999999999998</v>
      </c>
      <c r="BD175" s="212">
        <v>1.9</v>
      </c>
      <c r="BE175" s="212">
        <v>0.72</v>
      </c>
      <c r="BF175" s="212">
        <v>0.42</v>
      </c>
      <c r="BG175" s="212">
        <v>0.56999999999999995</v>
      </c>
      <c r="BH175" s="212">
        <v>523.15</v>
      </c>
      <c r="BI175" s="212">
        <v>507.15</v>
      </c>
      <c r="BJ175" s="212">
        <v>515.15</v>
      </c>
      <c r="BK175" s="212">
        <v>44.03</v>
      </c>
      <c r="BL175" s="212">
        <v>42.67</v>
      </c>
      <c r="BM175" s="212">
        <v>43.35</v>
      </c>
      <c r="BN175" s="212">
        <v>1.0900000000000001</v>
      </c>
      <c r="BO175" s="212">
        <v>0.85000000000000009</v>
      </c>
      <c r="BP175" s="212">
        <v>0.97000000000000008</v>
      </c>
      <c r="BQ175" s="212">
        <v>9.51</v>
      </c>
      <c r="BR175" s="212">
        <v>7.51</v>
      </c>
      <c r="BS175" s="212">
        <v>8.51</v>
      </c>
      <c r="BT175" s="212">
        <v>11.64</v>
      </c>
      <c r="BU175" s="212">
        <v>11.24</v>
      </c>
      <c r="BV175" s="212">
        <v>11.440000000000001</v>
      </c>
      <c r="BW175" s="212">
        <v>2.85</v>
      </c>
      <c r="BX175" s="212">
        <v>2.5700000000000003</v>
      </c>
      <c r="BY175" s="212">
        <v>2.71</v>
      </c>
      <c r="BZ175" s="212">
        <v>10.15</v>
      </c>
      <c r="CA175" s="212">
        <v>7.15</v>
      </c>
      <c r="CB175" s="212">
        <v>8.65</v>
      </c>
      <c r="CC175" s="212">
        <v>6.98</v>
      </c>
      <c r="CD175" s="212">
        <v>6.74</v>
      </c>
      <c r="CE175" s="212">
        <v>6.86</v>
      </c>
      <c r="CF175" s="212">
        <v>2.0299999999999998</v>
      </c>
      <c r="CG175" s="212">
        <v>1.5299999999999998</v>
      </c>
      <c r="CH175" s="212">
        <v>1.7799999999999998</v>
      </c>
      <c r="CI175" s="212">
        <v>0.45</v>
      </c>
      <c r="CJ175" s="212">
        <v>0.41000000000000003</v>
      </c>
      <c r="CK175" s="212">
        <v>0.43000000000000005</v>
      </c>
      <c r="CL175" s="212">
        <v>40.18</v>
      </c>
      <c r="CM175" s="212">
        <v>37.78</v>
      </c>
      <c r="CN175" s="212">
        <v>38.980000000000004</v>
      </c>
      <c r="CO175" s="212">
        <v>7.31</v>
      </c>
      <c r="CP175" s="212">
        <v>2.3099999999999996</v>
      </c>
      <c r="CQ175" s="212">
        <v>4.8099999999999996</v>
      </c>
      <c r="CR175" s="212"/>
      <c r="CS175" s="212"/>
    </row>
    <row r="176" spans="1:97" x14ac:dyDescent="0.4">
      <c r="A176" s="209">
        <v>45462</v>
      </c>
      <c r="B176" s="210" t="s">
        <v>296</v>
      </c>
      <c r="C176" s="212">
        <v>158.96</v>
      </c>
      <c r="D176" s="212">
        <v>156.96</v>
      </c>
      <c r="E176" s="212">
        <v>157.96</v>
      </c>
      <c r="F176" s="212">
        <v>171.09</v>
      </c>
      <c r="G176" s="212">
        <v>168.09</v>
      </c>
      <c r="H176" s="212">
        <v>169.59</v>
      </c>
      <c r="I176" s="212">
        <v>116.71</v>
      </c>
      <c r="J176" s="212">
        <v>113.50999999999999</v>
      </c>
      <c r="K176" s="212">
        <v>115.10999999999999</v>
      </c>
      <c r="L176" s="212">
        <v>204.67</v>
      </c>
      <c r="M176" s="212">
        <v>196.67</v>
      </c>
      <c r="N176" s="212">
        <v>200.67</v>
      </c>
      <c r="O176" s="212">
        <v>179.51</v>
      </c>
      <c r="P176" s="212">
        <v>177.70999999999998</v>
      </c>
      <c r="Q176" s="212">
        <v>178.60999999999999</v>
      </c>
      <c r="R176" s="212">
        <v>23.03</v>
      </c>
      <c r="S176" s="212">
        <v>22.43</v>
      </c>
      <c r="T176" s="212">
        <v>22.73</v>
      </c>
      <c r="U176" s="212">
        <v>15.22</v>
      </c>
      <c r="V176" s="212">
        <v>14.620000000000001</v>
      </c>
      <c r="W176" s="212">
        <v>14.920000000000002</v>
      </c>
      <c r="X176" s="212">
        <v>15.51</v>
      </c>
      <c r="Y176" s="212">
        <v>14.709999999999999</v>
      </c>
      <c r="Z176" s="212">
        <v>15.11</v>
      </c>
      <c r="AA176" s="212">
        <v>107.2</v>
      </c>
      <c r="AB176" s="212">
        <v>103.2</v>
      </c>
      <c r="AC176" s="212">
        <v>105.2</v>
      </c>
      <c r="AD176" s="212">
        <v>98.94</v>
      </c>
      <c r="AE176" s="212">
        <v>94.94</v>
      </c>
      <c r="AF176" s="212">
        <v>96.94</v>
      </c>
      <c r="AG176" s="212">
        <v>20.66</v>
      </c>
      <c r="AH176" s="212">
        <v>19.8</v>
      </c>
      <c r="AI176" s="212">
        <v>20.23</v>
      </c>
      <c r="AJ176" s="212"/>
      <c r="AK176" s="212"/>
      <c r="AL176" s="212"/>
      <c r="AM176" s="212">
        <v>117.69</v>
      </c>
      <c r="AN176" s="212">
        <v>116.03</v>
      </c>
      <c r="AO176" s="212">
        <v>116.86</v>
      </c>
      <c r="AP176" s="212">
        <v>42.97</v>
      </c>
      <c r="AQ176" s="212">
        <v>41.37</v>
      </c>
      <c r="AR176" s="212">
        <v>42.17</v>
      </c>
      <c r="AS176" s="212">
        <v>43.76</v>
      </c>
      <c r="AT176" s="212">
        <v>42.4</v>
      </c>
      <c r="AU176" s="212">
        <v>43.08</v>
      </c>
      <c r="AV176" s="212">
        <v>22.01</v>
      </c>
      <c r="AW176" s="212">
        <v>21.41</v>
      </c>
      <c r="AX176" s="212">
        <v>21.71</v>
      </c>
      <c r="AY176" s="212">
        <v>4.38</v>
      </c>
      <c r="AZ176" s="212">
        <v>4.22</v>
      </c>
      <c r="BA176" s="212">
        <v>4.3</v>
      </c>
      <c r="BB176" s="212">
        <v>2.0499999999999998</v>
      </c>
      <c r="BC176" s="212">
        <v>1.7499999999999998</v>
      </c>
      <c r="BD176" s="212">
        <v>1.9</v>
      </c>
      <c r="BE176" s="212">
        <v>0.72</v>
      </c>
      <c r="BF176" s="212">
        <v>0.42</v>
      </c>
      <c r="BG176" s="212">
        <v>0.56999999999999995</v>
      </c>
      <c r="BH176" s="212">
        <v>524.04</v>
      </c>
      <c r="BI176" s="212">
        <v>508.03999999999996</v>
      </c>
      <c r="BJ176" s="212">
        <v>516.04</v>
      </c>
      <c r="BK176" s="212">
        <v>44.09</v>
      </c>
      <c r="BL176" s="212">
        <v>42.730000000000004</v>
      </c>
      <c r="BM176" s="212">
        <v>43.410000000000004</v>
      </c>
      <c r="BN176" s="212">
        <v>1.0900000000000001</v>
      </c>
      <c r="BO176" s="212">
        <v>0.85000000000000009</v>
      </c>
      <c r="BP176" s="212">
        <v>0.97000000000000008</v>
      </c>
      <c r="BQ176" s="212">
        <v>9.58</v>
      </c>
      <c r="BR176" s="212">
        <v>7.58</v>
      </c>
      <c r="BS176" s="212">
        <v>8.58</v>
      </c>
      <c r="BT176" s="212">
        <v>11.65</v>
      </c>
      <c r="BU176" s="212">
        <v>11.25</v>
      </c>
      <c r="BV176" s="212">
        <v>11.45</v>
      </c>
      <c r="BW176" s="212">
        <v>2.85</v>
      </c>
      <c r="BX176" s="212">
        <v>2.5700000000000003</v>
      </c>
      <c r="BY176" s="212">
        <v>2.71</v>
      </c>
      <c r="BZ176" s="212">
        <v>10.25</v>
      </c>
      <c r="CA176" s="212">
        <v>7.25</v>
      </c>
      <c r="CB176" s="212">
        <v>8.75</v>
      </c>
      <c r="CC176" s="212">
        <v>6.95</v>
      </c>
      <c r="CD176" s="212">
        <v>6.71</v>
      </c>
      <c r="CE176" s="212">
        <v>6.83</v>
      </c>
      <c r="CF176" s="212">
        <v>2.1</v>
      </c>
      <c r="CG176" s="212">
        <v>1.6</v>
      </c>
      <c r="CH176" s="212">
        <v>1.85</v>
      </c>
      <c r="CI176" s="212">
        <v>0.45</v>
      </c>
      <c r="CJ176" s="212">
        <v>0.41000000000000003</v>
      </c>
      <c r="CK176" s="212">
        <v>0.43000000000000005</v>
      </c>
      <c r="CL176" s="212">
        <v>40.31</v>
      </c>
      <c r="CM176" s="212">
        <v>37.910000000000004</v>
      </c>
      <c r="CN176" s="212">
        <v>39.11</v>
      </c>
      <c r="CO176" s="212">
        <v>7.37</v>
      </c>
      <c r="CP176" s="212">
        <v>2.37</v>
      </c>
      <c r="CQ176" s="212">
        <v>4.87</v>
      </c>
      <c r="CR176" s="212"/>
      <c r="CS176" s="212"/>
    </row>
    <row r="177" spans="1:97" x14ac:dyDescent="0.4">
      <c r="A177" s="209">
        <v>45463</v>
      </c>
      <c r="B177" s="210" t="s">
        <v>297</v>
      </c>
      <c r="C177" s="212">
        <v>159.16</v>
      </c>
      <c r="D177" s="212">
        <v>157.16</v>
      </c>
      <c r="E177" s="212">
        <v>158.16</v>
      </c>
      <c r="F177" s="212">
        <v>171.47</v>
      </c>
      <c r="G177" s="212">
        <v>168.47</v>
      </c>
      <c r="H177" s="212">
        <v>169.97</v>
      </c>
      <c r="I177" s="212">
        <v>116.94</v>
      </c>
      <c r="J177" s="212">
        <v>113.74</v>
      </c>
      <c r="K177" s="212">
        <v>115.34</v>
      </c>
      <c r="L177" s="212">
        <v>205.16</v>
      </c>
      <c r="M177" s="212">
        <v>197.16</v>
      </c>
      <c r="N177" s="212">
        <v>201.16</v>
      </c>
      <c r="O177" s="212">
        <v>179.75</v>
      </c>
      <c r="P177" s="212">
        <v>177.95</v>
      </c>
      <c r="Q177" s="212">
        <v>178.85</v>
      </c>
      <c r="R177" s="212">
        <v>23.09</v>
      </c>
      <c r="S177" s="212">
        <v>22.49</v>
      </c>
      <c r="T177" s="212">
        <v>22.79</v>
      </c>
      <c r="U177" s="212">
        <v>15.27</v>
      </c>
      <c r="V177" s="212">
        <v>14.67</v>
      </c>
      <c r="W177" s="212">
        <v>14.969999999999999</v>
      </c>
      <c r="X177" s="212">
        <v>15.53</v>
      </c>
      <c r="Y177" s="212">
        <v>14.729999999999999</v>
      </c>
      <c r="Z177" s="212">
        <v>15.129999999999999</v>
      </c>
      <c r="AA177" s="212">
        <v>107.56</v>
      </c>
      <c r="AB177" s="212">
        <v>103.56</v>
      </c>
      <c r="AC177" s="212">
        <v>105.56</v>
      </c>
      <c r="AD177" s="212">
        <v>99.02</v>
      </c>
      <c r="AE177" s="212">
        <v>95.02</v>
      </c>
      <c r="AF177" s="212">
        <v>97.02</v>
      </c>
      <c r="AG177" s="212">
        <v>20.69</v>
      </c>
      <c r="AH177" s="212">
        <v>19.830000000000002</v>
      </c>
      <c r="AI177" s="212">
        <v>20.260000000000002</v>
      </c>
      <c r="AJ177" s="212"/>
      <c r="AK177" s="212"/>
      <c r="AL177" s="212"/>
      <c r="AM177" s="212">
        <v>117.94</v>
      </c>
      <c r="AN177" s="212">
        <v>116.28</v>
      </c>
      <c r="AO177" s="212">
        <v>117.11</v>
      </c>
      <c r="AP177" s="212">
        <v>43.03</v>
      </c>
      <c r="AQ177" s="212">
        <v>41.43</v>
      </c>
      <c r="AR177" s="212">
        <v>42.230000000000004</v>
      </c>
      <c r="AS177" s="212">
        <v>43.81</v>
      </c>
      <c r="AT177" s="212">
        <v>42.45</v>
      </c>
      <c r="AU177" s="212">
        <v>43.13</v>
      </c>
      <c r="AV177" s="212">
        <v>22.02</v>
      </c>
      <c r="AW177" s="212">
        <v>21.419999999999998</v>
      </c>
      <c r="AX177" s="212">
        <v>21.72</v>
      </c>
      <c r="AY177" s="212">
        <v>4.4000000000000004</v>
      </c>
      <c r="AZ177" s="212">
        <v>4.24</v>
      </c>
      <c r="BA177" s="212">
        <v>4.32</v>
      </c>
      <c r="BB177" s="212">
        <v>2.06</v>
      </c>
      <c r="BC177" s="212">
        <v>1.76</v>
      </c>
      <c r="BD177" s="212">
        <v>1.9100000000000001</v>
      </c>
      <c r="BE177" s="212">
        <v>0.72</v>
      </c>
      <c r="BF177" s="212">
        <v>0.42</v>
      </c>
      <c r="BG177" s="212">
        <v>0.56999999999999995</v>
      </c>
      <c r="BH177" s="212">
        <v>524.86</v>
      </c>
      <c r="BI177" s="212">
        <v>508.86</v>
      </c>
      <c r="BJ177" s="212">
        <v>516.86</v>
      </c>
      <c r="BK177" s="212">
        <v>44.14</v>
      </c>
      <c r="BL177" s="212">
        <v>42.78</v>
      </c>
      <c r="BM177" s="212">
        <v>43.46</v>
      </c>
      <c r="BN177" s="212">
        <v>1.0900000000000001</v>
      </c>
      <c r="BO177" s="212">
        <v>0.85000000000000009</v>
      </c>
      <c r="BP177" s="212">
        <v>0.97000000000000008</v>
      </c>
      <c r="BQ177" s="212">
        <v>9.58</v>
      </c>
      <c r="BR177" s="212">
        <v>7.58</v>
      </c>
      <c r="BS177" s="212">
        <v>8.58</v>
      </c>
      <c r="BT177" s="212">
        <v>11.66</v>
      </c>
      <c r="BU177" s="212">
        <v>11.26</v>
      </c>
      <c r="BV177" s="212">
        <v>11.46</v>
      </c>
      <c r="BW177" s="212">
        <v>2.85</v>
      </c>
      <c r="BX177" s="212">
        <v>2.5700000000000003</v>
      </c>
      <c r="BY177" s="212">
        <v>2.71</v>
      </c>
      <c r="BZ177" s="212">
        <v>10.31</v>
      </c>
      <c r="CA177" s="212">
        <v>7.3100000000000005</v>
      </c>
      <c r="CB177" s="212">
        <v>8.81</v>
      </c>
      <c r="CC177" s="212">
        <v>6.95</v>
      </c>
      <c r="CD177" s="212">
        <v>6.71</v>
      </c>
      <c r="CE177" s="212">
        <v>6.83</v>
      </c>
      <c r="CF177" s="212">
        <v>2.17</v>
      </c>
      <c r="CG177" s="212">
        <v>1.67</v>
      </c>
      <c r="CH177" s="212">
        <v>1.92</v>
      </c>
      <c r="CI177" s="212">
        <v>0.45</v>
      </c>
      <c r="CJ177" s="212">
        <v>0.41000000000000003</v>
      </c>
      <c r="CK177" s="212">
        <v>0.43000000000000005</v>
      </c>
      <c r="CL177" s="212">
        <v>40.520000000000003</v>
      </c>
      <c r="CM177" s="212">
        <v>38.120000000000005</v>
      </c>
      <c r="CN177" s="212">
        <v>39.320000000000007</v>
      </c>
      <c r="CO177" s="212">
        <v>7.37</v>
      </c>
      <c r="CP177" s="212">
        <v>2.37</v>
      </c>
      <c r="CQ177" s="212">
        <v>4.87</v>
      </c>
      <c r="CR177" s="212"/>
      <c r="CS177" s="212"/>
    </row>
    <row r="178" spans="1:97" x14ac:dyDescent="0.4">
      <c r="A178" s="209">
        <v>45464</v>
      </c>
      <c r="B178" s="210" t="s">
        <v>298</v>
      </c>
      <c r="C178" s="212">
        <v>160.1</v>
      </c>
      <c r="D178" s="212">
        <v>158.1</v>
      </c>
      <c r="E178" s="212">
        <v>159.1</v>
      </c>
      <c r="F178" s="212">
        <v>171.83</v>
      </c>
      <c r="G178" s="212">
        <v>168.83</v>
      </c>
      <c r="H178" s="212">
        <v>170.33</v>
      </c>
      <c r="I178" s="212">
        <v>117.82</v>
      </c>
      <c r="J178" s="212">
        <v>114.61999999999999</v>
      </c>
      <c r="K178" s="212">
        <v>116.22</v>
      </c>
      <c r="L178" s="212">
        <v>205.37</v>
      </c>
      <c r="M178" s="212">
        <v>197.37</v>
      </c>
      <c r="N178" s="212">
        <v>201.37</v>
      </c>
      <c r="O178" s="212">
        <v>179.26</v>
      </c>
      <c r="P178" s="212">
        <v>177.45999999999998</v>
      </c>
      <c r="Q178" s="212">
        <v>178.35999999999999</v>
      </c>
      <c r="R178" s="212">
        <v>23.13</v>
      </c>
      <c r="S178" s="212">
        <v>22.529999999999998</v>
      </c>
      <c r="T178" s="212">
        <v>22.83</v>
      </c>
      <c r="U178" s="212">
        <v>15.4</v>
      </c>
      <c r="V178" s="212">
        <v>14.8</v>
      </c>
      <c r="W178" s="212">
        <v>15.100000000000001</v>
      </c>
      <c r="X178" s="212">
        <v>15.55</v>
      </c>
      <c r="Y178" s="212">
        <v>14.75</v>
      </c>
      <c r="Z178" s="212">
        <v>15.15</v>
      </c>
      <c r="AA178" s="212">
        <v>107.9</v>
      </c>
      <c r="AB178" s="212">
        <v>103.9</v>
      </c>
      <c r="AC178" s="212">
        <v>105.9</v>
      </c>
      <c r="AD178" s="212">
        <v>99.34</v>
      </c>
      <c r="AE178" s="212">
        <v>95.34</v>
      </c>
      <c r="AF178" s="212">
        <v>97.34</v>
      </c>
      <c r="AG178" s="212">
        <v>20.82</v>
      </c>
      <c r="AH178" s="212">
        <v>19.96</v>
      </c>
      <c r="AI178" s="212">
        <v>20.39</v>
      </c>
      <c r="AJ178" s="212"/>
      <c r="AK178" s="212"/>
      <c r="AL178" s="212"/>
      <c r="AM178" s="212">
        <v>118.31</v>
      </c>
      <c r="AN178" s="212">
        <v>116.65</v>
      </c>
      <c r="AO178" s="212">
        <v>117.48</v>
      </c>
      <c r="AP178" s="212">
        <v>43.28</v>
      </c>
      <c r="AQ178" s="212">
        <v>41.68</v>
      </c>
      <c r="AR178" s="212">
        <v>42.480000000000004</v>
      </c>
      <c r="AS178" s="212">
        <v>44.07</v>
      </c>
      <c r="AT178" s="212">
        <v>42.71</v>
      </c>
      <c r="AU178" s="212">
        <v>43.39</v>
      </c>
      <c r="AV178" s="212">
        <v>22.11</v>
      </c>
      <c r="AW178" s="212">
        <v>21.509999999999998</v>
      </c>
      <c r="AX178" s="212">
        <v>21.81</v>
      </c>
      <c r="AY178" s="212">
        <v>4.42</v>
      </c>
      <c r="AZ178" s="212">
        <v>4.26</v>
      </c>
      <c r="BA178" s="212">
        <v>4.34</v>
      </c>
      <c r="BB178" s="212">
        <v>2.06</v>
      </c>
      <c r="BC178" s="212">
        <v>1.76</v>
      </c>
      <c r="BD178" s="212">
        <v>1.9100000000000001</v>
      </c>
      <c r="BE178" s="212">
        <v>0.73</v>
      </c>
      <c r="BF178" s="212">
        <v>0.43</v>
      </c>
      <c r="BG178" s="212">
        <v>0.57999999999999996</v>
      </c>
      <c r="BH178" s="212">
        <v>527.6</v>
      </c>
      <c r="BI178" s="212">
        <v>511.6</v>
      </c>
      <c r="BJ178" s="212">
        <v>519.6</v>
      </c>
      <c r="BK178" s="212">
        <v>44.4</v>
      </c>
      <c r="BL178" s="212">
        <v>43.04</v>
      </c>
      <c r="BM178" s="212">
        <v>43.72</v>
      </c>
      <c r="BN178" s="212">
        <v>1.0900000000000001</v>
      </c>
      <c r="BO178" s="212">
        <v>0.85000000000000009</v>
      </c>
      <c r="BP178" s="212">
        <v>0.97000000000000008</v>
      </c>
      <c r="BQ178" s="212">
        <v>9.67</v>
      </c>
      <c r="BR178" s="212">
        <v>7.67</v>
      </c>
      <c r="BS178" s="212">
        <v>8.67</v>
      </c>
      <c r="BT178" s="212">
        <v>11.66</v>
      </c>
      <c r="BU178" s="212">
        <v>11.26</v>
      </c>
      <c r="BV178" s="212">
        <v>11.46</v>
      </c>
      <c r="BW178" s="212">
        <v>2.87</v>
      </c>
      <c r="BX178" s="212">
        <v>2.59</v>
      </c>
      <c r="BY178" s="212">
        <v>2.73</v>
      </c>
      <c r="BZ178" s="212">
        <v>10.35</v>
      </c>
      <c r="CA178" s="212">
        <v>7.35</v>
      </c>
      <c r="CB178" s="212">
        <v>8.85</v>
      </c>
      <c r="CC178" s="212">
        <v>6.96</v>
      </c>
      <c r="CD178" s="212">
        <v>6.72</v>
      </c>
      <c r="CE178" s="212">
        <v>6.84</v>
      </c>
      <c r="CF178" s="212">
        <v>2.0699999999999998</v>
      </c>
      <c r="CG178" s="212">
        <v>1.5699999999999998</v>
      </c>
      <c r="CH178" s="212">
        <v>1.8199999999999998</v>
      </c>
      <c r="CI178" s="212">
        <v>0.45</v>
      </c>
      <c r="CJ178" s="212">
        <v>0.41000000000000003</v>
      </c>
      <c r="CK178" s="212">
        <v>0.43000000000000005</v>
      </c>
      <c r="CL178" s="212">
        <v>40.590000000000003</v>
      </c>
      <c r="CM178" s="212">
        <v>38.190000000000005</v>
      </c>
      <c r="CN178" s="212">
        <v>39.39</v>
      </c>
      <c r="CO178" s="212">
        <v>7.37</v>
      </c>
      <c r="CP178" s="212">
        <v>2.37</v>
      </c>
      <c r="CQ178" s="212">
        <v>4.87</v>
      </c>
      <c r="CR178" s="212"/>
      <c r="CS178" s="212"/>
    </row>
    <row r="179" spans="1:97" x14ac:dyDescent="0.4">
      <c r="A179" s="209">
        <v>45465</v>
      </c>
      <c r="B179" s="210" t="s">
        <v>299</v>
      </c>
      <c r="C179" s="212"/>
      <c r="D179" s="212"/>
      <c r="E179" s="212"/>
      <c r="F179" s="212"/>
      <c r="G179" s="212"/>
      <c r="H179" s="212"/>
      <c r="I179" s="212"/>
      <c r="J179" s="212"/>
      <c r="K179" s="212"/>
      <c r="L179" s="212"/>
      <c r="M179" s="212"/>
      <c r="N179" s="212"/>
      <c r="O179" s="212"/>
      <c r="P179" s="212"/>
      <c r="Q179" s="212"/>
      <c r="R179" s="212"/>
      <c r="S179" s="212"/>
      <c r="T179" s="212"/>
      <c r="U179" s="212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12"/>
      <c r="AF179" s="212"/>
      <c r="AG179" s="212"/>
      <c r="AH179" s="212"/>
      <c r="AI179" s="212"/>
      <c r="AJ179" s="212"/>
      <c r="AK179" s="212"/>
      <c r="AL179" s="212"/>
      <c r="AM179" s="212"/>
      <c r="AN179" s="212"/>
      <c r="AO179" s="212"/>
      <c r="AP179" s="212"/>
      <c r="AQ179" s="212"/>
      <c r="AR179" s="212"/>
      <c r="AS179" s="212"/>
      <c r="AT179" s="212"/>
      <c r="AU179" s="212"/>
      <c r="AV179" s="212"/>
      <c r="AW179" s="212"/>
      <c r="AX179" s="212"/>
      <c r="AY179" s="212"/>
      <c r="AZ179" s="212"/>
      <c r="BA179" s="212"/>
      <c r="BB179" s="212"/>
      <c r="BC179" s="212"/>
      <c r="BD179" s="212"/>
      <c r="BE179" s="212"/>
      <c r="BF179" s="212"/>
      <c r="BG179" s="212"/>
      <c r="BH179" s="212"/>
      <c r="BI179" s="212"/>
      <c r="BJ179" s="212"/>
      <c r="BK179" s="212"/>
      <c r="BL179" s="212"/>
      <c r="BM179" s="212"/>
      <c r="BN179" s="212"/>
      <c r="BO179" s="212"/>
      <c r="BP179" s="212"/>
      <c r="BQ179" s="212"/>
      <c r="BR179" s="212"/>
      <c r="BS179" s="212"/>
      <c r="BT179" s="212"/>
      <c r="BU179" s="212"/>
      <c r="BV179" s="212"/>
      <c r="BW179" s="212"/>
      <c r="BX179" s="212"/>
      <c r="BY179" s="212"/>
      <c r="BZ179" s="212"/>
      <c r="CA179" s="212"/>
      <c r="CB179" s="212"/>
      <c r="CC179" s="212"/>
      <c r="CD179" s="212"/>
      <c r="CE179" s="212"/>
      <c r="CF179" s="212"/>
      <c r="CG179" s="212"/>
      <c r="CH179" s="212"/>
      <c r="CI179" s="212"/>
      <c r="CJ179" s="212"/>
      <c r="CK179" s="212"/>
      <c r="CL179" s="212"/>
      <c r="CM179" s="212"/>
      <c r="CN179" s="212"/>
      <c r="CO179" s="212"/>
      <c r="CP179" s="212"/>
      <c r="CQ179" s="212"/>
      <c r="CR179" s="212"/>
      <c r="CS179" s="212"/>
    </row>
    <row r="180" spans="1:97" x14ac:dyDescent="0.4">
      <c r="A180" s="209">
        <v>45466</v>
      </c>
      <c r="B180" s="210" t="s">
        <v>300</v>
      </c>
      <c r="C180" s="212"/>
      <c r="D180" s="212"/>
      <c r="E180" s="212"/>
      <c r="F180" s="212"/>
      <c r="G180" s="212"/>
      <c r="H180" s="212"/>
      <c r="I180" s="212"/>
      <c r="J180" s="212"/>
      <c r="K180" s="212"/>
      <c r="L180" s="212"/>
      <c r="M180" s="212"/>
      <c r="N180" s="212"/>
      <c r="O180" s="212"/>
      <c r="P180" s="212"/>
      <c r="Q180" s="212"/>
      <c r="R180" s="212"/>
      <c r="S180" s="212"/>
      <c r="T180" s="212"/>
      <c r="U180" s="212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12"/>
      <c r="AF180" s="212"/>
      <c r="AG180" s="212"/>
      <c r="AH180" s="212"/>
      <c r="AI180" s="212"/>
      <c r="AJ180" s="212"/>
      <c r="AK180" s="212"/>
      <c r="AL180" s="212"/>
      <c r="AM180" s="212"/>
      <c r="AN180" s="212"/>
      <c r="AO180" s="212"/>
      <c r="AP180" s="212"/>
      <c r="AQ180" s="212"/>
      <c r="AR180" s="212"/>
      <c r="AS180" s="212"/>
      <c r="AT180" s="212"/>
      <c r="AU180" s="212"/>
      <c r="AV180" s="212"/>
      <c r="AW180" s="212"/>
      <c r="AX180" s="212"/>
      <c r="AY180" s="212"/>
      <c r="AZ180" s="212"/>
      <c r="BA180" s="212"/>
      <c r="BB180" s="212"/>
      <c r="BC180" s="212"/>
      <c r="BD180" s="212"/>
      <c r="BE180" s="212"/>
      <c r="BF180" s="212"/>
      <c r="BG180" s="212"/>
      <c r="BH180" s="212"/>
      <c r="BI180" s="212"/>
      <c r="BJ180" s="212"/>
      <c r="BK180" s="212"/>
      <c r="BL180" s="212"/>
      <c r="BM180" s="212"/>
      <c r="BN180" s="212"/>
      <c r="BO180" s="212"/>
      <c r="BP180" s="212"/>
      <c r="BQ180" s="212"/>
      <c r="BR180" s="212"/>
      <c r="BS180" s="212"/>
      <c r="BT180" s="212"/>
      <c r="BU180" s="212"/>
      <c r="BV180" s="212"/>
      <c r="BW180" s="212"/>
      <c r="BX180" s="212"/>
      <c r="BY180" s="212"/>
      <c r="BZ180" s="212"/>
      <c r="CA180" s="212"/>
      <c r="CB180" s="212"/>
      <c r="CC180" s="212"/>
      <c r="CD180" s="212"/>
      <c r="CE180" s="212"/>
      <c r="CF180" s="212"/>
      <c r="CG180" s="212"/>
      <c r="CH180" s="212"/>
      <c r="CI180" s="212"/>
      <c r="CJ180" s="212"/>
      <c r="CK180" s="212"/>
      <c r="CL180" s="212"/>
      <c r="CM180" s="212"/>
      <c r="CN180" s="212"/>
      <c r="CO180" s="212"/>
      <c r="CP180" s="212"/>
      <c r="CQ180" s="212"/>
      <c r="CR180" s="212"/>
      <c r="CS180" s="212"/>
    </row>
    <row r="181" spans="1:97" x14ac:dyDescent="0.4">
      <c r="A181" s="209">
        <v>45467</v>
      </c>
      <c r="B181" s="210" t="s">
        <v>294</v>
      </c>
      <c r="C181" s="212">
        <v>160.88</v>
      </c>
      <c r="D181" s="212">
        <v>158.88</v>
      </c>
      <c r="E181" s="212">
        <v>159.88</v>
      </c>
      <c r="F181" s="212">
        <v>172.46</v>
      </c>
      <c r="G181" s="212">
        <v>169.46</v>
      </c>
      <c r="H181" s="212">
        <v>170.96</v>
      </c>
      <c r="I181" s="212">
        <v>118.33</v>
      </c>
      <c r="J181" s="212">
        <v>115.13</v>
      </c>
      <c r="K181" s="212">
        <v>116.72999999999999</v>
      </c>
      <c r="L181" s="212">
        <v>206.17</v>
      </c>
      <c r="M181" s="212">
        <v>198.17</v>
      </c>
      <c r="N181" s="212">
        <v>202.17</v>
      </c>
      <c r="O181" s="212">
        <v>179.74</v>
      </c>
      <c r="P181" s="212">
        <v>177.94</v>
      </c>
      <c r="Q181" s="212">
        <v>178.84</v>
      </c>
      <c r="R181" s="212">
        <v>23.22</v>
      </c>
      <c r="S181" s="212">
        <v>22.619999999999997</v>
      </c>
      <c r="T181" s="212">
        <v>22.919999999999998</v>
      </c>
      <c r="U181" s="212">
        <v>15.42</v>
      </c>
      <c r="V181" s="212">
        <v>14.82</v>
      </c>
      <c r="W181" s="212">
        <v>15.120000000000001</v>
      </c>
      <c r="X181" s="212">
        <v>15.61</v>
      </c>
      <c r="Y181" s="212">
        <v>14.809999999999999</v>
      </c>
      <c r="Z181" s="212">
        <v>15.209999999999999</v>
      </c>
      <c r="AA181" s="212">
        <v>108.16</v>
      </c>
      <c r="AB181" s="212">
        <v>104.16</v>
      </c>
      <c r="AC181" s="212">
        <v>106.16</v>
      </c>
      <c r="AD181" s="212">
        <v>99.8</v>
      </c>
      <c r="AE181" s="212">
        <v>95.8</v>
      </c>
      <c r="AF181" s="212">
        <v>97.8</v>
      </c>
      <c r="AG181" s="212">
        <v>20.92</v>
      </c>
      <c r="AH181" s="212">
        <v>20.060000000000002</v>
      </c>
      <c r="AI181" s="212">
        <v>20.490000000000002</v>
      </c>
      <c r="AJ181" s="212"/>
      <c r="AK181" s="212"/>
      <c r="AL181" s="212"/>
      <c r="AM181" s="212">
        <v>118.8</v>
      </c>
      <c r="AN181" s="212">
        <v>117.14</v>
      </c>
      <c r="AO181" s="212">
        <v>117.97</v>
      </c>
      <c r="AP181" s="212">
        <v>43.36</v>
      </c>
      <c r="AQ181" s="212">
        <v>41.76</v>
      </c>
      <c r="AR181" s="212">
        <v>42.56</v>
      </c>
      <c r="AS181" s="212">
        <v>44.28</v>
      </c>
      <c r="AT181" s="212">
        <v>42.92</v>
      </c>
      <c r="AU181" s="212">
        <v>43.6</v>
      </c>
      <c r="AV181" s="212">
        <v>22.23</v>
      </c>
      <c r="AW181" s="212">
        <v>21.63</v>
      </c>
      <c r="AX181" s="212">
        <v>21.93</v>
      </c>
      <c r="AY181" s="212">
        <v>4.43</v>
      </c>
      <c r="AZ181" s="212">
        <v>4.2699999999999996</v>
      </c>
      <c r="BA181" s="212">
        <v>4.3499999999999996</v>
      </c>
      <c r="BB181" s="212">
        <v>2.0699999999999998</v>
      </c>
      <c r="BC181" s="212">
        <v>1.7699999999999998</v>
      </c>
      <c r="BD181" s="212">
        <v>1.92</v>
      </c>
      <c r="BE181" s="212">
        <v>0.73</v>
      </c>
      <c r="BF181" s="212">
        <v>0.43</v>
      </c>
      <c r="BG181" s="212">
        <v>0.57999999999999996</v>
      </c>
      <c r="BH181" s="212">
        <v>529.97</v>
      </c>
      <c r="BI181" s="212">
        <v>513.97</v>
      </c>
      <c r="BJ181" s="212">
        <v>521.97</v>
      </c>
      <c r="BK181" s="212">
        <v>44.62</v>
      </c>
      <c r="BL181" s="212">
        <v>43.26</v>
      </c>
      <c r="BM181" s="212">
        <v>43.94</v>
      </c>
      <c r="BN181" s="212">
        <v>1.1000000000000001</v>
      </c>
      <c r="BO181" s="212">
        <v>0.8600000000000001</v>
      </c>
      <c r="BP181" s="212">
        <v>0.98000000000000009</v>
      </c>
      <c r="BQ181" s="212">
        <v>9.83</v>
      </c>
      <c r="BR181" s="212">
        <v>7.83</v>
      </c>
      <c r="BS181" s="212">
        <v>8.83</v>
      </c>
      <c r="BT181" s="212">
        <v>11.71</v>
      </c>
      <c r="BU181" s="212">
        <v>11.31</v>
      </c>
      <c r="BV181" s="212">
        <v>11.510000000000002</v>
      </c>
      <c r="BW181" s="212">
        <v>2.88</v>
      </c>
      <c r="BX181" s="212">
        <v>2.5999999999999996</v>
      </c>
      <c r="BY181" s="212">
        <v>2.7399999999999998</v>
      </c>
      <c r="BZ181" s="212">
        <v>10.38</v>
      </c>
      <c r="CA181" s="212">
        <v>7.3800000000000008</v>
      </c>
      <c r="CB181" s="212">
        <v>8.8800000000000008</v>
      </c>
      <c r="CC181" s="212">
        <v>6.97</v>
      </c>
      <c r="CD181" s="212">
        <v>6.7299999999999995</v>
      </c>
      <c r="CE181" s="212">
        <v>6.85</v>
      </c>
      <c r="CF181" s="212">
        <v>2.0499999999999998</v>
      </c>
      <c r="CG181" s="212">
        <v>1.5499999999999998</v>
      </c>
      <c r="CH181" s="212">
        <v>1.7999999999999998</v>
      </c>
      <c r="CI181" s="212">
        <v>0.45</v>
      </c>
      <c r="CJ181" s="212">
        <v>0.41000000000000003</v>
      </c>
      <c r="CK181" s="212">
        <v>0.43000000000000005</v>
      </c>
      <c r="CL181" s="212">
        <v>40.74</v>
      </c>
      <c r="CM181" s="212">
        <v>38.340000000000003</v>
      </c>
      <c r="CN181" s="212">
        <v>39.540000000000006</v>
      </c>
      <c r="CO181" s="212">
        <v>7.39</v>
      </c>
      <c r="CP181" s="212">
        <v>2.3899999999999997</v>
      </c>
      <c r="CQ181" s="212">
        <v>4.8899999999999997</v>
      </c>
      <c r="CR181" s="212"/>
      <c r="CS181" s="212"/>
    </row>
    <row r="182" spans="1:97" x14ac:dyDescent="0.4">
      <c r="A182" s="209">
        <v>45468</v>
      </c>
      <c r="B182" s="210" t="s">
        <v>295</v>
      </c>
      <c r="C182" s="212">
        <v>160.56</v>
      </c>
      <c r="D182" s="212">
        <v>158.56</v>
      </c>
      <c r="E182" s="212">
        <v>159.56</v>
      </c>
      <c r="F182" s="212">
        <v>172.79</v>
      </c>
      <c r="G182" s="212">
        <v>169.79</v>
      </c>
      <c r="H182" s="212">
        <v>171.29</v>
      </c>
      <c r="I182" s="212">
        <v>118.44</v>
      </c>
      <c r="J182" s="212">
        <v>115.24</v>
      </c>
      <c r="K182" s="212">
        <v>116.84</v>
      </c>
      <c r="L182" s="212">
        <v>206.47</v>
      </c>
      <c r="M182" s="212">
        <v>198.47</v>
      </c>
      <c r="N182" s="212">
        <v>202.47</v>
      </c>
      <c r="O182" s="212">
        <v>179.74</v>
      </c>
      <c r="P182" s="212">
        <v>177.94</v>
      </c>
      <c r="Q182" s="212">
        <v>178.84</v>
      </c>
      <c r="R182" s="212">
        <v>23.26</v>
      </c>
      <c r="S182" s="212">
        <v>22.66</v>
      </c>
      <c r="T182" s="212">
        <v>22.96</v>
      </c>
      <c r="U182" s="212">
        <v>15.43</v>
      </c>
      <c r="V182" s="212">
        <v>14.83</v>
      </c>
      <c r="W182" s="212">
        <v>15.129999999999999</v>
      </c>
      <c r="X182" s="212">
        <v>15.62</v>
      </c>
      <c r="Y182" s="212">
        <v>14.819999999999999</v>
      </c>
      <c r="Z182" s="212">
        <v>15.219999999999999</v>
      </c>
      <c r="AA182" s="212">
        <v>108.17</v>
      </c>
      <c r="AB182" s="212">
        <v>104.17</v>
      </c>
      <c r="AC182" s="212">
        <v>106.17</v>
      </c>
      <c r="AD182" s="212">
        <v>99.65</v>
      </c>
      <c r="AE182" s="212">
        <v>95.65</v>
      </c>
      <c r="AF182" s="212">
        <v>97.65</v>
      </c>
      <c r="AG182" s="212">
        <v>20.87</v>
      </c>
      <c r="AH182" s="212">
        <v>20.010000000000002</v>
      </c>
      <c r="AI182" s="212">
        <v>20.440000000000001</v>
      </c>
      <c r="AJ182" s="212"/>
      <c r="AK182" s="212"/>
      <c r="AL182" s="212"/>
      <c r="AM182" s="212">
        <v>118.81</v>
      </c>
      <c r="AN182" s="212">
        <v>117.15</v>
      </c>
      <c r="AO182" s="212">
        <v>117.98</v>
      </c>
      <c r="AP182" s="212">
        <v>43.39</v>
      </c>
      <c r="AQ182" s="212">
        <v>41.79</v>
      </c>
      <c r="AR182" s="212">
        <v>42.59</v>
      </c>
      <c r="AS182" s="212">
        <v>44.05</v>
      </c>
      <c r="AT182" s="212">
        <v>42.69</v>
      </c>
      <c r="AU182" s="212">
        <v>43.37</v>
      </c>
      <c r="AV182" s="212">
        <v>22.21</v>
      </c>
      <c r="AW182" s="212">
        <v>21.61</v>
      </c>
      <c r="AX182" s="212">
        <v>21.91</v>
      </c>
      <c r="AY182" s="212">
        <v>4.4400000000000004</v>
      </c>
      <c r="AZ182" s="212">
        <v>4.28</v>
      </c>
      <c r="BA182" s="212">
        <v>4.3600000000000003</v>
      </c>
      <c r="BB182" s="212">
        <v>2.0699999999999998</v>
      </c>
      <c r="BC182" s="212">
        <v>1.7699999999999998</v>
      </c>
      <c r="BD182" s="212">
        <v>1.92</v>
      </c>
      <c r="BE182" s="212">
        <v>0.72</v>
      </c>
      <c r="BF182" s="212">
        <v>0.42</v>
      </c>
      <c r="BG182" s="212">
        <v>0.56999999999999995</v>
      </c>
      <c r="BH182" s="212">
        <v>529.27</v>
      </c>
      <c r="BI182" s="212">
        <v>513.27</v>
      </c>
      <c r="BJ182" s="212">
        <v>521.27</v>
      </c>
      <c r="BK182" s="212">
        <v>44.53</v>
      </c>
      <c r="BL182" s="212">
        <v>43.17</v>
      </c>
      <c r="BM182" s="212">
        <v>43.85</v>
      </c>
      <c r="BN182" s="212">
        <v>1.1000000000000001</v>
      </c>
      <c r="BO182" s="212">
        <v>0.8600000000000001</v>
      </c>
      <c r="BP182" s="212">
        <v>0.98000000000000009</v>
      </c>
      <c r="BQ182" s="212">
        <v>9.89</v>
      </c>
      <c r="BR182" s="212">
        <v>7.8900000000000006</v>
      </c>
      <c r="BS182" s="212">
        <v>8.89</v>
      </c>
      <c r="BT182" s="212">
        <v>11.73</v>
      </c>
      <c r="BU182" s="212">
        <v>11.33</v>
      </c>
      <c r="BV182" s="212">
        <v>11.530000000000001</v>
      </c>
      <c r="BW182" s="212">
        <v>2.87</v>
      </c>
      <c r="BX182" s="212">
        <v>2.59</v>
      </c>
      <c r="BY182" s="212">
        <v>2.73</v>
      </c>
      <c r="BZ182" s="212">
        <v>10.31</v>
      </c>
      <c r="CA182" s="212">
        <v>7.3100000000000005</v>
      </c>
      <c r="CB182" s="212">
        <v>8.81</v>
      </c>
      <c r="CC182" s="212">
        <v>7.01</v>
      </c>
      <c r="CD182" s="212">
        <v>6.77</v>
      </c>
      <c r="CE182" s="212">
        <v>6.89</v>
      </c>
      <c r="CF182" s="212">
        <v>2.0699999999999998</v>
      </c>
      <c r="CG182" s="212">
        <v>1.5699999999999998</v>
      </c>
      <c r="CH182" s="212">
        <v>1.8199999999999998</v>
      </c>
      <c r="CI182" s="212">
        <v>0.45</v>
      </c>
      <c r="CJ182" s="212">
        <v>0.41000000000000003</v>
      </c>
      <c r="CK182" s="212">
        <v>0.43000000000000005</v>
      </c>
      <c r="CL182" s="212">
        <v>41.12</v>
      </c>
      <c r="CM182" s="212">
        <v>38.72</v>
      </c>
      <c r="CN182" s="212">
        <v>39.92</v>
      </c>
      <c r="CO182" s="212">
        <v>7.35</v>
      </c>
      <c r="CP182" s="212">
        <v>2.3499999999999996</v>
      </c>
      <c r="CQ182" s="212">
        <v>4.8499999999999996</v>
      </c>
      <c r="CR182" s="212"/>
      <c r="CS182" s="212"/>
    </row>
    <row r="183" spans="1:97" x14ac:dyDescent="0.4">
      <c r="A183" s="209">
        <v>45469</v>
      </c>
      <c r="B183" s="210" t="s">
        <v>296</v>
      </c>
      <c r="C183" s="212">
        <v>160.78</v>
      </c>
      <c r="D183" s="212">
        <v>158.78</v>
      </c>
      <c r="E183" s="212">
        <v>159.78</v>
      </c>
      <c r="F183" s="212">
        <v>172.58</v>
      </c>
      <c r="G183" s="212">
        <v>169.58</v>
      </c>
      <c r="H183" s="212">
        <v>171.08</v>
      </c>
      <c r="I183" s="212">
        <v>118.52</v>
      </c>
      <c r="J183" s="212">
        <v>115.32</v>
      </c>
      <c r="K183" s="212">
        <v>116.91999999999999</v>
      </c>
      <c r="L183" s="212">
        <v>206.7</v>
      </c>
      <c r="M183" s="212">
        <v>198.7</v>
      </c>
      <c r="N183" s="212">
        <v>202.7</v>
      </c>
      <c r="O183" s="212">
        <v>179.31</v>
      </c>
      <c r="P183" s="212">
        <v>177.51</v>
      </c>
      <c r="Q183" s="212">
        <v>178.41</v>
      </c>
      <c r="R183" s="212">
        <v>23.24</v>
      </c>
      <c r="S183" s="212">
        <v>22.639999999999997</v>
      </c>
      <c r="T183" s="212">
        <v>22.939999999999998</v>
      </c>
      <c r="U183" s="212">
        <v>15.33</v>
      </c>
      <c r="V183" s="212">
        <v>14.73</v>
      </c>
      <c r="W183" s="212">
        <v>15.030000000000001</v>
      </c>
      <c r="X183" s="212">
        <v>15.6</v>
      </c>
      <c r="Y183" s="212">
        <v>14.799999999999999</v>
      </c>
      <c r="Z183" s="212">
        <v>15.2</v>
      </c>
      <c r="AA183" s="212">
        <v>108.09</v>
      </c>
      <c r="AB183" s="212">
        <v>104.09</v>
      </c>
      <c r="AC183" s="212">
        <v>106.09</v>
      </c>
      <c r="AD183" s="212">
        <v>99.75</v>
      </c>
      <c r="AE183" s="212">
        <v>95.75</v>
      </c>
      <c r="AF183" s="212">
        <v>97.75</v>
      </c>
      <c r="AG183" s="212">
        <v>20.89</v>
      </c>
      <c r="AH183" s="212">
        <v>20.03</v>
      </c>
      <c r="AI183" s="212">
        <v>20.46</v>
      </c>
      <c r="AJ183" s="212"/>
      <c r="AK183" s="212"/>
      <c r="AL183" s="212"/>
      <c r="AM183" s="212">
        <v>118.77</v>
      </c>
      <c r="AN183" s="212">
        <v>117.11</v>
      </c>
      <c r="AO183" s="212">
        <v>117.94</v>
      </c>
      <c r="AP183" s="212">
        <v>43.45</v>
      </c>
      <c r="AQ183" s="212">
        <v>41.85</v>
      </c>
      <c r="AR183" s="212">
        <v>42.650000000000006</v>
      </c>
      <c r="AS183" s="212">
        <v>44.25</v>
      </c>
      <c r="AT183" s="212">
        <v>42.89</v>
      </c>
      <c r="AU183" s="212">
        <v>43.57</v>
      </c>
      <c r="AV183" s="212">
        <v>22.22</v>
      </c>
      <c r="AW183" s="212">
        <v>21.619999999999997</v>
      </c>
      <c r="AX183" s="212">
        <v>21.919999999999998</v>
      </c>
      <c r="AY183" s="212">
        <v>4.42</v>
      </c>
      <c r="AZ183" s="212">
        <v>4.26</v>
      </c>
      <c r="BA183" s="212">
        <v>4.34</v>
      </c>
      <c r="BB183" s="212">
        <v>2.0699999999999998</v>
      </c>
      <c r="BC183" s="212">
        <v>1.7699999999999998</v>
      </c>
      <c r="BD183" s="212">
        <v>1.92</v>
      </c>
      <c r="BE183" s="212">
        <v>0.73</v>
      </c>
      <c r="BF183" s="212">
        <v>0.43</v>
      </c>
      <c r="BG183" s="212">
        <v>0.57999999999999996</v>
      </c>
      <c r="BH183" s="212">
        <v>528.12</v>
      </c>
      <c r="BI183" s="212">
        <v>512.12</v>
      </c>
      <c r="BJ183" s="212">
        <v>520.12</v>
      </c>
      <c r="BK183" s="212">
        <v>44.59</v>
      </c>
      <c r="BL183" s="212">
        <v>43.230000000000004</v>
      </c>
      <c r="BM183" s="212">
        <v>43.910000000000004</v>
      </c>
      <c r="BN183" s="212">
        <v>1.1000000000000001</v>
      </c>
      <c r="BO183" s="212">
        <v>0.8600000000000001</v>
      </c>
      <c r="BP183" s="212">
        <v>0.98000000000000009</v>
      </c>
      <c r="BQ183" s="212">
        <v>9.81</v>
      </c>
      <c r="BR183" s="212">
        <v>7.8100000000000005</v>
      </c>
      <c r="BS183" s="212">
        <v>8.81</v>
      </c>
      <c r="BT183" s="212">
        <v>11.7</v>
      </c>
      <c r="BU183" s="212">
        <v>11.299999999999999</v>
      </c>
      <c r="BV183" s="212">
        <v>11.5</v>
      </c>
      <c r="BW183" s="212">
        <v>2.88</v>
      </c>
      <c r="BX183" s="212">
        <v>2.5999999999999996</v>
      </c>
      <c r="BY183" s="212">
        <v>2.7399999999999998</v>
      </c>
      <c r="BZ183" s="212">
        <v>10.25</v>
      </c>
      <c r="CA183" s="212">
        <v>7.25</v>
      </c>
      <c r="CB183" s="212">
        <v>8.75</v>
      </c>
      <c r="CC183" s="212">
        <v>7.02</v>
      </c>
      <c r="CD183" s="212">
        <v>6.7799999999999994</v>
      </c>
      <c r="CE183" s="212">
        <v>6.8999999999999995</v>
      </c>
      <c r="CF183" s="212">
        <v>2.08</v>
      </c>
      <c r="CG183" s="212">
        <v>1.58</v>
      </c>
      <c r="CH183" s="212">
        <v>1.83</v>
      </c>
      <c r="CI183" s="212">
        <v>0.45</v>
      </c>
      <c r="CJ183" s="212">
        <v>0.41000000000000003</v>
      </c>
      <c r="CK183" s="212">
        <v>0.43000000000000005</v>
      </c>
      <c r="CL183" s="212">
        <v>41.01</v>
      </c>
      <c r="CM183" s="212">
        <v>38.61</v>
      </c>
      <c r="CN183" s="212">
        <v>39.81</v>
      </c>
      <c r="CO183" s="212">
        <v>7.35</v>
      </c>
      <c r="CP183" s="212">
        <v>2.3499999999999996</v>
      </c>
      <c r="CQ183" s="212">
        <v>4.8499999999999996</v>
      </c>
      <c r="CR183" s="212"/>
      <c r="CS183" s="212"/>
    </row>
    <row r="184" spans="1:97" x14ac:dyDescent="0.4">
      <c r="A184" s="209">
        <v>45470</v>
      </c>
      <c r="B184" s="210" t="s">
        <v>297</v>
      </c>
      <c r="C184" s="212">
        <v>161.78</v>
      </c>
      <c r="D184" s="212">
        <v>159.78</v>
      </c>
      <c r="E184" s="212">
        <v>160.78</v>
      </c>
      <c r="F184" s="212">
        <v>173.15</v>
      </c>
      <c r="G184" s="212">
        <v>170.15</v>
      </c>
      <c r="H184" s="212">
        <v>171.65</v>
      </c>
      <c r="I184" s="212">
        <v>118.87</v>
      </c>
      <c r="J184" s="212">
        <v>115.67</v>
      </c>
      <c r="K184" s="212">
        <v>117.27000000000001</v>
      </c>
      <c r="L184" s="212">
        <v>206.79</v>
      </c>
      <c r="M184" s="212">
        <v>198.79</v>
      </c>
      <c r="N184" s="212">
        <v>202.79</v>
      </c>
      <c r="O184" s="212">
        <v>179.98</v>
      </c>
      <c r="P184" s="212">
        <v>178.17999999999998</v>
      </c>
      <c r="Q184" s="212">
        <v>179.07999999999998</v>
      </c>
      <c r="R184" s="212">
        <v>23.31</v>
      </c>
      <c r="S184" s="212">
        <v>22.709999999999997</v>
      </c>
      <c r="T184" s="212">
        <v>23.009999999999998</v>
      </c>
      <c r="U184" s="212">
        <v>15.33</v>
      </c>
      <c r="V184" s="212">
        <v>14.73</v>
      </c>
      <c r="W184" s="212">
        <v>15.030000000000001</v>
      </c>
      <c r="X184" s="212">
        <v>15.59</v>
      </c>
      <c r="Y184" s="212">
        <v>14.79</v>
      </c>
      <c r="Z184" s="212">
        <v>15.19</v>
      </c>
      <c r="AA184" s="212">
        <v>108.76</v>
      </c>
      <c r="AB184" s="212">
        <v>104.76</v>
      </c>
      <c r="AC184" s="212">
        <v>106.76</v>
      </c>
      <c r="AD184" s="212">
        <v>99.61</v>
      </c>
      <c r="AE184" s="212">
        <v>95.61</v>
      </c>
      <c r="AF184" s="212">
        <v>97.61</v>
      </c>
      <c r="AG184" s="212">
        <v>21.02</v>
      </c>
      <c r="AH184" s="212">
        <v>20.16</v>
      </c>
      <c r="AI184" s="212">
        <v>20.59</v>
      </c>
      <c r="AJ184" s="212"/>
      <c r="AK184" s="212"/>
      <c r="AL184" s="212"/>
      <c r="AM184" s="212">
        <v>119.12</v>
      </c>
      <c r="AN184" s="212">
        <v>117.46000000000001</v>
      </c>
      <c r="AO184" s="212">
        <v>118.29</v>
      </c>
      <c r="AP184" s="212">
        <v>43.73</v>
      </c>
      <c r="AQ184" s="212">
        <v>42.129999999999995</v>
      </c>
      <c r="AR184" s="212">
        <v>42.929999999999993</v>
      </c>
      <c r="AS184" s="212">
        <v>44.53</v>
      </c>
      <c r="AT184" s="212">
        <v>43.17</v>
      </c>
      <c r="AU184" s="212">
        <v>43.85</v>
      </c>
      <c r="AV184" s="212">
        <v>22.31</v>
      </c>
      <c r="AW184" s="212">
        <v>21.709999999999997</v>
      </c>
      <c r="AX184" s="212">
        <v>22.009999999999998</v>
      </c>
      <c r="AY184" s="212">
        <v>4.43</v>
      </c>
      <c r="AZ184" s="212">
        <v>4.2699999999999996</v>
      </c>
      <c r="BA184" s="212">
        <v>4.3499999999999996</v>
      </c>
      <c r="BB184" s="212">
        <v>2.08</v>
      </c>
      <c r="BC184" s="212">
        <v>1.78</v>
      </c>
      <c r="BD184" s="212">
        <v>1.9300000000000002</v>
      </c>
      <c r="BE184" s="212">
        <v>0.73</v>
      </c>
      <c r="BF184" s="212">
        <v>0.43</v>
      </c>
      <c r="BG184" s="212">
        <v>0.57999999999999996</v>
      </c>
      <c r="BH184" s="212">
        <v>532.91</v>
      </c>
      <c r="BI184" s="212">
        <v>516.91</v>
      </c>
      <c r="BJ184" s="212">
        <v>524.91</v>
      </c>
      <c r="BK184" s="212">
        <v>44.86</v>
      </c>
      <c r="BL184" s="212">
        <v>43.5</v>
      </c>
      <c r="BM184" s="212">
        <v>44.18</v>
      </c>
      <c r="BN184" s="212">
        <v>1.1000000000000001</v>
      </c>
      <c r="BO184" s="212">
        <v>0.8600000000000001</v>
      </c>
      <c r="BP184" s="212">
        <v>0.98000000000000009</v>
      </c>
      <c r="BQ184" s="212">
        <v>9.77</v>
      </c>
      <c r="BR184" s="212">
        <v>7.77</v>
      </c>
      <c r="BS184" s="212">
        <v>8.77</v>
      </c>
      <c r="BT184" s="212">
        <v>11.77</v>
      </c>
      <c r="BU184" s="212">
        <v>11.37</v>
      </c>
      <c r="BV184" s="212">
        <v>11.57</v>
      </c>
      <c r="BW184" s="212">
        <v>2.89</v>
      </c>
      <c r="BX184" s="212">
        <v>2.6100000000000003</v>
      </c>
      <c r="BY184" s="212">
        <v>2.75</v>
      </c>
      <c r="BZ184" s="212">
        <v>10.35</v>
      </c>
      <c r="CA184" s="212">
        <v>7.35</v>
      </c>
      <c r="CB184" s="212">
        <v>8.85</v>
      </c>
      <c r="CC184" s="212">
        <v>7.02</v>
      </c>
      <c r="CD184" s="212">
        <v>6.7799999999999994</v>
      </c>
      <c r="CE184" s="212">
        <v>6.8999999999999995</v>
      </c>
      <c r="CF184" s="212">
        <v>2.0699999999999998</v>
      </c>
      <c r="CG184" s="212">
        <v>1.5699999999999998</v>
      </c>
      <c r="CH184" s="212">
        <v>1.8199999999999998</v>
      </c>
      <c r="CI184" s="212">
        <v>0.45</v>
      </c>
      <c r="CJ184" s="212">
        <v>0.41000000000000003</v>
      </c>
      <c r="CK184" s="212">
        <v>0.43000000000000005</v>
      </c>
      <c r="CL184" s="212">
        <v>41</v>
      </c>
      <c r="CM184" s="212">
        <v>38.6</v>
      </c>
      <c r="CN184" s="212">
        <v>39.799999999999997</v>
      </c>
      <c r="CO184" s="212">
        <v>7.41</v>
      </c>
      <c r="CP184" s="212">
        <v>2.41</v>
      </c>
      <c r="CQ184" s="212">
        <v>4.91</v>
      </c>
      <c r="CR184" s="212"/>
      <c r="CS184" s="212"/>
    </row>
    <row r="185" spans="1:97" x14ac:dyDescent="0.4">
      <c r="A185" s="209">
        <v>45471</v>
      </c>
      <c r="B185" s="210" t="s">
        <v>298</v>
      </c>
      <c r="C185" s="212">
        <v>162.07</v>
      </c>
      <c r="D185" s="212">
        <v>160.07</v>
      </c>
      <c r="E185" s="212">
        <v>161.07</v>
      </c>
      <c r="F185" s="212">
        <v>173.83</v>
      </c>
      <c r="G185" s="212">
        <v>170.83</v>
      </c>
      <c r="H185" s="212">
        <v>172.33</v>
      </c>
      <c r="I185" s="212">
        <v>119.02</v>
      </c>
      <c r="J185" s="212">
        <v>115.82</v>
      </c>
      <c r="K185" s="212">
        <v>117.41999999999999</v>
      </c>
      <c r="L185" s="212">
        <v>207.48</v>
      </c>
      <c r="M185" s="212">
        <v>199.48</v>
      </c>
      <c r="N185" s="212">
        <v>203.48</v>
      </c>
      <c r="O185" s="212">
        <v>179.97</v>
      </c>
      <c r="P185" s="212">
        <v>178.17</v>
      </c>
      <c r="Q185" s="212">
        <v>179.07</v>
      </c>
      <c r="R185" s="212">
        <v>23.4</v>
      </c>
      <c r="S185" s="212">
        <v>22.799999999999997</v>
      </c>
      <c r="T185" s="212">
        <v>23.099999999999998</v>
      </c>
      <c r="U185" s="212">
        <v>15.38</v>
      </c>
      <c r="V185" s="212">
        <v>14.780000000000001</v>
      </c>
      <c r="W185" s="212">
        <v>15.080000000000002</v>
      </c>
      <c r="X185" s="212">
        <v>15.54</v>
      </c>
      <c r="Y185" s="212">
        <v>14.739999999999998</v>
      </c>
      <c r="Z185" s="212">
        <v>15.139999999999999</v>
      </c>
      <c r="AA185" s="212">
        <v>109</v>
      </c>
      <c r="AB185" s="212">
        <v>105</v>
      </c>
      <c r="AC185" s="212">
        <v>107</v>
      </c>
      <c r="AD185" s="212">
        <v>99.82</v>
      </c>
      <c r="AE185" s="212">
        <v>95.82</v>
      </c>
      <c r="AF185" s="212">
        <v>97.82</v>
      </c>
      <c r="AG185" s="212">
        <v>21.06</v>
      </c>
      <c r="AH185" s="212">
        <v>20.2</v>
      </c>
      <c r="AI185" s="212">
        <v>20.63</v>
      </c>
      <c r="AJ185" s="212"/>
      <c r="AK185" s="212"/>
      <c r="AL185" s="212"/>
      <c r="AM185" s="212">
        <v>119.32</v>
      </c>
      <c r="AN185" s="212">
        <v>117.66</v>
      </c>
      <c r="AO185" s="212">
        <v>118.49</v>
      </c>
      <c r="AP185" s="212">
        <v>43.82</v>
      </c>
      <c r="AQ185" s="212">
        <v>42.22</v>
      </c>
      <c r="AR185" s="212">
        <v>43.019999999999996</v>
      </c>
      <c r="AS185" s="212">
        <v>44.6</v>
      </c>
      <c r="AT185" s="212">
        <v>43.24</v>
      </c>
      <c r="AU185" s="212">
        <v>43.92</v>
      </c>
      <c r="AV185" s="212">
        <v>22.34</v>
      </c>
      <c r="AW185" s="212">
        <v>21.74</v>
      </c>
      <c r="AX185" s="212">
        <v>22.04</v>
      </c>
      <c r="AY185" s="212">
        <v>4.4400000000000004</v>
      </c>
      <c r="AZ185" s="212">
        <v>4.28</v>
      </c>
      <c r="BA185" s="212">
        <v>4.3600000000000003</v>
      </c>
      <c r="BB185" s="212">
        <v>2.09</v>
      </c>
      <c r="BC185" s="212">
        <v>1.7899999999999998</v>
      </c>
      <c r="BD185" s="212">
        <v>1.94</v>
      </c>
      <c r="BE185" s="212">
        <v>0.73</v>
      </c>
      <c r="BF185" s="212">
        <v>0.43</v>
      </c>
      <c r="BG185" s="212">
        <v>0.57999999999999996</v>
      </c>
      <c r="BH185" s="212">
        <v>534.03</v>
      </c>
      <c r="BI185" s="212">
        <v>518.03</v>
      </c>
      <c r="BJ185" s="212">
        <v>526.03</v>
      </c>
      <c r="BK185" s="212">
        <v>44.94</v>
      </c>
      <c r="BL185" s="212">
        <v>43.58</v>
      </c>
      <c r="BM185" s="212">
        <v>44.26</v>
      </c>
      <c r="BN185" s="212">
        <v>1.1100000000000001</v>
      </c>
      <c r="BO185" s="212">
        <v>0.87000000000000011</v>
      </c>
      <c r="BP185" s="212">
        <v>0.9900000000000001</v>
      </c>
      <c r="BQ185" s="212">
        <v>9.7200000000000006</v>
      </c>
      <c r="BR185" s="212">
        <v>7.7200000000000006</v>
      </c>
      <c r="BS185" s="212">
        <v>8.7200000000000006</v>
      </c>
      <c r="BT185" s="212">
        <v>11.84</v>
      </c>
      <c r="BU185" s="212">
        <v>11.44</v>
      </c>
      <c r="BV185" s="212">
        <v>11.64</v>
      </c>
      <c r="BW185" s="212">
        <v>2.9</v>
      </c>
      <c r="BX185" s="212">
        <v>2.62</v>
      </c>
      <c r="BY185" s="212">
        <v>2.76</v>
      </c>
      <c r="BZ185" s="212">
        <v>10.220000000000001</v>
      </c>
      <c r="CA185" s="212">
        <v>7.2200000000000006</v>
      </c>
      <c r="CB185" s="212">
        <v>8.7200000000000006</v>
      </c>
      <c r="CC185" s="212">
        <v>6.99</v>
      </c>
      <c r="CD185" s="212">
        <v>6.75</v>
      </c>
      <c r="CE185" s="212">
        <v>6.87</v>
      </c>
      <c r="CF185" s="212">
        <v>2.15</v>
      </c>
      <c r="CG185" s="212">
        <v>1.65</v>
      </c>
      <c r="CH185" s="212">
        <v>1.9</v>
      </c>
      <c r="CI185" s="212">
        <v>0.45</v>
      </c>
      <c r="CJ185" s="212">
        <v>0.41000000000000003</v>
      </c>
      <c r="CK185" s="212">
        <v>0.43000000000000005</v>
      </c>
      <c r="CL185" s="212">
        <v>41.15</v>
      </c>
      <c r="CM185" s="212">
        <v>38.75</v>
      </c>
      <c r="CN185" s="212">
        <v>39.950000000000003</v>
      </c>
      <c r="CO185" s="212">
        <v>7.4</v>
      </c>
      <c r="CP185" s="212">
        <v>2.4000000000000004</v>
      </c>
      <c r="CQ185" s="212">
        <v>4.9000000000000004</v>
      </c>
      <c r="CR185" s="212"/>
      <c r="CS185" s="212"/>
    </row>
    <row r="186" spans="1:97" x14ac:dyDescent="0.4">
      <c r="A186" s="209">
        <v>45472</v>
      </c>
      <c r="B186" s="210" t="s">
        <v>299</v>
      </c>
      <c r="C186" s="212"/>
      <c r="D186" s="212"/>
      <c r="E186" s="212"/>
      <c r="F186" s="212"/>
      <c r="G186" s="212"/>
      <c r="H186" s="212"/>
      <c r="I186" s="212"/>
      <c r="J186" s="212"/>
      <c r="K186" s="212"/>
      <c r="L186" s="212"/>
      <c r="M186" s="212"/>
      <c r="N186" s="212"/>
      <c r="O186" s="212"/>
      <c r="P186" s="212"/>
      <c r="Q186" s="212"/>
      <c r="R186" s="212"/>
      <c r="S186" s="212"/>
      <c r="T186" s="212"/>
      <c r="U186" s="212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12"/>
      <c r="AF186" s="212"/>
      <c r="AG186" s="212"/>
      <c r="AH186" s="212"/>
      <c r="AI186" s="212"/>
      <c r="AJ186" s="212"/>
      <c r="AK186" s="212"/>
      <c r="AL186" s="212"/>
      <c r="AM186" s="212"/>
      <c r="AN186" s="212"/>
      <c r="AO186" s="212"/>
      <c r="AP186" s="212"/>
      <c r="AQ186" s="212"/>
      <c r="AR186" s="212"/>
      <c r="AS186" s="212"/>
      <c r="AT186" s="212"/>
      <c r="AU186" s="212"/>
      <c r="AV186" s="212"/>
      <c r="AW186" s="212"/>
      <c r="AX186" s="212"/>
      <c r="AY186" s="212"/>
      <c r="AZ186" s="212"/>
      <c r="BA186" s="212"/>
      <c r="BB186" s="212"/>
      <c r="BC186" s="212"/>
      <c r="BD186" s="212"/>
      <c r="BE186" s="212"/>
      <c r="BF186" s="212"/>
      <c r="BG186" s="212"/>
      <c r="BH186" s="212"/>
      <c r="BI186" s="212"/>
      <c r="BJ186" s="212"/>
      <c r="BK186" s="212"/>
      <c r="BL186" s="212"/>
      <c r="BM186" s="212"/>
      <c r="BN186" s="212"/>
      <c r="BO186" s="212"/>
      <c r="BP186" s="212"/>
      <c r="BQ186" s="212"/>
      <c r="BR186" s="212"/>
      <c r="BS186" s="212"/>
      <c r="BT186" s="212"/>
      <c r="BU186" s="212"/>
      <c r="BV186" s="212"/>
      <c r="BW186" s="212"/>
      <c r="BX186" s="212"/>
      <c r="BY186" s="212"/>
      <c r="BZ186" s="212"/>
      <c r="CA186" s="212"/>
      <c r="CB186" s="212"/>
      <c r="CC186" s="212"/>
      <c r="CD186" s="212"/>
      <c r="CE186" s="212"/>
      <c r="CF186" s="212"/>
      <c r="CG186" s="212"/>
      <c r="CH186" s="212"/>
      <c r="CI186" s="212"/>
      <c r="CJ186" s="212"/>
      <c r="CK186" s="212"/>
      <c r="CL186" s="212"/>
      <c r="CM186" s="212"/>
      <c r="CN186" s="212"/>
      <c r="CO186" s="212"/>
      <c r="CP186" s="212"/>
      <c r="CQ186" s="212"/>
      <c r="CR186" s="212"/>
      <c r="CS186" s="212"/>
    </row>
    <row r="187" spans="1:97" x14ac:dyDescent="0.4">
      <c r="A187" s="209">
        <v>45473</v>
      </c>
      <c r="B187" s="210" t="s">
        <v>300</v>
      </c>
      <c r="C187" s="212"/>
      <c r="D187" s="212"/>
      <c r="E187" s="212"/>
      <c r="F187" s="212"/>
      <c r="G187" s="212"/>
      <c r="H187" s="212"/>
      <c r="I187" s="212"/>
      <c r="J187" s="212"/>
      <c r="K187" s="212"/>
      <c r="L187" s="212"/>
      <c r="M187" s="212"/>
      <c r="N187" s="212"/>
      <c r="O187" s="212"/>
      <c r="P187" s="212"/>
      <c r="Q187" s="212"/>
      <c r="R187" s="212"/>
      <c r="S187" s="212"/>
      <c r="T187" s="212"/>
      <c r="U187" s="212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12"/>
      <c r="AF187" s="212"/>
      <c r="AG187" s="212"/>
      <c r="AH187" s="212"/>
      <c r="AI187" s="212"/>
      <c r="AJ187" s="212"/>
      <c r="AK187" s="212"/>
      <c r="AL187" s="212"/>
      <c r="AM187" s="212"/>
      <c r="AN187" s="212"/>
      <c r="AO187" s="212"/>
      <c r="AP187" s="212"/>
      <c r="AQ187" s="212"/>
      <c r="AR187" s="212"/>
      <c r="AS187" s="212"/>
      <c r="AT187" s="212"/>
      <c r="AU187" s="212"/>
      <c r="AV187" s="212"/>
      <c r="AW187" s="212"/>
      <c r="AX187" s="212"/>
      <c r="AY187" s="212"/>
      <c r="AZ187" s="212"/>
      <c r="BA187" s="212"/>
      <c r="BB187" s="212"/>
      <c r="BC187" s="212"/>
      <c r="BD187" s="212"/>
      <c r="BE187" s="212"/>
      <c r="BF187" s="212"/>
      <c r="BG187" s="212"/>
      <c r="BH187" s="212"/>
      <c r="BI187" s="212"/>
      <c r="BJ187" s="212"/>
      <c r="BK187" s="212"/>
      <c r="BL187" s="212"/>
      <c r="BM187" s="212"/>
      <c r="BN187" s="212"/>
      <c r="BO187" s="212"/>
      <c r="BP187" s="212"/>
      <c r="BQ187" s="212"/>
      <c r="BR187" s="212"/>
      <c r="BS187" s="212"/>
      <c r="BT187" s="212"/>
      <c r="BU187" s="212"/>
      <c r="BV187" s="212"/>
      <c r="BW187" s="212"/>
      <c r="BX187" s="212"/>
      <c r="BY187" s="212"/>
      <c r="BZ187" s="212"/>
      <c r="CA187" s="212"/>
      <c r="CB187" s="212"/>
      <c r="CC187" s="212"/>
      <c r="CD187" s="212"/>
      <c r="CE187" s="212"/>
      <c r="CF187" s="212"/>
      <c r="CG187" s="212"/>
      <c r="CH187" s="212"/>
      <c r="CI187" s="212"/>
      <c r="CJ187" s="212"/>
      <c r="CK187" s="212"/>
      <c r="CL187" s="212"/>
      <c r="CM187" s="212"/>
      <c r="CN187" s="212"/>
      <c r="CO187" s="212"/>
      <c r="CP187" s="212"/>
      <c r="CQ187" s="212"/>
      <c r="CR187" s="212"/>
      <c r="CS187" s="212"/>
    </row>
    <row r="188" spans="1:97" x14ac:dyDescent="0.4">
      <c r="A188" s="209">
        <v>45474</v>
      </c>
      <c r="B188" s="210" t="s">
        <v>294</v>
      </c>
      <c r="C188" s="212">
        <v>162.22999999999999</v>
      </c>
      <c r="D188" s="212">
        <v>160.22999999999999</v>
      </c>
      <c r="E188" s="212">
        <v>161.22999999999999</v>
      </c>
      <c r="F188" s="212">
        <v>174.76</v>
      </c>
      <c r="G188" s="212">
        <v>171.76</v>
      </c>
      <c r="H188" s="212">
        <v>173.26</v>
      </c>
      <c r="I188" s="212">
        <v>119.51</v>
      </c>
      <c r="J188" s="212">
        <v>116.31</v>
      </c>
      <c r="K188" s="212">
        <v>117.91</v>
      </c>
      <c r="L188" s="212">
        <v>207.97</v>
      </c>
      <c r="M188" s="212">
        <v>199.97</v>
      </c>
      <c r="N188" s="212">
        <v>203.97</v>
      </c>
      <c r="O188" s="212">
        <v>180.08</v>
      </c>
      <c r="P188" s="212">
        <v>178.28</v>
      </c>
      <c r="Q188" s="212">
        <v>179.18</v>
      </c>
      <c r="R188" s="212">
        <v>23.53</v>
      </c>
      <c r="S188" s="212">
        <v>22.93</v>
      </c>
      <c r="T188" s="212">
        <v>23.23</v>
      </c>
      <c r="U188" s="212">
        <v>15.41</v>
      </c>
      <c r="V188" s="212">
        <v>14.81</v>
      </c>
      <c r="W188" s="212">
        <v>15.11</v>
      </c>
      <c r="X188" s="212">
        <v>15.65</v>
      </c>
      <c r="Y188" s="212">
        <v>14.85</v>
      </c>
      <c r="Z188" s="212">
        <v>15.25</v>
      </c>
      <c r="AA188" s="212">
        <v>109.48</v>
      </c>
      <c r="AB188" s="212">
        <v>105.48</v>
      </c>
      <c r="AC188" s="212">
        <v>107.48</v>
      </c>
      <c r="AD188" s="212">
        <v>100.32</v>
      </c>
      <c r="AE188" s="212">
        <v>96.32</v>
      </c>
      <c r="AF188" s="212">
        <v>98.32</v>
      </c>
      <c r="AG188" s="212">
        <v>21.08</v>
      </c>
      <c r="AH188" s="212">
        <v>20.22</v>
      </c>
      <c r="AI188" s="212">
        <v>20.65</v>
      </c>
      <c r="AJ188" s="212" t="s">
        <v>301</v>
      </c>
      <c r="AK188" s="212"/>
      <c r="AL188" s="212"/>
      <c r="AM188" s="212">
        <v>119.81</v>
      </c>
      <c r="AN188" s="212">
        <v>118.15</v>
      </c>
      <c r="AO188" s="212">
        <v>118.98</v>
      </c>
      <c r="AP188" s="212">
        <v>43.84</v>
      </c>
      <c r="AQ188" s="212">
        <v>42.24</v>
      </c>
      <c r="AR188" s="212">
        <v>43.040000000000006</v>
      </c>
      <c r="AS188" s="212">
        <v>44.65</v>
      </c>
      <c r="AT188" s="212">
        <v>43.29</v>
      </c>
      <c r="AU188" s="212">
        <v>43.97</v>
      </c>
      <c r="AV188" s="212">
        <v>22.38</v>
      </c>
      <c r="AW188" s="212">
        <v>21.779999999999998</v>
      </c>
      <c r="AX188" s="212">
        <v>22.08</v>
      </c>
      <c r="AY188" s="212">
        <v>4.46</v>
      </c>
      <c r="AZ188" s="212">
        <v>4.3</v>
      </c>
      <c r="BA188" s="212">
        <v>4.38</v>
      </c>
      <c r="BB188" s="212">
        <v>2.09</v>
      </c>
      <c r="BC188" s="212">
        <v>1.7899999999999998</v>
      </c>
      <c r="BD188" s="212">
        <v>1.94</v>
      </c>
      <c r="BE188" s="212">
        <v>0.73</v>
      </c>
      <c r="BF188" s="212">
        <v>0.43</v>
      </c>
      <c r="BG188" s="212">
        <v>0.57999999999999996</v>
      </c>
      <c r="BH188" s="212">
        <v>534.54999999999995</v>
      </c>
      <c r="BI188" s="212">
        <v>518.54999999999995</v>
      </c>
      <c r="BJ188" s="212">
        <v>526.54999999999995</v>
      </c>
      <c r="BK188" s="212">
        <v>44.97</v>
      </c>
      <c r="BL188" s="212">
        <v>43.61</v>
      </c>
      <c r="BM188" s="212">
        <v>44.29</v>
      </c>
      <c r="BN188" s="212">
        <v>1.1100000000000001</v>
      </c>
      <c r="BO188" s="212">
        <v>0.87000000000000011</v>
      </c>
      <c r="BP188" s="212">
        <v>0.9900000000000001</v>
      </c>
      <c r="BQ188" s="212">
        <v>9.82</v>
      </c>
      <c r="BR188" s="212">
        <v>7.82</v>
      </c>
      <c r="BS188" s="212">
        <v>8.82</v>
      </c>
      <c r="BT188" s="212">
        <v>11.87</v>
      </c>
      <c r="BU188" s="212">
        <v>11.469999999999999</v>
      </c>
      <c r="BV188" s="212">
        <v>11.669999999999998</v>
      </c>
      <c r="BW188" s="212">
        <v>2.91</v>
      </c>
      <c r="BX188" s="212">
        <v>2.63</v>
      </c>
      <c r="BY188" s="212">
        <v>2.77</v>
      </c>
      <c r="BZ188" s="212">
        <v>10.43</v>
      </c>
      <c r="CA188" s="212">
        <v>7.43</v>
      </c>
      <c r="CB188" s="212">
        <v>8.93</v>
      </c>
      <c r="CC188" s="212">
        <v>7.05</v>
      </c>
      <c r="CD188" s="212">
        <v>6.81</v>
      </c>
      <c r="CE188" s="212">
        <v>6.93</v>
      </c>
      <c r="CF188" s="212">
        <v>2.13</v>
      </c>
      <c r="CG188" s="212">
        <v>1.63</v>
      </c>
      <c r="CH188" s="212">
        <v>1.88</v>
      </c>
      <c r="CI188" s="212">
        <v>0.46</v>
      </c>
      <c r="CJ188" s="212">
        <v>0.42000000000000004</v>
      </c>
      <c r="CK188" s="212">
        <v>0.44000000000000006</v>
      </c>
      <c r="CL188" s="212">
        <v>41.36</v>
      </c>
      <c r="CM188" s="212">
        <v>38.96</v>
      </c>
      <c r="CN188" s="212">
        <v>40.159999999999997</v>
      </c>
      <c r="CO188" s="212">
        <v>7.41</v>
      </c>
      <c r="CP188" s="212">
        <v>2.41</v>
      </c>
      <c r="CQ188" s="212">
        <v>4.91</v>
      </c>
      <c r="CR188" s="212"/>
      <c r="CS188" s="212"/>
    </row>
    <row r="189" spans="1:97" x14ac:dyDescent="0.4">
      <c r="A189" s="209">
        <v>45475</v>
      </c>
      <c r="B189" s="210" t="s">
        <v>295</v>
      </c>
      <c r="C189" s="212">
        <v>162.71</v>
      </c>
      <c r="D189" s="212">
        <v>160.71</v>
      </c>
      <c r="E189" s="212">
        <v>161.71</v>
      </c>
      <c r="F189" s="212">
        <v>175.01</v>
      </c>
      <c r="G189" s="212">
        <v>172.01</v>
      </c>
      <c r="H189" s="212">
        <v>173.51</v>
      </c>
      <c r="I189" s="212">
        <v>119.28</v>
      </c>
      <c r="J189" s="212">
        <v>116.08</v>
      </c>
      <c r="K189" s="212">
        <v>117.68</v>
      </c>
      <c r="L189" s="212">
        <v>208.39</v>
      </c>
      <c r="M189" s="212">
        <v>200.39</v>
      </c>
      <c r="N189" s="212">
        <v>204.39</v>
      </c>
      <c r="O189" s="212">
        <v>179.78</v>
      </c>
      <c r="P189" s="212">
        <v>177.98</v>
      </c>
      <c r="Q189" s="212">
        <v>178.88</v>
      </c>
      <c r="R189" s="212">
        <v>23.56</v>
      </c>
      <c r="S189" s="212">
        <v>22.959999999999997</v>
      </c>
      <c r="T189" s="212">
        <v>23.259999999999998</v>
      </c>
      <c r="U189" s="212">
        <v>15.47</v>
      </c>
      <c r="V189" s="212">
        <v>14.870000000000001</v>
      </c>
      <c r="W189" s="212">
        <v>15.170000000000002</v>
      </c>
      <c r="X189" s="212">
        <v>15.61</v>
      </c>
      <c r="Y189" s="212">
        <v>14.809999999999999</v>
      </c>
      <c r="Z189" s="212">
        <v>15.209999999999999</v>
      </c>
      <c r="AA189" s="212">
        <v>109.49</v>
      </c>
      <c r="AB189" s="212">
        <v>105.49</v>
      </c>
      <c r="AC189" s="212">
        <v>107.49</v>
      </c>
      <c r="AD189" s="212">
        <v>99.95</v>
      </c>
      <c r="AE189" s="212">
        <v>95.95</v>
      </c>
      <c r="AF189" s="212">
        <v>97.95</v>
      </c>
      <c r="AG189" s="212">
        <v>21.13</v>
      </c>
      <c r="AH189" s="212">
        <v>20.27</v>
      </c>
      <c r="AI189" s="212">
        <v>20.7</v>
      </c>
      <c r="AJ189" s="212" t="s">
        <v>302</v>
      </c>
      <c r="AK189" s="212"/>
      <c r="AL189" s="212"/>
      <c r="AM189" s="212">
        <v>119.88</v>
      </c>
      <c r="AN189" s="212">
        <v>118.22</v>
      </c>
      <c r="AO189" s="212">
        <v>119.05</v>
      </c>
      <c r="AP189" s="212">
        <v>43.97</v>
      </c>
      <c r="AQ189" s="212">
        <v>42.37</v>
      </c>
      <c r="AR189" s="212">
        <v>43.17</v>
      </c>
      <c r="AS189" s="212">
        <v>44.78</v>
      </c>
      <c r="AT189" s="212">
        <v>43.42</v>
      </c>
      <c r="AU189" s="212">
        <v>44.1</v>
      </c>
      <c r="AV189" s="212">
        <v>22.44</v>
      </c>
      <c r="AW189" s="212">
        <v>21.84</v>
      </c>
      <c r="AX189" s="212">
        <v>22.14</v>
      </c>
      <c r="AY189" s="212">
        <v>4.47</v>
      </c>
      <c r="AZ189" s="212">
        <v>4.3099999999999996</v>
      </c>
      <c r="BA189" s="212">
        <v>4.3899999999999997</v>
      </c>
      <c r="BB189" s="212">
        <v>2.1</v>
      </c>
      <c r="BC189" s="212">
        <v>1.8</v>
      </c>
      <c r="BD189" s="212">
        <v>1.9500000000000002</v>
      </c>
      <c r="BE189" s="212">
        <v>0.73</v>
      </c>
      <c r="BF189" s="212">
        <v>0.43</v>
      </c>
      <c r="BG189" s="212">
        <v>0.57999999999999996</v>
      </c>
      <c r="BH189" s="212">
        <v>536.46</v>
      </c>
      <c r="BI189" s="212">
        <v>520.46</v>
      </c>
      <c r="BJ189" s="212">
        <v>528.46</v>
      </c>
      <c r="BK189" s="212">
        <v>45.12</v>
      </c>
      <c r="BL189" s="212">
        <v>43.76</v>
      </c>
      <c r="BM189" s="212">
        <v>44.44</v>
      </c>
      <c r="BN189" s="212">
        <v>1.1100000000000001</v>
      </c>
      <c r="BO189" s="212">
        <v>0.87000000000000011</v>
      </c>
      <c r="BP189" s="212">
        <v>0.9900000000000001</v>
      </c>
      <c r="BQ189" s="212">
        <v>9.8000000000000007</v>
      </c>
      <c r="BR189" s="212">
        <v>7.8000000000000007</v>
      </c>
      <c r="BS189" s="212">
        <v>8.8000000000000007</v>
      </c>
      <c r="BT189" s="212">
        <v>11.88</v>
      </c>
      <c r="BU189" s="212">
        <v>11.48</v>
      </c>
      <c r="BV189" s="212">
        <v>11.68</v>
      </c>
      <c r="BW189" s="212">
        <v>2.92</v>
      </c>
      <c r="BX189" s="212">
        <v>2.6399999999999997</v>
      </c>
      <c r="BY189" s="212">
        <v>2.78</v>
      </c>
      <c r="BZ189" s="212">
        <v>10.3</v>
      </c>
      <c r="CA189" s="212">
        <v>7.3000000000000007</v>
      </c>
      <c r="CB189" s="212">
        <v>8.8000000000000007</v>
      </c>
      <c r="CC189" s="212">
        <v>7.02</v>
      </c>
      <c r="CD189" s="212">
        <v>6.7799999999999994</v>
      </c>
      <c r="CE189" s="212">
        <v>6.8999999999999995</v>
      </c>
      <c r="CF189" s="212">
        <v>2.11</v>
      </c>
      <c r="CG189" s="212">
        <v>1.6099999999999999</v>
      </c>
      <c r="CH189" s="212">
        <v>1.8599999999999999</v>
      </c>
      <c r="CI189" s="212">
        <v>0.46</v>
      </c>
      <c r="CJ189" s="212">
        <v>0.42000000000000004</v>
      </c>
      <c r="CK189" s="212">
        <v>0.44000000000000006</v>
      </c>
      <c r="CL189" s="212">
        <v>41.44</v>
      </c>
      <c r="CM189" s="212">
        <v>39.04</v>
      </c>
      <c r="CN189" s="212">
        <v>40.239999999999995</v>
      </c>
      <c r="CO189" s="212">
        <v>7.46</v>
      </c>
      <c r="CP189" s="212">
        <v>2.46</v>
      </c>
      <c r="CQ189" s="212">
        <v>4.96</v>
      </c>
      <c r="CR189" s="212"/>
      <c r="CS189" s="212"/>
    </row>
    <row r="190" spans="1:97" x14ac:dyDescent="0.4">
      <c r="A190" s="209">
        <v>45476</v>
      </c>
      <c r="B190" s="210" t="s">
        <v>296</v>
      </c>
      <c r="C190" s="212">
        <v>162.61000000000001</v>
      </c>
      <c r="D190" s="212">
        <v>160.61000000000001</v>
      </c>
      <c r="E190" s="212">
        <v>161.61000000000001</v>
      </c>
      <c r="F190" s="212">
        <v>175.23</v>
      </c>
      <c r="G190" s="212">
        <v>172.23</v>
      </c>
      <c r="H190" s="212">
        <v>173.73</v>
      </c>
      <c r="I190" s="212">
        <v>119.77</v>
      </c>
      <c r="J190" s="212">
        <v>116.57</v>
      </c>
      <c r="K190" s="212">
        <v>118.16999999999999</v>
      </c>
      <c r="L190" s="212">
        <v>209.12</v>
      </c>
      <c r="M190" s="212">
        <v>201.12</v>
      </c>
      <c r="N190" s="212">
        <v>205.12</v>
      </c>
      <c r="O190" s="212">
        <v>179.67</v>
      </c>
      <c r="P190" s="212">
        <v>177.86999999999998</v>
      </c>
      <c r="Q190" s="212">
        <v>178.76999999999998</v>
      </c>
      <c r="R190" s="212">
        <v>23.59</v>
      </c>
      <c r="S190" s="212">
        <v>22.99</v>
      </c>
      <c r="T190" s="212">
        <v>23.29</v>
      </c>
      <c r="U190" s="212">
        <v>15.46</v>
      </c>
      <c r="V190" s="212">
        <v>14.860000000000001</v>
      </c>
      <c r="W190" s="212">
        <v>15.16</v>
      </c>
      <c r="X190" s="212">
        <v>15.69</v>
      </c>
      <c r="Y190" s="212">
        <v>14.889999999999999</v>
      </c>
      <c r="Z190" s="212">
        <v>15.29</v>
      </c>
      <c r="AA190" s="212">
        <v>109.83</v>
      </c>
      <c r="AB190" s="212">
        <v>105.83</v>
      </c>
      <c r="AC190" s="212">
        <v>107.83</v>
      </c>
      <c r="AD190" s="212">
        <v>100.34</v>
      </c>
      <c r="AE190" s="212">
        <v>96.34</v>
      </c>
      <c r="AF190" s="212">
        <v>98.34</v>
      </c>
      <c r="AG190" s="212">
        <v>21.11</v>
      </c>
      <c r="AH190" s="212">
        <v>20.25</v>
      </c>
      <c r="AI190" s="212">
        <v>20.68</v>
      </c>
      <c r="AJ190" s="212"/>
      <c r="AK190" s="212"/>
      <c r="AL190" s="212"/>
      <c r="AM190" s="212">
        <v>119.98</v>
      </c>
      <c r="AN190" s="212">
        <v>118.32000000000001</v>
      </c>
      <c r="AO190" s="212">
        <v>119.15</v>
      </c>
      <c r="AP190" s="212">
        <v>43.95</v>
      </c>
      <c r="AQ190" s="212">
        <v>42.35</v>
      </c>
      <c r="AR190" s="212">
        <v>43.150000000000006</v>
      </c>
      <c r="AS190" s="212">
        <v>44.75</v>
      </c>
      <c r="AT190" s="212">
        <v>43.39</v>
      </c>
      <c r="AU190" s="212">
        <v>44.07</v>
      </c>
      <c r="AV190" s="212">
        <v>22.41</v>
      </c>
      <c r="AW190" s="212">
        <v>21.81</v>
      </c>
      <c r="AX190" s="212">
        <v>22.11</v>
      </c>
      <c r="AY190" s="212">
        <v>4.4800000000000004</v>
      </c>
      <c r="AZ190" s="212">
        <v>4.32</v>
      </c>
      <c r="BA190" s="212">
        <v>4.4000000000000004</v>
      </c>
      <c r="BB190" s="212">
        <v>2.1</v>
      </c>
      <c r="BC190" s="212">
        <v>1.8</v>
      </c>
      <c r="BD190" s="212">
        <v>1.9500000000000002</v>
      </c>
      <c r="BE190" s="212">
        <v>0.73</v>
      </c>
      <c r="BF190" s="212">
        <v>0.43</v>
      </c>
      <c r="BG190" s="212">
        <v>0.57999999999999996</v>
      </c>
      <c r="BH190" s="212">
        <v>536.30999999999995</v>
      </c>
      <c r="BI190" s="212">
        <v>520.30999999999995</v>
      </c>
      <c r="BJ190" s="212">
        <v>528.30999999999995</v>
      </c>
      <c r="BK190" s="212">
        <v>45.09</v>
      </c>
      <c r="BL190" s="212">
        <v>43.730000000000004</v>
      </c>
      <c r="BM190" s="212">
        <v>44.410000000000004</v>
      </c>
      <c r="BN190" s="212">
        <v>1.1100000000000001</v>
      </c>
      <c r="BO190" s="212">
        <v>0.87000000000000011</v>
      </c>
      <c r="BP190" s="212">
        <v>0.9900000000000001</v>
      </c>
      <c r="BQ190" s="212">
        <v>9.86</v>
      </c>
      <c r="BR190" s="212">
        <v>7.8599999999999994</v>
      </c>
      <c r="BS190" s="212">
        <v>8.86</v>
      </c>
      <c r="BT190" s="212">
        <v>11.86</v>
      </c>
      <c r="BU190" s="212">
        <v>11.459999999999999</v>
      </c>
      <c r="BV190" s="212">
        <v>11.66</v>
      </c>
      <c r="BW190" s="212">
        <v>2.91</v>
      </c>
      <c r="BX190" s="212">
        <v>2.63</v>
      </c>
      <c r="BY190" s="212">
        <v>2.77</v>
      </c>
      <c r="BZ190" s="212">
        <v>10.18</v>
      </c>
      <c r="CA190" s="212">
        <v>7.18</v>
      </c>
      <c r="CB190" s="212">
        <v>8.68</v>
      </c>
      <c r="CC190" s="212">
        <v>7.02</v>
      </c>
      <c r="CD190" s="212">
        <v>6.7799999999999994</v>
      </c>
      <c r="CE190" s="212">
        <v>6.8999999999999995</v>
      </c>
      <c r="CF190" s="212">
        <v>2.09</v>
      </c>
      <c r="CG190" s="212">
        <v>1.5899999999999999</v>
      </c>
      <c r="CH190" s="212">
        <v>1.8399999999999999</v>
      </c>
      <c r="CI190" s="212">
        <v>0.46</v>
      </c>
      <c r="CJ190" s="212">
        <v>0.42000000000000004</v>
      </c>
      <c r="CK190" s="212">
        <v>0.44000000000000006</v>
      </c>
      <c r="CL190" s="212">
        <v>41.53</v>
      </c>
      <c r="CM190" s="212">
        <v>39.130000000000003</v>
      </c>
      <c r="CN190" s="212">
        <v>40.33</v>
      </c>
      <c r="CO190" s="212">
        <v>7.48</v>
      </c>
      <c r="CP190" s="212">
        <v>2.4800000000000004</v>
      </c>
      <c r="CQ190" s="212">
        <v>4.9800000000000004</v>
      </c>
      <c r="CR190" s="212"/>
      <c r="CS190" s="212"/>
    </row>
    <row r="191" spans="1:97" x14ac:dyDescent="0.4">
      <c r="A191" s="209">
        <v>45477</v>
      </c>
      <c r="B191" s="210" t="s">
        <v>297</v>
      </c>
      <c r="C191" s="212">
        <v>162.47</v>
      </c>
      <c r="D191" s="212">
        <v>160.47</v>
      </c>
      <c r="E191" s="212">
        <v>161.47</v>
      </c>
      <c r="F191" s="212">
        <v>175.74</v>
      </c>
      <c r="G191" s="212">
        <v>172.74</v>
      </c>
      <c r="H191" s="212">
        <v>174.24</v>
      </c>
      <c r="I191" s="212">
        <v>120.07</v>
      </c>
      <c r="J191" s="212">
        <v>116.86999999999999</v>
      </c>
      <c r="K191" s="212">
        <v>118.47</v>
      </c>
      <c r="L191" s="212">
        <v>209.86</v>
      </c>
      <c r="M191" s="212">
        <v>201.86</v>
      </c>
      <c r="N191" s="212">
        <v>205.86</v>
      </c>
      <c r="O191" s="212">
        <v>180.07</v>
      </c>
      <c r="P191" s="212">
        <v>178.26999999999998</v>
      </c>
      <c r="Q191" s="212">
        <v>179.17</v>
      </c>
      <c r="R191" s="212">
        <v>23.66</v>
      </c>
      <c r="S191" s="212">
        <v>23.06</v>
      </c>
      <c r="T191" s="212">
        <v>23.36</v>
      </c>
      <c r="U191" s="212">
        <v>15.61</v>
      </c>
      <c r="V191" s="212">
        <v>15.01</v>
      </c>
      <c r="W191" s="212">
        <v>15.309999999999999</v>
      </c>
      <c r="X191" s="212">
        <v>15.79</v>
      </c>
      <c r="Y191" s="212">
        <v>14.989999999999998</v>
      </c>
      <c r="Z191" s="212">
        <v>15.389999999999999</v>
      </c>
      <c r="AA191" s="212">
        <v>110.41</v>
      </c>
      <c r="AB191" s="212">
        <v>106.41</v>
      </c>
      <c r="AC191" s="212">
        <v>108.41</v>
      </c>
      <c r="AD191" s="212">
        <v>100.69</v>
      </c>
      <c r="AE191" s="212">
        <v>96.69</v>
      </c>
      <c r="AF191" s="212">
        <v>98.69</v>
      </c>
      <c r="AG191" s="212">
        <v>21.1</v>
      </c>
      <c r="AH191" s="212">
        <v>20.240000000000002</v>
      </c>
      <c r="AI191" s="212">
        <v>20.67</v>
      </c>
      <c r="AJ191" s="212"/>
      <c r="AK191" s="212"/>
      <c r="AL191" s="212"/>
      <c r="AM191" s="212">
        <v>120.22</v>
      </c>
      <c r="AN191" s="212">
        <v>118.56</v>
      </c>
      <c r="AO191" s="212">
        <v>119.39</v>
      </c>
      <c r="AP191" s="212">
        <v>43.92</v>
      </c>
      <c r="AQ191" s="212">
        <v>42.32</v>
      </c>
      <c r="AR191" s="212">
        <v>43.120000000000005</v>
      </c>
      <c r="AS191" s="212">
        <v>44.71</v>
      </c>
      <c r="AT191" s="212">
        <v>43.35</v>
      </c>
      <c r="AU191" s="212">
        <v>44.03</v>
      </c>
      <c r="AV191" s="212">
        <v>22.42</v>
      </c>
      <c r="AW191" s="212">
        <v>21.82</v>
      </c>
      <c r="AX191" s="212">
        <v>22.12</v>
      </c>
      <c r="AY191" s="212">
        <v>4.49</v>
      </c>
      <c r="AZ191" s="212">
        <v>4.33</v>
      </c>
      <c r="BA191" s="212">
        <v>4.41</v>
      </c>
      <c r="BB191" s="212">
        <v>2.1</v>
      </c>
      <c r="BC191" s="212">
        <v>1.8</v>
      </c>
      <c r="BD191" s="212">
        <v>1.9500000000000002</v>
      </c>
      <c r="BE191" s="212">
        <v>0.73</v>
      </c>
      <c r="BF191" s="212">
        <v>0.43</v>
      </c>
      <c r="BG191" s="212">
        <v>0.57999999999999996</v>
      </c>
      <c r="BH191" s="212">
        <v>534.48</v>
      </c>
      <c r="BI191" s="212">
        <v>518.48</v>
      </c>
      <c r="BJ191" s="212">
        <v>526.48</v>
      </c>
      <c r="BK191" s="212">
        <v>45.04</v>
      </c>
      <c r="BL191" s="212">
        <v>43.68</v>
      </c>
      <c r="BM191" s="212">
        <v>44.36</v>
      </c>
      <c r="BN191" s="212">
        <v>1.1000000000000001</v>
      </c>
      <c r="BO191" s="212">
        <v>0.8600000000000001</v>
      </c>
      <c r="BP191" s="212">
        <v>0.98000000000000009</v>
      </c>
      <c r="BQ191" s="212">
        <v>9.8800000000000008</v>
      </c>
      <c r="BR191" s="212">
        <v>7.8800000000000008</v>
      </c>
      <c r="BS191" s="212">
        <v>8.8800000000000008</v>
      </c>
      <c r="BT191" s="212">
        <v>11.9</v>
      </c>
      <c r="BU191" s="212">
        <v>11.5</v>
      </c>
      <c r="BV191" s="212">
        <v>11.7</v>
      </c>
      <c r="BW191" s="212">
        <v>2.91</v>
      </c>
      <c r="BX191" s="212">
        <v>2.63</v>
      </c>
      <c r="BY191" s="212">
        <v>2.77</v>
      </c>
      <c r="BZ191" s="212">
        <v>10.26</v>
      </c>
      <c r="CA191" s="212">
        <v>7.26</v>
      </c>
      <c r="CB191" s="212">
        <v>8.76</v>
      </c>
      <c r="CC191" s="212">
        <v>7.06</v>
      </c>
      <c r="CD191" s="212">
        <v>6.8199999999999994</v>
      </c>
      <c r="CE191" s="212">
        <v>6.9399999999999995</v>
      </c>
      <c r="CF191" s="212">
        <v>2.08</v>
      </c>
      <c r="CG191" s="212">
        <v>1.58</v>
      </c>
      <c r="CH191" s="212">
        <v>1.83</v>
      </c>
      <c r="CI191" s="212">
        <v>0.46</v>
      </c>
      <c r="CJ191" s="212">
        <v>0.42000000000000004</v>
      </c>
      <c r="CK191" s="212">
        <v>0.44000000000000006</v>
      </c>
      <c r="CL191" s="212">
        <v>41.72</v>
      </c>
      <c r="CM191" s="212">
        <v>39.32</v>
      </c>
      <c r="CN191" s="212">
        <v>40.519999999999996</v>
      </c>
      <c r="CO191" s="212">
        <v>7.46</v>
      </c>
      <c r="CP191" s="212">
        <v>2.46</v>
      </c>
      <c r="CQ191" s="212">
        <v>4.96</v>
      </c>
      <c r="CR191" s="212"/>
      <c r="CS191" s="212"/>
    </row>
    <row r="192" spans="1:97" x14ac:dyDescent="0.4">
      <c r="A192" s="209">
        <v>45478</v>
      </c>
      <c r="B192" s="210" t="s">
        <v>298</v>
      </c>
      <c r="C192" s="212">
        <v>162.16999999999999</v>
      </c>
      <c r="D192" s="212">
        <v>160.16999999999999</v>
      </c>
      <c r="E192" s="212">
        <v>161.16999999999999</v>
      </c>
      <c r="F192" s="212">
        <v>175.82</v>
      </c>
      <c r="G192" s="212">
        <v>172.82</v>
      </c>
      <c r="H192" s="212">
        <v>174.32</v>
      </c>
      <c r="I192" s="212">
        <v>120.05</v>
      </c>
      <c r="J192" s="212">
        <v>116.85</v>
      </c>
      <c r="K192" s="212">
        <v>118.44999999999999</v>
      </c>
      <c r="L192" s="212">
        <v>209.73</v>
      </c>
      <c r="M192" s="212">
        <v>201.73</v>
      </c>
      <c r="N192" s="212">
        <v>205.73</v>
      </c>
      <c r="O192" s="212">
        <v>179.96</v>
      </c>
      <c r="P192" s="212">
        <v>178.16</v>
      </c>
      <c r="Q192" s="212">
        <v>179.06</v>
      </c>
      <c r="R192" s="212">
        <v>23.67</v>
      </c>
      <c r="S192" s="212">
        <v>23.07</v>
      </c>
      <c r="T192" s="212">
        <v>23.37</v>
      </c>
      <c r="U192" s="212">
        <v>15.55</v>
      </c>
      <c r="V192" s="212">
        <v>14.950000000000001</v>
      </c>
      <c r="W192" s="212">
        <v>15.25</v>
      </c>
      <c r="X192" s="212">
        <v>15.76</v>
      </c>
      <c r="Y192" s="212">
        <v>14.959999999999999</v>
      </c>
      <c r="Z192" s="212">
        <v>15.36</v>
      </c>
      <c r="AA192" s="212">
        <v>110.5</v>
      </c>
      <c r="AB192" s="212">
        <v>106.5</v>
      </c>
      <c r="AC192" s="212">
        <v>108.5</v>
      </c>
      <c r="AD192" s="212">
        <v>100.62</v>
      </c>
      <c r="AE192" s="212">
        <v>96.62</v>
      </c>
      <c r="AF192" s="212">
        <v>98.62</v>
      </c>
      <c r="AG192" s="212">
        <v>21.07</v>
      </c>
      <c r="AH192" s="212">
        <v>20.21</v>
      </c>
      <c r="AI192" s="212">
        <v>20.64</v>
      </c>
      <c r="AJ192" s="212"/>
      <c r="AK192" s="212"/>
      <c r="AL192" s="212"/>
      <c r="AM192" s="212">
        <v>120.14</v>
      </c>
      <c r="AN192" s="212">
        <v>118.48</v>
      </c>
      <c r="AO192" s="212">
        <v>119.31</v>
      </c>
      <c r="AP192" s="212">
        <v>43.84</v>
      </c>
      <c r="AQ192" s="212">
        <v>42.24</v>
      </c>
      <c r="AR192" s="212">
        <v>43.040000000000006</v>
      </c>
      <c r="AS192" s="212">
        <v>44.63</v>
      </c>
      <c r="AT192" s="212">
        <v>43.27</v>
      </c>
      <c r="AU192" s="212">
        <v>43.95</v>
      </c>
      <c r="AV192" s="212">
        <v>22.4</v>
      </c>
      <c r="AW192" s="212">
        <v>21.799999999999997</v>
      </c>
      <c r="AX192" s="212">
        <v>22.099999999999998</v>
      </c>
      <c r="AY192" s="212">
        <v>4.49</v>
      </c>
      <c r="AZ192" s="212">
        <v>4.33</v>
      </c>
      <c r="BA192" s="212">
        <v>4.41</v>
      </c>
      <c r="BB192" s="212">
        <v>2.09</v>
      </c>
      <c r="BC192" s="212">
        <v>1.7899999999999998</v>
      </c>
      <c r="BD192" s="212">
        <v>1.94</v>
      </c>
      <c r="BE192" s="212">
        <v>0.73</v>
      </c>
      <c r="BF192" s="212">
        <v>0.43</v>
      </c>
      <c r="BG192" s="212">
        <v>0.57999999999999996</v>
      </c>
      <c r="BH192" s="212">
        <v>535.39</v>
      </c>
      <c r="BI192" s="212">
        <v>519.39</v>
      </c>
      <c r="BJ192" s="212">
        <v>527.39</v>
      </c>
      <c r="BK192" s="212">
        <v>44.97</v>
      </c>
      <c r="BL192" s="212">
        <v>43.61</v>
      </c>
      <c r="BM192" s="212">
        <v>44.29</v>
      </c>
      <c r="BN192" s="212">
        <v>1.1100000000000001</v>
      </c>
      <c r="BO192" s="212">
        <v>0.87000000000000011</v>
      </c>
      <c r="BP192" s="212">
        <v>0.9900000000000001</v>
      </c>
      <c r="BQ192" s="212">
        <v>9.92</v>
      </c>
      <c r="BR192" s="212">
        <v>7.92</v>
      </c>
      <c r="BS192" s="212">
        <v>8.92</v>
      </c>
      <c r="BT192" s="212">
        <v>11.92</v>
      </c>
      <c r="BU192" s="212">
        <v>11.52</v>
      </c>
      <c r="BV192" s="212">
        <v>11.719999999999999</v>
      </c>
      <c r="BW192" s="212">
        <v>2.91</v>
      </c>
      <c r="BX192" s="212">
        <v>2.63</v>
      </c>
      <c r="BY192" s="212">
        <v>2.77</v>
      </c>
      <c r="BZ192" s="212">
        <v>10.33</v>
      </c>
      <c r="CA192" s="212">
        <v>7.33</v>
      </c>
      <c r="CB192" s="212">
        <v>8.83</v>
      </c>
      <c r="CC192" s="212">
        <v>7.06</v>
      </c>
      <c r="CD192" s="212">
        <v>6.8199999999999994</v>
      </c>
      <c r="CE192" s="212">
        <v>6.9399999999999995</v>
      </c>
      <c r="CF192" s="212">
        <v>2.06</v>
      </c>
      <c r="CG192" s="212">
        <v>1.56</v>
      </c>
      <c r="CH192" s="212">
        <v>1.81</v>
      </c>
      <c r="CI192" s="212">
        <v>0.46</v>
      </c>
      <c r="CJ192" s="212">
        <v>0.42000000000000004</v>
      </c>
      <c r="CK192" s="212">
        <v>0.44000000000000006</v>
      </c>
      <c r="CL192" s="212">
        <v>41.93</v>
      </c>
      <c r="CM192" s="212">
        <v>39.53</v>
      </c>
      <c r="CN192" s="212">
        <v>40.730000000000004</v>
      </c>
      <c r="CO192" s="212">
        <v>7.46</v>
      </c>
      <c r="CP192" s="212">
        <v>2.46</v>
      </c>
      <c r="CQ192" s="212">
        <v>4.96</v>
      </c>
      <c r="CR192" s="212"/>
      <c r="CS192" s="212"/>
    </row>
    <row r="193" spans="1:97" x14ac:dyDescent="0.4">
      <c r="A193" s="209">
        <v>45479</v>
      </c>
      <c r="B193" s="210" t="s">
        <v>299</v>
      </c>
      <c r="C193" s="212"/>
      <c r="D193" s="212"/>
      <c r="E193" s="212"/>
      <c r="F193" s="212"/>
      <c r="G193" s="212"/>
      <c r="H193" s="212"/>
      <c r="I193" s="212"/>
      <c r="J193" s="212"/>
      <c r="K193" s="212"/>
      <c r="L193" s="212"/>
      <c r="M193" s="212"/>
      <c r="N193" s="212"/>
      <c r="O193" s="212"/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12"/>
      <c r="AF193" s="212"/>
      <c r="AG193" s="212"/>
      <c r="AH193" s="212"/>
      <c r="AI193" s="212"/>
      <c r="AJ193" s="212"/>
      <c r="AK193" s="212"/>
      <c r="AL193" s="212"/>
      <c r="AM193" s="212"/>
      <c r="AN193" s="212"/>
      <c r="AO193" s="212"/>
      <c r="AP193" s="212"/>
      <c r="AQ193" s="212"/>
      <c r="AR193" s="212"/>
      <c r="AS193" s="212"/>
      <c r="AT193" s="212"/>
      <c r="AU193" s="212"/>
      <c r="AV193" s="212"/>
      <c r="AW193" s="212"/>
      <c r="AX193" s="212"/>
      <c r="AY193" s="212"/>
      <c r="AZ193" s="212"/>
      <c r="BA193" s="212"/>
      <c r="BB193" s="212"/>
      <c r="BC193" s="212"/>
      <c r="BD193" s="212"/>
      <c r="BE193" s="212"/>
      <c r="BF193" s="212"/>
      <c r="BG193" s="212"/>
      <c r="BH193" s="212"/>
      <c r="BI193" s="212"/>
      <c r="BJ193" s="212"/>
      <c r="BK193" s="212"/>
      <c r="BL193" s="212"/>
      <c r="BM193" s="212"/>
      <c r="BN193" s="212"/>
      <c r="BO193" s="212"/>
      <c r="BP193" s="212"/>
      <c r="BQ193" s="212"/>
      <c r="BR193" s="212"/>
      <c r="BS193" s="212"/>
      <c r="BT193" s="212"/>
      <c r="BU193" s="212"/>
      <c r="BV193" s="212"/>
      <c r="BW193" s="212"/>
      <c r="BX193" s="212"/>
      <c r="BY193" s="212"/>
      <c r="BZ193" s="212"/>
      <c r="CA193" s="212"/>
      <c r="CB193" s="212"/>
      <c r="CC193" s="212"/>
      <c r="CD193" s="212"/>
      <c r="CE193" s="212"/>
      <c r="CF193" s="212"/>
      <c r="CG193" s="212"/>
      <c r="CH193" s="212"/>
      <c r="CI193" s="212"/>
      <c r="CJ193" s="212"/>
      <c r="CK193" s="212"/>
      <c r="CL193" s="212"/>
      <c r="CM193" s="212"/>
      <c r="CN193" s="212"/>
      <c r="CO193" s="212"/>
      <c r="CP193" s="212"/>
      <c r="CQ193" s="212"/>
      <c r="CR193" s="212"/>
      <c r="CS193" s="212"/>
    </row>
    <row r="194" spans="1:97" x14ac:dyDescent="0.4">
      <c r="A194" s="209">
        <v>45480</v>
      </c>
      <c r="B194" s="210" t="s">
        <v>300</v>
      </c>
      <c r="C194" s="212"/>
      <c r="D194" s="212"/>
      <c r="E194" s="212"/>
      <c r="F194" s="212"/>
      <c r="G194" s="212"/>
      <c r="H194" s="212"/>
      <c r="I194" s="212"/>
      <c r="J194" s="212"/>
      <c r="K194" s="212"/>
      <c r="L194" s="212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  <c r="AJ194" s="212"/>
      <c r="AK194" s="212"/>
      <c r="AL194" s="212"/>
      <c r="AM194" s="212"/>
      <c r="AN194" s="212"/>
      <c r="AO194" s="212"/>
      <c r="AP194" s="212"/>
      <c r="AQ194" s="212"/>
      <c r="AR194" s="212"/>
      <c r="AS194" s="212"/>
      <c r="AT194" s="212"/>
      <c r="AU194" s="212"/>
      <c r="AV194" s="212"/>
      <c r="AW194" s="212"/>
      <c r="AX194" s="212"/>
      <c r="AY194" s="212"/>
      <c r="AZ194" s="212"/>
      <c r="BA194" s="212"/>
      <c r="BB194" s="212"/>
      <c r="BC194" s="212"/>
      <c r="BD194" s="212"/>
      <c r="BE194" s="212"/>
      <c r="BF194" s="212"/>
      <c r="BG194" s="212"/>
      <c r="BH194" s="212"/>
      <c r="BI194" s="212"/>
      <c r="BJ194" s="212"/>
      <c r="BK194" s="212"/>
      <c r="BL194" s="212"/>
      <c r="BM194" s="212"/>
      <c r="BN194" s="212"/>
      <c r="BO194" s="212"/>
      <c r="BP194" s="212"/>
      <c r="BQ194" s="212"/>
      <c r="BR194" s="212"/>
      <c r="BS194" s="212"/>
      <c r="BT194" s="212"/>
      <c r="BU194" s="212"/>
      <c r="BV194" s="212"/>
      <c r="BW194" s="212"/>
      <c r="BX194" s="212"/>
      <c r="BY194" s="212"/>
      <c r="BZ194" s="212"/>
      <c r="CA194" s="212"/>
      <c r="CB194" s="212"/>
      <c r="CC194" s="212"/>
      <c r="CD194" s="212"/>
      <c r="CE194" s="212"/>
      <c r="CF194" s="212"/>
      <c r="CG194" s="212"/>
      <c r="CH194" s="212"/>
      <c r="CI194" s="212"/>
      <c r="CJ194" s="212"/>
      <c r="CK194" s="212"/>
      <c r="CL194" s="212"/>
      <c r="CM194" s="212"/>
      <c r="CN194" s="212"/>
      <c r="CO194" s="212"/>
      <c r="CP194" s="212"/>
      <c r="CQ194" s="212"/>
      <c r="CR194" s="212"/>
      <c r="CS194" s="212"/>
    </row>
    <row r="195" spans="1:97" x14ac:dyDescent="0.4">
      <c r="A195" s="209">
        <v>45481</v>
      </c>
      <c r="B195" s="210" t="s">
        <v>294</v>
      </c>
      <c r="C195" s="212">
        <v>161.77000000000001</v>
      </c>
      <c r="D195" s="212">
        <v>159.77000000000001</v>
      </c>
      <c r="E195" s="212">
        <v>160.77000000000001</v>
      </c>
      <c r="F195" s="212">
        <v>175.47</v>
      </c>
      <c r="G195" s="212">
        <v>172.47</v>
      </c>
      <c r="H195" s="212">
        <v>173.97</v>
      </c>
      <c r="I195" s="212">
        <v>119.43</v>
      </c>
      <c r="J195" s="212">
        <v>116.23</v>
      </c>
      <c r="K195" s="212">
        <v>117.83000000000001</v>
      </c>
      <c r="L195" s="212">
        <v>209.85</v>
      </c>
      <c r="M195" s="212">
        <v>201.85</v>
      </c>
      <c r="N195" s="212">
        <v>205.85</v>
      </c>
      <c r="O195" s="212">
        <v>180.37</v>
      </c>
      <c r="P195" s="212">
        <v>178.57</v>
      </c>
      <c r="Q195" s="212">
        <v>179.47</v>
      </c>
      <c r="R195" s="212">
        <v>23.62</v>
      </c>
      <c r="S195" s="212">
        <v>23.02</v>
      </c>
      <c r="T195" s="212">
        <v>23.32</v>
      </c>
      <c r="U195" s="212">
        <v>15.51</v>
      </c>
      <c r="V195" s="212">
        <v>14.91</v>
      </c>
      <c r="W195" s="212">
        <v>15.21</v>
      </c>
      <c r="X195" s="212">
        <v>15.69</v>
      </c>
      <c r="Y195" s="212">
        <v>14.889999999999999</v>
      </c>
      <c r="Z195" s="212">
        <v>15.29</v>
      </c>
      <c r="AA195" s="212">
        <v>110.39</v>
      </c>
      <c r="AB195" s="212">
        <v>106.39</v>
      </c>
      <c r="AC195" s="212">
        <v>108.39</v>
      </c>
      <c r="AD195" s="212">
        <v>100.66</v>
      </c>
      <c r="AE195" s="212">
        <v>96.66</v>
      </c>
      <c r="AF195" s="212">
        <v>98.66</v>
      </c>
      <c r="AG195" s="212">
        <v>21.01</v>
      </c>
      <c r="AH195" s="212">
        <v>20.150000000000002</v>
      </c>
      <c r="AI195" s="212">
        <v>20.580000000000002</v>
      </c>
      <c r="AJ195" s="212"/>
      <c r="AK195" s="212"/>
      <c r="AL195" s="212"/>
      <c r="AM195" s="212">
        <v>120</v>
      </c>
      <c r="AN195" s="212">
        <v>118.34</v>
      </c>
      <c r="AO195" s="212">
        <v>119.17</v>
      </c>
      <c r="AP195" s="212">
        <v>43.73</v>
      </c>
      <c r="AQ195" s="212">
        <v>42.129999999999995</v>
      </c>
      <c r="AR195" s="212">
        <v>42.929999999999993</v>
      </c>
      <c r="AS195" s="212">
        <v>44.52</v>
      </c>
      <c r="AT195" s="212">
        <v>43.160000000000004</v>
      </c>
      <c r="AU195" s="212">
        <v>43.84</v>
      </c>
      <c r="AV195" s="212">
        <v>22.35</v>
      </c>
      <c r="AW195" s="212">
        <v>21.75</v>
      </c>
      <c r="AX195" s="212">
        <v>22.05</v>
      </c>
      <c r="AY195" s="212">
        <v>4.49</v>
      </c>
      <c r="AZ195" s="212">
        <v>4.33</v>
      </c>
      <c r="BA195" s="212">
        <v>4.41</v>
      </c>
      <c r="BB195" s="212">
        <v>2.08</v>
      </c>
      <c r="BC195" s="212">
        <v>1.78</v>
      </c>
      <c r="BD195" s="212">
        <v>1.9300000000000002</v>
      </c>
      <c r="BE195" s="212">
        <v>0.73</v>
      </c>
      <c r="BF195" s="212">
        <v>0.43</v>
      </c>
      <c r="BG195" s="212">
        <v>0.57999999999999996</v>
      </c>
      <c r="BH195" s="212">
        <v>534.41999999999996</v>
      </c>
      <c r="BI195" s="212">
        <v>518.41999999999996</v>
      </c>
      <c r="BJ195" s="212">
        <v>526.41999999999996</v>
      </c>
      <c r="BK195" s="212">
        <v>44.86</v>
      </c>
      <c r="BL195" s="212">
        <v>43.5</v>
      </c>
      <c r="BM195" s="212">
        <v>44.18</v>
      </c>
      <c r="BN195" s="212">
        <v>1.1100000000000001</v>
      </c>
      <c r="BO195" s="212">
        <v>0.87000000000000011</v>
      </c>
      <c r="BP195" s="212">
        <v>0.9900000000000001</v>
      </c>
      <c r="BQ195" s="212">
        <v>9.8800000000000008</v>
      </c>
      <c r="BR195" s="212">
        <v>7.8800000000000008</v>
      </c>
      <c r="BS195" s="212">
        <v>8.8800000000000008</v>
      </c>
      <c r="BT195" s="212">
        <v>11.86</v>
      </c>
      <c r="BU195" s="212">
        <v>11.459999999999999</v>
      </c>
      <c r="BV195" s="212">
        <v>11.66</v>
      </c>
      <c r="BW195" s="212">
        <v>2.91</v>
      </c>
      <c r="BX195" s="212">
        <v>2.63</v>
      </c>
      <c r="BY195" s="212">
        <v>2.77</v>
      </c>
      <c r="BZ195" s="212">
        <v>10.34</v>
      </c>
      <c r="CA195" s="212">
        <v>7.34</v>
      </c>
      <c r="CB195" s="212">
        <v>8.84</v>
      </c>
      <c r="CC195" s="212">
        <v>7.03</v>
      </c>
      <c r="CD195" s="212">
        <v>6.79</v>
      </c>
      <c r="CE195" s="212">
        <v>6.91</v>
      </c>
      <c r="CF195" s="212">
        <v>2.08</v>
      </c>
      <c r="CG195" s="212">
        <v>1.58</v>
      </c>
      <c r="CH195" s="212">
        <v>1.83</v>
      </c>
      <c r="CI195" s="212">
        <v>0.46</v>
      </c>
      <c r="CJ195" s="212">
        <v>0.42000000000000004</v>
      </c>
      <c r="CK195" s="212">
        <v>0.44000000000000006</v>
      </c>
      <c r="CL195" s="212">
        <v>41.84</v>
      </c>
      <c r="CM195" s="212">
        <v>39.440000000000005</v>
      </c>
      <c r="CN195" s="212">
        <v>40.64</v>
      </c>
      <c r="CO195" s="212">
        <v>7.44</v>
      </c>
      <c r="CP195" s="212">
        <v>2.4400000000000004</v>
      </c>
      <c r="CQ195" s="212">
        <v>4.9400000000000004</v>
      </c>
      <c r="CR195" s="212"/>
      <c r="CS195" s="212"/>
    </row>
    <row r="196" spans="1:97" x14ac:dyDescent="0.4">
      <c r="A196" s="209">
        <v>45482</v>
      </c>
      <c r="B196" s="210" t="s">
        <v>295</v>
      </c>
      <c r="C196" s="212">
        <v>161.94999999999999</v>
      </c>
      <c r="D196" s="212">
        <v>159.94999999999999</v>
      </c>
      <c r="E196" s="212">
        <v>160.94999999999999</v>
      </c>
      <c r="F196" s="212">
        <v>175.76</v>
      </c>
      <c r="G196" s="212">
        <v>172.76</v>
      </c>
      <c r="H196" s="212">
        <v>174.26</v>
      </c>
      <c r="I196" s="212">
        <v>119.61</v>
      </c>
      <c r="J196" s="212">
        <v>116.41</v>
      </c>
      <c r="K196" s="212">
        <v>118.00999999999999</v>
      </c>
      <c r="L196" s="212">
        <v>210.16</v>
      </c>
      <c r="M196" s="212">
        <v>202.16</v>
      </c>
      <c r="N196" s="212">
        <v>206.16</v>
      </c>
      <c r="O196" s="212">
        <v>180.05</v>
      </c>
      <c r="P196" s="212">
        <v>178.25</v>
      </c>
      <c r="Q196" s="212">
        <v>179.15</v>
      </c>
      <c r="R196" s="212">
        <v>23.66</v>
      </c>
      <c r="S196" s="212">
        <v>23.06</v>
      </c>
      <c r="T196" s="212">
        <v>23.36</v>
      </c>
      <c r="U196" s="212">
        <v>15.46</v>
      </c>
      <c r="V196" s="212">
        <v>14.860000000000001</v>
      </c>
      <c r="W196" s="212">
        <v>15.16</v>
      </c>
      <c r="X196" s="212">
        <v>15.61</v>
      </c>
      <c r="Y196" s="212">
        <v>14.809999999999999</v>
      </c>
      <c r="Z196" s="212">
        <v>15.209999999999999</v>
      </c>
      <c r="AA196" s="212">
        <v>110.38</v>
      </c>
      <c r="AB196" s="212">
        <v>106.38</v>
      </c>
      <c r="AC196" s="212">
        <v>108.38</v>
      </c>
      <c r="AD196" s="212">
        <v>100.57</v>
      </c>
      <c r="AE196" s="212">
        <v>96.57</v>
      </c>
      <c r="AF196" s="212">
        <v>98.57</v>
      </c>
      <c r="AG196" s="212">
        <v>21.04</v>
      </c>
      <c r="AH196" s="212">
        <v>20.18</v>
      </c>
      <c r="AI196" s="212">
        <v>20.61</v>
      </c>
      <c r="AJ196" s="212"/>
      <c r="AK196" s="212"/>
      <c r="AL196" s="212"/>
      <c r="AM196" s="212">
        <v>120.04</v>
      </c>
      <c r="AN196" s="212">
        <v>118.38000000000001</v>
      </c>
      <c r="AO196" s="212">
        <v>119.21000000000001</v>
      </c>
      <c r="AP196" s="212">
        <v>43.78</v>
      </c>
      <c r="AQ196" s="212">
        <v>42.18</v>
      </c>
      <c r="AR196" s="212">
        <v>42.980000000000004</v>
      </c>
      <c r="AS196" s="212">
        <v>44.57</v>
      </c>
      <c r="AT196" s="212">
        <v>43.21</v>
      </c>
      <c r="AU196" s="212">
        <v>43.89</v>
      </c>
      <c r="AV196" s="212">
        <v>22.38</v>
      </c>
      <c r="AW196" s="212">
        <v>21.779999999999998</v>
      </c>
      <c r="AX196" s="212">
        <v>22.08</v>
      </c>
      <c r="AY196" s="212">
        <v>4.49</v>
      </c>
      <c r="AZ196" s="212">
        <v>4.33</v>
      </c>
      <c r="BA196" s="212">
        <v>4.41</v>
      </c>
      <c r="BB196" s="212">
        <v>2.09</v>
      </c>
      <c r="BC196" s="212">
        <v>1.7899999999999998</v>
      </c>
      <c r="BD196" s="212">
        <v>1.94</v>
      </c>
      <c r="BE196" s="212">
        <v>0.73</v>
      </c>
      <c r="BF196" s="212">
        <v>0.43</v>
      </c>
      <c r="BG196" s="212">
        <v>0.57999999999999996</v>
      </c>
      <c r="BH196" s="212">
        <v>535.01</v>
      </c>
      <c r="BI196" s="212">
        <v>519.01</v>
      </c>
      <c r="BJ196" s="212">
        <v>527.01</v>
      </c>
      <c r="BK196" s="212">
        <v>44.9</v>
      </c>
      <c r="BL196" s="212">
        <v>43.54</v>
      </c>
      <c r="BM196" s="212">
        <v>44.22</v>
      </c>
      <c r="BN196" s="212">
        <v>1.1100000000000001</v>
      </c>
      <c r="BO196" s="212">
        <v>0.87000000000000011</v>
      </c>
      <c r="BP196" s="212">
        <v>0.9900000000000001</v>
      </c>
      <c r="BQ196" s="212">
        <v>9.94</v>
      </c>
      <c r="BR196" s="212">
        <v>7.9399999999999995</v>
      </c>
      <c r="BS196" s="212">
        <v>8.94</v>
      </c>
      <c r="BT196" s="212">
        <v>11.84</v>
      </c>
      <c r="BU196" s="212">
        <v>11.44</v>
      </c>
      <c r="BV196" s="212">
        <v>11.64</v>
      </c>
      <c r="BW196" s="212">
        <v>2.91</v>
      </c>
      <c r="BX196" s="212">
        <v>2.63</v>
      </c>
      <c r="BY196" s="212">
        <v>2.77</v>
      </c>
      <c r="BZ196" s="212">
        <v>10.38</v>
      </c>
      <c r="CA196" s="212">
        <v>7.3800000000000008</v>
      </c>
      <c r="CB196" s="212">
        <v>8.8800000000000008</v>
      </c>
      <c r="CC196" s="212">
        <v>7.04</v>
      </c>
      <c r="CD196" s="212">
        <v>6.8</v>
      </c>
      <c r="CE196" s="212">
        <v>6.92</v>
      </c>
      <c r="CF196" s="212">
        <v>2.1</v>
      </c>
      <c r="CG196" s="212">
        <v>1.6</v>
      </c>
      <c r="CH196" s="212">
        <v>1.85</v>
      </c>
      <c r="CI196" s="212">
        <v>0.46</v>
      </c>
      <c r="CJ196" s="212">
        <v>0.42000000000000004</v>
      </c>
      <c r="CK196" s="212">
        <v>0.44000000000000006</v>
      </c>
      <c r="CL196" s="212">
        <v>42.05</v>
      </c>
      <c r="CM196" s="212">
        <v>39.65</v>
      </c>
      <c r="CN196" s="212">
        <v>40.849999999999994</v>
      </c>
      <c r="CO196" s="212">
        <v>7.43</v>
      </c>
      <c r="CP196" s="212">
        <v>2.4299999999999997</v>
      </c>
      <c r="CQ196" s="212">
        <v>4.93</v>
      </c>
      <c r="CR196" s="212"/>
      <c r="CS196" s="212"/>
    </row>
    <row r="197" spans="1:97" x14ac:dyDescent="0.4">
      <c r="A197" s="209">
        <v>45483</v>
      </c>
      <c r="B197" s="210" t="s">
        <v>296</v>
      </c>
      <c r="C197" s="212">
        <v>162.55000000000001</v>
      </c>
      <c r="D197" s="212">
        <v>160.55000000000001</v>
      </c>
      <c r="E197" s="212">
        <v>161.55000000000001</v>
      </c>
      <c r="F197" s="212">
        <v>176.2</v>
      </c>
      <c r="G197" s="212">
        <v>173.2</v>
      </c>
      <c r="H197" s="212">
        <v>174.7</v>
      </c>
      <c r="I197" s="212">
        <v>120.09</v>
      </c>
      <c r="J197" s="212">
        <v>116.89</v>
      </c>
      <c r="K197" s="212">
        <v>118.49000000000001</v>
      </c>
      <c r="L197" s="212">
        <v>210.57</v>
      </c>
      <c r="M197" s="212">
        <v>202.57</v>
      </c>
      <c r="N197" s="212">
        <v>206.57</v>
      </c>
      <c r="O197" s="212">
        <v>180.78</v>
      </c>
      <c r="P197" s="212">
        <v>178.98</v>
      </c>
      <c r="Q197" s="212">
        <v>179.88</v>
      </c>
      <c r="R197" s="212">
        <v>23.72</v>
      </c>
      <c r="S197" s="212">
        <v>23.119999999999997</v>
      </c>
      <c r="T197" s="212">
        <v>23.419999999999998</v>
      </c>
      <c r="U197" s="212">
        <v>15.54</v>
      </c>
      <c r="V197" s="212">
        <v>14.94</v>
      </c>
      <c r="W197" s="212">
        <v>15.239999999999998</v>
      </c>
      <c r="X197" s="212">
        <v>15.72</v>
      </c>
      <c r="Y197" s="212">
        <v>14.92</v>
      </c>
      <c r="Z197" s="212">
        <v>15.32</v>
      </c>
      <c r="AA197" s="212">
        <v>110.77</v>
      </c>
      <c r="AB197" s="212">
        <v>106.77</v>
      </c>
      <c r="AC197" s="212">
        <v>108.77</v>
      </c>
      <c r="AD197" s="212">
        <v>100.98</v>
      </c>
      <c r="AE197" s="212">
        <v>96.98</v>
      </c>
      <c r="AF197" s="212">
        <v>98.98</v>
      </c>
      <c r="AG197" s="212">
        <v>21.11</v>
      </c>
      <c r="AH197" s="212">
        <v>20.25</v>
      </c>
      <c r="AI197" s="212">
        <v>20.68</v>
      </c>
      <c r="AJ197" s="212"/>
      <c r="AK197" s="212"/>
      <c r="AL197" s="212"/>
      <c r="AM197" s="212">
        <v>120.42</v>
      </c>
      <c r="AN197" s="212">
        <v>118.76</v>
      </c>
      <c r="AO197" s="212">
        <v>119.59</v>
      </c>
      <c r="AP197" s="212">
        <v>43.94</v>
      </c>
      <c r="AQ197" s="212">
        <v>42.339999999999996</v>
      </c>
      <c r="AR197" s="212">
        <v>43.14</v>
      </c>
      <c r="AS197" s="212">
        <v>44.74</v>
      </c>
      <c r="AT197" s="212">
        <v>43.38</v>
      </c>
      <c r="AU197" s="212">
        <v>44.06</v>
      </c>
      <c r="AV197" s="212">
        <v>22.46</v>
      </c>
      <c r="AW197" s="212">
        <v>21.86</v>
      </c>
      <c r="AX197" s="212">
        <v>22.16</v>
      </c>
      <c r="AY197" s="212">
        <v>4.5199999999999996</v>
      </c>
      <c r="AZ197" s="212">
        <v>4.3599999999999994</v>
      </c>
      <c r="BA197" s="212">
        <v>4.4399999999999995</v>
      </c>
      <c r="BB197" s="212">
        <v>2.09</v>
      </c>
      <c r="BC197" s="212">
        <v>1.7899999999999998</v>
      </c>
      <c r="BD197" s="212">
        <v>1.94</v>
      </c>
      <c r="BE197" s="212">
        <v>0.73</v>
      </c>
      <c r="BF197" s="212">
        <v>0.43</v>
      </c>
      <c r="BG197" s="212">
        <v>0.57999999999999996</v>
      </c>
      <c r="BH197" s="212">
        <v>536.98</v>
      </c>
      <c r="BI197" s="212">
        <v>520.98</v>
      </c>
      <c r="BJ197" s="212">
        <v>528.98</v>
      </c>
      <c r="BK197" s="212">
        <v>45.06</v>
      </c>
      <c r="BL197" s="212">
        <v>43.7</v>
      </c>
      <c r="BM197" s="212">
        <v>44.38</v>
      </c>
      <c r="BN197" s="212">
        <v>1.1200000000000001</v>
      </c>
      <c r="BO197" s="212">
        <v>0.88000000000000012</v>
      </c>
      <c r="BP197" s="212">
        <v>1</v>
      </c>
      <c r="BQ197" s="212">
        <v>10.02</v>
      </c>
      <c r="BR197" s="212">
        <v>8.02</v>
      </c>
      <c r="BS197" s="212">
        <v>9.02</v>
      </c>
      <c r="BT197" s="212">
        <v>11.87</v>
      </c>
      <c r="BU197" s="212">
        <v>11.469999999999999</v>
      </c>
      <c r="BV197" s="212">
        <v>11.669999999999998</v>
      </c>
      <c r="BW197" s="212">
        <v>2.92</v>
      </c>
      <c r="BX197" s="212">
        <v>2.6399999999999997</v>
      </c>
      <c r="BY197" s="212">
        <v>2.78</v>
      </c>
      <c r="BZ197" s="212">
        <v>10.39</v>
      </c>
      <c r="CA197" s="212">
        <v>7.3900000000000006</v>
      </c>
      <c r="CB197" s="212">
        <v>8.89</v>
      </c>
      <c r="CC197" s="212">
        <v>7.04</v>
      </c>
      <c r="CD197" s="212">
        <v>6.8</v>
      </c>
      <c r="CE197" s="212">
        <v>6.92</v>
      </c>
      <c r="CF197" s="212">
        <v>2.1</v>
      </c>
      <c r="CG197" s="212">
        <v>1.6</v>
      </c>
      <c r="CH197" s="212">
        <v>1.85</v>
      </c>
      <c r="CI197" s="212">
        <v>0.46</v>
      </c>
      <c r="CJ197" s="212">
        <v>0.42000000000000004</v>
      </c>
      <c r="CK197" s="212">
        <v>0.44000000000000006</v>
      </c>
      <c r="CL197" s="212">
        <v>42.27</v>
      </c>
      <c r="CM197" s="212">
        <v>39.870000000000005</v>
      </c>
      <c r="CN197" s="212">
        <v>41.070000000000007</v>
      </c>
      <c r="CO197" s="212">
        <v>7.42</v>
      </c>
      <c r="CP197" s="212">
        <v>2.42</v>
      </c>
      <c r="CQ197" s="212">
        <v>4.92</v>
      </c>
      <c r="CR197" s="212"/>
      <c r="CS197" s="212"/>
    </row>
    <row r="198" spans="1:97" x14ac:dyDescent="0.4">
      <c r="A198" s="209">
        <v>45484</v>
      </c>
      <c r="B198" s="210" t="s">
        <v>297</v>
      </c>
      <c r="C198" s="212">
        <v>162.72999999999999</v>
      </c>
      <c r="D198" s="212">
        <v>160.72999999999999</v>
      </c>
      <c r="E198" s="212">
        <v>161.72999999999999</v>
      </c>
      <c r="F198" s="212">
        <v>176.7</v>
      </c>
      <c r="G198" s="212">
        <v>173.7</v>
      </c>
      <c r="H198" s="212">
        <v>175.2</v>
      </c>
      <c r="I198" s="212">
        <v>120.33</v>
      </c>
      <c r="J198" s="212">
        <v>117.13</v>
      </c>
      <c r="K198" s="212">
        <v>118.72999999999999</v>
      </c>
      <c r="L198" s="212">
        <v>211.94</v>
      </c>
      <c r="M198" s="212">
        <v>203.94</v>
      </c>
      <c r="N198" s="212">
        <v>207.94</v>
      </c>
      <c r="O198" s="212">
        <v>180.7</v>
      </c>
      <c r="P198" s="212">
        <v>178.89999999999998</v>
      </c>
      <c r="Q198" s="212">
        <v>179.79999999999998</v>
      </c>
      <c r="R198" s="212">
        <v>23.79</v>
      </c>
      <c r="S198" s="212">
        <v>23.189999999999998</v>
      </c>
      <c r="T198" s="212">
        <v>23.49</v>
      </c>
      <c r="U198" s="212">
        <v>15.39</v>
      </c>
      <c r="V198" s="212">
        <v>14.790000000000001</v>
      </c>
      <c r="W198" s="212">
        <v>15.09</v>
      </c>
      <c r="X198" s="212">
        <v>15.73</v>
      </c>
      <c r="Y198" s="212">
        <v>14.93</v>
      </c>
      <c r="Z198" s="212">
        <v>15.33</v>
      </c>
      <c r="AA198" s="212">
        <v>111.1</v>
      </c>
      <c r="AB198" s="212">
        <v>107.1</v>
      </c>
      <c r="AC198" s="212">
        <v>109.1</v>
      </c>
      <c r="AD198" s="212">
        <v>100.46</v>
      </c>
      <c r="AE198" s="212">
        <v>96.46</v>
      </c>
      <c r="AF198" s="212">
        <v>98.46</v>
      </c>
      <c r="AG198" s="212">
        <v>21.14</v>
      </c>
      <c r="AH198" s="212">
        <v>20.28</v>
      </c>
      <c r="AI198" s="212">
        <v>20.71</v>
      </c>
      <c r="AJ198" s="212"/>
      <c r="AK198" s="212"/>
      <c r="AL198" s="212"/>
      <c r="AM198" s="212">
        <v>120.76</v>
      </c>
      <c r="AN198" s="212">
        <v>119.10000000000001</v>
      </c>
      <c r="AO198" s="212">
        <v>119.93</v>
      </c>
      <c r="AP198" s="212">
        <v>43.99</v>
      </c>
      <c r="AQ198" s="212">
        <v>42.39</v>
      </c>
      <c r="AR198" s="212">
        <v>43.19</v>
      </c>
      <c r="AS198" s="212">
        <v>44.78</v>
      </c>
      <c r="AT198" s="212">
        <v>43.42</v>
      </c>
      <c r="AU198" s="212">
        <v>44.1</v>
      </c>
      <c r="AV198" s="212">
        <v>22.48</v>
      </c>
      <c r="AW198" s="212">
        <v>21.88</v>
      </c>
      <c r="AX198" s="212">
        <v>22.18</v>
      </c>
      <c r="AY198" s="212">
        <v>4.54</v>
      </c>
      <c r="AZ198" s="212">
        <v>4.38</v>
      </c>
      <c r="BA198" s="212">
        <v>4.46</v>
      </c>
      <c r="BB198" s="212">
        <v>2.1</v>
      </c>
      <c r="BC198" s="212">
        <v>1.8</v>
      </c>
      <c r="BD198" s="212">
        <v>1.9500000000000002</v>
      </c>
      <c r="BE198" s="212">
        <v>0.73</v>
      </c>
      <c r="BF198" s="212">
        <v>0.43</v>
      </c>
      <c r="BG198" s="212">
        <v>0.57999999999999996</v>
      </c>
      <c r="BH198" s="212">
        <v>537.57000000000005</v>
      </c>
      <c r="BI198" s="212">
        <v>521.57000000000005</v>
      </c>
      <c r="BJ198" s="212">
        <v>529.57000000000005</v>
      </c>
      <c r="BK198" s="212">
        <v>45.11</v>
      </c>
      <c r="BL198" s="212">
        <v>43.75</v>
      </c>
      <c r="BM198" s="212">
        <v>44.43</v>
      </c>
      <c r="BN198" s="212">
        <v>1.1200000000000001</v>
      </c>
      <c r="BO198" s="212">
        <v>0.88000000000000012</v>
      </c>
      <c r="BP198" s="212">
        <v>1</v>
      </c>
      <c r="BQ198" s="212">
        <v>10.07</v>
      </c>
      <c r="BR198" s="212">
        <v>8.07</v>
      </c>
      <c r="BS198" s="212">
        <v>9.07</v>
      </c>
      <c r="BT198" s="212">
        <v>11.92</v>
      </c>
      <c r="BU198" s="212">
        <v>11.52</v>
      </c>
      <c r="BV198" s="212">
        <v>11.719999999999999</v>
      </c>
      <c r="BW198" s="212">
        <v>2.93</v>
      </c>
      <c r="BX198" s="212">
        <v>2.6500000000000004</v>
      </c>
      <c r="BY198" s="212">
        <v>2.79</v>
      </c>
      <c r="BZ198" s="212">
        <v>10.43</v>
      </c>
      <c r="CA198" s="212">
        <v>7.43</v>
      </c>
      <c r="CB198" s="212">
        <v>8.93</v>
      </c>
      <c r="CC198" s="212">
        <v>7.02</v>
      </c>
      <c r="CD198" s="212">
        <v>6.7799999999999994</v>
      </c>
      <c r="CE198" s="212">
        <v>6.8999999999999995</v>
      </c>
      <c r="CF198" s="212">
        <v>2.08</v>
      </c>
      <c r="CG198" s="212">
        <v>1.58</v>
      </c>
      <c r="CH198" s="212">
        <v>1.83</v>
      </c>
      <c r="CI198" s="212">
        <v>0.46</v>
      </c>
      <c r="CJ198" s="212">
        <v>0.42000000000000004</v>
      </c>
      <c r="CK198" s="212">
        <v>0.44000000000000006</v>
      </c>
      <c r="CL198" s="212">
        <v>42.33</v>
      </c>
      <c r="CM198" s="212">
        <v>39.93</v>
      </c>
      <c r="CN198" s="212">
        <v>41.129999999999995</v>
      </c>
      <c r="CO198" s="212">
        <v>7.43</v>
      </c>
      <c r="CP198" s="212">
        <v>2.4299999999999997</v>
      </c>
      <c r="CQ198" s="212">
        <v>4.93</v>
      </c>
      <c r="CR198" s="212"/>
      <c r="CS198" s="212"/>
    </row>
    <row r="199" spans="1:97" x14ac:dyDescent="0.4">
      <c r="A199" s="209">
        <v>45485</v>
      </c>
      <c r="B199" s="210" t="s">
        <v>298</v>
      </c>
      <c r="C199" s="212">
        <v>160.11000000000001</v>
      </c>
      <c r="D199" s="212">
        <v>158.11000000000001</v>
      </c>
      <c r="E199" s="212">
        <v>159.11000000000001</v>
      </c>
      <c r="F199" s="212">
        <v>174.44</v>
      </c>
      <c r="G199" s="212">
        <v>171.44</v>
      </c>
      <c r="H199" s="212">
        <v>172.94</v>
      </c>
      <c r="I199" s="212">
        <v>118.32</v>
      </c>
      <c r="J199" s="212">
        <v>115.11999999999999</v>
      </c>
      <c r="K199" s="212">
        <v>116.72</v>
      </c>
      <c r="L199" s="212">
        <v>209.47</v>
      </c>
      <c r="M199" s="212">
        <v>201.47</v>
      </c>
      <c r="N199" s="212">
        <v>205.47</v>
      </c>
      <c r="O199" s="212">
        <v>178.42</v>
      </c>
      <c r="P199" s="212">
        <v>176.61999999999998</v>
      </c>
      <c r="Q199" s="212">
        <v>177.51999999999998</v>
      </c>
      <c r="R199" s="212">
        <v>23.48</v>
      </c>
      <c r="S199" s="212">
        <v>22.88</v>
      </c>
      <c r="T199" s="212">
        <v>23.18</v>
      </c>
      <c r="U199" s="212">
        <v>15.12</v>
      </c>
      <c r="V199" s="212">
        <v>14.52</v>
      </c>
      <c r="W199" s="212">
        <v>14.82</v>
      </c>
      <c r="X199" s="212">
        <v>15.53</v>
      </c>
      <c r="Y199" s="212">
        <v>14.729999999999999</v>
      </c>
      <c r="Z199" s="212">
        <v>15.129999999999999</v>
      </c>
      <c r="AA199" s="212">
        <v>109.59</v>
      </c>
      <c r="AB199" s="212">
        <v>105.59</v>
      </c>
      <c r="AC199" s="212">
        <v>107.59</v>
      </c>
      <c r="AD199" s="212">
        <v>98.8</v>
      </c>
      <c r="AE199" s="212">
        <v>94.8</v>
      </c>
      <c r="AF199" s="212">
        <v>96.8</v>
      </c>
      <c r="AG199" s="212">
        <v>20.81</v>
      </c>
      <c r="AH199" s="212">
        <v>19.95</v>
      </c>
      <c r="AI199" s="212">
        <v>20.38</v>
      </c>
      <c r="AJ199" s="212"/>
      <c r="AK199" s="212"/>
      <c r="AL199" s="212"/>
      <c r="AM199" s="212">
        <v>119.24</v>
      </c>
      <c r="AN199" s="212">
        <v>117.58</v>
      </c>
      <c r="AO199" s="212">
        <v>118.41</v>
      </c>
      <c r="AP199" s="212">
        <v>43.29</v>
      </c>
      <c r="AQ199" s="212">
        <v>41.69</v>
      </c>
      <c r="AR199" s="212">
        <v>42.489999999999995</v>
      </c>
      <c r="AS199" s="212">
        <v>44.07</v>
      </c>
      <c r="AT199" s="212">
        <v>42.71</v>
      </c>
      <c r="AU199" s="212">
        <v>43.39</v>
      </c>
      <c r="AV199" s="212">
        <v>22.19</v>
      </c>
      <c r="AW199" s="212">
        <v>21.59</v>
      </c>
      <c r="AX199" s="212">
        <v>21.89</v>
      </c>
      <c r="AY199" s="212">
        <v>4.49</v>
      </c>
      <c r="AZ199" s="212">
        <v>4.33</v>
      </c>
      <c r="BA199" s="212">
        <v>4.41</v>
      </c>
      <c r="BB199" s="212">
        <v>2.0699999999999998</v>
      </c>
      <c r="BC199" s="212">
        <v>1.7699999999999998</v>
      </c>
      <c r="BD199" s="212">
        <v>1.92</v>
      </c>
      <c r="BE199" s="212">
        <v>0.72</v>
      </c>
      <c r="BF199" s="212">
        <v>0.42</v>
      </c>
      <c r="BG199" s="212">
        <v>0.56999999999999995</v>
      </c>
      <c r="BH199" s="212">
        <v>529.5</v>
      </c>
      <c r="BI199" s="212">
        <v>513.5</v>
      </c>
      <c r="BJ199" s="212">
        <v>521.5</v>
      </c>
      <c r="BK199" s="212">
        <v>44.4</v>
      </c>
      <c r="BL199" s="212">
        <v>43.04</v>
      </c>
      <c r="BM199" s="212">
        <v>43.72</v>
      </c>
      <c r="BN199" s="212">
        <v>1.1100000000000001</v>
      </c>
      <c r="BO199" s="212">
        <v>0.87000000000000011</v>
      </c>
      <c r="BP199" s="212">
        <v>0.9900000000000001</v>
      </c>
      <c r="BQ199" s="212">
        <v>9.9600000000000009</v>
      </c>
      <c r="BR199" s="212">
        <v>7.9600000000000009</v>
      </c>
      <c r="BS199" s="212">
        <v>8.9600000000000009</v>
      </c>
      <c r="BT199" s="212">
        <v>11.79</v>
      </c>
      <c r="BU199" s="212">
        <v>11.389999999999999</v>
      </c>
      <c r="BV199" s="212">
        <v>11.59</v>
      </c>
      <c r="BW199" s="212">
        <v>2.89</v>
      </c>
      <c r="BX199" s="212">
        <v>2.6100000000000003</v>
      </c>
      <c r="BY199" s="212">
        <v>2.75</v>
      </c>
      <c r="BZ199" s="212">
        <v>10.34</v>
      </c>
      <c r="CA199" s="212">
        <v>7.34</v>
      </c>
      <c r="CB199" s="212">
        <v>8.84</v>
      </c>
      <c r="CC199" s="212">
        <v>6.95</v>
      </c>
      <c r="CD199" s="212">
        <v>6.71</v>
      </c>
      <c r="CE199" s="212">
        <v>6.83</v>
      </c>
      <c r="CF199" s="212">
        <v>2.0699999999999998</v>
      </c>
      <c r="CG199" s="212">
        <v>1.5699999999999998</v>
      </c>
      <c r="CH199" s="212">
        <v>1.8199999999999998</v>
      </c>
      <c r="CI199" s="212">
        <v>0.46</v>
      </c>
      <c r="CJ199" s="212">
        <v>0.42000000000000004</v>
      </c>
      <c r="CK199" s="212">
        <v>0.44000000000000006</v>
      </c>
      <c r="CL199" s="212">
        <v>41.75</v>
      </c>
      <c r="CM199" s="212">
        <v>39.35</v>
      </c>
      <c r="CN199" s="212">
        <v>40.549999999999997</v>
      </c>
      <c r="CO199" s="212">
        <v>7.34</v>
      </c>
      <c r="CP199" s="212">
        <v>2.34</v>
      </c>
      <c r="CQ199" s="212">
        <v>4.84</v>
      </c>
      <c r="CR199" s="212"/>
      <c r="CS199" s="212"/>
    </row>
    <row r="200" spans="1:97" x14ac:dyDescent="0.4">
      <c r="A200" s="209">
        <v>45486</v>
      </c>
      <c r="B200" s="210" t="s">
        <v>299</v>
      </c>
      <c r="C200" s="212"/>
      <c r="D200" s="212"/>
      <c r="E200" s="212"/>
      <c r="F200" s="212"/>
      <c r="G200" s="212"/>
      <c r="H200" s="212"/>
      <c r="I200" s="212"/>
      <c r="J200" s="212"/>
      <c r="K200" s="212"/>
      <c r="L200" s="212"/>
      <c r="M200" s="212"/>
      <c r="N200" s="212"/>
      <c r="O200" s="212"/>
      <c r="P200" s="212"/>
      <c r="Q200" s="212"/>
      <c r="R200" s="212"/>
      <c r="S200" s="212"/>
      <c r="T200" s="212"/>
      <c r="U200" s="212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12"/>
      <c r="AF200" s="212"/>
      <c r="AG200" s="212"/>
      <c r="AH200" s="212"/>
      <c r="AI200" s="212"/>
      <c r="AJ200" s="212"/>
      <c r="AK200" s="212"/>
      <c r="AL200" s="212"/>
      <c r="AM200" s="212"/>
      <c r="AN200" s="212"/>
      <c r="AO200" s="212"/>
      <c r="AP200" s="212"/>
      <c r="AQ200" s="212"/>
      <c r="AR200" s="212"/>
      <c r="AS200" s="212"/>
      <c r="AT200" s="212"/>
      <c r="AU200" s="212"/>
      <c r="AV200" s="212"/>
      <c r="AW200" s="212"/>
      <c r="AX200" s="212"/>
      <c r="AY200" s="212"/>
      <c r="AZ200" s="212"/>
      <c r="BA200" s="212"/>
      <c r="BB200" s="212"/>
      <c r="BC200" s="212"/>
      <c r="BD200" s="212"/>
      <c r="BE200" s="212"/>
      <c r="BF200" s="212"/>
      <c r="BG200" s="212"/>
      <c r="BH200" s="212"/>
      <c r="BI200" s="212"/>
      <c r="BJ200" s="212"/>
      <c r="BK200" s="212"/>
      <c r="BL200" s="212"/>
      <c r="BM200" s="212"/>
      <c r="BN200" s="212"/>
      <c r="BO200" s="212"/>
      <c r="BP200" s="212"/>
      <c r="BQ200" s="212"/>
      <c r="BR200" s="212"/>
      <c r="BS200" s="212"/>
      <c r="BT200" s="212"/>
      <c r="BU200" s="212"/>
      <c r="BV200" s="212"/>
      <c r="BW200" s="212"/>
      <c r="BX200" s="212"/>
      <c r="BY200" s="212"/>
      <c r="BZ200" s="212"/>
      <c r="CA200" s="212"/>
      <c r="CB200" s="212"/>
      <c r="CC200" s="212"/>
      <c r="CD200" s="212"/>
      <c r="CE200" s="212"/>
      <c r="CF200" s="212"/>
      <c r="CG200" s="212"/>
      <c r="CH200" s="212"/>
      <c r="CI200" s="212"/>
      <c r="CJ200" s="212"/>
      <c r="CK200" s="212"/>
      <c r="CL200" s="212"/>
      <c r="CM200" s="212"/>
      <c r="CN200" s="212"/>
      <c r="CO200" s="212"/>
      <c r="CP200" s="212"/>
      <c r="CQ200" s="212"/>
      <c r="CR200" s="212"/>
      <c r="CS200" s="212"/>
    </row>
    <row r="201" spans="1:97" x14ac:dyDescent="0.4">
      <c r="A201" s="209">
        <v>45487</v>
      </c>
      <c r="B201" s="210" t="s">
        <v>300</v>
      </c>
      <c r="C201" s="212"/>
      <c r="D201" s="212"/>
      <c r="E201" s="212"/>
      <c r="F201" s="212"/>
      <c r="G201" s="212"/>
      <c r="H201" s="212"/>
      <c r="I201" s="212"/>
      <c r="J201" s="212"/>
      <c r="K201" s="212"/>
      <c r="L201" s="212"/>
      <c r="M201" s="212"/>
      <c r="N201" s="212"/>
      <c r="O201" s="212"/>
      <c r="P201" s="212"/>
      <c r="Q201" s="212"/>
      <c r="R201" s="212"/>
      <c r="S201" s="212"/>
      <c r="T201" s="212"/>
      <c r="U201" s="212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12"/>
      <c r="AF201" s="212"/>
      <c r="AG201" s="212"/>
      <c r="AH201" s="212"/>
      <c r="AI201" s="212"/>
      <c r="AJ201" s="212"/>
      <c r="AK201" s="212"/>
      <c r="AL201" s="212"/>
      <c r="AM201" s="212"/>
      <c r="AN201" s="212"/>
      <c r="AO201" s="212"/>
      <c r="AP201" s="212"/>
      <c r="AQ201" s="212"/>
      <c r="AR201" s="212"/>
      <c r="AS201" s="212"/>
      <c r="AT201" s="212"/>
      <c r="AU201" s="212"/>
      <c r="AV201" s="212"/>
      <c r="AW201" s="212"/>
      <c r="AX201" s="212"/>
      <c r="AY201" s="212"/>
      <c r="AZ201" s="212"/>
      <c r="BA201" s="212"/>
      <c r="BB201" s="212"/>
      <c r="BC201" s="212"/>
      <c r="BD201" s="212"/>
      <c r="BE201" s="212"/>
      <c r="BF201" s="212"/>
      <c r="BG201" s="212"/>
      <c r="BH201" s="212"/>
      <c r="BI201" s="212"/>
      <c r="BJ201" s="212"/>
      <c r="BK201" s="212"/>
      <c r="BL201" s="212"/>
      <c r="BM201" s="212"/>
      <c r="BN201" s="212"/>
      <c r="BO201" s="212"/>
      <c r="BP201" s="212"/>
      <c r="BQ201" s="212"/>
      <c r="BR201" s="212"/>
      <c r="BS201" s="212"/>
      <c r="BT201" s="212"/>
      <c r="BU201" s="212"/>
      <c r="BV201" s="212"/>
      <c r="BW201" s="212"/>
      <c r="BX201" s="212"/>
      <c r="BY201" s="212"/>
      <c r="BZ201" s="212"/>
      <c r="CA201" s="212"/>
      <c r="CB201" s="212"/>
      <c r="CC201" s="212"/>
      <c r="CD201" s="212"/>
      <c r="CE201" s="212"/>
      <c r="CF201" s="212"/>
      <c r="CG201" s="212"/>
      <c r="CH201" s="212"/>
      <c r="CI201" s="212"/>
      <c r="CJ201" s="212"/>
      <c r="CK201" s="212"/>
      <c r="CL201" s="212"/>
      <c r="CM201" s="212"/>
      <c r="CN201" s="212"/>
      <c r="CO201" s="212"/>
      <c r="CP201" s="212"/>
      <c r="CQ201" s="212"/>
      <c r="CR201" s="212"/>
      <c r="CS201" s="212"/>
    </row>
    <row r="202" spans="1:97" x14ac:dyDescent="0.4">
      <c r="A202" s="209">
        <v>45488</v>
      </c>
      <c r="B202" s="210" t="s">
        <v>294</v>
      </c>
      <c r="C202" s="212"/>
      <c r="D202" s="212"/>
      <c r="E202" s="212"/>
      <c r="F202" s="212"/>
      <c r="G202" s="212"/>
      <c r="H202" s="212"/>
      <c r="I202" s="212"/>
      <c r="J202" s="212"/>
      <c r="K202" s="212"/>
      <c r="L202" s="212"/>
      <c r="M202" s="212"/>
      <c r="N202" s="212"/>
      <c r="O202" s="212"/>
      <c r="P202" s="212"/>
      <c r="Q202" s="212"/>
      <c r="R202" s="212"/>
      <c r="S202" s="212"/>
      <c r="T202" s="212"/>
      <c r="U202" s="212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12"/>
      <c r="AF202" s="212"/>
      <c r="AG202" s="212"/>
      <c r="AH202" s="212"/>
      <c r="AI202" s="212"/>
      <c r="AJ202" s="212"/>
      <c r="AK202" s="212"/>
      <c r="AL202" s="212"/>
      <c r="AM202" s="212"/>
      <c r="AN202" s="212"/>
      <c r="AO202" s="212"/>
      <c r="AP202" s="212"/>
      <c r="AQ202" s="212"/>
      <c r="AR202" s="212"/>
      <c r="AS202" s="212"/>
      <c r="AT202" s="212"/>
      <c r="AU202" s="212"/>
      <c r="AV202" s="212"/>
      <c r="AW202" s="212"/>
      <c r="AX202" s="212"/>
      <c r="AY202" s="212"/>
      <c r="AZ202" s="212"/>
      <c r="BA202" s="212"/>
      <c r="BB202" s="212"/>
      <c r="BC202" s="212"/>
      <c r="BD202" s="212"/>
      <c r="BE202" s="212"/>
      <c r="BF202" s="212"/>
      <c r="BG202" s="212"/>
      <c r="BH202" s="212"/>
      <c r="BI202" s="212"/>
      <c r="BJ202" s="212"/>
      <c r="BK202" s="212"/>
      <c r="BL202" s="212"/>
      <c r="BM202" s="212"/>
      <c r="BN202" s="212"/>
      <c r="BO202" s="212"/>
      <c r="BP202" s="212"/>
      <c r="BQ202" s="212"/>
      <c r="BR202" s="212"/>
      <c r="BS202" s="212"/>
      <c r="BT202" s="212"/>
      <c r="BU202" s="212"/>
      <c r="BV202" s="212"/>
      <c r="BW202" s="212"/>
      <c r="BX202" s="212"/>
      <c r="BY202" s="212"/>
      <c r="BZ202" s="212"/>
      <c r="CA202" s="212"/>
      <c r="CB202" s="212"/>
      <c r="CC202" s="212"/>
      <c r="CD202" s="212"/>
      <c r="CE202" s="212"/>
      <c r="CF202" s="212"/>
      <c r="CG202" s="212"/>
      <c r="CH202" s="212"/>
      <c r="CI202" s="212"/>
      <c r="CJ202" s="212"/>
      <c r="CK202" s="212"/>
      <c r="CL202" s="212"/>
      <c r="CM202" s="212"/>
      <c r="CN202" s="212"/>
      <c r="CO202" s="212"/>
      <c r="CP202" s="212"/>
      <c r="CQ202" s="212"/>
      <c r="CR202" s="212"/>
      <c r="CS202" s="212"/>
    </row>
    <row r="203" spans="1:97" x14ac:dyDescent="0.4">
      <c r="A203" s="209">
        <v>45489</v>
      </c>
      <c r="B203" s="210" t="s">
        <v>295</v>
      </c>
      <c r="C203" s="212">
        <v>159.44999999999999</v>
      </c>
      <c r="D203" s="212">
        <v>157.44999999999999</v>
      </c>
      <c r="E203" s="212">
        <v>158.44999999999999</v>
      </c>
      <c r="F203" s="212">
        <v>174.07</v>
      </c>
      <c r="G203" s="212">
        <v>171.07</v>
      </c>
      <c r="H203" s="212">
        <v>172.57</v>
      </c>
      <c r="I203" s="212">
        <v>117.41</v>
      </c>
      <c r="J203" s="212">
        <v>114.21</v>
      </c>
      <c r="K203" s="212">
        <v>115.81</v>
      </c>
      <c r="L203" s="212">
        <v>209.46</v>
      </c>
      <c r="M203" s="212">
        <v>201.46</v>
      </c>
      <c r="N203" s="212">
        <v>205.46</v>
      </c>
      <c r="O203" s="212">
        <v>177.76</v>
      </c>
      <c r="P203" s="212">
        <v>175.95999999999998</v>
      </c>
      <c r="Q203" s="212">
        <v>176.85999999999999</v>
      </c>
      <c r="R203" s="212">
        <v>23.43</v>
      </c>
      <c r="S203" s="212">
        <v>22.83</v>
      </c>
      <c r="T203" s="212">
        <v>23.13</v>
      </c>
      <c r="U203" s="212">
        <v>14.95</v>
      </c>
      <c r="V203" s="212">
        <v>14.35</v>
      </c>
      <c r="W203" s="212">
        <v>14.649999999999999</v>
      </c>
      <c r="X203" s="212">
        <v>15.32</v>
      </c>
      <c r="Y203" s="212">
        <v>14.52</v>
      </c>
      <c r="Z203" s="212">
        <v>14.92</v>
      </c>
      <c r="AA203" s="212">
        <v>108.99</v>
      </c>
      <c r="AB203" s="212">
        <v>104.99</v>
      </c>
      <c r="AC203" s="212">
        <v>106.99</v>
      </c>
      <c r="AD203" s="212">
        <v>98.1</v>
      </c>
      <c r="AE203" s="212">
        <v>94.1</v>
      </c>
      <c r="AF203" s="212">
        <v>96.1</v>
      </c>
      <c r="AG203" s="212">
        <v>20.73</v>
      </c>
      <c r="AH203" s="212">
        <v>19.87</v>
      </c>
      <c r="AI203" s="212">
        <v>20.3</v>
      </c>
      <c r="AJ203" s="212"/>
      <c r="AK203" s="212"/>
      <c r="AL203" s="212"/>
      <c r="AM203" s="212">
        <v>118.71</v>
      </c>
      <c r="AN203" s="212">
        <v>117.05</v>
      </c>
      <c r="AO203" s="212">
        <v>117.88</v>
      </c>
      <c r="AP203" s="212">
        <v>43.11</v>
      </c>
      <c r="AQ203" s="212">
        <v>41.51</v>
      </c>
      <c r="AR203" s="212">
        <v>42.31</v>
      </c>
      <c r="AS203" s="212">
        <v>43.75</v>
      </c>
      <c r="AT203" s="212">
        <v>42.39</v>
      </c>
      <c r="AU203" s="212">
        <v>43.07</v>
      </c>
      <c r="AV203" s="212">
        <v>22.08</v>
      </c>
      <c r="AW203" s="212">
        <v>21.479999999999997</v>
      </c>
      <c r="AX203" s="212">
        <v>21.779999999999998</v>
      </c>
      <c r="AY203" s="212">
        <v>4.46</v>
      </c>
      <c r="AZ203" s="212">
        <v>4.3</v>
      </c>
      <c r="BA203" s="212">
        <v>4.38</v>
      </c>
      <c r="BB203" s="212">
        <v>2.06</v>
      </c>
      <c r="BC203" s="212">
        <v>1.76</v>
      </c>
      <c r="BD203" s="212">
        <v>1.9100000000000001</v>
      </c>
      <c r="BE203" s="212">
        <v>0.72</v>
      </c>
      <c r="BF203" s="212">
        <v>0.42</v>
      </c>
      <c r="BG203" s="212">
        <v>0.56999999999999995</v>
      </c>
      <c r="BH203" s="212">
        <v>525.47</v>
      </c>
      <c r="BI203" s="212">
        <v>509.47</v>
      </c>
      <c r="BJ203" s="212">
        <v>517.47</v>
      </c>
      <c r="BK203" s="212">
        <v>44.2</v>
      </c>
      <c r="BL203" s="212">
        <v>42.84</v>
      </c>
      <c r="BM203" s="212">
        <v>43.52</v>
      </c>
      <c r="BN203" s="212">
        <v>1.1000000000000001</v>
      </c>
      <c r="BO203" s="212">
        <v>0.8600000000000001</v>
      </c>
      <c r="BP203" s="212">
        <v>0.98000000000000009</v>
      </c>
      <c r="BQ203" s="212">
        <v>9.93</v>
      </c>
      <c r="BR203" s="212">
        <v>7.93</v>
      </c>
      <c r="BS203" s="212">
        <v>8.93</v>
      </c>
      <c r="BT203" s="212">
        <v>11.64</v>
      </c>
      <c r="BU203" s="212">
        <v>11.24</v>
      </c>
      <c r="BV203" s="212">
        <v>11.440000000000001</v>
      </c>
      <c r="BW203" s="212">
        <v>2.87</v>
      </c>
      <c r="BX203" s="212">
        <v>2.59</v>
      </c>
      <c r="BY203" s="212">
        <v>2.73</v>
      </c>
      <c r="BZ203" s="212">
        <v>10.199999999999999</v>
      </c>
      <c r="CA203" s="212">
        <v>7.1999999999999993</v>
      </c>
      <c r="CB203" s="212">
        <v>8.6999999999999993</v>
      </c>
      <c r="CC203" s="212">
        <v>6.92</v>
      </c>
      <c r="CD203" s="212">
        <v>6.68</v>
      </c>
      <c r="CE203" s="212">
        <v>6.8</v>
      </c>
      <c r="CF203" s="212">
        <v>2.0499999999999998</v>
      </c>
      <c r="CG203" s="212">
        <v>1.5499999999999998</v>
      </c>
      <c r="CH203" s="212">
        <v>1.7999999999999998</v>
      </c>
      <c r="CI203" s="212">
        <v>0.46</v>
      </c>
      <c r="CJ203" s="212">
        <v>0.42000000000000004</v>
      </c>
      <c r="CK203" s="212">
        <v>0.44000000000000006</v>
      </c>
      <c r="CL203" s="212">
        <v>41.77</v>
      </c>
      <c r="CM203" s="212">
        <v>39.370000000000005</v>
      </c>
      <c r="CN203" s="212">
        <v>40.570000000000007</v>
      </c>
      <c r="CO203" s="212">
        <v>7.31</v>
      </c>
      <c r="CP203" s="212">
        <v>2.3099999999999996</v>
      </c>
      <c r="CQ203" s="212">
        <v>4.8099999999999996</v>
      </c>
      <c r="CR203" s="212"/>
      <c r="CS203" s="212"/>
    </row>
    <row r="204" spans="1:97" x14ac:dyDescent="0.4">
      <c r="A204" s="209">
        <v>45490</v>
      </c>
      <c r="B204" s="210" t="s">
        <v>296</v>
      </c>
      <c r="C204" s="212">
        <v>159.56</v>
      </c>
      <c r="D204" s="212">
        <v>157.56</v>
      </c>
      <c r="E204" s="212">
        <v>158.56</v>
      </c>
      <c r="F204" s="212">
        <v>174.28</v>
      </c>
      <c r="G204" s="212">
        <v>171.28</v>
      </c>
      <c r="H204" s="212">
        <v>172.78</v>
      </c>
      <c r="I204" s="212">
        <v>117.52</v>
      </c>
      <c r="J204" s="212">
        <v>114.32</v>
      </c>
      <c r="K204" s="212">
        <v>115.91999999999999</v>
      </c>
      <c r="L204" s="212">
        <v>209.64</v>
      </c>
      <c r="M204" s="212">
        <v>201.64</v>
      </c>
      <c r="N204" s="212">
        <v>205.64</v>
      </c>
      <c r="O204" s="212">
        <v>178.2</v>
      </c>
      <c r="P204" s="212">
        <v>176.39999999999998</v>
      </c>
      <c r="Q204" s="212">
        <v>177.29999999999998</v>
      </c>
      <c r="R204" s="212">
        <v>23.47</v>
      </c>
      <c r="S204" s="212">
        <v>22.869999999999997</v>
      </c>
      <c r="T204" s="212">
        <v>23.169999999999998</v>
      </c>
      <c r="U204" s="212">
        <v>15.01</v>
      </c>
      <c r="V204" s="212">
        <v>14.41</v>
      </c>
      <c r="W204" s="212">
        <v>14.71</v>
      </c>
      <c r="X204" s="212">
        <v>15.38</v>
      </c>
      <c r="Y204" s="212">
        <v>14.58</v>
      </c>
      <c r="Z204" s="212">
        <v>14.98</v>
      </c>
      <c r="AA204" s="212">
        <v>108.74</v>
      </c>
      <c r="AB204" s="212">
        <v>104.74</v>
      </c>
      <c r="AC204" s="212">
        <v>106.74</v>
      </c>
      <c r="AD204" s="212">
        <v>98.39</v>
      </c>
      <c r="AE204" s="212">
        <v>94.39</v>
      </c>
      <c r="AF204" s="212">
        <v>96.39</v>
      </c>
      <c r="AG204" s="212">
        <v>20.74</v>
      </c>
      <c r="AH204" s="212">
        <v>19.88</v>
      </c>
      <c r="AI204" s="212">
        <v>20.309999999999999</v>
      </c>
      <c r="AJ204" s="212"/>
      <c r="AK204" s="212"/>
      <c r="AL204" s="212"/>
      <c r="AM204" s="212">
        <v>118.81</v>
      </c>
      <c r="AN204" s="212">
        <v>117.15</v>
      </c>
      <c r="AO204" s="212">
        <v>117.98</v>
      </c>
      <c r="AP204" s="212">
        <v>43.14</v>
      </c>
      <c r="AQ204" s="212">
        <v>41.54</v>
      </c>
      <c r="AR204" s="212">
        <v>42.34</v>
      </c>
      <c r="AS204" s="212">
        <v>43.92</v>
      </c>
      <c r="AT204" s="212">
        <v>42.56</v>
      </c>
      <c r="AU204" s="212">
        <v>43.24</v>
      </c>
      <c r="AV204" s="212">
        <v>22.06</v>
      </c>
      <c r="AW204" s="212">
        <v>21.459999999999997</v>
      </c>
      <c r="AX204" s="212">
        <v>21.759999999999998</v>
      </c>
      <c r="AY204" s="212">
        <v>4.49</v>
      </c>
      <c r="AZ204" s="212">
        <v>4.33</v>
      </c>
      <c r="BA204" s="212">
        <v>4.41</v>
      </c>
      <c r="BB204" s="212">
        <v>2.06</v>
      </c>
      <c r="BC204" s="212">
        <v>1.76</v>
      </c>
      <c r="BD204" s="212">
        <v>1.9100000000000001</v>
      </c>
      <c r="BE204" s="212">
        <v>0.72</v>
      </c>
      <c r="BF204" s="212">
        <v>0.42</v>
      </c>
      <c r="BG204" s="212">
        <v>0.56999999999999995</v>
      </c>
      <c r="BH204" s="212">
        <v>527.70000000000005</v>
      </c>
      <c r="BI204" s="212">
        <v>511.70000000000005</v>
      </c>
      <c r="BJ204" s="212">
        <v>519.70000000000005</v>
      </c>
      <c r="BK204" s="212">
        <v>44.24</v>
      </c>
      <c r="BL204" s="212">
        <v>42.88</v>
      </c>
      <c r="BM204" s="212">
        <v>43.56</v>
      </c>
      <c r="BN204" s="212">
        <v>1.1000000000000001</v>
      </c>
      <c r="BO204" s="212">
        <v>0.8600000000000001</v>
      </c>
      <c r="BP204" s="212">
        <v>0.98000000000000009</v>
      </c>
      <c r="BQ204" s="212">
        <v>9.98</v>
      </c>
      <c r="BR204" s="212">
        <v>7.98</v>
      </c>
      <c r="BS204" s="212">
        <v>8.98</v>
      </c>
      <c r="BT204" s="212">
        <v>11.68</v>
      </c>
      <c r="BU204" s="212">
        <v>11.28</v>
      </c>
      <c r="BV204" s="212">
        <v>11.48</v>
      </c>
      <c r="BW204" s="212">
        <v>2.87</v>
      </c>
      <c r="BX204" s="212">
        <v>2.59</v>
      </c>
      <c r="BY204" s="212">
        <v>2.73</v>
      </c>
      <c r="BZ204" s="212">
        <v>10.28</v>
      </c>
      <c r="CA204" s="212">
        <v>7.2799999999999994</v>
      </c>
      <c r="CB204" s="212">
        <v>8.7799999999999994</v>
      </c>
      <c r="CC204" s="212">
        <v>6.95</v>
      </c>
      <c r="CD204" s="212">
        <v>6.71</v>
      </c>
      <c r="CE204" s="212">
        <v>6.83</v>
      </c>
      <c r="CF204" s="212">
        <v>2.04</v>
      </c>
      <c r="CG204" s="212">
        <v>1.54</v>
      </c>
      <c r="CH204" s="212">
        <v>1.79</v>
      </c>
      <c r="CI204" s="212">
        <v>0.46</v>
      </c>
      <c r="CJ204" s="212">
        <v>0.42000000000000004</v>
      </c>
      <c r="CK204" s="212">
        <v>0.44000000000000006</v>
      </c>
      <c r="CL204" s="212">
        <v>41.52</v>
      </c>
      <c r="CM204" s="212">
        <v>39.120000000000005</v>
      </c>
      <c r="CN204" s="212">
        <v>40.320000000000007</v>
      </c>
      <c r="CO204" s="212">
        <v>7.31</v>
      </c>
      <c r="CP204" s="212">
        <v>2.3099999999999996</v>
      </c>
      <c r="CQ204" s="212">
        <v>4.8099999999999996</v>
      </c>
      <c r="CR204" s="212"/>
      <c r="CS204" s="212"/>
    </row>
    <row r="205" spans="1:97" x14ac:dyDescent="0.4">
      <c r="A205" s="209">
        <v>45491</v>
      </c>
      <c r="B205" s="210" t="s">
        <v>297</v>
      </c>
      <c r="C205" s="212">
        <v>156.86000000000001</v>
      </c>
      <c r="D205" s="212">
        <v>154.86000000000001</v>
      </c>
      <c r="E205" s="212">
        <v>155.86000000000001</v>
      </c>
      <c r="F205" s="212">
        <v>171.93</v>
      </c>
      <c r="G205" s="212">
        <v>168.93</v>
      </c>
      <c r="H205" s="212">
        <v>170.43</v>
      </c>
      <c r="I205" s="212">
        <v>115.51</v>
      </c>
      <c r="J205" s="212">
        <v>112.31</v>
      </c>
      <c r="K205" s="212">
        <v>113.91</v>
      </c>
      <c r="L205" s="212">
        <v>206.68</v>
      </c>
      <c r="M205" s="212">
        <v>198.68</v>
      </c>
      <c r="N205" s="212">
        <v>202.68</v>
      </c>
      <c r="O205" s="212">
        <v>177.23</v>
      </c>
      <c r="P205" s="212">
        <v>175.42999999999998</v>
      </c>
      <c r="Q205" s="212">
        <v>176.32999999999998</v>
      </c>
      <c r="R205" s="212">
        <v>23.15</v>
      </c>
      <c r="S205" s="212">
        <v>22.549999999999997</v>
      </c>
      <c r="T205" s="212">
        <v>22.849999999999998</v>
      </c>
      <c r="U205" s="212">
        <v>14.84</v>
      </c>
      <c r="V205" s="212">
        <v>14.24</v>
      </c>
      <c r="W205" s="212">
        <v>14.54</v>
      </c>
      <c r="X205" s="212">
        <v>15.18</v>
      </c>
      <c r="Y205" s="212">
        <v>14.379999999999999</v>
      </c>
      <c r="Z205" s="212">
        <v>14.78</v>
      </c>
      <c r="AA205" s="212">
        <v>106.8</v>
      </c>
      <c r="AB205" s="212">
        <v>102.8</v>
      </c>
      <c r="AC205" s="212">
        <v>104.8</v>
      </c>
      <c r="AD205" s="212">
        <v>96.7</v>
      </c>
      <c r="AE205" s="212">
        <v>92.7</v>
      </c>
      <c r="AF205" s="212">
        <v>94.7</v>
      </c>
      <c r="AG205" s="212">
        <v>20.39</v>
      </c>
      <c r="AH205" s="212">
        <v>19.53</v>
      </c>
      <c r="AI205" s="212">
        <v>19.96</v>
      </c>
      <c r="AJ205" s="212"/>
      <c r="AK205" s="212"/>
      <c r="AL205" s="212"/>
      <c r="AM205" s="212">
        <v>117.18</v>
      </c>
      <c r="AN205" s="212">
        <v>115.52000000000001</v>
      </c>
      <c r="AO205" s="212">
        <v>116.35000000000001</v>
      </c>
      <c r="AP205" s="212">
        <v>42.42</v>
      </c>
      <c r="AQ205" s="212">
        <v>40.82</v>
      </c>
      <c r="AR205" s="212">
        <v>41.620000000000005</v>
      </c>
      <c r="AS205" s="212">
        <v>43.18</v>
      </c>
      <c r="AT205" s="212">
        <v>41.82</v>
      </c>
      <c r="AU205" s="212">
        <v>42.5</v>
      </c>
      <c r="AV205" s="212">
        <v>21.74</v>
      </c>
      <c r="AW205" s="212">
        <v>21.139999999999997</v>
      </c>
      <c r="AX205" s="212">
        <v>21.439999999999998</v>
      </c>
      <c r="AY205" s="212">
        <v>4.41</v>
      </c>
      <c r="AZ205" s="212">
        <v>4.25</v>
      </c>
      <c r="BA205" s="212">
        <v>4.33</v>
      </c>
      <c r="BB205" s="212">
        <v>2.0299999999999998</v>
      </c>
      <c r="BC205" s="212">
        <v>1.7299999999999998</v>
      </c>
      <c r="BD205" s="212">
        <v>1.88</v>
      </c>
      <c r="BE205" s="212">
        <v>0.71</v>
      </c>
      <c r="BF205" s="212">
        <v>0.41</v>
      </c>
      <c r="BG205" s="212">
        <v>0.55999999999999994</v>
      </c>
      <c r="BH205" s="212">
        <v>519.17999999999995</v>
      </c>
      <c r="BI205" s="212">
        <v>503.17999999999995</v>
      </c>
      <c r="BJ205" s="212">
        <v>511.17999999999995</v>
      </c>
      <c r="BK205" s="212">
        <v>43.5</v>
      </c>
      <c r="BL205" s="212">
        <v>42.14</v>
      </c>
      <c r="BM205" s="212">
        <v>42.82</v>
      </c>
      <c r="BN205" s="212">
        <v>1.0900000000000001</v>
      </c>
      <c r="BO205" s="212">
        <v>0.85000000000000009</v>
      </c>
      <c r="BP205" s="212">
        <v>0.97000000000000008</v>
      </c>
      <c r="BQ205" s="212">
        <v>9.7899999999999991</v>
      </c>
      <c r="BR205" s="212">
        <v>7.7899999999999991</v>
      </c>
      <c r="BS205" s="212">
        <v>8.7899999999999991</v>
      </c>
      <c r="BT205" s="212">
        <v>11.53</v>
      </c>
      <c r="BU205" s="212">
        <v>11.129999999999999</v>
      </c>
      <c r="BV205" s="212">
        <v>11.329999999999998</v>
      </c>
      <c r="BW205" s="212">
        <v>2.83</v>
      </c>
      <c r="BX205" s="212">
        <v>2.5499999999999998</v>
      </c>
      <c r="BY205" s="212">
        <v>2.69</v>
      </c>
      <c r="BZ205" s="212">
        <v>10.07</v>
      </c>
      <c r="CA205" s="212">
        <v>7.07</v>
      </c>
      <c r="CB205" s="212">
        <v>8.57</v>
      </c>
      <c r="CC205" s="212">
        <v>6.87</v>
      </c>
      <c r="CD205" s="212">
        <v>6.63</v>
      </c>
      <c r="CE205" s="212">
        <v>6.75</v>
      </c>
      <c r="CF205" s="212">
        <v>2.0099999999999998</v>
      </c>
      <c r="CG205" s="212">
        <v>1.5099999999999998</v>
      </c>
      <c r="CH205" s="212">
        <v>1.7599999999999998</v>
      </c>
      <c r="CI205" s="212">
        <v>0.46</v>
      </c>
      <c r="CJ205" s="212">
        <v>0.42000000000000004</v>
      </c>
      <c r="CK205" s="212">
        <v>0.44000000000000006</v>
      </c>
      <c r="CL205" s="212">
        <v>40.950000000000003</v>
      </c>
      <c r="CM205" s="212">
        <v>38.550000000000004</v>
      </c>
      <c r="CN205" s="212">
        <v>39.75</v>
      </c>
      <c r="CO205" s="212">
        <v>7.22</v>
      </c>
      <c r="CP205" s="212">
        <v>2.2199999999999998</v>
      </c>
      <c r="CQ205" s="212">
        <v>4.72</v>
      </c>
      <c r="CR205" s="212"/>
      <c r="CS205" s="212"/>
    </row>
    <row r="206" spans="1:97" x14ac:dyDescent="0.4">
      <c r="A206" s="209">
        <v>45492</v>
      </c>
      <c r="B206" s="210" t="s">
        <v>298</v>
      </c>
      <c r="C206" s="212">
        <v>158.49</v>
      </c>
      <c r="D206" s="212">
        <v>156.49</v>
      </c>
      <c r="E206" s="212">
        <v>157.49</v>
      </c>
      <c r="F206" s="212">
        <v>173.02</v>
      </c>
      <c r="G206" s="212">
        <v>170.02</v>
      </c>
      <c r="H206" s="212">
        <v>171.52</v>
      </c>
      <c r="I206" s="212">
        <v>116.48</v>
      </c>
      <c r="J206" s="212">
        <v>113.28</v>
      </c>
      <c r="K206" s="212">
        <v>114.88</v>
      </c>
      <c r="L206" s="212">
        <v>207.86</v>
      </c>
      <c r="M206" s="212">
        <v>199.86</v>
      </c>
      <c r="N206" s="212">
        <v>203.86</v>
      </c>
      <c r="O206" s="212">
        <v>178.17</v>
      </c>
      <c r="P206" s="212">
        <v>176.36999999999998</v>
      </c>
      <c r="Q206" s="212">
        <v>177.26999999999998</v>
      </c>
      <c r="R206" s="212">
        <v>23.29</v>
      </c>
      <c r="S206" s="212">
        <v>22.689999999999998</v>
      </c>
      <c r="T206" s="212">
        <v>22.99</v>
      </c>
      <c r="U206" s="212">
        <v>14.85</v>
      </c>
      <c r="V206" s="212">
        <v>14.25</v>
      </c>
      <c r="W206" s="212">
        <v>14.55</v>
      </c>
      <c r="X206" s="212">
        <v>15.25</v>
      </c>
      <c r="Y206" s="212">
        <v>14.45</v>
      </c>
      <c r="Z206" s="212">
        <v>14.85</v>
      </c>
      <c r="AA206" s="212">
        <v>107.52</v>
      </c>
      <c r="AB206" s="212">
        <v>103.52</v>
      </c>
      <c r="AC206" s="212">
        <v>105.52</v>
      </c>
      <c r="AD206" s="212">
        <v>97.09</v>
      </c>
      <c r="AE206" s="212">
        <v>93.09</v>
      </c>
      <c r="AF206" s="212">
        <v>95.09</v>
      </c>
      <c r="AG206" s="212">
        <v>20.59</v>
      </c>
      <c r="AH206" s="212">
        <v>19.73</v>
      </c>
      <c r="AI206" s="212">
        <v>20.16</v>
      </c>
      <c r="AJ206" s="212"/>
      <c r="AK206" s="212"/>
      <c r="AL206" s="212"/>
      <c r="AM206" s="212">
        <v>117.94</v>
      </c>
      <c r="AN206" s="212">
        <v>116.28</v>
      </c>
      <c r="AO206" s="212">
        <v>117.11</v>
      </c>
      <c r="AP206" s="212">
        <v>42.85</v>
      </c>
      <c r="AQ206" s="212">
        <v>41.25</v>
      </c>
      <c r="AR206" s="212">
        <v>42.05</v>
      </c>
      <c r="AS206" s="212">
        <v>43.63</v>
      </c>
      <c r="AT206" s="212">
        <v>42.27</v>
      </c>
      <c r="AU206" s="212">
        <v>42.95</v>
      </c>
      <c r="AV206" s="212">
        <v>21.94</v>
      </c>
      <c r="AW206" s="212">
        <v>21.34</v>
      </c>
      <c r="AX206" s="212">
        <v>21.64</v>
      </c>
      <c r="AY206" s="212">
        <v>4.4400000000000004</v>
      </c>
      <c r="AZ206" s="212">
        <v>4.28</v>
      </c>
      <c r="BA206" s="212">
        <v>4.3600000000000003</v>
      </c>
      <c r="BB206" s="212">
        <v>2.04</v>
      </c>
      <c r="BC206" s="212">
        <v>1.74</v>
      </c>
      <c r="BD206" s="212">
        <v>1.8900000000000001</v>
      </c>
      <c r="BE206" s="212">
        <v>0.72</v>
      </c>
      <c r="BF206" s="212">
        <v>0.42</v>
      </c>
      <c r="BG206" s="212">
        <v>0.56999999999999995</v>
      </c>
      <c r="BH206" s="212">
        <v>524.19000000000005</v>
      </c>
      <c r="BI206" s="212">
        <v>508.19000000000005</v>
      </c>
      <c r="BJ206" s="212">
        <v>516.19000000000005</v>
      </c>
      <c r="BK206" s="212">
        <v>43.95</v>
      </c>
      <c r="BL206" s="212">
        <v>42.59</v>
      </c>
      <c r="BM206" s="212">
        <v>43.27</v>
      </c>
      <c r="BN206" s="212">
        <v>1.1000000000000001</v>
      </c>
      <c r="BO206" s="212">
        <v>0.8600000000000001</v>
      </c>
      <c r="BP206" s="212">
        <v>0.98000000000000009</v>
      </c>
      <c r="BQ206" s="212">
        <v>9.77</v>
      </c>
      <c r="BR206" s="212">
        <v>7.77</v>
      </c>
      <c r="BS206" s="212">
        <v>8.77</v>
      </c>
      <c r="BT206" s="212">
        <v>11.58</v>
      </c>
      <c r="BU206" s="212">
        <v>11.18</v>
      </c>
      <c r="BV206" s="212">
        <v>11.379999999999999</v>
      </c>
      <c r="BW206" s="212">
        <v>2.86</v>
      </c>
      <c r="BX206" s="212">
        <v>2.58</v>
      </c>
      <c r="BY206" s="212">
        <v>2.7199999999999998</v>
      </c>
      <c r="BZ206" s="212">
        <v>10.119999999999999</v>
      </c>
      <c r="CA206" s="212">
        <v>7.1199999999999992</v>
      </c>
      <c r="CB206" s="212">
        <v>8.6199999999999992</v>
      </c>
      <c r="CC206" s="212">
        <v>6.9</v>
      </c>
      <c r="CD206" s="212">
        <v>6.66</v>
      </c>
      <c r="CE206" s="212">
        <v>6.78</v>
      </c>
      <c r="CF206" s="212">
        <v>2.0299999999999998</v>
      </c>
      <c r="CG206" s="212">
        <v>1.5299999999999998</v>
      </c>
      <c r="CH206" s="212">
        <v>1.7799999999999998</v>
      </c>
      <c r="CI206" s="212">
        <v>0.46</v>
      </c>
      <c r="CJ206" s="212">
        <v>0.42000000000000004</v>
      </c>
      <c r="CK206" s="212">
        <v>0.44000000000000006</v>
      </c>
      <c r="CL206" s="212">
        <v>41.14</v>
      </c>
      <c r="CM206" s="212">
        <v>38.74</v>
      </c>
      <c r="CN206" s="212">
        <v>39.94</v>
      </c>
      <c r="CO206" s="212">
        <v>7.27</v>
      </c>
      <c r="CP206" s="212">
        <v>2.2699999999999996</v>
      </c>
      <c r="CQ206" s="212">
        <v>4.7699999999999996</v>
      </c>
      <c r="CR206" s="212"/>
      <c r="CS206" s="212"/>
    </row>
    <row r="207" spans="1:97" x14ac:dyDescent="0.4">
      <c r="A207" s="209">
        <v>45493</v>
      </c>
      <c r="B207" s="210" t="s">
        <v>299</v>
      </c>
      <c r="C207" s="212"/>
      <c r="D207" s="212"/>
      <c r="E207" s="212"/>
      <c r="F207" s="212"/>
      <c r="G207" s="212"/>
      <c r="H207" s="212"/>
      <c r="I207" s="212"/>
      <c r="J207" s="212"/>
      <c r="K207" s="212"/>
      <c r="L207" s="212"/>
      <c r="M207" s="212"/>
      <c r="N207" s="212"/>
      <c r="O207" s="212"/>
      <c r="P207" s="212"/>
      <c r="Q207" s="212"/>
      <c r="R207" s="212"/>
      <c r="S207" s="212"/>
      <c r="T207" s="212"/>
      <c r="U207" s="212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12"/>
      <c r="AF207" s="212"/>
      <c r="AG207" s="212"/>
      <c r="AH207" s="212"/>
      <c r="AI207" s="212"/>
      <c r="AJ207" s="212"/>
      <c r="AK207" s="212"/>
      <c r="AL207" s="212"/>
      <c r="AM207" s="212"/>
      <c r="AN207" s="212"/>
      <c r="AO207" s="212"/>
      <c r="AP207" s="212"/>
      <c r="AQ207" s="212"/>
      <c r="AR207" s="212"/>
      <c r="AS207" s="212"/>
      <c r="AT207" s="212"/>
      <c r="AU207" s="212"/>
      <c r="AV207" s="212"/>
      <c r="AW207" s="212"/>
      <c r="AX207" s="212"/>
      <c r="AY207" s="212"/>
      <c r="AZ207" s="212"/>
      <c r="BA207" s="212"/>
      <c r="BB207" s="212"/>
      <c r="BC207" s="212"/>
      <c r="BD207" s="212"/>
      <c r="BE207" s="212"/>
      <c r="BF207" s="212"/>
      <c r="BG207" s="212"/>
      <c r="BH207" s="212"/>
      <c r="BI207" s="212"/>
      <c r="BJ207" s="212"/>
      <c r="BK207" s="212"/>
      <c r="BL207" s="212"/>
      <c r="BM207" s="212"/>
      <c r="BN207" s="212"/>
      <c r="BO207" s="212"/>
      <c r="BP207" s="212"/>
      <c r="BQ207" s="212"/>
      <c r="BR207" s="212"/>
      <c r="BS207" s="212"/>
      <c r="BT207" s="212"/>
      <c r="BU207" s="212"/>
      <c r="BV207" s="212"/>
      <c r="BW207" s="212"/>
      <c r="BX207" s="212"/>
      <c r="BY207" s="212"/>
      <c r="BZ207" s="212"/>
      <c r="CA207" s="212"/>
      <c r="CB207" s="212"/>
      <c r="CC207" s="212"/>
      <c r="CD207" s="212"/>
      <c r="CE207" s="212"/>
      <c r="CF207" s="212"/>
      <c r="CG207" s="212"/>
      <c r="CH207" s="212"/>
      <c r="CI207" s="212"/>
      <c r="CJ207" s="212"/>
      <c r="CK207" s="212"/>
      <c r="CL207" s="212"/>
      <c r="CM207" s="212"/>
      <c r="CN207" s="212"/>
      <c r="CO207" s="212"/>
      <c r="CP207" s="212"/>
      <c r="CQ207" s="212"/>
      <c r="CR207" s="212"/>
      <c r="CS207" s="212"/>
    </row>
    <row r="208" spans="1:97" x14ac:dyDescent="0.4">
      <c r="A208" s="209">
        <v>45494</v>
      </c>
      <c r="B208" s="210" t="s">
        <v>300</v>
      </c>
      <c r="C208" s="212"/>
      <c r="D208" s="212"/>
      <c r="E208" s="212"/>
      <c r="F208" s="212"/>
      <c r="G208" s="212"/>
      <c r="H208" s="212"/>
      <c r="I208" s="212"/>
      <c r="J208" s="212"/>
      <c r="K208" s="212"/>
      <c r="L208" s="212"/>
      <c r="M208" s="212"/>
      <c r="N208" s="212"/>
      <c r="O208" s="212"/>
      <c r="P208" s="212"/>
      <c r="Q208" s="212"/>
      <c r="R208" s="212"/>
      <c r="S208" s="212"/>
      <c r="T208" s="212"/>
      <c r="U208" s="212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12"/>
      <c r="AF208" s="212"/>
      <c r="AG208" s="212"/>
      <c r="AH208" s="212"/>
      <c r="AI208" s="212"/>
      <c r="AJ208" s="212"/>
      <c r="AK208" s="212"/>
      <c r="AL208" s="212"/>
      <c r="AM208" s="212"/>
      <c r="AN208" s="212"/>
      <c r="AO208" s="212"/>
      <c r="AP208" s="212"/>
      <c r="AQ208" s="212"/>
      <c r="AR208" s="212"/>
      <c r="AS208" s="212"/>
      <c r="AT208" s="212"/>
      <c r="AU208" s="212"/>
      <c r="AV208" s="212"/>
      <c r="AW208" s="212"/>
      <c r="AX208" s="212"/>
      <c r="AY208" s="212"/>
      <c r="AZ208" s="212"/>
      <c r="BA208" s="212"/>
      <c r="BB208" s="212"/>
      <c r="BC208" s="212"/>
      <c r="BD208" s="212"/>
      <c r="BE208" s="212"/>
      <c r="BF208" s="212"/>
      <c r="BG208" s="212"/>
      <c r="BH208" s="212"/>
      <c r="BI208" s="212"/>
      <c r="BJ208" s="212"/>
      <c r="BK208" s="212"/>
      <c r="BL208" s="212"/>
      <c r="BM208" s="212"/>
      <c r="BN208" s="212"/>
      <c r="BO208" s="212"/>
      <c r="BP208" s="212"/>
      <c r="BQ208" s="212"/>
      <c r="BR208" s="212"/>
      <c r="BS208" s="212"/>
      <c r="BT208" s="212"/>
      <c r="BU208" s="212"/>
      <c r="BV208" s="212"/>
      <c r="BW208" s="212"/>
      <c r="BX208" s="212"/>
      <c r="BY208" s="212"/>
      <c r="BZ208" s="212"/>
      <c r="CA208" s="212"/>
      <c r="CB208" s="212"/>
      <c r="CC208" s="212"/>
      <c r="CD208" s="212"/>
      <c r="CE208" s="212"/>
      <c r="CF208" s="212"/>
      <c r="CG208" s="212"/>
      <c r="CH208" s="212"/>
      <c r="CI208" s="212"/>
      <c r="CJ208" s="212"/>
      <c r="CK208" s="212"/>
      <c r="CL208" s="212"/>
      <c r="CM208" s="212"/>
      <c r="CN208" s="212"/>
      <c r="CO208" s="212"/>
      <c r="CP208" s="212"/>
      <c r="CQ208" s="212"/>
      <c r="CR208" s="212"/>
      <c r="CS208" s="212"/>
    </row>
    <row r="209" spans="1:97" x14ac:dyDescent="0.4">
      <c r="A209" s="209">
        <v>45495</v>
      </c>
      <c r="B209" s="210" t="s">
        <v>294</v>
      </c>
      <c r="C209" s="212">
        <v>158.54</v>
      </c>
      <c r="D209" s="212">
        <v>156.54</v>
      </c>
      <c r="E209" s="212">
        <v>157.54</v>
      </c>
      <c r="F209" s="212">
        <v>173.12</v>
      </c>
      <c r="G209" s="212">
        <v>170.12</v>
      </c>
      <c r="H209" s="212">
        <v>171.62</v>
      </c>
      <c r="I209" s="212">
        <v>116.48</v>
      </c>
      <c r="J209" s="212">
        <v>113.28</v>
      </c>
      <c r="K209" s="212">
        <v>114.88</v>
      </c>
      <c r="L209" s="212">
        <v>207.67</v>
      </c>
      <c r="M209" s="212">
        <v>199.67</v>
      </c>
      <c r="N209" s="212">
        <v>203.67</v>
      </c>
      <c r="O209" s="212">
        <v>178.23</v>
      </c>
      <c r="P209" s="212">
        <v>176.42999999999998</v>
      </c>
      <c r="Q209" s="212">
        <v>177.32999999999998</v>
      </c>
      <c r="R209" s="212">
        <v>23.3</v>
      </c>
      <c r="S209" s="212">
        <v>22.7</v>
      </c>
      <c r="T209" s="212">
        <v>23</v>
      </c>
      <c r="U209" s="212">
        <v>14.75</v>
      </c>
      <c r="V209" s="212">
        <v>14.15</v>
      </c>
      <c r="W209" s="212">
        <v>14.45</v>
      </c>
      <c r="X209" s="212">
        <v>15.19</v>
      </c>
      <c r="Y209" s="212">
        <v>14.389999999999999</v>
      </c>
      <c r="Z209" s="212">
        <v>14.79</v>
      </c>
      <c r="AA209" s="212">
        <v>107.38</v>
      </c>
      <c r="AB209" s="212">
        <v>103.38</v>
      </c>
      <c r="AC209" s="212">
        <v>105.38</v>
      </c>
      <c r="AD209" s="212">
        <v>96.76</v>
      </c>
      <c r="AE209" s="212">
        <v>92.76</v>
      </c>
      <c r="AF209" s="212">
        <v>94.76</v>
      </c>
      <c r="AG209" s="212">
        <v>20.6</v>
      </c>
      <c r="AH209" s="212">
        <v>19.740000000000002</v>
      </c>
      <c r="AI209" s="212">
        <v>20.170000000000002</v>
      </c>
      <c r="AJ209" s="212"/>
      <c r="AK209" s="212"/>
      <c r="AL209" s="212"/>
      <c r="AM209" s="212">
        <v>118</v>
      </c>
      <c r="AN209" s="212">
        <v>116.34</v>
      </c>
      <c r="AO209" s="212">
        <v>117.17</v>
      </c>
      <c r="AP209" s="212">
        <v>42.87</v>
      </c>
      <c r="AQ209" s="212">
        <v>41.269999999999996</v>
      </c>
      <c r="AR209" s="212">
        <v>42.069999999999993</v>
      </c>
      <c r="AS209" s="212">
        <v>43.64</v>
      </c>
      <c r="AT209" s="212">
        <v>42.28</v>
      </c>
      <c r="AU209" s="212">
        <v>42.96</v>
      </c>
      <c r="AV209" s="212">
        <v>21.92</v>
      </c>
      <c r="AW209" s="212">
        <v>21.32</v>
      </c>
      <c r="AX209" s="212">
        <v>21.62</v>
      </c>
      <c r="AY209" s="212">
        <v>4.41</v>
      </c>
      <c r="AZ209" s="212">
        <v>4.25</v>
      </c>
      <c r="BA209" s="212">
        <v>4.33</v>
      </c>
      <c r="BB209" s="212">
        <v>2.04</v>
      </c>
      <c r="BC209" s="212">
        <v>1.74</v>
      </c>
      <c r="BD209" s="212">
        <v>1.8900000000000001</v>
      </c>
      <c r="BE209" s="212">
        <v>0.72</v>
      </c>
      <c r="BF209" s="212">
        <v>0.42</v>
      </c>
      <c r="BG209" s="212">
        <v>0.56999999999999995</v>
      </c>
      <c r="BH209" s="212">
        <v>524.36</v>
      </c>
      <c r="BI209" s="212">
        <v>508.36</v>
      </c>
      <c r="BJ209" s="212">
        <v>516.36</v>
      </c>
      <c r="BK209" s="212">
        <v>43.96</v>
      </c>
      <c r="BL209" s="212">
        <v>42.6</v>
      </c>
      <c r="BM209" s="212">
        <v>43.28</v>
      </c>
      <c r="BN209" s="212">
        <v>1.1000000000000001</v>
      </c>
      <c r="BO209" s="212">
        <v>0.8600000000000001</v>
      </c>
      <c r="BP209" s="212">
        <v>0.98000000000000009</v>
      </c>
      <c r="BQ209" s="212">
        <v>9.75</v>
      </c>
      <c r="BR209" s="212">
        <v>7.75</v>
      </c>
      <c r="BS209" s="212">
        <v>8.75</v>
      </c>
      <c r="BT209" s="212">
        <v>11.56</v>
      </c>
      <c r="BU209" s="212">
        <v>11.16</v>
      </c>
      <c r="BV209" s="212">
        <v>11.36</v>
      </c>
      <c r="BW209" s="212">
        <v>2.86</v>
      </c>
      <c r="BX209" s="212">
        <v>2.58</v>
      </c>
      <c r="BY209" s="212">
        <v>2.7199999999999998</v>
      </c>
      <c r="BZ209" s="212">
        <v>10.14</v>
      </c>
      <c r="CA209" s="212">
        <v>7.1400000000000006</v>
      </c>
      <c r="CB209" s="212">
        <v>8.64</v>
      </c>
      <c r="CC209" s="212">
        <v>6.93</v>
      </c>
      <c r="CD209" s="212">
        <v>6.6899999999999995</v>
      </c>
      <c r="CE209" s="212">
        <v>6.81</v>
      </c>
      <c r="CF209" s="212">
        <v>2.0499999999999998</v>
      </c>
      <c r="CG209" s="212">
        <v>1.5499999999999998</v>
      </c>
      <c r="CH209" s="212">
        <v>1.7999999999999998</v>
      </c>
      <c r="CI209" s="212">
        <v>0.46</v>
      </c>
      <c r="CJ209" s="212">
        <v>0.42000000000000004</v>
      </c>
      <c r="CK209" s="212">
        <v>0.44000000000000006</v>
      </c>
      <c r="CL209" s="212">
        <v>41.26</v>
      </c>
      <c r="CM209" s="212">
        <v>38.86</v>
      </c>
      <c r="CN209" s="212">
        <v>40.06</v>
      </c>
      <c r="CO209" s="212">
        <v>7.26</v>
      </c>
      <c r="CP209" s="212">
        <v>2.2599999999999998</v>
      </c>
      <c r="CQ209" s="212">
        <v>4.76</v>
      </c>
      <c r="CR209" s="212"/>
      <c r="CS209" s="212"/>
    </row>
    <row r="210" spans="1:97" x14ac:dyDescent="0.4">
      <c r="A210" s="209">
        <v>45496</v>
      </c>
      <c r="B210" s="210" t="s">
        <v>295</v>
      </c>
      <c r="C210" s="212">
        <v>157.74</v>
      </c>
      <c r="D210" s="212">
        <v>155.74</v>
      </c>
      <c r="E210" s="212">
        <v>156.74</v>
      </c>
      <c r="F210" s="212">
        <v>172.13</v>
      </c>
      <c r="G210" s="212">
        <v>169.13</v>
      </c>
      <c r="H210" s="212">
        <v>170.63</v>
      </c>
      <c r="I210" s="212">
        <v>115.44</v>
      </c>
      <c r="J210" s="212">
        <v>112.24</v>
      </c>
      <c r="K210" s="212">
        <v>113.84</v>
      </c>
      <c r="L210" s="212">
        <v>206.6</v>
      </c>
      <c r="M210" s="212">
        <v>198.6</v>
      </c>
      <c r="N210" s="212">
        <v>202.6</v>
      </c>
      <c r="O210" s="212">
        <v>177.09</v>
      </c>
      <c r="P210" s="212">
        <v>175.29</v>
      </c>
      <c r="Q210" s="212">
        <v>176.19</v>
      </c>
      <c r="R210" s="212">
        <v>23.17</v>
      </c>
      <c r="S210" s="212">
        <v>22.57</v>
      </c>
      <c r="T210" s="212">
        <v>22.87</v>
      </c>
      <c r="U210" s="212">
        <v>14.59</v>
      </c>
      <c r="V210" s="212">
        <v>13.99</v>
      </c>
      <c r="W210" s="212">
        <v>14.29</v>
      </c>
      <c r="X210" s="212">
        <v>15.01</v>
      </c>
      <c r="Y210" s="212">
        <v>14.209999999999999</v>
      </c>
      <c r="Z210" s="212">
        <v>14.61</v>
      </c>
      <c r="AA210" s="212">
        <v>105.95</v>
      </c>
      <c r="AB210" s="212">
        <v>101.95</v>
      </c>
      <c r="AC210" s="212">
        <v>103.95</v>
      </c>
      <c r="AD210" s="212">
        <v>95.53</v>
      </c>
      <c r="AE210" s="212">
        <v>91.53</v>
      </c>
      <c r="AF210" s="212">
        <v>93.53</v>
      </c>
      <c r="AG210" s="212">
        <v>20.51</v>
      </c>
      <c r="AH210" s="212">
        <v>19.650000000000002</v>
      </c>
      <c r="AI210" s="212">
        <v>20.080000000000002</v>
      </c>
      <c r="AJ210" s="212"/>
      <c r="AK210" s="212"/>
      <c r="AL210" s="212"/>
      <c r="AM210" s="212">
        <v>117.32</v>
      </c>
      <c r="AN210" s="212">
        <v>115.66</v>
      </c>
      <c r="AO210" s="212">
        <v>116.49</v>
      </c>
      <c r="AP210" s="212">
        <v>42.65</v>
      </c>
      <c r="AQ210" s="212">
        <v>41.05</v>
      </c>
      <c r="AR210" s="212">
        <v>41.849999999999994</v>
      </c>
      <c r="AS210" s="212">
        <v>43.42</v>
      </c>
      <c r="AT210" s="212">
        <v>42.06</v>
      </c>
      <c r="AU210" s="212">
        <v>42.74</v>
      </c>
      <c r="AV210" s="212">
        <v>21.78</v>
      </c>
      <c r="AW210" s="212">
        <v>21.18</v>
      </c>
      <c r="AX210" s="212">
        <v>21.48</v>
      </c>
      <c r="AY210" s="212">
        <v>4.4000000000000004</v>
      </c>
      <c r="AZ210" s="212">
        <v>4.24</v>
      </c>
      <c r="BA210" s="212">
        <v>4.32</v>
      </c>
      <c r="BB210" s="212">
        <v>2.0299999999999998</v>
      </c>
      <c r="BC210" s="212">
        <v>1.7299999999999998</v>
      </c>
      <c r="BD210" s="212">
        <v>1.88</v>
      </c>
      <c r="BE210" s="212">
        <v>0.72</v>
      </c>
      <c r="BF210" s="212">
        <v>0.42</v>
      </c>
      <c r="BG210" s="212">
        <v>0.56999999999999995</v>
      </c>
      <c r="BH210" s="212">
        <v>521.73</v>
      </c>
      <c r="BI210" s="212">
        <v>505.73</v>
      </c>
      <c r="BJ210" s="212">
        <v>513.73</v>
      </c>
      <c r="BK210" s="212">
        <v>43.74</v>
      </c>
      <c r="BL210" s="212">
        <v>42.38</v>
      </c>
      <c r="BM210" s="212">
        <v>43.06</v>
      </c>
      <c r="BN210" s="212">
        <v>1.0900000000000001</v>
      </c>
      <c r="BO210" s="212">
        <v>0.85000000000000009</v>
      </c>
      <c r="BP210" s="212">
        <v>0.97000000000000008</v>
      </c>
      <c r="BQ210" s="212">
        <v>9.73</v>
      </c>
      <c r="BR210" s="212">
        <v>7.73</v>
      </c>
      <c r="BS210" s="212">
        <v>8.73</v>
      </c>
      <c r="BT210" s="212">
        <v>11.51</v>
      </c>
      <c r="BU210" s="212">
        <v>11.11</v>
      </c>
      <c r="BV210" s="212">
        <v>11.309999999999999</v>
      </c>
      <c r="BW210" s="212">
        <v>2.84</v>
      </c>
      <c r="BX210" s="212">
        <v>2.5599999999999996</v>
      </c>
      <c r="BY210" s="212">
        <v>2.6999999999999997</v>
      </c>
      <c r="BZ210" s="212">
        <v>10.08</v>
      </c>
      <c r="CA210" s="212">
        <v>7.08</v>
      </c>
      <c r="CB210" s="212">
        <v>8.58</v>
      </c>
      <c r="CC210" s="212">
        <v>6.88</v>
      </c>
      <c r="CD210" s="212">
        <v>6.64</v>
      </c>
      <c r="CE210" s="212">
        <v>6.76</v>
      </c>
      <c r="CF210" s="212">
        <v>2.0299999999999998</v>
      </c>
      <c r="CG210" s="212">
        <v>1.5299999999999998</v>
      </c>
      <c r="CH210" s="212">
        <v>1.7799999999999998</v>
      </c>
      <c r="CI210" s="212">
        <v>0.46</v>
      </c>
      <c r="CJ210" s="212">
        <v>0.42000000000000004</v>
      </c>
      <c r="CK210" s="212">
        <v>0.44000000000000006</v>
      </c>
      <c r="CL210" s="212">
        <v>41.1</v>
      </c>
      <c r="CM210" s="212">
        <v>38.700000000000003</v>
      </c>
      <c r="CN210" s="212">
        <v>39.900000000000006</v>
      </c>
      <c r="CO210" s="212">
        <v>7.27</v>
      </c>
      <c r="CP210" s="212">
        <v>2.2699999999999996</v>
      </c>
      <c r="CQ210" s="212">
        <v>4.7699999999999996</v>
      </c>
      <c r="CR210" s="212"/>
      <c r="CS210" s="212"/>
    </row>
    <row r="211" spans="1:97" x14ac:dyDescent="0.4">
      <c r="A211" s="209">
        <v>45497</v>
      </c>
      <c r="B211" s="210" t="s">
        <v>296</v>
      </c>
      <c r="C211" s="212">
        <v>156.87</v>
      </c>
      <c r="D211" s="212">
        <v>154.87</v>
      </c>
      <c r="E211" s="212">
        <v>155.87</v>
      </c>
      <c r="F211" s="212">
        <v>170.56</v>
      </c>
      <c r="G211" s="212">
        <v>167.56</v>
      </c>
      <c r="H211" s="212">
        <v>169.06</v>
      </c>
      <c r="I211" s="212">
        <v>114.66</v>
      </c>
      <c r="J211" s="212">
        <v>111.46</v>
      </c>
      <c r="K211" s="212">
        <v>113.06</v>
      </c>
      <c r="L211" s="212">
        <v>205.01</v>
      </c>
      <c r="M211" s="212">
        <v>197.01</v>
      </c>
      <c r="N211" s="212">
        <v>201.01</v>
      </c>
      <c r="O211" s="212">
        <v>175.62</v>
      </c>
      <c r="P211" s="212">
        <v>173.82</v>
      </c>
      <c r="Q211" s="212">
        <v>174.72</v>
      </c>
      <c r="R211" s="212">
        <v>22.95</v>
      </c>
      <c r="S211" s="212">
        <v>22.349999999999998</v>
      </c>
      <c r="T211" s="212">
        <v>22.65</v>
      </c>
      <c r="U211" s="212">
        <v>14.43</v>
      </c>
      <c r="V211" s="212">
        <v>13.83</v>
      </c>
      <c r="W211" s="212">
        <v>14.129999999999999</v>
      </c>
      <c r="X211" s="212">
        <v>14.85</v>
      </c>
      <c r="Y211" s="212">
        <v>14.049999999999999</v>
      </c>
      <c r="Z211" s="212">
        <v>14.45</v>
      </c>
      <c r="AA211" s="212">
        <v>104.98</v>
      </c>
      <c r="AB211" s="212">
        <v>100.98</v>
      </c>
      <c r="AC211" s="212">
        <v>102.98</v>
      </c>
      <c r="AD211" s="212">
        <v>94.65</v>
      </c>
      <c r="AE211" s="212">
        <v>90.65</v>
      </c>
      <c r="AF211" s="212">
        <v>92.65</v>
      </c>
      <c r="AG211" s="212">
        <v>20.39</v>
      </c>
      <c r="AH211" s="212">
        <v>19.53</v>
      </c>
      <c r="AI211" s="212">
        <v>19.96</v>
      </c>
      <c r="AJ211" s="212"/>
      <c r="AK211" s="212"/>
      <c r="AL211" s="212"/>
      <c r="AM211" s="212">
        <v>116.64</v>
      </c>
      <c r="AN211" s="212">
        <v>114.98</v>
      </c>
      <c r="AO211" s="212">
        <v>115.81</v>
      </c>
      <c r="AP211" s="212">
        <v>42.39</v>
      </c>
      <c r="AQ211" s="212">
        <v>40.79</v>
      </c>
      <c r="AR211" s="212">
        <v>41.59</v>
      </c>
      <c r="AS211" s="212">
        <v>43.19</v>
      </c>
      <c r="AT211" s="212">
        <v>41.83</v>
      </c>
      <c r="AU211" s="212">
        <v>42.51</v>
      </c>
      <c r="AV211" s="212">
        <v>21.68</v>
      </c>
      <c r="AW211" s="212">
        <v>21.08</v>
      </c>
      <c r="AX211" s="212">
        <v>21.38</v>
      </c>
      <c r="AY211" s="212">
        <v>4.3899999999999997</v>
      </c>
      <c r="AZ211" s="212">
        <v>4.2299999999999995</v>
      </c>
      <c r="BA211" s="212">
        <v>4.3099999999999996</v>
      </c>
      <c r="BB211" s="212">
        <v>2.02</v>
      </c>
      <c r="BC211" s="212">
        <v>1.72</v>
      </c>
      <c r="BD211" s="212">
        <v>1.87</v>
      </c>
      <c r="BE211" s="212">
        <v>0.71</v>
      </c>
      <c r="BF211" s="212">
        <v>0.41</v>
      </c>
      <c r="BG211" s="212">
        <v>0.55999999999999994</v>
      </c>
      <c r="BH211" s="212">
        <v>518.88</v>
      </c>
      <c r="BI211" s="212">
        <v>502.88</v>
      </c>
      <c r="BJ211" s="212">
        <v>510.88</v>
      </c>
      <c r="BK211" s="212">
        <v>43.5</v>
      </c>
      <c r="BL211" s="212">
        <v>42.14</v>
      </c>
      <c r="BM211" s="212">
        <v>42.82</v>
      </c>
      <c r="BN211" s="212">
        <v>1.08</v>
      </c>
      <c r="BO211" s="212">
        <v>0.84000000000000008</v>
      </c>
      <c r="BP211" s="212">
        <v>0.96000000000000008</v>
      </c>
      <c r="BQ211" s="212">
        <v>9.58</v>
      </c>
      <c r="BR211" s="212">
        <v>7.58</v>
      </c>
      <c r="BS211" s="212">
        <v>8.58</v>
      </c>
      <c r="BT211" s="212">
        <v>11.45</v>
      </c>
      <c r="BU211" s="212">
        <v>11.049999999999999</v>
      </c>
      <c r="BV211" s="212">
        <v>11.25</v>
      </c>
      <c r="BW211" s="212">
        <v>2.83</v>
      </c>
      <c r="BX211" s="212">
        <v>2.5499999999999998</v>
      </c>
      <c r="BY211" s="212">
        <v>2.69</v>
      </c>
      <c r="BZ211" s="212">
        <v>9.9700000000000006</v>
      </c>
      <c r="CA211" s="212">
        <v>6.9700000000000006</v>
      </c>
      <c r="CB211" s="212">
        <v>8.4700000000000006</v>
      </c>
      <c r="CC211" s="212">
        <v>6.78</v>
      </c>
      <c r="CD211" s="212">
        <v>6.54</v>
      </c>
      <c r="CE211" s="212">
        <v>6.66</v>
      </c>
      <c r="CF211" s="212">
        <v>2.0299999999999998</v>
      </c>
      <c r="CG211" s="212">
        <v>1.5299999999999998</v>
      </c>
      <c r="CH211" s="212">
        <v>1.7799999999999998</v>
      </c>
      <c r="CI211" s="212">
        <v>0.45</v>
      </c>
      <c r="CJ211" s="212">
        <v>0.41000000000000003</v>
      </c>
      <c r="CK211" s="212">
        <v>0.43000000000000005</v>
      </c>
      <c r="CL211" s="212">
        <v>40.75</v>
      </c>
      <c r="CM211" s="212">
        <v>38.35</v>
      </c>
      <c r="CN211" s="212">
        <v>39.549999999999997</v>
      </c>
      <c r="CO211" s="212">
        <v>7.26</v>
      </c>
      <c r="CP211" s="212">
        <v>2.2599999999999998</v>
      </c>
      <c r="CQ211" s="212">
        <v>4.76</v>
      </c>
      <c r="CR211" s="212"/>
      <c r="CS211" s="212"/>
    </row>
    <row r="212" spans="1:97" x14ac:dyDescent="0.4">
      <c r="A212" s="209">
        <v>45498</v>
      </c>
      <c r="B212" s="210" t="s">
        <v>297</v>
      </c>
      <c r="C212" s="212">
        <v>154.36000000000001</v>
      </c>
      <c r="D212" s="212">
        <v>152.36000000000001</v>
      </c>
      <c r="E212" s="212">
        <v>153.36000000000001</v>
      </c>
      <c r="F212" s="212">
        <v>167.74</v>
      </c>
      <c r="G212" s="212">
        <v>164.74</v>
      </c>
      <c r="H212" s="212">
        <v>166.24</v>
      </c>
      <c r="I212" s="212">
        <v>112.62</v>
      </c>
      <c r="J212" s="212">
        <v>109.42</v>
      </c>
      <c r="K212" s="212">
        <v>111.02000000000001</v>
      </c>
      <c r="L212" s="212">
        <v>201.79</v>
      </c>
      <c r="M212" s="212">
        <v>193.79</v>
      </c>
      <c r="N212" s="212">
        <v>197.79</v>
      </c>
      <c r="O212" s="212">
        <v>174.21</v>
      </c>
      <c r="P212" s="212">
        <v>172.41</v>
      </c>
      <c r="Q212" s="212">
        <v>173.31</v>
      </c>
      <c r="R212" s="212">
        <v>22.57</v>
      </c>
      <c r="S212" s="212">
        <v>21.97</v>
      </c>
      <c r="T212" s="212">
        <v>22.27</v>
      </c>
      <c r="U212" s="212">
        <v>14.2</v>
      </c>
      <c r="V212" s="212">
        <v>13.6</v>
      </c>
      <c r="W212" s="212">
        <v>13.899999999999999</v>
      </c>
      <c r="X212" s="212">
        <v>14.63</v>
      </c>
      <c r="Y212" s="212">
        <v>13.83</v>
      </c>
      <c r="Z212" s="212">
        <v>14.23</v>
      </c>
      <c r="AA212" s="212">
        <v>102.6</v>
      </c>
      <c r="AB212" s="212">
        <v>98.6</v>
      </c>
      <c r="AC212" s="212">
        <v>100.6</v>
      </c>
      <c r="AD212" s="212">
        <v>92.77</v>
      </c>
      <c r="AE212" s="212">
        <v>88.77</v>
      </c>
      <c r="AF212" s="212">
        <v>90.77</v>
      </c>
      <c r="AG212" s="212">
        <v>20.07</v>
      </c>
      <c r="AH212" s="212">
        <v>19.21</v>
      </c>
      <c r="AI212" s="212">
        <v>19.64</v>
      </c>
      <c r="AJ212" s="212"/>
      <c r="AK212" s="212"/>
      <c r="AL212" s="212"/>
      <c r="AM212" s="212">
        <v>114.97</v>
      </c>
      <c r="AN212" s="212">
        <v>113.31</v>
      </c>
      <c r="AO212" s="212">
        <v>114.14</v>
      </c>
      <c r="AP212" s="212">
        <v>41.75</v>
      </c>
      <c r="AQ212" s="212">
        <v>40.15</v>
      </c>
      <c r="AR212" s="212">
        <v>40.950000000000003</v>
      </c>
      <c r="AS212" s="212">
        <v>42.5</v>
      </c>
      <c r="AT212" s="212">
        <v>41.14</v>
      </c>
      <c r="AU212" s="212">
        <v>41.82</v>
      </c>
      <c r="AV212" s="212">
        <v>21.4</v>
      </c>
      <c r="AW212" s="212">
        <v>20.799999999999997</v>
      </c>
      <c r="AX212" s="212">
        <v>21.099999999999998</v>
      </c>
      <c r="AY212" s="212">
        <v>4.34</v>
      </c>
      <c r="AZ212" s="212">
        <v>4.18</v>
      </c>
      <c r="BA212" s="212">
        <v>4.26</v>
      </c>
      <c r="BB212" s="212">
        <v>1.99</v>
      </c>
      <c r="BC212" s="212">
        <v>1.69</v>
      </c>
      <c r="BD212" s="212">
        <v>1.8399999999999999</v>
      </c>
      <c r="BE212" s="212">
        <v>0.7</v>
      </c>
      <c r="BF212" s="212">
        <v>0.39999999999999997</v>
      </c>
      <c r="BG212" s="212">
        <v>0.54999999999999993</v>
      </c>
      <c r="BH212" s="212">
        <v>510.65</v>
      </c>
      <c r="BI212" s="212">
        <v>494.65</v>
      </c>
      <c r="BJ212" s="212">
        <v>502.65</v>
      </c>
      <c r="BK212" s="212">
        <v>42.81</v>
      </c>
      <c r="BL212" s="212">
        <v>41.45</v>
      </c>
      <c r="BM212" s="212">
        <v>42.13</v>
      </c>
      <c r="BN212" s="212">
        <v>1.07</v>
      </c>
      <c r="BO212" s="212">
        <v>0.83000000000000007</v>
      </c>
      <c r="BP212" s="212">
        <v>0.95000000000000007</v>
      </c>
      <c r="BQ212" s="212">
        <v>9.33</v>
      </c>
      <c r="BR212" s="212">
        <v>7.33</v>
      </c>
      <c r="BS212" s="212">
        <v>8.33</v>
      </c>
      <c r="BT212" s="212">
        <v>11.3</v>
      </c>
      <c r="BU212" s="212">
        <v>10.9</v>
      </c>
      <c r="BV212" s="212">
        <v>11.100000000000001</v>
      </c>
      <c r="BW212" s="212">
        <v>2.78</v>
      </c>
      <c r="BX212" s="212">
        <v>2.5</v>
      </c>
      <c r="BY212" s="212">
        <v>2.6399999999999997</v>
      </c>
      <c r="BZ212" s="212">
        <v>9.85</v>
      </c>
      <c r="CA212" s="212">
        <v>6.85</v>
      </c>
      <c r="CB212" s="212">
        <v>8.35</v>
      </c>
      <c r="CC212" s="212">
        <v>6.67</v>
      </c>
      <c r="CD212" s="212">
        <v>6.43</v>
      </c>
      <c r="CE212" s="212">
        <v>6.55</v>
      </c>
      <c r="CF212" s="212">
        <v>2.0299999999999998</v>
      </c>
      <c r="CG212" s="212">
        <v>1.5299999999999998</v>
      </c>
      <c r="CH212" s="212">
        <v>1.7799999999999998</v>
      </c>
      <c r="CI212" s="212">
        <v>0.44</v>
      </c>
      <c r="CJ212" s="212">
        <v>0.4</v>
      </c>
      <c r="CK212" s="212">
        <v>0.42000000000000004</v>
      </c>
      <c r="CL212" s="212">
        <v>39.869999999999997</v>
      </c>
      <c r="CM212" s="212">
        <v>37.47</v>
      </c>
      <c r="CN212" s="212">
        <v>38.67</v>
      </c>
      <c r="CO212" s="212">
        <v>7.17</v>
      </c>
      <c r="CP212" s="212">
        <v>2.17</v>
      </c>
      <c r="CQ212" s="212">
        <v>4.67</v>
      </c>
      <c r="CR212" s="212"/>
      <c r="CS212" s="212"/>
    </row>
    <row r="213" spans="1:97" x14ac:dyDescent="0.4">
      <c r="A213" s="209">
        <v>45499</v>
      </c>
      <c r="B213" s="210" t="s">
        <v>298</v>
      </c>
      <c r="C213" s="212">
        <v>155.13</v>
      </c>
      <c r="D213" s="212">
        <v>153.13</v>
      </c>
      <c r="E213" s="212">
        <v>154.13</v>
      </c>
      <c r="F213" s="212">
        <v>168.78</v>
      </c>
      <c r="G213" s="212">
        <v>165.78</v>
      </c>
      <c r="H213" s="212">
        <v>167.28</v>
      </c>
      <c r="I213" s="212">
        <v>113.12</v>
      </c>
      <c r="J213" s="212">
        <v>109.92</v>
      </c>
      <c r="K213" s="212">
        <v>111.52000000000001</v>
      </c>
      <c r="L213" s="212">
        <v>202.15</v>
      </c>
      <c r="M213" s="212">
        <v>194.15</v>
      </c>
      <c r="N213" s="212">
        <v>198.15</v>
      </c>
      <c r="O213" s="212">
        <v>175.73</v>
      </c>
      <c r="P213" s="212">
        <v>173.92999999999998</v>
      </c>
      <c r="Q213" s="212">
        <v>174.82999999999998</v>
      </c>
      <c r="R213" s="212">
        <v>22.71</v>
      </c>
      <c r="S213" s="212">
        <v>22.11</v>
      </c>
      <c r="T213" s="212">
        <v>22.41</v>
      </c>
      <c r="U213" s="212">
        <v>14.27</v>
      </c>
      <c r="V213" s="212">
        <v>13.67</v>
      </c>
      <c r="W213" s="212">
        <v>13.969999999999999</v>
      </c>
      <c r="X213" s="212">
        <v>14.63</v>
      </c>
      <c r="Y213" s="212">
        <v>13.83</v>
      </c>
      <c r="Z213" s="212">
        <v>14.23</v>
      </c>
      <c r="AA213" s="212">
        <v>102.88</v>
      </c>
      <c r="AB213" s="212">
        <v>98.88</v>
      </c>
      <c r="AC213" s="212">
        <v>100.88</v>
      </c>
      <c r="AD213" s="212">
        <v>92.75</v>
      </c>
      <c r="AE213" s="212">
        <v>88.75</v>
      </c>
      <c r="AF213" s="212">
        <v>90.75</v>
      </c>
      <c r="AG213" s="212">
        <v>20.170000000000002</v>
      </c>
      <c r="AH213" s="212">
        <v>19.310000000000002</v>
      </c>
      <c r="AI213" s="212">
        <v>19.740000000000002</v>
      </c>
      <c r="AJ213" s="212"/>
      <c r="AK213" s="212"/>
      <c r="AL213" s="212"/>
      <c r="AM213" s="212">
        <v>115.56</v>
      </c>
      <c r="AN213" s="212">
        <v>113.9</v>
      </c>
      <c r="AO213" s="212">
        <v>114.73</v>
      </c>
      <c r="AP213" s="212">
        <v>41.96</v>
      </c>
      <c r="AQ213" s="212">
        <v>40.36</v>
      </c>
      <c r="AR213" s="212">
        <v>41.16</v>
      </c>
      <c r="AS213" s="212">
        <v>42.71</v>
      </c>
      <c r="AT213" s="212">
        <v>41.35</v>
      </c>
      <c r="AU213" s="212">
        <v>42.03</v>
      </c>
      <c r="AV213" s="212">
        <v>21.56</v>
      </c>
      <c r="AW213" s="212">
        <v>20.959999999999997</v>
      </c>
      <c r="AX213" s="212">
        <v>21.259999999999998</v>
      </c>
      <c r="AY213" s="212">
        <v>4.34</v>
      </c>
      <c r="AZ213" s="212">
        <v>4.18</v>
      </c>
      <c r="BA213" s="212">
        <v>4.26</v>
      </c>
      <c r="BB213" s="212">
        <v>2</v>
      </c>
      <c r="BC213" s="212">
        <v>1.7</v>
      </c>
      <c r="BD213" s="212">
        <v>1.85</v>
      </c>
      <c r="BE213" s="212">
        <v>0.7</v>
      </c>
      <c r="BF213" s="212">
        <v>0.39999999999999997</v>
      </c>
      <c r="BG213" s="212">
        <v>0.54999999999999993</v>
      </c>
      <c r="BH213" s="212">
        <v>512.85</v>
      </c>
      <c r="BI213" s="212">
        <v>496.85</v>
      </c>
      <c r="BJ213" s="212">
        <v>504.85</v>
      </c>
      <c r="BK213" s="212">
        <v>43.02</v>
      </c>
      <c r="BL213" s="212">
        <v>41.660000000000004</v>
      </c>
      <c r="BM213" s="212">
        <v>42.34</v>
      </c>
      <c r="BN213" s="212">
        <v>1.07</v>
      </c>
      <c r="BO213" s="212">
        <v>0.83000000000000007</v>
      </c>
      <c r="BP213" s="212">
        <v>0.95000000000000007</v>
      </c>
      <c r="BQ213" s="212">
        <v>9.36</v>
      </c>
      <c r="BR213" s="212">
        <v>7.3599999999999994</v>
      </c>
      <c r="BS213" s="212">
        <v>8.36</v>
      </c>
      <c r="BT213" s="212">
        <v>11.34</v>
      </c>
      <c r="BU213" s="212">
        <v>10.94</v>
      </c>
      <c r="BV213" s="212">
        <v>11.14</v>
      </c>
      <c r="BW213" s="212">
        <v>2.8</v>
      </c>
      <c r="BX213" s="212">
        <v>2.5199999999999996</v>
      </c>
      <c r="BY213" s="212">
        <v>2.6599999999999997</v>
      </c>
      <c r="BZ213" s="212">
        <v>9.89</v>
      </c>
      <c r="CA213" s="212">
        <v>6.8900000000000006</v>
      </c>
      <c r="CB213" s="212">
        <v>8.39</v>
      </c>
      <c r="CC213" s="212">
        <v>6.71</v>
      </c>
      <c r="CD213" s="212">
        <v>6.47</v>
      </c>
      <c r="CE213" s="212">
        <v>6.59</v>
      </c>
      <c r="CF213" s="212">
        <v>2.0699999999999998</v>
      </c>
      <c r="CG213" s="212">
        <v>1.5699999999999998</v>
      </c>
      <c r="CH213" s="212">
        <v>1.8199999999999998</v>
      </c>
      <c r="CI213" s="212">
        <v>0.45</v>
      </c>
      <c r="CJ213" s="212">
        <v>0.41000000000000003</v>
      </c>
      <c r="CK213" s="212">
        <v>0.43000000000000005</v>
      </c>
      <c r="CL213" s="212">
        <v>40.26</v>
      </c>
      <c r="CM213" s="212">
        <v>37.86</v>
      </c>
      <c r="CN213" s="212">
        <v>39.06</v>
      </c>
      <c r="CO213" s="212">
        <v>7.17</v>
      </c>
      <c r="CP213" s="212">
        <v>2.17</v>
      </c>
      <c r="CQ213" s="212">
        <v>4.67</v>
      </c>
      <c r="CR213" s="212"/>
      <c r="CS213" s="212"/>
    </row>
    <row r="214" spans="1:97" x14ac:dyDescent="0.4">
      <c r="A214" s="209">
        <v>45500</v>
      </c>
      <c r="B214" s="210" t="s">
        <v>299</v>
      </c>
      <c r="C214" s="212"/>
      <c r="D214" s="212"/>
      <c r="E214" s="212"/>
      <c r="F214" s="212"/>
      <c r="G214" s="212"/>
      <c r="H214" s="212"/>
      <c r="I214" s="212"/>
      <c r="J214" s="212"/>
      <c r="K214" s="212"/>
      <c r="L214" s="212"/>
      <c r="M214" s="212"/>
      <c r="N214" s="212"/>
      <c r="O214" s="212"/>
      <c r="P214" s="212"/>
      <c r="Q214" s="212"/>
      <c r="R214" s="212"/>
      <c r="S214" s="212"/>
      <c r="T214" s="212"/>
      <c r="U214" s="212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12"/>
      <c r="AF214" s="212"/>
      <c r="AG214" s="212"/>
      <c r="AH214" s="212"/>
      <c r="AI214" s="212"/>
      <c r="AJ214" s="212"/>
      <c r="AK214" s="212"/>
      <c r="AL214" s="212"/>
      <c r="AM214" s="212"/>
      <c r="AN214" s="212"/>
      <c r="AO214" s="212"/>
      <c r="AP214" s="212"/>
      <c r="AQ214" s="212"/>
      <c r="AR214" s="212"/>
      <c r="AS214" s="212"/>
      <c r="AT214" s="212"/>
      <c r="AU214" s="212"/>
      <c r="AV214" s="212"/>
      <c r="AW214" s="212"/>
      <c r="AX214" s="212"/>
      <c r="AY214" s="212"/>
      <c r="AZ214" s="212"/>
      <c r="BA214" s="212"/>
      <c r="BB214" s="212"/>
      <c r="BC214" s="212"/>
      <c r="BD214" s="212"/>
      <c r="BE214" s="212"/>
      <c r="BF214" s="212"/>
      <c r="BG214" s="212"/>
      <c r="BH214" s="212"/>
      <c r="BI214" s="212"/>
      <c r="BJ214" s="212"/>
      <c r="BK214" s="212"/>
      <c r="BL214" s="212"/>
      <c r="BM214" s="212"/>
      <c r="BN214" s="212"/>
      <c r="BO214" s="212"/>
      <c r="BP214" s="212"/>
      <c r="BQ214" s="212"/>
      <c r="BR214" s="212"/>
      <c r="BS214" s="212"/>
      <c r="BT214" s="212"/>
      <c r="BU214" s="212"/>
      <c r="BV214" s="212"/>
      <c r="BW214" s="212"/>
      <c r="BX214" s="212"/>
      <c r="BY214" s="212"/>
      <c r="BZ214" s="212"/>
      <c r="CA214" s="212"/>
      <c r="CB214" s="212"/>
      <c r="CC214" s="212"/>
      <c r="CD214" s="212"/>
      <c r="CE214" s="212"/>
      <c r="CF214" s="212"/>
      <c r="CG214" s="212"/>
      <c r="CH214" s="212"/>
      <c r="CI214" s="212"/>
      <c r="CJ214" s="212"/>
      <c r="CK214" s="212"/>
      <c r="CL214" s="212"/>
      <c r="CM214" s="212"/>
      <c r="CN214" s="212"/>
      <c r="CO214" s="212"/>
      <c r="CP214" s="212"/>
      <c r="CQ214" s="212"/>
      <c r="CR214" s="212"/>
      <c r="CS214" s="212"/>
    </row>
    <row r="215" spans="1:97" x14ac:dyDescent="0.4">
      <c r="A215" s="209">
        <v>45501</v>
      </c>
      <c r="B215" s="210" t="s">
        <v>300</v>
      </c>
      <c r="C215" s="212"/>
      <c r="D215" s="212"/>
      <c r="E215" s="212"/>
      <c r="F215" s="212"/>
      <c r="G215" s="212"/>
      <c r="H215" s="212"/>
      <c r="I215" s="212"/>
      <c r="J215" s="212"/>
      <c r="K215" s="212"/>
      <c r="L215" s="212"/>
      <c r="M215" s="212"/>
      <c r="N215" s="212"/>
      <c r="O215" s="212"/>
      <c r="P215" s="212"/>
      <c r="Q215" s="212"/>
      <c r="R215" s="212"/>
      <c r="S215" s="212"/>
      <c r="T215" s="212"/>
      <c r="U215" s="212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12"/>
      <c r="AF215" s="212"/>
      <c r="AG215" s="212"/>
      <c r="AH215" s="212"/>
      <c r="AI215" s="212"/>
      <c r="AJ215" s="212"/>
      <c r="AK215" s="212"/>
      <c r="AL215" s="212"/>
      <c r="AM215" s="212"/>
      <c r="AN215" s="212"/>
      <c r="AO215" s="212"/>
      <c r="AP215" s="212"/>
      <c r="AQ215" s="212"/>
      <c r="AR215" s="212"/>
      <c r="AS215" s="212"/>
      <c r="AT215" s="212"/>
      <c r="AU215" s="212"/>
      <c r="AV215" s="212"/>
      <c r="AW215" s="212"/>
      <c r="AX215" s="212"/>
      <c r="AY215" s="212"/>
      <c r="AZ215" s="212"/>
      <c r="BA215" s="212"/>
      <c r="BB215" s="212"/>
      <c r="BC215" s="212"/>
      <c r="BD215" s="212"/>
      <c r="BE215" s="212"/>
      <c r="BF215" s="212"/>
      <c r="BG215" s="212"/>
      <c r="BH215" s="212"/>
      <c r="BI215" s="212"/>
      <c r="BJ215" s="212"/>
      <c r="BK215" s="212"/>
      <c r="BL215" s="212"/>
      <c r="BM215" s="212"/>
      <c r="BN215" s="212"/>
      <c r="BO215" s="212"/>
      <c r="BP215" s="212"/>
      <c r="BQ215" s="212"/>
      <c r="BR215" s="212"/>
      <c r="BS215" s="212"/>
      <c r="BT215" s="212"/>
      <c r="BU215" s="212"/>
      <c r="BV215" s="212"/>
      <c r="BW215" s="212"/>
      <c r="BX215" s="212"/>
      <c r="BY215" s="212"/>
      <c r="BZ215" s="212"/>
      <c r="CA215" s="212"/>
      <c r="CB215" s="212"/>
      <c r="CC215" s="212"/>
      <c r="CD215" s="212"/>
      <c r="CE215" s="212"/>
      <c r="CF215" s="212"/>
      <c r="CG215" s="212"/>
      <c r="CH215" s="212"/>
      <c r="CI215" s="212"/>
      <c r="CJ215" s="212"/>
      <c r="CK215" s="212"/>
      <c r="CL215" s="212"/>
      <c r="CM215" s="212"/>
      <c r="CN215" s="212"/>
      <c r="CO215" s="212"/>
      <c r="CP215" s="212"/>
      <c r="CQ215" s="212"/>
      <c r="CR215" s="212"/>
      <c r="CS215" s="212"/>
    </row>
    <row r="216" spans="1:97" x14ac:dyDescent="0.4">
      <c r="A216" s="209">
        <v>45502</v>
      </c>
      <c r="B216" s="210" t="s">
        <v>294</v>
      </c>
      <c r="C216" s="212">
        <v>154.76</v>
      </c>
      <c r="D216" s="212">
        <v>152.76</v>
      </c>
      <c r="E216" s="212">
        <v>153.76</v>
      </c>
      <c r="F216" s="212">
        <v>168.51</v>
      </c>
      <c r="G216" s="212">
        <v>165.51</v>
      </c>
      <c r="H216" s="212">
        <v>167.01</v>
      </c>
      <c r="I216" s="212">
        <v>112.86</v>
      </c>
      <c r="J216" s="212">
        <v>109.66</v>
      </c>
      <c r="K216" s="212">
        <v>111.25999999999999</v>
      </c>
      <c r="L216" s="212">
        <v>202.12</v>
      </c>
      <c r="M216" s="212">
        <v>194.12</v>
      </c>
      <c r="N216" s="212">
        <v>198.12</v>
      </c>
      <c r="O216" s="212">
        <v>174.9</v>
      </c>
      <c r="P216" s="212">
        <v>173.1</v>
      </c>
      <c r="Q216" s="212">
        <v>174</v>
      </c>
      <c r="R216" s="212">
        <v>22.68</v>
      </c>
      <c r="S216" s="212">
        <v>22.08</v>
      </c>
      <c r="T216" s="212">
        <v>22.38</v>
      </c>
      <c r="U216" s="212">
        <v>14.29</v>
      </c>
      <c r="V216" s="212">
        <v>13.69</v>
      </c>
      <c r="W216" s="212">
        <v>13.989999999999998</v>
      </c>
      <c r="X216" s="212">
        <v>14.64</v>
      </c>
      <c r="Y216" s="212">
        <v>13.84</v>
      </c>
      <c r="Z216" s="212">
        <v>14.24</v>
      </c>
      <c r="AA216" s="212">
        <v>102.93</v>
      </c>
      <c r="AB216" s="212">
        <v>98.93</v>
      </c>
      <c r="AC216" s="212">
        <v>100.93</v>
      </c>
      <c r="AD216" s="212">
        <v>92.67</v>
      </c>
      <c r="AE216" s="212">
        <v>88.67</v>
      </c>
      <c r="AF216" s="212">
        <v>90.67</v>
      </c>
      <c r="AG216" s="212">
        <v>20.12</v>
      </c>
      <c r="AH216" s="212">
        <v>19.260000000000002</v>
      </c>
      <c r="AI216" s="212">
        <v>19.690000000000001</v>
      </c>
      <c r="AJ216" s="212"/>
      <c r="AK216" s="212"/>
      <c r="AL216" s="212"/>
      <c r="AM216" s="212">
        <v>115.41</v>
      </c>
      <c r="AN216" s="212">
        <v>113.75</v>
      </c>
      <c r="AO216" s="212">
        <v>114.58</v>
      </c>
      <c r="AP216" s="212">
        <v>41.85</v>
      </c>
      <c r="AQ216" s="212">
        <v>40.25</v>
      </c>
      <c r="AR216" s="212">
        <v>41.05</v>
      </c>
      <c r="AS216" s="212">
        <v>42.61</v>
      </c>
      <c r="AT216" s="212">
        <v>41.25</v>
      </c>
      <c r="AU216" s="212">
        <v>41.93</v>
      </c>
      <c r="AV216" s="212">
        <v>21.46</v>
      </c>
      <c r="AW216" s="212">
        <v>20.86</v>
      </c>
      <c r="AX216" s="212">
        <v>21.16</v>
      </c>
      <c r="AY216" s="212">
        <v>4.3499999999999996</v>
      </c>
      <c r="AZ216" s="212">
        <v>4.1899999999999995</v>
      </c>
      <c r="BA216" s="212">
        <v>4.2699999999999996</v>
      </c>
      <c r="BB216" s="212">
        <v>2</v>
      </c>
      <c r="BC216" s="212">
        <v>1.7</v>
      </c>
      <c r="BD216" s="212">
        <v>1.85</v>
      </c>
      <c r="BE216" s="212">
        <v>0.7</v>
      </c>
      <c r="BF216" s="212">
        <v>0.39999999999999997</v>
      </c>
      <c r="BG216" s="212">
        <v>0.54999999999999993</v>
      </c>
      <c r="BH216" s="212">
        <v>511.8</v>
      </c>
      <c r="BI216" s="212">
        <v>495.8</v>
      </c>
      <c r="BJ216" s="212">
        <v>503.8</v>
      </c>
      <c r="BK216" s="212">
        <v>42.92</v>
      </c>
      <c r="BL216" s="212">
        <v>41.56</v>
      </c>
      <c r="BM216" s="212">
        <v>42.24</v>
      </c>
      <c r="BN216" s="212">
        <v>1.07</v>
      </c>
      <c r="BO216" s="212">
        <v>0.83000000000000007</v>
      </c>
      <c r="BP216" s="212">
        <v>0.95000000000000007</v>
      </c>
      <c r="BQ216" s="212">
        <v>9.34</v>
      </c>
      <c r="BR216" s="212">
        <v>7.34</v>
      </c>
      <c r="BS216" s="212">
        <v>8.34</v>
      </c>
      <c r="BT216" s="212">
        <v>11.33</v>
      </c>
      <c r="BU216" s="212">
        <v>10.93</v>
      </c>
      <c r="BV216" s="212">
        <v>11.129999999999999</v>
      </c>
      <c r="BW216" s="212">
        <v>2.79</v>
      </c>
      <c r="BX216" s="212">
        <v>2.5099999999999998</v>
      </c>
      <c r="BY216" s="212">
        <v>2.65</v>
      </c>
      <c r="BZ216" s="212">
        <v>9.91</v>
      </c>
      <c r="CA216" s="212">
        <v>6.91</v>
      </c>
      <c r="CB216" s="212">
        <v>8.41</v>
      </c>
      <c r="CC216" s="212">
        <v>6.72</v>
      </c>
      <c r="CD216" s="212">
        <v>6.4799999999999995</v>
      </c>
      <c r="CE216" s="212">
        <v>6.6</v>
      </c>
      <c r="CF216" s="212">
        <v>2.04</v>
      </c>
      <c r="CG216" s="212">
        <v>1.54</v>
      </c>
      <c r="CH216" s="212">
        <v>1.79</v>
      </c>
      <c r="CI216" s="212">
        <v>0.45</v>
      </c>
      <c r="CJ216" s="212">
        <v>0.41000000000000003</v>
      </c>
      <c r="CK216" s="212">
        <v>0.43000000000000005</v>
      </c>
      <c r="CL216" s="212">
        <v>40.32</v>
      </c>
      <c r="CM216" s="212">
        <v>37.92</v>
      </c>
      <c r="CN216" s="212">
        <v>39.120000000000005</v>
      </c>
      <c r="CO216" s="212">
        <v>7.15</v>
      </c>
      <c r="CP216" s="212">
        <v>2.1500000000000004</v>
      </c>
      <c r="CQ216" s="212">
        <v>4.6500000000000004</v>
      </c>
      <c r="CR216" s="212"/>
      <c r="CS216" s="212"/>
    </row>
    <row r="217" spans="1:97" x14ac:dyDescent="0.4">
      <c r="A217" s="209">
        <v>45503</v>
      </c>
      <c r="B217" s="210" t="s">
        <v>295</v>
      </c>
      <c r="C217" s="212">
        <v>155.08000000000001</v>
      </c>
      <c r="D217" s="212">
        <v>153.08000000000001</v>
      </c>
      <c r="E217" s="212">
        <v>154.08000000000001</v>
      </c>
      <c r="F217" s="212">
        <v>168.14</v>
      </c>
      <c r="G217" s="212">
        <v>165.14</v>
      </c>
      <c r="H217" s="212">
        <v>166.64</v>
      </c>
      <c r="I217" s="212">
        <v>112.83</v>
      </c>
      <c r="J217" s="212">
        <v>109.63</v>
      </c>
      <c r="K217" s="212">
        <v>111.22999999999999</v>
      </c>
      <c r="L217" s="212">
        <v>202.05</v>
      </c>
      <c r="M217" s="212">
        <v>194.05</v>
      </c>
      <c r="N217" s="212">
        <v>198.05</v>
      </c>
      <c r="O217" s="212">
        <v>174.69</v>
      </c>
      <c r="P217" s="212">
        <v>172.89</v>
      </c>
      <c r="Q217" s="212">
        <v>173.79</v>
      </c>
      <c r="R217" s="212">
        <v>22.63</v>
      </c>
      <c r="S217" s="212">
        <v>22.029999999999998</v>
      </c>
      <c r="T217" s="212">
        <v>22.33</v>
      </c>
      <c r="U217" s="212">
        <v>14.31</v>
      </c>
      <c r="V217" s="212">
        <v>13.71</v>
      </c>
      <c r="W217" s="212">
        <v>14.010000000000002</v>
      </c>
      <c r="X217" s="212">
        <v>14.62</v>
      </c>
      <c r="Y217" s="212">
        <v>13.819999999999999</v>
      </c>
      <c r="Z217" s="212">
        <v>14.219999999999999</v>
      </c>
      <c r="AA217" s="212">
        <v>102.88</v>
      </c>
      <c r="AB217" s="212">
        <v>98.88</v>
      </c>
      <c r="AC217" s="212">
        <v>100.88</v>
      </c>
      <c r="AD217" s="212">
        <v>92.55</v>
      </c>
      <c r="AE217" s="212">
        <v>88.55</v>
      </c>
      <c r="AF217" s="212">
        <v>90.55</v>
      </c>
      <c r="AG217" s="212">
        <v>20.149999999999999</v>
      </c>
      <c r="AH217" s="212">
        <v>19.29</v>
      </c>
      <c r="AI217" s="212">
        <v>19.72</v>
      </c>
      <c r="AJ217" s="212"/>
      <c r="AK217" s="212"/>
      <c r="AL217" s="212"/>
      <c r="AM217" s="212">
        <v>115.54</v>
      </c>
      <c r="AN217" s="212">
        <v>113.88000000000001</v>
      </c>
      <c r="AO217" s="212">
        <v>114.71000000000001</v>
      </c>
      <c r="AP217" s="212">
        <v>41.93</v>
      </c>
      <c r="AQ217" s="212">
        <v>40.33</v>
      </c>
      <c r="AR217" s="212">
        <v>41.129999999999995</v>
      </c>
      <c r="AS217" s="212">
        <v>42.7</v>
      </c>
      <c r="AT217" s="212">
        <v>41.34</v>
      </c>
      <c r="AU217" s="212">
        <v>42.02</v>
      </c>
      <c r="AV217" s="212">
        <v>21.49</v>
      </c>
      <c r="AW217" s="212">
        <v>20.889999999999997</v>
      </c>
      <c r="AX217" s="212">
        <v>21.189999999999998</v>
      </c>
      <c r="AY217" s="212">
        <v>4.3600000000000003</v>
      </c>
      <c r="AZ217" s="212">
        <v>4.2</v>
      </c>
      <c r="BA217" s="212">
        <v>4.28</v>
      </c>
      <c r="BB217" s="212">
        <v>2</v>
      </c>
      <c r="BC217" s="212">
        <v>1.7</v>
      </c>
      <c r="BD217" s="212">
        <v>1.85</v>
      </c>
      <c r="BE217" s="212">
        <v>0.71</v>
      </c>
      <c r="BF217" s="212">
        <v>0.41</v>
      </c>
      <c r="BG217" s="212">
        <v>0.55999999999999994</v>
      </c>
      <c r="BH217" s="212">
        <v>512.67999999999995</v>
      </c>
      <c r="BI217" s="212">
        <v>496.67999999999995</v>
      </c>
      <c r="BJ217" s="212">
        <v>504.67999999999995</v>
      </c>
      <c r="BK217" s="212">
        <v>43.01</v>
      </c>
      <c r="BL217" s="212">
        <v>41.65</v>
      </c>
      <c r="BM217" s="212">
        <v>42.33</v>
      </c>
      <c r="BN217" s="212">
        <v>1.07</v>
      </c>
      <c r="BO217" s="212">
        <v>0.83000000000000007</v>
      </c>
      <c r="BP217" s="212">
        <v>0.95000000000000007</v>
      </c>
      <c r="BQ217" s="212">
        <v>9.26</v>
      </c>
      <c r="BR217" s="212">
        <v>7.26</v>
      </c>
      <c r="BS217" s="212">
        <v>8.26</v>
      </c>
      <c r="BT217" s="212">
        <v>11.34</v>
      </c>
      <c r="BU217" s="212">
        <v>10.94</v>
      </c>
      <c r="BV217" s="212">
        <v>11.14</v>
      </c>
      <c r="BW217" s="212">
        <v>2.79</v>
      </c>
      <c r="BX217" s="212">
        <v>2.5099999999999998</v>
      </c>
      <c r="BY217" s="212">
        <v>2.65</v>
      </c>
      <c r="BZ217" s="212">
        <v>9.85</v>
      </c>
      <c r="CA217" s="212">
        <v>6.85</v>
      </c>
      <c r="CB217" s="212">
        <v>8.35</v>
      </c>
      <c r="CC217" s="212">
        <v>6.69</v>
      </c>
      <c r="CD217" s="212">
        <v>6.45</v>
      </c>
      <c r="CE217" s="212">
        <v>6.57</v>
      </c>
      <c r="CF217" s="212">
        <v>2.0299999999999998</v>
      </c>
      <c r="CG217" s="212">
        <v>1.5299999999999998</v>
      </c>
      <c r="CH217" s="212">
        <v>1.7799999999999998</v>
      </c>
      <c r="CI217" s="212">
        <v>0.44</v>
      </c>
      <c r="CJ217" s="212">
        <v>0.4</v>
      </c>
      <c r="CK217" s="212">
        <v>0.42000000000000004</v>
      </c>
      <c r="CL217" s="212">
        <v>40.04</v>
      </c>
      <c r="CM217" s="212">
        <v>37.64</v>
      </c>
      <c r="CN217" s="212">
        <v>38.840000000000003</v>
      </c>
      <c r="CO217" s="212">
        <v>7.17</v>
      </c>
      <c r="CP217" s="212">
        <v>2.17</v>
      </c>
      <c r="CQ217" s="212">
        <v>4.67</v>
      </c>
      <c r="CR217" s="212"/>
      <c r="CS217" s="212"/>
    </row>
    <row r="218" spans="1:97" x14ac:dyDescent="0.4">
      <c r="A218" s="209">
        <v>45504</v>
      </c>
      <c r="B218" s="210" t="s">
        <v>296</v>
      </c>
      <c r="C218" s="212">
        <v>153.44</v>
      </c>
      <c r="D218" s="212">
        <v>151.44</v>
      </c>
      <c r="E218" s="212">
        <v>152.44</v>
      </c>
      <c r="F218" s="212">
        <v>166.39</v>
      </c>
      <c r="G218" s="212">
        <v>163.38999999999999</v>
      </c>
      <c r="H218" s="212">
        <v>164.89</v>
      </c>
      <c r="I218" s="212">
        <v>111.63</v>
      </c>
      <c r="J218" s="212">
        <v>108.42999999999999</v>
      </c>
      <c r="K218" s="212">
        <v>110.03</v>
      </c>
      <c r="L218" s="212">
        <v>199.76</v>
      </c>
      <c r="M218" s="212">
        <v>191.76</v>
      </c>
      <c r="N218" s="212">
        <v>195.76</v>
      </c>
      <c r="O218" s="212">
        <v>173.75</v>
      </c>
      <c r="P218" s="212">
        <v>171.95</v>
      </c>
      <c r="Q218" s="212">
        <v>172.85</v>
      </c>
      <c r="R218" s="212">
        <v>22.4</v>
      </c>
      <c r="S218" s="212">
        <v>21.799999999999997</v>
      </c>
      <c r="T218" s="212">
        <v>22.099999999999998</v>
      </c>
      <c r="U218" s="212">
        <v>14.23</v>
      </c>
      <c r="V218" s="212">
        <v>13.63</v>
      </c>
      <c r="W218" s="212">
        <v>13.93</v>
      </c>
      <c r="X218" s="212">
        <v>14.56</v>
      </c>
      <c r="Y218" s="212">
        <v>13.76</v>
      </c>
      <c r="Z218" s="212">
        <v>14.16</v>
      </c>
      <c r="AA218" s="212">
        <v>101.65</v>
      </c>
      <c r="AB218" s="212">
        <v>97.65</v>
      </c>
      <c r="AC218" s="212">
        <v>99.65</v>
      </c>
      <c r="AD218" s="212">
        <v>92</v>
      </c>
      <c r="AE218" s="212">
        <v>88</v>
      </c>
      <c r="AF218" s="212">
        <v>90</v>
      </c>
      <c r="AG218" s="212">
        <v>19.940000000000001</v>
      </c>
      <c r="AH218" s="212">
        <v>19.080000000000002</v>
      </c>
      <c r="AI218" s="212">
        <v>19.510000000000002</v>
      </c>
      <c r="AJ218" s="212"/>
      <c r="AK218" s="212"/>
      <c r="AL218" s="212"/>
      <c r="AM218" s="212">
        <v>114.49</v>
      </c>
      <c r="AN218" s="212">
        <v>112.83</v>
      </c>
      <c r="AO218" s="212">
        <v>113.66</v>
      </c>
      <c r="AP218" s="212">
        <v>41.5</v>
      </c>
      <c r="AQ218" s="212">
        <v>39.9</v>
      </c>
      <c r="AR218" s="212">
        <v>40.700000000000003</v>
      </c>
      <c r="AS218" s="212">
        <v>42.25</v>
      </c>
      <c r="AT218" s="212">
        <v>40.89</v>
      </c>
      <c r="AU218" s="212">
        <v>41.57</v>
      </c>
      <c r="AV218" s="212">
        <v>21.37</v>
      </c>
      <c r="AW218" s="212">
        <v>20.77</v>
      </c>
      <c r="AX218" s="212">
        <v>21.07</v>
      </c>
      <c r="AY218" s="212">
        <v>4.33</v>
      </c>
      <c r="AZ218" s="212">
        <v>4.17</v>
      </c>
      <c r="BA218" s="212">
        <v>4.25</v>
      </c>
      <c r="BB218" s="212">
        <v>1.98</v>
      </c>
      <c r="BC218" s="212">
        <v>1.68</v>
      </c>
      <c r="BD218" s="212">
        <v>1.83</v>
      </c>
      <c r="BE218" s="212">
        <v>0.7</v>
      </c>
      <c r="BF218" s="212">
        <v>0.39999999999999997</v>
      </c>
      <c r="BG218" s="212">
        <v>0.54999999999999993</v>
      </c>
      <c r="BH218" s="212">
        <v>508.13</v>
      </c>
      <c r="BI218" s="212">
        <v>492.13</v>
      </c>
      <c r="BJ218" s="212">
        <v>500.13</v>
      </c>
      <c r="BK218" s="212">
        <v>42.56</v>
      </c>
      <c r="BL218" s="212">
        <v>41.2</v>
      </c>
      <c r="BM218" s="212">
        <v>41.88</v>
      </c>
      <c r="BN218" s="212">
        <v>1.06</v>
      </c>
      <c r="BO218" s="212">
        <v>0.82000000000000006</v>
      </c>
      <c r="BP218" s="212">
        <v>0.94000000000000006</v>
      </c>
      <c r="BQ218" s="212">
        <v>9.11</v>
      </c>
      <c r="BR218" s="212">
        <v>7.1099999999999994</v>
      </c>
      <c r="BS218" s="212">
        <v>8.11</v>
      </c>
      <c r="BT218" s="212">
        <v>11.25</v>
      </c>
      <c r="BU218" s="212">
        <v>10.85</v>
      </c>
      <c r="BV218" s="212">
        <v>11.05</v>
      </c>
      <c r="BW218" s="212">
        <v>2.76</v>
      </c>
      <c r="BX218" s="212">
        <v>2.4799999999999995</v>
      </c>
      <c r="BY218" s="212">
        <v>2.6199999999999997</v>
      </c>
      <c r="BZ218" s="212">
        <v>9.82</v>
      </c>
      <c r="CA218" s="212">
        <v>6.82</v>
      </c>
      <c r="CB218" s="212">
        <v>8.32</v>
      </c>
      <c r="CC218" s="212">
        <v>6.62</v>
      </c>
      <c r="CD218" s="212">
        <v>6.38</v>
      </c>
      <c r="CE218" s="212">
        <v>6.5</v>
      </c>
      <c r="CF218" s="212">
        <v>2.0299999999999998</v>
      </c>
      <c r="CG218" s="212">
        <v>1.5299999999999998</v>
      </c>
      <c r="CH218" s="212">
        <v>1.7799999999999998</v>
      </c>
      <c r="CI218" s="212">
        <v>0.44</v>
      </c>
      <c r="CJ218" s="212">
        <v>0.4</v>
      </c>
      <c r="CK218" s="212">
        <v>0.42000000000000004</v>
      </c>
      <c r="CL218" s="212">
        <v>39.619999999999997</v>
      </c>
      <c r="CM218" s="212">
        <v>37.22</v>
      </c>
      <c r="CN218" s="212">
        <v>38.42</v>
      </c>
      <c r="CO218" s="212">
        <v>7.11</v>
      </c>
      <c r="CP218" s="212">
        <v>2.1100000000000003</v>
      </c>
      <c r="CQ218" s="212">
        <v>4.6100000000000003</v>
      </c>
      <c r="CR218" s="212"/>
      <c r="CS218" s="212"/>
    </row>
    <row r="219" spans="1:97" x14ac:dyDescent="0.4">
      <c r="A219" s="209">
        <v>45505</v>
      </c>
      <c r="B219" s="210" t="s">
        <v>297</v>
      </c>
      <c r="C219" s="212"/>
      <c r="D219" s="212"/>
      <c r="E219" s="212"/>
      <c r="F219" s="212"/>
      <c r="G219" s="212"/>
      <c r="H219" s="212"/>
      <c r="I219" s="212"/>
      <c r="J219" s="212"/>
      <c r="K219" s="212"/>
      <c r="L219" s="212"/>
      <c r="M219" s="212"/>
      <c r="N219" s="212"/>
      <c r="O219" s="212"/>
      <c r="P219" s="212"/>
      <c r="Q219" s="212"/>
      <c r="R219" s="212"/>
      <c r="S219" s="212"/>
      <c r="T219" s="212"/>
      <c r="U219" s="212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12"/>
      <c r="AF219" s="212"/>
      <c r="AG219" s="212"/>
      <c r="AH219" s="212"/>
      <c r="AI219" s="212"/>
      <c r="AJ219" s="212"/>
      <c r="AK219" s="212"/>
      <c r="AL219" s="212"/>
      <c r="AM219" s="212"/>
      <c r="AN219" s="212"/>
      <c r="AO219" s="212"/>
      <c r="AP219" s="212"/>
      <c r="AQ219" s="212"/>
      <c r="AR219" s="212"/>
      <c r="AS219" s="212"/>
      <c r="AT219" s="212"/>
      <c r="AU219" s="212"/>
      <c r="AV219" s="212"/>
      <c r="AW219" s="212"/>
      <c r="AX219" s="212"/>
      <c r="AY219" s="212"/>
      <c r="AZ219" s="212"/>
      <c r="BA219" s="212"/>
      <c r="BB219" s="212"/>
      <c r="BC219" s="212"/>
      <c r="BD219" s="212"/>
      <c r="BE219" s="212"/>
      <c r="BF219" s="212"/>
      <c r="BG219" s="212"/>
      <c r="BH219" s="212"/>
      <c r="BI219" s="212"/>
      <c r="BJ219" s="212"/>
      <c r="BK219" s="212"/>
      <c r="BL219" s="212"/>
      <c r="BM219" s="212"/>
      <c r="BN219" s="212"/>
      <c r="BO219" s="212"/>
      <c r="BP219" s="212"/>
      <c r="BQ219" s="212"/>
      <c r="BR219" s="212"/>
      <c r="BS219" s="212"/>
      <c r="BT219" s="212"/>
      <c r="BU219" s="212"/>
      <c r="BV219" s="212"/>
      <c r="BW219" s="212"/>
      <c r="BX219" s="212"/>
      <c r="BY219" s="212"/>
      <c r="BZ219" s="212"/>
      <c r="CA219" s="212"/>
      <c r="CB219" s="212"/>
      <c r="CC219" s="212"/>
      <c r="CD219" s="212"/>
      <c r="CE219" s="212"/>
      <c r="CF219" s="212"/>
      <c r="CG219" s="212"/>
      <c r="CH219" s="212"/>
      <c r="CI219" s="212"/>
      <c r="CJ219" s="212"/>
      <c r="CK219" s="212"/>
      <c r="CL219" s="212"/>
      <c r="CM219" s="212"/>
      <c r="CN219" s="212"/>
      <c r="CO219" s="212"/>
      <c r="CP219" s="212"/>
      <c r="CQ219" s="212"/>
      <c r="CR219" s="212"/>
      <c r="CS219" s="212"/>
    </row>
    <row r="220" spans="1:97" x14ac:dyDescent="0.4">
      <c r="A220" s="209">
        <v>45506</v>
      </c>
      <c r="B220" s="210" t="s">
        <v>298</v>
      </c>
      <c r="C220" s="212"/>
      <c r="D220" s="212"/>
      <c r="E220" s="212"/>
      <c r="F220" s="212"/>
      <c r="G220" s="212"/>
      <c r="H220" s="212"/>
      <c r="I220" s="212"/>
      <c r="J220" s="212"/>
      <c r="K220" s="212"/>
      <c r="L220" s="212"/>
      <c r="M220" s="212"/>
      <c r="N220" s="212"/>
      <c r="O220" s="212"/>
      <c r="P220" s="212"/>
      <c r="Q220" s="212"/>
      <c r="R220" s="212"/>
      <c r="S220" s="212"/>
      <c r="T220" s="212"/>
      <c r="U220" s="212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12"/>
      <c r="AF220" s="212"/>
      <c r="AG220" s="212"/>
      <c r="AH220" s="212"/>
      <c r="AI220" s="212"/>
      <c r="AJ220" s="212"/>
      <c r="AK220" s="212"/>
      <c r="AL220" s="212"/>
      <c r="AM220" s="212"/>
      <c r="AN220" s="212"/>
      <c r="AO220" s="212"/>
      <c r="AP220" s="212"/>
      <c r="AQ220" s="212"/>
      <c r="AR220" s="212"/>
      <c r="AS220" s="212"/>
      <c r="AT220" s="212"/>
      <c r="AU220" s="212"/>
      <c r="AV220" s="212"/>
      <c r="AW220" s="212"/>
      <c r="AX220" s="212"/>
      <c r="AY220" s="212"/>
      <c r="AZ220" s="212"/>
      <c r="BA220" s="212"/>
      <c r="BB220" s="212"/>
      <c r="BC220" s="212"/>
      <c r="BD220" s="212"/>
      <c r="BE220" s="212"/>
      <c r="BF220" s="212"/>
      <c r="BG220" s="212"/>
      <c r="BH220" s="212"/>
      <c r="BI220" s="212"/>
      <c r="BJ220" s="212"/>
      <c r="BK220" s="212"/>
      <c r="BL220" s="212"/>
      <c r="BM220" s="212"/>
      <c r="BN220" s="212"/>
      <c r="BO220" s="212"/>
      <c r="BP220" s="212"/>
      <c r="BQ220" s="212"/>
      <c r="BR220" s="212"/>
      <c r="BS220" s="212"/>
      <c r="BT220" s="212"/>
      <c r="BU220" s="212"/>
      <c r="BV220" s="212"/>
      <c r="BW220" s="212"/>
      <c r="BX220" s="212"/>
      <c r="BY220" s="212"/>
      <c r="BZ220" s="212"/>
      <c r="CA220" s="212"/>
      <c r="CB220" s="212"/>
      <c r="CC220" s="212"/>
      <c r="CD220" s="212"/>
      <c r="CE220" s="212"/>
      <c r="CF220" s="212"/>
      <c r="CG220" s="212"/>
      <c r="CH220" s="212"/>
      <c r="CI220" s="212"/>
      <c r="CJ220" s="212"/>
      <c r="CK220" s="212"/>
      <c r="CL220" s="212"/>
      <c r="CM220" s="212"/>
      <c r="CN220" s="212"/>
      <c r="CO220" s="212"/>
      <c r="CP220" s="212"/>
      <c r="CQ220" s="212"/>
      <c r="CR220" s="212"/>
      <c r="CS220" s="212"/>
    </row>
    <row r="221" spans="1:97" x14ac:dyDescent="0.4">
      <c r="A221" s="209">
        <v>45507</v>
      </c>
      <c r="B221" s="210" t="s">
        <v>299</v>
      </c>
      <c r="C221" s="212"/>
      <c r="D221" s="212"/>
      <c r="E221" s="212"/>
      <c r="F221" s="212"/>
      <c r="G221" s="212"/>
      <c r="H221" s="212"/>
      <c r="I221" s="212"/>
      <c r="J221" s="212"/>
      <c r="K221" s="212"/>
      <c r="L221" s="212"/>
      <c r="M221" s="212"/>
      <c r="N221" s="212"/>
      <c r="O221" s="212"/>
      <c r="P221" s="212"/>
      <c r="Q221" s="212"/>
      <c r="R221" s="212"/>
      <c r="S221" s="212"/>
      <c r="T221" s="212"/>
      <c r="U221" s="212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12"/>
      <c r="AF221" s="212"/>
      <c r="AG221" s="212"/>
      <c r="AH221" s="212"/>
      <c r="AI221" s="212"/>
      <c r="AJ221" s="212"/>
      <c r="AK221" s="212"/>
      <c r="AL221" s="212"/>
      <c r="AM221" s="212"/>
      <c r="AN221" s="212"/>
      <c r="AO221" s="212"/>
      <c r="AP221" s="212"/>
      <c r="AQ221" s="212"/>
      <c r="AR221" s="212"/>
      <c r="AS221" s="212"/>
      <c r="AT221" s="212"/>
      <c r="AU221" s="212"/>
      <c r="AV221" s="212"/>
      <c r="AW221" s="212"/>
      <c r="AX221" s="212"/>
      <c r="AY221" s="212"/>
      <c r="AZ221" s="212"/>
      <c r="BA221" s="212"/>
      <c r="BB221" s="212"/>
      <c r="BC221" s="212"/>
      <c r="BD221" s="212"/>
      <c r="BE221" s="212"/>
      <c r="BF221" s="212"/>
      <c r="BG221" s="212"/>
      <c r="BH221" s="212"/>
      <c r="BI221" s="212"/>
      <c r="BJ221" s="212"/>
      <c r="BK221" s="212"/>
      <c r="BL221" s="212"/>
      <c r="BM221" s="212"/>
      <c r="BN221" s="212"/>
      <c r="BO221" s="212"/>
      <c r="BP221" s="212"/>
      <c r="BQ221" s="212"/>
      <c r="BR221" s="212"/>
      <c r="BS221" s="212"/>
      <c r="BT221" s="212"/>
      <c r="BU221" s="212"/>
      <c r="BV221" s="212"/>
      <c r="BW221" s="212"/>
      <c r="BX221" s="212"/>
      <c r="BY221" s="212"/>
      <c r="BZ221" s="212"/>
      <c r="CA221" s="212"/>
      <c r="CB221" s="212"/>
      <c r="CC221" s="212"/>
      <c r="CD221" s="212"/>
      <c r="CE221" s="212"/>
      <c r="CF221" s="212"/>
      <c r="CG221" s="212"/>
      <c r="CH221" s="212"/>
      <c r="CI221" s="212"/>
      <c r="CJ221" s="212"/>
      <c r="CK221" s="212"/>
      <c r="CL221" s="212"/>
      <c r="CM221" s="212"/>
      <c r="CN221" s="212"/>
      <c r="CO221" s="212"/>
      <c r="CP221" s="212"/>
      <c r="CQ221" s="212"/>
      <c r="CR221" s="212"/>
      <c r="CS221" s="212"/>
    </row>
    <row r="222" spans="1:97" x14ac:dyDescent="0.4">
      <c r="A222" s="209">
        <v>45508</v>
      </c>
      <c r="B222" s="210" t="s">
        <v>300</v>
      </c>
      <c r="C222" s="212"/>
      <c r="D222" s="212"/>
      <c r="E222" s="212"/>
      <c r="F222" s="212"/>
      <c r="G222" s="212"/>
      <c r="H222" s="212"/>
      <c r="I222" s="212"/>
      <c r="J222" s="212"/>
      <c r="K222" s="212"/>
      <c r="L222" s="212"/>
      <c r="M222" s="212"/>
      <c r="N222" s="212"/>
      <c r="O222" s="212"/>
      <c r="P222" s="212"/>
      <c r="Q222" s="212"/>
      <c r="R222" s="212"/>
      <c r="S222" s="212"/>
      <c r="T222" s="212"/>
      <c r="U222" s="212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12"/>
      <c r="AF222" s="212"/>
      <c r="AG222" s="212"/>
      <c r="AH222" s="212"/>
      <c r="AI222" s="212"/>
      <c r="AJ222" s="212"/>
      <c r="AK222" s="212"/>
      <c r="AL222" s="212"/>
      <c r="AM222" s="212"/>
      <c r="AN222" s="212"/>
      <c r="AO222" s="212"/>
      <c r="AP222" s="212"/>
      <c r="AQ222" s="212"/>
      <c r="AR222" s="212"/>
      <c r="AS222" s="212"/>
      <c r="AT222" s="212"/>
      <c r="AU222" s="212"/>
      <c r="AV222" s="212"/>
      <c r="AW222" s="212"/>
      <c r="AX222" s="212"/>
      <c r="AY222" s="212"/>
      <c r="AZ222" s="212"/>
      <c r="BA222" s="212"/>
      <c r="BB222" s="212"/>
      <c r="BC222" s="212"/>
      <c r="BD222" s="212"/>
      <c r="BE222" s="212"/>
      <c r="BF222" s="212"/>
      <c r="BG222" s="212"/>
      <c r="BH222" s="212"/>
      <c r="BI222" s="212"/>
      <c r="BJ222" s="212"/>
      <c r="BK222" s="212"/>
      <c r="BL222" s="212"/>
      <c r="BM222" s="212"/>
      <c r="BN222" s="212"/>
      <c r="BO222" s="212"/>
      <c r="BP222" s="212"/>
      <c r="BQ222" s="212"/>
      <c r="BR222" s="212"/>
      <c r="BS222" s="212"/>
      <c r="BT222" s="212"/>
      <c r="BU222" s="212"/>
      <c r="BV222" s="212"/>
      <c r="BW222" s="212"/>
      <c r="BX222" s="212"/>
      <c r="BY222" s="212"/>
      <c r="BZ222" s="212"/>
      <c r="CA222" s="212"/>
      <c r="CB222" s="212"/>
      <c r="CC222" s="212"/>
      <c r="CD222" s="212"/>
      <c r="CE222" s="212"/>
      <c r="CF222" s="212"/>
      <c r="CG222" s="212"/>
      <c r="CH222" s="212"/>
      <c r="CI222" s="212"/>
      <c r="CJ222" s="212"/>
      <c r="CK222" s="212"/>
      <c r="CL222" s="212"/>
      <c r="CM222" s="212"/>
      <c r="CN222" s="212"/>
      <c r="CO222" s="212"/>
      <c r="CP222" s="212"/>
      <c r="CQ222" s="212"/>
      <c r="CR222" s="212"/>
      <c r="CS222" s="212"/>
    </row>
    <row r="223" spans="1:97" x14ac:dyDescent="0.4">
      <c r="A223" s="209">
        <v>45509</v>
      </c>
      <c r="B223" s="210" t="s">
        <v>294</v>
      </c>
      <c r="C223" s="212"/>
      <c r="D223" s="212"/>
      <c r="E223" s="212"/>
      <c r="F223" s="212"/>
      <c r="G223" s="212"/>
      <c r="H223" s="212"/>
      <c r="I223" s="212"/>
      <c r="J223" s="212"/>
      <c r="K223" s="212"/>
      <c r="L223" s="212"/>
      <c r="M223" s="212"/>
      <c r="N223" s="212"/>
      <c r="O223" s="212"/>
      <c r="P223" s="212"/>
      <c r="Q223" s="212"/>
      <c r="R223" s="212"/>
      <c r="S223" s="212"/>
      <c r="T223" s="212"/>
      <c r="U223" s="212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12"/>
      <c r="AF223" s="212"/>
      <c r="AG223" s="212"/>
      <c r="AH223" s="212"/>
      <c r="AI223" s="212"/>
      <c r="AJ223" s="212"/>
      <c r="AK223" s="212"/>
      <c r="AL223" s="212"/>
      <c r="AM223" s="212"/>
      <c r="AN223" s="212"/>
      <c r="AO223" s="212"/>
      <c r="AP223" s="212"/>
      <c r="AQ223" s="212"/>
      <c r="AR223" s="212"/>
      <c r="AS223" s="212"/>
      <c r="AT223" s="212"/>
      <c r="AU223" s="212"/>
      <c r="AV223" s="212"/>
      <c r="AW223" s="212"/>
      <c r="AX223" s="212"/>
      <c r="AY223" s="212"/>
      <c r="AZ223" s="212"/>
      <c r="BA223" s="212"/>
      <c r="BB223" s="212"/>
      <c r="BC223" s="212"/>
      <c r="BD223" s="212"/>
      <c r="BE223" s="212"/>
      <c r="BF223" s="212"/>
      <c r="BG223" s="212"/>
      <c r="BH223" s="212"/>
      <c r="BI223" s="212"/>
      <c r="BJ223" s="212"/>
      <c r="BK223" s="212"/>
      <c r="BL223" s="212"/>
      <c r="BM223" s="212"/>
      <c r="BN223" s="212"/>
      <c r="BO223" s="212"/>
      <c r="BP223" s="212"/>
      <c r="BQ223" s="212"/>
      <c r="BR223" s="212"/>
      <c r="BS223" s="212"/>
      <c r="BT223" s="212"/>
      <c r="BU223" s="212"/>
      <c r="BV223" s="212"/>
      <c r="BW223" s="212"/>
      <c r="BX223" s="212"/>
      <c r="BY223" s="212"/>
      <c r="BZ223" s="212"/>
      <c r="CA223" s="212"/>
      <c r="CB223" s="212"/>
      <c r="CC223" s="212"/>
      <c r="CD223" s="212"/>
      <c r="CE223" s="212"/>
      <c r="CF223" s="212"/>
      <c r="CG223" s="212"/>
      <c r="CH223" s="212"/>
      <c r="CI223" s="212"/>
      <c r="CJ223" s="212"/>
      <c r="CK223" s="212"/>
      <c r="CL223" s="212"/>
      <c r="CM223" s="212"/>
      <c r="CN223" s="212"/>
      <c r="CO223" s="212"/>
      <c r="CP223" s="212"/>
      <c r="CQ223" s="212"/>
      <c r="CR223" s="212"/>
      <c r="CS223" s="212"/>
    </row>
    <row r="224" spans="1:97" x14ac:dyDescent="0.4">
      <c r="A224" s="209">
        <v>45510</v>
      </c>
      <c r="B224" s="210" t="s">
        <v>295</v>
      </c>
      <c r="C224" s="212"/>
      <c r="D224" s="212"/>
      <c r="E224" s="212"/>
      <c r="F224" s="212"/>
      <c r="G224" s="212"/>
      <c r="H224" s="212"/>
      <c r="I224" s="212"/>
      <c r="J224" s="212"/>
      <c r="K224" s="212"/>
      <c r="L224" s="212"/>
      <c r="M224" s="212"/>
      <c r="N224" s="212"/>
      <c r="O224" s="212"/>
      <c r="P224" s="212"/>
      <c r="Q224" s="212"/>
      <c r="R224" s="212"/>
      <c r="S224" s="212"/>
      <c r="T224" s="212"/>
      <c r="U224" s="212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12"/>
      <c r="AF224" s="212"/>
      <c r="AG224" s="212"/>
      <c r="AH224" s="212"/>
      <c r="AI224" s="212"/>
      <c r="AJ224" s="212"/>
      <c r="AK224" s="212"/>
      <c r="AL224" s="212"/>
      <c r="AM224" s="212"/>
      <c r="AN224" s="212"/>
      <c r="AO224" s="212"/>
      <c r="AP224" s="212"/>
      <c r="AQ224" s="212"/>
      <c r="AR224" s="212"/>
      <c r="AS224" s="212"/>
      <c r="AT224" s="212"/>
      <c r="AU224" s="212"/>
      <c r="AV224" s="212"/>
      <c r="AW224" s="212"/>
      <c r="AX224" s="212"/>
      <c r="AY224" s="212"/>
      <c r="AZ224" s="212"/>
      <c r="BA224" s="212"/>
      <c r="BB224" s="212"/>
      <c r="BC224" s="212"/>
      <c r="BD224" s="212"/>
      <c r="BE224" s="212"/>
      <c r="BF224" s="212"/>
      <c r="BG224" s="212"/>
      <c r="BH224" s="212"/>
      <c r="BI224" s="212"/>
      <c r="BJ224" s="212"/>
      <c r="BK224" s="212"/>
      <c r="BL224" s="212"/>
      <c r="BM224" s="212"/>
      <c r="BN224" s="212"/>
      <c r="BO224" s="212"/>
      <c r="BP224" s="212"/>
      <c r="BQ224" s="212"/>
      <c r="BR224" s="212"/>
      <c r="BS224" s="212"/>
      <c r="BT224" s="212"/>
      <c r="BU224" s="212"/>
      <c r="BV224" s="212"/>
      <c r="BW224" s="212"/>
      <c r="BX224" s="212"/>
      <c r="BY224" s="212"/>
      <c r="BZ224" s="212"/>
      <c r="CA224" s="212"/>
      <c r="CB224" s="212"/>
      <c r="CC224" s="212"/>
      <c r="CD224" s="212"/>
      <c r="CE224" s="212"/>
      <c r="CF224" s="212"/>
      <c r="CG224" s="212"/>
      <c r="CH224" s="212"/>
      <c r="CI224" s="212"/>
      <c r="CJ224" s="212"/>
      <c r="CK224" s="212"/>
      <c r="CL224" s="212"/>
      <c r="CM224" s="212"/>
      <c r="CN224" s="212"/>
      <c r="CO224" s="212"/>
      <c r="CP224" s="212"/>
      <c r="CQ224" s="212"/>
      <c r="CR224" s="212"/>
      <c r="CS224" s="212"/>
    </row>
    <row r="225" spans="1:97" x14ac:dyDescent="0.4">
      <c r="A225" s="209">
        <v>45511</v>
      </c>
      <c r="B225" s="210" t="s">
        <v>296</v>
      </c>
      <c r="C225" s="212"/>
      <c r="D225" s="212"/>
      <c r="E225" s="212"/>
      <c r="F225" s="212"/>
      <c r="G225" s="212"/>
      <c r="H225" s="212"/>
      <c r="I225" s="212"/>
      <c r="J225" s="212"/>
      <c r="K225" s="212"/>
      <c r="L225" s="212"/>
      <c r="M225" s="212"/>
      <c r="N225" s="212"/>
      <c r="O225" s="212"/>
      <c r="P225" s="212"/>
      <c r="Q225" s="212"/>
      <c r="R225" s="212"/>
      <c r="S225" s="212"/>
      <c r="T225" s="212"/>
      <c r="U225" s="212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12"/>
      <c r="AF225" s="212"/>
      <c r="AG225" s="212"/>
      <c r="AH225" s="212"/>
      <c r="AI225" s="212"/>
      <c r="AJ225" s="212"/>
      <c r="AK225" s="212"/>
      <c r="AL225" s="212"/>
      <c r="AM225" s="212"/>
      <c r="AN225" s="212"/>
      <c r="AO225" s="212"/>
      <c r="AP225" s="212"/>
      <c r="AQ225" s="212"/>
      <c r="AR225" s="212"/>
      <c r="AS225" s="212"/>
      <c r="AT225" s="212"/>
      <c r="AU225" s="212"/>
      <c r="AV225" s="212"/>
      <c r="AW225" s="212"/>
      <c r="AX225" s="212"/>
      <c r="AY225" s="212"/>
      <c r="AZ225" s="212"/>
      <c r="BA225" s="212"/>
      <c r="BB225" s="212"/>
      <c r="BC225" s="212"/>
      <c r="BD225" s="212"/>
      <c r="BE225" s="212"/>
      <c r="BF225" s="212"/>
      <c r="BG225" s="212"/>
      <c r="BH225" s="212"/>
      <c r="BI225" s="212"/>
      <c r="BJ225" s="212"/>
      <c r="BK225" s="212"/>
      <c r="BL225" s="212"/>
      <c r="BM225" s="212"/>
      <c r="BN225" s="212"/>
      <c r="BO225" s="212"/>
      <c r="BP225" s="212"/>
      <c r="BQ225" s="212"/>
      <c r="BR225" s="212"/>
      <c r="BS225" s="212"/>
      <c r="BT225" s="212"/>
      <c r="BU225" s="212"/>
      <c r="BV225" s="212"/>
      <c r="BW225" s="212"/>
      <c r="BX225" s="212"/>
      <c r="BY225" s="212"/>
      <c r="BZ225" s="212"/>
      <c r="CA225" s="212"/>
      <c r="CB225" s="212"/>
      <c r="CC225" s="212"/>
      <c r="CD225" s="212"/>
      <c r="CE225" s="212"/>
      <c r="CF225" s="212"/>
      <c r="CG225" s="212"/>
      <c r="CH225" s="212"/>
      <c r="CI225" s="212"/>
      <c r="CJ225" s="212"/>
      <c r="CK225" s="212"/>
      <c r="CL225" s="212"/>
      <c r="CM225" s="212"/>
      <c r="CN225" s="212"/>
      <c r="CO225" s="212"/>
      <c r="CP225" s="212"/>
      <c r="CQ225" s="212"/>
      <c r="CR225" s="212"/>
      <c r="CS225" s="212"/>
    </row>
    <row r="226" spans="1:97" x14ac:dyDescent="0.4">
      <c r="A226" s="209">
        <v>45512</v>
      </c>
      <c r="B226" s="210" t="s">
        <v>297</v>
      </c>
      <c r="C226" s="212"/>
      <c r="D226" s="212"/>
      <c r="E226" s="212"/>
      <c r="F226" s="212"/>
      <c r="G226" s="212"/>
      <c r="H226" s="212"/>
      <c r="I226" s="212"/>
      <c r="J226" s="212"/>
      <c r="K226" s="212"/>
      <c r="L226" s="212"/>
      <c r="M226" s="212"/>
      <c r="N226" s="212"/>
      <c r="O226" s="212"/>
      <c r="P226" s="212"/>
      <c r="Q226" s="212"/>
      <c r="R226" s="212"/>
      <c r="S226" s="212"/>
      <c r="T226" s="212"/>
      <c r="U226" s="212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12"/>
      <c r="AF226" s="212"/>
      <c r="AG226" s="212"/>
      <c r="AH226" s="212"/>
      <c r="AI226" s="212"/>
      <c r="AJ226" s="212"/>
      <c r="AK226" s="212"/>
      <c r="AL226" s="212"/>
      <c r="AM226" s="212"/>
      <c r="AN226" s="212"/>
      <c r="AO226" s="212"/>
      <c r="AP226" s="212"/>
      <c r="AQ226" s="212"/>
      <c r="AR226" s="212"/>
      <c r="AS226" s="212"/>
      <c r="AT226" s="212"/>
      <c r="AU226" s="212"/>
      <c r="AV226" s="212"/>
      <c r="AW226" s="212"/>
      <c r="AX226" s="212"/>
      <c r="AY226" s="212"/>
      <c r="AZ226" s="212"/>
      <c r="BA226" s="212"/>
      <c r="BB226" s="212"/>
      <c r="BC226" s="212"/>
      <c r="BD226" s="212"/>
      <c r="BE226" s="212"/>
      <c r="BF226" s="212"/>
      <c r="BG226" s="212"/>
      <c r="BH226" s="212"/>
      <c r="BI226" s="212"/>
      <c r="BJ226" s="212"/>
      <c r="BK226" s="212"/>
      <c r="BL226" s="212"/>
      <c r="BM226" s="212"/>
      <c r="BN226" s="212"/>
      <c r="BO226" s="212"/>
      <c r="BP226" s="212"/>
      <c r="BQ226" s="212"/>
      <c r="BR226" s="212"/>
      <c r="BS226" s="212"/>
      <c r="BT226" s="212"/>
      <c r="BU226" s="212"/>
      <c r="BV226" s="212"/>
      <c r="BW226" s="212"/>
      <c r="BX226" s="212"/>
      <c r="BY226" s="212"/>
      <c r="BZ226" s="212"/>
      <c r="CA226" s="212"/>
      <c r="CB226" s="212"/>
      <c r="CC226" s="212"/>
      <c r="CD226" s="212"/>
      <c r="CE226" s="212"/>
      <c r="CF226" s="212"/>
      <c r="CG226" s="212"/>
      <c r="CH226" s="212"/>
      <c r="CI226" s="212"/>
      <c r="CJ226" s="212"/>
      <c r="CK226" s="212"/>
      <c r="CL226" s="212"/>
      <c r="CM226" s="212"/>
      <c r="CN226" s="212"/>
      <c r="CO226" s="212"/>
      <c r="CP226" s="212"/>
      <c r="CQ226" s="212"/>
      <c r="CR226" s="212"/>
      <c r="CS226" s="212"/>
    </row>
    <row r="227" spans="1:97" x14ac:dyDescent="0.4">
      <c r="A227" s="209">
        <v>45513</v>
      </c>
      <c r="B227" s="210" t="s">
        <v>298</v>
      </c>
      <c r="C227" s="212"/>
      <c r="D227" s="212"/>
      <c r="E227" s="212"/>
      <c r="F227" s="212"/>
      <c r="G227" s="212"/>
      <c r="H227" s="212"/>
      <c r="I227" s="212"/>
      <c r="J227" s="212"/>
      <c r="K227" s="212"/>
      <c r="L227" s="212"/>
      <c r="M227" s="212"/>
      <c r="N227" s="212"/>
      <c r="O227" s="212"/>
      <c r="P227" s="212"/>
      <c r="Q227" s="212"/>
      <c r="R227" s="212"/>
      <c r="S227" s="212"/>
      <c r="T227" s="212"/>
      <c r="U227" s="212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12"/>
      <c r="AF227" s="212"/>
      <c r="AG227" s="212"/>
      <c r="AH227" s="212"/>
      <c r="AI227" s="212"/>
      <c r="AJ227" s="212"/>
      <c r="AK227" s="212"/>
      <c r="AL227" s="212"/>
      <c r="AM227" s="212"/>
      <c r="AN227" s="212"/>
      <c r="AO227" s="212"/>
      <c r="AP227" s="212"/>
      <c r="AQ227" s="212"/>
      <c r="AR227" s="212"/>
      <c r="AS227" s="212"/>
      <c r="AT227" s="212"/>
      <c r="AU227" s="212"/>
      <c r="AV227" s="212"/>
      <c r="AW227" s="212"/>
      <c r="AX227" s="212"/>
      <c r="AY227" s="212"/>
      <c r="AZ227" s="212"/>
      <c r="BA227" s="212"/>
      <c r="BB227" s="212"/>
      <c r="BC227" s="212"/>
      <c r="BD227" s="212"/>
      <c r="BE227" s="212"/>
      <c r="BF227" s="212"/>
      <c r="BG227" s="212"/>
      <c r="BH227" s="212"/>
      <c r="BI227" s="212"/>
      <c r="BJ227" s="212"/>
      <c r="BK227" s="212"/>
      <c r="BL227" s="212"/>
      <c r="BM227" s="212"/>
      <c r="BN227" s="212"/>
      <c r="BO227" s="212"/>
      <c r="BP227" s="212"/>
      <c r="BQ227" s="212"/>
      <c r="BR227" s="212"/>
      <c r="BS227" s="212"/>
      <c r="BT227" s="212"/>
      <c r="BU227" s="212"/>
      <c r="BV227" s="212"/>
      <c r="BW227" s="212"/>
      <c r="BX227" s="212"/>
      <c r="BY227" s="212"/>
      <c r="BZ227" s="212"/>
      <c r="CA227" s="212"/>
      <c r="CB227" s="212"/>
      <c r="CC227" s="212"/>
      <c r="CD227" s="212"/>
      <c r="CE227" s="212"/>
      <c r="CF227" s="212"/>
      <c r="CG227" s="212"/>
      <c r="CH227" s="212"/>
      <c r="CI227" s="212"/>
      <c r="CJ227" s="212"/>
      <c r="CK227" s="212"/>
      <c r="CL227" s="212"/>
      <c r="CM227" s="212"/>
      <c r="CN227" s="212"/>
      <c r="CO227" s="212"/>
      <c r="CP227" s="212"/>
      <c r="CQ227" s="212"/>
      <c r="CR227" s="212"/>
      <c r="CS227" s="212"/>
    </row>
    <row r="228" spans="1:97" x14ac:dyDescent="0.4">
      <c r="A228" s="209">
        <v>45514</v>
      </c>
      <c r="B228" s="210" t="s">
        <v>299</v>
      </c>
      <c r="C228" s="212"/>
      <c r="D228" s="212"/>
      <c r="E228" s="212"/>
      <c r="F228" s="212"/>
      <c r="G228" s="212"/>
      <c r="H228" s="212"/>
      <c r="I228" s="212"/>
      <c r="J228" s="212"/>
      <c r="K228" s="212"/>
      <c r="L228" s="212"/>
      <c r="M228" s="212"/>
      <c r="N228" s="212"/>
      <c r="O228" s="212"/>
      <c r="P228" s="212"/>
      <c r="Q228" s="212"/>
      <c r="R228" s="212"/>
      <c r="S228" s="212"/>
      <c r="T228" s="212"/>
      <c r="U228" s="212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12"/>
      <c r="AF228" s="212"/>
      <c r="AG228" s="212"/>
      <c r="AH228" s="212"/>
      <c r="AI228" s="212"/>
      <c r="AJ228" s="212"/>
      <c r="AK228" s="212"/>
      <c r="AL228" s="212"/>
      <c r="AM228" s="212"/>
      <c r="AN228" s="212"/>
      <c r="AO228" s="212"/>
      <c r="AP228" s="212"/>
      <c r="AQ228" s="212"/>
      <c r="AR228" s="212"/>
      <c r="AS228" s="212"/>
      <c r="AT228" s="212"/>
      <c r="AU228" s="212"/>
      <c r="AV228" s="212"/>
      <c r="AW228" s="212"/>
      <c r="AX228" s="212"/>
      <c r="AY228" s="212"/>
      <c r="AZ228" s="212"/>
      <c r="BA228" s="212"/>
      <c r="BB228" s="212"/>
      <c r="BC228" s="212"/>
      <c r="BD228" s="212"/>
      <c r="BE228" s="212"/>
      <c r="BF228" s="212"/>
      <c r="BG228" s="212"/>
      <c r="BH228" s="212"/>
      <c r="BI228" s="212"/>
      <c r="BJ228" s="212"/>
      <c r="BK228" s="212"/>
      <c r="BL228" s="212"/>
      <c r="BM228" s="212"/>
      <c r="BN228" s="212"/>
      <c r="BO228" s="212"/>
      <c r="BP228" s="212"/>
      <c r="BQ228" s="212"/>
      <c r="BR228" s="212"/>
      <c r="BS228" s="212"/>
      <c r="BT228" s="212"/>
      <c r="BU228" s="212"/>
      <c r="BV228" s="212"/>
      <c r="BW228" s="212"/>
      <c r="BX228" s="212"/>
      <c r="BY228" s="212"/>
      <c r="BZ228" s="212"/>
      <c r="CA228" s="212"/>
      <c r="CB228" s="212"/>
      <c r="CC228" s="212"/>
      <c r="CD228" s="212"/>
      <c r="CE228" s="212"/>
      <c r="CF228" s="212"/>
      <c r="CG228" s="212"/>
      <c r="CH228" s="212"/>
      <c r="CI228" s="212"/>
      <c r="CJ228" s="212"/>
      <c r="CK228" s="212"/>
      <c r="CL228" s="212"/>
      <c r="CM228" s="212"/>
      <c r="CN228" s="212"/>
      <c r="CO228" s="212"/>
      <c r="CP228" s="212"/>
      <c r="CQ228" s="212"/>
      <c r="CR228" s="212"/>
      <c r="CS228" s="212"/>
    </row>
    <row r="229" spans="1:97" x14ac:dyDescent="0.4">
      <c r="A229" s="209">
        <v>45515</v>
      </c>
      <c r="B229" s="210" t="s">
        <v>300</v>
      </c>
      <c r="C229" s="212"/>
      <c r="D229" s="212"/>
      <c r="E229" s="212"/>
      <c r="F229" s="212"/>
      <c r="G229" s="212"/>
      <c r="H229" s="212"/>
      <c r="I229" s="212"/>
      <c r="J229" s="212"/>
      <c r="K229" s="212"/>
      <c r="L229" s="212"/>
      <c r="M229" s="212"/>
      <c r="N229" s="212"/>
      <c r="O229" s="212"/>
      <c r="P229" s="212"/>
      <c r="Q229" s="212"/>
      <c r="R229" s="212"/>
      <c r="S229" s="212"/>
      <c r="T229" s="212"/>
      <c r="U229" s="212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12"/>
      <c r="AF229" s="212"/>
      <c r="AG229" s="212"/>
      <c r="AH229" s="212"/>
      <c r="AI229" s="212"/>
      <c r="AJ229" s="212"/>
      <c r="AK229" s="212"/>
      <c r="AL229" s="212"/>
      <c r="AM229" s="212"/>
      <c r="AN229" s="212"/>
      <c r="AO229" s="212"/>
      <c r="AP229" s="212"/>
      <c r="AQ229" s="212"/>
      <c r="AR229" s="212"/>
      <c r="AS229" s="212"/>
      <c r="AT229" s="212"/>
      <c r="AU229" s="212"/>
      <c r="AV229" s="212"/>
      <c r="AW229" s="212"/>
      <c r="AX229" s="212"/>
      <c r="AY229" s="212"/>
      <c r="AZ229" s="212"/>
      <c r="BA229" s="212"/>
      <c r="BB229" s="212"/>
      <c r="BC229" s="212"/>
      <c r="BD229" s="212"/>
      <c r="BE229" s="212"/>
      <c r="BF229" s="212"/>
      <c r="BG229" s="212"/>
      <c r="BH229" s="212"/>
      <c r="BI229" s="212"/>
      <c r="BJ229" s="212"/>
      <c r="BK229" s="212"/>
      <c r="BL229" s="212"/>
      <c r="BM229" s="212"/>
      <c r="BN229" s="212"/>
      <c r="BO229" s="212"/>
      <c r="BP229" s="212"/>
      <c r="BQ229" s="212"/>
      <c r="BR229" s="212"/>
      <c r="BS229" s="212"/>
      <c r="BT229" s="212"/>
      <c r="BU229" s="212"/>
      <c r="BV229" s="212"/>
      <c r="BW229" s="212"/>
      <c r="BX229" s="212"/>
      <c r="BY229" s="212"/>
      <c r="BZ229" s="212"/>
      <c r="CA229" s="212"/>
      <c r="CB229" s="212"/>
      <c r="CC229" s="212"/>
      <c r="CD229" s="212"/>
      <c r="CE229" s="212"/>
      <c r="CF229" s="212"/>
      <c r="CG229" s="212"/>
      <c r="CH229" s="212"/>
      <c r="CI229" s="212"/>
      <c r="CJ229" s="212"/>
      <c r="CK229" s="212"/>
      <c r="CL229" s="212"/>
      <c r="CM229" s="212"/>
      <c r="CN229" s="212"/>
      <c r="CO229" s="212"/>
      <c r="CP229" s="212"/>
      <c r="CQ229" s="212"/>
      <c r="CR229" s="212"/>
      <c r="CS229" s="212"/>
    </row>
    <row r="230" spans="1:97" x14ac:dyDescent="0.4">
      <c r="A230" s="209">
        <v>45516</v>
      </c>
      <c r="B230" s="210" t="s">
        <v>294</v>
      </c>
      <c r="C230" s="212"/>
      <c r="D230" s="212"/>
      <c r="E230" s="212"/>
      <c r="F230" s="212"/>
      <c r="G230" s="212"/>
      <c r="H230" s="212"/>
      <c r="I230" s="212"/>
      <c r="J230" s="212"/>
      <c r="K230" s="212"/>
      <c r="L230" s="212"/>
      <c r="M230" s="212"/>
      <c r="N230" s="212"/>
      <c r="O230" s="212"/>
      <c r="P230" s="212"/>
      <c r="Q230" s="212"/>
      <c r="R230" s="212"/>
      <c r="S230" s="212"/>
      <c r="T230" s="212"/>
      <c r="U230" s="212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12"/>
      <c r="AF230" s="212"/>
      <c r="AG230" s="212"/>
      <c r="AH230" s="212"/>
      <c r="AI230" s="212"/>
      <c r="AJ230" s="212"/>
      <c r="AK230" s="212"/>
      <c r="AL230" s="212"/>
      <c r="AM230" s="212"/>
      <c r="AN230" s="212"/>
      <c r="AO230" s="212"/>
      <c r="AP230" s="212"/>
      <c r="AQ230" s="212"/>
      <c r="AR230" s="212"/>
      <c r="AS230" s="212"/>
      <c r="AT230" s="212"/>
      <c r="AU230" s="212"/>
      <c r="AV230" s="212"/>
      <c r="AW230" s="212"/>
      <c r="AX230" s="212"/>
      <c r="AY230" s="212"/>
      <c r="AZ230" s="212"/>
      <c r="BA230" s="212"/>
      <c r="BB230" s="212"/>
      <c r="BC230" s="212"/>
      <c r="BD230" s="212"/>
      <c r="BE230" s="212"/>
      <c r="BF230" s="212"/>
      <c r="BG230" s="212"/>
      <c r="BH230" s="212"/>
      <c r="BI230" s="212"/>
      <c r="BJ230" s="212"/>
      <c r="BK230" s="212"/>
      <c r="BL230" s="212"/>
      <c r="BM230" s="212"/>
      <c r="BN230" s="212"/>
      <c r="BO230" s="212"/>
      <c r="BP230" s="212"/>
      <c r="BQ230" s="212"/>
      <c r="BR230" s="212"/>
      <c r="BS230" s="212"/>
      <c r="BT230" s="212"/>
      <c r="BU230" s="212"/>
      <c r="BV230" s="212"/>
      <c r="BW230" s="212"/>
      <c r="BX230" s="212"/>
      <c r="BY230" s="212"/>
      <c r="BZ230" s="212"/>
      <c r="CA230" s="212"/>
      <c r="CB230" s="212"/>
      <c r="CC230" s="212"/>
      <c r="CD230" s="212"/>
      <c r="CE230" s="212"/>
      <c r="CF230" s="212"/>
      <c r="CG230" s="212"/>
      <c r="CH230" s="212"/>
      <c r="CI230" s="212"/>
      <c r="CJ230" s="212"/>
      <c r="CK230" s="212"/>
      <c r="CL230" s="212"/>
      <c r="CM230" s="212"/>
      <c r="CN230" s="212"/>
      <c r="CO230" s="212"/>
      <c r="CP230" s="212"/>
      <c r="CQ230" s="212"/>
      <c r="CR230" s="212"/>
      <c r="CS230" s="212"/>
    </row>
    <row r="231" spans="1:97" x14ac:dyDescent="0.4">
      <c r="A231" s="209">
        <v>45517</v>
      </c>
      <c r="B231" s="210" t="s">
        <v>295</v>
      </c>
      <c r="C231" s="212"/>
      <c r="D231" s="212"/>
      <c r="E231" s="212"/>
      <c r="F231" s="212"/>
      <c r="G231" s="212"/>
      <c r="H231" s="212"/>
      <c r="I231" s="212"/>
      <c r="J231" s="212"/>
      <c r="K231" s="212"/>
      <c r="L231" s="212"/>
      <c r="M231" s="212"/>
      <c r="N231" s="212"/>
      <c r="O231" s="212"/>
      <c r="P231" s="212"/>
      <c r="Q231" s="212"/>
      <c r="R231" s="212"/>
      <c r="S231" s="212"/>
      <c r="T231" s="212"/>
      <c r="U231" s="212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12"/>
      <c r="AF231" s="212"/>
      <c r="AG231" s="212"/>
      <c r="AH231" s="212"/>
      <c r="AI231" s="212"/>
      <c r="AJ231" s="212"/>
      <c r="AK231" s="212"/>
      <c r="AL231" s="212"/>
      <c r="AM231" s="212"/>
      <c r="AN231" s="212"/>
      <c r="AO231" s="212"/>
      <c r="AP231" s="212"/>
      <c r="AQ231" s="212"/>
      <c r="AR231" s="212"/>
      <c r="AS231" s="212"/>
      <c r="AT231" s="212"/>
      <c r="AU231" s="212"/>
      <c r="AV231" s="212"/>
      <c r="AW231" s="212"/>
      <c r="AX231" s="212"/>
      <c r="AY231" s="212"/>
      <c r="AZ231" s="212"/>
      <c r="BA231" s="212"/>
      <c r="BB231" s="212"/>
      <c r="BC231" s="212"/>
      <c r="BD231" s="212"/>
      <c r="BE231" s="212"/>
      <c r="BF231" s="212"/>
      <c r="BG231" s="212"/>
      <c r="BH231" s="212"/>
      <c r="BI231" s="212"/>
      <c r="BJ231" s="212"/>
      <c r="BK231" s="212"/>
      <c r="BL231" s="212"/>
      <c r="BM231" s="212"/>
      <c r="BN231" s="212"/>
      <c r="BO231" s="212"/>
      <c r="BP231" s="212"/>
      <c r="BQ231" s="212"/>
      <c r="BR231" s="212"/>
      <c r="BS231" s="212"/>
      <c r="BT231" s="212"/>
      <c r="BU231" s="212"/>
      <c r="BV231" s="212"/>
      <c r="BW231" s="212"/>
      <c r="BX231" s="212"/>
      <c r="BY231" s="212"/>
      <c r="BZ231" s="212"/>
      <c r="CA231" s="212"/>
      <c r="CB231" s="212"/>
      <c r="CC231" s="212"/>
      <c r="CD231" s="212"/>
      <c r="CE231" s="212"/>
      <c r="CF231" s="212"/>
      <c r="CG231" s="212"/>
      <c r="CH231" s="212"/>
      <c r="CI231" s="212"/>
      <c r="CJ231" s="212"/>
      <c r="CK231" s="212"/>
      <c r="CL231" s="212"/>
      <c r="CM231" s="212"/>
      <c r="CN231" s="212"/>
      <c r="CO231" s="212"/>
      <c r="CP231" s="212"/>
      <c r="CQ231" s="212"/>
      <c r="CR231" s="212"/>
      <c r="CS231" s="212"/>
    </row>
    <row r="232" spans="1:97" x14ac:dyDescent="0.4">
      <c r="A232" s="209">
        <v>45518</v>
      </c>
      <c r="B232" s="210" t="s">
        <v>296</v>
      </c>
      <c r="C232" s="212"/>
      <c r="D232" s="212"/>
      <c r="E232" s="212"/>
      <c r="F232" s="212"/>
      <c r="G232" s="212"/>
      <c r="H232" s="212"/>
      <c r="I232" s="212"/>
      <c r="J232" s="212"/>
      <c r="K232" s="212"/>
      <c r="L232" s="212"/>
      <c r="M232" s="212"/>
      <c r="N232" s="212"/>
      <c r="O232" s="212"/>
      <c r="P232" s="212"/>
      <c r="Q232" s="212"/>
      <c r="R232" s="212"/>
      <c r="S232" s="212"/>
      <c r="T232" s="212"/>
      <c r="U232" s="212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12"/>
      <c r="AF232" s="212"/>
      <c r="AG232" s="212"/>
      <c r="AH232" s="212"/>
      <c r="AI232" s="212"/>
      <c r="AJ232" s="212"/>
      <c r="AK232" s="212"/>
      <c r="AL232" s="212"/>
      <c r="AM232" s="212"/>
      <c r="AN232" s="212"/>
      <c r="AO232" s="212"/>
      <c r="AP232" s="212"/>
      <c r="AQ232" s="212"/>
      <c r="AR232" s="212"/>
      <c r="AS232" s="212"/>
      <c r="AT232" s="212"/>
      <c r="AU232" s="212"/>
      <c r="AV232" s="212"/>
      <c r="AW232" s="212"/>
      <c r="AX232" s="212"/>
      <c r="AY232" s="212"/>
      <c r="AZ232" s="212"/>
      <c r="BA232" s="212"/>
      <c r="BB232" s="212"/>
      <c r="BC232" s="212"/>
      <c r="BD232" s="212"/>
      <c r="BE232" s="212"/>
      <c r="BF232" s="212"/>
      <c r="BG232" s="212"/>
      <c r="BH232" s="212"/>
      <c r="BI232" s="212"/>
      <c r="BJ232" s="212"/>
      <c r="BK232" s="212"/>
      <c r="BL232" s="212"/>
      <c r="BM232" s="212"/>
      <c r="BN232" s="212"/>
      <c r="BO232" s="212"/>
      <c r="BP232" s="212"/>
      <c r="BQ232" s="212"/>
      <c r="BR232" s="212"/>
      <c r="BS232" s="212"/>
      <c r="BT232" s="212"/>
      <c r="BU232" s="212"/>
      <c r="BV232" s="212"/>
      <c r="BW232" s="212"/>
      <c r="BX232" s="212"/>
      <c r="BY232" s="212"/>
      <c r="BZ232" s="212"/>
      <c r="CA232" s="212"/>
      <c r="CB232" s="212"/>
      <c r="CC232" s="212"/>
      <c r="CD232" s="212"/>
      <c r="CE232" s="212"/>
      <c r="CF232" s="212"/>
      <c r="CG232" s="212"/>
      <c r="CH232" s="212"/>
      <c r="CI232" s="212"/>
      <c r="CJ232" s="212"/>
      <c r="CK232" s="212"/>
      <c r="CL232" s="212"/>
      <c r="CM232" s="212"/>
      <c r="CN232" s="212"/>
      <c r="CO232" s="212"/>
      <c r="CP232" s="212"/>
      <c r="CQ232" s="212"/>
      <c r="CR232" s="212"/>
      <c r="CS232" s="212"/>
    </row>
    <row r="233" spans="1:97" x14ac:dyDescent="0.4">
      <c r="A233" s="209">
        <v>45519</v>
      </c>
      <c r="B233" s="210" t="s">
        <v>297</v>
      </c>
      <c r="C233" s="212"/>
      <c r="D233" s="212"/>
      <c r="E233" s="212"/>
      <c r="F233" s="212"/>
      <c r="G233" s="212"/>
      <c r="H233" s="212"/>
      <c r="I233" s="212"/>
      <c r="J233" s="212"/>
      <c r="K233" s="212"/>
      <c r="L233" s="212"/>
      <c r="M233" s="212"/>
      <c r="N233" s="212"/>
      <c r="O233" s="212"/>
      <c r="P233" s="212"/>
      <c r="Q233" s="212"/>
      <c r="R233" s="212"/>
      <c r="S233" s="212"/>
      <c r="T233" s="212"/>
      <c r="U233" s="212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12"/>
      <c r="AF233" s="212"/>
      <c r="AG233" s="212"/>
      <c r="AH233" s="212"/>
      <c r="AI233" s="212"/>
      <c r="AJ233" s="212"/>
      <c r="AK233" s="212"/>
      <c r="AL233" s="212"/>
      <c r="AM233" s="212"/>
      <c r="AN233" s="212"/>
      <c r="AO233" s="212"/>
      <c r="AP233" s="212"/>
      <c r="AQ233" s="212"/>
      <c r="AR233" s="212"/>
      <c r="AS233" s="212"/>
      <c r="AT233" s="212"/>
      <c r="AU233" s="212"/>
      <c r="AV233" s="212"/>
      <c r="AW233" s="212"/>
      <c r="AX233" s="212"/>
      <c r="AY233" s="212"/>
      <c r="AZ233" s="212"/>
      <c r="BA233" s="212"/>
      <c r="BB233" s="212"/>
      <c r="BC233" s="212"/>
      <c r="BD233" s="212"/>
      <c r="BE233" s="212"/>
      <c r="BF233" s="212"/>
      <c r="BG233" s="212"/>
      <c r="BH233" s="212"/>
      <c r="BI233" s="212"/>
      <c r="BJ233" s="212"/>
      <c r="BK233" s="212"/>
      <c r="BL233" s="212"/>
      <c r="BM233" s="212"/>
      <c r="BN233" s="212"/>
      <c r="BO233" s="212"/>
      <c r="BP233" s="212"/>
      <c r="BQ233" s="212"/>
      <c r="BR233" s="212"/>
      <c r="BS233" s="212"/>
      <c r="BT233" s="212"/>
      <c r="BU233" s="212"/>
      <c r="BV233" s="212"/>
      <c r="BW233" s="212"/>
      <c r="BX233" s="212"/>
      <c r="BY233" s="212"/>
      <c r="BZ233" s="212"/>
      <c r="CA233" s="212"/>
      <c r="CB233" s="212"/>
      <c r="CC233" s="212"/>
      <c r="CD233" s="212"/>
      <c r="CE233" s="212"/>
      <c r="CF233" s="212"/>
      <c r="CG233" s="212"/>
      <c r="CH233" s="212"/>
      <c r="CI233" s="212"/>
      <c r="CJ233" s="212"/>
      <c r="CK233" s="212"/>
      <c r="CL233" s="212"/>
      <c r="CM233" s="212"/>
      <c r="CN233" s="212"/>
      <c r="CO233" s="212"/>
      <c r="CP233" s="212"/>
      <c r="CQ233" s="212"/>
      <c r="CR233" s="212"/>
      <c r="CS233" s="212"/>
    </row>
    <row r="234" spans="1:97" x14ac:dyDescent="0.4">
      <c r="A234" s="209">
        <v>45520</v>
      </c>
      <c r="B234" s="210" t="s">
        <v>298</v>
      </c>
      <c r="C234" s="212"/>
      <c r="D234" s="212"/>
      <c r="E234" s="212"/>
      <c r="F234" s="212"/>
      <c r="G234" s="212"/>
      <c r="H234" s="212"/>
      <c r="I234" s="212"/>
      <c r="J234" s="212"/>
      <c r="K234" s="212"/>
      <c r="L234" s="212"/>
      <c r="M234" s="212"/>
      <c r="N234" s="212"/>
      <c r="O234" s="212"/>
      <c r="P234" s="212"/>
      <c r="Q234" s="212"/>
      <c r="R234" s="212"/>
      <c r="S234" s="212"/>
      <c r="T234" s="212"/>
      <c r="U234" s="212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12"/>
      <c r="AF234" s="212"/>
      <c r="AG234" s="212"/>
      <c r="AH234" s="212"/>
      <c r="AI234" s="212"/>
      <c r="AJ234" s="212"/>
      <c r="AK234" s="212"/>
      <c r="AL234" s="212"/>
      <c r="AM234" s="212"/>
      <c r="AN234" s="212"/>
      <c r="AO234" s="212"/>
      <c r="AP234" s="212"/>
      <c r="AQ234" s="212"/>
      <c r="AR234" s="212"/>
      <c r="AS234" s="212"/>
      <c r="AT234" s="212"/>
      <c r="AU234" s="212"/>
      <c r="AV234" s="212"/>
      <c r="AW234" s="212"/>
      <c r="AX234" s="212"/>
      <c r="AY234" s="212"/>
      <c r="AZ234" s="212"/>
      <c r="BA234" s="212"/>
      <c r="BB234" s="212"/>
      <c r="BC234" s="212"/>
      <c r="BD234" s="212"/>
      <c r="BE234" s="212"/>
      <c r="BF234" s="212"/>
      <c r="BG234" s="212"/>
      <c r="BH234" s="212"/>
      <c r="BI234" s="212"/>
      <c r="BJ234" s="212"/>
      <c r="BK234" s="212"/>
      <c r="BL234" s="212"/>
      <c r="BM234" s="212"/>
      <c r="BN234" s="212"/>
      <c r="BO234" s="212"/>
      <c r="BP234" s="212"/>
      <c r="BQ234" s="212"/>
      <c r="BR234" s="212"/>
      <c r="BS234" s="212"/>
      <c r="BT234" s="212"/>
      <c r="BU234" s="212"/>
      <c r="BV234" s="212"/>
      <c r="BW234" s="212"/>
      <c r="BX234" s="212"/>
      <c r="BY234" s="212"/>
      <c r="BZ234" s="212"/>
      <c r="CA234" s="212"/>
      <c r="CB234" s="212"/>
      <c r="CC234" s="212"/>
      <c r="CD234" s="212"/>
      <c r="CE234" s="212"/>
      <c r="CF234" s="212"/>
      <c r="CG234" s="212"/>
      <c r="CH234" s="212"/>
      <c r="CI234" s="212"/>
      <c r="CJ234" s="212"/>
      <c r="CK234" s="212"/>
      <c r="CL234" s="212"/>
      <c r="CM234" s="212"/>
      <c r="CN234" s="212"/>
      <c r="CO234" s="212"/>
      <c r="CP234" s="212"/>
      <c r="CQ234" s="212"/>
      <c r="CR234" s="212"/>
      <c r="CS234" s="212"/>
    </row>
    <row r="235" spans="1:97" x14ac:dyDescent="0.4">
      <c r="A235" s="209">
        <v>45521</v>
      </c>
      <c r="B235" s="210" t="s">
        <v>299</v>
      </c>
      <c r="C235" s="212"/>
      <c r="D235" s="212"/>
      <c r="E235" s="212"/>
      <c r="F235" s="212"/>
      <c r="G235" s="212"/>
      <c r="H235" s="212"/>
      <c r="I235" s="212"/>
      <c r="J235" s="212"/>
      <c r="K235" s="212"/>
      <c r="L235" s="212"/>
      <c r="M235" s="212"/>
      <c r="N235" s="212"/>
      <c r="O235" s="212"/>
      <c r="P235" s="212"/>
      <c r="Q235" s="212"/>
      <c r="R235" s="212"/>
      <c r="S235" s="212"/>
      <c r="T235" s="212"/>
      <c r="U235" s="212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12"/>
      <c r="AF235" s="212"/>
      <c r="AG235" s="212"/>
      <c r="AH235" s="212"/>
      <c r="AI235" s="212"/>
      <c r="AJ235" s="212"/>
      <c r="AK235" s="212"/>
      <c r="AL235" s="212"/>
      <c r="AM235" s="212"/>
      <c r="AN235" s="212"/>
      <c r="AO235" s="212"/>
      <c r="AP235" s="212"/>
      <c r="AQ235" s="212"/>
      <c r="AR235" s="212"/>
      <c r="AS235" s="212"/>
      <c r="AT235" s="212"/>
      <c r="AU235" s="212"/>
      <c r="AV235" s="212"/>
      <c r="AW235" s="212"/>
      <c r="AX235" s="212"/>
      <c r="AY235" s="212"/>
      <c r="AZ235" s="212"/>
      <c r="BA235" s="212"/>
      <c r="BB235" s="212"/>
      <c r="BC235" s="212"/>
      <c r="BD235" s="212"/>
      <c r="BE235" s="212"/>
      <c r="BF235" s="212"/>
      <c r="BG235" s="212"/>
      <c r="BH235" s="212"/>
      <c r="BI235" s="212"/>
      <c r="BJ235" s="212"/>
      <c r="BK235" s="212"/>
      <c r="BL235" s="212"/>
      <c r="BM235" s="212"/>
      <c r="BN235" s="212"/>
      <c r="BO235" s="212"/>
      <c r="BP235" s="212"/>
      <c r="BQ235" s="212"/>
      <c r="BR235" s="212"/>
      <c r="BS235" s="212"/>
      <c r="BT235" s="212"/>
      <c r="BU235" s="212"/>
      <c r="BV235" s="212"/>
      <c r="BW235" s="212"/>
      <c r="BX235" s="212"/>
      <c r="BY235" s="212"/>
      <c r="BZ235" s="212"/>
      <c r="CA235" s="212"/>
      <c r="CB235" s="212"/>
      <c r="CC235" s="212"/>
      <c r="CD235" s="212"/>
      <c r="CE235" s="212"/>
      <c r="CF235" s="212"/>
      <c r="CG235" s="212"/>
      <c r="CH235" s="212"/>
      <c r="CI235" s="212"/>
      <c r="CJ235" s="212"/>
      <c r="CK235" s="212"/>
      <c r="CL235" s="212"/>
      <c r="CM235" s="212"/>
      <c r="CN235" s="212"/>
      <c r="CO235" s="212"/>
      <c r="CP235" s="212"/>
      <c r="CQ235" s="212"/>
      <c r="CR235" s="212"/>
      <c r="CS235" s="212"/>
    </row>
    <row r="236" spans="1:97" x14ac:dyDescent="0.4">
      <c r="A236" s="209">
        <v>45522</v>
      </c>
      <c r="B236" s="210" t="s">
        <v>300</v>
      </c>
      <c r="C236" s="212"/>
      <c r="D236" s="212"/>
      <c r="E236" s="212"/>
      <c r="F236" s="212"/>
      <c r="G236" s="212"/>
      <c r="H236" s="212"/>
      <c r="I236" s="212"/>
      <c r="J236" s="212"/>
      <c r="K236" s="212"/>
      <c r="L236" s="212"/>
      <c r="M236" s="212"/>
      <c r="N236" s="212"/>
      <c r="O236" s="212"/>
      <c r="P236" s="212"/>
      <c r="Q236" s="212"/>
      <c r="R236" s="212"/>
      <c r="S236" s="212"/>
      <c r="T236" s="212"/>
      <c r="U236" s="212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12"/>
      <c r="AF236" s="212"/>
      <c r="AG236" s="212"/>
      <c r="AH236" s="212"/>
      <c r="AI236" s="212"/>
      <c r="AJ236" s="212"/>
      <c r="AK236" s="212"/>
      <c r="AL236" s="212"/>
      <c r="AM236" s="212"/>
      <c r="AN236" s="212"/>
      <c r="AO236" s="212"/>
      <c r="AP236" s="212"/>
      <c r="AQ236" s="212"/>
      <c r="AR236" s="212"/>
      <c r="AS236" s="212"/>
      <c r="AT236" s="212"/>
      <c r="AU236" s="212"/>
      <c r="AV236" s="212"/>
      <c r="AW236" s="212"/>
      <c r="AX236" s="212"/>
      <c r="AY236" s="212"/>
      <c r="AZ236" s="212"/>
      <c r="BA236" s="212"/>
      <c r="BB236" s="212"/>
      <c r="BC236" s="212"/>
      <c r="BD236" s="212"/>
      <c r="BE236" s="212"/>
      <c r="BF236" s="212"/>
      <c r="BG236" s="212"/>
      <c r="BH236" s="212"/>
      <c r="BI236" s="212"/>
      <c r="BJ236" s="212"/>
      <c r="BK236" s="212"/>
      <c r="BL236" s="212"/>
      <c r="BM236" s="212"/>
      <c r="BN236" s="212"/>
      <c r="BO236" s="212"/>
      <c r="BP236" s="212"/>
      <c r="BQ236" s="212"/>
      <c r="BR236" s="212"/>
      <c r="BS236" s="212"/>
      <c r="BT236" s="212"/>
      <c r="BU236" s="212"/>
      <c r="BV236" s="212"/>
      <c r="BW236" s="212"/>
      <c r="BX236" s="212"/>
      <c r="BY236" s="212"/>
      <c r="BZ236" s="212"/>
      <c r="CA236" s="212"/>
      <c r="CB236" s="212"/>
      <c r="CC236" s="212"/>
      <c r="CD236" s="212"/>
      <c r="CE236" s="212"/>
      <c r="CF236" s="212"/>
      <c r="CG236" s="212"/>
      <c r="CH236" s="212"/>
      <c r="CI236" s="212"/>
      <c r="CJ236" s="212"/>
      <c r="CK236" s="212"/>
      <c r="CL236" s="212"/>
      <c r="CM236" s="212"/>
      <c r="CN236" s="212"/>
      <c r="CO236" s="212"/>
      <c r="CP236" s="212"/>
      <c r="CQ236" s="212"/>
      <c r="CR236" s="212"/>
      <c r="CS236" s="212"/>
    </row>
    <row r="237" spans="1:97" x14ac:dyDescent="0.4">
      <c r="A237" s="209">
        <v>45523</v>
      </c>
      <c r="B237" s="210" t="s">
        <v>294</v>
      </c>
      <c r="C237" s="212"/>
      <c r="D237" s="212"/>
      <c r="E237" s="212"/>
      <c r="F237" s="212"/>
      <c r="G237" s="212"/>
      <c r="H237" s="212"/>
      <c r="I237" s="212"/>
      <c r="J237" s="212"/>
      <c r="K237" s="212"/>
      <c r="L237" s="212"/>
      <c r="M237" s="212"/>
      <c r="N237" s="212"/>
      <c r="O237" s="212"/>
      <c r="P237" s="212"/>
      <c r="Q237" s="212"/>
      <c r="R237" s="212"/>
      <c r="S237" s="212"/>
      <c r="T237" s="212"/>
      <c r="U237" s="212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12"/>
      <c r="AF237" s="212"/>
      <c r="AG237" s="212"/>
      <c r="AH237" s="212"/>
      <c r="AI237" s="212"/>
      <c r="AJ237" s="212"/>
      <c r="AK237" s="212"/>
      <c r="AL237" s="212"/>
      <c r="AM237" s="212"/>
      <c r="AN237" s="212"/>
      <c r="AO237" s="212"/>
      <c r="AP237" s="212"/>
      <c r="AQ237" s="212"/>
      <c r="AR237" s="212"/>
      <c r="AS237" s="212"/>
      <c r="AT237" s="212"/>
      <c r="AU237" s="212"/>
      <c r="AV237" s="212"/>
      <c r="AW237" s="212"/>
      <c r="AX237" s="212"/>
      <c r="AY237" s="212"/>
      <c r="AZ237" s="212"/>
      <c r="BA237" s="212"/>
      <c r="BB237" s="212"/>
      <c r="BC237" s="212"/>
      <c r="BD237" s="212"/>
      <c r="BE237" s="212"/>
      <c r="BF237" s="212"/>
      <c r="BG237" s="212"/>
      <c r="BH237" s="212"/>
      <c r="BI237" s="212"/>
      <c r="BJ237" s="212"/>
      <c r="BK237" s="212"/>
      <c r="BL237" s="212"/>
      <c r="BM237" s="212"/>
      <c r="BN237" s="212"/>
      <c r="BO237" s="212"/>
      <c r="BP237" s="212"/>
      <c r="BQ237" s="212"/>
      <c r="BR237" s="212"/>
      <c r="BS237" s="212"/>
      <c r="BT237" s="212"/>
      <c r="BU237" s="212"/>
      <c r="BV237" s="212"/>
      <c r="BW237" s="212"/>
      <c r="BX237" s="212"/>
      <c r="BY237" s="212"/>
      <c r="BZ237" s="212"/>
      <c r="CA237" s="212"/>
      <c r="CB237" s="212"/>
      <c r="CC237" s="212"/>
      <c r="CD237" s="212"/>
      <c r="CE237" s="212"/>
      <c r="CF237" s="212"/>
      <c r="CG237" s="212"/>
      <c r="CH237" s="212"/>
      <c r="CI237" s="212"/>
      <c r="CJ237" s="212"/>
      <c r="CK237" s="212"/>
      <c r="CL237" s="212"/>
      <c r="CM237" s="212"/>
      <c r="CN237" s="212"/>
      <c r="CO237" s="212"/>
      <c r="CP237" s="212"/>
      <c r="CQ237" s="212"/>
      <c r="CR237" s="212"/>
      <c r="CS237" s="212"/>
    </row>
    <row r="238" spans="1:97" x14ac:dyDescent="0.4">
      <c r="A238" s="209">
        <v>45524</v>
      </c>
      <c r="B238" s="210" t="s">
        <v>295</v>
      </c>
      <c r="C238" s="212"/>
      <c r="D238" s="212"/>
      <c r="E238" s="212"/>
      <c r="F238" s="212"/>
      <c r="G238" s="212"/>
      <c r="H238" s="212"/>
      <c r="I238" s="212"/>
      <c r="J238" s="212"/>
      <c r="K238" s="212"/>
      <c r="L238" s="212"/>
      <c r="M238" s="212"/>
      <c r="N238" s="212"/>
      <c r="O238" s="212"/>
      <c r="P238" s="212"/>
      <c r="Q238" s="212"/>
      <c r="R238" s="212"/>
      <c r="S238" s="212"/>
      <c r="T238" s="212"/>
      <c r="U238" s="212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12"/>
      <c r="AF238" s="212"/>
      <c r="AG238" s="212"/>
      <c r="AH238" s="212"/>
      <c r="AI238" s="212"/>
      <c r="AJ238" s="212"/>
      <c r="AK238" s="212"/>
      <c r="AL238" s="212"/>
      <c r="AM238" s="212"/>
      <c r="AN238" s="212"/>
      <c r="AO238" s="212"/>
      <c r="AP238" s="212"/>
      <c r="AQ238" s="212"/>
      <c r="AR238" s="212"/>
      <c r="AS238" s="212"/>
      <c r="AT238" s="212"/>
      <c r="AU238" s="212"/>
      <c r="AV238" s="212"/>
      <c r="AW238" s="212"/>
      <c r="AX238" s="212"/>
      <c r="AY238" s="212"/>
      <c r="AZ238" s="212"/>
      <c r="BA238" s="212"/>
      <c r="BB238" s="212"/>
      <c r="BC238" s="212"/>
      <c r="BD238" s="212"/>
      <c r="BE238" s="212"/>
      <c r="BF238" s="212"/>
      <c r="BG238" s="212"/>
      <c r="BH238" s="212"/>
      <c r="BI238" s="212"/>
      <c r="BJ238" s="212"/>
      <c r="BK238" s="212"/>
      <c r="BL238" s="212"/>
      <c r="BM238" s="212"/>
      <c r="BN238" s="212"/>
      <c r="BO238" s="212"/>
      <c r="BP238" s="212"/>
      <c r="BQ238" s="212"/>
      <c r="BR238" s="212"/>
      <c r="BS238" s="212"/>
      <c r="BT238" s="212"/>
      <c r="BU238" s="212"/>
      <c r="BV238" s="212"/>
      <c r="BW238" s="212"/>
      <c r="BX238" s="212"/>
      <c r="BY238" s="212"/>
      <c r="BZ238" s="212"/>
      <c r="CA238" s="212"/>
      <c r="CB238" s="212"/>
      <c r="CC238" s="212"/>
      <c r="CD238" s="212"/>
      <c r="CE238" s="212"/>
      <c r="CF238" s="212"/>
      <c r="CG238" s="212"/>
      <c r="CH238" s="212"/>
      <c r="CI238" s="212"/>
      <c r="CJ238" s="212"/>
      <c r="CK238" s="212"/>
      <c r="CL238" s="212"/>
      <c r="CM238" s="212"/>
      <c r="CN238" s="212"/>
      <c r="CO238" s="212"/>
      <c r="CP238" s="212"/>
      <c r="CQ238" s="212"/>
      <c r="CR238" s="212"/>
      <c r="CS238" s="212"/>
    </row>
    <row r="239" spans="1:97" x14ac:dyDescent="0.4">
      <c r="A239" s="209">
        <v>45525</v>
      </c>
      <c r="B239" s="210" t="s">
        <v>296</v>
      </c>
      <c r="C239" s="212"/>
      <c r="D239" s="212"/>
      <c r="E239" s="212"/>
      <c r="F239" s="212"/>
      <c r="G239" s="212"/>
      <c r="H239" s="212"/>
      <c r="I239" s="212"/>
      <c r="J239" s="212"/>
      <c r="K239" s="212"/>
      <c r="L239" s="212"/>
      <c r="M239" s="212"/>
      <c r="N239" s="212"/>
      <c r="O239" s="212"/>
      <c r="P239" s="212"/>
      <c r="Q239" s="212"/>
      <c r="R239" s="212"/>
      <c r="S239" s="212"/>
      <c r="T239" s="212"/>
      <c r="U239" s="212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12"/>
      <c r="AF239" s="212"/>
      <c r="AG239" s="212"/>
      <c r="AH239" s="212"/>
      <c r="AI239" s="212"/>
      <c r="AJ239" s="212"/>
      <c r="AK239" s="212"/>
      <c r="AL239" s="212"/>
      <c r="AM239" s="212"/>
      <c r="AN239" s="212"/>
      <c r="AO239" s="212"/>
      <c r="AP239" s="212"/>
      <c r="AQ239" s="212"/>
      <c r="AR239" s="212"/>
      <c r="AS239" s="212"/>
      <c r="AT239" s="212"/>
      <c r="AU239" s="212"/>
      <c r="AV239" s="212"/>
      <c r="AW239" s="212"/>
      <c r="AX239" s="212"/>
      <c r="AY239" s="212"/>
      <c r="AZ239" s="212"/>
      <c r="BA239" s="212"/>
      <c r="BB239" s="212"/>
      <c r="BC239" s="212"/>
      <c r="BD239" s="212"/>
      <c r="BE239" s="212"/>
      <c r="BF239" s="212"/>
      <c r="BG239" s="212"/>
      <c r="BH239" s="212"/>
      <c r="BI239" s="212"/>
      <c r="BJ239" s="212"/>
      <c r="BK239" s="212"/>
      <c r="BL239" s="212"/>
      <c r="BM239" s="212"/>
      <c r="BN239" s="212"/>
      <c r="BO239" s="212"/>
      <c r="BP239" s="212"/>
      <c r="BQ239" s="212"/>
      <c r="BR239" s="212"/>
      <c r="BS239" s="212"/>
      <c r="BT239" s="212"/>
      <c r="BU239" s="212"/>
      <c r="BV239" s="212"/>
      <c r="BW239" s="212"/>
      <c r="BX239" s="212"/>
      <c r="BY239" s="212"/>
      <c r="BZ239" s="212"/>
      <c r="CA239" s="212"/>
      <c r="CB239" s="212"/>
      <c r="CC239" s="212"/>
      <c r="CD239" s="212"/>
      <c r="CE239" s="212"/>
      <c r="CF239" s="212"/>
      <c r="CG239" s="212"/>
      <c r="CH239" s="212"/>
      <c r="CI239" s="212"/>
      <c r="CJ239" s="212"/>
      <c r="CK239" s="212"/>
      <c r="CL239" s="212"/>
      <c r="CM239" s="212"/>
      <c r="CN239" s="212"/>
      <c r="CO239" s="212"/>
      <c r="CP239" s="212"/>
      <c r="CQ239" s="212"/>
      <c r="CR239" s="212"/>
      <c r="CS239" s="212"/>
    </row>
    <row r="240" spans="1:97" x14ac:dyDescent="0.4">
      <c r="A240" s="209">
        <v>45526</v>
      </c>
      <c r="B240" s="210" t="s">
        <v>297</v>
      </c>
      <c r="C240" s="212"/>
      <c r="D240" s="212"/>
      <c r="E240" s="212"/>
      <c r="F240" s="212"/>
      <c r="G240" s="212"/>
      <c r="H240" s="212"/>
      <c r="I240" s="212"/>
      <c r="J240" s="212"/>
      <c r="K240" s="212"/>
      <c r="L240" s="212"/>
      <c r="M240" s="212"/>
      <c r="N240" s="212"/>
      <c r="O240" s="212"/>
      <c r="P240" s="212"/>
      <c r="Q240" s="212"/>
      <c r="R240" s="212"/>
      <c r="S240" s="212"/>
      <c r="T240" s="212"/>
      <c r="U240" s="212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12"/>
      <c r="AF240" s="212"/>
      <c r="AG240" s="212"/>
      <c r="AH240" s="212"/>
      <c r="AI240" s="212"/>
      <c r="AJ240" s="212"/>
      <c r="AK240" s="212"/>
      <c r="AL240" s="212"/>
      <c r="AM240" s="212"/>
      <c r="AN240" s="212"/>
      <c r="AO240" s="212"/>
      <c r="AP240" s="212"/>
      <c r="AQ240" s="212"/>
      <c r="AR240" s="212"/>
      <c r="AS240" s="212"/>
      <c r="AT240" s="212"/>
      <c r="AU240" s="212"/>
      <c r="AV240" s="212"/>
      <c r="AW240" s="212"/>
      <c r="AX240" s="212"/>
      <c r="AY240" s="212"/>
      <c r="AZ240" s="212"/>
      <c r="BA240" s="212"/>
      <c r="BB240" s="212"/>
      <c r="BC240" s="212"/>
      <c r="BD240" s="212"/>
      <c r="BE240" s="212"/>
      <c r="BF240" s="212"/>
      <c r="BG240" s="212"/>
      <c r="BH240" s="212"/>
      <c r="BI240" s="212"/>
      <c r="BJ240" s="212"/>
      <c r="BK240" s="212"/>
      <c r="BL240" s="212"/>
      <c r="BM240" s="212"/>
      <c r="BN240" s="212"/>
      <c r="BO240" s="212"/>
      <c r="BP240" s="212"/>
      <c r="BQ240" s="212"/>
      <c r="BR240" s="212"/>
      <c r="BS240" s="212"/>
      <c r="BT240" s="212"/>
      <c r="BU240" s="212"/>
      <c r="BV240" s="212"/>
      <c r="BW240" s="212"/>
      <c r="BX240" s="212"/>
      <c r="BY240" s="212"/>
      <c r="BZ240" s="212"/>
      <c r="CA240" s="212"/>
      <c r="CB240" s="212"/>
      <c r="CC240" s="212"/>
      <c r="CD240" s="212"/>
      <c r="CE240" s="212"/>
      <c r="CF240" s="212"/>
      <c r="CG240" s="212"/>
      <c r="CH240" s="212"/>
      <c r="CI240" s="212"/>
      <c r="CJ240" s="212"/>
      <c r="CK240" s="212"/>
      <c r="CL240" s="212"/>
      <c r="CM240" s="212"/>
      <c r="CN240" s="212"/>
      <c r="CO240" s="212"/>
      <c r="CP240" s="212"/>
      <c r="CQ240" s="212"/>
      <c r="CR240" s="212"/>
      <c r="CS240" s="212"/>
    </row>
    <row r="241" spans="1:97" x14ac:dyDescent="0.4">
      <c r="A241" s="209">
        <v>45527</v>
      </c>
      <c r="B241" s="210" t="s">
        <v>298</v>
      </c>
      <c r="C241" s="212"/>
      <c r="D241" s="212"/>
      <c r="E241" s="212"/>
      <c r="F241" s="212"/>
      <c r="G241" s="212"/>
      <c r="H241" s="212"/>
      <c r="I241" s="212"/>
      <c r="J241" s="212"/>
      <c r="K241" s="212"/>
      <c r="L241" s="212"/>
      <c r="M241" s="212"/>
      <c r="N241" s="212"/>
      <c r="O241" s="212"/>
      <c r="P241" s="212"/>
      <c r="Q241" s="212"/>
      <c r="R241" s="212"/>
      <c r="S241" s="212"/>
      <c r="T241" s="212"/>
      <c r="U241" s="212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12"/>
      <c r="AF241" s="212"/>
      <c r="AG241" s="212"/>
      <c r="AH241" s="212"/>
      <c r="AI241" s="212"/>
      <c r="AJ241" s="212"/>
      <c r="AK241" s="212"/>
      <c r="AL241" s="212"/>
      <c r="AM241" s="212"/>
      <c r="AN241" s="212"/>
      <c r="AO241" s="212"/>
      <c r="AP241" s="212"/>
      <c r="AQ241" s="212"/>
      <c r="AR241" s="212"/>
      <c r="AS241" s="212"/>
      <c r="AT241" s="212"/>
      <c r="AU241" s="212"/>
      <c r="AV241" s="212"/>
      <c r="AW241" s="212"/>
      <c r="AX241" s="212"/>
      <c r="AY241" s="212"/>
      <c r="AZ241" s="212"/>
      <c r="BA241" s="212"/>
      <c r="BB241" s="212"/>
      <c r="BC241" s="212"/>
      <c r="BD241" s="212"/>
      <c r="BE241" s="212"/>
      <c r="BF241" s="212"/>
      <c r="BG241" s="212"/>
      <c r="BH241" s="212"/>
      <c r="BI241" s="212"/>
      <c r="BJ241" s="212"/>
      <c r="BK241" s="212"/>
      <c r="BL241" s="212"/>
      <c r="BM241" s="212"/>
      <c r="BN241" s="212"/>
      <c r="BO241" s="212"/>
      <c r="BP241" s="212"/>
      <c r="BQ241" s="212"/>
      <c r="BR241" s="212"/>
      <c r="BS241" s="212"/>
      <c r="BT241" s="212"/>
      <c r="BU241" s="212"/>
      <c r="BV241" s="212"/>
      <c r="BW241" s="212"/>
      <c r="BX241" s="212"/>
      <c r="BY241" s="212"/>
      <c r="BZ241" s="212"/>
      <c r="CA241" s="212"/>
      <c r="CB241" s="212"/>
      <c r="CC241" s="212"/>
      <c r="CD241" s="212"/>
      <c r="CE241" s="212"/>
      <c r="CF241" s="212"/>
      <c r="CG241" s="212"/>
      <c r="CH241" s="212"/>
      <c r="CI241" s="212"/>
      <c r="CJ241" s="212"/>
      <c r="CK241" s="212"/>
      <c r="CL241" s="212"/>
      <c r="CM241" s="212"/>
      <c r="CN241" s="212"/>
      <c r="CO241" s="212"/>
      <c r="CP241" s="212"/>
      <c r="CQ241" s="212"/>
      <c r="CR241" s="212"/>
      <c r="CS241" s="212"/>
    </row>
    <row r="242" spans="1:97" x14ac:dyDescent="0.4">
      <c r="A242" s="209">
        <v>45528</v>
      </c>
      <c r="B242" s="210" t="s">
        <v>299</v>
      </c>
      <c r="C242" s="212"/>
      <c r="D242" s="212"/>
      <c r="E242" s="212"/>
      <c r="F242" s="212"/>
      <c r="G242" s="212"/>
      <c r="H242" s="212"/>
      <c r="I242" s="212"/>
      <c r="J242" s="212"/>
      <c r="K242" s="212"/>
      <c r="L242" s="212"/>
      <c r="M242" s="212"/>
      <c r="N242" s="212"/>
      <c r="O242" s="212"/>
      <c r="P242" s="212"/>
      <c r="Q242" s="212"/>
      <c r="R242" s="212"/>
      <c r="S242" s="212"/>
      <c r="T242" s="212"/>
      <c r="U242" s="212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12"/>
      <c r="AF242" s="212"/>
      <c r="AG242" s="212"/>
      <c r="AH242" s="212"/>
      <c r="AI242" s="212"/>
      <c r="AJ242" s="212"/>
      <c r="AK242" s="212"/>
      <c r="AL242" s="212"/>
      <c r="AM242" s="212"/>
      <c r="AN242" s="212"/>
      <c r="AO242" s="212"/>
      <c r="AP242" s="212"/>
      <c r="AQ242" s="212"/>
      <c r="AR242" s="212"/>
      <c r="AS242" s="212"/>
      <c r="AT242" s="212"/>
      <c r="AU242" s="212"/>
      <c r="AV242" s="212"/>
      <c r="AW242" s="212"/>
      <c r="AX242" s="212"/>
      <c r="AY242" s="212"/>
      <c r="AZ242" s="212"/>
      <c r="BA242" s="212"/>
      <c r="BB242" s="212"/>
      <c r="BC242" s="212"/>
      <c r="BD242" s="212"/>
      <c r="BE242" s="212"/>
      <c r="BF242" s="212"/>
      <c r="BG242" s="212"/>
      <c r="BH242" s="212"/>
      <c r="BI242" s="212"/>
      <c r="BJ242" s="212"/>
      <c r="BK242" s="212"/>
      <c r="BL242" s="212"/>
      <c r="BM242" s="212"/>
      <c r="BN242" s="212"/>
      <c r="BO242" s="212"/>
      <c r="BP242" s="212"/>
      <c r="BQ242" s="212"/>
      <c r="BR242" s="212"/>
      <c r="BS242" s="212"/>
      <c r="BT242" s="212"/>
      <c r="BU242" s="212"/>
      <c r="BV242" s="212"/>
      <c r="BW242" s="212"/>
      <c r="BX242" s="212"/>
      <c r="BY242" s="212"/>
      <c r="BZ242" s="212"/>
      <c r="CA242" s="212"/>
      <c r="CB242" s="212"/>
      <c r="CC242" s="212"/>
      <c r="CD242" s="212"/>
      <c r="CE242" s="212"/>
      <c r="CF242" s="212"/>
      <c r="CG242" s="212"/>
      <c r="CH242" s="212"/>
      <c r="CI242" s="212"/>
      <c r="CJ242" s="212"/>
      <c r="CK242" s="212"/>
      <c r="CL242" s="212"/>
      <c r="CM242" s="212"/>
      <c r="CN242" s="212"/>
      <c r="CO242" s="212"/>
      <c r="CP242" s="212"/>
      <c r="CQ242" s="212"/>
      <c r="CR242" s="212"/>
      <c r="CS242" s="212"/>
    </row>
    <row r="243" spans="1:97" x14ac:dyDescent="0.4">
      <c r="A243" s="209">
        <v>45529</v>
      </c>
      <c r="B243" s="210" t="s">
        <v>300</v>
      </c>
      <c r="C243" s="212"/>
      <c r="D243" s="212"/>
      <c r="E243" s="212"/>
      <c r="F243" s="212"/>
      <c r="G243" s="212"/>
      <c r="H243" s="212"/>
      <c r="I243" s="212"/>
      <c r="J243" s="212"/>
      <c r="K243" s="212"/>
      <c r="L243" s="212"/>
      <c r="M243" s="212"/>
      <c r="N243" s="212"/>
      <c r="O243" s="212"/>
      <c r="P243" s="212"/>
      <c r="Q243" s="212"/>
      <c r="R243" s="212"/>
      <c r="S243" s="212"/>
      <c r="T243" s="212"/>
      <c r="U243" s="212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12"/>
      <c r="AF243" s="212"/>
      <c r="AG243" s="212"/>
      <c r="AH243" s="212"/>
      <c r="AI243" s="212"/>
      <c r="AJ243" s="212"/>
      <c r="AK243" s="212"/>
      <c r="AL243" s="212"/>
      <c r="AM243" s="212"/>
      <c r="AN243" s="212"/>
      <c r="AO243" s="212"/>
      <c r="AP243" s="212"/>
      <c r="AQ243" s="212"/>
      <c r="AR243" s="212"/>
      <c r="AS243" s="212"/>
      <c r="AT243" s="212"/>
      <c r="AU243" s="212"/>
      <c r="AV243" s="212"/>
      <c r="AW243" s="212"/>
      <c r="AX243" s="212"/>
      <c r="AY243" s="212"/>
      <c r="AZ243" s="212"/>
      <c r="BA243" s="212"/>
      <c r="BB243" s="212"/>
      <c r="BC243" s="212"/>
      <c r="BD243" s="212"/>
      <c r="BE243" s="212"/>
      <c r="BF243" s="212"/>
      <c r="BG243" s="212"/>
      <c r="BH243" s="212"/>
      <c r="BI243" s="212"/>
      <c r="BJ243" s="212"/>
      <c r="BK243" s="212"/>
      <c r="BL243" s="212"/>
      <c r="BM243" s="212"/>
      <c r="BN243" s="212"/>
      <c r="BO243" s="212"/>
      <c r="BP243" s="212"/>
      <c r="BQ243" s="212"/>
      <c r="BR243" s="212"/>
      <c r="BS243" s="212"/>
      <c r="BT243" s="212"/>
      <c r="BU243" s="212"/>
      <c r="BV243" s="212"/>
      <c r="BW243" s="212"/>
      <c r="BX243" s="212"/>
      <c r="BY243" s="212"/>
      <c r="BZ243" s="212"/>
      <c r="CA243" s="212"/>
      <c r="CB243" s="212"/>
      <c r="CC243" s="212"/>
      <c r="CD243" s="212"/>
      <c r="CE243" s="212"/>
      <c r="CF243" s="212"/>
      <c r="CG243" s="212"/>
      <c r="CH243" s="212"/>
      <c r="CI243" s="212"/>
      <c r="CJ243" s="212"/>
      <c r="CK243" s="212"/>
      <c r="CL243" s="212"/>
      <c r="CM243" s="212"/>
      <c r="CN243" s="212"/>
      <c r="CO243" s="212"/>
      <c r="CP243" s="212"/>
      <c r="CQ243" s="212"/>
      <c r="CR243" s="212"/>
      <c r="CS243" s="212"/>
    </row>
    <row r="244" spans="1:97" x14ac:dyDescent="0.4">
      <c r="A244" s="209">
        <v>45530</v>
      </c>
      <c r="B244" s="210" t="s">
        <v>294</v>
      </c>
      <c r="C244" s="212"/>
      <c r="D244" s="212"/>
      <c r="E244" s="212"/>
      <c r="F244" s="212"/>
      <c r="G244" s="212"/>
      <c r="H244" s="212"/>
      <c r="I244" s="212"/>
      <c r="J244" s="212"/>
      <c r="K244" s="212"/>
      <c r="L244" s="212"/>
      <c r="M244" s="212"/>
      <c r="N244" s="212"/>
      <c r="O244" s="212"/>
      <c r="P244" s="212"/>
      <c r="Q244" s="212"/>
      <c r="R244" s="212"/>
      <c r="S244" s="212"/>
      <c r="T244" s="212"/>
      <c r="U244" s="212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12"/>
      <c r="AF244" s="212"/>
      <c r="AG244" s="212"/>
      <c r="AH244" s="212"/>
      <c r="AI244" s="212"/>
      <c r="AJ244" s="212"/>
      <c r="AK244" s="212"/>
      <c r="AL244" s="212"/>
      <c r="AM244" s="212"/>
      <c r="AN244" s="212"/>
      <c r="AO244" s="212"/>
      <c r="AP244" s="212"/>
      <c r="AQ244" s="212"/>
      <c r="AR244" s="212"/>
      <c r="AS244" s="212"/>
      <c r="AT244" s="212"/>
      <c r="AU244" s="212"/>
      <c r="AV244" s="212"/>
      <c r="AW244" s="212"/>
      <c r="AX244" s="212"/>
      <c r="AY244" s="212"/>
      <c r="AZ244" s="212"/>
      <c r="BA244" s="212"/>
      <c r="BB244" s="212"/>
      <c r="BC244" s="212"/>
      <c r="BD244" s="212"/>
      <c r="BE244" s="212"/>
      <c r="BF244" s="212"/>
      <c r="BG244" s="212"/>
      <c r="BH244" s="212"/>
      <c r="BI244" s="212"/>
      <c r="BJ244" s="212"/>
      <c r="BK244" s="212"/>
      <c r="BL244" s="212"/>
      <c r="BM244" s="212"/>
      <c r="BN244" s="212"/>
      <c r="BO244" s="212"/>
      <c r="BP244" s="212"/>
      <c r="BQ244" s="212"/>
      <c r="BR244" s="212"/>
      <c r="BS244" s="212"/>
      <c r="BT244" s="212"/>
      <c r="BU244" s="212"/>
      <c r="BV244" s="212"/>
      <c r="BW244" s="212"/>
      <c r="BX244" s="212"/>
      <c r="BY244" s="212"/>
      <c r="BZ244" s="212"/>
      <c r="CA244" s="212"/>
      <c r="CB244" s="212"/>
      <c r="CC244" s="212"/>
      <c r="CD244" s="212"/>
      <c r="CE244" s="212"/>
      <c r="CF244" s="212"/>
      <c r="CG244" s="212"/>
      <c r="CH244" s="212"/>
      <c r="CI244" s="212"/>
      <c r="CJ244" s="212"/>
      <c r="CK244" s="212"/>
      <c r="CL244" s="212"/>
      <c r="CM244" s="212"/>
      <c r="CN244" s="212"/>
      <c r="CO244" s="212"/>
      <c r="CP244" s="212"/>
      <c r="CQ244" s="212"/>
      <c r="CR244" s="212"/>
      <c r="CS244" s="212"/>
    </row>
    <row r="245" spans="1:97" x14ac:dyDescent="0.4">
      <c r="A245" s="209">
        <v>45531</v>
      </c>
      <c r="B245" s="210" t="s">
        <v>295</v>
      </c>
      <c r="C245" s="212"/>
      <c r="D245" s="212"/>
      <c r="E245" s="212"/>
      <c r="F245" s="212"/>
      <c r="G245" s="212"/>
      <c r="H245" s="212"/>
      <c r="I245" s="212"/>
      <c r="J245" s="212"/>
      <c r="K245" s="212"/>
      <c r="L245" s="212"/>
      <c r="M245" s="212"/>
      <c r="N245" s="212"/>
      <c r="O245" s="212"/>
      <c r="P245" s="212"/>
      <c r="Q245" s="212"/>
      <c r="R245" s="212"/>
      <c r="S245" s="212"/>
      <c r="T245" s="212"/>
      <c r="U245" s="212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12"/>
      <c r="AF245" s="212"/>
      <c r="AG245" s="212"/>
      <c r="AH245" s="212"/>
      <c r="AI245" s="212"/>
      <c r="AJ245" s="212"/>
      <c r="AK245" s="212"/>
      <c r="AL245" s="212"/>
      <c r="AM245" s="212"/>
      <c r="AN245" s="212"/>
      <c r="AO245" s="212"/>
      <c r="AP245" s="212"/>
      <c r="AQ245" s="212"/>
      <c r="AR245" s="212"/>
      <c r="AS245" s="212"/>
      <c r="AT245" s="212"/>
      <c r="AU245" s="212"/>
      <c r="AV245" s="212"/>
      <c r="AW245" s="212"/>
      <c r="AX245" s="212"/>
      <c r="AY245" s="212"/>
      <c r="AZ245" s="212"/>
      <c r="BA245" s="212"/>
      <c r="BB245" s="212"/>
      <c r="BC245" s="212"/>
      <c r="BD245" s="212"/>
      <c r="BE245" s="212"/>
      <c r="BF245" s="212"/>
      <c r="BG245" s="212"/>
      <c r="BH245" s="212"/>
      <c r="BI245" s="212"/>
      <c r="BJ245" s="212"/>
      <c r="BK245" s="212"/>
      <c r="BL245" s="212"/>
      <c r="BM245" s="212"/>
      <c r="BN245" s="212"/>
      <c r="BO245" s="212"/>
      <c r="BP245" s="212"/>
      <c r="BQ245" s="212"/>
      <c r="BR245" s="212"/>
      <c r="BS245" s="212"/>
      <c r="BT245" s="212"/>
      <c r="BU245" s="212"/>
      <c r="BV245" s="212"/>
      <c r="BW245" s="212"/>
      <c r="BX245" s="212"/>
      <c r="BY245" s="212"/>
      <c r="BZ245" s="212"/>
      <c r="CA245" s="212"/>
      <c r="CB245" s="212"/>
      <c r="CC245" s="212"/>
      <c r="CD245" s="212"/>
      <c r="CE245" s="212"/>
      <c r="CF245" s="212"/>
      <c r="CG245" s="212"/>
      <c r="CH245" s="212"/>
      <c r="CI245" s="212"/>
      <c r="CJ245" s="212"/>
      <c r="CK245" s="212"/>
      <c r="CL245" s="212"/>
      <c r="CM245" s="212"/>
      <c r="CN245" s="212"/>
      <c r="CO245" s="212"/>
      <c r="CP245" s="212"/>
      <c r="CQ245" s="212"/>
      <c r="CR245" s="212"/>
      <c r="CS245" s="212"/>
    </row>
    <row r="246" spans="1:97" x14ac:dyDescent="0.4">
      <c r="A246" s="209">
        <v>45532</v>
      </c>
      <c r="B246" s="210" t="s">
        <v>296</v>
      </c>
      <c r="C246" s="212"/>
      <c r="D246" s="212"/>
      <c r="E246" s="212"/>
      <c r="F246" s="212"/>
      <c r="G246" s="212"/>
      <c r="H246" s="212"/>
      <c r="I246" s="212"/>
      <c r="J246" s="212"/>
      <c r="K246" s="212"/>
      <c r="L246" s="212"/>
      <c r="M246" s="212"/>
      <c r="N246" s="212"/>
      <c r="O246" s="212"/>
      <c r="P246" s="212"/>
      <c r="Q246" s="212"/>
      <c r="R246" s="212"/>
      <c r="S246" s="212"/>
      <c r="T246" s="212"/>
      <c r="U246" s="212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12"/>
      <c r="AF246" s="212"/>
      <c r="AG246" s="212"/>
      <c r="AH246" s="212"/>
      <c r="AI246" s="212"/>
      <c r="AJ246" s="212"/>
      <c r="AK246" s="212"/>
      <c r="AL246" s="212"/>
      <c r="AM246" s="212"/>
      <c r="AN246" s="212"/>
      <c r="AO246" s="212"/>
      <c r="AP246" s="212"/>
      <c r="AQ246" s="212"/>
      <c r="AR246" s="212"/>
      <c r="AS246" s="212"/>
      <c r="AT246" s="212"/>
      <c r="AU246" s="212"/>
      <c r="AV246" s="212"/>
      <c r="AW246" s="212"/>
      <c r="AX246" s="212"/>
      <c r="AY246" s="212"/>
      <c r="AZ246" s="212"/>
      <c r="BA246" s="212"/>
      <c r="BB246" s="212"/>
      <c r="BC246" s="212"/>
      <c r="BD246" s="212"/>
      <c r="BE246" s="212"/>
      <c r="BF246" s="212"/>
      <c r="BG246" s="212"/>
      <c r="BH246" s="212"/>
      <c r="BI246" s="212"/>
      <c r="BJ246" s="212"/>
      <c r="BK246" s="212"/>
      <c r="BL246" s="212"/>
      <c r="BM246" s="212"/>
      <c r="BN246" s="212"/>
      <c r="BO246" s="212"/>
      <c r="BP246" s="212"/>
      <c r="BQ246" s="212"/>
      <c r="BR246" s="212"/>
      <c r="BS246" s="212"/>
      <c r="BT246" s="212"/>
      <c r="BU246" s="212"/>
      <c r="BV246" s="212"/>
      <c r="BW246" s="212"/>
      <c r="BX246" s="212"/>
      <c r="BY246" s="212"/>
      <c r="BZ246" s="212"/>
      <c r="CA246" s="212"/>
      <c r="CB246" s="212"/>
      <c r="CC246" s="212"/>
      <c r="CD246" s="212"/>
      <c r="CE246" s="212"/>
      <c r="CF246" s="212"/>
      <c r="CG246" s="212"/>
      <c r="CH246" s="212"/>
      <c r="CI246" s="212"/>
      <c r="CJ246" s="212"/>
      <c r="CK246" s="212"/>
      <c r="CL246" s="212"/>
      <c r="CM246" s="212"/>
      <c r="CN246" s="212"/>
      <c r="CO246" s="212"/>
      <c r="CP246" s="212"/>
      <c r="CQ246" s="212"/>
      <c r="CR246" s="212"/>
      <c r="CS246" s="212"/>
    </row>
    <row r="247" spans="1:97" x14ac:dyDescent="0.4">
      <c r="A247" s="209">
        <v>45533</v>
      </c>
      <c r="B247" s="210" t="s">
        <v>297</v>
      </c>
      <c r="C247" s="212"/>
      <c r="D247" s="212"/>
      <c r="E247" s="212"/>
      <c r="F247" s="212"/>
      <c r="G247" s="212"/>
      <c r="H247" s="212"/>
      <c r="I247" s="212"/>
      <c r="J247" s="212"/>
      <c r="K247" s="212"/>
      <c r="L247" s="212"/>
      <c r="M247" s="212"/>
      <c r="N247" s="212"/>
      <c r="O247" s="212"/>
      <c r="P247" s="212"/>
      <c r="Q247" s="212"/>
      <c r="R247" s="212"/>
      <c r="S247" s="212"/>
      <c r="T247" s="212"/>
      <c r="U247" s="212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12"/>
      <c r="AF247" s="212"/>
      <c r="AG247" s="212"/>
      <c r="AH247" s="212"/>
      <c r="AI247" s="212"/>
      <c r="AJ247" s="212"/>
      <c r="AK247" s="212"/>
      <c r="AL247" s="212"/>
      <c r="AM247" s="212"/>
      <c r="AN247" s="212"/>
      <c r="AO247" s="212"/>
      <c r="AP247" s="212"/>
      <c r="AQ247" s="212"/>
      <c r="AR247" s="212"/>
      <c r="AS247" s="212"/>
      <c r="AT247" s="212"/>
      <c r="AU247" s="212"/>
      <c r="AV247" s="212"/>
      <c r="AW247" s="212"/>
      <c r="AX247" s="212"/>
      <c r="AY247" s="212"/>
      <c r="AZ247" s="212"/>
      <c r="BA247" s="212"/>
      <c r="BB247" s="212"/>
      <c r="BC247" s="212"/>
      <c r="BD247" s="212"/>
      <c r="BE247" s="212"/>
      <c r="BF247" s="212"/>
      <c r="BG247" s="212"/>
      <c r="BH247" s="212"/>
      <c r="BI247" s="212"/>
      <c r="BJ247" s="212"/>
      <c r="BK247" s="212"/>
      <c r="BL247" s="212"/>
      <c r="BM247" s="212"/>
      <c r="BN247" s="212"/>
      <c r="BO247" s="212"/>
      <c r="BP247" s="212"/>
      <c r="BQ247" s="212"/>
      <c r="BR247" s="212"/>
      <c r="BS247" s="212"/>
      <c r="BT247" s="212"/>
      <c r="BU247" s="212"/>
      <c r="BV247" s="212"/>
      <c r="BW247" s="212"/>
      <c r="BX247" s="212"/>
      <c r="BY247" s="212"/>
      <c r="BZ247" s="212"/>
      <c r="CA247" s="212"/>
      <c r="CB247" s="212"/>
      <c r="CC247" s="212"/>
      <c r="CD247" s="212"/>
      <c r="CE247" s="212"/>
      <c r="CF247" s="212"/>
      <c r="CG247" s="212"/>
      <c r="CH247" s="212"/>
      <c r="CI247" s="212"/>
      <c r="CJ247" s="212"/>
      <c r="CK247" s="212"/>
      <c r="CL247" s="212"/>
      <c r="CM247" s="212"/>
      <c r="CN247" s="212"/>
      <c r="CO247" s="212"/>
      <c r="CP247" s="212"/>
      <c r="CQ247" s="212"/>
      <c r="CR247" s="212"/>
      <c r="CS247" s="212"/>
    </row>
    <row r="248" spans="1:97" x14ac:dyDescent="0.4">
      <c r="A248" s="209">
        <v>45534</v>
      </c>
      <c r="B248" s="210" t="s">
        <v>298</v>
      </c>
      <c r="C248" s="212"/>
      <c r="D248" s="212"/>
      <c r="E248" s="212"/>
      <c r="F248" s="212"/>
      <c r="G248" s="212"/>
      <c r="H248" s="212"/>
      <c r="I248" s="212"/>
      <c r="J248" s="212"/>
      <c r="K248" s="212"/>
      <c r="L248" s="212"/>
      <c r="M248" s="212"/>
      <c r="N248" s="212"/>
      <c r="O248" s="212"/>
      <c r="P248" s="212"/>
      <c r="Q248" s="212"/>
      <c r="R248" s="212"/>
      <c r="S248" s="212"/>
      <c r="T248" s="212"/>
      <c r="U248" s="212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12"/>
      <c r="AF248" s="212"/>
      <c r="AG248" s="212"/>
      <c r="AH248" s="212"/>
      <c r="AI248" s="212"/>
      <c r="AJ248" s="212"/>
      <c r="AK248" s="212"/>
      <c r="AL248" s="212"/>
      <c r="AM248" s="212"/>
      <c r="AN248" s="212"/>
      <c r="AO248" s="212"/>
      <c r="AP248" s="212"/>
      <c r="AQ248" s="212"/>
      <c r="AR248" s="212"/>
      <c r="AS248" s="212"/>
      <c r="AT248" s="212"/>
      <c r="AU248" s="212"/>
      <c r="AV248" s="212"/>
      <c r="AW248" s="212"/>
      <c r="AX248" s="212"/>
      <c r="AY248" s="212"/>
      <c r="AZ248" s="212"/>
      <c r="BA248" s="212"/>
      <c r="BB248" s="212"/>
      <c r="BC248" s="212"/>
      <c r="BD248" s="212"/>
      <c r="BE248" s="212"/>
      <c r="BF248" s="212"/>
      <c r="BG248" s="212"/>
      <c r="BH248" s="212"/>
      <c r="BI248" s="212"/>
      <c r="BJ248" s="212"/>
      <c r="BK248" s="212"/>
      <c r="BL248" s="212"/>
      <c r="BM248" s="212"/>
      <c r="BN248" s="212"/>
      <c r="BO248" s="212"/>
      <c r="BP248" s="212"/>
      <c r="BQ248" s="212"/>
      <c r="BR248" s="212"/>
      <c r="BS248" s="212"/>
      <c r="BT248" s="212"/>
      <c r="BU248" s="212"/>
      <c r="BV248" s="212"/>
      <c r="BW248" s="212"/>
      <c r="BX248" s="212"/>
      <c r="BY248" s="212"/>
      <c r="BZ248" s="212"/>
      <c r="CA248" s="212"/>
      <c r="CB248" s="212"/>
      <c r="CC248" s="212"/>
      <c r="CD248" s="212"/>
      <c r="CE248" s="212"/>
      <c r="CF248" s="212"/>
      <c r="CG248" s="212"/>
      <c r="CH248" s="212"/>
      <c r="CI248" s="212"/>
      <c r="CJ248" s="212"/>
      <c r="CK248" s="212"/>
      <c r="CL248" s="212"/>
      <c r="CM248" s="212"/>
      <c r="CN248" s="212"/>
      <c r="CO248" s="212"/>
      <c r="CP248" s="212"/>
      <c r="CQ248" s="212"/>
      <c r="CR248" s="212"/>
      <c r="CS248" s="212"/>
    </row>
    <row r="249" spans="1:97" x14ac:dyDescent="0.4">
      <c r="A249" s="209">
        <v>45535</v>
      </c>
      <c r="B249" s="210" t="s">
        <v>299</v>
      </c>
      <c r="C249" s="212"/>
      <c r="D249" s="212"/>
      <c r="E249" s="212"/>
      <c r="F249" s="212"/>
      <c r="G249" s="212"/>
      <c r="H249" s="212"/>
      <c r="I249" s="212"/>
      <c r="J249" s="212"/>
      <c r="K249" s="212"/>
      <c r="L249" s="212"/>
      <c r="M249" s="212"/>
      <c r="N249" s="212"/>
      <c r="O249" s="212"/>
      <c r="P249" s="212"/>
      <c r="Q249" s="212"/>
      <c r="R249" s="212"/>
      <c r="S249" s="212"/>
      <c r="T249" s="212"/>
      <c r="U249" s="212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12"/>
      <c r="AF249" s="212"/>
      <c r="AG249" s="212"/>
      <c r="AH249" s="212"/>
      <c r="AI249" s="212"/>
      <c r="AJ249" s="212"/>
      <c r="AK249" s="212"/>
      <c r="AL249" s="212"/>
      <c r="AM249" s="212"/>
      <c r="AN249" s="212"/>
      <c r="AO249" s="212"/>
      <c r="AP249" s="212"/>
      <c r="AQ249" s="212"/>
      <c r="AR249" s="212"/>
      <c r="AS249" s="212"/>
      <c r="AT249" s="212"/>
      <c r="AU249" s="212"/>
      <c r="AV249" s="212"/>
      <c r="AW249" s="212"/>
      <c r="AX249" s="212"/>
      <c r="AY249" s="212"/>
      <c r="AZ249" s="212"/>
      <c r="BA249" s="212"/>
      <c r="BB249" s="212"/>
      <c r="BC249" s="212"/>
      <c r="BD249" s="212"/>
      <c r="BE249" s="212"/>
      <c r="BF249" s="212"/>
      <c r="BG249" s="212"/>
      <c r="BH249" s="212"/>
      <c r="BI249" s="212"/>
      <c r="BJ249" s="212"/>
      <c r="BK249" s="212"/>
      <c r="BL249" s="212"/>
      <c r="BM249" s="212"/>
      <c r="BN249" s="212"/>
      <c r="BO249" s="212"/>
      <c r="BP249" s="212"/>
      <c r="BQ249" s="212"/>
      <c r="BR249" s="212"/>
      <c r="BS249" s="212"/>
      <c r="BT249" s="212"/>
      <c r="BU249" s="212"/>
      <c r="BV249" s="212"/>
      <c r="BW249" s="212"/>
      <c r="BX249" s="212"/>
      <c r="BY249" s="212"/>
      <c r="BZ249" s="212"/>
      <c r="CA249" s="212"/>
      <c r="CB249" s="212"/>
      <c r="CC249" s="212"/>
      <c r="CD249" s="212"/>
      <c r="CE249" s="212"/>
      <c r="CF249" s="212"/>
      <c r="CG249" s="212"/>
      <c r="CH249" s="212"/>
      <c r="CI249" s="212"/>
      <c r="CJ249" s="212"/>
      <c r="CK249" s="212"/>
      <c r="CL249" s="212"/>
      <c r="CM249" s="212"/>
      <c r="CN249" s="212"/>
      <c r="CO249" s="212"/>
      <c r="CP249" s="212"/>
      <c r="CQ249" s="212"/>
      <c r="CR249" s="212"/>
      <c r="CS249" s="212"/>
    </row>
    <row r="250" spans="1:97" x14ac:dyDescent="0.4">
      <c r="A250" s="209">
        <v>45536</v>
      </c>
      <c r="B250" s="210" t="s">
        <v>300</v>
      </c>
      <c r="C250" s="212"/>
      <c r="D250" s="212"/>
      <c r="E250" s="212"/>
      <c r="F250" s="212"/>
      <c r="G250" s="212"/>
      <c r="H250" s="212"/>
      <c r="I250" s="212"/>
      <c r="J250" s="212"/>
      <c r="K250" s="212"/>
      <c r="L250" s="212"/>
      <c r="M250" s="212"/>
      <c r="N250" s="212"/>
      <c r="O250" s="212"/>
      <c r="P250" s="212"/>
      <c r="Q250" s="212"/>
      <c r="R250" s="212"/>
      <c r="S250" s="212"/>
      <c r="T250" s="212"/>
      <c r="U250" s="212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12"/>
      <c r="AF250" s="212"/>
      <c r="AG250" s="212"/>
      <c r="AH250" s="212"/>
      <c r="AI250" s="212"/>
      <c r="AJ250" s="212"/>
      <c r="AK250" s="212"/>
      <c r="AL250" s="212"/>
      <c r="AM250" s="212"/>
      <c r="AN250" s="212"/>
      <c r="AO250" s="212"/>
      <c r="AP250" s="212"/>
      <c r="AQ250" s="212"/>
      <c r="AR250" s="212"/>
      <c r="AS250" s="212"/>
      <c r="AT250" s="212"/>
      <c r="AU250" s="212"/>
      <c r="AV250" s="212"/>
      <c r="AW250" s="212"/>
      <c r="AX250" s="212"/>
      <c r="AY250" s="212"/>
      <c r="AZ250" s="212"/>
      <c r="BA250" s="212"/>
      <c r="BB250" s="212"/>
      <c r="BC250" s="212"/>
      <c r="BD250" s="212"/>
      <c r="BE250" s="212"/>
      <c r="BF250" s="212"/>
      <c r="BG250" s="212"/>
      <c r="BH250" s="212"/>
      <c r="BI250" s="212"/>
      <c r="BJ250" s="212"/>
      <c r="BK250" s="212"/>
      <c r="BL250" s="212"/>
      <c r="BM250" s="212"/>
      <c r="BN250" s="212"/>
      <c r="BO250" s="212"/>
      <c r="BP250" s="212"/>
      <c r="BQ250" s="212"/>
      <c r="BR250" s="212"/>
      <c r="BS250" s="212"/>
      <c r="BT250" s="212"/>
      <c r="BU250" s="212"/>
      <c r="BV250" s="212"/>
      <c r="BW250" s="212"/>
      <c r="BX250" s="212"/>
      <c r="BY250" s="212"/>
      <c r="BZ250" s="212"/>
      <c r="CA250" s="212"/>
      <c r="CB250" s="212"/>
      <c r="CC250" s="212"/>
      <c r="CD250" s="212"/>
      <c r="CE250" s="212"/>
      <c r="CF250" s="212"/>
      <c r="CG250" s="212"/>
      <c r="CH250" s="212"/>
      <c r="CI250" s="212"/>
      <c r="CJ250" s="212"/>
      <c r="CK250" s="212"/>
      <c r="CL250" s="212"/>
      <c r="CM250" s="212"/>
      <c r="CN250" s="212"/>
      <c r="CO250" s="212"/>
      <c r="CP250" s="212"/>
      <c r="CQ250" s="212"/>
      <c r="CR250" s="212"/>
      <c r="CS250" s="212"/>
    </row>
    <row r="251" spans="1:97" x14ac:dyDescent="0.4">
      <c r="A251" s="209">
        <v>45537</v>
      </c>
      <c r="B251" s="210" t="s">
        <v>294</v>
      </c>
      <c r="C251" s="212"/>
      <c r="D251" s="212"/>
      <c r="E251" s="212"/>
      <c r="F251" s="212"/>
      <c r="G251" s="212"/>
      <c r="H251" s="212"/>
      <c r="I251" s="212"/>
      <c r="J251" s="212"/>
      <c r="K251" s="212"/>
      <c r="L251" s="212"/>
      <c r="M251" s="212"/>
      <c r="N251" s="212"/>
      <c r="O251" s="212"/>
      <c r="P251" s="212"/>
      <c r="Q251" s="212"/>
      <c r="R251" s="212"/>
      <c r="S251" s="212"/>
      <c r="T251" s="212"/>
      <c r="U251" s="212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12"/>
      <c r="AF251" s="212"/>
      <c r="AG251" s="212"/>
      <c r="AH251" s="212"/>
      <c r="AI251" s="212"/>
      <c r="AJ251" s="212"/>
      <c r="AK251" s="212"/>
      <c r="AL251" s="212"/>
      <c r="AM251" s="212"/>
      <c r="AN251" s="212"/>
      <c r="AO251" s="212"/>
      <c r="AP251" s="212"/>
      <c r="AQ251" s="212"/>
      <c r="AR251" s="212"/>
      <c r="AS251" s="212"/>
      <c r="AT251" s="212"/>
      <c r="AU251" s="212"/>
      <c r="AV251" s="212"/>
      <c r="AW251" s="212"/>
      <c r="AX251" s="212"/>
      <c r="AY251" s="212"/>
      <c r="AZ251" s="212"/>
      <c r="BA251" s="212"/>
      <c r="BB251" s="212"/>
      <c r="BC251" s="212"/>
      <c r="BD251" s="212"/>
      <c r="BE251" s="212"/>
      <c r="BF251" s="212"/>
      <c r="BG251" s="212"/>
      <c r="BH251" s="212"/>
      <c r="BI251" s="212"/>
      <c r="BJ251" s="212"/>
      <c r="BK251" s="212"/>
      <c r="BL251" s="212"/>
      <c r="BM251" s="212"/>
      <c r="BN251" s="212"/>
      <c r="BO251" s="212"/>
      <c r="BP251" s="212"/>
      <c r="BQ251" s="212"/>
      <c r="BR251" s="212"/>
      <c r="BS251" s="212"/>
      <c r="BT251" s="212"/>
      <c r="BU251" s="212"/>
      <c r="BV251" s="212"/>
      <c r="BW251" s="212"/>
      <c r="BX251" s="212"/>
      <c r="BY251" s="212"/>
      <c r="BZ251" s="212"/>
      <c r="CA251" s="212"/>
      <c r="CB251" s="212"/>
      <c r="CC251" s="212"/>
      <c r="CD251" s="212"/>
      <c r="CE251" s="212"/>
      <c r="CF251" s="212"/>
      <c r="CG251" s="212"/>
      <c r="CH251" s="212"/>
      <c r="CI251" s="212"/>
      <c r="CJ251" s="212"/>
      <c r="CK251" s="212"/>
      <c r="CL251" s="212"/>
      <c r="CM251" s="212"/>
      <c r="CN251" s="212"/>
      <c r="CO251" s="212"/>
      <c r="CP251" s="212"/>
      <c r="CQ251" s="212"/>
      <c r="CR251" s="212"/>
      <c r="CS251" s="212"/>
    </row>
    <row r="252" spans="1:97" x14ac:dyDescent="0.4">
      <c r="A252" s="209">
        <v>45538</v>
      </c>
      <c r="B252" s="210" t="s">
        <v>295</v>
      </c>
      <c r="C252" s="212"/>
      <c r="D252" s="212"/>
      <c r="E252" s="212"/>
      <c r="F252" s="212"/>
      <c r="G252" s="212"/>
      <c r="H252" s="212"/>
      <c r="I252" s="212"/>
      <c r="J252" s="212"/>
      <c r="K252" s="212"/>
      <c r="L252" s="212"/>
      <c r="M252" s="212"/>
      <c r="N252" s="212"/>
      <c r="O252" s="212"/>
      <c r="P252" s="212"/>
      <c r="Q252" s="212"/>
      <c r="R252" s="212"/>
      <c r="S252" s="212"/>
      <c r="T252" s="212"/>
      <c r="U252" s="212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12"/>
      <c r="AF252" s="212"/>
      <c r="AG252" s="212"/>
      <c r="AH252" s="212"/>
      <c r="AI252" s="212"/>
      <c r="AJ252" s="212"/>
      <c r="AK252" s="212"/>
      <c r="AL252" s="212"/>
      <c r="AM252" s="212"/>
      <c r="AN252" s="212"/>
      <c r="AO252" s="212"/>
      <c r="AP252" s="212"/>
      <c r="AQ252" s="212"/>
      <c r="AR252" s="212"/>
      <c r="AS252" s="212"/>
      <c r="AT252" s="212"/>
      <c r="AU252" s="212"/>
      <c r="AV252" s="212"/>
      <c r="AW252" s="212"/>
      <c r="AX252" s="212"/>
      <c r="AY252" s="212"/>
      <c r="AZ252" s="212"/>
      <c r="BA252" s="212"/>
      <c r="BB252" s="212"/>
      <c r="BC252" s="212"/>
      <c r="BD252" s="212"/>
      <c r="BE252" s="212"/>
      <c r="BF252" s="212"/>
      <c r="BG252" s="212"/>
      <c r="BH252" s="212"/>
      <c r="BI252" s="212"/>
      <c r="BJ252" s="212"/>
      <c r="BK252" s="212"/>
      <c r="BL252" s="212"/>
      <c r="BM252" s="212"/>
      <c r="BN252" s="212"/>
      <c r="BO252" s="212"/>
      <c r="BP252" s="212"/>
      <c r="BQ252" s="212"/>
      <c r="BR252" s="212"/>
      <c r="BS252" s="212"/>
      <c r="BT252" s="212"/>
      <c r="BU252" s="212"/>
      <c r="BV252" s="212"/>
      <c r="BW252" s="212"/>
      <c r="BX252" s="212"/>
      <c r="BY252" s="212"/>
      <c r="BZ252" s="212"/>
      <c r="CA252" s="212"/>
      <c r="CB252" s="212"/>
      <c r="CC252" s="212"/>
      <c r="CD252" s="212"/>
      <c r="CE252" s="212"/>
      <c r="CF252" s="212"/>
      <c r="CG252" s="212"/>
      <c r="CH252" s="212"/>
      <c r="CI252" s="212"/>
      <c r="CJ252" s="212"/>
      <c r="CK252" s="212"/>
      <c r="CL252" s="212"/>
      <c r="CM252" s="212"/>
      <c r="CN252" s="212"/>
      <c r="CO252" s="212"/>
      <c r="CP252" s="212"/>
      <c r="CQ252" s="212"/>
      <c r="CR252" s="212"/>
      <c r="CS252" s="212"/>
    </row>
    <row r="253" spans="1:97" x14ac:dyDescent="0.4">
      <c r="A253" s="209">
        <v>45539</v>
      </c>
      <c r="B253" s="210" t="s">
        <v>296</v>
      </c>
      <c r="C253" s="212"/>
      <c r="D253" s="212"/>
      <c r="E253" s="212"/>
      <c r="F253" s="212"/>
      <c r="G253" s="212"/>
      <c r="H253" s="212"/>
      <c r="I253" s="212"/>
      <c r="J253" s="212"/>
      <c r="K253" s="212"/>
      <c r="L253" s="212"/>
      <c r="M253" s="212"/>
      <c r="N253" s="212"/>
      <c r="O253" s="212"/>
      <c r="P253" s="212"/>
      <c r="Q253" s="212"/>
      <c r="R253" s="212"/>
      <c r="S253" s="212"/>
      <c r="T253" s="212"/>
      <c r="U253" s="212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12"/>
      <c r="AF253" s="212"/>
      <c r="AG253" s="212"/>
      <c r="AH253" s="212"/>
      <c r="AI253" s="212"/>
      <c r="AJ253" s="212"/>
      <c r="AK253" s="212"/>
      <c r="AL253" s="212"/>
      <c r="AM253" s="212"/>
      <c r="AN253" s="212"/>
      <c r="AO253" s="212"/>
      <c r="AP253" s="212"/>
      <c r="AQ253" s="212"/>
      <c r="AR253" s="212"/>
      <c r="AS253" s="212"/>
      <c r="AT253" s="212"/>
      <c r="AU253" s="212"/>
      <c r="AV253" s="212"/>
      <c r="AW253" s="212"/>
      <c r="AX253" s="212"/>
      <c r="AY253" s="212"/>
      <c r="AZ253" s="212"/>
      <c r="BA253" s="212"/>
      <c r="BB253" s="212"/>
      <c r="BC253" s="212"/>
      <c r="BD253" s="212"/>
      <c r="BE253" s="212"/>
      <c r="BF253" s="212"/>
      <c r="BG253" s="212"/>
      <c r="BH253" s="212"/>
      <c r="BI253" s="212"/>
      <c r="BJ253" s="212"/>
      <c r="BK253" s="212"/>
      <c r="BL253" s="212"/>
      <c r="BM253" s="212"/>
      <c r="BN253" s="212"/>
      <c r="BO253" s="212"/>
      <c r="BP253" s="212"/>
      <c r="BQ253" s="212"/>
      <c r="BR253" s="212"/>
      <c r="BS253" s="212"/>
      <c r="BT253" s="212"/>
      <c r="BU253" s="212"/>
      <c r="BV253" s="212"/>
      <c r="BW253" s="212"/>
      <c r="BX253" s="212"/>
      <c r="BY253" s="212"/>
      <c r="BZ253" s="212"/>
      <c r="CA253" s="212"/>
      <c r="CB253" s="212"/>
      <c r="CC253" s="212"/>
      <c r="CD253" s="212"/>
      <c r="CE253" s="212"/>
      <c r="CF253" s="212"/>
      <c r="CG253" s="212"/>
      <c r="CH253" s="212"/>
      <c r="CI253" s="212"/>
      <c r="CJ253" s="212"/>
      <c r="CK253" s="212"/>
      <c r="CL253" s="212"/>
      <c r="CM253" s="212"/>
      <c r="CN253" s="212"/>
      <c r="CO253" s="212"/>
      <c r="CP253" s="212"/>
      <c r="CQ253" s="212"/>
      <c r="CR253" s="212"/>
      <c r="CS253" s="212"/>
    </row>
    <row r="254" spans="1:97" x14ac:dyDescent="0.4">
      <c r="A254" s="209">
        <v>45540</v>
      </c>
      <c r="B254" s="210" t="s">
        <v>297</v>
      </c>
      <c r="C254" s="212"/>
      <c r="D254" s="212"/>
      <c r="E254" s="212"/>
      <c r="F254" s="212"/>
      <c r="G254" s="212"/>
      <c r="H254" s="212"/>
      <c r="I254" s="212"/>
      <c r="J254" s="212"/>
      <c r="K254" s="212"/>
      <c r="L254" s="212"/>
      <c r="M254" s="212"/>
      <c r="N254" s="212"/>
      <c r="O254" s="212"/>
      <c r="P254" s="212"/>
      <c r="Q254" s="212"/>
      <c r="R254" s="212"/>
      <c r="S254" s="212"/>
      <c r="T254" s="212"/>
      <c r="U254" s="212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12"/>
      <c r="AF254" s="212"/>
      <c r="AG254" s="212"/>
      <c r="AH254" s="212"/>
      <c r="AI254" s="212"/>
      <c r="AJ254" s="212"/>
      <c r="AK254" s="212"/>
      <c r="AL254" s="212"/>
      <c r="AM254" s="212"/>
      <c r="AN254" s="212"/>
      <c r="AO254" s="212"/>
      <c r="AP254" s="212"/>
      <c r="AQ254" s="212"/>
      <c r="AR254" s="212"/>
      <c r="AS254" s="212"/>
      <c r="AT254" s="212"/>
      <c r="AU254" s="212"/>
      <c r="AV254" s="212"/>
      <c r="AW254" s="212"/>
      <c r="AX254" s="212"/>
      <c r="AY254" s="212"/>
      <c r="AZ254" s="212"/>
      <c r="BA254" s="212"/>
      <c r="BB254" s="212"/>
      <c r="BC254" s="212"/>
      <c r="BD254" s="212"/>
      <c r="BE254" s="212"/>
      <c r="BF254" s="212"/>
      <c r="BG254" s="212"/>
      <c r="BH254" s="212"/>
      <c r="BI254" s="212"/>
      <c r="BJ254" s="212"/>
      <c r="BK254" s="212"/>
      <c r="BL254" s="212"/>
      <c r="BM254" s="212"/>
      <c r="BN254" s="212"/>
      <c r="BO254" s="212"/>
      <c r="BP254" s="212"/>
      <c r="BQ254" s="212"/>
      <c r="BR254" s="212"/>
      <c r="BS254" s="212"/>
      <c r="BT254" s="212"/>
      <c r="BU254" s="212"/>
      <c r="BV254" s="212"/>
      <c r="BW254" s="212"/>
      <c r="BX254" s="212"/>
      <c r="BY254" s="212"/>
      <c r="BZ254" s="212"/>
      <c r="CA254" s="212"/>
      <c r="CB254" s="212"/>
      <c r="CC254" s="212"/>
      <c r="CD254" s="212"/>
      <c r="CE254" s="212"/>
      <c r="CF254" s="212"/>
      <c r="CG254" s="212"/>
      <c r="CH254" s="212"/>
      <c r="CI254" s="212"/>
      <c r="CJ254" s="212"/>
      <c r="CK254" s="212"/>
      <c r="CL254" s="212"/>
      <c r="CM254" s="212"/>
      <c r="CN254" s="212"/>
      <c r="CO254" s="212"/>
      <c r="CP254" s="212"/>
      <c r="CQ254" s="212"/>
      <c r="CR254" s="212"/>
      <c r="CS254" s="212"/>
    </row>
    <row r="255" spans="1:97" x14ac:dyDescent="0.4">
      <c r="A255" s="209">
        <v>45541</v>
      </c>
      <c r="B255" s="210" t="s">
        <v>298</v>
      </c>
      <c r="C255" s="212"/>
      <c r="D255" s="212"/>
      <c r="E255" s="212"/>
      <c r="F255" s="212"/>
      <c r="G255" s="212"/>
      <c r="H255" s="212"/>
      <c r="I255" s="212"/>
      <c r="J255" s="212"/>
      <c r="K255" s="212"/>
      <c r="L255" s="212"/>
      <c r="M255" s="212"/>
      <c r="N255" s="212"/>
      <c r="O255" s="212"/>
      <c r="P255" s="212"/>
      <c r="Q255" s="212"/>
      <c r="R255" s="212"/>
      <c r="S255" s="212"/>
      <c r="T255" s="212"/>
      <c r="U255" s="212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12"/>
      <c r="AF255" s="212"/>
      <c r="AG255" s="212"/>
      <c r="AH255" s="212"/>
      <c r="AI255" s="212"/>
      <c r="AJ255" s="212"/>
      <c r="AK255" s="212"/>
      <c r="AL255" s="212"/>
      <c r="AM255" s="212"/>
      <c r="AN255" s="212"/>
      <c r="AO255" s="212"/>
      <c r="AP255" s="212"/>
      <c r="AQ255" s="212"/>
      <c r="AR255" s="212"/>
      <c r="AS255" s="212"/>
      <c r="AT255" s="212"/>
      <c r="AU255" s="212"/>
      <c r="AV255" s="212"/>
      <c r="AW255" s="212"/>
      <c r="AX255" s="212"/>
      <c r="AY255" s="212"/>
      <c r="AZ255" s="212"/>
      <c r="BA255" s="212"/>
      <c r="BB255" s="212"/>
      <c r="BC255" s="212"/>
      <c r="BD255" s="212"/>
      <c r="BE255" s="212"/>
      <c r="BF255" s="212"/>
      <c r="BG255" s="212"/>
      <c r="BH255" s="212"/>
      <c r="BI255" s="212"/>
      <c r="BJ255" s="212"/>
      <c r="BK255" s="212"/>
      <c r="BL255" s="212"/>
      <c r="BM255" s="212"/>
      <c r="BN255" s="212"/>
      <c r="BO255" s="212"/>
      <c r="BP255" s="212"/>
      <c r="BQ255" s="212"/>
      <c r="BR255" s="212"/>
      <c r="BS255" s="212"/>
      <c r="BT255" s="212"/>
      <c r="BU255" s="212"/>
      <c r="BV255" s="212"/>
      <c r="BW255" s="212"/>
      <c r="BX255" s="212"/>
      <c r="BY255" s="212"/>
      <c r="BZ255" s="212"/>
      <c r="CA255" s="212"/>
      <c r="CB255" s="212"/>
      <c r="CC255" s="212"/>
      <c r="CD255" s="212"/>
      <c r="CE255" s="212"/>
      <c r="CF255" s="212"/>
      <c r="CG255" s="212"/>
      <c r="CH255" s="212"/>
      <c r="CI255" s="212"/>
      <c r="CJ255" s="212"/>
      <c r="CK255" s="212"/>
      <c r="CL255" s="212"/>
      <c r="CM255" s="212"/>
      <c r="CN255" s="212"/>
      <c r="CO255" s="212"/>
      <c r="CP255" s="212"/>
      <c r="CQ255" s="212"/>
      <c r="CR255" s="212"/>
      <c r="CS255" s="212"/>
    </row>
    <row r="256" spans="1:97" x14ac:dyDescent="0.4">
      <c r="A256" s="209">
        <v>45542</v>
      </c>
      <c r="B256" s="210" t="s">
        <v>299</v>
      </c>
      <c r="C256" s="212"/>
      <c r="D256" s="212"/>
      <c r="E256" s="212"/>
      <c r="F256" s="212"/>
      <c r="G256" s="212"/>
      <c r="H256" s="212"/>
      <c r="I256" s="212"/>
      <c r="J256" s="212"/>
      <c r="K256" s="212"/>
      <c r="L256" s="212"/>
      <c r="M256" s="212"/>
      <c r="N256" s="212"/>
      <c r="O256" s="212"/>
      <c r="P256" s="212"/>
      <c r="Q256" s="212"/>
      <c r="R256" s="212"/>
      <c r="S256" s="212"/>
      <c r="T256" s="212"/>
      <c r="U256" s="212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12"/>
      <c r="AF256" s="212"/>
      <c r="AG256" s="212"/>
      <c r="AH256" s="212"/>
      <c r="AI256" s="212"/>
      <c r="AJ256" s="212"/>
      <c r="AK256" s="212"/>
      <c r="AL256" s="212"/>
      <c r="AM256" s="212"/>
      <c r="AN256" s="212"/>
      <c r="AO256" s="212"/>
      <c r="AP256" s="212"/>
      <c r="AQ256" s="212"/>
      <c r="AR256" s="212"/>
      <c r="AS256" s="212"/>
      <c r="AT256" s="212"/>
      <c r="AU256" s="212"/>
      <c r="AV256" s="212"/>
      <c r="AW256" s="212"/>
      <c r="AX256" s="212"/>
      <c r="AY256" s="212"/>
      <c r="AZ256" s="212"/>
      <c r="BA256" s="212"/>
      <c r="BB256" s="212"/>
      <c r="BC256" s="212"/>
      <c r="BD256" s="212"/>
      <c r="BE256" s="212"/>
      <c r="BF256" s="212"/>
      <c r="BG256" s="212"/>
      <c r="BH256" s="212"/>
      <c r="BI256" s="212"/>
      <c r="BJ256" s="212"/>
      <c r="BK256" s="212"/>
      <c r="BL256" s="212"/>
      <c r="BM256" s="212"/>
      <c r="BN256" s="212"/>
      <c r="BO256" s="212"/>
      <c r="BP256" s="212"/>
      <c r="BQ256" s="212"/>
      <c r="BR256" s="212"/>
      <c r="BS256" s="212"/>
      <c r="BT256" s="212"/>
      <c r="BU256" s="212"/>
      <c r="BV256" s="212"/>
      <c r="BW256" s="212"/>
      <c r="BX256" s="212"/>
      <c r="BY256" s="212"/>
      <c r="BZ256" s="212"/>
      <c r="CA256" s="212"/>
      <c r="CB256" s="212"/>
      <c r="CC256" s="212"/>
      <c r="CD256" s="212"/>
      <c r="CE256" s="212"/>
      <c r="CF256" s="212"/>
      <c r="CG256" s="212"/>
      <c r="CH256" s="212"/>
      <c r="CI256" s="212"/>
      <c r="CJ256" s="212"/>
      <c r="CK256" s="212"/>
      <c r="CL256" s="212"/>
      <c r="CM256" s="212"/>
      <c r="CN256" s="212"/>
      <c r="CO256" s="212"/>
      <c r="CP256" s="212"/>
      <c r="CQ256" s="212"/>
      <c r="CR256" s="212"/>
      <c r="CS256" s="212"/>
    </row>
    <row r="257" spans="1:97" x14ac:dyDescent="0.4">
      <c r="A257" s="209">
        <v>45543</v>
      </c>
      <c r="B257" s="210" t="s">
        <v>300</v>
      </c>
      <c r="C257" s="212"/>
      <c r="D257" s="212"/>
      <c r="E257" s="212"/>
      <c r="F257" s="212"/>
      <c r="G257" s="212"/>
      <c r="H257" s="212"/>
      <c r="I257" s="212"/>
      <c r="J257" s="212"/>
      <c r="K257" s="212"/>
      <c r="L257" s="212"/>
      <c r="M257" s="212"/>
      <c r="N257" s="212"/>
      <c r="O257" s="212"/>
      <c r="P257" s="212"/>
      <c r="Q257" s="212"/>
      <c r="R257" s="212"/>
      <c r="S257" s="212"/>
      <c r="T257" s="212"/>
      <c r="U257" s="212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12"/>
      <c r="AF257" s="212"/>
      <c r="AG257" s="212"/>
      <c r="AH257" s="212"/>
      <c r="AI257" s="212"/>
      <c r="AJ257" s="212"/>
      <c r="AK257" s="212"/>
      <c r="AL257" s="212"/>
      <c r="AM257" s="212"/>
      <c r="AN257" s="212"/>
      <c r="AO257" s="212"/>
      <c r="AP257" s="212"/>
      <c r="AQ257" s="212"/>
      <c r="AR257" s="212"/>
      <c r="AS257" s="212"/>
      <c r="AT257" s="212"/>
      <c r="AU257" s="212"/>
      <c r="AV257" s="212"/>
      <c r="AW257" s="212"/>
      <c r="AX257" s="212"/>
      <c r="AY257" s="212"/>
      <c r="AZ257" s="212"/>
      <c r="BA257" s="212"/>
      <c r="BB257" s="212"/>
      <c r="BC257" s="212"/>
      <c r="BD257" s="212"/>
      <c r="BE257" s="212"/>
      <c r="BF257" s="212"/>
      <c r="BG257" s="212"/>
      <c r="BH257" s="212"/>
      <c r="BI257" s="212"/>
      <c r="BJ257" s="212"/>
      <c r="BK257" s="212"/>
      <c r="BL257" s="212"/>
      <c r="BM257" s="212"/>
      <c r="BN257" s="212"/>
      <c r="BO257" s="212"/>
      <c r="BP257" s="212"/>
      <c r="BQ257" s="212"/>
      <c r="BR257" s="212"/>
      <c r="BS257" s="212"/>
      <c r="BT257" s="212"/>
      <c r="BU257" s="212"/>
      <c r="BV257" s="212"/>
      <c r="BW257" s="212"/>
      <c r="BX257" s="212"/>
      <c r="BY257" s="212"/>
      <c r="BZ257" s="212"/>
      <c r="CA257" s="212"/>
      <c r="CB257" s="212"/>
      <c r="CC257" s="212"/>
      <c r="CD257" s="212"/>
      <c r="CE257" s="212"/>
      <c r="CF257" s="212"/>
      <c r="CG257" s="212"/>
      <c r="CH257" s="212"/>
      <c r="CI257" s="212"/>
      <c r="CJ257" s="212"/>
      <c r="CK257" s="212"/>
      <c r="CL257" s="212"/>
      <c r="CM257" s="212"/>
      <c r="CN257" s="212"/>
      <c r="CO257" s="212"/>
      <c r="CP257" s="212"/>
      <c r="CQ257" s="212"/>
      <c r="CR257" s="212"/>
      <c r="CS257" s="212"/>
    </row>
    <row r="258" spans="1:97" x14ac:dyDescent="0.4">
      <c r="A258" s="209">
        <v>45544</v>
      </c>
      <c r="B258" s="210" t="s">
        <v>294</v>
      </c>
      <c r="C258" s="212"/>
      <c r="D258" s="212"/>
      <c r="E258" s="212"/>
      <c r="F258" s="212"/>
      <c r="G258" s="212"/>
      <c r="H258" s="212"/>
      <c r="I258" s="212"/>
      <c r="J258" s="212"/>
      <c r="K258" s="212"/>
      <c r="L258" s="212"/>
      <c r="M258" s="212"/>
      <c r="N258" s="212"/>
      <c r="O258" s="212"/>
      <c r="P258" s="212"/>
      <c r="Q258" s="212"/>
      <c r="R258" s="212"/>
      <c r="S258" s="212"/>
      <c r="T258" s="212"/>
      <c r="U258" s="212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12"/>
      <c r="AF258" s="212"/>
      <c r="AG258" s="212"/>
      <c r="AH258" s="212"/>
      <c r="AI258" s="212"/>
      <c r="AJ258" s="212"/>
      <c r="AK258" s="212"/>
      <c r="AL258" s="212"/>
      <c r="AM258" s="212"/>
      <c r="AN258" s="212"/>
      <c r="AO258" s="212"/>
      <c r="AP258" s="212"/>
      <c r="AQ258" s="212"/>
      <c r="AR258" s="212"/>
      <c r="AS258" s="212"/>
      <c r="AT258" s="212"/>
      <c r="AU258" s="212"/>
      <c r="AV258" s="212"/>
      <c r="AW258" s="212"/>
      <c r="AX258" s="212"/>
      <c r="AY258" s="212"/>
      <c r="AZ258" s="212"/>
      <c r="BA258" s="212"/>
      <c r="BB258" s="212"/>
      <c r="BC258" s="212"/>
      <c r="BD258" s="212"/>
      <c r="BE258" s="212"/>
      <c r="BF258" s="212"/>
      <c r="BG258" s="212"/>
      <c r="BH258" s="212"/>
      <c r="BI258" s="212"/>
      <c r="BJ258" s="212"/>
      <c r="BK258" s="212"/>
      <c r="BL258" s="212"/>
      <c r="BM258" s="212"/>
      <c r="BN258" s="212"/>
      <c r="BO258" s="212"/>
      <c r="BP258" s="212"/>
      <c r="BQ258" s="212"/>
      <c r="BR258" s="212"/>
      <c r="BS258" s="212"/>
      <c r="BT258" s="212"/>
      <c r="BU258" s="212"/>
      <c r="BV258" s="212"/>
      <c r="BW258" s="212"/>
      <c r="BX258" s="212"/>
      <c r="BY258" s="212"/>
      <c r="BZ258" s="212"/>
      <c r="CA258" s="212"/>
      <c r="CB258" s="212"/>
      <c r="CC258" s="212"/>
      <c r="CD258" s="212"/>
      <c r="CE258" s="212"/>
      <c r="CF258" s="212"/>
      <c r="CG258" s="212"/>
      <c r="CH258" s="212"/>
      <c r="CI258" s="212"/>
      <c r="CJ258" s="212"/>
      <c r="CK258" s="212"/>
      <c r="CL258" s="212"/>
      <c r="CM258" s="212"/>
      <c r="CN258" s="212"/>
      <c r="CO258" s="212"/>
      <c r="CP258" s="212"/>
      <c r="CQ258" s="212"/>
      <c r="CR258" s="212"/>
      <c r="CS258" s="212"/>
    </row>
    <row r="259" spans="1:97" x14ac:dyDescent="0.4">
      <c r="A259" s="209">
        <v>45545</v>
      </c>
      <c r="B259" s="210" t="s">
        <v>295</v>
      </c>
      <c r="C259" s="212"/>
      <c r="D259" s="212"/>
      <c r="E259" s="212"/>
      <c r="F259" s="212"/>
      <c r="G259" s="212"/>
      <c r="H259" s="212"/>
      <c r="I259" s="212"/>
      <c r="J259" s="212"/>
      <c r="K259" s="212"/>
      <c r="L259" s="212"/>
      <c r="M259" s="212"/>
      <c r="N259" s="212"/>
      <c r="O259" s="212"/>
      <c r="P259" s="212"/>
      <c r="Q259" s="212"/>
      <c r="R259" s="212"/>
      <c r="S259" s="212"/>
      <c r="T259" s="212"/>
      <c r="U259" s="212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12"/>
      <c r="AF259" s="212"/>
      <c r="AG259" s="212"/>
      <c r="AH259" s="212"/>
      <c r="AI259" s="212"/>
      <c r="AJ259" s="212"/>
      <c r="AK259" s="212"/>
      <c r="AL259" s="212"/>
      <c r="AM259" s="212"/>
      <c r="AN259" s="212"/>
      <c r="AO259" s="212"/>
      <c r="AP259" s="212"/>
      <c r="AQ259" s="212"/>
      <c r="AR259" s="212"/>
      <c r="AS259" s="212"/>
      <c r="AT259" s="212"/>
      <c r="AU259" s="212"/>
      <c r="AV259" s="212"/>
      <c r="AW259" s="212"/>
      <c r="AX259" s="212"/>
      <c r="AY259" s="212"/>
      <c r="AZ259" s="212"/>
      <c r="BA259" s="212"/>
      <c r="BB259" s="212"/>
      <c r="BC259" s="212"/>
      <c r="BD259" s="212"/>
      <c r="BE259" s="212"/>
      <c r="BF259" s="212"/>
      <c r="BG259" s="212"/>
      <c r="BH259" s="212"/>
      <c r="BI259" s="212"/>
      <c r="BJ259" s="212"/>
      <c r="BK259" s="212"/>
      <c r="BL259" s="212"/>
      <c r="BM259" s="212"/>
      <c r="BN259" s="212"/>
      <c r="BO259" s="212"/>
      <c r="BP259" s="212"/>
      <c r="BQ259" s="212"/>
      <c r="BR259" s="212"/>
      <c r="BS259" s="212"/>
      <c r="BT259" s="212"/>
      <c r="BU259" s="212"/>
      <c r="BV259" s="212"/>
      <c r="BW259" s="212"/>
      <c r="BX259" s="212"/>
      <c r="BY259" s="212"/>
      <c r="BZ259" s="212"/>
      <c r="CA259" s="212"/>
      <c r="CB259" s="212"/>
      <c r="CC259" s="212"/>
      <c r="CD259" s="212"/>
      <c r="CE259" s="212"/>
      <c r="CF259" s="212"/>
      <c r="CG259" s="212"/>
      <c r="CH259" s="212"/>
      <c r="CI259" s="212"/>
      <c r="CJ259" s="212"/>
      <c r="CK259" s="212"/>
      <c r="CL259" s="212"/>
      <c r="CM259" s="212"/>
      <c r="CN259" s="212"/>
      <c r="CO259" s="212"/>
      <c r="CP259" s="212"/>
      <c r="CQ259" s="212"/>
      <c r="CR259" s="212"/>
      <c r="CS259" s="212"/>
    </row>
    <row r="260" spans="1:97" x14ac:dyDescent="0.4">
      <c r="A260" s="209">
        <v>45546</v>
      </c>
      <c r="B260" s="210" t="s">
        <v>296</v>
      </c>
      <c r="C260" s="212"/>
      <c r="D260" s="212"/>
      <c r="E260" s="212"/>
      <c r="F260" s="212"/>
      <c r="G260" s="212"/>
      <c r="H260" s="212"/>
      <c r="I260" s="212"/>
      <c r="J260" s="212"/>
      <c r="K260" s="212"/>
      <c r="L260" s="212"/>
      <c r="M260" s="212"/>
      <c r="N260" s="212"/>
      <c r="O260" s="212"/>
      <c r="P260" s="212"/>
      <c r="Q260" s="212"/>
      <c r="R260" s="212"/>
      <c r="S260" s="212"/>
      <c r="T260" s="212"/>
      <c r="U260" s="212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12"/>
      <c r="AF260" s="212"/>
      <c r="AG260" s="212"/>
      <c r="AH260" s="212"/>
      <c r="AI260" s="212"/>
      <c r="AJ260" s="212"/>
      <c r="AK260" s="212"/>
      <c r="AL260" s="212"/>
      <c r="AM260" s="212"/>
      <c r="AN260" s="212"/>
      <c r="AO260" s="212"/>
      <c r="AP260" s="212"/>
      <c r="AQ260" s="212"/>
      <c r="AR260" s="212"/>
      <c r="AS260" s="212"/>
      <c r="AT260" s="212"/>
      <c r="AU260" s="212"/>
      <c r="AV260" s="212"/>
      <c r="AW260" s="212"/>
      <c r="AX260" s="212"/>
      <c r="AY260" s="212"/>
      <c r="AZ260" s="212"/>
      <c r="BA260" s="212"/>
      <c r="BB260" s="212"/>
      <c r="BC260" s="212"/>
      <c r="BD260" s="212"/>
      <c r="BE260" s="212"/>
      <c r="BF260" s="212"/>
      <c r="BG260" s="212"/>
      <c r="BH260" s="212"/>
      <c r="BI260" s="212"/>
      <c r="BJ260" s="212"/>
      <c r="BK260" s="212"/>
      <c r="BL260" s="212"/>
      <c r="BM260" s="212"/>
      <c r="BN260" s="212"/>
      <c r="BO260" s="212"/>
      <c r="BP260" s="212"/>
      <c r="BQ260" s="212"/>
      <c r="BR260" s="212"/>
      <c r="BS260" s="212"/>
      <c r="BT260" s="212"/>
      <c r="BU260" s="212"/>
      <c r="BV260" s="212"/>
      <c r="BW260" s="212"/>
      <c r="BX260" s="212"/>
      <c r="BY260" s="212"/>
      <c r="BZ260" s="212"/>
      <c r="CA260" s="212"/>
      <c r="CB260" s="212"/>
      <c r="CC260" s="212"/>
      <c r="CD260" s="212"/>
      <c r="CE260" s="212"/>
      <c r="CF260" s="212"/>
      <c r="CG260" s="212"/>
      <c r="CH260" s="212"/>
      <c r="CI260" s="212"/>
      <c r="CJ260" s="212"/>
      <c r="CK260" s="212"/>
      <c r="CL260" s="212"/>
      <c r="CM260" s="212"/>
      <c r="CN260" s="212"/>
      <c r="CO260" s="212"/>
      <c r="CP260" s="212"/>
      <c r="CQ260" s="212"/>
      <c r="CR260" s="212"/>
      <c r="CS260" s="212"/>
    </row>
    <row r="261" spans="1:97" x14ac:dyDescent="0.4">
      <c r="A261" s="209">
        <v>45547</v>
      </c>
      <c r="B261" s="210" t="s">
        <v>297</v>
      </c>
      <c r="C261" s="212"/>
      <c r="D261" s="212"/>
      <c r="E261" s="212"/>
      <c r="F261" s="212"/>
      <c r="G261" s="212"/>
      <c r="H261" s="212"/>
      <c r="I261" s="212"/>
      <c r="J261" s="212"/>
      <c r="K261" s="212"/>
      <c r="L261" s="212"/>
      <c r="M261" s="212"/>
      <c r="N261" s="212"/>
      <c r="O261" s="212"/>
      <c r="P261" s="212"/>
      <c r="Q261" s="212"/>
      <c r="R261" s="212"/>
      <c r="S261" s="212"/>
      <c r="T261" s="212"/>
      <c r="U261" s="212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12"/>
      <c r="AF261" s="212"/>
      <c r="AG261" s="212"/>
      <c r="AH261" s="212"/>
      <c r="AI261" s="212"/>
      <c r="AJ261" s="212"/>
      <c r="AK261" s="212"/>
      <c r="AL261" s="212"/>
      <c r="AM261" s="212"/>
      <c r="AN261" s="212"/>
      <c r="AO261" s="212"/>
      <c r="AP261" s="212"/>
      <c r="AQ261" s="212"/>
      <c r="AR261" s="212"/>
      <c r="AS261" s="212"/>
      <c r="AT261" s="212"/>
      <c r="AU261" s="212"/>
      <c r="AV261" s="212"/>
      <c r="AW261" s="212"/>
      <c r="AX261" s="212"/>
      <c r="AY261" s="212"/>
      <c r="AZ261" s="212"/>
      <c r="BA261" s="212"/>
      <c r="BB261" s="212"/>
      <c r="BC261" s="212"/>
      <c r="BD261" s="212"/>
      <c r="BE261" s="212"/>
      <c r="BF261" s="212"/>
      <c r="BG261" s="212"/>
      <c r="BH261" s="212"/>
      <c r="BI261" s="212"/>
      <c r="BJ261" s="212"/>
      <c r="BK261" s="212"/>
      <c r="BL261" s="212"/>
      <c r="BM261" s="212"/>
      <c r="BN261" s="212"/>
      <c r="BO261" s="212"/>
      <c r="BP261" s="212"/>
      <c r="BQ261" s="212"/>
      <c r="BR261" s="212"/>
      <c r="BS261" s="212"/>
      <c r="BT261" s="212"/>
      <c r="BU261" s="212"/>
      <c r="BV261" s="212"/>
      <c r="BW261" s="212"/>
      <c r="BX261" s="212"/>
      <c r="BY261" s="212"/>
      <c r="BZ261" s="212"/>
      <c r="CA261" s="212"/>
      <c r="CB261" s="212"/>
      <c r="CC261" s="212"/>
      <c r="CD261" s="212"/>
      <c r="CE261" s="212"/>
      <c r="CF261" s="212"/>
      <c r="CG261" s="212"/>
      <c r="CH261" s="212"/>
      <c r="CI261" s="212"/>
      <c r="CJ261" s="212"/>
      <c r="CK261" s="212"/>
      <c r="CL261" s="212"/>
      <c r="CM261" s="212"/>
      <c r="CN261" s="212"/>
      <c r="CO261" s="212"/>
      <c r="CP261" s="212"/>
      <c r="CQ261" s="212"/>
      <c r="CR261" s="212"/>
      <c r="CS261" s="212"/>
    </row>
    <row r="262" spans="1:97" x14ac:dyDescent="0.4">
      <c r="A262" s="209">
        <v>45548</v>
      </c>
      <c r="B262" s="210" t="s">
        <v>298</v>
      </c>
      <c r="C262" s="212"/>
      <c r="D262" s="212"/>
      <c r="E262" s="212"/>
      <c r="F262" s="212"/>
      <c r="G262" s="212"/>
      <c r="H262" s="212"/>
      <c r="I262" s="212"/>
      <c r="J262" s="212"/>
      <c r="K262" s="212"/>
      <c r="L262" s="212"/>
      <c r="M262" s="212"/>
      <c r="N262" s="212"/>
      <c r="O262" s="212"/>
      <c r="P262" s="212"/>
      <c r="Q262" s="212"/>
      <c r="R262" s="212"/>
      <c r="S262" s="212"/>
      <c r="T262" s="212"/>
      <c r="U262" s="212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12"/>
      <c r="AF262" s="212"/>
      <c r="AG262" s="212"/>
      <c r="AH262" s="212"/>
      <c r="AI262" s="212"/>
      <c r="AJ262" s="212"/>
      <c r="AK262" s="212"/>
      <c r="AL262" s="212"/>
      <c r="AM262" s="212"/>
      <c r="AN262" s="212"/>
      <c r="AO262" s="212"/>
      <c r="AP262" s="212"/>
      <c r="AQ262" s="212"/>
      <c r="AR262" s="212"/>
      <c r="AS262" s="212"/>
      <c r="AT262" s="212"/>
      <c r="AU262" s="212"/>
      <c r="AV262" s="212"/>
      <c r="AW262" s="212"/>
      <c r="AX262" s="212"/>
      <c r="AY262" s="212"/>
      <c r="AZ262" s="212"/>
      <c r="BA262" s="212"/>
      <c r="BB262" s="212"/>
      <c r="BC262" s="212"/>
      <c r="BD262" s="212"/>
      <c r="BE262" s="212"/>
      <c r="BF262" s="212"/>
      <c r="BG262" s="212"/>
      <c r="BH262" s="212"/>
      <c r="BI262" s="212"/>
      <c r="BJ262" s="212"/>
      <c r="BK262" s="212"/>
      <c r="BL262" s="212"/>
      <c r="BM262" s="212"/>
      <c r="BN262" s="212"/>
      <c r="BO262" s="212"/>
      <c r="BP262" s="212"/>
      <c r="BQ262" s="212"/>
      <c r="BR262" s="212"/>
      <c r="BS262" s="212"/>
      <c r="BT262" s="212"/>
      <c r="BU262" s="212"/>
      <c r="BV262" s="212"/>
      <c r="BW262" s="212"/>
      <c r="BX262" s="212"/>
      <c r="BY262" s="212"/>
      <c r="BZ262" s="212"/>
      <c r="CA262" s="212"/>
      <c r="CB262" s="212"/>
      <c r="CC262" s="212"/>
      <c r="CD262" s="212"/>
      <c r="CE262" s="212"/>
      <c r="CF262" s="212"/>
      <c r="CG262" s="212"/>
      <c r="CH262" s="212"/>
      <c r="CI262" s="212"/>
      <c r="CJ262" s="212"/>
      <c r="CK262" s="212"/>
      <c r="CL262" s="212"/>
      <c r="CM262" s="212"/>
      <c r="CN262" s="212"/>
      <c r="CO262" s="212"/>
      <c r="CP262" s="212"/>
      <c r="CQ262" s="212"/>
      <c r="CR262" s="212"/>
      <c r="CS262" s="212"/>
    </row>
    <row r="263" spans="1:97" x14ac:dyDescent="0.4">
      <c r="A263" s="209">
        <v>45549</v>
      </c>
      <c r="B263" s="210" t="s">
        <v>299</v>
      </c>
      <c r="C263" s="212"/>
      <c r="D263" s="212"/>
      <c r="E263" s="212"/>
      <c r="F263" s="212"/>
      <c r="G263" s="212"/>
      <c r="H263" s="212"/>
      <c r="I263" s="212"/>
      <c r="J263" s="212"/>
      <c r="K263" s="212"/>
      <c r="L263" s="212"/>
      <c r="M263" s="212"/>
      <c r="N263" s="212"/>
      <c r="O263" s="212"/>
      <c r="P263" s="212"/>
      <c r="Q263" s="212"/>
      <c r="R263" s="212"/>
      <c r="S263" s="212"/>
      <c r="T263" s="212"/>
      <c r="U263" s="212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12"/>
      <c r="AF263" s="212"/>
      <c r="AG263" s="212"/>
      <c r="AH263" s="212"/>
      <c r="AI263" s="212"/>
      <c r="AJ263" s="212"/>
      <c r="AK263" s="212"/>
      <c r="AL263" s="212"/>
      <c r="AM263" s="212"/>
      <c r="AN263" s="212"/>
      <c r="AO263" s="212"/>
      <c r="AP263" s="212"/>
      <c r="AQ263" s="212"/>
      <c r="AR263" s="212"/>
      <c r="AS263" s="212"/>
      <c r="AT263" s="212"/>
      <c r="AU263" s="212"/>
      <c r="AV263" s="212"/>
      <c r="AW263" s="212"/>
      <c r="AX263" s="212"/>
      <c r="AY263" s="212"/>
      <c r="AZ263" s="212"/>
      <c r="BA263" s="212"/>
      <c r="BB263" s="212"/>
      <c r="BC263" s="212"/>
      <c r="BD263" s="212"/>
      <c r="BE263" s="212"/>
      <c r="BF263" s="212"/>
      <c r="BG263" s="212"/>
      <c r="BH263" s="212"/>
      <c r="BI263" s="212"/>
      <c r="BJ263" s="212"/>
      <c r="BK263" s="212"/>
      <c r="BL263" s="212"/>
      <c r="BM263" s="212"/>
      <c r="BN263" s="212"/>
      <c r="BO263" s="212"/>
      <c r="BP263" s="212"/>
      <c r="BQ263" s="212"/>
      <c r="BR263" s="212"/>
      <c r="BS263" s="212"/>
      <c r="BT263" s="212"/>
      <c r="BU263" s="212"/>
      <c r="BV263" s="212"/>
      <c r="BW263" s="212"/>
      <c r="BX263" s="212"/>
      <c r="BY263" s="212"/>
      <c r="BZ263" s="212"/>
      <c r="CA263" s="212"/>
      <c r="CB263" s="212"/>
      <c r="CC263" s="212"/>
      <c r="CD263" s="212"/>
      <c r="CE263" s="212"/>
      <c r="CF263" s="212"/>
      <c r="CG263" s="212"/>
      <c r="CH263" s="212"/>
      <c r="CI263" s="212"/>
      <c r="CJ263" s="212"/>
      <c r="CK263" s="212"/>
      <c r="CL263" s="212"/>
      <c r="CM263" s="212"/>
      <c r="CN263" s="212"/>
      <c r="CO263" s="212"/>
      <c r="CP263" s="212"/>
      <c r="CQ263" s="212"/>
      <c r="CR263" s="212"/>
      <c r="CS263" s="212"/>
    </row>
    <row r="264" spans="1:97" x14ac:dyDescent="0.4">
      <c r="A264" s="209">
        <v>45550</v>
      </c>
      <c r="B264" s="210" t="s">
        <v>300</v>
      </c>
      <c r="C264" s="212"/>
      <c r="D264" s="212"/>
      <c r="E264" s="212"/>
      <c r="F264" s="212"/>
      <c r="G264" s="212"/>
      <c r="H264" s="212"/>
      <c r="I264" s="212"/>
      <c r="J264" s="212"/>
      <c r="K264" s="212"/>
      <c r="L264" s="212"/>
      <c r="M264" s="212"/>
      <c r="N264" s="212"/>
      <c r="O264" s="212"/>
      <c r="P264" s="212"/>
      <c r="Q264" s="212"/>
      <c r="R264" s="212"/>
      <c r="S264" s="212"/>
      <c r="T264" s="212"/>
      <c r="U264" s="212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12"/>
      <c r="AF264" s="212"/>
      <c r="AG264" s="212"/>
      <c r="AH264" s="212"/>
      <c r="AI264" s="212"/>
      <c r="AJ264" s="212"/>
      <c r="AK264" s="212"/>
      <c r="AL264" s="212"/>
      <c r="AM264" s="212"/>
      <c r="AN264" s="212"/>
      <c r="AO264" s="212"/>
      <c r="AP264" s="212"/>
      <c r="AQ264" s="212"/>
      <c r="AR264" s="212"/>
      <c r="AS264" s="212"/>
      <c r="AT264" s="212"/>
      <c r="AU264" s="212"/>
      <c r="AV264" s="212"/>
      <c r="AW264" s="212"/>
      <c r="AX264" s="212"/>
      <c r="AY264" s="212"/>
      <c r="AZ264" s="212"/>
      <c r="BA264" s="212"/>
      <c r="BB264" s="212"/>
      <c r="BC264" s="212"/>
      <c r="BD264" s="212"/>
      <c r="BE264" s="212"/>
      <c r="BF264" s="212"/>
      <c r="BG264" s="212"/>
      <c r="BH264" s="212"/>
      <c r="BI264" s="212"/>
      <c r="BJ264" s="212"/>
      <c r="BK264" s="212"/>
      <c r="BL264" s="212"/>
      <c r="BM264" s="212"/>
      <c r="BN264" s="212"/>
      <c r="BO264" s="212"/>
      <c r="BP264" s="212"/>
      <c r="BQ264" s="212"/>
      <c r="BR264" s="212"/>
      <c r="BS264" s="212"/>
      <c r="BT264" s="212"/>
      <c r="BU264" s="212"/>
      <c r="BV264" s="212"/>
      <c r="BW264" s="212"/>
      <c r="BX264" s="212"/>
      <c r="BY264" s="212"/>
      <c r="BZ264" s="212"/>
      <c r="CA264" s="212"/>
      <c r="CB264" s="212"/>
      <c r="CC264" s="212"/>
      <c r="CD264" s="212"/>
      <c r="CE264" s="212"/>
      <c r="CF264" s="212"/>
      <c r="CG264" s="212"/>
      <c r="CH264" s="212"/>
      <c r="CI264" s="212"/>
      <c r="CJ264" s="212"/>
      <c r="CK264" s="212"/>
      <c r="CL264" s="212"/>
      <c r="CM264" s="212"/>
      <c r="CN264" s="212"/>
      <c r="CO264" s="212"/>
      <c r="CP264" s="212"/>
      <c r="CQ264" s="212"/>
      <c r="CR264" s="212"/>
      <c r="CS264" s="212"/>
    </row>
    <row r="265" spans="1:97" x14ac:dyDescent="0.4">
      <c r="A265" s="209">
        <v>45551</v>
      </c>
      <c r="B265" s="210" t="s">
        <v>294</v>
      </c>
      <c r="C265" s="212"/>
      <c r="D265" s="212"/>
      <c r="E265" s="212"/>
      <c r="F265" s="212"/>
      <c r="G265" s="212"/>
      <c r="H265" s="212"/>
      <c r="I265" s="212"/>
      <c r="J265" s="212"/>
      <c r="K265" s="212"/>
      <c r="L265" s="212"/>
      <c r="M265" s="212"/>
      <c r="N265" s="212"/>
      <c r="O265" s="212"/>
      <c r="P265" s="212"/>
      <c r="Q265" s="212"/>
      <c r="R265" s="212"/>
      <c r="S265" s="212"/>
      <c r="T265" s="212"/>
      <c r="U265" s="212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12"/>
      <c r="AF265" s="212"/>
      <c r="AG265" s="212"/>
      <c r="AH265" s="212"/>
      <c r="AI265" s="212"/>
      <c r="AJ265" s="212"/>
      <c r="AK265" s="212"/>
      <c r="AL265" s="212"/>
      <c r="AM265" s="212"/>
      <c r="AN265" s="212"/>
      <c r="AO265" s="212"/>
      <c r="AP265" s="212"/>
      <c r="AQ265" s="212"/>
      <c r="AR265" s="212"/>
      <c r="AS265" s="212"/>
      <c r="AT265" s="212"/>
      <c r="AU265" s="212"/>
      <c r="AV265" s="212"/>
      <c r="AW265" s="212"/>
      <c r="AX265" s="212"/>
      <c r="AY265" s="212"/>
      <c r="AZ265" s="212"/>
      <c r="BA265" s="212"/>
      <c r="BB265" s="212"/>
      <c r="BC265" s="212"/>
      <c r="BD265" s="212"/>
      <c r="BE265" s="212"/>
      <c r="BF265" s="212"/>
      <c r="BG265" s="212"/>
      <c r="BH265" s="212"/>
      <c r="BI265" s="212"/>
      <c r="BJ265" s="212"/>
      <c r="BK265" s="212"/>
      <c r="BL265" s="212"/>
      <c r="BM265" s="212"/>
      <c r="BN265" s="212"/>
      <c r="BO265" s="212"/>
      <c r="BP265" s="212"/>
      <c r="BQ265" s="212"/>
      <c r="BR265" s="212"/>
      <c r="BS265" s="212"/>
      <c r="BT265" s="212"/>
      <c r="BU265" s="212"/>
      <c r="BV265" s="212"/>
      <c r="BW265" s="212"/>
      <c r="BX265" s="212"/>
      <c r="BY265" s="212"/>
      <c r="BZ265" s="212"/>
      <c r="CA265" s="212"/>
      <c r="CB265" s="212"/>
      <c r="CC265" s="212"/>
      <c r="CD265" s="212"/>
      <c r="CE265" s="212"/>
      <c r="CF265" s="212"/>
      <c r="CG265" s="212"/>
      <c r="CH265" s="212"/>
      <c r="CI265" s="212"/>
      <c r="CJ265" s="212"/>
      <c r="CK265" s="212"/>
      <c r="CL265" s="212"/>
      <c r="CM265" s="212"/>
      <c r="CN265" s="212"/>
      <c r="CO265" s="212"/>
      <c r="CP265" s="212"/>
      <c r="CQ265" s="212"/>
      <c r="CR265" s="212"/>
      <c r="CS265" s="212"/>
    </row>
    <row r="266" spans="1:97" x14ac:dyDescent="0.4">
      <c r="A266" s="209">
        <v>45552</v>
      </c>
      <c r="B266" s="210" t="s">
        <v>295</v>
      </c>
      <c r="C266" s="212"/>
      <c r="D266" s="212"/>
      <c r="E266" s="212"/>
      <c r="F266" s="212"/>
      <c r="G266" s="212"/>
      <c r="H266" s="212"/>
      <c r="I266" s="212"/>
      <c r="J266" s="212"/>
      <c r="K266" s="212"/>
      <c r="L266" s="212"/>
      <c r="M266" s="212"/>
      <c r="N266" s="212"/>
      <c r="O266" s="212"/>
      <c r="P266" s="212"/>
      <c r="Q266" s="212"/>
      <c r="R266" s="212"/>
      <c r="S266" s="212"/>
      <c r="T266" s="212"/>
      <c r="U266" s="212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12"/>
      <c r="AF266" s="212"/>
      <c r="AG266" s="212"/>
      <c r="AH266" s="212"/>
      <c r="AI266" s="212"/>
      <c r="AJ266" s="212"/>
      <c r="AK266" s="212"/>
      <c r="AL266" s="212"/>
      <c r="AM266" s="212"/>
      <c r="AN266" s="212"/>
      <c r="AO266" s="212"/>
      <c r="AP266" s="212"/>
      <c r="AQ266" s="212"/>
      <c r="AR266" s="212"/>
      <c r="AS266" s="212"/>
      <c r="AT266" s="212"/>
      <c r="AU266" s="212"/>
      <c r="AV266" s="212"/>
      <c r="AW266" s="212"/>
      <c r="AX266" s="212"/>
      <c r="AY266" s="212"/>
      <c r="AZ266" s="212"/>
      <c r="BA266" s="212"/>
      <c r="BB266" s="212"/>
      <c r="BC266" s="212"/>
      <c r="BD266" s="212"/>
      <c r="BE266" s="212"/>
      <c r="BF266" s="212"/>
      <c r="BG266" s="212"/>
      <c r="BH266" s="212"/>
      <c r="BI266" s="212"/>
      <c r="BJ266" s="212"/>
      <c r="BK266" s="212"/>
      <c r="BL266" s="212"/>
      <c r="BM266" s="212"/>
      <c r="BN266" s="212"/>
      <c r="BO266" s="212"/>
      <c r="BP266" s="212"/>
      <c r="BQ266" s="212"/>
      <c r="BR266" s="212"/>
      <c r="BS266" s="212"/>
      <c r="BT266" s="212"/>
      <c r="BU266" s="212"/>
      <c r="BV266" s="212"/>
      <c r="BW266" s="212"/>
      <c r="BX266" s="212"/>
      <c r="BY266" s="212"/>
      <c r="BZ266" s="212"/>
      <c r="CA266" s="212"/>
      <c r="CB266" s="212"/>
      <c r="CC266" s="212"/>
      <c r="CD266" s="212"/>
      <c r="CE266" s="212"/>
      <c r="CF266" s="212"/>
      <c r="CG266" s="212"/>
      <c r="CH266" s="212"/>
      <c r="CI266" s="212"/>
      <c r="CJ266" s="212"/>
      <c r="CK266" s="212"/>
      <c r="CL266" s="212"/>
      <c r="CM266" s="212"/>
      <c r="CN266" s="212"/>
      <c r="CO266" s="212"/>
      <c r="CP266" s="212"/>
      <c r="CQ266" s="212"/>
      <c r="CR266" s="212"/>
      <c r="CS266" s="212"/>
    </row>
    <row r="267" spans="1:97" x14ac:dyDescent="0.4">
      <c r="A267" s="209">
        <v>45553</v>
      </c>
      <c r="B267" s="210" t="s">
        <v>296</v>
      </c>
      <c r="C267" s="212"/>
      <c r="D267" s="212"/>
      <c r="E267" s="212"/>
      <c r="F267" s="212"/>
      <c r="G267" s="212"/>
      <c r="H267" s="212"/>
      <c r="I267" s="212"/>
      <c r="J267" s="212"/>
      <c r="K267" s="212"/>
      <c r="L267" s="212"/>
      <c r="M267" s="212"/>
      <c r="N267" s="212"/>
      <c r="O267" s="212"/>
      <c r="P267" s="212"/>
      <c r="Q267" s="212"/>
      <c r="R267" s="212"/>
      <c r="S267" s="212"/>
      <c r="T267" s="212"/>
      <c r="U267" s="212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12"/>
      <c r="AF267" s="212"/>
      <c r="AG267" s="212"/>
      <c r="AH267" s="212"/>
      <c r="AI267" s="212"/>
      <c r="AJ267" s="212"/>
      <c r="AK267" s="212"/>
      <c r="AL267" s="212"/>
      <c r="AM267" s="212"/>
      <c r="AN267" s="212"/>
      <c r="AO267" s="212"/>
      <c r="AP267" s="212"/>
      <c r="AQ267" s="212"/>
      <c r="AR267" s="212"/>
      <c r="AS267" s="212"/>
      <c r="AT267" s="212"/>
      <c r="AU267" s="212"/>
      <c r="AV267" s="212"/>
      <c r="AW267" s="212"/>
      <c r="AX267" s="212"/>
      <c r="AY267" s="212"/>
      <c r="AZ267" s="212"/>
      <c r="BA267" s="212"/>
      <c r="BB267" s="212"/>
      <c r="BC267" s="212"/>
      <c r="BD267" s="212"/>
      <c r="BE267" s="212"/>
      <c r="BF267" s="212"/>
      <c r="BG267" s="212"/>
      <c r="BH267" s="212"/>
      <c r="BI267" s="212"/>
      <c r="BJ267" s="212"/>
      <c r="BK267" s="212"/>
      <c r="BL267" s="212"/>
      <c r="BM267" s="212"/>
      <c r="BN267" s="212"/>
      <c r="BO267" s="212"/>
      <c r="BP267" s="212"/>
      <c r="BQ267" s="212"/>
      <c r="BR267" s="212"/>
      <c r="BS267" s="212"/>
      <c r="BT267" s="212"/>
      <c r="BU267" s="212"/>
      <c r="BV267" s="212"/>
      <c r="BW267" s="212"/>
      <c r="BX267" s="212"/>
      <c r="BY267" s="212"/>
      <c r="BZ267" s="212"/>
      <c r="CA267" s="212"/>
      <c r="CB267" s="212"/>
      <c r="CC267" s="212"/>
      <c r="CD267" s="212"/>
      <c r="CE267" s="212"/>
      <c r="CF267" s="212"/>
      <c r="CG267" s="212"/>
      <c r="CH267" s="212"/>
      <c r="CI267" s="212"/>
      <c r="CJ267" s="212"/>
      <c r="CK267" s="212"/>
      <c r="CL267" s="212"/>
      <c r="CM267" s="212"/>
      <c r="CN267" s="212"/>
      <c r="CO267" s="212"/>
      <c r="CP267" s="212"/>
      <c r="CQ267" s="212"/>
      <c r="CR267" s="212"/>
      <c r="CS267" s="212"/>
    </row>
    <row r="268" spans="1:97" x14ac:dyDescent="0.4">
      <c r="A268" s="209">
        <v>45554</v>
      </c>
      <c r="B268" s="210" t="s">
        <v>297</v>
      </c>
      <c r="C268" s="212"/>
      <c r="D268" s="212"/>
      <c r="E268" s="212"/>
      <c r="F268" s="212"/>
      <c r="G268" s="212"/>
      <c r="H268" s="212"/>
      <c r="I268" s="212"/>
      <c r="J268" s="212"/>
      <c r="K268" s="212"/>
      <c r="L268" s="212"/>
      <c r="M268" s="212"/>
      <c r="N268" s="212"/>
      <c r="O268" s="212"/>
      <c r="P268" s="212"/>
      <c r="Q268" s="212"/>
      <c r="R268" s="212"/>
      <c r="S268" s="212"/>
      <c r="T268" s="212"/>
      <c r="U268" s="212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12"/>
      <c r="AF268" s="212"/>
      <c r="AG268" s="212"/>
      <c r="AH268" s="212"/>
      <c r="AI268" s="212"/>
      <c r="AJ268" s="212"/>
      <c r="AK268" s="212"/>
      <c r="AL268" s="212"/>
      <c r="AM268" s="212"/>
      <c r="AN268" s="212"/>
      <c r="AO268" s="212"/>
      <c r="AP268" s="212"/>
      <c r="AQ268" s="212"/>
      <c r="AR268" s="212"/>
      <c r="AS268" s="212"/>
      <c r="AT268" s="212"/>
      <c r="AU268" s="212"/>
      <c r="AV268" s="212"/>
      <c r="AW268" s="212"/>
      <c r="AX268" s="212"/>
      <c r="AY268" s="212"/>
      <c r="AZ268" s="212"/>
      <c r="BA268" s="212"/>
      <c r="BB268" s="212"/>
      <c r="BC268" s="212"/>
      <c r="BD268" s="212"/>
      <c r="BE268" s="212"/>
      <c r="BF268" s="212"/>
      <c r="BG268" s="212"/>
      <c r="BH268" s="212"/>
      <c r="BI268" s="212"/>
      <c r="BJ268" s="212"/>
      <c r="BK268" s="212"/>
      <c r="BL268" s="212"/>
      <c r="BM268" s="212"/>
      <c r="BN268" s="212"/>
      <c r="BO268" s="212"/>
      <c r="BP268" s="212"/>
      <c r="BQ268" s="212"/>
      <c r="BR268" s="212"/>
      <c r="BS268" s="212"/>
      <c r="BT268" s="212"/>
      <c r="BU268" s="212"/>
      <c r="BV268" s="212"/>
      <c r="BW268" s="212"/>
      <c r="BX268" s="212"/>
      <c r="BY268" s="212"/>
      <c r="BZ268" s="212"/>
      <c r="CA268" s="212"/>
      <c r="CB268" s="212"/>
      <c r="CC268" s="212"/>
      <c r="CD268" s="212"/>
      <c r="CE268" s="212"/>
      <c r="CF268" s="212"/>
      <c r="CG268" s="212"/>
      <c r="CH268" s="212"/>
      <c r="CI268" s="212"/>
      <c r="CJ268" s="212"/>
      <c r="CK268" s="212"/>
      <c r="CL268" s="212"/>
      <c r="CM268" s="212"/>
      <c r="CN268" s="212"/>
      <c r="CO268" s="212"/>
      <c r="CP268" s="212"/>
      <c r="CQ268" s="212"/>
      <c r="CR268" s="212"/>
      <c r="CS268" s="212"/>
    </row>
    <row r="269" spans="1:97" x14ac:dyDescent="0.4">
      <c r="A269" s="209">
        <v>45555</v>
      </c>
      <c r="B269" s="210" t="s">
        <v>298</v>
      </c>
      <c r="C269" s="212"/>
      <c r="D269" s="212"/>
      <c r="E269" s="212"/>
      <c r="F269" s="212"/>
      <c r="G269" s="212"/>
      <c r="H269" s="212"/>
      <c r="I269" s="212"/>
      <c r="J269" s="212"/>
      <c r="K269" s="212"/>
      <c r="L269" s="212"/>
      <c r="M269" s="212"/>
      <c r="N269" s="212"/>
      <c r="O269" s="212"/>
      <c r="P269" s="212"/>
      <c r="Q269" s="212"/>
      <c r="R269" s="212"/>
      <c r="S269" s="212"/>
      <c r="T269" s="212"/>
      <c r="U269" s="212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12"/>
      <c r="AF269" s="212"/>
      <c r="AG269" s="212"/>
      <c r="AH269" s="212"/>
      <c r="AI269" s="212"/>
      <c r="AJ269" s="212"/>
      <c r="AK269" s="212"/>
      <c r="AL269" s="212"/>
      <c r="AM269" s="212"/>
      <c r="AN269" s="212"/>
      <c r="AO269" s="212"/>
      <c r="AP269" s="212"/>
      <c r="AQ269" s="212"/>
      <c r="AR269" s="212"/>
      <c r="AS269" s="212"/>
      <c r="AT269" s="212"/>
      <c r="AU269" s="212"/>
      <c r="AV269" s="212"/>
      <c r="AW269" s="212"/>
      <c r="AX269" s="212"/>
      <c r="AY269" s="212"/>
      <c r="AZ269" s="212"/>
      <c r="BA269" s="212"/>
      <c r="BB269" s="212"/>
      <c r="BC269" s="212"/>
      <c r="BD269" s="212"/>
      <c r="BE269" s="212"/>
      <c r="BF269" s="212"/>
      <c r="BG269" s="212"/>
      <c r="BH269" s="212"/>
      <c r="BI269" s="212"/>
      <c r="BJ269" s="212"/>
      <c r="BK269" s="212"/>
      <c r="BL269" s="212"/>
      <c r="BM269" s="212"/>
      <c r="BN269" s="212"/>
      <c r="BO269" s="212"/>
      <c r="BP269" s="212"/>
      <c r="BQ269" s="212"/>
      <c r="BR269" s="212"/>
      <c r="BS269" s="212"/>
      <c r="BT269" s="212"/>
      <c r="BU269" s="212"/>
      <c r="BV269" s="212"/>
      <c r="BW269" s="212"/>
      <c r="BX269" s="212"/>
      <c r="BY269" s="212"/>
      <c r="BZ269" s="212"/>
      <c r="CA269" s="212"/>
      <c r="CB269" s="212"/>
      <c r="CC269" s="212"/>
      <c r="CD269" s="212"/>
      <c r="CE269" s="212"/>
      <c r="CF269" s="212"/>
      <c r="CG269" s="212"/>
      <c r="CH269" s="212"/>
      <c r="CI269" s="212"/>
      <c r="CJ269" s="212"/>
      <c r="CK269" s="212"/>
      <c r="CL269" s="212"/>
      <c r="CM269" s="212"/>
      <c r="CN269" s="212"/>
      <c r="CO269" s="212"/>
      <c r="CP269" s="212"/>
      <c r="CQ269" s="212"/>
      <c r="CR269" s="212"/>
      <c r="CS269" s="212"/>
    </row>
    <row r="270" spans="1:97" x14ac:dyDescent="0.4">
      <c r="A270" s="209">
        <v>45556</v>
      </c>
      <c r="B270" s="210" t="s">
        <v>299</v>
      </c>
      <c r="C270" s="212"/>
      <c r="D270" s="212"/>
      <c r="E270" s="212"/>
      <c r="F270" s="212"/>
      <c r="G270" s="212"/>
      <c r="H270" s="212"/>
      <c r="I270" s="212"/>
      <c r="J270" s="212"/>
      <c r="K270" s="212"/>
      <c r="L270" s="212"/>
      <c r="M270" s="212"/>
      <c r="N270" s="212"/>
      <c r="O270" s="212"/>
      <c r="P270" s="212"/>
      <c r="Q270" s="212"/>
      <c r="R270" s="212"/>
      <c r="S270" s="212"/>
      <c r="T270" s="212"/>
      <c r="U270" s="212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12"/>
      <c r="AF270" s="212"/>
      <c r="AG270" s="212"/>
      <c r="AH270" s="212"/>
      <c r="AI270" s="212"/>
      <c r="AJ270" s="212"/>
      <c r="AK270" s="212"/>
      <c r="AL270" s="212"/>
      <c r="AM270" s="212"/>
      <c r="AN270" s="212"/>
      <c r="AO270" s="212"/>
      <c r="AP270" s="212"/>
      <c r="AQ270" s="212"/>
      <c r="AR270" s="212"/>
      <c r="AS270" s="212"/>
      <c r="AT270" s="212"/>
      <c r="AU270" s="212"/>
      <c r="AV270" s="212"/>
      <c r="AW270" s="212"/>
      <c r="AX270" s="212"/>
      <c r="AY270" s="212"/>
      <c r="AZ270" s="212"/>
      <c r="BA270" s="212"/>
      <c r="BB270" s="212"/>
      <c r="BC270" s="212"/>
      <c r="BD270" s="212"/>
      <c r="BE270" s="212"/>
      <c r="BF270" s="212"/>
      <c r="BG270" s="212"/>
      <c r="BH270" s="212"/>
      <c r="BI270" s="212"/>
      <c r="BJ270" s="212"/>
      <c r="BK270" s="212"/>
      <c r="BL270" s="212"/>
      <c r="BM270" s="212"/>
      <c r="BN270" s="212"/>
      <c r="BO270" s="212"/>
      <c r="BP270" s="212"/>
      <c r="BQ270" s="212"/>
      <c r="BR270" s="212"/>
      <c r="BS270" s="212"/>
      <c r="BT270" s="212"/>
      <c r="BU270" s="212"/>
      <c r="BV270" s="212"/>
      <c r="BW270" s="212"/>
      <c r="BX270" s="212"/>
      <c r="BY270" s="212"/>
      <c r="BZ270" s="212"/>
      <c r="CA270" s="212"/>
      <c r="CB270" s="212"/>
      <c r="CC270" s="212"/>
      <c r="CD270" s="212"/>
      <c r="CE270" s="212"/>
      <c r="CF270" s="212"/>
      <c r="CG270" s="212"/>
      <c r="CH270" s="212"/>
      <c r="CI270" s="212"/>
      <c r="CJ270" s="212"/>
      <c r="CK270" s="212"/>
      <c r="CL270" s="212"/>
      <c r="CM270" s="212"/>
      <c r="CN270" s="212"/>
      <c r="CO270" s="212"/>
      <c r="CP270" s="212"/>
      <c r="CQ270" s="212"/>
      <c r="CR270" s="212"/>
      <c r="CS270" s="212"/>
    </row>
    <row r="271" spans="1:97" x14ac:dyDescent="0.4">
      <c r="A271" s="209">
        <v>45557</v>
      </c>
      <c r="B271" s="210" t="s">
        <v>300</v>
      </c>
      <c r="C271" s="212"/>
      <c r="D271" s="212"/>
      <c r="E271" s="212"/>
      <c r="F271" s="212"/>
      <c r="G271" s="212"/>
      <c r="H271" s="212"/>
      <c r="I271" s="212"/>
      <c r="J271" s="212"/>
      <c r="K271" s="212"/>
      <c r="L271" s="212"/>
      <c r="M271" s="212"/>
      <c r="N271" s="212"/>
      <c r="O271" s="212"/>
      <c r="P271" s="212"/>
      <c r="Q271" s="212"/>
      <c r="R271" s="212"/>
      <c r="S271" s="212"/>
      <c r="T271" s="212"/>
      <c r="U271" s="212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12"/>
      <c r="AF271" s="212"/>
      <c r="AG271" s="212"/>
      <c r="AH271" s="212"/>
      <c r="AI271" s="212"/>
      <c r="AJ271" s="212"/>
      <c r="AK271" s="212"/>
      <c r="AL271" s="212"/>
      <c r="AM271" s="212"/>
      <c r="AN271" s="212"/>
      <c r="AO271" s="212"/>
      <c r="AP271" s="212"/>
      <c r="AQ271" s="212"/>
      <c r="AR271" s="212"/>
      <c r="AS271" s="212"/>
      <c r="AT271" s="212"/>
      <c r="AU271" s="212"/>
      <c r="AV271" s="212"/>
      <c r="AW271" s="212"/>
      <c r="AX271" s="212"/>
      <c r="AY271" s="212"/>
      <c r="AZ271" s="212"/>
      <c r="BA271" s="212"/>
      <c r="BB271" s="212"/>
      <c r="BC271" s="212"/>
      <c r="BD271" s="212"/>
      <c r="BE271" s="212"/>
      <c r="BF271" s="212"/>
      <c r="BG271" s="212"/>
      <c r="BH271" s="212"/>
      <c r="BI271" s="212"/>
      <c r="BJ271" s="212"/>
      <c r="BK271" s="212"/>
      <c r="BL271" s="212"/>
      <c r="BM271" s="212"/>
      <c r="BN271" s="212"/>
      <c r="BO271" s="212"/>
      <c r="BP271" s="212"/>
      <c r="BQ271" s="212"/>
      <c r="BR271" s="212"/>
      <c r="BS271" s="212"/>
      <c r="BT271" s="212"/>
      <c r="BU271" s="212"/>
      <c r="BV271" s="212"/>
      <c r="BW271" s="212"/>
      <c r="BX271" s="212"/>
      <c r="BY271" s="212"/>
      <c r="BZ271" s="212"/>
      <c r="CA271" s="212"/>
      <c r="CB271" s="212"/>
      <c r="CC271" s="212"/>
      <c r="CD271" s="212"/>
      <c r="CE271" s="212"/>
      <c r="CF271" s="212"/>
      <c r="CG271" s="212"/>
      <c r="CH271" s="212"/>
      <c r="CI271" s="212"/>
      <c r="CJ271" s="212"/>
      <c r="CK271" s="212"/>
      <c r="CL271" s="212"/>
      <c r="CM271" s="212"/>
      <c r="CN271" s="212"/>
      <c r="CO271" s="212"/>
      <c r="CP271" s="212"/>
      <c r="CQ271" s="212"/>
      <c r="CR271" s="212"/>
      <c r="CS271" s="212"/>
    </row>
    <row r="272" spans="1:97" x14ac:dyDescent="0.4">
      <c r="A272" s="209">
        <v>45558</v>
      </c>
      <c r="B272" s="210" t="s">
        <v>294</v>
      </c>
      <c r="C272" s="212"/>
      <c r="D272" s="212"/>
      <c r="E272" s="212"/>
      <c r="F272" s="212"/>
      <c r="G272" s="212"/>
      <c r="H272" s="212"/>
      <c r="I272" s="212"/>
      <c r="J272" s="212"/>
      <c r="K272" s="212"/>
      <c r="L272" s="212"/>
      <c r="M272" s="212"/>
      <c r="N272" s="212"/>
      <c r="O272" s="212"/>
      <c r="P272" s="212"/>
      <c r="Q272" s="212"/>
      <c r="R272" s="212"/>
      <c r="S272" s="212"/>
      <c r="T272" s="212"/>
      <c r="U272" s="212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12"/>
      <c r="AF272" s="212"/>
      <c r="AG272" s="212"/>
      <c r="AH272" s="212"/>
      <c r="AI272" s="212"/>
      <c r="AJ272" s="212"/>
      <c r="AK272" s="212"/>
      <c r="AL272" s="212"/>
      <c r="AM272" s="212"/>
      <c r="AN272" s="212"/>
      <c r="AO272" s="212"/>
      <c r="AP272" s="212"/>
      <c r="AQ272" s="212"/>
      <c r="AR272" s="212"/>
      <c r="AS272" s="212"/>
      <c r="AT272" s="212"/>
      <c r="AU272" s="212"/>
      <c r="AV272" s="212"/>
      <c r="AW272" s="212"/>
      <c r="AX272" s="212"/>
      <c r="AY272" s="212"/>
      <c r="AZ272" s="212"/>
      <c r="BA272" s="212"/>
      <c r="BB272" s="212"/>
      <c r="BC272" s="212"/>
      <c r="BD272" s="212"/>
      <c r="BE272" s="212"/>
      <c r="BF272" s="212"/>
      <c r="BG272" s="212"/>
      <c r="BH272" s="212"/>
      <c r="BI272" s="212"/>
      <c r="BJ272" s="212"/>
      <c r="BK272" s="212"/>
      <c r="BL272" s="212"/>
      <c r="BM272" s="212"/>
      <c r="BN272" s="212"/>
      <c r="BO272" s="212"/>
      <c r="BP272" s="212"/>
      <c r="BQ272" s="212"/>
      <c r="BR272" s="212"/>
      <c r="BS272" s="212"/>
      <c r="BT272" s="212"/>
      <c r="BU272" s="212"/>
      <c r="BV272" s="212"/>
      <c r="BW272" s="212"/>
      <c r="BX272" s="212"/>
      <c r="BY272" s="212"/>
      <c r="BZ272" s="212"/>
      <c r="CA272" s="212"/>
      <c r="CB272" s="212"/>
      <c r="CC272" s="212"/>
      <c r="CD272" s="212"/>
      <c r="CE272" s="212"/>
      <c r="CF272" s="212"/>
      <c r="CG272" s="212"/>
      <c r="CH272" s="212"/>
      <c r="CI272" s="212"/>
      <c r="CJ272" s="212"/>
      <c r="CK272" s="212"/>
      <c r="CL272" s="212"/>
      <c r="CM272" s="212"/>
      <c r="CN272" s="212"/>
      <c r="CO272" s="212"/>
      <c r="CP272" s="212"/>
      <c r="CQ272" s="212"/>
      <c r="CR272" s="212"/>
      <c r="CS272" s="212"/>
    </row>
    <row r="273" spans="1:97" x14ac:dyDescent="0.4">
      <c r="A273" s="209">
        <v>45559</v>
      </c>
      <c r="B273" s="210" t="s">
        <v>295</v>
      </c>
      <c r="C273" s="212"/>
      <c r="D273" s="212"/>
      <c r="E273" s="212"/>
      <c r="F273" s="212"/>
      <c r="G273" s="212"/>
      <c r="H273" s="212"/>
      <c r="I273" s="212"/>
      <c r="J273" s="212"/>
      <c r="K273" s="212"/>
      <c r="L273" s="212"/>
      <c r="M273" s="212"/>
      <c r="N273" s="212"/>
      <c r="O273" s="212"/>
      <c r="P273" s="212"/>
      <c r="Q273" s="212"/>
      <c r="R273" s="212"/>
      <c r="S273" s="212"/>
      <c r="T273" s="212"/>
      <c r="U273" s="212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12"/>
      <c r="AF273" s="212"/>
      <c r="AG273" s="212"/>
      <c r="AH273" s="212"/>
      <c r="AI273" s="212"/>
      <c r="AJ273" s="212"/>
      <c r="AK273" s="212"/>
      <c r="AL273" s="212"/>
      <c r="AM273" s="212"/>
      <c r="AN273" s="212"/>
      <c r="AO273" s="212"/>
      <c r="AP273" s="212"/>
      <c r="AQ273" s="212"/>
      <c r="AR273" s="212"/>
      <c r="AS273" s="212"/>
      <c r="AT273" s="212"/>
      <c r="AU273" s="212"/>
      <c r="AV273" s="212"/>
      <c r="AW273" s="212"/>
      <c r="AX273" s="212"/>
      <c r="AY273" s="212"/>
      <c r="AZ273" s="212"/>
      <c r="BA273" s="212"/>
      <c r="BB273" s="212"/>
      <c r="BC273" s="212"/>
      <c r="BD273" s="212"/>
      <c r="BE273" s="212"/>
      <c r="BF273" s="212"/>
      <c r="BG273" s="212"/>
      <c r="BH273" s="212"/>
      <c r="BI273" s="212"/>
      <c r="BJ273" s="212"/>
      <c r="BK273" s="212"/>
      <c r="BL273" s="212"/>
      <c r="BM273" s="212"/>
      <c r="BN273" s="212"/>
      <c r="BO273" s="212"/>
      <c r="BP273" s="212"/>
      <c r="BQ273" s="212"/>
      <c r="BR273" s="212"/>
      <c r="BS273" s="212"/>
      <c r="BT273" s="212"/>
      <c r="BU273" s="212"/>
      <c r="BV273" s="212"/>
      <c r="BW273" s="212"/>
      <c r="BX273" s="212"/>
      <c r="BY273" s="212"/>
      <c r="BZ273" s="212"/>
      <c r="CA273" s="212"/>
      <c r="CB273" s="212"/>
      <c r="CC273" s="212"/>
      <c r="CD273" s="212"/>
      <c r="CE273" s="212"/>
      <c r="CF273" s="212"/>
      <c r="CG273" s="212"/>
      <c r="CH273" s="212"/>
      <c r="CI273" s="212"/>
      <c r="CJ273" s="212"/>
      <c r="CK273" s="212"/>
      <c r="CL273" s="212"/>
      <c r="CM273" s="212"/>
      <c r="CN273" s="212"/>
      <c r="CO273" s="212"/>
      <c r="CP273" s="212"/>
      <c r="CQ273" s="212"/>
      <c r="CR273" s="212"/>
      <c r="CS273" s="212"/>
    </row>
    <row r="274" spans="1:97" x14ac:dyDescent="0.4">
      <c r="A274" s="209">
        <v>45560</v>
      </c>
      <c r="B274" s="210" t="s">
        <v>296</v>
      </c>
      <c r="C274" s="212"/>
      <c r="D274" s="212"/>
      <c r="E274" s="212"/>
      <c r="F274" s="212"/>
      <c r="G274" s="212"/>
      <c r="H274" s="212"/>
      <c r="I274" s="212"/>
      <c r="J274" s="212"/>
      <c r="K274" s="212"/>
      <c r="L274" s="212"/>
      <c r="M274" s="212"/>
      <c r="N274" s="212"/>
      <c r="O274" s="212"/>
      <c r="P274" s="212"/>
      <c r="Q274" s="212"/>
      <c r="R274" s="212"/>
      <c r="S274" s="212"/>
      <c r="T274" s="212"/>
      <c r="U274" s="212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12"/>
      <c r="AF274" s="212"/>
      <c r="AG274" s="212"/>
      <c r="AH274" s="212"/>
      <c r="AI274" s="212"/>
      <c r="AJ274" s="212"/>
      <c r="AK274" s="212"/>
      <c r="AL274" s="212"/>
      <c r="AM274" s="212"/>
      <c r="AN274" s="212"/>
      <c r="AO274" s="212"/>
      <c r="AP274" s="212"/>
      <c r="AQ274" s="212"/>
      <c r="AR274" s="212"/>
      <c r="AS274" s="212"/>
      <c r="AT274" s="212"/>
      <c r="AU274" s="212"/>
      <c r="AV274" s="212"/>
      <c r="AW274" s="212"/>
      <c r="AX274" s="212"/>
      <c r="AY274" s="212"/>
      <c r="AZ274" s="212"/>
      <c r="BA274" s="212"/>
      <c r="BB274" s="212"/>
      <c r="BC274" s="212"/>
      <c r="BD274" s="212"/>
      <c r="BE274" s="212"/>
      <c r="BF274" s="212"/>
      <c r="BG274" s="212"/>
      <c r="BH274" s="212"/>
      <c r="BI274" s="212"/>
      <c r="BJ274" s="212"/>
      <c r="BK274" s="212"/>
      <c r="BL274" s="212"/>
      <c r="BM274" s="212"/>
      <c r="BN274" s="212"/>
      <c r="BO274" s="212"/>
      <c r="BP274" s="212"/>
      <c r="BQ274" s="212"/>
      <c r="BR274" s="212"/>
      <c r="BS274" s="212"/>
      <c r="BT274" s="212"/>
      <c r="BU274" s="212"/>
      <c r="BV274" s="212"/>
      <c r="BW274" s="212"/>
      <c r="BX274" s="212"/>
      <c r="BY274" s="212"/>
      <c r="BZ274" s="212"/>
      <c r="CA274" s="212"/>
      <c r="CB274" s="212"/>
      <c r="CC274" s="212"/>
      <c r="CD274" s="212"/>
      <c r="CE274" s="212"/>
      <c r="CF274" s="212"/>
      <c r="CG274" s="212"/>
      <c r="CH274" s="212"/>
      <c r="CI274" s="212"/>
      <c r="CJ274" s="212"/>
      <c r="CK274" s="212"/>
      <c r="CL274" s="212"/>
      <c r="CM274" s="212"/>
      <c r="CN274" s="212"/>
      <c r="CO274" s="212"/>
      <c r="CP274" s="212"/>
      <c r="CQ274" s="212"/>
      <c r="CR274" s="212"/>
      <c r="CS274" s="212"/>
    </row>
    <row r="275" spans="1:97" x14ac:dyDescent="0.4">
      <c r="A275" s="209">
        <v>45561</v>
      </c>
      <c r="B275" s="210" t="s">
        <v>297</v>
      </c>
      <c r="C275" s="212"/>
      <c r="D275" s="212"/>
      <c r="E275" s="212"/>
      <c r="F275" s="212"/>
      <c r="G275" s="212"/>
      <c r="H275" s="212"/>
      <c r="I275" s="212"/>
      <c r="J275" s="212"/>
      <c r="K275" s="212"/>
      <c r="L275" s="212"/>
      <c r="M275" s="212"/>
      <c r="N275" s="212"/>
      <c r="O275" s="212"/>
      <c r="P275" s="212"/>
      <c r="Q275" s="212"/>
      <c r="R275" s="212"/>
      <c r="S275" s="212"/>
      <c r="T275" s="212"/>
      <c r="U275" s="212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12"/>
      <c r="AF275" s="212"/>
      <c r="AG275" s="212"/>
      <c r="AH275" s="212"/>
      <c r="AI275" s="212"/>
      <c r="AJ275" s="212"/>
      <c r="AK275" s="212"/>
      <c r="AL275" s="212"/>
      <c r="AM275" s="212"/>
      <c r="AN275" s="212"/>
      <c r="AO275" s="212"/>
      <c r="AP275" s="212"/>
      <c r="AQ275" s="212"/>
      <c r="AR275" s="212"/>
      <c r="AS275" s="212"/>
      <c r="AT275" s="212"/>
      <c r="AU275" s="212"/>
      <c r="AV275" s="212"/>
      <c r="AW275" s="212"/>
      <c r="AX275" s="212"/>
      <c r="AY275" s="212"/>
      <c r="AZ275" s="212"/>
      <c r="BA275" s="212"/>
      <c r="BB275" s="212"/>
      <c r="BC275" s="212"/>
      <c r="BD275" s="212"/>
      <c r="BE275" s="212"/>
      <c r="BF275" s="212"/>
      <c r="BG275" s="212"/>
      <c r="BH275" s="212"/>
      <c r="BI275" s="212"/>
      <c r="BJ275" s="212"/>
      <c r="BK275" s="212"/>
      <c r="BL275" s="212"/>
      <c r="BM275" s="212"/>
      <c r="BN275" s="212"/>
      <c r="BO275" s="212"/>
      <c r="BP275" s="212"/>
      <c r="BQ275" s="212"/>
      <c r="BR275" s="212"/>
      <c r="BS275" s="212"/>
      <c r="BT275" s="212"/>
      <c r="BU275" s="212"/>
      <c r="BV275" s="212"/>
      <c r="BW275" s="212"/>
      <c r="BX275" s="212"/>
      <c r="BY275" s="212"/>
      <c r="BZ275" s="212"/>
      <c r="CA275" s="212"/>
      <c r="CB275" s="212"/>
      <c r="CC275" s="212"/>
      <c r="CD275" s="212"/>
      <c r="CE275" s="212"/>
      <c r="CF275" s="212"/>
      <c r="CG275" s="212"/>
      <c r="CH275" s="212"/>
      <c r="CI275" s="212"/>
      <c r="CJ275" s="212"/>
      <c r="CK275" s="212"/>
      <c r="CL275" s="212"/>
      <c r="CM275" s="212"/>
      <c r="CN275" s="212"/>
      <c r="CO275" s="212"/>
      <c r="CP275" s="212"/>
      <c r="CQ275" s="212"/>
      <c r="CR275" s="212"/>
      <c r="CS275" s="212"/>
    </row>
    <row r="276" spans="1:97" x14ac:dyDescent="0.4">
      <c r="A276" s="209">
        <v>45562</v>
      </c>
      <c r="B276" s="210" t="s">
        <v>298</v>
      </c>
      <c r="C276" s="212"/>
      <c r="D276" s="212"/>
      <c r="E276" s="212"/>
      <c r="F276" s="212"/>
      <c r="G276" s="212"/>
      <c r="H276" s="212"/>
      <c r="I276" s="212"/>
      <c r="J276" s="212"/>
      <c r="K276" s="212"/>
      <c r="L276" s="212"/>
      <c r="M276" s="212"/>
      <c r="N276" s="212"/>
      <c r="O276" s="212"/>
      <c r="P276" s="212"/>
      <c r="Q276" s="212"/>
      <c r="R276" s="212"/>
      <c r="S276" s="212"/>
      <c r="T276" s="212"/>
      <c r="U276" s="212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12"/>
      <c r="AF276" s="212"/>
      <c r="AG276" s="212"/>
      <c r="AH276" s="212"/>
      <c r="AI276" s="212"/>
      <c r="AJ276" s="212"/>
      <c r="AK276" s="212"/>
      <c r="AL276" s="212"/>
      <c r="AM276" s="212"/>
      <c r="AN276" s="212"/>
      <c r="AO276" s="212"/>
      <c r="AP276" s="212"/>
      <c r="AQ276" s="212"/>
      <c r="AR276" s="212"/>
      <c r="AS276" s="212"/>
      <c r="AT276" s="212"/>
      <c r="AU276" s="212"/>
      <c r="AV276" s="212"/>
      <c r="AW276" s="212"/>
      <c r="AX276" s="212"/>
      <c r="AY276" s="212"/>
      <c r="AZ276" s="212"/>
      <c r="BA276" s="212"/>
      <c r="BB276" s="212"/>
      <c r="BC276" s="212"/>
      <c r="BD276" s="212"/>
      <c r="BE276" s="212"/>
      <c r="BF276" s="212"/>
      <c r="BG276" s="212"/>
      <c r="BH276" s="212"/>
      <c r="BI276" s="212"/>
      <c r="BJ276" s="212"/>
      <c r="BK276" s="212"/>
      <c r="BL276" s="212"/>
      <c r="BM276" s="212"/>
      <c r="BN276" s="212"/>
      <c r="BO276" s="212"/>
      <c r="BP276" s="212"/>
      <c r="BQ276" s="212"/>
      <c r="BR276" s="212"/>
      <c r="BS276" s="212"/>
      <c r="BT276" s="212"/>
      <c r="BU276" s="212"/>
      <c r="BV276" s="212"/>
      <c r="BW276" s="212"/>
      <c r="BX276" s="212"/>
      <c r="BY276" s="212"/>
      <c r="BZ276" s="212"/>
      <c r="CA276" s="212"/>
      <c r="CB276" s="212"/>
      <c r="CC276" s="212"/>
      <c r="CD276" s="212"/>
      <c r="CE276" s="212"/>
      <c r="CF276" s="212"/>
      <c r="CG276" s="212"/>
      <c r="CH276" s="212"/>
      <c r="CI276" s="212"/>
      <c r="CJ276" s="212"/>
      <c r="CK276" s="212"/>
      <c r="CL276" s="212"/>
      <c r="CM276" s="212"/>
      <c r="CN276" s="212"/>
      <c r="CO276" s="212"/>
      <c r="CP276" s="212"/>
      <c r="CQ276" s="212"/>
      <c r="CR276" s="212"/>
      <c r="CS276" s="212"/>
    </row>
    <row r="277" spans="1:97" x14ac:dyDescent="0.4">
      <c r="A277" s="209">
        <v>45563</v>
      </c>
      <c r="B277" s="210" t="s">
        <v>299</v>
      </c>
      <c r="C277" s="212"/>
      <c r="D277" s="212"/>
      <c r="E277" s="212"/>
      <c r="F277" s="212"/>
      <c r="G277" s="212"/>
      <c r="H277" s="212"/>
      <c r="I277" s="212"/>
      <c r="J277" s="212"/>
      <c r="K277" s="212"/>
      <c r="L277" s="212"/>
      <c r="M277" s="212"/>
      <c r="N277" s="212"/>
      <c r="O277" s="212"/>
      <c r="P277" s="212"/>
      <c r="Q277" s="212"/>
      <c r="R277" s="212"/>
      <c r="S277" s="212"/>
      <c r="T277" s="212"/>
      <c r="U277" s="212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12"/>
      <c r="AF277" s="212"/>
      <c r="AG277" s="212"/>
      <c r="AH277" s="212"/>
      <c r="AI277" s="212"/>
      <c r="AJ277" s="212"/>
      <c r="AK277" s="212"/>
      <c r="AL277" s="212"/>
      <c r="AM277" s="212"/>
      <c r="AN277" s="212"/>
      <c r="AO277" s="212"/>
      <c r="AP277" s="212"/>
      <c r="AQ277" s="212"/>
      <c r="AR277" s="212"/>
      <c r="AS277" s="212"/>
      <c r="AT277" s="212"/>
      <c r="AU277" s="212"/>
      <c r="AV277" s="212"/>
      <c r="AW277" s="212"/>
      <c r="AX277" s="212"/>
      <c r="AY277" s="212"/>
      <c r="AZ277" s="212"/>
      <c r="BA277" s="212"/>
      <c r="BB277" s="212"/>
      <c r="BC277" s="212"/>
      <c r="BD277" s="212"/>
      <c r="BE277" s="212"/>
      <c r="BF277" s="212"/>
      <c r="BG277" s="212"/>
      <c r="BH277" s="212"/>
      <c r="BI277" s="212"/>
      <c r="BJ277" s="212"/>
      <c r="BK277" s="212"/>
      <c r="BL277" s="212"/>
      <c r="BM277" s="212"/>
      <c r="BN277" s="212"/>
      <c r="BO277" s="212"/>
      <c r="BP277" s="212"/>
      <c r="BQ277" s="212"/>
      <c r="BR277" s="212"/>
      <c r="BS277" s="212"/>
      <c r="BT277" s="212"/>
      <c r="BU277" s="212"/>
      <c r="BV277" s="212"/>
      <c r="BW277" s="212"/>
      <c r="BX277" s="212"/>
      <c r="BY277" s="212"/>
      <c r="BZ277" s="212"/>
      <c r="CA277" s="212"/>
      <c r="CB277" s="212"/>
      <c r="CC277" s="212"/>
      <c r="CD277" s="212"/>
      <c r="CE277" s="212"/>
      <c r="CF277" s="212"/>
      <c r="CG277" s="212"/>
      <c r="CH277" s="212"/>
      <c r="CI277" s="212"/>
      <c r="CJ277" s="212"/>
      <c r="CK277" s="212"/>
      <c r="CL277" s="212"/>
      <c r="CM277" s="212"/>
      <c r="CN277" s="212"/>
      <c r="CO277" s="212"/>
      <c r="CP277" s="212"/>
      <c r="CQ277" s="212"/>
      <c r="CR277" s="212"/>
      <c r="CS277" s="212"/>
    </row>
    <row r="278" spans="1:97" x14ac:dyDescent="0.4">
      <c r="A278" s="209">
        <v>45564</v>
      </c>
      <c r="B278" s="210" t="s">
        <v>300</v>
      </c>
      <c r="C278" s="212"/>
      <c r="D278" s="212"/>
      <c r="E278" s="212"/>
      <c r="F278" s="212"/>
      <c r="G278" s="212"/>
      <c r="H278" s="212"/>
      <c r="I278" s="212"/>
      <c r="J278" s="212"/>
      <c r="K278" s="212"/>
      <c r="L278" s="212"/>
      <c r="M278" s="212"/>
      <c r="N278" s="212"/>
      <c r="O278" s="212"/>
      <c r="P278" s="212"/>
      <c r="Q278" s="212"/>
      <c r="R278" s="212"/>
      <c r="S278" s="212"/>
      <c r="T278" s="212"/>
      <c r="U278" s="212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12"/>
      <c r="AF278" s="212"/>
      <c r="AG278" s="212"/>
      <c r="AH278" s="212"/>
      <c r="AI278" s="212"/>
      <c r="AJ278" s="212"/>
      <c r="AK278" s="212"/>
      <c r="AL278" s="212"/>
      <c r="AM278" s="212"/>
      <c r="AN278" s="212"/>
      <c r="AO278" s="212"/>
      <c r="AP278" s="212"/>
      <c r="AQ278" s="212"/>
      <c r="AR278" s="212"/>
      <c r="AS278" s="212"/>
      <c r="AT278" s="212"/>
      <c r="AU278" s="212"/>
      <c r="AV278" s="212"/>
      <c r="AW278" s="212"/>
      <c r="AX278" s="212"/>
      <c r="AY278" s="212"/>
      <c r="AZ278" s="212"/>
      <c r="BA278" s="212"/>
      <c r="BB278" s="212"/>
      <c r="BC278" s="212"/>
      <c r="BD278" s="212"/>
      <c r="BE278" s="212"/>
      <c r="BF278" s="212"/>
      <c r="BG278" s="212"/>
      <c r="BH278" s="212"/>
      <c r="BI278" s="212"/>
      <c r="BJ278" s="212"/>
      <c r="BK278" s="212"/>
      <c r="BL278" s="212"/>
      <c r="BM278" s="212"/>
      <c r="BN278" s="212"/>
      <c r="BO278" s="212"/>
      <c r="BP278" s="212"/>
      <c r="BQ278" s="212"/>
      <c r="BR278" s="212"/>
      <c r="BS278" s="212"/>
      <c r="BT278" s="212"/>
      <c r="BU278" s="212"/>
      <c r="BV278" s="212"/>
      <c r="BW278" s="212"/>
      <c r="BX278" s="212"/>
      <c r="BY278" s="212"/>
      <c r="BZ278" s="212"/>
      <c r="CA278" s="212"/>
      <c r="CB278" s="212"/>
      <c r="CC278" s="212"/>
      <c r="CD278" s="212"/>
      <c r="CE278" s="212"/>
      <c r="CF278" s="212"/>
      <c r="CG278" s="212"/>
      <c r="CH278" s="212"/>
      <c r="CI278" s="212"/>
      <c r="CJ278" s="212"/>
      <c r="CK278" s="212"/>
      <c r="CL278" s="212"/>
      <c r="CM278" s="212"/>
      <c r="CN278" s="212"/>
      <c r="CO278" s="212"/>
      <c r="CP278" s="212"/>
      <c r="CQ278" s="212"/>
      <c r="CR278" s="212"/>
      <c r="CS278" s="212"/>
    </row>
    <row r="279" spans="1:97" x14ac:dyDescent="0.4">
      <c r="A279" s="209">
        <v>45565</v>
      </c>
      <c r="B279" s="210" t="s">
        <v>294</v>
      </c>
      <c r="C279" s="212"/>
      <c r="D279" s="212"/>
      <c r="E279" s="212"/>
      <c r="F279" s="212"/>
      <c r="G279" s="212"/>
      <c r="H279" s="212"/>
      <c r="I279" s="212"/>
      <c r="J279" s="212"/>
      <c r="K279" s="212"/>
      <c r="L279" s="212"/>
      <c r="M279" s="212"/>
      <c r="N279" s="212"/>
      <c r="O279" s="212"/>
      <c r="P279" s="212"/>
      <c r="Q279" s="212"/>
      <c r="R279" s="212"/>
      <c r="S279" s="212"/>
      <c r="T279" s="212"/>
      <c r="U279" s="212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12"/>
      <c r="AF279" s="212"/>
      <c r="AG279" s="212"/>
      <c r="AH279" s="212"/>
      <c r="AI279" s="212"/>
      <c r="AJ279" s="212"/>
      <c r="AK279" s="212"/>
      <c r="AL279" s="212"/>
      <c r="AM279" s="212"/>
      <c r="AN279" s="212"/>
      <c r="AO279" s="212"/>
      <c r="AP279" s="212"/>
      <c r="AQ279" s="212"/>
      <c r="AR279" s="212"/>
      <c r="AS279" s="212"/>
      <c r="AT279" s="212"/>
      <c r="AU279" s="212"/>
      <c r="AV279" s="212"/>
      <c r="AW279" s="212"/>
      <c r="AX279" s="212"/>
      <c r="AY279" s="212"/>
      <c r="AZ279" s="212"/>
      <c r="BA279" s="212"/>
      <c r="BB279" s="212"/>
      <c r="BC279" s="212"/>
      <c r="BD279" s="212"/>
      <c r="BE279" s="212"/>
      <c r="BF279" s="212"/>
      <c r="BG279" s="212"/>
      <c r="BH279" s="212"/>
      <c r="BI279" s="212"/>
      <c r="BJ279" s="212"/>
      <c r="BK279" s="212"/>
      <c r="BL279" s="212"/>
      <c r="BM279" s="212"/>
      <c r="BN279" s="212"/>
      <c r="BO279" s="212"/>
      <c r="BP279" s="212"/>
      <c r="BQ279" s="212"/>
      <c r="BR279" s="212"/>
      <c r="BS279" s="212"/>
      <c r="BT279" s="212"/>
      <c r="BU279" s="212"/>
      <c r="BV279" s="212"/>
      <c r="BW279" s="212"/>
      <c r="BX279" s="212"/>
      <c r="BY279" s="212"/>
      <c r="BZ279" s="212"/>
      <c r="CA279" s="212"/>
      <c r="CB279" s="212"/>
      <c r="CC279" s="212"/>
      <c r="CD279" s="212"/>
      <c r="CE279" s="212"/>
      <c r="CF279" s="212"/>
      <c r="CG279" s="212"/>
      <c r="CH279" s="212"/>
      <c r="CI279" s="212"/>
      <c r="CJ279" s="212"/>
      <c r="CK279" s="212"/>
      <c r="CL279" s="212"/>
      <c r="CM279" s="212"/>
      <c r="CN279" s="212"/>
      <c r="CO279" s="212"/>
      <c r="CP279" s="212"/>
      <c r="CQ279" s="212"/>
      <c r="CR279" s="212"/>
      <c r="CS279" s="212"/>
    </row>
    <row r="280" spans="1:97" x14ac:dyDescent="0.4">
      <c r="A280" s="209">
        <v>45566</v>
      </c>
      <c r="B280" s="210" t="s">
        <v>295</v>
      </c>
      <c r="C280" s="212"/>
      <c r="D280" s="212"/>
      <c r="E280" s="212"/>
      <c r="F280" s="212"/>
      <c r="G280" s="212"/>
      <c r="H280" s="212"/>
      <c r="I280" s="212"/>
      <c r="J280" s="212"/>
      <c r="K280" s="212"/>
      <c r="L280" s="212"/>
      <c r="M280" s="212"/>
      <c r="N280" s="212"/>
      <c r="O280" s="212"/>
      <c r="P280" s="212"/>
      <c r="Q280" s="212"/>
      <c r="R280" s="212"/>
      <c r="S280" s="212"/>
      <c r="T280" s="212"/>
      <c r="U280" s="212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12"/>
      <c r="AF280" s="212"/>
      <c r="AG280" s="212"/>
      <c r="AH280" s="212"/>
      <c r="AI280" s="212"/>
      <c r="AJ280" s="212"/>
      <c r="AK280" s="212"/>
      <c r="AL280" s="212"/>
      <c r="AM280" s="212"/>
      <c r="AN280" s="212"/>
      <c r="AO280" s="212"/>
      <c r="AP280" s="212"/>
      <c r="AQ280" s="212"/>
      <c r="AR280" s="212"/>
      <c r="AS280" s="212"/>
      <c r="AT280" s="212"/>
      <c r="AU280" s="212"/>
      <c r="AV280" s="212"/>
      <c r="AW280" s="212"/>
      <c r="AX280" s="212"/>
      <c r="AY280" s="212"/>
      <c r="AZ280" s="212"/>
      <c r="BA280" s="212"/>
      <c r="BB280" s="212"/>
      <c r="BC280" s="212"/>
      <c r="BD280" s="212"/>
      <c r="BE280" s="212"/>
      <c r="BF280" s="212"/>
      <c r="BG280" s="212"/>
      <c r="BH280" s="212"/>
      <c r="BI280" s="212"/>
      <c r="BJ280" s="212"/>
      <c r="BK280" s="212"/>
      <c r="BL280" s="212"/>
      <c r="BM280" s="212"/>
      <c r="BN280" s="212"/>
      <c r="BO280" s="212"/>
      <c r="BP280" s="212"/>
      <c r="BQ280" s="212"/>
      <c r="BR280" s="212"/>
      <c r="BS280" s="212"/>
      <c r="BT280" s="212"/>
      <c r="BU280" s="212"/>
      <c r="BV280" s="212"/>
      <c r="BW280" s="212"/>
      <c r="BX280" s="212"/>
      <c r="BY280" s="212"/>
      <c r="BZ280" s="212"/>
      <c r="CA280" s="212"/>
      <c r="CB280" s="212"/>
      <c r="CC280" s="212"/>
      <c r="CD280" s="212"/>
      <c r="CE280" s="212"/>
      <c r="CF280" s="212"/>
      <c r="CG280" s="212"/>
      <c r="CH280" s="212"/>
      <c r="CI280" s="212"/>
      <c r="CJ280" s="212"/>
      <c r="CK280" s="212"/>
      <c r="CL280" s="212"/>
      <c r="CM280" s="212"/>
      <c r="CN280" s="212"/>
      <c r="CO280" s="212"/>
      <c r="CP280" s="212"/>
      <c r="CQ280" s="212"/>
      <c r="CR280" s="212"/>
      <c r="CS280" s="212"/>
    </row>
    <row r="281" spans="1:97" x14ac:dyDescent="0.4">
      <c r="A281" s="209">
        <v>45567</v>
      </c>
      <c r="B281" s="210" t="s">
        <v>296</v>
      </c>
      <c r="C281" s="212"/>
      <c r="D281" s="212"/>
      <c r="E281" s="212"/>
      <c r="F281" s="212"/>
      <c r="G281" s="212"/>
      <c r="H281" s="212"/>
      <c r="I281" s="212"/>
      <c r="J281" s="212"/>
      <c r="K281" s="212"/>
      <c r="L281" s="212"/>
      <c r="M281" s="212"/>
      <c r="N281" s="212"/>
      <c r="O281" s="212"/>
      <c r="P281" s="212"/>
      <c r="Q281" s="212"/>
      <c r="R281" s="212"/>
      <c r="S281" s="212"/>
      <c r="T281" s="212"/>
      <c r="U281" s="212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12"/>
      <c r="AF281" s="212"/>
      <c r="AG281" s="212"/>
      <c r="AH281" s="212"/>
      <c r="AI281" s="212"/>
      <c r="AJ281" s="212"/>
      <c r="AK281" s="212"/>
      <c r="AL281" s="212"/>
      <c r="AM281" s="212"/>
      <c r="AN281" s="212"/>
      <c r="AO281" s="212"/>
      <c r="AP281" s="212"/>
      <c r="AQ281" s="212"/>
      <c r="AR281" s="212"/>
      <c r="AS281" s="212"/>
      <c r="AT281" s="212"/>
      <c r="AU281" s="212"/>
      <c r="AV281" s="212"/>
      <c r="AW281" s="212"/>
      <c r="AX281" s="212"/>
      <c r="AY281" s="212"/>
      <c r="AZ281" s="212"/>
      <c r="BA281" s="212"/>
      <c r="BB281" s="212"/>
      <c r="BC281" s="212"/>
      <c r="BD281" s="212"/>
      <c r="BE281" s="212"/>
      <c r="BF281" s="212"/>
      <c r="BG281" s="212"/>
      <c r="BH281" s="212"/>
      <c r="BI281" s="212"/>
      <c r="BJ281" s="212"/>
      <c r="BK281" s="212"/>
      <c r="BL281" s="212"/>
      <c r="BM281" s="212"/>
      <c r="BN281" s="212"/>
      <c r="BO281" s="212"/>
      <c r="BP281" s="212"/>
      <c r="BQ281" s="212"/>
      <c r="BR281" s="212"/>
      <c r="BS281" s="212"/>
      <c r="BT281" s="212"/>
      <c r="BU281" s="212"/>
      <c r="BV281" s="212"/>
      <c r="BW281" s="212"/>
      <c r="BX281" s="212"/>
      <c r="BY281" s="212"/>
      <c r="BZ281" s="212"/>
      <c r="CA281" s="212"/>
      <c r="CB281" s="212"/>
      <c r="CC281" s="212"/>
      <c r="CD281" s="212"/>
      <c r="CE281" s="212"/>
      <c r="CF281" s="212"/>
      <c r="CG281" s="212"/>
      <c r="CH281" s="212"/>
      <c r="CI281" s="212"/>
      <c r="CJ281" s="212"/>
      <c r="CK281" s="212"/>
      <c r="CL281" s="212"/>
      <c r="CM281" s="212"/>
      <c r="CN281" s="212"/>
      <c r="CO281" s="212"/>
      <c r="CP281" s="212"/>
      <c r="CQ281" s="212"/>
      <c r="CR281" s="212"/>
      <c r="CS281" s="212"/>
    </row>
    <row r="282" spans="1:97" x14ac:dyDescent="0.4">
      <c r="A282" s="209">
        <v>45568</v>
      </c>
      <c r="B282" s="210" t="s">
        <v>297</v>
      </c>
      <c r="C282" s="212"/>
      <c r="D282" s="212"/>
      <c r="E282" s="212"/>
      <c r="F282" s="212"/>
      <c r="G282" s="212"/>
      <c r="H282" s="212"/>
      <c r="I282" s="212"/>
      <c r="J282" s="212"/>
      <c r="K282" s="212"/>
      <c r="L282" s="212"/>
      <c r="M282" s="212"/>
      <c r="N282" s="212"/>
      <c r="O282" s="212"/>
      <c r="P282" s="212"/>
      <c r="Q282" s="212"/>
      <c r="R282" s="212"/>
      <c r="S282" s="212"/>
      <c r="T282" s="212"/>
      <c r="U282" s="212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12"/>
      <c r="AF282" s="212"/>
      <c r="AG282" s="212"/>
      <c r="AH282" s="212"/>
      <c r="AI282" s="212"/>
      <c r="AJ282" s="212"/>
      <c r="AK282" s="212"/>
      <c r="AL282" s="212"/>
      <c r="AM282" s="212"/>
      <c r="AN282" s="212"/>
      <c r="AO282" s="212"/>
      <c r="AP282" s="212"/>
      <c r="AQ282" s="212"/>
      <c r="AR282" s="212"/>
      <c r="AS282" s="212"/>
      <c r="AT282" s="212"/>
      <c r="AU282" s="212"/>
      <c r="AV282" s="212"/>
      <c r="AW282" s="212"/>
      <c r="AX282" s="212"/>
      <c r="AY282" s="212"/>
      <c r="AZ282" s="212"/>
      <c r="BA282" s="212"/>
      <c r="BB282" s="212"/>
      <c r="BC282" s="212"/>
      <c r="BD282" s="212"/>
      <c r="BE282" s="212"/>
      <c r="BF282" s="212"/>
      <c r="BG282" s="212"/>
      <c r="BH282" s="212"/>
      <c r="BI282" s="212"/>
      <c r="BJ282" s="212"/>
      <c r="BK282" s="212"/>
      <c r="BL282" s="212"/>
      <c r="BM282" s="212"/>
      <c r="BN282" s="212"/>
      <c r="BO282" s="212"/>
      <c r="BP282" s="212"/>
      <c r="BQ282" s="212"/>
      <c r="BR282" s="212"/>
      <c r="BS282" s="212"/>
      <c r="BT282" s="212"/>
      <c r="BU282" s="212"/>
      <c r="BV282" s="212"/>
      <c r="BW282" s="212"/>
      <c r="BX282" s="212"/>
      <c r="BY282" s="212"/>
      <c r="BZ282" s="212"/>
      <c r="CA282" s="212"/>
      <c r="CB282" s="212"/>
      <c r="CC282" s="212"/>
      <c r="CD282" s="212"/>
      <c r="CE282" s="212"/>
      <c r="CF282" s="212"/>
      <c r="CG282" s="212"/>
      <c r="CH282" s="212"/>
      <c r="CI282" s="212"/>
      <c r="CJ282" s="212"/>
      <c r="CK282" s="212"/>
      <c r="CL282" s="212"/>
      <c r="CM282" s="212"/>
      <c r="CN282" s="212"/>
      <c r="CO282" s="212"/>
      <c r="CP282" s="212"/>
      <c r="CQ282" s="212"/>
      <c r="CR282" s="212"/>
      <c r="CS282" s="212"/>
    </row>
    <row r="283" spans="1:97" x14ac:dyDescent="0.4">
      <c r="A283" s="209">
        <v>45569</v>
      </c>
      <c r="B283" s="210" t="s">
        <v>298</v>
      </c>
      <c r="C283" s="212"/>
      <c r="D283" s="212"/>
      <c r="E283" s="212"/>
      <c r="F283" s="212"/>
      <c r="G283" s="212"/>
      <c r="H283" s="212"/>
      <c r="I283" s="212"/>
      <c r="J283" s="212"/>
      <c r="K283" s="212"/>
      <c r="L283" s="212"/>
      <c r="M283" s="212"/>
      <c r="N283" s="212"/>
      <c r="O283" s="212"/>
      <c r="P283" s="212"/>
      <c r="Q283" s="212"/>
      <c r="R283" s="212"/>
      <c r="S283" s="212"/>
      <c r="T283" s="212"/>
      <c r="U283" s="212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12"/>
      <c r="AF283" s="212"/>
      <c r="AG283" s="212"/>
      <c r="AH283" s="212"/>
      <c r="AI283" s="212"/>
      <c r="AJ283" s="212"/>
      <c r="AK283" s="212"/>
      <c r="AL283" s="212"/>
      <c r="AM283" s="212"/>
      <c r="AN283" s="212"/>
      <c r="AO283" s="212"/>
      <c r="AP283" s="212"/>
      <c r="AQ283" s="212"/>
      <c r="AR283" s="212"/>
      <c r="AS283" s="212"/>
      <c r="AT283" s="212"/>
      <c r="AU283" s="212"/>
      <c r="AV283" s="212"/>
      <c r="AW283" s="212"/>
      <c r="AX283" s="212"/>
      <c r="AY283" s="212"/>
      <c r="AZ283" s="212"/>
      <c r="BA283" s="212"/>
      <c r="BB283" s="212"/>
      <c r="BC283" s="212"/>
      <c r="BD283" s="212"/>
      <c r="BE283" s="212"/>
      <c r="BF283" s="212"/>
      <c r="BG283" s="212"/>
      <c r="BH283" s="212"/>
      <c r="BI283" s="212"/>
      <c r="BJ283" s="212"/>
      <c r="BK283" s="212"/>
      <c r="BL283" s="212"/>
      <c r="BM283" s="212"/>
      <c r="BN283" s="212"/>
      <c r="BO283" s="212"/>
      <c r="BP283" s="212"/>
      <c r="BQ283" s="212"/>
      <c r="BR283" s="212"/>
      <c r="BS283" s="212"/>
      <c r="BT283" s="212"/>
      <c r="BU283" s="212"/>
      <c r="BV283" s="212"/>
      <c r="BW283" s="212"/>
      <c r="BX283" s="212"/>
      <c r="BY283" s="212"/>
      <c r="BZ283" s="212"/>
      <c r="CA283" s="212"/>
      <c r="CB283" s="212"/>
      <c r="CC283" s="212"/>
      <c r="CD283" s="212"/>
      <c r="CE283" s="212"/>
      <c r="CF283" s="212"/>
      <c r="CG283" s="212"/>
      <c r="CH283" s="212"/>
      <c r="CI283" s="212"/>
      <c r="CJ283" s="212"/>
      <c r="CK283" s="212"/>
      <c r="CL283" s="212"/>
      <c r="CM283" s="212"/>
      <c r="CN283" s="212"/>
      <c r="CO283" s="212"/>
      <c r="CP283" s="212"/>
      <c r="CQ283" s="212"/>
      <c r="CR283" s="212"/>
      <c r="CS283" s="212"/>
    </row>
    <row r="284" spans="1:97" x14ac:dyDescent="0.4">
      <c r="A284" s="209">
        <v>45570</v>
      </c>
      <c r="B284" s="210" t="s">
        <v>299</v>
      </c>
      <c r="C284" s="212"/>
      <c r="D284" s="212"/>
      <c r="E284" s="212"/>
      <c r="F284" s="212"/>
      <c r="G284" s="212"/>
      <c r="H284" s="212"/>
      <c r="I284" s="212"/>
      <c r="J284" s="212"/>
      <c r="K284" s="212"/>
      <c r="L284" s="212"/>
      <c r="M284" s="212"/>
      <c r="N284" s="212"/>
      <c r="O284" s="212"/>
      <c r="P284" s="212"/>
      <c r="Q284" s="212"/>
      <c r="R284" s="212"/>
      <c r="S284" s="212"/>
      <c r="T284" s="212"/>
      <c r="U284" s="212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12"/>
      <c r="AF284" s="212"/>
      <c r="AG284" s="212"/>
      <c r="AH284" s="212"/>
      <c r="AI284" s="212"/>
      <c r="AJ284" s="212"/>
      <c r="AK284" s="212"/>
      <c r="AL284" s="212"/>
      <c r="AM284" s="212"/>
      <c r="AN284" s="212"/>
      <c r="AO284" s="212"/>
      <c r="AP284" s="212"/>
      <c r="AQ284" s="212"/>
      <c r="AR284" s="212"/>
      <c r="AS284" s="212"/>
      <c r="AT284" s="212"/>
      <c r="AU284" s="212"/>
      <c r="AV284" s="212"/>
      <c r="AW284" s="212"/>
      <c r="AX284" s="212"/>
      <c r="AY284" s="212"/>
      <c r="AZ284" s="212"/>
      <c r="BA284" s="212"/>
      <c r="BB284" s="212"/>
      <c r="BC284" s="212"/>
      <c r="BD284" s="212"/>
      <c r="BE284" s="212"/>
      <c r="BF284" s="212"/>
      <c r="BG284" s="212"/>
      <c r="BH284" s="212"/>
      <c r="BI284" s="212"/>
      <c r="BJ284" s="212"/>
      <c r="BK284" s="212"/>
      <c r="BL284" s="212"/>
      <c r="BM284" s="212"/>
      <c r="BN284" s="212"/>
      <c r="BO284" s="212"/>
      <c r="BP284" s="212"/>
      <c r="BQ284" s="212"/>
      <c r="BR284" s="212"/>
      <c r="BS284" s="212"/>
      <c r="BT284" s="212"/>
      <c r="BU284" s="212"/>
      <c r="BV284" s="212"/>
      <c r="BW284" s="212"/>
      <c r="BX284" s="212"/>
      <c r="BY284" s="212"/>
      <c r="BZ284" s="212"/>
      <c r="CA284" s="212"/>
      <c r="CB284" s="212"/>
      <c r="CC284" s="212"/>
      <c r="CD284" s="212"/>
      <c r="CE284" s="212"/>
      <c r="CF284" s="212"/>
      <c r="CG284" s="212"/>
      <c r="CH284" s="212"/>
      <c r="CI284" s="212"/>
      <c r="CJ284" s="212"/>
      <c r="CK284" s="212"/>
      <c r="CL284" s="212"/>
      <c r="CM284" s="212"/>
      <c r="CN284" s="212"/>
      <c r="CO284" s="212"/>
      <c r="CP284" s="212"/>
      <c r="CQ284" s="212"/>
      <c r="CR284" s="212"/>
      <c r="CS284" s="212"/>
    </row>
    <row r="285" spans="1:97" x14ac:dyDescent="0.4">
      <c r="A285" s="209">
        <v>45571</v>
      </c>
      <c r="B285" s="210" t="s">
        <v>300</v>
      </c>
      <c r="C285" s="212"/>
      <c r="D285" s="212"/>
      <c r="E285" s="212"/>
      <c r="F285" s="212"/>
      <c r="G285" s="212"/>
      <c r="H285" s="212"/>
      <c r="I285" s="212"/>
      <c r="J285" s="212"/>
      <c r="K285" s="212"/>
      <c r="L285" s="212"/>
      <c r="M285" s="212"/>
      <c r="N285" s="212"/>
      <c r="O285" s="212"/>
      <c r="P285" s="212"/>
      <c r="Q285" s="212"/>
      <c r="R285" s="212"/>
      <c r="S285" s="212"/>
      <c r="T285" s="212"/>
      <c r="U285" s="212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12"/>
      <c r="AF285" s="212"/>
      <c r="AG285" s="212"/>
      <c r="AH285" s="212"/>
      <c r="AI285" s="212"/>
      <c r="AJ285" s="212"/>
      <c r="AK285" s="212"/>
      <c r="AL285" s="212"/>
      <c r="AM285" s="212"/>
      <c r="AN285" s="212"/>
      <c r="AO285" s="212"/>
      <c r="AP285" s="212"/>
      <c r="AQ285" s="212"/>
      <c r="AR285" s="212"/>
      <c r="AS285" s="212"/>
      <c r="AT285" s="212"/>
      <c r="AU285" s="212"/>
      <c r="AV285" s="212"/>
      <c r="AW285" s="212"/>
      <c r="AX285" s="212"/>
      <c r="AY285" s="212"/>
      <c r="AZ285" s="212"/>
      <c r="BA285" s="212"/>
      <c r="BB285" s="212"/>
      <c r="BC285" s="212"/>
      <c r="BD285" s="212"/>
      <c r="BE285" s="212"/>
      <c r="BF285" s="212"/>
      <c r="BG285" s="212"/>
      <c r="BH285" s="212"/>
      <c r="BI285" s="212"/>
      <c r="BJ285" s="212"/>
      <c r="BK285" s="212"/>
      <c r="BL285" s="212"/>
      <c r="BM285" s="212"/>
      <c r="BN285" s="212"/>
      <c r="BO285" s="212"/>
      <c r="BP285" s="212"/>
      <c r="BQ285" s="212"/>
      <c r="BR285" s="212"/>
      <c r="BS285" s="212"/>
      <c r="BT285" s="212"/>
      <c r="BU285" s="212"/>
      <c r="BV285" s="212"/>
      <c r="BW285" s="212"/>
      <c r="BX285" s="212"/>
      <c r="BY285" s="212"/>
      <c r="BZ285" s="212"/>
      <c r="CA285" s="212"/>
      <c r="CB285" s="212"/>
      <c r="CC285" s="212"/>
      <c r="CD285" s="212"/>
      <c r="CE285" s="212"/>
      <c r="CF285" s="212"/>
      <c r="CG285" s="212"/>
      <c r="CH285" s="212"/>
      <c r="CI285" s="212"/>
      <c r="CJ285" s="212"/>
      <c r="CK285" s="212"/>
      <c r="CL285" s="212"/>
      <c r="CM285" s="212"/>
      <c r="CN285" s="212"/>
      <c r="CO285" s="212"/>
      <c r="CP285" s="212"/>
      <c r="CQ285" s="212"/>
      <c r="CR285" s="212"/>
      <c r="CS285" s="212"/>
    </row>
    <row r="286" spans="1:97" x14ac:dyDescent="0.4">
      <c r="A286" s="209">
        <v>45572</v>
      </c>
      <c r="B286" s="210" t="s">
        <v>294</v>
      </c>
      <c r="C286" s="212"/>
      <c r="D286" s="212"/>
      <c r="E286" s="212"/>
      <c r="F286" s="212"/>
      <c r="G286" s="212"/>
      <c r="H286" s="212"/>
      <c r="I286" s="212"/>
      <c r="J286" s="212"/>
      <c r="K286" s="212"/>
      <c r="L286" s="212"/>
      <c r="M286" s="212"/>
      <c r="N286" s="212"/>
      <c r="O286" s="212"/>
      <c r="P286" s="212"/>
      <c r="Q286" s="212"/>
      <c r="R286" s="212"/>
      <c r="S286" s="212"/>
      <c r="T286" s="212"/>
      <c r="U286" s="212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12"/>
      <c r="AF286" s="212"/>
      <c r="AG286" s="212"/>
      <c r="AH286" s="212"/>
      <c r="AI286" s="212"/>
      <c r="AJ286" s="212"/>
      <c r="AK286" s="212"/>
      <c r="AL286" s="212"/>
      <c r="AM286" s="212"/>
      <c r="AN286" s="212"/>
      <c r="AO286" s="212"/>
      <c r="AP286" s="212"/>
      <c r="AQ286" s="212"/>
      <c r="AR286" s="212"/>
      <c r="AS286" s="212"/>
      <c r="AT286" s="212"/>
      <c r="AU286" s="212"/>
      <c r="AV286" s="212"/>
      <c r="AW286" s="212"/>
      <c r="AX286" s="212"/>
      <c r="AY286" s="212"/>
      <c r="AZ286" s="212"/>
      <c r="BA286" s="212"/>
      <c r="BB286" s="212"/>
      <c r="BC286" s="212"/>
      <c r="BD286" s="212"/>
      <c r="BE286" s="212"/>
      <c r="BF286" s="212"/>
      <c r="BG286" s="212"/>
      <c r="BH286" s="212"/>
      <c r="BI286" s="212"/>
      <c r="BJ286" s="212"/>
      <c r="BK286" s="212"/>
      <c r="BL286" s="212"/>
      <c r="BM286" s="212"/>
      <c r="BN286" s="212"/>
      <c r="BO286" s="212"/>
      <c r="BP286" s="212"/>
      <c r="BQ286" s="212"/>
      <c r="BR286" s="212"/>
      <c r="BS286" s="212"/>
      <c r="BT286" s="212"/>
      <c r="BU286" s="212"/>
      <c r="BV286" s="212"/>
      <c r="BW286" s="212"/>
      <c r="BX286" s="212"/>
      <c r="BY286" s="212"/>
      <c r="BZ286" s="212"/>
      <c r="CA286" s="212"/>
      <c r="CB286" s="212"/>
      <c r="CC286" s="212"/>
      <c r="CD286" s="212"/>
      <c r="CE286" s="212"/>
      <c r="CF286" s="212"/>
      <c r="CG286" s="212"/>
      <c r="CH286" s="212"/>
      <c r="CI286" s="212"/>
      <c r="CJ286" s="212"/>
      <c r="CK286" s="212"/>
      <c r="CL286" s="212"/>
      <c r="CM286" s="212"/>
      <c r="CN286" s="212"/>
      <c r="CO286" s="212"/>
      <c r="CP286" s="212"/>
      <c r="CQ286" s="212"/>
      <c r="CR286" s="212"/>
      <c r="CS286" s="212"/>
    </row>
    <row r="287" spans="1:97" x14ac:dyDescent="0.4">
      <c r="A287" s="209">
        <v>45573</v>
      </c>
      <c r="B287" s="210" t="s">
        <v>295</v>
      </c>
      <c r="C287" s="212"/>
      <c r="D287" s="212"/>
      <c r="E287" s="212"/>
      <c r="F287" s="212"/>
      <c r="G287" s="212"/>
      <c r="H287" s="212"/>
      <c r="I287" s="212"/>
      <c r="J287" s="212"/>
      <c r="K287" s="212"/>
      <c r="L287" s="212"/>
      <c r="M287" s="212"/>
      <c r="N287" s="212"/>
      <c r="O287" s="212"/>
      <c r="P287" s="212"/>
      <c r="Q287" s="212"/>
      <c r="R287" s="212"/>
      <c r="S287" s="212"/>
      <c r="T287" s="212"/>
      <c r="U287" s="212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12"/>
      <c r="AF287" s="212"/>
      <c r="AG287" s="212"/>
      <c r="AH287" s="212"/>
      <c r="AI287" s="212"/>
      <c r="AJ287" s="212"/>
      <c r="AK287" s="212"/>
      <c r="AL287" s="212"/>
      <c r="AM287" s="212"/>
      <c r="AN287" s="212"/>
      <c r="AO287" s="212"/>
      <c r="AP287" s="212"/>
      <c r="AQ287" s="212"/>
      <c r="AR287" s="212"/>
      <c r="AS287" s="212"/>
      <c r="AT287" s="212"/>
      <c r="AU287" s="212"/>
      <c r="AV287" s="212"/>
      <c r="AW287" s="212"/>
      <c r="AX287" s="212"/>
      <c r="AY287" s="212"/>
      <c r="AZ287" s="212"/>
      <c r="BA287" s="212"/>
      <c r="BB287" s="212"/>
      <c r="BC287" s="212"/>
      <c r="BD287" s="212"/>
      <c r="BE287" s="212"/>
      <c r="BF287" s="212"/>
      <c r="BG287" s="212"/>
      <c r="BH287" s="212"/>
      <c r="BI287" s="212"/>
      <c r="BJ287" s="212"/>
      <c r="BK287" s="212"/>
      <c r="BL287" s="212"/>
      <c r="BM287" s="212"/>
      <c r="BN287" s="212"/>
      <c r="BO287" s="212"/>
      <c r="BP287" s="212"/>
      <c r="BQ287" s="212"/>
      <c r="BR287" s="212"/>
      <c r="BS287" s="212"/>
      <c r="BT287" s="212"/>
      <c r="BU287" s="212"/>
      <c r="BV287" s="212"/>
      <c r="BW287" s="212"/>
      <c r="BX287" s="212"/>
      <c r="BY287" s="212"/>
      <c r="BZ287" s="212"/>
      <c r="CA287" s="212"/>
      <c r="CB287" s="212"/>
      <c r="CC287" s="212"/>
      <c r="CD287" s="212"/>
      <c r="CE287" s="212"/>
      <c r="CF287" s="212"/>
      <c r="CG287" s="212"/>
      <c r="CH287" s="212"/>
      <c r="CI287" s="212"/>
      <c r="CJ287" s="212"/>
      <c r="CK287" s="212"/>
      <c r="CL287" s="212"/>
      <c r="CM287" s="212"/>
      <c r="CN287" s="212"/>
      <c r="CO287" s="212"/>
      <c r="CP287" s="212"/>
      <c r="CQ287" s="212"/>
      <c r="CR287" s="212"/>
      <c r="CS287" s="212"/>
    </row>
    <row r="288" spans="1:97" x14ac:dyDescent="0.4">
      <c r="A288" s="209">
        <v>45574</v>
      </c>
      <c r="B288" s="210" t="s">
        <v>296</v>
      </c>
      <c r="C288" s="212"/>
      <c r="D288" s="212"/>
      <c r="E288" s="212"/>
      <c r="F288" s="212"/>
      <c r="G288" s="212"/>
      <c r="H288" s="212"/>
      <c r="I288" s="212"/>
      <c r="J288" s="212"/>
      <c r="K288" s="212"/>
      <c r="L288" s="212"/>
      <c r="M288" s="212"/>
      <c r="N288" s="212"/>
      <c r="O288" s="212"/>
      <c r="P288" s="212"/>
      <c r="Q288" s="212"/>
      <c r="R288" s="212"/>
      <c r="S288" s="212"/>
      <c r="T288" s="212"/>
      <c r="U288" s="212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12"/>
      <c r="AF288" s="212"/>
      <c r="AG288" s="212"/>
      <c r="AH288" s="212"/>
      <c r="AI288" s="212"/>
      <c r="AJ288" s="212"/>
      <c r="AK288" s="212"/>
      <c r="AL288" s="212"/>
      <c r="AM288" s="212"/>
      <c r="AN288" s="212"/>
      <c r="AO288" s="212"/>
      <c r="AP288" s="212"/>
      <c r="AQ288" s="212"/>
      <c r="AR288" s="212"/>
      <c r="AS288" s="212"/>
      <c r="AT288" s="212"/>
      <c r="AU288" s="212"/>
      <c r="AV288" s="212"/>
      <c r="AW288" s="212"/>
      <c r="AX288" s="212"/>
      <c r="AY288" s="212"/>
      <c r="AZ288" s="212"/>
      <c r="BA288" s="212"/>
      <c r="BB288" s="212"/>
      <c r="BC288" s="212"/>
      <c r="BD288" s="212"/>
      <c r="BE288" s="212"/>
      <c r="BF288" s="212"/>
      <c r="BG288" s="212"/>
      <c r="BH288" s="212"/>
      <c r="BI288" s="212"/>
      <c r="BJ288" s="212"/>
      <c r="BK288" s="212"/>
      <c r="BL288" s="212"/>
      <c r="BM288" s="212"/>
      <c r="BN288" s="212"/>
      <c r="BO288" s="212"/>
      <c r="BP288" s="212"/>
      <c r="BQ288" s="212"/>
      <c r="BR288" s="212"/>
      <c r="BS288" s="212"/>
      <c r="BT288" s="212"/>
      <c r="BU288" s="212"/>
      <c r="BV288" s="212"/>
      <c r="BW288" s="212"/>
      <c r="BX288" s="212"/>
      <c r="BY288" s="212"/>
      <c r="BZ288" s="212"/>
      <c r="CA288" s="212"/>
      <c r="CB288" s="212"/>
      <c r="CC288" s="212"/>
      <c r="CD288" s="212"/>
      <c r="CE288" s="212"/>
      <c r="CF288" s="212"/>
      <c r="CG288" s="212"/>
      <c r="CH288" s="212"/>
      <c r="CI288" s="212"/>
      <c r="CJ288" s="212"/>
      <c r="CK288" s="212"/>
      <c r="CL288" s="212"/>
      <c r="CM288" s="212"/>
      <c r="CN288" s="212"/>
      <c r="CO288" s="212"/>
      <c r="CP288" s="212"/>
      <c r="CQ288" s="212"/>
      <c r="CR288" s="212"/>
      <c r="CS288" s="212"/>
    </row>
    <row r="289" spans="1:97" x14ac:dyDescent="0.4">
      <c r="A289" s="209">
        <v>45575</v>
      </c>
      <c r="B289" s="210" t="s">
        <v>297</v>
      </c>
      <c r="C289" s="212"/>
      <c r="D289" s="212"/>
      <c r="E289" s="212"/>
      <c r="F289" s="212"/>
      <c r="G289" s="212"/>
      <c r="H289" s="212"/>
      <c r="I289" s="212"/>
      <c r="J289" s="212"/>
      <c r="K289" s="212"/>
      <c r="L289" s="212"/>
      <c r="M289" s="212"/>
      <c r="N289" s="212"/>
      <c r="O289" s="212"/>
      <c r="P289" s="212"/>
      <c r="Q289" s="212"/>
      <c r="R289" s="212"/>
      <c r="S289" s="212"/>
      <c r="T289" s="212"/>
      <c r="U289" s="212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12"/>
      <c r="AF289" s="212"/>
      <c r="AG289" s="212"/>
      <c r="AH289" s="212"/>
      <c r="AI289" s="212"/>
      <c r="AJ289" s="212"/>
      <c r="AK289" s="212"/>
      <c r="AL289" s="212"/>
      <c r="AM289" s="212"/>
      <c r="AN289" s="212"/>
      <c r="AO289" s="212"/>
      <c r="AP289" s="212"/>
      <c r="AQ289" s="212"/>
      <c r="AR289" s="212"/>
      <c r="AS289" s="212"/>
      <c r="AT289" s="212"/>
      <c r="AU289" s="212"/>
      <c r="AV289" s="212"/>
      <c r="AW289" s="212"/>
      <c r="AX289" s="212"/>
      <c r="AY289" s="212"/>
      <c r="AZ289" s="212"/>
      <c r="BA289" s="212"/>
      <c r="BB289" s="212"/>
      <c r="BC289" s="212"/>
      <c r="BD289" s="212"/>
      <c r="BE289" s="212"/>
      <c r="BF289" s="212"/>
      <c r="BG289" s="212"/>
      <c r="BH289" s="212"/>
      <c r="BI289" s="212"/>
      <c r="BJ289" s="212"/>
      <c r="BK289" s="212"/>
      <c r="BL289" s="212"/>
      <c r="BM289" s="212"/>
      <c r="BN289" s="212"/>
      <c r="BO289" s="212"/>
      <c r="BP289" s="212"/>
      <c r="BQ289" s="212"/>
      <c r="BR289" s="212"/>
      <c r="BS289" s="212"/>
      <c r="BT289" s="212"/>
      <c r="BU289" s="212"/>
      <c r="BV289" s="212"/>
      <c r="BW289" s="212"/>
      <c r="BX289" s="212"/>
      <c r="BY289" s="212"/>
      <c r="BZ289" s="212"/>
      <c r="CA289" s="212"/>
      <c r="CB289" s="212"/>
      <c r="CC289" s="212"/>
      <c r="CD289" s="212"/>
      <c r="CE289" s="212"/>
      <c r="CF289" s="212"/>
      <c r="CG289" s="212"/>
      <c r="CH289" s="212"/>
      <c r="CI289" s="212"/>
      <c r="CJ289" s="212"/>
      <c r="CK289" s="212"/>
      <c r="CL289" s="212"/>
      <c r="CM289" s="212"/>
      <c r="CN289" s="212"/>
      <c r="CO289" s="212"/>
      <c r="CP289" s="212"/>
      <c r="CQ289" s="212"/>
      <c r="CR289" s="212"/>
      <c r="CS289" s="212"/>
    </row>
    <row r="290" spans="1:97" x14ac:dyDescent="0.4">
      <c r="A290" s="209">
        <v>45576</v>
      </c>
      <c r="B290" s="210" t="s">
        <v>298</v>
      </c>
      <c r="C290" s="212"/>
      <c r="D290" s="212"/>
      <c r="E290" s="212"/>
      <c r="F290" s="212"/>
      <c r="G290" s="212"/>
      <c r="H290" s="212"/>
      <c r="I290" s="212"/>
      <c r="J290" s="212"/>
      <c r="K290" s="212"/>
      <c r="L290" s="212"/>
      <c r="M290" s="212"/>
      <c r="N290" s="212"/>
      <c r="O290" s="212"/>
      <c r="P290" s="212"/>
      <c r="Q290" s="212"/>
      <c r="R290" s="212"/>
      <c r="S290" s="212"/>
      <c r="T290" s="212"/>
      <c r="U290" s="212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12"/>
      <c r="AF290" s="212"/>
      <c r="AG290" s="212"/>
      <c r="AH290" s="212"/>
      <c r="AI290" s="212"/>
      <c r="AJ290" s="212"/>
      <c r="AK290" s="212"/>
      <c r="AL290" s="212"/>
      <c r="AM290" s="212"/>
      <c r="AN290" s="212"/>
      <c r="AO290" s="212"/>
      <c r="AP290" s="212"/>
      <c r="AQ290" s="212"/>
      <c r="AR290" s="212"/>
      <c r="AS290" s="212"/>
      <c r="AT290" s="212"/>
      <c r="AU290" s="212"/>
      <c r="AV290" s="212"/>
      <c r="AW290" s="212"/>
      <c r="AX290" s="212"/>
      <c r="AY290" s="212"/>
      <c r="AZ290" s="212"/>
      <c r="BA290" s="212"/>
      <c r="BB290" s="212"/>
      <c r="BC290" s="212"/>
      <c r="BD290" s="212"/>
      <c r="BE290" s="212"/>
      <c r="BF290" s="212"/>
      <c r="BG290" s="212"/>
      <c r="BH290" s="212"/>
      <c r="BI290" s="212"/>
      <c r="BJ290" s="212"/>
      <c r="BK290" s="212"/>
      <c r="BL290" s="212"/>
      <c r="BM290" s="212"/>
      <c r="BN290" s="212"/>
      <c r="BO290" s="212"/>
      <c r="BP290" s="212"/>
      <c r="BQ290" s="212"/>
      <c r="BR290" s="212"/>
      <c r="BS290" s="212"/>
      <c r="BT290" s="212"/>
      <c r="BU290" s="212"/>
      <c r="BV290" s="212"/>
      <c r="BW290" s="212"/>
      <c r="BX290" s="212"/>
      <c r="BY290" s="212"/>
      <c r="BZ290" s="212"/>
      <c r="CA290" s="212"/>
      <c r="CB290" s="212"/>
      <c r="CC290" s="212"/>
      <c r="CD290" s="212"/>
      <c r="CE290" s="212"/>
      <c r="CF290" s="212"/>
      <c r="CG290" s="212"/>
      <c r="CH290" s="212"/>
      <c r="CI290" s="212"/>
      <c r="CJ290" s="212"/>
      <c r="CK290" s="212"/>
      <c r="CL290" s="212"/>
      <c r="CM290" s="212"/>
      <c r="CN290" s="212"/>
      <c r="CO290" s="212"/>
      <c r="CP290" s="212"/>
      <c r="CQ290" s="212"/>
      <c r="CR290" s="212"/>
      <c r="CS290" s="212"/>
    </row>
    <row r="291" spans="1:97" x14ac:dyDescent="0.4">
      <c r="A291" s="209">
        <v>45577</v>
      </c>
      <c r="B291" s="210" t="s">
        <v>299</v>
      </c>
      <c r="C291" s="212"/>
      <c r="D291" s="212"/>
      <c r="E291" s="212"/>
      <c r="F291" s="212"/>
      <c r="G291" s="212"/>
      <c r="H291" s="212"/>
      <c r="I291" s="212"/>
      <c r="J291" s="212"/>
      <c r="K291" s="212"/>
      <c r="L291" s="212"/>
      <c r="M291" s="212"/>
      <c r="N291" s="212"/>
      <c r="O291" s="212"/>
      <c r="P291" s="212"/>
      <c r="Q291" s="212"/>
      <c r="R291" s="212"/>
      <c r="S291" s="212"/>
      <c r="T291" s="212"/>
      <c r="U291" s="212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12"/>
      <c r="AF291" s="212"/>
      <c r="AG291" s="212"/>
      <c r="AH291" s="212"/>
      <c r="AI291" s="212"/>
      <c r="AJ291" s="212"/>
      <c r="AK291" s="212"/>
      <c r="AL291" s="212"/>
      <c r="AM291" s="212"/>
      <c r="AN291" s="212"/>
      <c r="AO291" s="212"/>
      <c r="AP291" s="212"/>
      <c r="AQ291" s="212"/>
      <c r="AR291" s="212"/>
      <c r="AS291" s="212"/>
      <c r="AT291" s="212"/>
      <c r="AU291" s="212"/>
      <c r="AV291" s="212"/>
      <c r="AW291" s="212"/>
      <c r="AX291" s="212"/>
      <c r="AY291" s="212"/>
      <c r="AZ291" s="212"/>
      <c r="BA291" s="212"/>
      <c r="BB291" s="212"/>
      <c r="BC291" s="212"/>
      <c r="BD291" s="212"/>
      <c r="BE291" s="212"/>
      <c r="BF291" s="212"/>
      <c r="BG291" s="212"/>
      <c r="BH291" s="212"/>
      <c r="BI291" s="212"/>
      <c r="BJ291" s="212"/>
      <c r="BK291" s="212"/>
      <c r="BL291" s="212"/>
      <c r="BM291" s="212"/>
      <c r="BN291" s="212"/>
      <c r="BO291" s="212"/>
      <c r="BP291" s="212"/>
      <c r="BQ291" s="212"/>
      <c r="BR291" s="212"/>
      <c r="BS291" s="212"/>
      <c r="BT291" s="212"/>
      <c r="BU291" s="212"/>
      <c r="BV291" s="212"/>
      <c r="BW291" s="212"/>
      <c r="BX291" s="212"/>
      <c r="BY291" s="212"/>
      <c r="BZ291" s="212"/>
      <c r="CA291" s="212"/>
      <c r="CB291" s="212"/>
      <c r="CC291" s="212"/>
      <c r="CD291" s="212"/>
      <c r="CE291" s="212"/>
      <c r="CF291" s="212"/>
      <c r="CG291" s="212"/>
      <c r="CH291" s="212"/>
      <c r="CI291" s="212"/>
      <c r="CJ291" s="212"/>
      <c r="CK291" s="212"/>
      <c r="CL291" s="212"/>
      <c r="CM291" s="212"/>
      <c r="CN291" s="212"/>
      <c r="CO291" s="212"/>
      <c r="CP291" s="212"/>
      <c r="CQ291" s="212"/>
      <c r="CR291" s="212"/>
      <c r="CS291" s="212"/>
    </row>
    <row r="292" spans="1:97" x14ac:dyDescent="0.4">
      <c r="A292" s="209">
        <v>45578</v>
      </c>
      <c r="B292" s="210" t="s">
        <v>300</v>
      </c>
      <c r="C292" s="212"/>
      <c r="D292" s="212"/>
      <c r="E292" s="212"/>
      <c r="F292" s="212"/>
      <c r="G292" s="212"/>
      <c r="H292" s="212"/>
      <c r="I292" s="212"/>
      <c r="J292" s="212"/>
      <c r="K292" s="212"/>
      <c r="L292" s="212"/>
      <c r="M292" s="212"/>
      <c r="N292" s="212"/>
      <c r="O292" s="212"/>
      <c r="P292" s="212"/>
      <c r="Q292" s="212"/>
      <c r="R292" s="212"/>
      <c r="S292" s="212"/>
      <c r="T292" s="212"/>
      <c r="U292" s="212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12"/>
      <c r="AF292" s="212"/>
      <c r="AG292" s="212"/>
      <c r="AH292" s="212"/>
      <c r="AI292" s="212"/>
      <c r="AJ292" s="212"/>
      <c r="AK292" s="212"/>
      <c r="AL292" s="212"/>
      <c r="AM292" s="212"/>
      <c r="AN292" s="212"/>
      <c r="AO292" s="212"/>
      <c r="AP292" s="212"/>
      <c r="AQ292" s="212"/>
      <c r="AR292" s="212"/>
      <c r="AS292" s="212"/>
      <c r="AT292" s="212"/>
      <c r="AU292" s="212"/>
      <c r="AV292" s="212"/>
      <c r="AW292" s="212"/>
      <c r="AX292" s="212"/>
      <c r="AY292" s="212"/>
      <c r="AZ292" s="212"/>
      <c r="BA292" s="212"/>
      <c r="BB292" s="212"/>
      <c r="BC292" s="212"/>
      <c r="BD292" s="212"/>
      <c r="BE292" s="212"/>
      <c r="BF292" s="212"/>
      <c r="BG292" s="212"/>
      <c r="BH292" s="212"/>
      <c r="BI292" s="212"/>
      <c r="BJ292" s="212"/>
      <c r="BK292" s="212"/>
      <c r="BL292" s="212"/>
      <c r="BM292" s="212"/>
      <c r="BN292" s="212"/>
      <c r="BO292" s="212"/>
      <c r="BP292" s="212"/>
      <c r="BQ292" s="212"/>
      <c r="BR292" s="212"/>
      <c r="BS292" s="212"/>
      <c r="BT292" s="212"/>
      <c r="BU292" s="212"/>
      <c r="BV292" s="212"/>
      <c r="BW292" s="212"/>
      <c r="BX292" s="212"/>
      <c r="BY292" s="212"/>
      <c r="BZ292" s="212"/>
      <c r="CA292" s="212"/>
      <c r="CB292" s="212"/>
      <c r="CC292" s="212"/>
      <c r="CD292" s="212"/>
      <c r="CE292" s="212"/>
      <c r="CF292" s="212"/>
      <c r="CG292" s="212"/>
      <c r="CH292" s="212"/>
      <c r="CI292" s="212"/>
      <c r="CJ292" s="212"/>
      <c r="CK292" s="212"/>
      <c r="CL292" s="212"/>
      <c r="CM292" s="212"/>
      <c r="CN292" s="212"/>
      <c r="CO292" s="212"/>
      <c r="CP292" s="212"/>
      <c r="CQ292" s="212"/>
      <c r="CR292" s="212"/>
      <c r="CS292" s="212"/>
    </row>
    <row r="293" spans="1:97" x14ac:dyDescent="0.4">
      <c r="A293" s="209">
        <v>45579</v>
      </c>
      <c r="B293" s="210" t="s">
        <v>294</v>
      </c>
      <c r="C293" s="212"/>
      <c r="D293" s="212"/>
      <c r="E293" s="212"/>
      <c r="F293" s="212"/>
      <c r="G293" s="212"/>
      <c r="H293" s="212"/>
      <c r="I293" s="212"/>
      <c r="J293" s="212"/>
      <c r="K293" s="212"/>
      <c r="L293" s="212"/>
      <c r="M293" s="212"/>
      <c r="N293" s="212"/>
      <c r="O293" s="212"/>
      <c r="P293" s="212"/>
      <c r="Q293" s="212"/>
      <c r="R293" s="212"/>
      <c r="S293" s="212"/>
      <c r="T293" s="212"/>
      <c r="U293" s="212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12"/>
      <c r="AF293" s="212"/>
      <c r="AG293" s="212"/>
      <c r="AH293" s="212"/>
      <c r="AI293" s="212"/>
      <c r="AJ293" s="212"/>
      <c r="AK293" s="212"/>
      <c r="AL293" s="212"/>
      <c r="AM293" s="212"/>
      <c r="AN293" s="212"/>
      <c r="AO293" s="212"/>
      <c r="AP293" s="212"/>
      <c r="AQ293" s="212"/>
      <c r="AR293" s="212"/>
      <c r="AS293" s="212"/>
      <c r="AT293" s="212"/>
      <c r="AU293" s="212"/>
      <c r="AV293" s="212"/>
      <c r="AW293" s="212"/>
      <c r="AX293" s="212"/>
      <c r="AY293" s="212"/>
      <c r="AZ293" s="212"/>
      <c r="BA293" s="212"/>
      <c r="BB293" s="212"/>
      <c r="BC293" s="212"/>
      <c r="BD293" s="212"/>
      <c r="BE293" s="212"/>
      <c r="BF293" s="212"/>
      <c r="BG293" s="212"/>
      <c r="BH293" s="212"/>
      <c r="BI293" s="212"/>
      <c r="BJ293" s="212"/>
      <c r="BK293" s="212"/>
      <c r="BL293" s="212"/>
      <c r="BM293" s="212"/>
      <c r="BN293" s="212"/>
      <c r="BO293" s="212"/>
      <c r="BP293" s="212"/>
      <c r="BQ293" s="212"/>
      <c r="BR293" s="212"/>
      <c r="BS293" s="212"/>
      <c r="BT293" s="212"/>
      <c r="BU293" s="212"/>
      <c r="BV293" s="212"/>
      <c r="BW293" s="212"/>
      <c r="BX293" s="212"/>
      <c r="BY293" s="212"/>
      <c r="BZ293" s="212"/>
      <c r="CA293" s="212"/>
      <c r="CB293" s="212"/>
      <c r="CC293" s="212"/>
      <c r="CD293" s="212"/>
      <c r="CE293" s="212"/>
      <c r="CF293" s="212"/>
      <c r="CG293" s="212"/>
      <c r="CH293" s="212"/>
      <c r="CI293" s="212"/>
      <c r="CJ293" s="212"/>
      <c r="CK293" s="212"/>
      <c r="CL293" s="212"/>
      <c r="CM293" s="212"/>
      <c r="CN293" s="212"/>
      <c r="CO293" s="212"/>
      <c r="CP293" s="212"/>
      <c r="CQ293" s="212"/>
      <c r="CR293" s="212"/>
      <c r="CS293" s="212"/>
    </row>
    <row r="294" spans="1:97" x14ac:dyDescent="0.4">
      <c r="A294" s="209">
        <v>45580</v>
      </c>
      <c r="B294" s="210" t="s">
        <v>295</v>
      </c>
      <c r="C294" s="212"/>
      <c r="D294" s="212"/>
      <c r="E294" s="212"/>
      <c r="F294" s="212"/>
      <c r="G294" s="212"/>
      <c r="H294" s="212"/>
      <c r="I294" s="212"/>
      <c r="J294" s="212"/>
      <c r="K294" s="212"/>
      <c r="L294" s="212"/>
      <c r="M294" s="212"/>
      <c r="N294" s="212"/>
      <c r="O294" s="212"/>
      <c r="P294" s="212"/>
      <c r="Q294" s="212"/>
      <c r="R294" s="212"/>
      <c r="S294" s="212"/>
      <c r="T294" s="212"/>
      <c r="U294" s="212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12"/>
      <c r="AF294" s="212"/>
      <c r="AG294" s="212"/>
      <c r="AH294" s="212"/>
      <c r="AI294" s="212"/>
      <c r="AJ294" s="212"/>
      <c r="AK294" s="212"/>
      <c r="AL294" s="212"/>
      <c r="AM294" s="212"/>
      <c r="AN294" s="212"/>
      <c r="AO294" s="212"/>
      <c r="AP294" s="212"/>
      <c r="AQ294" s="212"/>
      <c r="AR294" s="212"/>
      <c r="AS294" s="212"/>
      <c r="AT294" s="212"/>
      <c r="AU294" s="212"/>
      <c r="AV294" s="212"/>
      <c r="AW294" s="212"/>
      <c r="AX294" s="212"/>
      <c r="AY294" s="212"/>
      <c r="AZ294" s="212"/>
      <c r="BA294" s="212"/>
      <c r="BB294" s="212"/>
      <c r="BC294" s="212"/>
      <c r="BD294" s="212"/>
      <c r="BE294" s="212"/>
      <c r="BF294" s="212"/>
      <c r="BG294" s="212"/>
      <c r="BH294" s="212"/>
      <c r="BI294" s="212"/>
      <c r="BJ294" s="212"/>
      <c r="BK294" s="212"/>
      <c r="BL294" s="212"/>
      <c r="BM294" s="212"/>
      <c r="BN294" s="212"/>
      <c r="BO294" s="212"/>
      <c r="BP294" s="212"/>
      <c r="BQ294" s="212"/>
      <c r="BR294" s="212"/>
      <c r="BS294" s="212"/>
      <c r="BT294" s="212"/>
      <c r="BU294" s="212"/>
      <c r="BV294" s="212"/>
      <c r="BW294" s="212"/>
      <c r="BX294" s="212"/>
      <c r="BY294" s="212"/>
      <c r="BZ294" s="212"/>
      <c r="CA294" s="212"/>
      <c r="CB294" s="212"/>
      <c r="CC294" s="212"/>
      <c r="CD294" s="212"/>
      <c r="CE294" s="212"/>
      <c r="CF294" s="212"/>
      <c r="CG294" s="212"/>
      <c r="CH294" s="212"/>
      <c r="CI294" s="212"/>
      <c r="CJ294" s="212"/>
      <c r="CK294" s="212"/>
      <c r="CL294" s="212"/>
      <c r="CM294" s="212"/>
      <c r="CN294" s="212"/>
      <c r="CO294" s="212"/>
      <c r="CP294" s="212"/>
      <c r="CQ294" s="212"/>
      <c r="CR294" s="212"/>
      <c r="CS294" s="212"/>
    </row>
    <row r="295" spans="1:97" x14ac:dyDescent="0.4">
      <c r="A295" s="209">
        <v>45581</v>
      </c>
      <c r="B295" s="210" t="s">
        <v>296</v>
      </c>
      <c r="C295" s="212"/>
      <c r="D295" s="212"/>
      <c r="E295" s="212"/>
      <c r="F295" s="212"/>
      <c r="G295" s="212"/>
      <c r="H295" s="212"/>
      <c r="I295" s="212"/>
      <c r="J295" s="212"/>
      <c r="K295" s="212"/>
      <c r="L295" s="212"/>
      <c r="M295" s="212"/>
      <c r="N295" s="212"/>
      <c r="O295" s="212"/>
      <c r="P295" s="212"/>
      <c r="Q295" s="212"/>
      <c r="R295" s="212"/>
      <c r="S295" s="212"/>
      <c r="T295" s="212"/>
      <c r="U295" s="212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12"/>
      <c r="AF295" s="212"/>
      <c r="AG295" s="212"/>
      <c r="AH295" s="212"/>
      <c r="AI295" s="212"/>
      <c r="AJ295" s="212"/>
      <c r="AK295" s="212"/>
      <c r="AL295" s="212"/>
      <c r="AM295" s="212"/>
      <c r="AN295" s="212"/>
      <c r="AO295" s="212"/>
      <c r="AP295" s="212"/>
      <c r="AQ295" s="212"/>
      <c r="AR295" s="212"/>
      <c r="AS295" s="212"/>
      <c r="AT295" s="212"/>
      <c r="AU295" s="212"/>
      <c r="AV295" s="212"/>
      <c r="AW295" s="212"/>
      <c r="AX295" s="212"/>
      <c r="AY295" s="212"/>
      <c r="AZ295" s="212"/>
      <c r="BA295" s="212"/>
      <c r="BB295" s="212"/>
      <c r="BC295" s="212"/>
      <c r="BD295" s="212"/>
      <c r="BE295" s="212"/>
      <c r="BF295" s="212"/>
      <c r="BG295" s="212"/>
      <c r="BH295" s="212"/>
      <c r="BI295" s="212"/>
      <c r="BJ295" s="212"/>
      <c r="BK295" s="212"/>
      <c r="BL295" s="212"/>
      <c r="BM295" s="212"/>
      <c r="BN295" s="212"/>
      <c r="BO295" s="212"/>
      <c r="BP295" s="212"/>
      <c r="BQ295" s="212"/>
      <c r="BR295" s="212"/>
      <c r="BS295" s="212"/>
      <c r="BT295" s="212"/>
      <c r="BU295" s="212"/>
      <c r="BV295" s="212"/>
      <c r="BW295" s="212"/>
      <c r="BX295" s="212"/>
      <c r="BY295" s="212"/>
      <c r="BZ295" s="212"/>
      <c r="CA295" s="212"/>
      <c r="CB295" s="212"/>
      <c r="CC295" s="212"/>
      <c r="CD295" s="212"/>
      <c r="CE295" s="212"/>
      <c r="CF295" s="212"/>
      <c r="CG295" s="212"/>
      <c r="CH295" s="212"/>
      <c r="CI295" s="212"/>
      <c r="CJ295" s="212"/>
      <c r="CK295" s="212"/>
      <c r="CL295" s="212"/>
      <c r="CM295" s="212"/>
      <c r="CN295" s="212"/>
      <c r="CO295" s="212"/>
      <c r="CP295" s="212"/>
      <c r="CQ295" s="212"/>
      <c r="CR295" s="212"/>
      <c r="CS295" s="212"/>
    </row>
    <row r="296" spans="1:97" x14ac:dyDescent="0.4">
      <c r="A296" s="209">
        <v>45582</v>
      </c>
      <c r="B296" s="210" t="s">
        <v>297</v>
      </c>
      <c r="C296" s="212"/>
      <c r="D296" s="212"/>
      <c r="E296" s="212"/>
      <c r="F296" s="212"/>
      <c r="G296" s="212"/>
      <c r="H296" s="212"/>
      <c r="I296" s="212"/>
      <c r="J296" s="212"/>
      <c r="K296" s="212"/>
      <c r="L296" s="212"/>
      <c r="M296" s="212"/>
      <c r="N296" s="212"/>
      <c r="O296" s="212"/>
      <c r="P296" s="212"/>
      <c r="Q296" s="212"/>
      <c r="R296" s="212"/>
      <c r="S296" s="212"/>
      <c r="T296" s="212"/>
      <c r="U296" s="212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12"/>
      <c r="AF296" s="212"/>
      <c r="AG296" s="212"/>
      <c r="AH296" s="212"/>
      <c r="AI296" s="212"/>
      <c r="AJ296" s="212"/>
      <c r="AK296" s="212"/>
      <c r="AL296" s="212"/>
      <c r="AM296" s="212"/>
      <c r="AN296" s="212"/>
      <c r="AO296" s="212"/>
      <c r="AP296" s="212"/>
      <c r="AQ296" s="212"/>
      <c r="AR296" s="212"/>
      <c r="AS296" s="212"/>
      <c r="AT296" s="212"/>
      <c r="AU296" s="212"/>
      <c r="AV296" s="212"/>
      <c r="AW296" s="212"/>
      <c r="AX296" s="212"/>
      <c r="AY296" s="212"/>
      <c r="AZ296" s="212"/>
      <c r="BA296" s="212"/>
      <c r="BB296" s="212"/>
      <c r="BC296" s="212"/>
      <c r="BD296" s="212"/>
      <c r="BE296" s="212"/>
      <c r="BF296" s="212"/>
      <c r="BG296" s="212"/>
      <c r="BH296" s="212"/>
      <c r="BI296" s="212"/>
      <c r="BJ296" s="212"/>
      <c r="BK296" s="212"/>
      <c r="BL296" s="212"/>
      <c r="BM296" s="212"/>
      <c r="BN296" s="212"/>
      <c r="BO296" s="212"/>
      <c r="BP296" s="212"/>
      <c r="BQ296" s="212"/>
      <c r="BR296" s="212"/>
      <c r="BS296" s="212"/>
      <c r="BT296" s="212"/>
      <c r="BU296" s="212"/>
      <c r="BV296" s="212"/>
      <c r="BW296" s="212"/>
      <c r="BX296" s="212"/>
      <c r="BY296" s="212"/>
      <c r="BZ296" s="212"/>
      <c r="CA296" s="212"/>
      <c r="CB296" s="212"/>
      <c r="CC296" s="212"/>
      <c r="CD296" s="212"/>
      <c r="CE296" s="212"/>
      <c r="CF296" s="212"/>
      <c r="CG296" s="212"/>
      <c r="CH296" s="212"/>
      <c r="CI296" s="212"/>
      <c r="CJ296" s="212"/>
      <c r="CK296" s="212"/>
      <c r="CL296" s="212"/>
      <c r="CM296" s="212"/>
      <c r="CN296" s="212"/>
      <c r="CO296" s="212"/>
      <c r="CP296" s="212"/>
      <c r="CQ296" s="212"/>
      <c r="CR296" s="212"/>
      <c r="CS296" s="212"/>
    </row>
    <row r="297" spans="1:97" x14ac:dyDescent="0.4">
      <c r="A297" s="209">
        <v>45583</v>
      </c>
      <c r="B297" s="210" t="s">
        <v>298</v>
      </c>
      <c r="C297" s="212"/>
      <c r="D297" s="212"/>
      <c r="E297" s="212"/>
      <c r="F297" s="212"/>
      <c r="G297" s="212"/>
      <c r="H297" s="212"/>
      <c r="I297" s="212"/>
      <c r="J297" s="212"/>
      <c r="K297" s="212"/>
      <c r="L297" s="212"/>
      <c r="M297" s="212"/>
      <c r="N297" s="212"/>
      <c r="O297" s="212"/>
      <c r="P297" s="212"/>
      <c r="Q297" s="212"/>
      <c r="R297" s="212"/>
      <c r="S297" s="212"/>
      <c r="T297" s="212"/>
      <c r="U297" s="212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12"/>
      <c r="AF297" s="212"/>
      <c r="AG297" s="212"/>
      <c r="AH297" s="212"/>
      <c r="AI297" s="212"/>
      <c r="AJ297" s="212"/>
      <c r="AK297" s="212"/>
      <c r="AL297" s="212"/>
      <c r="AM297" s="212"/>
      <c r="AN297" s="212"/>
      <c r="AO297" s="212"/>
      <c r="AP297" s="212"/>
      <c r="AQ297" s="212"/>
      <c r="AR297" s="212"/>
      <c r="AS297" s="212"/>
      <c r="AT297" s="212"/>
      <c r="AU297" s="212"/>
      <c r="AV297" s="212"/>
      <c r="AW297" s="212"/>
      <c r="AX297" s="212"/>
      <c r="AY297" s="212"/>
      <c r="AZ297" s="212"/>
      <c r="BA297" s="212"/>
      <c r="BB297" s="212"/>
      <c r="BC297" s="212"/>
      <c r="BD297" s="212"/>
      <c r="BE297" s="212"/>
      <c r="BF297" s="212"/>
      <c r="BG297" s="212"/>
      <c r="BH297" s="212"/>
      <c r="BI297" s="212"/>
      <c r="BJ297" s="212"/>
      <c r="BK297" s="212"/>
      <c r="BL297" s="212"/>
      <c r="BM297" s="212"/>
      <c r="BN297" s="212"/>
      <c r="BO297" s="212"/>
      <c r="BP297" s="212"/>
      <c r="BQ297" s="212"/>
      <c r="BR297" s="212"/>
      <c r="BS297" s="212"/>
      <c r="BT297" s="212"/>
      <c r="BU297" s="212"/>
      <c r="BV297" s="212"/>
      <c r="BW297" s="212"/>
      <c r="BX297" s="212"/>
      <c r="BY297" s="212"/>
      <c r="BZ297" s="212"/>
      <c r="CA297" s="212"/>
      <c r="CB297" s="212"/>
      <c r="CC297" s="212"/>
      <c r="CD297" s="212"/>
      <c r="CE297" s="212"/>
      <c r="CF297" s="212"/>
      <c r="CG297" s="212"/>
      <c r="CH297" s="212"/>
      <c r="CI297" s="212"/>
      <c r="CJ297" s="212"/>
      <c r="CK297" s="212"/>
      <c r="CL297" s="212"/>
      <c r="CM297" s="212"/>
      <c r="CN297" s="212"/>
      <c r="CO297" s="212"/>
      <c r="CP297" s="212"/>
      <c r="CQ297" s="212"/>
      <c r="CR297" s="212"/>
      <c r="CS297" s="212"/>
    </row>
    <row r="298" spans="1:97" x14ac:dyDescent="0.4">
      <c r="A298" s="209">
        <v>45584</v>
      </c>
      <c r="B298" s="210" t="s">
        <v>299</v>
      </c>
      <c r="C298" s="212"/>
      <c r="D298" s="212"/>
      <c r="E298" s="212"/>
      <c r="F298" s="212"/>
      <c r="G298" s="212"/>
      <c r="H298" s="212"/>
      <c r="I298" s="212"/>
      <c r="J298" s="212"/>
      <c r="K298" s="212"/>
      <c r="L298" s="212"/>
      <c r="M298" s="212"/>
      <c r="N298" s="212"/>
      <c r="O298" s="212"/>
      <c r="P298" s="212"/>
      <c r="Q298" s="212"/>
      <c r="R298" s="212"/>
      <c r="S298" s="212"/>
      <c r="T298" s="212"/>
      <c r="U298" s="212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12"/>
      <c r="AF298" s="212"/>
      <c r="AG298" s="212"/>
      <c r="AH298" s="212"/>
      <c r="AI298" s="212"/>
      <c r="AJ298" s="212"/>
      <c r="AK298" s="212"/>
      <c r="AL298" s="212"/>
      <c r="AM298" s="212"/>
      <c r="AN298" s="212"/>
      <c r="AO298" s="212"/>
      <c r="AP298" s="212"/>
      <c r="AQ298" s="212"/>
      <c r="AR298" s="212"/>
      <c r="AS298" s="212"/>
      <c r="AT298" s="212"/>
      <c r="AU298" s="212"/>
      <c r="AV298" s="212"/>
      <c r="AW298" s="212"/>
      <c r="AX298" s="212"/>
      <c r="AY298" s="212"/>
      <c r="AZ298" s="212"/>
      <c r="BA298" s="212"/>
      <c r="BB298" s="212"/>
      <c r="BC298" s="212"/>
      <c r="BD298" s="212"/>
      <c r="BE298" s="212"/>
      <c r="BF298" s="212"/>
      <c r="BG298" s="212"/>
      <c r="BH298" s="212"/>
      <c r="BI298" s="212"/>
      <c r="BJ298" s="212"/>
      <c r="BK298" s="212"/>
      <c r="BL298" s="212"/>
      <c r="BM298" s="212"/>
      <c r="BN298" s="212"/>
      <c r="BO298" s="212"/>
      <c r="BP298" s="212"/>
      <c r="BQ298" s="212"/>
      <c r="BR298" s="212"/>
      <c r="BS298" s="212"/>
      <c r="BT298" s="212"/>
      <c r="BU298" s="212"/>
      <c r="BV298" s="212"/>
      <c r="BW298" s="212"/>
      <c r="BX298" s="212"/>
      <c r="BY298" s="212"/>
      <c r="BZ298" s="212"/>
      <c r="CA298" s="212"/>
      <c r="CB298" s="212"/>
      <c r="CC298" s="212"/>
      <c r="CD298" s="212"/>
      <c r="CE298" s="212"/>
      <c r="CF298" s="212"/>
      <c r="CG298" s="212"/>
      <c r="CH298" s="212"/>
      <c r="CI298" s="212"/>
      <c r="CJ298" s="212"/>
      <c r="CK298" s="212"/>
      <c r="CL298" s="212"/>
      <c r="CM298" s="212"/>
      <c r="CN298" s="212"/>
      <c r="CO298" s="212"/>
      <c r="CP298" s="212"/>
      <c r="CQ298" s="212"/>
      <c r="CR298" s="212"/>
      <c r="CS298" s="212"/>
    </row>
    <row r="299" spans="1:97" x14ac:dyDescent="0.4">
      <c r="A299" s="209">
        <v>45585</v>
      </c>
      <c r="B299" s="210" t="s">
        <v>300</v>
      </c>
      <c r="C299" s="212"/>
      <c r="D299" s="212"/>
      <c r="E299" s="212"/>
      <c r="F299" s="212"/>
      <c r="G299" s="212"/>
      <c r="H299" s="212"/>
      <c r="I299" s="212"/>
      <c r="J299" s="212"/>
      <c r="K299" s="212"/>
      <c r="L299" s="212"/>
      <c r="M299" s="212"/>
      <c r="N299" s="212"/>
      <c r="O299" s="212"/>
      <c r="P299" s="212"/>
      <c r="Q299" s="212"/>
      <c r="R299" s="212"/>
      <c r="S299" s="212"/>
      <c r="T299" s="212"/>
      <c r="U299" s="212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12"/>
      <c r="AF299" s="212"/>
      <c r="AG299" s="212"/>
      <c r="AH299" s="212"/>
      <c r="AI299" s="212"/>
      <c r="AJ299" s="212"/>
      <c r="AK299" s="212"/>
      <c r="AL299" s="212"/>
      <c r="AM299" s="212"/>
      <c r="AN299" s="212"/>
      <c r="AO299" s="212"/>
      <c r="AP299" s="212"/>
      <c r="AQ299" s="212"/>
      <c r="AR299" s="212"/>
      <c r="AS299" s="212"/>
      <c r="AT299" s="212"/>
      <c r="AU299" s="212"/>
      <c r="AV299" s="212"/>
      <c r="AW299" s="212"/>
      <c r="AX299" s="212"/>
      <c r="AY299" s="212"/>
      <c r="AZ299" s="212"/>
      <c r="BA299" s="212"/>
      <c r="BB299" s="212"/>
      <c r="BC299" s="212"/>
      <c r="BD299" s="212"/>
      <c r="BE299" s="212"/>
      <c r="BF299" s="212"/>
      <c r="BG299" s="212"/>
      <c r="BH299" s="212"/>
      <c r="BI299" s="212"/>
      <c r="BJ299" s="212"/>
      <c r="BK299" s="212"/>
      <c r="BL299" s="212"/>
      <c r="BM299" s="212"/>
      <c r="BN299" s="212"/>
      <c r="BO299" s="212"/>
      <c r="BP299" s="212"/>
      <c r="BQ299" s="212"/>
      <c r="BR299" s="212"/>
      <c r="BS299" s="212"/>
      <c r="BT299" s="212"/>
      <c r="BU299" s="212"/>
      <c r="BV299" s="212"/>
      <c r="BW299" s="212"/>
      <c r="BX299" s="212"/>
      <c r="BY299" s="212"/>
      <c r="BZ299" s="212"/>
      <c r="CA299" s="212"/>
      <c r="CB299" s="212"/>
      <c r="CC299" s="212"/>
      <c r="CD299" s="212"/>
      <c r="CE299" s="212"/>
      <c r="CF299" s="212"/>
      <c r="CG299" s="212"/>
      <c r="CH299" s="212"/>
      <c r="CI299" s="212"/>
      <c r="CJ299" s="212"/>
      <c r="CK299" s="212"/>
      <c r="CL299" s="212"/>
      <c r="CM299" s="212"/>
      <c r="CN299" s="212"/>
      <c r="CO299" s="212"/>
      <c r="CP299" s="212"/>
      <c r="CQ299" s="212"/>
      <c r="CR299" s="212"/>
      <c r="CS299" s="212"/>
    </row>
    <row r="300" spans="1:97" x14ac:dyDescent="0.4">
      <c r="A300" s="209">
        <v>45586</v>
      </c>
      <c r="B300" s="210" t="s">
        <v>294</v>
      </c>
      <c r="C300" s="212"/>
      <c r="D300" s="212"/>
      <c r="E300" s="212"/>
      <c r="F300" s="212"/>
      <c r="G300" s="212"/>
      <c r="H300" s="212"/>
      <c r="I300" s="212"/>
      <c r="J300" s="212"/>
      <c r="K300" s="212"/>
      <c r="L300" s="212"/>
      <c r="M300" s="212"/>
      <c r="N300" s="212"/>
      <c r="O300" s="212"/>
      <c r="P300" s="212"/>
      <c r="Q300" s="212"/>
      <c r="R300" s="212"/>
      <c r="S300" s="212"/>
      <c r="T300" s="212"/>
      <c r="U300" s="212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12"/>
      <c r="AF300" s="212"/>
      <c r="AG300" s="212"/>
      <c r="AH300" s="212"/>
      <c r="AI300" s="212"/>
      <c r="AJ300" s="212"/>
      <c r="AK300" s="212"/>
      <c r="AL300" s="212"/>
      <c r="AM300" s="212"/>
      <c r="AN300" s="212"/>
      <c r="AO300" s="212"/>
      <c r="AP300" s="212"/>
      <c r="AQ300" s="212"/>
      <c r="AR300" s="212"/>
      <c r="AS300" s="212"/>
      <c r="AT300" s="212"/>
      <c r="AU300" s="212"/>
      <c r="AV300" s="212"/>
      <c r="AW300" s="212"/>
      <c r="AX300" s="212"/>
      <c r="AY300" s="212"/>
      <c r="AZ300" s="212"/>
      <c r="BA300" s="212"/>
      <c r="BB300" s="212"/>
      <c r="BC300" s="212"/>
      <c r="BD300" s="212"/>
      <c r="BE300" s="212"/>
      <c r="BF300" s="212"/>
      <c r="BG300" s="212"/>
      <c r="BH300" s="212"/>
      <c r="BI300" s="212"/>
      <c r="BJ300" s="212"/>
      <c r="BK300" s="212"/>
      <c r="BL300" s="212"/>
      <c r="BM300" s="212"/>
      <c r="BN300" s="212"/>
      <c r="BO300" s="212"/>
      <c r="BP300" s="212"/>
      <c r="BQ300" s="212"/>
      <c r="BR300" s="212"/>
      <c r="BS300" s="212"/>
      <c r="BT300" s="212"/>
      <c r="BU300" s="212"/>
      <c r="BV300" s="212"/>
      <c r="BW300" s="212"/>
      <c r="BX300" s="212"/>
      <c r="BY300" s="212"/>
      <c r="BZ300" s="212"/>
      <c r="CA300" s="212"/>
      <c r="CB300" s="212"/>
      <c r="CC300" s="212"/>
      <c r="CD300" s="212"/>
      <c r="CE300" s="212"/>
      <c r="CF300" s="212"/>
      <c r="CG300" s="212"/>
      <c r="CH300" s="212"/>
      <c r="CI300" s="212"/>
      <c r="CJ300" s="212"/>
      <c r="CK300" s="212"/>
      <c r="CL300" s="212"/>
      <c r="CM300" s="212"/>
      <c r="CN300" s="212"/>
      <c r="CO300" s="212"/>
      <c r="CP300" s="212"/>
      <c r="CQ300" s="212"/>
      <c r="CR300" s="212"/>
      <c r="CS300" s="212"/>
    </row>
    <row r="301" spans="1:97" x14ac:dyDescent="0.4">
      <c r="A301" s="209">
        <v>45587</v>
      </c>
      <c r="B301" s="210" t="s">
        <v>295</v>
      </c>
      <c r="C301" s="212"/>
      <c r="D301" s="212"/>
      <c r="E301" s="212"/>
      <c r="F301" s="212"/>
      <c r="G301" s="212"/>
      <c r="H301" s="212"/>
      <c r="I301" s="212"/>
      <c r="J301" s="212"/>
      <c r="K301" s="212"/>
      <c r="L301" s="212"/>
      <c r="M301" s="212"/>
      <c r="N301" s="212"/>
      <c r="O301" s="212"/>
      <c r="P301" s="212"/>
      <c r="Q301" s="212"/>
      <c r="R301" s="212"/>
      <c r="S301" s="212"/>
      <c r="T301" s="212"/>
      <c r="U301" s="212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12"/>
      <c r="AF301" s="212"/>
      <c r="AG301" s="212"/>
      <c r="AH301" s="212"/>
      <c r="AI301" s="212"/>
      <c r="AJ301" s="212"/>
      <c r="AK301" s="212"/>
      <c r="AL301" s="212"/>
      <c r="AM301" s="212"/>
      <c r="AN301" s="212"/>
      <c r="AO301" s="212"/>
      <c r="AP301" s="212"/>
      <c r="AQ301" s="212"/>
      <c r="AR301" s="212"/>
      <c r="AS301" s="212"/>
      <c r="AT301" s="212"/>
      <c r="AU301" s="212"/>
      <c r="AV301" s="212"/>
      <c r="AW301" s="212"/>
      <c r="AX301" s="212"/>
      <c r="AY301" s="212"/>
      <c r="AZ301" s="212"/>
      <c r="BA301" s="212"/>
      <c r="BB301" s="212"/>
      <c r="BC301" s="212"/>
      <c r="BD301" s="212"/>
      <c r="BE301" s="212"/>
      <c r="BF301" s="212"/>
      <c r="BG301" s="212"/>
      <c r="BH301" s="212"/>
      <c r="BI301" s="212"/>
      <c r="BJ301" s="212"/>
      <c r="BK301" s="212"/>
      <c r="BL301" s="212"/>
      <c r="BM301" s="212"/>
      <c r="BN301" s="212"/>
      <c r="BO301" s="212"/>
      <c r="BP301" s="212"/>
      <c r="BQ301" s="212"/>
      <c r="BR301" s="212"/>
      <c r="BS301" s="212"/>
      <c r="BT301" s="212"/>
      <c r="BU301" s="212"/>
      <c r="BV301" s="212"/>
      <c r="BW301" s="212"/>
      <c r="BX301" s="212"/>
      <c r="BY301" s="212"/>
      <c r="BZ301" s="212"/>
      <c r="CA301" s="212"/>
      <c r="CB301" s="212"/>
      <c r="CC301" s="212"/>
      <c r="CD301" s="212"/>
      <c r="CE301" s="212"/>
      <c r="CF301" s="212"/>
      <c r="CG301" s="212"/>
      <c r="CH301" s="212"/>
      <c r="CI301" s="212"/>
      <c r="CJ301" s="212"/>
      <c r="CK301" s="212"/>
      <c r="CL301" s="212"/>
      <c r="CM301" s="212"/>
      <c r="CN301" s="212"/>
      <c r="CO301" s="212"/>
      <c r="CP301" s="212"/>
      <c r="CQ301" s="212"/>
      <c r="CR301" s="212"/>
      <c r="CS301" s="212"/>
    </row>
    <row r="302" spans="1:97" x14ac:dyDescent="0.4">
      <c r="A302" s="209">
        <v>45588</v>
      </c>
      <c r="B302" s="210" t="s">
        <v>296</v>
      </c>
      <c r="C302" s="212"/>
      <c r="D302" s="212"/>
      <c r="E302" s="212"/>
      <c r="F302" s="212"/>
      <c r="G302" s="212"/>
      <c r="H302" s="212"/>
      <c r="I302" s="212"/>
      <c r="J302" s="212"/>
      <c r="K302" s="212"/>
      <c r="L302" s="212"/>
      <c r="M302" s="212"/>
      <c r="N302" s="212"/>
      <c r="O302" s="212"/>
      <c r="P302" s="212"/>
      <c r="Q302" s="212"/>
      <c r="R302" s="212"/>
      <c r="S302" s="212"/>
      <c r="T302" s="212"/>
      <c r="U302" s="212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12"/>
      <c r="AF302" s="212"/>
      <c r="AG302" s="212"/>
      <c r="AH302" s="212"/>
      <c r="AI302" s="212"/>
      <c r="AJ302" s="212"/>
      <c r="AK302" s="212"/>
      <c r="AL302" s="212"/>
      <c r="AM302" s="212"/>
      <c r="AN302" s="212"/>
      <c r="AO302" s="212"/>
      <c r="AP302" s="212"/>
      <c r="AQ302" s="212"/>
      <c r="AR302" s="212"/>
      <c r="AS302" s="212"/>
      <c r="AT302" s="212"/>
      <c r="AU302" s="212"/>
      <c r="AV302" s="212"/>
      <c r="AW302" s="212"/>
      <c r="AX302" s="212"/>
      <c r="AY302" s="212"/>
      <c r="AZ302" s="212"/>
      <c r="BA302" s="212"/>
      <c r="BB302" s="212"/>
      <c r="BC302" s="212"/>
      <c r="BD302" s="212"/>
      <c r="BE302" s="212"/>
      <c r="BF302" s="212"/>
      <c r="BG302" s="212"/>
      <c r="BH302" s="212"/>
      <c r="BI302" s="212"/>
      <c r="BJ302" s="212"/>
      <c r="BK302" s="212"/>
      <c r="BL302" s="212"/>
      <c r="BM302" s="212"/>
      <c r="BN302" s="212"/>
      <c r="BO302" s="212"/>
      <c r="BP302" s="212"/>
      <c r="BQ302" s="212"/>
      <c r="BR302" s="212"/>
      <c r="BS302" s="212"/>
      <c r="BT302" s="212"/>
      <c r="BU302" s="212"/>
      <c r="BV302" s="212"/>
      <c r="BW302" s="212"/>
      <c r="BX302" s="212"/>
      <c r="BY302" s="212"/>
      <c r="BZ302" s="212"/>
      <c r="CA302" s="212"/>
      <c r="CB302" s="212"/>
      <c r="CC302" s="212"/>
      <c r="CD302" s="212"/>
      <c r="CE302" s="212"/>
      <c r="CF302" s="212"/>
      <c r="CG302" s="212"/>
      <c r="CH302" s="212"/>
      <c r="CI302" s="212"/>
      <c r="CJ302" s="212"/>
      <c r="CK302" s="212"/>
      <c r="CL302" s="212"/>
      <c r="CM302" s="212"/>
      <c r="CN302" s="212"/>
      <c r="CO302" s="212"/>
      <c r="CP302" s="212"/>
      <c r="CQ302" s="212"/>
      <c r="CR302" s="212"/>
      <c r="CS302" s="212"/>
    </row>
    <row r="303" spans="1:97" x14ac:dyDescent="0.4">
      <c r="A303" s="209">
        <v>45589</v>
      </c>
      <c r="B303" s="210" t="s">
        <v>297</v>
      </c>
      <c r="C303" s="212"/>
      <c r="D303" s="212"/>
      <c r="E303" s="212"/>
      <c r="F303" s="212"/>
      <c r="G303" s="212"/>
      <c r="H303" s="212"/>
      <c r="I303" s="212"/>
      <c r="J303" s="212"/>
      <c r="K303" s="212"/>
      <c r="L303" s="212"/>
      <c r="M303" s="212"/>
      <c r="N303" s="212"/>
      <c r="O303" s="212"/>
      <c r="P303" s="212"/>
      <c r="Q303" s="212"/>
      <c r="R303" s="212"/>
      <c r="S303" s="212"/>
      <c r="T303" s="212"/>
      <c r="U303" s="212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12"/>
      <c r="AF303" s="212"/>
      <c r="AG303" s="212"/>
      <c r="AH303" s="212"/>
      <c r="AI303" s="212"/>
      <c r="AJ303" s="212"/>
      <c r="AK303" s="212"/>
      <c r="AL303" s="212"/>
      <c r="AM303" s="212"/>
      <c r="AN303" s="212"/>
      <c r="AO303" s="212"/>
      <c r="AP303" s="212"/>
      <c r="AQ303" s="212"/>
      <c r="AR303" s="212"/>
      <c r="AS303" s="212"/>
      <c r="AT303" s="212"/>
      <c r="AU303" s="212"/>
      <c r="AV303" s="212"/>
      <c r="AW303" s="212"/>
      <c r="AX303" s="212"/>
      <c r="AY303" s="212"/>
      <c r="AZ303" s="212"/>
      <c r="BA303" s="212"/>
      <c r="BB303" s="212"/>
      <c r="BC303" s="212"/>
      <c r="BD303" s="212"/>
      <c r="BE303" s="212"/>
      <c r="BF303" s="212"/>
      <c r="BG303" s="212"/>
      <c r="BH303" s="212"/>
      <c r="BI303" s="212"/>
      <c r="BJ303" s="212"/>
      <c r="BK303" s="212"/>
      <c r="BL303" s="212"/>
      <c r="BM303" s="212"/>
      <c r="BN303" s="212"/>
      <c r="BO303" s="212"/>
      <c r="BP303" s="212"/>
      <c r="BQ303" s="212"/>
      <c r="BR303" s="212"/>
      <c r="BS303" s="212"/>
      <c r="BT303" s="212"/>
      <c r="BU303" s="212"/>
      <c r="BV303" s="212"/>
      <c r="BW303" s="212"/>
      <c r="BX303" s="212"/>
      <c r="BY303" s="212"/>
      <c r="BZ303" s="212"/>
      <c r="CA303" s="212"/>
      <c r="CB303" s="212"/>
      <c r="CC303" s="212"/>
      <c r="CD303" s="212"/>
      <c r="CE303" s="212"/>
      <c r="CF303" s="212"/>
      <c r="CG303" s="212"/>
      <c r="CH303" s="212"/>
      <c r="CI303" s="212"/>
      <c r="CJ303" s="212"/>
      <c r="CK303" s="212"/>
      <c r="CL303" s="212"/>
      <c r="CM303" s="212"/>
      <c r="CN303" s="212"/>
      <c r="CO303" s="212"/>
      <c r="CP303" s="212"/>
      <c r="CQ303" s="212"/>
      <c r="CR303" s="212"/>
      <c r="CS303" s="212"/>
    </row>
    <row r="304" spans="1:97" x14ac:dyDescent="0.4">
      <c r="A304" s="209">
        <v>45590</v>
      </c>
      <c r="B304" s="210" t="s">
        <v>298</v>
      </c>
      <c r="C304" s="212"/>
      <c r="D304" s="212"/>
      <c r="E304" s="212"/>
      <c r="F304" s="212"/>
      <c r="G304" s="212"/>
      <c r="H304" s="212"/>
      <c r="I304" s="212"/>
      <c r="J304" s="212"/>
      <c r="K304" s="212"/>
      <c r="L304" s="212"/>
      <c r="M304" s="212"/>
      <c r="N304" s="212"/>
      <c r="O304" s="212"/>
      <c r="P304" s="212"/>
      <c r="Q304" s="212"/>
      <c r="R304" s="212"/>
      <c r="S304" s="212"/>
      <c r="T304" s="212"/>
      <c r="U304" s="212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12"/>
      <c r="AF304" s="212"/>
      <c r="AG304" s="212"/>
      <c r="AH304" s="212"/>
      <c r="AI304" s="212"/>
      <c r="AJ304" s="212"/>
      <c r="AK304" s="212"/>
      <c r="AL304" s="212"/>
      <c r="AM304" s="212"/>
      <c r="AN304" s="212"/>
      <c r="AO304" s="212"/>
      <c r="AP304" s="212"/>
      <c r="AQ304" s="212"/>
      <c r="AR304" s="212"/>
      <c r="AS304" s="212"/>
      <c r="AT304" s="212"/>
      <c r="AU304" s="212"/>
      <c r="AV304" s="212"/>
      <c r="AW304" s="212"/>
      <c r="AX304" s="212"/>
      <c r="AY304" s="212"/>
      <c r="AZ304" s="212"/>
      <c r="BA304" s="212"/>
      <c r="BB304" s="212"/>
      <c r="BC304" s="212"/>
      <c r="BD304" s="212"/>
      <c r="BE304" s="212"/>
      <c r="BF304" s="212"/>
      <c r="BG304" s="212"/>
      <c r="BH304" s="212"/>
      <c r="BI304" s="212"/>
      <c r="BJ304" s="212"/>
      <c r="BK304" s="212"/>
      <c r="BL304" s="212"/>
      <c r="BM304" s="212"/>
      <c r="BN304" s="212"/>
      <c r="BO304" s="212"/>
      <c r="BP304" s="212"/>
      <c r="BQ304" s="212"/>
      <c r="BR304" s="212"/>
      <c r="BS304" s="212"/>
      <c r="BT304" s="212"/>
      <c r="BU304" s="212"/>
      <c r="BV304" s="212"/>
      <c r="BW304" s="212"/>
      <c r="BX304" s="212"/>
      <c r="BY304" s="212"/>
      <c r="BZ304" s="212"/>
      <c r="CA304" s="212"/>
      <c r="CB304" s="212"/>
      <c r="CC304" s="212"/>
      <c r="CD304" s="212"/>
      <c r="CE304" s="212"/>
      <c r="CF304" s="212"/>
      <c r="CG304" s="212"/>
      <c r="CH304" s="212"/>
      <c r="CI304" s="212"/>
      <c r="CJ304" s="212"/>
      <c r="CK304" s="212"/>
      <c r="CL304" s="212"/>
      <c r="CM304" s="212"/>
      <c r="CN304" s="212"/>
      <c r="CO304" s="212"/>
      <c r="CP304" s="212"/>
      <c r="CQ304" s="212"/>
      <c r="CR304" s="212"/>
      <c r="CS304" s="212"/>
    </row>
    <row r="305" spans="1:97" x14ac:dyDescent="0.4">
      <c r="A305" s="209">
        <v>45591</v>
      </c>
      <c r="B305" s="210" t="s">
        <v>299</v>
      </c>
      <c r="C305" s="212"/>
      <c r="D305" s="212"/>
      <c r="E305" s="212"/>
      <c r="F305" s="212"/>
      <c r="G305" s="212"/>
      <c r="H305" s="212"/>
      <c r="I305" s="212"/>
      <c r="J305" s="212"/>
      <c r="K305" s="212"/>
      <c r="L305" s="212"/>
      <c r="M305" s="212"/>
      <c r="N305" s="212"/>
      <c r="O305" s="212"/>
      <c r="P305" s="212"/>
      <c r="Q305" s="212"/>
      <c r="R305" s="212"/>
      <c r="S305" s="212"/>
      <c r="T305" s="212"/>
      <c r="U305" s="212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12"/>
      <c r="AF305" s="212"/>
      <c r="AG305" s="212"/>
      <c r="AH305" s="212"/>
      <c r="AI305" s="212"/>
      <c r="AJ305" s="212"/>
      <c r="AK305" s="212"/>
      <c r="AL305" s="212"/>
      <c r="AM305" s="212"/>
      <c r="AN305" s="212"/>
      <c r="AO305" s="212"/>
      <c r="AP305" s="212"/>
      <c r="AQ305" s="212"/>
      <c r="AR305" s="212"/>
      <c r="AS305" s="212"/>
      <c r="AT305" s="212"/>
      <c r="AU305" s="212"/>
      <c r="AV305" s="212"/>
      <c r="AW305" s="212"/>
      <c r="AX305" s="212"/>
      <c r="AY305" s="212"/>
      <c r="AZ305" s="212"/>
      <c r="BA305" s="212"/>
      <c r="BB305" s="212"/>
      <c r="BC305" s="212"/>
      <c r="BD305" s="212"/>
      <c r="BE305" s="212"/>
      <c r="BF305" s="212"/>
      <c r="BG305" s="212"/>
      <c r="BH305" s="212"/>
      <c r="BI305" s="212"/>
      <c r="BJ305" s="212"/>
      <c r="BK305" s="212"/>
      <c r="BL305" s="212"/>
      <c r="BM305" s="212"/>
      <c r="BN305" s="212"/>
      <c r="BO305" s="212"/>
      <c r="BP305" s="212"/>
      <c r="BQ305" s="212"/>
      <c r="BR305" s="212"/>
      <c r="BS305" s="212"/>
      <c r="BT305" s="212"/>
      <c r="BU305" s="212"/>
      <c r="BV305" s="212"/>
      <c r="BW305" s="212"/>
      <c r="BX305" s="212"/>
      <c r="BY305" s="212"/>
      <c r="BZ305" s="212"/>
      <c r="CA305" s="212"/>
      <c r="CB305" s="212"/>
      <c r="CC305" s="212"/>
      <c r="CD305" s="212"/>
      <c r="CE305" s="212"/>
      <c r="CF305" s="212"/>
      <c r="CG305" s="212"/>
      <c r="CH305" s="212"/>
      <c r="CI305" s="212"/>
      <c r="CJ305" s="212"/>
      <c r="CK305" s="212"/>
      <c r="CL305" s="212"/>
      <c r="CM305" s="212"/>
      <c r="CN305" s="212"/>
      <c r="CO305" s="212"/>
      <c r="CP305" s="212"/>
      <c r="CQ305" s="212"/>
      <c r="CR305" s="212"/>
      <c r="CS305" s="212"/>
    </row>
    <row r="306" spans="1:97" x14ac:dyDescent="0.4">
      <c r="A306" s="209">
        <v>45592</v>
      </c>
      <c r="B306" s="210" t="s">
        <v>300</v>
      </c>
      <c r="C306" s="212"/>
      <c r="D306" s="212"/>
      <c r="E306" s="212"/>
      <c r="F306" s="212"/>
      <c r="G306" s="212"/>
      <c r="H306" s="212"/>
      <c r="I306" s="212"/>
      <c r="J306" s="212"/>
      <c r="K306" s="212"/>
      <c r="L306" s="212"/>
      <c r="M306" s="212"/>
      <c r="N306" s="212"/>
      <c r="O306" s="212"/>
      <c r="P306" s="212"/>
      <c r="Q306" s="212"/>
      <c r="R306" s="212"/>
      <c r="S306" s="212"/>
      <c r="T306" s="212"/>
      <c r="U306" s="212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12"/>
      <c r="AF306" s="212"/>
      <c r="AG306" s="212"/>
      <c r="AH306" s="212"/>
      <c r="AI306" s="212"/>
      <c r="AJ306" s="212"/>
      <c r="AK306" s="212"/>
      <c r="AL306" s="212"/>
      <c r="AM306" s="212"/>
      <c r="AN306" s="212"/>
      <c r="AO306" s="212"/>
      <c r="AP306" s="212"/>
      <c r="AQ306" s="212"/>
      <c r="AR306" s="212"/>
      <c r="AS306" s="212"/>
      <c r="AT306" s="212"/>
      <c r="AU306" s="212"/>
      <c r="AV306" s="212"/>
      <c r="AW306" s="212"/>
      <c r="AX306" s="212"/>
      <c r="AY306" s="212"/>
      <c r="AZ306" s="212"/>
      <c r="BA306" s="212"/>
      <c r="BB306" s="212"/>
      <c r="BC306" s="212"/>
      <c r="BD306" s="212"/>
      <c r="BE306" s="212"/>
      <c r="BF306" s="212"/>
      <c r="BG306" s="212"/>
      <c r="BH306" s="212"/>
      <c r="BI306" s="212"/>
      <c r="BJ306" s="212"/>
      <c r="BK306" s="212"/>
      <c r="BL306" s="212"/>
      <c r="BM306" s="212"/>
      <c r="BN306" s="212"/>
      <c r="BO306" s="212"/>
      <c r="BP306" s="212"/>
      <c r="BQ306" s="212"/>
      <c r="BR306" s="212"/>
      <c r="BS306" s="212"/>
      <c r="BT306" s="212"/>
      <c r="BU306" s="212"/>
      <c r="BV306" s="212"/>
      <c r="BW306" s="212"/>
      <c r="BX306" s="212"/>
      <c r="BY306" s="212"/>
      <c r="BZ306" s="212"/>
      <c r="CA306" s="212"/>
      <c r="CB306" s="212"/>
      <c r="CC306" s="212"/>
      <c r="CD306" s="212"/>
      <c r="CE306" s="212"/>
      <c r="CF306" s="212"/>
      <c r="CG306" s="212"/>
      <c r="CH306" s="212"/>
      <c r="CI306" s="212"/>
      <c r="CJ306" s="212"/>
      <c r="CK306" s="212"/>
      <c r="CL306" s="212"/>
      <c r="CM306" s="212"/>
      <c r="CN306" s="212"/>
      <c r="CO306" s="212"/>
      <c r="CP306" s="212"/>
      <c r="CQ306" s="212"/>
      <c r="CR306" s="212"/>
      <c r="CS306" s="212"/>
    </row>
    <row r="307" spans="1:97" x14ac:dyDescent="0.4">
      <c r="A307" s="209">
        <v>45593</v>
      </c>
      <c r="B307" s="210" t="s">
        <v>294</v>
      </c>
      <c r="C307" s="212"/>
      <c r="D307" s="212"/>
      <c r="E307" s="212"/>
      <c r="F307" s="212"/>
      <c r="G307" s="212"/>
      <c r="H307" s="212"/>
      <c r="I307" s="212"/>
      <c r="J307" s="212"/>
      <c r="K307" s="212"/>
      <c r="L307" s="212"/>
      <c r="M307" s="212"/>
      <c r="N307" s="212"/>
      <c r="O307" s="212"/>
      <c r="P307" s="212"/>
      <c r="Q307" s="212"/>
      <c r="R307" s="212"/>
      <c r="S307" s="212"/>
      <c r="T307" s="212"/>
      <c r="U307" s="212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12"/>
      <c r="AF307" s="212"/>
      <c r="AG307" s="212"/>
      <c r="AH307" s="212"/>
      <c r="AI307" s="212"/>
      <c r="AJ307" s="212"/>
      <c r="AK307" s="212"/>
      <c r="AL307" s="212"/>
      <c r="AM307" s="212"/>
      <c r="AN307" s="212"/>
      <c r="AO307" s="212"/>
      <c r="AP307" s="212"/>
      <c r="AQ307" s="212"/>
      <c r="AR307" s="212"/>
      <c r="AS307" s="212"/>
      <c r="AT307" s="212"/>
      <c r="AU307" s="212"/>
      <c r="AV307" s="212"/>
      <c r="AW307" s="212"/>
      <c r="AX307" s="212"/>
      <c r="AY307" s="212"/>
      <c r="AZ307" s="212"/>
      <c r="BA307" s="212"/>
      <c r="BB307" s="212"/>
      <c r="BC307" s="212"/>
      <c r="BD307" s="212"/>
      <c r="BE307" s="212"/>
      <c r="BF307" s="212"/>
      <c r="BG307" s="212"/>
      <c r="BH307" s="212"/>
      <c r="BI307" s="212"/>
      <c r="BJ307" s="212"/>
      <c r="BK307" s="212"/>
      <c r="BL307" s="212"/>
      <c r="BM307" s="212"/>
      <c r="BN307" s="212"/>
      <c r="BO307" s="212"/>
      <c r="BP307" s="212"/>
      <c r="BQ307" s="212"/>
      <c r="BR307" s="212"/>
      <c r="BS307" s="212"/>
      <c r="BT307" s="212"/>
      <c r="BU307" s="212"/>
      <c r="BV307" s="212"/>
      <c r="BW307" s="212"/>
      <c r="BX307" s="212"/>
      <c r="BY307" s="212"/>
      <c r="BZ307" s="212"/>
      <c r="CA307" s="212"/>
      <c r="CB307" s="212"/>
      <c r="CC307" s="212"/>
      <c r="CD307" s="212"/>
      <c r="CE307" s="212"/>
      <c r="CF307" s="212"/>
      <c r="CG307" s="212"/>
      <c r="CH307" s="212"/>
      <c r="CI307" s="212"/>
      <c r="CJ307" s="212"/>
      <c r="CK307" s="212"/>
      <c r="CL307" s="212"/>
      <c r="CM307" s="212"/>
      <c r="CN307" s="212"/>
      <c r="CO307" s="212"/>
      <c r="CP307" s="212"/>
      <c r="CQ307" s="212"/>
      <c r="CR307" s="212"/>
      <c r="CS307" s="212"/>
    </row>
    <row r="308" spans="1:97" x14ac:dyDescent="0.4">
      <c r="A308" s="209">
        <v>45594</v>
      </c>
      <c r="B308" s="210" t="s">
        <v>295</v>
      </c>
      <c r="C308" s="212"/>
      <c r="D308" s="212"/>
      <c r="E308" s="212"/>
      <c r="F308" s="212"/>
      <c r="G308" s="212"/>
      <c r="H308" s="212"/>
      <c r="I308" s="212"/>
      <c r="J308" s="212"/>
      <c r="K308" s="212"/>
      <c r="L308" s="212"/>
      <c r="M308" s="212"/>
      <c r="N308" s="212"/>
      <c r="O308" s="212"/>
      <c r="P308" s="212"/>
      <c r="Q308" s="212"/>
      <c r="R308" s="212"/>
      <c r="S308" s="212"/>
      <c r="T308" s="212"/>
      <c r="U308" s="212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12"/>
      <c r="AF308" s="212"/>
      <c r="AG308" s="212"/>
      <c r="AH308" s="212"/>
      <c r="AI308" s="212"/>
      <c r="AJ308" s="212"/>
      <c r="AK308" s="212"/>
      <c r="AL308" s="212"/>
      <c r="AM308" s="212"/>
      <c r="AN308" s="212"/>
      <c r="AO308" s="212"/>
      <c r="AP308" s="212"/>
      <c r="AQ308" s="212"/>
      <c r="AR308" s="212"/>
      <c r="AS308" s="212"/>
      <c r="AT308" s="212"/>
      <c r="AU308" s="212"/>
      <c r="AV308" s="212"/>
      <c r="AW308" s="212"/>
      <c r="AX308" s="212"/>
      <c r="AY308" s="212"/>
      <c r="AZ308" s="212"/>
      <c r="BA308" s="212"/>
      <c r="BB308" s="212"/>
      <c r="BC308" s="212"/>
      <c r="BD308" s="212"/>
      <c r="BE308" s="212"/>
      <c r="BF308" s="212"/>
      <c r="BG308" s="212"/>
      <c r="BH308" s="212"/>
      <c r="BI308" s="212"/>
      <c r="BJ308" s="212"/>
      <c r="BK308" s="212"/>
      <c r="BL308" s="212"/>
      <c r="BM308" s="212"/>
      <c r="BN308" s="212"/>
      <c r="BO308" s="212"/>
      <c r="BP308" s="212"/>
      <c r="BQ308" s="212"/>
      <c r="BR308" s="212"/>
      <c r="BS308" s="212"/>
      <c r="BT308" s="212"/>
      <c r="BU308" s="212"/>
      <c r="BV308" s="212"/>
      <c r="BW308" s="212"/>
      <c r="BX308" s="212"/>
      <c r="BY308" s="212"/>
      <c r="BZ308" s="212"/>
      <c r="CA308" s="212"/>
      <c r="CB308" s="212"/>
      <c r="CC308" s="212"/>
      <c r="CD308" s="212"/>
      <c r="CE308" s="212"/>
      <c r="CF308" s="212"/>
      <c r="CG308" s="212"/>
      <c r="CH308" s="212"/>
      <c r="CI308" s="212"/>
      <c r="CJ308" s="212"/>
      <c r="CK308" s="212"/>
      <c r="CL308" s="212"/>
      <c r="CM308" s="212"/>
      <c r="CN308" s="212"/>
      <c r="CO308" s="212"/>
      <c r="CP308" s="212"/>
      <c r="CQ308" s="212"/>
      <c r="CR308" s="212"/>
      <c r="CS308" s="212"/>
    </row>
    <row r="309" spans="1:97" x14ac:dyDescent="0.4">
      <c r="A309" s="209">
        <v>45595</v>
      </c>
      <c r="B309" s="210" t="s">
        <v>296</v>
      </c>
      <c r="C309" s="212"/>
      <c r="D309" s="212"/>
      <c r="E309" s="212"/>
      <c r="F309" s="212"/>
      <c r="G309" s="212"/>
      <c r="H309" s="212"/>
      <c r="I309" s="212"/>
      <c r="J309" s="212"/>
      <c r="K309" s="212"/>
      <c r="L309" s="212"/>
      <c r="M309" s="212"/>
      <c r="N309" s="212"/>
      <c r="O309" s="212"/>
      <c r="P309" s="212"/>
      <c r="Q309" s="212"/>
      <c r="R309" s="212"/>
      <c r="S309" s="212"/>
      <c r="T309" s="212"/>
      <c r="U309" s="212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12"/>
      <c r="AF309" s="212"/>
      <c r="AG309" s="212"/>
      <c r="AH309" s="212"/>
      <c r="AI309" s="212"/>
      <c r="AJ309" s="212"/>
      <c r="AK309" s="212"/>
      <c r="AL309" s="212"/>
      <c r="AM309" s="212"/>
      <c r="AN309" s="212"/>
      <c r="AO309" s="212"/>
      <c r="AP309" s="212"/>
      <c r="AQ309" s="212"/>
      <c r="AR309" s="212"/>
      <c r="AS309" s="212"/>
      <c r="AT309" s="212"/>
      <c r="AU309" s="212"/>
      <c r="AV309" s="212"/>
      <c r="AW309" s="212"/>
      <c r="AX309" s="212"/>
      <c r="AY309" s="212"/>
      <c r="AZ309" s="212"/>
      <c r="BA309" s="212"/>
      <c r="BB309" s="212"/>
      <c r="BC309" s="212"/>
      <c r="BD309" s="212"/>
      <c r="BE309" s="212"/>
      <c r="BF309" s="212"/>
      <c r="BG309" s="212"/>
      <c r="BH309" s="212"/>
      <c r="BI309" s="212"/>
      <c r="BJ309" s="212"/>
      <c r="BK309" s="212"/>
      <c r="BL309" s="212"/>
      <c r="BM309" s="212"/>
      <c r="BN309" s="212"/>
      <c r="BO309" s="212"/>
      <c r="BP309" s="212"/>
      <c r="BQ309" s="212"/>
      <c r="BR309" s="212"/>
      <c r="BS309" s="212"/>
      <c r="BT309" s="212"/>
      <c r="BU309" s="212"/>
      <c r="BV309" s="212"/>
      <c r="BW309" s="212"/>
      <c r="BX309" s="212"/>
      <c r="BY309" s="212"/>
      <c r="BZ309" s="212"/>
      <c r="CA309" s="212"/>
      <c r="CB309" s="212"/>
      <c r="CC309" s="212"/>
      <c r="CD309" s="212"/>
      <c r="CE309" s="212"/>
      <c r="CF309" s="212"/>
      <c r="CG309" s="212"/>
      <c r="CH309" s="212"/>
      <c r="CI309" s="212"/>
      <c r="CJ309" s="212"/>
      <c r="CK309" s="212"/>
      <c r="CL309" s="212"/>
      <c r="CM309" s="212"/>
      <c r="CN309" s="212"/>
      <c r="CO309" s="212"/>
      <c r="CP309" s="212"/>
      <c r="CQ309" s="212"/>
      <c r="CR309" s="212"/>
      <c r="CS309" s="212"/>
    </row>
    <row r="310" spans="1:97" x14ac:dyDescent="0.4">
      <c r="A310" s="209">
        <v>45596</v>
      </c>
      <c r="B310" s="210" t="s">
        <v>297</v>
      </c>
      <c r="C310" s="212"/>
      <c r="D310" s="212"/>
      <c r="E310" s="212"/>
      <c r="F310" s="212"/>
      <c r="G310" s="212"/>
      <c r="H310" s="212"/>
      <c r="I310" s="212"/>
      <c r="J310" s="212"/>
      <c r="K310" s="212"/>
      <c r="L310" s="212"/>
      <c r="M310" s="212"/>
      <c r="N310" s="212"/>
      <c r="O310" s="212"/>
      <c r="P310" s="212"/>
      <c r="Q310" s="212"/>
      <c r="R310" s="212"/>
      <c r="S310" s="212"/>
      <c r="T310" s="212"/>
      <c r="U310" s="212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12"/>
      <c r="AF310" s="212"/>
      <c r="AG310" s="212"/>
      <c r="AH310" s="212"/>
      <c r="AI310" s="212"/>
      <c r="AJ310" s="212"/>
      <c r="AK310" s="212"/>
      <c r="AL310" s="212"/>
      <c r="AM310" s="212"/>
      <c r="AN310" s="212"/>
      <c r="AO310" s="212"/>
      <c r="AP310" s="212"/>
      <c r="AQ310" s="212"/>
      <c r="AR310" s="212"/>
      <c r="AS310" s="212"/>
      <c r="AT310" s="212"/>
      <c r="AU310" s="212"/>
      <c r="AV310" s="212"/>
      <c r="AW310" s="212"/>
      <c r="AX310" s="212"/>
      <c r="AY310" s="212"/>
      <c r="AZ310" s="212"/>
      <c r="BA310" s="212"/>
      <c r="BB310" s="212"/>
      <c r="BC310" s="212"/>
      <c r="BD310" s="212"/>
      <c r="BE310" s="212"/>
      <c r="BF310" s="212"/>
      <c r="BG310" s="212"/>
      <c r="BH310" s="212"/>
      <c r="BI310" s="212"/>
      <c r="BJ310" s="212"/>
      <c r="BK310" s="212"/>
      <c r="BL310" s="212"/>
      <c r="BM310" s="212"/>
      <c r="BN310" s="212"/>
      <c r="BO310" s="212"/>
      <c r="BP310" s="212"/>
      <c r="BQ310" s="212"/>
      <c r="BR310" s="212"/>
      <c r="BS310" s="212"/>
      <c r="BT310" s="212"/>
      <c r="BU310" s="212"/>
      <c r="BV310" s="212"/>
      <c r="BW310" s="212"/>
      <c r="BX310" s="212"/>
      <c r="BY310" s="212"/>
      <c r="BZ310" s="212"/>
      <c r="CA310" s="212"/>
      <c r="CB310" s="212"/>
      <c r="CC310" s="212"/>
      <c r="CD310" s="212"/>
      <c r="CE310" s="212"/>
      <c r="CF310" s="212"/>
      <c r="CG310" s="212"/>
      <c r="CH310" s="212"/>
      <c r="CI310" s="212"/>
      <c r="CJ310" s="212"/>
      <c r="CK310" s="212"/>
      <c r="CL310" s="212"/>
      <c r="CM310" s="212"/>
      <c r="CN310" s="212"/>
      <c r="CO310" s="212"/>
      <c r="CP310" s="212"/>
      <c r="CQ310" s="212"/>
      <c r="CR310" s="212"/>
      <c r="CS310" s="212"/>
    </row>
    <row r="311" spans="1:97" x14ac:dyDescent="0.4">
      <c r="A311" s="209">
        <v>45597</v>
      </c>
      <c r="B311" s="210" t="s">
        <v>298</v>
      </c>
      <c r="C311" s="212"/>
      <c r="D311" s="212"/>
      <c r="E311" s="212"/>
      <c r="F311" s="212"/>
      <c r="G311" s="212"/>
      <c r="H311" s="212"/>
      <c r="I311" s="212"/>
      <c r="J311" s="212"/>
      <c r="K311" s="212"/>
      <c r="L311" s="212"/>
      <c r="M311" s="212"/>
      <c r="N311" s="212"/>
      <c r="O311" s="212"/>
      <c r="P311" s="212"/>
      <c r="Q311" s="212"/>
      <c r="R311" s="212"/>
      <c r="S311" s="212"/>
      <c r="T311" s="212"/>
      <c r="U311" s="212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12"/>
      <c r="AF311" s="212"/>
      <c r="AG311" s="212"/>
      <c r="AH311" s="212"/>
      <c r="AI311" s="212"/>
      <c r="AJ311" s="212"/>
      <c r="AK311" s="212"/>
      <c r="AL311" s="212"/>
      <c r="AM311" s="212"/>
      <c r="AN311" s="212"/>
      <c r="AO311" s="212"/>
      <c r="AP311" s="212"/>
      <c r="AQ311" s="212"/>
      <c r="AR311" s="212"/>
      <c r="AS311" s="212"/>
      <c r="AT311" s="212"/>
      <c r="AU311" s="212"/>
      <c r="AV311" s="212"/>
      <c r="AW311" s="212"/>
      <c r="AX311" s="212"/>
      <c r="AY311" s="212"/>
      <c r="AZ311" s="212"/>
      <c r="BA311" s="212"/>
      <c r="BB311" s="212"/>
      <c r="BC311" s="212"/>
      <c r="BD311" s="212"/>
      <c r="BE311" s="212"/>
      <c r="BF311" s="212"/>
      <c r="BG311" s="212"/>
      <c r="BH311" s="212"/>
      <c r="BI311" s="212"/>
      <c r="BJ311" s="212"/>
      <c r="BK311" s="212"/>
      <c r="BL311" s="212"/>
      <c r="BM311" s="212"/>
      <c r="BN311" s="212"/>
      <c r="BO311" s="212"/>
      <c r="BP311" s="212"/>
      <c r="BQ311" s="212"/>
      <c r="BR311" s="212"/>
      <c r="BS311" s="212"/>
      <c r="BT311" s="212"/>
      <c r="BU311" s="212"/>
      <c r="BV311" s="212"/>
      <c r="BW311" s="212"/>
      <c r="BX311" s="212"/>
      <c r="BY311" s="212"/>
      <c r="BZ311" s="212"/>
      <c r="CA311" s="212"/>
      <c r="CB311" s="212"/>
      <c r="CC311" s="212"/>
      <c r="CD311" s="212"/>
      <c r="CE311" s="212"/>
      <c r="CF311" s="212"/>
      <c r="CG311" s="212"/>
      <c r="CH311" s="212"/>
      <c r="CI311" s="212"/>
      <c r="CJ311" s="212"/>
      <c r="CK311" s="212"/>
      <c r="CL311" s="212"/>
      <c r="CM311" s="212"/>
      <c r="CN311" s="212"/>
      <c r="CO311" s="212"/>
      <c r="CP311" s="212"/>
      <c r="CQ311" s="212"/>
      <c r="CR311" s="212"/>
      <c r="CS311" s="212"/>
    </row>
    <row r="312" spans="1:97" x14ac:dyDescent="0.4">
      <c r="A312" s="209">
        <v>45598</v>
      </c>
      <c r="B312" s="210" t="s">
        <v>299</v>
      </c>
      <c r="C312" s="212"/>
      <c r="D312" s="212"/>
      <c r="E312" s="212"/>
      <c r="F312" s="212"/>
      <c r="G312" s="212"/>
      <c r="H312" s="212"/>
      <c r="I312" s="212"/>
      <c r="J312" s="212"/>
      <c r="K312" s="212"/>
      <c r="L312" s="212"/>
      <c r="M312" s="212"/>
      <c r="N312" s="212"/>
      <c r="O312" s="212"/>
      <c r="P312" s="212"/>
      <c r="Q312" s="212"/>
      <c r="R312" s="212"/>
      <c r="S312" s="212"/>
      <c r="T312" s="212"/>
      <c r="U312" s="212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12"/>
      <c r="AF312" s="212"/>
      <c r="AG312" s="212"/>
      <c r="AH312" s="212"/>
      <c r="AI312" s="212"/>
      <c r="AJ312" s="212"/>
      <c r="AK312" s="212"/>
      <c r="AL312" s="212"/>
      <c r="AM312" s="212"/>
      <c r="AN312" s="212"/>
      <c r="AO312" s="212"/>
      <c r="AP312" s="212"/>
      <c r="AQ312" s="212"/>
      <c r="AR312" s="212"/>
      <c r="AS312" s="212"/>
      <c r="AT312" s="212"/>
      <c r="AU312" s="212"/>
      <c r="AV312" s="212"/>
      <c r="AW312" s="212"/>
      <c r="AX312" s="212"/>
      <c r="AY312" s="212"/>
      <c r="AZ312" s="212"/>
      <c r="BA312" s="212"/>
      <c r="BB312" s="212"/>
      <c r="BC312" s="212"/>
      <c r="BD312" s="212"/>
      <c r="BE312" s="212"/>
      <c r="BF312" s="212"/>
      <c r="BG312" s="212"/>
      <c r="BH312" s="212"/>
      <c r="BI312" s="212"/>
      <c r="BJ312" s="212"/>
      <c r="BK312" s="212"/>
      <c r="BL312" s="212"/>
      <c r="BM312" s="212"/>
      <c r="BN312" s="212"/>
      <c r="BO312" s="212"/>
      <c r="BP312" s="212"/>
      <c r="BQ312" s="212"/>
      <c r="BR312" s="212"/>
      <c r="BS312" s="212"/>
      <c r="BT312" s="212"/>
      <c r="BU312" s="212"/>
      <c r="BV312" s="212"/>
      <c r="BW312" s="212"/>
      <c r="BX312" s="212"/>
      <c r="BY312" s="212"/>
      <c r="BZ312" s="212"/>
      <c r="CA312" s="212"/>
      <c r="CB312" s="212"/>
      <c r="CC312" s="212"/>
      <c r="CD312" s="212"/>
      <c r="CE312" s="212"/>
      <c r="CF312" s="212"/>
      <c r="CG312" s="212"/>
      <c r="CH312" s="212"/>
      <c r="CI312" s="212"/>
      <c r="CJ312" s="212"/>
      <c r="CK312" s="212"/>
      <c r="CL312" s="212"/>
      <c r="CM312" s="212"/>
      <c r="CN312" s="212"/>
      <c r="CO312" s="212"/>
      <c r="CP312" s="212"/>
      <c r="CQ312" s="212"/>
      <c r="CR312" s="212"/>
      <c r="CS312" s="212"/>
    </row>
    <row r="313" spans="1:97" x14ac:dyDescent="0.4">
      <c r="A313" s="209">
        <v>45599</v>
      </c>
      <c r="B313" s="210" t="s">
        <v>300</v>
      </c>
      <c r="C313" s="212"/>
      <c r="D313" s="212"/>
      <c r="E313" s="212"/>
      <c r="F313" s="212"/>
      <c r="G313" s="212"/>
      <c r="H313" s="212"/>
      <c r="I313" s="212"/>
      <c r="J313" s="212"/>
      <c r="K313" s="212"/>
      <c r="L313" s="212"/>
      <c r="M313" s="212"/>
      <c r="N313" s="212"/>
      <c r="O313" s="212"/>
      <c r="P313" s="212"/>
      <c r="Q313" s="212"/>
      <c r="R313" s="212"/>
      <c r="S313" s="212"/>
      <c r="T313" s="212"/>
      <c r="U313" s="212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12"/>
      <c r="AF313" s="212"/>
      <c r="AG313" s="212"/>
      <c r="AH313" s="212"/>
      <c r="AI313" s="212"/>
      <c r="AJ313" s="212"/>
      <c r="AK313" s="212"/>
      <c r="AL313" s="212"/>
      <c r="AM313" s="212"/>
      <c r="AN313" s="212"/>
      <c r="AO313" s="212"/>
      <c r="AP313" s="212"/>
      <c r="AQ313" s="212"/>
      <c r="AR313" s="212"/>
      <c r="AS313" s="212"/>
      <c r="AT313" s="212"/>
      <c r="AU313" s="212"/>
      <c r="AV313" s="212"/>
      <c r="AW313" s="212"/>
      <c r="AX313" s="212"/>
      <c r="AY313" s="212"/>
      <c r="AZ313" s="212"/>
      <c r="BA313" s="212"/>
      <c r="BB313" s="212"/>
      <c r="BC313" s="212"/>
      <c r="BD313" s="212"/>
      <c r="BE313" s="212"/>
      <c r="BF313" s="212"/>
      <c r="BG313" s="212"/>
      <c r="BH313" s="212"/>
      <c r="BI313" s="212"/>
      <c r="BJ313" s="212"/>
      <c r="BK313" s="212"/>
      <c r="BL313" s="212"/>
      <c r="BM313" s="212"/>
      <c r="BN313" s="212"/>
      <c r="BO313" s="212"/>
      <c r="BP313" s="212"/>
      <c r="BQ313" s="212"/>
      <c r="BR313" s="212"/>
      <c r="BS313" s="212"/>
      <c r="BT313" s="212"/>
      <c r="BU313" s="212"/>
      <c r="BV313" s="212"/>
      <c r="BW313" s="212"/>
      <c r="BX313" s="212"/>
      <c r="BY313" s="212"/>
      <c r="BZ313" s="212"/>
      <c r="CA313" s="212"/>
      <c r="CB313" s="212"/>
      <c r="CC313" s="212"/>
      <c r="CD313" s="212"/>
      <c r="CE313" s="212"/>
      <c r="CF313" s="212"/>
      <c r="CG313" s="212"/>
      <c r="CH313" s="212"/>
      <c r="CI313" s="212"/>
      <c r="CJ313" s="212"/>
      <c r="CK313" s="212"/>
      <c r="CL313" s="212"/>
      <c r="CM313" s="212"/>
      <c r="CN313" s="212"/>
      <c r="CO313" s="212"/>
      <c r="CP313" s="212"/>
      <c r="CQ313" s="212"/>
      <c r="CR313" s="212"/>
      <c r="CS313" s="212"/>
    </row>
    <row r="314" spans="1:97" x14ac:dyDescent="0.4">
      <c r="A314" s="209">
        <v>45600</v>
      </c>
      <c r="B314" s="210" t="s">
        <v>294</v>
      </c>
      <c r="C314" s="212"/>
      <c r="D314" s="212"/>
      <c r="E314" s="212"/>
      <c r="F314" s="212"/>
      <c r="G314" s="212"/>
      <c r="H314" s="212"/>
      <c r="I314" s="212"/>
      <c r="J314" s="212"/>
      <c r="K314" s="212"/>
      <c r="L314" s="212"/>
      <c r="M314" s="212"/>
      <c r="N314" s="212"/>
      <c r="O314" s="212"/>
      <c r="P314" s="212"/>
      <c r="Q314" s="212"/>
      <c r="R314" s="212"/>
      <c r="S314" s="212"/>
      <c r="T314" s="212"/>
      <c r="U314" s="212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12"/>
      <c r="AF314" s="212"/>
      <c r="AG314" s="212"/>
      <c r="AH314" s="212"/>
      <c r="AI314" s="212"/>
      <c r="AJ314" s="212"/>
      <c r="AK314" s="212"/>
      <c r="AL314" s="212"/>
      <c r="AM314" s="212"/>
      <c r="AN314" s="212"/>
      <c r="AO314" s="212"/>
      <c r="AP314" s="212"/>
      <c r="AQ314" s="212"/>
      <c r="AR314" s="212"/>
      <c r="AS314" s="212"/>
      <c r="AT314" s="212"/>
      <c r="AU314" s="212"/>
      <c r="AV314" s="212"/>
      <c r="AW314" s="212"/>
      <c r="AX314" s="212"/>
      <c r="AY314" s="212"/>
      <c r="AZ314" s="212"/>
      <c r="BA314" s="212"/>
      <c r="BB314" s="212"/>
      <c r="BC314" s="212"/>
      <c r="BD314" s="212"/>
      <c r="BE314" s="212"/>
      <c r="BF314" s="212"/>
      <c r="BG314" s="212"/>
      <c r="BH314" s="212"/>
      <c r="BI314" s="212"/>
      <c r="BJ314" s="212"/>
      <c r="BK314" s="212"/>
      <c r="BL314" s="212"/>
      <c r="BM314" s="212"/>
      <c r="BN314" s="212"/>
      <c r="BO314" s="212"/>
      <c r="BP314" s="212"/>
      <c r="BQ314" s="212"/>
      <c r="BR314" s="212"/>
      <c r="BS314" s="212"/>
      <c r="BT314" s="212"/>
      <c r="BU314" s="212"/>
      <c r="BV314" s="212"/>
      <c r="BW314" s="212"/>
      <c r="BX314" s="212"/>
      <c r="BY314" s="212"/>
      <c r="BZ314" s="212"/>
      <c r="CA314" s="212"/>
      <c r="CB314" s="212"/>
      <c r="CC314" s="212"/>
      <c r="CD314" s="212"/>
      <c r="CE314" s="212"/>
      <c r="CF314" s="212"/>
      <c r="CG314" s="212"/>
      <c r="CH314" s="212"/>
      <c r="CI314" s="212"/>
      <c r="CJ314" s="212"/>
      <c r="CK314" s="212"/>
      <c r="CL314" s="212"/>
      <c r="CM314" s="212"/>
      <c r="CN314" s="212"/>
      <c r="CO314" s="212"/>
      <c r="CP314" s="212"/>
      <c r="CQ314" s="212"/>
      <c r="CR314" s="212"/>
      <c r="CS314" s="212"/>
    </row>
    <row r="315" spans="1:97" x14ac:dyDescent="0.4">
      <c r="A315" s="209">
        <v>45601</v>
      </c>
      <c r="B315" s="210" t="s">
        <v>295</v>
      </c>
      <c r="C315" s="212"/>
      <c r="D315" s="212"/>
      <c r="E315" s="212"/>
      <c r="F315" s="212"/>
      <c r="G315" s="212"/>
      <c r="H315" s="212"/>
      <c r="I315" s="212"/>
      <c r="J315" s="212"/>
      <c r="K315" s="212"/>
      <c r="L315" s="212"/>
      <c r="M315" s="212"/>
      <c r="N315" s="212"/>
      <c r="O315" s="212"/>
      <c r="P315" s="212"/>
      <c r="Q315" s="212"/>
      <c r="R315" s="212"/>
      <c r="S315" s="212"/>
      <c r="T315" s="212"/>
      <c r="U315" s="212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12"/>
      <c r="AF315" s="212"/>
      <c r="AG315" s="212"/>
      <c r="AH315" s="212"/>
      <c r="AI315" s="212"/>
      <c r="AJ315" s="212"/>
      <c r="AK315" s="212"/>
      <c r="AL315" s="212"/>
      <c r="AM315" s="212"/>
      <c r="AN315" s="212"/>
      <c r="AO315" s="212"/>
      <c r="AP315" s="212"/>
      <c r="AQ315" s="212"/>
      <c r="AR315" s="212"/>
      <c r="AS315" s="212"/>
      <c r="AT315" s="212"/>
      <c r="AU315" s="212"/>
      <c r="AV315" s="212"/>
      <c r="AW315" s="212"/>
      <c r="AX315" s="212"/>
      <c r="AY315" s="212"/>
      <c r="AZ315" s="212"/>
      <c r="BA315" s="212"/>
      <c r="BB315" s="212"/>
      <c r="BC315" s="212"/>
      <c r="BD315" s="212"/>
      <c r="BE315" s="212"/>
      <c r="BF315" s="212"/>
      <c r="BG315" s="212"/>
      <c r="BH315" s="212"/>
      <c r="BI315" s="212"/>
      <c r="BJ315" s="212"/>
      <c r="BK315" s="212"/>
      <c r="BL315" s="212"/>
      <c r="BM315" s="212"/>
      <c r="BN315" s="212"/>
      <c r="BO315" s="212"/>
      <c r="BP315" s="212"/>
      <c r="BQ315" s="212"/>
      <c r="BR315" s="212"/>
      <c r="BS315" s="212"/>
      <c r="BT315" s="212"/>
      <c r="BU315" s="212"/>
      <c r="BV315" s="212"/>
      <c r="BW315" s="212"/>
      <c r="BX315" s="212"/>
      <c r="BY315" s="212"/>
      <c r="BZ315" s="212"/>
      <c r="CA315" s="212"/>
      <c r="CB315" s="212"/>
      <c r="CC315" s="212"/>
      <c r="CD315" s="212"/>
      <c r="CE315" s="212"/>
      <c r="CF315" s="212"/>
      <c r="CG315" s="212"/>
      <c r="CH315" s="212"/>
      <c r="CI315" s="212"/>
      <c r="CJ315" s="212"/>
      <c r="CK315" s="212"/>
      <c r="CL315" s="212"/>
      <c r="CM315" s="212"/>
      <c r="CN315" s="212"/>
      <c r="CO315" s="212"/>
      <c r="CP315" s="212"/>
      <c r="CQ315" s="212"/>
      <c r="CR315" s="212"/>
      <c r="CS315" s="212"/>
    </row>
    <row r="316" spans="1:97" x14ac:dyDescent="0.4">
      <c r="A316" s="209">
        <v>45602</v>
      </c>
      <c r="B316" s="210" t="s">
        <v>296</v>
      </c>
      <c r="C316" s="212"/>
      <c r="D316" s="212"/>
      <c r="E316" s="212"/>
      <c r="F316" s="212"/>
      <c r="G316" s="212"/>
      <c r="H316" s="212"/>
      <c r="I316" s="212"/>
      <c r="J316" s="212"/>
      <c r="K316" s="212"/>
      <c r="L316" s="212"/>
      <c r="M316" s="212"/>
      <c r="N316" s="212"/>
      <c r="O316" s="212"/>
      <c r="P316" s="212"/>
      <c r="Q316" s="212"/>
      <c r="R316" s="212"/>
      <c r="S316" s="212"/>
      <c r="T316" s="212"/>
      <c r="U316" s="212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12"/>
      <c r="AF316" s="212"/>
      <c r="AG316" s="212"/>
      <c r="AH316" s="212"/>
      <c r="AI316" s="212"/>
      <c r="AJ316" s="212"/>
      <c r="AK316" s="212"/>
      <c r="AL316" s="212"/>
      <c r="AM316" s="212"/>
      <c r="AN316" s="212"/>
      <c r="AO316" s="212"/>
      <c r="AP316" s="212"/>
      <c r="AQ316" s="212"/>
      <c r="AR316" s="212"/>
      <c r="AS316" s="212"/>
      <c r="AT316" s="212"/>
      <c r="AU316" s="212"/>
      <c r="AV316" s="212"/>
      <c r="AW316" s="212"/>
      <c r="AX316" s="212"/>
      <c r="AY316" s="212"/>
      <c r="AZ316" s="212"/>
      <c r="BA316" s="212"/>
      <c r="BB316" s="212"/>
      <c r="BC316" s="212"/>
      <c r="BD316" s="212"/>
      <c r="BE316" s="212"/>
      <c r="BF316" s="212"/>
      <c r="BG316" s="212"/>
      <c r="BH316" s="212"/>
      <c r="BI316" s="212"/>
      <c r="BJ316" s="212"/>
      <c r="BK316" s="212"/>
      <c r="BL316" s="212"/>
      <c r="BM316" s="212"/>
      <c r="BN316" s="212"/>
      <c r="BO316" s="212"/>
      <c r="BP316" s="212"/>
      <c r="BQ316" s="212"/>
      <c r="BR316" s="212"/>
      <c r="BS316" s="212"/>
      <c r="BT316" s="212"/>
      <c r="BU316" s="212"/>
      <c r="BV316" s="212"/>
      <c r="BW316" s="212"/>
      <c r="BX316" s="212"/>
      <c r="BY316" s="212"/>
      <c r="BZ316" s="212"/>
      <c r="CA316" s="212"/>
      <c r="CB316" s="212"/>
      <c r="CC316" s="212"/>
      <c r="CD316" s="212"/>
      <c r="CE316" s="212"/>
      <c r="CF316" s="212"/>
      <c r="CG316" s="212"/>
      <c r="CH316" s="212"/>
      <c r="CI316" s="212"/>
      <c r="CJ316" s="212"/>
      <c r="CK316" s="212"/>
      <c r="CL316" s="212"/>
      <c r="CM316" s="212"/>
      <c r="CN316" s="212"/>
      <c r="CO316" s="212"/>
      <c r="CP316" s="212"/>
      <c r="CQ316" s="212"/>
      <c r="CR316" s="212"/>
      <c r="CS316" s="212"/>
    </row>
    <row r="317" spans="1:97" x14ac:dyDescent="0.4">
      <c r="A317" s="209">
        <v>45603</v>
      </c>
      <c r="B317" s="210" t="s">
        <v>297</v>
      </c>
      <c r="C317" s="212"/>
      <c r="D317" s="212"/>
      <c r="E317" s="212"/>
      <c r="F317" s="212"/>
      <c r="G317" s="212"/>
      <c r="H317" s="212"/>
      <c r="I317" s="212"/>
      <c r="J317" s="212"/>
      <c r="K317" s="212"/>
      <c r="L317" s="212"/>
      <c r="M317" s="212"/>
      <c r="N317" s="212"/>
      <c r="O317" s="212"/>
      <c r="P317" s="212"/>
      <c r="Q317" s="212"/>
      <c r="R317" s="212"/>
      <c r="S317" s="212"/>
      <c r="T317" s="212"/>
      <c r="U317" s="212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12"/>
      <c r="AF317" s="212"/>
      <c r="AG317" s="212"/>
      <c r="AH317" s="212"/>
      <c r="AI317" s="212"/>
      <c r="AJ317" s="212"/>
      <c r="AK317" s="212"/>
      <c r="AL317" s="212"/>
      <c r="AM317" s="212"/>
      <c r="AN317" s="212"/>
      <c r="AO317" s="212"/>
      <c r="AP317" s="212"/>
      <c r="AQ317" s="212"/>
      <c r="AR317" s="212"/>
      <c r="AS317" s="212"/>
      <c r="AT317" s="212"/>
      <c r="AU317" s="212"/>
      <c r="AV317" s="212"/>
      <c r="AW317" s="212"/>
      <c r="AX317" s="212"/>
      <c r="AY317" s="212"/>
      <c r="AZ317" s="212"/>
      <c r="BA317" s="212"/>
      <c r="BB317" s="212"/>
      <c r="BC317" s="212"/>
      <c r="BD317" s="212"/>
      <c r="BE317" s="212"/>
      <c r="BF317" s="212"/>
      <c r="BG317" s="212"/>
      <c r="BH317" s="212"/>
      <c r="BI317" s="212"/>
      <c r="BJ317" s="212"/>
      <c r="BK317" s="212"/>
      <c r="BL317" s="212"/>
      <c r="BM317" s="212"/>
      <c r="BN317" s="212"/>
      <c r="BO317" s="212"/>
      <c r="BP317" s="212"/>
      <c r="BQ317" s="212"/>
      <c r="BR317" s="212"/>
      <c r="BS317" s="212"/>
      <c r="BT317" s="212"/>
      <c r="BU317" s="212"/>
      <c r="BV317" s="212"/>
      <c r="BW317" s="212"/>
      <c r="BX317" s="212"/>
      <c r="BY317" s="212"/>
      <c r="BZ317" s="212"/>
      <c r="CA317" s="212"/>
      <c r="CB317" s="212"/>
      <c r="CC317" s="212"/>
      <c r="CD317" s="212"/>
      <c r="CE317" s="212"/>
      <c r="CF317" s="212"/>
      <c r="CG317" s="212"/>
      <c r="CH317" s="212"/>
      <c r="CI317" s="212"/>
      <c r="CJ317" s="212"/>
      <c r="CK317" s="212"/>
      <c r="CL317" s="212"/>
      <c r="CM317" s="212"/>
      <c r="CN317" s="212"/>
      <c r="CO317" s="212"/>
      <c r="CP317" s="212"/>
      <c r="CQ317" s="212"/>
      <c r="CR317" s="212"/>
      <c r="CS317" s="212"/>
    </row>
    <row r="318" spans="1:97" x14ac:dyDescent="0.4">
      <c r="A318" s="209">
        <v>45604</v>
      </c>
      <c r="B318" s="210" t="s">
        <v>298</v>
      </c>
      <c r="C318" s="212"/>
      <c r="D318" s="212"/>
      <c r="E318" s="212"/>
      <c r="F318" s="212"/>
      <c r="G318" s="212"/>
      <c r="H318" s="212"/>
      <c r="I318" s="212"/>
      <c r="J318" s="212"/>
      <c r="K318" s="212"/>
      <c r="L318" s="212"/>
      <c r="M318" s="212"/>
      <c r="N318" s="212"/>
      <c r="O318" s="212"/>
      <c r="P318" s="212"/>
      <c r="Q318" s="212"/>
      <c r="R318" s="212"/>
      <c r="S318" s="212"/>
      <c r="T318" s="212"/>
      <c r="U318" s="212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12"/>
      <c r="AF318" s="212"/>
      <c r="AG318" s="212"/>
      <c r="AH318" s="212"/>
      <c r="AI318" s="212"/>
      <c r="AJ318" s="212"/>
      <c r="AK318" s="212"/>
      <c r="AL318" s="212"/>
      <c r="AM318" s="212"/>
      <c r="AN318" s="212"/>
      <c r="AO318" s="212"/>
      <c r="AP318" s="212"/>
      <c r="AQ318" s="212"/>
      <c r="AR318" s="212"/>
      <c r="AS318" s="212"/>
      <c r="AT318" s="212"/>
      <c r="AU318" s="212"/>
      <c r="AV318" s="212"/>
      <c r="AW318" s="212"/>
      <c r="AX318" s="212"/>
      <c r="AY318" s="212"/>
      <c r="AZ318" s="212"/>
      <c r="BA318" s="212"/>
      <c r="BB318" s="212"/>
      <c r="BC318" s="212"/>
      <c r="BD318" s="212"/>
      <c r="BE318" s="212"/>
      <c r="BF318" s="212"/>
      <c r="BG318" s="212"/>
      <c r="BH318" s="212"/>
      <c r="BI318" s="212"/>
      <c r="BJ318" s="212"/>
      <c r="BK318" s="212"/>
      <c r="BL318" s="212"/>
      <c r="BM318" s="212"/>
      <c r="BN318" s="212"/>
      <c r="BO318" s="212"/>
      <c r="BP318" s="212"/>
      <c r="BQ318" s="212"/>
      <c r="BR318" s="212"/>
      <c r="BS318" s="212"/>
      <c r="BT318" s="212"/>
      <c r="BU318" s="212"/>
      <c r="BV318" s="212"/>
      <c r="BW318" s="212"/>
      <c r="BX318" s="212"/>
      <c r="BY318" s="212"/>
      <c r="BZ318" s="212"/>
      <c r="CA318" s="212"/>
      <c r="CB318" s="212"/>
      <c r="CC318" s="212"/>
      <c r="CD318" s="212"/>
      <c r="CE318" s="212"/>
      <c r="CF318" s="212"/>
      <c r="CG318" s="212"/>
      <c r="CH318" s="212"/>
      <c r="CI318" s="212"/>
      <c r="CJ318" s="212"/>
      <c r="CK318" s="212"/>
      <c r="CL318" s="212"/>
      <c r="CM318" s="212"/>
      <c r="CN318" s="212"/>
      <c r="CO318" s="212"/>
      <c r="CP318" s="212"/>
      <c r="CQ318" s="212"/>
      <c r="CR318" s="212"/>
      <c r="CS318" s="212"/>
    </row>
    <row r="319" spans="1:97" x14ac:dyDescent="0.4">
      <c r="A319" s="209">
        <v>45605</v>
      </c>
      <c r="B319" s="210" t="s">
        <v>299</v>
      </c>
      <c r="C319" s="212"/>
      <c r="D319" s="212"/>
      <c r="E319" s="212"/>
      <c r="F319" s="212"/>
      <c r="G319" s="212"/>
      <c r="H319" s="212"/>
      <c r="I319" s="212"/>
      <c r="J319" s="212"/>
      <c r="K319" s="212"/>
      <c r="L319" s="212"/>
      <c r="M319" s="212"/>
      <c r="N319" s="212"/>
      <c r="O319" s="212"/>
      <c r="P319" s="212"/>
      <c r="Q319" s="212"/>
      <c r="R319" s="212"/>
      <c r="S319" s="212"/>
      <c r="T319" s="212"/>
      <c r="U319" s="212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12"/>
      <c r="AF319" s="212"/>
      <c r="AG319" s="212"/>
      <c r="AH319" s="212"/>
      <c r="AI319" s="212"/>
      <c r="AJ319" s="212"/>
      <c r="AK319" s="212"/>
      <c r="AL319" s="212"/>
      <c r="AM319" s="212"/>
      <c r="AN319" s="212"/>
      <c r="AO319" s="212"/>
      <c r="AP319" s="212"/>
      <c r="AQ319" s="212"/>
      <c r="AR319" s="212"/>
      <c r="AS319" s="212"/>
      <c r="AT319" s="212"/>
      <c r="AU319" s="212"/>
      <c r="AV319" s="212"/>
      <c r="AW319" s="212"/>
      <c r="AX319" s="212"/>
      <c r="AY319" s="212"/>
      <c r="AZ319" s="212"/>
      <c r="BA319" s="212"/>
      <c r="BB319" s="212"/>
      <c r="BC319" s="212"/>
      <c r="BD319" s="212"/>
      <c r="BE319" s="212"/>
      <c r="BF319" s="212"/>
      <c r="BG319" s="212"/>
      <c r="BH319" s="212"/>
      <c r="BI319" s="212"/>
      <c r="BJ319" s="212"/>
      <c r="BK319" s="212"/>
      <c r="BL319" s="212"/>
      <c r="BM319" s="212"/>
      <c r="BN319" s="212"/>
      <c r="BO319" s="212"/>
      <c r="BP319" s="212"/>
      <c r="BQ319" s="212"/>
      <c r="BR319" s="212"/>
      <c r="BS319" s="212"/>
      <c r="BT319" s="212"/>
      <c r="BU319" s="212"/>
      <c r="BV319" s="212"/>
      <c r="BW319" s="212"/>
      <c r="BX319" s="212"/>
      <c r="BY319" s="212"/>
      <c r="BZ319" s="212"/>
      <c r="CA319" s="212"/>
      <c r="CB319" s="212"/>
      <c r="CC319" s="212"/>
      <c r="CD319" s="212"/>
      <c r="CE319" s="212"/>
      <c r="CF319" s="212"/>
      <c r="CG319" s="212"/>
      <c r="CH319" s="212"/>
      <c r="CI319" s="212"/>
      <c r="CJ319" s="212"/>
      <c r="CK319" s="212"/>
      <c r="CL319" s="212"/>
      <c r="CM319" s="212"/>
      <c r="CN319" s="212"/>
      <c r="CO319" s="212"/>
      <c r="CP319" s="212"/>
      <c r="CQ319" s="212"/>
      <c r="CR319" s="212"/>
      <c r="CS319" s="212"/>
    </row>
    <row r="320" spans="1:97" x14ac:dyDescent="0.4">
      <c r="A320" s="209">
        <v>45606</v>
      </c>
      <c r="B320" s="210" t="s">
        <v>300</v>
      </c>
      <c r="C320" s="212"/>
      <c r="D320" s="212"/>
      <c r="E320" s="212"/>
      <c r="F320" s="212"/>
      <c r="G320" s="212"/>
      <c r="H320" s="212"/>
      <c r="I320" s="212"/>
      <c r="J320" s="212"/>
      <c r="K320" s="212"/>
      <c r="L320" s="212"/>
      <c r="M320" s="212"/>
      <c r="N320" s="212"/>
      <c r="O320" s="212"/>
      <c r="P320" s="212"/>
      <c r="Q320" s="212"/>
      <c r="R320" s="212"/>
      <c r="S320" s="212"/>
      <c r="T320" s="212"/>
      <c r="U320" s="212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12"/>
      <c r="AF320" s="212"/>
      <c r="AG320" s="212"/>
      <c r="AH320" s="212"/>
      <c r="AI320" s="212"/>
      <c r="AJ320" s="212"/>
      <c r="AK320" s="212"/>
      <c r="AL320" s="212"/>
      <c r="AM320" s="212"/>
      <c r="AN320" s="212"/>
      <c r="AO320" s="212"/>
      <c r="AP320" s="212"/>
      <c r="AQ320" s="212"/>
      <c r="AR320" s="212"/>
      <c r="AS320" s="212"/>
      <c r="AT320" s="212"/>
      <c r="AU320" s="212"/>
      <c r="AV320" s="212"/>
      <c r="AW320" s="212"/>
      <c r="AX320" s="212"/>
      <c r="AY320" s="212"/>
      <c r="AZ320" s="212"/>
      <c r="BA320" s="212"/>
      <c r="BB320" s="212"/>
      <c r="BC320" s="212"/>
      <c r="BD320" s="212"/>
      <c r="BE320" s="212"/>
      <c r="BF320" s="212"/>
      <c r="BG320" s="212"/>
      <c r="BH320" s="212"/>
      <c r="BI320" s="212"/>
      <c r="BJ320" s="212"/>
      <c r="BK320" s="212"/>
      <c r="BL320" s="212"/>
      <c r="BM320" s="212"/>
      <c r="BN320" s="212"/>
      <c r="BO320" s="212"/>
      <c r="BP320" s="212"/>
      <c r="BQ320" s="212"/>
      <c r="BR320" s="212"/>
      <c r="BS320" s="212"/>
      <c r="BT320" s="212"/>
      <c r="BU320" s="212"/>
      <c r="BV320" s="212"/>
      <c r="BW320" s="212"/>
      <c r="BX320" s="212"/>
      <c r="BY320" s="212"/>
      <c r="BZ320" s="212"/>
      <c r="CA320" s="212"/>
      <c r="CB320" s="212"/>
      <c r="CC320" s="212"/>
      <c r="CD320" s="212"/>
      <c r="CE320" s="212"/>
      <c r="CF320" s="212"/>
      <c r="CG320" s="212"/>
      <c r="CH320" s="212"/>
      <c r="CI320" s="212"/>
      <c r="CJ320" s="212"/>
      <c r="CK320" s="212"/>
      <c r="CL320" s="212"/>
      <c r="CM320" s="212"/>
      <c r="CN320" s="212"/>
      <c r="CO320" s="212"/>
      <c r="CP320" s="212"/>
      <c r="CQ320" s="212"/>
      <c r="CR320" s="212"/>
      <c r="CS320" s="212"/>
    </row>
    <row r="321" spans="1:97" x14ac:dyDescent="0.4">
      <c r="A321" s="209">
        <v>45607</v>
      </c>
      <c r="B321" s="210" t="s">
        <v>294</v>
      </c>
      <c r="C321" s="212"/>
      <c r="D321" s="212"/>
      <c r="E321" s="212"/>
      <c r="F321" s="212"/>
      <c r="G321" s="212"/>
      <c r="H321" s="212"/>
      <c r="I321" s="212"/>
      <c r="J321" s="212"/>
      <c r="K321" s="212"/>
      <c r="L321" s="212"/>
      <c r="M321" s="212"/>
      <c r="N321" s="212"/>
      <c r="O321" s="212"/>
      <c r="P321" s="212"/>
      <c r="Q321" s="212"/>
      <c r="R321" s="212"/>
      <c r="S321" s="212"/>
      <c r="T321" s="212"/>
      <c r="U321" s="212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12"/>
      <c r="AF321" s="212"/>
      <c r="AG321" s="212"/>
      <c r="AH321" s="212"/>
      <c r="AI321" s="212"/>
      <c r="AJ321" s="212"/>
      <c r="AK321" s="212"/>
      <c r="AL321" s="212"/>
      <c r="AM321" s="212"/>
      <c r="AN321" s="212"/>
      <c r="AO321" s="212"/>
      <c r="AP321" s="212"/>
      <c r="AQ321" s="212"/>
      <c r="AR321" s="212"/>
      <c r="AS321" s="212"/>
      <c r="AT321" s="212"/>
      <c r="AU321" s="212"/>
      <c r="AV321" s="212"/>
      <c r="AW321" s="212"/>
      <c r="AX321" s="212"/>
      <c r="AY321" s="212"/>
      <c r="AZ321" s="212"/>
      <c r="BA321" s="212"/>
      <c r="BB321" s="212"/>
      <c r="BC321" s="212"/>
      <c r="BD321" s="212"/>
      <c r="BE321" s="212"/>
      <c r="BF321" s="212"/>
      <c r="BG321" s="212"/>
      <c r="BH321" s="212"/>
      <c r="BI321" s="212"/>
      <c r="BJ321" s="212"/>
      <c r="BK321" s="212"/>
      <c r="BL321" s="212"/>
      <c r="BM321" s="212"/>
      <c r="BN321" s="212"/>
      <c r="BO321" s="212"/>
      <c r="BP321" s="212"/>
      <c r="BQ321" s="212"/>
      <c r="BR321" s="212"/>
      <c r="BS321" s="212"/>
      <c r="BT321" s="212"/>
      <c r="BU321" s="212"/>
      <c r="BV321" s="212"/>
      <c r="BW321" s="212"/>
      <c r="BX321" s="212"/>
      <c r="BY321" s="212"/>
      <c r="BZ321" s="212"/>
      <c r="CA321" s="212"/>
      <c r="CB321" s="212"/>
      <c r="CC321" s="212"/>
      <c r="CD321" s="212"/>
      <c r="CE321" s="212"/>
      <c r="CF321" s="212"/>
      <c r="CG321" s="212"/>
      <c r="CH321" s="212"/>
      <c r="CI321" s="212"/>
      <c r="CJ321" s="212"/>
      <c r="CK321" s="212"/>
      <c r="CL321" s="212"/>
      <c r="CM321" s="212"/>
      <c r="CN321" s="212"/>
      <c r="CO321" s="212"/>
      <c r="CP321" s="212"/>
      <c r="CQ321" s="212"/>
      <c r="CR321" s="212"/>
      <c r="CS321" s="212"/>
    </row>
    <row r="322" spans="1:97" x14ac:dyDescent="0.4">
      <c r="A322" s="209">
        <v>45608</v>
      </c>
      <c r="B322" s="210" t="s">
        <v>295</v>
      </c>
      <c r="C322" s="212"/>
      <c r="D322" s="212"/>
      <c r="E322" s="212"/>
      <c r="F322" s="212"/>
      <c r="G322" s="212"/>
      <c r="H322" s="212"/>
      <c r="I322" s="212"/>
      <c r="J322" s="212"/>
      <c r="K322" s="212"/>
      <c r="L322" s="212"/>
      <c r="M322" s="212"/>
      <c r="N322" s="212"/>
      <c r="O322" s="212"/>
      <c r="P322" s="212"/>
      <c r="Q322" s="212"/>
      <c r="R322" s="212"/>
      <c r="S322" s="212"/>
      <c r="T322" s="212"/>
      <c r="U322" s="212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12"/>
      <c r="AF322" s="212"/>
      <c r="AG322" s="212"/>
      <c r="AH322" s="212"/>
      <c r="AI322" s="212"/>
      <c r="AJ322" s="212"/>
      <c r="AK322" s="212"/>
      <c r="AL322" s="212"/>
      <c r="AM322" s="212"/>
      <c r="AN322" s="212"/>
      <c r="AO322" s="212"/>
      <c r="AP322" s="212"/>
      <c r="AQ322" s="212"/>
      <c r="AR322" s="212"/>
      <c r="AS322" s="212"/>
      <c r="AT322" s="212"/>
      <c r="AU322" s="212"/>
      <c r="AV322" s="212"/>
      <c r="AW322" s="212"/>
      <c r="AX322" s="212"/>
      <c r="AY322" s="212"/>
      <c r="AZ322" s="212"/>
      <c r="BA322" s="212"/>
      <c r="BB322" s="212"/>
      <c r="BC322" s="212"/>
      <c r="BD322" s="212"/>
      <c r="BE322" s="212"/>
      <c r="BF322" s="212"/>
      <c r="BG322" s="212"/>
      <c r="BH322" s="212"/>
      <c r="BI322" s="212"/>
      <c r="BJ322" s="212"/>
      <c r="BK322" s="212"/>
      <c r="BL322" s="212"/>
      <c r="BM322" s="212"/>
      <c r="BN322" s="212"/>
      <c r="BO322" s="212"/>
      <c r="BP322" s="212"/>
      <c r="BQ322" s="212"/>
      <c r="BR322" s="212"/>
      <c r="BS322" s="212"/>
      <c r="BT322" s="212"/>
      <c r="BU322" s="212"/>
      <c r="BV322" s="212"/>
      <c r="BW322" s="212"/>
      <c r="BX322" s="212"/>
      <c r="BY322" s="212"/>
      <c r="BZ322" s="212"/>
      <c r="CA322" s="212"/>
      <c r="CB322" s="212"/>
      <c r="CC322" s="212"/>
      <c r="CD322" s="212"/>
      <c r="CE322" s="212"/>
      <c r="CF322" s="212"/>
      <c r="CG322" s="212"/>
      <c r="CH322" s="212"/>
      <c r="CI322" s="212"/>
      <c r="CJ322" s="212"/>
      <c r="CK322" s="212"/>
      <c r="CL322" s="212"/>
      <c r="CM322" s="212"/>
      <c r="CN322" s="212"/>
      <c r="CO322" s="212"/>
      <c r="CP322" s="212"/>
      <c r="CQ322" s="212"/>
      <c r="CR322" s="212"/>
      <c r="CS322" s="212"/>
    </row>
    <row r="323" spans="1:97" x14ac:dyDescent="0.4">
      <c r="A323" s="209">
        <v>45609</v>
      </c>
      <c r="B323" s="210" t="s">
        <v>296</v>
      </c>
      <c r="C323" s="212"/>
      <c r="D323" s="212"/>
      <c r="E323" s="212"/>
      <c r="F323" s="212"/>
      <c r="G323" s="212"/>
      <c r="H323" s="212"/>
      <c r="I323" s="212"/>
      <c r="J323" s="212"/>
      <c r="K323" s="212"/>
      <c r="L323" s="212"/>
      <c r="M323" s="212"/>
      <c r="N323" s="212"/>
      <c r="O323" s="212"/>
      <c r="P323" s="212"/>
      <c r="Q323" s="212"/>
      <c r="R323" s="212"/>
      <c r="S323" s="212"/>
      <c r="T323" s="212"/>
      <c r="U323" s="212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12"/>
      <c r="AF323" s="212"/>
      <c r="AG323" s="212"/>
      <c r="AH323" s="212"/>
      <c r="AI323" s="212"/>
      <c r="AJ323" s="212"/>
      <c r="AK323" s="212"/>
      <c r="AL323" s="212"/>
      <c r="AM323" s="212"/>
      <c r="AN323" s="212"/>
      <c r="AO323" s="212"/>
      <c r="AP323" s="212"/>
      <c r="AQ323" s="212"/>
      <c r="AR323" s="212"/>
      <c r="AS323" s="212"/>
      <c r="AT323" s="212"/>
      <c r="AU323" s="212"/>
      <c r="AV323" s="212"/>
      <c r="AW323" s="212"/>
      <c r="AX323" s="212"/>
      <c r="AY323" s="212"/>
      <c r="AZ323" s="212"/>
      <c r="BA323" s="212"/>
      <c r="BB323" s="212"/>
      <c r="BC323" s="212"/>
      <c r="BD323" s="212"/>
      <c r="BE323" s="212"/>
      <c r="BF323" s="212"/>
      <c r="BG323" s="212"/>
      <c r="BH323" s="212"/>
      <c r="BI323" s="212"/>
      <c r="BJ323" s="212"/>
      <c r="BK323" s="212"/>
      <c r="BL323" s="212"/>
      <c r="BM323" s="212"/>
      <c r="BN323" s="212"/>
      <c r="BO323" s="212"/>
      <c r="BP323" s="212"/>
      <c r="BQ323" s="212"/>
      <c r="BR323" s="212"/>
      <c r="BS323" s="212"/>
      <c r="BT323" s="212"/>
      <c r="BU323" s="212"/>
      <c r="BV323" s="212"/>
      <c r="BW323" s="212"/>
      <c r="BX323" s="212"/>
      <c r="BY323" s="212"/>
      <c r="BZ323" s="212"/>
      <c r="CA323" s="212"/>
      <c r="CB323" s="212"/>
      <c r="CC323" s="212"/>
      <c r="CD323" s="212"/>
      <c r="CE323" s="212"/>
      <c r="CF323" s="212"/>
      <c r="CG323" s="212"/>
      <c r="CH323" s="212"/>
      <c r="CI323" s="212"/>
      <c r="CJ323" s="212"/>
      <c r="CK323" s="212"/>
      <c r="CL323" s="212"/>
      <c r="CM323" s="212"/>
      <c r="CN323" s="212"/>
      <c r="CO323" s="212"/>
      <c r="CP323" s="212"/>
      <c r="CQ323" s="212"/>
      <c r="CR323" s="212"/>
      <c r="CS323" s="212"/>
    </row>
    <row r="324" spans="1:97" x14ac:dyDescent="0.4">
      <c r="A324" s="209">
        <v>45610</v>
      </c>
      <c r="B324" s="210" t="s">
        <v>297</v>
      </c>
      <c r="C324" s="212"/>
      <c r="D324" s="212"/>
      <c r="E324" s="212"/>
      <c r="F324" s="212"/>
      <c r="G324" s="212"/>
      <c r="H324" s="212"/>
      <c r="I324" s="212"/>
      <c r="J324" s="212"/>
      <c r="K324" s="212"/>
      <c r="L324" s="212"/>
      <c r="M324" s="212"/>
      <c r="N324" s="212"/>
      <c r="O324" s="212"/>
      <c r="P324" s="212"/>
      <c r="Q324" s="212"/>
      <c r="R324" s="212"/>
      <c r="S324" s="212"/>
      <c r="T324" s="212"/>
      <c r="U324" s="212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12"/>
      <c r="AF324" s="212"/>
      <c r="AG324" s="212"/>
      <c r="AH324" s="212"/>
      <c r="AI324" s="212"/>
      <c r="AJ324" s="212"/>
      <c r="AK324" s="212"/>
      <c r="AL324" s="212"/>
      <c r="AM324" s="212"/>
      <c r="AN324" s="212"/>
      <c r="AO324" s="212"/>
      <c r="AP324" s="212"/>
      <c r="AQ324" s="212"/>
      <c r="AR324" s="212"/>
      <c r="AS324" s="212"/>
      <c r="AT324" s="212"/>
      <c r="AU324" s="212"/>
      <c r="AV324" s="212"/>
      <c r="AW324" s="212"/>
      <c r="AX324" s="212"/>
      <c r="AY324" s="212"/>
      <c r="AZ324" s="212"/>
      <c r="BA324" s="212"/>
      <c r="BB324" s="212"/>
      <c r="BC324" s="212"/>
      <c r="BD324" s="212"/>
      <c r="BE324" s="212"/>
      <c r="BF324" s="212"/>
      <c r="BG324" s="212"/>
      <c r="BH324" s="212"/>
      <c r="BI324" s="212"/>
      <c r="BJ324" s="212"/>
      <c r="BK324" s="212"/>
      <c r="BL324" s="212"/>
      <c r="BM324" s="212"/>
      <c r="BN324" s="212"/>
      <c r="BO324" s="212"/>
      <c r="BP324" s="212"/>
      <c r="BQ324" s="212"/>
      <c r="BR324" s="212"/>
      <c r="BS324" s="212"/>
      <c r="BT324" s="212"/>
      <c r="BU324" s="212"/>
      <c r="BV324" s="212"/>
      <c r="BW324" s="212"/>
      <c r="BX324" s="212"/>
      <c r="BY324" s="212"/>
      <c r="BZ324" s="212"/>
      <c r="CA324" s="212"/>
      <c r="CB324" s="212"/>
      <c r="CC324" s="212"/>
      <c r="CD324" s="212"/>
      <c r="CE324" s="212"/>
      <c r="CF324" s="212"/>
      <c r="CG324" s="212"/>
      <c r="CH324" s="212"/>
      <c r="CI324" s="212"/>
      <c r="CJ324" s="212"/>
      <c r="CK324" s="212"/>
      <c r="CL324" s="212"/>
      <c r="CM324" s="212"/>
      <c r="CN324" s="212"/>
      <c r="CO324" s="212"/>
      <c r="CP324" s="212"/>
      <c r="CQ324" s="212"/>
      <c r="CR324" s="212"/>
      <c r="CS324" s="212"/>
    </row>
    <row r="325" spans="1:97" x14ac:dyDescent="0.4">
      <c r="A325" s="209">
        <v>45611</v>
      </c>
      <c r="B325" s="210" t="s">
        <v>298</v>
      </c>
      <c r="C325" s="212"/>
      <c r="D325" s="212"/>
      <c r="E325" s="212"/>
      <c r="F325" s="212"/>
      <c r="G325" s="212"/>
      <c r="H325" s="212"/>
      <c r="I325" s="212"/>
      <c r="J325" s="212"/>
      <c r="K325" s="212"/>
      <c r="L325" s="212"/>
      <c r="M325" s="212"/>
      <c r="N325" s="212"/>
      <c r="O325" s="212"/>
      <c r="P325" s="212"/>
      <c r="Q325" s="212"/>
      <c r="R325" s="212"/>
      <c r="S325" s="212"/>
      <c r="T325" s="212"/>
      <c r="U325" s="212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12"/>
      <c r="AF325" s="212"/>
      <c r="AG325" s="212"/>
      <c r="AH325" s="212"/>
      <c r="AI325" s="212"/>
      <c r="AJ325" s="212"/>
      <c r="AK325" s="212"/>
      <c r="AL325" s="212"/>
      <c r="AM325" s="212"/>
      <c r="AN325" s="212"/>
      <c r="AO325" s="212"/>
      <c r="AP325" s="212"/>
      <c r="AQ325" s="212"/>
      <c r="AR325" s="212"/>
      <c r="AS325" s="212"/>
      <c r="AT325" s="212"/>
      <c r="AU325" s="212"/>
      <c r="AV325" s="212"/>
      <c r="AW325" s="212"/>
      <c r="AX325" s="212"/>
      <c r="AY325" s="212"/>
      <c r="AZ325" s="212"/>
      <c r="BA325" s="212"/>
      <c r="BB325" s="212"/>
      <c r="BC325" s="212"/>
      <c r="BD325" s="212"/>
      <c r="BE325" s="212"/>
      <c r="BF325" s="212"/>
      <c r="BG325" s="212"/>
      <c r="BH325" s="212"/>
      <c r="BI325" s="212"/>
      <c r="BJ325" s="212"/>
      <c r="BK325" s="212"/>
      <c r="BL325" s="212"/>
      <c r="BM325" s="212"/>
      <c r="BN325" s="212"/>
      <c r="BO325" s="212"/>
      <c r="BP325" s="212"/>
      <c r="BQ325" s="212"/>
      <c r="BR325" s="212"/>
      <c r="BS325" s="212"/>
      <c r="BT325" s="212"/>
      <c r="BU325" s="212"/>
      <c r="BV325" s="212"/>
      <c r="BW325" s="212"/>
      <c r="BX325" s="212"/>
      <c r="BY325" s="212"/>
      <c r="BZ325" s="212"/>
      <c r="CA325" s="212"/>
      <c r="CB325" s="212"/>
      <c r="CC325" s="212"/>
      <c r="CD325" s="212"/>
      <c r="CE325" s="212"/>
      <c r="CF325" s="212"/>
      <c r="CG325" s="212"/>
      <c r="CH325" s="212"/>
      <c r="CI325" s="212"/>
      <c r="CJ325" s="212"/>
      <c r="CK325" s="212"/>
      <c r="CL325" s="212"/>
      <c r="CM325" s="212"/>
      <c r="CN325" s="212"/>
      <c r="CO325" s="212"/>
      <c r="CP325" s="212"/>
      <c r="CQ325" s="212"/>
      <c r="CR325" s="212"/>
      <c r="CS325" s="212"/>
    </row>
    <row r="326" spans="1:97" x14ac:dyDescent="0.4">
      <c r="A326" s="209">
        <v>45612</v>
      </c>
      <c r="B326" s="210" t="s">
        <v>299</v>
      </c>
      <c r="C326" s="212"/>
      <c r="D326" s="212"/>
      <c r="E326" s="212"/>
      <c r="F326" s="212"/>
      <c r="G326" s="212"/>
      <c r="H326" s="212"/>
      <c r="I326" s="212"/>
      <c r="J326" s="212"/>
      <c r="K326" s="212"/>
      <c r="L326" s="212"/>
      <c r="M326" s="212"/>
      <c r="N326" s="212"/>
      <c r="O326" s="212"/>
      <c r="P326" s="212"/>
      <c r="Q326" s="212"/>
      <c r="R326" s="212"/>
      <c r="S326" s="212"/>
      <c r="T326" s="212"/>
      <c r="U326" s="212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12"/>
      <c r="AF326" s="212"/>
      <c r="AG326" s="212"/>
      <c r="AH326" s="212"/>
      <c r="AI326" s="212"/>
      <c r="AJ326" s="212"/>
      <c r="AK326" s="212"/>
      <c r="AL326" s="212"/>
      <c r="AM326" s="212"/>
      <c r="AN326" s="212"/>
      <c r="AO326" s="212"/>
      <c r="AP326" s="212"/>
      <c r="AQ326" s="212"/>
      <c r="AR326" s="212"/>
      <c r="AS326" s="212"/>
      <c r="AT326" s="212"/>
      <c r="AU326" s="212"/>
      <c r="AV326" s="212"/>
      <c r="AW326" s="212"/>
      <c r="AX326" s="212"/>
      <c r="AY326" s="212"/>
      <c r="AZ326" s="212"/>
      <c r="BA326" s="212"/>
      <c r="BB326" s="212"/>
      <c r="BC326" s="212"/>
      <c r="BD326" s="212"/>
      <c r="BE326" s="212"/>
      <c r="BF326" s="212"/>
      <c r="BG326" s="212"/>
      <c r="BH326" s="212"/>
      <c r="BI326" s="212"/>
      <c r="BJ326" s="212"/>
      <c r="BK326" s="212"/>
      <c r="BL326" s="212"/>
      <c r="BM326" s="212"/>
      <c r="BN326" s="212"/>
      <c r="BO326" s="212"/>
      <c r="BP326" s="212"/>
      <c r="BQ326" s="212"/>
      <c r="BR326" s="212"/>
      <c r="BS326" s="212"/>
      <c r="BT326" s="212"/>
      <c r="BU326" s="212"/>
      <c r="BV326" s="212"/>
      <c r="BW326" s="212"/>
      <c r="BX326" s="212"/>
      <c r="BY326" s="212"/>
      <c r="BZ326" s="212"/>
      <c r="CA326" s="212"/>
      <c r="CB326" s="212"/>
      <c r="CC326" s="212"/>
      <c r="CD326" s="212"/>
      <c r="CE326" s="212"/>
      <c r="CF326" s="212"/>
      <c r="CG326" s="212"/>
      <c r="CH326" s="212"/>
      <c r="CI326" s="212"/>
      <c r="CJ326" s="212"/>
      <c r="CK326" s="212"/>
      <c r="CL326" s="212"/>
      <c r="CM326" s="212"/>
      <c r="CN326" s="212"/>
      <c r="CO326" s="212"/>
      <c r="CP326" s="212"/>
      <c r="CQ326" s="212"/>
      <c r="CR326" s="212"/>
      <c r="CS326" s="212"/>
    </row>
    <row r="327" spans="1:97" x14ac:dyDescent="0.4">
      <c r="A327" s="209">
        <v>45613</v>
      </c>
      <c r="B327" s="210" t="s">
        <v>300</v>
      </c>
      <c r="C327" s="212"/>
      <c r="D327" s="212"/>
      <c r="E327" s="212"/>
      <c r="F327" s="212"/>
      <c r="G327" s="212"/>
      <c r="H327" s="212"/>
      <c r="I327" s="212"/>
      <c r="J327" s="212"/>
      <c r="K327" s="212"/>
      <c r="L327" s="212"/>
      <c r="M327" s="212"/>
      <c r="N327" s="212"/>
      <c r="O327" s="212"/>
      <c r="P327" s="212"/>
      <c r="Q327" s="212"/>
      <c r="R327" s="212"/>
      <c r="S327" s="212"/>
      <c r="T327" s="212"/>
      <c r="U327" s="212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12"/>
      <c r="AF327" s="212"/>
      <c r="AG327" s="212"/>
      <c r="AH327" s="212"/>
      <c r="AI327" s="212"/>
      <c r="AJ327" s="212"/>
      <c r="AK327" s="212"/>
      <c r="AL327" s="212"/>
      <c r="AM327" s="212"/>
      <c r="AN327" s="212"/>
      <c r="AO327" s="212"/>
      <c r="AP327" s="212"/>
      <c r="AQ327" s="212"/>
      <c r="AR327" s="212"/>
      <c r="AS327" s="212"/>
      <c r="AT327" s="212"/>
      <c r="AU327" s="212"/>
      <c r="AV327" s="212"/>
      <c r="AW327" s="212"/>
      <c r="AX327" s="212"/>
      <c r="AY327" s="212"/>
      <c r="AZ327" s="212"/>
      <c r="BA327" s="212"/>
      <c r="BB327" s="212"/>
      <c r="BC327" s="212"/>
      <c r="BD327" s="212"/>
      <c r="BE327" s="212"/>
      <c r="BF327" s="212"/>
      <c r="BG327" s="212"/>
      <c r="BH327" s="212"/>
      <c r="BI327" s="212"/>
      <c r="BJ327" s="212"/>
      <c r="BK327" s="212"/>
      <c r="BL327" s="212"/>
      <c r="BM327" s="212"/>
      <c r="BN327" s="212"/>
      <c r="BO327" s="212"/>
      <c r="BP327" s="212"/>
      <c r="BQ327" s="212"/>
      <c r="BR327" s="212"/>
      <c r="BS327" s="212"/>
      <c r="BT327" s="212"/>
      <c r="BU327" s="212"/>
      <c r="BV327" s="212"/>
      <c r="BW327" s="212"/>
      <c r="BX327" s="212"/>
      <c r="BY327" s="212"/>
      <c r="BZ327" s="212"/>
      <c r="CA327" s="212"/>
      <c r="CB327" s="212"/>
      <c r="CC327" s="212"/>
      <c r="CD327" s="212"/>
      <c r="CE327" s="212"/>
      <c r="CF327" s="212"/>
      <c r="CG327" s="212"/>
      <c r="CH327" s="212"/>
      <c r="CI327" s="212"/>
      <c r="CJ327" s="212"/>
      <c r="CK327" s="212"/>
      <c r="CL327" s="212"/>
      <c r="CM327" s="212"/>
      <c r="CN327" s="212"/>
      <c r="CO327" s="212"/>
      <c r="CP327" s="212"/>
      <c r="CQ327" s="212"/>
      <c r="CR327" s="212"/>
      <c r="CS327" s="212"/>
    </row>
    <row r="328" spans="1:97" x14ac:dyDescent="0.4">
      <c r="A328" s="209">
        <v>45614</v>
      </c>
      <c r="B328" s="210" t="s">
        <v>294</v>
      </c>
      <c r="C328" s="212"/>
      <c r="D328" s="212"/>
      <c r="E328" s="212"/>
      <c r="F328" s="212"/>
      <c r="G328" s="212"/>
      <c r="H328" s="212"/>
      <c r="I328" s="212"/>
      <c r="J328" s="212"/>
      <c r="K328" s="212"/>
      <c r="L328" s="212"/>
      <c r="M328" s="212"/>
      <c r="N328" s="212"/>
      <c r="O328" s="212"/>
      <c r="P328" s="212"/>
      <c r="Q328" s="212"/>
      <c r="R328" s="212"/>
      <c r="S328" s="212"/>
      <c r="T328" s="212"/>
      <c r="U328" s="212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12"/>
      <c r="AF328" s="212"/>
      <c r="AG328" s="212"/>
      <c r="AH328" s="212"/>
      <c r="AI328" s="212"/>
      <c r="AJ328" s="212"/>
      <c r="AK328" s="212"/>
      <c r="AL328" s="212"/>
      <c r="AM328" s="212"/>
      <c r="AN328" s="212"/>
      <c r="AO328" s="212"/>
      <c r="AP328" s="212"/>
      <c r="AQ328" s="212"/>
      <c r="AR328" s="212"/>
      <c r="AS328" s="212"/>
      <c r="AT328" s="212"/>
      <c r="AU328" s="212"/>
      <c r="AV328" s="212"/>
      <c r="AW328" s="212"/>
      <c r="AX328" s="212"/>
      <c r="AY328" s="212"/>
      <c r="AZ328" s="212"/>
      <c r="BA328" s="212"/>
      <c r="BB328" s="212"/>
      <c r="BC328" s="212"/>
      <c r="BD328" s="212"/>
      <c r="BE328" s="212"/>
      <c r="BF328" s="212"/>
      <c r="BG328" s="212"/>
      <c r="BH328" s="212"/>
      <c r="BI328" s="212"/>
      <c r="BJ328" s="212"/>
      <c r="BK328" s="212"/>
      <c r="BL328" s="212"/>
      <c r="BM328" s="212"/>
      <c r="BN328" s="212"/>
      <c r="BO328" s="212"/>
      <c r="BP328" s="212"/>
      <c r="BQ328" s="212"/>
      <c r="BR328" s="212"/>
      <c r="BS328" s="212"/>
      <c r="BT328" s="212"/>
      <c r="BU328" s="212"/>
      <c r="BV328" s="212"/>
      <c r="BW328" s="212"/>
      <c r="BX328" s="212"/>
      <c r="BY328" s="212"/>
      <c r="BZ328" s="212"/>
      <c r="CA328" s="212"/>
      <c r="CB328" s="212"/>
      <c r="CC328" s="212"/>
      <c r="CD328" s="212"/>
      <c r="CE328" s="212"/>
      <c r="CF328" s="212"/>
      <c r="CG328" s="212"/>
      <c r="CH328" s="212"/>
      <c r="CI328" s="212"/>
      <c r="CJ328" s="212"/>
      <c r="CK328" s="212"/>
      <c r="CL328" s="212"/>
      <c r="CM328" s="212"/>
      <c r="CN328" s="212"/>
      <c r="CO328" s="212"/>
      <c r="CP328" s="212"/>
      <c r="CQ328" s="212"/>
      <c r="CR328" s="212"/>
      <c r="CS328" s="212"/>
    </row>
    <row r="329" spans="1:97" x14ac:dyDescent="0.4">
      <c r="A329" s="209">
        <v>45615</v>
      </c>
      <c r="B329" s="210" t="s">
        <v>295</v>
      </c>
      <c r="C329" s="212"/>
      <c r="D329" s="212"/>
      <c r="E329" s="212"/>
      <c r="F329" s="212"/>
      <c r="G329" s="212"/>
      <c r="H329" s="212"/>
      <c r="I329" s="212"/>
      <c r="J329" s="212"/>
      <c r="K329" s="212"/>
      <c r="L329" s="212"/>
      <c r="M329" s="212"/>
      <c r="N329" s="212"/>
      <c r="O329" s="212"/>
      <c r="P329" s="212"/>
      <c r="Q329" s="212"/>
      <c r="R329" s="212"/>
      <c r="S329" s="212"/>
      <c r="T329" s="212"/>
      <c r="U329" s="212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12"/>
      <c r="AF329" s="212"/>
      <c r="AG329" s="212"/>
      <c r="AH329" s="212"/>
      <c r="AI329" s="212"/>
      <c r="AJ329" s="212"/>
      <c r="AK329" s="212"/>
      <c r="AL329" s="212"/>
      <c r="AM329" s="212"/>
      <c r="AN329" s="212"/>
      <c r="AO329" s="212"/>
      <c r="AP329" s="212"/>
      <c r="AQ329" s="212"/>
      <c r="AR329" s="212"/>
      <c r="AS329" s="212"/>
      <c r="AT329" s="212"/>
      <c r="AU329" s="212"/>
      <c r="AV329" s="212"/>
      <c r="AW329" s="212"/>
      <c r="AX329" s="212"/>
      <c r="AY329" s="212"/>
      <c r="AZ329" s="212"/>
      <c r="BA329" s="212"/>
      <c r="BB329" s="212"/>
      <c r="BC329" s="212"/>
      <c r="BD329" s="212"/>
      <c r="BE329" s="212"/>
      <c r="BF329" s="212"/>
      <c r="BG329" s="212"/>
      <c r="BH329" s="212"/>
      <c r="BI329" s="212"/>
      <c r="BJ329" s="212"/>
      <c r="BK329" s="212"/>
      <c r="BL329" s="212"/>
      <c r="BM329" s="212"/>
      <c r="BN329" s="212"/>
      <c r="BO329" s="212"/>
      <c r="BP329" s="212"/>
      <c r="BQ329" s="212"/>
      <c r="BR329" s="212"/>
      <c r="BS329" s="212"/>
      <c r="BT329" s="212"/>
      <c r="BU329" s="212"/>
      <c r="BV329" s="212"/>
      <c r="BW329" s="212"/>
      <c r="BX329" s="212"/>
      <c r="BY329" s="212"/>
      <c r="BZ329" s="212"/>
      <c r="CA329" s="212"/>
      <c r="CB329" s="212"/>
      <c r="CC329" s="212"/>
      <c r="CD329" s="212"/>
      <c r="CE329" s="212"/>
      <c r="CF329" s="212"/>
      <c r="CG329" s="212"/>
      <c r="CH329" s="212"/>
      <c r="CI329" s="212"/>
      <c r="CJ329" s="212"/>
      <c r="CK329" s="212"/>
      <c r="CL329" s="212"/>
      <c r="CM329" s="212"/>
      <c r="CN329" s="212"/>
      <c r="CO329" s="212"/>
      <c r="CP329" s="212"/>
      <c r="CQ329" s="212"/>
      <c r="CR329" s="212"/>
      <c r="CS329" s="212"/>
    </row>
    <row r="330" spans="1:97" x14ac:dyDescent="0.4">
      <c r="A330" s="209">
        <v>45616</v>
      </c>
      <c r="B330" s="210" t="s">
        <v>296</v>
      </c>
      <c r="C330" s="212"/>
      <c r="D330" s="212"/>
      <c r="E330" s="212"/>
      <c r="F330" s="212"/>
      <c r="G330" s="212"/>
      <c r="H330" s="212"/>
      <c r="I330" s="212"/>
      <c r="J330" s="212"/>
      <c r="K330" s="212"/>
      <c r="L330" s="212"/>
      <c r="M330" s="212"/>
      <c r="N330" s="212"/>
      <c r="O330" s="212"/>
      <c r="P330" s="212"/>
      <c r="Q330" s="212"/>
      <c r="R330" s="212"/>
      <c r="S330" s="212"/>
      <c r="T330" s="212"/>
      <c r="U330" s="212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12"/>
      <c r="AF330" s="212"/>
      <c r="AG330" s="212"/>
      <c r="AH330" s="212"/>
      <c r="AI330" s="212"/>
      <c r="AJ330" s="212"/>
      <c r="AK330" s="212"/>
      <c r="AL330" s="212"/>
      <c r="AM330" s="212"/>
      <c r="AN330" s="212"/>
      <c r="AO330" s="212"/>
      <c r="AP330" s="212"/>
      <c r="AQ330" s="212"/>
      <c r="AR330" s="212"/>
      <c r="AS330" s="212"/>
      <c r="AT330" s="212"/>
      <c r="AU330" s="212"/>
      <c r="AV330" s="212"/>
      <c r="AW330" s="212"/>
      <c r="AX330" s="212"/>
      <c r="AY330" s="212"/>
      <c r="AZ330" s="212"/>
      <c r="BA330" s="212"/>
      <c r="BB330" s="212"/>
      <c r="BC330" s="212"/>
      <c r="BD330" s="212"/>
      <c r="BE330" s="212"/>
      <c r="BF330" s="212"/>
      <c r="BG330" s="212"/>
      <c r="BH330" s="212"/>
      <c r="BI330" s="212"/>
      <c r="BJ330" s="212"/>
      <c r="BK330" s="212"/>
      <c r="BL330" s="212"/>
      <c r="BM330" s="212"/>
      <c r="BN330" s="212"/>
      <c r="BO330" s="212"/>
      <c r="BP330" s="212"/>
      <c r="BQ330" s="212"/>
      <c r="BR330" s="212"/>
      <c r="BS330" s="212"/>
      <c r="BT330" s="212"/>
      <c r="BU330" s="212"/>
      <c r="BV330" s="212"/>
      <c r="BW330" s="212"/>
      <c r="BX330" s="212"/>
      <c r="BY330" s="212"/>
      <c r="BZ330" s="212"/>
      <c r="CA330" s="212"/>
      <c r="CB330" s="212"/>
      <c r="CC330" s="212"/>
      <c r="CD330" s="212"/>
      <c r="CE330" s="212"/>
      <c r="CF330" s="212"/>
      <c r="CG330" s="212"/>
      <c r="CH330" s="212"/>
      <c r="CI330" s="212"/>
      <c r="CJ330" s="212"/>
      <c r="CK330" s="212"/>
      <c r="CL330" s="212"/>
      <c r="CM330" s="212"/>
      <c r="CN330" s="212"/>
      <c r="CO330" s="212"/>
      <c r="CP330" s="212"/>
      <c r="CQ330" s="212"/>
      <c r="CR330" s="212"/>
      <c r="CS330" s="212"/>
    </row>
    <row r="331" spans="1:97" x14ac:dyDescent="0.4">
      <c r="A331" s="209">
        <v>45617</v>
      </c>
      <c r="B331" s="210" t="s">
        <v>297</v>
      </c>
      <c r="C331" s="212"/>
      <c r="D331" s="212"/>
      <c r="E331" s="212"/>
      <c r="F331" s="212"/>
      <c r="G331" s="212"/>
      <c r="H331" s="212"/>
      <c r="I331" s="212"/>
      <c r="J331" s="212"/>
      <c r="K331" s="212"/>
      <c r="L331" s="212"/>
      <c r="M331" s="212"/>
      <c r="N331" s="212"/>
      <c r="O331" s="212"/>
      <c r="P331" s="212"/>
      <c r="Q331" s="212"/>
      <c r="R331" s="212"/>
      <c r="S331" s="212"/>
      <c r="T331" s="212"/>
      <c r="U331" s="212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12"/>
      <c r="AF331" s="212"/>
      <c r="AG331" s="212"/>
      <c r="AH331" s="212"/>
      <c r="AI331" s="212"/>
      <c r="AJ331" s="212"/>
      <c r="AK331" s="212"/>
      <c r="AL331" s="212"/>
      <c r="AM331" s="212"/>
      <c r="AN331" s="212"/>
      <c r="AO331" s="212"/>
      <c r="AP331" s="212"/>
      <c r="AQ331" s="212"/>
      <c r="AR331" s="212"/>
      <c r="AS331" s="212"/>
      <c r="AT331" s="212"/>
      <c r="AU331" s="212"/>
      <c r="AV331" s="212"/>
      <c r="AW331" s="212"/>
      <c r="AX331" s="212"/>
      <c r="AY331" s="212"/>
      <c r="AZ331" s="212"/>
      <c r="BA331" s="212"/>
      <c r="BB331" s="212"/>
      <c r="BC331" s="212"/>
      <c r="BD331" s="212"/>
      <c r="BE331" s="212"/>
      <c r="BF331" s="212"/>
      <c r="BG331" s="212"/>
      <c r="BH331" s="212"/>
      <c r="BI331" s="212"/>
      <c r="BJ331" s="212"/>
      <c r="BK331" s="212"/>
      <c r="BL331" s="212"/>
      <c r="BM331" s="212"/>
      <c r="BN331" s="212"/>
      <c r="BO331" s="212"/>
      <c r="BP331" s="212"/>
      <c r="BQ331" s="212"/>
      <c r="BR331" s="212"/>
      <c r="BS331" s="212"/>
      <c r="BT331" s="212"/>
      <c r="BU331" s="212"/>
      <c r="BV331" s="212"/>
      <c r="BW331" s="212"/>
      <c r="BX331" s="212"/>
      <c r="BY331" s="212"/>
      <c r="BZ331" s="212"/>
      <c r="CA331" s="212"/>
      <c r="CB331" s="212"/>
      <c r="CC331" s="212"/>
      <c r="CD331" s="212"/>
      <c r="CE331" s="212"/>
      <c r="CF331" s="212"/>
      <c r="CG331" s="212"/>
      <c r="CH331" s="212"/>
      <c r="CI331" s="212"/>
      <c r="CJ331" s="212"/>
      <c r="CK331" s="212"/>
      <c r="CL331" s="212"/>
      <c r="CM331" s="212"/>
      <c r="CN331" s="212"/>
      <c r="CO331" s="212"/>
      <c r="CP331" s="212"/>
      <c r="CQ331" s="212"/>
      <c r="CR331" s="212"/>
      <c r="CS331" s="212"/>
    </row>
    <row r="332" spans="1:97" x14ac:dyDescent="0.4">
      <c r="A332" s="209">
        <v>45618</v>
      </c>
      <c r="B332" s="210" t="s">
        <v>298</v>
      </c>
      <c r="C332" s="212"/>
      <c r="D332" s="212"/>
      <c r="E332" s="212"/>
      <c r="F332" s="212"/>
      <c r="G332" s="212"/>
      <c r="H332" s="212"/>
      <c r="I332" s="212"/>
      <c r="J332" s="212"/>
      <c r="K332" s="212"/>
      <c r="L332" s="212"/>
      <c r="M332" s="212"/>
      <c r="N332" s="212"/>
      <c r="O332" s="212"/>
      <c r="P332" s="212"/>
      <c r="Q332" s="212"/>
      <c r="R332" s="212"/>
      <c r="S332" s="212"/>
      <c r="T332" s="212"/>
      <c r="U332" s="212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12"/>
      <c r="AF332" s="212"/>
      <c r="AG332" s="212"/>
      <c r="AH332" s="212"/>
      <c r="AI332" s="212"/>
      <c r="AJ332" s="212"/>
      <c r="AK332" s="212"/>
      <c r="AL332" s="212"/>
      <c r="AM332" s="212"/>
      <c r="AN332" s="212"/>
      <c r="AO332" s="212"/>
      <c r="AP332" s="212"/>
      <c r="AQ332" s="212"/>
      <c r="AR332" s="212"/>
      <c r="AS332" s="212"/>
      <c r="AT332" s="212"/>
      <c r="AU332" s="212"/>
      <c r="AV332" s="212"/>
      <c r="AW332" s="212"/>
      <c r="AX332" s="212"/>
      <c r="AY332" s="212"/>
      <c r="AZ332" s="212"/>
      <c r="BA332" s="212"/>
      <c r="BB332" s="212"/>
      <c r="BC332" s="212"/>
      <c r="BD332" s="212"/>
      <c r="BE332" s="212"/>
      <c r="BF332" s="212"/>
      <c r="BG332" s="212"/>
      <c r="BH332" s="212"/>
      <c r="BI332" s="212"/>
      <c r="BJ332" s="212"/>
      <c r="BK332" s="212"/>
      <c r="BL332" s="212"/>
      <c r="BM332" s="212"/>
      <c r="BN332" s="212"/>
      <c r="BO332" s="212"/>
      <c r="BP332" s="212"/>
      <c r="BQ332" s="212"/>
      <c r="BR332" s="212"/>
      <c r="BS332" s="212"/>
      <c r="BT332" s="212"/>
      <c r="BU332" s="212"/>
      <c r="BV332" s="212"/>
      <c r="BW332" s="212"/>
      <c r="BX332" s="212"/>
      <c r="BY332" s="212"/>
      <c r="BZ332" s="212"/>
      <c r="CA332" s="212"/>
      <c r="CB332" s="212"/>
      <c r="CC332" s="212"/>
      <c r="CD332" s="212"/>
      <c r="CE332" s="212"/>
      <c r="CF332" s="212"/>
      <c r="CG332" s="212"/>
      <c r="CH332" s="212"/>
      <c r="CI332" s="212"/>
      <c r="CJ332" s="212"/>
      <c r="CK332" s="212"/>
      <c r="CL332" s="212"/>
      <c r="CM332" s="212"/>
      <c r="CN332" s="212"/>
      <c r="CO332" s="212"/>
      <c r="CP332" s="212"/>
      <c r="CQ332" s="212"/>
      <c r="CR332" s="212"/>
      <c r="CS332" s="212"/>
    </row>
    <row r="333" spans="1:97" x14ac:dyDescent="0.4">
      <c r="A333" s="209">
        <v>45619</v>
      </c>
      <c r="B333" s="210" t="s">
        <v>299</v>
      </c>
      <c r="C333" s="212"/>
      <c r="D333" s="212"/>
      <c r="E333" s="212"/>
      <c r="F333" s="212"/>
      <c r="G333" s="212"/>
      <c r="H333" s="212"/>
      <c r="I333" s="212"/>
      <c r="J333" s="212"/>
      <c r="K333" s="212"/>
      <c r="L333" s="212"/>
      <c r="M333" s="212"/>
      <c r="N333" s="212"/>
      <c r="O333" s="212"/>
      <c r="P333" s="212"/>
      <c r="Q333" s="212"/>
      <c r="R333" s="212"/>
      <c r="S333" s="212"/>
      <c r="T333" s="212"/>
      <c r="U333" s="212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12"/>
      <c r="AF333" s="212"/>
      <c r="AG333" s="212"/>
      <c r="AH333" s="212"/>
      <c r="AI333" s="212"/>
      <c r="AJ333" s="212"/>
      <c r="AK333" s="212"/>
      <c r="AL333" s="212"/>
      <c r="AM333" s="212"/>
      <c r="AN333" s="212"/>
      <c r="AO333" s="212"/>
      <c r="AP333" s="212"/>
      <c r="AQ333" s="212"/>
      <c r="AR333" s="212"/>
      <c r="AS333" s="212"/>
      <c r="AT333" s="212"/>
      <c r="AU333" s="212"/>
      <c r="AV333" s="212"/>
      <c r="AW333" s="212"/>
      <c r="AX333" s="212"/>
      <c r="AY333" s="212"/>
      <c r="AZ333" s="212"/>
      <c r="BA333" s="212"/>
      <c r="BB333" s="212"/>
      <c r="BC333" s="212"/>
      <c r="BD333" s="212"/>
      <c r="BE333" s="212"/>
      <c r="BF333" s="212"/>
      <c r="BG333" s="212"/>
      <c r="BH333" s="212"/>
      <c r="BI333" s="212"/>
      <c r="BJ333" s="212"/>
      <c r="BK333" s="212"/>
      <c r="BL333" s="212"/>
      <c r="BM333" s="212"/>
      <c r="BN333" s="212"/>
      <c r="BO333" s="212"/>
      <c r="BP333" s="212"/>
      <c r="BQ333" s="212"/>
      <c r="BR333" s="212"/>
      <c r="BS333" s="212"/>
      <c r="BT333" s="212"/>
      <c r="BU333" s="212"/>
      <c r="BV333" s="212"/>
      <c r="BW333" s="212"/>
      <c r="BX333" s="212"/>
      <c r="BY333" s="212"/>
      <c r="BZ333" s="212"/>
      <c r="CA333" s="212"/>
      <c r="CB333" s="212"/>
      <c r="CC333" s="212"/>
      <c r="CD333" s="212"/>
      <c r="CE333" s="212"/>
      <c r="CF333" s="212"/>
      <c r="CG333" s="212"/>
      <c r="CH333" s="212"/>
      <c r="CI333" s="212"/>
      <c r="CJ333" s="212"/>
      <c r="CK333" s="212"/>
      <c r="CL333" s="212"/>
      <c r="CM333" s="212"/>
      <c r="CN333" s="212"/>
      <c r="CO333" s="212"/>
      <c r="CP333" s="212"/>
      <c r="CQ333" s="212"/>
      <c r="CR333" s="212"/>
      <c r="CS333" s="212"/>
    </row>
    <row r="334" spans="1:97" x14ac:dyDescent="0.4">
      <c r="A334" s="209">
        <v>45620</v>
      </c>
      <c r="B334" s="210" t="s">
        <v>300</v>
      </c>
      <c r="C334" s="212"/>
      <c r="D334" s="212"/>
      <c r="E334" s="212"/>
      <c r="F334" s="212"/>
      <c r="G334" s="212"/>
      <c r="H334" s="212"/>
      <c r="I334" s="212"/>
      <c r="J334" s="212"/>
      <c r="K334" s="212"/>
      <c r="L334" s="212"/>
      <c r="M334" s="212"/>
      <c r="N334" s="212"/>
      <c r="O334" s="212"/>
      <c r="P334" s="212"/>
      <c r="Q334" s="212"/>
      <c r="R334" s="212"/>
      <c r="S334" s="212"/>
      <c r="T334" s="212"/>
      <c r="U334" s="212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12"/>
      <c r="AF334" s="212"/>
      <c r="AG334" s="212"/>
      <c r="AH334" s="212"/>
      <c r="AI334" s="212"/>
      <c r="AJ334" s="212"/>
      <c r="AK334" s="212"/>
      <c r="AL334" s="212"/>
      <c r="AM334" s="212"/>
      <c r="AN334" s="212"/>
      <c r="AO334" s="212"/>
      <c r="AP334" s="212"/>
      <c r="AQ334" s="212"/>
      <c r="AR334" s="212"/>
      <c r="AS334" s="212"/>
      <c r="AT334" s="212"/>
      <c r="AU334" s="212"/>
      <c r="AV334" s="212"/>
      <c r="AW334" s="212"/>
      <c r="AX334" s="212"/>
      <c r="AY334" s="212"/>
      <c r="AZ334" s="212"/>
      <c r="BA334" s="212"/>
      <c r="BB334" s="212"/>
      <c r="BC334" s="212"/>
      <c r="BD334" s="212"/>
      <c r="BE334" s="212"/>
      <c r="BF334" s="212"/>
      <c r="BG334" s="212"/>
      <c r="BH334" s="212"/>
      <c r="BI334" s="212"/>
      <c r="BJ334" s="212"/>
      <c r="BK334" s="212"/>
      <c r="BL334" s="212"/>
      <c r="BM334" s="212"/>
      <c r="BN334" s="212"/>
      <c r="BO334" s="212"/>
      <c r="BP334" s="212"/>
      <c r="BQ334" s="212"/>
      <c r="BR334" s="212"/>
      <c r="BS334" s="212"/>
      <c r="BT334" s="212"/>
      <c r="BU334" s="212"/>
      <c r="BV334" s="212"/>
      <c r="BW334" s="212"/>
      <c r="BX334" s="212"/>
      <c r="BY334" s="212"/>
      <c r="BZ334" s="212"/>
      <c r="CA334" s="212"/>
      <c r="CB334" s="212"/>
      <c r="CC334" s="212"/>
      <c r="CD334" s="212"/>
      <c r="CE334" s="212"/>
      <c r="CF334" s="212"/>
      <c r="CG334" s="212"/>
      <c r="CH334" s="212"/>
      <c r="CI334" s="212"/>
      <c r="CJ334" s="212"/>
      <c r="CK334" s="212"/>
      <c r="CL334" s="212"/>
      <c r="CM334" s="212"/>
      <c r="CN334" s="212"/>
      <c r="CO334" s="212"/>
      <c r="CP334" s="212"/>
      <c r="CQ334" s="212"/>
      <c r="CR334" s="212"/>
      <c r="CS334" s="212"/>
    </row>
    <row r="335" spans="1:97" x14ac:dyDescent="0.4">
      <c r="A335" s="209">
        <v>45621</v>
      </c>
      <c r="B335" s="210" t="s">
        <v>294</v>
      </c>
      <c r="C335" s="212"/>
      <c r="D335" s="212"/>
      <c r="E335" s="212"/>
      <c r="F335" s="212"/>
      <c r="G335" s="212"/>
      <c r="H335" s="212"/>
      <c r="I335" s="212"/>
      <c r="J335" s="212"/>
      <c r="K335" s="212"/>
      <c r="L335" s="212"/>
      <c r="M335" s="212"/>
      <c r="N335" s="212"/>
      <c r="O335" s="212"/>
      <c r="P335" s="212"/>
      <c r="Q335" s="212"/>
      <c r="R335" s="212"/>
      <c r="S335" s="212"/>
      <c r="T335" s="212"/>
      <c r="U335" s="212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12"/>
      <c r="AF335" s="212"/>
      <c r="AG335" s="212"/>
      <c r="AH335" s="212"/>
      <c r="AI335" s="212"/>
      <c r="AJ335" s="212"/>
      <c r="AK335" s="212"/>
      <c r="AL335" s="212"/>
      <c r="AM335" s="212"/>
      <c r="AN335" s="212"/>
      <c r="AO335" s="212"/>
      <c r="AP335" s="212"/>
      <c r="AQ335" s="212"/>
      <c r="AR335" s="212"/>
      <c r="AS335" s="212"/>
      <c r="AT335" s="212"/>
      <c r="AU335" s="212"/>
      <c r="AV335" s="212"/>
      <c r="AW335" s="212"/>
      <c r="AX335" s="212"/>
      <c r="AY335" s="212"/>
      <c r="AZ335" s="212"/>
      <c r="BA335" s="212"/>
      <c r="BB335" s="212"/>
      <c r="BC335" s="212"/>
      <c r="BD335" s="212"/>
      <c r="BE335" s="212"/>
      <c r="BF335" s="212"/>
      <c r="BG335" s="212"/>
      <c r="BH335" s="212"/>
      <c r="BI335" s="212"/>
      <c r="BJ335" s="212"/>
      <c r="BK335" s="212"/>
      <c r="BL335" s="212"/>
      <c r="BM335" s="212"/>
      <c r="BN335" s="212"/>
      <c r="BO335" s="212"/>
      <c r="BP335" s="212"/>
      <c r="BQ335" s="212"/>
      <c r="BR335" s="212"/>
      <c r="BS335" s="212"/>
      <c r="BT335" s="212"/>
      <c r="BU335" s="212"/>
      <c r="BV335" s="212"/>
      <c r="BW335" s="212"/>
      <c r="BX335" s="212"/>
      <c r="BY335" s="212"/>
      <c r="BZ335" s="212"/>
      <c r="CA335" s="212"/>
      <c r="CB335" s="212"/>
      <c r="CC335" s="212"/>
      <c r="CD335" s="212"/>
      <c r="CE335" s="212"/>
      <c r="CF335" s="212"/>
      <c r="CG335" s="212"/>
      <c r="CH335" s="212"/>
      <c r="CI335" s="212"/>
      <c r="CJ335" s="212"/>
      <c r="CK335" s="212"/>
      <c r="CL335" s="212"/>
      <c r="CM335" s="212"/>
      <c r="CN335" s="212"/>
      <c r="CO335" s="212"/>
      <c r="CP335" s="212"/>
      <c r="CQ335" s="212"/>
      <c r="CR335" s="212"/>
      <c r="CS335" s="212"/>
    </row>
    <row r="336" spans="1:97" x14ac:dyDescent="0.4">
      <c r="A336" s="209">
        <v>45622</v>
      </c>
      <c r="B336" s="210" t="s">
        <v>295</v>
      </c>
      <c r="C336" s="212"/>
      <c r="D336" s="212"/>
      <c r="E336" s="212"/>
      <c r="F336" s="212"/>
      <c r="G336" s="212"/>
      <c r="H336" s="212"/>
      <c r="I336" s="212"/>
      <c r="J336" s="212"/>
      <c r="K336" s="212"/>
      <c r="L336" s="212"/>
      <c r="M336" s="212"/>
      <c r="N336" s="212"/>
      <c r="O336" s="212"/>
      <c r="P336" s="212"/>
      <c r="Q336" s="212"/>
      <c r="R336" s="212"/>
      <c r="S336" s="212"/>
      <c r="T336" s="212"/>
      <c r="U336" s="212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12"/>
      <c r="AF336" s="212"/>
      <c r="AG336" s="212"/>
      <c r="AH336" s="212"/>
      <c r="AI336" s="212"/>
      <c r="AJ336" s="212"/>
      <c r="AK336" s="212"/>
      <c r="AL336" s="212"/>
      <c r="AM336" s="212"/>
      <c r="AN336" s="212"/>
      <c r="AO336" s="212"/>
      <c r="AP336" s="212"/>
      <c r="AQ336" s="212"/>
      <c r="AR336" s="212"/>
      <c r="AS336" s="212"/>
      <c r="AT336" s="212"/>
      <c r="AU336" s="212"/>
      <c r="AV336" s="212"/>
      <c r="AW336" s="212"/>
      <c r="AX336" s="212"/>
      <c r="AY336" s="212"/>
      <c r="AZ336" s="212"/>
      <c r="BA336" s="212"/>
      <c r="BB336" s="212"/>
      <c r="BC336" s="212"/>
      <c r="BD336" s="212"/>
      <c r="BE336" s="212"/>
      <c r="BF336" s="212"/>
      <c r="BG336" s="212"/>
      <c r="BH336" s="212"/>
      <c r="BI336" s="212"/>
      <c r="BJ336" s="212"/>
      <c r="BK336" s="212"/>
      <c r="BL336" s="212"/>
      <c r="BM336" s="212"/>
      <c r="BN336" s="212"/>
      <c r="BO336" s="212"/>
      <c r="BP336" s="212"/>
      <c r="BQ336" s="212"/>
      <c r="BR336" s="212"/>
      <c r="BS336" s="212"/>
      <c r="BT336" s="212"/>
      <c r="BU336" s="212"/>
      <c r="BV336" s="212"/>
      <c r="BW336" s="212"/>
      <c r="BX336" s="212"/>
      <c r="BY336" s="212"/>
      <c r="BZ336" s="212"/>
      <c r="CA336" s="212"/>
      <c r="CB336" s="212"/>
      <c r="CC336" s="212"/>
      <c r="CD336" s="212"/>
      <c r="CE336" s="212"/>
      <c r="CF336" s="212"/>
      <c r="CG336" s="212"/>
      <c r="CH336" s="212"/>
      <c r="CI336" s="212"/>
      <c r="CJ336" s="212"/>
      <c r="CK336" s="212"/>
      <c r="CL336" s="212"/>
      <c r="CM336" s="212"/>
      <c r="CN336" s="212"/>
      <c r="CO336" s="212"/>
      <c r="CP336" s="212"/>
      <c r="CQ336" s="212"/>
      <c r="CR336" s="212"/>
      <c r="CS336" s="212"/>
    </row>
    <row r="337" spans="1:97" x14ac:dyDescent="0.4">
      <c r="A337" s="209">
        <v>45623</v>
      </c>
      <c r="B337" s="210" t="s">
        <v>296</v>
      </c>
      <c r="C337" s="212"/>
      <c r="D337" s="212"/>
      <c r="E337" s="212"/>
      <c r="F337" s="212"/>
      <c r="G337" s="212"/>
      <c r="H337" s="212"/>
      <c r="I337" s="212"/>
      <c r="J337" s="212"/>
      <c r="K337" s="212"/>
      <c r="L337" s="212"/>
      <c r="M337" s="212"/>
      <c r="N337" s="212"/>
      <c r="O337" s="212"/>
      <c r="P337" s="212"/>
      <c r="Q337" s="212"/>
      <c r="R337" s="212"/>
      <c r="S337" s="212"/>
      <c r="T337" s="212"/>
      <c r="U337" s="212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12"/>
      <c r="AF337" s="212"/>
      <c r="AG337" s="212"/>
      <c r="AH337" s="212"/>
      <c r="AI337" s="212"/>
      <c r="AJ337" s="212"/>
      <c r="AK337" s="212"/>
      <c r="AL337" s="212"/>
      <c r="AM337" s="212"/>
      <c r="AN337" s="212"/>
      <c r="AO337" s="212"/>
      <c r="AP337" s="212"/>
      <c r="AQ337" s="212"/>
      <c r="AR337" s="212"/>
      <c r="AS337" s="212"/>
      <c r="AT337" s="212"/>
      <c r="AU337" s="212"/>
      <c r="AV337" s="212"/>
      <c r="AW337" s="212"/>
      <c r="AX337" s="212"/>
      <c r="AY337" s="212"/>
      <c r="AZ337" s="212"/>
      <c r="BA337" s="212"/>
      <c r="BB337" s="212"/>
      <c r="BC337" s="212"/>
      <c r="BD337" s="212"/>
      <c r="BE337" s="212"/>
      <c r="BF337" s="212"/>
      <c r="BG337" s="212"/>
      <c r="BH337" s="212"/>
      <c r="BI337" s="212"/>
      <c r="BJ337" s="212"/>
      <c r="BK337" s="212"/>
      <c r="BL337" s="212"/>
      <c r="BM337" s="212"/>
      <c r="BN337" s="212"/>
      <c r="BO337" s="212"/>
      <c r="BP337" s="212"/>
      <c r="BQ337" s="212"/>
      <c r="BR337" s="212"/>
      <c r="BS337" s="212"/>
      <c r="BT337" s="212"/>
      <c r="BU337" s="212"/>
      <c r="BV337" s="212"/>
      <c r="BW337" s="212"/>
      <c r="BX337" s="212"/>
      <c r="BY337" s="212"/>
      <c r="BZ337" s="212"/>
      <c r="CA337" s="212"/>
      <c r="CB337" s="212"/>
      <c r="CC337" s="212"/>
      <c r="CD337" s="212"/>
      <c r="CE337" s="212"/>
      <c r="CF337" s="212"/>
      <c r="CG337" s="212"/>
      <c r="CH337" s="212"/>
      <c r="CI337" s="212"/>
      <c r="CJ337" s="212"/>
      <c r="CK337" s="212"/>
      <c r="CL337" s="212"/>
      <c r="CM337" s="212"/>
      <c r="CN337" s="212"/>
      <c r="CO337" s="212"/>
      <c r="CP337" s="212"/>
      <c r="CQ337" s="212"/>
      <c r="CR337" s="212"/>
      <c r="CS337" s="212"/>
    </row>
    <row r="338" spans="1:97" x14ac:dyDescent="0.4">
      <c r="A338" s="209">
        <v>45624</v>
      </c>
      <c r="B338" s="210" t="s">
        <v>297</v>
      </c>
      <c r="C338" s="212"/>
      <c r="D338" s="212"/>
      <c r="E338" s="212"/>
      <c r="F338" s="212"/>
      <c r="G338" s="212"/>
      <c r="H338" s="212"/>
      <c r="I338" s="212"/>
      <c r="J338" s="212"/>
      <c r="K338" s="212"/>
      <c r="L338" s="212"/>
      <c r="M338" s="212"/>
      <c r="N338" s="212"/>
      <c r="O338" s="212"/>
      <c r="P338" s="212"/>
      <c r="Q338" s="212"/>
      <c r="R338" s="212"/>
      <c r="S338" s="212"/>
      <c r="T338" s="212"/>
      <c r="U338" s="212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12"/>
      <c r="AF338" s="212"/>
      <c r="AG338" s="212"/>
      <c r="AH338" s="212"/>
      <c r="AI338" s="212"/>
      <c r="AJ338" s="212"/>
      <c r="AK338" s="212"/>
      <c r="AL338" s="212"/>
      <c r="AM338" s="212"/>
      <c r="AN338" s="212"/>
      <c r="AO338" s="212"/>
      <c r="AP338" s="212"/>
      <c r="AQ338" s="212"/>
      <c r="AR338" s="212"/>
      <c r="AS338" s="212"/>
      <c r="AT338" s="212"/>
      <c r="AU338" s="212"/>
      <c r="AV338" s="212"/>
      <c r="AW338" s="212"/>
      <c r="AX338" s="212"/>
      <c r="AY338" s="212"/>
      <c r="AZ338" s="212"/>
      <c r="BA338" s="212"/>
      <c r="BB338" s="212"/>
      <c r="BC338" s="212"/>
      <c r="BD338" s="212"/>
      <c r="BE338" s="212"/>
      <c r="BF338" s="212"/>
      <c r="BG338" s="212"/>
      <c r="BH338" s="212"/>
      <c r="BI338" s="212"/>
      <c r="BJ338" s="212"/>
      <c r="BK338" s="212"/>
      <c r="BL338" s="212"/>
      <c r="BM338" s="212"/>
      <c r="BN338" s="212"/>
      <c r="BO338" s="212"/>
      <c r="BP338" s="212"/>
      <c r="BQ338" s="212"/>
      <c r="BR338" s="212"/>
      <c r="BS338" s="212"/>
      <c r="BT338" s="212"/>
      <c r="BU338" s="212"/>
      <c r="BV338" s="212"/>
      <c r="BW338" s="212"/>
      <c r="BX338" s="212"/>
      <c r="BY338" s="212"/>
      <c r="BZ338" s="212"/>
      <c r="CA338" s="212"/>
      <c r="CB338" s="212"/>
      <c r="CC338" s="212"/>
      <c r="CD338" s="212"/>
      <c r="CE338" s="212"/>
      <c r="CF338" s="212"/>
      <c r="CG338" s="212"/>
      <c r="CH338" s="212"/>
      <c r="CI338" s="212"/>
      <c r="CJ338" s="212"/>
      <c r="CK338" s="212"/>
      <c r="CL338" s="212"/>
      <c r="CM338" s="212"/>
      <c r="CN338" s="212"/>
      <c r="CO338" s="212"/>
      <c r="CP338" s="212"/>
      <c r="CQ338" s="212"/>
      <c r="CR338" s="212"/>
      <c r="CS338" s="212"/>
    </row>
    <row r="339" spans="1:97" x14ac:dyDescent="0.4">
      <c r="A339" s="209">
        <v>45625</v>
      </c>
      <c r="B339" s="210" t="s">
        <v>298</v>
      </c>
      <c r="C339" s="212"/>
      <c r="D339" s="212"/>
      <c r="E339" s="212"/>
      <c r="F339" s="212"/>
      <c r="G339" s="212"/>
      <c r="H339" s="212"/>
      <c r="I339" s="212"/>
      <c r="J339" s="212"/>
      <c r="K339" s="212"/>
      <c r="L339" s="212"/>
      <c r="M339" s="212"/>
      <c r="N339" s="212"/>
      <c r="O339" s="212"/>
      <c r="P339" s="212"/>
      <c r="Q339" s="212"/>
      <c r="R339" s="212"/>
      <c r="S339" s="212"/>
      <c r="T339" s="212"/>
      <c r="U339" s="212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12"/>
      <c r="AF339" s="212"/>
      <c r="AG339" s="212"/>
      <c r="AH339" s="212"/>
      <c r="AI339" s="212"/>
      <c r="AJ339" s="212"/>
      <c r="AK339" s="212"/>
      <c r="AL339" s="212"/>
      <c r="AM339" s="212"/>
      <c r="AN339" s="212"/>
      <c r="AO339" s="212"/>
      <c r="AP339" s="212"/>
      <c r="AQ339" s="212"/>
      <c r="AR339" s="212"/>
      <c r="AS339" s="212"/>
      <c r="AT339" s="212"/>
      <c r="AU339" s="212"/>
      <c r="AV339" s="212"/>
      <c r="AW339" s="212"/>
      <c r="AX339" s="212"/>
      <c r="AY339" s="212"/>
      <c r="AZ339" s="212"/>
      <c r="BA339" s="212"/>
      <c r="BB339" s="212"/>
      <c r="BC339" s="212"/>
      <c r="BD339" s="212"/>
      <c r="BE339" s="212"/>
      <c r="BF339" s="212"/>
      <c r="BG339" s="212"/>
      <c r="BH339" s="212"/>
      <c r="BI339" s="212"/>
      <c r="BJ339" s="212"/>
      <c r="BK339" s="212"/>
      <c r="BL339" s="212"/>
      <c r="BM339" s="212"/>
      <c r="BN339" s="212"/>
      <c r="BO339" s="212"/>
      <c r="BP339" s="212"/>
      <c r="BQ339" s="212"/>
      <c r="BR339" s="212"/>
      <c r="BS339" s="212"/>
      <c r="BT339" s="212"/>
      <c r="BU339" s="212"/>
      <c r="BV339" s="212"/>
      <c r="BW339" s="212"/>
      <c r="BX339" s="212"/>
      <c r="BY339" s="212"/>
      <c r="BZ339" s="212"/>
      <c r="CA339" s="212"/>
      <c r="CB339" s="212"/>
      <c r="CC339" s="212"/>
      <c r="CD339" s="212"/>
      <c r="CE339" s="212"/>
      <c r="CF339" s="212"/>
      <c r="CG339" s="212"/>
      <c r="CH339" s="212"/>
      <c r="CI339" s="212"/>
      <c r="CJ339" s="212"/>
      <c r="CK339" s="212"/>
      <c r="CL339" s="212"/>
      <c r="CM339" s="212"/>
      <c r="CN339" s="212"/>
      <c r="CO339" s="212"/>
      <c r="CP339" s="212"/>
      <c r="CQ339" s="212"/>
      <c r="CR339" s="212"/>
      <c r="CS339" s="212"/>
    </row>
    <row r="340" spans="1:97" x14ac:dyDescent="0.4">
      <c r="A340" s="209">
        <v>45626</v>
      </c>
      <c r="B340" s="210" t="s">
        <v>299</v>
      </c>
      <c r="C340" s="212"/>
      <c r="D340" s="212"/>
      <c r="E340" s="212"/>
      <c r="F340" s="212"/>
      <c r="G340" s="212"/>
      <c r="H340" s="212"/>
      <c r="I340" s="212"/>
      <c r="J340" s="212"/>
      <c r="K340" s="212"/>
      <c r="L340" s="212"/>
      <c r="M340" s="212"/>
      <c r="N340" s="212"/>
      <c r="O340" s="212"/>
      <c r="P340" s="212"/>
      <c r="Q340" s="212"/>
      <c r="R340" s="212"/>
      <c r="S340" s="212"/>
      <c r="T340" s="212"/>
      <c r="U340" s="212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12"/>
      <c r="AF340" s="212"/>
      <c r="AG340" s="212"/>
      <c r="AH340" s="212"/>
      <c r="AI340" s="212"/>
      <c r="AJ340" s="212"/>
      <c r="AK340" s="212"/>
      <c r="AL340" s="212"/>
      <c r="AM340" s="212"/>
      <c r="AN340" s="212"/>
      <c r="AO340" s="212"/>
      <c r="AP340" s="212"/>
      <c r="AQ340" s="212"/>
      <c r="AR340" s="212"/>
      <c r="AS340" s="212"/>
      <c r="AT340" s="212"/>
      <c r="AU340" s="212"/>
      <c r="AV340" s="212"/>
      <c r="AW340" s="212"/>
      <c r="AX340" s="212"/>
      <c r="AY340" s="212"/>
      <c r="AZ340" s="212"/>
      <c r="BA340" s="212"/>
      <c r="BB340" s="212"/>
      <c r="BC340" s="212"/>
      <c r="BD340" s="212"/>
      <c r="BE340" s="212"/>
      <c r="BF340" s="212"/>
      <c r="BG340" s="212"/>
      <c r="BH340" s="212"/>
      <c r="BI340" s="212"/>
      <c r="BJ340" s="212"/>
      <c r="BK340" s="212"/>
      <c r="BL340" s="212"/>
      <c r="BM340" s="212"/>
      <c r="BN340" s="212"/>
      <c r="BO340" s="212"/>
      <c r="BP340" s="212"/>
      <c r="BQ340" s="212"/>
      <c r="BR340" s="212"/>
      <c r="BS340" s="212"/>
      <c r="BT340" s="212"/>
      <c r="BU340" s="212"/>
      <c r="BV340" s="212"/>
      <c r="BW340" s="212"/>
      <c r="BX340" s="212"/>
      <c r="BY340" s="212"/>
      <c r="BZ340" s="212"/>
      <c r="CA340" s="212"/>
      <c r="CB340" s="212"/>
      <c r="CC340" s="212"/>
      <c r="CD340" s="212"/>
      <c r="CE340" s="212"/>
      <c r="CF340" s="212"/>
      <c r="CG340" s="212"/>
      <c r="CH340" s="212"/>
      <c r="CI340" s="212"/>
      <c r="CJ340" s="212"/>
      <c r="CK340" s="212"/>
      <c r="CL340" s="212"/>
      <c r="CM340" s="212"/>
      <c r="CN340" s="212"/>
      <c r="CO340" s="212"/>
      <c r="CP340" s="212"/>
      <c r="CQ340" s="212"/>
      <c r="CR340" s="212"/>
      <c r="CS340" s="212"/>
    </row>
    <row r="341" spans="1:97" x14ac:dyDescent="0.4">
      <c r="A341" s="209">
        <v>45627</v>
      </c>
      <c r="B341" s="210" t="s">
        <v>300</v>
      </c>
      <c r="C341" s="212"/>
      <c r="D341" s="212"/>
      <c r="E341" s="212"/>
      <c r="F341" s="212"/>
      <c r="G341" s="212"/>
      <c r="H341" s="212"/>
      <c r="I341" s="212"/>
      <c r="J341" s="212"/>
      <c r="K341" s="212"/>
      <c r="L341" s="212"/>
      <c r="M341" s="212"/>
      <c r="N341" s="212"/>
      <c r="O341" s="212"/>
      <c r="P341" s="212"/>
      <c r="Q341" s="212"/>
      <c r="R341" s="212"/>
      <c r="S341" s="212"/>
      <c r="T341" s="212"/>
      <c r="U341" s="212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12"/>
      <c r="AF341" s="212"/>
      <c r="AG341" s="212"/>
      <c r="AH341" s="212"/>
      <c r="AI341" s="212"/>
      <c r="AJ341" s="212"/>
      <c r="AK341" s="212"/>
      <c r="AL341" s="212"/>
      <c r="AM341" s="212"/>
      <c r="AN341" s="212"/>
      <c r="AO341" s="212"/>
      <c r="AP341" s="212"/>
      <c r="AQ341" s="212"/>
      <c r="AR341" s="212"/>
      <c r="AS341" s="212"/>
      <c r="AT341" s="212"/>
      <c r="AU341" s="212"/>
      <c r="AV341" s="212"/>
      <c r="AW341" s="212"/>
      <c r="AX341" s="212"/>
      <c r="AY341" s="212"/>
      <c r="AZ341" s="212"/>
      <c r="BA341" s="212"/>
      <c r="BB341" s="212"/>
      <c r="BC341" s="212"/>
      <c r="BD341" s="212"/>
      <c r="BE341" s="212"/>
      <c r="BF341" s="212"/>
      <c r="BG341" s="212"/>
      <c r="BH341" s="212"/>
      <c r="BI341" s="212"/>
      <c r="BJ341" s="212"/>
      <c r="BK341" s="212"/>
      <c r="BL341" s="212"/>
      <c r="BM341" s="212"/>
      <c r="BN341" s="212"/>
      <c r="BO341" s="212"/>
      <c r="BP341" s="212"/>
      <c r="BQ341" s="212"/>
      <c r="BR341" s="212"/>
      <c r="BS341" s="212"/>
      <c r="BT341" s="212"/>
      <c r="BU341" s="212"/>
      <c r="BV341" s="212"/>
      <c r="BW341" s="212"/>
      <c r="BX341" s="212"/>
      <c r="BY341" s="212"/>
      <c r="BZ341" s="212"/>
      <c r="CA341" s="212"/>
      <c r="CB341" s="212"/>
      <c r="CC341" s="212"/>
      <c r="CD341" s="212"/>
      <c r="CE341" s="212"/>
      <c r="CF341" s="212"/>
      <c r="CG341" s="212"/>
      <c r="CH341" s="212"/>
      <c r="CI341" s="212"/>
      <c r="CJ341" s="212"/>
      <c r="CK341" s="212"/>
      <c r="CL341" s="212"/>
      <c r="CM341" s="212"/>
      <c r="CN341" s="212"/>
      <c r="CO341" s="212"/>
      <c r="CP341" s="212"/>
      <c r="CQ341" s="212"/>
      <c r="CR341" s="212"/>
      <c r="CS341" s="212"/>
    </row>
    <row r="342" spans="1:97" x14ac:dyDescent="0.4">
      <c r="A342" s="209">
        <v>45628</v>
      </c>
      <c r="B342" s="210" t="s">
        <v>294</v>
      </c>
      <c r="C342" s="212"/>
      <c r="D342" s="212"/>
      <c r="E342" s="212"/>
      <c r="F342" s="212"/>
      <c r="G342" s="212"/>
      <c r="H342" s="212"/>
      <c r="I342" s="212"/>
      <c r="J342" s="212"/>
      <c r="K342" s="212"/>
      <c r="L342" s="212"/>
      <c r="M342" s="212"/>
      <c r="N342" s="212"/>
      <c r="O342" s="212"/>
      <c r="P342" s="212"/>
      <c r="Q342" s="212"/>
      <c r="R342" s="212"/>
      <c r="S342" s="212"/>
      <c r="T342" s="212"/>
      <c r="U342" s="212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12"/>
      <c r="AF342" s="212"/>
      <c r="AG342" s="212"/>
      <c r="AH342" s="212"/>
      <c r="AI342" s="212"/>
      <c r="AJ342" s="212"/>
      <c r="AK342" s="212"/>
      <c r="AL342" s="212"/>
      <c r="AM342" s="212"/>
      <c r="AN342" s="212"/>
      <c r="AO342" s="212"/>
      <c r="AP342" s="212"/>
      <c r="AQ342" s="212"/>
      <c r="AR342" s="212"/>
      <c r="AS342" s="212"/>
      <c r="AT342" s="212"/>
      <c r="AU342" s="212"/>
      <c r="AV342" s="212"/>
      <c r="AW342" s="212"/>
      <c r="AX342" s="212"/>
      <c r="AY342" s="212"/>
      <c r="AZ342" s="212"/>
      <c r="BA342" s="212"/>
      <c r="BB342" s="212"/>
      <c r="BC342" s="212"/>
      <c r="BD342" s="212"/>
      <c r="BE342" s="212"/>
      <c r="BF342" s="212"/>
      <c r="BG342" s="212"/>
      <c r="BH342" s="212"/>
      <c r="BI342" s="212"/>
      <c r="BJ342" s="212"/>
      <c r="BK342" s="212"/>
      <c r="BL342" s="212"/>
      <c r="BM342" s="212"/>
      <c r="BN342" s="212"/>
      <c r="BO342" s="212"/>
      <c r="BP342" s="212"/>
      <c r="BQ342" s="212"/>
      <c r="BR342" s="212"/>
      <c r="BS342" s="212"/>
      <c r="BT342" s="212"/>
      <c r="BU342" s="212"/>
      <c r="BV342" s="212"/>
      <c r="BW342" s="212"/>
      <c r="BX342" s="212"/>
      <c r="BY342" s="212"/>
      <c r="BZ342" s="212"/>
      <c r="CA342" s="212"/>
      <c r="CB342" s="212"/>
      <c r="CC342" s="212"/>
      <c r="CD342" s="212"/>
      <c r="CE342" s="212"/>
      <c r="CF342" s="212"/>
      <c r="CG342" s="212"/>
      <c r="CH342" s="212"/>
      <c r="CI342" s="212"/>
      <c r="CJ342" s="212"/>
      <c r="CK342" s="212"/>
      <c r="CL342" s="212"/>
      <c r="CM342" s="212"/>
      <c r="CN342" s="212"/>
      <c r="CO342" s="212"/>
      <c r="CP342" s="212"/>
      <c r="CQ342" s="212"/>
      <c r="CR342" s="212"/>
      <c r="CS342" s="212"/>
    </row>
    <row r="343" spans="1:97" x14ac:dyDescent="0.4">
      <c r="A343" s="209">
        <v>45629</v>
      </c>
      <c r="B343" s="210" t="s">
        <v>295</v>
      </c>
      <c r="C343" s="212"/>
      <c r="D343" s="212"/>
      <c r="E343" s="212"/>
      <c r="F343" s="212"/>
      <c r="G343" s="212"/>
      <c r="H343" s="212"/>
      <c r="I343" s="212"/>
      <c r="J343" s="212"/>
      <c r="K343" s="212"/>
      <c r="L343" s="212"/>
      <c r="M343" s="212"/>
      <c r="N343" s="212"/>
      <c r="O343" s="212"/>
      <c r="P343" s="212"/>
      <c r="Q343" s="212"/>
      <c r="R343" s="212"/>
      <c r="S343" s="212"/>
      <c r="T343" s="212"/>
      <c r="U343" s="212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12"/>
      <c r="AF343" s="212"/>
      <c r="AG343" s="212"/>
      <c r="AH343" s="212"/>
      <c r="AI343" s="212"/>
      <c r="AJ343" s="212"/>
      <c r="AK343" s="212"/>
      <c r="AL343" s="212"/>
      <c r="AM343" s="212"/>
      <c r="AN343" s="212"/>
      <c r="AO343" s="212"/>
      <c r="AP343" s="212"/>
      <c r="AQ343" s="212"/>
      <c r="AR343" s="212"/>
      <c r="AS343" s="212"/>
      <c r="AT343" s="212"/>
      <c r="AU343" s="212"/>
      <c r="AV343" s="212"/>
      <c r="AW343" s="212"/>
      <c r="AX343" s="212"/>
      <c r="AY343" s="212"/>
      <c r="AZ343" s="212"/>
      <c r="BA343" s="212"/>
      <c r="BB343" s="212"/>
      <c r="BC343" s="212"/>
      <c r="BD343" s="212"/>
      <c r="BE343" s="212"/>
      <c r="BF343" s="212"/>
      <c r="BG343" s="212"/>
      <c r="BH343" s="212"/>
      <c r="BI343" s="212"/>
      <c r="BJ343" s="212"/>
      <c r="BK343" s="212"/>
      <c r="BL343" s="212"/>
      <c r="BM343" s="212"/>
      <c r="BN343" s="212"/>
      <c r="BO343" s="212"/>
      <c r="BP343" s="212"/>
      <c r="BQ343" s="212"/>
      <c r="BR343" s="212"/>
      <c r="BS343" s="212"/>
      <c r="BT343" s="212"/>
      <c r="BU343" s="212"/>
      <c r="BV343" s="212"/>
      <c r="BW343" s="212"/>
      <c r="BX343" s="212"/>
      <c r="BY343" s="212"/>
      <c r="BZ343" s="212"/>
      <c r="CA343" s="212"/>
      <c r="CB343" s="212"/>
      <c r="CC343" s="212"/>
      <c r="CD343" s="212"/>
      <c r="CE343" s="212"/>
      <c r="CF343" s="212"/>
      <c r="CG343" s="212"/>
      <c r="CH343" s="212"/>
      <c r="CI343" s="212"/>
      <c r="CJ343" s="212"/>
      <c r="CK343" s="212"/>
      <c r="CL343" s="212"/>
      <c r="CM343" s="212"/>
      <c r="CN343" s="212"/>
      <c r="CO343" s="212"/>
      <c r="CP343" s="212"/>
      <c r="CQ343" s="212"/>
      <c r="CR343" s="212"/>
      <c r="CS343" s="212"/>
    </row>
    <row r="344" spans="1:97" x14ac:dyDescent="0.4">
      <c r="A344" s="209">
        <v>45630</v>
      </c>
      <c r="B344" s="210" t="s">
        <v>296</v>
      </c>
      <c r="C344" s="212"/>
      <c r="D344" s="212"/>
      <c r="E344" s="212"/>
      <c r="F344" s="212"/>
      <c r="G344" s="212"/>
      <c r="H344" s="212"/>
      <c r="I344" s="212"/>
      <c r="J344" s="212"/>
      <c r="K344" s="212"/>
      <c r="L344" s="212"/>
      <c r="M344" s="212"/>
      <c r="N344" s="212"/>
      <c r="O344" s="212"/>
      <c r="P344" s="212"/>
      <c r="Q344" s="212"/>
      <c r="R344" s="212"/>
      <c r="S344" s="212"/>
      <c r="T344" s="212"/>
      <c r="U344" s="212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12"/>
      <c r="AF344" s="212"/>
      <c r="AG344" s="212"/>
      <c r="AH344" s="212"/>
      <c r="AI344" s="212"/>
      <c r="AJ344" s="212"/>
      <c r="AK344" s="212"/>
      <c r="AL344" s="212"/>
      <c r="AM344" s="212"/>
      <c r="AN344" s="212"/>
      <c r="AO344" s="212"/>
      <c r="AP344" s="212"/>
      <c r="AQ344" s="212"/>
      <c r="AR344" s="212"/>
      <c r="AS344" s="212"/>
      <c r="AT344" s="212"/>
      <c r="AU344" s="212"/>
      <c r="AV344" s="212"/>
      <c r="AW344" s="212"/>
      <c r="AX344" s="212"/>
      <c r="AY344" s="212"/>
      <c r="AZ344" s="212"/>
      <c r="BA344" s="212"/>
      <c r="BB344" s="212"/>
      <c r="BC344" s="212"/>
      <c r="BD344" s="212"/>
      <c r="BE344" s="212"/>
      <c r="BF344" s="212"/>
      <c r="BG344" s="212"/>
      <c r="BH344" s="212"/>
      <c r="BI344" s="212"/>
      <c r="BJ344" s="212"/>
      <c r="BK344" s="212"/>
      <c r="BL344" s="212"/>
      <c r="BM344" s="212"/>
      <c r="BN344" s="212"/>
      <c r="BO344" s="212"/>
      <c r="BP344" s="212"/>
      <c r="BQ344" s="212"/>
      <c r="BR344" s="212"/>
      <c r="BS344" s="212"/>
      <c r="BT344" s="212"/>
      <c r="BU344" s="212"/>
      <c r="BV344" s="212"/>
      <c r="BW344" s="212"/>
      <c r="BX344" s="212"/>
      <c r="BY344" s="212"/>
      <c r="BZ344" s="212"/>
      <c r="CA344" s="212"/>
      <c r="CB344" s="212"/>
      <c r="CC344" s="212"/>
      <c r="CD344" s="212"/>
      <c r="CE344" s="212"/>
      <c r="CF344" s="212"/>
      <c r="CG344" s="212"/>
      <c r="CH344" s="212"/>
      <c r="CI344" s="212"/>
      <c r="CJ344" s="212"/>
      <c r="CK344" s="212"/>
      <c r="CL344" s="212"/>
      <c r="CM344" s="212"/>
      <c r="CN344" s="212"/>
      <c r="CO344" s="212"/>
      <c r="CP344" s="212"/>
      <c r="CQ344" s="212"/>
      <c r="CR344" s="212"/>
      <c r="CS344" s="212"/>
    </row>
    <row r="345" spans="1:97" x14ac:dyDescent="0.4">
      <c r="A345" s="209">
        <v>45631</v>
      </c>
      <c r="B345" s="210" t="s">
        <v>297</v>
      </c>
      <c r="C345" s="212"/>
      <c r="D345" s="212"/>
      <c r="E345" s="212"/>
      <c r="F345" s="212"/>
      <c r="G345" s="212"/>
      <c r="H345" s="212"/>
      <c r="I345" s="212"/>
      <c r="J345" s="212"/>
      <c r="K345" s="212"/>
      <c r="L345" s="212"/>
      <c r="M345" s="212"/>
      <c r="N345" s="212"/>
      <c r="O345" s="212"/>
      <c r="P345" s="212"/>
      <c r="Q345" s="212"/>
      <c r="R345" s="212"/>
      <c r="S345" s="212"/>
      <c r="T345" s="212"/>
      <c r="U345" s="212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12"/>
      <c r="AF345" s="212"/>
      <c r="AG345" s="212"/>
      <c r="AH345" s="212"/>
      <c r="AI345" s="212"/>
      <c r="AJ345" s="212"/>
      <c r="AK345" s="212"/>
      <c r="AL345" s="212"/>
      <c r="AM345" s="212"/>
      <c r="AN345" s="212"/>
      <c r="AO345" s="212"/>
      <c r="AP345" s="212"/>
      <c r="AQ345" s="212"/>
      <c r="AR345" s="212"/>
      <c r="AS345" s="212"/>
      <c r="AT345" s="212"/>
      <c r="AU345" s="212"/>
      <c r="AV345" s="212"/>
      <c r="AW345" s="212"/>
      <c r="AX345" s="212"/>
      <c r="AY345" s="212"/>
      <c r="AZ345" s="212"/>
      <c r="BA345" s="212"/>
      <c r="BB345" s="212"/>
      <c r="BC345" s="212"/>
      <c r="BD345" s="212"/>
      <c r="BE345" s="212"/>
      <c r="BF345" s="212"/>
      <c r="BG345" s="212"/>
      <c r="BH345" s="212"/>
      <c r="BI345" s="212"/>
      <c r="BJ345" s="212"/>
      <c r="BK345" s="212"/>
      <c r="BL345" s="212"/>
      <c r="BM345" s="212"/>
      <c r="BN345" s="212"/>
      <c r="BO345" s="212"/>
      <c r="BP345" s="212"/>
      <c r="BQ345" s="212"/>
      <c r="BR345" s="212"/>
      <c r="BS345" s="212"/>
      <c r="BT345" s="212"/>
      <c r="BU345" s="212"/>
      <c r="BV345" s="212"/>
      <c r="BW345" s="212"/>
      <c r="BX345" s="212"/>
      <c r="BY345" s="212"/>
      <c r="BZ345" s="212"/>
      <c r="CA345" s="212"/>
      <c r="CB345" s="212"/>
      <c r="CC345" s="212"/>
      <c r="CD345" s="212"/>
      <c r="CE345" s="212"/>
      <c r="CF345" s="212"/>
      <c r="CG345" s="212"/>
      <c r="CH345" s="212"/>
      <c r="CI345" s="212"/>
      <c r="CJ345" s="212"/>
      <c r="CK345" s="212"/>
      <c r="CL345" s="212"/>
      <c r="CM345" s="212"/>
      <c r="CN345" s="212"/>
      <c r="CO345" s="212"/>
      <c r="CP345" s="212"/>
      <c r="CQ345" s="212"/>
      <c r="CR345" s="212"/>
      <c r="CS345" s="212"/>
    </row>
    <row r="346" spans="1:97" x14ac:dyDescent="0.4">
      <c r="A346" s="209">
        <v>45632</v>
      </c>
      <c r="B346" s="210" t="s">
        <v>298</v>
      </c>
      <c r="C346" s="212"/>
      <c r="D346" s="212"/>
      <c r="E346" s="212"/>
      <c r="F346" s="212"/>
      <c r="G346" s="212"/>
      <c r="H346" s="212"/>
      <c r="I346" s="212"/>
      <c r="J346" s="212"/>
      <c r="K346" s="212"/>
      <c r="L346" s="212"/>
      <c r="M346" s="212"/>
      <c r="N346" s="212"/>
      <c r="O346" s="212"/>
      <c r="P346" s="212"/>
      <c r="Q346" s="212"/>
      <c r="R346" s="212"/>
      <c r="S346" s="212"/>
      <c r="T346" s="212"/>
      <c r="U346" s="212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12"/>
      <c r="AF346" s="212"/>
      <c r="AG346" s="212"/>
      <c r="AH346" s="212"/>
      <c r="AI346" s="212"/>
      <c r="AJ346" s="212"/>
      <c r="AK346" s="212"/>
      <c r="AL346" s="212"/>
      <c r="AM346" s="212"/>
      <c r="AN346" s="212"/>
      <c r="AO346" s="212"/>
      <c r="AP346" s="212"/>
      <c r="AQ346" s="212"/>
      <c r="AR346" s="212"/>
      <c r="AS346" s="212"/>
      <c r="AT346" s="212"/>
      <c r="AU346" s="212"/>
      <c r="AV346" s="212"/>
      <c r="AW346" s="212"/>
      <c r="AX346" s="212"/>
      <c r="AY346" s="212"/>
      <c r="AZ346" s="212"/>
      <c r="BA346" s="212"/>
      <c r="BB346" s="212"/>
      <c r="BC346" s="212"/>
      <c r="BD346" s="212"/>
      <c r="BE346" s="212"/>
      <c r="BF346" s="212"/>
      <c r="BG346" s="212"/>
      <c r="BH346" s="212"/>
      <c r="BI346" s="212"/>
      <c r="BJ346" s="212"/>
      <c r="BK346" s="212"/>
      <c r="BL346" s="212"/>
      <c r="BM346" s="212"/>
      <c r="BN346" s="212"/>
      <c r="BO346" s="212"/>
      <c r="BP346" s="212"/>
      <c r="BQ346" s="212"/>
      <c r="BR346" s="212"/>
      <c r="BS346" s="212"/>
      <c r="BT346" s="212"/>
      <c r="BU346" s="212"/>
      <c r="BV346" s="212"/>
      <c r="BW346" s="212"/>
      <c r="BX346" s="212"/>
      <c r="BY346" s="212"/>
      <c r="BZ346" s="212"/>
      <c r="CA346" s="212"/>
      <c r="CB346" s="212"/>
      <c r="CC346" s="212"/>
      <c r="CD346" s="212"/>
      <c r="CE346" s="212"/>
      <c r="CF346" s="212"/>
      <c r="CG346" s="212"/>
      <c r="CH346" s="212"/>
      <c r="CI346" s="212"/>
      <c r="CJ346" s="212"/>
      <c r="CK346" s="212"/>
      <c r="CL346" s="212"/>
      <c r="CM346" s="212"/>
      <c r="CN346" s="212"/>
      <c r="CO346" s="212"/>
      <c r="CP346" s="212"/>
      <c r="CQ346" s="212"/>
      <c r="CR346" s="212"/>
      <c r="CS346" s="212"/>
    </row>
    <row r="347" spans="1:97" x14ac:dyDescent="0.4">
      <c r="A347" s="209">
        <v>45633</v>
      </c>
      <c r="B347" s="210" t="s">
        <v>299</v>
      </c>
      <c r="C347" s="212"/>
      <c r="D347" s="212"/>
      <c r="E347" s="212"/>
      <c r="F347" s="212"/>
      <c r="G347" s="212"/>
      <c r="H347" s="212"/>
      <c r="I347" s="212"/>
      <c r="J347" s="212"/>
      <c r="K347" s="212"/>
      <c r="L347" s="212"/>
      <c r="M347" s="212"/>
      <c r="N347" s="212"/>
      <c r="O347" s="212"/>
      <c r="P347" s="212"/>
      <c r="Q347" s="212"/>
      <c r="R347" s="212"/>
      <c r="S347" s="212"/>
      <c r="T347" s="212"/>
      <c r="U347" s="212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12"/>
      <c r="AF347" s="212"/>
      <c r="AG347" s="212"/>
      <c r="AH347" s="212"/>
      <c r="AI347" s="212"/>
      <c r="AJ347" s="212"/>
      <c r="AK347" s="212"/>
      <c r="AL347" s="212"/>
      <c r="AM347" s="212"/>
      <c r="AN347" s="212"/>
      <c r="AO347" s="212"/>
      <c r="AP347" s="212"/>
      <c r="AQ347" s="212"/>
      <c r="AR347" s="212"/>
      <c r="AS347" s="212"/>
      <c r="AT347" s="212"/>
      <c r="AU347" s="212"/>
      <c r="AV347" s="212"/>
      <c r="AW347" s="212"/>
      <c r="AX347" s="212"/>
      <c r="AY347" s="212"/>
      <c r="AZ347" s="212"/>
      <c r="BA347" s="212"/>
      <c r="BB347" s="212"/>
      <c r="BC347" s="212"/>
      <c r="BD347" s="212"/>
      <c r="BE347" s="212"/>
      <c r="BF347" s="212"/>
      <c r="BG347" s="212"/>
      <c r="BH347" s="212"/>
      <c r="BI347" s="212"/>
      <c r="BJ347" s="212"/>
      <c r="BK347" s="212"/>
      <c r="BL347" s="212"/>
      <c r="BM347" s="212"/>
      <c r="BN347" s="212"/>
      <c r="BO347" s="212"/>
      <c r="BP347" s="212"/>
      <c r="BQ347" s="212"/>
      <c r="BR347" s="212"/>
      <c r="BS347" s="212"/>
      <c r="BT347" s="212"/>
      <c r="BU347" s="212"/>
      <c r="BV347" s="212"/>
      <c r="BW347" s="212"/>
      <c r="BX347" s="212"/>
      <c r="BY347" s="212"/>
      <c r="BZ347" s="212"/>
      <c r="CA347" s="212"/>
      <c r="CB347" s="212"/>
      <c r="CC347" s="212"/>
      <c r="CD347" s="212"/>
      <c r="CE347" s="212"/>
      <c r="CF347" s="212"/>
      <c r="CG347" s="212"/>
      <c r="CH347" s="212"/>
      <c r="CI347" s="212"/>
      <c r="CJ347" s="212"/>
      <c r="CK347" s="212"/>
      <c r="CL347" s="212"/>
      <c r="CM347" s="212"/>
      <c r="CN347" s="212"/>
      <c r="CO347" s="212"/>
      <c r="CP347" s="212"/>
      <c r="CQ347" s="212"/>
      <c r="CR347" s="212"/>
      <c r="CS347" s="212"/>
    </row>
    <row r="348" spans="1:97" x14ac:dyDescent="0.4">
      <c r="A348" s="209">
        <v>45634</v>
      </c>
      <c r="B348" s="210" t="s">
        <v>300</v>
      </c>
      <c r="C348" s="212"/>
      <c r="D348" s="212"/>
      <c r="E348" s="212"/>
      <c r="F348" s="212"/>
      <c r="G348" s="212"/>
      <c r="H348" s="212"/>
      <c r="I348" s="212"/>
      <c r="J348" s="212"/>
      <c r="K348" s="212"/>
      <c r="L348" s="212"/>
      <c r="M348" s="212"/>
      <c r="N348" s="212"/>
      <c r="O348" s="212"/>
      <c r="P348" s="212"/>
      <c r="Q348" s="212"/>
      <c r="R348" s="212"/>
      <c r="S348" s="212"/>
      <c r="T348" s="212"/>
      <c r="U348" s="212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12"/>
      <c r="AF348" s="212"/>
      <c r="AG348" s="212"/>
      <c r="AH348" s="212"/>
      <c r="AI348" s="212"/>
      <c r="AJ348" s="212"/>
      <c r="AK348" s="212"/>
      <c r="AL348" s="212"/>
      <c r="AM348" s="212"/>
      <c r="AN348" s="212"/>
      <c r="AO348" s="212"/>
      <c r="AP348" s="212"/>
      <c r="AQ348" s="212"/>
      <c r="AR348" s="212"/>
      <c r="AS348" s="212"/>
      <c r="AT348" s="212"/>
      <c r="AU348" s="212"/>
      <c r="AV348" s="212"/>
      <c r="AW348" s="212"/>
      <c r="AX348" s="212"/>
      <c r="AY348" s="212"/>
      <c r="AZ348" s="212"/>
      <c r="BA348" s="212"/>
      <c r="BB348" s="212"/>
      <c r="BC348" s="212"/>
      <c r="BD348" s="212"/>
      <c r="BE348" s="212"/>
      <c r="BF348" s="212"/>
      <c r="BG348" s="212"/>
      <c r="BH348" s="212"/>
      <c r="BI348" s="212"/>
      <c r="BJ348" s="212"/>
      <c r="BK348" s="212"/>
      <c r="BL348" s="212"/>
      <c r="BM348" s="212"/>
      <c r="BN348" s="212"/>
      <c r="BO348" s="212"/>
      <c r="BP348" s="212"/>
      <c r="BQ348" s="212"/>
      <c r="BR348" s="212"/>
      <c r="BS348" s="212"/>
      <c r="BT348" s="212"/>
      <c r="BU348" s="212"/>
      <c r="BV348" s="212"/>
      <c r="BW348" s="212"/>
      <c r="BX348" s="212"/>
      <c r="BY348" s="212"/>
      <c r="BZ348" s="212"/>
      <c r="CA348" s="212"/>
      <c r="CB348" s="212"/>
      <c r="CC348" s="212"/>
      <c r="CD348" s="212"/>
      <c r="CE348" s="212"/>
      <c r="CF348" s="212"/>
      <c r="CG348" s="212"/>
      <c r="CH348" s="212"/>
      <c r="CI348" s="212"/>
      <c r="CJ348" s="212"/>
      <c r="CK348" s="212"/>
      <c r="CL348" s="212"/>
      <c r="CM348" s="212"/>
      <c r="CN348" s="212"/>
      <c r="CO348" s="212"/>
      <c r="CP348" s="212"/>
      <c r="CQ348" s="212"/>
      <c r="CR348" s="212"/>
      <c r="CS348" s="212"/>
    </row>
    <row r="349" spans="1:97" x14ac:dyDescent="0.4">
      <c r="A349" s="209">
        <v>45635</v>
      </c>
      <c r="B349" s="210" t="s">
        <v>294</v>
      </c>
      <c r="C349" s="212"/>
      <c r="D349" s="212"/>
      <c r="E349" s="212"/>
      <c r="F349" s="212"/>
      <c r="G349" s="212"/>
      <c r="H349" s="212"/>
      <c r="I349" s="212"/>
      <c r="J349" s="212"/>
      <c r="K349" s="212"/>
      <c r="L349" s="212"/>
      <c r="M349" s="212"/>
      <c r="N349" s="212"/>
      <c r="O349" s="212"/>
      <c r="P349" s="212"/>
      <c r="Q349" s="212"/>
      <c r="R349" s="212"/>
      <c r="S349" s="212"/>
      <c r="T349" s="212"/>
      <c r="U349" s="212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12"/>
      <c r="AF349" s="212"/>
      <c r="AG349" s="212"/>
      <c r="AH349" s="212"/>
      <c r="AI349" s="212"/>
      <c r="AJ349" s="212"/>
      <c r="AK349" s="212"/>
      <c r="AL349" s="212"/>
      <c r="AM349" s="212"/>
      <c r="AN349" s="212"/>
      <c r="AO349" s="212"/>
      <c r="AP349" s="212"/>
      <c r="AQ349" s="212"/>
      <c r="AR349" s="212"/>
      <c r="AS349" s="212"/>
      <c r="AT349" s="212"/>
      <c r="AU349" s="212"/>
      <c r="AV349" s="212"/>
      <c r="AW349" s="212"/>
      <c r="AX349" s="212"/>
      <c r="AY349" s="212"/>
      <c r="AZ349" s="212"/>
      <c r="BA349" s="212"/>
      <c r="BB349" s="212"/>
      <c r="BC349" s="212"/>
      <c r="BD349" s="212"/>
      <c r="BE349" s="212"/>
      <c r="BF349" s="212"/>
      <c r="BG349" s="212"/>
      <c r="BH349" s="212"/>
      <c r="BI349" s="212"/>
      <c r="BJ349" s="212"/>
      <c r="BK349" s="212"/>
      <c r="BL349" s="212"/>
      <c r="BM349" s="212"/>
      <c r="BN349" s="212"/>
      <c r="BO349" s="212"/>
      <c r="BP349" s="212"/>
      <c r="BQ349" s="212"/>
      <c r="BR349" s="212"/>
      <c r="BS349" s="212"/>
      <c r="BT349" s="212"/>
      <c r="BU349" s="212"/>
      <c r="BV349" s="212"/>
      <c r="BW349" s="212"/>
      <c r="BX349" s="212"/>
      <c r="BY349" s="212"/>
      <c r="BZ349" s="212"/>
      <c r="CA349" s="212"/>
      <c r="CB349" s="212"/>
      <c r="CC349" s="212"/>
      <c r="CD349" s="212"/>
      <c r="CE349" s="212"/>
      <c r="CF349" s="212"/>
      <c r="CG349" s="212"/>
      <c r="CH349" s="212"/>
      <c r="CI349" s="212"/>
      <c r="CJ349" s="212"/>
      <c r="CK349" s="212"/>
      <c r="CL349" s="212"/>
      <c r="CM349" s="212"/>
      <c r="CN349" s="212"/>
      <c r="CO349" s="212"/>
      <c r="CP349" s="212"/>
      <c r="CQ349" s="212"/>
      <c r="CR349" s="212"/>
      <c r="CS349" s="212"/>
    </row>
    <row r="350" spans="1:97" x14ac:dyDescent="0.4">
      <c r="A350" s="209">
        <v>45636</v>
      </c>
      <c r="B350" s="210" t="s">
        <v>295</v>
      </c>
      <c r="C350" s="212"/>
      <c r="D350" s="212"/>
      <c r="E350" s="212"/>
      <c r="F350" s="212"/>
      <c r="G350" s="212"/>
      <c r="H350" s="212"/>
      <c r="I350" s="212"/>
      <c r="J350" s="212"/>
      <c r="K350" s="212"/>
      <c r="L350" s="212"/>
      <c r="M350" s="212"/>
      <c r="N350" s="212"/>
      <c r="O350" s="212"/>
      <c r="P350" s="212"/>
      <c r="Q350" s="212"/>
      <c r="R350" s="212"/>
      <c r="S350" s="212"/>
      <c r="T350" s="212"/>
      <c r="U350" s="212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12"/>
      <c r="AF350" s="212"/>
      <c r="AG350" s="212"/>
      <c r="AH350" s="212"/>
      <c r="AI350" s="212"/>
      <c r="AJ350" s="212"/>
      <c r="AK350" s="212"/>
      <c r="AL350" s="212"/>
      <c r="AM350" s="212"/>
      <c r="AN350" s="212"/>
      <c r="AO350" s="212"/>
      <c r="AP350" s="212"/>
      <c r="AQ350" s="212"/>
      <c r="AR350" s="212"/>
      <c r="AS350" s="212"/>
      <c r="AT350" s="212"/>
      <c r="AU350" s="212"/>
      <c r="AV350" s="212"/>
      <c r="AW350" s="212"/>
      <c r="AX350" s="212"/>
      <c r="AY350" s="212"/>
      <c r="AZ350" s="212"/>
      <c r="BA350" s="212"/>
      <c r="BB350" s="212"/>
      <c r="BC350" s="212"/>
      <c r="BD350" s="212"/>
      <c r="BE350" s="212"/>
      <c r="BF350" s="212"/>
      <c r="BG350" s="212"/>
      <c r="BH350" s="212"/>
      <c r="BI350" s="212"/>
      <c r="BJ350" s="212"/>
      <c r="BK350" s="212"/>
      <c r="BL350" s="212"/>
      <c r="BM350" s="212"/>
      <c r="BN350" s="212"/>
      <c r="BO350" s="212"/>
      <c r="BP350" s="212"/>
      <c r="BQ350" s="212"/>
      <c r="BR350" s="212"/>
      <c r="BS350" s="212"/>
      <c r="BT350" s="212"/>
      <c r="BU350" s="212"/>
      <c r="BV350" s="212"/>
      <c r="BW350" s="212"/>
      <c r="BX350" s="212"/>
      <c r="BY350" s="212"/>
      <c r="BZ350" s="212"/>
      <c r="CA350" s="212"/>
      <c r="CB350" s="212"/>
      <c r="CC350" s="212"/>
      <c r="CD350" s="212"/>
      <c r="CE350" s="212"/>
      <c r="CF350" s="212"/>
      <c r="CG350" s="212"/>
      <c r="CH350" s="212"/>
      <c r="CI350" s="212"/>
      <c r="CJ350" s="212"/>
      <c r="CK350" s="212"/>
      <c r="CL350" s="212"/>
      <c r="CM350" s="212"/>
      <c r="CN350" s="212"/>
      <c r="CO350" s="212"/>
      <c r="CP350" s="212"/>
      <c r="CQ350" s="212"/>
      <c r="CR350" s="212"/>
      <c r="CS350" s="212"/>
    </row>
    <row r="351" spans="1:97" x14ac:dyDescent="0.4">
      <c r="A351" s="209">
        <v>45637</v>
      </c>
      <c r="B351" s="210" t="s">
        <v>296</v>
      </c>
      <c r="C351" s="212"/>
      <c r="D351" s="212"/>
      <c r="E351" s="212"/>
      <c r="F351" s="212"/>
      <c r="G351" s="212"/>
      <c r="H351" s="212"/>
      <c r="I351" s="212"/>
      <c r="J351" s="212"/>
      <c r="K351" s="212"/>
      <c r="L351" s="212"/>
      <c r="M351" s="212"/>
      <c r="N351" s="212"/>
      <c r="O351" s="212"/>
      <c r="P351" s="212"/>
      <c r="Q351" s="212"/>
      <c r="R351" s="212"/>
      <c r="S351" s="212"/>
      <c r="T351" s="212"/>
      <c r="U351" s="212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12"/>
      <c r="AF351" s="212"/>
      <c r="AG351" s="212"/>
      <c r="AH351" s="212"/>
      <c r="AI351" s="212"/>
      <c r="AJ351" s="212"/>
      <c r="AK351" s="212"/>
      <c r="AL351" s="212"/>
      <c r="AM351" s="212"/>
      <c r="AN351" s="212"/>
      <c r="AO351" s="212"/>
      <c r="AP351" s="212"/>
      <c r="AQ351" s="212"/>
      <c r="AR351" s="212"/>
      <c r="AS351" s="212"/>
      <c r="AT351" s="212"/>
      <c r="AU351" s="212"/>
      <c r="AV351" s="212"/>
      <c r="AW351" s="212"/>
      <c r="AX351" s="212"/>
      <c r="AY351" s="212"/>
      <c r="AZ351" s="212"/>
      <c r="BA351" s="212"/>
      <c r="BB351" s="212"/>
      <c r="BC351" s="212"/>
      <c r="BD351" s="212"/>
      <c r="BE351" s="212"/>
      <c r="BF351" s="212"/>
      <c r="BG351" s="212"/>
      <c r="BH351" s="212"/>
      <c r="BI351" s="212"/>
      <c r="BJ351" s="212"/>
      <c r="BK351" s="212"/>
      <c r="BL351" s="212"/>
      <c r="BM351" s="212"/>
      <c r="BN351" s="212"/>
      <c r="BO351" s="212"/>
      <c r="BP351" s="212"/>
      <c r="BQ351" s="212"/>
      <c r="BR351" s="212"/>
      <c r="BS351" s="212"/>
      <c r="BT351" s="212"/>
      <c r="BU351" s="212"/>
      <c r="BV351" s="212"/>
      <c r="BW351" s="212"/>
      <c r="BX351" s="212"/>
      <c r="BY351" s="212"/>
      <c r="BZ351" s="212"/>
      <c r="CA351" s="212"/>
      <c r="CB351" s="212"/>
      <c r="CC351" s="212"/>
      <c r="CD351" s="212"/>
      <c r="CE351" s="212"/>
      <c r="CF351" s="212"/>
      <c r="CG351" s="212"/>
      <c r="CH351" s="212"/>
      <c r="CI351" s="212"/>
      <c r="CJ351" s="212"/>
      <c r="CK351" s="212"/>
      <c r="CL351" s="212"/>
      <c r="CM351" s="212"/>
      <c r="CN351" s="212"/>
      <c r="CO351" s="212"/>
      <c r="CP351" s="212"/>
      <c r="CQ351" s="212"/>
      <c r="CR351" s="212"/>
      <c r="CS351" s="212"/>
    </row>
    <row r="352" spans="1:97" x14ac:dyDescent="0.4">
      <c r="A352" s="209">
        <v>45638</v>
      </c>
      <c r="B352" s="210" t="s">
        <v>297</v>
      </c>
      <c r="C352" s="212"/>
      <c r="D352" s="212"/>
      <c r="E352" s="212"/>
      <c r="F352" s="212"/>
      <c r="G352" s="212"/>
      <c r="H352" s="212"/>
      <c r="I352" s="212"/>
      <c r="J352" s="212"/>
      <c r="K352" s="212"/>
      <c r="L352" s="212"/>
      <c r="M352" s="212"/>
      <c r="N352" s="212"/>
      <c r="O352" s="212"/>
      <c r="P352" s="212"/>
      <c r="Q352" s="212"/>
      <c r="R352" s="212"/>
      <c r="S352" s="212"/>
      <c r="T352" s="212"/>
      <c r="U352" s="212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12"/>
      <c r="AF352" s="212"/>
      <c r="AG352" s="212"/>
      <c r="AH352" s="212"/>
      <c r="AI352" s="212"/>
      <c r="AJ352" s="212"/>
      <c r="AK352" s="212"/>
      <c r="AL352" s="212"/>
      <c r="AM352" s="212"/>
      <c r="AN352" s="212"/>
      <c r="AO352" s="212"/>
      <c r="AP352" s="212"/>
      <c r="AQ352" s="212"/>
      <c r="AR352" s="212"/>
      <c r="AS352" s="212"/>
      <c r="AT352" s="212"/>
      <c r="AU352" s="212"/>
      <c r="AV352" s="212"/>
      <c r="AW352" s="212"/>
      <c r="AX352" s="212"/>
      <c r="AY352" s="212"/>
      <c r="AZ352" s="212"/>
      <c r="BA352" s="212"/>
      <c r="BB352" s="212"/>
      <c r="BC352" s="212"/>
      <c r="BD352" s="212"/>
      <c r="BE352" s="212"/>
      <c r="BF352" s="212"/>
      <c r="BG352" s="212"/>
      <c r="BH352" s="212"/>
      <c r="BI352" s="212"/>
      <c r="BJ352" s="212"/>
      <c r="BK352" s="212"/>
      <c r="BL352" s="212"/>
      <c r="BM352" s="212"/>
      <c r="BN352" s="212"/>
      <c r="BO352" s="212"/>
      <c r="BP352" s="212"/>
      <c r="BQ352" s="212"/>
      <c r="BR352" s="212"/>
      <c r="BS352" s="212"/>
      <c r="BT352" s="212"/>
      <c r="BU352" s="212"/>
      <c r="BV352" s="212"/>
      <c r="BW352" s="212"/>
      <c r="BX352" s="212"/>
      <c r="BY352" s="212"/>
      <c r="BZ352" s="212"/>
      <c r="CA352" s="212"/>
      <c r="CB352" s="212"/>
      <c r="CC352" s="212"/>
      <c r="CD352" s="212"/>
      <c r="CE352" s="212"/>
      <c r="CF352" s="212"/>
      <c r="CG352" s="212"/>
      <c r="CH352" s="212"/>
      <c r="CI352" s="212"/>
      <c r="CJ352" s="212"/>
      <c r="CK352" s="212"/>
      <c r="CL352" s="212"/>
      <c r="CM352" s="212"/>
      <c r="CN352" s="212"/>
      <c r="CO352" s="212"/>
      <c r="CP352" s="212"/>
      <c r="CQ352" s="212"/>
      <c r="CR352" s="212"/>
      <c r="CS352" s="212"/>
    </row>
    <row r="353" spans="1:97" x14ac:dyDescent="0.4">
      <c r="A353" s="209">
        <v>45639</v>
      </c>
      <c r="B353" s="210" t="s">
        <v>298</v>
      </c>
      <c r="C353" s="212"/>
      <c r="D353" s="212"/>
      <c r="E353" s="212"/>
      <c r="F353" s="212"/>
      <c r="G353" s="212"/>
      <c r="H353" s="212"/>
      <c r="I353" s="212"/>
      <c r="J353" s="212"/>
      <c r="K353" s="212"/>
      <c r="L353" s="212"/>
      <c r="M353" s="212"/>
      <c r="N353" s="212"/>
      <c r="O353" s="212"/>
      <c r="P353" s="212"/>
      <c r="Q353" s="212"/>
      <c r="R353" s="212"/>
      <c r="S353" s="212"/>
      <c r="T353" s="212"/>
      <c r="U353" s="212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12"/>
      <c r="AF353" s="212"/>
      <c r="AG353" s="212"/>
      <c r="AH353" s="212"/>
      <c r="AI353" s="212"/>
      <c r="AJ353" s="212"/>
      <c r="AK353" s="212"/>
      <c r="AL353" s="212"/>
      <c r="AM353" s="212"/>
      <c r="AN353" s="212"/>
      <c r="AO353" s="212"/>
      <c r="AP353" s="212"/>
      <c r="AQ353" s="212"/>
      <c r="AR353" s="212"/>
      <c r="AS353" s="212"/>
      <c r="AT353" s="212"/>
      <c r="AU353" s="212"/>
      <c r="AV353" s="212"/>
      <c r="AW353" s="212"/>
      <c r="AX353" s="212"/>
      <c r="AY353" s="212"/>
      <c r="AZ353" s="212"/>
      <c r="BA353" s="212"/>
      <c r="BB353" s="212"/>
      <c r="BC353" s="212"/>
      <c r="BD353" s="212"/>
      <c r="BE353" s="212"/>
      <c r="BF353" s="212"/>
      <c r="BG353" s="212"/>
      <c r="BH353" s="212"/>
      <c r="BI353" s="212"/>
      <c r="BJ353" s="212"/>
      <c r="BK353" s="212"/>
      <c r="BL353" s="212"/>
      <c r="BM353" s="212"/>
      <c r="BN353" s="212"/>
      <c r="BO353" s="212"/>
      <c r="BP353" s="212"/>
      <c r="BQ353" s="212"/>
      <c r="BR353" s="212"/>
      <c r="BS353" s="212"/>
      <c r="BT353" s="212"/>
      <c r="BU353" s="212"/>
      <c r="BV353" s="212"/>
      <c r="BW353" s="212"/>
      <c r="BX353" s="212"/>
      <c r="BY353" s="212"/>
      <c r="BZ353" s="212"/>
      <c r="CA353" s="212"/>
      <c r="CB353" s="212"/>
      <c r="CC353" s="212"/>
      <c r="CD353" s="212"/>
      <c r="CE353" s="212"/>
      <c r="CF353" s="212"/>
      <c r="CG353" s="212"/>
      <c r="CH353" s="212"/>
      <c r="CI353" s="212"/>
      <c r="CJ353" s="212"/>
      <c r="CK353" s="212"/>
      <c r="CL353" s="212"/>
      <c r="CM353" s="212"/>
      <c r="CN353" s="212"/>
      <c r="CO353" s="212"/>
      <c r="CP353" s="212"/>
      <c r="CQ353" s="212"/>
      <c r="CR353" s="212"/>
      <c r="CS353" s="212"/>
    </row>
    <row r="354" spans="1:97" x14ac:dyDescent="0.4">
      <c r="A354" s="209">
        <v>45640</v>
      </c>
      <c r="B354" s="210" t="s">
        <v>299</v>
      </c>
      <c r="C354" s="212"/>
      <c r="D354" s="212"/>
      <c r="E354" s="212"/>
      <c r="F354" s="212"/>
      <c r="G354" s="212"/>
      <c r="H354" s="212"/>
      <c r="I354" s="212"/>
      <c r="J354" s="212"/>
      <c r="K354" s="212"/>
      <c r="L354" s="212"/>
      <c r="M354" s="212"/>
      <c r="N354" s="212"/>
      <c r="O354" s="212"/>
      <c r="P354" s="212"/>
      <c r="Q354" s="212"/>
      <c r="R354" s="212"/>
      <c r="S354" s="212"/>
      <c r="T354" s="212"/>
      <c r="U354" s="212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12"/>
      <c r="AF354" s="212"/>
      <c r="AG354" s="212"/>
      <c r="AH354" s="212"/>
      <c r="AI354" s="212"/>
      <c r="AJ354" s="212"/>
      <c r="AK354" s="212"/>
      <c r="AL354" s="212"/>
      <c r="AM354" s="212"/>
      <c r="AN354" s="212"/>
      <c r="AO354" s="212"/>
      <c r="AP354" s="212"/>
      <c r="AQ354" s="212"/>
      <c r="AR354" s="212"/>
      <c r="AS354" s="212"/>
      <c r="AT354" s="212"/>
      <c r="AU354" s="212"/>
      <c r="AV354" s="212"/>
      <c r="AW354" s="212"/>
      <c r="AX354" s="212"/>
      <c r="AY354" s="212"/>
      <c r="AZ354" s="212"/>
      <c r="BA354" s="212"/>
      <c r="BB354" s="212"/>
      <c r="BC354" s="212"/>
      <c r="BD354" s="212"/>
      <c r="BE354" s="212"/>
      <c r="BF354" s="212"/>
      <c r="BG354" s="212"/>
      <c r="BH354" s="212"/>
      <c r="BI354" s="212"/>
      <c r="BJ354" s="212"/>
      <c r="BK354" s="212"/>
      <c r="BL354" s="212"/>
      <c r="BM354" s="212"/>
      <c r="BN354" s="212"/>
      <c r="BO354" s="212"/>
      <c r="BP354" s="212"/>
      <c r="BQ354" s="212"/>
      <c r="BR354" s="212"/>
      <c r="BS354" s="212"/>
      <c r="BT354" s="212"/>
      <c r="BU354" s="212"/>
      <c r="BV354" s="212"/>
      <c r="BW354" s="212"/>
      <c r="BX354" s="212"/>
      <c r="BY354" s="212"/>
      <c r="BZ354" s="212"/>
      <c r="CA354" s="212"/>
      <c r="CB354" s="212"/>
      <c r="CC354" s="212"/>
      <c r="CD354" s="212"/>
      <c r="CE354" s="212"/>
      <c r="CF354" s="212"/>
      <c r="CG354" s="212"/>
      <c r="CH354" s="212"/>
      <c r="CI354" s="212"/>
      <c r="CJ354" s="212"/>
      <c r="CK354" s="212"/>
      <c r="CL354" s="212"/>
      <c r="CM354" s="212"/>
      <c r="CN354" s="212"/>
      <c r="CO354" s="212"/>
      <c r="CP354" s="212"/>
      <c r="CQ354" s="212"/>
      <c r="CR354" s="212"/>
      <c r="CS354" s="212"/>
    </row>
    <row r="355" spans="1:97" x14ac:dyDescent="0.4">
      <c r="A355" s="209">
        <v>45641</v>
      </c>
      <c r="B355" s="210" t="s">
        <v>300</v>
      </c>
      <c r="C355" s="212"/>
      <c r="D355" s="212"/>
      <c r="E355" s="212"/>
      <c r="F355" s="212"/>
      <c r="G355" s="212"/>
      <c r="H355" s="212"/>
      <c r="I355" s="212"/>
      <c r="J355" s="212"/>
      <c r="K355" s="212"/>
      <c r="L355" s="212"/>
      <c r="M355" s="212"/>
      <c r="N355" s="212"/>
      <c r="O355" s="212"/>
      <c r="P355" s="212"/>
      <c r="Q355" s="212"/>
      <c r="R355" s="212"/>
      <c r="S355" s="212"/>
      <c r="T355" s="212"/>
      <c r="U355" s="212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12"/>
      <c r="AF355" s="212"/>
      <c r="AG355" s="212"/>
      <c r="AH355" s="212"/>
      <c r="AI355" s="212"/>
      <c r="AJ355" s="212"/>
      <c r="AK355" s="212"/>
      <c r="AL355" s="212"/>
      <c r="AM355" s="212"/>
      <c r="AN355" s="212"/>
      <c r="AO355" s="212"/>
      <c r="AP355" s="212"/>
      <c r="AQ355" s="212"/>
      <c r="AR355" s="212"/>
      <c r="AS355" s="212"/>
      <c r="AT355" s="212"/>
      <c r="AU355" s="212"/>
      <c r="AV355" s="212"/>
      <c r="AW355" s="212"/>
      <c r="AX355" s="212"/>
      <c r="AY355" s="212"/>
      <c r="AZ355" s="212"/>
      <c r="BA355" s="212"/>
      <c r="BB355" s="212"/>
      <c r="BC355" s="212"/>
      <c r="BD355" s="212"/>
      <c r="BE355" s="212"/>
      <c r="BF355" s="212"/>
      <c r="BG355" s="212"/>
      <c r="BH355" s="212"/>
      <c r="BI355" s="212"/>
      <c r="BJ355" s="212"/>
      <c r="BK355" s="212"/>
      <c r="BL355" s="212"/>
      <c r="BM355" s="212"/>
      <c r="BN355" s="212"/>
      <c r="BO355" s="212"/>
      <c r="BP355" s="212"/>
      <c r="BQ355" s="212"/>
      <c r="BR355" s="212"/>
      <c r="BS355" s="212"/>
      <c r="BT355" s="212"/>
      <c r="BU355" s="212"/>
      <c r="BV355" s="212"/>
      <c r="BW355" s="212"/>
      <c r="BX355" s="212"/>
      <c r="BY355" s="212"/>
      <c r="BZ355" s="212"/>
      <c r="CA355" s="212"/>
      <c r="CB355" s="212"/>
      <c r="CC355" s="212"/>
      <c r="CD355" s="212"/>
      <c r="CE355" s="212"/>
      <c r="CF355" s="212"/>
      <c r="CG355" s="212"/>
      <c r="CH355" s="212"/>
      <c r="CI355" s="212"/>
      <c r="CJ355" s="212"/>
      <c r="CK355" s="212"/>
      <c r="CL355" s="212"/>
      <c r="CM355" s="212"/>
      <c r="CN355" s="212"/>
      <c r="CO355" s="212"/>
      <c r="CP355" s="212"/>
      <c r="CQ355" s="212"/>
      <c r="CR355" s="212"/>
      <c r="CS355" s="212"/>
    </row>
    <row r="356" spans="1:97" x14ac:dyDescent="0.4">
      <c r="A356" s="209">
        <v>45642</v>
      </c>
      <c r="B356" s="210" t="s">
        <v>294</v>
      </c>
      <c r="C356" s="212"/>
      <c r="D356" s="212"/>
      <c r="E356" s="212"/>
      <c r="F356" s="212"/>
      <c r="G356" s="212"/>
      <c r="H356" s="212"/>
      <c r="I356" s="212"/>
      <c r="J356" s="212"/>
      <c r="K356" s="212"/>
      <c r="L356" s="212"/>
      <c r="M356" s="212"/>
      <c r="N356" s="212"/>
      <c r="O356" s="212"/>
      <c r="P356" s="212"/>
      <c r="Q356" s="212"/>
      <c r="R356" s="212"/>
      <c r="S356" s="212"/>
      <c r="T356" s="212"/>
      <c r="U356" s="212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12"/>
      <c r="AF356" s="212"/>
      <c r="AG356" s="212"/>
      <c r="AH356" s="212"/>
      <c r="AI356" s="212"/>
      <c r="AJ356" s="212"/>
      <c r="AK356" s="212"/>
      <c r="AL356" s="212"/>
      <c r="AM356" s="212"/>
      <c r="AN356" s="212"/>
      <c r="AO356" s="212"/>
      <c r="AP356" s="212"/>
      <c r="AQ356" s="212"/>
      <c r="AR356" s="212"/>
      <c r="AS356" s="212"/>
      <c r="AT356" s="212"/>
      <c r="AU356" s="212"/>
      <c r="AV356" s="212"/>
      <c r="AW356" s="212"/>
      <c r="AX356" s="212"/>
      <c r="AY356" s="212"/>
      <c r="AZ356" s="212"/>
      <c r="BA356" s="212"/>
      <c r="BB356" s="212"/>
      <c r="BC356" s="212"/>
      <c r="BD356" s="212"/>
      <c r="BE356" s="212"/>
      <c r="BF356" s="212"/>
      <c r="BG356" s="212"/>
      <c r="BH356" s="212"/>
      <c r="BI356" s="212"/>
      <c r="BJ356" s="212"/>
      <c r="BK356" s="212"/>
      <c r="BL356" s="212"/>
      <c r="BM356" s="212"/>
      <c r="BN356" s="212"/>
      <c r="BO356" s="212"/>
      <c r="BP356" s="212"/>
      <c r="BQ356" s="212"/>
      <c r="BR356" s="212"/>
      <c r="BS356" s="212"/>
      <c r="BT356" s="212"/>
      <c r="BU356" s="212"/>
      <c r="BV356" s="212"/>
      <c r="BW356" s="212"/>
      <c r="BX356" s="212"/>
      <c r="BY356" s="212"/>
      <c r="BZ356" s="212"/>
      <c r="CA356" s="212"/>
      <c r="CB356" s="212"/>
      <c r="CC356" s="212"/>
      <c r="CD356" s="212"/>
      <c r="CE356" s="212"/>
      <c r="CF356" s="212"/>
      <c r="CG356" s="212"/>
      <c r="CH356" s="212"/>
      <c r="CI356" s="212"/>
      <c r="CJ356" s="212"/>
      <c r="CK356" s="212"/>
      <c r="CL356" s="212"/>
      <c r="CM356" s="212"/>
      <c r="CN356" s="212"/>
      <c r="CO356" s="212"/>
      <c r="CP356" s="212"/>
      <c r="CQ356" s="212"/>
      <c r="CR356" s="212"/>
      <c r="CS356" s="212"/>
    </row>
    <row r="357" spans="1:97" x14ac:dyDescent="0.4">
      <c r="A357" s="209">
        <v>45643</v>
      </c>
      <c r="B357" s="210" t="s">
        <v>295</v>
      </c>
      <c r="C357" s="212"/>
      <c r="D357" s="212"/>
      <c r="E357" s="212"/>
      <c r="F357" s="212"/>
      <c r="G357" s="212"/>
      <c r="H357" s="212"/>
      <c r="I357" s="212"/>
      <c r="J357" s="212"/>
      <c r="K357" s="212"/>
      <c r="L357" s="212"/>
      <c r="M357" s="212"/>
      <c r="N357" s="212"/>
      <c r="O357" s="212"/>
      <c r="P357" s="212"/>
      <c r="Q357" s="212"/>
      <c r="R357" s="212"/>
      <c r="S357" s="212"/>
      <c r="T357" s="212"/>
      <c r="U357" s="212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12"/>
      <c r="AF357" s="212"/>
      <c r="AG357" s="212"/>
      <c r="AH357" s="212"/>
      <c r="AI357" s="212"/>
      <c r="AJ357" s="212"/>
      <c r="AK357" s="212"/>
      <c r="AL357" s="212"/>
      <c r="AM357" s="212"/>
      <c r="AN357" s="212"/>
      <c r="AO357" s="212"/>
      <c r="AP357" s="212"/>
      <c r="AQ357" s="212"/>
      <c r="AR357" s="212"/>
      <c r="AS357" s="212"/>
      <c r="AT357" s="212"/>
      <c r="AU357" s="212"/>
      <c r="AV357" s="212"/>
      <c r="AW357" s="212"/>
      <c r="AX357" s="212"/>
      <c r="AY357" s="212"/>
      <c r="AZ357" s="212"/>
      <c r="BA357" s="212"/>
      <c r="BB357" s="212"/>
      <c r="BC357" s="212"/>
      <c r="BD357" s="212"/>
      <c r="BE357" s="212"/>
      <c r="BF357" s="212"/>
      <c r="BG357" s="212"/>
      <c r="BH357" s="212"/>
      <c r="BI357" s="212"/>
      <c r="BJ357" s="212"/>
      <c r="BK357" s="212"/>
      <c r="BL357" s="212"/>
      <c r="BM357" s="212"/>
      <c r="BN357" s="212"/>
      <c r="BO357" s="212"/>
      <c r="BP357" s="212"/>
      <c r="BQ357" s="212"/>
      <c r="BR357" s="212"/>
      <c r="BS357" s="212"/>
      <c r="BT357" s="212"/>
      <c r="BU357" s="212"/>
      <c r="BV357" s="212"/>
      <c r="BW357" s="212"/>
      <c r="BX357" s="212"/>
      <c r="BY357" s="212"/>
      <c r="BZ357" s="212"/>
      <c r="CA357" s="212"/>
      <c r="CB357" s="212"/>
      <c r="CC357" s="212"/>
      <c r="CD357" s="212"/>
      <c r="CE357" s="212"/>
      <c r="CF357" s="212"/>
      <c r="CG357" s="212"/>
      <c r="CH357" s="212"/>
      <c r="CI357" s="212"/>
      <c r="CJ357" s="212"/>
      <c r="CK357" s="212"/>
      <c r="CL357" s="212"/>
      <c r="CM357" s="212"/>
      <c r="CN357" s="212"/>
      <c r="CO357" s="212"/>
      <c r="CP357" s="212"/>
      <c r="CQ357" s="212"/>
      <c r="CR357" s="212"/>
      <c r="CS357" s="212"/>
    </row>
    <row r="358" spans="1:97" x14ac:dyDescent="0.4">
      <c r="A358" s="209">
        <v>45644</v>
      </c>
      <c r="B358" s="210" t="s">
        <v>296</v>
      </c>
      <c r="C358" s="212"/>
      <c r="D358" s="212"/>
      <c r="E358" s="212"/>
      <c r="F358" s="212"/>
      <c r="G358" s="212"/>
      <c r="H358" s="212"/>
      <c r="I358" s="212"/>
      <c r="J358" s="212"/>
      <c r="K358" s="212"/>
      <c r="L358" s="212"/>
      <c r="M358" s="212"/>
      <c r="N358" s="212"/>
      <c r="O358" s="212"/>
      <c r="P358" s="212"/>
      <c r="Q358" s="212"/>
      <c r="R358" s="212"/>
      <c r="S358" s="212"/>
      <c r="T358" s="212"/>
      <c r="U358" s="212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12"/>
      <c r="AF358" s="212"/>
      <c r="AG358" s="212"/>
      <c r="AH358" s="212"/>
      <c r="AI358" s="212"/>
      <c r="AJ358" s="212"/>
      <c r="AK358" s="212"/>
      <c r="AL358" s="212"/>
      <c r="AM358" s="212"/>
      <c r="AN358" s="212"/>
      <c r="AO358" s="212"/>
      <c r="AP358" s="212"/>
      <c r="AQ358" s="212"/>
      <c r="AR358" s="212"/>
      <c r="AS358" s="212"/>
      <c r="AT358" s="212"/>
      <c r="AU358" s="212"/>
      <c r="AV358" s="212"/>
      <c r="AW358" s="212"/>
      <c r="AX358" s="212"/>
      <c r="AY358" s="212"/>
      <c r="AZ358" s="212"/>
      <c r="BA358" s="212"/>
      <c r="BB358" s="212"/>
      <c r="BC358" s="212"/>
      <c r="BD358" s="212"/>
      <c r="BE358" s="212"/>
      <c r="BF358" s="212"/>
      <c r="BG358" s="212"/>
      <c r="BH358" s="212"/>
      <c r="BI358" s="212"/>
      <c r="BJ358" s="212"/>
      <c r="BK358" s="212"/>
      <c r="BL358" s="212"/>
      <c r="BM358" s="212"/>
      <c r="BN358" s="212"/>
      <c r="BO358" s="212"/>
      <c r="BP358" s="212"/>
      <c r="BQ358" s="212"/>
      <c r="BR358" s="212"/>
      <c r="BS358" s="212"/>
      <c r="BT358" s="212"/>
      <c r="BU358" s="212"/>
      <c r="BV358" s="212"/>
      <c r="BW358" s="212"/>
      <c r="BX358" s="212"/>
      <c r="BY358" s="212"/>
      <c r="BZ358" s="212"/>
      <c r="CA358" s="212"/>
      <c r="CB358" s="212"/>
      <c r="CC358" s="212"/>
      <c r="CD358" s="212"/>
      <c r="CE358" s="212"/>
      <c r="CF358" s="212"/>
      <c r="CG358" s="212"/>
      <c r="CH358" s="212"/>
      <c r="CI358" s="212"/>
      <c r="CJ358" s="212"/>
      <c r="CK358" s="212"/>
      <c r="CL358" s="212"/>
      <c r="CM358" s="212"/>
      <c r="CN358" s="212"/>
      <c r="CO358" s="212"/>
      <c r="CP358" s="212"/>
      <c r="CQ358" s="212"/>
      <c r="CR358" s="212"/>
      <c r="CS358" s="212"/>
    </row>
    <row r="359" spans="1:97" x14ac:dyDescent="0.4">
      <c r="A359" s="209">
        <v>45645</v>
      </c>
      <c r="B359" s="210" t="s">
        <v>297</v>
      </c>
      <c r="C359" s="212"/>
      <c r="D359" s="212"/>
      <c r="E359" s="212"/>
      <c r="F359" s="212"/>
      <c r="G359" s="212"/>
      <c r="H359" s="212"/>
      <c r="I359" s="212"/>
      <c r="J359" s="212"/>
      <c r="K359" s="212"/>
      <c r="L359" s="212"/>
      <c r="M359" s="212"/>
      <c r="N359" s="212"/>
      <c r="O359" s="212"/>
      <c r="P359" s="212"/>
      <c r="Q359" s="212"/>
      <c r="R359" s="212"/>
      <c r="S359" s="212"/>
      <c r="T359" s="212"/>
      <c r="U359" s="212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12"/>
      <c r="AF359" s="212"/>
      <c r="AG359" s="212"/>
      <c r="AH359" s="212"/>
      <c r="AI359" s="212"/>
      <c r="AJ359" s="212"/>
      <c r="AK359" s="212"/>
      <c r="AL359" s="212"/>
      <c r="AM359" s="212"/>
      <c r="AN359" s="212"/>
      <c r="AO359" s="212"/>
      <c r="AP359" s="212"/>
      <c r="AQ359" s="212"/>
      <c r="AR359" s="212"/>
      <c r="AS359" s="212"/>
      <c r="AT359" s="212"/>
      <c r="AU359" s="212"/>
      <c r="AV359" s="212"/>
      <c r="AW359" s="212"/>
      <c r="AX359" s="212"/>
      <c r="AY359" s="212"/>
      <c r="AZ359" s="212"/>
      <c r="BA359" s="212"/>
      <c r="BB359" s="212"/>
      <c r="BC359" s="212"/>
      <c r="BD359" s="212"/>
      <c r="BE359" s="212"/>
      <c r="BF359" s="212"/>
      <c r="BG359" s="212"/>
      <c r="BH359" s="212"/>
      <c r="BI359" s="212"/>
      <c r="BJ359" s="212"/>
      <c r="BK359" s="212"/>
      <c r="BL359" s="212"/>
      <c r="BM359" s="212"/>
      <c r="BN359" s="212"/>
      <c r="BO359" s="212"/>
      <c r="BP359" s="212"/>
      <c r="BQ359" s="212"/>
      <c r="BR359" s="212"/>
      <c r="BS359" s="212"/>
      <c r="BT359" s="212"/>
      <c r="BU359" s="212"/>
      <c r="BV359" s="212"/>
      <c r="BW359" s="212"/>
      <c r="BX359" s="212"/>
      <c r="BY359" s="212"/>
      <c r="BZ359" s="212"/>
      <c r="CA359" s="212"/>
      <c r="CB359" s="212"/>
      <c r="CC359" s="212"/>
      <c r="CD359" s="212"/>
      <c r="CE359" s="212"/>
      <c r="CF359" s="212"/>
      <c r="CG359" s="212"/>
      <c r="CH359" s="212"/>
      <c r="CI359" s="212"/>
      <c r="CJ359" s="212"/>
      <c r="CK359" s="212"/>
      <c r="CL359" s="212"/>
      <c r="CM359" s="212"/>
      <c r="CN359" s="212"/>
      <c r="CO359" s="212"/>
      <c r="CP359" s="212"/>
      <c r="CQ359" s="212"/>
      <c r="CR359" s="212"/>
      <c r="CS359" s="212"/>
    </row>
    <row r="360" spans="1:97" x14ac:dyDescent="0.4">
      <c r="A360" s="209">
        <v>45646</v>
      </c>
      <c r="B360" s="210" t="s">
        <v>298</v>
      </c>
      <c r="C360" s="212"/>
      <c r="D360" s="212"/>
      <c r="E360" s="212"/>
      <c r="F360" s="212"/>
      <c r="G360" s="212"/>
      <c r="H360" s="212"/>
      <c r="I360" s="212"/>
      <c r="J360" s="212"/>
      <c r="K360" s="212"/>
      <c r="L360" s="212"/>
      <c r="M360" s="212"/>
      <c r="N360" s="212"/>
      <c r="O360" s="212"/>
      <c r="P360" s="212"/>
      <c r="Q360" s="212"/>
      <c r="R360" s="212"/>
      <c r="S360" s="212"/>
      <c r="T360" s="212"/>
      <c r="U360" s="212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12"/>
      <c r="AF360" s="212"/>
      <c r="AG360" s="212"/>
      <c r="AH360" s="212"/>
      <c r="AI360" s="212"/>
      <c r="AJ360" s="212"/>
      <c r="AK360" s="212"/>
      <c r="AL360" s="212"/>
      <c r="AM360" s="212"/>
      <c r="AN360" s="212"/>
      <c r="AO360" s="212"/>
      <c r="AP360" s="212"/>
      <c r="AQ360" s="212"/>
      <c r="AR360" s="212"/>
      <c r="AS360" s="212"/>
      <c r="AT360" s="212"/>
      <c r="AU360" s="212"/>
      <c r="AV360" s="212"/>
      <c r="AW360" s="212"/>
      <c r="AX360" s="212"/>
      <c r="AY360" s="212"/>
      <c r="AZ360" s="212"/>
      <c r="BA360" s="212"/>
      <c r="BB360" s="212"/>
      <c r="BC360" s="212"/>
      <c r="BD360" s="212"/>
      <c r="BE360" s="212"/>
      <c r="BF360" s="212"/>
      <c r="BG360" s="212"/>
      <c r="BH360" s="212"/>
      <c r="BI360" s="212"/>
      <c r="BJ360" s="212"/>
      <c r="BK360" s="212"/>
      <c r="BL360" s="212"/>
      <c r="BM360" s="212"/>
      <c r="BN360" s="212"/>
      <c r="BO360" s="212"/>
      <c r="BP360" s="212"/>
      <c r="BQ360" s="212"/>
      <c r="BR360" s="212"/>
      <c r="BS360" s="212"/>
      <c r="BT360" s="212"/>
      <c r="BU360" s="212"/>
      <c r="BV360" s="212"/>
      <c r="BW360" s="212"/>
      <c r="BX360" s="212"/>
      <c r="BY360" s="212"/>
      <c r="BZ360" s="212"/>
      <c r="CA360" s="212"/>
      <c r="CB360" s="212"/>
      <c r="CC360" s="212"/>
      <c r="CD360" s="212"/>
      <c r="CE360" s="212"/>
      <c r="CF360" s="212"/>
      <c r="CG360" s="212"/>
      <c r="CH360" s="212"/>
      <c r="CI360" s="212"/>
      <c r="CJ360" s="212"/>
      <c r="CK360" s="212"/>
      <c r="CL360" s="212"/>
      <c r="CM360" s="212"/>
      <c r="CN360" s="212"/>
      <c r="CO360" s="212"/>
      <c r="CP360" s="212"/>
      <c r="CQ360" s="212"/>
      <c r="CR360" s="212"/>
      <c r="CS360" s="212"/>
    </row>
    <row r="361" spans="1:97" x14ac:dyDescent="0.4">
      <c r="A361" s="209">
        <v>45647</v>
      </c>
      <c r="B361" s="210" t="s">
        <v>299</v>
      </c>
      <c r="C361" s="212"/>
      <c r="D361" s="212"/>
      <c r="E361" s="212"/>
      <c r="F361" s="212"/>
      <c r="G361" s="212"/>
      <c r="H361" s="212"/>
      <c r="I361" s="212"/>
      <c r="J361" s="212"/>
      <c r="K361" s="212"/>
      <c r="L361" s="212"/>
      <c r="M361" s="212"/>
      <c r="N361" s="212"/>
      <c r="O361" s="212"/>
      <c r="P361" s="212"/>
      <c r="Q361" s="212"/>
      <c r="R361" s="212"/>
      <c r="S361" s="212"/>
      <c r="T361" s="212"/>
      <c r="U361" s="212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12"/>
      <c r="AF361" s="212"/>
      <c r="AG361" s="212"/>
      <c r="AH361" s="212"/>
      <c r="AI361" s="212"/>
      <c r="AJ361" s="212"/>
      <c r="AK361" s="212"/>
      <c r="AL361" s="212"/>
      <c r="AM361" s="212"/>
      <c r="AN361" s="212"/>
      <c r="AO361" s="212"/>
      <c r="AP361" s="212"/>
      <c r="AQ361" s="212"/>
      <c r="AR361" s="212"/>
      <c r="AS361" s="212"/>
      <c r="AT361" s="212"/>
      <c r="AU361" s="212"/>
      <c r="AV361" s="212"/>
      <c r="AW361" s="212"/>
      <c r="AX361" s="212"/>
      <c r="AY361" s="212"/>
      <c r="AZ361" s="212"/>
      <c r="BA361" s="212"/>
      <c r="BB361" s="212"/>
      <c r="BC361" s="212"/>
      <c r="BD361" s="212"/>
      <c r="BE361" s="212"/>
      <c r="BF361" s="212"/>
      <c r="BG361" s="212"/>
      <c r="BH361" s="212"/>
      <c r="BI361" s="212"/>
      <c r="BJ361" s="212"/>
      <c r="BK361" s="212"/>
      <c r="BL361" s="212"/>
      <c r="BM361" s="212"/>
      <c r="BN361" s="212"/>
      <c r="BO361" s="212"/>
      <c r="BP361" s="212"/>
      <c r="BQ361" s="212"/>
      <c r="BR361" s="212"/>
      <c r="BS361" s="212"/>
      <c r="BT361" s="212"/>
      <c r="BU361" s="212"/>
      <c r="BV361" s="212"/>
      <c r="BW361" s="212"/>
      <c r="BX361" s="212"/>
      <c r="BY361" s="212"/>
      <c r="BZ361" s="212"/>
      <c r="CA361" s="212"/>
      <c r="CB361" s="212"/>
      <c r="CC361" s="212"/>
      <c r="CD361" s="212"/>
      <c r="CE361" s="212"/>
      <c r="CF361" s="212"/>
      <c r="CG361" s="212"/>
      <c r="CH361" s="212"/>
      <c r="CI361" s="212"/>
      <c r="CJ361" s="212"/>
      <c r="CK361" s="212"/>
      <c r="CL361" s="212"/>
      <c r="CM361" s="212"/>
      <c r="CN361" s="212"/>
      <c r="CO361" s="212"/>
      <c r="CP361" s="212"/>
      <c r="CQ361" s="212"/>
      <c r="CR361" s="212"/>
      <c r="CS361" s="212"/>
    </row>
    <row r="362" spans="1:97" x14ac:dyDescent="0.4">
      <c r="A362" s="209">
        <v>45648</v>
      </c>
      <c r="B362" s="210" t="s">
        <v>300</v>
      </c>
      <c r="C362" s="212"/>
      <c r="D362" s="212"/>
      <c r="E362" s="212"/>
      <c r="F362" s="212"/>
      <c r="G362" s="212"/>
      <c r="H362" s="212"/>
      <c r="I362" s="212"/>
      <c r="J362" s="212"/>
      <c r="K362" s="212"/>
      <c r="L362" s="212"/>
      <c r="M362" s="212"/>
      <c r="N362" s="212"/>
      <c r="O362" s="212"/>
      <c r="P362" s="212"/>
      <c r="Q362" s="212"/>
      <c r="R362" s="212"/>
      <c r="S362" s="212"/>
      <c r="T362" s="212"/>
      <c r="U362" s="212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12"/>
      <c r="AF362" s="212"/>
      <c r="AG362" s="212"/>
      <c r="AH362" s="212"/>
      <c r="AI362" s="212"/>
      <c r="AJ362" s="212"/>
      <c r="AK362" s="212"/>
      <c r="AL362" s="212"/>
      <c r="AM362" s="212"/>
      <c r="AN362" s="212"/>
      <c r="AO362" s="212"/>
      <c r="AP362" s="212"/>
      <c r="AQ362" s="212"/>
      <c r="AR362" s="212"/>
      <c r="AS362" s="212"/>
      <c r="AT362" s="212"/>
      <c r="AU362" s="212"/>
      <c r="AV362" s="212"/>
      <c r="AW362" s="212"/>
      <c r="AX362" s="212"/>
      <c r="AY362" s="212"/>
      <c r="AZ362" s="212"/>
      <c r="BA362" s="212"/>
      <c r="BB362" s="212"/>
      <c r="BC362" s="212"/>
      <c r="BD362" s="212"/>
      <c r="BE362" s="212"/>
      <c r="BF362" s="212"/>
      <c r="BG362" s="212"/>
      <c r="BH362" s="212"/>
      <c r="BI362" s="212"/>
      <c r="BJ362" s="212"/>
      <c r="BK362" s="212"/>
      <c r="BL362" s="212"/>
      <c r="BM362" s="212"/>
      <c r="BN362" s="212"/>
      <c r="BO362" s="212"/>
      <c r="BP362" s="212"/>
      <c r="BQ362" s="212"/>
      <c r="BR362" s="212"/>
      <c r="BS362" s="212"/>
      <c r="BT362" s="212"/>
      <c r="BU362" s="212"/>
      <c r="BV362" s="212"/>
      <c r="BW362" s="212"/>
      <c r="BX362" s="212"/>
      <c r="BY362" s="212"/>
      <c r="BZ362" s="212"/>
      <c r="CA362" s="212"/>
      <c r="CB362" s="212"/>
      <c r="CC362" s="212"/>
      <c r="CD362" s="212"/>
      <c r="CE362" s="212"/>
      <c r="CF362" s="212"/>
      <c r="CG362" s="212"/>
      <c r="CH362" s="212"/>
      <c r="CI362" s="212"/>
      <c r="CJ362" s="212"/>
      <c r="CK362" s="212"/>
      <c r="CL362" s="212"/>
      <c r="CM362" s="212"/>
      <c r="CN362" s="212"/>
      <c r="CO362" s="212"/>
      <c r="CP362" s="212"/>
      <c r="CQ362" s="212"/>
      <c r="CR362" s="212"/>
      <c r="CS362" s="212"/>
    </row>
    <row r="363" spans="1:97" x14ac:dyDescent="0.4">
      <c r="A363" s="209">
        <v>45649</v>
      </c>
      <c r="B363" s="210" t="s">
        <v>294</v>
      </c>
      <c r="C363" s="212"/>
      <c r="D363" s="212"/>
      <c r="E363" s="212"/>
      <c r="F363" s="212"/>
      <c r="G363" s="212"/>
      <c r="H363" s="212"/>
      <c r="I363" s="212"/>
      <c r="J363" s="212"/>
      <c r="K363" s="212"/>
      <c r="L363" s="212"/>
      <c r="M363" s="212"/>
      <c r="N363" s="212"/>
      <c r="O363" s="212"/>
      <c r="P363" s="212"/>
      <c r="Q363" s="212"/>
      <c r="R363" s="212"/>
      <c r="S363" s="212"/>
      <c r="T363" s="212"/>
      <c r="U363" s="212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12"/>
      <c r="AF363" s="212"/>
      <c r="AG363" s="212"/>
      <c r="AH363" s="212"/>
      <c r="AI363" s="212"/>
      <c r="AJ363" s="212"/>
      <c r="AK363" s="212"/>
      <c r="AL363" s="212"/>
      <c r="AM363" s="212"/>
      <c r="AN363" s="212"/>
      <c r="AO363" s="212"/>
      <c r="AP363" s="212"/>
      <c r="AQ363" s="212"/>
      <c r="AR363" s="212"/>
      <c r="AS363" s="212"/>
      <c r="AT363" s="212"/>
      <c r="AU363" s="212"/>
      <c r="AV363" s="212"/>
      <c r="AW363" s="212"/>
      <c r="AX363" s="212"/>
      <c r="AY363" s="212"/>
      <c r="AZ363" s="212"/>
      <c r="BA363" s="212"/>
      <c r="BB363" s="212"/>
      <c r="BC363" s="212"/>
      <c r="BD363" s="212"/>
      <c r="BE363" s="212"/>
      <c r="BF363" s="212"/>
      <c r="BG363" s="212"/>
      <c r="BH363" s="212"/>
      <c r="BI363" s="212"/>
      <c r="BJ363" s="212"/>
      <c r="BK363" s="212"/>
      <c r="BL363" s="212"/>
      <c r="BM363" s="212"/>
      <c r="BN363" s="212"/>
      <c r="BO363" s="212"/>
      <c r="BP363" s="212"/>
      <c r="BQ363" s="212"/>
      <c r="BR363" s="212"/>
      <c r="BS363" s="212"/>
      <c r="BT363" s="212"/>
      <c r="BU363" s="212"/>
      <c r="BV363" s="212"/>
      <c r="BW363" s="212"/>
      <c r="BX363" s="212"/>
      <c r="BY363" s="212"/>
      <c r="BZ363" s="212"/>
      <c r="CA363" s="212"/>
      <c r="CB363" s="212"/>
      <c r="CC363" s="212"/>
      <c r="CD363" s="212"/>
      <c r="CE363" s="212"/>
      <c r="CF363" s="212"/>
      <c r="CG363" s="212"/>
      <c r="CH363" s="212"/>
      <c r="CI363" s="212"/>
      <c r="CJ363" s="212"/>
      <c r="CK363" s="212"/>
      <c r="CL363" s="212"/>
      <c r="CM363" s="212"/>
      <c r="CN363" s="212"/>
      <c r="CO363" s="212"/>
      <c r="CP363" s="212"/>
      <c r="CQ363" s="212"/>
      <c r="CR363" s="212"/>
      <c r="CS363" s="212"/>
    </row>
    <row r="364" spans="1:97" x14ac:dyDescent="0.4">
      <c r="A364" s="209">
        <v>45650</v>
      </c>
      <c r="B364" s="210" t="s">
        <v>295</v>
      </c>
      <c r="C364" s="212"/>
      <c r="D364" s="212"/>
      <c r="E364" s="212"/>
      <c r="F364" s="212"/>
      <c r="G364" s="212"/>
      <c r="H364" s="212"/>
      <c r="I364" s="212"/>
      <c r="J364" s="212"/>
      <c r="K364" s="212"/>
      <c r="L364" s="212"/>
      <c r="M364" s="212"/>
      <c r="N364" s="212"/>
      <c r="O364" s="212"/>
      <c r="P364" s="212"/>
      <c r="Q364" s="212"/>
      <c r="R364" s="212"/>
      <c r="S364" s="212"/>
      <c r="T364" s="212"/>
      <c r="U364" s="212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12"/>
      <c r="AF364" s="212"/>
      <c r="AG364" s="212"/>
      <c r="AH364" s="212"/>
      <c r="AI364" s="212"/>
      <c r="AJ364" s="212"/>
      <c r="AK364" s="212"/>
      <c r="AL364" s="212"/>
      <c r="AM364" s="212"/>
      <c r="AN364" s="212"/>
      <c r="AO364" s="212"/>
      <c r="AP364" s="212"/>
      <c r="AQ364" s="212"/>
      <c r="AR364" s="212"/>
      <c r="AS364" s="212"/>
      <c r="AT364" s="212"/>
      <c r="AU364" s="212"/>
      <c r="AV364" s="212"/>
      <c r="AW364" s="212"/>
      <c r="AX364" s="212"/>
      <c r="AY364" s="212"/>
      <c r="AZ364" s="212"/>
      <c r="BA364" s="212"/>
      <c r="BB364" s="212"/>
      <c r="BC364" s="212"/>
      <c r="BD364" s="212"/>
      <c r="BE364" s="212"/>
      <c r="BF364" s="212"/>
      <c r="BG364" s="212"/>
      <c r="BH364" s="212"/>
      <c r="BI364" s="212"/>
      <c r="BJ364" s="212"/>
      <c r="BK364" s="212"/>
      <c r="BL364" s="212"/>
      <c r="BM364" s="212"/>
      <c r="BN364" s="212"/>
      <c r="BO364" s="212"/>
      <c r="BP364" s="212"/>
      <c r="BQ364" s="212"/>
      <c r="BR364" s="212"/>
      <c r="BS364" s="212"/>
      <c r="BT364" s="212"/>
      <c r="BU364" s="212"/>
      <c r="BV364" s="212"/>
      <c r="BW364" s="212"/>
      <c r="BX364" s="212"/>
      <c r="BY364" s="212"/>
      <c r="BZ364" s="212"/>
      <c r="CA364" s="212"/>
      <c r="CB364" s="212"/>
      <c r="CC364" s="212"/>
      <c r="CD364" s="212"/>
      <c r="CE364" s="212"/>
      <c r="CF364" s="212"/>
      <c r="CG364" s="212"/>
      <c r="CH364" s="212"/>
      <c r="CI364" s="212"/>
      <c r="CJ364" s="212"/>
      <c r="CK364" s="212"/>
      <c r="CL364" s="212"/>
      <c r="CM364" s="212"/>
      <c r="CN364" s="212"/>
      <c r="CO364" s="212"/>
      <c r="CP364" s="212"/>
      <c r="CQ364" s="212"/>
      <c r="CR364" s="212"/>
      <c r="CS364" s="212"/>
    </row>
    <row r="365" spans="1:97" x14ac:dyDescent="0.4">
      <c r="A365" s="209">
        <v>45651</v>
      </c>
      <c r="B365" s="210" t="s">
        <v>296</v>
      </c>
      <c r="C365" s="212"/>
      <c r="D365" s="212"/>
      <c r="E365" s="212"/>
      <c r="F365" s="212"/>
      <c r="G365" s="212"/>
      <c r="H365" s="212"/>
      <c r="I365" s="212"/>
      <c r="J365" s="212"/>
      <c r="K365" s="212"/>
      <c r="L365" s="212"/>
      <c r="M365" s="212"/>
      <c r="N365" s="212"/>
      <c r="O365" s="212"/>
      <c r="P365" s="212"/>
      <c r="Q365" s="212"/>
      <c r="R365" s="212"/>
      <c r="S365" s="212"/>
      <c r="T365" s="212"/>
      <c r="U365" s="212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12"/>
      <c r="AF365" s="212"/>
      <c r="AG365" s="212"/>
      <c r="AH365" s="212"/>
      <c r="AI365" s="212"/>
      <c r="AJ365" s="212"/>
      <c r="AK365" s="212"/>
      <c r="AL365" s="212"/>
      <c r="AM365" s="212"/>
      <c r="AN365" s="212"/>
      <c r="AO365" s="212"/>
      <c r="AP365" s="212"/>
      <c r="AQ365" s="212"/>
      <c r="AR365" s="212"/>
      <c r="AS365" s="212"/>
      <c r="AT365" s="212"/>
      <c r="AU365" s="212"/>
      <c r="AV365" s="212"/>
      <c r="AW365" s="212"/>
      <c r="AX365" s="212"/>
      <c r="AY365" s="212"/>
      <c r="AZ365" s="212"/>
      <c r="BA365" s="212"/>
      <c r="BB365" s="212"/>
      <c r="BC365" s="212"/>
      <c r="BD365" s="212"/>
      <c r="BE365" s="212"/>
      <c r="BF365" s="212"/>
      <c r="BG365" s="212"/>
      <c r="BH365" s="212"/>
      <c r="BI365" s="212"/>
      <c r="BJ365" s="212"/>
      <c r="BK365" s="212"/>
      <c r="BL365" s="212"/>
      <c r="BM365" s="212"/>
      <c r="BN365" s="212"/>
      <c r="BO365" s="212"/>
      <c r="BP365" s="212"/>
      <c r="BQ365" s="212"/>
      <c r="BR365" s="212"/>
      <c r="BS365" s="212"/>
      <c r="BT365" s="212"/>
      <c r="BU365" s="212"/>
      <c r="BV365" s="212"/>
      <c r="BW365" s="212"/>
      <c r="BX365" s="212"/>
      <c r="BY365" s="212"/>
      <c r="BZ365" s="212"/>
      <c r="CA365" s="212"/>
      <c r="CB365" s="212"/>
      <c r="CC365" s="212"/>
      <c r="CD365" s="212"/>
      <c r="CE365" s="212"/>
      <c r="CF365" s="212"/>
      <c r="CG365" s="212"/>
      <c r="CH365" s="212"/>
      <c r="CI365" s="212"/>
      <c r="CJ365" s="212"/>
      <c r="CK365" s="212"/>
      <c r="CL365" s="212"/>
      <c r="CM365" s="212"/>
      <c r="CN365" s="212"/>
      <c r="CO365" s="212"/>
      <c r="CP365" s="212"/>
      <c r="CQ365" s="212"/>
      <c r="CR365" s="212"/>
      <c r="CS365" s="212"/>
    </row>
    <row r="366" spans="1:97" x14ac:dyDescent="0.4">
      <c r="A366" s="209">
        <v>45652</v>
      </c>
      <c r="B366" s="210" t="s">
        <v>297</v>
      </c>
      <c r="C366" s="212"/>
      <c r="D366" s="212"/>
      <c r="E366" s="212"/>
      <c r="F366" s="212"/>
      <c r="G366" s="212"/>
      <c r="H366" s="212"/>
      <c r="I366" s="212"/>
      <c r="J366" s="212"/>
      <c r="K366" s="212"/>
      <c r="L366" s="212"/>
      <c r="M366" s="212"/>
      <c r="N366" s="212"/>
      <c r="O366" s="212"/>
      <c r="P366" s="212"/>
      <c r="Q366" s="212"/>
      <c r="R366" s="212"/>
      <c r="S366" s="212"/>
      <c r="T366" s="212"/>
      <c r="U366" s="212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12"/>
      <c r="AF366" s="212"/>
      <c r="AG366" s="212"/>
      <c r="AH366" s="212"/>
      <c r="AI366" s="212"/>
      <c r="AJ366" s="212"/>
      <c r="AK366" s="212"/>
      <c r="AL366" s="212"/>
      <c r="AM366" s="212"/>
      <c r="AN366" s="212"/>
      <c r="AO366" s="212"/>
      <c r="AP366" s="212"/>
      <c r="AQ366" s="212"/>
      <c r="AR366" s="212"/>
      <c r="AS366" s="212"/>
      <c r="AT366" s="212"/>
      <c r="AU366" s="212"/>
      <c r="AV366" s="212"/>
      <c r="AW366" s="212"/>
      <c r="AX366" s="212"/>
      <c r="AY366" s="212"/>
      <c r="AZ366" s="212"/>
      <c r="BA366" s="212"/>
      <c r="BB366" s="212"/>
      <c r="BC366" s="212"/>
      <c r="BD366" s="212"/>
      <c r="BE366" s="212"/>
      <c r="BF366" s="212"/>
      <c r="BG366" s="212"/>
      <c r="BH366" s="212"/>
      <c r="BI366" s="212"/>
      <c r="BJ366" s="212"/>
      <c r="BK366" s="212"/>
      <c r="BL366" s="212"/>
      <c r="BM366" s="212"/>
      <c r="BN366" s="212"/>
      <c r="BO366" s="212"/>
      <c r="BP366" s="212"/>
      <c r="BQ366" s="212"/>
      <c r="BR366" s="212"/>
      <c r="BS366" s="212"/>
      <c r="BT366" s="212"/>
      <c r="BU366" s="212"/>
      <c r="BV366" s="212"/>
      <c r="BW366" s="212"/>
      <c r="BX366" s="212"/>
      <c r="BY366" s="212"/>
      <c r="BZ366" s="212"/>
      <c r="CA366" s="212"/>
      <c r="CB366" s="212"/>
      <c r="CC366" s="212"/>
      <c r="CD366" s="212"/>
      <c r="CE366" s="212"/>
      <c r="CF366" s="212"/>
      <c r="CG366" s="212"/>
      <c r="CH366" s="212"/>
      <c r="CI366" s="212"/>
      <c r="CJ366" s="212"/>
      <c r="CK366" s="212"/>
      <c r="CL366" s="212"/>
      <c r="CM366" s="212"/>
      <c r="CN366" s="212"/>
      <c r="CO366" s="212"/>
      <c r="CP366" s="212"/>
      <c r="CQ366" s="212"/>
      <c r="CR366" s="212"/>
      <c r="CS366" s="212"/>
    </row>
    <row r="367" spans="1:97" x14ac:dyDescent="0.4">
      <c r="A367" s="209">
        <v>45653</v>
      </c>
      <c r="B367" s="210" t="s">
        <v>298</v>
      </c>
      <c r="C367" s="212"/>
      <c r="D367" s="212"/>
      <c r="E367" s="212"/>
      <c r="F367" s="212"/>
      <c r="G367" s="212"/>
      <c r="H367" s="212"/>
      <c r="I367" s="212"/>
      <c r="J367" s="212"/>
      <c r="K367" s="212"/>
      <c r="L367" s="212"/>
      <c r="M367" s="212"/>
      <c r="N367" s="212"/>
      <c r="O367" s="212"/>
      <c r="P367" s="212"/>
      <c r="Q367" s="212"/>
      <c r="R367" s="212"/>
      <c r="S367" s="212"/>
      <c r="T367" s="212"/>
      <c r="U367" s="212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12"/>
      <c r="AF367" s="212"/>
      <c r="AG367" s="212"/>
      <c r="AH367" s="212"/>
      <c r="AI367" s="212"/>
      <c r="AJ367" s="212"/>
      <c r="AK367" s="212"/>
      <c r="AL367" s="212"/>
      <c r="AM367" s="212"/>
      <c r="AN367" s="212"/>
      <c r="AO367" s="212"/>
      <c r="AP367" s="212"/>
      <c r="AQ367" s="212"/>
      <c r="AR367" s="212"/>
      <c r="AS367" s="212"/>
      <c r="AT367" s="212"/>
      <c r="AU367" s="212"/>
      <c r="AV367" s="212"/>
      <c r="AW367" s="212"/>
      <c r="AX367" s="212"/>
      <c r="AY367" s="212"/>
      <c r="AZ367" s="212"/>
      <c r="BA367" s="212"/>
      <c r="BB367" s="212"/>
      <c r="BC367" s="212"/>
      <c r="BD367" s="212"/>
      <c r="BE367" s="212"/>
      <c r="BF367" s="212"/>
      <c r="BG367" s="212"/>
      <c r="BH367" s="212"/>
      <c r="BI367" s="212"/>
      <c r="BJ367" s="212"/>
      <c r="BK367" s="212"/>
      <c r="BL367" s="212"/>
      <c r="BM367" s="212"/>
      <c r="BN367" s="212"/>
      <c r="BO367" s="212"/>
      <c r="BP367" s="212"/>
      <c r="BQ367" s="212"/>
      <c r="BR367" s="212"/>
      <c r="BS367" s="212"/>
      <c r="BT367" s="212"/>
      <c r="BU367" s="212"/>
      <c r="BV367" s="212"/>
      <c r="BW367" s="212"/>
      <c r="BX367" s="212"/>
      <c r="BY367" s="212"/>
      <c r="BZ367" s="212"/>
      <c r="CA367" s="212"/>
      <c r="CB367" s="212"/>
      <c r="CC367" s="212"/>
      <c r="CD367" s="212"/>
      <c r="CE367" s="212"/>
      <c r="CF367" s="212"/>
      <c r="CG367" s="212"/>
      <c r="CH367" s="212"/>
      <c r="CI367" s="212"/>
      <c r="CJ367" s="212"/>
      <c r="CK367" s="212"/>
      <c r="CL367" s="212"/>
      <c r="CM367" s="212"/>
      <c r="CN367" s="212"/>
      <c r="CO367" s="212"/>
      <c r="CP367" s="212"/>
      <c r="CQ367" s="212"/>
      <c r="CR367" s="212"/>
      <c r="CS367" s="212"/>
    </row>
    <row r="368" spans="1:97" x14ac:dyDescent="0.4">
      <c r="A368" s="209">
        <v>45654</v>
      </c>
      <c r="B368" s="210" t="s">
        <v>299</v>
      </c>
      <c r="C368" s="212"/>
      <c r="D368" s="212"/>
      <c r="E368" s="212"/>
      <c r="F368" s="212"/>
      <c r="G368" s="212"/>
      <c r="H368" s="212"/>
      <c r="I368" s="212"/>
      <c r="J368" s="212"/>
      <c r="K368" s="212"/>
      <c r="L368" s="212"/>
      <c r="M368" s="212"/>
      <c r="N368" s="212"/>
      <c r="O368" s="212"/>
      <c r="P368" s="212"/>
      <c r="Q368" s="212"/>
      <c r="R368" s="212"/>
      <c r="S368" s="212"/>
      <c r="T368" s="212"/>
      <c r="U368" s="212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12"/>
      <c r="AF368" s="212"/>
      <c r="AG368" s="212"/>
      <c r="AH368" s="212"/>
      <c r="AI368" s="212"/>
      <c r="AJ368" s="212"/>
      <c r="AK368" s="212"/>
      <c r="AL368" s="212"/>
      <c r="AM368" s="212"/>
      <c r="AN368" s="212"/>
      <c r="AO368" s="212"/>
      <c r="AP368" s="212"/>
      <c r="AQ368" s="212"/>
      <c r="AR368" s="212"/>
      <c r="AS368" s="212"/>
      <c r="AT368" s="212"/>
      <c r="AU368" s="212"/>
      <c r="AV368" s="212"/>
      <c r="AW368" s="212"/>
      <c r="AX368" s="212"/>
      <c r="AY368" s="212"/>
      <c r="AZ368" s="212"/>
      <c r="BA368" s="212"/>
      <c r="BB368" s="212"/>
      <c r="BC368" s="212"/>
      <c r="BD368" s="212"/>
      <c r="BE368" s="212"/>
      <c r="BF368" s="212"/>
      <c r="BG368" s="212"/>
      <c r="BH368" s="212"/>
      <c r="BI368" s="212"/>
      <c r="BJ368" s="212"/>
      <c r="BK368" s="212"/>
      <c r="BL368" s="212"/>
      <c r="BM368" s="212"/>
      <c r="BN368" s="212"/>
      <c r="BO368" s="212"/>
      <c r="BP368" s="212"/>
      <c r="BQ368" s="212"/>
      <c r="BR368" s="212"/>
      <c r="BS368" s="212"/>
      <c r="BT368" s="212"/>
      <c r="BU368" s="212"/>
      <c r="BV368" s="212"/>
      <c r="BW368" s="212"/>
      <c r="BX368" s="212"/>
      <c r="BY368" s="212"/>
      <c r="BZ368" s="212"/>
      <c r="CA368" s="212"/>
      <c r="CB368" s="212"/>
      <c r="CC368" s="212"/>
      <c r="CD368" s="212"/>
      <c r="CE368" s="212"/>
      <c r="CF368" s="212"/>
      <c r="CG368" s="212"/>
      <c r="CH368" s="212"/>
      <c r="CI368" s="212"/>
      <c r="CJ368" s="212"/>
      <c r="CK368" s="212"/>
      <c r="CL368" s="212"/>
      <c r="CM368" s="212"/>
      <c r="CN368" s="212"/>
      <c r="CO368" s="212"/>
      <c r="CP368" s="212"/>
      <c r="CQ368" s="212"/>
      <c r="CR368" s="212"/>
      <c r="CS368" s="212"/>
    </row>
    <row r="369" spans="1:97" x14ac:dyDescent="0.4">
      <c r="A369" s="209">
        <v>45655</v>
      </c>
      <c r="B369" s="210" t="s">
        <v>300</v>
      </c>
      <c r="C369" s="212"/>
      <c r="D369" s="212"/>
      <c r="E369" s="212"/>
      <c r="F369" s="212"/>
      <c r="G369" s="212"/>
      <c r="H369" s="212"/>
      <c r="I369" s="212"/>
      <c r="J369" s="212"/>
      <c r="K369" s="212"/>
      <c r="L369" s="212"/>
      <c r="M369" s="212"/>
      <c r="N369" s="212"/>
      <c r="O369" s="212"/>
      <c r="P369" s="212"/>
      <c r="Q369" s="212"/>
      <c r="R369" s="212"/>
      <c r="S369" s="212"/>
      <c r="T369" s="212"/>
      <c r="U369" s="212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12"/>
      <c r="AF369" s="212"/>
      <c r="AG369" s="212"/>
      <c r="AH369" s="212"/>
      <c r="AI369" s="212"/>
      <c r="AJ369" s="212"/>
      <c r="AK369" s="212"/>
      <c r="AL369" s="212"/>
      <c r="AM369" s="212"/>
      <c r="AN369" s="212"/>
      <c r="AO369" s="212"/>
      <c r="AP369" s="212"/>
      <c r="AQ369" s="212"/>
      <c r="AR369" s="212"/>
      <c r="AS369" s="212"/>
      <c r="AT369" s="212"/>
      <c r="AU369" s="212"/>
      <c r="AV369" s="212"/>
      <c r="AW369" s="212"/>
      <c r="AX369" s="212"/>
      <c r="AY369" s="212"/>
      <c r="AZ369" s="212"/>
      <c r="BA369" s="212"/>
      <c r="BB369" s="212"/>
      <c r="BC369" s="212"/>
      <c r="BD369" s="212"/>
      <c r="BE369" s="212"/>
      <c r="BF369" s="212"/>
      <c r="BG369" s="212"/>
      <c r="BH369" s="212"/>
      <c r="BI369" s="212"/>
      <c r="BJ369" s="212"/>
      <c r="BK369" s="212"/>
      <c r="BL369" s="212"/>
      <c r="BM369" s="212"/>
      <c r="BN369" s="212"/>
      <c r="BO369" s="212"/>
      <c r="BP369" s="212"/>
      <c r="BQ369" s="212"/>
      <c r="BR369" s="212"/>
      <c r="BS369" s="212"/>
      <c r="BT369" s="212"/>
      <c r="BU369" s="212"/>
      <c r="BV369" s="212"/>
      <c r="BW369" s="212"/>
      <c r="BX369" s="212"/>
      <c r="BY369" s="212"/>
      <c r="BZ369" s="212"/>
      <c r="CA369" s="212"/>
      <c r="CB369" s="212"/>
      <c r="CC369" s="212"/>
      <c r="CD369" s="212"/>
      <c r="CE369" s="212"/>
      <c r="CF369" s="212"/>
      <c r="CG369" s="212"/>
      <c r="CH369" s="212"/>
      <c r="CI369" s="212"/>
      <c r="CJ369" s="212"/>
      <c r="CK369" s="212"/>
      <c r="CL369" s="212"/>
      <c r="CM369" s="212"/>
      <c r="CN369" s="212"/>
      <c r="CO369" s="212"/>
      <c r="CP369" s="212"/>
      <c r="CQ369" s="212"/>
      <c r="CR369" s="212"/>
      <c r="CS369" s="212"/>
    </row>
    <row r="370" spans="1:97" x14ac:dyDescent="0.4">
      <c r="A370" s="209">
        <v>45656</v>
      </c>
      <c r="B370" s="210" t="s">
        <v>294</v>
      </c>
      <c r="C370" s="212"/>
      <c r="D370" s="212"/>
      <c r="E370" s="212"/>
      <c r="F370" s="212"/>
      <c r="G370" s="212"/>
      <c r="H370" s="212"/>
      <c r="I370" s="212"/>
      <c r="J370" s="212"/>
      <c r="K370" s="212"/>
      <c r="L370" s="212"/>
      <c r="M370" s="212"/>
      <c r="N370" s="212"/>
      <c r="O370" s="212"/>
      <c r="P370" s="212"/>
      <c r="Q370" s="212"/>
      <c r="R370" s="212"/>
      <c r="S370" s="212"/>
      <c r="T370" s="212"/>
      <c r="U370" s="212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12"/>
      <c r="AF370" s="212"/>
      <c r="AG370" s="212"/>
      <c r="AH370" s="212"/>
      <c r="AI370" s="212"/>
      <c r="AJ370" s="212"/>
      <c r="AK370" s="212"/>
      <c r="AL370" s="212"/>
      <c r="AM370" s="212"/>
      <c r="AN370" s="212"/>
      <c r="AO370" s="212"/>
      <c r="AP370" s="212"/>
      <c r="AQ370" s="212"/>
      <c r="AR370" s="212"/>
      <c r="AS370" s="212"/>
      <c r="AT370" s="212"/>
      <c r="AU370" s="212"/>
      <c r="AV370" s="212"/>
      <c r="AW370" s="212"/>
      <c r="AX370" s="212"/>
      <c r="AY370" s="212"/>
      <c r="AZ370" s="212"/>
      <c r="BA370" s="212"/>
      <c r="BB370" s="212"/>
      <c r="BC370" s="212"/>
      <c r="BD370" s="212"/>
      <c r="BE370" s="212"/>
      <c r="BF370" s="212"/>
      <c r="BG370" s="212"/>
      <c r="BH370" s="212"/>
      <c r="BI370" s="212"/>
      <c r="BJ370" s="212"/>
      <c r="BK370" s="212"/>
      <c r="BL370" s="212"/>
      <c r="BM370" s="212"/>
      <c r="BN370" s="212"/>
      <c r="BO370" s="212"/>
      <c r="BP370" s="212"/>
      <c r="BQ370" s="212"/>
      <c r="BR370" s="212"/>
      <c r="BS370" s="212"/>
      <c r="BT370" s="212"/>
      <c r="BU370" s="212"/>
      <c r="BV370" s="212"/>
      <c r="BW370" s="212"/>
      <c r="BX370" s="212"/>
      <c r="BY370" s="212"/>
      <c r="BZ370" s="212"/>
      <c r="CA370" s="212"/>
      <c r="CB370" s="212"/>
      <c r="CC370" s="212"/>
      <c r="CD370" s="212"/>
      <c r="CE370" s="212"/>
      <c r="CF370" s="212"/>
      <c r="CG370" s="212"/>
      <c r="CH370" s="212"/>
      <c r="CI370" s="212"/>
      <c r="CJ370" s="212"/>
      <c r="CK370" s="212"/>
      <c r="CL370" s="212"/>
      <c r="CM370" s="212"/>
      <c r="CN370" s="212"/>
      <c r="CO370" s="212"/>
      <c r="CP370" s="212"/>
      <c r="CQ370" s="212"/>
      <c r="CR370" s="212"/>
      <c r="CS370" s="212"/>
    </row>
    <row r="371" spans="1:97" x14ac:dyDescent="0.4">
      <c r="A371" s="209">
        <v>45657</v>
      </c>
      <c r="B371" s="210" t="s">
        <v>295</v>
      </c>
      <c r="C371" s="212"/>
      <c r="D371" s="212"/>
      <c r="E371" s="212"/>
      <c r="F371" s="212"/>
      <c r="G371" s="212"/>
      <c r="H371" s="212"/>
      <c r="I371" s="212"/>
      <c r="J371" s="212"/>
      <c r="K371" s="212"/>
      <c r="L371" s="212"/>
      <c r="M371" s="212"/>
      <c r="N371" s="212"/>
      <c r="O371" s="212"/>
      <c r="P371" s="212"/>
      <c r="Q371" s="212"/>
      <c r="R371" s="212"/>
      <c r="S371" s="212"/>
      <c r="T371" s="212"/>
      <c r="U371" s="212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12"/>
      <c r="AF371" s="212"/>
      <c r="AG371" s="212"/>
      <c r="AH371" s="212"/>
      <c r="AI371" s="212"/>
      <c r="AJ371" s="212"/>
      <c r="AK371" s="212"/>
      <c r="AL371" s="212"/>
      <c r="AM371" s="212"/>
      <c r="AN371" s="212"/>
      <c r="AO371" s="212"/>
      <c r="AP371" s="212"/>
      <c r="AQ371" s="212"/>
      <c r="AR371" s="212"/>
      <c r="AS371" s="212"/>
      <c r="AT371" s="212"/>
      <c r="AU371" s="212"/>
      <c r="AV371" s="212"/>
      <c r="AW371" s="212"/>
      <c r="AX371" s="212"/>
      <c r="AY371" s="212"/>
      <c r="AZ371" s="212"/>
      <c r="BA371" s="212"/>
      <c r="BB371" s="212"/>
      <c r="BC371" s="212"/>
      <c r="BD371" s="212"/>
      <c r="BE371" s="212"/>
      <c r="BF371" s="212"/>
      <c r="BG371" s="212"/>
      <c r="BH371" s="212"/>
      <c r="BI371" s="212"/>
      <c r="BJ371" s="212"/>
      <c r="BK371" s="212"/>
      <c r="BL371" s="212"/>
      <c r="BM371" s="212"/>
      <c r="BN371" s="212"/>
      <c r="BO371" s="212"/>
      <c r="BP371" s="212"/>
      <c r="BQ371" s="212"/>
      <c r="BR371" s="212"/>
      <c r="BS371" s="212"/>
      <c r="BT371" s="212"/>
      <c r="BU371" s="212"/>
      <c r="BV371" s="212"/>
      <c r="BW371" s="212"/>
      <c r="BX371" s="212"/>
      <c r="BY371" s="212"/>
      <c r="BZ371" s="212"/>
      <c r="CA371" s="212"/>
      <c r="CB371" s="212"/>
      <c r="CC371" s="212"/>
      <c r="CD371" s="212"/>
      <c r="CE371" s="212"/>
      <c r="CF371" s="212"/>
      <c r="CG371" s="212"/>
      <c r="CH371" s="212"/>
      <c r="CI371" s="212"/>
      <c r="CJ371" s="212"/>
      <c r="CK371" s="212"/>
      <c r="CL371" s="212"/>
      <c r="CM371" s="212"/>
      <c r="CN371" s="212"/>
      <c r="CO371" s="212"/>
      <c r="CP371" s="212"/>
      <c r="CQ371" s="212"/>
      <c r="CR371" s="212"/>
      <c r="CS371" s="212"/>
    </row>
    <row r="372" spans="1:97" x14ac:dyDescent="0.4">
      <c r="A372" s="209" t="s">
        <v>303</v>
      </c>
      <c r="B372" s="210"/>
      <c r="C372" s="212">
        <f>MAX(C6:C371)</f>
        <v>162.72999999999999</v>
      </c>
      <c r="D372" s="212">
        <f t="shared" ref="D372:AI372" si="0">MAX(D6:D371)</f>
        <v>160.72999999999999</v>
      </c>
      <c r="E372" s="212">
        <f t="shared" si="0"/>
        <v>161.72999999999999</v>
      </c>
      <c r="F372" s="212">
        <f t="shared" si="0"/>
        <v>176.7</v>
      </c>
      <c r="G372" s="212">
        <f t="shared" si="0"/>
        <v>173.7</v>
      </c>
      <c r="H372" s="212">
        <f t="shared" si="0"/>
        <v>175.2</v>
      </c>
      <c r="I372" s="212">
        <f t="shared" si="0"/>
        <v>120.33</v>
      </c>
      <c r="J372" s="212">
        <f t="shared" si="0"/>
        <v>117.13</v>
      </c>
      <c r="K372" s="212">
        <f t="shared" si="0"/>
        <v>118.72999999999999</v>
      </c>
      <c r="L372" s="212">
        <f t="shared" si="0"/>
        <v>211.94</v>
      </c>
      <c r="M372" s="212">
        <f t="shared" si="0"/>
        <v>203.94</v>
      </c>
      <c r="N372" s="212">
        <f t="shared" si="0"/>
        <v>207.94</v>
      </c>
      <c r="O372" s="212">
        <f t="shared" si="0"/>
        <v>180.78</v>
      </c>
      <c r="P372" s="212">
        <f t="shared" si="0"/>
        <v>178.98</v>
      </c>
      <c r="Q372" s="212">
        <f t="shared" si="0"/>
        <v>179.88</v>
      </c>
      <c r="R372" s="212">
        <f t="shared" si="0"/>
        <v>23.79</v>
      </c>
      <c r="S372" s="212">
        <f t="shared" si="0"/>
        <v>23.189999999999998</v>
      </c>
      <c r="T372" s="212">
        <f t="shared" si="0"/>
        <v>23.49</v>
      </c>
      <c r="U372" s="212">
        <f t="shared" si="0"/>
        <v>15.61</v>
      </c>
      <c r="V372" s="212">
        <f t="shared" si="0"/>
        <v>15.01</v>
      </c>
      <c r="W372" s="212">
        <f t="shared" si="0"/>
        <v>15.309999999999999</v>
      </c>
      <c r="X372" s="212">
        <f t="shared" si="0"/>
        <v>15.79</v>
      </c>
      <c r="Y372" s="212">
        <f t="shared" si="0"/>
        <v>14.989999999999998</v>
      </c>
      <c r="Z372" s="212">
        <f t="shared" si="0"/>
        <v>15.389999999999999</v>
      </c>
      <c r="AA372" s="212">
        <f t="shared" si="0"/>
        <v>111.1</v>
      </c>
      <c r="AB372" s="212">
        <f t="shared" si="0"/>
        <v>107.1</v>
      </c>
      <c r="AC372" s="212">
        <f t="shared" si="0"/>
        <v>109.1</v>
      </c>
      <c r="AD372" s="212">
        <f t="shared" si="0"/>
        <v>100.98</v>
      </c>
      <c r="AE372" s="212">
        <f t="shared" si="0"/>
        <v>96.98</v>
      </c>
      <c r="AF372" s="212">
        <f t="shared" si="0"/>
        <v>98.98</v>
      </c>
      <c r="AG372" s="212">
        <f t="shared" si="0"/>
        <v>21.14</v>
      </c>
      <c r="AH372" s="212">
        <f t="shared" si="0"/>
        <v>20.28</v>
      </c>
      <c r="AI372" s="212">
        <f t="shared" si="0"/>
        <v>20.71</v>
      </c>
      <c r="AJ372" s="212"/>
      <c r="AK372" s="212"/>
      <c r="AL372" s="212"/>
      <c r="AM372" s="212">
        <f t="shared" ref="AM372:CN372" si="1">MAX(AM6:AM371)</f>
        <v>120.76</v>
      </c>
      <c r="AN372" s="212">
        <f t="shared" si="1"/>
        <v>119.10000000000001</v>
      </c>
      <c r="AO372" s="212">
        <f t="shared" si="1"/>
        <v>119.93</v>
      </c>
      <c r="AP372" s="212">
        <f t="shared" si="1"/>
        <v>43.99</v>
      </c>
      <c r="AQ372" s="212">
        <f t="shared" si="1"/>
        <v>42.39</v>
      </c>
      <c r="AR372" s="212">
        <f t="shared" si="1"/>
        <v>43.19</v>
      </c>
      <c r="AS372" s="212">
        <f t="shared" si="1"/>
        <v>44.78</v>
      </c>
      <c r="AT372" s="212">
        <f t="shared" si="1"/>
        <v>43.42</v>
      </c>
      <c r="AU372" s="212">
        <f t="shared" si="1"/>
        <v>44.1</v>
      </c>
      <c r="AV372" s="212">
        <f t="shared" si="1"/>
        <v>22.48</v>
      </c>
      <c r="AW372" s="212">
        <f t="shared" si="1"/>
        <v>21.88</v>
      </c>
      <c r="AX372" s="212">
        <f t="shared" si="1"/>
        <v>22.18</v>
      </c>
      <c r="AY372" s="212">
        <f t="shared" si="1"/>
        <v>4.54</v>
      </c>
      <c r="AZ372" s="212">
        <f t="shared" si="1"/>
        <v>4.38</v>
      </c>
      <c r="BA372" s="212">
        <f t="shared" si="1"/>
        <v>4.46</v>
      </c>
      <c r="BB372" s="212">
        <f t="shared" si="1"/>
        <v>2.1</v>
      </c>
      <c r="BC372" s="212">
        <f t="shared" si="1"/>
        <v>1.8</v>
      </c>
      <c r="BD372" s="212">
        <f t="shared" si="1"/>
        <v>1.9500000000000002</v>
      </c>
      <c r="BE372" s="212">
        <f t="shared" si="1"/>
        <v>0.73</v>
      </c>
      <c r="BF372" s="212">
        <f t="shared" si="1"/>
        <v>0.43</v>
      </c>
      <c r="BG372" s="212">
        <f t="shared" si="1"/>
        <v>0.57999999999999996</v>
      </c>
      <c r="BH372" s="212">
        <f t="shared" si="1"/>
        <v>537.57000000000005</v>
      </c>
      <c r="BI372" s="212">
        <f t="shared" si="1"/>
        <v>521.57000000000005</v>
      </c>
      <c r="BJ372" s="212">
        <f t="shared" si="1"/>
        <v>529.57000000000005</v>
      </c>
      <c r="BK372" s="212">
        <f t="shared" si="1"/>
        <v>45.12</v>
      </c>
      <c r="BL372" s="212">
        <f t="shared" si="1"/>
        <v>43.76</v>
      </c>
      <c r="BM372" s="212">
        <f t="shared" si="1"/>
        <v>44.44</v>
      </c>
      <c r="BN372" s="212">
        <f t="shared" si="1"/>
        <v>1.1200000000000001</v>
      </c>
      <c r="BO372" s="212">
        <f t="shared" si="1"/>
        <v>0.88000000000000012</v>
      </c>
      <c r="BP372" s="212">
        <f>MAX(BP6:BP371)</f>
        <v>1</v>
      </c>
      <c r="BQ372" s="212">
        <f t="shared" si="1"/>
        <v>10.46</v>
      </c>
      <c r="BR372" s="212">
        <f t="shared" si="1"/>
        <v>8.4600000000000009</v>
      </c>
      <c r="BS372" s="212">
        <f t="shared" si="1"/>
        <v>9.4600000000000009</v>
      </c>
      <c r="BT372" s="212">
        <f t="shared" si="1"/>
        <v>11.92</v>
      </c>
      <c r="BU372" s="212">
        <f t="shared" si="1"/>
        <v>11.52</v>
      </c>
      <c r="BV372" s="212">
        <f t="shared" si="1"/>
        <v>11.719999999999999</v>
      </c>
      <c r="BW372" s="212">
        <f t="shared" si="1"/>
        <v>2.93</v>
      </c>
      <c r="BX372" s="212">
        <f t="shared" si="1"/>
        <v>2.6500000000000004</v>
      </c>
      <c r="BY372" s="212">
        <f t="shared" si="1"/>
        <v>2.79</v>
      </c>
      <c r="BZ372" s="212">
        <f t="shared" si="1"/>
        <v>10.43</v>
      </c>
      <c r="CA372" s="212">
        <f t="shared" si="1"/>
        <v>7.43</v>
      </c>
      <c r="CB372" s="212">
        <f t="shared" si="1"/>
        <v>8.93</v>
      </c>
      <c r="CC372" s="212">
        <f t="shared" si="1"/>
        <v>7.06</v>
      </c>
      <c r="CD372" s="212">
        <f t="shared" si="1"/>
        <v>6.8199999999999994</v>
      </c>
      <c r="CE372" s="212">
        <f t="shared" si="1"/>
        <v>6.9399999999999995</v>
      </c>
      <c r="CF372" s="212">
        <f t="shared" si="1"/>
        <v>2.17</v>
      </c>
      <c r="CG372" s="212">
        <f t="shared" si="1"/>
        <v>1.67</v>
      </c>
      <c r="CH372" s="212">
        <f t="shared" si="1"/>
        <v>1.92</v>
      </c>
      <c r="CI372" s="212">
        <f t="shared" si="1"/>
        <v>0.46</v>
      </c>
      <c r="CJ372" s="212">
        <f t="shared" si="1"/>
        <v>0.42000000000000004</v>
      </c>
      <c r="CK372" s="212">
        <f t="shared" si="1"/>
        <v>0.44000000000000006</v>
      </c>
      <c r="CL372" s="212">
        <f t="shared" si="1"/>
        <v>42.33</v>
      </c>
      <c r="CM372" s="212">
        <f t="shared" si="1"/>
        <v>39.93</v>
      </c>
      <c r="CN372" s="212">
        <f t="shared" si="1"/>
        <v>41.129999999999995</v>
      </c>
      <c r="CO372" s="212">
        <f>MAX(CO6:CO371)</f>
        <v>7.48</v>
      </c>
      <c r="CP372" s="212">
        <f>MAX(CP6:CP371)</f>
        <v>2.4800000000000004</v>
      </c>
      <c r="CQ372" s="212">
        <f>MAX(CQ6:CQ371)</f>
        <v>4.9800000000000004</v>
      </c>
      <c r="CR372" s="212"/>
      <c r="CS372" s="212"/>
    </row>
    <row r="373" spans="1:97" x14ac:dyDescent="0.4">
      <c r="A373" s="209" t="s">
        <v>304</v>
      </c>
      <c r="B373" s="210"/>
      <c r="C373" s="212">
        <f>MIN(C6:C371)</f>
        <v>144.44</v>
      </c>
      <c r="D373" s="212">
        <f>MIN(D6:D371)</f>
        <v>142.44</v>
      </c>
      <c r="E373" s="212">
        <f>MIN(E6:E371)</f>
        <v>143.44</v>
      </c>
      <c r="F373" s="212">
        <f t="shared" ref="F373:AI373" si="2">MIN(F6:F371)</f>
        <v>158.09</v>
      </c>
      <c r="G373" s="212">
        <f t="shared" si="2"/>
        <v>155.09</v>
      </c>
      <c r="H373" s="212">
        <f t="shared" si="2"/>
        <v>156.59</v>
      </c>
      <c r="I373" s="212">
        <f t="shared" si="2"/>
        <v>109.04</v>
      </c>
      <c r="J373" s="212">
        <f t="shared" si="2"/>
        <v>105.84</v>
      </c>
      <c r="K373" s="212">
        <f t="shared" si="2"/>
        <v>107.44</v>
      </c>
      <c r="L373" s="212">
        <f t="shared" si="2"/>
        <v>185.71</v>
      </c>
      <c r="M373" s="212">
        <f t="shared" si="2"/>
        <v>177.71</v>
      </c>
      <c r="N373" s="212">
        <f t="shared" si="2"/>
        <v>181.71</v>
      </c>
      <c r="O373" s="212">
        <f t="shared" si="2"/>
        <v>167.84</v>
      </c>
      <c r="P373" s="212">
        <f t="shared" si="2"/>
        <v>166.04</v>
      </c>
      <c r="Q373" s="212">
        <f t="shared" si="2"/>
        <v>166.94</v>
      </c>
      <c r="R373" s="212">
        <f t="shared" si="2"/>
        <v>21.3</v>
      </c>
      <c r="S373" s="212">
        <f t="shared" si="2"/>
        <v>20.7</v>
      </c>
      <c r="T373" s="212">
        <f t="shared" si="2"/>
        <v>21</v>
      </c>
      <c r="U373" s="212">
        <f t="shared" si="2"/>
        <v>14.14</v>
      </c>
      <c r="V373" s="212">
        <f t="shared" si="2"/>
        <v>13.540000000000001</v>
      </c>
      <c r="W373" s="212">
        <f t="shared" si="2"/>
        <v>13.84</v>
      </c>
      <c r="X373" s="212">
        <f t="shared" si="2"/>
        <v>14.35</v>
      </c>
      <c r="Y373" s="212">
        <f t="shared" si="2"/>
        <v>13.549999999999999</v>
      </c>
      <c r="Z373" s="212">
        <f t="shared" si="2"/>
        <v>13.95</v>
      </c>
      <c r="AA373" s="212">
        <f t="shared" si="2"/>
        <v>98.4</v>
      </c>
      <c r="AB373" s="212">
        <f t="shared" si="2"/>
        <v>94.4</v>
      </c>
      <c r="AC373" s="212">
        <f t="shared" si="2"/>
        <v>96.4</v>
      </c>
      <c r="AD373" s="212">
        <f t="shared" si="2"/>
        <v>91.51</v>
      </c>
      <c r="AE373" s="212">
        <f t="shared" si="2"/>
        <v>87.51</v>
      </c>
      <c r="AF373" s="212">
        <f t="shared" si="2"/>
        <v>89.51</v>
      </c>
      <c r="AG373" s="212">
        <f t="shared" si="2"/>
        <v>18.8</v>
      </c>
      <c r="AH373" s="212">
        <f t="shared" si="2"/>
        <v>17.940000000000001</v>
      </c>
      <c r="AI373" s="212">
        <f t="shared" si="2"/>
        <v>18.37</v>
      </c>
      <c r="AJ373" s="212"/>
      <c r="AK373" s="212"/>
      <c r="AL373" s="212"/>
      <c r="AM373" s="212">
        <f>MIN(AM6:AM371)</f>
        <v>108.76</v>
      </c>
      <c r="AN373" s="212">
        <f>MIN(AN6:AN371)</f>
        <v>107.10000000000001</v>
      </c>
      <c r="AO373" s="212">
        <f>MIN(AO6:AO371)</f>
        <v>107.93</v>
      </c>
      <c r="AP373" s="212">
        <f t="shared" ref="AP373:CN373" si="3">MIN(AP6:AP371)</f>
        <v>39.11</v>
      </c>
      <c r="AQ373" s="212">
        <f t="shared" si="3"/>
        <v>37.51</v>
      </c>
      <c r="AR373" s="212">
        <f t="shared" si="3"/>
        <v>38.31</v>
      </c>
      <c r="AS373" s="212">
        <f t="shared" si="3"/>
        <v>39.81</v>
      </c>
      <c r="AT373" s="212">
        <f t="shared" si="3"/>
        <v>38.450000000000003</v>
      </c>
      <c r="AU373" s="212">
        <f t="shared" si="3"/>
        <v>39.130000000000003</v>
      </c>
      <c r="AV373" s="212">
        <f t="shared" si="3"/>
        <v>20.329999999999998</v>
      </c>
      <c r="AW373" s="212">
        <f t="shared" si="3"/>
        <v>19.729999999999997</v>
      </c>
      <c r="AX373" s="212">
        <f t="shared" si="3"/>
        <v>20.029999999999998</v>
      </c>
      <c r="AY373" s="212">
        <f t="shared" si="3"/>
        <v>4.1900000000000004</v>
      </c>
      <c r="AZ373" s="212">
        <f t="shared" si="3"/>
        <v>4.03</v>
      </c>
      <c r="BA373" s="212">
        <f t="shared" si="3"/>
        <v>4.1100000000000003</v>
      </c>
      <c r="BB373" s="212">
        <f t="shared" si="3"/>
        <v>1.88</v>
      </c>
      <c r="BC373" s="212">
        <f t="shared" si="3"/>
        <v>1.5799999999999998</v>
      </c>
      <c r="BD373" s="212">
        <f t="shared" si="3"/>
        <v>1.73</v>
      </c>
      <c r="BE373" s="212">
        <f t="shared" si="3"/>
        <v>0.66</v>
      </c>
      <c r="BF373" s="212">
        <f t="shared" si="3"/>
        <v>0.36000000000000004</v>
      </c>
      <c r="BG373" s="212">
        <f t="shared" si="3"/>
        <v>0.51</v>
      </c>
      <c r="BH373" s="212">
        <f t="shared" si="3"/>
        <v>475.23</v>
      </c>
      <c r="BI373" s="212">
        <f t="shared" si="3"/>
        <v>459.23</v>
      </c>
      <c r="BJ373" s="212">
        <f t="shared" si="3"/>
        <v>467.23</v>
      </c>
      <c r="BK373" s="212">
        <f t="shared" si="3"/>
        <v>39.99</v>
      </c>
      <c r="BL373" s="212">
        <f t="shared" si="3"/>
        <v>38.630000000000003</v>
      </c>
      <c r="BM373" s="212">
        <f t="shared" si="3"/>
        <v>39.31</v>
      </c>
      <c r="BN373" s="212">
        <f t="shared" si="3"/>
        <v>1.05</v>
      </c>
      <c r="BO373" s="212">
        <f t="shared" si="3"/>
        <v>0.81</v>
      </c>
      <c r="BP373" s="212">
        <f t="shared" si="3"/>
        <v>0.93</v>
      </c>
      <c r="BQ373" s="212">
        <f t="shared" si="3"/>
        <v>9.11</v>
      </c>
      <c r="BR373" s="212">
        <f t="shared" si="3"/>
        <v>7.1099999999999994</v>
      </c>
      <c r="BS373" s="212">
        <f t="shared" si="3"/>
        <v>8.11</v>
      </c>
      <c r="BT373" s="212">
        <f t="shared" si="3"/>
        <v>11.16</v>
      </c>
      <c r="BU373" s="212">
        <f t="shared" si="3"/>
        <v>10.76</v>
      </c>
      <c r="BV373" s="212">
        <f t="shared" si="3"/>
        <v>10.96</v>
      </c>
      <c r="BW373" s="212">
        <f t="shared" si="3"/>
        <v>2.74</v>
      </c>
      <c r="BX373" s="212">
        <f t="shared" si="3"/>
        <v>2.46</v>
      </c>
      <c r="BY373" s="212">
        <f t="shared" si="3"/>
        <v>2.6</v>
      </c>
      <c r="BZ373" s="212">
        <f t="shared" si="3"/>
        <v>9.16</v>
      </c>
      <c r="CA373" s="212">
        <f t="shared" si="3"/>
        <v>6.16</v>
      </c>
      <c r="CB373" s="212">
        <f t="shared" si="3"/>
        <v>7.66</v>
      </c>
      <c r="CC373" s="212">
        <f t="shared" si="3"/>
        <v>6.45</v>
      </c>
      <c r="CD373" s="212">
        <f t="shared" si="3"/>
        <v>6.21</v>
      </c>
      <c r="CE373" s="212">
        <f t="shared" si="3"/>
        <v>6.33</v>
      </c>
      <c r="CF373" s="212">
        <f t="shared" si="3"/>
        <v>1.81</v>
      </c>
      <c r="CG373" s="212">
        <f t="shared" si="3"/>
        <v>1.31</v>
      </c>
      <c r="CH373" s="212">
        <f t="shared" si="3"/>
        <v>1.56</v>
      </c>
      <c r="CI373" s="212">
        <f t="shared" si="3"/>
        <v>0.42</v>
      </c>
      <c r="CJ373" s="212">
        <f t="shared" si="3"/>
        <v>0.38</v>
      </c>
      <c r="CK373" s="212">
        <f t="shared" si="3"/>
        <v>0.4</v>
      </c>
      <c r="CL373" s="212">
        <f t="shared" si="3"/>
        <v>37.200000000000003</v>
      </c>
      <c r="CM373" s="212">
        <f t="shared" si="3"/>
        <v>34.800000000000004</v>
      </c>
      <c r="CN373" s="212">
        <f t="shared" si="3"/>
        <v>36</v>
      </c>
      <c r="CO373" s="212">
        <f>MIN(CO6:CO371)</f>
        <v>7.09</v>
      </c>
      <c r="CP373" s="212">
        <f>MIN(CP6:CP371)</f>
        <v>2.09</v>
      </c>
      <c r="CQ373" s="212">
        <f>MIN(CQ6:CQ371)</f>
        <v>4.59</v>
      </c>
      <c r="CR373" s="213"/>
      <c r="CS373" s="213"/>
    </row>
    <row r="374" spans="1:97" x14ac:dyDescent="0.4">
      <c r="A374" s="209" t="s">
        <v>305</v>
      </c>
      <c r="B374" s="210"/>
      <c r="C374" s="212">
        <f>AVERAGE(C6:C371)</f>
        <v>154.25901408450707</v>
      </c>
      <c r="D374" s="212">
        <f>AVERAGE(D6:D371)</f>
        <v>152.25901408450707</v>
      </c>
      <c r="E374" s="212">
        <f>AVERAGE(E6:E371)</f>
        <v>153.25901408450707</v>
      </c>
      <c r="F374" s="212">
        <f t="shared" ref="F374:AI374" si="4">AVERAGE(F6:F371)</f>
        <v>167.23767605633802</v>
      </c>
      <c r="G374" s="212">
        <f t="shared" si="4"/>
        <v>164.23767605633807</v>
      </c>
      <c r="H374" s="212">
        <f t="shared" si="4"/>
        <v>165.73767605633805</v>
      </c>
      <c r="I374" s="212">
        <f t="shared" si="4"/>
        <v>114.22373239436627</v>
      </c>
      <c r="J374" s="212">
        <f t="shared" si="4"/>
        <v>111.02373239436618</v>
      </c>
      <c r="K374" s="212">
        <f t="shared" si="4"/>
        <v>112.62373239436617</v>
      </c>
      <c r="L374" s="212">
        <f t="shared" si="4"/>
        <v>198.3986619718309</v>
      </c>
      <c r="M374" s="212">
        <f t="shared" si="4"/>
        <v>190.39866197183088</v>
      </c>
      <c r="N374" s="212">
        <f t="shared" si="4"/>
        <v>194.39866197183088</v>
      </c>
      <c r="O374" s="212">
        <f t="shared" si="4"/>
        <v>172.97845070422525</v>
      </c>
      <c r="P374" s="212">
        <f t="shared" si="4"/>
        <v>171.17845070422524</v>
      </c>
      <c r="Q374" s="212">
        <f t="shared" si="4"/>
        <v>172.07845070422542</v>
      </c>
      <c r="R374" s="212">
        <f t="shared" si="4"/>
        <v>22.520422535211267</v>
      </c>
      <c r="S374" s="212">
        <f t="shared" si="4"/>
        <v>21.920422535211266</v>
      </c>
      <c r="T374" s="212">
        <f t="shared" si="4"/>
        <v>22.220422535211263</v>
      </c>
      <c r="U374" s="212">
        <f t="shared" si="4"/>
        <v>14.674999999999999</v>
      </c>
      <c r="V374" s="212">
        <f t="shared" si="4"/>
        <v>14.074999999999998</v>
      </c>
      <c r="W374" s="212">
        <f t="shared" si="4"/>
        <v>14.375000000000007</v>
      </c>
      <c r="X374" s="212">
        <f t="shared" si="4"/>
        <v>14.9162676056338</v>
      </c>
      <c r="Y374" s="212">
        <f t="shared" si="4"/>
        <v>14.116267605633803</v>
      </c>
      <c r="Z374" s="212">
        <f t="shared" si="4"/>
        <v>14.516267605633796</v>
      </c>
      <c r="AA374" s="212">
        <f t="shared" si="4"/>
        <v>103.08281690140842</v>
      </c>
      <c r="AB374" s="212">
        <f t="shared" si="4"/>
        <v>99.082816901408407</v>
      </c>
      <c r="AC374" s="212">
        <f t="shared" si="4"/>
        <v>101.08281690140842</v>
      </c>
      <c r="AD374" s="212">
        <f t="shared" si="4"/>
        <v>95.156478873239436</v>
      </c>
      <c r="AE374" s="212">
        <f t="shared" si="4"/>
        <v>91.156478873239422</v>
      </c>
      <c r="AF374" s="212">
        <f t="shared" si="4"/>
        <v>93.156478873239422</v>
      </c>
      <c r="AG374" s="212">
        <f t="shared" si="4"/>
        <v>20.033943661971836</v>
      </c>
      <c r="AH374" s="212">
        <f t="shared" si="4"/>
        <v>19.173943661971833</v>
      </c>
      <c r="AI374" s="212">
        <f t="shared" si="4"/>
        <v>19.603943661971826</v>
      </c>
      <c r="AJ374" s="212"/>
      <c r="AK374" s="212"/>
      <c r="AL374" s="212"/>
      <c r="AM374" s="212">
        <f>AVERAGE(AM6:AM371)</f>
        <v>114.59267605633798</v>
      </c>
      <c r="AN374" s="212">
        <f>AVERAGE(AN6:AN371)</f>
        <v>112.93267605633802</v>
      </c>
      <c r="AO374" s="212">
        <f>AVERAGE(AO6:AO371)</f>
        <v>113.76267605633799</v>
      </c>
      <c r="AP374" s="212">
        <f t="shared" ref="AP374:CN374" si="5">AVERAGE(AP6:AP371)</f>
        <v>41.721760563380265</v>
      </c>
      <c r="AQ374" s="212">
        <f t="shared" si="5"/>
        <v>40.121760563380285</v>
      </c>
      <c r="AR374" s="212">
        <f t="shared" si="5"/>
        <v>40.921760563380275</v>
      </c>
      <c r="AS374" s="212">
        <f t="shared" si="5"/>
        <v>42.466338028169012</v>
      </c>
      <c r="AT374" s="212">
        <f t="shared" si="5"/>
        <v>41.106338028169041</v>
      </c>
      <c r="AU374" s="212">
        <f t="shared" si="5"/>
        <v>41.78633802816902</v>
      </c>
      <c r="AV374" s="212">
        <f t="shared" si="5"/>
        <v>21.466830985915497</v>
      </c>
      <c r="AW374" s="212">
        <f t="shared" si="5"/>
        <v>20.866830985915492</v>
      </c>
      <c r="AX374" s="212">
        <f t="shared" si="5"/>
        <v>21.166830985915492</v>
      </c>
      <c r="AY374" s="212">
        <f t="shared" si="5"/>
        <v>4.3121830985915519</v>
      </c>
      <c r="AZ374" s="212">
        <f t="shared" si="5"/>
        <v>4.1521830985915509</v>
      </c>
      <c r="BA374" s="212">
        <f t="shared" si="5"/>
        <v>4.2321830985915474</v>
      </c>
      <c r="BB374" s="212">
        <f t="shared" si="5"/>
        <v>2.0000704225352122</v>
      </c>
      <c r="BC374" s="212">
        <f t="shared" si="5"/>
        <v>1.7000704225352117</v>
      </c>
      <c r="BD374" s="212">
        <f t="shared" si="5"/>
        <v>1.8500704225352098</v>
      </c>
      <c r="BE374" s="212">
        <f t="shared" si="5"/>
        <v>0.7028169014084511</v>
      </c>
      <c r="BF374" s="212">
        <f t="shared" si="5"/>
        <v>0.40281690140845045</v>
      </c>
      <c r="BG374" s="212">
        <f t="shared" si="5"/>
        <v>0.55281690140845041</v>
      </c>
      <c r="BH374" s="212">
        <f t="shared" si="5"/>
        <v>507.58929577464772</v>
      </c>
      <c r="BI374" s="212">
        <f t="shared" si="5"/>
        <v>491.58929577464772</v>
      </c>
      <c r="BJ374" s="212">
        <f t="shared" si="5"/>
        <v>499.58929577464772</v>
      </c>
      <c r="BK374" s="212">
        <f t="shared" si="5"/>
        <v>42.785774647887308</v>
      </c>
      <c r="BL374" s="212">
        <f t="shared" si="5"/>
        <v>41.425774647887323</v>
      </c>
      <c r="BM374" s="212">
        <f t="shared" si="5"/>
        <v>42.10577464788733</v>
      </c>
      <c r="BN374" s="212">
        <f t="shared" si="5"/>
        <v>1.0838028169014087</v>
      </c>
      <c r="BO374" s="212">
        <f t="shared" si="5"/>
        <v>0.84380281690140846</v>
      </c>
      <c r="BP374" s="212">
        <f t="shared" si="5"/>
        <v>0.96380281690140779</v>
      </c>
      <c r="BQ374" s="212">
        <f t="shared" si="5"/>
        <v>9.8839436619718253</v>
      </c>
      <c r="BR374" s="212">
        <f t="shared" si="5"/>
        <v>7.8839436619718244</v>
      </c>
      <c r="BS374" s="212">
        <f t="shared" si="5"/>
        <v>8.8839436619718253</v>
      </c>
      <c r="BT374" s="212">
        <f t="shared" si="5"/>
        <v>11.510774647887326</v>
      </c>
      <c r="BU374" s="212">
        <f t="shared" si="5"/>
        <v>11.110774647887323</v>
      </c>
      <c r="BV374" s="212">
        <f t="shared" si="5"/>
        <v>11.310774647887335</v>
      </c>
      <c r="BW374" s="212">
        <f t="shared" si="5"/>
        <v>2.840845070422537</v>
      </c>
      <c r="BX374" s="212">
        <f t="shared" si="5"/>
        <v>2.5608450704225345</v>
      </c>
      <c r="BY374" s="212">
        <f t="shared" si="5"/>
        <v>2.7008450704225342</v>
      </c>
      <c r="BZ374" s="212">
        <f t="shared" si="5"/>
        <v>9.7198591549295763</v>
      </c>
      <c r="CA374" s="212">
        <f t="shared" si="5"/>
        <v>6.7198591549295763</v>
      </c>
      <c r="CB374" s="212">
        <f t="shared" si="5"/>
        <v>8.2198591549295763</v>
      </c>
      <c r="CC374" s="212">
        <f t="shared" si="5"/>
        <v>6.7399999999999975</v>
      </c>
      <c r="CD374" s="212">
        <f t="shared" si="5"/>
        <v>6.5</v>
      </c>
      <c r="CE374" s="212">
        <f t="shared" si="5"/>
        <v>6.6199999999999992</v>
      </c>
      <c r="CF374" s="212">
        <f t="shared" si="5"/>
        <v>1.9508450704225346</v>
      </c>
      <c r="CG374" s="212">
        <f t="shared" si="5"/>
        <v>1.4508450704225355</v>
      </c>
      <c r="CH374" s="212">
        <f t="shared" si="5"/>
        <v>1.700845070422536</v>
      </c>
      <c r="CI374" s="212">
        <f t="shared" si="5"/>
        <v>0.44478873239436695</v>
      </c>
      <c r="CJ374" s="212">
        <f t="shared" si="5"/>
        <v>0.40478873239436586</v>
      </c>
      <c r="CK374" s="212">
        <f t="shared" si="5"/>
        <v>0.42478873239436588</v>
      </c>
      <c r="CL374" s="212">
        <f t="shared" si="5"/>
        <v>39.674014084507064</v>
      </c>
      <c r="CM374" s="212">
        <f t="shared" si="5"/>
        <v>37.274014084507044</v>
      </c>
      <c r="CN374" s="212">
        <f t="shared" si="5"/>
        <v>38.47401408450704</v>
      </c>
      <c r="CO374" s="212">
        <f>AVERAGE(CO6:CO371)</f>
        <v>7.3148591549295761</v>
      </c>
      <c r="CP374" s="212">
        <f>AVERAGE(CP6:CP371)</f>
        <v>2.3148591549295787</v>
      </c>
      <c r="CQ374" s="212">
        <f>AVERAGE(CQ6:CQ371)</f>
        <v>4.8148591549295752</v>
      </c>
      <c r="CR374" s="213"/>
      <c r="CS374" s="213"/>
    </row>
    <row r="375" spans="1:97" x14ac:dyDescent="0.4">
      <c r="A375" t="s">
        <v>306</v>
      </c>
      <c r="B375" s="210"/>
      <c r="C375" s="213"/>
      <c r="D375" s="213"/>
      <c r="E375" s="213"/>
      <c r="F375" s="213"/>
      <c r="G375" s="213"/>
      <c r="H375" s="213"/>
      <c r="I375" s="213"/>
      <c r="J375" s="213"/>
      <c r="K375" s="213"/>
      <c r="L375" s="213"/>
      <c r="M375" s="213"/>
      <c r="N375" s="213"/>
      <c r="O375" s="213"/>
      <c r="P375" s="213"/>
      <c r="Q375" s="213"/>
      <c r="R375" s="213"/>
      <c r="S375" s="213"/>
      <c r="T375" s="213"/>
      <c r="U375" s="213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13"/>
      <c r="AF375" s="213"/>
      <c r="AG375" s="213"/>
      <c r="AH375" s="213"/>
      <c r="AI375" s="213"/>
      <c r="AJ375" s="213"/>
      <c r="AK375" s="213"/>
      <c r="AL375" s="213"/>
      <c r="AM375" s="213"/>
      <c r="AN375" s="213"/>
      <c r="AO375" s="213"/>
      <c r="AP375" s="213"/>
      <c r="AQ375" s="213"/>
      <c r="AR375" s="213"/>
      <c r="AS375" s="213"/>
      <c r="AT375" s="213"/>
      <c r="AU375" s="213"/>
      <c r="AV375" s="213"/>
      <c r="AW375" s="213"/>
      <c r="AX375" s="213"/>
      <c r="AY375" s="213"/>
      <c r="AZ375" s="213"/>
      <c r="BA375" s="213"/>
      <c r="BB375" s="213"/>
      <c r="BC375" s="213"/>
      <c r="BD375" s="213"/>
      <c r="BE375" s="213"/>
      <c r="BF375" s="213"/>
      <c r="BG375" s="213"/>
      <c r="BH375" s="213"/>
      <c r="BI375" s="213"/>
      <c r="BJ375" s="213"/>
      <c r="BK375" s="213"/>
      <c r="BL375" s="213"/>
      <c r="BM375" s="213"/>
      <c r="BN375" s="213"/>
      <c r="BO375" s="213"/>
      <c r="BP375" s="213"/>
      <c r="BQ375" s="213"/>
      <c r="BR375" s="213"/>
      <c r="BS375" s="213"/>
      <c r="BT375" s="213"/>
      <c r="BU375" s="213"/>
      <c r="BV375" s="213"/>
      <c r="BW375" s="213"/>
      <c r="BX375" s="213"/>
      <c r="BY375" s="213"/>
      <c r="BZ375" s="213"/>
      <c r="CA375" s="213"/>
      <c r="CB375" s="213"/>
      <c r="CC375" s="213"/>
      <c r="CD375" s="213"/>
      <c r="CE375" s="213"/>
      <c r="CF375" s="213"/>
      <c r="CG375" s="213"/>
      <c r="CH375" s="213"/>
      <c r="CI375" s="213"/>
      <c r="CJ375" s="213"/>
      <c r="CK375" s="213"/>
      <c r="CL375" s="213"/>
      <c r="CM375" s="213"/>
      <c r="CN375" s="213"/>
      <c r="CO375" s="213"/>
      <c r="CP375" s="213"/>
      <c r="CQ375" s="213"/>
      <c r="CR375" s="212"/>
      <c r="CS375" s="212"/>
    </row>
    <row r="376" spans="1:97" x14ac:dyDescent="0.4">
      <c r="B376" s="210"/>
      <c r="C376" s="213"/>
      <c r="D376" s="213"/>
      <c r="E376" s="213"/>
      <c r="F376" s="213"/>
      <c r="G376" s="213"/>
      <c r="H376" s="213"/>
      <c r="I376" s="213"/>
      <c r="J376" s="213"/>
      <c r="K376" s="213"/>
      <c r="L376" s="213"/>
      <c r="M376" s="213"/>
      <c r="N376" s="213"/>
      <c r="O376" s="213"/>
      <c r="P376" s="213"/>
      <c r="Q376" s="213"/>
      <c r="R376" s="213"/>
      <c r="S376" s="213"/>
      <c r="T376" s="213"/>
      <c r="U376" s="213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13"/>
      <c r="AF376" s="213"/>
      <c r="AG376" s="213"/>
      <c r="AH376" s="213"/>
      <c r="AI376" s="213"/>
      <c r="AJ376" s="213"/>
      <c r="AK376" s="213"/>
      <c r="AL376" s="213"/>
      <c r="AM376" s="213"/>
      <c r="AN376" s="213"/>
      <c r="AO376" s="213"/>
      <c r="AP376" s="213"/>
      <c r="AQ376" s="213"/>
      <c r="AR376" s="213"/>
      <c r="AS376" s="213"/>
      <c r="AT376" s="213"/>
      <c r="AU376" s="213"/>
      <c r="AV376" s="213"/>
      <c r="AW376" s="213"/>
      <c r="AX376" s="213"/>
      <c r="AY376" s="213"/>
      <c r="AZ376" s="213"/>
      <c r="BA376" s="213"/>
      <c r="BB376" s="213"/>
      <c r="BC376" s="213"/>
      <c r="BD376" s="213"/>
      <c r="BE376" s="213"/>
      <c r="BF376" s="213"/>
      <c r="BG376" s="213"/>
      <c r="BH376" s="213"/>
      <c r="BI376" s="213"/>
      <c r="BJ376" s="213"/>
      <c r="BK376" s="213"/>
      <c r="BL376" s="213"/>
      <c r="BM376" s="213"/>
      <c r="BN376" s="213"/>
      <c r="BO376" s="213"/>
      <c r="BP376" s="213"/>
      <c r="BQ376" s="213"/>
      <c r="BR376" s="213"/>
      <c r="BS376" s="213"/>
      <c r="BT376" s="213"/>
      <c r="BU376" s="213"/>
      <c r="BV376" s="213"/>
      <c r="BW376" s="213"/>
      <c r="BX376" s="213"/>
      <c r="BY376" s="213"/>
      <c r="BZ376" s="213"/>
      <c r="CA376" s="213"/>
      <c r="CB376" s="213"/>
      <c r="CC376" s="213"/>
      <c r="CD376" s="213"/>
      <c r="CE376" s="213"/>
      <c r="CF376" s="213"/>
      <c r="CG376" s="213"/>
      <c r="CH376" s="213"/>
      <c r="CI376" s="213"/>
      <c r="CJ376" s="213"/>
      <c r="CK376" s="213"/>
      <c r="CL376" s="213"/>
      <c r="CM376" s="213"/>
      <c r="CN376" s="213"/>
      <c r="CO376" s="213"/>
      <c r="CP376" s="213"/>
      <c r="CQ376" s="213"/>
      <c r="CR376" s="213"/>
      <c r="CS376" s="213"/>
    </row>
    <row r="377" spans="1:97" x14ac:dyDescent="0.4">
      <c r="A377" s="209"/>
      <c r="B377" s="210"/>
      <c r="C377" s="212"/>
      <c r="D377" s="212"/>
      <c r="E377" s="212"/>
      <c r="F377" s="212"/>
      <c r="G377" s="212"/>
      <c r="H377" s="212"/>
      <c r="I377" s="212"/>
      <c r="J377" s="212"/>
      <c r="K377" s="212"/>
      <c r="L377" s="212"/>
      <c r="M377" s="212"/>
      <c r="N377" s="212"/>
      <c r="O377" s="212"/>
      <c r="P377" s="212"/>
      <c r="Q377" s="212"/>
      <c r="R377" s="212"/>
      <c r="S377" s="212"/>
      <c r="T377" s="212"/>
      <c r="U377" s="212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12"/>
      <c r="AF377" s="212"/>
      <c r="AG377" s="212"/>
      <c r="AH377" s="212"/>
      <c r="AI377" s="212"/>
      <c r="AJ377" s="212"/>
      <c r="AK377" s="212"/>
      <c r="AL377" s="212"/>
      <c r="AM377" s="212"/>
      <c r="AN377" s="212"/>
      <c r="AO377" s="212"/>
      <c r="AP377" s="212"/>
      <c r="AQ377" s="212"/>
      <c r="AR377" s="212"/>
      <c r="AS377" s="212"/>
      <c r="AT377" s="212"/>
      <c r="AU377" s="212"/>
      <c r="AV377" s="212"/>
      <c r="AW377" s="212"/>
      <c r="AX377" s="212"/>
      <c r="AY377" s="212"/>
      <c r="AZ377" s="212"/>
      <c r="BA377" s="212"/>
      <c r="BB377" s="212"/>
      <c r="BC377" s="212"/>
      <c r="BD377" s="212"/>
      <c r="BE377" s="212"/>
      <c r="BF377" s="212"/>
      <c r="BG377" s="212"/>
      <c r="BH377" s="212"/>
      <c r="BI377" s="212"/>
      <c r="BJ377" s="212"/>
      <c r="BK377" s="212"/>
      <c r="BL377" s="212"/>
      <c r="BM377" s="212"/>
      <c r="BN377" s="212"/>
      <c r="BO377" s="212"/>
      <c r="BP377" s="212"/>
      <c r="BQ377" s="212"/>
      <c r="BR377" s="212"/>
      <c r="BS377" s="212"/>
      <c r="BT377" s="212"/>
      <c r="BU377" s="212"/>
      <c r="BV377" s="212"/>
      <c r="BW377" s="212"/>
      <c r="BX377" s="212"/>
      <c r="BY377" s="212"/>
      <c r="BZ377" s="212"/>
      <c r="CA377" s="212"/>
      <c r="CB377" s="212"/>
      <c r="CC377" s="212"/>
      <c r="CD377" s="212"/>
      <c r="CE377" s="212"/>
      <c r="CF377" s="212"/>
      <c r="CG377" s="212"/>
      <c r="CH377" s="212"/>
      <c r="CI377" s="212"/>
      <c r="CJ377" s="212"/>
      <c r="CK377" s="212"/>
      <c r="CL377" s="212"/>
      <c r="CM377" s="212"/>
      <c r="CN377" s="212"/>
      <c r="CO377" s="212"/>
      <c r="CP377" s="212"/>
      <c r="CQ377" s="212"/>
      <c r="CR377" s="210"/>
      <c r="CS377" s="210"/>
    </row>
    <row r="378" spans="1:97" x14ac:dyDescent="0.4">
      <c r="A378" s="209"/>
      <c r="B378" s="210"/>
      <c r="C378" s="213"/>
      <c r="D378" s="213"/>
      <c r="E378" s="213"/>
      <c r="F378" s="213"/>
      <c r="G378" s="213"/>
      <c r="H378" s="213"/>
      <c r="I378" s="213"/>
      <c r="J378" s="213"/>
      <c r="K378" s="213"/>
      <c r="L378" s="213"/>
      <c r="M378" s="213"/>
      <c r="N378" s="213"/>
      <c r="O378" s="213"/>
      <c r="P378" s="213"/>
      <c r="Q378" s="213"/>
      <c r="R378" s="213"/>
      <c r="S378" s="213"/>
      <c r="T378" s="213"/>
      <c r="U378" s="213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13"/>
      <c r="AF378" s="213"/>
      <c r="AG378" s="213"/>
      <c r="AH378" s="213"/>
      <c r="AI378" s="213"/>
      <c r="AJ378" s="213"/>
      <c r="AK378" s="213"/>
      <c r="AL378" s="213"/>
      <c r="AM378" s="213"/>
      <c r="AN378" s="213"/>
      <c r="AO378" s="213"/>
      <c r="AP378" s="213"/>
      <c r="AQ378" s="213"/>
      <c r="AR378" s="213"/>
      <c r="AS378" s="213"/>
      <c r="AT378" s="213"/>
      <c r="AU378" s="213"/>
      <c r="AV378" s="213"/>
      <c r="AW378" s="213"/>
      <c r="AX378" s="213"/>
      <c r="AY378" s="213"/>
      <c r="AZ378" s="213"/>
      <c r="BA378" s="213"/>
      <c r="BB378" s="213"/>
      <c r="BC378" s="213"/>
      <c r="BD378" s="213"/>
      <c r="BE378" s="213"/>
      <c r="BF378" s="213"/>
      <c r="BG378" s="213"/>
      <c r="BH378" s="213"/>
      <c r="BI378" s="213"/>
      <c r="BJ378" s="213"/>
      <c r="BK378" s="213"/>
      <c r="BL378" s="213"/>
      <c r="BM378" s="213"/>
      <c r="BN378" s="213"/>
      <c r="BO378" s="213"/>
      <c r="BP378" s="213"/>
      <c r="BQ378" s="213"/>
      <c r="BR378" s="213"/>
      <c r="BS378" s="213"/>
      <c r="BT378" s="213"/>
      <c r="BU378" s="213"/>
      <c r="BV378" s="213"/>
      <c r="BW378" s="213"/>
      <c r="BX378" s="213"/>
      <c r="BY378" s="213"/>
      <c r="BZ378" s="213"/>
      <c r="CA378" s="213"/>
      <c r="CB378" s="213"/>
      <c r="CC378" s="213"/>
      <c r="CD378" s="213"/>
      <c r="CE378" s="213"/>
      <c r="CF378" s="213"/>
      <c r="CG378" s="213"/>
      <c r="CH378" s="213"/>
      <c r="CI378" s="213"/>
      <c r="CJ378" s="213"/>
      <c r="CK378" s="213"/>
      <c r="CL378" s="213"/>
      <c r="CM378" s="213"/>
      <c r="CN378" s="213"/>
      <c r="CO378" s="213"/>
      <c r="CP378" s="213"/>
      <c r="CQ378" s="213"/>
      <c r="CR378" s="210"/>
      <c r="CS378" s="210"/>
    </row>
    <row r="379" spans="1:97" x14ac:dyDescent="0.4">
      <c r="A379" s="209"/>
      <c r="B379" s="210"/>
      <c r="C379" s="211"/>
      <c r="D379" s="211"/>
      <c r="E379" s="211"/>
      <c r="F379" s="211"/>
      <c r="G379" s="211"/>
      <c r="H379" s="211"/>
      <c r="I379" s="211"/>
      <c r="J379" s="211"/>
      <c r="K379" s="211"/>
      <c r="L379" s="211"/>
      <c r="M379" s="211"/>
      <c r="N379" s="211"/>
      <c r="O379" s="211"/>
      <c r="P379" s="211"/>
      <c r="Q379" s="211"/>
      <c r="R379" s="211"/>
      <c r="S379" s="211"/>
      <c r="T379" s="211"/>
      <c r="U379" s="211"/>
      <c r="V379" s="211"/>
      <c r="W379" s="211"/>
      <c r="X379" s="211"/>
      <c r="Y379" s="211"/>
      <c r="Z379" s="211"/>
      <c r="AA379" s="211"/>
      <c r="AB379" s="211"/>
      <c r="AC379" s="211"/>
      <c r="AD379" s="211"/>
      <c r="AE379" s="211"/>
      <c r="AF379" s="211"/>
      <c r="AG379" s="211"/>
      <c r="AH379" s="211"/>
      <c r="AI379" s="211"/>
      <c r="AJ379" s="211"/>
      <c r="AK379" s="211"/>
      <c r="AL379" s="211"/>
      <c r="AM379" s="211"/>
      <c r="AN379" s="211"/>
      <c r="AO379" s="211"/>
      <c r="AP379" s="211"/>
      <c r="AQ379" s="211"/>
      <c r="AR379" s="211"/>
      <c r="AS379" s="211"/>
      <c r="AT379" s="211"/>
      <c r="AU379" s="211"/>
      <c r="AV379" s="211"/>
      <c r="AW379" s="211"/>
      <c r="AX379" s="211"/>
      <c r="AY379" s="211"/>
      <c r="AZ379" s="211"/>
      <c r="BA379" s="211"/>
      <c r="BB379" s="211"/>
      <c r="BC379" s="211"/>
      <c r="BD379" s="211"/>
      <c r="BE379" s="211"/>
      <c r="BF379" s="211"/>
      <c r="BG379" s="211"/>
      <c r="BH379" s="211"/>
      <c r="BI379" s="211"/>
      <c r="BJ379" s="211"/>
      <c r="BK379" s="211"/>
      <c r="BL379" s="211"/>
      <c r="BM379" s="211"/>
      <c r="BN379" s="211"/>
      <c r="BO379" s="211"/>
      <c r="BP379" s="211"/>
      <c r="BQ379" s="211"/>
      <c r="BR379" s="211"/>
      <c r="BS379" s="211"/>
      <c r="BT379" s="211"/>
      <c r="BU379" s="211"/>
      <c r="BV379" s="211"/>
      <c r="BW379" s="211"/>
      <c r="BX379" s="211"/>
      <c r="BY379" s="211"/>
      <c r="BZ379" s="211"/>
      <c r="CA379" s="211"/>
      <c r="CB379" s="211"/>
      <c r="CC379" s="210"/>
      <c r="CD379" s="210"/>
      <c r="CE379" s="210"/>
      <c r="CF379" s="210"/>
      <c r="CG379" s="210"/>
      <c r="CH379" s="210"/>
      <c r="CI379" s="210"/>
      <c r="CJ379" s="210"/>
      <c r="CK379" s="210"/>
      <c r="CL379" s="210"/>
      <c r="CM379" s="210"/>
      <c r="CN379" s="210"/>
      <c r="CO379" s="210"/>
      <c r="CP379" s="210"/>
      <c r="CQ379" s="210"/>
      <c r="CR379" s="210"/>
      <c r="CS379" s="210"/>
    </row>
    <row r="380" spans="1:97" x14ac:dyDescent="0.4">
      <c r="A380" s="209"/>
      <c r="B380" s="210"/>
      <c r="C380" s="211"/>
      <c r="D380" s="211"/>
      <c r="E380" s="211"/>
      <c r="F380" s="211"/>
      <c r="G380" s="211"/>
      <c r="H380" s="211"/>
      <c r="I380" s="211"/>
      <c r="J380" s="211"/>
      <c r="K380" s="211"/>
      <c r="L380" s="211"/>
      <c r="M380" s="211"/>
      <c r="N380" s="211"/>
      <c r="O380" s="211"/>
      <c r="P380" s="211"/>
      <c r="Q380" s="211"/>
      <c r="R380" s="211"/>
      <c r="S380" s="211"/>
      <c r="T380" s="211"/>
      <c r="U380" s="211"/>
      <c r="V380" s="211"/>
      <c r="W380" s="211"/>
      <c r="X380" s="211"/>
      <c r="Y380" s="211"/>
      <c r="Z380" s="211"/>
      <c r="AA380" s="211"/>
      <c r="AB380" s="211"/>
      <c r="AC380" s="211"/>
      <c r="AD380" s="211"/>
      <c r="AE380" s="211"/>
      <c r="AF380" s="211"/>
      <c r="AG380" s="211"/>
      <c r="AH380" s="211"/>
      <c r="AI380" s="211"/>
      <c r="AJ380" s="211"/>
      <c r="AK380" s="211"/>
      <c r="AL380" s="211"/>
      <c r="AM380" s="211"/>
      <c r="AN380" s="211"/>
      <c r="AO380" s="211"/>
      <c r="AP380" s="211"/>
      <c r="AQ380" s="211"/>
      <c r="AR380" s="211"/>
      <c r="AS380" s="211"/>
      <c r="AT380" s="211"/>
      <c r="AU380" s="211"/>
      <c r="AV380" s="211"/>
      <c r="AW380" s="211"/>
      <c r="AX380" s="211"/>
      <c r="AY380" s="211"/>
      <c r="AZ380" s="211"/>
      <c r="BA380" s="211"/>
      <c r="BB380" s="211"/>
      <c r="BC380" s="211"/>
      <c r="BD380" s="211"/>
      <c r="BE380" s="211"/>
      <c r="BF380" s="211"/>
      <c r="BG380" s="211"/>
      <c r="BH380" s="211"/>
      <c r="BI380" s="211"/>
      <c r="BJ380" s="211"/>
      <c r="BK380" s="211"/>
      <c r="BL380" s="211"/>
      <c r="BM380" s="211"/>
      <c r="BN380" s="211"/>
      <c r="BO380" s="211"/>
      <c r="BP380" s="211"/>
      <c r="BQ380" s="211"/>
      <c r="BR380" s="211"/>
      <c r="BS380" s="211"/>
      <c r="BT380" s="211"/>
      <c r="BU380" s="211"/>
      <c r="BV380" s="211"/>
      <c r="BW380" s="211"/>
      <c r="BX380" s="211"/>
      <c r="BY380" s="211"/>
      <c r="BZ380" s="211"/>
      <c r="CA380" s="211"/>
      <c r="CB380" s="211"/>
      <c r="CC380" s="210"/>
      <c r="CD380" s="210"/>
      <c r="CE380" s="210"/>
      <c r="CF380" s="210"/>
      <c r="CG380" s="210"/>
      <c r="CH380" s="210"/>
      <c r="CI380" s="210"/>
      <c r="CJ380" s="210"/>
      <c r="CK380" s="210"/>
      <c r="CL380" s="210"/>
      <c r="CM380" s="210"/>
      <c r="CN380" s="210"/>
      <c r="CO380" s="210"/>
      <c r="CP380" s="210"/>
      <c r="CQ380" s="210"/>
      <c r="CR380" s="210"/>
      <c r="CS380" s="210"/>
    </row>
    <row r="381" spans="1:97" x14ac:dyDescent="0.4">
      <c r="A381" s="209"/>
      <c r="B381" s="210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211"/>
      <c r="P381" s="211"/>
      <c r="Q381" s="211"/>
      <c r="R381" s="211"/>
      <c r="S381" s="211"/>
      <c r="T381" s="211"/>
      <c r="U381" s="211"/>
      <c r="V381" s="211"/>
      <c r="W381" s="211"/>
      <c r="X381" s="211"/>
      <c r="Y381" s="211"/>
      <c r="Z381" s="211"/>
      <c r="AA381" s="211"/>
      <c r="AB381" s="211"/>
      <c r="AC381" s="211"/>
      <c r="AD381" s="211"/>
      <c r="AE381" s="211"/>
      <c r="AF381" s="211"/>
      <c r="AG381" s="211"/>
      <c r="AH381" s="211"/>
      <c r="AI381" s="211"/>
      <c r="AJ381" s="211"/>
      <c r="AK381" s="211"/>
      <c r="AL381" s="211"/>
      <c r="AM381" s="211"/>
      <c r="AN381" s="211"/>
      <c r="AO381" s="211"/>
      <c r="AP381" s="211"/>
      <c r="AQ381" s="211"/>
      <c r="AR381" s="211"/>
      <c r="AS381" s="211"/>
      <c r="AT381" s="211"/>
      <c r="AU381" s="211"/>
      <c r="AV381" s="211"/>
      <c r="AW381" s="211"/>
      <c r="AX381" s="211"/>
      <c r="AY381" s="211"/>
      <c r="AZ381" s="211"/>
      <c r="BA381" s="211"/>
      <c r="BB381" s="211"/>
      <c r="BC381" s="211"/>
      <c r="BD381" s="211"/>
      <c r="BE381" s="211"/>
      <c r="BF381" s="211"/>
      <c r="BG381" s="211"/>
      <c r="BH381" s="211"/>
      <c r="BI381" s="211"/>
      <c r="BJ381" s="211"/>
      <c r="BK381" s="211"/>
      <c r="BL381" s="211"/>
      <c r="BM381" s="211"/>
      <c r="BN381" s="211"/>
      <c r="BO381" s="211"/>
      <c r="BP381" s="211"/>
      <c r="BQ381" s="211"/>
      <c r="BR381" s="211"/>
      <c r="BS381" s="211"/>
      <c r="BT381" s="211"/>
      <c r="BU381" s="211"/>
      <c r="BV381" s="211"/>
      <c r="BW381" s="211"/>
      <c r="BX381" s="211"/>
      <c r="BY381" s="211"/>
      <c r="BZ381" s="211"/>
      <c r="CA381" s="211"/>
      <c r="CB381" s="211"/>
      <c r="CC381" s="210"/>
      <c r="CD381" s="210"/>
      <c r="CE381" s="210"/>
      <c r="CF381" s="210"/>
      <c r="CG381" s="210"/>
      <c r="CH381" s="210"/>
      <c r="CI381" s="210"/>
      <c r="CJ381" s="210"/>
      <c r="CK381" s="210"/>
      <c r="CL381" s="210"/>
      <c r="CM381" s="210"/>
      <c r="CN381" s="210"/>
      <c r="CO381" s="210"/>
      <c r="CP381" s="210"/>
      <c r="CQ381" s="210"/>
      <c r="CR381" s="210"/>
      <c r="CS381" s="210"/>
    </row>
    <row r="382" spans="1:97" x14ac:dyDescent="0.4">
      <c r="A382" s="209"/>
      <c r="B382" s="210"/>
      <c r="C382" s="211"/>
      <c r="D382" s="211"/>
      <c r="E382" s="211"/>
      <c r="F382" s="211"/>
      <c r="G382" s="211"/>
      <c r="H382" s="211"/>
      <c r="I382" s="211"/>
      <c r="J382" s="211"/>
      <c r="K382" s="211"/>
      <c r="L382" s="211"/>
      <c r="M382" s="211"/>
      <c r="N382" s="211"/>
      <c r="O382" s="211"/>
      <c r="P382" s="211"/>
      <c r="Q382" s="211"/>
      <c r="R382" s="211"/>
      <c r="S382" s="211"/>
      <c r="T382" s="211"/>
      <c r="U382" s="211"/>
      <c r="V382" s="211"/>
      <c r="W382" s="211"/>
      <c r="X382" s="211"/>
      <c r="Y382" s="211"/>
      <c r="Z382" s="211"/>
      <c r="AA382" s="211"/>
      <c r="AB382" s="211"/>
      <c r="AC382" s="211"/>
      <c r="AD382" s="211"/>
      <c r="AE382" s="211"/>
      <c r="AF382" s="211"/>
      <c r="AG382" s="211"/>
      <c r="AH382" s="211"/>
      <c r="AI382" s="211"/>
      <c r="AJ382" s="211"/>
      <c r="AK382" s="211"/>
      <c r="AL382" s="211"/>
      <c r="AM382" s="211"/>
      <c r="AN382" s="211"/>
      <c r="AO382" s="211"/>
      <c r="AP382" s="211"/>
      <c r="AQ382" s="211"/>
      <c r="AR382" s="211"/>
      <c r="AS382" s="211"/>
      <c r="AT382" s="211"/>
      <c r="AU382" s="211"/>
      <c r="AV382" s="211"/>
      <c r="AW382" s="211"/>
      <c r="AX382" s="211"/>
      <c r="AY382" s="211"/>
      <c r="AZ382" s="211"/>
      <c r="BA382" s="211"/>
      <c r="BB382" s="211"/>
      <c r="BC382" s="211"/>
      <c r="BD382" s="211"/>
      <c r="BE382" s="211"/>
      <c r="BF382" s="211"/>
      <c r="BG382" s="211"/>
      <c r="BH382" s="211"/>
      <c r="BI382" s="211"/>
      <c r="BJ382" s="211"/>
      <c r="BK382" s="211"/>
      <c r="BL382" s="211"/>
      <c r="BM382" s="211"/>
      <c r="BN382" s="211"/>
      <c r="BO382" s="211"/>
      <c r="BP382" s="211"/>
      <c r="BQ382" s="211"/>
      <c r="BR382" s="211"/>
      <c r="BS382" s="211"/>
      <c r="BT382" s="211"/>
      <c r="BU382" s="211"/>
      <c r="BV382" s="211"/>
      <c r="BW382" s="211"/>
      <c r="BX382" s="211"/>
      <c r="BY382" s="211"/>
      <c r="BZ382" s="211"/>
      <c r="CA382" s="211"/>
      <c r="CB382" s="211"/>
      <c r="CC382" s="210"/>
      <c r="CD382" s="210"/>
      <c r="CE382" s="210"/>
      <c r="CF382" s="210"/>
      <c r="CG382" s="210"/>
      <c r="CH382" s="210"/>
      <c r="CI382" s="210"/>
      <c r="CJ382" s="210"/>
      <c r="CK382" s="210"/>
      <c r="CL382" s="210"/>
      <c r="CM382" s="210"/>
      <c r="CN382" s="210"/>
      <c r="CO382" s="210"/>
      <c r="CP382" s="210"/>
      <c r="CQ382" s="210"/>
      <c r="CR382" s="210"/>
      <c r="CS382" s="210"/>
    </row>
    <row r="383" spans="1:97" x14ac:dyDescent="0.4">
      <c r="A383" s="209"/>
      <c r="B383" s="210"/>
      <c r="C383" s="211"/>
      <c r="D383" s="211"/>
      <c r="E383" s="211"/>
      <c r="F383" s="211"/>
      <c r="G383" s="211"/>
      <c r="H383" s="211"/>
      <c r="I383" s="211"/>
      <c r="J383" s="211"/>
      <c r="K383" s="211"/>
      <c r="L383" s="211"/>
      <c r="M383" s="211"/>
      <c r="N383" s="211"/>
      <c r="O383" s="211"/>
      <c r="P383" s="211"/>
      <c r="Q383" s="211"/>
      <c r="R383" s="211"/>
      <c r="S383" s="211"/>
      <c r="T383" s="211"/>
      <c r="U383" s="211"/>
      <c r="V383" s="211"/>
      <c r="W383" s="211"/>
      <c r="X383" s="211"/>
      <c r="Y383" s="211"/>
      <c r="Z383" s="211"/>
      <c r="AA383" s="211"/>
      <c r="AB383" s="211"/>
      <c r="AC383" s="211"/>
      <c r="AD383" s="211"/>
      <c r="AE383" s="211"/>
      <c r="AF383" s="211"/>
      <c r="AG383" s="211"/>
      <c r="AH383" s="211"/>
      <c r="AI383" s="211"/>
      <c r="AJ383" s="211"/>
      <c r="AK383" s="211"/>
      <c r="AL383" s="211"/>
      <c r="AM383" s="211"/>
      <c r="AN383" s="211"/>
      <c r="AO383" s="211"/>
      <c r="AP383" s="211"/>
      <c r="AQ383" s="211"/>
      <c r="AR383" s="211"/>
      <c r="AS383" s="211"/>
      <c r="AT383" s="211"/>
      <c r="AU383" s="211"/>
      <c r="AV383" s="211"/>
      <c r="AW383" s="211"/>
      <c r="AX383" s="211"/>
      <c r="AY383" s="211"/>
      <c r="AZ383" s="211"/>
      <c r="BA383" s="211"/>
      <c r="BB383" s="211"/>
      <c r="BC383" s="211"/>
      <c r="BD383" s="211"/>
      <c r="BE383" s="211"/>
      <c r="BF383" s="211"/>
      <c r="BG383" s="211"/>
      <c r="BH383" s="211"/>
      <c r="BI383" s="211"/>
      <c r="BJ383" s="211"/>
      <c r="BK383" s="211"/>
      <c r="BL383" s="211"/>
      <c r="BM383" s="211"/>
      <c r="BN383" s="211"/>
      <c r="BO383" s="211"/>
      <c r="BP383" s="211"/>
      <c r="BQ383" s="211"/>
      <c r="BR383" s="211"/>
      <c r="BS383" s="211"/>
      <c r="BT383" s="211"/>
      <c r="BU383" s="211"/>
      <c r="BV383" s="211"/>
      <c r="BW383" s="211"/>
      <c r="BX383" s="211"/>
      <c r="BY383" s="211"/>
      <c r="BZ383" s="211"/>
      <c r="CA383" s="211"/>
      <c r="CB383" s="211"/>
      <c r="CC383" s="210"/>
      <c r="CD383" s="210"/>
      <c r="CE383" s="210"/>
      <c r="CF383" s="210"/>
      <c r="CG383" s="210"/>
      <c r="CH383" s="210"/>
      <c r="CI383" s="210"/>
      <c r="CJ383" s="210"/>
      <c r="CK383" s="210"/>
      <c r="CL383" s="210"/>
      <c r="CM383" s="210"/>
      <c r="CN383" s="210"/>
      <c r="CO383" s="210"/>
      <c r="CP383" s="210"/>
      <c r="CQ383" s="210"/>
      <c r="CR383" s="210"/>
      <c r="CS383" s="210"/>
    </row>
    <row r="384" spans="1:97" x14ac:dyDescent="0.4">
      <c r="A384" s="209"/>
      <c r="B384" s="210"/>
      <c r="C384" s="211"/>
      <c r="D384" s="211"/>
      <c r="E384" s="211"/>
      <c r="F384" s="211"/>
      <c r="G384" s="211"/>
      <c r="H384" s="211"/>
      <c r="I384" s="211"/>
      <c r="J384" s="211"/>
      <c r="K384" s="211"/>
      <c r="L384" s="211"/>
      <c r="M384" s="211"/>
      <c r="N384" s="211"/>
      <c r="O384" s="211"/>
      <c r="P384" s="211"/>
      <c r="Q384" s="211"/>
      <c r="R384" s="211"/>
      <c r="S384" s="211"/>
      <c r="T384" s="211"/>
      <c r="U384" s="211"/>
      <c r="V384" s="211"/>
      <c r="W384" s="211"/>
      <c r="X384" s="211"/>
      <c r="Y384" s="211"/>
      <c r="Z384" s="211"/>
      <c r="AA384" s="211"/>
      <c r="AB384" s="211"/>
      <c r="AC384" s="211"/>
      <c r="AD384" s="211"/>
      <c r="AE384" s="211"/>
      <c r="AF384" s="211"/>
      <c r="AG384" s="211"/>
      <c r="AH384" s="211"/>
      <c r="AI384" s="211"/>
      <c r="AJ384" s="211"/>
      <c r="AK384" s="211"/>
      <c r="AL384" s="211"/>
      <c r="AM384" s="211"/>
      <c r="AN384" s="211"/>
      <c r="AO384" s="211"/>
      <c r="AP384" s="211"/>
      <c r="AQ384" s="211"/>
      <c r="AR384" s="211"/>
      <c r="AS384" s="211"/>
      <c r="AT384" s="211"/>
      <c r="AU384" s="211"/>
      <c r="AV384" s="211"/>
      <c r="AW384" s="211"/>
      <c r="AX384" s="211"/>
      <c r="AY384" s="211"/>
      <c r="AZ384" s="211"/>
      <c r="BA384" s="211"/>
      <c r="BB384" s="211"/>
      <c r="BC384" s="211"/>
      <c r="BD384" s="211"/>
      <c r="BE384" s="211"/>
      <c r="BF384" s="211"/>
      <c r="BG384" s="211"/>
      <c r="BH384" s="211"/>
      <c r="BI384" s="211"/>
      <c r="BJ384" s="211"/>
      <c r="BK384" s="211"/>
      <c r="BL384" s="211"/>
      <c r="BM384" s="211"/>
      <c r="BN384" s="211"/>
      <c r="BO384" s="211"/>
      <c r="BP384" s="211"/>
      <c r="BQ384" s="211"/>
      <c r="BR384" s="211"/>
      <c r="BS384" s="211"/>
      <c r="BT384" s="211"/>
      <c r="BU384" s="211"/>
      <c r="BV384" s="211"/>
      <c r="BW384" s="211"/>
      <c r="BX384" s="211"/>
      <c r="BY384" s="211"/>
      <c r="BZ384" s="211"/>
      <c r="CA384" s="211"/>
      <c r="CB384" s="211"/>
      <c r="CC384" s="210"/>
      <c r="CD384" s="210"/>
      <c r="CE384" s="210"/>
      <c r="CF384" s="210"/>
      <c r="CG384" s="210"/>
      <c r="CH384" s="210"/>
      <c r="CI384" s="210"/>
      <c r="CJ384" s="210"/>
      <c r="CK384" s="210"/>
      <c r="CL384" s="210"/>
      <c r="CM384" s="210"/>
      <c r="CN384" s="210"/>
      <c r="CO384" s="210"/>
      <c r="CP384" s="210"/>
      <c r="CQ384" s="210"/>
      <c r="CR384" s="210"/>
      <c r="CS384" s="210"/>
    </row>
    <row r="385" spans="1:97" x14ac:dyDescent="0.4">
      <c r="A385" s="209"/>
      <c r="B385" s="210"/>
      <c r="C385" s="211"/>
      <c r="D385" s="211"/>
      <c r="E385" s="211"/>
      <c r="F385" s="211"/>
      <c r="G385" s="211"/>
      <c r="H385" s="211"/>
      <c r="I385" s="211"/>
      <c r="J385" s="211"/>
      <c r="K385" s="211"/>
      <c r="L385" s="211"/>
      <c r="M385" s="211"/>
      <c r="N385" s="211"/>
      <c r="O385" s="211"/>
      <c r="P385" s="211"/>
      <c r="Q385" s="211"/>
      <c r="R385" s="211"/>
      <c r="S385" s="211"/>
      <c r="T385" s="211"/>
      <c r="U385" s="211"/>
      <c r="V385" s="211"/>
      <c r="W385" s="211"/>
      <c r="X385" s="211"/>
      <c r="Y385" s="211"/>
      <c r="Z385" s="211"/>
      <c r="AA385" s="211"/>
      <c r="AB385" s="211"/>
      <c r="AC385" s="211"/>
      <c r="AD385" s="211"/>
      <c r="AE385" s="211"/>
      <c r="AF385" s="211"/>
      <c r="AG385" s="211"/>
      <c r="AH385" s="211"/>
      <c r="AI385" s="211"/>
      <c r="AJ385" s="211"/>
      <c r="AK385" s="211"/>
      <c r="AL385" s="211"/>
      <c r="AM385" s="211"/>
      <c r="AN385" s="211"/>
      <c r="AO385" s="211"/>
      <c r="AP385" s="211"/>
      <c r="AQ385" s="211"/>
      <c r="AR385" s="211"/>
      <c r="AS385" s="211"/>
      <c r="AT385" s="211"/>
      <c r="AU385" s="211"/>
      <c r="AV385" s="211"/>
      <c r="AW385" s="211"/>
      <c r="AX385" s="211"/>
      <c r="AY385" s="211"/>
      <c r="AZ385" s="211"/>
      <c r="BA385" s="211"/>
      <c r="BB385" s="211"/>
      <c r="BC385" s="211"/>
      <c r="BD385" s="211"/>
      <c r="BE385" s="211"/>
      <c r="BF385" s="211"/>
      <c r="BG385" s="211"/>
      <c r="BH385" s="211"/>
      <c r="BI385" s="211"/>
      <c r="BJ385" s="211"/>
      <c r="BK385" s="211"/>
      <c r="BL385" s="211"/>
      <c r="BM385" s="211"/>
      <c r="BN385" s="211"/>
      <c r="BO385" s="211"/>
      <c r="BP385" s="211"/>
      <c r="BQ385" s="211"/>
      <c r="BR385" s="211"/>
      <c r="BS385" s="211"/>
      <c r="BT385" s="211"/>
      <c r="BU385" s="211"/>
      <c r="BV385" s="211"/>
      <c r="BW385" s="211"/>
      <c r="BX385" s="211"/>
      <c r="BY385" s="211"/>
      <c r="BZ385" s="211"/>
      <c r="CA385" s="211"/>
      <c r="CB385" s="211"/>
      <c r="CC385" s="210"/>
      <c r="CD385" s="210"/>
      <c r="CE385" s="210"/>
      <c r="CF385" s="210"/>
      <c r="CG385" s="210"/>
      <c r="CH385" s="210"/>
      <c r="CI385" s="210"/>
      <c r="CJ385" s="210"/>
      <c r="CK385" s="210"/>
      <c r="CL385" s="210"/>
      <c r="CM385" s="210"/>
      <c r="CN385" s="210"/>
      <c r="CO385" s="210"/>
      <c r="CP385" s="210"/>
      <c r="CQ385" s="210"/>
      <c r="CR385" s="210"/>
      <c r="CS385" s="210"/>
    </row>
    <row r="386" spans="1:97" x14ac:dyDescent="0.4">
      <c r="A386" s="209"/>
      <c r="B386" s="210"/>
      <c r="C386" s="211"/>
      <c r="D386" s="211"/>
      <c r="E386" s="211"/>
      <c r="F386" s="211"/>
      <c r="G386" s="211"/>
      <c r="H386" s="211"/>
      <c r="I386" s="211"/>
      <c r="J386" s="211"/>
      <c r="K386" s="211"/>
      <c r="L386" s="211"/>
      <c r="M386" s="211"/>
      <c r="N386" s="211"/>
      <c r="O386" s="211"/>
      <c r="P386" s="211"/>
      <c r="Q386" s="211"/>
      <c r="R386" s="211"/>
      <c r="S386" s="211"/>
      <c r="T386" s="211"/>
      <c r="U386" s="211"/>
      <c r="V386" s="211"/>
      <c r="W386" s="211"/>
      <c r="X386" s="211"/>
      <c r="Y386" s="211"/>
      <c r="Z386" s="211"/>
      <c r="AA386" s="211"/>
      <c r="AB386" s="211"/>
      <c r="AC386" s="211"/>
      <c r="AD386" s="211"/>
      <c r="AE386" s="211"/>
      <c r="AF386" s="211"/>
      <c r="AG386" s="211"/>
      <c r="AH386" s="211"/>
      <c r="AI386" s="211"/>
      <c r="AJ386" s="211"/>
      <c r="AK386" s="211"/>
      <c r="AL386" s="211"/>
      <c r="AM386" s="211"/>
      <c r="AN386" s="211"/>
      <c r="AO386" s="211"/>
      <c r="AP386" s="211"/>
      <c r="AQ386" s="211"/>
      <c r="AR386" s="211"/>
      <c r="AS386" s="211"/>
      <c r="AT386" s="211"/>
      <c r="AU386" s="211"/>
      <c r="AV386" s="211"/>
      <c r="AW386" s="211"/>
      <c r="AX386" s="211"/>
      <c r="AY386" s="211"/>
      <c r="AZ386" s="211"/>
      <c r="BA386" s="211"/>
      <c r="BB386" s="211"/>
      <c r="BC386" s="211"/>
      <c r="BD386" s="211"/>
      <c r="BE386" s="211"/>
      <c r="BF386" s="211"/>
      <c r="BG386" s="211"/>
      <c r="BH386" s="211"/>
      <c r="BI386" s="211"/>
      <c r="BJ386" s="211"/>
      <c r="BK386" s="211"/>
      <c r="BL386" s="211"/>
      <c r="BM386" s="211"/>
      <c r="BN386" s="211"/>
      <c r="BO386" s="211"/>
      <c r="BP386" s="211"/>
      <c r="BQ386" s="211"/>
      <c r="BR386" s="211"/>
      <c r="BS386" s="211"/>
      <c r="BT386" s="211"/>
      <c r="BU386" s="211"/>
      <c r="BV386" s="211"/>
      <c r="BW386" s="211"/>
      <c r="BX386" s="211"/>
      <c r="BY386" s="211"/>
      <c r="BZ386" s="211"/>
      <c r="CA386" s="211"/>
      <c r="CB386" s="211"/>
      <c r="CC386" s="210"/>
      <c r="CD386" s="210"/>
      <c r="CE386" s="210"/>
      <c r="CF386" s="210"/>
      <c r="CG386" s="210"/>
      <c r="CH386" s="210"/>
      <c r="CI386" s="210"/>
      <c r="CJ386" s="210"/>
      <c r="CK386" s="210"/>
      <c r="CL386" s="210"/>
      <c r="CM386" s="210"/>
      <c r="CN386" s="210"/>
      <c r="CO386" s="210"/>
      <c r="CP386" s="210"/>
      <c r="CQ386" s="210"/>
      <c r="CR386" s="210"/>
      <c r="CS386" s="210"/>
    </row>
    <row r="387" spans="1:97" x14ac:dyDescent="0.4">
      <c r="A387" s="209"/>
      <c r="B387" s="210"/>
      <c r="C387" s="211"/>
      <c r="D387" s="211"/>
      <c r="E387" s="211"/>
      <c r="F387" s="211"/>
      <c r="G387" s="211"/>
      <c r="H387" s="211"/>
      <c r="I387" s="211"/>
      <c r="J387" s="211"/>
      <c r="K387" s="211"/>
      <c r="L387" s="211"/>
      <c r="M387" s="211"/>
      <c r="N387" s="211"/>
      <c r="O387" s="211"/>
      <c r="P387" s="211"/>
      <c r="Q387" s="211"/>
      <c r="R387" s="211"/>
      <c r="S387" s="211"/>
      <c r="T387" s="211"/>
      <c r="U387" s="211"/>
      <c r="V387" s="211"/>
      <c r="W387" s="211"/>
      <c r="X387" s="211"/>
      <c r="Y387" s="211"/>
      <c r="Z387" s="211"/>
      <c r="AA387" s="211"/>
      <c r="AB387" s="211"/>
      <c r="AC387" s="211"/>
      <c r="AD387" s="211"/>
      <c r="AE387" s="211"/>
      <c r="AF387" s="211"/>
      <c r="AG387" s="211"/>
      <c r="AH387" s="211"/>
      <c r="AI387" s="211"/>
      <c r="AJ387" s="211"/>
      <c r="AK387" s="211"/>
      <c r="AL387" s="211"/>
      <c r="AM387" s="211"/>
      <c r="AN387" s="211"/>
      <c r="AO387" s="211"/>
      <c r="AP387" s="211"/>
      <c r="AQ387" s="211"/>
      <c r="AR387" s="211"/>
      <c r="AS387" s="211"/>
      <c r="AT387" s="211"/>
      <c r="AU387" s="211"/>
      <c r="AV387" s="211"/>
      <c r="AW387" s="211"/>
      <c r="AX387" s="211"/>
      <c r="AY387" s="211"/>
      <c r="AZ387" s="211"/>
      <c r="BA387" s="211"/>
      <c r="BB387" s="211"/>
      <c r="BC387" s="211"/>
      <c r="BD387" s="211"/>
      <c r="BE387" s="211"/>
      <c r="BF387" s="211"/>
      <c r="BG387" s="211"/>
      <c r="BH387" s="211"/>
      <c r="BI387" s="211"/>
      <c r="BJ387" s="211"/>
      <c r="BK387" s="211"/>
      <c r="BL387" s="211"/>
      <c r="BM387" s="211"/>
      <c r="BN387" s="211"/>
      <c r="BO387" s="211"/>
      <c r="BP387" s="211"/>
      <c r="BQ387" s="211"/>
      <c r="BR387" s="211"/>
      <c r="BS387" s="211"/>
      <c r="BT387" s="211"/>
      <c r="BU387" s="211"/>
      <c r="BV387" s="211"/>
      <c r="BW387" s="211"/>
      <c r="BX387" s="211"/>
      <c r="BY387" s="211"/>
      <c r="BZ387" s="211"/>
      <c r="CA387" s="211"/>
      <c r="CB387" s="211"/>
      <c r="CC387" s="210"/>
      <c r="CD387" s="210"/>
      <c r="CE387" s="210"/>
      <c r="CF387" s="210"/>
      <c r="CG387" s="210"/>
      <c r="CH387" s="210"/>
      <c r="CI387" s="210"/>
      <c r="CJ387" s="210"/>
      <c r="CK387" s="210"/>
      <c r="CL387" s="210"/>
      <c r="CM387" s="210"/>
      <c r="CN387" s="210"/>
      <c r="CO387" s="210"/>
      <c r="CP387" s="210"/>
      <c r="CQ387" s="210"/>
      <c r="CR387" s="210"/>
      <c r="CS387" s="210"/>
    </row>
    <row r="388" spans="1:97" x14ac:dyDescent="0.4">
      <c r="A388" s="209"/>
      <c r="B388" s="210"/>
      <c r="C388" s="211"/>
      <c r="D388" s="211"/>
      <c r="E388" s="211"/>
      <c r="F388" s="211"/>
      <c r="G388" s="211"/>
      <c r="H388" s="211"/>
      <c r="I388" s="211"/>
      <c r="J388" s="211"/>
      <c r="K388" s="211"/>
      <c r="L388" s="211"/>
      <c r="M388" s="211"/>
      <c r="N388" s="211"/>
      <c r="O388" s="211"/>
      <c r="P388" s="211"/>
      <c r="Q388" s="211"/>
      <c r="R388" s="211"/>
      <c r="S388" s="211"/>
      <c r="T388" s="211"/>
      <c r="U388" s="211"/>
      <c r="V388" s="211"/>
      <c r="W388" s="211"/>
      <c r="X388" s="211"/>
      <c r="Y388" s="211"/>
      <c r="Z388" s="211"/>
      <c r="AA388" s="211"/>
      <c r="AB388" s="211"/>
      <c r="AC388" s="211"/>
      <c r="AD388" s="211"/>
      <c r="AE388" s="211"/>
      <c r="AF388" s="211"/>
      <c r="AG388" s="211"/>
      <c r="AH388" s="211"/>
      <c r="AI388" s="211"/>
      <c r="AJ388" s="211"/>
      <c r="AK388" s="211"/>
      <c r="AL388" s="211"/>
      <c r="AM388" s="211"/>
      <c r="AN388" s="211"/>
      <c r="AO388" s="211"/>
      <c r="AP388" s="211"/>
      <c r="AQ388" s="211"/>
      <c r="AR388" s="211"/>
      <c r="AS388" s="211"/>
      <c r="AT388" s="211"/>
      <c r="AU388" s="211"/>
      <c r="AV388" s="211"/>
      <c r="AW388" s="211"/>
      <c r="AX388" s="211"/>
      <c r="AY388" s="211"/>
      <c r="AZ388" s="211"/>
      <c r="BA388" s="211"/>
      <c r="BB388" s="211"/>
      <c r="BC388" s="211"/>
      <c r="BD388" s="211"/>
      <c r="BE388" s="211"/>
      <c r="BF388" s="211"/>
      <c r="BG388" s="211"/>
      <c r="BH388" s="211"/>
      <c r="BI388" s="211"/>
      <c r="BJ388" s="211"/>
      <c r="BK388" s="211"/>
      <c r="BL388" s="211"/>
      <c r="BM388" s="211"/>
      <c r="BN388" s="211"/>
      <c r="BO388" s="211"/>
      <c r="BP388" s="211"/>
      <c r="BQ388" s="211"/>
      <c r="BR388" s="211"/>
      <c r="BS388" s="211"/>
      <c r="BT388" s="211"/>
      <c r="BU388" s="211"/>
      <c r="BV388" s="211"/>
      <c r="BW388" s="211"/>
      <c r="BX388" s="211"/>
      <c r="BY388" s="211"/>
      <c r="BZ388" s="211"/>
      <c r="CA388" s="211"/>
      <c r="CB388" s="211"/>
      <c r="CC388" s="210"/>
      <c r="CD388" s="210"/>
      <c r="CE388" s="210"/>
      <c r="CF388" s="210"/>
      <c r="CG388" s="210"/>
      <c r="CH388" s="210"/>
      <c r="CI388" s="210"/>
      <c r="CJ388" s="210"/>
      <c r="CK388" s="210"/>
      <c r="CL388" s="210"/>
      <c r="CM388" s="210"/>
      <c r="CN388" s="210"/>
      <c r="CO388" s="210"/>
      <c r="CP388" s="210"/>
      <c r="CQ388" s="210"/>
      <c r="CR388" s="210"/>
      <c r="CS388" s="210"/>
    </row>
    <row r="389" spans="1:97" x14ac:dyDescent="0.4">
      <c r="A389" s="209"/>
      <c r="B389" s="210"/>
      <c r="C389" s="211"/>
      <c r="D389" s="211"/>
      <c r="E389" s="211"/>
      <c r="F389" s="211"/>
      <c r="G389" s="211"/>
      <c r="H389" s="211"/>
      <c r="I389" s="211"/>
      <c r="J389" s="211"/>
      <c r="K389" s="211"/>
      <c r="L389" s="211"/>
      <c r="M389" s="211"/>
      <c r="N389" s="211"/>
      <c r="O389" s="211"/>
      <c r="P389" s="211"/>
      <c r="Q389" s="211"/>
      <c r="R389" s="211"/>
      <c r="S389" s="211"/>
      <c r="T389" s="211"/>
      <c r="U389" s="211"/>
      <c r="V389" s="211"/>
      <c r="W389" s="211"/>
      <c r="X389" s="211"/>
      <c r="Y389" s="211"/>
      <c r="Z389" s="211"/>
      <c r="AA389" s="211"/>
      <c r="AB389" s="211"/>
      <c r="AC389" s="211"/>
      <c r="AD389" s="211"/>
      <c r="AE389" s="211"/>
      <c r="AF389" s="211"/>
      <c r="AG389" s="211"/>
      <c r="AH389" s="211"/>
      <c r="AI389" s="211"/>
      <c r="AJ389" s="211"/>
      <c r="AK389" s="211"/>
      <c r="AL389" s="211"/>
      <c r="AM389" s="211"/>
      <c r="AN389" s="211"/>
      <c r="AO389" s="211"/>
      <c r="AP389" s="211"/>
      <c r="AQ389" s="211"/>
      <c r="AR389" s="211"/>
      <c r="AS389" s="211"/>
      <c r="AT389" s="211"/>
      <c r="AU389" s="211"/>
      <c r="AV389" s="211"/>
      <c r="AW389" s="211"/>
      <c r="AX389" s="211"/>
      <c r="AY389" s="211"/>
      <c r="AZ389" s="211"/>
      <c r="BA389" s="211"/>
      <c r="BB389" s="211"/>
      <c r="BC389" s="211"/>
      <c r="BD389" s="211"/>
      <c r="BE389" s="211"/>
      <c r="BF389" s="211"/>
      <c r="BG389" s="211"/>
      <c r="BH389" s="211"/>
      <c r="BI389" s="211"/>
      <c r="BJ389" s="211"/>
      <c r="BK389" s="211"/>
      <c r="BL389" s="211"/>
      <c r="BM389" s="211"/>
      <c r="BN389" s="211"/>
      <c r="BO389" s="211"/>
      <c r="BP389" s="211"/>
      <c r="BQ389" s="211"/>
      <c r="BR389" s="211"/>
      <c r="BS389" s="211"/>
      <c r="BT389" s="211"/>
      <c r="BU389" s="211"/>
      <c r="BV389" s="211"/>
      <c r="BW389" s="211"/>
      <c r="BX389" s="211"/>
      <c r="BY389" s="211"/>
      <c r="BZ389" s="211"/>
      <c r="CA389" s="211"/>
      <c r="CB389" s="211"/>
      <c r="CC389" s="210"/>
      <c r="CD389" s="210"/>
      <c r="CE389" s="210"/>
      <c r="CF389" s="210"/>
      <c r="CG389" s="210"/>
      <c r="CH389" s="210"/>
      <c r="CI389" s="210"/>
      <c r="CJ389" s="210"/>
      <c r="CK389" s="210"/>
      <c r="CL389" s="210"/>
      <c r="CM389" s="210"/>
      <c r="CN389" s="210"/>
      <c r="CO389" s="210"/>
      <c r="CP389" s="210"/>
      <c r="CQ389" s="210"/>
      <c r="CR389" s="210"/>
      <c r="CS389" s="210"/>
    </row>
    <row r="390" spans="1:97" x14ac:dyDescent="0.4">
      <c r="A390" s="209"/>
      <c r="B390" s="210"/>
      <c r="C390" s="211"/>
      <c r="D390" s="211"/>
      <c r="E390" s="211"/>
      <c r="F390" s="211"/>
      <c r="G390" s="211"/>
      <c r="H390" s="211"/>
      <c r="I390" s="211"/>
      <c r="J390" s="211"/>
      <c r="K390" s="211"/>
      <c r="L390" s="211"/>
      <c r="M390" s="211"/>
      <c r="N390" s="211"/>
      <c r="O390" s="211"/>
      <c r="P390" s="211"/>
      <c r="Q390" s="211"/>
      <c r="R390" s="211"/>
      <c r="S390" s="211"/>
      <c r="T390" s="211"/>
      <c r="U390" s="211"/>
      <c r="V390" s="211"/>
      <c r="W390" s="211"/>
      <c r="X390" s="211"/>
      <c r="Y390" s="211"/>
      <c r="Z390" s="211"/>
      <c r="AA390" s="211"/>
      <c r="AB390" s="211"/>
      <c r="AC390" s="211"/>
      <c r="AD390" s="211"/>
      <c r="AE390" s="211"/>
      <c r="AF390" s="211"/>
      <c r="AG390" s="211"/>
      <c r="AH390" s="211"/>
      <c r="AI390" s="211"/>
      <c r="AJ390" s="211"/>
      <c r="AK390" s="211"/>
      <c r="AL390" s="211"/>
      <c r="AM390" s="211"/>
      <c r="AN390" s="211"/>
      <c r="AO390" s="211"/>
      <c r="AP390" s="211"/>
      <c r="AQ390" s="211"/>
      <c r="AR390" s="211"/>
      <c r="AS390" s="211"/>
      <c r="AT390" s="211"/>
      <c r="AU390" s="211"/>
      <c r="AV390" s="211"/>
      <c r="AW390" s="211"/>
      <c r="AX390" s="211"/>
      <c r="AY390" s="211"/>
      <c r="AZ390" s="211"/>
      <c r="BA390" s="211"/>
      <c r="BB390" s="211"/>
      <c r="BC390" s="211"/>
      <c r="BD390" s="211"/>
      <c r="BE390" s="211"/>
      <c r="BF390" s="211"/>
      <c r="BG390" s="211"/>
      <c r="BH390" s="211"/>
      <c r="BI390" s="211"/>
      <c r="BJ390" s="211"/>
      <c r="BK390" s="211"/>
      <c r="BL390" s="211"/>
      <c r="BM390" s="211"/>
      <c r="BN390" s="211"/>
      <c r="BO390" s="211"/>
      <c r="BP390" s="211"/>
      <c r="BQ390" s="211"/>
      <c r="BR390" s="211"/>
      <c r="BS390" s="211"/>
      <c r="BT390" s="211"/>
      <c r="BU390" s="211"/>
      <c r="BV390" s="211"/>
      <c r="BW390" s="211"/>
      <c r="BX390" s="211"/>
      <c r="BY390" s="211"/>
      <c r="BZ390" s="211"/>
      <c r="CA390" s="211"/>
      <c r="CB390" s="211"/>
      <c r="CC390" s="210"/>
      <c r="CD390" s="210"/>
      <c r="CE390" s="210"/>
      <c r="CF390" s="210"/>
      <c r="CG390" s="210"/>
      <c r="CH390" s="210"/>
      <c r="CI390" s="210"/>
      <c r="CJ390" s="210"/>
      <c r="CK390" s="210"/>
      <c r="CL390" s="210"/>
      <c r="CM390" s="210"/>
      <c r="CN390" s="210"/>
      <c r="CO390" s="210"/>
      <c r="CP390" s="210"/>
      <c r="CQ390" s="210"/>
      <c r="CR390" s="210"/>
      <c r="CS390" s="210"/>
    </row>
    <row r="391" spans="1:97" x14ac:dyDescent="0.4">
      <c r="A391" s="209"/>
      <c r="B391" s="210"/>
      <c r="C391" s="211"/>
      <c r="D391" s="211"/>
      <c r="E391" s="211"/>
      <c r="F391" s="211"/>
      <c r="G391" s="211"/>
      <c r="H391" s="211"/>
      <c r="I391" s="211"/>
      <c r="J391" s="211"/>
      <c r="K391" s="211"/>
      <c r="L391" s="211"/>
      <c r="M391" s="211"/>
      <c r="N391" s="211"/>
      <c r="O391" s="211"/>
      <c r="P391" s="211"/>
      <c r="Q391" s="211"/>
      <c r="R391" s="211"/>
      <c r="S391" s="211"/>
      <c r="T391" s="211"/>
      <c r="U391" s="211"/>
      <c r="V391" s="211"/>
      <c r="W391" s="211"/>
      <c r="X391" s="211"/>
      <c r="Y391" s="211"/>
      <c r="Z391" s="211"/>
      <c r="AA391" s="211"/>
      <c r="AB391" s="211"/>
      <c r="AC391" s="211"/>
      <c r="AD391" s="211"/>
      <c r="AE391" s="211"/>
      <c r="AF391" s="211"/>
      <c r="AG391" s="211"/>
      <c r="AH391" s="211"/>
      <c r="AI391" s="211"/>
      <c r="AJ391" s="211"/>
      <c r="AK391" s="211"/>
      <c r="AL391" s="211"/>
      <c r="AM391" s="211"/>
      <c r="AN391" s="211"/>
      <c r="AO391" s="211"/>
      <c r="AP391" s="211"/>
      <c r="AQ391" s="211"/>
      <c r="AR391" s="211"/>
      <c r="AS391" s="211"/>
      <c r="AT391" s="211"/>
      <c r="AU391" s="211"/>
      <c r="AV391" s="211"/>
      <c r="AW391" s="211"/>
      <c r="AX391" s="211"/>
      <c r="AY391" s="211"/>
      <c r="AZ391" s="211"/>
      <c r="BA391" s="211"/>
      <c r="BB391" s="211"/>
      <c r="BC391" s="211"/>
      <c r="BD391" s="211"/>
      <c r="BE391" s="211"/>
      <c r="BF391" s="211"/>
      <c r="BG391" s="211"/>
      <c r="BH391" s="211"/>
      <c r="BI391" s="211"/>
      <c r="BJ391" s="211"/>
      <c r="BK391" s="211"/>
      <c r="BL391" s="211"/>
      <c r="BM391" s="211"/>
      <c r="BN391" s="211"/>
      <c r="BO391" s="211"/>
      <c r="BP391" s="211"/>
      <c r="BQ391" s="211"/>
      <c r="BR391" s="211"/>
      <c r="BS391" s="211"/>
      <c r="BT391" s="211"/>
      <c r="BU391" s="211"/>
      <c r="BV391" s="211"/>
      <c r="BW391" s="211"/>
      <c r="BX391" s="211"/>
      <c r="BY391" s="211"/>
      <c r="BZ391" s="211"/>
      <c r="CA391" s="211"/>
      <c r="CB391" s="211"/>
      <c r="CC391" s="210"/>
      <c r="CD391" s="210"/>
      <c r="CE391" s="210"/>
      <c r="CF391" s="210"/>
      <c r="CG391" s="210"/>
      <c r="CH391" s="210"/>
      <c r="CI391" s="210"/>
      <c r="CJ391" s="210"/>
      <c r="CK391" s="210"/>
      <c r="CL391" s="210"/>
      <c r="CM391" s="210"/>
      <c r="CN391" s="210"/>
      <c r="CO391" s="210"/>
      <c r="CP391" s="210"/>
      <c r="CQ391" s="210"/>
      <c r="CR391" s="210"/>
      <c r="CS391" s="210"/>
    </row>
    <row r="392" spans="1:97" x14ac:dyDescent="0.4">
      <c r="A392" s="209"/>
      <c r="B392" s="210"/>
      <c r="C392" s="211"/>
      <c r="D392" s="211"/>
      <c r="E392" s="211"/>
      <c r="F392" s="211"/>
      <c r="G392" s="211"/>
      <c r="H392" s="211"/>
      <c r="I392" s="211"/>
      <c r="J392" s="211"/>
      <c r="K392" s="211"/>
      <c r="L392" s="211"/>
      <c r="M392" s="211"/>
      <c r="N392" s="211"/>
      <c r="O392" s="211"/>
      <c r="P392" s="211"/>
      <c r="Q392" s="211"/>
      <c r="R392" s="211"/>
      <c r="S392" s="211"/>
      <c r="T392" s="211"/>
      <c r="U392" s="211"/>
      <c r="V392" s="211"/>
      <c r="W392" s="211"/>
      <c r="X392" s="211"/>
      <c r="Y392" s="211"/>
      <c r="Z392" s="211"/>
      <c r="AA392" s="211"/>
      <c r="AB392" s="211"/>
      <c r="AC392" s="211"/>
      <c r="AD392" s="211"/>
      <c r="AE392" s="211"/>
      <c r="AF392" s="211"/>
      <c r="AG392" s="211"/>
      <c r="AH392" s="211"/>
      <c r="AI392" s="211"/>
      <c r="AJ392" s="211"/>
      <c r="AK392" s="211"/>
      <c r="AL392" s="211"/>
      <c r="AM392" s="211"/>
      <c r="AN392" s="211"/>
      <c r="AO392" s="211"/>
      <c r="AP392" s="211"/>
      <c r="AQ392" s="211"/>
      <c r="AR392" s="211"/>
      <c r="AS392" s="211"/>
      <c r="AT392" s="211"/>
      <c r="AU392" s="211"/>
      <c r="AV392" s="211"/>
      <c r="AW392" s="211"/>
      <c r="AX392" s="211"/>
      <c r="AY392" s="211"/>
      <c r="AZ392" s="211"/>
      <c r="BA392" s="211"/>
      <c r="BB392" s="211"/>
      <c r="BC392" s="211"/>
      <c r="BD392" s="211"/>
      <c r="BE392" s="211"/>
      <c r="BF392" s="211"/>
      <c r="BG392" s="211"/>
      <c r="BH392" s="211"/>
      <c r="BI392" s="211"/>
      <c r="BJ392" s="211"/>
      <c r="BK392" s="211"/>
      <c r="BL392" s="211"/>
      <c r="BM392" s="211"/>
      <c r="BN392" s="211"/>
      <c r="BO392" s="211"/>
      <c r="BP392" s="211"/>
      <c r="BQ392" s="211"/>
      <c r="BR392" s="211"/>
      <c r="BS392" s="211"/>
      <c r="BT392" s="211"/>
      <c r="BU392" s="211"/>
      <c r="BV392" s="211"/>
      <c r="BW392" s="211"/>
      <c r="BX392" s="211"/>
      <c r="BY392" s="211"/>
      <c r="BZ392" s="211"/>
      <c r="CA392" s="211"/>
      <c r="CB392" s="211"/>
      <c r="CC392" s="210"/>
      <c r="CD392" s="210"/>
      <c r="CE392" s="210"/>
      <c r="CF392" s="210"/>
      <c r="CG392" s="210"/>
      <c r="CH392" s="210"/>
      <c r="CI392" s="210"/>
      <c r="CJ392" s="210"/>
      <c r="CK392" s="210"/>
      <c r="CL392" s="210"/>
      <c r="CM392" s="210"/>
      <c r="CN392" s="210"/>
      <c r="CO392" s="210"/>
      <c r="CP392" s="210"/>
      <c r="CQ392" s="210"/>
      <c r="CR392" s="210"/>
      <c r="CS392" s="210"/>
    </row>
    <row r="393" spans="1:97" x14ac:dyDescent="0.4">
      <c r="A393" s="209"/>
      <c r="B393" s="210"/>
      <c r="C393" s="211"/>
      <c r="D393" s="211"/>
      <c r="E393" s="211"/>
      <c r="F393" s="211"/>
      <c r="G393" s="211"/>
      <c r="H393" s="211"/>
      <c r="I393" s="211"/>
      <c r="J393" s="211"/>
      <c r="K393" s="211"/>
      <c r="L393" s="211"/>
      <c r="M393" s="211"/>
      <c r="N393" s="211"/>
      <c r="O393" s="211"/>
      <c r="P393" s="211"/>
      <c r="Q393" s="211"/>
      <c r="R393" s="211"/>
      <c r="S393" s="211"/>
      <c r="T393" s="211"/>
      <c r="U393" s="211"/>
      <c r="V393" s="211"/>
      <c r="W393" s="211"/>
      <c r="X393" s="211"/>
      <c r="Y393" s="211"/>
      <c r="Z393" s="211"/>
      <c r="AA393" s="211"/>
      <c r="AB393" s="211"/>
      <c r="AC393" s="211"/>
      <c r="AD393" s="211"/>
      <c r="AE393" s="211"/>
      <c r="AF393" s="211"/>
      <c r="AG393" s="211"/>
      <c r="AH393" s="211"/>
      <c r="AI393" s="211"/>
      <c r="AJ393" s="211"/>
      <c r="AK393" s="211"/>
      <c r="AL393" s="211"/>
      <c r="AM393" s="211"/>
      <c r="AN393" s="211"/>
      <c r="AO393" s="211"/>
      <c r="AP393" s="211"/>
      <c r="AQ393" s="211"/>
      <c r="AR393" s="211"/>
      <c r="AS393" s="211"/>
      <c r="AT393" s="211"/>
      <c r="AU393" s="211"/>
      <c r="AV393" s="211"/>
      <c r="AW393" s="211"/>
      <c r="AX393" s="211"/>
      <c r="AY393" s="211"/>
      <c r="AZ393" s="211"/>
      <c r="BA393" s="211"/>
      <c r="BB393" s="211"/>
      <c r="BC393" s="211"/>
      <c r="BD393" s="211"/>
      <c r="BE393" s="211"/>
      <c r="BF393" s="211"/>
      <c r="BG393" s="211"/>
      <c r="BH393" s="211"/>
      <c r="BI393" s="211"/>
      <c r="BJ393" s="211"/>
      <c r="BK393" s="211"/>
      <c r="BL393" s="211"/>
      <c r="BM393" s="211"/>
      <c r="BN393" s="211"/>
      <c r="BO393" s="211"/>
      <c r="BP393" s="211"/>
      <c r="BQ393" s="211"/>
      <c r="BR393" s="211"/>
      <c r="BS393" s="211"/>
      <c r="BT393" s="211"/>
      <c r="BU393" s="211"/>
      <c r="BV393" s="211"/>
      <c r="BW393" s="211"/>
      <c r="BX393" s="211"/>
      <c r="BY393" s="211"/>
      <c r="BZ393" s="211"/>
      <c r="CA393" s="211"/>
      <c r="CB393" s="211"/>
      <c r="CC393" s="210"/>
      <c r="CD393" s="210"/>
      <c r="CE393" s="210"/>
      <c r="CF393" s="210"/>
      <c r="CG393" s="210"/>
      <c r="CH393" s="210"/>
      <c r="CI393" s="210"/>
      <c r="CJ393" s="210"/>
      <c r="CK393" s="210"/>
      <c r="CL393" s="210"/>
      <c r="CM393" s="210"/>
      <c r="CN393" s="210"/>
      <c r="CO393" s="210"/>
      <c r="CP393" s="210"/>
      <c r="CQ393" s="210"/>
      <c r="CR393" s="210"/>
      <c r="CS393" s="210"/>
    </row>
    <row r="394" spans="1:97" x14ac:dyDescent="0.4">
      <c r="A394" s="209"/>
      <c r="B394" s="210"/>
      <c r="C394" s="211"/>
      <c r="D394" s="211"/>
      <c r="E394" s="211"/>
      <c r="F394" s="211"/>
      <c r="G394" s="211"/>
      <c r="H394" s="211"/>
      <c r="I394" s="211"/>
      <c r="J394" s="211"/>
      <c r="K394" s="211"/>
      <c r="L394" s="211"/>
      <c r="M394" s="211"/>
      <c r="N394" s="211"/>
      <c r="O394" s="211"/>
      <c r="P394" s="211"/>
      <c r="Q394" s="211"/>
      <c r="R394" s="211"/>
      <c r="S394" s="211"/>
      <c r="T394" s="211"/>
      <c r="U394" s="211"/>
      <c r="V394" s="211"/>
      <c r="W394" s="211"/>
      <c r="X394" s="211"/>
      <c r="Y394" s="211"/>
      <c r="Z394" s="211"/>
      <c r="AA394" s="211"/>
      <c r="AB394" s="211"/>
      <c r="AC394" s="211"/>
      <c r="AD394" s="211"/>
      <c r="AE394" s="211"/>
      <c r="AF394" s="211"/>
      <c r="AG394" s="211"/>
      <c r="AH394" s="211"/>
      <c r="AI394" s="211"/>
      <c r="AJ394" s="211"/>
      <c r="AK394" s="211"/>
      <c r="AL394" s="211"/>
      <c r="AM394" s="211"/>
      <c r="AN394" s="211"/>
      <c r="AO394" s="211"/>
      <c r="AP394" s="211"/>
      <c r="AQ394" s="211"/>
      <c r="AR394" s="211"/>
      <c r="AS394" s="211"/>
      <c r="AT394" s="211"/>
      <c r="AU394" s="211"/>
      <c r="AV394" s="211"/>
      <c r="AW394" s="211"/>
      <c r="AX394" s="211"/>
      <c r="AY394" s="211"/>
      <c r="AZ394" s="211"/>
      <c r="BA394" s="211"/>
      <c r="BB394" s="211"/>
      <c r="BC394" s="211"/>
      <c r="BD394" s="211"/>
      <c r="BE394" s="211"/>
      <c r="BF394" s="211"/>
      <c r="BG394" s="211"/>
      <c r="BH394" s="211"/>
      <c r="BI394" s="211"/>
      <c r="BJ394" s="211"/>
      <c r="BK394" s="211"/>
      <c r="BL394" s="211"/>
      <c r="BM394" s="211"/>
      <c r="BN394" s="211"/>
      <c r="BO394" s="211"/>
      <c r="BP394" s="211"/>
      <c r="BQ394" s="211"/>
      <c r="BR394" s="211"/>
      <c r="BS394" s="211"/>
      <c r="BT394" s="211"/>
      <c r="BU394" s="211"/>
      <c r="BV394" s="211"/>
      <c r="BW394" s="211"/>
      <c r="BX394" s="211"/>
      <c r="BY394" s="211"/>
      <c r="BZ394" s="211"/>
      <c r="CA394" s="211"/>
      <c r="CB394" s="211"/>
      <c r="CC394" s="210"/>
      <c r="CD394" s="210"/>
      <c r="CE394" s="210"/>
      <c r="CF394" s="210"/>
      <c r="CG394" s="210"/>
      <c r="CH394" s="210"/>
      <c r="CI394" s="210"/>
      <c r="CJ394" s="210"/>
      <c r="CK394" s="210"/>
      <c r="CL394" s="210"/>
      <c r="CM394" s="210"/>
      <c r="CN394" s="210"/>
      <c r="CO394" s="210"/>
      <c r="CP394" s="210"/>
      <c r="CQ394" s="210"/>
      <c r="CR394" s="210"/>
      <c r="CS394" s="210"/>
    </row>
    <row r="395" spans="1:97" x14ac:dyDescent="0.4">
      <c r="A395" s="209"/>
      <c r="B395" s="210"/>
      <c r="C395" s="211"/>
      <c r="D395" s="211"/>
      <c r="E395" s="211"/>
      <c r="F395" s="211"/>
      <c r="G395" s="211"/>
      <c r="H395" s="211"/>
      <c r="I395" s="211"/>
      <c r="J395" s="211"/>
      <c r="K395" s="211"/>
      <c r="L395" s="211"/>
      <c r="M395" s="211"/>
      <c r="N395" s="211"/>
      <c r="O395" s="211"/>
      <c r="P395" s="211"/>
      <c r="Q395" s="211"/>
      <c r="R395" s="211"/>
      <c r="S395" s="211"/>
      <c r="T395" s="211"/>
      <c r="U395" s="211"/>
      <c r="V395" s="211"/>
      <c r="W395" s="211"/>
      <c r="X395" s="211"/>
      <c r="Y395" s="211"/>
      <c r="Z395" s="211"/>
      <c r="AA395" s="211"/>
      <c r="AB395" s="211"/>
      <c r="AC395" s="211"/>
      <c r="AD395" s="211"/>
      <c r="AE395" s="211"/>
      <c r="AF395" s="211"/>
      <c r="AG395" s="211"/>
      <c r="AH395" s="211"/>
      <c r="AI395" s="211"/>
      <c r="AJ395" s="211"/>
      <c r="AK395" s="211"/>
      <c r="AL395" s="211"/>
      <c r="AM395" s="211"/>
      <c r="AN395" s="211"/>
      <c r="AO395" s="211"/>
      <c r="AP395" s="211"/>
      <c r="AQ395" s="211"/>
      <c r="AR395" s="211"/>
      <c r="AS395" s="211"/>
      <c r="AT395" s="211"/>
      <c r="AU395" s="211"/>
      <c r="AV395" s="211"/>
      <c r="AW395" s="211"/>
      <c r="AX395" s="211"/>
      <c r="AY395" s="211"/>
      <c r="AZ395" s="211"/>
      <c r="BA395" s="211"/>
      <c r="BB395" s="211"/>
      <c r="BC395" s="211"/>
      <c r="BD395" s="211"/>
      <c r="BE395" s="211"/>
      <c r="BF395" s="211"/>
      <c r="BG395" s="211"/>
      <c r="BH395" s="211"/>
      <c r="BI395" s="211"/>
      <c r="BJ395" s="211"/>
      <c r="BK395" s="211"/>
      <c r="BL395" s="211"/>
      <c r="BM395" s="211"/>
      <c r="BN395" s="211"/>
      <c r="BO395" s="211"/>
      <c r="BP395" s="211"/>
      <c r="BQ395" s="211"/>
      <c r="BR395" s="211"/>
      <c r="BS395" s="211"/>
      <c r="BT395" s="211"/>
      <c r="BU395" s="211"/>
      <c r="BV395" s="211"/>
      <c r="BW395" s="211"/>
      <c r="BX395" s="211"/>
      <c r="BY395" s="211"/>
      <c r="BZ395" s="211"/>
      <c r="CA395" s="211"/>
      <c r="CB395" s="211"/>
      <c r="CC395" s="210"/>
      <c r="CD395" s="210"/>
      <c r="CE395" s="210"/>
      <c r="CF395" s="210"/>
      <c r="CG395" s="210"/>
      <c r="CH395" s="210"/>
      <c r="CI395" s="210"/>
      <c r="CJ395" s="210"/>
      <c r="CK395" s="210"/>
      <c r="CL395" s="210"/>
      <c r="CM395" s="210"/>
      <c r="CN395" s="210"/>
      <c r="CO395" s="210"/>
      <c r="CP395" s="210"/>
      <c r="CQ395" s="210"/>
      <c r="CR395" s="210"/>
      <c r="CS395" s="210"/>
    </row>
    <row r="396" spans="1:97" x14ac:dyDescent="0.4">
      <c r="A396" s="209"/>
      <c r="B396" s="210"/>
      <c r="C396" s="211"/>
      <c r="D396" s="211"/>
      <c r="E396" s="211"/>
      <c r="F396" s="211"/>
      <c r="G396" s="211"/>
      <c r="H396" s="211"/>
      <c r="I396" s="211"/>
      <c r="J396" s="211"/>
      <c r="K396" s="211"/>
      <c r="L396" s="211"/>
      <c r="M396" s="211"/>
      <c r="N396" s="211"/>
      <c r="O396" s="211"/>
      <c r="P396" s="211"/>
      <c r="Q396" s="211"/>
      <c r="R396" s="211"/>
      <c r="S396" s="211"/>
      <c r="T396" s="211"/>
      <c r="U396" s="211"/>
      <c r="V396" s="211"/>
      <c r="W396" s="211"/>
      <c r="X396" s="211"/>
      <c r="Y396" s="211"/>
      <c r="Z396" s="211"/>
      <c r="AA396" s="211"/>
      <c r="AB396" s="211"/>
      <c r="AC396" s="211"/>
      <c r="AD396" s="211"/>
      <c r="AE396" s="211"/>
      <c r="AF396" s="211"/>
      <c r="AG396" s="211"/>
      <c r="AH396" s="211"/>
      <c r="AI396" s="211"/>
      <c r="AJ396" s="211"/>
      <c r="AK396" s="211"/>
      <c r="AL396" s="211"/>
      <c r="AM396" s="211"/>
      <c r="AN396" s="211"/>
      <c r="AO396" s="211"/>
      <c r="AP396" s="211"/>
      <c r="AQ396" s="211"/>
      <c r="AR396" s="211"/>
      <c r="AS396" s="211"/>
      <c r="AT396" s="211"/>
      <c r="AU396" s="211"/>
      <c r="AV396" s="211"/>
      <c r="AW396" s="211"/>
      <c r="AX396" s="211"/>
      <c r="AY396" s="211"/>
      <c r="AZ396" s="211"/>
      <c r="BA396" s="211"/>
      <c r="BB396" s="211"/>
      <c r="BC396" s="211"/>
      <c r="BD396" s="211"/>
      <c r="BE396" s="211"/>
      <c r="BF396" s="211"/>
      <c r="BG396" s="211"/>
      <c r="BH396" s="211"/>
      <c r="BI396" s="211"/>
      <c r="BJ396" s="211"/>
      <c r="BK396" s="211"/>
      <c r="BL396" s="211"/>
      <c r="BM396" s="211"/>
      <c r="BN396" s="211"/>
      <c r="BO396" s="211"/>
      <c r="BP396" s="211"/>
      <c r="BQ396" s="211"/>
      <c r="BR396" s="211"/>
      <c r="BS396" s="211"/>
      <c r="BT396" s="211"/>
      <c r="BU396" s="211"/>
      <c r="BV396" s="211"/>
      <c r="BW396" s="211"/>
      <c r="BX396" s="211"/>
      <c r="BY396" s="211"/>
      <c r="BZ396" s="211"/>
      <c r="CA396" s="211"/>
      <c r="CB396" s="211"/>
      <c r="CC396" s="210"/>
      <c r="CD396" s="210"/>
      <c r="CE396" s="210"/>
      <c r="CF396" s="210"/>
      <c r="CG396" s="210"/>
      <c r="CH396" s="210"/>
      <c r="CI396" s="210"/>
      <c r="CJ396" s="210"/>
      <c r="CK396" s="210"/>
      <c r="CL396" s="210"/>
      <c r="CM396" s="210"/>
      <c r="CN396" s="210"/>
      <c r="CO396" s="210"/>
      <c r="CP396" s="210"/>
      <c r="CQ396" s="210"/>
      <c r="CR396" s="210"/>
      <c r="CS396" s="210"/>
    </row>
    <row r="397" spans="1:97" x14ac:dyDescent="0.4">
      <c r="A397" s="209"/>
      <c r="B397" s="210"/>
      <c r="C397" s="211"/>
      <c r="D397" s="211"/>
      <c r="E397" s="211"/>
      <c r="F397" s="211"/>
      <c r="G397" s="211"/>
      <c r="H397" s="211"/>
      <c r="I397" s="211"/>
      <c r="J397" s="211"/>
      <c r="K397" s="211"/>
      <c r="L397" s="211"/>
      <c r="M397" s="211"/>
      <c r="N397" s="211"/>
      <c r="O397" s="211"/>
      <c r="P397" s="211"/>
      <c r="Q397" s="211"/>
      <c r="R397" s="211"/>
      <c r="S397" s="211"/>
      <c r="T397" s="211"/>
      <c r="U397" s="211"/>
      <c r="V397" s="211"/>
      <c r="W397" s="211"/>
      <c r="X397" s="211"/>
      <c r="Y397" s="211"/>
      <c r="Z397" s="211"/>
      <c r="AA397" s="211"/>
      <c r="AB397" s="211"/>
      <c r="AC397" s="211"/>
      <c r="AD397" s="211"/>
      <c r="AE397" s="211"/>
      <c r="AF397" s="211"/>
      <c r="AG397" s="211"/>
      <c r="AH397" s="211"/>
      <c r="AI397" s="211"/>
      <c r="AJ397" s="211"/>
      <c r="AK397" s="211"/>
      <c r="AL397" s="211"/>
      <c r="AM397" s="211"/>
      <c r="AN397" s="211"/>
      <c r="AO397" s="211"/>
      <c r="AP397" s="211"/>
      <c r="AQ397" s="211"/>
      <c r="AR397" s="211"/>
      <c r="AS397" s="211"/>
      <c r="AT397" s="211"/>
      <c r="AU397" s="211"/>
      <c r="AV397" s="211"/>
      <c r="AW397" s="211"/>
      <c r="AX397" s="211"/>
      <c r="AY397" s="211"/>
      <c r="AZ397" s="211"/>
      <c r="BA397" s="211"/>
      <c r="BB397" s="211"/>
      <c r="BC397" s="211"/>
      <c r="BD397" s="211"/>
      <c r="BE397" s="211"/>
      <c r="BF397" s="211"/>
      <c r="BG397" s="211"/>
      <c r="BH397" s="211"/>
      <c r="BI397" s="211"/>
      <c r="BJ397" s="211"/>
      <c r="BK397" s="211"/>
      <c r="BL397" s="211"/>
      <c r="BM397" s="211"/>
      <c r="BN397" s="211"/>
      <c r="BO397" s="211"/>
      <c r="BP397" s="211"/>
      <c r="BQ397" s="211"/>
      <c r="BR397" s="211"/>
      <c r="BS397" s="211"/>
      <c r="BT397" s="211"/>
      <c r="BU397" s="211"/>
      <c r="BV397" s="211"/>
      <c r="BW397" s="211"/>
      <c r="BX397" s="211"/>
      <c r="BY397" s="211"/>
      <c r="BZ397" s="211"/>
      <c r="CA397" s="211"/>
      <c r="CB397" s="211"/>
      <c r="CC397" s="210"/>
      <c r="CD397" s="210"/>
      <c r="CE397" s="210"/>
      <c r="CF397" s="210"/>
      <c r="CG397" s="210"/>
      <c r="CH397" s="210"/>
      <c r="CI397" s="210"/>
      <c r="CJ397" s="210"/>
      <c r="CK397" s="210"/>
      <c r="CL397" s="210"/>
      <c r="CM397" s="210"/>
      <c r="CN397" s="210"/>
      <c r="CO397" s="210"/>
      <c r="CP397" s="210"/>
      <c r="CQ397" s="210"/>
      <c r="CR397" s="210"/>
      <c r="CS397" s="210"/>
    </row>
    <row r="398" spans="1:97" x14ac:dyDescent="0.4">
      <c r="A398" s="209"/>
      <c r="B398" s="210"/>
      <c r="C398" s="211"/>
      <c r="D398" s="211"/>
      <c r="E398" s="211"/>
      <c r="F398" s="211"/>
      <c r="G398" s="211"/>
      <c r="H398" s="211"/>
      <c r="I398" s="211"/>
      <c r="J398" s="211"/>
      <c r="K398" s="211"/>
      <c r="L398" s="211"/>
      <c r="M398" s="211"/>
      <c r="N398" s="211"/>
      <c r="O398" s="211"/>
      <c r="P398" s="211"/>
      <c r="Q398" s="211"/>
      <c r="R398" s="211"/>
      <c r="S398" s="211"/>
      <c r="T398" s="211"/>
      <c r="U398" s="211"/>
      <c r="V398" s="211"/>
      <c r="W398" s="211"/>
      <c r="X398" s="211"/>
      <c r="Y398" s="211"/>
      <c r="Z398" s="211"/>
      <c r="AA398" s="211"/>
      <c r="AB398" s="211"/>
      <c r="AC398" s="211"/>
      <c r="AD398" s="211"/>
      <c r="AE398" s="211"/>
      <c r="AF398" s="211"/>
      <c r="AG398" s="211"/>
      <c r="AH398" s="211"/>
      <c r="AI398" s="211"/>
      <c r="AJ398" s="211"/>
      <c r="AK398" s="211"/>
      <c r="AL398" s="211"/>
      <c r="AM398" s="211"/>
      <c r="AN398" s="211"/>
      <c r="AO398" s="211"/>
      <c r="AP398" s="211"/>
      <c r="AQ398" s="211"/>
      <c r="AR398" s="211"/>
      <c r="AS398" s="211"/>
      <c r="AT398" s="211"/>
      <c r="AU398" s="211"/>
      <c r="AV398" s="211"/>
      <c r="AW398" s="211"/>
      <c r="AX398" s="211"/>
      <c r="AY398" s="211"/>
      <c r="AZ398" s="211"/>
      <c r="BA398" s="211"/>
      <c r="BB398" s="211"/>
      <c r="BC398" s="211"/>
      <c r="BD398" s="211"/>
      <c r="BE398" s="211"/>
      <c r="BF398" s="211"/>
      <c r="BG398" s="211"/>
      <c r="BH398" s="211"/>
      <c r="BI398" s="211"/>
      <c r="BJ398" s="211"/>
      <c r="BK398" s="211"/>
      <c r="BL398" s="211"/>
      <c r="BM398" s="211"/>
      <c r="BN398" s="211"/>
      <c r="BO398" s="211"/>
      <c r="BP398" s="211"/>
      <c r="BQ398" s="211"/>
      <c r="BR398" s="211"/>
      <c r="BS398" s="211"/>
      <c r="BT398" s="211"/>
      <c r="BU398" s="211"/>
      <c r="BV398" s="211"/>
      <c r="BW398" s="211"/>
      <c r="BX398" s="211"/>
      <c r="BY398" s="211"/>
      <c r="BZ398" s="211"/>
      <c r="CA398" s="211"/>
      <c r="CB398" s="211"/>
      <c r="CC398" s="210"/>
      <c r="CD398" s="210"/>
      <c r="CE398" s="210"/>
      <c r="CF398" s="210"/>
      <c r="CG398" s="210"/>
      <c r="CH398" s="210"/>
      <c r="CI398" s="210"/>
      <c r="CJ398" s="210"/>
      <c r="CK398" s="210"/>
      <c r="CL398" s="210"/>
      <c r="CM398" s="210"/>
      <c r="CN398" s="210"/>
      <c r="CO398" s="210"/>
      <c r="CP398" s="210"/>
      <c r="CQ398" s="210"/>
      <c r="CR398" s="210"/>
      <c r="CS398" s="210"/>
    </row>
    <row r="399" spans="1:97" x14ac:dyDescent="0.4">
      <c r="A399" s="209"/>
      <c r="B399" s="210"/>
      <c r="C399" s="211"/>
      <c r="D399" s="211"/>
      <c r="E399" s="211"/>
      <c r="F399" s="211"/>
      <c r="G399" s="211"/>
      <c r="H399" s="211"/>
      <c r="I399" s="211"/>
      <c r="J399" s="211"/>
      <c r="K399" s="211"/>
      <c r="L399" s="211"/>
      <c r="M399" s="211"/>
      <c r="N399" s="211"/>
      <c r="O399" s="211"/>
      <c r="P399" s="211"/>
      <c r="Q399" s="211"/>
      <c r="R399" s="211"/>
      <c r="S399" s="211"/>
      <c r="T399" s="211"/>
      <c r="U399" s="211"/>
      <c r="V399" s="211"/>
      <c r="W399" s="211"/>
      <c r="X399" s="211"/>
      <c r="Y399" s="211"/>
      <c r="Z399" s="211"/>
      <c r="AA399" s="211"/>
      <c r="AB399" s="211"/>
      <c r="AC399" s="211"/>
      <c r="AD399" s="211"/>
      <c r="AE399" s="211"/>
      <c r="AF399" s="211"/>
      <c r="AG399" s="211"/>
      <c r="AH399" s="211"/>
      <c r="AI399" s="211"/>
      <c r="AJ399" s="211"/>
      <c r="AK399" s="211"/>
      <c r="AL399" s="211"/>
      <c r="AM399" s="211"/>
      <c r="AN399" s="211"/>
      <c r="AO399" s="211"/>
      <c r="AP399" s="211"/>
      <c r="AQ399" s="211"/>
      <c r="AR399" s="211"/>
      <c r="AS399" s="211"/>
      <c r="AT399" s="211"/>
      <c r="AU399" s="211"/>
      <c r="AV399" s="211"/>
      <c r="AW399" s="211"/>
      <c r="AX399" s="211"/>
      <c r="AY399" s="211"/>
      <c r="AZ399" s="211"/>
      <c r="BA399" s="211"/>
      <c r="BB399" s="211"/>
      <c r="BC399" s="211"/>
      <c r="BD399" s="211"/>
      <c r="BE399" s="211"/>
      <c r="BF399" s="211"/>
      <c r="BG399" s="211"/>
      <c r="BH399" s="211"/>
      <c r="BI399" s="211"/>
      <c r="BJ399" s="211"/>
      <c r="BK399" s="211"/>
      <c r="BL399" s="211"/>
      <c r="BM399" s="211"/>
      <c r="BN399" s="211"/>
      <c r="BO399" s="211"/>
      <c r="BP399" s="211"/>
      <c r="BQ399" s="211"/>
      <c r="BR399" s="211"/>
      <c r="BS399" s="211"/>
      <c r="BT399" s="211"/>
      <c r="BU399" s="211"/>
      <c r="BV399" s="211"/>
      <c r="BW399" s="211"/>
      <c r="BX399" s="211"/>
      <c r="BY399" s="211"/>
      <c r="BZ399" s="211"/>
      <c r="CA399" s="211"/>
      <c r="CB399" s="211"/>
      <c r="CC399" s="210"/>
      <c r="CD399" s="210"/>
      <c r="CE399" s="210"/>
      <c r="CF399" s="210"/>
      <c r="CG399" s="210"/>
      <c r="CH399" s="210"/>
      <c r="CI399" s="210"/>
      <c r="CJ399" s="210"/>
      <c r="CK399" s="210"/>
      <c r="CL399" s="210"/>
      <c r="CM399" s="210"/>
      <c r="CN399" s="210"/>
      <c r="CO399" s="210"/>
      <c r="CP399" s="210"/>
      <c r="CQ399" s="210"/>
      <c r="CR399" s="210"/>
      <c r="CS399" s="210"/>
    </row>
    <row r="400" spans="1:97" x14ac:dyDescent="0.4">
      <c r="A400" s="209"/>
      <c r="B400" s="210"/>
      <c r="C400" s="211"/>
      <c r="D400" s="211"/>
      <c r="E400" s="211"/>
      <c r="F400" s="211"/>
      <c r="G400" s="211"/>
      <c r="H400" s="211"/>
      <c r="I400" s="211"/>
      <c r="J400" s="211"/>
      <c r="K400" s="211"/>
      <c r="L400" s="211"/>
      <c r="M400" s="211"/>
      <c r="N400" s="211"/>
      <c r="O400" s="211"/>
      <c r="P400" s="211"/>
      <c r="Q400" s="211"/>
      <c r="R400" s="211"/>
      <c r="S400" s="211"/>
      <c r="T400" s="211"/>
      <c r="U400" s="211"/>
      <c r="V400" s="211"/>
      <c r="W400" s="211"/>
      <c r="X400" s="211"/>
      <c r="Y400" s="211"/>
      <c r="Z400" s="211"/>
      <c r="AA400" s="211"/>
      <c r="AB400" s="211"/>
      <c r="AC400" s="211"/>
      <c r="AD400" s="211"/>
      <c r="AE400" s="211"/>
      <c r="AF400" s="211"/>
      <c r="AG400" s="211"/>
      <c r="AH400" s="211"/>
      <c r="AI400" s="211"/>
      <c r="AJ400" s="211"/>
      <c r="AK400" s="211"/>
      <c r="AL400" s="211"/>
      <c r="AM400" s="211"/>
      <c r="AN400" s="211"/>
      <c r="AO400" s="211"/>
      <c r="AP400" s="211"/>
      <c r="AQ400" s="211"/>
      <c r="AR400" s="211"/>
      <c r="AS400" s="211"/>
      <c r="AT400" s="211"/>
      <c r="AU400" s="211"/>
      <c r="AV400" s="211"/>
      <c r="AW400" s="211"/>
      <c r="AX400" s="211"/>
      <c r="AY400" s="211"/>
      <c r="AZ400" s="211"/>
      <c r="BA400" s="211"/>
      <c r="BB400" s="211"/>
      <c r="BC400" s="211"/>
      <c r="BD400" s="211"/>
      <c r="BE400" s="211"/>
      <c r="BF400" s="211"/>
      <c r="BG400" s="211"/>
      <c r="BH400" s="211"/>
      <c r="BI400" s="211"/>
      <c r="BJ400" s="211"/>
      <c r="BK400" s="211"/>
      <c r="BL400" s="211"/>
      <c r="BM400" s="211"/>
      <c r="BN400" s="211"/>
      <c r="BO400" s="211"/>
      <c r="BP400" s="211"/>
      <c r="BQ400" s="211"/>
      <c r="BR400" s="211"/>
      <c r="BS400" s="211"/>
      <c r="BT400" s="211"/>
      <c r="BU400" s="211"/>
      <c r="BV400" s="211"/>
      <c r="BW400" s="211"/>
      <c r="BX400" s="211"/>
      <c r="BY400" s="211"/>
      <c r="BZ400" s="211"/>
      <c r="CA400" s="211"/>
      <c r="CB400" s="211"/>
      <c r="CC400" s="210"/>
      <c r="CD400" s="210"/>
      <c r="CE400" s="210"/>
      <c r="CF400" s="210"/>
      <c r="CG400" s="210"/>
      <c r="CH400" s="210"/>
      <c r="CI400" s="210"/>
      <c r="CJ400" s="210"/>
      <c r="CK400" s="210"/>
      <c r="CL400" s="210"/>
      <c r="CM400" s="210"/>
      <c r="CN400" s="210"/>
      <c r="CO400" s="210"/>
      <c r="CP400" s="210"/>
      <c r="CQ400" s="210"/>
      <c r="CR400" s="210"/>
      <c r="CS400" s="210"/>
    </row>
    <row r="401" spans="1:95" x14ac:dyDescent="0.4">
      <c r="A401" s="209"/>
      <c r="B401" s="210"/>
      <c r="C401" s="211"/>
      <c r="D401" s="211"/>
      <c r="E401" s="211"/>
      <c r="F401" s="211"/>
      <c r="G401" s="211"/>
      <c r="H401" s="211"/>
      <c r="I401" s="211"/>
      <c r="J401" s="211"/>
      <c r="K401" s="211"/>
      <c r="L401" s="211"/>
      <c r="M401" s="211"/>
      <c r="N401" s="211"/>
      <c r="O401" s="211"/>
      <c r="P401" s="211"/>
      <c r="Q401" s="211"/>
      <c r="R401" s="211"/>
      <c r="S401" s="211"/>
      <c r="T401" s="211"/>
      <c r="U401" s="211"/>
      <c r="V401" s="211"/>
      <c r="W401" s="211"/>
      <c r="X401" s="211"/>
      <c r="Y401" s="211"/>
      <c r="Z401" s="211"/>
      <c r="AA401" s="211"/>
      <c r="AB401" s="211"/>
      <c r="AC401" s="211"/>
      <c r="AD401" s="211"/>
      <c r="AE401" s="211"/>
      <c r="AF401" s="211"/>
      <c r="AG401" s="211"/>
      <c r="AH401" s="211"/>
      <c r="AI401" s="211"/>
      <c r="AJ401" s="211"/>
      <c r="AK401" s="211"/>
      <c r="AL401" s="211"/>
      <c r="AM401" s="211"/>
      <c r="AN401" s="211"/>
      <c r="AO401" s="211"/>
      <c r="AP401" s="211"/>
      <c r="AQ401" s="211"/>
      <c r="AR401" s="211"/>
      <c r="AS401" s="211"/>
      <c r="AT401" s="211"/>
      <c r="AU401" s="211"/>
      <c r="AV401" s="211"/>
      <c r="AW401" s="211"/>
      <c r="AX401" s="211"/>
      <c r="AY401" s="211"/>
      <c r="AZ401" s="211"/>
      <c r="BA401" s="211"/>
      <c r="BB401" s="211"/>
      <c r="BC401" s="211"/>
      <c r="BD401" s="211"/>
      <c r="BE401" s="211"/>
      <c r="BF401" s="211"/>
      <c r="BG401" s="211"/>
      <c r="BH401" s="211"/>
      <c r="BI401" s="211"/>
      <c r="BJ401" s="211"/>
      <c r="BK401" s="211"/>
      <c r="BL401" s="211"/>
      <c r="BM401" s="211"/>
      <c r="BN401" s="211"/>
      <c r="BO401" s="211"/>
      <c r="BP401" s="211"/>
      <c r="BQ401" s="211"/>
      <c r="BR401" s="211"/>
      <c r="BS401" s="211"/>
      <c r="BT401" s="211"/>
      <c r="BU401" s="211"/>
      <c r="BV401" s="211"/>
      <c r="BW401" s="211"/>
      <c r="BX401" s="211"/>
      <c r="BY401" s="211"/>
      <c r="BZ401" s="211"/>
      <c r="CA401" s="211"/>
      <c r="CB401" s="211"/>
      <c r="CC401" s="210"/>
      <c r="CD401" s="210"/>
      <c r="CE401" s="210"/>
      <c r="CF401" s="210"/>
      <c r="CG401" s="210"/>
      <c r="CH401" s="210"/>
      <c r="CI401" s="210"/>
      <c r="CJ401" s="210"/>
      <c r="CK401" s="210"/>
      <c r="CL401" s="210"/>
      <c r="CM401" s="210"/>
      <c r="CN401" s="210"/>
      <c r="CO401" s="210"/>
      <c r="CP401" s="210"/>
      <c r="CQ401" s="210"/>
    </row>
    <row r="402" spans="1:95" x14ac:dyDescent="0.4">
      <c r="A402" s="209"/>
      <c r="B402" s="210"/>
      <c r="C402" s="211"/>
      <c r="D402" s="211"/>
      <c r="E402" s="211"/>
      <c r="F402" s="211"/>
      <c r="G402" s="211"/>
      <c r="H402" s="211"/>
      <c r="I402" s="211"/>
      <c r="J402" s="211"/>
      <c r="K402" s="211"/>
      <c r="L402" s="211"/>
      <c r="M402" s="211"/>
      <c r="N402" s="211"/>
      <c r="O402" s="211"/>
      <c r="P402" s="211"/>
      <c r="Q402" s="211"/>
      <c r="R402" s="211"/>
      <c r="S402" s="211"/>
      <c r="T402" s="211"/>
      <c r="U402" s="211"/>
      <c r="V402" s="211"/>
      <c r="W402" s="211"/>
      <c r="X402" s="211"/>
      <c r="Y402" s="211"/>
      <c r="Z402" s="211"/>
      <c r="AA402" s="211"/>
      <c r="AB402" s="211"/>
      <c r="AC402" s="211"/>
      <c r="AD402" s="211"/>
      <c r="AE402" s="211"/>
      <c r="AF402" s="211"/>
      <c r="AG402" s="211"/>
      <c r="AH402" s="211"/>
      <c r="AI402" s="211"/>
      <c r="AJ402" s="211"/>
      <c r="AK402" s="211"/>
      <c r="AL402" s="211"/>
      <c r="AM402" s="211"/>
      <c r="AN402" s="211"/>
      <c r="AO402" s="211"/>
      <c r="AP402" s="211"/>
      <c r="AQ402" s="211"/>
      <c r="AR402" s="211"/>
      <c r="AS402" s="211"/>
      <c r="AT402" s="211"/>
      <c r="AU402" s="211"/>
      <c r="AV402" s="211"/>
      <c r="AW402" s="211"/>
      <c r="AX402" s="211"/>
      <c r="AY402" s="211"/>
      <c r="AZ402" s="211"/>
      <c r="BA402" s="211"/>
      <c r="BB402" s="211"/>
      <c r="BC402" s="211"/>
      <c r="BD402" s="211"/>
      <c r="BE402" s="211"/>
      <c r="BF402" s="211"/>
      <c r="BG402" s="211"/>
      <c r="BH402" s="211"/>
      <c r="BI402" s="211"/>
      <c r="BJ402" s="211"/>
      <c r="BK402" s="211"/>
      <c r="BL402" s="211"/>
      <c r="BM402" s="211"/>
      <c r="BN402" s="211"/>
      <c r="BO402" s="211"/>
      <c r="BP402" s="211"/>
      <c r="BQ402" s="211"/>
      <c r="BR402" s="211"/>
      <c r="BS402" s="211"/>
      <c r="BT402" s="211"/>
      <c r="BU402" s="211"/>
      <c r="BV402" s="211"/>
      <c r="BW402" s="211"/>
      <c r="BX402" s="211"/>
      <c r="BY402" s="211"/>
      <c r="BZ402" s="211"/>
      <c r="CA402" s="211"/>
      <c r="CB402" s="211"/>
      <c r="CC402" s="210"/>
      <c r="CD402" s="210"/>
      <c r="CE402" s="210"/>
      <c r="CF402" s="210"/>
      <c r="CG402" s="210"/>
      <c r="CH402" s="210"/>
      <c r="CI402" s="210"/>
      <c r="CJ402" s="210"/>
      <c r="CK402" s="210"/>
      <c r="CL402" s="210"/>
      <c r="CM402" s="210"/>
      <c r="CN402" s="210"/>
      <c r="CO402" s="210"/>
      <c r="CP402" s="210"/>
      <c r="CQ402" s="210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_MURC_Data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1</xdr:col>
                    <xdr:colOff>657225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4B37-3349-4DD6-BBE1-3F37BC405CEB}">
  <sheetPr codeName="Sheet20"/>
  <dimension ref="A1:B3"/>
  <sheetViews>
    <sheetView workbookViewId="0">
      <selection activeCell="E14" sqref="E14:P14"/>
    </sheetView>
  </sheetViews>
  <sheetFormatPr defaultRowHeight="18.75" x14ac:dyDescent="0.4"/>
  <sheetData>
    <row r="1" spans="1:2" x14ac:dyDescent="0.4">
      <c r="A1" t="s">
        <v>249</v>
      </c>
      <c r="B1" t="str" cm="1">
        <f t="array" aca="1" ref="B1" ca="1">LEFT(MID(CELL("filename"),10,99),FIND("B",MID(CELL("filename"),10,99))-2)</f>
        <v>otani</v>
      </c>
    </row>
    <row r="2" spans="1:2" x14ac:dyDescent="0.4">
      <c r="A2" t="s">
        <v>250</v>
      </c>
      <c r="B2" t="str" cm="1">
        <f t="array" aca="1" ref="B2" ca="1">LEFT(MID(CELL("filename"),10,99),FIND("[",MID(CELL("filename"),10,99))-2)</f>
        <v>otani\Box\内地\実績表</v>
      </c>
    </row>
    <row r="3" spans="1:2" x14ac:dyDescent="0.4">
      <c r="A3" t="s">
        <v>251</v>
      </c>
      <c r="B3" t="str" cm="1">
        <f t="array" aca="1" ref="B3" ca="1">RIGHT(CELL("filename"),LEN(CELL("filename"))-FIND("]",CELL("filename")))</f>
        <v>大谷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月次進捗</vt:lpstr>
      <vt:lpstr>計画集計</vt:lpstr>
      <vt:lpstr>実績集計</vt:lpstr>
      <vt:lpstr>松岡</vt:lpstr>
      <vt:lpstr>大谷</vt:lpstr>
      <vt:lpstr>宮本</vt:lpstr>
      <vt:lpstr>深串</vt:lpstr>
      <vt:lpstr>深串INV</vt:lpstr>
      <vt:lpstr>前川</vt:lpstr>
      <vt:lpstr>前川INV</vt:lpstr>
      <vt:lpstr>千葉</vt:lpstr>
      <vt:lpstr>千葉INV</vt:lpstr>
      <vt:lpstr>中国</vt:lpstr>
      <vt:lpstr>中国INV</vt:lpstr>
      <vt:lpstr>VVR</vt:lpstr>
      <vt:lpstr>VVRINV</vt:lpstr>
      <vt:lpstr>新規1</vt:lpstr>
      <vt:lpstr>新規1INV</vt:lpstr>
      <vt:lpstr>新規2</vt:lpstr>
      <vt:lpstr>新規2INV</vt:lpstr>
      <vt:lpstr>為替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拓也 東</dc:creator>
  <cp:lastModifiedBy>Akio Otani</cp:lastModifiedBy>
  <dcterms:created xsi:type="dcterms:W3CDTF">2024-07-01T08:57:13Z</dcterms:created>
  <dcterms:modified xsi:type="dcterms:W3CDTF">2026-03-06T01:16:05Z</dcterms:modified>
</cp:coreProperties>
</file>