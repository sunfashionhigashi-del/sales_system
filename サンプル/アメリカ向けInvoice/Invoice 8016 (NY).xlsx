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.hamada\Box\共用\D-Order\Invoice\Invoice自動保存(NY)\"/>
    </mc:Choice>
  </mc:AlternateContent>
  <xr:revisionPtr revIDLastSave="0" documentId="13_ncr:1_{23DB4F9F-DEA3-4E0D-96D5-17ADC4E21CC6}" xr6:coauthVersionLast="47" xr6:coauthVersionMax="47" xr10:uidLastSave="{00000000-0000-0000-0000-000000000000}"/>
  <bookViews>
    <workbookView xWindow="-105" yWindow="0" windowWidth="14610" windowHeight="15585" xr2:uid="{B2862926-C496-43F5-8698-A5A05381DE9E}"/>
  </bookViews>
  <sheets>
    <sheet name="Invoice(SF米国)" sheetId="1" r:id="rId1"/>
    <sheet name="Invoice(SF大阪)" sheetId="2" r:id="rId2"/>
  </sheets>
  <externalReferences>
    <externalReference r:id="rId3"/>
  </externalReferences>
  <definedNames>
    <definedName name="_List_Currency">[1]Master!$K$2:$K$5</definedName>
    <definedName name="_List_TradeCondition">[1]Master!$D$2:$D$5</definedName>
    <definedName name="_xlnm.Print_Area" localSheetId="1">'Invoice(SF大阪)'!$A$1:$J$67</definedName>
    <definedName name="_xlnm.Print_Area" localSheetId="0">'Invoice(SF米国)'!$A$1:$J$67</definedName>
    <definedName name="_xlnm.Print_Titles" localSheetId="1">'Invoice(SF大阪)'!$1:$22</definedName>
    <definedName name="_xlnm.Print_Titles" localSheetId="0">'Invoice(SF米国)'!$1:$22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6" i="1" l="1"/>
  <c r="E18" i="1"/>
  <c r="E18" i="2"/>
</calcChain>
</file>

<file path=xl/sharedStrings.xml><?xml version="1.0" encoding="utf-8"?>
<sst xmlns="http://schemas.openxmlformats.org/spreadsheetml/2006/main" count="211" uniqueCount="121">
  <si>
    <r>
      <rPr>
        <b/>
        <sz val="12"/>
        <rFont val="Times New Roman"/>
        <family val="1"/>
      </rPr>
      <t>SUN FASHION AMERICA, INC.</t>
    </r>
    <r>
      <rPr>
        <sz val="10"/>
        <rFont val="Times New Roman"/>
        <family val="1"/>
      </rPr>
      <t xml:space="preserve">
Suite 716, 15 West 38th Street,
New York, NY 10018, U.S.A.
TEL: 81-80-4860-0203
&lt;Shipper: Sun Fashion Corp. in Japan&gt;</t>
    </r>
    <phoneticPr fontId="1"/>
  </si>
  <si>
    <t>Commercial Invoice</t>
    <phoneticPr fontId="1"/>
  </si>
  <si>
    <t>No.</t>
    <phoneticPr fontId="1"/>
  </si>
  <si>
    <t>Issued Office</t>
    <phoneticPr fontId="1"/>
  </si>
  <si>
    <t xml:space="preserve">      NY</t>
    <phoneticPr fontId="1"/>
  </si>
  <si>
    <t xml:space="preserve">      LA</t>
    <phoneticPr fontId="1"/>
  </si>
  <si>
    <t>Issued Date</t>
    <phoneticPr fontId="1"/>
  </si>
  <si>
    <t>Consignee</t>
    <phoneticPr fontId="1"/>
  </si>
  <si>
    <t>LC No.</t>
    <phoneticPr fontId="1"/>
  </si>
  <si>
    <t>Dated</t>
    <phoneticPr fontId="1"/>
  </si>
  <si>
    <t>Expiry Date</t>
    <phoneticPr fontId="1"/>
  </si>
  <si>
    <t>Issuing Bank</t>
    <phoneticPr fontId="1"/>
  </si>
  <si>
    <t>Bank Information</t>
    <phoneticPr fontId="1"/>
  </si>
  <si>
    <t>Name</t>
    <phoneticPr fontId="1"/>
  </si>
  <si>
    <t>Citibank</t>
    <phoneticPr fontId="1"/>
  </si>
  <si>
    <t>Sold to:</t>
    <phoneticPr fontId="1"/>
  </si>
  <si>
    <t>Address</t>
    <phoneticPr fontId="1"/>
  </si>
  <si>
    <t>401 West 42nd St. New York NY 10036</t>
    <phoneticPr fontId="1"/>
  </si>
  <si>
    <t>Beneficiary</t>
    <phoneticPr fontId="1"/>
  </si>
  <si>
    <t>SUN FASHION AMERICA, INC.</t>
    <phoneticPr fontId="1"/>
  </si>
  <si>
    <t>SWIFT Code</t>
    <phoneticPr fontId="1"/>
  </si>
  <si>
    <t>CITIUS33</t>
    <phoneticPr fontId="1"/>
  </si>
  <si>
    <t>Account No.</t>
    <phoneticPr fontId="1"/>
  </si>
  <si>
    <t>687 985 2585</t>
    <phoneticPr fontId="1"/>
  </si>
  <si>
    <t>Routing No.</t>
    <phoneticPr fontId="1"/>
  </si>
  <si>
    <t>021000089  </t>
    <phoneticPr fontId="1"/>
  </si>
  <si>
    <t>Terms/Method of Payment</t>
    <phoneticPr fontId="1"/>
  </si>
  <si>
    <t>Payment Due</t>
    <phoneticPr fontId="1"/>
  </si>
  <si>
    <t>NET 30days</t>
  </si>
  <si>
    <t xml:space="preserve"> By T/T or ACH only (Check:N/A)</t>
    <phoneticPr fontId="1"/>
  </si>
  <si>
    <t>Shipping Method/Vessel#</t>
    <phoneticPr fontId="1"/>
  </si>
  <si>
    <t>Port of Loading</t>
    <phoneticPr fontId="1"/>
  </si>
  <si>
    <t>Sailing on or about</t>
    <phoneticPr fontId="1"/>
  </si>
  <si>
    <t>Customer Reference</t>
    <phoneticPr fontId="1"/>
  </si>
  <si>
    <t>Osaka, Japan</t>
    <phoneticPr fontId="1"/>
  </si>
  <si>
    <t>Courier Ref.</t>
    <phoneticPr fontId="1"/>
  </si>
  <si>
    <t>Port of Discharge</t>
    <phoneticPr fontId="1"/>
  </si>
  <si>
    <t>Place of Delivery</t>
    <phoneticPr fontId="1"/>
  </si>
  <si>
    <t>Final Destination</t>
    <phoneticPr fontId="1"/>
  </si>
  <si>
    <t>New York, U.S.A</t>
    <phoneticPr fontId="1"/>
  </si>
  <si>
    <t>-</t>
    <phoneticPr fontId="1"/>
  </si>
  <si>
    <t>Inco-Terms</t>
    <phoneticPr fontId="1"/>
  </si>
  <si>
    <t>EXW JAPAN</t>
    <phoneticPr fontId="1"/>
  </si>
  <si>
    <t>Order No.</t>
    <phoneticPr fontId="1"/>
  </si>
  <si>
    <t>Description of Goods</t>
    <phoneticPr fontId="1"/>
  </si>
  <si>
    <t>Quantity</t>
    <phoneticPr fontId="1"/>
  </si>
  <si>
    <t>Unit Price</t>
    <phoneticPr fontId="1"/>
  </si>
  <si>
    <t>Amount</t>
    <phoneticPr fontId="1"/>
  </si>
  <si>
    <t>COO</t>
    <phoneticPr fontId="1"/>
  </si>
  <si>
    <t>Article</t>
    <phoneticPr fontId="1"/>
  </si>
  <si>
    <t>Size</t>
    <phoneticPr fontId="1"/>
  </si>
  <si>
    <t>Color</t>
    <phoneticPr fontId="1"/>
  </si>
  <si>
    <t>Put-Up</t>
    <phoneticPr fontId="1"/>
  </si>
  <si>
    <t>Roll</t>
    <phoneticPr fontId="1"/>
  </si>
  <si>
    <t>Total</t>
    <phoneticPr fontId="1"/>
  </si>
  <si>
    <t>AG-EO 260324</t>
  </si>
  <si>
    <t>Recycled Polyester Petersham Ribbon   Recycled  Polyester-100%</t>
  </si>
  <si>
    <t>(per meter)</t>
  </si>
  <si>
    <t>E3703</t>
  </si>
  <si>
    <t>Col.0</t>
  </si>
  <si>
    <t>JAPAN</t>
  </si>
  <si>
    <t xml:space="preserve">Handling Fee (Inland Freight Charge in Japan) </t>
  </si>
  <si>
    <t>Made In</t>
    <phoneticPr fontId="1"/>
  </si>
  <si>
    <t>JAPAN</t>
    <phoneticPr fontId="1"/>
  </si>
  <si>
    <t>[Shipper Information]</t>
    <phoneticPr fontId="1"/>
  </si>
  <si>
    <t>[Packing Details]</t>
  </si>
  <si>
    <t>Sun Fashion Corp.</t>
    <phoneticPr fontId="1"/>
  </si>
  <si>
    <t>No. of Package</t>
    <phoneticPr fontId="1"/>
  </si>
  <si>
    <t>21-10 Fukushima 8 Chome, Fukushima-Ku,</t>
    <phoneticPr fontId="1"/>
  </si>
  <si>
    <t>Type:</t>
    <phoneticPr fontId="1"/>
  </si>
  <si>
    <t>Freight Charge</t>
    <phoneticPr fontId="1"/>
  </si>
  <si>
    <t>Collect</t>
    <phoneticPr fontId="1"/>
  </si>
  <si>
    <t>OSAKA 553-0003, JAPAN</t>
    <phoneticPr fontId="1"/>
  </si>
  <si>
    <t>Size:</t>
  </si>
  <si>
    <t>Grand Total</t>
    <phoneticPr fontId="1"/>
  </si>
  <si>
    <t>TEL: +81 6-6455-2850</t>
    <phoneticPr fontId="1"/>
  </si>
  <si>
    <t>G/Weight:</t>
    <phoneticPr fontId="1"/>
  </si>
  <si>
    <t>Note:</t>
    <phoneticPr fontId="1"/>
  </si>
  <si>
    <t>SUN FASHION AMERICA, INC.</t>
  </si>
  <si>
    <r>
      <rPr>
        <b/>
        <sz val="12"/>
        <rFont val="Times New Roman"/>
        <family val="1"/>
      </rPr>
      <t>SUN FASHION CORP.</t>
    </r>
    <r>
      <rPr>
        <sz val="10"/>
        <rFont val="Times New Roman"/>
        <family val="1"/>
      </rPr>
      <t xml:space="preserve">
21-10 Fukushima 8 Chome, Fukushima-Ku
Osaka, OSAKA 553-0003, 
TEL: +81 6-6455-7580/ 2850
FAX: +81 6-6452-1641</t>
    </r>
    <phoneticPr fontId="1"/>
  </si>
  <si>
    <t>Invoice</t>
    <phoneticPr fontId="1"/>
  </si>
  <si>
    <t xml:space="preserve">      OSAKA</t>
    <phoneticPr fontId="1"/>
  </si>
  <si>
    <t xml:space="preserve">     TOKYO</t>
    <phoneticPr fontId="1"/>
  </si>
  <si>
    <t>MUFG BANK, LTD. OSAKA-NISHI BRANCH</t>
    <phoneticPr fontId="1"/>
  </si>
  <si>
    <t>1-7-17, AWAZA, NISHI-KU, OSAKA, JAPAN</t>
    <phoneticPr fontId="1"/>
  </si>
  <si>
    <t>SUN FASHION CORP.</t>
    <phoneticPr fontId="1"/>
  </si>
  <si>
    <t>BOTKJPJT</t>
    <phoneticPr fontId="1"/>
  </si>
  <si>
    <t>545-9019494</t>
    <phoneticPr fontId="1"/>
  </si>
  <si>
    <t>N/A</t>
    <phoneticPr fontId="1"/>
  </si>
  <si>
    <t>By T/T</t>
    <phoneticPr fontId="1"/>
  </si>
  <si>
    <t>EXW Japan</t>
    <phoneticPr fontId="1"/>
  </si>
  <si>
    <t/>
  </si>
  <si>
    <t>Suite 716, 15 West 38th Street,</t>
  </si>
  <si>
    <t>New York, NY</t>
  </si>
  <si>
    <t>Country: U.S.A.</t>
  </si>
  <si>
    <t>Zip Code: 10018</t>
  </si>
  <si>
    <t xml:space="preserve">Tel: </t>
  </si>
  <si>
    <t>Attn: Megumi Chiba</t>
  </si>
  <si>
    <t>Osaka, Japan</t>
  </si>
  <si>
    <t>New York, U.S.A</t>
  </si>
  <si>
    <t>-</t>
  </si>
  <si>
    <t>Collect</t>
  </si>
  <si>
    <t>DHL</t>
  </si>
  <si>
    <t>Alexandra Grecco</t>
  </si>
  <si>
    <t>263 West 38th St. #12W</t>
  </si>
  <si>
    <t xml:space="preserve">New York NY </t>
  </si>
  <si>
    <t>Country: U.S.A</t>
  </si>
  <si>
    <t>TEL: 646 588 8824</t>
  </si>
  <si>
    <t>Attn: Genesis</t>
  </si>
  <si>
    <t>DHL968704772</t>
    <phoneticPr fontId="1"/>
  </si>
  <si>
    <t xml:space="preserve">   1.49  KG</t>
    <phoneticPr fontId="1"/>
  </si>
  <si>
    <t xml:space="preserve">  1 package</t>
    <phoneticPr fontId="1"/>
  </si>
  <si>
    <t xml:space="preserve">  DHL FLYER</t>
    <phoneticPr fontId="1"/>
  </si>
  <si>
    <t>Attn: Genesis</t>
    <phoneticPr fontId="1"/>
  </si>
  <si>
    <t>Alexandra Grecco</t>
    <phoneticPr fontId="1"/>
  </si>
  <si>
    <t>263 West 38th St. #12W</t>
    <phoneticPr fontId="1"/>
  </si>
  <si>
    <t>Zip Code: 10018</t>
    <phoneticPr fontId="1"/>
  </si>
  <si>
    <t>TEL: 646 588 8824</t>
    <phoneticPr fontId="1"/>
  </si>
  <si>
    <t>Recycled Polyester Petersham Ribbon   Recycled  Polyester-100%</t>
    <phoneticPr fontId="1"/>
  </si>
  <si>
    <t>6595109732</t>
    <phoneticPr fontId="1"/>
  </si>
  <si>
    <t xml:space="preserve">  40 x 38  x  7 cm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</si>
</sst>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[$-409]d\-mmm\-yyyy;@"/>
    <numFmt numFmtId="177" formatCode="#,##0&quot;mm&quot;"/>
    <numFmt numFmtId="178" formatCode="General&quot; m&quot;"/>
    <numFmt numFmtId="179" formatCode="[$-409]d\-mmm;@"/>
    <numFmt numFmtId="180" formatCode="#,##0&quot; m&quot;"/>
    <numFmt numFmtId="181" formatCode="#,##0&quot; rolls&quot;"/>
    <numFmt numFmtId="182" formatCode="&quot;US$&quot;#,##0.00"/>
    <numFmt numFmtId="183" formatCode="#,##0\ &quot;cm&quot;"/>
    <numFmt numFmtId="184" formatCode="#,##0&quot; set&quot;"/>
    <numFmt numFmtId="185" formatCode="General&quot; rolls&quot;"/>
    <numFmt numFmtId="186" formatCode="&quot;US$&quot;#,##0.00_);\(&quot;US$&quot;#,##0.00\)"/>
    <numFmt numFmtId="187" formatCode="#,##0&quot;cm&quot;"/>
    <numFmt numFmtId="188" formatCode="&quot;US$&quot;#,##0.00;[Red]\-&quot;US$&quot;#,##0.00"/>
    <numFmt numFmtId="189" formatCode="#,##0&quot; pcs&quot;"/>
    <numFmt numFmtId="190" formatCode="General&quot; pcs&quot;"/>
    <numFmt numFmtId="191" formatCode="[$$-409]#,##0.00;[$$-409]#,##0.00"/>
    <numFmt numFmtId="192" formatCode="&quot;US$&quot;#,##0.00;\-&quot;US$&quot;#,##0.00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b/>
      <sz val="9.5"/>
      <color rgb="FFFF0000"/>
      <name val="Times New Roman"/>
      <family val="1"/>
    </font>
    <font>
      <sz val="9.5"/>
      <name val="Times New Roman"/>
      <family val="1"/>
    </font>
    <font>
      <u/>
      <sz val="1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thin">
        <color indexed="64"/>
      </right>
      <top style="dotted">
        <color indexed="64"/>
      </top>
      <bottom style="double">
        <color indexed="64"/>
      </bottom>
      <diagonal/>
    </border>
    <border>
      <left/>
      <right/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tted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/>
      <right/>
      <top style="double">
        <color indexed="64"/>
      </top>
      <bottom style="dotted">
        <color indexed="64"/>
      </bottom>
      <diagonal/>
    </border>
    <border>
      <left/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5">
    <xf numFmtId="0" fontId="0" fillId="0" borderId="0" xfId="0">
      <alignment vertical="center"/>
    </xf>
    <xf numFmtId="0" fontId="2" fillId="0" borderId="0" xfId="0" applyFont="1" applyProtection="1">
      <alignment vertic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1" fillId="2" borderId="14" xfId="0" applyFont="1" applyFill="1" applyBorder="1" applyProtection="1">
      <alignment vertical="center"/>
      <protection locked="0"/>
    </xf>
    <xf numFmtId="0" fontId="12" fillId="2" borderId="14" xfId="0" applyFont="1" applyFill="1" applyBorder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7" fillId="0" borderId="0" xfId="0" applyFont="1" applyProtection="1">
      <alignment vertical="center"/>
      <protection locked="0"/>
    </xf>
    <xf numFmtId="0" fontId="2" fillId="0" borderId="4" xfId="0" applyFont="1" applyBorder="1" applyProtection="1">
      <alignment vertical="center"/>
      <protection locked="0"/>
    </xf>
    <xf numFmtId="0" fontId="8" fillId="0" borderId="2" xfId="0" applyFont="1" applyBorder="1" applyProtection="1">
      <alignment vertical="center"/>
      <protection locked="0"/>
    </xf>
    <xf numFmtId="0" fontId="7" fillId="0" borderId="5" xfId="0" applyFont="1" applyBorder="1" applyProtection="1">
      <alignment vertical="center"/>
      <protection locked="0"/>
    </xf>
    <xf numFmtId="0" fontId="7" fillId="0" borderId="6" xfId="0" applyFont="1" applyBorder="1" applyProtection="1">
      <alignment vertical="center"/>
      <protection locked="0"/>
    </xf>
    <xf numFmtId="0" fontId="7" fillId="0" borderId="7" xfId="0" applyFont="1" applyBorder="1" applyProtection="1">
      <alignment vertical="center"/>
      <protection locked="0"/>
    </xf>
    <xf numFmtId="0" fontId="8" fillId="0" borderId="8" xfId="0" applyFont="1" applyBorder="1" applyProtection="1">
      <alignment vertical="center"/>
      <protection locked="0"/>
    </xf>
    <xf numFmtId="0" fontId="2" fillId="0" borderId="6" xfId="0" applyFont="1" applyBorder="1" applyProtection="1">
      <alignment vertical="center"/>
      <protection locked="0"/>
    </xf>
    <xf numFmtId="0" fontId="2" fillId="0" borderId="7" xfId="0" applyFont="1" applyBorder="1" applyProtection="1">
      <alignment vertical="center"/>
      <protection locked="0"/>
    </xf>
    <xf numFmtId="0" fontId="2" fillId="0" borderId="9" xfId="0" applyFont="1" applyBorder="1" applyProtection="1">
      <alignment vertical="center"/>
      <protection locked="0"/>
    </xf>
    <xf numFmtId="0" fontId="2" fillId="0" borderId="10" xfId="0" applyFont="1" applyBorder="1" applyProtection="1">
      <alignment vertical="center"/>
      <protection locked="0"/>
    </xf>
    <xf numFmtId="0" fontId="2" fillId="0" borderId="11" xfId="0" applyFont="1" applyBorder="1" applyProtection="1">
      <alignment vertical="center"/>
      <protection locked="0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4" xfId="0" applyFont="1" applyBorder="1" applyProtection="1">
      <alignment vertical="center"/>
      <protection locked="0"/>
    </xf>
    <xf numFmtId="0" fontId="2" fillId="0" borderId="15" xfId="0" applyFont="1" applyBorder="1" applyProtection="1">
      <alignment vertic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176" fontId="2" fillId="0" borderId="13" xfId="0" applyNumberFormat="1" applyFont="1" applyBorder="1" applyProtection="1">
      <alignment vertical="center"/>
      <protection locked="0"/>
    </xf>
    <xf numFmtId="0" fontId="2" fillId="0" borderId="16" xfId="0" applyFont="1" applyBorder="1" applyProtection="1">
      <alignment vertical="center"/>
      <protection locked="0"/>
    </xf>
    <xf numFmtId="0" fontId="2" fillId="0" borderId="17" xfId="0" applyFont="1" applyBorder="1" applyProtection="1">
      <alignment vertical="center"/>
      <protection locked="0"/>
    </xf>
    <xf numFmtId="0" fontId="2" fillId="0" borderId="18" xfId="0" applyFont="1" applyBorder="1" applyProtection="1">
      <alignment vertical="center"/>
      <protection locked="0"/>
    </xf>
    <xf numFmtId="0" fontId="2" fillId="0" borderId="19" xfId="0" applyFont="1" applyBorder="1" applyProtection="1">
      <alignment vertical="center"/>
      <protection locked="0"/>
    </xf>
    <xf numFmtId="0" fontId="2" fillId="0" borderId="20" xfId="0" applyFont="1" applyBorder="1" applyAlignment="1" applyProtection="1">
      <alignment horizontal="left" vertical="center"/>
      <protection locked="0"/>
    </xf>
    <xf numFmtId="0" fontId="2" fillId="0" borderId="20" xfId="0" applyFont="1" applyBorder="1" applyProtection="1">
      <alignment vertical="center"/>
      <protection locked="0"/>
    </xf>
    <xf numFmtId="0" fontId="8" fillId="0" borderId="7" xfId="0" applyFont="1" applyBorder="1" applyProtection="1">
      <alignment vertical="center"/>
      <protection locked="0"/>
    </xf>
    <xf numFmtId="0" fontId="8" fillId="0" borderId="7" xfId="0" applyFont="1" applyBorder="1" applyAlignment="1" applyProtection="1">
      <alignment vertical="center" wrapText="1"/>
      <protection locked="0"/>
    </xf>
    <xf numFmtId="0" fontId="8" fillId="0" borderId="6" xfId="0" applyFont="1" applyBorder="1" applyProtection="1">
      <alignment vertical="center"/>
      <protection locked="0"/>
    </xf>
    <xf numFmtId="0" fontId="13" fillId="0" borderId="6" xfId="0" applyFont="1" applyBorder="1" applyProtection="1">
      <alignment vertical="center"/>
      <protection locked="0"/>
    </xf>
    <xf numFmtId="0" fontId="13" fillId="0" borderId="7" xfId="0" applyFont="1" applyBorder="1" applyProtection="1">
      <alignment vertical="center"/>
      <protection locked="0"/>
    </xf>
    <xf numFmtId="0" fontId="10" fillId="0" borderId="13" xfId="0" applyFont="1" applyBorder="1" applyAlignment="1" applyProtection="1">
      <alignment horizontal="center" vertical="center"/>
      <protection locked="0"/>
    </xf>
    <xf numFmtId="0" fontId="2" fillId="0" borderId="21" xfId="0" applyFont="1" applyBorder="1" applyProtection="1">
      <alignment vertical="center"/>
      <protection locked="0"/>
    </xf>
    <xf numFmtId="0" fontId="2" fillId="0" borderId="23" xfId="0" applyFont="1" applyBorder="1" applyProtection="1">
      <alignment vertical="center"/>
      <protection locked="0"/>
    </xf>
    <xf numFmtId="0" fontId="2" fillId="0" borderId="24" xfId="0" applyFont="1" applyBorder="1" applyProtection="1">
      <alignment vertical="center"/>
      <protection locked="0"/>
    </xf>
    <xf numFmtId="0" fontId="8" fillId="0" borderId="28" xfId="0" applyFont="1" applyBorder="1" applyProtection="1">
      <alignment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 wrapText="1"/>
      <protection locked="0"/>
    </xf>
    <xf numFmtId="49" fontId="2" fillId="0" borderId="33" xfId="0" applyNumberFormat="1" applyFont="1" applyBorder="1" applyAlignment="1" applyProtection="1">
      <alignment horizontal="left" vertical="center" shrinkToFit="1"/>
      <protection locked="0"/>
    </xf>
    <xf numFmtId="0" fontId="2" fillId="0" borderId="32" xfId="0" applyFont="1" applyBorder="1" applyAlignment="1" applyProtection="1">
      <alignment horizontal="left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177" fontId="2" fillId="0" borderId="32" xfId="0" applyNumberFormat="1" applyFont="1" applyBorder="1" applyAlignment="1" applyProtection="1">
      <alignment horizontal="center" vertical="center"/>
      <protection locked="0"/>
    </xf>
    <xf numFmtId="178" fontId="2" fillId="0" borderId="32" xfId="0" applyNumberFormat="1" applyFont="1" applyBorder="1" applyAlignment="1" applyProtection="1">
      <alignment horizontal="center" vertical="center"/>
      <protection locked="0"/>
    </xf>
    <xf numFmtId="179" fontId="2" fillId="0" borderId="32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left" vertical="center" shrinkToFit="1"/>
      <protection locked="0"/>
    </xf>
    <xf numFmtId="0" fontId="2" fillId="0" borderId="44" xfId="0" applyFont="1" applyBorder="1" applyAlignment="1" applyProtection="1">
      <alignment horizontal="left" vertical="center"/>
      <protection locked="0"/>
    </xf>
    <xf numFmtId="177" fontId="2" fillId="0" borderId="44" xfId="0" applyNumberFormat="1" applyFont="1" applyBorder="1" applyAlignment="1" applyProtection="1">
      <alignment horizontal="center" vertical="center"/>
      <protection locked="0"/>
    </xf>
    <xf numFmtId="180" fontId="2" fillId="0" borderId="44" xfId="0" applyNumberFormat="1" applyFont="1" applyBorder="1" applyAlignment="1" applyProtection="1">
      <alignment horizontal="center" vertical="center"/>
      <protection locked="0"/>
    </xf>
    <xf numFmtId="181" fontId="2" fillId="0" borderId="44" xfId="0" applyNumberFormat="1" applyFont="1" applyBorder="1" applyAlignment="1" applyProtection="1">
      <alignment horizontal="center" vertical="center"/>
      <protection locked="0"/>
    </xf>
    <xf numFmtId="182" fontId="2" fillId="0" borderId="44" xfId="0" applyNumberFormat="1" applyFont="1" applyBorder="1" applyAlignment="1" applyProtection="1">
      <alignment horizontal="center" vertical="center"/>
      <protection locked="0"/>
    </xf>
    <xf numFmtId="183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44" xfId="0" applyFont="1" applyBorder="1" applyAlignment="1" applyProtection="1">
      <alignment horizontal="center" vertical="center"/>
      <protection locked="0"/>
    </xf>
    <xf numFmtId="184" fontId="2" fillId="0" borderId="44" xfId="0" applyNumberFormat="1" applyFont="1" applyBorder="1" applyAlignment="1" applyProtection="1">
      <alignment horizontal="center" vertical="center"/>
      <protection locked="0"/>
    </xf>
    <xf numFmtId="178" fontId="2" fillId="0" borderId="44" xfId="0" applyNumberFormat="1" applyFont="1" applyBorder="1" applyAlignment="1" applyProtection="1">
      <alignment horizontal="center" vertical="center"/>
      <protection locked="0"/>
    </xf>
    <xf numFmtId="185" fontId="2" fillId="0" borderId="44" xfId="0" applyNumberFormat="1" applyFont="1" applyBorder="1" applyAlignment="1" applyProtection="1">
      <alignment horizontal="center" vertical="center"/>
      <protection locked="0"/>
    </xf>
    <xf numFmtId="186" fontId="2" fillId="0" borderId="44" xfId="0" applyNumberFormat="1" applyFont="1" applyBorder="1" applyAlignment="1" applyProtection="1">
      <alignment horizontal="center" vertical="center"/>
      <protection locked="0"/>
    </xf>
    <xf numFmtId="187" fontId="2" fillId="0" borderId="44" xfId="0" applyNumberFormat="1" applyFont="1" applyBorder="1" applyAlignment="1" applyProtection="1">
      <alignment horizontal="center" vertical="center"/>
      <protection locked="0"/>
    </xf>
    <xf numFmtId="179" fontId="2" fillId="0" borderId="44" xfId="0" applyNumberFormat="1" applyFont="1" applyBorder="1" applyAlignment="1" applyProtection="1">
      <alignment horizontal="center" vertical="center"/>
      <protection locked="0"/>
    </xf>
    <xf numFmtId="188" fontId="2" fillId="0" borderId="44" xfId="0" applyNumberFormat="1" applyFont="1" applyBorder="1" applyAlignment="1" applyProtection="1">
      <alignment horizontal="center" vertical="center"/>
      <protection locked="0"/>
    </xf>
    <xf numFmtId="189" fontId="2" fillId="0" borderId="44" xfId="0" applyNumberFormat="1" applyFont="1" applyBorder="1" applyAlignment="1" applyProtection="1">
      <alignment horizontal="center" vertical="center"/>
      <protection locked="0"/>
    </xf>
    <xf numFmtId="190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18" xfId="0" applyFont="1" applyBorder="1" applyAlignment="1" applyProtection="1">
      <alignment horizontal="left" vertical="center" shrinkToFit="1"/>
      <protection locked="0"/>
    </xf>
    <xf numFmtId="191" fontId="2" fillId="0" borderId="44" xfId="0" applyNumberFormat="1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 vertical="center" shrinkToFit="1"/>
      <protection locked="0"/>
    </xf>
    <xf numFmtId="0" fontId="2" fillId="0" borderId="45" xfId="0" applyFont="1" applyBorder="1" applyAlignment="1" applyProtection="1">
      <alignment horizontal="left" vertical="center"/>
      <protection locked="0"/>
    </xf>
    <xf numFmtId="0" fontId="2" fillId="0" borderId="45" xfId="0" applyFont="1" applyBorder="1" applyAlignment="1" applyProtection="1">
      <alignment horizontal="center" vertical="center"/>
      <protection locked="0"/>
    </xf>
    <xf numFmtId="191" fontId="2" fillId="0" borderId="45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188" fontId="2" fillId="0" borderId="8" xfId="0" applyNumberFormat="1" applyFont="1" applyBorder="1" applyAlignment="1" applyProtection="1">
      <alignment horizontal="right" vertical="center"/>
      <protection locked="0"/>
    </xf>
    <xf numFmtId="188" fontId="2" fillId="0" borderId="7" xfId="0" applyNumberFormat="1" applyFont="1" applyBorder="1" applyProtection="1">
      <alignment vertical="center"/>
      <protection locked="0"/>
    </xf>
    <xf numFmtId="191" fontId="2" fillId="0" borderId="46" xfId="0" applyNumberFormat="1" applyFont="1" applyBorder="1" applyAlignment="1" applyProtection="1">
      <alignment horizontal="center" vertical="center"/>
      <protection locked="0"/>
    </xf>
    <xf numFmtId="0" fontId="14" fillId="0" borderId="0" xfId="0" applyFont="1" applyProtection="1">
      <alignment vertical="center"/>
      <protection locked="0"/>
    </xf>
    <xf numFmtId="188" fontId="2" fillId="0" borderId="18" xfId="0" applyNumberFormat="1" applyFont="1" applyBorder="1" applyAlignment="1" applyProtection="1">
      <alignment horizontal="right" vertical="center"/>
      <protection locked="0"/>
    </xf>
    <xf numFmtId="0" fontId="10" fillId="0" borderId="0" xfId="0" applyFont="1" applyProtection="1">
      <alignment vertical="center"/>
      <protection locked="0"/>
    </xf>
    <xf numFmtId="188" fontId="2" fillId="0" borderId="13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right" vertical="center" wrapText="1"/>
      <protection locked="0"/>
    </xf>
    <xf numFmtId="191" fontId="2" fillId="0" borderId="3" xfId="0" applyNumberFormat="1" applyFont="1" applyBorder="1" applyAlignment="1" applyProtection="1">
      <alignment horizontal="center" vertical="center"/>
      <protection locked="0"/>
    </xf>
    <xf numFmtId="191" fontId="7" fillId="0" borderId="49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Protection="1">
      <alignment vertical="center"/>
      <protection locked="0"/>
    </xf>
    <xf numFmtId="0" fontId="2" fillId="0" borderId="50" xfId="0" applyFont="1" applyBorder="1" applyProtection="1">
      <alignment vertical="center"/>
      <protection locked="0"/>
    </xf>
    <xf numFmtId="0" fontId="2" fillId="0" borderId="50" xfId="0" applyFont="1" applyBorder="1" applyAlignment="1" applyProtection="1">
      <alignment vertical="center" wrapText="1"/>
      <protection locked="0"/>
    </xf>
    <xf numFmtId="0" fontId="2" fillId="0" borderId="1" xfId="0" applyFont="1" applyBorder="1" applyProtection="1">
      <alignment vertical="center"/>
      <protection locked="0"/>
    </xf>
    <xf numFmtId="0" fontId="2" fillId="0" borderId="51" xfId="0" applyFont="1" applyBorder="1" applyProtection="1">
      <alignment vertical="center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22" xfId="0" applyFont="1" applyBorder="1" applyProtection="1">
      <alignment vertical="center"/>
      <protection locked="0"/>
    </xf>
    <xf numFmtId="182" fontId="2" fillId="0" borderId="32" xfId="0" applyNumberFormat="1" applyFont="1" applyBorder="1" applyAlignment="1" applyProtection="1">
      <alignment horizontal="center" vertical="center"/>
      <protection locked="0"/>
    </xf>
    <xf numFmtId="192" fontId="2" fillId="0" borderId="44" xfId="0" applyNumberFormat="1" applyFont="1" applyBorder="1" applyAlignment="1" applyProtection="1">
      <alignment horizontal="center" vertical="center"/>
      <protection locked="0"/>
    </xf>
    <xf numFmtId="188" fontId="2" fillId="0" borderId="3" xfId="0" applyNumberFormat="1" applyFont="1" applyBorder="1" applyAlignment="1" applyProtection="1">
      <alignment horizontal="center" vertical="center"/>
      <protection locked="0"/>
    </xf>
    <xf numFmtId="188" fontId="7" fillId="0" borderId="47" xfId="0" applyNumberFormat="1" applyFont="1" applyBorder="1" applyAlignment="1" applyProtection="1">
      <alignment horizontal="center" vertical="center"/>
      <protection locked="0"/>
    </xf>
    <xf numFmtId="188" fontId="7" fillId="0" borderId="48" xfId="0" applyNumberFormat="1" applyFont="1" applyBorder="1" applyAlignment="1" applyProtection="1">
      <alignment horizontal="center" vertical="center"/>
      <protection locked="0"/>
    </xf>
    <xf numFmtId="0" fontId="2" fillId="0" borderId="16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0" fontId="2" fillId="0" borderId="24" xfId="0" applyFont="1" applyBorder="1" applyAlignment="1" applyProtection="1">
      <alignment horizontal="left" vertical="center" wrapText="1"/>
      <protection locked="0"/>
    </xf>
    <xf numFmtId="0" fontId="2" fillId="0" borderId="29" xfId="0" applyFont="1" applyBorder="1" applyAlignment="1" applyProtection="1">
      <alignment horizontal="left" vertical="center"/>
      <protection locked="0"/>
    </xf>
    <xf numFmtId="0" fontId="2" fillId="0" borderId="30" xfId="0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7" fillId="0" borderId="33" xfId="0" applyFont="1" applyBorder="1" applyAlignment="1" applyProtection="1">
      <alignment horizontal="center" vertical="center"/>
      <protection locked="0"/>
    </xf>
    <xf numFmtId="0" fontId="7" fillId="0" borderId="34" xfId="0" applyFont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0" borderId="36" xfId="0" applyFont="1" applyBorder="1" applyAlignment="1" applyProtection="1">
      <alignment horizontal="center" vertical="center"/>
      <protection locked="0"/>
    </xf>
    <xf numFmtId="0" fontId="7" fillId="0" borderId="41" xfId="0" applyFont="1" applyBorder="1" applyAlignment="1" applyProtection="1">
      <alignment horizontal="center"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0" fontId="9" fillId="0" borderId="13" xfId="0" applyFont="1" applyBorder="1" applyAlignment="1" applyProtection="1">
      <alignment horizontal="center" vertical="center"/>
      <protection locked="0"/>
    </xf>
    <xf numFmtId="0" fontId="10" fillId="0" borderId="14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176" fontId="2" fillId="0" borderId="13" xfId="0" applyNumberFormat="1" applyFont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0" borderId="25" xfId="0" applyFont="1" applyBorder="1" applyAlignment="1" applyProtection="1">
      <alignment horizontal="left" vertical="center"/>
      <protection locked="0"/>
    </xf>
    <xf numFmtId="0" fontId="2" fillId="0" borderId="26" xfId="0" applyFont="1" applyBorder="1" applyAlignment="1" applyProtection="1">
      <alignment horizontal="left" vertical="center"/>
      <protection locked="0"/>
    </xf>
    <xf numFmtId="0" fontId="2" fillId="0" borderId="27" xfId="0" applyFont="1" applyBorder="1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left" vertical="center"/>
      <protection locked="0"/>
    </xf>
    <xf numFmtId="176" fontId="2" fillId="0" borderId="4" xfId="0" applyNumberFormat="1" applyFont="1" applyBorder="1" applyAlignment="1" applyProtection="1">
      <alignment horizontal="left" vertical="center"/>
      <protection locked="0"/>
    </xf>
    <xf numFmtId="188" fontId="2" fillId="0" borderId="47" xfId="0" applyNumberFormat="1" applyFont="1" applyBorder="1" applyAlignment="1" applyProtection="1">
      <alignment horizontal="center" vertical="center"/>
      <protection locked="0"/>
    </xf>
    <xf numFmtId="188" fontId="2" fillId="0" borderId="48" xfId="0" applyNumberFormat="1" applyFont="1" applyBorder="1" applyAlignment="1" applyProtection="1">
      <alignment horizontal="center" vertical="center"/>
      <protection locked="0"/>
    </xf>
    <xf numFmtId="0" fontId="7" fillId="0" borderId="52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53" xfId="0" applyFont="1" applyBorder="1" applyAlignment="1" applyProtection="1">
      <alignment horizontal="center" vertical="center"/>
      <protection locked="0"/>
    </xf>
    <xf numFmtId="0" fontId="7" fillId="0" borderId="51" xfId="0" applyFont="1" applyBorder="1" applyAlignment="1" applyProtection="1">
      <alignment horizontal="center" vertical="center"/>
      <protection locked="0"/>
    </xf>
    <xf numFmtId="0" fontId="10" fillId="0" borderId="13" xfId="0" applyFont="1" applyBorder="1" applyAlignment="1" applyProtection="1">
      <alignment horizontal="left" vertical="center"/>
      <protection locked="0"/>
    </xf>
    <xf numFmtId="0" fontId="10" fillId="0" borderId="14" xfId="0" applyFont="1" applyBorder="1" applyAlignment="1" applyProtection="1">
      <alignment horizontal="left" vertical="center"/>
      <protection locked="0"/>
    </xf>
    <xf numFmtId="0" fontId="2" fillId="0" borderId="22" xfId="0" quotePrefix="1" applyFont="1" applyBorder="1" applyAlignment="1" applyProtection="1">
      <alignment horizontal="left" vertical="center"/>
      <protection locked="0"/>
    </xf>
  </cellXfs>
  <cellStyles count="1">
    <cellStyle name="標準" xfId="0" builtinId="0"/>
  </cellStyles>
  <dxfs count="24"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firstButton="1" fmlaLink="#REF!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28575</xdr:colOff>
      <xdr:row>2</xdr:row>
      <xdr:rowOff>228600</xdr:rowOff>
    </xdr:from>
    <xdr:to>
      <xdr:col>5</xdr:col>
      <xdr:colOff>333375</xdr:colOff>
      <xdr:row>4</xdr:row>
      <xdr:rowOff>0</xdr:rowOff>
    </xdr:to>
    <xdr:sp macro="" textlink="">
      <xdr:nvSpPr>
        <xdr:cNvPr id="7" name="Option Button 4" hidden="1">
          <a:extLst>
            <a:ext uri="{63B3BB69-23CF-44E3-9099-C40C66FF867C}">
              <a14:compatExt xmlns:a14="http://schemas.microsoft.com/office/drawing/2010/main" spid="_x0000_s17412"/>
            </a:ext>
            <a:ext uri="{FF2B5EF4-FFF2-40B4-BE49-F238E27FC236}">
              <a16:creationId xmlns:a16="http://schemas.microsoft.com/office/drawing/2014/main" id="{A296D216-603B-444E-B909-F5A70DBB294C}"/>
            </a:ext>
          </a:extLst>
        </xdr:cNvPr>
        <xdr:cNvSpPr/>
      </xdr:nvSpPr>
      <xdr:spPr bwMode="auto">
        <a:xfrm>
          <a:off x="8743950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9525</xdr:colOff>
      <xdr:row>2</xdr:row>
      <xdr:rowOff>228600</xdr:rowOff>
    </xdr:from>
    <xdr:to>
      <xdr:col>6</xdr:col>
      <xdr:colOff>314325</xdr:colOff>
      <xdr:row>4</xdr:row>
      <xdr:rowOff>0</xdr:rowOff>
    </xdr:to>
    <xdr:sp macro="" textlink="">
      <xdr:nvSpPr>
        <xdr:cNvPr id="8" name="Option Button 5" hidden="1">
          <a:extLst>
            <a:ext uri="{63B3BB69-23CF-44E3-9099-C40C66FF867C}">
              <a14:compatExt xmlns:a14="http://schemas.microsoft.com/office/drawing/2010/main" spid="_x0000_s17413"/>
            </a:ext>
            <a:ext uri="{FF2B5EF4-FFF2-40B4-BE49-F238E27FC236}">
              <a16:creationId xmlns:a16="http://schemas.microsoft.com/office/drawing/2014/main" id="{368CA114-4A0D-4B44-9CC7-11A0E003BBE4}"/>
            </a:ext>
          </a:extLst>
        </xdr:cNvPr>
        <xdr:cNvSpPr/>
      </xdr:nvSpPr>
      <xdr:spPr bwMode="auto">
        <a:xfrm>
          <a:off x="9667875" y="2457450"/>
          <a:ext cx="304800" cy="2476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</xdr:row>
          <xdr:rowOff>228600</xdr:rowOff>
        </xdr:from>
        <xdr:to>
          <xdr:col>5</xdr:col>
          <xdr:colOff>333375</xdr:colOff>
          <xdr:row>4</xdr:row>
          <xdr:rowOff>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2</xdr:row>
          <xdr:rowOff>228600</xdr:rowOff>
        </xdr:from>
        <xdr:to>
          <xdr:col>6</xdr:col>
          <xdr:colOff>323850</xdr:colOff>
          <xdr:row>4</xdr:row>
          <xdr:rowOff>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228600</xdr:rowOff>
        </xdr:from>
        <xdr:to>
          <xdr:col>5</xdr:col>
          <xdr:colOff>314325</xdr:colOff>
          <xdr:row>4</xdr:row>
          <xdr:rowOff>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914400</xdr:colOff>
          <xdr:row>2</xdr:row>
          <xdr:rowOff>228600</xdr:rowOff>
        </xdr:from>
        <xdr:to>
          <xdr:col>6</xdr:col>
          <xdr:colOff>276225</xdr:colOff>
          <xdr:row>4</xdr:row>
          <xdr:rowOff>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001/Desktop/Outerwear%20Quotation%20=%20Offer%20List%20=%2030-JULY-2019/Updated%20Price%20List%20by%20Dickson%20-%2015-JULY-2022/20220715%20%20EU%20USA%20Market%20Price%20List%20US%20with%20new%20column%20heading-15JULY2022.xlsm" TargetMode="External"/><Relationship Id="rId1" Type="http://schemas.openxmlformats.org/officeDocument/2006/relationships/externalLinkPath" Target="/Users/User001/Desktop/Outerwear%20Quotation%20=%20Offer%20List%20=%2030-JULY-2019/Updated%20Price%20List%20by%20Dickson%20-%2015-JULY-2022/20220715%20%20EU%20USA%20Market%20Price%20List%20US%20with%20new%20column%20heading-15JULY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w To"/>
      <sheetName val="OfferList"/>
      <sheetName val="History"/>
      <sheetName val="Unit_List"/>
      <sheetName val="Master"/>
    </sheetNames>
    <sheetDataSet>
      <sheetData sheetId="0"/>
      <sheetData sheetId="1"/>
      <sheetData sheetId="2"/>
      <sheetData sheetId="3"/>
      <sheetData sheetId="4">
        <row r="2">
          <cell r="D2" t="str">
            <v>FOB Qingdao China</v>
          </cell>
          <cell r="K2" t="str">
            <v>USD</v>
          </cell>
        </row>
        <row r="3">
          <cell r="D3" t="str">
            <v>FOB Chiang Mai Thailand</v>
          </cell>
          <cell r="K3" t="str">
            <v>RMB</v>
          </cell>
        </row>
        <row r="4">
          <cell r="D4" t="str">
            <v>FOB</v>
          </cell>
          <cell r="K4" t="str">
            <v>EUR</v>
          </cell>
        </row>
        <row r="5">
          <cell r="D5" t="str">
            <v>CIF by air or courier</v>
          </cell>
          <cell r="K5" t="str">
            <v>THB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81147-A7E7-435E-90CF-932EACB1037A}">
  <sheetPr codeName="Sheet4">
    <tabColor theme="5"/>
    <pageSetUpPr fitToPage="1"/>
  </sheetPr>
  <dimension ref="A1:J67"/>
  <sheetViews>
    <sheetView showGridLines="0" tabSelected="1" zoomScale="115" zoomScaleNormal="115" zoomScaleSheetLayoutView="85" workbookViewId="0">
      <selection sqref="A1:D4"/>
    </sheetView>
  </sheetViews>
  <sheetFormatPr defaultColWidth="9" defaultRowHeight="18.75" customHeight="1" x14ac:dyDescent="0.15"/>
  <cols>
    <col min="1" max="1" width="25.375" style="1" customWidth="1"/>
    <col min="2" max="2" width="22.5" style="1" customWidth="1"/>
    <col min="3" max="3" width="12.375" style="1" customWidth="1"/>
    <col min="4" max="4" width="25" style="2" customWidth="1"/>
    <col min="5" max="7" width="12.375" style="1" customWidth="1"/>
    <col min="8" max="8" width="14.125" style="1" customWidth="1"/>
    <col min="9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20" t="s">
        <v>0</v>
      </c>
      <c r="B1" s="121"/>
      <c r="C1" s="121"/>
      <c r="D1" s="121"/>
      <c r="E1" s="123" t="s">
        <v>1</v>
      </c>
      <c r="F1" s="123"/>
      <c r="G1" s="123"/>
      <c r="H1" s="123"/>
      <c r="I1" s="123"/>
      <c r="J1" s="123"/>
    </row>
    <row r="2" spans="1:10" ht="18.75" customHeight="1" x14ac:dyDescent="0.15">
      <c r="A2" s="121"/>
      <c r="B2" s="121"/>
      <c r="C2" s="121"/>
      <c r="D2" s="121"/>
      <c r="E2" s="123"/>
      <c r="F2" s="123"/>
      <c r="G2" s="123"/>
      <c r="H2" s="123"/>
      <c r="I2" s="123"/>
      <c r="J2" s="123"/>
    </row>
    <row r="3" spans="1:10" ht="18.75" customHeight="1" x14ac:dyDescent="0.15">
      <c r="A3" s="121"/>
      <c r="B3" s="121"/>
      <c r="C3" s="121"/>
      <c r="D3" s="121"/>
      <c r="E3" s="5" t="s">
        <v>2</v>
      </c>
      <c r="F3" s="124">
        <v>8016</v>
      </c>
      <c r="G3" s="124"/>
      <c r="H3" s="124"/>
      <c r="I3" s="124"/>
      <c r="J3" s="124"/>
    </row>
    <row r="4" spans="1:10" ht="18.75" customHeight="1" x14ac:dyDescent="0.15">
      <c r="A4" s="122"/>
      <c r="B4" s="122"/>
      <c r="C4" s="122"/>
      <c r="D4" s="122"/>
      <c r="E4" s="6" t="s">
        <v>3</v>
      </c>
      <c r="F4" s="7" t="s">
        <v>4</v>
      </c>
      <c r="G4" s="7" t="s">
        <v>5</v>
      </c>
      <c r="H4" s="6" t="s">
        <v>6</v>
      </c>
      <c r="I4" s="125">
        <v>46106</v>
      </c>
      <c r="J4" s="125"/>
    </row>
    <row r="5" spans="1:10" ht="18.75" customHeight="1" x14ac:dyDescent="0.15">
      <c r="A5" s="8" t="s">
        <v>7</v>
      </c>
      <c r="B5" s="9" t="s">
        <v>114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115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105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22" t="s">
        <v>106</v>
      </c>
      <c r="C8" s="17" t="s">
        <v>116</v>
      </c>
      <c r="D8" s="18"/>
      <c r="E8" s="23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117</v>
      </c>
      <c r="C9" s="17" t="s">
        <v>113</v>
      </c>
      <c r="D9" s="18"/>
      <c r="E9" s="12" t="s">
        <v>12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5"/>
      <c r="C10" s="20"/>
      <c r="D10" s="21"/>
      <c r="E10" s="26" t="s">
        <v>13</v>
      </c>
      <c r="F10" s="27" t="s">
        <v>14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103</v>
      </c>
      <c r="C11" s="10"/>
      <c r="D11" s="11"/>
      <c r="E11" s="26" t="s">
        <v>16</v>
      </c>
      <c r="F11" s="27" t="s">
        <v>17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104</v>
      </c>
      <c r="C12" s="17"/>
      <c r="D12" s="18"/>
      <c r="E12" s="26" t="s">
        <v>18</v>
      </c>
      <c r="F12" s="27" t="s">
        <v>19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105</v>
      </c>
      <c r="C13" s="17"/>
      <c r="D13" s="18"/>
      <c r="E13" s="26" t="s">
        <v>20</v>
      </c>
      <c r="F13" s="27" t="s">
        <v>21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106</v>
      </c>
      <c r="C14" s="17" t="s">
        <v>95</v>
      </c>
      <c r="D14" s="18"/>
      <c r="E14" s="19" t="s">
        <v>22</v>
      </c>
      <c r="F14" s="28" t="s">
        <v>23</v>
      </c>
      <c r="G14" s="20"/>
      <c r="H14" s="29" t="s">
        <v>24</v>
      </c>
      <c r="I14" s="29" t="s">
        <v>25</v>
      </c>
      <c r="J14" s="21"/>
    </row>
    <row r="15" spans="1:10" ht="18.75" customHeight="1" x14ac:dyDescent="0.15">
      <c r="A15" s="15"/>
      <c r="B15" s="22" t="s">
        <v>107</v>
      </c>
      <c r="C15" s="17" t="s">
        <v>108</v>
      </c>
      <c r="D15" s="18"/>
      <c r="E15" s="12" t="s">
        <v>26</v>
      </c>
      <c r="F15" s="13"/>
      <c r="G15" s="13"/>
      <c r="H15" s="13"/>
      <c r="I15" s="12" t="s">
        <v>27</v>
      </c>
      <c r="J15" s="14"/>
    </row>
    <row r="16" spans="1:10" ht="18.75" customHeight="1" x14ac:dyDescent="0.15">
      <c r="A16" s="15"/>
      <c r="B16" s="25"/>
      <c r="C16" s="20"/>
      <c r="D16" s="21"/>
      <c r="E16" s="111" t="s">
        <v>28</v>
      </c>
      <c r="F16" s="112"/>
      <c r="G16" s="3" t="s">
        <v>29</v>
      </c>
      <c r="H16" s="4"/>
      <c r="I16" s="23">
        <f>I4+30</f>
        <v>46136</v>
      </c>
      <c r="J16" s="21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102</v>
      </c>
      <c r="B18" s="21"/>
      <c r="C18" s="113" t="s">
        <v>34</v>
      </c>
      <c r="D18" s="114"/>
      <c r="E18" s="115">
        <f>I4</f>
        <v>46106</v>
      </c>
      <c r="F18" s="116"/>
      <c r="G18" s="114"/>
      <c r="H18" s="36" t="s">
        <v>35</v>
      </c>
      <c r="I18" s="134" t="s">
        <v>119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94" t="s">
        <v>109</v>
      </c>
      <c r="I19" s="95"/>
      <c r="J19" s="96"/>
    </row>
    <row r="20" spans="1:10" ht="18.75" customHeight="1" thickBot="1" x14ac:dyDescent="0.2">
      <c r="A20" s="117" t="s">
        <v>39</v>
      </c>
      <c r="B20" s="118"/>
      <c r="C20" s="117" t="s">
        <v>39</v>
      </c>
      <c r="D20" s="118"/>
      <c r="E20" s="117" t="s">
        <v>40</v>
      </c>
      <c r="F20" s="119"/>
      <c r="G20" s="118"/>
      <c r="H20" s="39" t="s">
        <v>41</v>
      </c>
      <c r="I20" s="97" t="s">
        <v>42</v>
      </c>
      <c r="J20" s="98"/>
    </row>
    <row r="21" spans="1:10" ht="18.75" customHeight="1" thickTop="1" x14ac:dyDescent="0.15">
      <c r="A21" s="99" t="s">
        <v>43</v>
      </c>
      <c r="B21" s="101" t="s">
        <v>44</v>
      </c>
      <c r="C21" s="101"/>
      <c r="D21" s="101"/>
      <c r="E21" s="102" t="s">
        <v>45</v>
      </c>
      <c r="F21" s="103"/>
      <c r="G21" s="104"/>
      <c r="H21" s="105" t="s">
        <v>46</v>
      </c>
      <c r="I21" s="107" t="s">
        <v>47</v>
      </c>
      <c r="J21" s="109" t="s">
        <v>48</v>
      </c>
    </row>
    <row r="22" spans="1:10" ht="18.75" customHeight="1" thickBot="1" x14ac:dyDescent="0.2">
      <c r="A22" s="100"/>
      <c r="B22" s="40" t="s">
        <v>49</v>
      </c>
      <c r="C22" s="40" t="s">
        <v>50</v>
      </c>
      <c r="D22" s="41" t="s">
        <v>51</v>
      </c>
      <c r="E22" s="40" t="s">
        <v>52</v>
      </c>
      <c r="F22" s="40" t="s">
        <v>53</v>
      </c>
      <c r="G22" s="40" t="s">
        <v>54</v>
      </c>
      <c r="H22" s="106"/>
      <c r="I22" s="108"/>
      <c r="J22" s="110"/>
    </row>
    <row r="23" spans="1:10" ht="18.75" customHeight="1" thickTop="1" x14ac:dyDescent="0.15">
      <c r="A23" s="42" t="s">
        <v>55</v>
      </c>
      <c r="B23" s="43" t="s">
        <v>118</v>
      </c>
      <c r="C23" s="44"/>
      <c r="D23" s="45"/>
      <c r="E23" s="46"/>
      <c r="F23" s="46"/>
      <c r="G23" s="46"/>
      <c r="H23" s="44" t="s">
        <v>57</v>
      </c>
      <c r="I23" s="47"/>
      <c r="J23" s="47"/>
    </row>
    <row r="24" spans="1:10" ht="18.75" customHeight="1" x14ac:dyDescent="0.15">
      <c r="A24" s="48" t="s">
        <v>55</v>
      </c>
      <c r="B24" s="49" t="s">
        <v>58</v>
      </c>
      <c r="C24" s="50">
        <v>12</v>
      </c>
      <c r="D24" s="50" t="s">
        <v>59</v>
      </c>
      <c r="E24" s="51">
        <v>30</v>
      </c>
      <c r="F24" s="52">
        <v>10</v>
      </c>
      <c r="G24" s="51">
        <v>300</v>
      </c>
      <c r="H24" s="53">
        <v>0.42</v>
      </c>
      <c r="I24" s="53">
        <v>126</v>
      </c>
      <c r="J24" s="53" t="s">
        <v>60</v>
      </c>
    </row>
    <row r="25" spans="1:10" ht="18.75" customHeight="1" x14ac:dyDescent="0.15">
      <c r="A25" s="48" t="s">
        <v>55</v>
      </c>
      <c r="B25" s="49"/>
      <c r="C25" s="54"/>
      <c r="D25" s="55" t="s">
        <v>61</v>
      </c>
      <c r="E25" s="51"/>
      <c r="F25" s="52"/>
      <c r="G25" s="56">
        <v>1</v>
      </c>
      <c r="H25" s="53">
        <v>12</v>
      </c>
      <c r="I25" s="53">
        <v>12</v>
      </c>
      <c r="J25" s="53"/>
    </row>
    <row r="26" spans="1:10" ht="18.75" customHeight="1" x14ac:dyDescent="0.15">
      <c r="A26" s="48"/>
      <c r="B26" s="49"/>
      <c r="C26" s="54"/>
      <c r="D26" s="55"/>
      <c r="E26" s="57"/>
      <c r="F26" s="58"/>
      <c r="G26" s="51"/>
      <c r="H26" s="53"/>
      <c r="I26" s="53"/>
      <c r="J26" s="53"/>
    </row>
    <row r="27" spans="1:10" ht="18.75" customHeight="1" x14ac:dyDescent="0.15">
      <c r="A27" s="48"/>
      <c r="B27" s="49"/>
      <c r="C27" s="54"/>
      <c r="D27" s="55"/>
      <c r="E27" s="51"/>
      <c r="F27" s="52"/>
      <c r="G27" s="56"/>
      <c r="H27" s="53"/>
      <c r="I27" s="53"/>
      <c r="J27" s="53"/>
    </row>
    <row r="28" spans="1:10" ht="18.75" customHeight="1" x14ac:dyDescent="0.15">
      <c r="A28" s="48"/>
      <c r="B28" s="49"/>
      <c r="C28" s="54"/>
      <c r="D28" s="50"/>
      <c r="E28" s="51"/>
      <c r="F28" s="52"/>
      <c r="G28" s="56"/>
      <c r="H28" s="53"/>
      <c r="I28" s="53"/>
      <c r="J28" s="53"/>
    </row>
    <row r="29" spans="1:10" ht="18.75" customHeight="1" x14ac:dyDescent="0.15">
      <c r="A29" s="48"/>
      <c r="B29" s="49"/>
      <c r="C29" s="54"/>
      <c r="D29" s="55"/>
      <c r="E29" s="51"/>
      <c r="F29" s="52"/>
      <c r="G29" s="56"/>
      <c r="H29" s="53"/>
      <c r="I29" s="53"/>
      <c r="J29" s="53"/>
    </row>
    <row r="30" spans="1:10" ht="18.75" customHeight="1" x14ac:dyDescent="0.15">
      <c r="A30" s="48"/>
      <c r="B30" s="49"/>
      <c r="C30" s="54"/>
      <c r="D30" s="55"/>
      <c r="E30" s="51"/>
      <c r="F30" s="52"/>
      <c r="G30" s="56"/>
      <c r="H30" s="53"/>
      <c r="I30" s="53"/>
      <c r="J30" s="53"/>
    </row>
    <row r="31" spans="1:10" ht="18.75" customHeight="1" x14ac:dyDescent="0.15">
      <c r="A31" s="48"/>
      <c r="B31" s="49"/>
      <c r="C31" s="54"/>
      <c r="D31" s="55"/>
      <c r="E31" s="51"/>
      <c r="F31" s="52"/>
      <c r="G31" s="56"/>
      <c r="H31" s="53"/>
      <c r="I31" s="53"/>
      <c r="J31" s="53"/>
    </row>
    <row r="32" spans="1:10" ht="18.75" customHeight="1" x14ac:dyDescent="0.15">
      <c r="A32" s="48"/>
      <c r="B32" s="49"/>
      <c r="C32" s="50"/>
      <c r="D32" s="55"/>
      <c r="E32" s="51"/>
      <c r="F32" s="52"/>
      <c r="G32" s="57"/>
      <c r="H32" s="59"/>
      <c r="I32" s="53"/>
      <c r="J32" s="53"/>
    </row>
    <row r="33" spans="1:10" ht="18.75" customHeight="1" x14ac:dyDescent="0.15">
      <c r="A33" s="48"/>
      <c r="B33" s="49"/>
      <c r="C33" s="50"/>
      <c r="D33" s="55"/>
      <c r="E33" s="51"/>
      <c r="F33" s="52"/>
      <c r="G33" s="57"/>
      <c r="H33" s="59"/>
      <c r="I33" s="53"/>
      <c r="J33" s="53"/>
    </row>
    <row r="34" spans="1:10" ht="18.75" customHeight="1" x14ac:dyDescent="0.15">
      <c r="A34" s="48"/>
      <c r="B34" s="49"/>
      <c r="C34" s="50"/>
      <c r="D34" s="55"/>
      <c r="E34" s="51"/>
      <c r="F34" s="52"/>
      <c r="G34" s="57"/>
      <c r="H34" s="59"/>
      <c r="I34" s="53"/>
      <c r="J34" s="53"/>
    </row>
    <row r="35" spans="1:10" ht="18.75" customHeight="1" x14ac:dyDescent="0.15">
      <c r="A35" s="48"/>
      <c r="B35" s="49"/>
      <c r="C35" s="50"/>
      <c r="D35" s="55"/>
      <c r="E35" s="51"/>
      <c r="F35" s="52"/>
      <c r="G35" s="57"/>
      <c r="H35" s="59"/>
      <c r="I35" s="53"/>
      <c r="J35" s="53"/>
    </row>
    <row r="36" spans="1:10" ht="18.75" customHeight="1" x14ac:dyDescent="0.15">
      <c r="A36" s="48"/>
      <c r="B36" s="49"/>
      <c r="C36" s="54"/>
      <c r="D36" s="50"/>
      <c r="E36" s="51"/>
      <c r="F36" s="52"/>
      <c r="G36" s="56"/>
      <c r="H36" s="53"/>
      <c r="I36" s="53"/>
      <c r="J36" s="53"/>
    </row>
    <row r="37" spans="1:10" ht="18.75" customHeight="1" x14ac:dyDescent="0.15">
      <c r="A37" s="48"/>
      <c r="B37" s="49"/>
      <c r="C37" s="60"/>
      <c r="D37" s="55"/>
      <c r="E37" s="57"/>
      <c r="F37" s="58"/>
      <c r="G37" s="57"/>
      <c r="H37" s="55"/>
      <c r="I37" s="61"/>
      <c r="J37" s="61"/>
    </row>
    <row r="38" spans="1:10" ht="18.75" customHeight="1" x14ac:dyDescent="0.15">
      <c r="A38" s="48"/>
      <c r="B38" s="49"/>
      <c r="C38" s="60"/>
      <c r="D38" s="55"/>
      <c r="E38" s="51"/>
      <c r="F38" s="52"/>
      <c r="G38" s="51"/>
      <c r="H38" s="62"/>
      <c r="I38" s="53"/>
      <c r="J38" s="53"/>
    </row>
    <row r="39" spans="1:10" ht="18.75" customHeight="1" x14ac:dyDescent="0.15">
      <c r="A39" s="48"/>
      <c r="B39" s="49"/>
      <c r="C39" s="60"/>
      <c r="D39" s="55"/>
      <c r="E39" s="57"/>
      <c r="F39" s="58"/>
      <c r="G39" s="57"/>
      <c r="H39" s="55"/>
      <c r="I39" s="61"/>
      <c r="J39" s="61"/>
    </row>
    <row r="40" spans="1:10" ht="18.75" customHeight="1" x14ac:dyDescent="0.15">
      <c r="A40" s="48"/>
      <c r="B40" s="49"/>
      <c r="C40" s="60"/>
      <c r="D40" s="55"/>
      <c r="E40" s="51"/>
      <c r="F40" s="52"/>
      <c r="G40" s="51"/>
      <c r="H40" s="62"/>
      <c r="I40" s="53"/>
      <c r="J40" s="53"/>
    </row>
    <row r="41" spans="1:10" ht="18.75" customHeight="1" x14ac:dyDescent="0.15">
      <c r="A41" s="48"/>
      <c r="B41" s="49"/>
      <c r="C41" s="54"/>
      <c r="D41" s="50"/>
      <c r="E41" s="51"/>
      <c r="F41" s="52"/>
      <c r="G41" s="51"/>
      <c r="H41" s="53"/>
      <c r="I41" s="53"/>
      <c r="J41" s="61"/>
    </row>
    <row r="42" spans="1:10" ht="18.75" customHeight="1" x14ac:dyDescent="0.15">
      <c r="A42" s="48"/>
      <c r="B42" s="49"/>
      <c r="C42" s="54"/>
      <c r="D42" s="50"/>
      <c r="E42" s="51"/>
      <c r="F42" s="52"/>
      <c r="G42" s="56"/>
      <c r="H42" s="53"/>
      <c r="I42" s="53"/>
      <c r="J42" s="61"/>
    </row>
    <row r="43" spans="1:10" ht="18.75" customHeight="1" x14ac:dyDescent="0.15">
      <c r="A43" s="48"/>
      <c r="B43" s="49"/>
      <c r="C43" s="50"/>
      <c r="D43" s="50"/>
      <c r="E43" s="63"/>
      <c r="F43" s="63"/>
      <c r="G43" s="64"/>
      <c r="H43" s="53"/>
      <c r="I43" s="53"/>
      <c r="J43" s="53"/>
    </row>
    <row r="44" spans="1:10" ht="18.75" customHeight="1" x14ac:dyDescent="0.15">
      <c r="A44" s="65"/>
      <c r="B44" s="49"/>
      <c r="C44" s="55"/>
      <c r="D44" s="55"/>
      <c r="E44" s="55"/>
      <c r="F44" s="55"/>
      <c r="G44" s="55"/>
      <c r="H44" s="66"/>
      <c r="I44" s="66"/>
      <c r="J44" s="55"/>
    </row>
    <row r="45" spans="1:10" ht="18.75" customHeight="1" x14ac:dyDescent="0.15">
      <c r="A45" s="65"/>
      <c r="B45" s="49"/>
      <c r="C45" s="55"/>
      <c r="D45" s="55"/>
      <c r="E45" s="55"/>
      <c r="F45" s="55"/>
      <c r="G45" s="55"/>
      <c r="H45" s="66"/>
      <c r="I45" s="66"/>
      <c r="J45" s="55"/>
    </row>
    <row r="46" spans="1:10" ht="18.75" customHeight="1" x14ac:dyDescent="0.15">
      <c r="A46" s="65"/>
      <c r="B46" s="49"/>
      <c r="C46" s="55"/>
      <c r="D46" s="55"/>
      <c r="E46" s="55"/>
      <c r="F46" s="55"/>
      <c r="G46" s="55"/>
      <c r="H46" s="66"/>
      <c r="I46" s="66"/>
      <c r="J46" s="55"/>
    </row>
    <row r="47" spans="1:10" ht="18.75" customHeight="1" x14ac:dyDescent="0.15">
      <c r="A47" s="65"/>
      <c r="B47" s="49"/>
      <c r="C47" s="55"/>
      <c r="D47" s="55"/>
      <c r="E47" s="55"/>
      <c r="F47" s="55"/>
      <c r="G47" s="55"/>
      <c r="H47" s="66"/>
      <c r="I47" s="66"/>
      <c r="J47" s="55"/>
    </row>
    <row r="48" spans="1:10" ht="18.75" customHeight="1" x14ac:dyDescent="0.15">
      <c r="A48" s="65"/>
      <c r="B48" s="49"/>
      <c r="C48" s="55"/>
      <c r="D48" s="55"/>
      <c r="E48" s="55"/>
      <c r="F48" s="55"/>
      <c r="G48" s="55"/>
      <c r="H48" s="66"/>
      <c r="I48" s="66"/>
      <c r="J48" s="55"/>
    </row>
    <row r="49" spans="1:10" ht="18.75" customHeight="1" x14ac:dyDescent="0.15">
      <c r="A49" s="65"/>
      <c r="B49" s="49"/>
      <c r="C49" s="55"/>
      <c r="D49" s="55"/>
      <c r="E49" s="55"/>
      <c r="F49" s="55"/>
      <c r="G49" s="55"/>
      <c r="H49" s="66"/>
      <c r="I49" s="66"/>
      <c r="J49" s="55"/>
    </row>
    <row r="50" spans="1:10" ht="18.75" customHeight="1" x14ac:dyDescent="0.15">
      <c r="A50" s="65"/>
      <c r="B50" s="49"/>
      <c r="C50" s="55"/>
      <c r="D50" s="55"/>
      <c r="E50" s="55"/>
      <c r="F50" s="55"/>
      <c r="G50" s="55"/>
      <c r="H50" s="66"/>
      <c r="I50" s="66"/>
      <c r="J50" s="55"/>
    </row>
    <row r="51" spans="1:10" ht="18.75" customHeight="1" x14ac:dyDescent="0.15">
      <c r="A51" s="65"/>
      <c r="B51" s="49"/>
      <c r="C51" s="55"/>
      <c r="D51" s="55"/>
      <c r="E51" s="55"/>
      <c r="F51" s="55"/>
      <c r="G51" s="55"/>
      <c r="H51" s="66"/>
      <c r="I51" s="66"/>
      <c r="J51" s="55"/>
    </row>
    <row r="52" spans="1:10" ht="18.75" customHeight="1" x14ac:dyDescent="0.15">
      <c r="A52" s="65"/>
      <c r="B52" s="49"/>
      <c r="C52" s="55"/>
      <c r="D52" s="55"/>
      <c r="E52" s="55"/>
      <c r="F52" s="55"/>
      <c r="G52" s="55"/>
      <c r="H52" s="66"/>
      <c r="I52" s="66"/>
      <c r="J52" s="55"/>
    </row>
    <row r="53" spans="1:10" ht="18.75" customHeight="1" x14ac:dyDescent="0.15">
      <c r="A53" s="65"/>
      <c r="B53" s="49"/>
      <c r="C53" s="55"/>
      <c r="D53" s="55"/>
      <c r="E53" s="55"/>
      <c r="F53" s="55"/>
      <c r="G53" s="55"/>
      <c r="H53" s="66"/>
      <c r="I53" s="66"/>
      <c r="J53" s="55"/>
    </row>
    <row r="54" spans="1:10" ht="18.75" customHeight="1" x14ac:dyDescent="0.15">
      <c r="A54" s="65"/>
      <c r="B54" s="49"/>
      <c r="C54" s="55"/>
      <c r="D54" s="55"/>
      <c r="E54" s="55"/>
      <c r="F54" s="55"/>
      <c r="G54" s="55"/>
      <c r="H54" s="66"/>
      <c r="I54" s="66"/>
      <c r="J54" s="55"/>
    </row>
    <row r="55" spans="1:10" ht="18.75" customHeight="1" x14ac:dyDescent="0.15">
      <c r="A55" s="67"/>
      <c r="B55" s="68"/>
      <c r="C55" s="69"/>
      <c r="D55" s="69"/>
      <c r="E55" s="69"/>
      <c r="F55" s="69"/>
      <c r="G55" s="69"/>
      <c r="H55" s="70"/>
      <c r="I55" s="70"/>
      <c r="J55" s="69"/>
    </row>
    <row r="56" spans="1:10" ht="18.75" customHeight="1" x14ac:dyDescent="0.15">
      <c r="F56" s="71"/>
      <c r="G56" s="72" t="s">
        <v>62</v>
      </c>
      <c r="H56" s="73" t="s">
        <v>63</v>
      </c>
      <c r="I56" s="74">
        <v>126</v>
      </c>
    </row>
    <row r="57" spans="1:10" ht="18.75" customHeight="1" x14ac:dyDescent="0.15">
      <c r="A57" s="75" t="s">
        <v>64</v>
      </c>
      <c r="C57" s="6" t="s">
        <v>65</v>
      </c>
      <c r="F57" s="71"/>
      <c r="G57" s="76" t="s">
        <v>91</v>
      </c>
      <c r="H57" s="18"/>
      <c r="I57" s="66" t="s">
        <v>91</v>
      </c>
    </row>
    <row r="58" spans="1:10" ht="18.75" customHeight="1" x14ac:dyDescent="0.15">
      <c r="A58" s="77" t="s">
        <v>66</v>
      </c>
      <c r="C58" s="71" t="s">
        <v>67</v>
      </c>
      <c r="D58" s="2" t="s">
        <v>111</v>
      </c>
      <c r="F58" s="71"/>
      <c r="G58" s="78" t="s">
        <v>91</v>
      </c>
      <c r="H58" s="21"/>
      <c r="I58" s="70" t="s">
        <v>91</v>
      </c>
    </row>
    <row r="59" spans="1:10" ht="18.75" customHeight="1" thickBot="1" x14ac:dyDescent="0.2">
      <c r="A59" s="77" t="s">
        <v>68</v>
      </c>
      <c r="C59" s="79" t="s">
        <v>69</v>
      </c>
      <c r="D59" s="2" t="s">
        <v>112</v>
      </c>
      <c r="G59" s="91" t="s">
        <v>70</v>
      </c>
      <c r="H59" s="91"/>
      <c r="I59" s="80" t="s">
        <v>71</v>
      </c>
    </row>
    <row r="60" spans="1:10" ht="18.75" customHeight="1" thickBot="1" x14ac:dyDescent="0.2">
      <c r="A60" s="77" t="s">
        <v>72</v>
      </c>
      <c r="C60" s="71" t="s">
        <v>73</v>
      </c>
      <c r="D60" s="2" t="s">
        <v>120</v>
      </c>
      <c r="G60" s="92" t="s">
        <v>74</v>
      </c>
      <c r="H60" s="93"/>
      <c r="I60" s="81">
        <v>138</v>
      </c>
    </row>
    <row r="61" spans="1:10" ht="18.75" customHeight="1" x14ac:dyDescent="0.15">
      <c r="A61" s="77" t="s">
        <v>75</v>
      </c>
      <c r="C61" s="71" t="s">
        <v>76</v>
      </c>
      <c r="D61" s="2" t="s">
        <v>110</v>
      </c>
    </row>
    <row r="63" spans="1:10" ht="18.75" customHeight="1" x14ac:dyDescent="0.15">
      <c r="A63" s="77" t="s">
        <v>77</v>
      </c>
      <c r="G63" s="75" t="s">
        <v>19</v>
      </c>
    </row>
    <row r="64" spans="1:10" ht="18.75" customHeight="1" x14ac:dyDescent="0.15">
      <c r="A64" s="82"/>
      <c r="B64" s="83"/>
      <c r="C64" s="83"/>
      <c r="D64" s="84"/>
      <c r="E64" s="85"/>
    </row>
    <row r="65" spans="1:10" ht="18.75" customHeight="1" x14ac:dyDescent="0.15">
      <c r="A65" s="15"/>
      <c r="E65" s="86"/>
    </row>
    <row r="66" spans="1:10" ht="18.75" customHeight="1" x14ac:dyDescent="0.15">
      <c r="A66" s="15"/>
      <c r="E66" s="86"/>
    </row>
    <row r="67" spans="1:10" ht="18.75" customHeight="1" x14ac:dyDescent="0.15">
      <c r="A67" s="24"/>
      <c r="B67" s="7"/>
      <c r="C67" s="7"/>
      <c r="D67" s="87"/>
      <c r="E67" s="38"/>
      <c r="G67" s="7"/>
      <c r="H67" s="7"/>
      <c r="I67" s="7"/>
      <c r="J67" s="7"/>
    </row>
  </sheetData>
  <mergeCells count="20">
    <mergeCell ref="A1:D4"/>
    <mergeCell ref="E1:J2"/>
    <mergeCell ref="F3:J3"/>
    <mergeCell ref="I4:J4"/>
    <mergeCell ref="E16:F16"/>
    <mergeCell ref="C18:D18"/>
    <mergeCell ref="E18:G18"/>
    <mergeCell ref="A20:B20"/>
    <mergeCell ref="C20:D20"/>
    <mergeCell ref="E20:G20"/>
    <mergeCell ref="G59:H59"/>
    <mergeCell ref="G60:H60"/>
    <mergeCell ref="H19:J19"/>
    <mergeCell ref="I20:J20"/>
    <mergeCell ref="A21:A22"/>
    <mergeCell ref="B21:D21"/>
    <mergeCell ref="E21:G21"/>
    <mergeCell ref="H21:H22"/>
    <mergeCell ref="I21:I22"/>
    <mergeCell ref="J21:J22"/>
  </mergeCells>
  <phoneticPr fontId="1"/>
  <conditionalFormatting sqref="A18">
    <cfRule type="expression" dxfId="23" priority="6" stopIfTrue="1">
      <formula>$A$18="(SELECT)"</formula>
    </cfRule>
  </conditionalFormatting>
  <conditionalFormatting sqref="B5:B7 B8:C9 B11:B13 B14:C15">
    <cfRule type="containsBlanks" dxfId="22" priority="7" stopIfTrue="1">
      <formula>LEN(TRIM(B5))=0</formula>
    </cfRule>
  </conditionalFormatting>
  <conditionalFormatting sqref="B18">
    <cfRule type="expression" dxfId="21" priority="2" stopIfTrue="1">
      <formula>$A$18="Vessel"</formula>
    </cfRule>
    <cfRule type="expression" dxfId="20" priority="3" stopIfTrue="1">
      <formula>$A$18="AIR"</formula>
    </cfRule>
    <cfRule type="expression" dxfId="19" priority="4" stopIfTrue="1">
      <formula>$A$18="Other"</formula>
    </cfRule>
  </conditionalFormatting>
  <conditionalFormatting sqref="B23:J55">
    <cfRule type="expression" dxfId="18" priority="1" stopIfTrue="1">
      <formula>COUNTIF($H23,"*per*")</formula>
    </cfRule>
  </conditionalFormatting>
  <conditionalFormatting sqref="E16">
    <cfRule type="expression" dxfId="17" priority="5" stopIfTrue="1">
      <formula>$E$16="(SELECT)"</formula>
    </cfRule>
  </conditionalFormatting>
  <conditionalFormatting sqref="E18:G18 A20:G20 B21 E21">
    <cfRule type="containsBlanks" dxfId="16" priority="8" stopIfTrue="1">
      <formula>LEN(TRIM(A18))=0</formula>
    </cfRule>
  </conditionalFormatting>
  <dataValidations count="2">
    <dataValidation type="list" allowBlank="1" showInputMessage="1" showErrorMessage="1" sqref="E16:F16" xr:uid="{1866423C-6997-4074-9C5A-A949829ECC71}">
      <formula1>"(SELECT),　,Advanced Payment,NET 30days,NET 60days"</formula1>
    </dataValidation>
    <dataValidation type="list" allowBlank="1" showInputMessage="1" showErrorMessage="1" sqref="A18" xr:uid="{49225729-0E5E-45ED-8C18-45D61F2FE65A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3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5</xdr:col>
                    <xdr:colOff>28575</xdr:colOff>
                    <xdr:row>2</xdr:row>
                    <xdr:rowOff>228600</xdr:rowOff>
                  </from>
                  <to>
                    <xdr:col>5</xdr:col>
                    <xdr:colOff>333375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6</xdr:col>
                    <xdr:colOff>19050</xdr:colOff>
                    <xdr:row>2</xdr:row>
                    <xdr:rowOff>228600</xdr:rowOff>
                  </from>
                  <to>
                    <xdr:col>6</xdr:col>
                    <xdr:colOff>323850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BBE3-CBAE-45B8-927E-FEF16942B628}">
  <sheetPr codeName="Sheet5">
    <tabColor theme="4"/>
    <pageSetUpPr fitToPage="1"/>
  </sheetPr>
  <dimension ref="A1:J67"/>
  <sheetViews>
    <sheetView showGridLines="0" topLeftCell="A31" zoomScale="85" zoomScaleNormal="85" zoomScaleSheetLayoutView="85" workbookViewId="0">
      <selection activeCell="D58" sqref="D58:D61"/>
    </sheetView>
  </sheetViews>
  <sheetFormatPr defaultColWidth="9" defaultRowHeight="18.75" customHeight="1" x14ac:dyDescent="0.15"/>
  <cols>
    <col min="1" max="1" width="16.125" style="1" customWidth="1"/>
    <col min="2" max="2" width="22.5" style="1" customWidth="1"/>
    <col min="3" max="3" width="12.375" style="1" customWidth="1"/>
    <col min="4" max="4" width="25" style="2" customWidth="1"/>
    <col min="5" max="9" width="12.375" style="1" customWidth="1"/>
    <col min="10" max="10" width="12.5" style="1" customWidth="1"/>
    <col min="11" max="16384" width="9" style="1"/>
  </cols>
  <sheetData>
    <row r="1" spans="1:10" ht="18.75" customHeight="1" x14ac:dyDescent="0.15">
      <c r="A1" s="120" t="s">
        <v>79</v>
      </c>
      <c r="B1" s="121"/>
      <c r="C1" s="121"/>
      <c r="D1" s="121"/>
      <c r="E1" s="123" t="s">
        <v>80</v>
      </c>
      <c r="F1" s="123"/>
      <c r="G1" s="123"/>
      <c r="H1" s="123"/>
      <c r="I1" s="123"/>
      <c r="J1" s="123"/>
    </row>
    <row r="2" spans="1:10" ht="18.75" customHeight="1" x14ac:dyDescent="0.15">
      <c r="A2" s="121"/>
      <c r="B2" s="121"/>
      <c r="C2" s="121"/>
      <c r="D2" s="121"/>
      <c r="E2" s="123"/>
      <c r="F2" s="123"/>
      <c r="G2" s="123"/>
      <c r="H2" s="123"/>
      <c r="I2" s="123"/>
      <c r="J2" s="123"/>
    </row>
    <row r="3" spans="1:10" ht="18.75" customHeight="1" x14ac:dyDescent="0.15">
      <c r="A3" s="121"/>
      <c r="B3" s="121"/>
      <c r="C3" s="121"/>
      <c r="D3" s="121"/>
      <c r="E3" s="5" t="s">
        <v>2</v>
      </c>
      <c r="F3" s="124">
        <v>8016</v>
      </c>
      <c r="G3" s="124"/>
      <c r="H3" s="124"/>
      <c r="I3" s="124"/>
      <c r="J3" s="124"/>
    </row>
    <row r="4" spans="1:10" ht="18.75" customHeight="1" x14ac:dyDescent="0.15">
      <c r="A4" s="122"/>
      <c r="B4" s="122"/>
      <c r="C4" s="122"/>
      <c r="D4" s="122"/>
      <c r="E4" s="6" t="s">
        <v>3</v>
      </c>
      <c r="F4" s="7" t="s">
        <v>81</v>
      </c>
      <c r="G4" s="7" t="s">
        <v>82</v>
      </c>
      <c r="H4" s="6" t="s">
        <v>6</v>
      </c>
      <c r="I4" s="125">
        <v>46106</v>
      </c>
      <c r="J4" s="125"/>
    </row>
    <row r="5" spans="1:10" ht="18.75" customHeight="1" x14ac:dyDescent="0.15">
      <c r="A5" s="8" t="s">
        <v>7</v>
      </c>
      <c r="B5" s="9" t="s">
        <v>103</v>
      </c>
      <c r="C5" s="10"/>
      <c r="D5" s="11"/>
      <c r="E5" s="12" t="s">
        <v>8</v>
      </c>
      <c r="F5" s="13"/>
      <c r="G5" s="14"/>
      <c r="H5" s="12" t="s">
        <v>9</v>
      </c>
      <c r="I5" s="13"/>
      <c r="J5" s="14"/>
    </row>
    <row r="6" spans="1:10" ht="18.75" customHeight="1" x14ac:dyDescent="0.15">
      <c r="A6" s="15"/>
      <c r="B6" s="16" t="s">
        <v>104</v>
      </c>
      <c r="C6" s="17"/>
      <c r="D6" s="18"/>
      <c r="E6" s="19"/>
      <c r="F6" s="20"/>
      <c r="G6" s="21"/>
      <c r="H6" s="19"/>
      <c r="I6" s="20"/>
      <c r="J6" s="21"/>
    </row>
    <row r="7" spans="1:10" ht="18.75" customHeight="1" x14ac:dyDescent="0.15">
      <c r="A7" s="15"/>
      <c r="B7" s="16" t="s">
        <v>105</v>
      </c>
      <c r="C7" s="17"/>
      <c r="D7" s="18"/>
      <c r="E7" s="12" t="s">
        <v>10</v>
      </c>
      <c r="F7" s="13"/>
      <c r="G7" s="14"/>
      <c r="H7" s="12" t="s">
        <v>11</v>
      </c>
      <c r="I7" s="13"/>
      <c r="J7" s="14"/>
    </row>
    <row r="8" spans="1:10" ht="18.75" customHeight="1" x14ac:dyDescent="0.15">
      <c r="A8" s="15"/>
      <c r="B8" s="22" t="s">
        <v>106</v>
      </c>
      <c r="C8" s="17" t="s">
        <v>95</v>
      </c>
      <c r="D8" s="18"/>
      <c r="E8" s="19"/>
      <c r="F8" s="20"/>
      <c r="G8" s="21"/>
      <c r="H8" s="19"/>
      <c r="I8" s="20"/>
      <c r="J8" s="21"/>
    </row>
    <row r="9" spans="1:10" ht="18.75" customHeight="1" x14ac:dyDescent="0.15">
      <c r="A9" s="15"/>
      <c r="B9" s="22" t="s">
        <v>107</v>
      </c>
      <c r="C9" s="17" t="s">
        <v>108</v>
      </c>
      <c r="D9" s="18"/>
      <c r="E9" s="12" t="s">
        <v>12</v>
      </c>
      <c r="F9" s="13"/>
      <c r="G9" s="13"/>
      <c r="H9" s="13"/>
      <c r="I9" s="13"/>
      <c r="J9" s="14"/>
    </row>
    <row r="10" spans="1:10" ht="18.75" customHeight="1" x14ac:dyDescent="0.15">
      <c r="A10" s="24"/>
      <c r="B10" s="25"/>
      <c r="C10" s="20"/>
      <c r="D10" s="21"/>
      <c r="E10" s="26" t="s">
        <v>13</v>
      </c>
      <c r="F10" s="27" t="s">
        <v>83</v>
      </c>
      <c r="G10" s="17"/>
      <c r="H10" s="17"/>
      <c r="I10" s="17"/>
      <c r="J10" s="18"/>
    </row>
    <row r="11" spans="1:10" ht="18.75" customHeight="1" x14ac:dyDescent="0.15">
      <c r="A11" s="8" t="s">
        <v>15</v>
      </c>
      <c r="B11" s="9" t="s">
        <v>78</v>
      </c>
      <c r="C11" s="10"/>
      <c r="D11" s="11"/>
      <c r="E11" s="26" t="s">
        <v>16</v>
      </c>
      <c r="F11" s="27" t="s">
        <v>84</v>
      </c>
      <c r="G11" s="17"/>
      <c r="H11" s="17"/>
      <c r="I11" s="17"/>
      <c r="J11" s="18"/>
    </row>
    <row r="12" spans="1:10" ht="18.75" customHeight="1" x14ac:dyDescent="0.15">
      <c r="A12" s="15"/>
      <c r="B12" s="16" t="s">
        <v>92</v>
      </c>
      <c r="C12" s="17"/>
      <c r="D12" s="18"/>
      <c r="E12" s="26" t="s">
        <v>18</v>
      </c>
      <c r="F12" s="27" t="s">
        <v>85</v>
      </c>
      <c r="G12" s="17"/>
      <c r="H12" s="17"/>
      <c r="I12" s="17"/>
      <c r="J12" s="18"/>
    </row>
    <row r="13" spans="1:10" ht="18.75" customHeight="1" x14ac:dyDescent="0.15">
      <c r="A13" s="15"/>
      <c r="B13" s="16" t="s">
        <v>93</v>
      </c>
      <c r="C13" s="17"/>
      <c r="D13" s="18"/>
      <c r="E13" s="26" t="s">
        <v>20</v>
      </c>
      <c r="F13" s="27" t="s">
        <v>86</v>
      </c>
      <c r="G13" s="17"/>
      <c r="H13" s="17"/>
      <c r="I13" s="17"/>
      <c r="J13" s="18"/>
    </row>
    <row r="14" spans="1:10" ht="18.75" customHeight="1" x14ac:dyDescent="0.15">
      <c r="A14" s="15"/>
      <c r="B14" s="22" t="s">
        <v>94</v>
      </c>
      <c r="C14" s="17" t="s">
        <v>95</v>
      </c>
      <c r="D14" s="18"/>
      <c r="E14" s="19" t="s">
        <v>22</v>
      </c>
      <c r="F14" s="28" t="s">
        <v>87</v>
      </c>
      <c r="G14" s="20"/>
      <c r="H14" s="29" t="s">
        <v>24</v>
      </c>
      <c r="I14" s="29" t="s">
        <v>88</v>
      </c>
      <c r="J14" s="21"/>
    </row>
    <row r="15" spans="1:10" ht="18.75" customHeight="1" x14ac:dyDescent="0.15">
      <c r="A15" s="15"/>
      <c r="B15" s="22" t="s">
        <v>96</v>
      </c>
      <c r="C15" s="17" t="s">
        <v>97</v>
      </c>
      <c r="D15" s="18"/>
      <c r="E15" s="12" t="s">
        <v>26</v>
      </c>
      <c r="F15" s="13"/>
      <c r="G15" s="13"/>
      <c r="H15" s="13"/>
      <c r="I15" s="13"/>
      <c r="J15" s="14"/>
    </row>
    <row r="16" spans="1:10" ht="18.75" customHeight="1" x14ac:dyDescent="0.15">
      <c r="A16" s="15"/>
      <c r="B16" s="25"/>
      <c r="C16" s="20"/>
      <c r="D16" s="21"/>
      <c r="E16" s="132" t="s">
        <v>89</v>
      </c>
      <c r="F16" s="133"/>
      <c r="G16" s="88"/>
      <c r="H16" s="88"/>
      <c r="I16" s="88"/>
      <c r="J16" s="37"/>
    </row>
    <row r="17" spans="1:10" ht="18.75" customHeight="1" x14ac:dyDescent="0.15">
      <c r="A17" s="12" t="s">
        <v>30</v>
      </c>
      <c r="B17" s="30"/>
      <c r="C17" s="12" t="s">
        <v>31</v>
      </c>
      <c r="D17" s="31"/>
      <c r="E17" s="12" t="s">
        <v>32</v>
      </c>
      <c r="F17" s="32"/>
      <c r="G17" s="30"/>
      <c r="H17" s="12" t="s">
        <v>33</v>
      </c>
      <c r="I17" s="33"/>
      <c r="J17" s="34"/>
    </row>
    <row r="18" spans="1:10" ht="18.75" customHeight="1" x14ac:dyDescent="0.15">
      <c r="A18" s="35" t="s">
        <v>102</v>
      </c>
      <c r="B18" s="21"/>
      <c r="C18" s="113" t="s">
        <v>98</v>
      </c>
      <c r="D18" s="114"/>
      <c r="E18" s="115">
        <f>I4</f>
        <v>46106</v>
      </c>
      <c r="F18" s="116"/>
      <c r="G18" s="114"/>
      <c r="H18" s="36" t="s">
        <v>35</v>
      </c>
      <c r="I18" s="134" t="s">
        <v>119</v>
      </c>
      <c r="J18" s="37"/>
    </row>
    <row r="19" spans="1:10" ht="18.75" customHeight="1" x14ac:dyDescent="0.15">
      <c r="A19" s="12" t="s">
        <v>36</v>
      </c>
      <c r="B19" s="30"/>
      <c r="C19" s="12" t="s">
        <v>37</v>
      </c>
      <c r="D19" s="31"/>
      <c r="E19" s="12" t="s">
        <v>38</v>
      </c>
      <c r="F19" s="32"/>
      <c r="G19" s="30"/>
      <c r="H19" s="94" t="s">
        <v>109</v>
      </c>
      <c r="I19" s="95"/>
      <c r="J19" s="96"/>
    </row>
    <row r="20" spans="1:10" ht="18.75" customHeight="1" thickBot="1" x14ac:dyDescent="0.2">
      <c r="A20" s="117" t="s">
        <v>99</v>
      </c>
      <c r="B20" s="118"/>
      <c r="C20" s="117" t="s">
        <v>99</v>
      </c>
      <c r="D20" s="118"/>
      <c r="E20" s="117" t="s">
        <v>100</v>
      </c>
      <c r="F20" s="119"/>
      <c r="G20" s="118"/>
      <c r="H20" s="39" t="s">
        <v>41</v>
      </c>
      <c r="I20" s="97" t="s">
        <v>90</v>
      </c>
      <c r="J20" s="98"/>
    </row>
    <row r="21" spans="1:10" ht="18.75" customHeight="1" thickTop="1" x14ac:dyDescent="0.15">
      <c r="A21" s="128" t="s">
        <v>43</v>
      </c>
      <c r="B21" s="101" t="s">
        <v>44</v>
      </c>
      <c r="C21" s="101"/>
      <c r="D21" s="101"/>
      <c r="E21" s="102" t="s">
        <v>45</v>
      </c>
      <c r="F21" s="103"/>
      <c r="G21" s="104"/>
      <c r="H21" s="129" t="s">
        <v>46</v>
      </c>
      <c r="I21" s="130" t="s">
        <v>47</v>
      </c>
      <c r="J21" s="131" t="s">
        <v>48</v>
      </c>
    </row>
    <row r="22" spans="1:10" ht="18.75" customHeight="1" thickBot="1" x14ac:dyDescent="0.2">
      <c r="A22" s="100"/>
      <c r="B22" s="40" t="s">
        <v>49</v>
      </c>
      <c r="C22" s="40" t="s">
        <v>50</v>
      </c>
      <c r="D22" s="41" t="s">
        <v>51</v>
      </c>
      <c r="E22" s="40" t="s">
        <v>52</v>
      </c>
      <c r="F22" s="40" t="s">
        <v>53</v>
      </c>
      <c r="G22" s="40" t="s">
        <v>54</v>
      </c>
      <c r="H22" s="106"/>
      <c r="I22" s="108"/>
      <c r="J22" s="110"/>
    </row>
    <row r="23" spans="1:10" ht="18.75" customHeight="1" thickTop="1" x14ac:dyDescent="0.15">
      <c r="A23" s="42" t="s">
        <v>55</v>
      </c>
      <c r="B23" s="43" t="s">
        <v>56</v>
      </c>
      <c r="C23" s="44"/>
      <c r="D23" s="45"/>
      <c r="E23" s="46"/>
      <c r="F23" s="46"/>
      <c r="G23" s="46"/>
      <c r="H23" s="89"/>
      <c r="I23" s="44"/>
      <c r="J23" s="47"/>
    </row>
    <row r="24" spans="1:10" ht="18.75" customHeight="1" x14ac:dyDescent="0.15">
      <c r="A24" s="48" t="s">
        <v>55</v>
      </c>
      <c r="B24" s="49" t="s">
        <v>58</v>
      </c>
      <c r="C24" s="50">
        <v>12</v>
      </c>
      <c r="D24" s="50" t="s">
        <v>59</v>
      </c>
      <c r="E24" s="51">
        <v>30</v>
      </c>
      <c r="F24" s="52">
        <v>10</v>
      </c>
      <c r="G24" s="51">
        <v>300</v>
      </c>
      <c r="H24" s="53">
        <v>0.24</v>
      </c>
      <c r="I24" s="90">
        <v>72</v>
      </c>
      <c r="J24" s="53" t="s">
        <v>60</v>
      </c>
    </row>
    <row r="25" spans="1:10" ht="18.75" customHeight="1" x14ac:dyDescent="0.15">
      <c r="A25" s="48" t="s">
        <v>55</v>
      </c>
      <c r="B25" s="49"/>
      <c r="C25" s="54"/>
      <c r="D25" s="55" t="s">
        <v>61</v>
      </c>
      <c r="E25" s="51"/>
      <c r="F25" s="52"/>
      <c r="G25" s="56">
        <v>1</v>
      </c>
      <c r="H25" s="53">
        <v>12</v>
      </c>
      <c r="I25" s="62">
        <v>12</v>
      </c>
      <c r="J25" s="53"/>
    </row>
    <row r="26" spans="1:10" ht="18.75" customHeight="1" x14ac:dyDescent="0.15">
      <c r="A26" s="48"/>
      <c r="B26" s="49"/>
      <c r="C26" s="54"/>
      <c r="D26" s="55"/>
      <c r="E26" s="57"/>
      <c r="F26" s="58"/>
      <c r="G26" s="51"/>
      <c r="H26" s="62"/>
      <c r="I26" s="62"/>
      <c r="J26" s="53"/>
    </row>
    <row r="27" spans="1:10" ht="18.75" customHeight="1" x14ac:dyDescent="0.15">
      <c r="A27" s="48"/>
      <c r="B27" s="49"/>
      <c r="C27" s="54"/>
      <c r="D27" s="55"/>
      <c r="E27" s="51"/>
      <c r="F27" s="52"/>
      <c r="G27" s="56"/>
      <c r="H27" s="62"/>
      <c r="I27" s="62"/>
      <c r="J27" s="53"/>
    </row>
    <row r="28" spans="1:10" ht="18.75" customHeight="1" x14ac:dyDescent="0.15">
      <c r="A28" s="48"/>
      <c r="B28" s="49"/>
      <c r="C28" s="54"/>
      <c r="D28" s="50"/>
      <c r="E28" s="51"/>
      <c r="F28" s="52"/>
      <c r="G28" s="56"/>
      <c r="H28" s="62"/>
      <c r="I28" s="62"/>
      <c r="J28" s="53"/>
    </row>
    <row r="29" spans="1:10" ht="18.75" customHeight="1" x14ac:dyDescent="0.15">
      <c r="A29" s="48"/>
      <c r="B29" s="49"/>
      <c r="C29" s="54"/>
      <c r="D29" s="55"/>
      <c r="E29" s="51"/>
      <c r="F29" s="52"/>
      <c r="G29" s="56"/>
      <c r="H29" s="62"/>
      <c r="I29" s="62"/>
      <c r="J29" s="53"/>
    </row>
    <row r="30" spans="1:10" ht="18.75" customHeight="1" x14ac:dyDescent="0.15">
      <c r="A30" s="48"/>
      <c r="B30" s="49"/>
      <c r="C30" s="54"/>
      <c r="D30" s="55"/>
      <c r="E30" s="51"/>
      <c r="F30" s="52"/>
      <c r="G30" s="56"/>
      <c r="H30" s="53"/>
      <c r="I30" s="62"/>
      <c r="J30" s="53"/>
    </row>
    <row r="31" spans="1:10" ht="18.75" customHeight="1" x14ac:dyDescent="0.15">
      <c r="A31" s="48"/>
      <c r="B31" s="49"/>
      <c r="C31" s="54"/>
      <c r="D31" s="55"/>
      <c r="E31" s="51"/>
      <c r="F31" s="52"/>
      <c r="G31" s="56"/>
      <c r="H31" s="53"/>
      <c r="I31" s="62"/>
      <c r="J31" s="53"/>
    </row>
    <row r="32" spans="1:10" ht="18.75" customHeight="1" x14ac:dyDescent="0.15">
      <c r="A32" s="48"/>
      <c r="B32" s="49"/>
      <c r="C32" s="50"/>
      <c r="D32" s="55"/>
      <c r="E32" s="51"/>
      <c r="F32" s="52"/>
      <c r="G32" s="57"/>
      <c r="H32" s="62"/>
      <c r="I32" s="62"/>
      <c r="J32" s="53"/>
    </row>
    <row r="33" spans="1:10" ht="18.75" customHeight="1" x14ac:dyDescent="0.15">
      <c r="A33" s="48"/>
      <c r="B33" s="49"/>
      <c r="C33" s="50"/>
      <c r="D33" s="55"/>
      <c r="E33" s="51"/>
      <c r="F33" s="52"/>
      <c r="G33" s="57"/>
      <c r="H33" s="62"/>
      <c r="I33" s="62"/>
      <c r="J33" s="53"/>
    </row>
    <row r="34" spans="1:10" ht="18.75" customHeight="1" x14ac:dyDescent="0.15">
      <c r="A34" s="48"/>
      <c r="B34" s="49"/>
      <c r="C34" s="50"/>
      <c r="D34" s="55"/>
      <c r="E34" s="51"/>
      <c r="F34" s="52"/>
      <c r="G34" s="57"/>
      <c r="H34" s="62"/>
      <c r="I34" s="62"/>
      <c r="J34" s="53"/>
    </row>
    <row r="35" spans="1:10" ht="18.75" customHeight="1" x14ac:dyDescent="0.15">
      <c r="A35" s="48"/>
      <c r="B35" s="49"/>
      <c r="C35" s="50"/>
      <c r="D35" s="55"/>
      <c r="E35" s="51"/>
      <c r="F35" s="52"/>
      <c r="G35" s="57"/>
      <c r="H35" s="62"/>
      <c r="I35" s="62"/>
      <c r="J35" s="53"/>
    </row>
    <row r="36" spans="1:10" ht="18.75" customHeight="1" x14ac:dyDescent="0.15">
      <c r="A36" s="48"/>
      <c r="B36" s="49"/>
      <c r="C36" s="54"/>
      <c r="D36" s="50"/>
      <c r="E36" s="51"/>
      <c r="F36" s="52"/>
      <c r="G36" s="56"/>
      <c r="H36" s="62"/>
      <c r="I36" s="90"/>
      <c r="J36" s="53"/>
    </row>
    <row r="37" spans="1:10" ht="18.75" customHeight="1" x14ac:dyDescent="0.15">
      <c r="A37" s="48"/>
      <c r="B37" s="49"/>
      <c r="C37" s="50"/>
      <c r="D37" s="50"/>
      <c r="E37" s="51"/>
      <c r="F37" s="52"/>
      <c r="G37" s="51"/>
      <c r="H37" s="53"/>
      <c r="I37" s="90"/>
      <c r="J37" s="53"/>
    </row>
    <row r="38" spans="1:10" ht="18.75" customHeight="1" x14ac:dyDescent="0.15">
      <c r="A38" s="48"/>
      <c r="B38" s="49"/>
      <c r="C38" s="50"/>
      <c r="D38" s="50"/>
      <c r="E38" s="51"/>
      <c r="F38" s="52"/>
      <c r="G38" s="51"/>
      <c r="H38" s="53"/>
      <c r="I38" s="90"/>
      <c r="J38" s="53"/>
    </row>
    <row r="39" spans="1:10" ht="18.75" customHeight="1" x14ac:dyDescent="0.15">
      <c r="A39" s="48"/>
      <c r="B39" s="49"/>
      <c r="C39" s="50"/>
      <c r="D39" s="50"/>
      <c r="E39" s="51"/>
      <c r="F39" s="52"/>
      <c r="G39" s="51"/>
      <c r="H39" s="53"/>
      <c r="I39" s="90"/>
      <c r="J39" s="53"/>
    </row>
    <row r="40" spans="1:10" ht="18.75" customHeight="1" x14ac:dyDescent="0.15">
      <c r="A40" s="48"/>
      <c r="B40" s="49"/>
      <c r="C40" s="54"/>
      <c r="D40" s="50"/>
      <c r="E40" s="51"/>
      <c r="F40" s="52"/>
      <c r="G40" s="56"/>
      <c r="H40" s="53"/>
      <c r="I40" s="90"/>
      <c r="J40" s="53"/>
    </row>
    <row r="41" spans="1:10" ht="18.75" customHeight="1" x14ac:dyDescent="0.15">
      <c r="A41" s="48"/>
      <c r="B41" s="49"/>
      <c r="C41" s="50"/>
      <c r="D41" s="50"/>
      <c r="E41" s="56"/>
      <c r="F41" s="58"/>
      <c r="G41" s="57"/>
      <c r="H41" s="53"/>
      <c r="I41" s="55"/>
      <c r="J41" s="61"/>
    </row>
    <row r="42" spans="1:10" ht="18.75" customHeight="1" x14ac:dyDescent="0.15">
      <c r="A42" s="48"/>
      <c r="B42" s="49"/>
      <c r="C42" s="50"/>
      <c r="D42" s="50"/>
      <c r="E42" s="57"/>
      <c r="F42" s="57"/>
      <c r="G42" s="57"/>
      <c r="H42" s="53"/>
      <c r="I42" s="55"/>
      <c r="J42" s="61"/>
    </row>
    <row r="43" spans="1:10" ht="18.75" customHeight="1" x14ac:dyDescent="0.15">
      <c r="A43" s="48"/>
      <c r="B43" s="49"/>
      <c r="C43" s="50"/>
      <c r="D43" s="50"/>
      <c r="E43" s="63"/>
      <c r="F43" s="63"/>
      <c r="G43" s="64"/>
      <c r="H43" s="53"/>
      <c r="I43" s="90"/>
      <c r="J43" s="53"/>
    </row>
    <row r="44" spans="1:10" ht="18.75" customHeight="1" x14ac:dyDescent="0.15">
      <c r="A44" s="65"/>
      <c r="B44" s="49"/>
      <c r="C44" s="55"/>
      <c r="D44" s="55"/>
      <c r="E44" s="55"/>
      <c r="F44" s="55"/>
      <c r="G44" s="55"/>
      <c r="H44" s="66"/>
      <c r="I44" s="66"/>
      <c r="J44" s="55"/>
    </row>
    <row r="45" spans="1:10" ht="18.75" customHeight="1" x14ac:dyDescent="0.15">
      <c r="A45" s="65"/>
      <c r="B45" s="49"/>
      <c r="C45" s="55"/>
      <c r="D45" s="55"/>
      <c r="E45" s="55"/>
      <c r="F45" s="55"/>
      <c r="G45" s="55"/>
      <c r="H45" s="66"/>
      <c r="I45" s="66"/>
      <c r="J45" s="55"/>
    </row>
    <row r="46" spans="1:10" ht="18.75" customHeight="1" x14ac:dyDescent="0.15">
      <c r="A46" s="65"/>
      <c r="B46" s="49"/>
      <c r="C46" s="55"/>
      <c r="D46" s="55"/>
      <c r="E46" s="55"/>
      <c r="F46" s="55"/>
      <c r="G46" s="55"/>
      <c r="H46" s="66"/>
      <c r="I46" s="66"/>
      <c r="J46" s="55"/>
    </row>
    <row r="47" spans="1:10" ht="18.75" customHeight="1" x14ac:dyDescent="0.15">
      <c r="A47" s="65"/>
      <c r="B47" s="49"/>
      <c r="C47" s="55"/>
      <c r="D47" s="55"/>
      <c r="E47" s="55"/>
      <c r="F47" s="55"/>
      <c r="G47" s="55"/>
      <c r="H47" s="66"/>
      <c r="I47" s="66"/>
      <c r="J47" s="55"/>
    </row>
    <row r="48" spans="1:10" ht="18.75" customHeight="1" x14ac:dyDescent="0.15">
      <c r="A48" s="65"/>
      <c r="B48" s="49"/>
      <c r="C48" s="55"/>
      <c r="D48" s="55"/>
      <c r="E48" s="55"/>
      <c r="F48" s="55"/>
      <c r="G48" s="55"/>
      <c r="H48" s="66"/>
      <c r="I48" s="66"/>
      <c r="J48" s="55"/>
    </row>
    <row r="49" spans="1:10" ht="18.75" customHeight="1" x14ac:dyDescent="0.15">
      <c r="A49" s="65"/>
      <c r="B49" s="49"/>
      <c r="C49" s="55"/>
      <c r="D49" s="55"/>
      <c r="E49" s="55"/>
      <c r="F49" s="55"/>
      <c r="G49" s="55"/>
      <c r="H49" s="66"/>
      <c r="I49" s="66"/>
      <c r="J49" s="55"/>
    </row>
    <row r="50" spans="1:10" ht="18.75" customHeight="1" x14ac:dyDescent="0.15">
      <c r="A50" s="65"/>
      <c r="B50" s="49"/>
      <c r="C50" s="55"/>
      <c r="D50" s="55"/>
      <c r="E50" s="55"/>
      <c r="F50" s="55"/>
      <c r="G50" s="55"/>
      <c r="H50" s="66"/>
      <c r="I50" s="66"/>
      <c r="J50" s="55"/>
    </row>
    <row r="51" spans="1:10" ht="18.75" customHeight="1" x14ac:dyDescent="0.15">
      <c r="A51" s="65"/>
      <c r="B51" s="49"/>
      <c r="C51" s="55"/>
      <c r="D51" s="55"/>
      <c r="E51" s="55"/>
      <c r="F51" s="55"/>
      <c r="G51" s="55"/>
      <c r="H51" s="66"/>
      <c r="I51" s="66"/>
      <c r="J51" s="55"/>
    </row>
    <row r="52" spans="1:10" ht="18.75" customHeight="1" x14ac:dyDescent="0.15">
      <c r="A52" s="65"/>
      <c r="B52" s="49"/>
      <c r="C52" s="55"/>
      <c r="D52" s="55"/>
      <c r="E52" s="55"/>
      <c r="F52" s="55"/>
      <c r="G52" s="55"/>
      <c r="H52" s="66"/>
      <c r="I52" s="66"/>
      <c r="J52" s="55"/>
    </row>
    <row r="53" spans="1:10" ht="18.75" customHeight="1" x14ac:dyDescent="0.15">
      <c r="A53" s="65"/>
      <c r="B53" s="49"/>
      <c r="C53" s="55"/>
      <c r="D53" s="55"/>
      <c r="E53" s="55"/>
      <c r="F53" s="55"/>
      <c r="G53" s="55"/>
      <c r="H53" s="66"/>
      <c r="I53" s="66"/>
      <c r="J53" s="55"/>
    </row>
    <row r="54" spans="1:10" ht="18.75" customHeight="1" x14ac:dyDescent="0.15">
      <c r="A54" s="65"/>
      <c r="B54" s="49"/>
      <c r="C54" s="55"/>
      <c r="D54" s="55"/>
      <c r="E54" s="55"/>
      <c r="F54" s="55"/>
      <c r="G54" s="55"/>
      <c r="H54" s="66"/>
      <c r="I54" s="66"/>
      <c r="J54" s="55"/>
    </row>
    <row r="55" spans="1:10" ht="18.75" customHeight="1" x14ac:dyDescent="0.15">
      <c r="A55" s="67"/>
      <c r="B55" s="68"/>
      <c r="C55" s="69"/>
      <c r="D55" s="69"/>
      <c r="E55" s="69"/>
      <c r="F55" s="69"/>
      <c r="G55" s="69"/>
      <c r="H55" s="70"/>
      <c r="I55" s="70"/>
      <c r="J55" s="69"/>
    </row>
    <row r="56" spans="1:10" ht="18.75" customHeight="1" x14ac:dyDescent="0.15">
      <c r="F56" s="71"/>
      <c r="G56" s="72" t="s">
        <v>62</v>
      </c>
      <c r="H56" s="73" t="s">
        <v>63</v>
      </c>
      <c r="I56" s="74">
        <v>72</v>
      </c>
    </row>
    <row r="57" spans="1:10" ht="18.75" customHeight="1" x14ac:dyDescent="0.15">
      <c r="A57" s="75" t="s">
        <v>64</v>
      </c>
      <c r="C57" s="6" t="s">
        <v>65</v>
      </c>
      <c r="F57" s="71"/>
      <c r="G57" s="76" t="s">
        <v>91</v>
      </c>
      <c r="H57" s="18"/>
      <c r="I57" s="66" t="s">
        <v>91</v>
      </c>
    </row>
    <row r="58" spans="1:10" ht="18.75" customHeight="1" x14ac:dyDescent="0.15">
      <c r="A58" s="77" t="s">
        <v>66</v>
      </c>
      <c r="C58" s="71" t="s">
        <v>67</v>
      </c>
      <c r="D58" s="2" t="s">
        <v>111</v>
      </c>
      <c r="F58" s="71"/>
      <c r="G58" s="78" t="s">
        <v>91</v>
      </c>
      <c r="H58" s="21"/>
      <c r="I58" s="70" t="s">
        <v>91</v>
      </c>
    </row>
    <row r="59" spans="1:10" ht="18.75" customHeight="1" thickBot="1" x14ac:dyDescent="0.2">
      <c r="A59" s="77" t="s">
        <v>68</v>
      </c>
      <c r="C59" s="79" t="s">
        <v>69</v>
      </c>
      <c r="D59" s="2" t="s">
        <v>112</v>
      </c>
      <c r="G59" s="91" t="s">
        <v>70</v>
      </c>
      <c r="H59" s="91"/>
      <c r="I59" s="80" t="s">
        <v>101</v>
      </c>
    </row>
    <row r="60" spans="1:10" ht="18.75" customHeight="1" thickBot="1" x14ac:dyDescent="0.2">
      <c r="A60" s="77" t="s">
        <v>72</v>
      </c>
      <c r="C60" s="71" t="s">
        <v>73</v>
      </c>
      <c r="D60" s="2" t="s">
        <v>120</v>
      </c>
      <c r="G60" s="126" t="s">
        <v>74</v>
      </c>
      <c r="H60" s="127"/>
      <c r="I60" s="81">
        <v>84</v>
      </c>
    </row>
    <row r="61" spans="1:10" ht="18.75" customHeight="1" x14ac:dyDescent="0.15">
      <c r="A61" s="77" t="s">
        <v>75</v>
      </c>
      <c r="C61" s="71" t="s">
        <v>76</v>
      </c>
      <c r="D61" s="2" t="s">
        <v>110</v>
      </c>
    </row>
    <row r="63" spans="1:10" ht="18.75" customHeight="1" x14ac:dyDescent="0.15">
      <c r="A63" s="77" t="s">
        <v>77</v>
      </c>
      <c r="G63" s="75" t="s">
        <v>85</v>
      </c>
    </row>
    <row r="64" spans="1:10" ht="18.75" customHeight="1" x14ac:dyDescent="0.15">
      <c r="A64" s="82"/>
      <c r="B64" s="83"/>
      <c r="C64" s="83"/>
      <c r="D64" s="84"/>
      <c r="E64" s="85"/>
    </row>
    <row r="65" spans="1:10" ht="18.75" customHeight="1" x14ac:dyDescent="0.15">
      <c r="A65" s="15"/>
      <c r="E65" s="86"/>
    </row>
    <row r="66" spans="1:10" ht="18.75" customHeight="1" x14ac:dyDescent="0.15">
      <c r="A66" s="15"/>
      <c r="E66" s="86"/>
    </row>
    <row r="67" spans="1:10" ht="18.75" customHeight="1" x14ac:dyDescent="0.15">
      <c r="A67" s="24"/>
      <c r="B67" s="7"/>
      <c r="C67" s="7"/>
      <c r="D67" s="87"/>
      <c r="E67" s="38"/>
      <c r="G67" s="7"/>
      <c r="H67" s="7"/>
      <c r="I67" s="7"/>
      <c r="J67" s="7"/>
    </row>
  </sheetData>
  <mergeCells count="20">
    <mergeCell ref="A1:D4"/>
    <mergeCell ref="E1:J2"/>
    <mergeCell ref="F3:J3"/>
    <mergeCell ref="I4:J4"/>
    <mergeCell ref="E16:F16"/>
    <mergeCell ref="C18:D18"/>
    <mergeCell ref="E18:G18"/>
    <mergeCell ref="A20:B20"/>
    <mergeCell ref="C20:D20"/>
    <mergeCell ref="E20:G20"/>
    <mergeCell ref="G59:H59"/>
    <mergeCell ref="G60:H60"/>
    <mergeCell ref="H19:J19"/>
    <mergeCell ref="I20:J20"/>
    <mergeCell ref="A21:A22"/>
    <mergeCell ref="B21:D21"/>
    <mergeCell ref="E21:G21"/>
    <mergeCell ref="H21:H22"/>
    <mergeCell ref="I21:I22"/>
    <mergeCell ref="J21:J22"/>
  </mergeCells>
  <phoneticPr fontId="1"/>
  <conditionalFormatting sqref="A18">
    <cfRule type="expression" dxfId="15" priority="11" stopIfTrue="1">
      <formula>$A$18="(SELECT)"</formula>
    </cfRule>
  </conditionalFormatting>
  <conditionalFormatting sqref="A20:G20 I20:J20 B21 E21">
    <cfRule type="containsBlanks" dxfId="14" priority="12" stopIfTrue="1">
      <formula>LEN(TRIM(A20))=0</formula>
    </cfRule>
  </conditionalFormatting>
  <conditionalFormatting sqref="B5:B7 B8:C9">
    <cfRule type="containsBlanks" dxfId="13" priority="1" stopIfTrue="1">
      <formula>LEN(TRIM(B5))=0</formula>
    </cfRule>
  </conditionalFormatting>
  <conditionalFormatting sqref="B11:B13 B14:C15">
    <cfRule type="containsBlanks" dxfId="12" priority="5" stopIfTrue="1">
      <formula>LEN(TRIM(B11))=0</formula>
    </cfRule>
  </conditionalFormatting>
  <conditionalFormatting sqref="B18">
    <cfRule type="expression" dxfId="11" priority="8" stopIfTrue="1">
      <formula>$A$18="Vessel"</formula>
    </cfRule>
    <cfRule type="expression" dxfId="10" priority="9" stopIfTrue="1">
      <formula>$A$18="AIR"</formula>
    </cfRule>
    <cfRule type="expression" dxfId="9" priority="10" stopIfTrue="1">
      <formula>$A$18="Other"</formula>
    </cfRule>
  </conditionalFormatting>
  <conditionalFormatting sqref="C18:G18">
    <cfRule type="containsBlanks" dxfId="3" priority="3" stopIfTrue="1">
      <formula>LEN(TRIM(C18))=0</formula>
    </cfRule>
  </conditionalFormatting>
  <conditionalFormatting sqref="E16">
    <cfRule type="expression" dxfId="2" priority="4" stopIfTrue="1">
      <formula>$E$16="(SELECT)"</formula>
    </cfRule>
  </conditionalFormatting>
  <conditionalFormatting sqref="H23">
    <cfRule type="expression" dxfId="1" priority="2" stopIfTrue="1">
      <formula>COUNTIF($H23,"*per*")</formula>
    </cfRule>
  </conditionalFormatting>
  <conditionalFormatting sqref="I4:J4">
    <cfRule type="containsBlanks" dxfId="0" priority="6" stopIfTrue="1">
      <formula>LEN(TRIM(I4))=0</formula>
    </cfRule>
  </conditionalFormatting>
  <dataValidations count="1">
    <dataValidation type="list" allowBlank="1" showInputMessage="1" showErrorMessage="1" sqref="A18" xr:uid="{8B53E24F-4FEF-4210-8694-9F85B7DEC36A}">
      <formula1>"(SELECT),FedEx,UPS,DHL,Other,Vessel,AIR"</formula1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scale="67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5</xdr:col>
                    <xdr:colOff>9525</xdr:colOff>
                    <xdr:row>2</xdr:row>
                    <xdr:rowOff>228600</xdr:rowOff>
                  </from>
                  <to>
                    <xdr:col>5</xdr:col>
                    <xdr:colOff>314325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5</xdr:col>
                    <xdr:colOff>914400</xdr:colOff>
                    <xdr:row>2</xdr:row>
                    <xdr:rowOff>228600</xdr:rowOff>
                  </from>
                  <to>
                    <xdr:col>6</xdr:col>
                    <xdr:colOff>276225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stopIfTrue="1" id="{000AC54B-967E-4A4D-8C5B-0E041A9BCC3E}">
            <xm:f>COUNTIF('Invoice(SF米国)'!$H23,"*per*")</xm:f>
            <x14:dxf>
              <font>
                <b/>
                <i val="0"/>
              </font>
            </x14:dxf>
          </x14:cfRule>
          <xm:sqref>B23:G23 I23:J23 B24:J25 B27:J28 B40:J51 B55:J55</xm:sqref>
        </x14:conditionalFormatting>
        <x14:conditionalFormatting xmlns:xm="http://schemas.microsoft.com/office/excel/2006/main">
          <x14:cfRule type="expression" priority="16" stopIfTrue="1" id="{56671E15-FB1A-42EE-BB4D-E5C8526C9601}">
            <xm:f>COUNTIF('Invoice(SF米国)'!#REF!,"*per*")</xm:f>
            <x14:dxf>
              <font>
                <b/>
                <i val="0"/>
              </font>
            </x14:dxf>
          </x14:cfRule>
          <xm:sqref>B26:J26</xm:sqref>
        </x14:conditionalFormatting>
        <x14:conditionalFormatting xmlns:xm="http://schemas.microsoft.com/office/excel/2006/main">
          <x14:cfRule type="expression" priority="7" stopIfTrue="1" id="{2522C256-85F3-42D6-8818-FC7A9BFF4FE6}">
            <xm:f>COUNTIF('Invoice(SF米国)'!$H34,"*per*")</xm:f>
            <x14:dxf>
              <font>
                <b/>
                <i val="0"/>
              </font>
            </x14:dxf>
          </x14:cfRule>
          <xm:sqref>B29:J39</xm:sqref>
        </x14:conditionalFormatting>
        <x14:conditionalFormatting xmlns:xm="http://schemas.microsoft.com/office/excel/2006/main">
          <x14:cfRule type="expression" priority="15" stopIfTrue="1" id="{3AC0CEF7-DF00-49E3-BD70-617029212194}">
            <xm:f>COUNTIF('Invoice(SF米国)'!$H53,"*per*")</xm:f>
            <x14:dxf>
              <font>
                <b/>
                <i val="0"/>
              </font>
            </x14:dxf>
          </x14:cfRule>
          <xm:sqref>B52:J53</xm:sqref>
        </x14:conditionalFormatting>
        <x14:conditionalFormatting xmlns:xm="http://schemas.microsoft.com/office/excel/2006/main">
          <x14:cfRule type="expression" priority="14" stopIfTrue="1" id="{99C2DE4A-90D4-47F7-B2A5-DADCF3D8A322}">
            <xm:f>COUNTIF('Invoice(SF米国)'!#REF!,"*per*")</xm:f>
            <x14:dxf>
              <font>
                <b/>
                <i val="0"/>
              </font>
            </x14:dxf>
          </x14:cfRule>
          <xm:sqref>B54:J54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Invoice(SF米国)</vt:lpstr>
      <vt:lpstr>Invoice(SF大阪)</vt:lpstr>
      <vt:lpstr>'Invoice(SF大阪)'!Print_Area</vt:lpstr>
      <vt:lpstr>'Invoice(SF米国)'!Print_Area</vt:lpstr>
      <vt:lpstr>'Invoice(SF大阪)'!Print_Titles</vt:lpstr>
      <vt:lpstr>'Invoice(SF米国)'!Print_Titles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a.hamada</dc:creator>
  <cp:lastModifiedBy>a.hamada</cp:lastModifiedBy>
  <cp:lastPrinted>2026-03-25T05:28:32Z</cp:lastPrinted>
  <dcterms:created xsi:type="dcterms:W3CDTF">2026-03-24T01:26:41Z</dcterms:created>
  <dcterms:modified xsi:type="dcterms:W3CDTF">2026-03-25T06:12:40Z</dcterms:modified>
</cp:coreProperties>
</file>