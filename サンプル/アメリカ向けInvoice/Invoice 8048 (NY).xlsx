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BF6171D3-0EBE-486E-9ED0-4589F20CBB4E}" xr6:coauthVersionLast="47" xr6:coauthVersionMax="47" xr10:uidLastSave="{00000000-0000-0000-0000-000000000000}"/>
  <bookViews>
    <workbookView xWindow="-120" yWindow="-120" windowWidth="29040" windowHeight="15720" xr2:uid="{421DAC49-3CAD-4DF2-A6DC-5E97CE66BD45}"/>
  </bookViews>
  <sheets>
    <sheet name="Invoice(SF米国)" sheetId="1" r:id="rId1"/>
    <sheet name="Invoice(SF大阪)" sheetId="2" r:id="rId2"/>
    <sheet name="carton mark " sheetId="3" r:id="rId3"/>
  </sheets>
  <externalReferences>
    <externalReference r:id="rId4"/>
  </externalReferences>
  <definedNames>
    <definedName name="_List_Currency">[1]Master!$K$2:$K$5</definedName>
    <definedName name="_List_TradeCondition">[1]Master!$D$2:$D$5</definedName>
    <definedName name="_xlnm.Print_Area" localSheetId="2">'carton mark '!$A$1:$H$13</definedName>
    <definedName name="_xlnm.Print_Area" localSheetId="1">'Invoice(SF大阪)'!$A$1:$K$67</definedName>
    <definedName name="_xlnm.Print_Area" localSheetId="0">'Invoice(SF米国)'!$A$1:$K$67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F18" i="1"/>
  <c r="F18" i="2"/>
</calcChain>
</file>

<file path=xl/sharedStrings.xml><?xml version="1.0" encoding="utf-8"?>
<sst xmlns="http://schemas.openxmlformats.org/spreadsheetml/2006/main" count="235" uniqueCount="133">
  <si>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2"/>
  </si>
  <si>
    <t>Commercial Invoice</t>
    <phoneticPr fontId="2"/>
  </si>
  <si>
    <t>No.</t>
    <phoneticPr fontId="2"/>
  </si>
  <si>
    <t>Issued Office</t>
    <phoneticPr fontId="2"/>
  </si>
  <si>
    <t xml:space="preserve">      NY</t>
    <phoneticPr fontId="2"/>
  </si>
  <si>
    <t xml:space="preserve">      LA</t>
    <phoneticPr fontId="2"/>
  </si>
  <si>
    <t>Issued Date</t>
    <phoneticPr fontId="2"/>
  </si>
  <si>
    <t>Consignee</t>
    <phoneticPr fontId="2"/>
  </si>
  <si>
    <t>LC No.</t>
    <phoneticPr fontId="2"/>
  </si>
  <si>
    <t>Dated</t>
    <phoneticPr fontId="2"/>
  </si>
  <si>
    <t>Expiry Date</t>
    <phoneticPr fontId="2"/>
  </si>
  <si>
    <t>Issuing Bank</t>
    <phoneticPr fontId="2"/>
  </si>
  <si>
    <t>Bank Information</t>
    <phoneticPr fontId="2"/>
  </si>
  <si>
    <t>Name</t>
    <phoneticPr fontId="2"/>
  </si>
  <si>
    <t>Citibank</t>
    <phoneticPr fontId="2"/>
  </si>
  <si>
    <t>Sold to:</t>
    <phoneticPr fontId="2"/>
  </si>
  <si>
    <t>Address</t>
    <phoneticPr fontId="2"/>
  </si>
  <si>
    <t>401 West 42nd St. New York NY 10036</t>
    <phoneticPr fontId="2"/>
  </si>
  <si>
    <t>Beneficiary</t>
    <phoneticPr fontId="2"/>
  </si>
  <si>
    <t>SUN FASHION AMERICA, INC.</t>
    <phoneticPr fontId="2"/>
  </si>
  <si>
    <t>SWIFT Code</t>
    <phoneticPr fontId="2"/>
  </si>
  <si>
    <t>CITIUS33</t>
    <phoneticPr fontId="2"/>
  </si>
  <si>
    <t>Account No.</t>
    <phoneticPr fontId="2"/>
  </si>
  <si>
    <t>687 985 2585</t>
    <phoneticPr fontId="2"/>
  </si>
  <si>
    <t>Routing No.</t>
    <phoneticPr fontId="2"/>
  </si>
  <si>
    <t>021000089  </t>
    <phoneticPr fontId="2"/>
  </si>
  <si>
    <t>Terms/Method of Payment</t>
    <phoneticPr fontId="2"/>
  </si>
  <si>
    <t>Payment Due</t>
    <phoneticPr fontId="2"/>
  </si>
  <si>
    <t>NET 30days</t>
  </si>
  <si>
    <t xml:space="preserve"> By T/T or ACH only (Check:N/A)</t>
    <phoneticPr fontId="2"/>
  </si>
  <si>
    <t>Shipping Method/Vessel#</t>
    <phoneticPr fontId="2"/>
  </si>
  <si>
    <t>Port of Loading</t>
    <phoneticPr fontId="2"/>
  </si>
  <si>
    <t>Sailing on or about</t>
    <phoneticPr fontId="2"/>
  </si>
  <si>
    <t>Customer Reference</t>
    <phoneticPr fontId="2"/>
  </si>
  <si>
    <t>Osaka, Japan</t>
    <phoneticPr fontId="2"/>
  </si>
  <si>
    <t>Courier Ref.</t>
    <phoneticPr fontId="2"/>
  </si>
  <si>
    <t>Port of Discharge</t>
    <phoneticPr fontId="2"/>
  </si>
  <si>
    <t>Place of Delivery</t>
    <phoneticPr fontId="2"/>
  </si>
  <si>
    <t>Final Destination</t>
    <phoneticPr fontId="2"/>
  </si>
  <si>
    <t>New York, U.S.A</t>
    <phoneticPr fontId="2"/>
  </si>
  <si>
    <t>-</t>
    <phoneticPr fontId="2"/>
  </si>
  <si>
    <t>Inco-Terms</t>
    <phoneticPr fontId="2"/>
  </si>
  <si>
    <t>EXW JAPAN</t>
    <phoneticPr fontId="2"/>
  </si>
  <si>
    <t>Order No.</t>
    <phoneticPr fontId="2"/>
  </si>
  <si>
    <t>Description of Goods</t>
    <phoneticPr fontId="2"/>
  </si>
  <si>
    <t>Quantity</t>
    <phoneticPr fontId="2"/>
  </si>
  <si>
    <t>Unit Price</t>
    <phoneticPr fontId="2"/>
  </si>
  <si>
    <t>Amount</t>
    <phoneticPr fontId="2"/>
  </si>
  <si>
    <t>COO</t>
    <phoneticPr fontId="2"/>
  </si>
  <si>
    <t>Article</t>
    <phoneticPr fontId="2"/>
  </si>
  <si>
    <t>Size</t>
    <phoneticPr fontId="2"/>
  </si>
  <si>
    <t>Color</t>
    <phoneticPr fontId="2"/>
  </si>
  <si>
    <t>Put-Up</t>
    <phoneticPr fontId="2"/>
  </si>
  <si>
    <t>Roll</t>
    <phoneticPr fontId="2"/>
  </si>
  <si>
    <t>Total</t>
    <phoneticPr fontId="2"/>
  </si>
  <si>
    <t>R1346112(3/31/2026)</t>
  </si>
  <si>
    <t>Velvet Fabric    P: Cotton 100% G:Rayon 60%, Cotton 40%</t>
  </si>
  <si>
    <t>(per meter)</t>
  </si>
  <si>
    <t>SAG-8730JS</t>
  </si>
  <si>
    <t>108/110cm</t>
  </si>
  <si>
    <t># S12 Black</t>
  </si>
  <si>
    <t>JAPAN</t>
  </si>
  <si>
    <t>Made In</t>
    <phoneticPr fontId="2"/>
  </si>
  <si>
    <t>JAPAN</t>
    <phoneticPr fontId="2"/>
  </si>
  <si>
    <t>[Shipper Information]</t>
    <phoneticPr fontId="2"/>
  </si>
  <si>
    <t>[Packing Details]</t>
  </si>
  <si>
    <t>Sun Fashion Corp.</t>
    <phoneticPr fontId="2"/>
  </si>
  <si>
    <t>21-10 Fukushima 8 Chome, Fukushima-Ku,</t>
    <phoneticPr fontId="2"/>
  </si>
  <si>
    <t>Freight Charge</t>
    <phoneticPr fontId="2"/>
  </si>
  <si>
    <t>Collect</t>
    <phoneticPr fontId="2"/>
  </si>
  <si>
    <t>OSAKA 553-0003, JAPAN</t>
    <phoneticPr fontId="2"/>
  </si>
  <si>
    <t>Size:</t>
  </si>
  <si>
    <t>Grand Total</t>
    <phoneticPr fontId="2"/>
  </si>
  <si>
    <t>TEL: +81 6-6455-2850</t>
    <phoneticPr fontId="2"/>
  </si>
  <si>
    <t>G/Weight:</t>
    <phoneticPr fontId="2"/>
  </si>
  <si>
    <t>Note:</t>
    <phoneticPr fontId="2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</si>
  <si>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</si>
  <si>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2"/>
  </si>
  <si>
    <t>Invoice</t>
    <phoneticPr fontId="2"/>
  </si>
  <si>
    <t xml:space="preserve">      OSAKA</t>
    <phoneticPr fontId="2"/>
  </si>
  <si>
    <t xml:space="preserve">     TOKYO</t>
    <phoneticPr fontId="2"/>
  </si>
  <si>
    <t>MUFG BANK, LTD. OSAKA-NISHI BRANCH</t>
    <phoneticPr fontId="2"/>
  </si>
  <si>
    <t>1-7-17, AWAZA, NISHI-KU, OSAKA, JAPAN</t>
    <phoneticPr fontId="2"/>
  </si>
  <si>
    <t>SUN FASHION CORP.</t>
    <phoneticPr fontId="2"/>
  </si>
  <si>
    <t>BOTKJPJT</t>
    <phoneticPr fontId="2"/>
  </si>
  <si>
    <t>545-9019494</t>
    <phoneticPr fontId="2"/>
  </si>
  <si>
    <t>N/A</t>
    <phoneticPr fontId="2"/>
  </si>
  <si>
    <t>By T/T</t>
    <phoneticPr fontId="2"/>
  </si>
  <si>
    <t>EXW Japan</t>
    <phoneticPr fontId="2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</si>
  <si>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</si>
  <si>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</si>
  <si>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</si>
  <si>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</si>
  <si>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</si>
  <si>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</si>
  <si>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</si>
  <si>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</si>
  <si>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</si>
  <si>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</si>
  <si>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Collect</t>
  </si>
  <si>
    <t>DHL</t>
  </si>
  <si>
    <t>Country:  U.S.A</t>
  </si>
  <si>
    <t>Zip Code:  10013</t>
  </si>
  <si>
    <t>DHL acct#968451274</t>
  </si>
  <si>
    <t>R13 / 13 Rattles Inc.</t>
    <phoneticPr fontId="2"/>
  </si>
  <si>
    <r>
      <t>PO</t>
    </r>
    <r>
      <rPr>
        <sz val="24"/>
        <color indexed="8"/>
        <rFont val="ＭＳ Ｐゴシック"/>
        <family val="3"/>
        <charset val="128"/>
      </rPr>
      <t>　</t>
    </r>
    <r>
      <rPr>
        <sz val="24"/>
        <color indexed="8"/>
        <rFont val="Arial"/>
        <family val="2"/>
      </rPr>
      <t>No.</t>
    </r>
    <phoneticPr fontId="2"/>
  </si>
  <si>
    <t>Article No. :</t>
  </si>
  <si>
    <t>SAG-8730JS</t>
    <phoneticPr fontId="2"/>
  </si>
  <si>
    <t>Country of Origin : JAPAN</t>
    <phoneticPr fontId="2"/>
  </si>
  <si>
    <t>Monique Lhuillier Inc.</t>
    <phoneticPr fontId="2"/>
  </si>
  <si>
    <t>228701 LA</t>
    <phoneticPr fontId="2"/>
  </si>
  <si>
    <t>Country of Origin : Japan</t>
    <phoneticPr fontId="2"/>
  </si>
  <si>
    <t>Carton NO. 2</t>
    <phoneticPr fontId="2"/>
  </si>
  <si>
    <t>R1346112(3/31/2026)</t>
    <phoneticPr fontId="2"/>
  </si>
  <si>
    <t xml:space="preserve">New York City, NY </t>
    <phoneticPr fontId="2"/>
  </si>
  <si>
    <t>Attn:  Matthew Cicalese ( matt@r13.com )</t>
    <phoneticPr fontId="2"/>
  </si>
  <si>
    <t>R13 / 13 Rattles Inc</t>
    <phoneticPr fontId="2"/>
  </si>
  <si>
    <t>MRK</t>
    <phoneticPr fontId="2"/>
  </si>
  <si>
    <t>Attn:  Tiffany</t>
    <phoneticPr fontId="2"/>
  </si>
  <si>
    <t xml:space="preserve">257 W 38th Street, 5R </t>
    <phoneticPr fontId="2"/>
  </si>
  <si>
    <t>New York, NY</t>
    <phoneticPr fontId="2"/>
  </si>
  <si>
    <t>Zip Code:  10018</t>
    <phoneticPr fontId="2"/>
  </si>
  <si>
    <t>TEL:  917-302-6891</t>
    <phoneticPr fontId="2"/>
  </si>
  <si>
    <t>No. of Carton:</t>
    <phoneticPr fontId="2"/>
  </si>
  <si>
    <t xml:space="preserve">  2 cartons</t>
    <phoneticPr fontId="2"/>
  </si>
  <si>
    <t xml:space="preserve"> @ 124  x  34  x  32  cm    x2</t>
    <phoneticPr fontId="2"/>
  </si>
  <si>
    <t>C/T no.</t>
    <phoneticPr fontId="2"/>
  </si>
  <si>
    <t>2</t>
    <phoneticPr fontId="2"/>
  </si>
  <si>
    <t>1</t>
    <phoneticPr fontId="2"/>
  </si>
  <si>
    <t>34 Howard St,  3rd floor</t>
    <phoneticPr fontId="2"/>
  </si>
  <si>
    <t xml:space="preserve">TEL: </t>
    <phoneticPr fontId="2"/>
  </si>
  <si>
    <t xml:space="preserve">  12.7  KG   - C/T no.1</t>
    <phoneticPr fontId="2"/>
  </si>
  <si>
    <t xml:space="preserve">  12.3  KG   - C/T no.2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</si>
</sst>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409]d\-mmm\-yyyy;@"/>
    <numFmt numFmtId="177" formatCode="#,##0&quot;cm&quot;"/>
    <numFmt numFmtId="178" formatCode="General&quot; m&quot;"/>
    <numFmt numFmtId="179" formatCode="General&quot; rolls&quot;"/>
    <numFmt numFmtId="180" formatCode="[$-409]d\-mmm;@"/>
    <numFmt numFmtId="181" formatCode="#,##0.0&quot; m&quot;"/>
    <numFmt numFmtId="182" formatCode="#,##0&quot; rolls&quot;"/>
    <numFmt numFmtId="183" formatCode="&quot;US$&quot;#,##0.00;[Red]\-&quot;US$&quot;#,##0.00"/>
    <numFmt numFmtId="184" formatCode="&quot;US$&quot;#,##0.00"/>
    <numFmt numFmtId="185" formatCode="#,##0\ &quot;cm&quot;"/>
    <numFmt numFmtId="186" formatCode="#,##0&quot; m&quot;"/>
    <numFmt numFmtId="187" formatCode="#,##0&quot; set&quot;"/>
    <numFmt numFmtId="188" formatCode="#,##0&quot;mm&quot;"/>
    <numFmt numFmtId="189" formatCode="&quot;US$&quot;#,##0.00_);\(&quot;US$&quot;#,##0.00\)"/>
    <numFmt numFmtId="190" formatCode="#,##0&quot; pcs&quot;"/>
    <numFmt numFmtId="191" formatCode="General&quot; pcs&quot;"/>
    <numFmt numFmtId="192" formatCode="[$$-409]#,##0.00;[$$-409]#,##0.00"/>
    <numFmt numFmtId="193" formatCode="&quot;US$&quot;#,##0.00;\-&quot;US$&quot;#,##0.00"/>
    <numFmt numFmtId="194" formatCode="#,##0&quot; roll&quot;"/>
    <numFmt numFmtId="195" formatCode="&quot;SF-0&quot;General"/>
    <numFmt numFmtId="196" formatCode="&quot;¥&quot;#,##0.\-;\-&quot;¥&quot;#,##0.\-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sz val="24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24"/>
      <color indexed="8"/>
      <name val="ＭＳ Ｐゴシック"/>
      <family val="3"/>
      <charset val="128"/>
    </font>
    <font>
      <sz val="20"/>
      <color indexed="8"/>
      <name val="Arial"/>
      <family val="2"/>
    </font>
    <font>
      <sz val="20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4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13" fillId="2" borderId="14" xfId="0" applyFont="1" applyFill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3" fillId="0" borderId="4" xfId="0" applyFont="1" applyBorder="1" applyProtection="1">
      <alignment vertical="center"/>
      <protection locked="0"/>
    </xf>
    <xf numFmtId="0" fontId="9" fillId="0" borderId="2" xfId="0" applyFont="1" applyBorder="1" applyProtection="1">
      <alignment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8" fillId="0" borderId="6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9" fillId="0" borderId="8" xfId="0" applyFont="1" applyBorder="1" applyProtection="1">
      <alignment vertical="center"/>
      <protection locked="0"/>
    </xf>
    <xf numFmtId="0" fontId="3" fillId="0" borderId="6" xfId="0" applyFont="1" applyBorder="1" applyProtection="1">
      <alignment vertical="center"/>
      <protection locked="0"/>
    </xf>
    <xf numFmtId="0" fontId="3" fillId="0" borderId="7" xfId="0" applyFont="1" applyBorder="1" applyProtection="1">
      <alignment vertical="center"/>
      <protection locked="0"/>
    </xf>
    <xf numFmtId="0" fontId="3" fillId="0" borderId="9" xfId="0" applyFont="1" applyBorder="1" applyProtection="1">
      <alignment vertical="center"/>
      <protection locked="0"/>
    </xf>
    <xf numFmtId="0" fontId="3" fillId="0" borderId="10" xfId="0" applyFont="1" applyBorder="1" applyProtection="1">
      <alignment vertical="center"/>
      <protection locked="0"/>
    </xf>
    <xf numFmtId="0" fontId="3" fillId="0" borderId="11" xfId="0" applyFont="1" applyBorder="1" applyProtection="1">
      <alignment vertical="center"/>
      <protection locked="0"/>
    </xf>
    <xf numFmtId="0" fontId="3" fillId="0" borderId="12" xfId="0" applyFont="1" applyBorder="1" applyProtection="1">
      <alignment vertical="center"/>
      <protection locked="0"/>
    </xf>
    <xf numFmtId="0" fontId="3" fillId="0" borderId="13" xfId="0" applyFont="1" applyBorder="1" applyProtection="1">
      <alignment vertical="center"/>
      <protection locked="0"/>
    </xf>
    <xf numFmtId="0" fontId="3" fillId="0" borderId="14" xfId="0" applyFont="1" applyBorder="1" applyProtection="1">
      <alignment vertical="center"/>
      <protection locked="0"/>
    </xf>
    <xf numFmtId="0" fontId="3" fillId="0" borderId="15" xfId="0" applyFont="1" applyBorder="1" applyProtection="1">
      <alignment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Protection="1">
      <alignment vertical="center"/>
      <protection locked="0"/>
    </xf>
    <xf numFmtId="0" fontId="3" fillId="0" borderId="16" xfId="0" applyFont="1" applyBorder="1" applyProtection="1">
      <alignment vertical="center"/>
      <protection locked="0"/>
    </xf>
    <xf numFmtId="0" fontId="3" fillId="0" borderId="17" xfId="0" applyFont="1" applyBorder="1" applyProtection="1">
      <alignment vertical="center"/>
      <protection locked="0"/>
    </xf>
    <xf numFmtId="0" fontId="3" fillId="0" borderId="18" xfId="0" applyFont="1" applyBorder="1" applyProtection="1">
      <alignment vertical="center"/>
      <protection locked="0"/>
    </xf>
    <xf numFmtId="0" fontId="3" fillId="0" borderId="19" xfId="0" applyFont="1" applyBorder="1" applyProtection="1">
      <alignment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Protection="1">
      <alignment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9" fillId="0" borderId="7" xfId="0" applyFont="1" applyBorder="1" applyProtection="1">
      <alignment vertical="center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9" fillId="0" borderId="6" xfId="0" applyFont="1" applyBorder="1" applyProtection="1">
      <alignment vertical="center"/>
      <protection locked="0"/>
    </xf>
    <xf numFmtId="0" fontId="14" fillId="0" borderId="6" xfId="0" applyFont="1" applyBorder="1" applyProtection="1">
      <alignment vertical="center"/>
      <protection locked="0"/>
    </xf>
    <xf numFmtId="0" fontId="14" fillId="0" borderId="7" xfId="0" applyFont="1" applyBorder="1" applyProtection="1">
      <alignment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Protection="1">
      <alignment vertical="center"/>
      <protection locked="0"/>
    </xf>
    <xf numFmtId="0" fontId="3" fillId="0" borderId="22" xfId="0" applyFont="1" applyBorder="1" applyAlignment="1" applyProtection="1">
      <alignment horizontal="left" vertical="center"/>
      <protection locked="0"/>
    </xf>
    <xf numFmtId="0" fontId="3" fillId="0" borderId="23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4" xfId="0" applyFont="1" applyBorder="1" applyProtection="1">
      <alignment vertical="center"/>
      <protection locked="0"/>
    </xf>
    <xf numFmtId="0" fontId="9" fillId="0" borderId="28" xfId="0" applyFont="1" applyBorder="1" applyProtection="1">
      <alignment vertic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horizontal="center" vertical="center" wrapText="1"/>
      <protection locked="0"/>
    </xf>
    <xf numFmtId="49" fontId="3" fillId="0" borderId="33" xfId="0" applyNumberFormat="1" applyFont="1" applyBorder="1" applyAlignment="1" applyProtection="1">
      <alignment horizontal="left" vertical="center" shrinkToFit="1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177" fontId="3" fillId="0" borderId="32" xfId="0" applyNumberFormat="1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178" fontId="3" fillId="0" borderId="32" xfId="0" applyNumberFormat="1" applyFont="1" applyBorder="1" applyAlignment="1" applyProtection="1">
      <alignment horizontal="center" vertical="center"/>
      <protection locked="0"/>
    </xf>
    <xf numFmtId="179" fontId="3" fillId="0" borderId="32" xfId="0" applyNumberFormat="1" applyFont="1" applyBorder="1" applyAlignment="1" applyProtection="1">
      <alignment horizontal="center" vertical="center"/>
      <protection locked="0"/>
    </xf>
    <xf numFmtId="180" fontId="3" fillId="0" borderId="32" xfId="0" applyNumberFormat="1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 applyProtection="1">
      <alignment horizontal="left" vertical="center" shrinkToFit="1"/>
      <protection locked="0"/>
    </xf>
    <xf numFmtId="0" fontId="3" fillId="0" borderId="44" xfId="0" applyFont="1" applyBorder="1" applyAlignment="1" applyProtection="1">
      <alignment horizontal="left" vertical="center"/>
      <protection locked="0"/>
    </xf>
    <xf numFmtId="177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81" fontId="3" fillId="0" borderId="44" xfId="0" applyNumberFormat="1" applyFont="1" applyBorder="1" applyAlignment="1" applyProtection="1">
      <alignment horizontal="center" vertical="center"/>
      <protection locked="0"/>
    </xf>
    <xf numFmtId="182" fontId="3" fillId="0" borderId="44" xfId="0" applyNumberFormat="1" applyFont="1" applyBorder="1" applyAlignment="1" applyProtection="1">
      <alignment horizontal="center" vertical="center"/>
      <protection locked="0"/>
    </xf>
    <xf numFmtId="183" fontId="3" fillId="0" borderId="44" xfId="0" applyNumberFormat="1" applyFont="1" applyBorder="1" applyAlignment="1" applyProtection="1">
      <alignment horizontal="center" vertical="center"/>
      <protection locked="0"/>
    </xf>
    <xf numFmtId="184" fontId="3" fillId="0" borderId="44" xfId="0" applyNumberFormat="1" applyFont="1" applyBorder="1" applyAlignment="1" applyProtection="1">
      <alignment horizontal="center" vertical="center"/>
      <protection locked="0"/>
    </xf>
    <xf numFmtId="185" fontId="3" fillId="0" borderId="44" xfId="0" applyNumberFormat="1" applyFont="1" applyBorder="1" applyAlignment="1" applyProtection="1">
      <alignment horizontal="center" vertical="center"/>
      <protection locked="0"/>
    </xf>
    <xf numFmtId="178" fontId="3" fillId="0" borderId="44" xfId="0" applyNumberFormat="1" applyFont="1" applyBorder="1" applyAlignment="1" applyProtection="1">
      <alignment horizontal="center" vertical="center"/>
      <protection locked="0"/>
    </xf>
    <xf numFmtId="179" fontId="3" fillId="0" borderId="44" xfId="0" applyNumberFormat="1" applyFont="1" applyBorder="1" applyAlignment="1" applyProtection="1">
      <alignment horizontal="center" vertical="center"/>
      <protection locked="0"/>
    </xf>
    <xf numFmtId="186" fontId="3" fillId="0" borderId="44" xfId="0" applyNumberFormat="1" applyFont="1" applyBorder="1" applyAlignment="1" applyProtection="1">
      <alignment horizontal="center" vertical="center"/>
      <protection locked="0"/>
    </xf>
    <xf numFmtId="187" fontId="3" fillId="0" borderId="44" xfId="0" applyNumberFormat="1" applyFont="1" applyBorder="1" applyAlignment="1" applyProtection="1">
      <alignment horizontal="center" vertical="center"/>
      <protection locked="0"/>
    </xf>
    <xf numFmtId="188" fontId="3" fillId="0" borderId="44" xfId="0" applyNumberFormat="1" applyFont="1" applyBorder="1" applyAlignment="1" applyProtection="1">
      <alignment horizontal="center" vertical="center"/>
      <protection locked="0"/>
    </xf>
    <xf numFmtId="189" fontId="3" fillId="0" borderId="44" xfId="0" applyNumberFormat="1" applyFont="1" applyBorder="1" applyAlignment="1" applyProtection="1">
      <alignment horizontal="center" vertical="center"/>
      <protection locked="0"/>
    </xf>
    <xf numFmtId="180" fontId="3" fillId="0" borderId="44" xfId="0" applyNumberFormat="1" applyFont="1" applyBorder="1" applyAlignment="1" applyProtection="1">
      <alignment horizontal="center" vertical="center"/>
      <protection locked="0"/>
    </xf>
    <xf numFmtId="190" fontId="3" fillId="0" borderId="44" xfId="0" applyNumberFormat="1" applyFont="1" applyBorder="1" applyAlignment="1" applyProtection="1">
      <alignment horizontal="center" vertical="center"/>
      <protection locked="0"/>
    </xf>
    <xf numFmtId="191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left" vertical="center" shrinkToFit="1"/>
      <protection locked="0"/>
    </xf>
    <xf numFmtId="192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 shrinkToFit="1"/>
      <protection locked="0"/>
    </xf>
    <xf numFmtId="0" fontId="3" fillId="0" borderId="45" xfId="0" applyFont="1" applyBorder="1" applyAlignment="1" applyProtection="1">
      <alignment horizontal="left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92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83" fontId="3" fillId="0" borderId="8" xfId="0" applyNumberFormat="1" applyFont="1" applyBorder="1" applyAlignment="1" applyProtection="1">
      <alignment horizontal="right" vertical="center"/>
      <protection locked="0"/>
    </xf>
    <xf numFmtId="183" fontId="3" fillId="0" borderId="7" xfId="0" applyNumberFormat="1" applyFont="1" applyBorder="1" applyProtection="1">
      <alignment vertical="center"/>
      <protection locked="0"/>
    </xf>
    <xf numFmtId="192" fontId="3" fillId="0" borderId="46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Protection="1">
      <alignment vertical="center"/>
      <protection locked="0"/>
    </xf>
    <xf numFmtId="183" fontId="3" fillId="0" borderId="18" xfId="0" applyNumberFormat="1" applyFont="1" applyBorder="1" applyAlignment="1" applyProtection="1">
      <alignment horizontal="right" vertical="center"/>
      <protection locked="0"/>
    </xf>
    <xf numFmtId="0" fontId="11" fillId="0" borderId="0" xfId="0" applyFont="1" applyProtection="1">
      <alignment vertical="center"/>
      <protection locked="0"/>
    </xf>
    <xf numFmtId="183" fontId="3" fillId="0" borderId="13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92" fontId="3" fillId="0" borderId="3" xfId="0" applyNumberFormat="1" applyFont="1" applyBorder="1" applyAlignment="1" applyProtection="1">
      <alignment horizontal="center" vertical="center"/>
      <protection locked="0"/>
    </xf>
    <xf numFmtId="192" fontId="8" fillId="0" borderId="49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3" fillId="0" borderId="50" xfId="0" applyFont="1" applyBorder="1" applyProtection="1">
      <alignment vertical="center"/>
      <protection locked="0"/>
    </xf>
    <xf numFmtId="0" fontId="3" fillId="0" borderId="50" xfId="0" applyFont="1" applyBorder="1" applyAlignment="1" applyProtection="1">
      <alignment vertical="center" wrapText="1"/>
      <protection locked="0"/>
    </xf>
    <xf numFmtId="0" fontId="3" fillId="0" borderId="1" xfId="0" applyFont="1" applyBorder="1" applyProtection="1">
      <alignment vertical="center"/>
      <protection locked="0"/>
    </xf>
    <xf numFmtId="0" fontId="3" fillId="0" borderId="51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0" fontId="3" fillId="0" borderId="22" xfId="0" applyFont="1" applyBorder="1" applyProtection="1">
      <alignment vertical="center"/>
      <protection locked="0"/>
    </xf>
    <xf numFmtId="184" fontId="3" fillId="0" borderId="32" xfId="0" applyNumberFormat="1" applyFont="1" applyBorder="1" applyAlignment="1" applyProtection="1">
      <alignment horizontal="center" vertical="center"/>
      <protection locked="0"/>
    </xf>
    <xf numFmtId="193" fontId="3" fillId="0" borderId="44" xfId="0" applyNumberFormat="1" applyFont="1" applyBorder="1" applyAlignment="1" applyProtection="1">
      <alignment horizontal="center" vertical="center"/>
      <protection locked="0"/>
    </xf>
    <xf numFmtId="194" fontId="3" fillId="0" borderId="44" xfId="0" applyNumberFormat="1" applyFont="1" applyBorder="1" applyAlignment="1" applyProtection="1">
      <alignment horizontal="center" vertical="center"/>
      <protection locked="0"/>
    </xf>
    <xf numFmtId="195" fontId="17" fillId="0" borderId="0" xfId="1" applyNumberFormat="1" applyFont="1"/>
    <xf numFmtId="196" fontId="17" fillId="0" borderId="0" xfId="1" applyNumberFormat="1" applyFont="1"/>
    <xf numFmtId="0" fontId="18" fillId="0" borderId="0" xfId="1" applyFont="1"/>
    <xf numFmtId="0" fontId="17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49" fontId="20" fillId="0" borderId="0" xfId="1" applyNumberFormat="1" applyFont="1"/>
    <xf numFmtId="0" fontId="16" fillId="0" borderId="0" xfId="1" applyFont="1"/>
    <xf numFmtId="0" fontId="20" fillId="0" borderId="0" xfId="1" applyFont="1" applyAlignment="1">
      <alignment horizontal="center"/>
    </xf>
    <xf numFmtId="0" fontId="21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9" fillId="0" borderId="50" xfId="0" applyFont="1" applyBorder="1" applyProtection="1">
      <alignment vertical="center"/>
      <protection locked="0"/>
    </xf>
    <xf numFmtId="49" fontId="3" fillId="0" borderId="18" xfId="0" applyNumberFormat="1" applyFont="1" applyBorder="1" applyAlignment="1" applyProtection="1">
      <alignment horizontal="center" vertical="center" shrinkToFit="1"/>
      <protection locked="0"/>
    </xf>
    <xf numFmtId="183" fontId="3" fillId="0" borderId="3" xfId="0" applyNumberFormat="1" applyFont="1" applyBorder="1" applyAlignment="1" applyProtection="1">
      <alignment horizontal="center" vertical="center"/>
      <protection locked="0"/>
    </xf>
    <xf numFmtId="183" fontId="8" fillId="0" borderId="47" xfId="0" applyNumberFormat="1" applyFont="1" applyBorder="1" applyAlignment="1" applyProtection="1">
      <alignment horizontal="center" vertical="center"/>
      <protection locked="0"/>
    </xf>
    <xf numFmtId="183" fontId="8" fillId="0" borderId="48" xfId="0" applyNumberFormat="1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Alignment="1" applyProtection="1">
      <alignment horizontal="left" vertical="center"/>
      <protection locked="0"/>
    </xf>
    <xf numFmtId="0" fontId="3" fillId="0" borderId="14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7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center"/>
      <protection locked="0"/>
    </xf>
    <xf numFmtId="176" fontId="3" fillId="0" borderId="4" xfId="0" applyNumberFormat="1" applyFont="1" applyBorder="1" applyAlignment="1" applyProtection="1">
      <alignment horizontal="left" vertical="center"/>
      <protection locked="0"/>
    </xf>
    <xf numFmtId="183" fontId="3" fillId="0" borderId="47" xfId="0" applyNumberFormat="1" applyFont="1" applyBorder="1" applyAlignment="1" applyProtection="1">
      <alignment horizontal="center" vertical="center"/>
      <protection locked="0"/>
    </xf>
    <xf numFmtId="183" fontId="3" fillId="0" borderId="48" xfId="0" applyNumberFormat="1" applyFont="1" applyBorder="1" applyAlignment="1" applyProtection="1">
      <alignment horizontal="center" vertical="center"/>
      <protection locked="0"/>
    </xf>
    <xf numFmtId="0" fontId="8" fillId="0" borderId="52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53" xfId="0" applyFont="1" applyBorder="1" applyAlignment="1" applyProtection="1">
      <alignment horizontal="center" vertical="center"/>
      <protection locked="0"/>
    </xf>
    <xf numFmtId="0" fontId="8" fillId="0" borderId="51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left" vertical="center"/>
      <protection locked="0"/>
    </xf>
    <xf numFmtId="0" fontId="11" fillId="0" borderId="14" xfId="0" applyFont="1" applyBorder="1" applyAlignment="1" applyProtection="1">
      <alignment horizontal="left" vertical="center"/>
      <protection locked="0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20" fillId="0" borderId="0" xfId="1" applyFont="1" applyAlignment="1">
      <alignment horizontal="center"/>
    </xf>
  </cellXfs>
  <cellStyles count="2">
    <cellStyle name="標準" xfId="0" builtinId="0"/>
    <cellStyle name="標準 17" xfId="1" xr:uid="{C1AF5AF9-388E-4565-B9B7-820085E66547}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2</xdr:row>
      <xdr:rowOff>228600</xdr:rowOff>
    </xdr:from>
    <xdr:to>
      <xdr:col>6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4F1CBBD6-F0AD-47F5-AA16-2B987BB31A6F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2</xdr:row>
      <xdr:rowOff>228600</xdr:rowOff>
    </xdr:from>
    <xdr:to>
      <xdr:col>7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DD9E2E7D-4988-4157-80DC-A0496B4D560B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</xdr:row>
          <xdr:rowOff>228600</xdr:rowOff>
        </xdr:from>
        <xdr:to>
          <xdr:col>6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</xdr:row>
          <xdr:rowOff>228600</xdr:rowOff>
        </xdr:from>
        <xdr:to>
          <xdr:col>7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</xdr:row>
          <xdr:rowOff>228600</xdr:rowOff>
        </xdr:from>
        <xdr:to>
          <xdr:col>6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</xdr:row>
          <xdr:rowOff>228600</xdr:rowOff>
        </xdr:from>
        <xdr:to>
          <xdr:col>7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2660-3EC6-4CD3-800C-1B86BBAA92CA}">
  <sheetPr codeName="Sheet4">
    <tabColor theme="5"/>
    <pageSetUpPr fitToPage="1"/>
  </sheetPr>
  <dimension ref="A1:K67"/>
  <sheetViews>
    <sheetView showGridLines="0" tabSelected="1" zoomScale="115" zoomScaleNormal="115" zoomScaleSheetLayoutView="85" workbookViewId="0">
      <selection sqref="A1:E4"/>
    </sheetView>
  </sheetViews>
  <sheetFormatPr defaultColWidth="9" defaultRowHeight="18.75" customHeight="1" x14ac:dyDescent="0.15"/>
  <cols>
    <col min="1" max="1" width="21.75" style="1" customWidth="1"/>
    <col min="2" max="2" width="7.25" style="1" customWidth="1"/>
    <col min="3" max="3" width="22.5" style="1" customWidth="1"/>
    <col min="4" max="4" width="12.375" style="1" customWidth="1"/>
    <col min="5" max="5" width="25" style="2" customWidth="1"/>
    <col min="6" max="8" width="12.375" style="1" customWidth="1"/>
    <col min="9" max="9" width="14.125" style="1" customWidth="1"/>
    <col min="10" max="10" width="12.375" style="1" customWidth="1"/>
    <col min="11" max="11" width="12.5" style="1" customWidth="1"/>
    <col min="12" max="16384" width="9" style="1"/>
  </cols>
  <sheetData>
    <row r="1" spans="1:11" ht="18.75" customHeight="1" x14ac:dyDescent="0.15">
      <c r="A1" s="136" t="s">
        <v>0</v>
      </c>
      <c r="B1" s="136"/>
      <c r="C1" s="137"/>
      <c r="D1" s="137"/>
      <c r="E1" s="137"/>
      <c r="F1" s="139" t="s">
        <v>1</v>
      </c>
      <c r="G1" s="139"/>
      <c r="H1" s="139"/>
      <c r="I1" s="139"/>
      <c r="J1" s="139"/>
      <c r="K1" s="139"/>
    </row>
    <row r="2" spans="1:11" ht="18.75" customHeight="1" x14ac:dyDescent="0.15">
      <c r="A2" s="137"/>
      <c r="B2" s="137"/>
      <c r="C2" s="137"/>
      <c r="D2" s="137"/>
      <c r="E2" s="137"/>
      <c r="F2" s="139"/>
      <c r="G2" s="139"/>
      <c r="H2" s="139"/>
      <c r="I2" s="139"/>
      <c r="J2" s="139"/>
      <c r="K2" s="139"/>
    </row>
    <row r="3" spans="1:11" ht="18.75" customHeight="1" x14ac:dyDescent="0.15">
      <c r="A3" s="137"/>
      <c r="B3" s="137"/>
      <c r="C3" s="137"/>
      <c r="D3" s="137"/>
      <c r="E3" s="137"/>
      <c r="F3" s="5" t="s">
        <v>2</v>
      </c>
      <c r="G3" s="140">
        <v>8048</v>
      </c>
      <c r="H3" s="140"/>
      <c r="I3" s="140"/>
      <c r="J3" s="140"/>
      <c r="K3" s="140"/>
    </row>
    <row r="4" spans="1:11" ht="18.75" customHeight="1" x14ac:dyDescent="0.15">
      <c r="A4" s="138"/>
      <c r="B4" s="138"/>
      <c r="C4" s="138"/>
      <c r="D4" s="138"/>
      <c r="E4" s="138"/>
      <c r="F4" s="6" t="s">
        <v>3</v>
      </c>
      <c r="G4" s="7" t="s">
        <v>4</v>
      </c>
      <c r="H4" s="7" t="s">
        <v>5</v>
      </c>
      <c r="I4" s="6" t="s">
        <v>6</v>
      </c>
      <c r="J4" s="141">
        <v>46115</v>
      </c>
      <c r="K4" s="141"/>
    </row>
    <row r="5" spans="1:11" ht="18.75" customHeight="1" x14ac:dyDescent="0.15">
      <c r="A5" s="8" t="s">
        <v>7</v>
      </c>
      <c r="B5" s="108"/>
      <c r="C5" s="9" t="s">
        <v>117</v>
      </c>
      <c r="D5" s="10"/>
      <c r="E5" s="11"/>
      <c r="F5" s="12" t="s">
        <v>8</v>
      </c>
      <c r="G5" s="13"/>
      <c r="H5" s="14"/>
      <c r="I5" s="12" t="s">
        <v>9</v>
      </c>
      <c r="J5" s="13"/>
      <c r="K5" s="14"/>
    </row>
    <row r="6" spans="1:11" ht="18.75" customHeight="1" x14ac:dyDescent="0.15">
      <c r="A6" s="15"/>
      <c r="C6" s="16" t="s">
        <v>119</v>
      </c>
      <c r="D6" s="17"/>
      <c r="E6" s="18"/>
      <c r="F6" s="19"/>
      <c r="G6" s="20"/>
      <c r="H6" s="21"/>
      <c r="I6" s="19"/>
      <c r="J6" s="20"/>
      <c r="K6" s="21"/>
    </row>
    <row r="7" spans="1:11" ht="18.75" customHeight="1" x14ac:dyDescent="0.15">
      <c r="A7" s="15"/>
      <c r="C7" s="16" t="s">
        <v>120</v>
      </c>
      <c r="D7" s="17"/>
      <c r="E7" s="18"/>
      <c r="F7" s="12" t="s">
        <v>10</v>
      </c>
      <c r="G7" s="13"/>
      <c r="H7" s="14"/>
      <c r="I7" s="12" t="s">
        <v>11</v>
      </c>
      <c r="J7" s="13"/>
      <c r="K7" s="14"/>
    </row>
    <row r="8" spans="1:11" ht="18.75" customHeight="1" x14ac:dyDescent="0.15">
      <c r="A8" s="15"/>
      <c r="C8" s="22" t="s">
        <v>101</v>
      </c>
      <c r="D8" s="17" t="s">
        <v>121</v>
      </c>
      <c r="E8" s="18"/>
      <c r="F8" s="23"/>
      <c r="G8" s="20"/>
      <c r="H8" s="21"/>
      <c r="I8" s="19"/>
      <c r="J8" s="20"/>
      <c r="K8" s="21"/>
    </row>
    <row r="9" spans="1:11" ht="18.75" customHeight="1" x14ac:dyDescent="0.15">
      <c r="A9" s="15"/>
      <c r="C9" s="22" t="s">
        <v>122</v>
      </c>
      <c r="D9" s="17" t="s">
        <v>118</v>
      </c>
      <c r="E9" s="18"/>
      <c r="F9" s="12" t="s">
        <v>12</v>
      </c>
      <c r="G9" s="13"/>
      <c r="H9" s="13"/>
      <c r="I9" s="13"/>
      <c r="J9" s="13"/>
      <c r="K9" s="14"/>
    </row>
    <row r="10" spans="1:11" ht="18.75" customHeight="1" x14ac:dyDescent="0.15">
      <c r="A10" s="24"/>
      <c r="B10" s="7"/>
      <c r="C10" s="25"/>
      <c r="D10" s="20"/>
      <c r="E10" s="21"/>
      <c r="F10" s="26" t="s">
        <v>13</v>
      </c>
      <c r="G10" s="27" t="s">
        <v>14</v>
      </c>
      <c r="H10" s="17"/>
      <c r="I10" s="17"/>
      <c r="J10" s="17"/>
      <c r="K10" s="18"/>
    </row>
    <row r="11" spans="1:11" ht="18.75" customHeight="1" x14ac:dyDescent="0.15">
      <c r="A11" s="8" t="s">
        <v>15</v>
      </c>
      <c r="B11" s="108"/>
      <c r="C11" s="9" t="s">
        <v>116</v>
      </c>
      <c r="D11" s="10"/>
      <c r="E11" s="11"/>
      <c r="F11" s="26" t="s">
        <v>16</v>
      </c>
      <c r="G11" s="27" t="s">
        <v>17</v>
      </c>
      <c r="H11" s="17"/>
      <c r="I11" s="17"/>
      <c r="J11" s="17"/>
      <c r="K11" s="18"/>
    </row>
    <row r="12" spans="1:11" ht="18.75" customHeight="1" x14ac:dyDescent="0.15">
      <c r="A12" s="15"/>
      <c r="C12" s="16" t="s">
        <v>129</v>
      </c>
      <c r="D12" s="17"/>
      <c r="E12" s="18"/>
      <c r="F12" s="26" t="s">
        <v>18</v>
      </c>
      <c r="G12" s="27" t="s">
        <v>19</v>
      </c>
      <c r="H12" s="17"/>
      <c r="I12" s="17"/>
      <c r="J12" s="17"/>
      <c r="K12" s="18"/>
    </row>
    <row r="13" spans="1:11" ht="18.75" customHeight="1" x14ac:dyDescent="0.15">
      <c r="A13" s="15"/>
      <c r="C13" s="16" t="s">
        <v>114</v>
      </c>
      <c r="D13" s="17"/>
      <c r="E13" s="18"/>
      <c r="F13" s="26" t="s">
        <v>20</v>
      </c>
      <c r="G13" s="27" t="s">
        <v>21</v>
      </c>
      <c r="H13" s="17"/>
      <c r="I13" s="17"/>
      <c r="J13" s="17"/>
      <c r="K13" s="18"/>
    </row>
    <row r="14" spans="1:11" ht="18.75" customHeight="1" x14ac:dyDescent="0.15">
      <c r="A14" s="15"/>
      <c r="C14" s="22" t="s">
        <v>101</v>
      </c>
      <c r="D14" s="17" t="s">
        <v>102</v>
      </c>
      <c r="E14" s="18"/>
      <c r="F14" s="19" t="s">
        <v>22</v>
      </c>
      <c r="G14" s="28" t="s">
        <v>23</v>
      </c>
      <c r="H14" s="20"/>
      <c r="I14" s="29" t="s">
        <v>24</v>
      </c>
      <c r="J14" s="29" t="s">
        <v>25</v>
      </c>
      <c r="K14" s="21"/>
    </row>
    <row r="15" spans="1:11" ht="18.75" customHeight="1" x14ac:dyDescent="0.15">
      <c r="A15" s="15"/>
      <c r="C15" s="22" t="s">
        <v>130</v>
      </c>
      <c r="D15" s="17" t="s">
        <v>115</v>
      </c>
      <c r="E15" s="18"/>
      <c r="F15" s="12" t="s">
        <v>26</v>
      </c>
      <c r="G15" s="13"/>
      <c r="H15" s="13"/>
      <c r="I15" s="13"/>
      <c r="J15" s="12" t="s">
        <v>27</v>
      </c>
      <c r="K15" s="14"/>
    </row>
    <row r="16" spans="1:11" ht="18.75" customHeight="1" x14ac:dyDescent="0.15">
      <c r="A16" s="15"/>
      <c r="C16" s="25"/>
      <c r="D16" s="20"/>
      <c r="E16" s="21"/>
      <c r="F16" s="127" t="s">
        <v>28</v>
      </c>
      <c r="G16" s="128"/>
      <c r="H16" s="3" t="s">
        <v>29</v>
      </c>
      <c r="I16" s="4"/>
      <c r="J16" s="23">
        <f>J4+30</f>
        <v>46145</v>
      </c>
      <c r="K16" s="21"/>
    </row>
    <row r="17" spans="1:11" ht="18.75" customHeight="1" x14ac:dyDescent="0.15">
      <c r="A17" s="12" t="s">
        <v>30</v>
      </c>
      <c r="B17" s="33"/>
      <c r="C17" s="31"/>
      <c r="D17" s="12" t="s">
        <v>31</v>
      </c>
      <c r="E17" s="32"/>
      <c r="F17" s="12" t="s">
        <v>32</v>
      </c>
      <c r="G17" s="33"/>
      <c r="H17" s="31"/>
      <c r="I17" s="12" t="s">
        <v>33</v>
      </c>
      <c r="J17" s="34"/>
      <c r="K17" s="35"/>
    </row>
    <row r="18" spans="1:11" ht="18.75" customHeight="1" x14ac:dyDescent="0.15">
      <c r="A18" s="36" t="s">
        <v>100</v>
      </c>
      <c r="B18" s="30"/>
      <c r="C18" s="21"/>
      <c r="D18" s="129" t="s">
        <v>34</v>
      </c>
      <c r="E18" s="130"/>
      <c r="F18" s="131">
        <f>J4</f>
        <v>46115</v>
      </c>
      <c r="G18" s="132"/>
      <c r="H18" s="130"/>
      <c r="I18" s="37" t="s">
        <v>35</v>
      </c>
      <c r="J18" s="38"/>
      <c r="K18" s="39"/>
    </row>
    <row r="19" spans="1:11" ht="18.75" customHeight="1" x14ac:dyDescent="0.15">
      <c r="A19" s="12" t="s">
        <v>36</v>
      </c>
      <c r="B19" s="33"/>
      <c r="C19" s="31"/>
      <c r="D19" s="12" t="s">
        <v>37</v>
      </c>
      <c r="E19" s="32"/>
      <c r="F19" s="12" t="s">
        <v>38</v>
      </c>
      <c r="G19" s="33"/>
      <c r="H19" s="31"/>
      <c r="I19" s="24" t="s">
        <v>103</v>
      </c>
      <c r="J19" s="40"/>
      <c r="K19" s="41"/>
    </row>
    <row r="20" spans="1:11" ht="18.75" customHeight="1" thickBot="1" x14ac:dyDescent="0.2">
      <c r="A20" s="133" t="s">
        <v>39</v>
      </c>
      <c r="B20" s="134"/>
      <c r="C20" s="135"/>
      <c r="D20" s="133" t="s">
        <v>39</v>
      </c>
      <c r="E20" s="135"/>
      <c r="F20" s="133" t="s">
        <v>40</v>
      </c>
      <c r="G20" s="134"/>
      <c r="H20" s="135"/>
      <c r="I20" s="42" t="s">
        <v>41</v>
      </c>
      <c r="J20" s="115" t="s">
        <v>42</v>
      </c>
      <c r="K20" s="116"/>
    </row>
    <row r="21" spans="1:11" ht="18.75" customHeight="1" thickTop="1" x14ac:dyDescent="0.15">
      <c r="A21" s="113" t="s">
        <v>43</v>
      </c>
      <c r="B21" s="113" t="s">
        <v>126</v>
      </c>
      <c r="C21" s="117" t="s">
        <v>44</v>
      </c>
      <c r="D21" s="117"/>
      <c r="E21" s="117"/>
      <c r="F21" s="118" t="s">
        <v>45</v>
      </c>
      <c r="G21" s="119"/>
      <c r="H21" s="120"/>
      <c r="I21" s="121" t="s">
        <v>46</v>
      </c>
      <c r="J21" s="123" t="s">
        <v>47</v>
      </c>
      <c r="K21" s="125" t="s">
        <v>48</v>
      </c>
    </row>
    <row r="22" spans="1:11" ht="18.75" customHeight="1" thickBot="1" x14ac:dyDescent="0.2">
      <c r="A22" s="114"/>
      <c r="B22" s="114"/>
      <c r="C22" s="43" t="s">
        <v>49</v>
      </c>
      <c r="D22" s="43" t="s">
        <v>50</v>
      </c>
      <c r="E22" s="44" t="s">
        <v>51</v>
      </c>
      <c r="F22" s="43" t="s">
        <v>52</v>
      </c>
      <c r="G22" s="43" t="s">
        <v>53</v>
      </c>
      <c r="H22" s="43" t="s">
        <v>54</v>
      </c>
      <c r="I22" s="122"/>
      <c r="J22" s="124"/>
      <c r="K22" s="126"/>
    </row>
    <row r="23" spans="1:11" ht="18.75" customHeight="1" thickTop="1" x14ac:dyDescent="0.15">
      <c r="A23" s="45" t="s">
        <v>113</v>
      </c>
      <c r="B23" s="45"/>
      <c r="C23" s="46" t="s">
        <v>56</v>
      </c>
      <c r="D23" s="47"/>
      <c r="E23" s="48"/>
      <c r="F23" s="49"/>
      <c r="G23" s="50"/>
      <c r="H23" s="49"/>
      <c r="I23" s="48" t="s">
        <v>57</v>
      </c>
      <c r="J23" s="51"/>
      <c r="K23" s="51"/>
    </row>
    <row r="24" spans="1:11" ht="18.75" customHeight="1" x14ac:dyDescent="0.15">
      <c r="A24" s="52" t="s">
        <v>55</v>
      </c>
      <c r="B24" s="109" t="s">
        <v>127</v>
      </c>
      <c r="C24" s="53" t="s">
        <v>58</v>
      </c>
      <c r="D24" s="54" t="s">
        <v>59</v>
      </c>
      <c r="E24" s="55" t="s">
        <v>60</v>
      </c>
      <c r="F24" s="56">
        <v>33.700000000000003</v>
      </c>
      <c r="G24" s="96">
        <v>1</v>
      </c>
      <c r="H24" s="56">
        <v>33.700000000000003</v>
      </c>
      <c r="I24" s="58">
        <v>16.21</v>
      </c>
      <c r="J24" s="59">
        <v>546.27700000000004</v>
      </c>
      <c r="K24" s="59" t="s">
        <v>61</v>
      </c>
    </row>
    <row r="25" spans="1:11" ht="18.75" customHeight="1" x14ac:dyDescent="0.15">
      <c r="A25" s="52" t="s">
        <v>55</v>
      </c>
      <c r="B25" s="109" t="s">
        <v>128</v>
      </c>
      <c r="C25" s="53" t="s">
        <v>58</v>
      </c>
      <c r="D25" s="54" t="s">
        <v>59</v>
      </c>
      <c r="E25" s="55" t="s">
        <v>60</v>
      </c>
      <c r="F25" s="56">
        <v>34.299999999999997</v>
      </c>
      <c r="G25" s="96">
        <v>1</v>
      </c>
      <c r="H25" s="56">
        <v>34.299999999999997</v>
      </c>
      <c r="I25" s="58">
        <v>16.21</v>
      </c>
      <c r="J25" s="59">
        <v>556.00300000000004</v>
      </c>
      <c r="K25" s="59" t="s">
        <v>61</v>
      </c>
    </row>
    <row r="26" spans="1:11" ht="18.75" customHeight="1" x14ac:dyDescent="0.15">
      <c r="A26" s="52"/>
      <c r="B26" s="52"/>
      <c r="C26" s="53"/>
      <c r="D26" s="60"/>
      <c r="E26" s="55"/>
      <c r="F26" s="61"/>
      <c r="G26" s="62"/>
      <c r="H26" s="63"/>
      <c r="I26" s="59"/>
      <c r="J26" s="59"/>
      <c r="K26" s="59"/>
    </row>
    <row r="27" spans="1:11" ht="18.75" customHeight="1" x14ac:dyDescent="0.15">
      <c r="A27" s="52"/>
      <c r="B27" s="52"/>
      <c r="C27" s="53"/>
      <c r="D27" s="60"/>
      <c r="E27" s="55"/>
      <c r="F27" s="63"/>
      <c r="G27" s="57"/>
      <c r="H27" s="64"/>
      <c r="I27" s="59"/>
      <c r="J27" s="59"/>
      <c r="K27" s="59"/>
    </row>
    <row r="28" spans="1:11" ht="18.75" customHeight="1" x14ac:dyDescent="0.15">
      <c r="A28" s="52"/>
      <c r="B28" s="52"/>
      <c r="C28" s="53"/>
      <c r="D28" s="60"/>
      <c r="E28" s="65"/>
      <c r="F28" s="63"/>
      <c r="G28" s="57"/>
      <c r="H28" s="64"/>
      <c r="I28" s="59"/>
      <c r="J28" s="59"/>
      <c r="K28" s="59"/>
    </row>
    <row r="29" spans="1:11" ht="18.75" customHeight="1" x14ac:dyDescent="0.15">
      <c r="A29" s="52"/>
      <c r="B29" s="52"/>
      <c r="C29" s="53"/>
      <c r="D29" s="60"/>
      <c r="E29" s="55"/>
      <c r="F29" s="63"/>
      <c r="G29" s="57"/>
      <c r="H29" s="64"/>
      <c r="I29" s="59"/>
      <c r="J29" s="59"/>
      <c r="K29" s="59"/>
    </row>
    <row r="30" spans="1:11" ht="18.75" customHeight="1" x14ac:dyDescent="0.15">
      <c r="A30" s="52"/>
      <c r="B30" s="52"/>
      <c r="C30" s="53"/>
      <c r="D30" s="60"/>
      <c r="E30" s="55"/>
      <c r="F30" s="63"/>
      <c r="G30" s="57"/>
      <c r="H30" s="64"/>
      <c r="I30" s="59"/>
      <c r="J30" s="59"/>
      <c r="K30" s="59"/>
    </row>
    <row r="31" spans="1:11" ht="18.75" customHeight="1" x14ac:dyDescent="0.15">
      <c r="A31" s="52"/>
      <c r="B31" s="52"/>
      <c r="C31" s="53"/>
      <c r="D31" s="60"/>
      <c r="E31" s="55"/>
      <c r="F31" s="63"/>
      <c r="G31" s="57"/>
      <c r="H31" s="64"/>
      <c r="I31" s="59"/>
      <c r="J31" s="59"/>
      <c r="K31" s="59"/>
    </row>
    <row r="32" spans="1:11" ht="18.75" customHeight="1" x14ac:dyDescent="0.15">
      <c r="A32" s="52"/>
      <c r="B32" s="52"/>
      <c r="C32" s="53"/>
      <c r="D32" s="65"/>
      <c r="E32" s="55"/>
      <c r="F32" s="63"/>
      <c r="G32" s="57"/>
      <c r="H32" s="61"/>
      <c r="I32" s="66"/>
      <c r="J32" s="59"/>
      <c r="K32" s="59"/>
    </row>
    <row r="33" spans="1:11" ht="18.75" customHeight="1" x14ac:dyDescent="0.15">
      <c r="A33" s="52"/>
      <c r="B33" s="52"/>
      <c r="C33" s="53"/>
      <c r="D33" s="65"/>
      <c r="E33" s="55"/>
      <c r="F33" s="63"/>
      <c r="G33" s="57"/>
      <c r="H33" s="61"/>
      <c r="I33" s="66"/>
      <c r="J33" s="59"/>
      <c r="K33" s="59"/>
    </row>
    <row r="34" spans="1:11" ht="18.75" customHeight="1" x14ac:dyDescent="0.15">
      <c r="A34" s="52"/>
      <c r="B34" s="52"/>
      <c r="C34" s="53"/>
      <c r="D34" s="65"/>
      <c r="E34" s="55"/>
      <c r="F34" s="63"/>
      <c r="G34" s="57"/>
      <c r="H34" s="61"/>
      <c r="I34" s="66"/>
      <c r="J34" s="59"/>
      <c r="K34" s="59"/>
    </row>
    <row r="35" spans="1:11" ht="18.75" customHeight="1" x14ac:dyDescent="0.15">
      <c r="A35" s="52"/>
      <c r="B35" s="52"/>
      <c r="C35" s="53"/>
      <c r="D35" s="65"/>
      <c r="E35" s="55"/>
      <c r="F35" s="63"/>
      <c r="G35" s="57"/>
      <c r="H35" s="61"/>
      <c r="I35" s="66"/>
      <c r="J35" s="59"/>
      <c r="K35" s="59"/>
    </row>
    <row r="36" spans="1:11" ht="18.75" customHeight="1" x14ac:dyDescent="0.15">
      <c r="A36" s="52"/>
      <c r="B36" s="52"/>
      <c r="C36" s="53"/>
      <c r="D36" s="60"/>
      <c r="E36" s="65"/>
      <c r="F36" s="63"/>
      <c r="G36" s="57"/>
      <c r="H36" s="64"/>
      <c r="I36" s="59"/>
      <c r="J36" s="59"/>
      <c r="K36" s="59"/>
    </row>
    <row r="37" spans="1:11" ht="18.75" customHeight="1" x14ac:dyDescent="0.15">
      <c r="A37" s="52"/>
      <c r="B37" s="52"/>
      <c r="C37" s="53"/>
      <c r="D37" s="54"/>
      <c r="E37" s="55"/>
      <c r="F37" s="61"/>
      <c r="G37" s="62"/>
      <c r="H37" s="61"/>
      <c r="I37" s="55"/>
      <c r="J37" s="67"/>
      <c r="K37" s="67"/>
    </row>
    <row r="38" spans="1:11" ht="18.75" customHeight="1" x14ac:dyDescent="0.15">
      <c r="A38" s="52"/>
      <c r="B38" s="52"/>
      <c r="C38" s="53"/>
      <c r="D38" s="54"/>
      <c r="E38" s="55"/>
      <c r="F38" s="63"/>
      <c r="G38" s="57"/>
      <c r="H38" s="63"/>
      <c r="I38" s="58"/>
      <c r="J38" s="59"/>
      <c r="K38" s="59"/>
    </row>
    <row r="39" spans="1:11" ht="18.75" customHeight="1" x14ac:dyDescent="0.15">
      <c r="A39" s="52"/>
      <c r="B39" s="52"/>
      <c r="C39" s="53"/>
      <c r="D39" s="54"/>
      <c r="E39" s="55"/>
      <c r="F39" s="61"/>
      <c r="G39" s="62"/>
      <c r="H39" s="61"/>
      <c r="I39" s="55"/>
      <c r="J39" s="67"/>
      <c r="K39" s="67"/>
    </row>
    <row r="40" spans="1:11" ht="18.75" customHeight="1" x14ac:dyDescent="0.15">
      <c r="A40" s="52"/>
      <c r="B40" s="52"/>
      <c r="C40" s="53"/>
      <c r="D40" s="54"/>
      <c r="E40" s="55"/>
      <c r="F40" s="63"/>
      <c r="G40" s="57"/>
      <c r="H40" s="63"/>
      <c r="I40" s="58"/>
      <c r="J40" s="59"/>
      <c r="K40" s="59"/>
    </row>
    <row r="41" spans="1:11" ht="18.75" customHeight="1" x14ac:dyDescent="0.15">
      <c r="A41" s="52"/>
      <c r="B41" s="52"/>
      <c r="C41" s="53"/>
      <c r="D41" s="60"/>
      <c r="E41" s="65"/>
      <c r="F41" s="63"/>
      <c r="G41" s="57"/>
      <c r="H41" s="63"/>
      <c r="I41" s="59"/>
      <c r="J41" s="59"/>
      <c r="K41" s="67"/>
    </row>
    <row r="42" spans="1:11" ht="18.75" customHeight="1" x14ac:dyDescent="0.15">
      <c r="A42" s="52"/>
      <c r="B42" s="52"/>
      <c r="C42" s="53"/>
      <c r="D42" s="60"/>
      <c r="E42" s="65"/>
      <c r="F42" s="63"/>
      <c r="G42" s="57"/>
      <c r="H42" s="64"/>
      <c r="I42" s="59"/>
      <c r="J42" s="59"/>
      <c r="K42" s="67"/>
    </row>
    <row r="43" spans="1:11" ht="18.75" customHeight="1" x14ac:dyDescent="0.15">
      <c r="A43" s="52"/>
      <c r="B43" s="52"/>
      <c r="C43" s="53"/>
      <c r="D43" s="65"/>
      <c r="E43" s="65"/>
      <c r="F43" s="68"/>
      <c r="G43" s="68"/>
      <c r="H43" s="69"/>
      <c r="I43" s="59"/>
      <c r="J43" s="59"/>
      <c r="K43" s="59"/>
    </row>
    <row r="44" spans="1:11" ht="18.75" customHeight="1" x14ac:dyDescent="0.15">
      <c r="A44" s="70"/>
      <c r="B44" s="70"/>
      <c r="C44" s="53"/>
      <c r="D44" s="55"/>
      <c r="E44" s="55"/>
      <c r="F44" s="55"/>
      <c r="G44" s="55"/>
      <c r="H44" s="55"/>
      <c r="I44" s="71"/>
      <c r="J44" s="71"/>
      <c r="K44" s="55"/>
    </row>
    <row r="45" spans="1:11" ht="18.75" customHeight="1" x14ac:dyDescent="0.15">
      <c r="A45" s="70"/>
      <c r="B45" s="70"/>
      <c r="C45" s="53"/>
      <c r="D45" s="55"/>
      <c r="E45" s="55"/>
      <c r="F45" s="55"/>
      <c r="G45" s="55"/>
      <c r="H45" s="55"/>
      <c r="I45" s="71"/>
      <c r="J45" s="71"/>
      <c r="K45" s="55"/>
    </row>
    <row r="46" spans="1:11" ht="18.75" customHeight="1" x14ac:dyDescent="0.15">
      <c r="A46" s="70"/>
      <c r="B46" s="70"/>
      <c r="C46" s="53"/>
      <c r="D46" s="55"/>
      <c r="E46" s="55"/>
      <c r="F46" s="55"/>
      <c r="G46" s="55"/>
      <c r="H46" s="55"/>
      <c r="I46" s="71"/>
      <c r="J46" s="71"/>
      <c r="K46" s="55"/>
    </row>
    <row r="47" spans="1:11" ht="18.75" customHeight="1" x14ac:dyDescent="0.15">
      <c r="A47" s="70"/>
      <c r="B47" s="70"/>
      <c r="C47" s="53"/>
      <c r="D47" s="55"/>
      <c r="E47" s="55"/>
      <c r="F47" s="55"/>
      <c r="G47" s="55"/>
      <c r="H47" s="55"/>
      <c r="I47" s="71"/>
      <c r="J47" s="71"/>
      <c r="K47" s="55"/>
    </row>
    <row r="48" spans="1:11" ht="18.75" customHeight="1" x14ac:dyDescent="0.15">
      <c r="A48" s="70"/>
      <c r="B48" s="70"/>
      <c r="C48" s="53"/>
      <c r="D48" s="55"/>
      <c r="E48" s="55"/>
      <c r="F48" s="55"/>
      <c r="G48" s="55"/>
      <c r="H48" s="55"/>
      <c r="I48" s="71"/>
      <c r="J48" s="71"/>
      <c r="K48" s="55"/>
    </row>
    <row r="49" spans="1:11" ht="18.75" customHeight="1" x14ac:dyDescent="0.15">
      <c r="A49" s="70"/>
      <c r="B49" s="70"/>
      <c r="C49" s="53"/>
      <c r="D49" s="55"/>
      <c r="E49" s="55"/>
      <c r="F49" s="55"/>
      <c r="G49" s="55"/>
      <c r="H49" s="55"/>
      <c r="I49" s="71"/>
      <c r="J49" s="71"/>
      <c r="K49" s="55"/>
    </row>
    <row r="50" spans="1:11" ht="18.75" customHeight="1" x14ac:dyDescent="0.15">
      <c r="A50" s="70"/>
      <c r="B50" s="70"/>
      <c r="C50" s="53"/>
      <c r="D50" s="55"/>
      <c r="E50" s="55"/>
      <c r="F50" s="55"/>
      <c r="G50" s="55"/>
      <c r="H50" s="55"/>
      <c r="I50" s="71"/>
      <c r="J50" s="71"/>
      <c r="K50" s="55"/>
    </row>
    <row r="51" spans="1:11" ht="18.75" customHeight="1" x14ac:dyDescent="0.15">
      <c r="A51" s="70"/>
      <c r="B51" s="70"/>
      <c r="C51" s="53"/>
      <c r="D51" s="55"/>
      <c r="E51" s="55"/>
      <c r="F51" s="55"/>
      <c r="G51" s="55"/>
      <c r="H51" s="55"/>
      <c r="I51" s="71"/>
      <c r="J51" s="71"/>
      <c r="K51" s="55"/>
    </row>
    <row r="52" spans="1:11" ht="18.75" customHeight="1" x14ac:dyDescent="0.15">
      <c r="A52" s="70"/>
      <c r="B52" s="70"/>
      <c r="C52" s="53"/>
      <c r="D52" s="55"/>
      <c r="E52" s="55"/>
      <c r="F52" s="55"/>
      <c r="G52" s="55"/>
      <c r="H52" s="55"/>
      <c r="I52" s="71"/>
      <c r="J52" s="71"/>
      <c r="K52" s="55"/>
    </row>
    <row r="53" spans="1:11" ht="18.75" customHeight="1" x14ac:dyDescent="0.15">
      <c r="A53" s="70"/>
      <c r="B53" s="70"/>
      <c r="C53" s="53"/>
      <c r="D53" s="55"/>
      <c r="E53" s="55"/>
      <c r="F53" s="55"/>
      <c r="G53" s="55"/>
      <c r="H53" s="55"/>
      <c r="I53" s="71"/>
      <c r="J53" s="71"/>
      <c r="K53" s="55"/>
    </row>
    <row r="54" spans="1:11" ht="18.75" customHeight="1" x14ac:dyDescent="0.15">
      <c r="A54" s="70"/>
      <c r="B54" s="70"/>
      <c r="C54" s="53"/>
      <c r="D54" s="55"/>
      <c r="E54" s="55"/>
      <c r="F54" s="55"/>
      <c r="G54" s="55"/>
      <c r="H54" s="55"/>
      <c r="I54" s="71"/>
      <c r="J54" s="71"/>
      <c r="K54" s="55"/>
    </row>
    <row r="55" spans="1:11" ht="18.75" customHeight="1" x14ac:dyDescent="0.15">
      <c r="A55" s="72"/>
      <c r="B55" s="72"/>
      <c r="C55" s="73"/>
      <c r="D55" s="74"/>
      <c r="E55" s="74"/>
      <c r="F55" s="74"/>
      <c r="G55" s="74"/>
      <c r="H55" s="74"/>
      <c r="I55" s="75"/>
      <c r="J55" s="75"/>
      <c r="K55" s="74"/>
    </row>
    <row r="56" spans="1:11" ht="18.75" customHeight="1" x14ac:dyDescent="0.15">
      <c r="G56" s="76"/>
      <c r="H56" s="77" t="s">
        <v>62</v>
      </c>
      <c r="I56" s="78" t="s">
        <v>63</v>
      </c>
      <c r="J56" s="79">
        <v>1102.2800000000002</v>
      </c>
    </row>
    <row r="57" spans="1:11" ht="18.75" customHeight="1" x14ac:dyDescent="0.15">
      <c r="A57" s="80" t="s">
        <v>64</v>
      </c>
      <c r="B57" s="80"/>
      <c r="D57" s="6" t="s">
        <v>65</v>
      </c>
      <c r="G57" s="76"/>
      <c r="H57" s="81" t="s">
        <v>89</v>
      </c>
      <c r="I57" s="18"/>
      <c r="J57" s="71" t="s">
        <v>89</v>
      </c>
    </row>
    <row r="58" spans="1:11" ht="18.75" customHeight="1" x14ac:dyDescent="0.15">
      <c r="A58" s="82" t="s">
        <v>66</v>
      </c>
      <c r="B58" s="82"/>
      <c r="D58" s="76" t="s">
        <v>123</v>
      </c>
      <c r="E58" s="2" t="s">
        <v>124</v>
      </c>
      <c r="G58" s="76"/>
      <c r="H58" s="83" t="s">
        <v>89</v>
      </c>
      <c r="I58" s="21"/>
      <c r="J58" s="75" t="s">
        <v>89</v>
      </c>
    </row>
    <row r="59" spans="1:11" ht="18.75" customHeight="1" thickBot="1" x14ac:dyDescent="0.2">
      <c r="A59" s="82" t="s">
        <v>67</v>
      </c>
      <c r="B59" s="82"/>
      <c r="D59" s="84"/>
      <c r="H59" s="110" t="s">
        <v>68</v>
      </c>
      <c r="I59" s="110"/>
      <c r="J59" s="85" t="s">
        <v>69</v>
      </c>
    </row>
    <row r="60" spans="1:11" ht="18.75" customHeight="1" thickBot="1" x14ac:dyDescent="0.2">
      <c r="A60" s="82" t="s">
        <v>70</v>
      </c>
      <c r="B60" s="82"/>
      <c r="D60" s="76" t="s">
        <v>71</v>
      </c>
      <c r="E60" s="2" t="s">
        <v>125</v>
      </c>
      <c r="H60" s="111" t="s">
        <v>72</v>
      </c>
      <c r="I60" s="112"/>
      <c r="J60" s="86">
        <v>1102.2800000000002</v>
      </c>
    </row>
    <row r="61" spans="1:11" ht="18.75" customHeight="1" x14ac:dyDescent="0.15">
      <c r="A61" s="82" t="s">
        <v>73</v>
      </c>
      <c r="B61" s="82"/>
      <c r="D61" s="76" t="s">
        <v>74</v>
      </c>
      <c r="E61" s="2" t="s">
        <v>131</v>
      </c>
    </row>
    <row r="62" spans="1:11" ht="18.75" customHeight="1" x14ac:dyDescent="0.15">
      <c r="E62" s="2" t="s">
        <v>132</v>
      </c>
    </row>
    <row r="63" spans="1:11" ht="18.75" customHeight="1" x14ac:dyDescent="0.15">
      <c r="A63" s="82" t="s">
        <v>75</v>
      </c>
      <c r="B63" s="82"/>
      <c r="H63" s="80" t="s">
        <v>19</v>
      </c>
    </row>
    <row r="64" spans="1:11" ht="18.75" customHeight="1" x14ac:dyDescent="0.15">
      <c r="A64" s="87"/>
      <c r="B64" s="88"/>
      <c r="C64" s="88"/>
      <c r="D64" s="88"/>
      <c r="E64" s="89"/>
      <c r="F64" s="90"/>
    </row>
    <row r="65" spans="1:11" ht="18.75" customHeight="1" x14ac:dyDescent="0.15">
      <c r="A65" s="15"/>
      <c r="F65" s="91"/>
    </row>
    <row r="66" spans="1:11" ht="18.75" customHeight="1" x14ac:dyDescent="0.15">
      <c r="A66" s="15"/>
      <c r="F66" s="91"/>
    </row>
    <row r="67" spans="1:11" ht="18.75" customHeight="1" x14ac:dyDescent="0.15">
      <c r="A67" s="24"/>
      <c r="B67" s="7"/>
      <c r="C67" s="7"/>
      <c r="D67" s="7"/>
      <c r="E67" s="92"/>
      <c r="F67" s="41"/>
      <c r="H67" s="7"/>
      <c r="I67" s="7"/>
      <c r="J67" s="7"/>
      <c r="K67" s="7"/>
    </row>
  </sheetData>
  <mergeCells count="20">
    <mergeCell ref="A1:E4"/>
    <mergeCell ref="F1:K2"/>
    <mergeCell ref="G3:K3"/>
    <mergeCell ref="J4:K4"/>
    <mergeCell ref="F16:G16"/>
    <mergeCell ref="D18:E18"/>
    <mergeCell ref="F18:H18"/>
    <mergeCell ref="A20:C20"/>
    <mergeCell ref="D20:E20"/>
    <mergeCell ref="F20:H20"/>
    <mergeCell ref="H59:I59"/>
    <mergeCell ref="H60:I60"/>
    <mergeCell ref="B21:B22"/>
    <mergeCell ref="J20:K20"/>
    <mergeCell ref="A21:A22"/>
    <mergeCell ref="C21:E21"/>
    <mergeCell ref="F21:H21"/>
    <mergeCell ref="I21:I22"/>
    <mergeCell ref="J21:J22"/>
    <mergeCell ref="K21:K22"/>
  </mergeCells>
  <phoneticPr fontId="2"/>
  <conditionalFormatting sqref="A18:B18">
    <cfRule type="expression" dxfId="23" priority="6" stopIfTrue="1">
      <formula>$A$18="(SELECT)"</formula>
    </cfRule>
  </conditionalFormatting>
  <conditionalFormatting sqref="C5:C7 C8:D9 C11:C13 C14:D15">
    <cfRule type="containsBlanks" dxfId="22" priority="7" stopIfTrue="1">
      <formula>LEN(TRIM(C5))=0</formula>
    </cfRule>
  </conditionalFormatting>
  <conditionalFormatting sqref="C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C23:K55">
    <cfRule type="expression" dxfId="18" priority="1" stopIfTrue="1">
      <formula>COUNTIF($I23,"*per*")</formula>
    </cfRule>
  </conditionalFormatting>
  <conditionalFormatting sqref="F16">
    <cfRule type="expression" dxfId="17" priority="5" stopIfTrue="1">
      <formula>$F$16="(SELECT)"</formula>
    </cfRule>
  </conditionalFormatting>
  <conditionalFormatting sqref="F18:H18 A20:H20 C21 F21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F16:G16" xr:uid="{79252BE6-A27E-45A6-8435-10B1B5A8DD84}">
      <formula1>"(SELECT),　,Advanced Payment,NET 30days,NET 60days"</formula1>
    </dataValidation>
    <dataValidation type="list" allowBlank="1" showInputMessage="1" showErrorMessage="1" sqref="A18:B18" xr:uid="{5DD5D63F-2FBE-49D2-AA72-C8B015C17135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6</xdr:col>
                    <xdr:colOff>28575</xdr:colOff>
                    <xdr:row>2</xdr:row>
                    <xdr:rowOff>228600</xdr:rowOff>
                  </from>
                  <to>
                    <xdr:col>6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7</xdr:col>
                    <xdr:colOff>19050</xdr:colOff>
                    <xdr:row>2</xdr:row>
                    <xdr:rowOff>228600</xdr:rowOff>
                  </from>
                  <to>
                    <xdr:col>7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53D8-BEB5-48CD-8846-2060BAC43B29}">
  <sheetPr codeName="Sheet5">
    <tabColor theme="4"/>
    <pageSetUpPr fitToPage="1"/>
  </sheetPr>
  <dimension ref="A1:K67"/>
  <sheetViews>
    <sheetView showGridLines="0" topLeftCell="A37" zoomScale="85" zoomScaleNormal="85" zoomScaleSheetLayoutView="85" workbookViewId="0">
      <selection activeCell="E58" sqref="E58:E62"/>
    </sheetView>
  </sheetViews>
  <sheetFormatPr defaultColWidth="9" defaultRowHeight="18.75" customHeight="1" x14ac:dyDescent="0.15"/>
  <cols>
    <col min="1" max="1" width="15" style="1" customWidth="1"/>
    <col min="2" max="2" width="7.875" style="1" customWidth="1"/>
    <col min="3" max="3" width="22.5" style="1" customWidth="1"/>
    <col min="4" max="4" width="12.375" style="1" customWidth="1"/>
    <col min="5" max="5" width="25" style="2" customWidth="1"/>
    <col min="6" max="10" width="12.375" style="1" customWidth="1"/>
    <col min="11" max="11" width="12.5" style="1" customWidth="1"/>
    <col min="12" max="16384" width="9" style="1"/>
  </cols>
  <sheetData>
    <row r="1" spans="1:11" ht="18.75" customHeight="1" x14ac:dyDescent="0.15">
      <c r="A1" s="136" t="s">
        <v>77</v>
      </c>
      <c r="B1" s="136"/>
      <c r="C1" s="137"/>
      <c r="D1" s="137"/>
      <c r="E1" s="137"/>
      <c r="F1" s="139" t="s">
        <v>78</v>
      </c>
      <c r="G1" s="139"/>
      <c r="H1" s="139"/>
      <c r="I1" s="139"/>
      <c r="J1" s="139"/>
      <c r="K1" s="139"/>
    </row>
    <row r="2" spans="1:11" ht="18.75" customHeight="1" x14ac:dyDescent="0.15">
      <c r="A2" s="137"/>
      <c r="B2" s="137"/>
      <c r="C2" s="137"/>
      <c r="D2" s="137"/>
      <c r="E2" s="137"/>
      <c r="F2" s="139"/>
      <c r="G2" s="139"/>
      <c r="H2" s="139"/>
      <c r="I2" s="139"/>
      <c r="J2" s="139"/>
      <c r="K2" s="139"/>
    </row>
    <row r="3" spans="1:11" ht="18.75" customHeight="1" x14ac:dyDescent="0.15">
      <c r="A3" s="137"/>
      <c r="B3" s="137"/>
      <c r="C3" s="137"/>
      <c r="D3" s="137"/>
      <c r="E3" s="137"/>
      <c r="F3" s="5" t="s">
        <v>2</v>
      </c>
      <c r="G3" s="140">
        <v>8048</v>
      </c>
      <c r="H3" s="140"/>
      <c r="I3" s="140"/>
      <c r="J3" s="140"/>
      <c r="K3" s="140"/>
    </row>
    <row r="4" spans="1:11" ht="18.75" customHeight="1" x14ac:dyDescent="0.15">
      <c r="A4" s="138"/>
      <c r="B4" s="138"/>
      <c r="C4" s="138"/>
      <c r="D4" s="138"/>
      <c r="E4" s="138"/>
      <c r="F4" s="6" t="s">
        <v>3</v>
      </c>
      <c r="G4" s="7" t="s">
        <v>79</v>
      </c>
      <c r="H4" s="7" t="s">
        <v>80</v>
      </c>
      <c r="I4" s="6" t="s">
        <v>6</v>
      </c>
      <c r="J4" s="141">
        <v>46115</v>
      </c>
      <c r="K4" s="141"/>
    </row>
    <row r="5" spans="1:11" ht="18.75" customHeight="1" x14ac:dyDescent="0.15">
      <c r="A5" s="8" t="s">
        <v>7</v>
      </c>
      <c r="B5" s="108"/>
      <c r="C5" s="9" t="s">
        <v>117</v>
      </c>
      <c r="D5" s="10"/>
      <c r="E5" s="11"/>
      <c r="F5" s="12" t="s">
        <v>8</v>
      </c>
      <c r="G5" s="13"/>
      <c r="H5" s="14"/>
      <c r="I5" s="12" t="s">
        <v>9</v>
      </c>
      <c r="J5" s="13"/>
      <c r="K5" s="14"/>
    </row>
    <row r="6" spans="1:11" ht="18.75" customHeight="1" x14ac:dyDescent="0.15">
      <c r="A6" s="15"/>
      <c r="C6" s="16" t="s">
        <v>119</v>
      </c>
      <c r="D6" s="17"/>
      <c r="E6" s="18"/>
      <c r="F6" s="19"/>
      <c r="G6" s="20"/>
      <c r="H6" s="21"/>
      <c r="I6" s="19"/>
      <c r="J6" s="20"/>
      <c r="K6" s="21"/>
    </row>
    <row r="7" spans="1:11" ht="18.75" customHeight="1" x14ac:dyDescent="0.15">
      <c r="A7" s="15"/>
      <c r="C7" s="16" t="s">
        <v>120</v>
      </c>
      <c r="D7" s="17"/>
      <c r="E7" s="18"/>
      <c r="F7" s="12" t="s">
        <v>10</v>
      </c>
      <c r="G7" s="13"/>
      <c r="H7" s="14"/>
      <c r="I7" s="12" t="s">
        <v>11</v>
      </c>
      <c r="J7" s="13"/>
      <c r="K7" s="14"/>
    </row>
    <row r="8" spans="1:11" ht="18.75" customHeight="1" x14ac:dyDescent="0.15">
      <c r="A8" s="15"/>
      <c r="C8" s="22" t="s">
        <v>101</v>
      </c>
      <c r="D8" s="17" t="s">
        <v>121</v>
      </c>
      <c r="E8" s="18"/>
      <c r="F8" s="19"/>
      <c r="G8" s="20"/>
      <c r="H8" s="21"/>
      <c r="I8" s="19"/>
      <c r="J8" s="20"/>
      <c r="K8" s="21"/>
    </row>
    <row r="9" spans="1:11" ht="18.75" customHeight="1" x14ac:dyDescent="0.15">
      <c r="A9" s="15"/>
      <c r="C9" s="22" t="s">
        <v>122</v>
      </c>
      <c r="D9" s="17" t="s">
        <v>118</v>
      </c>
      <c r="E9" s="18"/>
      <c r="F9" s="12" t="s">
        <v>12</v>
      </c>
      <c r="G9" s="13"/>
      <c r="H9" s="13"/>
      <c r="I9" s="13"/>
      <c r="J9" s="13"/>
      <c r="K9" s="14"/>
    </row>
    <row r="10" spans="1:11" ht="18.75" customHeight="1" x14ac:dyDescent="0.15">
      <c r="A10" s="24"/>
      <c r="B10" s="7"/>
      <c r="C10" s="25"/>
      <c r="D10" s="20"/>
      <c r="E10" s="21"/>
      <c r="F10" s="26" t="s">
        <v>13</v>
      </c>
      <c r="G10" s="27" t="s">
        <v>81</v>
      </c>
      <c r="H10" s="17"/>
      <c r="I10" s="17"/>
      <c r="J10" s="17"/>
      <c r="K10" s="18"/>
    </row>
    <row r="11" spans="1:11" ht="18.75" customHeight="1" x14ac:dyDescent="0.15">
      <c r="A11" s="8" t="s">
        <v>15</v>
      </c>
      <c r="B11" s="108"/>
      <c r="C11" s="9" t="s">
        <v>76</v>
      </c>
      <c r="D11" s="10"/>
      <c r="E11" s="11"/>
      <c r="F11" s="26" t="s">
        <v>16</v>
      </c>
      <c r="G11" s="27" t="s">
        <v>82</v>
      </c>
      <c r="H11" s="17"/>
      <c r="I11" s="17"/>
      <c r="J11" s="17"/>
      <c r="K11" s="18"/>
    </row>
    <row r="12" spans="1:11" ht="18.75" customHeight="1" x14ac:dyDescent="0.15">
      <c r="A12" s="15"/>
      <c r="C12" s="16" t="s">
        <v>90</v>
      </c>
      <c r="D12" s="17"/>
      <c r="E12" s="18"/>
      <c r="F12" s="26" t="s">
        <v>18</v>
      </c>
      <c r="G12" s="27" t="s">
        <v>83</v>
      </c>
      <c r="H12" s="17"/>
      <c r="I12" s="17"/>
      <c r="J12" s="17"/>
      <c r="K12" s="18"/>
    </row>
    <row r="13" spans="1:11" ht="18.75" customHeight="1" x14ac:dyDescent="0.15">
      <c r="A13" s="15"/>
      <c r="C13" s="16" t="s">
        <v>91</v>
      </c>
      <c r="D13" s="17"/>
      <c r="E13" s="18"/>
      <c r="F13" s="26" t="s">
        <v>20</v>
      </c>
      <c r="G13" s="27" t="s">
        <v>84</v>
      </c>
      <c r="H13" s="17"/>
      <c r="I13" s="17"/>
      <c r="J13" s="17"/>
      <c r="K13" s="18"/>
    </row>
    <row r="14" spans="1:11" ht="18.75" customHeight="1" x14ac:dyDescent="0.15">
      <c r="A14" s="15"/>
      <c r="C14" s="22" t="s">
        <v>92</v>
      </c>
      <c r="D14" s="17" t="s">
        <v>93</v>
      </c>
      <c r="E14" s="18"/>
      <c r="F14" s="19" t="s">
        <v>22</v>
      </c>
      <c r="G14" s="28" t="s">
        <v>85</v>
      </c>
      <c r="H14" s="20"/>
      <c r="I14" s="29" t="s">
        <v>24</v>
      </c>
      <c r="J14" s="29" t="s">
        <v>86</v>
      </c>
      <c r="K14" s="21"/>
    </row>
    <row r="15" spans="1:11" ht="18.75" customHeight="1" x14ac:dyDescent="0.15">
      <c r="A15" s="15"/>
      <c r="C15" s="22" t="s">
        <v>94</v>
      </c>
      <c r="D15" s="17" t="s">
        <v>95</v>
      </c>
      <c r="E15" s="18"/>
      <c r="F15" s="12" t="s">
        <v>26</v>
      </c>
      <c r="G15" s="13"/>
      <c r="H15" s="13"/>
      <c r="I15" s="13"/>
      <c r="J15" s="13"/>
      <c r="K15" s="14"/>
    </row>
    <row r="16" spans="1:11" ht="18.75" customHeight="1" x14ac:dyDescent="0.15">
      <c r="A16" s="15"/>
      <c r="C16" s="25"/>
      <c r="D16" s="20"/>
      <c r="E16" s="21"/>
      <c r="F16" s="148" t="s">
        <v>87</v>
      </c>
      <c r="G16" s="149"/>
      <c r="H16" s="93"/>
      <c r="I16" s="93"/>
      <c r="J16" s="93"/>
      <c r="K16" s="39"/>
    </row>
    <row r="17" spans="1:11" ht="18.75" customHeight="1" x14ac:dyDescent="0.15">
      <c r="A17" s="12" t="s">
        <v>30</v>
      </c>
      <c r="B17" s="33"/>
      <c r="C17" s="31"/>
      <c r="D17" s="12" t="s">
        <v>31</v>
      </c>
      <c r="E17" s="32"/>
      <c r="F17" s="12" t="s">
        <v>32</v>
      </c>
      <c r="G17" s="33"/>
      <c r="H17" s="31"/>
      <c r="I17" s="12" t="s">
        <v>33</v>
      </c>
      <c r="J17" s="34"/>
      <c r="K17" s="35"/>
    </row>
    <row r="18" spans="1:11" ht="18.75" customHeight="1" x14ac:dyDescent="0.15">
      <c r="A18" s="36" t="s">
        <v>100</v>
      </c>
      <c r="B18" s="30"/>
      <c r="C18" s="21"/>
      <c r="D18" s="129" t="s">
        <v>96</v>
      </c>
      <c r="E18" s="130"/>
      <c r="F18" s="131">
        <f>J4</f>
        <v>46115</v>
      </c>
      <c r="G18" s="132"/>
      <c r="H18" s="130"/>
      <c r="I18" s="37" t="s">
        <v>35</v>
      </c>
      <c r="J18" s="38" t="s">
        <v>89</v>
      </c>
      <c r="K18" s="39"/>
    </row>
    <row r="19" spans="1:11" ht="18.75" customHeight="1" x14ac:dyDescent="0.15">
      <c r="A19" s="12" t="s">
        <v>36</v>
      </c>
      <c r="B19" s="33"/>
      <c r="C19" s="31"/>
      <c r="D19" s="12" t="s">
        <v>37</v>
      </c>
      <c r="E19" s="32"/>
      <c r="F19" s="12" t="s">
        <v>38</v>
      </c>
      <c r="G19" s="33"/>
      <c r="H19" s="31"/>
      <c r="I19" s="24" t="s">
        <v>103</v>
      </c>
      <c r="J19" s="40"/>
      <c r="K19" s="41"/>
    </row>
    <row r="20" spans="1:11" ht="18.75" customHeight="1" thickBot="1" x14ac:dyDescent="0.2">
      <c r="A20" s="133" t="s">
        <v>97</v>
      </c>
      <c r="B20" s="134"/>
      <c r="C20" s="135"/>
      <c r="D20" s="133" t="s">
        <v>97</v>
      </c>
      <c r="E20" s="135"/>
      <c r="F20" s="133" t="s">
        <v>98</v>
      </c>
      <c r="G20" s="134"/>
      <c r="H20" s="135"/>
      <c r="I20" s="42" t="s">
        <v>41</v>
      </c>
      <c r="J20" s="115" t="s">
        <v>88</v>
      </c>
      <c r="K20" s="116"/>
    </row>
    <row r="21" spans="1:11" ht="18.75" customHeight="1" thickTop="1" x14ac:dyDescent="0.15">
      <c r="A21" s="144" t="s">
        <v>43</v>
      </c>
      <c r="B21" s="113" t="s">
        <v>126</v>
      </c>
      <c r="C21" s="117" t="s">
        <v>44</v>
      </c>
      <c r="D21" s="117"/>
      <c r="E21" s="117"/>
      <c r="F21" s="118" t="s">
        <v>45</v>
      </c>
      <c r="G21" s="119"/>
      <c r="H21" s="120"/>
      <c r="I21" s="145" t="s">
        <v>46</v>
      </c>
      <c r="J21" s="146" t="s">
        <v>47</v>
      </c>
      <c r="K21" s="147" t="s">
        <v>48</v>
      </c>
    </row>
    <row r="22" spans="1:11" ht="18.75" customHeight="1" thickBot="1" x14ac:dyDescent="0.2">
      <c r="A22" s="114"/>
      <c r="B22" s="114"/>
      <c r="C22" s="43" t="s">
        <v>49</v>
      </c>
      <c r="D22" s="43" t="s">
        <v>50</v>
      </c>
      <c r="E22" s="44" t="s">
        <v>51</v>
      </c>
      <c r="F22" s="43" t="s">
        <v>52</v>
      </c>
      <c r="G22" s="43" t="s">
        <v>53</v>
      </c>
      <c r="H22" s="43" t="s">
        <v>54</v>
      </c>
      <c r="I22" s="122"/>
      <c r="J22" s="124"/>
      <c r="K22" s="126"/>
    </row>
    <row r="23" spans="1:11" ht="18.75" customHeight="1" thickTop="1" x14ac:dyDescent="0.15">
      <c r="A23" s="45" t="s">
        <v>55</v>
      </c>
      <c r="B23" s="45"/>
      <c r="C23" s="46" t="s">
        <v>56</v>
      </c>
      <c r="D23" s="47"/>
      <c r="E23" s="48"/>
      <c r="F23" s="49"/>
      <c r="G23" s="50"/>
      <c r="H23" s="49"/>
      <c r="I23" s="94"/>
      <c r="J23" s="48"/>
      <c r="K23" s="51"/>
    </row>
    <row r="24" spans="1:11" ht="18.75" customHeight="1" x14ac:dyDescent="0.15">
      <c r="A24" s="52" t="s">
        <v>55</v>
      </c>
      <c r="B24" s="109" t="s">
        <v>127</v>
      </c>
      <c r="C24" s="53" t="s">
        <v>58</v>
      </c>
      <c r="D24" s="54" t="s">
        <v>59</v>
      </c>
      <c r="E24" s="55" t="s">
        <v>60</v>
      </c>
      <c r="F24" s="56">
        <v>33.700000000000003</v>
      </c>
      <c r="G24" s="96">
        <v>1</v>
      </c>
      <c r="H24" s="56">
        <v>33.700000000000003</v>
      </c>
      <c r="I24" s="59">
        <v>14.74</v>
      </c>
      <c r="J24" s="95">
        <v>496.74</v>
      </c>
      <c r="K24" s="59" t="s">
        <v>61</v>
      </c>
    </row>
    <row r="25" spans="1:11" ht="18.75" customHeight="1" x14ac:dyDescent="0.15">
      <c r="A25" s="52" t="s">
        <v>55</v>
      </c>
      <c r="B25" s="109" t="s">
        <v>128</v>
      </c>
      <c r="C25" s="53" t="s">
        <v>58</v>
      </c>
      <c r="D25" s="54" t="s">
        <v>59</v>
      </c>
      <c r="E25" s="55" t="s">
        <v>60</v>
      </c>
      <c r="F25" s="56">
        <v>34.299999999999997</v>
      </c>
      <c r="G25" s="96">
        <v>1</v>
      </c>
      <c r="H25" s="56">
        <v>34.299999999999997</v>
      </c>
      <c r="I25" s="59">
        <v>14.74</v>
      </c>
      <c r="J25" s="95">
        <v>505.58</v>
      </c>
      <c r="K25" s="59" t="s">
        <v>61</v>
      </c>
    </row>
    <row r="26" spans="1:11" ht="18.75" customHeight="1" x14ac:dyDescent="0.15">
      <c r="A26" s="52"/>
      <c r="B26" s="52"/>
      <c r="C26" s="53"/>
      <c r="D26" s="60"/>
      <c r="E26" s="55"/>
      <c r="F26" s="61"/>
      <c r="G26" s="62"/>
      <c r="H26" s="63"/>
      <c r="I26" s="58"/>
      <c r="J26" s="58"/>
      <c r="K26" s="59"/>
    </row>
    <row r="27" spans="1:11" ht="18.75" customHeight="1" x14ac:dyDescent="0.15">
      <c r="A27" s="52"/>
      <c r="B27" s="52"/>
      <c r="C27" s="53"/>
      <c r="D27" s="60"/>
      <c r="E27" s="55"/>
      <c r="F27" s="63"/>
      <c r="G27" s="57"/>
      <c r="H27" s="64"/>
      <c r="I27" s="58"/>
      <c r="J27" s="58"/>
      <c r="K27" s="59"/>
    </row>
    <row r="28" spans="1:11" ht="18.75" customHeight="1" x14ac:dyDescent="0.15">
      <c r="A28" s="52"/>
      <c r="B28" s="52"/>
      <c r="C28" s="53"/>
      <c r="D28" s="60"/>
      <c r="E28" s="65"/>
      <c r="F28" s="63"/>
      <c r="G28" s="57"/>
      <c r="H28" s="64"/>
      <c r="I28" s="58"/>
      <c r="J28" s="58"/>
      <c r="K28" s="59"/>
    </row>
    <row r="29" spans="1:11" ht="18.75" customHeight="1" x14ac:dyDescent="0.15">
      <c r="A29" s="52"/>
      <c r="B29" s="52"/>
      <c r="C29" s="53"/>
      <c r="D29" s="60"/>
      <c r="E29" s="55"/>
      <c r="F29" s="63"/>
      <c r="G29" s="57"/>
      <c r="H29" s="64"/>
      <c r="I29" s="58"/>
      <c r="J29" s="58"/>
      <c r="K29" s="59"/>
    </row>
    <row r="30" spans="1:11" ht="18.75" customHeight="1" x14ac:dyDescent="0.15">
      <c r="A30" s="52"/>
      <c r="B30" s="52"/>
      <c r="C30" s="53"/>
      <c r="D30" s="60"/>
      <c r="E30" s="55"/>
      <c r="F30" s="63"/>
      <c r="G30" s="57"/>
      <c r="H30" s="64"/>
      <c r="I30" s="59"/>
      <c r="J30" s="58"/>
      <c r="K30" s="59"/>
    </row>
    <row r="31" spans="1:11" ht="18.75" customHeight="1" x14ac:dyDescent="0.15">
      <c r="A31" s="52"/>
      <c r="B31" s="52"/>
      <c r="C31" s="53"/>
      <c r="D31" s="60"/>
      <c r="E31" s="55"/>
      <c r="F31" s="63"/>
      <c r="G31" s="57"/>
      <c r="H31" s="64"/>
      <c r="I31" s="59"/>
      <c r="J31" s="58"/>
      <c r="K31" s="59"/>
    </row>
    <row r="32" spans="1:11" ht="18.75" customHeight="1" x14ac:dyDescent="0.15">
      <c r="A32" s="52"/>
      <c r="B32" s="52"/>
      <c r="C32" s="53"/>
      <c r="D32" s="65"/>
      <c r="E32" s="55"/>
      <c r="F32" s="63"/>
      <c r="G32" s="57"/>
      <c r="H32" s="61"/>
      <c r="I32" s="58"/>
      <c r="J32" s="58"/>
      <c r="K32" s="59"/>
    </row>
    <row r="33" spans="1:11" ht="18.75" customHeight="1" x14ac:dyDescent="0.15">
      <c r="A33" s="52"/>
      <c r="B33" s="52"/>
      <c r="C33" s="53"/>
      <c r="D33" s="65"/>
      <c r="E33" s="55"/>
      <c r="F33" s="63"/>
      <c r="G33" s="57"/>
      <c r="H33" s="61"/>
      <c r="I33" s="58"/>
      <c r="J33" s="58"/>
      <c r="K33" s="59"/>
    </row>
    <row r="34" spans="1:11" ht="18.75" customHeight="1" x14ac:dyDescent="0.15">
      <c r="A34" s="52"/>
      <c r="B34" s="52"/>
      <c r="C34" s="53"/>
      <c r="D34" s="65"/>
      <c r="E34" s="55"/>
      <c r="F34" s="63"/>
      <c r="G34" s="57"/>
      <c r="H34" s="61"/>
      <c r="I34" s="58"/>
      <c r="J34" s="58"/>
      <c r="K34" s="59"/>
    </row>
    <row r="35" spans="1:11" ht="18.75" customHeight="1" x14ac:dyDescent="0.15">
      <c r="A35" s="52"/>
      <c r="B35" s="52"/>
      <c r="C35" s="53"/>
      <c r="D35" s="65"/>
      <c r="E35" s="55"/>
      <c r="F35" s="63"/>
      <c r="G35" s="57"/>
      <c r="H35" s="61"/>
      <c r="I35" s="58"/>
      <c r="J35" s="58"/>
      <c r="K35" s="59"/>
    </row>
    <row r="36" spans="1:11" ht="18.75" customHeight="1" x14ac:dyDescent="0.15">
      <c r="A36" s="52"/>
      <c r="B36" s="52"/>
      <c r="C36" s="53"/>
      <c r="D36" s="60"/>
      <c r="E36" s="65"/>
      <c r="F36" s="63"/>
      <c r="G36" s="57"/>
      <c r="H36" s="64"/>
      <c r="I36" s="58"/>
      <c r="J36" s="95"/>
      <c r="K36" s="59"/>
    </row>
    <row r="37" spans="1:11" ht="18.75" customHeight="1" x14ac:dyDescent="0.15">
      <c r="A37" s="52"/>
      <c r="B37" s="52"/>
      <c r="C37" s="53"/>
      <c r="D37" s="65"/>
      <c r="E37" s="65"/>
      <c r="F37" s="63"/>
      <c r="G37" s="57"/>
      <c r="H37" s="63"/>
      <c r="I37" s="59"/>
      <c r="J37" s="95"/>
      <c r="K37" s="59"/>
    </row>
    <row r="38" spans="1:11" ht="18.75" customHeight="1" x14ac:dyDescent="0.15">
      <c r="A38" s="52"/>
      <c r="B38" s="52"/>
      <c r="C38" s="53"/>
      <c r="D38" s="65"/>
      <c r="E38" s="65"/>
      <c r="F38" s="63"/>
      <c r="G38" s="57"/>
      <c r="H38" s="63"/>
      <c r="I38" s="59"/>
      <c r="J38" s="95"/>
      <c r="K38" s="59"/>
    </row>
    <row r="39" spans="1:11" ht="18.75" customHeight="1" x14ac:dyDescent="0.15">
      <c r="A39" s="52"/>
      <c r="B39" s="52"/>
      <c r="C39" s="53"/>
      <c r="D39" s="65"/>
      <c r="E39" s="65"/>
      <c r="F39" s="63"/>
      <c r="G39" s="57"/>
      <c r="H39" s="63"/>
      <c r="I39" s="59"/>
      <c r="J39" s="95"/>
      <c r="K39" s="59"/>
    </row>
    <row r="40" spans="1:11" ht="18.75" customHeight="1" x14ac:dyDescent="0.15">
      <c r="A40" s="52"/>
      <c r="B40" s="52"/>
      <c r="C40" s="53"/>
      <c r="D40" s="60"/>
      <c r="E40" s="65"/>
      <c r="F40" s="63"/>
      <c r="G40" s="57"/>
      <c r="H40" s="64"/>
      <c r="I40" s="59"/>
      <c r="J40" s="95"/>
      <c r="K40" s="59"/>
    </row>
    <row r="41" spans="1:11" ht="18.75" customHeight="1" x14ac:dyDescent="0.15">
      <c r="A41" s="52"/>
      <c r="B41" s="52"/>
      <c r="C41" s="53"/>
      <c r="D41" s="65"/>
      <c r="E41" s="65"/>
      <c r="F41" s="64"/>
      <c r="G41" s="62"/>
      <c r="H41" s="61"/>
      <c r="I41" s="59"/>
      <c r="J41" s="55"/>
      <c r="K41" s="67"/>
    </row>
    <row r="42" spans="1:11" ht="18.75" customHeight="1" x14ac:dyDescent="0.15">
      <c r="A42" s="52"/>
      <c r="B42" s="52"/>
      <c r="C42" s="53"/>
      <c r="D42" s="65"/>
      <c r="E42" s="65"/>
      <c r="F42" s="61"/>
      <c r="G42" s="61"/>
      <c r="H42" s="61"/>
      <c r="I42" s="59"/>
      <c r="J42" s="55"/>
      <c r="K42" s="67"/>
    </row>
    <row r="43" spans="1:11" ht="18.75" customHeight="1" x14ac:dyDescent="0.15">
      <c r="A43" s="52"/>
      <c r="B43" s="52"/>
      <c r="C43" s="53"/>
      <c r="D43" s="65"/>
      <c r="E43" s="65"/>
      <c r="F43" s="68"/>
      <c r="G43" s="68"/>
      <c r="H43" s="69"/>
      <c r="I43" s="59"/>
      <c r="J43" s="95"/>
      <c r="K43" s="59"/>
    </row>
    <row r="44" spans="1:11" ht="18.75" customHeight="1" x14ac:dyDescent="0.15">
      <c r="A44" s="70"/>
      <c r="B44" s="70"/>
      <c r="C44" s="53"/>
      <c r="D44" s="55"/>
      <c r="E44" s="55"/>
      <c r="F44" s="55"/>
      <c r="G44" s="55"/>
      <c r="H44" s="55"/>
      <c r="I44" s="71"/>
      <c r="J44" s="71"/>
      <c r="K44" s="55"/>
    </row>
    <row r="45" spans="1:11" ht="18.75" customHeight="1" x14ac:dyDescent="0.15">
      <c r="A45" s="70"/>
      <c r="B45" s="70"/>
      <c r="C45" s="53"/>
      <c r="D45" s="55"/>
      <c r="E45" s="55"/>
      <c r="F45" s="55"/>
      <c r="G45" s="55"/>
      <c r="H45" s="55"/>
      <c r="I45" s="71"/>
      <c r="J45" s="71"/>
      <c r="K45" s="55"/>
    </row>
    <row r="46" spans="1:11" ht="18.75" customHeight="1" x14ac:dyDescent="0.15">
      <c r="A46" s="70"/>
      <c r="B46" s="70"/>
      <c r="C46" s="53"/>
      <c r="D46" s="55"/>
      <c r="E46" s="55"/>
      <c r="F46" s="55"/>
      <c r="G46" s="55"/>
      <c r="H46" s="55"/>
      <c r="I46" s="71"/>
      <c r="J46" s="71"/>
      <c r="K46" s="55"/>
    </row>
    <row r="47" spans="1:11" ht="18.75" customHeight="1" x14ac:dyDescent="0.15">
      <c r="A47" s="70"/>
      <c r="B47" s="70"/>
      <c r="C47" s="53"/>
      <c r="D47" s="55"/>
      <c r="E47" s="55"/>
      <c r="F47" s="55"/>
      <c r="G47" s="55"/>
      <c r="H47" s="55"/>
      <c r="I47" s="71"/>
      <c r="J47" s="71"/>
      <c r="K47" s="55"/>
    </row>
    <row r="48" spans="1:11" ht="18.75" customHeight="1" x14ac:dyDescent="0.15">
      <c r="A48" s="70"/>
      <c r="B48" s="70"/>
      <c r="C48" s="53"/>
      <c r="D48" s="55"/>
      <c r="E48" s="55"/>
      <c r="F48" s="55"/>
      <c r="G48" s="55"/>
      <c r="H48" s="55"/>
      <c r="I48" s="71"/>
      <c r="J48" s="71"/>
      <c r="K48" s="55"/>
    </row>
    <row r="49" spans="1:11" ht="18.75" customHeight="1" x14ac:dyDescent="0.15">
      <c r="A49" s="70"/>
      <c r="B49" s="70"/>
      <c r="C49" s="53"/>
      <c r="D49" s="55"/>
      <c r="E49" s="55"/>
      <c r="F49" s="55"/>
      <c r="G49" s="55"/>
      <c r="H49" s="55"/>
      <c r="I49" s="71"/>
      <c r="J49" s="71"/>
      <c r="K49" s="55"/>
    </row>
    <row r="50" spans="1:11" ht="18.75" customHeight="1" x14ac:dyDescent="0.15">
      <c r="A50" s="70"/>
      <c r="B50" s="70"/>
      <c r="C50" s="53"/>
      <c r="D50" s="55"/>
      <c r="E50" s="55"/>
      <c r="F50" s="55"/>
      <c r="G50" s="55"/>
      <c r="H50" s="55"/>
      <c r="I50" s="71"/>
      <c r="J50" s="71"/>
      <c r="K50" s="55"/>
    </row>
    <row r="51" spans="1:11" ht="18.75" customHeight="1" x14ac:dyDescent="0.15">
      <c r="A51" s="70"/>
      <c r="B51" s="70"/>
      <c r="C51" s="53"/>
      <c r="D51" s="55"/>
      <c r="E51" s="55"/>
      <c r="F51" s="55"/>
      <c r="G51" s="55"/>
      <c r="H51" s="55"/>
      <c r="I51" s="71"/>
      <c r="J51" s="71"/>
      <c r="K51" s="55"/>
    </row>
    <row r="52" spans="1:11" ht="18.75" customHeight="1" x14ac:dyDescent="0.15">
      <c r="A52" s="70"/>
      <c r="B52" s="70"/>
      <c r="C52" s="53"/>
      <c r="D52" s="55"/>
      <c r="E52" s="55"/>
      <c r="F52" s="55"/>
      <c r="G52" s="55"/>
      <c r="H52" s="55"/>
      <c r="I52" s="71"/>
      <c r="J52" s="71"/>
      <c r="K52" s="55"/>
    </row>
    <row r="53" spans="1:11" ht="18.75" customHeight="1" x14ac:dyDescent="0.15">
      <c r="A53" s="70"/>
      <c r="B53" s="70"/>
      <c r="C53" s="53"/>
      <c r="D53" s="55"/>
      <c r="E53" s="55"/>
      <c r="F53" s="55"/>
      <c r="G53" s="55"/>
      <c r="H53" s="55"/>
      <c r="I53" s="71"/>
      <c r="J53" s="71"/>
      <c r="K53" s="55"/>
    </row>
    <row r="54" spans="1:11" ht="18.75" customHeight="1" x14ac:dyDescent="0.15">
      <c r="A54" s="70"/>
      <c r="B54" s="70"/>
      <c r="C54" s="53"/>
      <c r="D54" s="55"/>
      <c r="E54" s="55"/>
      <c r="F54" s="55"/>
      <c r="G54" s="55"/>
      <c r="H54" s="55"/>
      <c r="I54" s="71"/>
      <c r="J54" s="71"/>
      <c r="K54" s="55"/>
    </row>
    <row r="55" spans="1:11" ht="18.75" customHeight="1" x14ac:dyDescent="0.15">
      <c r="A55" s="72"/>
      <c r="B55" s="72"/>
      <c r="C55" s="73"/>
      <c r="D55" s="74"/>
      <c r="E55" s="74"/>
      <c r="F55" s="74"/>
      <c r="G55" s="74"/>
      <c r="H55" s="74"/>
      <c r="I55" s="75"/>
      <c r="J55" s="75"/>
      <c r="K55" s="74"/>
    </row>
    <row r="56" spans="1:11" ht="18.75" customHeight="1" x14ac:dyDescent="0.15">
      <c r="G56" s="76"/>
      <c r="H56" s="77" t="s">
        <v>62</v>
      </c>
      <c r="I56" s="78" t="s">
        <v>63</v>
      </c>
      <c r="J56" s="79">
        <v>1002.3199999999999</v>
      </c>
    </row>
    <row r="57" spans="1:11" ht="18.75" customHeight="1" x14ac:dyDescent="0.15">
      <c r="A57" s="80" t="s">
        <v>64</v>
      </c>
      <c r="B57" s="80"/>
      <c r="D57" s="6" t="s">
        <v>65</v>
      </c>
      <c r="G57" s="76"/>
      <c r="H57" s="81" t="s">
        <v>89</v>
      </c>
      <c r="I57" s="18"/>
      <c r="J57" s="71" t="s">
        <v>89</v>
      </c>
    </row>
    <row r="58" spans="1:11" ht="18.75" customHeight="1" x14ac:dyDescent="0.15">
      <c r="A58" s="82" t="s">
        <v>66</v>
      </c>
      <c r="B58" s="82"/>
      <c r="D58" s="76" t="s">
        <v>123</v>
      </c>
      <c r="E58" s="2" t="s">
        <v>124</v>
      </c>
      <c r="G58" s="76"/>
      <c r="H58" s="83" t="s">
        <v>89</v>
      </c>
      <c r="I58" s="21"/>
      <c r="J58" s="75" t="s">
        <v>89</v>
      </c>
    </row>
    <row r="59" spans="1:11" ht="18.75" customHeight="1" thickBot="1" x14ac:dyDescent="0.2">
      <c r="A59" s="82" t="s">
        <v>67</v>
      </c>
      <c r="B59" s="82"/>
      <c r="D59" s="84"/>
      <c r="H59" s="110" t="s">
        <v>68</v>
      </c>
      <c r="I59" s="110"/>
      <c r="J59" s="85" t="s">
        <v>99</v>
      </c>
    </row>
    <row r="60" spans="1:11" ht="18.75" customHeight="1" thickBot="1" x14ac:dyDescent="0.2">
      <c r="A60" s="82" t="s">
        <v>70</v>
      </c>
      <c r="B60" s="82"/>
      <c r="D60" s="76" t="s">
        <v>71</v>
      </c>
      <c r="E60" s="2" t="s">
        <v>125</v>
      </c>
      <c r="H60" s="142" t="s">
        <v>72</v>
      </c>
      <c r="I60" s="143"/>
      <c r="J60" s="86">
        <v>1002.3199999999999</v>
      </c>
    </row>
    <row r="61" spans="1:11" ht="18.75" customHeight="1" x14ac:dyDescent="0.15">
      <c r="A61" s="82" t="s">
        <v>73</v>
      </c>
      <c r="B61" s="82"/>
      <c r="D61" s="76" t="s">
        <v>74</v>
      </c>
      <c r="E61" s="2" t="s">
        <v>131</v>
      </c>
    </row>
    <row r="62" spans="1:11" ht="18.75" customHeight="1" x14ac:dyDescent="0.15">
      <c r="E62" s="2" t="s">
        <v>132</v>
      </c>
    </row>
    <row r="63" spans="1:11" ht="18.75" customHeight="1" x14ac:dyDescent="0.15">
      <c r="A63" s="82" t="s">
        <v>75</v>
      </c>
      <c r="B63" s="82"/>
      <c r="H63" s="80" t="s">
        <v>83</v>
      </c>
    </row>
    <row r="64" spans="1:11" ht="18.75" customHeight="1" x14ac:dyDescent="0.15">
      <c r="A64" s="87"/>
      <c r="B64" s="88"/>
      <c r="C64" s="88"/>
      <c r="D64" s="88"/>
      <c r="E64" s="89"/>
      <c r="F64" s="90"/>
    </row>
    <row r="65" spans="1:11" ht="18.75" customHeight="1" x14ac:dyDescent="0.15">
      <c r="A65" s="15"/>
      <c r="F65" s="91"/>
    </row>
    <row r="66" spans="1:11" ht="18.75" customHeight="1" x14ac:dyDescent="0.15">
      <c r="A66" s="15"/>
      <c r="F66" s="91"/>
    </row>
    <row r="67" spans="1:11" ht="18.75" customHeight="1" x14ac:dyDescent="0.15">
      <c r="A67" s="24"/>
      <c r="B67" s="7"/>
      <c r="C67" s="7"/>
      <c r="D67" s="7"/>
      <c r="E67" s="92"/>
      <c r="F67" s="41"/>
      <c r="H67" s="7"/>
      <c r="I67" s="7"/>
      <c r="J67" s="7"/>
      <c r="K67" s="7"/>
    </row>
  </sheetData>
  <mergeCells count="20">
    <mergeCell ref="A1:E4"/>
    <mergeCell ref="F1:K2"/>
    <mergeCell ref="G3:K3"/>
    <mergeCell ref="J4:K4"/>
    <mergeCell ref="F16:G16"/>
    <mergeCell ref="D18:E18"/>
    <mergeCell ref="F18:H18"/>
    <mergeCell ref="A20:C20"/>
    <mergeCell ref="D20:E20"/>
    <mergeCell ref="F20:H20"/>
    <mergeCell ref="H59:I59"/>
    <mergeCell ref="H60:I60"/>
    <mergeCell ref="B21:B22"/>
    <mergeCell ref="J20:K20"/>
    <mergeCell ref="A21:A22"/>
    <mergeCell ref="C21:E21"/>
    <mergeCell ref="F21:H21"/>
    <mergeCell ref="I21:I22"/>
    <mergeCell ref="J21:J22"/>
    <mergeCell ref="K21:K22"/>
  </mergeCells>
  <phoneticPr fontId="2"/>
  <conditionalFormatting sqref="A18:B18">
    <cfRule type="expression" dxfId="15" priority="14" stopIfTrue="1">
      <formula>$A$18="(SELECT)"</formula>
    </cfRule>
  </conditionalFormatting>
  <conditionalFormatting sqref="A20:H20 J20:K20 C21 F21">
    <cfRule type="containsBlanks" dxfId="14" priority="15" stopIfTrue="1">
      <formula>LEN(TRIM(A20))=0</formula>
    </cfRule>
  </conditionalFormatting>
  <conditionalFormatting sqref="C5:C7 C8:D9">
    <cfRule type="containsBlanks" dxfId="13" priority="1" stopIfTrue="1">
      <formula>LEN(TRIM(C5))=0</formula>
    </cfRule>
  </conditionalFormatting>
  <conditionalFormatting sqref="C11:C13 C14:D15">
    <cfRule type="containsBlanks" dxfId="12" priority="8" stopIfTrue="1">
      <formula>LEN(TRIM(C11))=0</formula>
    </cfRule>
  </conditionalFormatting>
  <conditionalFormatting sqref="C18">
    <cfRule type="expression" dxfId="11" priority="11" stopIfTrue="1">
      <formula>$A$18="Vessel"</formula>
    </cfRule>
    <cfRule type="expression" dxfId="10" priority="12" stopIfTrue="1">
      <formula>$A$18="AIR"</formula>
    </cfRule>
    <cfRule type="expression" dxfId="9" priority="13" stopIfTrue="1">
      <formula>$A$18="Other"</formula>
    </cfRule>
  </conditionalFormatting>
  <conditionalFormatting sqref="D18:H18">
    <cfRule type="containsBlanks" dxfId="3" priority="6" stopIfTrue="1">
      <formula>LEN(TRIM(D18))=0</formula>
    </cfRule>
  </conditionalFormatting>
  <conditionalFormatting sqref="F16">
    <cfRule type="expression" dxfId="2" priority="7" stopIfTrue="1">
      <formula>$F$16="(SELECT)"</formula>
    </cfRule>
  </conditionalFormatting>
  <conditionalFormatting sqref="I23">
    <cfRule type="expression" dxfId="1" priority="5" stopIfTrue="1">
      <formula>COUNTIF($I23,"*per*")</formula>
    </cfRule>
  </conditionalFormatting>
  <conditionalFormatting sqref="J4:K4">
    <cfRule type="containsBlanks" dxfId="0" priority="9" stopIfTrue="1">
      <formula>LEN(TRIM(J4))=0</formula>
    </cfRule>
  </conditionalFormatting>
  <dataValidations count="1">
    <dataValidation type="list" allowBlank="1" showInputMessage="1" showErrorMessage="1" sqref="A18:B18" xr:uid="{DCD3532D-E6C7-43A1-952B-3260244FB326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6</xdr:col>
                    <xdr:colOff>9525</xdr:colOff>
                    <xdr:row>2</xdr:row>
                    <xdr:rowOff>228600</xdr:rowOff>
                  </from>
                  <to>
                    <xdr:col>6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6</xdr:col>
                    <xdr:colOff>914400</xdr:colOff>
                    <xdr:row>2</xdr:row>
                    <xdr:rowOff>228600</xdr:rowOff>
                  </from>
                  <to>
                    <xdr:col>7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stopIfTrue="1" id="{C81D0487-2F3F-4FD5-AB44-9075325B0F9D}">
            <xm:f>COUNTIF('Invoice(SF米国)'!$I23,"*per*")</xm:f>
            <x14:dxf>
              <font>
                <b/>
                <i val="0"/>
              </font>
            </x14:dxf>
          </x14:cfRule>
          <xm:sqref>C23:H23 J23:K23 C24:K25 C27:K28 C40:K51 C55:K55</xm:sqref>
        </x14:conditionalFormatting>
        <x14:conditionalFormatting xmlns:xm="http://schemas.microsoft.com/office/excel/2006/main">
          <x14:cfRule type="expression" priority="19" stopIfTrue="1" id="{03ABBAA0-741D-40EC-BA5D-20F76CD16247}">
            <xm:f>COUNTIF('Invoice(SF米国)'!#REF!,"*per*")</xm:f>
            <x14:dxf>
              <font>
                <b/>
                <i val="0"/>
              </font>
            </x14:dxf>
          </x14:cfRule>
          <xm:sqref>C26:K26</xm:sqref>
        </x14:conditionalFormatting>
        <x14:conditionalFormatting xmlns:xm="http://schemas.microsoft.com/office/excel/2006/main">
          <x14:cfRule type="expression" priority="10" stopIfTrue="1" id="{C9C17F66-2885-462C-86F8-1507B49F19C1}">
            <xm:f>COUNTIF('Invoice(SF米国)'!$I34,"*per*")</xm:f>
            <x14:dxf>
              <font>
                <b/>
                <i val="0"/>
              </font>
            </x14:dxf>
          </x14:cfRule>
          <xm:sqref>C29:K39</xm:sqref>
        </x14:conditionalFormatting>
        <x14:conditionalFormatting xmlns:xm="http://schemas.microsoft.com/office/excel/2006/main">
          <x14:cfRule type="expression" priority="18" stopIfTrue="1" id="{4B568204-F980-4777-8947-952CB0A8FE8C}">
            <xm:f>COUNTIF('Invoice(SF米国)'!$I53,"*per*")</xm:f>
            <x14:dxf>
              <font>
                <b/>
                <i val="0"/>
              </font>
            </x14:dxf>
          </x14:cfRule>
          <xm:sqref>C52:K53</xm:sqref>
        </x14:conditionalFormatting>
        <x14:conditionalFormatting xmlns:xm="http://schemas.microsoft.com/office/excel/2006/main">
          <x14:cfRule type="expression" priority="17" stopIfTrue="1" id="{F88419E6-A560-4671-9AEC-7AFC4EFEBEC1}">
            <xm:f>COUNTIF('Invoice(SF米国)'!#REF!,"*per*")</xm:f>
            <x14:dxf>
              <font>
                <b/>
                <i val="0"/>
              </font>
            </x14:dxf>
          </x14:cfRule>
          <xm:sqref>C54:K54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9A67-5787-434C-B26F-5FB3AD29FA1F}">
  <dimension ref="A1:J48"/>
  <sheetViews>
    <sheetView zoomScaleNormal="100" workbookViewId="0">
      <selection activeCell="A14" sqref="A14"/>
    </sheetView>
  </sheetViews>
  <sheetFormatPr defaultRowHeight="14.25" x14ac:dyDescent="0.2"/>
  <cols>
    <col min="1" max="2" width="8.625" style="100" customWidth="1"/>
    <col min="3" max="3" width="11.875" style="100" customWidth="1"/>
    <col min="4" max="4" width="10.625" style="100" customWidth="1"/>
    <col min="5" max="5" width="8.625" style="100" customWidth="1"/>
    <col min="6" max="6" width="12.625" style="100" customWidth="1"/>
    <col min="7" max="8" width="10.625" style="100" customWidth="1"/>
    <col min="9" max="9" width="15.625" style="97" customWidth="1"/>
    <col min="10" max="10" width="15.625" style="98" customWidth="1"/>
    <col min="11" max="256" width="9" style="100"/>
    <col min="257" max="258" width="8.625" style="100" customWidth="1"/>
    <col min="259" max="259" width="11.875" style="100" customWidth="1"/>
    <col min="260" max="260" width="10.625" style="100" customWidth="1"/>
    <col min="261" max="261" width="8.625" style="100" customWidth="1"/>
    <col min="262" max="262" width="12.625" style="100" customWidth="1"/>
    <col min="263" max="264" width="10.625" style="100" customWidth="1"/>
    <col min="265" max="266" width="15.625" style="100" customWidth="1"/>
    <col min="267" max="512" width="9" style="100"/>
    <col min="513" max="514" width="8.625" style="100" customWidth="1"/>
    <col min="515" max="515" width="11.875" style="100" customWidth="1"/>
    <col min="516" max="516" width="10.625" style="100" customWidth="1"/>
    <col min="517" max="517" width="8.625" style="100" customWidth="1"/>
    <col min="518" max="518" width="12.625" style="100" customWidth="1"/>
    <col min="519" max="520" width="10.625" style="100" customWidth="1"/>
    <col min="521" max="522" width="15.625" style="100" customWidth="1"/>
    <col min="523" max="768" width="9" style="100"/>
    <col min="769" max="770" width="8.625" style="100" customWidth="1"/>
    <col min="771" max="771" width="11.875" style="100" customWidth="1"/>
    <col min="772" max="772" width="10.625" style="100" customWidth="1"/>
    <col min="773" max="773" width="8.625" style="100" customWidth="1"/>
    <col min="774" max="774" width="12.625" style="100" customWidth="1"/>
    <col min="775" max="776" width="10.625" style="100" customWidth="1"/>
    <col min="777" max="778" width="15.625" style="100" customWidth="1"/>
    <col min="779" max="1024" width="9" style="100"/>
    <col min="1025" max="1026" width="8.625" style="100" customWidth="1"/>
    <col min="1027" max="1027" width="11.875" style="100" customWidth="1"/>
    <col min="1028" max="1028" width="10.625" style="100" customWidth="1"/>
    <col min="1029" max="1029" width="8.625" style="100" customWidth="1"/>
    <col min="1030" max="1030" width="12.625" style="100" customWidth="1"/>
    <col min="1031" max="1032" width="10.625" style="100" customWidth="1"/>
    <col min="1033" max="1034" width="15.625" style="100" customWidth="1"/>
    <col min="1035" max="1280" width="9" style="100"/>
    <col min="1281" max="1282" width="8.625" style="100" customWidth="1"/>
    <col min="1283" max="1283" width="11.875" style="100" customWidth="1"/>
    <col min="1284" max="1284" width="10.625" style="100" customWidth="1"/>
    <col min="1285" max="1285" width="8.625" style="100" customWidth="1"/>
    <col min="1286" max="1286" width="12.625" style="100" customWidth="1"/>
    <col min="1287" max="1288" width="10.625" style="100" customWidth="1"/>
    <col min="1289" max="1290" width="15.625" style="100" customWidth="1"/>
    <col min="1291" max="1536" width="9" style="100"/>
    <col min="1537" max="1538" width="8.625" style="100" customWidth="1"/>
    <col min="1539" max="1539" width="11.875" style="100" customWidth="1"/>
    <col min="1540" max="1540" width="10.625" style="100" customWidth="1"/>
    <col min="1541" max="1541" width="8.625" style="100" customWidth="1"/>
    <col min="1542" max="1542" width="12.625" style="100" customWidth="1"/>
    <col min="1543" max="1544" width="10.625" style="100" customWidth="1"/>
    <col min="1545" max="1546" width="15.625" style="100" customWidth="1"/>
    <col min="1547" max="1792" width="9" style="100"/>
    <col min="1793" max="1794" width="8.625" style="100" customWidth="1"/>
    <col min="1795" max="1795" width="11.875" style="100" customWidth="1"/>
    <col min="1796" max="1796" width="10.625" style="100" customWidth="1"/>
    <col min="1797" max="1797" width="8.625" style="100" customWidth="1"/>
    <col min="1798" max="1798" width="12.625" style="100" customWidth="1"/>
    <col min="1799" max="1800" width="10.625" style="100" customWidth="1"/>
    <col min="1801" max="1802" width="15.625" style="100" customWidth="1"/>
    <col min="1803" max="2048" width="9" style="100"/>
    <col min="2049" max="2050" width="8.625" style="100" customWidth="1"/>
    <col min="2051" max="2051" width="11.875" style="100" customWidth="1"/>
    <col min="2052" max="2052" width="10.625" style="100" customWidth="1"/>
    <col min="2053" max="2053" width="8.625" style="100" customWidth="1"/>
    <col min="2054" max="2054" width="12.625" style="100" customWidth="1"/>
    <col min="2055" max="2056" width="10.625" style="100" customWidth="1"/>
    <col min="2057" max="2058" width="15.625" style="100" customWidth="1"/>
    <col min="2059" max="2304" width="9" style="100"/>
    <col min="2305" max="2306" width="8.625" style="100" customWidth="1"/>
    <col min="2307" max="2307" width="11.875" style="100" customWidth="1"/>
    <col min="2308" max="2308" width="10.625" style="100" customWidth="1"/>
    <col min="2309" max="2309" width="8.625" style="100" customWidth="1"/>
    <col min="2310" max="2310" width="12.625" style="100" customWidth="1"/>
    <col min="2311" max="2312" width="10.625" style="100" customWidth="1"/>
    <col min="2313" max="2314" width="15.625" style="100" customWidth="1"/>
    <col min="2315" max="2560" width="9" style="100"/>
    <col min="2561" max="2562" width="8.625" style="100" customWidth="1"/>
    <col min="2563" max="2563" width="11.875" style="100" customWidth="1"/>
    <col min="2564" max="2564" width="10.625" style="100" customWidth="1"/>
    <col min="2565" max="2565" width="8.625" style="100" customWidth="1"/>
    <col min="2566" max="2566" width="12.625" style="100" customWidth="1"/>
    <col min="2567" max="2568" width="10.625" style="100" customWidth="1"/>
    <col min="2569" max="2570" width="15.625" style="100" customWidth="1"/>
    <col min="2571" max="2816" width="9" style="100"/>
    <col min="2817" max="2818" width="8.625" style="100" customWidth="1"/>
    <col min="2819" max="2819" width="11.875" style="100" customWidth="1"/>
    <col min="2820" max="2820" width="10.625" style="100" customWidth="1"/>
    <col min="2821" max="2821" width="8.625" style="100" customWidth="1"/>
    <col min="2822" max="2822" width="12.625" style="100" customWidth="1"/>
    <col min="2823" max="2824" width="10.625" style="100" customWidth="1"/>
    <col min="2825" max="2826" width="15.625" style="100" customWidth="1"/>
    <col min="2827" max="3072" width="9" style="100"/>
    <col min="3073" max="3074" width="8.625" style="100" customWidth="1"/>
    <col min="3075" max="3075" width="11.875" style="100" customWidth="1"/>
    <col min="3076" max="3076" width="10.625" style="100" customWidth="1"/>
    <col min="3077" max="3077" width="8.625" style="100" customWidth="1"/>
    <col min="3078" max="3078" width="12.625" style="100" customWidth="1"/>
    <col min="3079" max="3080" width="10.625" style="100" customWidth="1"/>
    <col min="3081" max="3082" width="15.625" style="100" customWidth="1"/>
    <col min="3083" max="3328" width="9" style="100"/>
    <col min="3329" max="3330" width="8.625" style="100" customWidth="1"/>
    <col min="3331" max="3331" width="11.875" style="100" customWidth="1"/>
    <col min="3332" max="3332" width="10.625" style="100" customWidth="1"/>
    <col min="3333" max="3333" width="8.625" style="100" customWidth="1"/>
    <col min="3334" max="3334" width="12.625" style="100" customWidth="1"/>
    <col min="3335" max="3336" width="10.625" style="100" customWidth="1"/>
    <col min="3337" max="3338" width="15.625" style="100" customWidth="1"/>
    <col min="3339" max="3584" width="9" style="100"/>
    <col min="3585" max="3586" width="8.625" style="100" customWidth="1"/>
    <col min="3587" max="3587" width="11.875" style="100" customWidth="1"/>
    <col min="3588" max="3588" width="10.625" style="100" customWidth="1"/>
    <col min="3589" max="3589" width="8.625" style="100" customWidth="1"/>
    <col min="3590" max="3590" width="12.625" style="100" customWidth="1"/>
    <col min="3591" max="3592" width="10.625" style="100" customWidth="1"/>
    <col min="3593" max="3594" width="15.625" style="100" customWidth="1"/>
    <col min="3595" max="3840" width="9" style="100"/>
    <col min="3841" max="3842" width="8.625" style="100" customWidth="1"/>
    <col min="3843" max="3843" width="11.875" style="100" customWidth="1"/>
    <col min="3844" max="3844" width="10.625" style="100" customWidth="1"/>
    <col min="3845" max="3845" width="8.625" style="100" customWidth="1"/>
    <col min="3846" max="3846" width="12.625" style="100" customWidth="1"/>
    <col min="3847" max="3848" width="10.625" style="100" customWidth="1"/>
    <col min="3849" max="3850" width="15.625" style="100" customWidth="1"/>
    <col min="3851" max="4096" width="9" style="100"/>
    <col min="4097" max="4098" width="8.625" style="100" customWidth="1"/>
    <col min="4099" max="4099" width="11.875" style="100" customWidth="1"/>
    <col min="4100" max="4100" width="10.625" style="100" customWidth="1"/>
    <col min="4101" max="4101" width="8.625" style="100" customWidth="1"/>
    <col min="4102" max="4102" width="12.625" style="100" customWidth="1"/>
    <col min="4103" max="4104" width="10.625" style="100" customWidth="1"/>
    <col min="4105" max="4106" width="15.625" style="100" customWidth="1"/>
    <col min="4107" max="4352" width="9" style="100"/>
    <col min="4353" max="4354" width="8.625" style="100" customWidth="1"/>
    <col min="4355" max="4355" width="11.875" style="100" customWidth="1"/>
    <col min="4356" max="4356" width="10.625" style="100" customWidth="1"/>
    <col min="4357" max="4357" width="8.625" style="100" customWidth="1"/>
    <col min="4358" max="4358" width="12.625" style="100" customWidth="1"/>
    <col min="4359" max="4360" width="10.625" style="100" customWidth="1"/>
    <col min="4361" max="4362" width="15.625" style="100" customWidth="1"/>
    <col min="4363" max="4608" width="9" style="100"/>
    <col min="4609" max="4610" width="8.625" style="100" customWidth="1"/>
    <col min="4611" max="4611" width="11.875" style="100" customWidth="1"/>
    <col min="4612" max="4612" width="10.625" style="100" customWidth="1"/>
    <col min="4613" max="4613" width="8.625" style="100" customWidth="1"/>
    <col min="4614" max="4614" width="12.625" style="100" customWidth="1"/>
    <col min="4615" max="4616" width="10.625" style="100" customWidth="1"/>
    <col min="4617" max="4618" width="15.625" style="100" customWidth="1"/>
    <col min="4619" max="4864" width="9" style="100"/>
    <col min="4865" max="4866" width="8.625" style="100" customWidth="1"/>
    <col min="4867" max="4867" width="11.875" style="100" customWidth="1"/>
    <col min="4868" max="4868" width="10.625" style="100" customWidth="1"/>
    <col min="4869" max="4869" width="8.625" style="100" customWidth="1"/>
    <col min="4870" max="4870" width="12.625" style="100" customWidth="1"/>
    <col min="4871" max="4872" width="10.625" style="100" customWidth="1"/>
    <col min="4873" max="4874" width="15.625" style="100" customWidth="1"/>
    <col min="4875" max="5120" width="9" style="100"/>
    <col min="5121" max="5122" width="8.625" style="100" customWidth="1"/>
    <col min="5123" max="5123" width="11.875" style="100" customWidth="1"/>
    <col min="5124" max="5124" width="10.625" style="100" customWidth="1"/>
    <col min="5125" max="5125" width="8.625" style="100" customWidth="1"/>
    <col min="5126" max="5126" width="12.625" style="100" customWidth="1"/>
    <col min="5127" max="5128" width="10.625" style="100" customWidth="1"/>
    <col min="5129" max="5130" width="15.625" style="100" customWidth="1"/>
    <col min="5131" max="5376" width="9" style="100"/>
    <col min="5377" max="5378" width="8.625" style="100" customWidth="1"/>
    <col min="5379" max="5379" width="11.875" style="100" customWidth="1"/>
    <col min="5380" max="5380" width="10.625" style="100" customWidth="1"/>
    <col min="5381" max="5381" width="8.625" style="100" customWidth="1"/>
    <col min="5382" max="5382" width="12.625" style="100" customWidth="1"/>
    <col min="5383" max="5384" width="10.625" style="100" customWidth="1"/>
    <col min="5385" max="5386" width="15.625" style="100" customWidth="1"/>
    <col min="5387" max="5632" width="9" style="100"/>
    <col min="5633" max="5634" width="8.625" style="100" customWidth="1"/>
    <col min="5635" max="5635" width="11.875" style="100" customWidth="1"/>
    <col min="5636" max="5636" width="10.625" style="100" customWidth="1"/>
    <col min="5637" max="5637" width="8.625" style="100" customWidth="1"/>
    <col min="5638" max="5638" width="12.625" style="100" customWidth="1"/>
    <col min="5639" max="5640" width="10.625" style="100" customWidth="1"/>
    <col min="5641" max="5642" width="15.625" style="100" customWidth="1"/>
    <col min="5643" max="5888" width="9" style="100"/>
    <col min="5889" max="5890" width="8.625" style="100" customWidth="1"/>
    <col min="5891" max="5891" width="11.875" style="100" customWidth="1"/>
    <col min="5892" max="5892" width="10.625" style="100" customWidth="1"/>
    <col min="5893" max="5893" width="8.625" style="100" customWidth="1"/>
    <col min="5894" max="5894" width="12.625" style="100" customWidth="1"/>
    <col min="5895" max="5896" width="10.625" style="100" customWidth="1"/>
    <col min="5897" max="5898" width="15.625" style="100" customWidth="1"/>
    <col min="5899" max="6144" width="9" style="100"/>
    <col min="6145" max="6146" width="8.625" style="100" customWidth="1"/>
    <col min="6147" max="6147" width="11.875" style="100" customWidth="1"/>
    <col min="6148" max="6148" width="10.625" style="100" customWidth="1"/>
    <col min="6149" max="6149" width="8.625" style="100" customWidth="1"/>
    <col min="6150" max="6150" width="12.625" style="100" customWidth="1"/>
    <col min="6151" max="6152" width="10.625" style="100" customWidth="1"/>
    <col min="6153" max="6154" width="15.625" style="100" customWidth="1"/>
    <col min="6155" max="6400" width="9" style="100"/>
    <col min="6401" max="6402" width="8.625" style="100" customWidth="1"/>
    <col min="6403" max="6403" width="11.875" style="100" customWidth="1"/>
    <col min="6404" max="6404" width="10.625" style="100" customWidth="1"/>
    <col min="6405" max="6405" width="8.625" style="100" customWidth="1"/>
    <col min="6406" max="6406" width="12.625" style="100" customWidth="1"/>
    <col min="6407" max="6408" width="10.625" style="100" customWidth="1"/>
    <col min="6409" max="6410" width="15.625" style="100" customWidth="1"/>
    <col min="6411" max="6656" width="9" style="100"/>
    <col min="6657" max="6658" width="8.625" style="100" customWidth="1"/>
    <col min="6659" max="6659" width="11.875" style="100" customWidth="1"/>
    <col min="6660" max="6660" width="10.625" style="100" customWidth="1"/>
    <col min="6661" max="6661" width="8.625" style="100" customWidth="1"/>
    <col min="6662" max="6662" width="12.625" style="100" customWidth="1"/>
    <col min="6663" max="6664" width="10.625" style="100" customWidth="1"/>
    <col min="6665" max="6666" width="15.625" style="100" customWidth="1"/>
    <col min="6667" max="6912" width="9" style="100"/>
    <col min="6913" max="6914" width="8.625" style="100" customWidth="1"/>
    <col min="6915" max="6915" width="11.875" style="100" customWidth="1"/>
    <col min="6916" max="6916" width="10.625" style="100" customWidth="1"/>
    <col min="6917" max="6917" width="8.625" style="100" customWidth="1"/>
    <col min="6918" max="6918" width="12.625" style="100" customWidth="1"/>
    <col min="6919" max="6920" width="10.625" style="100" customWidth="1"/>
    <col min="6921" max="6922" width="15.625" style="100" customWidth="1"/>
    <col min="6923" max="7168" width="9" style="100"/>
    <col min="7169" max="7170" width="8.625" style="100" customWidth="1"/>
    <col min="7171" max="7171" width="11.875" style="100" customWidth="1"/>
    <col min="7172" max="7172" width="10.625" style="100" customWidth="1"/>
    <col min="7173" max="7173" width="8.625" style="100" customWidth="1"/>
    <col min="7174" max="7174" width="12.625" style="100" customWidth="1"/>
    <col min="7175" max="7176" width="10.625" style="100" customWidth="1"/>
    <col min="7177" max="7178" width="15.625" style="100" customWidth="1"/>
    <col min="7179" max="7424" width="9" style="100"/>
    <col min="7425" max="7426" width="8.625" style="100" customWidth="1"/>
    <col min="7427" max="7427" width="11.875" style="100" customWidth="1"/>
    <col min="7428" max="7428" width="10.625" style="100" customWidth="1"/>
    <col min="7429" max="7429" width="8.625" style="100" customWidth="1"/>
    <col min="7430" max="7430" width="12.625" style="100" customWidth="1"/>
    <col min="7431" max="7432" width="10.625" style="100" customWidth="1"/>
    <col min="7433" max="7434" width="15.625" style="100" customWidth="1"/>
    <col min="7435" max="7680" width="9" style="100"/>
    <col min="7681" max="7682" width="8.625" style="100" customWidth="1"/>
    <col min="7683" max="7683" width="11.875" style="100" customWidth="1"/>
    <col min="7684" max="7684" width="10.625" style="100" customWidth="1"/>
    <col min="7685" max="7685" width="8.625" style="100" customWidth="1"/>
    <col min="7686" max="7686" width="12.625" style="100" customWidth="1"/>
    <col min="7687" max="7688" width="10.625" style="100" customWidth="1"/>
    <col min="7689" max="7690" width="15.625" style="100" customWidth="1"/>
    <col min="7691" max="7936" width="9" style="100"/>
    <col min="7937" max="7938" width="8.625" style="100" customWidth="1"/>
    <col min="7939" max="7939" width="11.875" style="100" customWidth="1"/>
    <col min="7940" max="7940" width="10.625" style="100" customWidth="1"/>
    <col min="7941" max="7941" width="8.625" style="100" customWidth="1"/>
    <col min="7942" max="7942" width="12.625" style="100" customWidth="1"/>
    <col min="7943" max="7944" width="10.625" style="100" customWidth="1"/>
    <col min="7945" max="7946" width="15.625" style="100" customWidth="1"/>
    <col min="7947" max="8192" width="9" style="100"/>
    <col min="8193" max="8194" width="8.625" style="100" customWidth="1"/>
    <col min="8195" max="8195" width="11.875" style="100" customWidth="1"/>
    <col min="8196" max="8196" width="10.625" style="100" customWidth="1"/>
    <col min="8197" max="8197" width="8.625" style="100" customWidth="1"/>
    <col min="8198" max="8198" width="12.625" style="100" customWidth="1"/>
    <col min="8199" max="8200" width="10.625" style="100" customWidth="1"/>
    <col min="8201" max="8202" width="15.625" style="100" customWidth="1"/>
    <col min="8203" max="8448" width="9" style="100"/>
    <col min="8449" max="8450" width="8.625" style="100" customWidth="1"/>
    <col min="8451" max="8451" width="11.875" style="100" customWidth="1"/>
    <col min="8452" max="8452" width="10.625" style="100" customWidth="1"/>
    <col min="8453" max="8453" width="8.625" style="100" customWidth="1"/>
    <col min="8454" max="8454" width="12.625" style="100" customWidth="1"/>
    <col min="8455" max="8456" width="10.625" style="100" customWidth="1"/>
    <col min="8457" max="8458" width="15.625" style="100" customWidth="1"/>
    <col min="8459" max="8704" width="9" style="100"/>
    <col min="8705" max="8706" width="8.625" style="100" customWidth="1"/>
    <col min="8707" max="8707" width="11.875" style="100" customWidth="1"/>
    <col min="8708" max="8708" width="10.625" style="100" customWidth="1"/>
    <col min="8709" max="8709" width="8.625" style="100" customWidth="1"/>
    <col min="8710" max="8710" width="12.625" style="100" customWidth="1"/>
    <col min="8711" max="8712" width="10.625" style="100" customWidth="1"/>
    <col min="8713" max="8714" width="15.625" style="100" customWidth="1"/>
    <col min="8715" max="8960" width="9" style="100"/>
    <col min="8961" max="8962" width="8.625" style="100" customWidth="1"/>
    <col min="8963" max="8963" width="11.875" style="100" customWidth="1"/>
    <col min="8964" max="8964" width="10.625" style="100" customWidth="1"/>
    <col min="8965" max="8965" width="8.625" style="100" customWidth="1"/>
    <col min="8966" max="8966" width="12.625" style="100" customWidth="1"/>
    <col min="8967" max="8968" width="10.625" style="100" customWidth="1"/>
    <col min="8969" max="8970" width="15.625" style="100" customWidth="1"/>
    <col min="8971" max="9216" width="9" style="100"/>
    <col min="9217" max="9218" width="8.625" style="100" customWidth="1"/>
    <col min="9219" max="9219" width="11.875" style="100" customWidth="1"/>
    <col min="9220" max="9220" width="10.625" style="100" customWidth="1"/>
    <col min="9221" max="9221" width="8.625" style="100" customWidth="1"/>
    <col min="9222" max="9222" width="12.625" style="100" customWidth="1"/>
    <col min="9223" max="9224" width="10.625" style="100" customWidth="1"/>
    <col min="9225" max="9226" width="15.625" style="100" customWidth="1"/>
    <col min="9227" max="9472" width="9" style="100"/>
    <col min="9473" max="9474" width="8.625" style="100" customWidth="1"/>
    <col min="9475" max="9475" width="11.875" style="100" customWidth="1"/>
    <col min="9476" max="9476" width="10.625" style="100" customWidth="1"/>
    <col min="9477" max="9477" width="8.625" style="100" customWidth="1"/>
    <col min="9478" max="9478" width="12.625" style="100" customWidth="1"/>
    <col min="9479" max="9480" width="10.625" style="100" customWidth="1"/>
    <col min="9481" max="9482" width="15.625" style="100" customWidth="1"/>
    <col min="9483" max="9728" width="9" style="100"/>
    <col min="9729" max="9730" width="8.625" style="100" customWidth="1"/>
    <col min="9731" max="9731" width="11.875" style="100" customWidth="1"/>
    <col min="9732" max="9732" width="10.625" style="100" customWidth="1"/>
    <col min="9733" max="9733" width="8.625" style="100" customWidth="1"/>
    <col min="9734" max="9734" width="12.625" style="100" customWidth="1"/>
    <col min="9735" max="9736" width="10.625" style="100" customWidth="1"/>
    <col min="9737" max="9738" width="15.625" style="100" customWidth="1"/>
    <col min="9739" max="9984" width="9" style="100"/>
    <col min="9985" max="9986" width="8.625" style="100" customWidth="1"/>
    <col min="9987" max="9987" width="11.875" style="100" customWidth="1"/>
    <col min="9988" max="9988" width="10.625" style="100" customWidth="1"/>
    <col min="9989" max="9989" width="8.625" style="100" customWidth="1"/>
    <col min="9990" max="9990" width="12.625" style="100" customWidth="1"/>
    <col min="9991" max="9992" width="10.625" style="100" customWidth="1"/>
    <col min="9993" max="9994" width="15.625" style="100" customWidth="1"/>
    <col min="9995" max="10240" width="9" style="100"/>
    <col min="10241" max="10242" width="8.625" style="100" customWidth="1"/>
    <col min="10243" max="10243" width="11.875" style="100" customWidth="1"/>
    <col min="10244" max="10244" width="10.625" style="100" customWidth="1"/>
    <col min="10245" max="10245" width="8.625" style="100" customWidth="1"/>
    <col min="10246" max="10246" width="12.625" style="100" customWidth="1"/>
    <col min="10247" max="10248" width="10.625" style="100" customWidth="1"/>
    <col min="10249" max="10250" width="15.625" style="100" customWidth="1"/>
    <col min="10251" max="10496" width="9" style="100"/>
    <col min="10497" max="10498" width="8.625" style="100" customWidth="1"/>
    <col min="10499" max="10499" width="11.875" style="100" customWidth="1"/>
    <col min="10500" max="10500" width="10.625" style="100" customWidth="1"/>
    <col min="10501" max="10501" width="8.625" style="100" customWidth="1"/>
    <col min="10502" max="10502" width="12.625" style="100" customWidth="1"/>
    <col min="10503" max="10504" width="10.625" style="100" customWidth="1"/>
    <col min="10505" max="10506" width="15.625" style="100" customWidth="1"/>
    <col min="10507" max="10752" width="9" style="100"/>
    <col min="10753" max="10754" width="8.625" style="100" customWidth="1"/>
    <col min="10755" max="10755" width="11.875" style="100" customWidth="1"/>
    <col min="10756" max="10756" width="10.625" style="100" customWidth="1"/>
    <col min="10757" max="10757" width="8.625" style="100" customWidth="1"/>
    <col min="10758" max="10758" width="12.625" style="100" customWidth="1"/>
    <col min="10759" max="10760" width="10.625" style="100" customWidth="1"/>
    <col min="10761" max="10762" width="15.625" style="100" customWidth="1"/>
    <col min="10763" max="11008" width="9" style="100"/>
    <col min="11009" max="11010" width="8.625" style="100" customWidth="1"/>
    <col min="11011" max="11011" width="11.875" style="100" customWidth="1"/>
    <col min="11012" max="11012" width="10.625" style="100" customWidth="1"/>
    <col min="11013" max="11013" width="8.625" style="100" customWidth="1"/>
    <col min="11014" max="11014" width="12.625" style="100" customWidth="1"/>
    <col min="11015" max="11016" width="10.625" style="100" customWidth="1"/>
    <col min="11017" max="11018" width="15.625" style="100" customWidth="1"/>
    <col min="11019" max="11264" width="9" style="100"/>
    <col min="11265" max="11266" width="8.625" style="100" customWidth="1"/>
    <col min="11267" max="11267" width="11.875" style="100" customWidth="1"/>
    <col min="11268" max="11268" width="10.625" style="100" customWidth="1"/>
    <col min="11269" max="11269" width="8.625" style="100" customWidth="1"/>
    <col min="11270" max="11270" width="12.625" style="100" customWidth="1"/>
    <col min="11271" max="11272" width="10.625" style="100" customWidth="1"/>
    <col min="11273" max="11274" width="15.625" style="100" customWidth="1"/>
    <col min="11275" max="11520" width="9" style="100"/>
    <col min="11521" max="11522" width="8.625" style="100" customWidth="1"/>
    <col min="11523" max="11523" width="11.875" style="100" customWidth="1"/>
    <col min="11524" max="11524" width="10.625" style="100" customWidth="1"/>
    <col min="11525" max="11525" width="8.625" style="100" customWidth="1"/>
    <col min="11526" max="11526" width="12.625" style="100" customWidth="1"/>
    <col min="11527" max="11528" width="10.625" style="100" customWidth="1"/>
    <col min="11529" max="11530" width="15.625" style="100" customWidth="1"/>
    <col min="11531" max="11776" width="9" style="100"/>
    <col min="11777" max="11778" width="8.625" style="100" customWidth="1"/>
    <col min="11779" max="11779" width="11.875" style="100" customWidth="1"/>
    <col min="11780" max="11780" width="10.625" style="100" customWidth="1"/>
    <col min="11781" max="11781" width="8.625" style="100" customWidth="1"/>
    <col min="11782" max="11782" width="12.625" style="100" customWidth="1"/>
    <col min="11783" max="11784" width="10.625" style="100" customWidth="1"/>
    <col min="11785" max="11786" width="15.625" style="100" customWidth="1"/>
    <col min="11787" max="12032" width="9" style="100"/>
    <col min="12033" max="12034" width="8.625" style="100" customWidth="1"/>
    <col min="12035" max="12035" width="11.875" style="100" customWidth="1"/>
    <col min="12036" max="12036" width="10.625" style="100" customWidth="1"/>
    <col min="12037" max="12037" width="8.625" style="100" customWidth="1"/>
    <col min="12038" max="12038" width="12.625" style="100" customWidth="1"/>
    <col min="12039" max="12040" width="10.625" style="100" customWidth="1"/>
    <col min="12041" max="12042" width="15.625" style="100" customWidth="1"/>
    <col min="12043" max="12288" width="9" style="100"/>
    <col min="12289" max="12290" width="8.625" style="100" customWidth="1"/>
    <col min="12291" max="12291" width="11.875" style="100" customWidth="1"/>
    <col min="12292" max="12292" width="10.625" style="100" customWidth="1"/>
    <col min="12293" max="12293" width="8.625" style="100" customWidth="1"/>
    <col min="12294" max="12294" width="12.625" style="100" customWidth="1"/>
    <col min="12295" max="12296" width="10.625" style="100" customWidth="1"/>
    <col min="12297" max="12298" width="15.625" style="100" customWidth="1"/>
    <col min="12299" max="12544" width="9" style="100"/>
    <col min="12545" max="12546" width="8.625" style="100" customWidth="1"/>
    <col min="12547" max="12547" width="11.875" style="100" customWidth="1"/>
    <col min="12548" max="12548" width="10.625" style="100" customWidth="1"/>
    <col min="12549" max="12549" width="8.625" style="100" customWidth="1"/>
    <col min="12550" max="12550" width="12.625" style="100" customWidth="1"/>
    <col min="12551" max="12552" width="10.625" style="100" customWidth="1"/>
    <col min="12553" max="12554" width="15.625" style="100" customWidth="1"/>
    <col min="12555" max="12800" width="9" style="100"/>
    <col min="12801" max="12802" width="8.625" style="100" customWidth="1"/>
    <col min="12803" max="12803" width="11.875" style="100" customWidth="1"/>
    <col min="12804" max="12804" width="10.625" style="100" customWidth="1"/>
    <col min="12805" max="12805" width="8.625" style="100" customWidth="1"/>
    <col min="12806" max="12806" width="12.625" style="100" customWidth="1"/>
    <col min="12807" max="12808" width="10.625" style="100" customWidth="1"/>
    <col min="12809" max="12810" width="15.625" style="100" customWidth="1"/>
    <col min="12811" max="13056" width="9" style="100"/>
    <col min="13057" max="13058" width="8.625" style="100" customWidth="1"/>
    <col min="13059" max="13059" width="11.875" style="100" customWidth="1"/>
    <col min="13060" max="13060" width="10.625" style="100" customWidth="1"/>
    <col min="13061" max="13061" width="8.625" style="100" customWidth="1"/>
    <col min="13062" max="13062" width="12.625" style="100" customWidth="1"/>
    <col min="13063" max="13064" width="10.625" style="100" customWidth="1"/>
    <col min="13065" max="13066" width="15.625" style="100" customWidth="1"/>
    <col min="13067" max="13312" width="9" style="100"/>
    <col min="13313" max="13314" width="8.625" style="100" customWidth="1"/>
    <col min="13315" max="13315" width="11.875" style="100" customWidth="1"/>
    <col min="13316" max="13316" width="10.625" style="100" customWidth="1"/>
    <col min="13317" max="13317" width="8.625" style="100" customWidth="1"/>
    <col min="13318" max="13318" width="12.625" style="100" customWidth="1"/>
    <col min="13319" max="13320" width="10.625" style="100" customWidth="1"/>
    <col min="13321" max="13322" width="15.625" style="100" customWidth="1"/>
    <col min="13323" max="13568" width="9" style="100"/>
    <col min="13569" max="13570" width="8.625" style="100" customWidth="1"/>
    <col min="13571" max="13571" width="11.875" style="100" customWidth="1"/>
    <col min="13572" max="13572" width="10.625" style="100" customWidth="1"/>
    <col min="13573" max="13573" width="8.625" style="100" customWidth="1"/>
    <col min="13574" max="13574" width="12.625" style="100" customWidth="1"/>
    <col min="13575" max="13576" width="10.625" style="100" customWidth="1"/>
    <col min="13577" max="13578" width="15.625" style="100" customWidth="1"/>
    <col min="13579" max="13824" width="9" style="100"/>
    <col min="13825" max="13826" width="8.625" style="100" customWidth="1"/>
    <col min="13827" max="13827" width="11.875" style="100" customWidth="1"/>
    <col min="13828" max="13828" width="10.625" style="100" customWidth="1"/>
    <col min="13829" max="13829" width="8.625" style="100" customWidth="1"/>
    <col min="13830" max="13830" width="12.625" style="100" customWidth="1"/>
    <col min="13831" max="13832" width="10.625" style="100" customWidth="1"/>
    <col min="13833" max="13834" width="15.625" style="100" customWidth="1"/>
    <col min="13835" max="14080" width="9" style="100"/>
    <col min="14081" max="14082" width="8.625" style="100" customWidth="1"/>
    <col min="14083" max="14083" width="11.875" style="100" customWidth="1"/>
    <col min="14084" max="14084" width="10.625" style="100" customWidth="1"/>
    <col min="14085" max="14085" width="8.625" style="100" customWidth="1"/>
    <col min="14086" max="14086" width="12.625" style="100" customWidth="1"/>
    <col min="14087" max="14088" width="10.625" style="100" customWidth="1"/>
    <col min="14089" max="14090" width="15.625" style="100" customWidth="1"/>
    <col min="14091" max="14336" width="9" style="100"/>
    <col min="14337" max="14338" width="8.625" style="100" customWidth="1"/>
    <col min="14339" max="14339" width="11.875" style="100" customWidth="1"/>
    <col min="14340" max="14340" width="10.625" style="100" customWidth="1"/>
    <col min="14341" max="14341" width="8.625" style="100" customWidth="1"/>
    <col min="14342" max="14342" width="12.625" style="100" customWidth="1"/>
    <col min="14343" max="14344" width="10.625" style="100" customWidth="1"/>
    <col min="14345" max="14346" width="15.625" style="100" customWidth="1"/>
    <col min="14347" max="14592" width="9" style="100"/>
    <col min="14593" max="14594" width="8.625" style="100" customWidth="1"/>
    <col min="14595" max="14595" width="11.875" style="100" customWidth="1"/>
    <col min="14596" max="14596" width="10.625" style="100" customWidth="1"/>
    <col min="14597" max="14597" width="8.625" style="100" customWidth="1"/>
    <col min="14598" max="14598" width="12.625" style="100" customWidth="1"/>
    <col min="14599" max="14600" width="10.625" style="100" customWidth="1"/>
    <col min="14601" max="14602" width="15.625" style="100" customWidth="1"/>
    <col min="14603" max="14848" width="9" style="100"/>
    <col min="14849" max="14850" width="8.625" style="100" customWidth="1"/>
    <col min="14851" max="14851" width="11.875" style="100" customWidth="1"/>
    <col min="14852" max="14852" width="10.625" style="100" customWidth="1"/>
    <col min="14853" max="14853" width="8.625" style="100" customWidth="1"/>
    <col min="14854" max="14854" width="12.625" style="100" customWidth="1"/>
    <col min="14855" max="14856" width="10.625" style="100" customWidth="1"/>
    <col min="14857" max="14858" width="15.625" style="100" customWidth="1"/>
    <col min="14859" max="15104" width="9" style="100"/>
    <col min="15105" max="15106" width="8.625" style="100" customWidth="1"/>
    <col min="15107" max="15107" width="11.875" style="100" customWidth="1"/>
    <col min="15108" max="15108" width="10.625" style="100" customWidth="1"/>
    <col min="15109" max="15109" width="8.625" style="100" customWidth="1"/>
    <col min="15110" max="15110" width="12.625" style="100" customWidth="1"/>
    <col min="15111" max="15112" width="10.625" style="100" customWidth="1"/>
    <col min="15113" max="15114" width="15.625" style="100" customWidth="1"/>
    <col min="15115" max="15360" width="9" style="100"/>
    <col min="15361" max="15362" width="8.625" style="100" customWidth="1"/>
    <col min="15363" max="15363" width="11.875" style="100" customWidth="1"/>
    <col min="15364" max="15364" width="10.625" style="100" customWidth="1"/>
    <col min="15365" max="15365" width="8.625" style="100" customWidth="1"/>
    <col min="15366" max="15366" width="12.625" style="100" customWidth="1"/>
    <col min="15367" max="15368" width="10.625" style="100" customWidth="1"/>
    <col min="15369" max="15370" width="15.625" style="100" customWidth="1"/>
    <col min="15371" max="15616" width="9" style="100"/>
    <col min="15617" max="15618" width="8.625" style="100" customWidth="1"/>
    <col min="15619" max="15619" width="11.875" style="100" customWidth="1"/>
    <col min="15620" max="15620" width="10.625" style="100" customWidth="1"/>
    <col min="15621" max="15621" width="8.625" style="100" customWidth="1"/>
    <col min="15622" max="15622" width="12.625" style="100" customWidth="1"/>
    <col min="15623" max="15624" width="10.625" style="100" customWidth="1"/>
    <col min="15625" max="15626" width="15.625" style="100" customWidth="1"/>
    <col min="15627" max="15872" width="9" style="100"/>
    <col min="15873" max="15874" width="8.625" style="100" customWidth="1"/>
    <col min="15875" max="15875" width="11.875" style="100" customWidth="1"/>
    <col min="15876" max="15876" width="10.625" style="100" customWidth="1"/>
    <col min="15877" max="15877" width="8.625" style="100" customWidth="1"/>
    <col min="15878" max="15878" width="12.625" style="100" customWidth="1"/>
    <col min="15879" max="15880" width="10.625" style="100" customWidth="1"/>
    <col min="15881" max="15882" width="15.625" style="100" customWidth="1"/>
    <col min="15883" max="16128" width="9" style="100"/>
    <col min="16129" max="16130" width="8.625" style="100" customWidth="1"/>
    <col min="16131" max="16131" width="11.875" style="100" customWidth="1"/>
    <col min="16132" max="16132" width="10.625" style="100" customWidth="1"/>
    <col min="16133" max="16133" width="8.625" style="100" customWidth="1"/>
    <col min="16134" max="16134" width="12.625" style="100" customWidth="1"/>
    <col min="16135" max="16136" width="10.625" style="100" customWidth="1"/>
    <col min="16137" max="16138" width="15.625" style="100" customWidth="1"/>
    <col min="16139" max="16384" width="9" style="100"/>
  </cols>
  <sheetData>
    <row r="1" spans="1:10" s="99" customFormat="1" ht="14.25" customHeight="1" x14ac:dyDescent="0.2">
      <c r="A1" s="150" t="s">
        <v>104</v>
      </c>
      <c r="B1" s="150"/>
      <c r="C1" s="150"/>
      <c r="D1" s="150"/>
      <c r="E1" s="150"/>
      <c r="F1" s="150"/>
      <c r="G1" s="150"/>
      <c r="H1" s="150"/>
      <c r="I1" s="97"/>
      <c r="J1" s="98"/>
    </row>
    <row r="2" spans="1:10" s="99" customFormat="1" ht="14.25" customHeight="1" x14ac:dyDescent="0.2">
      <c r="A2" s="150"/>
      <c r="B2" s="150"/>
      <c r="C2" s="150"/>
      <c r="D2" s="150"/>
      <c r="E2" s="150"/>
      <c r="F2" s="150"/>
      <c r="G2" s="150"/>
      <c r="H2" s="150"/>
      <c r="I2" s="97"/>
      <c r="J2" s="98"/>
    </row>
    <row r="3" spans="1:10" s="99" customFormat="1" ht="14.25" customHeight="1" x14ac:dyDescent="0.2">
      <c r="A3" s="150"/>
      <c r="B3" s="150"/>
      <c r="C3" s="150"/>
      <c r="D3" s="150"/>
      <c r="E3" s="150"/>
      <c r="F3" s="150"/>
      <c r="G3" s="150"/>
      <c r="H3" s="150"/>
      <c r="I3" s="97"/>
      <c r="J3" s="98"/>
    </row>
    <row r="7" spans="1:10" ht="30" x14ac:dyDescent="0.4">
      <c r="B7" s="101"/>
      <c r="C7" s="152" t="s">
        <v>105</v>
      </c>
      <c r="D7" s="152"/>
      <c r="E7" s="103" t="s">
        <v>113</v>
      </c>
      <c r="F7" s="104"/>
      <c r="G7" s="104"/>
      <c r="H7" s="101"/>
    </row>
    <row r="8" spans="1:10" ht="25.5" x14ac:dyDescent="0.35">
      <c r="A8" s="153"/>
      <c r="B8" s="153"/>
      <c r="C8" s="153"/>
      <c r="D8" s="153"/>
      <c r="E8" s="153"/>
      <c r="F8" s="153"/>
      <c r="G8" s="153"/>
      <c r="H8" s="153"/>
    </row>
    <row r="9" spans="1:10" s="97" customFormat="1" ht="30" x14ac:dyDescent="0.4">
      <c r="A9" s="101"/>
      <c r="B9" s="101"/>
      <c r="D9" s="102" t="s">
        <v>106</v>
      </c>
      <c r="E9" s="106" t="s">
        <v>107</v>
      </c>
      <c r="F9" s="107"/>
      <c r="G9" s="101"/>
      <c r="H9" s="101"/>
      <c r="J9" s="98"/>
    </row>
    <row r="12" spans="1:10" s="97" customFormat="1" ht="68.25" customHeight="1" x14ac:dyDescent="0.4">
      <c r="A12" s="151" t="s">
        <v>108</v>
      </c>
      <c r="B12" s="151"/>
      <c r="C12" s="151"/>
      <c r="D12" s="151"/>
      <c r="E12" s="151"/>
      <c r="F12" s="151"/>
      <c r="G12" s="151"/>
      <c r="H12" s="151"/>
      <c r="J12" s="98"/>
    </row>
    <row r="13" spans="1:10" s="97" customFormat="1" ht="105.75" customHeight="1" x14ac:dyDescent="0.4">
      <c r="A13" s="151" t="s">
        <v>112</v>
      </c>
      <c r="B13" s="151"/>
      <c r="C13" s="151"/>
      <c r="D13" s="151"/>
      <c r="E13" s="151"/>
      <c r="F13" s="151"/>
      <c r="G13" s="151"/>
      <c r="H13" s="151"/>
      <c r="J13" s="98"/>
    </row>
    <row r="18" spans="1:10" s="97" customFormat="1" x14ac:dyDescent="0.2">
      <c r="A18" s="150"/>
      <c r="B18" s="150"/>
      <c r="C18" s="150"/>
      <c r="D18" s="150"/>
      <c r="E18" s="150"/>
      <c r="F18" s="150"/>
      <c r="G18" s="150"/>
      <c r="H18" s="150"/>
      <c r="J18" s="98"/>
    </row>
    <row r="19" spans="1:10" s="97" customFormat="1" x14ac:dyDescent="0.2">
      <c r="A19" s="150"/>
      <c r="B19" s="150"/>
      <c r="C19" s="150"/>
      <c r="D19" s="150"/>
      <c r="E19" s="150"/>
      <c r="F19" s="150"/>
      <c r="G19" s="150"/>
      <c r="H19" s="150"/>
      <c r="J19" s="98"/>
    </row>
    <row r="20" spans="1:10" s="97" customFormat="1" x14ac:dyDescent="0.2">
      <c r="A20" s="150"/>
      <c r="B20" s="150"/>
      <c r="C20" s="150"/>
      <c r="D20" s="150"/>
      <c r="E20" s="150"/>
      <c r="F20" s="150"/>
      <c r="G20" s="150"/>
      <c r="H20" s="150"/>
      <c r="J20" s="98"/>
    </row>
    <row r="22" spans="1:10" s="97" customFormat="1" ht="70.5" customHeight="1" x14ac:dyDescent="0.2">
      <c r="A22" s="150"/>
      <c r="B22" s="150"/>
      <c r="C22" s="150"/>
      <c r="D22" s="150"/>
      <c r="E22" s="150"/>
      <c r="F22" s="150"/>
      <c r="G22" s="150"/>
      <c r="H22" s="150"/>
      <c r="J22" s="98"/>
    </row>
    <row r="26" spans="1:10" s="97" customFormat="1" x14ac:dyDescent="0.2">
      <c r="A26" s="150"/>
      <c r="B26" s="150"/>
      <c r="C26" s="150"/>
      <c r="D26" s="150"/>
      <c r="E26" s="150"/>
      <c r="F26" s="150"/>
      <c r="G26" s="150"/>
      <c r="H26" s="150"/>
      <c r="J26" s="98"/>
    </row>
    <row r="27" spans="1:10" s="97" customFormat="1" x14ac:dyDescent="0.2">
      <c r="A27" s="150"/>
      <c r="B27" s="150"/>
      <c r="C27" s="150"/>
      <c r="D27" s="150"/>
      <c r="E27" s="150"/>
      <c r="F27" s="150"/>
      <c r="G27" s="150"/>
      <c r="H27" s="150"/>
      <c r="J27" s="98"/>
    </row>
    <row r="28" spans="1:10" s="97" customFormat="1" x14ac:dyDescent="0.2">
      <c r="A28" s="150"/>
      <c r="B28" s="150"/>
      <c r="C28" s="150"/>
      <c r="D28" s="150"/>
      <c r="E28" s="150"/>
      <c r="F28" s="150"/>
      <c r="G28" s="150"/>
      <c r="H28" s="150"/>
      <c r="J28" s="98"/>
    </row>
    <row r="29" spans="1:10" s="97" customFormat="1" x14ac:dyDescent="0.2">
      <c r="A29" s="150"/>
      <c r="B29" s="150"/>
      <c r="C29" s="150"/>
      <c r="D29" s="150"/>
      <c r="E29" s="150"/>
      <c r="F29" s="150"/>
      <c r="G29" s="150"/>
      <c r="H29" s="150"/>
      <c r="J29" s="98"/>
    </row>
    <row r="30" spans="1:10" s="97" customFormat="1" x14ac:dyDescent="0.2">
      <c r="A30" s="150" t="s">
        <v>109</v>
      </c>
      <c r="B30" s="150"/>
      <c r="C30" s="150"/>
      <c r="D30" s="150"/>
      <c r="E30" s="150"/>
      <c r="F30" s="150"/>
      <c r="G30" s="150"/>
      <c r="H30" s="150"/>
      <c r="J30" s="98"/>
    </row>
    <row r="31" spans="1:10" s="97" customFormat="1" x14ac:dyDescent="0.2">
      <c r="A31" s="150"/>
      <c r="B31" s="150"/>
      <c r="C31" s="150"/>
      <c r="D31" s="150"/>
      <c r="E31" s="150"/>
      <c r="F31" s="150"/>
      <c r="G31" s="150"/>
      <c r="H31" s="150"/>
      <c r="J31" s="98"/>
    </row>
    <row r="32" spans="1:10" s="97" customFormat="1" x14ac:dyDescent="0.2">
      <c r="A32" s="150"/>
      <c r="B32" s="150"/>
      <c r="C32" s="150"/>
      <c r="D32" s="150"/>
      <c r="E32" s="150"/>
      <c r="F32" s="150"/>
      <c r="G32" s="150"/>
      <c r="H32" s="150"/>
      <c r="J32" s="98"/>
    </row>
    <row r="41" spans="1:10" s="97" customFormat="1" ht="30" x14ac:dyDescent="0.4">
      <c r="A41" s="100"/>
      <c r="B41" s="101"/>
      <c r="C41" s="102"/>
      <c r="D41" s="102" t="s">
        <v>105</v>
      </c>
      <c r="E41" s="103" t="s">
        <v>110</v>
      </c>
      <c r="F41" s="104"/>
      <c r="G41" s="104"/>
      <c r="H41" s="101"/>
      <c r="J41" s="98"/>
    </row>
    <row r="42" spans="1:10" s="97" customFormat="1" ht="25.5" x14ac:dyDescent="0.35">
      <c r="A42" s="105"/>
      <c r="B42" s="105"/>
      <c r="C42" s="105"/>
      <c r="D42" s="105"/>
      <c r="E42" s="105"/>
      <c r="F42" s="105"/>
      <c r="G42" s="105"/>
      <c r="H42" s="105"/>
      <c r="J42" s="98"/>
    </row>
    <row r="43" spans="1:10" s="97" customFormat="1" ht="72.75" customHeight="1" x14ac:dyDescent="0.2">
      <c r="A43" s="100"/>
      <c r="B43" s="100"/>
      <c r="C43" s="100"/>
      <c r="D43" s="100"/>
      <c r="E43" s="100"/>
      <c r="F43" s="100"/>
      <c r="G43" s="100"/>
      <c r="H43" s="100"/>
      <c r="J43" s="98"/>
    </row>
    <row r="44" spans="1:10" s="97" customFormat="1" ht="30" x14ac:dyDescent="0.4">
      <c r="A44" s="101"/>
      <c r="B44" s="101"/>
      <c r="D44" s="102" t="s">
        <v>106</v>
      </c>
      <c r="E44" s="107">
        <v>2440</v>
      </c>
      <c r="F44" s="107"/>
      <c r="G44" s="101"/>
      <c r="H44" s="101"/>
      <c r="J44" s="98"/>
    </row>
    <row r="45" spans="1:10" s="97" customFormat="1" ht="48.75" customHeight="1" x14ac:dyDescent="0.2">
      <c r="A45" s="100"/>
      <c r="B45" s="100"/>
      <c r="C45" s="100"/>
      <c r="D45" s="100"/>
      <c r="E45" s="100"/>
      <c r="F45" s="100"/>
      <c r="G45" s="100"/>
      <c r="H45" s="100"/>
      <c r="J45" s="98"/>
    </row>
    <row r="46" spans="1:10" s="97" customFormat="1" ht="48.75" customHeight="1" x14ac:dyDescent="0.2">
      <c r="A46" s="100"/>
      <c r="B46" s="100"/>
      <c r="C46" s="100"/>
      <c r="D46" s="100"/>
      <c r="E46" s="100"/>
      <c r="F46" s="100"/>
      <c r="G46" s="100"/>
      <c r="H46" s="100"/>
      <c r="J46" s="98"/>
    </row>
    <row r="47" spans="1:10" s="97" customFormat="1" ht="60" customHeight="1" x14ac:dyDescent="0.4">
      <c r="A47" s="151" t="s">
        <v>111</v>
      </c>
      <c r="B47" s="151"/>
      <c r="C47" s="151"/>
      <c r="D47" s="151"/>
      <c r="E47" s="151"/>
      <c r="F47" s="151"/>
      <c r="G47" s="151"/>
      <c r="H47" s="151"/>
      <c r="J47" s="98"/>
    </row>
    <row r="48" spans="1:10" s="97" customFormat="1" ht="125.25" customHeight="1" x14ac:dyDescent="0.4">
      <c r="A48" s="151" t="s">
        <v>112</v>
      </c>
      <c r="B48" s="151"/>
      <c r="C48" s="151"/>
      <c r="D48" s="151"/>
      <c r="E48" s="151"/>
      <c r="F48" s="151"/>
      <c r="G48" s="151"/>
      <c r="H48" s="151"/>
      <c r="J48" s="98"/>
    </row>
  </sheetData>
  <mergeCells count="11">
    <mergeCell ref="A18:H20"/>
    <mergeCell ref="A1:H3"/>
    <mergeCell ref="C7:D7"/>
    <mergeCell ref="A8:H8"/>
    <mergeCell ref="A12:H12"/>
    <mergeCell ref="A13:H13"/>
    <mergeCell ref="A22:H22"/>
    <mergeCell ref="A26:H29"/>
    <mergeCell ref="A30:H32"/>
    <mergeCell ref="A47:H47"/>
    <mergeCell ref="A48:H48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Invoice(SF米国)</vt:lpstr>
      <vt:lpstr>Invoice(SF大阪)</vt:lpstr>
      <vt:lpstr>carton mark </vt:lpstr>
      <vt:lpstr>'carton mark '!Print_Area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2026-04-02T07:04:35Z</cp:lastPrinted>
  <dcterms:created xsi:type="dcterms:W3CDTF">2026-04-02T06:29:15Z</dcterms:created>
  <dcterms:modified xsi:type="dcterms:W3CDTF">2026-04-02T07:37:48Z</dcterms:modified>
</cp:coreProperties>
</file>