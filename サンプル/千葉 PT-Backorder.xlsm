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.hamada\Box\共用\D-Order\Invoice\"/>
    </mc:Choice>
  </mc:AlternateContent>
  <xr:revisionPtr revIDLastSave="0" documentId="13_ncr:1_{628F998B-221B-4618-9E93-2B066AD53342}" xr6:coauthVersionLast="47" xr6:coauthVersionMax="47" xr10:uidLastSave="{00000000-0000-0000-0000-000000000000}"/>
  <bookViews>
    <workbookView xWindow="-120" yWindow="-120" windowWidth="29040" windowHeight="15720" tabRatio="774" xr2:uid="{00000000-000D-0000-FFFF-FFFF00000000}"/>
  </bookViews>
  <sheets>
    <sheet name="NY BackOrder" sheetId="1" r:id="rId1"/>
    <sheet name="取引先マスタ" sheetId="7" r:id="rId2"/>
    <sheet name="仕入先マスタ" sheetId="14" r:id="rId3"/>
    <sheet name="Invoice(SF米国)" sheetId="12" r:id="rId4"/>
    <sheet name="Invoice(SF大阪)" sheetId="13" r:id="rId5"/>
    <sheet name="発注書" sheetId="6" r:id="rId6"/>
    <sheet name="顧客連絡用シート" sheetId="19" r:id="rId7"/>
    <sheet name="Sheet2" sheetId="20" r:id="rId8"/>
    <sheet name="Invoice(Sample)" sheetId="9" state="hidden" r:id="rId9"/>
  </sheets>
  <externalReferences>
    <externalReference r:id="rId10"/>
    <externalReference r:id="rId11"/>
  </externalReferences>
  <definedNames>
    <definedName name="_xlnm._FilterDatabase" localSheetId="0" hidden="1">'NY BackOrder'!$A$1:$W$541</definedName>
    <definedName name="_xlnm._FilterDatabase" localSheetId="1" hidden="1">取引先マスタ!$A$1:$J$185</definedName>
    <definedName name="_List_Currency">[1]Master!$K$2:$K$5</definedName>
    <definedName name="_List_TradeCondition">[1]Master!$D$2:$D$5</definedName>
    <definedName name="_xlnm.Print_Area" localSheetId="8">'Invoice(Sample)'!$C$4:$AH$63</definedName>
    <definedName name="_xlnm.Print_Area" localSheetId="4">'Invoice(SF大阪)'!$B$14:$K$80</definedName>
    <definedName name="_xlnm.Print_Area" localSheetId="3">'Invoice(SF米国)'!$B$14:$K$80</definedName>
    <definedName name="_xlnm.Print_Area" localSheetId="0">'NY BackOrder'!$C$1:$O$638</definedName>
    <definedName name="_xlnm.Print_Area" localSheetId="5">発注書!$B$28:$M$70</definedName>
    <definedName name="_xlnm.Print_Titles" localSheetId="4">'Invoice(SF大阪)'!$14:$35</definedName>
    <definedName name="_xlnm.Print_Titles" localSheetId="3">'Invoice(SF米国)'!$14:$35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23" i="1" l="1"/>
  <c r="Y623" i="1"/>
  <c r="W623" i="1"/>
  <c r="Y622" i="1"/>
  <c r="W622" i="1"/>
  <c r="R622" i="1"/>
  <c r="W621" i="1"/>
  <c r="T621" i="1"/>
  <c r="R621" i="1"/>
  <c r="P621" i="1"/>
  <c r="L621" i="1"/>
  <c r="J621" i="1"/>
  <c r="T617" i="1"/>
  <c r="Y619" i="1"/>
  <c r="W619" i="1"/>
  <c r="T618" i="1"/>
  <c r="R618" i="1"/>
  <c r="L618" i="1"/>
  <c r="W617" i="1"/>
  <c r="R617" i="1"/>
  <c r="P617" i="1"/>
  <c r="L617" i="1"/>
  <c r="J617" i="1"/>
  <c r="T608" i="1"/>
  <c r="U53" i="9"/>
  <c r="L53" i="9"/>
  <c r="H53" i="9"/>
  <c r="AA52" i="9" s="1"/>
  <c r="AF52" i="9" s="1" a="1"/>
  <c r="AF52" i="9" s="1"/>
  <c r="AC52" i="9"/>
  <c r="Y52" i="9"/>
  <c r="W52" i="9"/>
  <c r="H52" i="9"/>
  <c r="D52" i="9"/>
  <c r="C52" i="9"/>
  <c r="U51" i="9"/>
  <c r="L51" i="9"/>
  <c r="H51" i="9"/>
  <c r="AA50" i="9" s="1"/>
  <c r="AF50" i="9" s="1" a="1"/>
  <c r="AF50" i="9" s="1"/>
  <c r="AC50" i="9"/>
  <c r="Y50" i="9"/>
  <c r="W50" i="9"/>
  <c r="H50" i="9"/>
  <c r="D50" i="9"/>
  <c r="C50" i="9"/>
  <c r="U49" i="9"/>
  <c r="L49" i="9"/>
  <c r="H49" i="9"/>
  <c r="AA48" i="9" s="1"/>
  <c r="AF48" i="9" s="1" a="1"/>
  <c r="AF48" i="9" s="1"/>
  <c r="AC48" i="9"/>
  <c r="Y48" i="9"/>
  <c r="W48" i="9"/>
  <c r="H48" i="9"/>
  <c r="D48" i="9"/>
  <c r="C48" i="9"/>
  <c r="U47" i="9"/>
  <c r="L47" i="9"/>
  <c r="H47" i="9"/>
  <c r="AA46" i="9" s="1"/>
  <c r="AF46" i="9" s="1" a="1"/>
  <c r="AF46" i="9" s="1"/>
  <c r="AC46" i="9"/>
  <c r="Y46" i="9"/>
  <c r="W46" i="9"/>
  <c r="H46" i="9"/>
  <c r="D46" i="9"/>
  <c r="C46" i="9"/>
  <c r="U45" i="9"/>
  <c r="L45" i="9"/>
  <c r="H45" i="9"/>
  <c r="AA44" i="9" s="1"/>
  <c r="AF44" i="9" s="1" a="1"/>
  <c r="AF44" i="9" s="1"/>
  <c r="AC44" i="9"/>
  <c r="Y44" i="9"/>
  <c r="W44" i="9"/>
  <c r="H44" i="9"/>
  <c r="D44" i="9"/>
  <c r="C44" i="9"/>
  <c r="U43" i="9"/>
  <c r="L43" i="9"/>
  <c r="H43" i="9"/>
  <c r="AA42" i="9" s="1"/>
  <c r="AF42" i="9" s="1" a="1"/>
  <c r="AF42" i="9" s="1"/>
  <c r="AC42" i="9"/>
  <c r="Y42" i="9"/>
  <c r="W42" i="9"/>
  <c r="H42" i="9"/>
  <c r="D42" i="9"/>
  <c r="C42" i="9"/>
  <c r="U41" i="9"/>
  <c r="L41" i="9"/>
  <c r="H41" i="9"/>
  <c r="AA40" i="9" s="1"/>
  <c r="AF40" i="9" s="1" a="1"/>
  <c r="AF40" i="9" s="1"/>
  <c r="AC40" i="9"/>
  <c r="Y40" i="9"/>
  <c r="W40" i="9"/>
  <c r="H40" i="9"/>
  <c r="D40" i="9"/>
  <c r="C40" i="9"/>
  <c r="U39" i="9"/>
  <c r="L39" i="9"/>
  <c r="H39" i="9"/>
  <c r="AA38" i="9" s="1"/>
  <c r="AF38" i="9" s="1" a="1"/>
  <c r="AF38" i="9" s="1"/>
  <c r="AC38" i="9"/>
  <c r="Y38" i="9"/>
  <c r="W38" i="9"/>
  <c r="H38" i="9"/>
  <c r="D38" i="9"/>
  <c r="C38" i="9"/>
  <c r="U37" i="9"/>
  <c r="L37" i="9"/>
  <c r="H37" i="9"/>
  <c r="AA36" i="9" s="1"/>
  <c r="AF36" i="9" s="1" a="1"/>
  <c r="AF36" i="9" s="1"/>
  <c r="AC36" i="9"/>
  <c r="Y36" i="9"/>
  <c r="W36" i="9"/>
  <c r="H36" i="9"/>
  <c r="D36" i="9"/>
  <c r="C36" i="9"/>
  <c r="U35" i="9"/>
  <c r="L35" i="9"/>
  <c r="H35" i="9"/>
  <c r="AA34" i="9" s="1"/>
  <c r="AF34" i="9" s="1" a="1"/>
  <c r="AF34" i="9" s="1"/>
  <c r="AC34" i="9"/>
  <c r="Y34" i="9"/>
  <c r="W34" i="9"/>
  <c r="H34" i="9"/>
  <c r="D34" i="9"/>
  <c r="C34" i="9"/>
  <c r="U33" i="9"/>
  <c r="L33" i="9"/>
  <c r="H33" i="9"/>
  <c r="AA32" i="9" s="1"/>
  <c r="AF32" i="9" s="1" a="1"/>
  <c r="AF32" i="9" s="1"/>
  <c r="AC32" i="9"/>
  <c r="Y32" i="9"/>
  <c r="W32" i="9"/>
  <c r="H32" i="9"/>
  <c r="D32" i="9"/>
  <c r="C32" i="9"/>
  <c r="U31" i="9"/>
  <c r="L31" i="9"/>
  <c r="H31" i="9"/>
  <c r="AA30" i="9" s="1"/>
  <c r="AF30" i="9" s="1" a="1"/>
  <c r="AF30" i="9" s="1"/>
  <c r="AC30" i="9"/>
  <c r="Y30" i="9"/>
  <c r="W30" i="9"/>
  <c r="H30" i="9"/>
  <c r="D30" i="9"/>
  <c r="C30" i="9"/>
  <c r="U29" i="9"/>
  <c r="L29" i="9"/>
  <c r="H29" i="9"/>
  <c r="AA28" i="9" s="1"/>
  <c r="AF28" i="9" s="1" a="1"/>
  <c r="AF28" i="9" s="1"/>
  <c r="AC28" i="9"/>
  <c r="Y28" i="9"/>
  <c r="W28" i="9"/>
  <c r="H28" i="9"/>
  <c r="D28" i="9"/>
  <c r="C28" i="9"/>
  <c r="U27" i="9"/>
  <c r="L27" i="9"/>
  <c r="H27" i="9"/>
  <c r="AA26" i="9" s="1"/>
  <c r="AF26" i="9" s="1" a="1"/>
  <c r="AF26" i="9" s="1"/>
  <c r="AC26" i="9"/>
  <c r="Y26" i="9"/>
  <c r="W26" i="9"/>
  <c r="H26" i="9"/>
  <c r="D26" i="9"/>
  <c r="D109" i="20"/>
  <c r="D99" i="20"/>
  <c r="D98" i="20"/>
  <c r="E89" i="20"/>
  <c r="E88" i="20"/>
  <c r="G1796" i="19"/>
  <c r="G1794" i="19"/>
  <c r="G1793" i="19"/>
  <c r="G1792" i="19"/>
  <c r="G1791" i="19"/>
  <c r="G1790" i="19"/>
  <c r="G1789" i="19"/>
  <c r="G1788" i="19"/>
  <c r="G1787" i="19"/>
  <c r="G1786" i="19"/>
  <c r="G1785" i="19"/>
  <c r="G1784" i="19"/>
  <c r="G1783" i="19"/>
  <c r="G1782" i="19"/>
  <c r="G1781" i="19"/>
  <c r="G1780" i="19"/>
  <c r="G1779" i="19"/>
  <c r="G1778" i="19"/>
  <c r="G1777" i="19"/>
  <c r="G1776" i="19"/>
  <c r="G1775" i="19"/>
  <c r="G1774" i="19"/>
  <c r="G1773" i="19"/>
  <c r="G1772" i="19"/>
  <c r="G1771" i="19"/>
  <c r="G1770" i="19"/>
  <c r="G1769" i="19"/>
  <c r="G1768" i="19"/>
  <c r="G1767" i="19"/>
  <c r="G1766" i="19"/>
  <c r="G1765" i="19"/>
  <c r="G1764" i="19"/>
  <c r="G1763" i="19"/>
  <c r="G1762" i="19"/>
  <c r="G1761" i="19"/>
  <c r="G1759" i="19"/>
  <c r="G1757" i="19"/>
  <c r="G1756" i="19"/>
  <c r="G1755" i="19"/>
  <c r="G1754" i="19"/>
  <c r="G1753" i="19"/>
  <c r="G1752" i="19"/>
  <c r="F1746" i="19"/>
  <c r="F1743" i="19"/>
  <c r="D1737" i="19"/>
  <c r="D1736" i="19"/>
  <c r="D1735" i="19"/>
  <c r="E1719" i="19"/>
  <c r="E1718" i="19"/>
  <c r="E1717" i="19"/>
  <c r="E1716" i="19"/>
  <c r="E1715" i="19"/>
  <c r="E1714" i="19"/>
  <c r="E1713" i="19"/>
  <c r="E1712" i="19"/>
  <c r="E1711" i="19"/>
  <c r="E1710" i="19"/>
  <c r="F1706" i="19"/>
  <c r="F1705" i="19"/>
  <c r="F1704" i="19"/>
  <c r="F1703" i="19"/>
  <c r="F1702" i="19"/>
  <c r="F1701" i="19"/>
  <c r="F1700" i="19"/>
  <c r="F1699" i="19"/>
  <c r="H1695" i="19"/>
  <c r="H1694" i="19"/>
  <c r="H1693" i="19"/>
  <c r="H1692" i="19"/>
  <c r="H1691" i="19"/>
  <c r="H1690" i="19"/>
  <c r="H1689" i="19"/>
  <c r="H1688" i="19"/>
  <c r="H1687" i="19"/>
  <c r="H1686" i="19"/>
  <c r="H1685" i="19"/>
  <c r="H1684" i="19"/>
  <c r="H1683" i="19"/>
  <c r="H1682" i="19"/>
  <c r="H1681" i="19"/>
  <c r="H1680" i="19"/>
  <c r="G1676" i="19"/>
  <c r="G1675" i="19"/>
  <c r="F1675" i="19"/>
  <c r="F1674" i="19"/>
  <c r="G1673" i="19"/>
  <c r="F1673" i="19"/>
  <c r="G1672" i="19"/>
  <c r="F1672" i="19"/>
  <c r="F1641" i="19"/>
  <c r="F1640" i="19"/>
  <c r="F1639" i="19"/>
  <c r="F1638" i="19"/>
  <c r="I1625" i="19"/>
  <c r="H1625" i="19"/>
  <c r="G1625" i="19"/>
  <c r="E1625" i="19"/>
  <c r="I1624" i="19"/>
  <c r="H1624" i="19"/>
  <c r="G1624" i="19"/>
  <c r="E1624" i="19"/>
  <c r="I1621" i="19"/>
  <c r="H1621" i="19"/>
  <c r="G1621" i="19"/>
  <c r="E1621" i="19"/>
  <c r="F1617" i="19"/>
  <c r="F1616" i="19"/>
  <c r="F1615" i="19"/>
  <c r="F1614" i="19"/>
  <c r="F1613" i="19"/>
  <c r="D1595" i="19"/>
  <c r="F1592" i="19"/>
  <c r="H1588" i="19"/>
  <c r="H1587" i="19"/>
  <c r="I1577" i="19"/>
  <c r="I1576" i="19"/>
  <c r="I1575" i="19"/>
  <c r="I1574" i="19"/>
  <c r="I1573" i="19"/>
  <c r="I1572" i="19"/>
  <c r="I1571" i="19"/>
  <c r="I1570" i="19"/>
  <c r="I1569" i="19"/>
  <c r="I1568" i="19"/>
  <c r="I1565" i="19"/>
  <c r="I1564" i="19"/>
  <c r="I1563" i="19"/>
  <c r="I1562" i="19"/>
  <c r="I1561" i="19"/>
  <c r="I1560" i="19"/>
  <c r="I1559" i="19"/>
  <c r="N1546" i="19"/>
  <c r="N1545" i="19"/>
  <c r="J1545" i="19"/>
  <c r="N1544" i="19"/>
  <c r="J1544" i="19"/>
  <c r="N1543" i="19"/>
  <c r="J1543" i="19"/>
  <c r="N1542" i="19"/>
  <c r="J1542" i="19"/>
  <c r="N1541" i="19"/>
  <c r="J1541" i="19"/>
  <c r="N1540" i="19"/>
  <c r="J1540" i="19"/>
  <c r="N1539" i="19"/>
  <c r="J1539" i="19"/>
  <c r="N1538" i="19"/>
  <c r="J1538" i="19"/>
  <c r="N1535" i="19"/>
  <c r="N1534" i="19"/>
  <c r="J1534" i="19"/>
  <c r="N1533" i="19"/>
  <c r="J1533" i="19"/>
  <c r="N1532" i="19"/>
  <c r="J1532" i="19"/>
  <c r="N1531" i="19"/>
  <c r="J1531" i="19"/>
  <c r="N1530" i="19"/>
  <c r="J1530" i="19"/>
  <c r="N1529" i="19"/>
  <c r="J1529" i="19"/>
  <c r="N1526" i="19"/>
  <c r="J1526" i="19"/>
  <c r="N1525" i="19"/>
  <c r="J1525" i="19"/>
  <c r="B1502" i="19"/>
  <c r="H1459" i="19"/>
  <c r="G1459" i="19"/>
  <c r="H1458" i="19"/>
  <c r="H1457" i="19"/>
  <c r="H1456" i="19"/>
  <c r="B1444" i="19"/>
  <c r="F981" i="19"/>
  <c r="F980" i="19"/>
  <c r="F978" i="19"/>
  <c r="F977" i="19"/>
  <c r="E963" i="19"/>
  <c r="E962" i="19"/>
  <c r="F958" i="19"/>
  <c r="P942" i="19"/>
  <c r="E942" i="19"/>
  <c r="E941" i="19"/>
  <c r="E940" i="19"/>
  <c r="E939" i="19"/>
  <c r="E938" i="19"/>
  <c r="H797" i="19"/>
  <c r="H796" i="19"/>
  <c r="H795" i="19"/>
  <c r="H794" i="19"/>
  <c r="H793" i="19"/>
  <c r="H789" i="19"/>
  <c r="H788" i="19"/>
  <c r="H787" i="19"/>
  <c r="H680" i="19"/>
  <c r="H679" i="19"/>
  <c r="H677" i="19"/>
  <c r="H676" i="19"/>
  <c r="H675" i="19"/>
  <c r="H674" i="19"/>
  <c r="H673" i="19"/>
  <c r="H672" i="19"/>
  <c r="H671" i="19"/>
  <c r="H670" i="19"/>
  <c r="H669" i="19"/>
  <c r="H668" i="19"/>
  <c r="G583" i="19"/>
  <c r="G582" i="19"/>
  <c r="G581" i="19"/>
  <c r="G580" i="19"/>
  <c r="G579" i="19"/>
  <c r="G578" i="19"/>
  <c r="G577" i="19"/>
  <c r="G562" i="19"/>
  <c r="G560" i="19"/>
  <c r="G559" i="19"/>
  <c r="G558" i="19"/>
  <c r="G557" i="19"/>
  <c r="G556" i="19"/>
  <c r="G555" i="19"/>
  <c r="G554" i="19"/>
  <c r="G553" i="19"/>
  <c r="G552" i="19"/>
  <c r="G551" i="19"/>
  <c r="G550" i="19"/>
  <c r="G549" i="19"/>
  <c r="G548" i="19"/>
  <c r="G547" i="19"/>
  <c r="F501" i="19"/>
  <c r="H440" i="19"/>
  <c r="H439" i="19"/>
  <c r="H438" i="19"/>
  <c r="H437" i="19"/>
  <c r="H436" i="19"/>
  <c r="G423" i="19"/>
  <c r="E161" i="19"/>
  <c r="E160" i="19"/>
  <c r="E159" i="19"/>
  <c r="E158" i="19"/>
  <c r="E157" i="19"/>
  <c r="E156" i="19"/>
  <c r="E155" i="19"/>
  <c r="E106" i="19"/>
  <c r="E105" i="19"/>
  <c r="E92" i="19"/>
  <c r="C69" i="6"/>
  <c r="B69" i="6"/>
  <c r="C68" i="6"/>
  <c r="B68" i="6"/>
  <c r="B67" i="6"/>
  <c r="B66" i="6"/>
  <c r="C65" i="6"/>
  <c r="B65" i="6"/>
  <c r="J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C33" i="6"/>
  <c r="C32" i="6"/>
  <c r="C31" i="6"/>
  <c r="M29" i="6"/>
  <c r="M28" i="6"/>
  <c r="B25" i="6"/>
  <c r="B20" i="6"/>
  <c r="B19" i="6"/>
  <c r="F18" i="6"/>
  <c r="H18" i="6" s="1"/>
  <c r="B18" i="6" s="1"/>
  <c r="C66" i="6" s="1"/>
  <c r="C13" i="6"/>
  <c r="C12" i="6"/>
  <c r="E11" i="6"/>
  <c r="C11" i="6"/>
  <c r="E10" i="6" a="1"/>
  <c r="E10" i="6" s="1"/>
  <c r="C10" i="6"/>
  <c r="E8" i="6" a="1"/>
  <c r="E8" i="6" s="1"/>
  <c r="E7" i="6"/>
  <c r="C7" i="6"/>
  <c r="E4" i="6"/>
  <c r="E5" i="6" s="1"/>
  <c r="J72" i="13"/>
  <c r="J71" i="13"/>
  <c r="H71" i="13" a="1"/>
  <c r="H71" i="13" s="1"/>
  <c r="J70" i="13"/>
  <c r="H70" i="13" a="1"/>
  <c r="H70" i="13" s="1"/>
  <c r="J69" i="13"/>
  <c r="J73" i="13" s="1"/>
  <c r="F33" i="13"/>
  <c r="D33" i="13"/>
  <c r="B33" i="13"/>
  <c r="J31" i="13"/>
  <c r="D31" i="13"/>
  <c r="B31" i="13"/>
  <c r="D28" i="13"/>
  <c r="C28" i="13"/>
  <c r="D27" i="13"/>
  <c r="C27" i="13"/>
  <c r="C26" i="13"/>
  <c r="C25" i="13"/>
  <c r="C24" i="13"/>
  <c r="D22" i="13"/>
  <c r="C22" i="13"/>
  <c r="D21" i="13"/>
  <c r="C21" i="13"/>
  <c r="C20" i="13"/>
  <c r="C19" i="13"/>
  <c r="C18" i="13"/>
  <c r="E12" i="13"/>
  <c r="C12" i="13" a="1"/>
  <c r="C12" i="13" s="1"/>
  <c r="C11" i="13"/>
  <c r="C10" i="13"/>
  <c r="C9" i="13"/>
  <c r="C7" i="13"/>
  <c r="C6" i="13"/>
  <c r="E5" i="13"/>
  <c r="E6" i="13" s="1"/>
  <c r="C5" i="13"/>
  <c r="E4" i="13"/>
  <c r="C3" i="13"/>
  <c r="H2" i="13"/>
  <c r="C2" i="13"/>
  <c r="G16" i="13" s="1"/>
  <c r="I32" i="12"/>
  <c r="D28" i="12"/>
  <c r="C28" i="12"/>
  <c r="D27" i="12"/>
  <c r="C27" i="12"/>
  <c r="C26" i="12"/>
  <c r="C25" i="12"/>
  <c r="C24" i="12"/>
  <c r="D22" i="12"/>
  <c r="C22" i="12"/>
  <c r="D21" i="12"/>
  <c r="C21" i="12"/>
  <c r="C20" i="12"/>
  <c r="C19" i="12"/>
  <c r="C18" i="12"/>
  <c r="J17" i="12"/>
  <c r="J17" i="13" s="1"/>
  <c r="F31" i="13" s="1"/>
  <c r="G16" i="12"/>
  <c r="E12" i="12"/>
  <c r="C12" i="12" a="1"/>
  <c r="C12" i="12" s="1"/>
  <c r="E11" i="12" a="1"/>
  <c r="E11" i="12" s="1"/>
  <c r="C11" i="12"/>
  <c r="E10" i="12" a="1"/>
  <c r="E10" i="12" s="1"/>
  <c r="E10" i="13" s="1"/>
  <c r="E9" i="12" a="1"/>
  <c r="E9" i="12" s="1"/>
  <c r="E9" i="13" s="1"/>
  <c r="E8" i="12"/>
  <c r="C8" i="12"/>
  <c r="E5" i="12"/>
  <c r="E6" i="12" s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Y615" i="1"/>
  <c r="W615" i="1"/>
  <c r="T614" i="1"/>
  <c r="R614" i="1"/>
  <c r="L614" i="1"/>
  <c r="Y613" i="1"/>
  <c r="W613" i="1"/>
  <c r="T613" i="1"/>
  <c r="R613" i="1"/>
  <c r="P613" i="1"/>
  <c r="L613" i="1"/>
  <c r="J613" i="1"/>
  <c r="W612" i="1"/>
  <c r="T612" i="1"/>
  <c r="R612" i="1"/>
  <c r="P612" i="1"/>
  <c r="L612" i="1"/>
  <c r="J612" i="1"/>
  <c r="AA610" i="1"/>
  <c r="W610" i="1"/>
  <c r="T610" i="1"/>
  <c r="R610" i="1"/>
  <c r="P610" i="1"/>
  <c r="L610" i="1"/>
  <c r="J610" i="1"/>
  <c r="Y608" i="1"/>
  <c r="W608" i="1"/>
  <c r="Y607" i="1"/>
  <c r="W607" i="1"/>
  <c r="R607" i="1"/>
  <c r="W606" i="1"/>
  <c r="T606" i="1"/>
  <c r="R606" i="1"/>
  <c r="P606" i="1"/>
  <c r="L606" i="1"/>
  <c r="J606" i="1"/>
  <c r="Y604" i="1"/>
  <c r="W604" i="1"/>
  <c r="T603" i="1"/>
  <c r="R603" i="1"/>
  <c r="L603" i="1"/>
  <c r="AA602" i="1"/>
  <c r="W602" i="1"/>
  <c r="T602" i="1"/>
  <c r="R602" i="1"/>
  <c r="P602" i="1"/>
  <c r="L602" i="1"/>
  <c r="J602" i="1"/>
  <c r="W600" i="1"/>
  <c r="T600" i="1"/>
  <c r="R600" i="1"/>
  <c r="P600" i="1"/>
  <c r="L600" i="1"/>
  <c r="J600" i="1"/>
  <c r="W598" i="1"/>
  <c r="T598" i="1"/>
  <c r="R598" i="1"/>
  <c r="P598" i="1"/>
  <c r="L598" i="1"/>
  <c r="J598" i="1"/>
  <c r="W596" i="1"/>
  <c r="T596" i="1"/>
  <c r="R596" i="1"/>
  <c r="P596" i="1"/>
  <c r="L596" i="1"/>
  <c r="J596" i="1"/>
  <c r="W594" i="1"/>
  <c r="T594" i="1"/>
  <c r="R594" i="1"/>
  <c r="L594" i="1"/>
  <c r="J594" i="1"/>
  <c r="W593" i="1"/>
  <c r="T593" i="1"/>
  <c r="R593" i="1"/>
  <c r="L593" i="1"/>
  <c r="J593" i="1"/>
  <c r="W592" i="1"/>
  <c r="T592" i="1"/>
  <c r="R592" i="1"/>
  <c r="L592" i="1"/>
  <c r="J592" i="1"/>
  <c r="Y590" i="1"/>
  <c r="W590" i="1"/>
  <c r="Y589" i="1"/>
  <c r="W589" i="1"/>
  <c r="T589" i="1"/>
  <c r="S589" i="1"/>
  <c r="W587" i="1"/>
  <c r="T587" i="1"/>
  <c r="R587" i="1"/>
  <c r="P587" i="1"/>
  <c r="L587" i="1"/>
  <c r="J587" i="1"/>
  <c r="W585" i="1"/>
  <c r="T585" i="1"/>
  <c r="R585" i="1"/>
  <c r="P585" i="1"/>
  <c r="L585" i="1"/>
  <c r="J585" i="1"/>
  <c r="W584" i="1"/>
  <c r="T584" i="1"/>
  <c r="R584" i="1"/>
  <c r="P584" i="1"/>
  <c r="L584" i="1"/>
  <c r="J584" i="1"/>
  <c r="W583" i="1"/>
  <c r="T583" i="1"/>
  <c r="R583" i="1"/>
  <c r="P583" i="1"/>
  <c r="L583" i="1"/>
  <c r="J583" i="1"/>
  <c r="W582" i="1"/>
  <c r="T582" i="1"/>
  <c r="R582" i="1"/>
  <c r="P582" i="1"/>
  <c r="L582" i="1"/>
  <c r="J582" i="1"/>
  <c r="W581" i="1"/>
  <c r="T581" i="1"/>
  <c r="R581" i="1"/>
  <c r="P581" i="1"/>
  <c r="L581" i="1"/>
  <c r="J581" i="1"/>
  <c r="W580" i="1"/>
  <c r="T580" i="1"/>
  <c r="R580" i="1"/>
  <c r="P580" i="1"/>
  <c r="L580" i="1"/>
  <c r="J580" i="1"/>
  <c r="W579" i="1"/>
  <c r="T579" i="1"/>
  <c r="R579" i="1"/>
  <c r="P579" i="1"/>
  <c r="L579" i="1"/>
  <c r="J579" i="1"/>
  <c r="W578" i="1"/>
  <c r="T578" i="1"/>
  <c r="R578" i="1"/>
  <c r="P578" i="1"/>
  <c r="L578" i="1"/>
  <c r="J578" i="1"/>
  <c r="W577" i="1"/>
  <c r="T577" i="1"/>
  <c r="R577" i="1"/>
  <c r="P577" i="1"/>
  <c r="L577" i="1"/>
  <c r="J577" i="1"/>
  <c r="W576" i="1"/>
  <c r="T576" i="1"/>
  <c r="R576" i="1"/>
  <c r="P576" i="1"/>
  <c r="L576" i="1"/>
  <c r="J576" i="1"/>
  <c r="W575" i="1"/>
  <c r="T575" i="1"/>
  <c r="R575" i="1"/>
  <c r="P575" i="1"/>
  <c r="L575" i="1"/>
  <c r="J575" i="1"/>
  <c r="W574" i="1"/>
  <c r="T574" i="1"/>
  <c r="R574" i="1"/>
  <c r="P574" i="1"/>
  <c r="L574" i="1"/>
  <c r="J574" i="1"/>
  <c r="W573" i="1"/>
  <c r="T573" i="1"/>
  <c r="R573" i="1"/>
  <c r="P573" i="1"/>
  <c r="L573" i="1"/>
  <c r="J573" i="1"/>
  <c r="W572" i="1"/>
  <c r="T572" i="1"/>
  <c r="R572" i="1"/>
  <c r="P572" i="1"/>
  <c r="L572" i="1"/>
  <c r="J572" i="1"/>
  <c r="W571" i="1"/>
  <c r="T571" i="1"/>
  <c r="R571" i="1"/>
  <c r="P571" i="1"/>
  <c r="L571" i="1"/>
  <c r="J571" i="1"/>
  <c r="W570" i="1"/>
  <c r="T570" i="1"/>
  <c r="R570" i="1"/>
  <c r="P570" i="1"/>
  <c r="L570" i="1"/>
  <c r="J570" i="1"/>
  <c r="W569" i="1"/>
  <c r="T569" i="1"/>
  <c r="R569" i="1"/>
  <c r="P569" i="1"/>
  <c r="L569" i="1"/>
  <c r="J569" i="1"/>
  <c r="W568" i="1"/>
  <c r="T568" i="1"/>
  <c r="R568" i="1"/>
  <c r="P568" i="1"/>
  <c r="L568" i="1"/>
  <c r="J568" i="1"/>
  <c r="W567" i="1"/>
  <c r="T567" i="1"/>
  <c r="R567" i="1"/>
  <c r="P567" i="1"/>
  <c r="L567" i="1"/>
  <c r="J567" i="1"/>
  <c r="W566" i="1"/>
  <c r="T566" i="1"/>
  <c r="R566" i="1"/>
  <c r="P566" i="1"/>
  <c r="L566" i="1"/>
  <c r="J566" i="1"/>
  <c r="W565" i="1"/>
  <c r="T565" i="1"/>
  <c r="R565" i="1"/>
  <c r="P565" i="1"/>
  <c r="L565" i="1"/>
  <c r="J565" i="1"/>
  <c r="W564" i="1"/>
  <c r="T564" i="1"/>
  <c r="R564" i="1"/>
  <c r="P564" i="1"/>
  <c r="L564" i="1"/>
  <c r="J564" i="1"/>
  <c r="W563" i="1"/>
  <c r="T563" i="1"/>
  <c r="R563" i="1"/>
  <c r="P563" i="1"/>
  <c r="L563" i="1"/>
  <c r="J563" i="1"/>
  <c r="W562" i="1"/>
  <c r="T562" i="1"/>
  <c r="R562" i="1"/>
  <c r="P562" i="1"/>
  <c r="L562" i="1"/>
  <c r="J562" i="1"/>
  <c r="W561" i="1"/>
  <c r="T561" i="1"/>
  <c r="R561" i="1"/>
  <c r="P561" i="1"/>
  <c r="L561" i="1"/>
  <c r="J561" i="1"/>
  <c r="W560" i="1"/>
  <c r="T560" i="1"/>
  <c r="R560" i="1"/>
  <c r="P560" i="1"/>
  <c r="L560" i="1"/>
  <c r="J560" i="1"/>
  <c r="W559" i="1"/>
  <c r="T559" i="1"/>
  <c r="R559" i="1"/>
  <c r="P559" i="1"/>
  <c r="L559" i="1"/>
  <c r="J559" i="1"/>
  <c r="W558" i="1"/>
  <c r="T558" i="1"/>
  <c r="R558" i="1"/>
  <c r="P558" i="1"/>
  <c r="L558" i="1"/>
  <c r="J558" i="1"/>
  <c r="W557" i="1"/>
  <c r="T557" i="1"/>
  <c r="R557" i="1"/>
  <c r="P557" i="1"/>
  <c r="L557" i="1"/>
  <c r="J557" i="1"/>
  <c r="W556" i="1"/>
  <c r="T556" i="1"/>
  <c r="R556" i="1"/>
  <c r="P556" i="1"/>
  <c r="L556" i="1"/>
  <c r="J556" i="1"/>
  <c r="W555" i="1"/>
  <c r="T555" i="1"/>
  <c r="R555" i="1"/>
  <c r="P555" i="1"/>
  <c r="L555" i="1"/>
  <c r="J555" i="1"/>
  <c r="W554" i="1"/>
  <c r="T554" i="1"/>
  <c r="R554" i="1"/>
  <c r="P554" i="1"/>
  <c r="L554" i="1"/>
  <c r="J554" i="1"/>
  <c r="W553" i="1"/>
  <c r="T553" i="1"/>
  <c r="R553" i="1"/>
  <c r="P553" i="1"/>
  <c r="L553" i="1"/>
  <c r="J553" i="1"/>
  <c r="W552" i="1"/>
  <c r="T552" i="1"/>
  <c r="R552" i="1"/>
  <c r="P552" i="1"/>
  <c r="L552" i="1"/>
  <c r="J552" i="1"/>
  <c r="W550" i="1"/>
  <c r="T550" i="1"/>
  <c r="R550" i="1"/>
  <c r="P550" i="1"/>
  <c r="L550" i="1"/>
  <c r="J550" i="1"/>
  <c r="Y549" i="1"/>
  <c r="Y548" i="1"/>
  <c r="W548" i="1"/>
  <c r="T548" i="1"/>
  <c r="R548" i="1"/>
  <c r="P548" i="1"/>
  <c r="L548" i="1"/>
  <c r="J548" i="1"/>
  <c r="Y547" i="1"/>
  <c r="W547" i="1"/>
  <c r="T547" i="1"/>
  <c r="R547" i="1"/>
  <c r="P547" i="1"/>
  <c r="L547" i="1"/>
  <c r="J547" i="1"/>
  <c r="Y546" i="1"/>
  <c r="W546" i="1"/>
  <c r="T546" i="1"/>
  <c r="R546" i="1"/>
  <c r="P546" i="1"/>
  <c r="L546" i="1"/>
  <c r="J546" i="1"/>
  <c r="W545" i="1"/>
  <c r="T545" i="1"/>
  <c r="R545" i="1"/>
  <c r="P545" i="1"/>
  <c r="L545" i="1"/>
  <c r="J545" i="1"/>
  <c r="W544" i="1"/>
  <c r="T544" i="1"/>
  <c r="R544" i="1"/>
  <c r="P544" i="1"/>
  <c r="L544" i="1"/>
  <c r="J544" i="1"/>
  <c r="W543" i="1"/>
  <c r="T543" i="1"/>
  <c r="R543" i="1"/>
  <c r="P543" i="1"/>
  <c r="L543" i="1"/>
  <c r="J543" i="1"/>
  <c r="Y541" i="1"/>
  <c r="W541" i="1"/>
  <c r="W539" i="1"/>
  <c r="T539" i="1"/>
  <c r="R539" i="1"/>
  <c r="P539" i="1"/>
  <c r="L539" i="1"/>
  <c r="J539" i="1"/>
  <c r="W538" i="1"/>
  <c r="T538" i="1"/>
  <c r="R538" i="1"/>
  <c r="P538" i="1"/>
  <c r="L538" i="1"/>
  <c r="J538" i="1"/>
  <c r="W535" i="1"/>
  <c r="T535" i="1"/>
  <c r="R535" i="1"/>
  <c r="P535" i="1"/>
  <c r="L535" i="1"/>
  <c r="J535" i="1"/>
  <c r="W534" i="1"/>
  <c r="T534" i="1"/>
  <c r="R534" i="1"/>
  <c r="P534" i="1"/>
  <c r="L534" i="1"/>
  <c r="J534" i="1"/>
  <c r="W533" i="1"/>
  <c r="T533" i="1"/>
  <c r="R533" i="1"/>
  <c r="P533" i="1"/>
  <c r="L533" i="1"/>
  <c r="J533" i="1"/>
  <c r="Y531" i="1"/>
  <c r="W531" i="1"/>
  <c r="W529" i="1"/>
  <c r="T529" i="1"/>
  <c r="R529" i="1"/>
  <c r="P529" i="1"/>
  <c r="L529" i="1"/>
  <c r="J529" i="1"/>
  <c r="W527" i="1"/>
  <c r="T527" i="1"/>
  <c r="R527" i="1"/>
  <c r="P527" i="1"/>
  <c r="L527" i="1"/>
  <c r="J527" i="1"/>
  <c r="W526" i="1"/>
  <c r="T526" i="1"/>
  <c r="R526" i="1"/>
  <c r="P526" i="1"/>
  <c r="L526" i="1"/>
  <c r="J526" i="1"/>
  <c r="W524" i="1"/>
  <c r="T524" i="1"/>
  <c r="R524" i="1"/>
  <c r="P524" i="1"/>
  <c r="L524" i="1"/>
  <c r="J524" i="1"/>
  <c r="W522" i="1"/>
  <c r="T522" i="1"/>
  <c r="R522" i="1"/>
  <c r="P522" i="1"/>
  <c r="L522" i="1"/>
  <c r="Y520" i="1"/>
  <c r="W520" i="1"/>
  <c r="W518" i="1"/>
  <c r="T518" i="1"/>
  <c r="R518" i="1"/>
  <c r="P518" i="1"/>
  <c r="L518" i="1"/>
  <c r="J518" i="1"/>
  <c r="W517" i="1"/>
  <c r="T517" i="1"/>
  <c r="R517" i="1"/>
  <c r="P517" i="1"/>
  <c r="L517" i="1"/>
  <c r="J517" i="1"/>
  <c r="W516" i="1"/>
  <c r="T516" i="1"/>
  <c r="R516" i="1"/>
  <c r="P516" i="1"/>
  <c r="L516" i="1"/>
  <c r="J516" i="1"/>
  <c r="W514" i="1"/>
  <c r="T514" i="1"/>
  <c r="R514" i="1"/>
  <c r="P514" i="1"/>
  <c r="L514" i="1"/>
  <c r="J514" i="1"/>
  <c r="W512" i="1"/>
  <c r="T512" i="1"/>
  <c r="R512" i="1"/>
  <c r="P512" i="1"/>
  <c r="L512" i="1"/>
  <c r="J512" i="1"/>
  <c r="Y510" i="1"/>
  <c r="W510" i="1"/>
  <c r="W508" i="1"/>
  <c r="T508" i="1"/>
  <c r="R508" i="1"/>
  <c r="P508" i="1"/>
  <c r="L508" i="1"/>
  <c r="W506" i="1"/>
  <c r="T506" i="1"/>
  <c r="R506" i="1"/>
  <c r="P506" i="1"/>
  <c r="L506" i="1"/>
  <c r="J506" i="1"/>
  <c r="W505" i="1"/>
  <c r="T505" i="1"/>
  <c r="R505" i="1"/>
  <c r="P505" i="1"/>
  <c r="L505" i="1"/>
  <c r="J505" i="1"/>
  <c r="W504" i="1"/>
  <c r="T504" i="1"/>
  <c r="R504" i="1"/>
  <c r="P504" i="1"/>
  <c r="L504" i="1"/>
  <c r="J504" i="1"/>
  <c r="Y502" i="1"/>
  <c r="W502" i="1"/>
  <c r="W500" i="1"/>
  <c r="T500" i="1"/>
  <c r="R500" i="1"/>
  <c r="P500" i="1"/>
  <c r="L500" i="1"/>
  <c r="J500" i="1"/>
  <c r="W499" i="1"/>
  <c r="T499" i="1"/>
  <c r="R499" i="1"/>
  <c r="P499" i="1"/>
  <c r="L499" i="1"/>
  <c r="J499" i="1"/>
  <c r="W498" i="1"/>
  <c r="T498" i="1"/>
  <c r="R498" i="1"/>
  <c r="P498" i="1"/>
  <c r="L498" i="1"/>
  <c r="J498" i="1"/>
  <c r="W497" i="1"/>
  <c r="T497" i="1"/>
  <c r="R497" i="1"/>
  <c r="P497" i="1"/>
  <c r="L497" i="1"/>
  <c r="J497" i="1"/>
  <c r="W496" i="1"/>
  <c r="T496" i="1"/>
  <c r="R496" i="1"/>
  <c r="P496" i="1"/>
  <c r="L496" i="1"/>
  <c r="J496" i="1"/>
  <c r="W495" i="1"/>
  <c r="T495" i="1"/>
  <c r="R495" i="1"/>
  <c r="P495" i="1"/>
  <c r="L495" i="1"/>
  <c r="J495" i="1"/>
  <c r="W493" i="1"/>
  <c r="T493" i="1"/>
  <c r="R493" i="1"/>
  <c r="P493" i="1"/>
  <c r="L493" i="1"/>
  <c r="J493" i="1"/>
  <c r="Y491" i="1"/>
  <c r="W491" i="1"/>
  <c r="Y490" i="1"/>
  <c r="W490" i="1"/>
  <c r="R490" i="1"/>
  <c r="L490" i="1"/>
  <c r="W489" i="1"/>
  <c r="T489" i="1"/>
  <c r="R489" i="1"/>
  <c r="P489" i="1"/>
  <c r="L489" i="1"/>
  <c r="J489" i="1"/>
  <c r="W487" i="1"/>
  <c r="T487" i="1"/>
  <c r="R487" i="1"/>
  <c r="P487" i="1"/>
  <c r="L487" i="1"/>
  <c r="J487" i="1"/>
  <c r="Y485" i="1"/>
  <c r="W485" i="1"/>
  <c r="S485" i="1"/>
  <c r="Y484" i="1"/>
  <c r="W484" i="1"/>
  <c r="R484" i="1"/>
  <c r="L484" i="1"/>
  <c r="W483" i="1"/>
  <c r="T483" i="1"/>
  <c r="R483" i="1"/>
  <c r="P483" i="1"/>
  <c r="L483" i="1"/>
  <c r="J483" i="1"/>
  <c r="W482" i="1"/>
  <c r="T482" i="1"/>
  <c r="R482" i="1"/>
  <c r="P482" i="1"/>
  <c r="L482" i="1"/>
  <c r="J482" i="1"/>
  <c r="W481" i="1"/>
  <c r="T481" i="1"/>
  <c r="R481" i="1"/>
  <c r="P481" i="1"/>
  <c r="L481" i="1"/>
  <c r="J481" i="1"/>
  <c r="W480" i="1"/>
  <c r="T480" i="1"/>
  <c r="R480" i="1"/>
  <c r="P480" i="1"/>
  <c r="L480" i="1"/>
  <c r="J480" i="1"/>
  <c r="W478" i="1"/>
  <c r="T478" i="1"/>
  <c r="R478" i="1"/>
  <c r="P478" i="1"/>
  <c r="L478" i="1"/>
  <c r="J478" i="1"/>
  <c r="W477" i="1"/>
  <c r="T477" i="1"/>
  <c r="R477" i="1"/>
  <c r="P477" i="1"/>
  <c r="L477" i="1"/>
  <c r="J477" i="1"/>
  <c r="Y475" i="1"/>
  <c r="W475" i="1"/>
  <c r="W474" i="1"/>
  <c r="T474" i="1"/>
  <c r="R474" i="1"/>
  <c r="P474" i="1"/>
  <c r="L474" i="1"/>
  <c r="J474" i="1"/>
  <c r="Y472" i="1"/>
  <c r="W472" i="1"/>
  <c r="T472" i="1"/>
  <c r="R472" i="1"/>
  <c r="L472" i="1"/>
  <c r="J472" i="1"/>
  <c r="Y471" i="1"/>
  <c r="W471" i="1"/>
  <c r="T471" i="1"/>
  <c r="R471" i="1"/>
  <c r="P471" i="1"/>
  <c r="L471" i="1"/>
  <c r="I471" i="1"/>
  <c r="Y470" i="1"/>
  <c r="W470" i="1"/>
  <c r="T470" i="1"/>
  <c r="R470" i="1"/>
  <c r="P470" i="1"/>
  <c r="L470" i="1"/>
  <c r="I470" i="1"/>
  <c r="Y469" i="1"/>
  <c r="W469" i="1"/>
  <c r="T469" i="1"/>
  <c r="R469" i="1"/>
  <c r="P469" i="1"/>
  <c r="L469" i="1"/>
  <c r="I469" i="1"/>
  <c r="Y468" i="1"/>
  <c r="W468" i="1"/>
  <c r="T468" i="1"/>
  <c r="R468" i="1"/>
  <c r="P468" i="1"/>
  <c r="L468" i="1"/>
  <c r="I468" i="1"/>
  <c r="Y467" i="1"/>
  <c r="W467" i="1"/>
  <c r="T467" i="1"/>
  <c r="R467" i="1"/>
  <c r="P467" i="1"/>
  <c r="L467" i="1"/>
  <c r="J467" i="1"/>
  <c r="Y466" i="1"/>
  <c r="W466" i="1"/>
  <c r="T466" i="1"/>
  <c r="R466" i="1"/>
  <c r="P466" i="1"/>
  <c r="L466" i="1"/>
  <c r="J466" i="1"/>
  <c r="W464" i="1"/>
  <c r="T464" i="1"/>
  <c r="R464" i="1"/>
  <c r="P464" i="1"/>
  <c r="L464" i="1"/>
  <c r="Y463" i="1"/>
  <c r="Y462" i="1"/>
  <c r="W462" i="1"/>
  <c r="Y461" i="1"/>
  <c r="W461" i="1"/>
  <c r="S461" i="1"/>
  <c r="L461" i="1"/>
  <c r="Y460" i="1"/>
  <c r="W460" i="1"/>
  <c r="T460" i="1"/>
  <c r="R460" i="1"/>
  <c r="P460" i="1"/>
  <c r="L460" i="1"/>
  <c r="J460" i="1"/>
  <c r="Y459" i="1"/>
  <c r="W459" i="1"/>
  <c r="T459" i="1"/>
  <c r="R459" i="1"/>
  <c r="P459" i="1"/>
  <c r="L459" i="1"/>
  <c r="J459" i="1"/>
  <c r="Y458" i="1"/>
  <c r="W458" i="1"/>
  <c r="T458" i="1"/>
  <c r="R458" i="1"/>
  <c r="P458" i="1"/>
  <c r="L458" i="1"/>
  <c r="J458" i="1"/>
  <c r="Y457" i="1"/>
  <c r="W457" i="1"/>
  <c r="T457" i="1"/>
  <c r="R457" i="1"/>
  <c r="P457" i="1"/>
  <c r="L457" i="1"/>
  <c r="J457" i="1"/>
  <c r="W455" i="1"/>
  <c r="T455" i="1"/>
  <c r="R455" i="1"/>
  <c r="P455" i="1"/>
  <c r="L455" i="1"/>
  <c r="J455" i="1"/>
  <c r="AA453" i="1"/>
  <c r="W453" i="1"/>
  <c r="T453" i="1"/>
  <c r="R453" i="1"/>
  <c r="P453" i="1"/>
  <c r="L453" i="1"/>
  <c r="J453" i="1"/>
  <c r="AA452" i="1"/>
  <c r="W452" i="1"/>
  <c r="T452" i="1"/>
  <c r="R452" i="1"/>
  <c r="P452" i="1"/>
  <c r="L452" i="1"/>
  <c r="J452" i="1"/>
  <c r="W451" i="1"/>
  <c r="T451" i="1"/>
  <c r="R451" i="1"/>
  <c r="P451" i="1"/>
  <c r="L451" i="1"/>
  <c r="J451" i="1"/>
  <c r="W449" i="1"/>
  <c r="T449" i="1"/>
  <c r="R449" i="1"/>
  <c r="P449" i="1"/>
  <c r="L449" i="1"/>
  <c r="J449" i="1"/>
  <c r="W447" i="1"/>
  <c r="W446" i="1"/>
  <c r="W445" i="1"/>
  <c r="T445" i="1"/>
  <c r="R445" i="1"/>
  <c r="P445" i="1"/>
  <c r="L445" i="1"/>
  <c r="J445" i="1"/>
  <c r="W444" i="1"/>
  <c r="T444" i="1"/>
  <c r="R444" i="1"/>
  <c r="P444" i="1"/>
  <c r="L444" i="1"/>
  <c r="J444" i="1"/>
  <c r="W443" i="1"/>
  <c r="T443" i="1"/>
  <c r="R443" i="1"/>
  <c r="P443" i="1"/>
  <c r="L443" i="1"/>
  <c r="J443" i="1"/>
  <c r="W442" i="1"/>
  <c r="T442" i="1"/>
  <c r="R442" i="1"/>
  <c r="P442" i="1"/>
  <c r="L442" i="1"/>
  <c r="J442" i="1"/>
  <c r="W441" i="1"/>
  <c r="T441" i="1"/>
  <c r="R441" i="1"/>
  <c r="P441" i="1"/>
  <c r="L441" i="1"/>
  <c r="J441" i="1"/>
  <c r="W440" i="1"/>
  <c r="T440" i="1"/>
  <c r="R440" i="1"/>
  <c r="P440" i="1"/>
  <c r="L440" i="1"/>
  <c r="J440" i="1"/>
  <c r="W439" i="1"/>
  <c r="T439" i="1"/>
  <c r="R439" i="1"/>
  <c r="P439" i="1"/>
  <c r="L439" i="1"/>
  <c r="J439" i="1"/>
  <c r="W438" i="1"/>
  <c r="T438" i="1"/>
  <c r="R438" i="1"/>
  <c r="P438" i="1"/>
  <c r="L438" i="1"/>
  <c r="J438" i="1"/>
  <c r="W437" i="1"/>
  <c r="T437" i="1"/>
  <c r="R437" i="1"/>
  <c r="P437" i="1"/>
  <c r="L437" i="1"/>
  <c r="J437" i="1"/>
  <c r="W436" i="1"/>
  <c r="T436" i="1"/>
  <c r="R436" i="1"/>
  <c r="P436" i="1"/>
  <c r="L436" i="1"/>
  <c r="J436" i="1"/>
  <c r="W435" i="1"/>
  <c r="T435" i="1"/>
  <c r="R435" i="1"/>
  <c r="P435" i="1"/>
  <c r="L435" i="1"/>
  <c r="J435" i="1"/>
  <c r="W434" i="1"/>
  <c r="T434" i="1"/>
  <c r="R434" i="1"/>
  <c r="P434" i="1"/>
  <c r="L434" i="1"/>
  <c r="J434" i="1"/>
  <c r="W433" i="1"/>
  <c r="T433" i="1"/>
  <c r="R433" i="1"/>
  <c r="P433" i="1"/>
  <c r="L433" i="1"/>
  <c r="J433" i="1"/>
  <c r="W432" i="1"/>
  <c r="T432" i="1"/>
  <c r="R432" i="1"/>
  <c r="P432" i="1"/>
  <c r="L432" i="1"/>
  <c r="J432" i="1"/>
  <c r="W431" i="1"/>
  <c r="T431" i="1"/>
  <c r="R431" i="1"/>
  <c r="P431" i="1"/>
  <c r="L431" i="1"/>
  <c r="J431" i="1"/>
  <c r="W430" i="1"/>
  <c r="T430" i="1"/>
  <c r="R430" i="1"/>
  <c r="P430" i="1"/>
  <c r="L430" i="1"/>
  <c r="J430" i="1"/>
  <c r="W429" i="1"/>
  <c r="T429" i="1"/>
  <c r="R429" i="1"/>
  <c r="P429" i="1"/>
  <c r="L429" i="1"/>
  <c r="J429" i="1"/>
  <c r="W428" i="1"/>
  <c r="T428" i="1"/>
  <c r="R428" i="1"/>
  <c r="P428" i="1"/>
  <c r="L428" i="1"/>
  <c r="J428" i="1"/>
  <c r="W427" i="1"/>
  <c r="T427" i="1"/>
  <c r="R427" i="1"/>
  <c r="P427" i="1"/>
  <c r="L427" i="1"/>
  <c r="J427" i="1"/>
  <c r="W426" i="1"/>
  <c r="T426" i="1"/>
  <c r="R426" i="1"/>
  <c r="P426" i="1"/>
  <c r="L426" i="1"/>
  <c r="J426" i="1"/>
  <c r="W425" i="1"/>
  <c r="T425" i="1"/>
  <c r="R425" i="1"/>
  <c r="P425" i="1"/>
  <c r="L425" i="1"/>
  <c r="J425" i="1"/>
  <c r="W423" i="1"/>
  <c r="T423" i="1"/>
  <c r="R423" i="1"/>
  <c r="P423" i="1"/>
  <c r="L423" i="1"/>
  <c r="J423" i="1"/>
  <c r="W421" i="1"/>
  <c r="T421" i="1"/>
  <c r="S421" i="1"/>
  <c r="W420" i="1"/>
  <c r="W419" i="1"/>
  <c r="T419" i="1"/>
  <c r="R419" i="1"/>
  <c r="P419" i="1"/>
  <c r="L419" i="1"/>
  <c r="J419" i="1"/>
  <c r="W418" i="1"/>
  <c r="T418" i="1"/>
  <c r="R418" i="1"/>
  <c r="P418" i="1"/>
  <c r="L418" i="1"/>
  <c r="J418" i="1"/>
  <c r="W417" i="1"/>
  <c r="T417" i="1"/>
  <c r="R417" i="1"/>
  <c r="P417" i="1"/>
  <c r="L417" i="1"/>
  <c r="J417" i="1"/>
  <c r="W416" i="1"/>
  <c r="T416" i="1"/>
  <c r="R416" i="1"/>
  <c r="P416" i="1"/>
  <c r="L416" i="1"/>
  <c r="J416" i="1"/>
  <c r="W414" i="1"/>
  <c r="W413" i="1"/>
  <c r="T413" i="1"/>
  <c r="R413" i="1"/>
  <c r="P413" i="1"/>
  <c r="L413" i="1"/>
  <c r="J413" i="1"/>
  <c r="W411" i="1"/>
  <c r="T411" i="1"/>
  <c r="R411" i="1"/>
  <c r="P411" i="1"/>
  <c r="L411" i="1"/>
  <c r="J411" i="1"/>
  <c r="W409" i="1"/>
  <c r="T409" i="1"/>
  <c r="R409" i="1"/>
  <c r="P409" i="1"/>
  <c r="L409" i="1"/>
  <c r="J409" i="1"/>
  <c r="W407" i="1"/>
  <c r="T407" i="1"/>
  <c r="R407" i="1"/>
  <c r="P407" i="1"/>
  <c r="L407" i="1"/>
  <c r="J407" i="1"/>
  <c r="W405" i="1"/>
  <c r="W404" i="1"/>
  <c r="T404" i="1"/>
  <c r="R404" i="1"/>
  <c r="P404" i="1"/>
  <c r="L404" i="1"/>
  <c r="J404" i="1"/>
  <c r="W403" i="1"/>
  <c r="T403" i="1"/>
  <c r="R403" i="1"/>
  <c r="P403" i="1"/>
  <c r="L403" i="1"/>
  <c r="J403" i="1"/>
  <c r="W402" i="1"/>
  <c r="T402" i="1"/>
  <c r="R402" i="1"/>
  <c r="P402" i="1"/>
  <c r="L402" i="1"/>
  <c r="J402" i="1"/>
  <c r="W401" i="1"/>
  <c r="T401" i="1"/>
  <c r="R401" i="1"/>
  <c r="P401" i="1"/>
  <c r="L401" i="1"/>
  <c r="J401" i="1"/>
  <c r="W400" i="1"/>
  <c r="T400" i="1"/>
  <c r="R400" i="1"/>
  <c r="P400" i="1"/>
  <c r="L400" i="1"/>
  <c r="J400" i="1"/>
  <c r="W399" i="1"/>
  <c r="T399" i="1"/>
  <c r="R399" i="1"/>
  <c r="P399" i="1"/>
  <c r="L399" i="1"/>
  <c r="J399" i="1"/>
  <c r="W398" i="1"/>
  <c r="T398" i="1"/>
  <c r="R398" i="1"/>
  <c r="P398" i="1"/>
  <c r="L398" i="1"/>
  <c r="J398" i="1"/>
  <c r="W397" i="1"/>
  <c r="T397" i="1"/>
  <c r="R397" i="1"/>
  <c r="P397" i="1"/>
  <c r="L397" i="1"/>
  <c r="J397" i="1"/>
  <c r="W396" i="1"/>
  <c r="T396" i="1"/>
  <c r="R396" i="1"/>
  <c r="P396" i="1"/>
  <c r="L396" i="1"/>
  <c r="J396" i="1"/>
  <c r="W395" i="1"/>
  <c r="T395" i="1"/>
  <c r="R395" i="1"/>
  <c r="P395" i="1"/>
  <c r="L395" i="1"/>
  <c r="J395" i="1"/>
  <c r="W394" i="1"/>
  <c r="T394" i="1"/>
  <c r="R394" i="1"/>
  <c r="P394" i="1"/>
  <c r="L394" i="1"/>
  <c r="J394" i="1"/>
  <c r="W393" i="1"/>
  <c r="T393" i="1"/>
  <c r="R393" i="1"/>
  <c r="P393" i="1"/>
  <c r="L393" i="1"/>
  <c r="J393" i="1"/>
  <c r="W392" i="1"/>
  <c r="T392" i="1"/>
  <c r="R392" i="1"/>
  <c r="P392" i="1"/>
  <c r="L392" i="1"/>
  <c r="J392" i="1"/>
  <c r="W391" i="1"/>
  <c r="T391" i="1"/>
  <c r="R391" i="1"/>
  <c r="P391" i="1"/>
  <c r="L391" i="1"/>
  <c r="J391" i="1"/>
  <c r="W390" i="1"/>
  <c r="T390" i="1"/>
  <c r="R390" i="1"/>
  <c r="P390" i="1"/>
  <c r="L390" i="1"/>
  <c r="J390" i="1"/>
  <c r="W389" i="1"/>
  <c r="T389" i="1"/>
  <c r="R389" i="1"/>
  <c r="P389" i="1"/>
  <c r="L389" i="1"/>
  <c r="J389" i="1"/>
  <c r="W388" i="1"/>
  <c r="T388" i="1"/>
  <c r="R388" i="1"/>
  <c r="P388" i="1"/>
  <c r="L388" i="1"/>
  <c r="J388" i="1"/>
  <c r="W386" i="1"/>
  <c r="T386" i="1"/>
  <c r="R386" i="1"/>
  <c r="P386" i="1"/>
  <c r="L386" i="1"/>
  <c r="J386" i="1"/>
  <c r="W385" i="1"/>
  <c r="T385" i="1"/>
  <c r="R385" i="1"/>
  <c r="P385" i="1"/>
  <c r="L385" i="1"/>
  <c r="J385" i="1"/>
  <c r="W383" i="1"/>
  <c r="W382" i="1"/>
  <c r="R382" i="1"/>
  <c r="L382" i="1"/>
  <c r="W381" i="1"/>
  <c r="T381" i="1"/>
  <c r="R381" i="1"/>
  <c r="P381" i="1"/>
  <c r="L381" i="1"/>
  <c r="J381" i="1"/>
  <c r="W380" i="1"/>
  <c r="T380" i="1"/>
  <c r="R380" i="1"/>
  <c r="P380" i="1"/>
  <c r="L380" i="1"/>
  <c r="J380" i="1"/>
  <c r="W379" i="1"/>
  <c r="T379" i="1"/>
  <c r="R379" i="1"/>
  <c r="P379" i="1"/>
  <c r="L379" i="1"/>
  <c r="J379" i="1"/>
  <c r="W378" i="1"/>
  <c r="T378" i="1"/>
  <c r="R378" i="1"/>
  <c r="P378" i="1"/>
  <c r="L378" i="1"/>
  <c r="J378" i="1"/>
  <c r="W377" i="1"/>
  <c r="T377" i="1"/>
  <c r="R377" i="1"/>
  <c r="P377" i="1"/>
  <c r="L377" i="1"/>
  <c r="J377" i="1"/>
  <c r="W376" i="1"/>
  <c r="T376" i="1"/>
  <c r="R376" i="1"/>
  <c r="P376" i="1"/>
  <c r="L376" i="1"/>
  <c r="J376" i="1"/>
  <c r="W374" i="1"/>
  <c r="R374" i="1"/>
  <c r="L374" i="1"/>
  <c r="W373" i="1"/>
  <c r="T373" i="1"/>
  <c r="R373" i="1"/>
  <c r="P373" i="1"/>
  <c r="L373" i="1"/>
  <c r="J373" i="1"/>
  <c r="W371" i="1"/>
  <c r="W370" i="1"/>
  <c r="R370" i="1"/>
  <c r="L370" i="1"/>
  <c r="W369" i="1"/>
  <c r="T369" i="1"/>
  <c r="R369" i="1"/>
  <c r="P369" i="1"/>
  <c r="L369" i="1"/>
  <c r="J369" i="1"/>
  <c r="W368" i="1"/>
  <c r="T368" i="1"/>
  <c r="R368" i="1"/>
  <c r="P368" i="1"/>
  <c r="L368" i="1"/>
  <c r="J368" i="1"/>
  <c r="W367" i="1"/>
  <c r="T367" i="1"/>
  <c r="R367" i="1"/>
  <c r="P367" i="1"/>
  <c r="L367" i="1"/>
  <c r="J367" i="1"/>
  <c r="W366" i="1"/>
  <c r="T366" i="1"/>
  <c r="R366" i="1"/>
  <c r="P366" i="1"/>
  <c r="L366" i="1"/>
  <c r="J366" i="1"/>
  <c r="W365" i="1"/>
  <c r="T365" i="1"/>
  <c r="R365" i="1"/>
  <c r="P365" i="1"/>
  <c r="L365" i="1"/>
  <c r="J365" i="1"/>
  <c r="W364" i="1"/>
  <c r="T364" i="1"/>
  <c r="R364" i="1"/>
  <c r="P364" i="1"/>
  <c r="L364" i="1"/>
  <c r="J364" i="1"/>
  <c r="W363" i="1"/>
  <c r="T363" i="1"/>
  <c r="R363" i="1"/>
  <c r="P363" i="1"/>
  <c r="L363" i="1"/>
  <c r="J363" i="1"/>
  <c r="W362" i="1"/>
  <c r="T362" i="1"/>
  <c r="R362" i="1"/>
  <c r="P362" i="1"/>
  <c r="L362" i="1"/>
  <c r="J362" i="1"/>
  <c r="W360" i="1"/>
  <c r="W359" i="1"/>
  <c r="R359" i="1"/>
  <c r="L359" i="1"/>
  <c r="W358" i="1"/>
  <c r="T358" i="1"/>
  <c r="R358" i="1"/>
  <c r="P358" i="1"/>
  <c r="L358" i="1"/>
  <c r="J358" i="1"/>
  <c r="W357" i="1"/>
  <c r="T357" i="1"/>
  <c r="R357" i="1"/>
  <c r="P357" i="1"/>
  <c r="L357" i="1"/>
  <c r="J357" i="1"/>
  <c r="W356" i="1"/>
  <c r="T356" i="1"/>
  <c r="R356" i="1"/>
  <c r="P356" i="1"/>
  <c r="L356" i="1"/>
  <c r="J356" i="1"/>
  <c r="W355" i="1"/>
  <c r="T355" i="1"/>
  <c r="R355" i="1"/>
  <c r="P355" i="1"/>
  <c r="L355" i="1"/>
  <c r="J355" i="1"/>
  <c r="W353" i="1"/>
  <c r="T353" i="1"/>
  <c r="R353" i="1"/>
  <c r="P353" i="1"/>
  <c r="L353" i="1"/>
  <c r="J353" i="1"/>
  <c r="W352" i="1"/>
  <c r="T352" i="1"/>
  <c r="R352" i="1"/>
  <c r="P352" i="1"/>
  <c r="L352" i="1"/>
  <c r="J352" i="1"/>
  <c r="W350" i="1"/>
  <c r="T350" i="1"/>
  <c r="R350" i="1"/>
  <c r="L350" i="1"/>
  <c r="W349" i="1"/>
  <c r="T349" i="1"/>
  <c r="R349" i="1"/>
  <c r="P349" i="1"/>
  <c r="L349" i="1"/>
  <c r="J349" i="1"/>
  <c r="W347" i="1"/>
  <c r="T347" i="1"/>
  <c r="R347" i="1"/>
  <c r="P347" i="1"/>
  <c r="L347" i="1"/>
  <c r="J347" i="1"/>
  <c r="W345" i="1"/>
  <c r="T345" i="1"/>
  <c r="R345" i="1"/>
  <c r="P345" i="1"/>
  <c r="L345" i="1"/>
  <c r="J345" i="1"/>
  <c r="W343" i="1"/>
  <c r="T343" i="1"/>
  <c r="R343" i="1"/>
  <c r="P343" i="1"/>
  <c r="L343" i="1"/>
  <c r="J343" i="1"/>
  <c r="W341" i="1"/>
  <c r="T341" i="1"/>
  <c r="R341" i="1"/>
  <c r="P341" i="1"/>
  <c r="L341" i="1"/>
  <c r="J341" i="1"/>
  <c r="W339" i="1"/>
  <c r="Y338" i="1"/>
  <c r="W338" i="1"/>
  <c r="R338" i="1"/>
  <c r="L338" i="1"/>
  <c r="W337" i="1"/>
  <c r="T337" i="1"/>
  <c r="R337" i="1"/>
  <c r="P337" i="1"/>
  <c r="L337" i="1"/>
  <c r="J337" i="1"/>
  <c r="W334" i="1"/>
  <c r="W333" i="1"/>
  <c r="W332" i="1"/>
  <c r="R332" i="1"/>
  <c r="L332" i="1"/>
  <c r="W331" i="1"/>
  <c r="T331" i="1"/>
  <c r="R331" i="1"/>
  <c r="P331" i="1"/>
  <c r="L331" i="1"/>
  <c r="J331" i="1"/>
  <c r="W330" i="1"/>
  <c r="T330" i="1"/>
  <c r="R330" i="1"/>
  <c r="P330" i="1"/>
  <c r="L330" i="1"/>
  <c r="J330" i="1"/>
  <c r="W329" i="1"/>
  <c r="T329" i="1"/>
  <c r="R329" i="1"/>
  <c r="P329" i="1"/>
  <c r="L329" i="1"/>
  <c r="J329" i="1"/>
  <c r="W328" i="1"/>
  <c r="T328" i="1"/>
  <c r="R328" i="1"/>
  <c r="P328" i="1"/>
  <c r="L328" i="1"/>
  <c r="J328" i="1"/>
  <c r="W327" i="1"/>
  <c r="T327" i="1"/>
  <c r="R327" i="1"/>
  <c r="P327" i="1"/>
  <c r="L327" i="1"/>
  <c r="J327" i="1"/>
  <c r="W326" i="1"/>
  <c r="T326" i="1"/>
  <c r="R326" i="1"/>
  <c r="P326" i="1"/>
  <c r="L326" i="1"/>
  <c r="J326" i="1"/>
  <c r="W325" i="1"/>
  <c r="T325" i="1"/>
  <c r="R325" i="1"/>
  <c r="P325" i="1"/>
  <c r="L325" i="1"/>
  <c r="J325" i="1"/>
  <c r="W324" i="1"/>
  <c r="T324" i="1"/>
  <c r="R324" i="1"/>
  <c r="P324" i="1"/>
  <c r="L324" i="1"/>
  <c r="J324" i="1"/>
  <c r="W323" i="1"/>
  <c r="T323" i="1"/>
  <c r="R323" i="1"/>
  <c r="P323" i="1"/>
  <c r="L323" i="1"/>
  <c r="J323" i="1"/>
  <c r="W322" i="1"/>
  <c r="T322" i="1"/>
  <c r="R322" i="1"/>
  <c r="P322" i="1"/>
  <c r="L322" i="1"/>
  <c r="J322" i="1"/>
  <c r="W321" i="1"/>
  <c r="T321" i="1"/>
  <c r="R321" i="1"/>
  <c r="P321" i="1"/>
  <c r="L321" i="1"/>
  <c r="J321" i="1"/>
  <c r="W320" i="1"/>
  <c r="T320" i="1"/>
  <c r="R320" i="1"/>
  <c r="P320" i="1"/>
  <c r="L320" i="1"/>
  <c r="J320" i="1"/>
  <c r="W319" i="1"/>
  <c r="T319" i="1"/>
  <c r="R319" i="1"/>
  <c r="P319" i="1"/>
  <c r="L319" i="1"/>
  <c r="J319" i="1"/>
  <c r="W318" i="1"/>
  <c r="T318" i="1"/>
  <c r="R318" i="1"/>
  <c r="P318" i="1"/>
  <c r="L318" i="1"/>
  <c r="J318" i="1"/>
  <c r="W317" i="1"/>
  <c r="T317" i="1"/>
  <c r="R317" i="1"/>
  <c r="P317" i="1"/>
  <c r="L317" i="1"/>
  <c r="J317" i="1"/>
  <c r="W316" i="1"/>
  <c r="T316" i="1"/>
  <c r="R316" i="1"/>
  <c r="P316" i="1"/>
  <c r="L316" i="1"/>
  <c r="J316" i="1"/>
  <c r="W315" i="1"/>
  <c r="T315" i="1"/>
  <c r="R315" i="1"/>
  <c r="P315" i="1"/>
  <c r="L315" i="1"/>
  <c r="J315" i="1"/>
  <c r="W314" i="1"/>
  <c r="T314" i="1"/>
  <c r="R314" i="1"/>
  <c r="P314" i="1"/>
  <c r="L314" i="1"/>
  <c r="J314" i="1"/>
  <c r="W313" i="1"/>
  <c r="T313" i="1"/>
  <c r="R313" i="1"/>
  <c r="P313" i="1"/>
  <c r="L313" i="1"/>
  <c r="J313" i="1"/>
  <c r="W312" i="1"/>
  <c r="T312" i="1"/>
  <c r="R312" i="1"/>
  <c r="P312" i="1"/>
  <c r="L312" i="1"/>
  <c r="J312" i="1"/>
  <c r="W310" i="1"/>
  <c r="T310" i="1"/>
  <c r="R310" i="1"/>
  <c r="P310" i="1"/>
  <c r="L310" i="1"/>
  <c r="J310" i="1"/>
  <c r="W309" i="1"/>
  <c r="T309" i="1"/>
  <c r="R309" i="1"/>
  <c r="P309" i="1"/>
  <c r="L309" i="1"/>
  <c r="J309" i="1"/>
  <c r="W307" i="1"/>
  <c r="T307" i="1"/>
  <c r="R307" i="1"/>
  <c r="P307" i="1"/>
  <c r="L307" i="1"/>
  <c r="J307" i="1"/>
  <c r="W306" i="1"/>
  <c r="T306" i="1"/>
  <c r="R306" i="1"/>
  <c r="P306" i="1"/>
  <c r="L306" i="1"/>
  <c r="J306" i="1"/>
  <c r="W304" i="1"/>
  <c r="T304" i="1"/>
  <c r="R304" i="1"/>
  <c r="P304" i="1"/>
  <c r="L304" i="1"/>
  <c r="J304" i="1"/>
  <c r="W303" i="1"/>
  <c r="T303" i="1"/>
  <c r="R303" i="1"/>
  <c r="P303" i="1"/>
  <c r="L303" i="1"/>
  <c r="J303" i="1"/>
  <c r="W302" i="1"/>
  <c r="T302" i="1"/>
  <c r="R302" i="1"/>
  <c r="P302" i="1"/>
  <c r="L302" i="1"/>
  <c r="J302" i="1"/>
  <c r="W300" i="1"/>
  <c r="T300" i="1"/>
  <c r="R300" i="1"/>
  <c r="P300" i="1"/>
  <c r="L300" i="1"/>
  <c r="J300" i="1"/>
  <c r="W299" i="1"/>
  <c r="T299" i="1"/>
  <c r="R299" i="1"/>
  <c r="P299" i="1"/>
  <c r="L299" i="1"/>
  <c r="J299" i="1"/>
  <c r="W298" i="1"/>
  <c r="T298" i="1"/>
  <c r="R298" i="1"/>
  <c r="P298" i="1"/>
  <c r="L298" i="1"/>
  <c r="J298" i="1"/>
  <c r="W296" i="1"/>
  <c r="W295" i="1"/>
  <c r="R295" i="1"/>
  <c r="L295" i="1"/>
  <c r="W294" i="1"/>
  <c r="T294" i="1"/>
  <c r="R294" i="1"/>
  <c r="P294" i="1"/>
  <c r="L294" i="1"/>
  <c r="J294" i="1"/>
  <c r="W292" i="1"/>
  <c r="T292" i="1"/>
  <c r="R292" i="1"/>
  <c r="P292" i="1"/>
  <c r="L292" i="1"/>
  <c r="J292" i="1"/>
  <c r="W291" i="1"/>
  <c r="T291" i="1"/>
  <c r="R291" i="1"/>
  <c r="P291" i="1"/>
  <c r="L291" i="1"/>
  <c r="J291" i="1"/>
  <c r="W289" i="1"/>
  <c r="W288" i="1"/>
  <c r="R288" i="1"/>
  <c r="L288" i="1"/>
  <c r="W287" i="1"/>
  <c r="T287" i="1"/>
  <c r="R287" i="1"/>
  <c r="P287" i="1"/>
  <c r="L287" i="1"/>
  <c r="J287" i="1"/>
  <c r="W286" i="1"/>
  <c r="T286" i="1"/>
  <c r="R286" i="1"/>
  <c r="P286" i="1"/>
  <c r="L286" i="1"/>
  <c r="J286" i="1"/>
  <c r="W285" i="1"/>
  <c r="T285" i="1"/>
  <c r="R285" i="1"/>
  <c r="P285" i="1"/>
  <c r="L285" i="1"/>
  <c r="J285" i="1"/>
  <c r="W283" i="1"/>
  <c r="W282" i="1"/>
  <c r="R282" i="1"/>
  <c r="L282" i="1"/>
  <c r="W281" i="1"/>
  <c r="T281" i="1"/>
  <c r="R281" i="1"/>
  <c r="P281" i="1"/>
  <c r="L281" i="1"/>
  <c r="J281" i="1"/>
  <c r="W280" i="1"/>
  <c r="T280" i="1"/>
  <c r="R280" i="1"/>
  <c r="P280" i="1"/>
  <c r="L280" i="1"/>
  <c r="J280" i="1"/>
  <c r="W278" i="1"/>
  <c r="T278" i="1"/>
  <c r="R278" i="1"/>
  <c r="P278" i="1"/>
  <c r="L278" i="1"/>
  <c r="J278" i="1"/>
  <c r="W276" i="1"/>
  <c r="T276" i="1"/>
  <c r="R276" i="1"/>
  <c r="P276" i="1"/>
  <c r="L276" i="1"/>
  <c r="J276" i="1"/>
  <c r="W274" i="1"/>
  <c r="T274" i="1"/>
  <c r="R274" i="1"/>
  <c r="P274" i="1"/>
  <c r="L274" i="1"/>
  <c r="J274" i="1"/>
  <c r="W273" i="1"/>
  <c r="T273" i="1"/>
  <c r="R273" i="1"/>
  <c r="P273" i="1"/>
  <c r="L273" i="1"/>
  <c r="J273" i="1"/>
  <c r="W272" i="1"/>
  <c r="T272" i="1"/>
  <c r="R272" i="1"/>
  <c r="P272" i="1"/>
  <c r="L272" i="1"/>
  <c r="J272" i="1"/>
  <c r="W271" i="1"/>
  <c r="T271" i="1"/>
  <c r="R271" i="1"/>
  <c r="P271" i="1"/>
  <c r="L271" i="1"/>
  <c r="J271" i="1"/>
  <c r="W269" i="1"/>
  <c r="W268" i="1"/>
  <c r="T268" i="1"/>
  <c r="R268" i="1"/>
  <c r="L268" i="1"/>
  <c r="W267" i="1"/>
  <c r="T267" i="1"/>
  <c r="R267" i="1"/>
  <c r="P267" i="1"/>
  <c r="L267" i="1"/>
  <c r="J267" i="1"/>
  <c r="W265" i="1"/>
  <c r="T265" i="1"/>
  <c r="R265" i="1"/>
  <c r="P265" i="1"/>
  <c r="L265" i="1"/>
  <c r="J265" i="1"/>
  <c r="W263" i="1"/>
  <c r="T263" i="1"/>
  <c r="R263" i="1"/>
  <c r="P263" i="1"/>
  <c r="L263" i="1"/>
  <c r="J263" i="1"/>
  <c r="W261" i="1"/>
  <c r="T261" i="1"/>
  <c r="R261" i="1"/>
  <c r="P261" i="1"/>
  <c r="L261" i="1"/>
  <c r="J261" i="1"/>
  <c r="W260" i="1"/>
  <c r="T260" i="1"/>
  <c r="R260" i="1"/>
  <c r="P260" i="1"/>
  <c r="L260" i="1"/>
  <c r="J260" i="1"/>
  <c r="W258" i="1"/>
  <c r="W257" i="1"/>
  <c r="R257" i="1"/>
  <c r="L257" i="1"/>
  <c r="W256" i="1"/>
  <c r="T256" i="1"/>
  <c r="R256" i="1"/>
  <c r="P256" i="1"/>
  <c r="L256" i="1"/>
  <c r="J256" i="1"/>
  <c r="W255" i="1"/>
  <c r="T255" i="1"/>
  <c r="R255" i="1"/>
  <c r="P255" i="1"/>
  <c r="L255" i="1"/>
  <c r="J255" i="1"/>
  <c r="W254" i="1"/>
  <c r="T254" i="1"/>
  <c r="R254" i="1"/>
  <c r="P254" i="1"/>
  <c r="L254" i="1"/>
  <c r="J254" i="1"/>
  <c r="W253" i="1"/>
  <c r="T253" i="1"/>
  <c r="R253" i="1"/>
  <c r="P253" i="1"/>
  <c r="L253" i="1"/>
  <c r="J253" i="1"/>
  <c r="W252" i="1"/>
  <c r="T252" i="1"/>
  <c r="R252" i="1"/>
  <c r="P252" i="1"/>
  <c r="L252" i="1"/>
  <c r="J252" i="1"/>
  <c r="W251" i="1"/>
  <c r="T251" i="1"/>
  <c r="R251" i="1"/>
  <c r="P251" i="1"/>
  <c r="L251" i="1"/>
  <c r="J251" i="1"/>
  <c r="W250" i="1"/>
  <c r="T250" i="1"/>
  <c r="R250" i="1"/>
  <c r="P250" i="1"/>
  <c r="L250" i="1"/>
  <c r="J250" i="1"/>
  <c r="W249" i="1"/>
  <c r="T249" i="1"/>
  <c r="R249" i="1"/>
  <c r="P249" i="1"/>
  <c r="L249" i="1"/>
  <c r="J249" i="1"/>
  <c r="W248" i="1"/>
  <c r="T248" i="1"/>
  <c r="R248" i="1"/>
  <c r="P248" i="1"/>
  <c r="L248" i="1"/>
  <c r="J248" i="1"/>
  <c r="W247" i="1"/>
  <c r="T247" i="1"/>
  <c r="R247" i="1"/>
  <c r="P247" i="1"/>
  <c r="L247" i="1"/>
  <c r="J247" i="1"/>
  <c r="W246" i="1"/>
  <c r="T246" i="1"/>
  <c r="R246" i="1"/>
  <c r="P246" i="1"/>
  <c r="L246" i="1"/>
  <c r="J246" i="1"/>
  <c r="W245" i="1"/>
  <c r="T245" i="1"/>
  <c r="R245" i="1"/>
  <c r="P245" i="1"/>
  <c r="L245" i="1"/>
  <c r="J245" i="1"/>
  <c r="W244" i="1"/>
  <c r="T244" i="1"/>
  <c r="R244" i="1"/>
  <c r="P244" i="1"/>
  <c r="L244" i="1"/>
  <c r="J244" i="1"/>
  <c r="W243" i="1"/>
  <c r="T243" i="1"/>
  <c r="R243" i="1"/>
  <c r="P243" i="1"/>
  <c r="L243" i="1"/>
  <c r="J243" i="1"/>
  <c r="W242" i="1"/>
  <c r="T242" i="1"/>
  <c r="R242" i="1"/>
  <c r="P242" i="1"/>
  <c r="L242" i="1"/>
  <c r="J242" i="1"/>
  <c r="W240" i="1"/>
  <c r="T240" i="1"/>
  <c r="R240" i="1"/>
  <c r="P240" i="1"/>
  <c r="L240" i="1"/>
  <c r="J240" i="1"/>
  <c r="W238" i="1"/>
  <c r="T238" i="1"/>
  <c r="R238" i="1"/>
  <c r="P238" i="1"/>
  <c r="L238" i="1"/>
  <c r="J238" i="1"/>
  <c r="W237" i="1"/>
  <c r="T237" i="1"/>
  <c r="R237" i="1"/>
  <c r="P237" i="1"/>
  <c r="L237" i="1"/>
  <c r="J237" i="1"/>
  <c r="W235" i="1"/>
  <c r="T235" i="1"/>
  <c r="R235" i="1"/>
  <c r="P235" i="1"/>
  <c r="L235" i="1"/>
  <c r="J235" i="1"/>
  <c r="W234" i="1"/>
  <c r="T234" i="1"/>
  <c r="R234" i="1"/>
  <c r="P234" i="1"/>
  <c r="L234" i="1"/>
  <c r="J234" i="1"/>
  <c r="W232" i="1"/>
  <c r="T232" i="1"/>
  <c r="R232" i="1"/>
  <c r="P232" i="1"/>
  <c r="L232" i="1"/>
  <c r="J232" i="1"/>
  <c r="W230" i="1"/>
  <c r="W229" i="1"/>
  <c r="R229" i="1"/>
  <c r="L229" i="1"/>
  <c r="W228" i="1"/>
  <c r="T228" i="1"/>
  <c r="R228" i="1"/>
  <c r="P228" i="1"/>
  <c r="L228" i="1"/>
  <c r="J228" i="1"/>
  <c r="W227" i="1"/>
  <c r="T227" i="1"/>
  <c r="R227" i="1"/>
  <c r="P227" i="1"/>
  <c r="L227" i="1"/>
  <c r="J227" i="1"/>
  <c r="W225" i="1"/>
  <c r="W224" i="1"/>
  <c r="T224" i="1"/>
  <c r="R224" i="1"/>
  <c r="P224" i="1"/>
  <c r="L224" i="1"/>
  <c r="J224" i="1"/>
  <c r="W222" i="1"/>
  <c r="W221" i="1"/>
  <c r="R221" i="1"/>
  <c r="L221" i="1"/>
  <c r="W220" i="1"/>
  <c r="T220" i="1"/>
  <c r="R220" i="1"/>
  <c r="P220" i="1"/>
  <c r="L220" i="1"/>
  <c r="J220" i="1"/>
  <c r="W219" i="1"/>
  <c r="T219" i="1"/>
  <c r="R219" i="1"/>
  <c r="P219" i="1"/>
  <c r="L219" i="1"/>
  <c r="J219" i="1"/>
  <c r="W218" i="1"/>
  <c r="T218" i="1"/>
  <c r="R218" i="1"/>
  <c r="P218" i="1"/>
  <c r="L218" i="1"/>
  <c r="J218" i="1"/>
  <c r="W217" i="1"/>
  <c r="T217" i="1"/>
  <c r="R217" i="1"/>
  <c r="P217" i="1"/>
  <c r="L217" i="1"/>
  <c r="J217" i="1"/>
  <c r="W216" i="1"/>
  <c r="T216" i="1"/>
  <c r="R216" i="1"/>
  <c r="P216" i="1"/>
  <c r="L216" i="1"/>
  <c r="J216" i="1"/>
  <c r="W215" i="1"/>
  <c r="T215" i="1"/>
  <c r="R215" i="1"/>
  <c r="P215" i="1"/>
  <c r="L215" i="1"/>
  <c r="J215" i="1"/>
  <c r="W214" i="1"/>
  <c r="T214" i="1"/>
  <c r="R214" i="1"/>
  <c r="P214" i="1"/>
  <c r="L214" i="1"/>
  <c r="J214" i="1"/>
  <c r="W213" i="1"/>
  <c r="T213" i="1"/>
  <c r="R213" i="1"/>
  <c r="P213" i="1"/>
  <c r="L213" i="1"/>
  <c r="J213" i="1"/>
  <c r="W212" i="1"/>
  <c r="T212" i="1"/>
  <c r="R212" i="1"/>
  <c r="P212" i="1"/>
  <c r="L212" i="1"/>
  <c r="J212" i="1"/>
  <c r="W210" i="1"/>
  <c r="T210" i="1"/>
  <c r="R210" i="1"/>
  <c r="P210" i="1"/>
  <c r="L210" i="1"/>
  <c r="J210" i="1"/>
  <c r="T207" i="1"/>
  <c r="S207" i="1"/>
  <c r="R207" i="1"/>
  <c r="L207" i="1"/>
  <c r="W206" i="1"/>
  <c r="T206" i="1"/>
  <c r="R206" i="1"/>
  <c r="P206" i="1"/>
  <c r="L206" i="1"/>
  <c r="J206" i="1"/>
  <c r="W204" i="1"/>
  <c r="T204" i="1"/>
  <c r="R204" i="1"/>
  <c r="P204" i="1"/>
  <c r="L204" i="1"/>
  <c r="J204" i="1"/>
  <c r="W202" i="1"/>
  <c r="T202" i="1"/>
  <c r="R202" i="1"/>
  <c r="P202" i="1"/>
  <c r="L202" i="1"/>
  <c r="J202" i="1"/>
  <c r="W200" i="1"/>
  <c r="T200" i="1"/>
  <c r="R200" i="1"/>
  <c r="P200" i="1"/>
  <c r="L200" i="1"/>
  <c r="J200" i="1"/>
  <c r="W198" i="1"/>
  <c r="T198" i="1"/>
  <c r="R198" i="1"/>
  <c r="P198" i="1"/>
  <c r="L198" i="1"/>
  <c r="J198" i="1"/>
  <c r="W196" i="1"/>
  <c r="T196" i="1"/>
  <c r="R196" i="1"/>
  <c r="P196" i="1"/>
  <c r="L196" i="1"/>
  <c r="J196" i="1"/>
  <c r="T193" i="1"/>
  <c r="S193" i="1"/>
  <c r="R193" i="1"/>
  <c r="L193" i="1"/>
  <c r="W192" i="1"/>
  <c r="T192" i="1"/>
  <c r="R192" i="1"/>
  <c r="P192" i="1"/>
  <c r="L192" i="1"/>
  <c r="J192" i="1"/>
  <c r="W191" i="1"/>
  <c r="T191" i="1"/>
  <c r="R191" i="1"/>
  <c r="P191" i="1"/>
  <c r="L191" i="1"/>
  <c r="J191" i="1"/>
  <c r="W189" i="1"/>
  <c r="T189" i="1"/>
  <c r="R189" i="1"/>
  <c r="P189" i="1"/>
  <c r="L189" i="1"/>
  <c r="J189" i="1"/>
  <c r="W187" i="1"/>
  <c r="T187" i="1"/>
  <c r="R187" i="1"/>
  <c r="P187" i="1"/>
  <c r="L187" i="1"/>
  <c r="J187" i="1"/>
  <c r="W186" i="1"/>
  <c r="T186" i="1"/>
  <c r="R186" i="1"/>
  <c r="P186" i="1"/>
  <c r="L186" i="1"/>
  <c r="J186" i="1"/>
  <c r="W185" i="1"/>
  <c r="W184" i="1"/>
  <c r="T184" i="1"/>
  <c r="R184" i="1"/>
  <c r="P184" i="1"/>
  <c r="L184" i="1"/>
  <c r="J184" i="1"/>
  <c r="W183" i="1"/>
  <c r="T183" i="1"/>
  <c r="R183" i="1"/>
  <c r="P183" i="1"/>
  <c r="L183" i="1"/>
  <c r="J183" i="1"/>
  <c r="T180" i="1"/>
  <c r="S180" i="1"/>
  <c r="R180" i="1"/>
  <c r="L180" i="1"/>
  <c r="W179" i="1"/>
  <c r="T179" i="1"/>
  <c r="R179" i="1"/>
  <c r="P179" i="1"/>
  <c r="L179" i="1"/>
  <c r="J179" i="1"/>
  <c r="W177" i="1"/>
  <c r="T177" i="1"/>
  <c r="R177" i="1"/>
  <c r="P177" i="1"/>
  <c r="L177" i="1"/>
  <c r="J177" i="1"/>
  <c r="R174" i="1"/>
  <c r="L174" i="1"/>
  <c r="W173" i="1"/>
  <c r="T173" i="1"/>
  <c r="R173" i="1"/>
  <c r="P173" i="1"/>
  <c r="L173" i="1"/>
  <c r="J173" i="1"/>
  <c r="W172" i="1"/>
  <c r="T172" i="1"/>
  <c r="R172" i="1"/>
  <c r="P172" i="1"/>
  <c r="L172" i="1"/>
  <c r="J172" i="1"/>
  <c r="W171" i="1"/>
  <c r="T171" i="1"/>
  <c r="R171" i="1"/>
  <c r="P171" i="1"/>
  <c r="L171" i="1"/>
  <c r="J171" i="1"/>
  <c r="W170" i="1"/>
  <c r="T170" i="1"/>
  <c r="R170" i="1"/>
  <c r="P170" i="1"/>
  <c r="L170" i="1"/>
  <c r="J170" i="1"/>
  <c r="W169" i="1"/>
  <c r="T169" i="1"/>
  <c r="R169" i="1"/>
  <c r="P169" i="1"/>
  <c r="L169" i="1"/>
  <c r="J169" i="1"/>
  <c r="W168" i="1"/>
  <c r="T168" i="1"/>
  <c r="R168" i="1"/>
  <c r="P168" i="1"/>
  <c r="L168" i="1"/>
  <c r="J168" i="1"/>
  <c r="W167" i="1"/>
  <c r="T167" i="1"/>
  <c r="R167" i="1"/>
  <c r="P167" i="1"/>
  <c r="L167" i="1"/>
  <c r="J167" i="1"/>
  <c r="W165" i="1"/>
  <c r="T165" i="1"/>
  <c r="R165" i="1"/>
  <c r="P165" i="1"/>
  <c r="L165" i="1"/>
  <c r="J165" i="1"/>
  <c r="W164" i="1"/>
  <c r="T164" i="1"/>
  <c r="R164" i="1"/>
  <c r="P164" i="1"/>
  <c r="L164" i="1"/>
  <c r="J164" i="1"/>
  <c r="W163" i="1"/>
  <c r="T163" i="1"/>
  <c r="R163" i="1"/>
  <c r="P163" i="1"/>
  <c r="L163" i="1"/>
  <c r="J163" i="1"/>
  <c r="W162" i="1"/>
  <c r="T162" i="1"/>
  <c r="R162" i="1"/>
  <c r="P162" i="1"/>
  <c r="L162" i="1"/>
  <c r="J162" i="1"/>
  <c r="W161" i="1"/>
  <c r="T161" i="1"/>
  <c r="R161" i="1"/>
  <c r="P161" i="1"/>
  <c r="L161" i="1"/>
  <c r="J161" i="1"/>
  <c r="W159" i="1"/>
  <c r="T159" i="1"/>
  <c r="R159" i="1"/>
  <c r="P159" i="1"/>
  <c r="L159" i="1"/>
  <c r="J159" i="1"/>
  <c r="W158" i="1"/>
  <c r="T158" i="1"/>
  <c r="R158" i="1"/>
  <c r="P158" i="1"/>
  <c r="L158" i="1"/>
  <c r="J158" i="1"/>
  <c r="W156" i="1"/>
  <c r="T156" i="1"/>
  <c r="R156" i="1"/>
  <c r="P156" i="1"/>
  <c r="L156" i="1"/>
  <c r="J156" i="1"/>
  <c r="R153" i="1"/>
  <c r="L153" i="1"/>
  <c r="W152" i="1"/>
  <c r="T152" i="1"/>
  <c r="R152" i="1"/>
  <c r="P152" i="1"/>
  <c r="L152" i="1"/>
  <c r="J152" i="1"/>
  <c r="W151" i="1"/>
  <c r="T151" i="1"/>
  <c r="R151" i="1"/>
  <c r="P151" i="1"/>
  <c r="L151" i="1"/>
  <c r="J151" i="1"/>
  <c r="W150" i="1"/>
  <c r="T150" i="1"/>
  <c r="R150" i="1"/>
  <c r="P150" i="1"/>
  <c r="L150" i="1"/>
  <c r="J150" i="1"/>
  <c r="W149" i="1"/>
  <c r="T149" i="1"/>
  <c r="R149" i="1"/>
  <c r="P149" i="1"/>
  <c r="L149" i="1"/>
  <c r="J149" i="1"/>
  <c r="W148" i="1"/>
  <c r="T148" i="1"/>
  <c r="R148" i="1"/>
  <c r="P148" i="1"/>
  <c r="L148" i="1"/>
  <c r="J148" i="1"/>
  <c r="W147" i="1"/>
  <c r="T147" i="1"/>
  <c r="R147" i="1"/>
  <c r="P147" i="1"/>
  <c r="L147" i="1"/>
  <c r="J147" i="1"/>
  <c r="W146" i="1"/>
  <c r="T146" i="1"/>
  <c r="R146" i="1"/>
  <c r="P146" i="1"/>
  <c r="L146" i="1"/>
  <c r="J146" i="1"/>
  <c r="W145" i="1"/>
  <c r="T145" i="1"/>
  <c r="R145" i="1"/>
  <c r="P145" i="1"/>
  <c r="L145" i="1"/>
  <c r="J145" i="1"/>
  <c r="W144" i="1"/>
  <c r="T144" i="1"/>
  <c r="R144" i="1"/>
  <c r="P144" i="1"/>
  <c r="L144" i="1"/>
  <c r="J144" i="1"/>
  <c r="W143" i="1"/>
  <c r="T143" i="1"/>
  <c r="R143" i="1"/>
  <c r="P143" i="1"/>
  <c r="L143" i="1"/>
  <c r="J143" i="1"/>
  <c r="W142" i="1"/>
  <c r="T142" i="1"/>
  <c r="R142" i="1"/>
  <c r="P142" i="1"/>
  <c r="L142" i="1"/>
  <c r="J142" i="1"/>
  <c r="W141" i="1"/>
  <c r="T141" i="1"/>
  <c r="R141" i="1"/>
  <c r="P141" i="1"/>
  <c r="L141" i="1"/>
  <c r="J141" i="1"/>
  <c r="W140" i="1"/>
  <c r="T140" i="1"/>
  <c r="R140" i="1"/>
  <c r="P140" i="1"/>
  <c r="L140" i="1"/>
  <c r="J140" i="1"/>
  <c r="W139" i="1"/>
  <c r="T139" i="1"/>
  <c r="R139" i="1"/>
  <c r="P139" i="1"/>
  <c r="L139" i="1"/>
  <c r="J139" i="1"/>
  <c r="W138" i="1"/>
  <c r="T138" i="1"/>
  <c r="R138" i="1"/>
  <c r="P138" i="1"/>
  <c r="L138" i="1"/>
  <c r="J138" i="1"/>
  <c r="W137" i="1"/>
  <c r="T137" i="1"/>
  <c r="R137" i="1"/>
  <c r="P137" i="1"/>
  <c r="L137" i="1"/>
  <c r="J137" i="1"/>
  <c r="W136" i="1"/>
  <c r="T136" i="1"/>
  <c r="R136" i="1"/>
  <c r="P136" i="1"/>
  <c r="L136" i="1"/>
  <c r="J136" i="1"/>
  <c r="W135" i="1"/>
  <c r="T135" i="1"/>
  <c r="R135" i="1"/>
  <c r="P135" i="1"/>
  <c r="L135" i="1"/>
  <c r="J135" i="1"/>
  <c r="W134" i="1"/>
  <c r="T134" i="1"/>
  <c r="R134" i="1"/>
  <c r="P134" i="1"/>
  <c r="L134" i="1"/>
  <c r="J134" i="1"/>
  <c r="W133" i="1"/>
  <c r="T133" i="1"/>
  <c r="R133" i="1"/>
  <c r="P133" i="1"/>
  <c r="L133" i="1"/>
  <c r="J133" i="1"/>
  <c r="W132" i="1"/>
  <c r="T132" i="1"/>
  <c r="R132" i="1"/>
  <c r="P132" i="1"/>
  <c r="L132" i="1"/>
  <c r="J132" i="1"/>
  <c r="R129" i="1"/>
  <c r="L129" i="1"/>
  <c r="W128" i="1"/>
  <c r="T128" i="1"/>
  <c r="R128" i="1"/>
  <c r="P128" i="1"/>
  <c r="L128" i="1"/>
  <c r="J128" i="1"/>
  <c r="W126" i="1"/>
  <c r="T126" i="1"/>
  <c r="R126" i="1"/>
  <c r="P126" i="1"/>
  <c r="L126" i="1"/>
  <c r="J126" i="1"/>
  <c r="W124" i="1"/>
  <c r="T124" i="1"/>
  <c r="R124" i="1"/>
  <c r="P124" i="1"/>
  <c r="L124" i="1"/>
  <c r="J124" i="1"/>
  <c r="W123" i="1"/>
  <c r="T123" i="1"/>
  <c r="R123" i="1"/>
  <c r="P123" i="1"/>
  <c r="L123" i="1"/>
  <c r="J123" i="1"/>
  <c r="W122" i="1"/>
  <c r="T122" i="1"/>
  <c r="R122" i="1"/>
  <c r="P122" i="1"/>
  <c r="L122" i="1"/>
  <c r="J122" i="1"/>
  <c r="W120" i="1"/>
  <c r="T120" i="1"/>
  <c r="R120" i="1"/>
  <c r="P120" i="1"/>
  <c r="L120" i="1"/>
  <c r="J120" i="1"/>
  <c r="W118" i="1"/>
  <c r="T118" i="1"/>
  <c r="R118" i="1"/>
  <c r="P118" i="1"/>
  <c r="L118" i="1"/>
  <c r="J118" i="1"/>
  <c r="W117" i="1"/>
  <c r="T117" i="1"/>
  <c r="R117" i="1"/>
  <c r="P117" i="1"/>
  <c r="L117" i="1"/>
  <c r="J117" i="1"/>
  <c r="W116" i="1"/>
  <c r="T116" i="1"/>
  <c r="R116" i="1"/>
  <c r="P116" i="1"/>
  <c r="L116" i="1"/>
  <c r="J116" i="1"/>
  <c r="W115" i="1"/>
  <c r="T115" i="1"/>
  <c r="R115" i="1"/>
  <c r="P115" i="1"/>
  <c r="L115" i="1"/>
  <c r="J115" i="1"/>
  <c r="W114" i="1"/>
  <c r="T114" i="1"/>
  <c r="R114" i="1"/>
  <c r="P114" i="1"/>
  <c r="L114" i="1"/>
  <c r="J114" i="1"/>
  <c r="W113" i="1"/>
  <c r="T113" i="1"/>
  <c r="R113" i="1"/>
  <c r="P113" i="1"/>
  <c r="L113" i="1"/>
  <c r="J113" i="1"/>
  <c r="W112" i="1"/>
  <c r="T112" i="1"/>
  <c r="R112" i="1"/>
  <c r="P112" i="1"/>
  <c r="L112" i="1"/>
  <c r="J112" i="1"/>
  <c r="W111" i="1"/>
  <c r="T111" i="1"/>
  <c r="R111" i="1"/>
  <c r="P111" i="1"/>
  <c r="L111" i="1"/>
  <c r="J111" i="1"/>
  <c r="W110" i="1"/>
  <c r="T110" i="1"/>
  <c r="R110" i="1"/>
  <c r="P110" i="1"/>
  <c r="L110" i="1"/>
  <c r="J110" i="1"/>
  <c r="W109" i="1"/>
  <c r="T109" i="1"/>
  <c r="R109" i="1"/>
  <c r="P109" i="1"/>
  <c r="L109" i="1"/>
  <c r="J109" i="1"/>
  <c r="R106" i="1"/>
  <c r="L106" i="1"/>
  <c r="W105" i="1"/>
  <c r="T105" i="1"/>
  <c r="R105" i="1"/>
  <c r="P105" i="1"/>
  <c r="L105" i="1"/>
  <c r="J105" i="1"/>
  <c r="W103" i="1"/>
  <c r="T103" i="1"/>
  <c r="R103" i="1"/>
  <c r="P103" i="1"/>
  <c r="L103" i="1"/>
  <c r="J103" i="1"/>
  <c r="W102" i="1"/>
  <c r="T102" i="1"/>
  <c r="R102" i="1"/>
  <c r="P102" i="1"/>
  <c r="L102" i="1"/>
  <c r="J102" i="1"/>
  <c r="W101" i="1"/>
  <c r="T101" i="1"/>
  <c r="R101" i="1"/>
  <c r="P101" i="1"/>
  <c r="L101" i="1"/>
  <c r="J101" i="1"/>
  <c r="W100" i="1"/>
  <c r="T100" i="1"/>
  <c r="R100" i="1"/>
  <c r="P100" i="1"/>
  <c r="L100" i="1"/>
  <c r="J100" i="1"/>
  <c r="W99" i="1"/>
  <c r="T99" i="1"/>
  <c r="R99" i="1"/>
  <c r="P99" i="1"/>
  <c r="L99" i="1"/>
  <c r="J99" i="1"/>
  <c r="W98" i="1"/>
  <c r="T98" i="1"/>
  <c r="R98" i="1"/>
  <c r="P98" i="1"/>
  <c r="L98" i="1"/>
  <c r="J98" i="1"/>
  <c r="W97" i="1"/>
  <c r="T97" i="1"/>
  <c r="R97" i="1"/>
  <c r="P97" i="1"/>
  <c r="L97" i="1"/>
  <c r="J97" i="1"/>
  <c r="W96" i="1"/>
  <c r="T96" i="1"/>
  <c r="R96" i="1"/>
  <c r="P96" i="1"/>
  <c r="L96" i="1"/>
  <c r="J96" i="1"/>
  <c r="W95" i="1"/>
  <c r="T95" i="1"/>
  <c r="R95" i="1"/>
  <c r="P95" i="1"/>
  <c r="L95" i="1"/>
  <c r="J95" i="1"/>
  <c r="W93" i="1"/>
  <c r="T93" i="1"/>
  <c r="R93" i="1"/>
  <c r="P93" i="1"/>
  <c r="L93" i="1"/>
  <c r="J93" i="1"/>
  <c r="W92" i="1"/>
  <c r="T92" i="1"/>
  <c r="R92" i="1"/>
  <c r="P92" i="1"/>
  <c r="L92" i="1"/>
  <c r="J92" i="1"/>
  <c r="R89" i="1"/>
  <c r="L89" i="1"/>
  <c r="W88" i="1"/>
  <c r="T88" i="1"/>
  <c r="R88" i="1"/>
  <c r="P88" i="1"/>
  <c r="L88" i="1"/>
  <c r="J88" i="1"/>
  <c r="W87" i="1"/>
  <c r="T87" i="1"/>
  <c r="R87" i="1"/>
  <c r="P87" i="1"/>
  <c r="L87" i="1"/>
  <c r="J87" i="1"/>
  <c r="W86" i="1"/>
  <c r="T86" i="1"/>
  <c r="R86" i="1"/>
  <c r="P86" i="1"/>
  <c r="L86" i="1"/>
  <c r="J86" i="1"/>
  <c r="W85" i="1"/>
  <c r="T85" i="1"/>
  <c r="R85" i="1"/>
  <c r="P85" i="1"/>
  <c r="L85" i="1"/>
  <c r="J85" i="1"/>
  <c r="W84" i="1"/>
  <c r="T84" i="1"/>
  <c r="R84" i="1"/>
  <c r="P84" i="1"/>
  <c r="L84" i="1"/>
  <c r="J84" i="1"/>
  <c r="W83" i="1"/>
  <c r="T83" i="1"/>
  <c r="R83" i="1"/>
  <c r="P83" i="1"/>
  <c r="L83" i="1"/>
  <c r="J83" i="1"/>
  <c r="W82" i="1"/>
  <c r="T82" i="1"/>
  <c r="R82" i="1"/>
  <c r="P82" i="1"/>
  <c r="L82" i="1"/>
  <c r="J82" i="1"/>
  <c r="W81" i="1"/>
  <c r="T81" i="1"/>
  <c r="R81" i="1"/>
  <c r="P81" i="1"/>
  <c r="L81" i="1"/>
  <c r="J81" i="1"/>
  <c r="W80" i="1"/>
  <c r="T80" i="1"/>
  <c r="R80" i="1"/>
  <c r="P80" i="1"/>
  <c r="L80" i="1"/>
  <c r="J80" i="1"/>
  <c r="W79" i="1"/>
  <c r="T79" i="1"/>
  <c r="R79" i="1"/>
  <c r="P79" i="1"/>
  <c r="L79" i="1"/>
  <c r="J79" i="1"/>
  <c r="W78" i="1"/>
  <c r="T78" i="1"/>
  <c r="R78" i="1"/>
  <c r="P78" i="1"/>
  <c r="L78" i="1"/>
  <c r="J78" i="1"/>
  <c r="W77" i="1"/>
  <c r="T77" i="1"/>
  <c r="R77" i="1"/>
  <c r="P77" i="1"/>
  <c r="L77" i="1"/>
  <c r="J77" i="1"/>
  <c r="W76" i="1"/>
  <c r="T76" i="1"/>
  <c r="R76" i="1"/>
  <c r="P76" i="1"/>
  <c r="L76" i="1"/>
  <c r="J76" i="1"/>
  <c r="W75" i="1"/>
  <c r="T75" i="1"/>
  <c r="R75" i="1"/>
  <c r="P75" i="1"/>
  <c r="L75" i="1"/>
  <c r="J75" i="1"/>
  <c r="W74" i="1"/>
  <c r="T74" i="1"/>
  <c r="R74" i="1"/>
  <c r="P74" i="1"/>
  <c r="L74" i="1"/>
  <c r="J74" i="1"/>
  <c r="W72" i="1"/>
  <c r="T72" i="1"/>
  <c r="R72" i="1"/>
  <c r="P72" i="1"/>
  <c r="L72" i="1"/>
  <c r="J72" i="1"/>
  <c r="W71" i="1"/>
  <c r="T71" i="1"/>
  <c r="R71" i="1"/>
  <c r="P71" i="1"/>
  <c r="L71" i="1"/>
  <c r="J71" i="1"/>
  <c r="R68" i="1"/>
  <c r="L68" i="1"/>
  <c r="W67" i="1"/>
  <c r="T67" i="1"/>
  <c r="R67" i="1"/>
  <c r="P67" i="1"/>
  <c r="L67" i="1"/>
  <c r="J67" i="1"/>
  <c r="W66" i="1"/>
  <c r="T66" i="1"/>
  <c r="R66" i="1"/>
  <c r="P66" i="1"/>
  <c r="L66" i="1"/>
  <c r="J66" i="1"/>
  <c r="W65" i="1"/>
  <c r="T65" i="1"/>
  <c r="R65" i="1"/>
  <c r="P65" i="1"/>
  <c r="L65" i="1"/>
  <c r="J65" i="1"/>
  <c r="T62" i="1"/>
  <c r="S62" i="1"/>
  <c r="R62" i="1"/>
  <c r="L62" i="1"/>
  <c r="W61" i="1"/>
  <c r="T61" i="1"/>
  <c r="R61" i="1"/>
  <c r="P61" i="1"/>
  <c r="L61" i="1"/>
  <c r="J61" i="1"/>
  <c r="W60" i="1"/>
  <c r="T60" i="1"/>
  <c r="R60" i="1"/>
  <c r="P60" i="1"/>
  <c r="L60" i="1"/>
  <c r="J60" i="1"/>
  <c r="W58" i="1"/>
  <c r="T58" i="1"/>
  <c r="R58" i="1"/>
  <c r="P58" i="1"/>
  <c r="L58" i="1"/>
  <c r="J58" i="1"/>
  <c r="W56" i="1"/>
  <c r="T56" i="1"/>
  <c r="R56" i="1"/>
  <c r="P56" i="1"/>
  <c r="L56" i="1"/>
  <c r="J56" i="1"/>
  <c r="R53" i="1"/>
  <c r="L53" i="1"/>
  <c r="W52" i="1"/>
  <c r="T52" i="1"/>
  <c r="R52" i="1"/>
  <c r="P52" i="1"/>
  <c r="L52" i="1"/>
  <c r="J52" i="1"/>
  <c r="W51" i="1"/>
  <c r="T51" i="1"/>
  <c r="R51" i="1"/>
  <c r="P51" i="1"/>
  <c r="L51" i="1"/>
  <c r="J51" i="1"/>
  <c r="W50" i="1"/>
  <c r="T50" i="1"/>
  <c r="R50" i="1"/>
  <c r="P50" i="1"/>
  <c r="L50" i="1"/>
  <c r="J50" i="1"/>
  <c r="W49" i="1"/>
  <c r="T49" i="1"/>
  <c r="R49" i="1"/>
  <c r="P49" i="1"/>
  <c r="L49" i="1"/>
  <c r="J49" i="1"/>
  <c r="T45" i="1"/>
  <c r="R45" i="1"/>
  <c r="L45" i="1"/>
  <c r="W44" i="1"/>
  <c r="T44" i="1"/>
  <c r="R44" i="1"/>
  <c r="P44" i="1"/>
  <c r="L44" i="1"/>
  <c r="J44" i="1"/>
  <c r="W43" i="1"/>
  <c r="T43" i="1"/>
  <c r="R43" i="1"/>
  <c r="P43" i="1"/>
  <c r="L43" i="1"/>
  <c r="J43" i="1"/>
  <c r="W42" i="1"/>
  <c r="T42" i="1"/>
  <c r="R42" i="1"/>
  <c r="P42" i="1"/>
  <c r="L42" i="1"/>
  <c r="J42" i="1"/>
  <c r="W41" i="1"/>
  <c r="T41" i="1"/>
  <c r="R41" i="1"/>
  <c r="P41" i="1"/>
  <c r="L41" i="1"/>
  <c r="J41" i="1"/>
  <c r="W40" i="1"/>
  <c r="T40" i="1"/>
  <c r="R40" i="1"/>
  <c r="P40" i="1"/>
  <c r="L40" i="1"/>
  <c r="J40" i="1"/>
  <c r="W39" i="1"/>
  <c r="T39" i="1"/>
  <c r="R39" i="1"/>
  <c r="P39" i="1"/>
  <c r="L39" i="1"/>
  <c r="J39" i="1"/>
  <c r="W38" i="1"/>
  <c r="T38" i="1"/>
  <c r="R38" i="1"/>
  <c r="P38" i="1"/>
  <c r="L38" i="1"/>
  <c r="J38" i="1"/>
  <c r="W37" i="1"/>
  <c r="T37" i="1"/>
  <c r="R37" i="1"/>
  <c r="P37" i="1"/>
  <c r="L37" i="1"/>
  <c r="J37" i="1"/>
  <c r="W36" i="1"/>
  <c r="T36" i="1"/>
  <c r="R36" i="1"/>
  <c r="P36" i="1"/>
  <c r="L36" i="1"/>
  <c r="J36" i="1"/>
  <c r="W35" i="1"/>
  <c r="T35" i="1"/>
  <c r="R35" i="1"/>
  <c r="P35" i="1"/>
  <c r="L35" i="1"/>
  <c r="J35" i="1"/>
  <c r="W34" i="1"/>
  <c r="T34" i="1"/>
  <c r="R34" i="1"/>
  <c r="P34" i="1"/>
  <c r="L34" i="1"/>
  <c r="J34" i="1"/>
  <c r="W33" i="1"/>
  <c r="T33" i="1"/>
  <c r="R33" i="1"/>
  <c r="P33" i="1"/>
  <c r="L33" i="1"/>
  <c r="J33" i="1"/>
  <c r="W32" i="1"/>
  <c r="T32" i="1"/>
  <c r="R32" i="1"/>
  <c r="P32" i="1"/>
  <c r="L32" i="1"/>
  <c r="J32" i="1"/>
  <c r="W31" i="1"/>
  <c r="T31" i="1"/>
  <c r="R31" i="1"/>
  <c r="P31" i="1"/>
  <c r="L31" i="1"/>
  <c r="J31" i="1"/>
  <c r="W29" i="1"/>
  <c r="T29" i="1"/>
  <c r="R29" i="1"/>
  <c r="P29" i="1"/>
  <c r="L29" i="1"/>
  <c r="J29" i="1"/>
  <c r="W28" i="1"/>
  <c r="T28" i="1"/>
  <c r="R28" i="1"/>
  <c r="P28" i="1"/>
  <c r="L28" i="1"/>
  <c r="J28" i="1"/>
  <c r="W27" i="1"/>
  <c r="T27" i="1"/>
  <c r="R27" i="1"/>
  <c r="P27" i="1"/>
  <c r="L27" i="1"/>
  <c r="J27" i="1"/>
  <c r="W26" i="1"/>
  <c r="T26" i="1"/>
  <c r="R26" i="1"/>
  <c r="P26" i="1"/>
  <c r="L26" i="1"/>
  <c r="J26" i="1"/>
  <c r="W25" i="1"/>
  <c r="T25" i="1"/>
  <c r="R25" i="1"/>
  <c r="P25" i="1"/>
  <c r="L25" i="1"/>
  <c r="J25" i="1"/>
  <c r="W24" i="1"/>
  <c r="T24" i="1"/>
  <c r="R24" i="1"/>
  <c r="P24" i="1"/>
  <c r="L24" i="1"/>
  <c r="J24" i="1"/>
  <c r="W23" i="1"/>
  <c r="T23" i="1"/>
  <c r="R23" i="1"/>
  <c r="P23" i="1"/>
  <c r="L23" i="1"/>
  <c r="J23" i="1"/>
  <c r="W22" i="1"/>
  <c r="T22" i="1"/>
  <c r="R22" i="1"/>
  <c r="P22" i="1"/>
  <c r="L22" i="1"/>
  <c r="J22" i="1"/>
  <c r="W21" i="1"/>
  <c r="T21" i="1"/>
  <c r="R21" i="1"/>
  <c r="P21" i="1"/>
  <c r="L21" i="1"/>
  <c r="J21" i="1"/>
  <c r="W20" i="1"/>
  <c r="T20" i="1"/>
  <c r="R20" i="1"/>
  <c r="P20" i="1"/>
  <c r="L20" i="1"/>
  <c r="J20" i="1"/>
  <c r="K17" i="1"/>
  <c r="R16" i="1"/>
  <c r="L16" i="1"/>
  <c r="W15" i="1"/>
  <c r="T15" i="1"/>
  <c r="R15" i="1"/>
  <c r="P15" i="1"/>
  <c r="L15" i="1"/>
  <c r="J15" i="1"/>
  <c r="W13" i="1"/>
  <c r="T13" i="1"/>
  <c r="R13" i="1"/>
  <c r="P13" i="1"/>
  <c r="L13" i="1"/>
  <c r="J13" i="1"/>
  <c r="T10" i="1"/>
  <c r="R10" i="1"/>
  <c r="L10" i="1"/>
  <c r="W9" i="1"/>
  <c r="T9" i="1"/>
  <c r="R9" i="1"/>
  <c r="P9" i="1"/>
  <c r="L9" i="1"/>
  <c r="J9" i="1"/>
  <c r="N1" i="1"/>
  <c r="C8" i="13" l="1"/>
  <c r="E8" i="13"/>
  <c r="C67" i="6"/>
  <c r="AF54" i="9"/>
  <c r="AF56" i="9" s="1"/>
  <c r="E9" i="6"/>
  <c r="E11" i="13"/>
  <c r="J29" i="12"/>
  <c r="F3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a.hamada</author>
  </authors>
  <commentList>
    <comment ref="S15" authorId="0" shapeId="0" xr:uid="{CDF39B8D-53DD-4B0F-845D-154190B158C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貿易単価</t>
        </r>
      </text>
    </comment>
    <comment ref="Q133" authorId="0" shapeId="0" xr:uid="{97023724-7C3F-4B95-A6E3-0D02746482D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33" authorId="0" shapeId="0" xr:uid="{93DF54B6-E2ED-4FE8-A4EF-AD45D7B45E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35" authorId="0" shapeId="0" xr:uid="{5D1C2CA1-BFBC-4D1F-8471-B1336F23E20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35" authorId="0" shapeId="0" xr:uid="{1ED082F1-D923-4A31-AF4D-1EF0E65A4A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38" authorId="0" shapeId="0" xr:uid="{B6016FFD-4C5E-4FFA-BD24-121D411ED4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38" authorId="0" shapeId="0" xr:uid="{A7F51533-4FD2-48D0-87BE-A56F610CAE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39" authorId="0" shapeId="0" xr:uid="{2DC08607-3CEE-4C0E-96B4-8651494D62C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39" authorId="0" shapeId="0" xr:uid="{36E91A2C-0670-4AB4-AD77-A0040C5C89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41" authorId="0" shapeId="0" xr:uid="{A287C257-1A9F-482F-AB5C-587EBE5CC77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41" authorId="0" shapeId="0" xr:uid="{CD5922F4-FA5E-49B3-A114-F7930AAB22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42" authorId="0" shapeId="0" xr:uid="{60AEF261-4813-469F-85C9-578CE90967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42" authorId="0" shapeId="0" xr:uid="{62A39ED3-088C-45A9-979A-85441E218B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44" authorId="0" shapeId="0" xr:uid="{FB0AAE01-9C2C-4AED-B14F-1E8B85C9CC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44" authorId="0" shapeId="0" xr:uid="{C8570B7D-2BC3-41DF-80EB-91D442C435B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46" authorId="0" shapeId="0" xr:uid="{0F56B3FB-B7BA-4103-BC73-D23A3507121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46" authorId="0" shapeId="0" xr:uid="{F0BDABFB-58DB-4CF8-90A3-E78EE3A190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48" authorId="0" shapeId="0" xr:uid="{E5A08B11-0EFF-44D1-BDBA-52DCAD32EF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48" authorId="0" shapeId="0" xr:uid="{2486E2A8-DAEA-4819-A21F-2B8EEB219F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51" authorId="0" shapeId="0" xr:uid="{F359F08C-3E58-44C6-BDC8-C1960CE317E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51" authorId="0" shapeId="0" xr:uid="{F1BE1763-C58A-4D5F-B4A4-7AAE442EEF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Q152" authorId="0" shapeId="0" xr:uid="{91B034DD-F266-4AF8-B6B1-D7CC6A8ECE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今回は1-19反単価で請求</t>
        </r>
      </text>
    </comment>
    <comment ref="S152" authorId="0" shapeId="0" xr:uid="{CBBA2867-18DA-4E08-9A95-11EBAF8594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20反以上の単価</t>
        </r>
      </text>
    </comment>
    <comment ref="K333" authorId="1" shapeId="0" xr:uid="{8619D1C7-B805-4FF8-8894-4D97336B0F54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返送(現地US UPSドライバー判断で強制的な返送)→運賃返金扱いとなる-4/15</t>
        </r>
      </text>
    </comment>
    <comment ref="K334" authorId="1" shapeId="0" xr:uid="{88FE11D5-5B89-4424-A6E9-3622C08D862A}">
      <text>
        <r>
          <rPr>
            <b/>
            <sz val="9"/>
            <color indexed="81"/>
            <rFont val="MS P ゴシック"/>
            <family val="3"/>
            <charset val="128"/>
          </rPr>
          <t>a.hamada:　　　　　　</t>
        </r>
        <r>
          <rPr>
            <sz val="9"/>
            <color indexed="81"/>
            <rFont val="MS P ゴシック"/>
            <family val="3"/>
            <charset val="128"/>
          </rPr>
          <t>再出荷時の運賃分を請求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</authors>
  <commentList>
    <comment ref="E183" authorId="0" shapeId="0" xr:uid="{6D2F63DD-0E4A-4636-8DCA-D795D381DF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4" authorId="0" shapeId="0" xr:uid="{72811966-15D9-4162-8037-E049AC21BA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6" authorId="0" shapeId="0" xr:uid="{06B1A990-9897-4CE3-A012-378C9E777E9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6" authorId="0" shapeId="0" xr:uid="{3D62F72B-6B38-4D1F-846C-A6F7D3FE03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7" authorId="0" shapeId="0" xr:uid="{135A3133-C60D-4C1E-9979-CD8C238E4E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7" authorId="0" shapeId="0" xr:uid="{94F4E7FF-70F1-440A-8BE2-BC158936154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9" authorId="0" shapeId="0" xr:uid="{675A189A-728B-400B-AFEF-BD95431BEF0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0" authorId="0" shapeId="0" xr:uid="{729BA752-8B02-4745-A88C-14099216046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1" authorId="0" shapeId="0" xr:uid="{29AA24B8-CE83-4D2E-8067-EEE65AA25E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2" authorId="0" shapeId="0" xr:uid="{F6B09C99-BA1E-4FFE-893C-538F35CA31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4" authorId="0" shapeId="0" xr:uid="{AF6580CE-60FB-48E7-B734-00AAD1A31D0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5" authorId="0" shapeId="0" xr:uid="{C8B81E96-FC1D-45D2-BAE4-1812D01B4CC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7" authorId="0" shapeId="0" xr:uid="{642EE125-B7C3-40F1-8CAB-384DE1BCC3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8" authorId="0" shapeId="0" xr:uid="{EFD6EE54-14EA-4E11-9C1B-704A649AD3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0" authorId="0" shapeId="0" xr:uid="{D8A9AB16-6594-43B4-A38A-9F88A747B6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1" authorId="0" shapeId="0" xr:uid="{47322E7F-5583-4B28-92FE-AE3ABDCB87A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D215" authorId="0" shapeId="0" xr:uid="{C354AB81-EE92-4FA5-AD77-836C1653C63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6" authorId="0" shapeId="0" xr:uid="{E931F033-02E5-4047-9E5F-6931443F98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7" authorId="0" shapeId="0" xr:uid="{9410E5C3-7517-4716-89FB-B97CD64C2EE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228" authorId="0" shapeId="0" xr:uid="{C402FFFB-8348-4A66-9908-061344E382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29" authorId="0" shapeId="0" xr:uid="{4A8BA970-7694-428E-B2F6-838AAB837C9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0" authorId="0" shapeId="0" xr:uid="{4C28756F-1648-41CB-9E2B-E996A50F4AD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1" authorId="0" shapeId="0" xr:uid="{F39F8989-21D8-4C72-8E6E-0C105E6F772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2" authorId="0" shapeId="0" xr:uid="{A49E4515-389A-404A-B886-052710E103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48" authorId="0" shapeId="0" xr:uid="{48CA8F15-7575-473F-BD92-4E6C2894AF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49" authorId="0" shapeId="0" xr:uid="{DF6EACD9-810B-4F36-AC89-A2C9336692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0" authorId="0" shapeId="0" xr:uid="{31D3E9EB-2E85-4D0D-B823-A236525164B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1" authorId="0" shapeId="0" xr:uid="{D79ED38A-F588-4DB6-BDC8-973DFF78197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2" authorId="0" shapeId="0" xr:uid="{ADA64E52-4EA6-488F-A909-B4FF541F1C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3" authorId="0" shapeId="0" xr:uid="{6B4CC6BF-7156-4A03-A02D-550565089F5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5" authorId="0" shapeId="0" xr:uid="{A3B86A86-926F-46DA-A53B-1E9ECE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5" authorId="0" shapeId="0" xr:uid="{ECF13A02-59DA-4D1D-AA61-EE4E2DD0BA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6" authorId="0" shapeId="0" xr:uid="{028B1ABF-9C4D-46E3-8927-84672906855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6" authorId="0" shapeId="0" xr:uid="{A04B94DF-E424-4BFB-B5D1-2BD0C8260DA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7" authorId="0" shapeId="0" xr:uid="{F44AC103-8E22-418E-97FC-376C90FFFC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7" authorId="0" shapeId="0" xr:uid="{64D3705A-A13A-4598-8F4D-923E579A78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8" authorId="0" shapeId="0" xr:uid="{77B85BD3-731E-487D-95A5-6640BE5F0B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8" authorId="0" shapeId="0" xr:uid="{6BD9B29A-0DEE-4A50-8B8A-E9C6CDDF05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9" authorId="0" shapeId="0" xr:uid="{B87B7A5B-2372-4E2E-A9B3-FA8FEAD1C2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9" authorId="0" shapeId="0" xr:uid="{DC5C7B76-2F9A-482D-AEB1-94C479C1DE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1" authorId="0" shapeId="0" xr:uid="{4E17FC88-17E6-4582-90DA-7665FF4A8A3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2" authorId="0" shapeId="0" xr:uid="{23878459-8734-4F00-8433-9340CE8DB3D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3" authorId="0" shapeId="0" xr:uid="{71AB660D-BFC4-4368-86F0-F3ADC28D363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4" authorId="0" shapeId="0" xr:uid="{2FF7E0E4-7773-4B50-A23B-383D745423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5" authorId="0" shapeId="0" xr:uid="{18B1D105-AE1C-49EB-8089-03C591438AF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7" authorId="0" shapeId="0" xr:uid="{C478E806-AC08-43EE-96FD-20D2A01FB3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8" authorId="0" shapeId="0" xr:uid="{F0CEBC9B-D912-4AE1-A24D-4825448043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9" authorId="0" shapeId="0" xr:uid="{E65F6E8A-47A7-492A-BA70-0C25CAEA27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0" authorId="0" shapeId="0" xr:uid="{895C1A85-37EB-46ED-83A7-32D4B9515C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1" authorId="0" shapeId="0" xr:uid="{24C65EB1-B69A-40BC-B348-3E9411FFD7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6" authorId="0" shapeId="0" xr:uid="{19AE5185-3A7E-4DDD-958F-3138BF27E99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7" authorId="0" shapeId="0" xr:uid="{E1C0607A-05B8-4401-BDD7-245BD5D87F5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317" authorId="0" shapeId="0" xr:uid="{07131F95-1CA4-41E2-ACB4-18FA70804E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8" authorId="0" shapeId="0" xr:uid="{6498160D-76C0-4B75-A272-77EFBBDB3C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9" authorId="0" shapeId="0" xr:uid="{DB89A98E-5AAF-457D-87B6-AAC89DDFAF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0" authorId="0" shapeId="0" xr:uid="{8982467F-478E-4820-A925-3EA66E6C473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1" authorId="0" shapeId="0" xr:uid="{DD5E1B07-45D7-49EE-9A17-27C8722B7D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2" authorId="0" shapeId="0" xr:uid="{72765529-8234-4C70-BC59-1DDBC554AD4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D357" authorId="0" shapeId="0" xr:uid="{13492F73-351B-4637-AC3C-44B310046F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D367" authorId="0" shapeId="0" xr:uid="{F6BCB5BB-ABF6-47F4-879E-F14E5F7552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G401" authorId="0" shapeId="0" xr:uid="{F5DFF9C8-352B-44B2-9449-69374FA873E4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2" authorId="0" shapeId="0" xr:uid="{B7028CFF-28BD-47D0-BB93-BB3662B3AE8B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3" authorId="0" shapeId="0" xr:uid="{1BE0C613-DEAD-4658-864A-AD7A513A53A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4" authorId="0" shapeId="0" xr:uid="{B0F9751C-5ACB-4638-B6E8-8DE4071B71D6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5" authorId="0" shapeId="0" xr:uid="{D57BB6B3-D5F3-4635-A779-6F675808E80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1.91/m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$ 1.68 + メンコ $ 0.01 /m + C&amp;F $ 0.22/m 　</t>
        </r>
      </text>
    </comment>
    <comment ref="G406" authorId="0" shapeId="0" xr:uid="{9D667757-906F-47C9-A985-D1A897DE3CEA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HK=USD0.74/m
↓前回はCIF 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7" authorId="0" shapeId="0" xr:uid="{DB4B7D38-F8A7-47ED-A7F3-8701119B685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
↓前回はCIF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8" authorId="0" shapeId="0" xr:uid="{4C57968B-58A7-4733-A0F9-DC530D977B47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09" authorId="0" shapeId="0" xr:uid="{56B48092-287C-4B82-8A76-216FDAED16B6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412" authorId="0" shapeId="0" xr:uid="{C873E1A0-75D3-4416-B2A9-83DC34A1215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3" authorId="0" shapeId="0" xr:uid="{85EF860F-0486-4B76-93F4-65C1D67BA92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4" authorId="0" shapeId="0" xr:uid="{46BDC1EA-0E7F-4D93-8C13-9939E3255B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I427" authorId="0" shapeId="0" xr:uid="{7E544E1B-7ECF-4737-8935-C7092195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6" authorId="0" shapeId="0" xr:uid="{3592DCC2-12FF-4407-8CBA-441CD07347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6" authorId="0" shapeId="0" xr:uid="{3CA0494B-45BA-4AA4-A037-B9215D4026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7" authorId="0" shapeId="0" xr:uid="{97AA3D74-65DD-4889-874B-8B1E948BCB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7" authorId="0" shapeId="0" xr:uid="{11A8AA79-8C8B-4BEE-B40D-E6572B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8" authorId="0" shapeId="0" xr:uid="{A703A122-3EF1-4AAF-8AA5-82AD1E9E98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8" authorId="0" shapeId="0" xr:uid="{BCA1C1EE-E812-4C02-86D9-120C3593ADF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9" authorId="0" shapeId="0" xr:uid="{930F74F6-F128-48A1-8003-CC2ADB6A70C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9" authorId="0" shapeId="0" xr:uid="{FB966D2D-5EE2-4CCD-B9F3-61613A9EC83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40" authorId="0" shapeId="0" xr:uid="{73074E62-D9C6-4E27-90F1-934556F944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0" authorId="0" shapeId="0" xr:uid="{E8F9F96B-EF48-4C45-9B7C-F29D980A3EB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2" authorId="0" shapeId="0" xr:uid="{EE0A9D84-5FDA-4D05-9BA2-A28F205CD6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D509" authorId="0" shapeId="0" xr:uid="{ED771326-820B-4E1C-BDB5-7733B83DCD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510" authorId="0" shapeId="0" xr:uid="{7E4880BD-5A97-4093-AB33-E1EAE2FF7F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1" authorId="0" shapeId="0" xr:uid="{9A391007-FF60-4B4D-B1E2-A33B7786104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2" authorId="0" shapeId="0" xr:uid="{A934C34F-1B35-4251-9E68-6E0C98EE90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3" authorId="0" shapeId="0" xr:uid="{4AC66210-E7A7-4B59-9F97-2A7D895485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4" authorId="0" shapeId="0" xr:uid="{DBD95CC1-BAD1-4C55-8C1D-1235434B90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5" authorId="0" shapeId="0" xr:uid="{9DBFC633-EFAB-4C3A-A3C7-F7207CDF88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6" authorId="0" shapeId="0" xr:uid="{C87A35DD-8B05-421D-B5D6-D377C13E3A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7" authorId="0" shapeId="0" xr:uid="{4BC5391D-3117-463B-BA41-06A3CE4DB3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8" authorId="0" shapeId="0" xr:uid="{A3D0582F-3033-480D-B4AD-0A1E28BDFED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9" authorId="0" shapeId="0" xr:uid="{5909EE2B-C52A-482F-8F68-C50A2359F2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22" authorId="0" shapeId="0" xr:uid="{63507383-317A-4A1E-A19A-8C4E608673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3" authorId="0" shapeId="0" xr:uid="{065A0E54-5599-45E3-A286-3081363138B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4" authorId="0" shapeId="0" xr:uid="{A90265AC-C869-4918-81F6-0EE45CE3242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5" authorId="0" shapeId="0" xr:uid="{D5B2649E-E0D7-4813-8797-3230655251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6" authorId="0" shapeId="0" xr:uid="{3CCB2506-038C-4F12-A35B-2B15117F7DD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7" authorId="0" shapeId="0" xr:uid="{9DA58D3C-7B15-40D6-8B8D-1EE885F1123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8" authorId="0" shapeId="0" xr:uid="{465ACA9E-871E-4655-9AEB-D0808709331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9" authorId="0" shapeId="0" xr:uid="{06A569FE-256A-48ED-8746-BD7FB5240A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0" authorId="0" shapeId="0" xr:uid="{196792C7-FFC5-4ECD-8CBD-4118149D821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1" authorId="0" shapeId="0" xr:uid="{AE3A31E1-BE42-45DF-9AE1-4E8DEAD2D50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2" authorId="0" shapeId="0" xr:uid="{FEEA625E-76E7-43D1-96D3-7591E9B050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3" authorId="0" shapeId="0" xr:uid="{A89469D2-851F-4162-9441-0B6CB0A810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4" authorId="0" shapeId="0" xr:uid="{D99B9483-C7F8-4795-95CB-80195CD7C9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5" authorId="0" shapeId="0" xr:uid="{C4D650C4-9891-4127-B663-E69FE9F490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6" authorId="0" shapeId="0" xr:uid="{D1A2EB7B-F8F4-426D-B42F-482966468C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7" authorId="0" shapeId="0" xr:uid="{DC048E43-2464-4B3E-BBF8-DAD119B974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8" authorId="0" shapeId="0" xr:uid="{421C2EB0-593E-4033-95D1-466966965B0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9" authorId="0" shapeId="0" xr:uid="{593552DF-C1E1-4211-B684-C6C4079A44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0" authorId="0" shapeId="0" xr:uid="{26637AB1-832B-4C44-AF7F-436A6662889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1" authorId="0" shapeId="0" xr:uid="{5101040A-4768-4C50-82E3-16B1EAF5C2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2" authorId="0" shapeId="0" xr:uid="{A7BAA371-60CE-48BC-86BE-52FE42E2A22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7" authorId="0" shapeId="0" xr:uid="{E11C0E7F-706D-45D9-9776-43188DD85D1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8" authorId="0" shapeId="0" xr:uid="{1778D110-35BE-46A5-8AB2-876BDB564A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9" authorId="0" shapeId="0" xr:uid="{EFE60195-A4D9-4F39-BD0A-AF30C61F36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0" authorId="0" shapeId="0" xr:uid="{05BD9FCB-2919-414D-A3C9-E54B9A66DA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1" authorId="0" shapeId="0" xr:uid="{0DB7CEFB-6A02-4EC6-B563-2BBE998FBE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2" authorId="0" shapeId="0" xr:uid="{7FEF24EE-7192-4C1E-A740-52A053F1687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3" authorId="0" shapeId="0" xr:uid="{6C795629-B344-4A4E-AF0F-0278D9DEC6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4" authorId="0" shapeId="0" xr:uid="{08E83473-E597-4CB5-A717-7B26D39D9A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5" authorId="0" shapeId="0" xr:uid="{A094C13E-325F-4A10-9601-FFF1FE2F802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6" authorId="0" shapeId="0" xr:uid="{D3262AB1-D685-4ACA-9059-63D50078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7" authorId="0" shapeId="0" xr:uid="{A3F4E50E-7FCB-4D4E-91DC-A9D40F7586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8" authorId="0" shapeId="0" xr:uid="{739EF8B9-E039-4894-B946-963E17652EC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9" authorId="0" shapeId="0" xr:uid="{CF25A3A6-93E2-4150-8036-A27F19A445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60" authorId="0" shapeId="0" xr:uid="{850C7BA6-F819-46B2-B896-743B88F7A14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571" authorId="0" shapeId="0" xr:uid="{F163F9A4-286D-47F5-B583-5E81A01A48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G572" authorId="0" shapeId="0" xr:uid="{41B99DA5-5150-4782-80B8-D6AB0175BD8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C577" authorId="0" shapeId="0" xr:uid="{4EE222AC-94A9-4266-957E-9D477A0B53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1430m</t>
        </r>
      </text>
    </comment>
    <comment ref="F577" authorId="0" shapeId="0" xr:uid="{60FDAA2A-F16E-4FF7-93D7-A9DF19EC16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7" authorId="0" shapeId="0" xr:uid="{38ED5A7D-8F01-47D4-A94A-5F4BA1606B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8" authorId="0" shapeId="0" xr:uid="{C2A14C50-743F-469D-B9D9-84F545D93C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8" authorId="0" shapeId="0" xr:uid="{5FFC107F-ED37-45A5-8BD0-50D778FF5D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9" authorId="0" shapeId="0" xr:uid="{300D1A3D-649F-480D-A4F1-E52E95C798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9" authorId="0" shapeId="0" xr:uid="{5D95F231-5016-4350-B79A-2F65204A25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0" authorId="0" shapeId="0" xr:uid="{5AB3ECB1-EC96-42AA-A716-D474ADBFEEA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0" authorId="0" shapeId="0" xr:uid="{B0C7F7DC-0BC6-40B8-A637-03A6E44DE0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C581" authorId="0" shapeId="0" xr:uid="{1DF0D0CD-9908-4B14-A1EC-3241271653A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1345m</t>
        </r>
      </text>
    </comment>
    <comment ref="F581" authorId="0" shapeId="0" xr:uid="{002EC4E4-9DF5-480F-A70F-CBEF20018DC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1" authorId="0" shapeId="0" xr:uid="{5D572D48-A8AE-4200-A85B-FC8336BBE90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2" authorId="0" shapeId="0" xr:uid="{35468EA1-40BC-40F7-9D73-6C99A4F242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2" authorId="0" shapeId="0" xr:uid="{A4C66B28-DCD4-42BE-AD6B-C67C79B984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3" authorId="0" shapeId="0" xr:uid="{3C847830-1E05-44F2-92BE-083ED8383D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3" authorId="0" shapeId="0" xr:uid="{2ABFBC0C-160C-4F29-828D-682FC6BDD91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93" authorId="0" shapeId="0" xr:uid="{A05F2B79-EDA4-4409-8496-30CEF80BD34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F596" authorId="0" shapeId="0" xr:uid="{333524F3-CAF8-403D-9EE8-79A4D8D44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E622" authorId="0" shapeId="0" xr:uid="{639B7F59-1AD2-47DF-A5CE-26241EFDC4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</t>
        </r>
      </text>
    </comment>
    <comment ref="G656" authorId="0" shapeId="0" xr:uid="{60AC512F-9240-4736-9805-123547562DA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375 /col</t>
        </r>
      </text>
    </comment>
    <comment ref="F702" authorId="0" shapeId="0" xr:uid="{C5F32F25-D46B-4D0A-A386-806CEFA5B6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703" authorId="0" shapeId="0" xr:uid="{97E3BC83-317D-46A4-8631-70CE35D9991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A715" authorId="0" shapeId="0" xr:uid="{AA9CEC61-F7A2-4DD1-8377-9EDFF3BBB00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6" authorId="0" shapeId="0" xr:uid="{DE3DE70D-35D1-4C4D-BAE7-296EE7939B7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7" authorId="0" shapeId="0" xr:uid="{259CDDE4-27E5-4BA1-AE8A-46C1D92E86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8" authorId="0" shapeId="0" xr:uid="{39F8A2E6-09C4-45B3-BA53-3C0C00BF54A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0" authorId="0" shapeId="0" xr:uid="{CCF7B71D-8853-48E2-B2B4-756B48F264D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1" authorId="0" shapeId="0" xr:uid="{9F908D95-2112-46A5-8B3B-2387B68BC7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2" authorId="0" shapeId="0" xr:uid="{8E148AEF-9D9B-4697-BF0B-EFE54682CA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3" authorId="0" shapeId="0" xr:uid="{E6F3270C-3A9C-4880-8D84-E0E354ECE2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8" authorId="0" shapeId="0" xr:uid="{6D1645FF-E5D0-48C1-929F-685304A22A6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9" authorId="0" shapeId="0" xr:uid="{576888CB-CEFD-4BAE-BD22-127BE84F6EF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I812" authorId="0" shapeId="0" xr:uid="{9BD6F4F5-A30A-4E8C-8622-CB64F321E2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N812" authorId="0" shapeId="0" xr:uid="{C9F6ECE2-D259-4EF0-9BD8-CF35D7BCA2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I825" authorId="0" shapeId="0" xr:uid="{0C19762B-CC90-487E-9B1D-34751B0B78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5" authorId="0" shapeId="0" xr:uid="{27900844-3C51-4ABF-8718-A2959AEE9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I826" authorId="0" shapeId="0" xr:uid="{D3BB134C-D50F-4C1E-9945-51BA03430F5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6" authorId="0" shapeId="0" xr:uid="{47937A39-111D-44CC-B6C5-D5FD1F213F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7" authorId="0" shapeId="0" xr:uid="{77550232-B79A-4EE0-9A4B-6A7B4145D3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7" authorId="0" shapeId="0" xr:uid="{7749184F-C5C9-4EAF-89E0-3BC003EAC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8" authorId="0" shapeId="0" xr:uid="{437694DA-40EE-4A6A-B68E-431AEAE75C1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8" authorId="0" shapeId="0" xr:uid="{2F13D6CA-3050-4687-BEC1-D6480F24ADC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H939" authorId="0" shapeId="0" xr:uid="{7B07E075-2F0F-4832-B590-865BF2079D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A946" authorId="0" shapeId="0" xr:uid="{ED806370-5D83-496C-953C-BBEDD28FC5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G958" authorId="1" shapeId="0" xr:uid="{D0DCC0C7-286A-4FE0-8F30-BD84C56F247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レート98
</t>
        </r>
      </text>
    </comment>
    <comment ref="F991" authorId="0" shapeId="0" xr:uid="{624843C7-1BE0-40CB-A069-71BB902C29C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2" authorId="0" shapeId="0" xr:uid="{20F5678F-0DA0-4461-8E78-8FE5C98EBDE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3" authorId="0" shapeId="0" xr:uid="{0CA3F648-6447-4E7E-8D9E-578561AA8105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
500m 以上特価</t>
        </r>
      </text>
    </comment>
    <comment ref="D1019" authorId="0" shapeId="0" xr:uid="{07BC35AE-CB4B-4618-AD7E-999A095DC7AF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D1020" authorId="0" shapeId="0" xr:uid="{71ED8CC7-796A-433E-87CF-438DDF89BB5E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1" authorId="0" shapeId="0" xr:uid="{83386B23-A0C5-448E-AC76-84E21498B4EC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2" authorId="0" shapeId="0" xr:uid="{5B94A711-31AD-4C24-B6D6-B791CDA02928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3" authorId="0" shapeId="0" xr:uid="{3FDEEAAA-CD61-42C9-87A2-1C339324D73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4" authorId="0" shapeId="0" xr:uid="{C21F4BF9-9956-4178-8BB3-BE21E15B7497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5" authorId="0" shapeId="0" xr:uid="{386CA144-97BE-4BE7-BFA5-764699E8236A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6" authorId="0" shapeId="0" xr:uid="{82B7F25E-3AAD-49FB-8861-E0418038D3B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7" authorId="0" shapeId="0" xr:uid="{13C23F74-A8A9-49F3-B25F-59678A6634E5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8" authorId="0" shapeId="0" xr:uid="{B8BA2653-73BD-4CED-8F9F-867CAC83C1FF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135" authorId="0" shapeId="0" xr:uid="{E3CA6EF5-0D0B-40A2-B332-533B627A8E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D1136" authorId="0" shapeId="0" xr:uid="{383DD3FC-3A69-4023-9641-F622427C99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E1151" authorId="0" shapeId="0" xr:uid="{D49E4D60-049D-4FF4-A65D-C384A8E1F6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100m にdecreas ?? </t>
        </r>
      </text>
    </comment>
    <comment ref="E1210" authorId="0" shapeId="0" xr:uid="{D7B2211E-0E61-4CE7-BCE3-87024651F8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E1211" authorId="0" shapeId="0" xr:uid="{E48B01FC-F63F-43C6-888E-5175947893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
レート 85
</t>
        </r>
      </text>
    </comment>
    <comment ref="E1213" authorId="0" shapeId="0" xr:uid="{EB7C5035-F05D-4ECD-9339-03D1128958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D1277" authorId="0" shapeId="0" xr:uid="{3946D247-59C6-4C4F-BCE8-4C2D1AE7A8A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8" authorId="0" shapeId="0" xr:uid="{266B5604-F724-46D0-874D-ED480CA9BA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9" authorId="0" shapeId="0" xr:uid="{E9C96450-2660-4762-9A2B-597033F069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0" authorId="0" shapeId="0" xr:uid="{86393CDD-8041-4901-8555-6C4BCC35E8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1" authorId="0" shapeId="0" xr:uid="{0F5A88BA-4A34-4C05-9AC1-E9797E78B1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52" authorId="0" shapeId="0" xr:uid="{55D996FE-DD2E-42E1-832F-FC67593AC1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3" authorId="0" shapeId="0" xr:uid="{8B5B2E06-0766-43C7-83FA-FD43F2A870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6" authorId="0" shapeId="0" xr:uid="{904F173E-6043-4984-9FB0-78A498F64B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A1375" authorId="1" shapeId="0" xr:uid="{FE58A0CA-C004-45EA-90BA-F0FD224B4B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2801
</t>
        </r>
      </text>
    </comment>
    <comment ref="A1381" authorId="1" shapeId="0" xr:uid="{658AADC5-5C00-405D-8618-F755852BAA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2880</t>
        </r>
      </text>
    </comment>
    <comment ref="D1407" authorId="1" shapeId="0" xr:uid="{D02DE6D6-807E-4E44-BD9A-00FAF0ED80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8" authorId="1" shapeId="0" xr:uid="{E612B9DB-101C-4490-A98C-DCCC47A6E1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9" authorId="1" shapeId="0" xr:uid="{66A02D5F-D81A-44A1-BAEF-1020D050FBC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10" authorId="1" shapeId="0" xr:uid="{CB8E0BD8-4AF3-4B3D-8B21-AF2B6DF63E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4" authorId="1" shapeId="0" xr:uid="{B28DB9B8-B44C-42BB-9E30-DD07DF516F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5" authorId="1" shapeId="0" xr:uid="{F84203A2-A2FD-4CBE-96A8-C93807BFBD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7" authorId="1" shapeId="0" xr:uid="{487FB3B0-08BC-434B-9552-2B21FC2543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8" authorId="1" shapeId="0" xr:uid="{4E9D34C3-388E-4100-82DB-5C0913A558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C1432" authorId="1" shapeId="0" xr:uid="{DA67EF99-970B-4B05-8067-C45CB76C333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3" authorId="1" shapeId="0" xr:uid="{F5E02693-4F4E-49B7-9775-E20E7972BCE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5" authorId="1" shapeId="0" xr:uid="{9AC6F86E-F3BC-4254-80F1-8B4016282A5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E1469" authorId="1" shapeId="0" xr:uid="{6C6BE50F-9969-41BC-8D7A-AED8C20A3C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0" authorId="1" shapeId="0" xr:uid="{8EDCF1CE-556C-4440-B29D-35CE60A10C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5" authorId="1" shapeId="0" xr:uid="{7E77ED0A-AAAE-4328-8A7D-CF83EB5A94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E1476" authorId="1" shapeId="0" xr:uid="{9E5C461C-F60E-4516-9BA2-AC5BA5F6AA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C1479" authorId="1" shapeId="0" xr:uid="{FE5FFD69-F14A-4E3A-A702-D498CF98BA8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89" authorId="1" shapeId="0" xr:uid="{F50CC946-EE51-4C0D-A29A-0C50C59982E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91" authorId="1" shapeId="0" xr:uid="{C6D038A0-A3FF-44D8-BE3B-4F0C30C0A34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C1491" authorId="1" shapeId="0" xr:uid="{410D0984-8924-4963-ACAA-1E441BE619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C1492" authorId="1" shapeId="0" xr:uid="{C1BCD7AA-5AC9-4BB0-AAA5-A98EA83A0B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B1493" authorId="1" shapeId="0" xr:uid="{B97F94DD-B177-4902-870D-0AEDDC2745F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A1512" authorId="1" shapeId="0" xr:uid="{2E9043BC-67EA-4626-9BEC-9D5D566688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3263</t>
        </r>
      </text>
    </comment>
    <comment ref="F1534" authorId="1" shapeId="0" xr:uid="{2BB20A8E-8F3F-45ED-AE58-A2893FFA76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F1545" authorId="1" shapeId="0" xr:uid="{21CD5A4E-ED35-4A1A-A47F-BD9DFD814E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552" authorId="0" shapeId="0" xr:uid="{C6DA2636-408E-48F2-8E32-089D1937A5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: 3340</t>
        </r>
      </text>
    </comment>
    <comment ref="B1559" authorId="1" shapeId="0" xr:uid="{8270857D-77DA-4685-BF2C-A65552FA084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3369 </t>
        </r>
      </text>
    </comment>
    <comment ref="F1564" authorId="1" shapeId="0" xr:uid="{E1879714-6A30-4C5A-A3DE-3A6CD4B4441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B1568" authorId="1" shapeId="0" xr:uid="{437168DB-0184-49E5-988E-C22C564BD1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3370</t>
        </r>
      </text>
    </comment>
    <comment ref="F1575" authorId="1" shapeId="0" xr:uid="{448E6192-CCCA-4DAB-8B2A-9C975ECDB9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638" authorId="0" shapeId="0" xr:uid="{073EAF08-480D-4FBB-867C-734F9B1CEF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PI＃3603</t>
        </r>
      </text>
    </comment>
    <comment ref="D1653" authorId="0" shapeId="0" xr:uid="{D6561108-08D4-4608-BF7E-BD70DA34DB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4" authorId="0" shapeId="0" xr:uid="{AFD9ED23-2B72-4B5E-9387-4A14E5D957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5" authorId="0" shapeId="0" xr:uid="{B315B0D3-4F85-49D0-A43E-7E92E81270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B1662" authorId="0" shapeId="0" xr:uid="{0648155A-E1EF-4D0B-A771-AFF3FDAF2E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PI＃3838</t>
        </r>
      </text>
    </comment>
    <comment ref="A1667" authorId="0" shapeId="0" xr:uid="{7CC0A7C8-EF29-4A9D-BDF8-0050921A9E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PI＃3836</t>
        </r>
      </text>
    </comment>
    <comment ref="A1710" authorId="1" shapeId="0" xr:uid="{9DE3E5E7-BFE8-4F30-A074-68AC41E295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3844 for Col.13 Coral </t>
        </r>
      </text>
    </comment>
    <comment ref="D1710" authorId="1" shapeId="0" xr:uid="{B7750AE1-4EB7-4B7B-B622-8798923051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1" authorId="1" shapeId="0" xr:uid="{4CA51E52-CDA1-4A55-9062-12381BBBBF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E1711" authorId="0" shapeId="0" xr:uid="{00E90938-B018-4E11-9BA3-91FD914488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一括でUSD 210.99で請求</t>
        </r>
      </text>
    </comment>
    <comment ref="D1712" authorId="1" shapeId="0" xr:uid="{17092221-F4CD-4DC2-9DDC-EBD199E245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3" authorId="1" shapeId="0" xr:uid="{0EB39858-3CD4-4D90-912F-233E3A625C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4" authorId="1" shapeId="0" xr:uid="{F40FCC0F-50A7-48CF-AA8D-0BB83DBD86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test= USD 150 ( NYが支払うので、NY には請求無し） </t>
        </r>
      </text>
    </comment>
    <comment ref="D1715" authorId="1" shapeId="0" xr:uid="{F5AEBEAF-A318-4769-8EA8-9878121A37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</t>
        </r>
      </text>
    </comment>
    <comment ref="D1716" authorId="1" shapeId="0" xr:uid="{BD62DFAA-7A46-4561-85D1-6668E96D8A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7" authorId="1" shapeId="0" xr:uid="{43C4CC52-0FE5-41E1-8344-633A48EDF3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
</t>
        </r>
      </text>
    </comment>
    <comment ref="E1717" authorId="0" shapeId="0" xr:uid="{F5BA4DFF-A0D6-4E81-AC7A-2AC3D611AE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USD 200で請求</t>
        </r>
      </text>
    </comment>
    <comment ref="D1718" authorId="1" shapeId="0" xr:uid="{517CA2FB-6673-469C-A451-4B8B34973D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9" authorId="1" shapeId="0" xr:uid="{37F1D038-FD9F-44F2-A2B1-5BE36D0E7A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H88" authorId="0" shapeId="0" xr:uid="{6D3EE1CB-C2A1-4312-8383-FA70FC315A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H89" authorId="0" shapeId="0" xr:uid="{28AD14D5-638E-4B49-AF04-DE6F538132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<sst xmlns="http://schemas.openxmlformats.org/spreadsheetml/2006/main" count="8844" uniqueCount="3057">
  <si>
    <t>ART. NO.</t>
    <phoneticPr fontId="3"/>
  </si>
  <si>
    <t>QTY</t>
    <phoneticPr fontId="3"/>
  </si>
  <si>
    <t>Put-up</t>
    <phoneticPr fontId="3"/>
  </si>
  <si>
    <t>SF-USA</t>
    <phoneticPr fontId="3"/>
  </si>
  <si>
    <t>(per roll)</t>
    <phoneticPr fontId="3"/>
  </si>
  <si>
    <t>(per meter)</t>
    <phoneticPr fontId="3"/>
  </si>
  <si>
    <t>T3500</t>
    <phoneticPr fontId="3"/>
  </si>
  <si>
    <t>2020A-WS</t>
    <phoneticPr fontId="3"/>
  </si>
  <si>
    <t>M</t>
    <phoneticPr fontId="3"/>
  </si>
  <si>
    <t xml:space="preserve">Trina Turk </t>
    <phoneticPr fontId="3"/>
  </si>
  <si>
    <t># 1 White</t>
    <phoneticPr fontId="3"/>
  </si>
  <si>
    <t>Handling Fee</t>
    <phoneticPr fontId="3"/>
  </si>
  <si>
    <t>TI-3500</t>
    <phoneticPr fontId="3"/>
  </si>
  <si>
    <t>12 x 12mm</t>
    <phoneticPr fontId="3"/>
  </si>
  <si>
    <t># 500 Black</t>
    <phoneticPr fontId="3"/>
  </si>
  <si>
    <t># 511 Burgundy</t>
    <phoneticPr fontId="3"/>
  </si>
  <si>
    <t>Stretch Binder Tape Polyester 90%, Polyurethane 10%</t>
    <phoneticPr fontId="3"/>
  </si>
  <si>
    <t>15 x 15mm</t>
    <phoneticPr fontId="3"/>
  </si>
  <si>
    <t>ES-FB002</t>
    <phoneticPr fontId="3"/>
  </si>
  <si>
    <t># 50 Black</t>
    <phoneticPr fontId="3"/>
  </si>
  <si>
    <t># 47 Indigo</t>
    <phoneticPr fontId="3"/>
  </si>
  <si>
    <t>20 x 20mm</t>
    <phoneticPr fontId="3"/>
  </si>
  <si>
    <t>Soft Suede Tape  Polyester-100%</t>
    <phoneticPr fontId="3"/>
  </si>
  <si>
    <t>Knit Binding Tape  Polyester-100%</t>
    <phoneticPr fontId="3"/>
  </si>
  <si>
    <t># 26</t>
    <phoneticPr fontId="3"/>
  </si>
  <si>
    <t># 31</t>
    <phoneticPr fontId="3"/>
  </si>
  <si>
    <t># 20</t>
    <phoneticPr fontId="3"/>
  </si>
  <si>
    <t>Binding Tape Wool 100%</t>
    <phoneticPr fontId="3"/>
  </si>
  <si>
    <t># 24 Black</t>
    <phoneticPr fontId="3"/>
  </si>
  <si>
    <t>Kint Binding Tape Wool 100%</t>
    <phoneticPr fontId="3"/>
  </si>
  <si>
    <t>KS9625</t>
    <phoneticPr fontId="3"/>
  </si>
  <si>
    <t># 43 Black</t>
    <phoneticPr fontId="3"/>
  </si>
  <si>
    <t>Size</t>
    <phoneticPr fontId="3"/>
  </si>
  <si>
    <t>Color</t>
    <phoneticPr fontId="3"/>
  </si>
  <si>
    <t>Qty</t>
    <phoneticPr fontId="3"/>
  </si>
  <si>
    <t>Trim Lace 100% Cotton</t>
    <phoneticPr fontId="3"/>
  </si>
  <si>
    <t>Mill's Black</t>
    <phoneticPr fontId="3"/>
  </si>
  <si>
    <t>KYL-24376</t>
    <phoneticPr fontId="3"/>
  </si>
  <si>
    <t>DTM Taupe</t>
    <phoneticPr fontId="3"/>
  </si>
  <si>
    <t>DTM Forest</t>
    <phoneticPr fontId="3"/>
  </si>
  <si>
    <t>KYL-24198</t>
    <phoneticPr fontId="3"/>
  </si>
  <si>
    <t>Dyeing fee</t>
    <phoneticPr fontId="3"/>
  </si>
  <si>
    <t>Price/M</t>
    <phoneticPr fontId="3"/>
  </si>
  <si>
    <t>品番</t>
    <rPh sb="0" eb="2">
      <t>ヒンバン</t>
    </rPh>
    <phoneticPr fontId="3"/>
  </si>
  <si>
    <t>ｻｲｽﾞ</t>
    <phoneticPr fontId="3"/>
  </si>
  <si>
    <t>色番</t>
    <rPh sb="0" eb="1">
      <t>イロ</t>
    </rPh>
    <rPh sb="1" eb="2">
      <t>バン</t>
    </rPh>
    <phoneticPr fontId="3"/>
  </si>
  <si>
    <t>仕立</t>
    <rPh sb="0" eb="2">
      <t>シタ</t>
    </rPh>
    <phoneticPr fontId="3"/>
  </si>
  <si>
    <t>数量</t>
    <rPh sb="0" eb="2">
      <t>スウリョウ</t>
    </rPh>
    <phoneticPr fontId="3"/>
  </si>
  <si>
    <t>貴社品番</t>
    <rPh sb="0" eb="2">
      <t>キシャ</t>
    </rPh>
    <rPh sb="2" eb="4">
      <t>ヒンバン</t>
    </rPh>
    <phoneticPr fontId="3"/>
  </si>
  <si>
    <t>単価/M</t>
    <rPh sb="0" eb="2">
      <t>タンカ</t>
    </rPh>
    <phoneticPr fontId="3"/>
  </si>
  <si>
    <t>金額</t>
    <rPh sb="0" eb="2">
      <t>キンガク</t>
    </rPh>
    <phoneticPr fontId="3"/>
  </si>
  <si>
    <t>在庫有無</t>
    <rPh sb="0" eb="2">
      <t>ザイコ</t>
    </rPh>
    <rPh sb="2" eb="4">
      <t>ウム</t>
    </rPh>
    <phoneticPr fontId="3"/>
  </si>
  <si>
    <t>納期</t>
    <rPh sb="0" eb="2">
      <t>ノウキ</t>
    </rPh>
    <phoneticPr fontId="3"/>
  </si>
  <si>
    <t>2 sets (USD100/col)</t>
    <phoneticPr fontId="3"/>
  </si>
  <si>
    <t>Cutting Fee</t>
    <phoneticPr fontId="3"/>
  </si>
  <si>
    <t>Mill's Off White</t>
    <phoneticPr fontId="3"/>
  </si>
  <si>
    <t>T5000</t>
    <phoneticPr fontId="3"/>
  </si>
  <si>
    <t>Striped Grosgrain Ribbon 100% Nylon</t>
    <phoneticPr fontId="3"/>
  </si>
  <si>
    <t>KYL-T25340-19</t>
    <phoneticPr fontId="3"/>
  </si>
  <si>
    <t>Lace Trim</t>
    <phoneticPr fontId="3"/>
  </si>
  <si>
    <t>1 set</t>
    <phoneticPr fontId="3"/>
  </si>
  <si>
    <t>KYL-T25340-12</t>
    <phoneticPr fontId="3"/>
  </si>
  <si>
    <t xml:space="preserve">BCBG </t>
    <phoneticPr fontId="3"/>
  </si>
  <si>
    <t>Col.19</t>
    <phoneticPr fontId="3"/>
  </si>
  <si>
    <t>KYL-T8237-19</t>
    <phoneticPr fontId="3"/>
  </si>
  <si>
    <t>KYL-T25340</t>
    <phoneticPr fontId="3"/>
  </si>
  <si>
    <t>KYL-T23336-1</t>
    <phoneticPr fontId="3"/>
  </si>
  <si>
    <t>Dye 80</t>
    <phoneticPr fontId="3"/>
  </si>
  <si>
    <t>55348</t>
    <phoneticPr fontId="3"/>
  </si>
  <si>
    <t>55339</t>
    <phoneticPr fontId="3"/>
  </si>
  <si>
    <t xml:space="preserve"># 1 </t>
    <phoneticPr fontId="3"/>
  </si>
  <si>
    <t># 4</t>
    <phoneticPr fontId="3"/>
  </si>
  <si>
    <t># 6</t>
    <phoneticPr fontId="3"/>
  </si>
  <si>
    <t># 8</t>
    <phoneticPr fontId="3"/>
  </si>
  <si>
    <t># 1</t>
    <phoneticPr fontId="3"/>
  </si>
  <si>
    <t># 2</t>
    <phoneticPr fontId="3"/>
  </si>
  <si>
    <t xml:space="preserve">PO# </t>
    <phoneticPr fontId="3"/>
  </si>
  <si>
    <t>Art. #</t>
    <phoneticPr fontId="3"/>
  </si>
  <si>
    <t xml:space="preserve">Width </t>
    <phoneticPr fontId="3"/>
  </si>
  <si>
    <t xml:space="preserve">C/# </t>
    <phoneticPr fontId="3"/>
  </si>
  <si>
    <t>Price/m</t>
    <phoneticPr fontId="3"/>
  </si>
  <si>
    <t>137m</t>
    <phoneticPr fontId="3"/>
  </si>
  <si>
    <t>C/#</t>
    <phoneticPr fontId="3"/>
  </si>
  <si>
    <t>FOB JAPAN Price /m</t>
    <phoneticPr fontId="3"/>
  </si>
  <si>
    <t>535829</t>
    <phoneticPr fontId="3"/>
  </si>
  <si>
    <t xml:space="preserve"># 9 Black </t>
    <phoneticPr fontId="3"/>
  </si>
  <si>
    <t># 500</t>
    <phoneticPr fontId="3"/>
  </si>
  <si>
    <t># 118</t>
    <phoneticPr fontId="3"/>
  </si>
  <si>
    <t># 60</t>
    <phoneticPr fontId="3"/>
  </si>
  <si>
    <t># 429</t>
    <phoneticPr fontId="3"/>
  </si>
  <si>
    <t>Client</t>
    <phoneticPr fontId="3"/>
  </si>
  <si>
    <r>
      <t>5 sets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(US$12/cut ) </t>
    </r>
    <phoneticPr fontId="3"/>
  </si>
  <si>
    <t>KYL-T25282</t>
    <phoneticPr fontId="3"/>
  </si>
  <si>
    <t>Dye 30</t>
    <phoneticPr fontId="3"/>
  </si>
  <si>
    <t xml:space="preserve">Color </t>
    <phoneticPr fontId="3"/>
  </si>
  <si>
    <t xml:space="preserve">Mill's Off White </t>
    <phoneticPr fontId="3"/>
  </si>
  <si>
    <t>(per meter)</t>
  </si>
  <si>
    <t xml:space="preserve">Trim Lace ( Fron Yarn : 100% Rayon / Back Yarn : 100% Cotton ) </t>
    <phoneticPr fontId="3"/>
  </si>
  <si>
    <t xml:space="preserve">KYL - 25372 </t>
    <phoneticPr fontId="3"/>
  </si>
  <si>
    <t xml:space="preserve">DTM Firecracker </t>
    <phoneticPr fontId="3"/>
  </si>
  <si>
    <t>DTM Indigo</t>
    <phoneticPr fontId="3"/>
  </si>
  <si>
    <t>Dyeing Fee</t>
    <phoneticPr fontId="3"/>
  </si>
  <si>
    <t xml:space="preserve">2 sets </t>
    <phoneticPr fontId="3"/>
  </si>
  <si>
    <t xml:space="preserve">Col.19 Mill's Black </t>
    <phoneticPr fontId="3"/>
  </si>
  <si>
    <t xml:space="preserve">Ready Date </t>
    <phoneticPr fontId="3"/>
  </si>
  <si>
    <t xml:space="preserve">in stock </t>
    <phoneticPr fontId="3"/>
  </si>
  <si>
    <t>サイズ</t>
    <phoneticPr fontId="3"/>
  </si>
  <si>
    <t>仕立て</t>
    <rPh sb="0" eb="2">
      <t>シタ</t>
    </rPh>
    <phoneticPr fontId="3"/>
  </si>
  <si>
    <t xml:space="preserve">KYL - T25340 </t>
    <phoneticPr fontId="3"/>
  </si>
  <si>
    <t>109.6m ( 8 rolls )</t>
    <phoneticPr fontId="3"/>
  </si>
  <si>
    <t>Total Qty</t>
    <phoneticPr fontId="3"/>
  </si>
  <si>
    <t>Roll Qty</t>
    <phoneticPr fontId="3"/>
  </si>
  <si>
    <t xml:space="preserve"># 5 Black </t>
    <phoneticPr fontId="3"/>
  </si>
  <si>
    <t xml:space="preserve">Mill's Black </t>
    <phoneticPr fontId="3"/>
  </si>
  <si>
    <t xml:space="preserve">Customer </t>
    <phoneticPr fontId="3"/>
  </si>
  <si>
    <t># 62</t>
    <phoneticPr fontId="3"/>
  </si>
  <si>
    <t># 34</t>
    <phoneticPr fontId="3"/>
  </si>
  <si>
    <t># 5</t>
    <phoneticPr fontId="3"/>
  </si>
  <si>
    <t xml:space="preserve">3 sets </t>
    <phoneticPr fontId="3"/>
  </si>
  <si>
    <t xml:space="preserve">Gold </t>
    <phoneticPr fontId="3"/>
  </si>
  <si>
    <t>DTM Poppy</t>
    <phoneticPr fontId="3"/>
  </si>
  <si>
    <t xml:space="preserve">Black </t>
    <phoneticPr fontId="3"/>
  </si>
  <si>
    <t>単価</t>
    <rPh sb="0" eb="2">
      <t>タンカ</t>
    </rPh>
    <phoneticPr fontId="3"/>
  </si>
  <si>
    <t>Dye Fee</t>
    <phoneticPr fontId="3"/>
  </si>
  <si>
    <r>
      <rPr>
        <sz val="9"/>
        <rFont val="ＭＳ Ｐゴシック"/>
        <family val="3"/>
        <charset val="128"/>
      </rPr>
      <t>品番</t>
    </r>
    <r>
      <rPr>
        <sz val="9"/>
        <rFont val="Arial  "/>
        <family val="2"/>
      </rPr>
      <t>/Art.No.</t>
    </r>
    <rPh sb="0" eb="2">
      <t>ヒンバン</t>
    </rPh>
    <phoneticPr fontId="3"/>
  </si>
  <si>
    <r>
      <rPr>
        <sz val="9"/>
        <rFont val="ＭＳ Ｐゴシック"/>
        <family val="3"/>
        <charset val="128"/>
      </rPr>
      <t>巾</t>
    </r>
    <r>
      <rPr>
        <sz val="9"/>
        <rFont val="Arial  "/>
        <family val="2"/>
      </rPr>
      <t>/WIDTH</t>
    </r>
    <rPh sb="0" eb="1">
      <t>ハバ</t>
    </rPh>
    <phoneticPr fontId="3"/>
  </si>
  <si>
    <r>
      <rPr>
        <sz val="9"/>
        <rFont val="ＭＳ Ｐゴシック"/>
        <family val="3"/>
        <charset val="128"/>
      </rPr>
      <t>仕立</t>
    </r>
    <r>
      <rPr>
        <sz val="9"/>
        <rFont val="Arial  "/>
        <family val="2"/>
      </rPr>
      <t>/PUT-UP</t>
    </r>
    <rPh sb="0" eb="2">
      <t>シタテ</t>
    </rPh>
    <phoneticPr fontId="3"/>
  </si>
  <si>
    <r>
      <rPr>
        <sz val="9"/>
        <rFont val="ＭＳ Ｐゴシック"/>
        <family val="3"/>
        <charset val="128"/>
      </rPr>
      <t>仕入単価</t>
    </r>
    <rPh sb="0" eb="2">
      <t>シイレ</t>
    </rPh>
    <rPh sb="2" eb="4">
      <t>タンカ</t>
    </rPh>
    <phoneticPr fontId="3"/>
  </si>
  <si>
    <t xml:space="preserve">SIC-100     </t>
  </si>
  <si>
    <t xml:space="preserve">5     </t>
  </si>
  <si>
    <t xml:space="preserve">レーヨンペタシャムリボン        </t>
  </si>
  <si>
    <t xml:space="preserve">7     </t>
  </si>
  <si>
    <t xml:space="preserve">10    </t>
  </si>
  <si>
    <t xml:space="preserve">12    </t>
  </si>
  <si>
    <t xml:space="preserve">15    </t>
  </si>
  <si>
    <t xml:space="preserve">18    </t>
  </si>
  <si>
    <t xml:space="preserve">25    </t>
  </si>
  <si>
    <t xml:space="preserve">30    </t>
  </si>
  <si>
    <t xml:space="preserve">38    </t>
  </si>
  <si>
    <t xml:space="preserve">50    </t>
  </si>
  <si>
    <t xml:space="preserve">75    </t>
  </si>
  <si>
    <t xml:space="preserve">Status </t>
    <phoneticPr fontId="3"/>
  </si>
  <si>
    <t>Double Faced Velveteen Ribbon</t>
    <phoneticPr fontId="3"/>
  </si>
  <si>
    <t>FWL-24139</t>
    <phoneticPr fontId="3"/>
  </si>
  <si>
    <t># 22</t>
    <phoneticPr fontId="3"/>
  </si>
  <si>
    <t>KYL-3225-1</t>
    <phoneticPr fontId="3"/>
  </si>
  <si>
    <t xml:space="preserve"># 2 </t>
    <phoneticPr fontId="3"/>
  </si>
  <si>
    <t># 5</t>
  </si>
  <si>
    <t># 10</t>
  </si>
  <si>
    <t># 18</t>
    <phoneticPr fontId="3"/>
  </si>
  <si>
    <t># 55</t>
    <phoneticPr fontId="3"/>
  </si>
  <si>
    <t>L</t>
    <phoneticPr fontId="3"/>
  </si>
  <si>
    <t># 69</t>
    <phoneticPr fontId="3"/>
  </si>
  <si>
    <t>Ready Date</t>
    <phoneticPr fontId="3"/>
  </si>
  <si>
    <t xml:space="preserve">Dye fee </t>
    <phoneticPr fontId="3"/>
  </si>
  <si>
    <t xml:space="preserve">Total Amount </t>
    <phoneticPr fontId="3"/>
  </si>
  <si>
    <t>Width</t>
    <phoneticPr fontId="3"/>
  </si>
  <si>
    <t>KYL-25345</t>
    <phoneticPr fontId="3"/>
  </si>
  <si>
    <t xml:space="preserve">Size </t>
    <phoneticPr fontId="3"/>
  </si>
  <si>
    <t xml:space="preserve">TOTAL </t>
    <phoneticPr fontId="3"/>
  </si>
  <si>
    <t>単価 /m</t>
    <rPh sb="0" eb="2">
      <t>タンカ</t>
    </rPh>
    <phoneticPr fontId="3"/>
  </si>
  <si>
    <t xml:space="preserve"># 30 Black </t>
    <phoneticPr fontId="3"/>
  </si>
  <si>
    <t># 121</t>
    <phoneticPr fontId="3"/>
  </si>
  <si>
    <t># 53</t>
    <phoneticPr fontId="3"/>
  </si>
  <si>
    <t>Art. #</t>
  </si>
  <si>
    <t>Handling Fee</t>
  </si>
  <si>
    <t>1 set</t>
  </si>
  <si>
    <t>Mill's Off White</t>
  </si>
  <si>
    <t xml:space="preserve"># 1 White </t>
    <phoneticPr fontId="3"/>
  </si>
  <si>
    <t xml:space="preserve"> Mill's Off White</t>
    <phoneticPr fontId="3"/>
  </si>
  <si>
    <t># 01</t>
    <phoneticPr fontId="3"/>
  </si>
  <si>
    <t># 56</t>
    <phoneticPr fontId="3"/>
  </si>
  <si>
    <t>Dye 70</t>
    <phoneticPr fontId="3"/>
  </si>
  <si>
    <t xml:space="preserve">DTM Black </t>
    <phoneticPr fontId="3"/>
  </si>
  <si>
    <t xml:space="preserve">DTM Midnight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</si>
  <si>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>/m</t>
    </r>
    <rPh sb="0" eb="2">
      <t>タンカ</t>
    </rPh>
    <phoneticPr fontId="3"/>
  </si>
  <si>
    <t xml:space="preserve">6 sets </t>
    <phoneticPr fontId="3"/>
  </si>
  <si>
    <t>KYL-8238-1</t>
    <phoneticPr fontId="3"/>
  </si>
  <si>
    <t>KYL-T23217-1</t>
    <phoneticPr fontId="3"/>
  </si>
  <si>
    <t>FWL-71057</t>
    <phoneticPr fontId="3"/>
  </si>
  <si>
    <t>単価/m</t>
    <rPh sb="0" eb="2">
      <t>タンカ</t>
    </rPh>
    <phoneticPr fontId="3"/>
  </si>
  <si>
    <t>運賃</t>
    <rPh sb="0" eb="2">
      <t>ウンチン</t>
    </rPh>
    <phoneticPr fontId="3"/>
  </si>
  <si>
    <t>DTM Ecru</t>
    <phoneticPr fontId="3"/>
  </si>
  <si>
    <t xml:space="preserve">Dye Fee </t>
    <phoneticPr fontId="3"/>
  </si>
  <si>
    <t>T3000</t>
    <phoneticPr fontId="3"/>
  </si>
  <si>
    <t xml:space="preserve"># SO </t>
    <phoneticPr fontId="3"/>
  </si>
  <si>
    <t>在庫状況</t>
    <rPh sb="0" eb="2">
      <t>ザイコ</t>
    </rPh>
    <rPh sb="2" eb="4">
      <t>ジョウキョウ</t>
    </rPh>
    <phoneticPr fontId="3"/>
  </si>
  <si>
    <t xml:space="preserve">In stock </t>
    <phoneticPr fontId="3"/>
  </si>
  <si>
    <t>KYL-875006GL6</t>
    <phoneticPr fontId="3"/>
  </si>
  <si>
    <t>PO#</t>
    <phoneticPr fontId="3"/>
  </si>
  <si>
    <t xml:space="preserve">Sub total </t>
    <phoneticPr fontId="3"/>
  </si>
  <si>
    <t xml:space="preserve"># 329 Ivory </t>
    <phoneticPr fontId="3"/>
  </si>
  <si>
    <t xml:space="preserve"># OF </t>
    <phoneticPr fontId="3"/>
  </si>
  <si>
    <t># 108</t>
    <phoneticPr fontId="3"/>
  </si>
  <si>
    <t># 127</t>
    <phoneticPr fontId="3"/>
  </si>
  <si>
    <t xml:space="preserve">In Stock </t>
    <phoneticPr fontId="3"/>
  </si>
  <si>
    <t>9 x 9 mm</t>
    <phoneticPr fontId="3"/>
  </si>
  <si>
    <t>KYL-T8333-19</t>
    <phoneticPr fontId="3"/>
  </si>
  <si>
    <t xml:space="preserve">M size </t>
    <phoneticPr fontId="3"/>
  </si>
  <si>
    <t>長さ</t>
    <rPh sb="0" eb="1">
      <t>ナガ</t>
    </rPh>
    <phoneticPr fontId="3"/>
  </si>
  <si>
    <t>カラー</t>
    <phoneticPr fontId="3"/>
  </si>
  <si>
    <t xml:space="preserve">Art. # </t>
    <phoneticPr fontId="3"/>
  </si>
  <si>
    <t># 13</t>
    <phoneticPr fontId="3"/>
  </si>
  <si>
    <t>T2120</t>
    <phoneticPr fontId="3"/>
  </si>
  <si>
    <t xml:space="preserve">Cord Length </t>
    <phoneticPr fontId="3"/>
  </si>
  <si>
    <t>Composition</t>
    <phoneticPr fontId="3"/>
  </si>
  <si>
    <t>Put-up</t>
  </si>
  <si>
    <t>EXW JAPAN</t>
    <phoneticPr fontId="3"/>
  </si>
  <si>
    <t>仕入単価</t>
    <rPh sb="0" eb="2">
      <t>シイレ</t>
    </rPh>
    <rPh sb="2" eb="4">
      <t>タンカ</t>
    </rPh>
    <phoneticPr fontId="3"/>
  </si>
  <si>
    <t xml:space="preserve">subtotal </t>
    <phoneticPr fontId="3"/>
  </si>
  <si>
    <t xml:space="preserve">International Freight </t>
    <phoneticPr fontId="3"/>
  </si>
  <si>
    <t xml:space="preserve">Collect </t>
    <phoneticPr fontId="3"/>
  </si>
  <si>
    <t># 46</t>
    <phoneticPr fontId="3"/>
  </si>
  <si>
    <t>5603 with Cel Tip</t>
    <phoneticPr fontId="3"/>
  </si>
  <si>
    <t xml:space="preserve">Cord x Tip </t>
    <phoneticPr fontId="3"/>
  </si>
  <si>
    <t>KYL-23419</t>
    <phoneticPr fontId="3"/>
  </si>
  <si>
    <t>Art. No.</t>
    <phoneticPr fontId="3"/>
  </si>
  <si>
    <t>Art No.</t>
    <phoneticPr fontId="3"/>
  </si>
  <si>
    <t>Note</t>
    <phoneticPr fontId="3"/>
  </si>
  <si>
    <t xml:space="preserve">Art.# </t>
    <phoneticPr fontId="3"/>
  </si>
  <si>
    <t xml:space="preserve"># 27 </t>
    <phoneticPr fontId="3"/>
  </si>
  <si>
    <t>Roll Qty</t>
  </si>
  <si>
    <t>Total Qty</t>
  </si>
  <si>
    <t xml:space="preserve">L/T </t>
    <phoneticPr fontId="3"/>
  </si>
  <si>
    <t xml:space="preserve"># 01 Ivory </t>
    <phoneticPr fontId="3"/>
  </si>
  <si>
    <t>10 mm</t>
  </si>
  <si>
    <t>Color</t>
  </si>
  <si>
    <t>KYL-8331-1</t>
    <phoneticPr fontId="3"/>
  </si>
  <si>
    <t>KYL-2529-1</t>
    <phoneticPr fontId="3"/>
  </si>
  <si>
    <t xml:space="preserve">MOQ / col for standard colors </t>
    <phoneticPr fontId="3"/>
  </si>
  <si>
    <t xml:space="preserve"># 84NT Black </t>
    <phoneticPr fontId="3"/>
  </si>
  <si>
    <t>Sample Cut</t>
    <phoneticPr fontId="3"/>
  </si>
  <si>
    <t># 02</t>
    <phoneticPr fontId="3"/>
  </si>
  <si>
    <t>1 roll</t>
  </si>
  <si>
    <t>EXW (JAPAN) / m</t>
    <phoneticPr fontId="3"/>
  </si>
  <si>
    <t xml:space="preserve">INV# </t>
    <phoneticPr fontId="3"/>
  </si>
  <si>
    <t>a</t>
    <phoneticPr fontId="3"/>
  </si>
  <si>
    <t>Trim</t>
    <phoneticPr fontId="3"/>
  </si>
  <si>
    <t>b</t>
    <phoneticPr fontId="3"/>
  </si>
  <si>
    <t>Fabric</t>
    <phoneticPr fontId="3"/>
  </si>
  <si>
    <t>c</t>
    <phoneticPr fontId="3"/>
  </si>
  <si>
    <t>d</t>
    <phoneticPr fontId="3"/>
  </si>
  <si>
    <t>e</t>
    <phoneticPr fontId="3"/>
  </si>
  <si>
    <t>Other (Dye/set-up)</t>
    <phoneticPr fontId="3"/>
  </si>
  <si>
    <t>KYL-23551</t>
    <phoneticPr fontId="3"/>
  </si>
  <si>
    <t>Ready/Ship Date</t>
    <phoneticPr fontId="3"/>
  </si>
  <si>
    <t xml:space="preserve">DTM Navy </t>
    <phoneticPr fontId="3"/>
  </si>
  <si>
    <t xml:space="preserve">Qty </t>
    <phoneticPr fontId="3"/>
  </si>
  <si>
    <t>6120-FT</t>
    <phoneticPr fontId="3"/>
  </si>
  <si>
    <t xml:space="preserve">Checking </t>
    <phoneticPr fontId="3"/>
  </si>
  <si>
    <t xml:space="preserve">Handling Fee (Inland Freight Charge in Japan) </t>
    <phoneticPr fontId="3"/>
  </si>
  <si>
    <t># 17</t>
    <phoneticPr fontId="3"/>
  </si>
  <si>
    <t xml:space="preserve">Shipping date </t>
    <phoneticPr fontId="3"/>
  </si>
  <si>
    <t>COO</t>
    <phoneticPr fontId="3"/>
  </si>
  <si>
    <t>CHINA</t>
    <phoneticPr fontId="3"/>
  </si>
  <si>
    <t>JAPAN</t>
    <phoneticPr fontId="3"/>
  </si>
  <si>
    <t>Article</t>
    <phoneticPr fontId="3"/>
  </si>
  <si>
    <t>TI-3000N</t>
    <phoneticPr fontId="3"/>
  </si>
  <si>
    <t xml:space="preserve">Put-up / roll </t>
    <phoneticPr fontId="3"/>
  </si>
  <si>
    <t>KYL-T8333-1</t>
    <phoneticPr fontId="3"/>
  </si>
  <si>
    <t>12701</t>
    <phoneticPr fontId="3"/>
  </si>
  <si>
    <t>Velvet Ribbon</t>
    <phoneticPr fontId="3"/>
  </si>
  <si>
    <t>Rayon-70%/Nylon-30%</t>
    <phoneticPr fontId="3"/>
  </si>
  <si>
    <t>11700</t>
    <phoneticPr fontId="3"/>
  </si>
  <si>
    <t>Rayon-89%/Nylon-11%</t>
    <phoneticPr fontId="3"/>
  </si>
  <si>
    <t>600m</t>
  </si>
  <si>
    <t xml:space="preserve">EXW JAPAN /m
</t>
    <phoneticPr fontId="3"/>
  </si>
  <si>
    <t>155×50</t>
  </si>
  <si>
    <t>Up to 20m</t>
    <phoneticPr fontId="3"/>
  </si>
  <si>
    <t>2020A-WS</t>
  </si>
  <si>
    <t>NN007-CSP</t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</si>
  <si>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</si>
  <si>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</si>
  <si>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># 0</t>
    <phoneticPr fontId="3"/>
  </si>
  <si>
    <t># OF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</si>
  <si>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>（</t>
    </r>
    <r>
      <rPr>
        <b/>
        <sz val="10"/>
        <rFont val="arial    "/>
        <family val="2"/>
      </rPr>
      <t>cm×m</t>
    </r>
    <r>
      <rPr>
        <b/>
        <sz val="10"/>
        <rFont val="ＭＳ Ｐゴシック"/>
        <family val="3"/>
        <charset val="128"/>
      </rPr>
      <t>）</t>
    </r>
    <phoneticPr fontId="3"/>
  </si>
  <si>
    <r>
      <t>POLYESTER 100</t>
    </r>
    <r>
      <rPr>
        <sz val="10"/>
        <color indexed="8"/>
        <rFont val="ＭＳ Ｐゴシック"/>
        <family val="3"/>
        <charset val="128"/>
      </rPr>
      <t>％</t>
    </r>
  </si>
  <si>
    <t xml:space="preserve">PI# </t>
    <phoneticPr fontId="3"/>
  </si>
  <si>
    <t>在庫</t>
    <rPh sb="0" eb="2">
      <t>ザイコ</t>
    </rPh>
    <phoneticPr fontId="3"/>
  </si>
  <si>
    <t xml:space="preserve">Handling Fee (Inland Freight Charge in Japan) </t>
  </si>
  <si>
    <t>EXW JAPAN 
USD/m</t>
    <phoneticPr fontId="3"/>
  </si>
  <si>
    <t>T2023-CSP</t>
  </si>
  <si>
    <t>148×50</t>
  </si>
  <si>
    <t>NN007-SP</t>
  </si>
  <si>
    <t># 130</t>
    <phoneticPr fontId="3"/>
  </si>
  <si>
    <t>Dye fee</t>
    <phoneticPr fontId="3"/>
  </si>
  <si>
    <t>Width</t>
  </si>
  <si>
    <t>15mm</t>
    <phoneticPr fontId="3"/>
  </si>
  <si>
    <t>Composition</t>
  </si>
  <si>
    <t>Trim Lace 100% Nylon</t>
    <phoneticPr fontId="3"/>
  </si>
  <si>
    <t>Commercial Invoice</t>
    <phoneticPr fontId="46"/>
  </si>
  <si>
    <t>No.</t>
    <phoneticPr fontId="46"/>
  </si>
  <si>
    <t>Issued Office</t>
    <phoneticPr fontId="46"/>
  </si>
  <si>
    <t>Invoice Date</t>
    <phoneticPr fontId="46"/>
  </si>
  <si>
    <t>Consignee:</t>
    <phoneticPr fontId="46"/>
  </si>
  <si>
    <t>L/C No.</t>
    <phoneticPr fontId="46"/>
  </si>
  <si>
    <t>Dated</t>
    <phoneticPr fontId="46"/>
  </si>
  <si>
    <t>Expiry Date</t>
    <phoneticPr fontId="46"/>
  </si>
  <si>
    <t>Issuing Bank</t>
    <phoneticPr fontId="46"/>
  </si>
  <si>
    <t>Bank Information</t>
    <phoneticPr fontId="46"/>
  </si>
  <si>
    <t>Name</t>
    <phoneticPr fontId="46"/>
  </si>
  <si>
    <t>Sold to:</t>
    <phoneticPr fontId="46"/>
  </si>
  <si>
    <t>Address</t>
    <phoneticPr fontId="46"/>
  </si>
  <si>
    <t>SWIFT Code</t>
    <phoneticPr fontId="46"/>
  </si>
  <si>
    <t>Account#</t>
    <phoneticPr fontId="46"/>
  </si>
  <si>
    <t>Terms/Method of Payment</t>
    <phoneticPr fontId="46"/>
  </si>
  <si>
    <t>Shipping Method/Vessel</t>
    <phoneticPr fontId="46"/>
  </si>
  <si>
    <t>Port of Loading</t>
    <phoneticPr fontId="46"/>
  </si>
  <si>
    <t>Sailing on or about</t>
    <phoneticPr fontId="46"/>
  </si>
  <si>
    <t>Port of Discharge</t>
    <phoneticPr fontId="46"/>
  </si>
  <si>
    <t>Place of Delivery</t>
    <phoneticPr fontId="46"/>
  </si>
  <si>
    <t>Final Destination</t>
    <phoneticPr fontId="46"/>
  </si>
  <si>
    <t>Inco-Terms</t>
    <phoneticPr fontId="46"/>
  </si>
  <si>
    <t>Quantity</t>
    <phoneticPr fontId="46"/>
  </si>
  <si>
    <t>Unit Price</t>
    <phoneticPr fontId="46"/>
  </si>
  <si>
    <t>Amount</t>
    <phoneticPr fontId="46"/>
  </si>
  <si>
    <t>Order No.</t>
    <phoneticPr fontId="46"/>
  </si>
  <si>
    <t>Put-Up</t>
    <phoneticPr fontId="46"/>
  </si>
  <si>
    <t>Roll</t>
    <phoneticPr fontId="46"/>
  </si>
  <si>
    <t>Total</t>
    <phoneticPr fontId="46"/>
  </si>
  <si>
    <t>Sub total</t>
    <phoneticPr fontId="46"/>
  </si>
  <si>
    <t>Grand total</t>
    <phoneticPr fontId="46"/>
  </si>
  <si>
    <r>
      <rPr>
        <b/>
        <sz val="12"/>
        <color indexed="8"/>
        <rFont val="Times New Roman"/>
        <family val="1"/>
      </rPr>
      <t>SUN FASHION AMERICA, INC.</t>
    </r>
    <r>
      <rPr>
        <sz val="10"/>
        <color indexed="8"/>
        <rFont val="Times New Roman"/>
        <family val="1"/>
      </rPr>
      <t xml:space="preserve">
265 West 37th Street 7th Floor
New York, NY 10018, U.S.A.
TEL: 1-845-633-2132
&lt;Shipper: Sun Fashion Corp. in Japan&gt;</t>
    </r>
    <phoneticPr fontId="3"/>
  </si>
  <si>
    <t>Osaka</t>
    <phoneticPr fontId="3"/>
  </si>
  <si>
    <t>New York</t>
    <phoneticPr fontId="3"/>
  </si>
  <si>
    <t>N/A</t>
  </si>
  <si>
    <t>N/A</t>
    <phoneticPr fontId="46"/>
  </si>
  <si>
    <t>401 West 42nd St. New York NY 10036</t>
    <phoneticPr fontId="46"/>
  </si>
  <si>
    <t>CITIUS33</t>
    <phoneticPr fontId="46"/>
  </si>
  <si>
    <t>6877846069              </t>
    <phoneticPr fontId="46"/>
  </si>
  <si>
    <t>Routing#</t>
    <phoneticPr fontId="3"/>
  </si>
  <si>
    <t>021000089  </t>
    <phoneticPr fontId="3"/>
  </si>
  <si>
    <t>Beneficiary</t>
    <phoneticPr fontId="3"/>
  </si>
  <si>
    <t>Sun Fashion America, Inc        </t>
    <phoneticPr fontId="46"/>
  </si>
  <si>
    <t>Citibank</t>
    <phoneticPr fontId="3"/>
  </si>
  <si>
    <t xml:space="preserve"> By T/T or Check</t>
    <phoneticPr fontId="3"/>
  </si>
  <si>
    <t>Invoice No.</t>
    <phoneticPr fontId="3"/>
  </si>
  <si>
    <t>Customer Name</t>
    <phoneticPr fontId="3"/>
  </si>
  <si>
    <t>　</t>
  </si>
  <si>
    <t>Item</t>
    <phoneticPr fontId="46"/>
  </si>
  <si>
    <t>Other charge</t>
    <phoneticPr fontId="46"/>
  </si>
  <si>
    <t>Customer Reference No.</t>
    <phoneticPr fontId="46"/>
  </si>
  <si>
    <t>(SELECT)</t>
  </si>
  <si>
    <t>Courier Ref. No.</t>
    <phoneticPr fontId="3"/>
  </si>
  <si>
    <t>Note:</t>
    <phoneticPr fontId="46"/>
  </si>
  <si>
    <t>#</t>
    <phoneticPr fontId="3"/>
  </si>
  <si>
    <t>[Shipper Information]</t>
    <phoneticPr fontId="3"/>
  </si>
  <si>
    <t>Sun Fashion Corp.</t>
    <phoneticPr fontId="3"/>
  </si>
  <si>
    <t>21-10 Fukushima 8 Chome, Fukushima-Ku,</t>
    <phoneticPr fontId="3"/>
  </si>
  <si>
    <t>OSAKA 553-0003, JAPAN</t>
    <phoneticPr fontId="3"/>
  </si>
  <si>
    <t>TEL: +81 6-6455-2850</t>
    <phoneticPr fontId="3"/>
  </si>
  <si>
    <t>[Packing Details]</t>
    <phoneticPr fontId="3"/>
  </si>
  <si>
    <t>Size:</t>
    <phoneticPr fontId="3"/>
  </si>
  <si>
    <t>Gross Weight:</t>
    <phoneticPr fontId="3"/>
  </si>
  <si>
    <t>SUN FASHION AMERICA, INC.</t>
    <phoneticPr fontId="46"/>
  </si>
  <si>
    <t>Mie Kobayashi</t>
    <phoneticPr fontId="3"/>
  </si>
  <si>
    <t>Order No.</t>
    <phoneticPr fontId="3"/>
  </si>
  <si>
    <t>Put-Up</t>
    <phoneticPr fontId="3"/>
  </si>
  <si>
    <t>Roll</t>
    <phoneticPr fontId="3"/>
  </si>
  <si>
    <t>Total</t>
    <phoneticPr fontId="3"/>
  </si>
  <si>
    <t>Unit Price</t>
    <phoneticPr fontId="3"/>
  </si>
  <si>
    <t>Amount</t>
    <phoneticPr fontId="3"/>
  </si>
  <si>
    <t>Port of Discharge</t>
    <phoneticPr fontId="3"/>
  </si>
  <si>
    <t>Shipping Method/Vessel#</t>
    <phoneticPr fontId="3"/>
  </si>
  <si>
    <t>Port of Loading</t>
    <phoneticPr fontId="3"/>
  </si>
  <si>
    <t>Place of Delivery</t>
    <phoneticPr fontId="3"/>
  </si>
  <si>
    <t>Sailing on or about</t>
    <phoneticPr fontId="3"/>
  </si>
  <si>
    <t>Final Destination</t>
    <phoneticPr fontId="3"/>
  </si>
  <si>
    <t>Customer Reference</t>
    <phoneticPr fontId="3"/>
  </si>
  <si>
    <t>Inco-Terms</t>
    <phoneticPr fontId="3"/>
  </si>
  <si>
    <t>Sold to:</t>
    <phoneticPr fontId="3"/>
  </si>
  <si>
    <t>Consignee</t>
    <phoneticPr fontId="3"/>
  </si>
  <si>
    <t>Terms/Method of Payment</t>
    <phoneticPr fontId="3"/>
  </si>
  <si>
    <t>Bank Information</t>
    <phoneticPr fontId="3"/>
  </si>
  <si>
    <t>Name</t>
    <phoneticPr fontId="3"/>
  </si>
  <si>
    <t>Address</t>
    <phoneticPr fontId="3"/>
  </si>
  <si>
    <t>SWIFT Code</t>
    <phoneticPr fontId="3"/>
  </si>
  <si>
    <t>LC No.</t>
    <phoneticPr fontId="3"/>
  </si>
  <si>
    <t>Expiry Date</t>
    <phoneticPr fontId="3"/>
  </si>
  <si>
    <t>Issuing Bank</t>
    <phoneticPr fontId="3"/>
  </si>
  <si>
    <t>Dated</t>
    <phoneticPr fontId="3"/>
  </si>
  <si>
    <t>Routing No.</t>
    <phoneticPr fontId="3"/>
  </si>
  <si>
    <t>Account No.</t>
    <phoneticPr fontId="3"/>
  </si>
  <si>
    <t>No.</t>
    <phoneticPr fontId="3"/>
  </si>
  <si>
    <t>Issued Office</t>
    <phoneticPr fontId="3"/>
  </si>
  <si>
    <t>Issued Date</t>
    <phoneticPr fontId="3"/>
  </si>
  <si>
    <t>Commercial Invoice</t>
    <phoneticPr fontId="3"/>
  </si>
  <si>
    <t>401 West 42nd St. New York NY 10036</t>
    <phoneticPr fontId="3"/>
  </si>
  <si>
    <t>CITIUS33</t>
    <phoneticPr fontId="3"/>
  </si>
  <si>
    <t>Courier Ref.</t>
    <phoneticPr fontId="3"/>
  </si>
  <si>
    <t>Description of Goods</t>
    <phoneticPr fontId="3"/>
  </si>
  <si>
    <t>Quantity</t>
    <phoneticPr fontId="3"/>
  </si>
  <si>
    <t>Grand Total</t>
    <phoneticPr fontId="3"/>
  </si>
  <si>
    <t>[Packing Details]</t>
  </si>
  <si>
    <t>Size:</t>
  </si>
  <si>
    <t xml:space="preserve">      OSAKA</t>
    <phoneticPr fontId="3"/>
  </si>
  <si>
    <t>3.1 PHILLIP LIM, LLC</t>
  </si>
  <si>
    <t>Rm 702 7/F, New Tech Plaza</t>
  </si>
  <si>
    <t>ALC &amp; CO LLC</t>
  </si>
  <si>
    <t>818 S Broadway Suite 400</t>
  </si>
  <si>
    <t>U.S.A.</t>
  </si>
  <si>
    <t>Jade</t>
  </si>
  <si>
    <t>ALEXANDER WANG</t>
  </si>
  <si>
    <t>386 Broadway 6th Floor</t>
  </si>
  <si>
    <t>Tel: 212-532-3103</t>
  </si>
  <si>
    <t>Alexandra Grecco</t>
  </si>
  <si>
    <t>265 West 37th St. 5FL</t>
  </si>
  <si>
    <t>LEIGH REILLY</t>
  </si>
  <si>
    <t>Alexis Monsanto Atelier</t>
  </si>
  <si>
    <t>8281 Melrose Ave. suite 206</t>
  </si>
  <si>
    <t>Alexis Monsanto</t>
  </si>
  <si>
    <t>ALIX NYC</t>
  </si>
  <si>
    <t>209 W38TH ST SUITE 312</t>
  </si>
  <si>
    <t>Tim and Grace</t>
  </si>
  <si>
    <t>AMANDA JAMES DESIGN GROUP LLC</t>
  </si>
  <si>
    <t>2050 N Stemmons FWY # 15149</t>
  </si>
  <si>
    <t>Tel: 424.501.5381</t>
  </si>
  <si>
    <t>Amsale Aberra, L.L.C.</t>
  </si>
  <si>
    <t>318 West 39th Street, 12th Flr</t>
  </si>
  <si>
    <t>Sylvia</t>
  </si>
  <si>
    <t>Anahit's Studio, LLC</t>
  </si>
  <si>
    <t>112 WWST 9th St. SuitE 909 ,</t>
  </si>
  <si>
    <t>Anahit Jackson</t>
  </si>
  <si>
    <t>ANKASA LTD / Sachin &amp; Babi</t>
  </si>
  <si>
    <t>132 West 36th Street, 9th Floor</t>
  </si>
  <si>
    <t>Tel: (212) 575-1994</t>
  </si>
  <si>
    <t>ARE YOU AM I</t>
  </si>
  <si>
    <t>1024 SANTEE ST. SUITE 300</t>
  </si>
  <si>
    <t>Tel: 213.689.5088</t>
  </si>
  <si>
    <t>Artsline Company</t>
  </si>
  <si>
    <t>A2, 11/F, Phase 2, Hang Fung Ind Bldg,</t>
  </si>
  <si>
    <t>Kowloon, Hong Kong</t>
  </si>
  <si>
    <t>Christin Au</t>
  </si>
  <si>
    <t>BAILEY 44</t>
  </si>
  <si>
    <t>4700 S. BOYLE AVENUE</t>
  </si>
  <si>
    <t>Lizette</t>
  </si>
  <si>
    <t>Beach Riot</t>
  </si>
  <si>
    <t>828 production place</t>
  </si>
  <si>
    <t>Kat Eyanson</t>
  </si>
  <si>
    <t>Belle Atelier</t>
  </si>
  <si>
    <t>1755 n Damen Ave #c2 REAR</t>
  </si>
  <si>
    <t>Giselle</t>
  </si>
  <si>
    <t>BIBHU MOHAPATRA</t>
  </si>
  <si>
    <t>39 North Moore Street, Store Entrance</t>
  </si>
  <si>
    <t>BURNING TORCH</t>
  </si>
  <si>
    <t>1738 CORDOVA ST</t>
  </si>
  <si>
    <t>Amy</t>
  </si>
  <si>
    <t>Carolina Herrera</t>
  </si>
  <si>
    <t>501 7th Avenue 16FL</t>
  </si>
  <si>
    <t>Tel:212 944 5757</t>
  </si>
  <si>
    <t>Alonso</t>
  </si>
  <si>
    <t>Centric West LLC</t>
  </si>
  <si>
    <t>620 South Elm Street</t>
  </si>
  <si>
    <t>RefJoe’s Jeans</t>
  </si>
  <si>
    <t>CHANGZHOU HUALIDA GARMENTS Group</t>
  </si>
  <si>
    <t>No. 958 Laodong East Rd</t>
  </si>
  <si>
    <t xml:space="preserve">CHINA  </t>
  </si>
  <si>
    <t>Jerrica/Roi Robinson Wang</t>
  </si>
  <si>
    <t>CHENFENG (JIANGSU) APPAREL CO.,LTD</t>
  </si>
  <si>
    <t>Bella</t>
  </si>
  <si>
    <t>China Ting Group Co., LTD</t>
  </si>
  <si>
    <t>4FL, No. 56 Beisha East Rd.</t>
  </si>
  <si>
    <t>Yukishu</t>
  </si>
  <si>
    <t>CHINAMINE TRADING LTD.</t>
  </si>
  <si>
    <t xml:space="preserve">RM 2802-2815, 28/F No. 1 Hung To Road </t>
  </si>
  <si>
    <t>Kwun Tong Kowloon, Hong Kong</t>
  </si>
  <si>
    <t>Kay Lee</t>
  </si>
  <si>
    <t>Christy Dawn</t>
  </si>
  <si>
    <t>2115 South San Pedro</t>
  </si>
  <si>
    <t>Classita (M) Sdn Bhd</t>
  </si>
  <si>
    <t>Lot 2661, 3rd Mile</t>
  </si>
  <si>
    <t>Tel: 605-621-8888</t>
  </si>
  <si>
    <t>Coach/Tapestry</t>
  </si>
  <si>
    <t>10 Hudson Yard 16FL</t>
  </si>
  <si>
    <t>Clay Smith</t>
  </si>
  <si>
    <t>CREATIVE DESIGN MANAGEMENT EDGARDO BONILLA BRIDAL</t>
  </si>
  <si>
    <t>One Executive Drive, Suite 3</t>
  </si>
  <si>
    <t>260 West 39th St. suite 1401</t>
  </si>
  <si>
    <t>Margo Lafontaine</t>
  </si>
  <si>
    <t>DANNIJO</t>
  </si>
  <si>
    <t>1407 Broadway, Suite #720</t>
  </si>
  <si>
    <t>Tel: 212-971-7070</t>
  </si>
  <si>
    <t>DDA HOLDINGS, INC</t>
  </si>
  <si>
    <t>Adeline Martinez</t>
  </si>
  <si>
    <t>Deutsche Bekleidungswerke Limited</t>
  </si>
  <si>
    <t>Plot P-1A, road no.6, Long Hau IP Expansion Area,</t>
  </si>
  <si>
    <t>Hana/Tigon</t>
  </si>
  <si>
    <t>Estee Couture</t>
  </si>
  <si>
    <t>16083 Sierra Pass Way</t>
  </si>
  <si>
    <t>EVERYBODY.WORLD</t>
  </si>
  <si>
    <t>5718 S. Santa Fe Ave.</t>
  </si>
  <si>
    <t>U.S.A</t>
  </si>
  <si>
    <t>Alice</t>
  </si>
  <si>
    <t>FOOK WAH KUN KEE KNITTING FTY., LTD.</t>
  </si>
  <si>
    <t>9/F., Block B, Po Yip Building,</t>
  </si>
  <si>
    <t>Sandy Feng</t>
  </si>
  <si>
    <t>FRANKIES BIKINIS</t>
  </si>
  <si>
    <t>Grace Fu</t>
  </si>
  <si>
    <t>231 Lexington Ave #1A</t>
  </si>
  <si>
    <t xml:space="preserve">Grace </t>
  </si>
  <si>
    <t>Grace Garment Factory</t>
  </si>
  <si>
    <t>HAPPY TIMES CAFE LLC</t>
  </si>
  <si>
    <t>349 SCHOLES STREET SUITE 307</t>
  </si>
  <si>
    <t>MIKE ECKHAUS</t>
  </si>
  <si>
    <t>Hat Salon</t>
  </si>
  <si>
    <t>5 Stropkov Ct. #101</t>
  </si>
  <si>
    <t>Malky</t>
  </si>
  <si>
    <t>Hellessy</t>
  </si>
  <si>
    <t>Allan</t>
  </si>
  <si>
    <t>Helmut Lang New York</t>
  </si>
  <si>
    <t>Marcel Pawlas</t>
  </si>
  <si>
    <t>Henet Pte. Ltd</t>
  </si>
  <si>
    <t>1 Maritime Square #09-19</t>
  </si>
  <si>
    <t>Harbourfront Centre</t>
  </si>
  <si>
    <t>Tel: 65 6258 6881</t>
  </si>
  <si>
    <t>HONOR</t>
  </si>
  <si>
    <t>270 Lafayette Street Suite 1209</t>
  </si>
  <si>
    <t>Madison Wu</t>
  </si>
  <si>
    <t>JANE WANG LLC</t>
  </si>
  <si>
    <t>33 Great Neck Rd., Suite #6</t>
  </si>
  <si>
    <t>Tel: 917-592-2966</t>
  </si>
  <si>
    <t>Jason Wu (Shanghai) Garment Co., Ltd.</t>
  </si>
  <si>
    <t>2700 Lianhualu Rd., Building 1, 5th FL</t>
  </si>
  <si>
    <t xml:space="preserve">Michelle </t>
  </si>
  <si>
    <t>Jenny Yoo Collection</t>
  </si>
  <si>
    <t>132 West 36th Street 9th Floor</t>
  </si>
  <si>
    <t>JOHNNY WAS</t>
  </si>
  <si>
    <t>JILLMARK, INC. dba H O N O R I N E</t>
  </si>
  <si>
    <t>10474 Santa Monica Blvd., Suite 308</t>
  </si>
  <si>
    <t>Samantha</t>
  </si>
  <si>
    <t xml:space="preserve">Katie May  </t>
  </si>
  <si>
    <t>2301 East 7th Street Suite A315-A319,</t>
  </si>
  <si>
    <t>Kevan Hall</t>
  </si>
  <si>
    <t>8313 Beverly Blvd.</t>
  </si>
  <si>
    <t>Tel: 323.658.7979</t>
  </si>
  <si>
    <t>KRP LCC/Houghton</t>
  </si>
  <si>
    <t>26500 Agoura Rd #531</t>
  </si>
  <si>
    <t>Katharine Polk</t>
  </si>
  <si>
    <t xml:space="preserve">Lauren Moshi </t>
  </si>
  <si>
    <t xml:space="preserve">Clelia Chavez </t>
  </si>
  <si>
    <t>LE SUPERBE</t>
  </si>
  <si>
    <t>719 S. Los Angeles St. Suite 419</t>
  </si>
  <si>
    <t>Rey Pascua</t>
  </si>
  <si>
    <t>LUCY BLAIR LLC (T/A CIAO LUCIA)</t>
  </si>
  <si>
    <t>Lynne Carter</t>
  </si>
  <si>
    <t>Tel: +1 949-922-9225</t>
  </si>
  <si>
    <t>Marchesa RM</t>
  </si>
  <si>
    <t>Marius Revere</t>
  </si>
  <si>
    <t>minnow</t>
  </si>
  <si>
    <t>219 MARINE AVE, STE A</t>
  </si>
  <si>
    <t>M I S A</t>
  </si>
  <si>
    <t>1530 E 25th St.</t>
  </si>
  <si>
    <t>AttenImelda</t>
  </si>
  <si>
    <t>MODERN TROUSSEAU</t>
  </si>
  <si>
    <t>125 Bradley Road</t>
  </si>
  <si>
    <t>MONIQUE LHUILLIER</t>
  </si>
  <si>
    <t>4533 Pacific Blvd.</t>
  </si>
  <si>
    <t>Tel: 213.747.8811</t>
  </si>
  <si>
    <t>MONSE c/o Max Lu</t>
  </si>
  <si>
    <t>611 Broadway Suite 308</t>
  </si>
  <si>
    <t>New York, NY 10012</t>
  </si>
  <si>
    <t>MONSE LLC</t>
  </si>
  <si>
    <t>Tel: 646-809-0100</t>
  </si>
  <si>
    <t>Navee Charoen Ltd., Part.</t>
  </si>
  <si>
    <t>Tel: (66)2 222 7099</t>
  </si>
  <si>
    <t>PACIFIC TRIMMING ENTERPRISE</t>
  </si>
  <si>
    <t>218 West 38th Street</t>
  </si>
  <si>
    <t>Tel:  212-279-9310</t>
  </si>
  <si>
    <t>PARC AND PEARL</t>
  </si>
  <si>
    <t>1506 W. 12TH ST.</t>
  </si>
  <si>
    <t>Qian</t>
  </si>
  <si>
    <t>Jacqueline Mego</t>
  </si>
  <si>
    <t>PRIVATE LABEL TEHUACAN, S. DE R.L. DE C.V.</t>
  </si>
  <si>
    <t>KM. 107 CARRETERA PUEBLA-TEHUACAN</t>
  </si>
  <si>
    <t>MEXICO</t>
  </si>
  <si>
    <t>Marisela Lerin</t>
  </si>
  <si>
    <t>Puppets and Puppets</t>
  </si>
  <si>
    <t>115 West 30th St. suite 203</t>
  </si>
  <si>
    <t>Carly Mark</t>
  </si>
  <si>
    <t>RAJ Manufacturing, LLC.</t>
  </si>
  <si>
    <t>REEM ACRA RTW</t>
  </si>
  <si>
    <t>David Farshadfar</t>
  </si>
  <si>
    <t>Rodarte</t>
  </si>
  <si>
    <t>715 South Oakland Ave</t>
  </si>
  <si>
    <t>Royal Spirit Limited</t>
  </si>
  <si>
    <t>11th Floor, 822, Lai Chi Kok Road,</t>
  </si>
  <si>
    <t>AGNES/AMY</t>
  </si>
  <si>
    <t>Salt and Pepper Gifts</t>
  </si>
  <si>
    <t>970 Knox St. Unit A</t>
  </si>
  <si>
    <t>AttenTara</t>
  </si>
  <si>
    <t>Sara Campbell LTD</t>
  </si>
  <si>
    <t>67 Kemble St / 4th Floor</t>
  </si>
  <si>
    <t>Geraldine</t>
  </si>
  <si>
    <t>Suteks Tekstil Sanayi ve Ticaret AS</t>
  </si>
  <si>
    <t>Kemerburgaz Cad. No:16</t>
  </si>
  <si>
    <t>TURKEY</t>
  </si>
  <si>
    <t>GONCA ATILCAN</t>
  </si>
  <si>
    <t>SVAC Collective, LLC</t>
  </si>
  <si>
    <t>LLC998 Casiano Rd</t>
  </si>
  <si>
    <t>Accounts Payable</t>
  </si>
  <si>
    <t>The Evans Group</t>
  </si>
  <si>
    <t>1926 E. 7th Street</t>
  </si>
  <si>
    <t>Theory</t>
  </si>
  <si>
    <t>2 Gansevoort st 2FL</t>
  </si>
  <si>
    <t>New York NY 10014</t>
  </si>
  <si>
    <t>Dave</t>
  </si>
  <si>
    <t>Tomomi Okubo</t>
  </si>
  <si>
    <t>53 Bridge street Unit 201</t>
  </si>
  <si>
    <t>Tory Burch</t>
  </si>
  <si>
    <t>11 West 19th St. 8FL</t>
  </si>
  <si>
    <t>Saman Chaudhry</t>
  </si>
  <si>
    <t>Trade Harvest Industrial Ltd.</t>
  </si>
  <si>
    <t>Workship No.7, 10/F, Permier Centre</t>
  </si>
  <si>
    <t>Tel: 852-2743-1083</t>
  </si>
  <si>
    <t>TRIBECA DESIGN STUDIO</t>
  </si>
  <si>
    <t>142 DUANE STREET NEW YORK,</t>
  </si>
  <si>
    <t>ULLA JOHNSON</t>
  </si>
  <si>
    <t>270 Lafayette Street, 1101</t>
  </si>
  <si>
    <t>Patricia Voto</t>
  </si>
  <si>
    <t>Urban Zen</t>
  </si>
  <si>
    <t>705 Greenwich St</t>
  </si>
  <si>
    <t>Larisa Marginean</t>
  </si>
  <si>
    <t>VERA WANG BRIDAL</t>
  </si>
  <si>
    <t>15 EAST 26TH STREET</t>
  </si>
  <si>
    <t>NEW YORK, NY 10010</t>
  </si>
  <si>
    <t>Vinnitsa Hong Kong Ltd.</t>
  </si>
  <si>
    <t>Unit B &amp; C, 9/F., Fuk Cheong Factory Building,</t>
  </si>
  <si>
    <t>Helly</t>
  </si>
  <si>
    <t xml:space="preserve">ALEXIS MABILLE </t>
  </si>
  <si>
    <t>4 BIS ALLEE VERTE</t>
  </si>
  <si>
    <t>Paris</t>
  </si>
  <si>
    <t>STEPHANIE</t>
  </si>
  <si>
    <t>ANHUI MINMETALS DEVELOPMENT I/E CO. LTD</t>
  </si>
  <si>
    <t>Shen gang park NO 1689 XIYOU road</t>
  </si>
  <si>
    <t>XING LI</t>
  </si>
  <si>
    <t>Atelier Marey</t>
  </si>
  <si>
    <t>42 Rue De Clery</t>
  </si>
  <si>
    <t>Linah</t>
  </si>
  <si>
    <t>BA&amp;SH</t>
  </si>
  <si>
    <t>67 AVENUE RAYMOND POINCARE,</t>
  </si>
  <si>
    <t>MANON</t>
  </si>
  <si>
    <t>BENDA BILI S.A.S / SEZANE</t>
  </si>
  <si>
    <t>12 RUE D'UZES 2EME ETAGE</t>
  </si>
  <si>
    <t>Clemence</t>
  </si>
  <si>
    <t>BONPOINT SAS</t>
  </si>
  <si>
    <t>62 AVENUE D’IENA</t>
  </si>
  <si>
    <t>Nadia</t>
  </si>
  <si>
    <t>BRILLIANT Invest Co.</t>
  </si>
  <si>
    <t>40, Tzar Boris III Obedinitel Blvd</t>
  </si>
  <si>
    <t>4004 Plovdiv</t>
  </si>
  <si>
    <t>Albena</t>
  </si>
  <si>
    <t>Casablanca</t>
  </si>
  <si>
    <t>E8 3RL</t>
  </si>
  <si>
    <t>Valbona / Yasmine</t>
  </si>
  <si>
    <t>Claudie Pierlot</t>
  </si>
  <si>
    <t>2 rue de Marengo</t>
  </si>
  <si>
    <t>Clotilde Le Marchand</t>
  </si>
  <si>
    <t>Courreges</t>
  </si>
  <si>
    <t xml:space="preserve">40 rue Fran?ois 1er, </t>
  </si>
  <si>
    <t>Olivia NOUET</t>
  </si>
  <si>
    <t>Cymbeline</t>
  </si>
  <si>
    <t>2 rue Gambetta</t>
  </si>
  <si>
    <t>Avon</t>
  </si>
  <si>
    <t>Lucrece &amp; Annie</t>
  </si>
  <si>
    <t>DE FURSAC</t>
  </si>
  <si>
    <t>112 rue de Richelieu</t>
  </si>
  <si>
    <t>Sarah</t>
  </si>
  <si>
    <t>DUNE BY MARIE LAPORTE SARL</t>
  </si>
  <si>
    <t>48 rue de L?vis</t>
  </si>
  <si>
    <t>Marie Voignier</t>
  </si>
  <si>
    <t>ETAM 1.2.3.</t>
  </si>
  <si>
    <t>57-59 RUE HENRI BARBUSSE</t>
  </si>
  <si>
    <t xml:space="preserve">MS. Isabelle &amp; Nathalie </t>
  </si>
  <si>
    <t>Fenix Fashion Ltd</t>
  </si>
  <si>
    <t>UG/F., Cobalt Building, 926 Cheung</t>
  </si>
  <si>
    <t>JOHANNA</t>
  </si>
  <si>
    <t>HANGZHOU HEQI IMPORT AND EXPORT TRADE CO.,LTD</t>
  </si>
  <si>
    <t>2-130,NO.158,HONGXING ROAD,ECONOMIC AND</t>
  </si>
  <si>
    <t>Faye chen</t>
  </si>
  <si>
    <t>Hongtex Hong Kong Ltd.</t>
  </si>
  <si>
    <t>RM2005 20/F NEW TREASURE CENTRE</t>
  </si>
  <si>
    <t>Joanne/Ginny</t>
  </si>
  <si>
    <t>IDEA 2000 LIMITED</t>
  </si>
  <si>
    <t xml:space="preserve">7/F, Yonglian Buliding, </t>
  </si>
  <si>
    <t>IKKS WOMEN-BATIMENT 5</t>
  </si>
  <si>
    <t>SERVICE COMPTABILITE FOURNISS EURS</t>
  </si>
  <si>
    <t>94,RUE CHOLETAISE 49455 SEVREMOINE</t>
  </si>
  <si>
    <t>JOYANCE CORPORATION LIMITED</t>
  </si>
  <si>
    <t>14F 188 BINKANG ROAD, BINJIANG</t>
  </si>
  <si>
    <t>HANGZHOU, ZHEJIANG</t>
  </si>
  <si>
    <t>Nancy</t>
  </si>
  <si>
    <t>LOGTEX/IKKS WOMEN</t>
  </si>
  <si>
    <t>FOURNITURES DE COLLECTION</t>
  </si>
  <si>
    <t>MAISON 123</t>
  </si>
  <si>
    <t>57-59 avenue Henri Barbusse</t>
  </si>
  <si>
    <t>92 614 Clichy Cedex</t>
  </si>
  <si>
    <t>Murielle Deny</t>
  </si>
  <si>
    <t>MAISON PERE</t>
  </si>
  <si>
    <t>36 RUE VIGNON</t>
  </si>
  <si>
    <t>Ms. Adele Grenot</t>
  </si>
  <si>
    <t>Maison Rabih Kayrouz</t>
  </si>
  <si>
    <t xml:space="preserve">38 Boulevard Raspail </t>
  </si>
  <si>
    <t>Mirjana Morozin</t>
  </si>
  <si>
    <t>Maje</t>
  </si>
  <si>
    <t xml:space="preserve">2 rue de Marengo </t>
  </si>
  <si>
    <t>Marion Blanchard</t>
  </si>
  <si>
    <t>MAREY SHANGHAI Office</t>
  </si>
  <si>
    <t xml:space="preserve">21st Floor, Harbour Ring Huangpu Center, </t>
  </si>
  <si>
    <t>DEBBIE YAN</t>
  </si>
  <si>
    <t>MARIE LAPORTE</t>
  </si>
  <si>
    <t>MELOYUN CO LTD</t>
  </si>
  <si>
    <t xml:space="preserve">101/63-65 Moo 3, Suetrong group, </t>
  </si>
  <si>
    <t>Li</t>
  </si>
  <si>
    <t>OFFICINE GENERALE</t>
  </si>
  <si>
    <t xml:space="preserve">11 RUE JULES CHAPLAIN </t>
  </si>
  <si>
    <t>PARIS</t>
  </si>
  <si>
    <t>Dan</t>
  </si>
  <si>
    <t>Paco Rabanne</t>
  </si>
  <si>
    <t>17, rue Fran?ois 1er</t>
  </si>
  <si>
    <t>PARMAMODA SRL</t>
  </si>
  <si>
    <t xml:space="preserve">VIA G. BOTTERI, 12 </t>
  </si>
  <si>
    <t>PARMA</t>
  </si>
  <si>
    <t>Emanuela</t>
  </si>
  <si>
    <t>Piret Kartus</t>
  </si>
  <si>
    <t>Parnu mnt 8</t>
  </si>
  <si>
    <t>Potencier</t>
  </si>
  <si>
    <t>106, rue L?on Gambetta</t>
  </si>
  <si>
    <t>Villers-Outreaux</t>
  </si>
  <si>
    <t xml:space="preserve">Eric Leroy </t>
  </si>
  <si>
    <t>PROLOG ( MRK PROD E20 )</t>
  </si>
  <si>
    <t>84 rue Choletaise</t>
  </si>
  <si>
    <t>Sylvie</t>
  </si>
  <si>
    <t>RDM / CELESTINA AGOSTINO</t>
  </si>
  <si>
    <t>15 RUE DE L'ABBE GREGOIRE</t>
  </si>
  <si>
    <t>CELESTINA AGOSTINO</t>
  </si>
  <si>
    <t>Richard Naigard</t>
  </si>
  <si>
    <t>232,rue St Denis</t>
  </si>
  <si>
    <t>SCRO - DESIGN SRL</t>
  </si>
  <si>
    <t>REPUBLICII6</t>
  </si>
  <si>
    <t>MARASESTI</t>
  </si>
  <si>
    <t>TFH</t>
  </si>
  <si>
    <t>RYM/FATMA</t>
  </si>
  <si>
    <t>The Kooples</t>
  </si>
  <si>
    <t>11 Rue de Prony,</t>
  </si>
  <si>
    <t>Laurie Poisvert</t>
  </si>
  <si>
    <t>Valerie Khalfon</t>
  </si>
  <si>
    <t xml:space="preserve">9 rue Saint Fiacre </t>
  </si>
  <si>
    <t>Valerie Israel</t>
  </si>
  <si>
    <t>Veronique Leroy</t>
  </si>
  <si>
    <t>50 rue du Faubourg ST Antoine</t>
  </si>
  <si>
    <t>Jean Fran?ois</t>
  </si>
  <si>
    <t>Y/PROJECT</t>
  </si>
  <si>
    <t xml:space="preserve">40 RUE DE PARADIS, </t>
  </si>
  <si>
    <t>Ran Roh</t>
  </si>
  <si>
    <t>Zapa</t>
  </si>
  <si>
    <t>8bis Rue Dieu</t>
  </si>
  <si>
    <t xml:space="preserve">Paris 10?me </t>
  </si>
  <si>
    <t>France Rocher</t>
  </si>
  <si>
    <t>ZIP CODE</t>
    <phoneticPr fontId="3"/>
  </si>
  <si>
    <t>ADDRESS 1</t>
    <phoneticPr fontId="3"/>
  </si>
  <si>
    <t>ADDRESS 2</t>
    <phoneticPr fontId="3"/>
  </si>
  <si>
    <t>COUNTRY</t>
    <phoneticPr fontId="3"/>
  </si>
  <si>
    <t>TEL</t>
    <phoneticPr fontId="3"/>
  </si>
  <si>
    <t>DANIELLE FRANKEL</t>
    <phoneticPr fontId="3"/>
  </si>
  <si>
    <t>USA</t>
    <phoneticPr fontId="3"/>
  </si>
  <si>
    <t xml:space="preserve">4030 DEL REY AVE </t>
    <phoneticPr fontId="3"/>
  </si>
  <si>
    <t>ATTENTION</t>
    <phoneticPr fontId="3"/>
  </si>
  <si>
    <t>NEW YORK, NY</t>
    <phoneticPr fontId="3"/>
  </si>
  <si>
    <t>34 Tai Yau Street,San Po Kong, Kowloon, Hong Kong</t>
    <phoneticPr fontId="3"/>
  </si>
  <si>
    <t>2G, Hok Yuen St., Hung Hom, Kowloon, Hong Kong</t>
    <phoneticPr fontId="3"/>
  </si>
  <si>
    <t>Los Angeles, CA</t>
    <phoneticPr fontId="3"/>
  </si>
  <si>
    <t>New York, NY</t>
  </si>
  <si>
    <t>New York, NY</t>
    <phoneticPr fontId="3"/>
  </si>
  <si>
    <t>Dallas, TX</t>
    <phoneticPr fontId="3"/>
  </si>
  <si>
    <t>Vernon, CA</t>
    <phoneticPr fontId="3"/>
  </si>
  <si>
    <t>Newport Beach, CA</t>
    <phoneticPr fontId="3"/>
  </si>
  <si>
    <t>chicago IL</t>
    <phoneticPr fontId="3"/>
  </si>
  <si>
    <t>Greensboro, NC</t>
    <phoneticPr fontId="3"/>
  </si>
  <si>
    <t>Changzhou, Jiangsu</t>
    <phoneticPr fontId="3"/>
  </si>
  <si>
    <t>NO.99JIN HU road, Jintan District</t>
    <phoneticPr fontId="3"/>
  </si>
  <si>
    <t xml:space="preserve">Yuhang Economic Development Zone, HangZhou </t>
    <phoneticPr fontId="3"/>
  </si>
  <si>
    <t xml:space="preserve">Jalan Maharajalela, 36000 Teluk Intan, Perak Darul Ridzuan, </t>
    <phoneticPr fontId="3"/>
  </si>
  <si>
    <t>MALAYSIA</t>
    <phoneticPr fontId="3"/>
  </si>
  <si>
    <t>Xirena Division, 834 S Broadway # 600</t>
    <phoneticPr fontId="3"/>
  </si>
  <si>
    <t>08057</t>
    <phoneticPr fontId="3"/>
  </si>
  <si>
    <t>Moorestown, NJ</t>
    <phoneticPr fontId="3"/>
  </si>
  <si>
    <t xml:space="preserve">Long Hau Commune, Can Giuoc Dist, Long An Province, </t>
    <phoneticPr fontId="3"/>
  </si>
  <si>
    <t>VIETNAM</t>
    <phoneticPr fontId="3"/>
  </si>
  <si>
    <t>62-70 Texaco Road, Tsuen Wan, Hong Kong</t>
    <phoneticPr fontId="3"/>
  </si>
  <si>
    <t>Hacienda Heights, CA</t>
    <phoneticPr fontId="3"/>
  </si>
  <si>
    <t>Venice, CA</t>
    <phoneticPr fontId="3"/>
  </si>
  <si>
    <t>Li Chuan, Dong Guan</t>
    <phoneticPr fontId="3"/>
  </si>
  <si>
    <t>2F 83 Li Chuan Road, Dong Cheng</t>
    <phoneticPr fontId="3"/>
  </si>
  <si>
    <t>Brooklyn, NY</t>
    <phoneticPr fontId="3"/>
  </si>
  <si>
    <t>Monroe, NY</t>
    <phoneticPr fontId="3"/>
  </si>
  <si>
    <t>270 Lafayette St, Suite 610</t>
    <phoneticPr fontId="3"/>
  </si>
  <si>
    <t>099253</t>
    <phoneticPr fontId="3"/>
  </si>
  <si>
    <t>SINGAPORE</t>
    <phoneticPr fontId="3"/>
  </si>
  <si>
    <t>07071</t>
    <phoneticPr fontId="3"/>
  </si>
  <si>
    <t xml:space="preserve">165 Polito Ave, </t>
    <phoneticPr fontId="3"/>
  </si>
  <si>
    <t>Lyndhurst, NJ</t>
    <phoneticPr fontId="3"/>
  </si>
  <si>
    <t>Great Neck, NY</t>
    <phoneticPr fontId="3"/>
  </si>
  <si>
    <t>Minhang District, Shanghai</t>
    <phoneticPr fontId="3"/>
  </si>
  <si>
    <t>Calabasas, CA</t>
    <phoneticPr fontId="3"/>
  </si>
  <si>
    <t>2515 Yates Ave,</t>
    <phoneticPr fontId="3"/>
  </si>
  <si>
    <t>Commerce, CA</t>
    <phoneticPr fontId="3"/>
  </si>
  <si>
    <t>2930 DENBY AVENUE, STUDIO B,</t>
    <phoneticPr fontId="3"/>
  </si>
  <si>
    <t>117 W 9th St., Mezzanine #111</t>
    <phoneticPr fontId="3"/>
  </si>
  <si>
    <t>FLOOR 4, 80 8th Avenue,</t>
    <phoneticPr fontId="3"/>
  </si>
  <si>
    <t>Marina Del Rey, CA</t>
    <phoneticPr fontId="3"/>
  </si>
  <si>
    <t>13969 Marquesas Way Apt 202b,</t>
    <phoneticPr fontId="3"/>
  </si>
  <si>
    <t>New Port Beach , CA</t>
    <phoneticPr fontId="3"/>
  </si>
  <si>
    <t>06525</t>
    <phoneticPr fontId="3"/>
  </si>
  <si>
    <t>Woodbridge, CT</t>
    <phoneticPr fontId="3"/>
  </si>
  <si>
    <t>Max Lu</t>
    <phoneticPr fontId="3"/>
  </si>
  <si>
    <t>611 Broadway, 308</t>
    <phoneticPr fontId="3"/>
  </si>
  <si>
    <t>THAILAND</t>
  </si>
  <si>
    <t>THAILAND</t>
    <phoneticPr fontId="3"/>
  </si>
  <si>
    <t>104/8 Krung Kasem Rd., Dheves,</t>
    <phoneticPr fontId="3"/>
  </si>
  <si>
    <t>Bangkok</t>
    <phoneticPr fontId="3"/>
  </si>
  <si>
    <t>Peru Fashions S.A.C.</t>
    <phoneticPr fontId="3"/>
  </si>
  <si>
    <t xml:space="preserve">Mz. E Lote 9, URB. Las Vegas </t>
    <phoneticPr fontId="3"/>
  </si>
  <si>
    <t>Puente Piedra,</t>
    <phoneticPr fontId="3"/>
  </si>
  <si>
    <t>No. 4 S.C. TEPANCO DE LOPEZ, PUEBLA</t>
    <phoneticPr fontId="3"/>
  </si>
  <si>
    <t>PERU</t>
    <phoneticPr fontId="3"/>
  </si>
  <si>
    <t xml:space="preserve">2692 Dow Ave, </t>
    <phoneticPr fontId="3"/>
  </si>
  <si>
    <t>Tustin, CA</t>
    <phoneticPr fontId="3"/>
  </si>
  <si>
    <t>Pasadena, CA</t>
    <phoneticPr fontId="3"/>
  </si>
  <si>
    <t>02119</t>
    <phoneticPr fontId="3"/>
  </si>
  <si>
    <t>Torrance, CA</t>
    <phoneticPr fontId="3"/>
  </si>
  <si>
    <t>Boston, MA</t>
    <phoneticPr fontId="3"/>
  </si>
  <si>
    <t>Ying Ren Shi, Bao'an District, ShenZhen,</t>
    <phoneticPr fontId="3"/>
  </si>
  <si>
    <t>6FL, Bldg C, Wentao Tech Zone,</t>
    <phoneticPr fontId="3"/>
  </si>
  <si>
    <t>ShenZhen Maohua Fashion Co., Ltd.</t>
    <phoneticPr fontId="3"/>
  </si>
  <si>
    <t>Kagithane, Istanbul,</t>
    <phoneticPr fontId="3"/>
  </si>
  <si>
    <t>No.20 Cheung Shun Street, Lai Chi Kok, Hong Kong</t>
    <phoneticPr fontId="3"/>
  </si>
  <si>
    <t>1 Walnut Street, Tai Kok Tsui, Kowloon, Hong Kong</t>
    <phoneticPr fontId="3"/>
  </si>
  <si>
    <t>FRANCE</t>
  </si>
  <si>
    <t>FRANCE</t>
    <phoneticPr fontId="3"/>
  </si>
  <si>
    <t>GAOXING district, Hefei Anhui,</t>
    <phoneticPr fontId="3"/>
  </si>
  <si>
    <t>BULGARIA</t>
    <phoneticPr fontId="3"/>
  </si>
  <si>
    <t>Clichy</t>
    <phoneticPr fontId="3"/>
  </si>
  <si>
    <t>TECHNOLOGICAL DEVELOPMENT ZONE,XIAOSHAN DISTRICT, HANGZHOU, ZHEJIANG,</t>
    <phoneticPr fontId="3"/>
  </si>
  <si>
    <t>10NG FONG STREET, SAN PO KONG,  KOWLOON, HONG KONG</t>
    <phoneticPr fontId="3"/>
  </si>
  <si>
    <t xml:space="preserve">No.188 He Ping Street, Xiuzhou District, Jiaxing, Zhejiang, </t>
    <phoneticPr fontId="3"/>
  </si>
  <si>
    <t>4 Passage de la Boule Blanche, Paris</t>
    <phoneticPr fontId="3"/>
  </si>
  <si>
    <t>ROMANIA</t>
    <phoneticPr fontId="3"/>
  </si>
  <si>
    <t>Saint Macaire en Mauges, Sevremoine,</t>
    <phoneticPr fontId="3"/>
  </si>
  <si>
    <t xml:space="preserve">Apartment 7a, Tallinn, </t>
    <phoneticPr fontId="3"/>
  </si>
  <si>
    <t xml:space="preserve">ESTONIA </t>
    <phoneticPr fontId="3"/>
  </si>
  <si>
    <t>ITALY</t>
    <phoneticPr fontId="3"/>
  </si>
  <si>
    <t xml:space="preserve">TAMBON SAIMA, AUMPHUR MUANG, NONTHABURI, </t>
    <phoneticPr fontId="3"/>
  </si>
  <si>
    <t>No. 98 Liu He Road, Shanghai</t>
    <phoneticPr fontId="3"/>
  </si>
  <si>
    <t>Z.I DE LA GARE RUE DU DR FAYAU, MONTAIGU,</t>
    <phoneticPr fontId="3"/>
  </si>
  <si>
    <t>Phoenix Brewery, 13 Bramley Road</t>
    <phoneticPr fontId="3"/>
  </si>
  <si>
    <t>London</t>
    <phoneticPr fontId="3"/>
  </si>
  <si>
    <t>NETIL HOUSE, SUITE 204, 1 WESTGATE STREET,</t>
    <phoneticPr fontId="3"/>
  </si>
  <si>
    <t>W10 6SZ</t>
    <phoneticPr fontId="3"/>
  </si>
  <si>
    <t>Marta</t>
    <phoneticPr fontId="3"/>
  </si>
  <si>
    <t xml:space="preserve">TUNISIA </t>
    <phoneticPr fontId="3"/>
  </si>
  <si>
    <t>RUE DU TISSAGE 29, ZI KSAR SAID,</t>
    <phoneticPr fontId="3"/>
  </si>
  <si>
    <t>MANOUBA</t>
    <phoneticPr fontId="3"/>
  </si>
  <si>
    <t>Temperley London</t>
    <phoneticPr fontId="3"/>
  </si>
  <si>
    <t>3066a</t>
  </si>
  <si>
    <t>P.H.Garment Manufacturing Company Limited</t>
  </si>
  <si>
    <t>UNIT 1412, 14/F., TOWER 2, EVER GAIN PLAZA,</t>
  </si>
  <si>
    <t>3432a</t>
  </si>
  <si>
    <t>RCD</t>
  </si>
  <si>
    <t>3436a</t>
  </si>
  <si>
    <t>101/63-65 Moo 3, Suetrong group,</t>
  </si>
  <si>
    <t>3239a</t>
  </si>
  <si>
    <t>LA ADA DE ACUNA, S DE RL DE CV</t>
  </si>
  <si>
    <t>CARRETERA PRESA DE LA AMISTAD KM 4.5</t>
  </si>
  <si>
    <t>CD. ACUNA, COAHUILA</t>
  </si>
  <si>
    <t>3241a</t>
  </si>
  <si>
    <t>Wacoal Dominicana Corp.</t>
  </si>
  <si>
    <t>Zona Franca Industrial</t>
  </si>
  <si>
    <t>6001a</t>
  </si>
  <si>
    <t>EAST CONCEPT FASHION LTD</t>
  </si>
  <si>
    <t>UNIT 1-5, 4/F, WELL TECH CENTER</t>
  </si>
  <si>
    <t>6002a</t>
  </si>
  <si>
    <t>CHINA FENG FASHION (SHENZHEN)LTD</t>
  </si>
  <si>
    <t>6005a</t>
  </si>
  <si>
    <t>MMAA</t>
  </si>
  <si>
    <t>BOLGATANGA BONGO ROAD</t>
  </si>
  <si>
    <t>6015a</t>
  </si>
  <si>
    <t>Aanchal Apparels Pvt Ltd.</t>
  </si>
  <si>
    <t>4-a 3rd floor, Industry Manor</t>
  </si>
  <si>
    <t>6015b</t>
  </si>
  <si>
    <t>Friendship Manufacturing Co., Ltd.</t>
  </si>
  <si>
    <t>17/6A Phan Huy ich Street, Ward 14</t>
  </si>
  <si>
    <t>6046a</t>
  </si>
  <si>
    <t>Textile Gloria Ltd</t>
  </si>
  <si>
    <t>8 Hashomer street</t>
  </si>
  <si>
    <t>6050a</t>
  </si>
  <si>
    <t>Bsquare holdings LTD</t>
  </si>
  <si>
    <t>39 North moore street, store entrance</t>
  </si>
  <si>
    <t>6085a</t>
  </si>
  <si>
    <t>Joe's Jeans</t>
  </si>
  <si>
    <t>1580 Jesse St.</t>
  </si>
  <si>
    <t>6102a</t>
  </si>
  <si>
    <t>Gold Flower Ltd.</t>
  </si>
  <si>
    <t>8/FL, 66-72, Lei Muk Road,</t>
  </si>
  <si>
    <t>Kwai Chung, N.T. Hong Kong</t>
  </si>
  <si>
    <t>6185a</t>
  </si>
  <si>
    <t>WEI YI FACTORY</t>
  </si>
  <si>
    <t>No. 8, Gouwei Road, Yongan Road</t>
  </si>
  <si>
    <t>Chaozhou, Guangdong</t>
  </si>
  <si>
    <t>6215a</t>
  </si>
  <si>
    <t>Frankies</t>
  </si>
  <si>
    <t>3349 La Cienega Place</t>
  </si>
  <si>
    <t>6256a</t>
  </si>
  <si>
    <t>F I H Co. Limited</t>
  </si>
  <si>
    <t xml:space="preserve">A5 17F Goodwill Ind. Bldg. </t>
  </si>
  <si>
    <t>6280a</t>
  </si>
  <si>
    <t>CAMPO LONGO INDUSTRIA E COMERCIO VESTUARIO LDA.,</t>
  </si>
  <si>
    <t>TRAVESSA DA ALEGRIA 77,</t>
  </si>
  <si>
    <t>6290a</t>
  </si>
  <si>
    <t>Greenhill Fashion Knitters</t>
  </si>
  <si>
    <t>6290b</t>
  </si>
  <si>
    <t>Hellessy C/O Magic Team &amp; Company Ltd.</t>
  </si>
  <si>
    <t>Room D, 4th Fl., Wing Cheung Industrial Bldg.</t>
  </si>
  <si>
    <t>6290c</t>
  </si>
  <si>
    <t>Hellessy c/o Shantou Huanlong Fashion Limited</t>
  </si>
  <si>
    <t>3-4/Floor, No. 8, West 1 Street, Longxin Indstrial Zone</t>
  </si>
  <si>
    <t>6291a</t>
  </si>
  <si>
    <t>Helmut Lang</t>
  </si>
  <si>
    <t>2 Gansevoort St. 4FL</t>
  </si>
  <si>
    <t>6292a</t>
  </si>
  <si>
    <t>Global Sourcenet Ltd</t>
  </si>
  <si>
    <t>Minh Khai, Nhu Quynh, Van Lam,</t>
  </si>
  <si>
    <t>6360a</t>
  </si>
  <si>
    <t>JANE WANG</t>
  </si>
  <si>
    <t>248-25 Northan Blvd, 1J-363</t>
  </si>
  <si>
    <t>Douglaston, NY 11362</t>
  </si>
  <si>
    <t>6365a</t>
  </si>
  <si>
    <t>CHAOZHOU YADA EMBROIDERY GARMENT INDUSTRIAL CO.,LTD.</t>
  </si>
  <si>
    <t>North 3rd Road, North Industrial Zone, ChaoZhou Avenue</t>
  </si>
  <si>
    <t>6401a</t>
  </si>
  <si>
    <t>KATIE MAY WAREHOUSE</t>
  </si>
  <si>
    <t>6425a</t>
  </si>
  <si>
    <t>Polytime</t>
  </si>
  <si>
    <t>704 S Spring St #301</t>
  </si>
  <si>
    <t>6445a</t>
  </si>
  <si>
    <t>Wenzhou Qihe import &amp; export Co., Ltd</t>
  </si>
  <si>
    <t xml:space="preserve">RM 2404, No.25 building, Gongchen bund, </t>
  </si>
  <si>
    <t>6470a</t>
  </si>
  <si>
    <t>CIAO LUCIA</t>
  </si>
  <si>
    <t>6481a</t>
  </si>
  <si>
    <t>SIA Apparel</t>
  </si>
  <si>
    <t>6481b</t>
  </si>
  <si>
    <t>SREEPRIYA EXPORTS PVT LTD</t>
  </si>
  <si>
    <t>31 TOPSIA ROAD SOUTH</t>
  </si>
  <si>
    <t>India</t>
  </si>
  <si>
    <t>6481c</t>
  </si>
  <si>
    <t>Ming Leurn Co., Ltd.</t>
  </si>
  <si>
    <t>ShinWen Industry Zone,Daojiao Town</t>
  </si>
  <si>
    <t>Dongguan City</t>
  </si>
  <si>
    <t>6489a</t>
  </si>
  <si>
    <t>Golden Stitching C/O Minnow Swim</t>
  </si>
  <si>
    <t>3348 W Harvard St</t>
  </si>
  <si>
    <t>6503a</t>
  </si>
  <si>
    <t>Shengzhou Fred Fashion Co., Ltd</t>
  </si>
  <si>
    <t>No.109 Jia Jia Road, Shengzhou</t>
  </si>
  <si>
    <t>6561a</t>
  </si>
  <si>
    <t>RAJ MFG.LLC (RM WHSE)</t>
  </si>
  <si>
    <t>6610a</t>
  </si>
  <si>
    <t>East Concept Fashion LTD.</t>
  </si>
  <si>
    <t>Unit 1-5, 4/F, Well Tech Centre</t>
  </si>
  <si>
    <t>6631a</t>
  </si>
  <si>
    <t>CQY</t>
  </si>
  <si>
    <t>410 N Paulina Ave.</t>
  </si>
  <si>
    <t>6652a</t>
  </si>
  <si>
    <t>CHINAMINE TRADING LIMITED</t>
  </si>
  <si>
    <t>Room 2805, 28/F</t>
  </si>
  <si>
    <t>6666a</t>
  </si>
  <si>
    <t>CAPITAL CUTTING</t>
  </si>
  <si>
    <t>318 WEST 39TH STREET 3RD FLOOR</t>
  </si>
  <si>
    <t>6705a</t>
  </si>
  <si>
    <t>CREATIONS BY SHANAGAR</t>
  </si>
  <si>
    <t>2-B, Grotto Villa</t>
  </si>
  <si>
    <t>6727a</t>
  </si>
  <si>
    <t>Vera Wang Bridal House, LLC</t>
  </si>
  <si>
    <t>11260 FORTUNE CIRCLE suite J4</t>
  </si>
  <si>
    <r>
      <t>5-7 FLOOR,BLGD B3</t>
    </r>
    <r>
      <rPr>
        <sz val="11"/>
        <rFont val="ＭＳ Ｐ明朝"/>
        <family val="1"/>
        <charset val="128"/>
      </rPr>
      <t>，</t>
    </r>
    <r>
      <rPr>
        <sz val="11"/>
        <rFont val="Times New Roman"/>
        <family val="1"/>
      </rPr>
      <t>SUNNY IND.PARK,</t>
    </r>
  </si>
  <si>
    <t>NOS. 88 CONTAINER PORT ROAD, KWAI CHUNG, N.T. Hong Kong</t>
    <phoneticPr fontId="3"/>
  </si>
  <si>
    <t>Z.I. DE BRIANGAUD</t>
    <phoneticPr fontId="3"/>
  </si>
  <si>
    <t>Rue JEAN-MONNET, CS 40275, REDON CEDEX</t>
    <phoneticPr fontId="3"/>
  </si>
  <si>
    <t>TAMBON SAIMA, AUMPHUR MUANG, NONTHABURI,</t>
    <phoneticPr fontId="3"/>
  </si>
  <si>
    <t>MEXICO</t>
    <phoneticPr fontId="3"/>
  </si>
  <si>
    <t xml:space="preserve">22 Autopista Las Americas, Santo Dominigo, </t>
    <phoneticPr fontId="3"/>
  </si>
  <si>
    <t>DOMINICA REPUBLIC</t>
    <phoneticPr fontId="3"/>
  </si>
  <si>
    <t>9 PAT TAT STREET,KOWLOON, HONG KONG</t>
    <phoneticPr fontId="3"/>
  </si>
  <si>
    <t xml:space="preserve">NO.2-3,HEZHOU SOUTHERN IND .ZONE,SHENZHEN, </t>
    <phoneticPr fontId="3"/>
  </si>
  <si>
    <t>GHANA</t>
    <phoneticPr fontId="3"/>
  </si>
  <si>
    <t>AKUNTAASI STREET HSE NO 15, BOLGATANGA,</t>
    <phoneticPr fontId="3"/>
  </si>
  <si>
    <t>INDIA</t>
    <phoneticPr fontId="3"/>
  </si>
  <si>
    <t>Appasaheb Marathe Marg, Prabhadevi, Mumbai</t>
    <phoneticPr fontId="3"/>
  </si>
  <si>
    <t>Go Vap District, HCMC,</t>
    <phoneticPr fontId="3"/>
  </si>
  <si>
    <t>Tel Aviv,</t>
    <phoneticPr fontId="3"/>
  </si>
  <si>
    <t>ISRAEL</t>
    <phoneticPr fontId="3"/>
  </si>
  <si>
    <t>U.K.</t>
    <phoneticPr fontId="3"/>
  </si>
  <si>
    <t>36-44 Pak Tin Par St., Tsuen Wan, Hong Kong</t>
    <phoneticPr fontId="3"/>
  </si>
  <si>
    <t xml:space="preserve">MILHEIROS, </t>
    <phoneticPr fontId="3"/>
  </si>
  <si>
    <t xml:space="preserve">PORTUGAL </t>
  </si>
  <si>
    <t xml:space="preserve">Flat 1, 15/F, Room A, Wing Shing Industrial Building, </t>
    <phoneticPr fontId="3"/>
  </si>
  <si>
    <t>26 Ng Fong Street, San Po Kong Kowloon, Hong Kong</t>
    <phoneticPr fontId="3"/>
  </si>
  <si>
    <t>109 How Ming St. Kwun Tong, Kowloon, Hong Kong</t>
    <phoneticPr fontId="3"/>
  </si>
  <si>
    <t>Longhu District, Shantou</t>
    <phoneticPr fontId="3"/>
  </si>
  <si>
    <t>Hung Yen,</t>
    <phoneticPr fontId="3"/>
  </si>
  <si>
    <t>CHAOZHOU CITY,GUANGDONG,</t>
    <phoneticPr fontId="3"/>
  </si>
  <si>
    <t>Chongxian street, Linping District, Hangzhou,</t>
    <phoneticPr fontId="3"/>
  </si>
  <si>
    <t xml:space="preserve">3rd Floor, 306 West 37th Street, </t>
    <phoneticPr fontId="3"/>
  </si>
  <si>
    <t xml:space="preserve">2301 EAST 7TH STREET, SUITE A315 </t>
    <phoneticPr fontId="3"/>
  </si>
  <si>
    <t>PICNIC GARDEN KOLKATA,WEST BENGAL,</t>
    <phoneticPr fontId="3"/>
  </si>
  <si>
    <t>Santa Ana, CA</t>
    <phoneticPr fontId="3"/>
  </si>
  <si>
    <t>Zhejiang</t>
    <phoneticPr fontId="3"/>
  </si>
  <si>
    <t xml:space="preserve">RAW MATERIAL WHSE, 2692 DOW AVENUE, </t>
    <phoneticPr fontId="3"/>
  </si>
  <si>
    <t>9 Pat Tat Street, San Po Kong, Kowloon, Hong Kong</t>
    <phoneticPr fontId="3"/>
  </si>
  <si>
    <t>No. 1 Hung To Road, Kwun Tong, Kowloon, Hong Kong</t>
    <phoneticPr fontId="3"/>
  </si>
  <si>
    <t>2nd hasnabad lane, MUMBAI, 27 Maharashtra</t>
    <phoneticPr fontId="3"/>
  </si>
  <si>
    <t>WELLINGTON, FL</t>
    <phoneticPr fontId="3"/>
  </si>
  <si>
    <t>Redondo Beach, CA</t>
    <phoneticPr fontId="3"/>
  </si>
  <si>
    <t>システムコード</t>
    <phoneticPr fontId="3"/>
  </si>
  <si>
    <t>名称</t>
    <rPh sb="0" eb="2">
      <t>メイショウ</t>
    </rPh>
    <phoneticPr fontId="3"/>
  </si>
  <si>
    <t>INVOICE No.</t>
    <phoneticPr fontId="3"/>
  </si>
  <si>
    <t>CONSIGNEE</t>
    <phoneticPr fontId="3"/>
  </si>
  <si>
    <t>SOLD TO</t>
    <phoneticPr fontId="3"/>
  </si>
  <si>
    <r>
      <rPr>
        <sz val="11"/>
        <rFont val="Yu Gothic"/>
        <family val="3"/>
        <charset val="128"/>
      </rPr>
      <t xml:space="preserve">(SELECT) - </t>
    </r>
    <r>
      <rPr>
        <sz val="11"/>
        <rFont val="ｔ"/>
        <family val="3"/>
        <charset val="128"/>
      </rPr>
      <t>顧客名</t>
    </r>
    <rPh sb="11" eb="14">
      <t>コキャクメイ</t>
    </rPh>
    <phoneticPr fontId="3"/>
  </si>
  <si>
    <t>G/Weight:</t>
    <phoneticPr fontId="3"/>
  </si>
  <si>
    <t>Note:</t>
    <phoneticPr fontId="3"/>
  </si>
  <si>
    <t>Tel: 852 2761 0390</t>
  </si>
  <si>
    <t>Tel: 646 588 8824</t>
  </si>
  <si>
    <t>Tel: 323 963 4351</t>
  </si>
  <si>
    <t>Tel: 305 609 3841</t>
  </si>
  <si>
    <t>Tel: (212) 971-0170</t>
  </si>
  <si>
    <t>Tel: 626 272 5240</t>
  </si>
  <si>
    <t>Tel: 852 2365 7052</t>
  </si>
  <si>
    <t>Tel: 213.228.1930</t>
  </si>
  <si>
    <t>Tel: 949.966.0108</t>
  </si>
  <si>
    <t>Tel: 773 365 1751</t>
  </si>
  <si>
    <t>Tel: 212.579.2095</t>
  </si>
  <si>
    <t>Tel: 323.733.7700</t>
  </si>
  <si>
    <t>Tel: 86 519 83870739</t>
  </si>
  <si>
    <t>Tel: 86 57186259028</t>
  </si>
  <si>
    <t>Tel: 29505305</t>
  </si>
  <si>
    <t>Tel: 323 481 1928</t>
  </si>
  <si>
    <t>Tel: 212 629 2215</t>
  </si>
  <si>
    <t>Tel: 503 724 4959</t>
  </si>
  <si>
    <t>Tel: 213 624 5200</t>
  </si>
  <si>
    <t>Tel: 917-868-1911</t>
  </si>
  <si>
    <t>Tel: 323-685-2029</t>
  </si>
  <si>
    <t>Tel: 323-888-8838</t>
  </si>
  <si>
    <t>Tel: (213) 627-7200</t>
  </si>
  <si>
    <t>Tel: 415 250 8391</t>
  </si>
  <si>
    <t>Tel: 323.225.9525</t>
  </si>
  <si>
    <t>Tel: 212-463-8135</t>
  </si>
  <si>
    <t>Tel: 206-552-4715?</t>
  </si>
  <si>
    <t>Tel:+1 646 809 0100 x.106</t>
  </si>
  <si>
    <t>Tel : 213 380 8071</t>
  </si>
  <si>
    <t>Tel: 511 613 9999</t>
  </si>
  <si>
    <t>Tel: 917 783 6577</t>
  </si>
  <si>
    <t>Tel: 852 2786 7667/529</t>
  </si>
  <si>
    <t>Tel: 323.493.9357</t>
  </si>
  <si>
    <t>Tel: 617.423.3134</t>
  </si>
  <si>
    <t>Tel: 755 2664 1991</t>
  </si>
  <si>
    <t>Tel: +90 (212) 294 09 09 - 271</t>
  </si>
  <si>
    <t>Tel: +44 20 7229 7957</t>
  </si>
  <si>
    <t>Tel: 213-309-4842</t>
  </si>
  <si>
    <t>Tel: 212 300 0899</t>
  </si>
  <si>
    <t>Tel: 646 765 5400</t>
  </si>
  <si>
    <t>Tel:212 683 2323</t>
  </si>
  <si>
    <t>Tel: 917-921-0697</t>
  </si>
  <si>
    <t>Tel: (852) 2392 7323</t>
  </si>
  <si>
    <t xml:space="preserve">Tel: 0519-82698844 </t>
  </si>
  <si>
    <t>Tel: 845-783-2069</t>
  </si>
  <si>
    <t>Tel: 646 882 2963</t>
  </si>
  <si>
    <t>Tel: 86 21 6728 8264</t>
  </si>
  <si>
    <t>Tel: 212.645.0823</t>
  </si>
  <si>
    <t>Tel: 212 206 3999</t>
  </si>
  <si>
    <t>Tel: 022-40278822</t>
  </si>
  <si>
    <t>Tel: 213-670-0214</t>
  </si>
  <si>
    <t>Tel: 09-5251-2719</t>
  </si>
  <si>
    <t>Tel: 0086-13955160073</t>
  </si>
  <si>
    <t>Tel: 33 1422 11203</t>
  </si>
  <si>
    <t>Tel: 33-1-4508-1415</t>
  </si>
  <si>
    <t>Tel: 01-77-38-81-95</t>
  </si>
  <si>
    <t>Tel: 33(0)1-40-62-76-20</t>
  </si>
  <si>
    <t>Tel: 0035 932 218 326</t>
  </si>
  <si>
    <t>Tel: 212 944 5757</t>
  </si>
  <si>
    <t>Tel: 917-592-2967</t>
  </si>
  <si>
    <t>Tel: 44 07784 682678</t>
  </si>
  <si>
    <t>Tel: (86) 755 29980940-818</t>
  </si>
  <si>
    <t>Tel: 385-856-6836</t>
  </si>
  <si>
    <t>Tel: 33 (0) 1 58 16 25 00</t>
  </si>
  <si>
    <t>Tel: 33 6 86 61 35 36</t>
  </si>
  <si>
    <t>Tel: 33 1 64 78 56 50</t>
  </si>
  <si>
    <t>Tel: 331 40 07 49 76</t>
  </si>
  <si>
    <t>Tel: Tel:  (+84) 36201420</t>
  </si>
  <si>
    <t>Tel: 06 21 56 12 65</t>
  </si>
  <si>
    <t>Tel: 852 29977828</t>
  </si>
  <si>
    <t>Tel: Tel: 626-922-7122</t>
  </si>
  <si>
    <t>Tel: 33-1-5590-7070</t>
  </si>
  <si>
    <t>Tel: Tel: 310-809-4025</t>
  </si>
  <si>
    <t>Tel: 84 221 3986 500</t>
  </si>
  <si>
    <t>Tel: 852 23107655</t>
  </si>
  <si>
    <t>Tel: Tel: 26127117558</t>
  </si>
  <si>
    <t>Tel: 86.754.836.9416</t>
  </si>
  <si>
    <t>Tel: +84 28 62873760</t>
  </si>
  <si>
    <t>Tel: (+84) 36201420</t>
  </si>
  <si>
    <t>Tel: 714-838-3110</t>
  </si>
  <si>
    <t>Tel: Tel: 646 318 8800</t>
  </si>
  <si>
    <t>Tel: Tel: 0769-22609802</t>
  </si>
  <si>
    <t>Tel: 818.522.4287</t>
  </si>
  <si>
    <t>Tel: 86 13735869749</t>
  </si>
  <si>
    <t>Tel: 917.689.8983</t>
  </si>
  <si>
    <t>Tel: 852 23545077</t>
  </si>
  <si>
    <t>Tel: 02-41-75-97-80</t>
  </si>
  <si>
    <t>Tel: 0086-571-87117581</t>
  </si>
  <si>
    <t>Tel: 01 55 90 71 20</t>
  </si>
  <si>
    <t>Tel: 33-9-7250-4076</t>
  </si>
  <si>
    <t>Tel: 33-145482828</t>
  </si>
  <si>
    <t>Tel: 33 (0) 1 42 96 77 24</t>
  </si>
  <si>
    <t>Tel: 86-21-61367255</t>
  </si>
  <si>
    <t>Tel: (+66)29261820</t>
  </si>
  <si>
    <t>Tel: 213 380 8071</t>
  </si>
  <si>
    <t>Tel: 233546700007, 0242855460</t>
  </si>
  <si>
    <t>Tel: 33-185096442</t>
  </si>
  <si>
    <t>Tel: 852-24226622 Ext.3331</t>
  </si>
  <si>
    <t>Tel: (0)1 83 97 72 51</t>
  </si>
  <si>
    <t>Tel: 0521 994068</t>
  </si>
  <si>
    <t>Tel: 37 256501126</t>
  </si>
  <si>
    <t>Tel: (714) 328-0282</t>
  </si>
  <si>
    <t>Tel: 33 (0)327 822 100</t>
  </si>
  <si>
    <t>Tel: 238 383 71 71</t>
  </si>
  <si>
    <t>Tel: 02.41.55.62.29</t>
  </si>
  <si>
    <t>Tel: 02 99 71 57 83</t>
  </si>
  <si>
    <t>Tel: 33(0)1-45 48 81 24</t>
  </si>
  <si>
    <t>Tel: 06 598868538</t>
  </si>
  <si>
    <t>Tel: 212-279-9310</t>
  </si>
  <si>
    <t xml:space="preserve">Tel: 216 71 651 100 </t>
  </si>
  <si>
    <t>Tel: 33 144779977</t>
  </si>
  <si>
    <t>Tel: 01 40 26 00 01</t>
  </si>
  <si>
    <t>Tel: 1 44 87 90 90</t>
  </si>
  <si>
    <t>Tel: 33-186640269</t>
  </si>
  <si>
    <t>Jonathan Simkhai</t>
  </si>
  <si>
    <t>653 N La Cienega Blvd</t>
    <phoneticPr fontId="3"/>
  </si>
  <si>
    <t>West Hollywood, CA</t>
    <phoneticPr fontId="3"/>
  </si>
  <si>
    <t>Tel: 646-590-0528</t>
    <phoneticPr fontId="3"/>
  </si>
  <si>
    <t>Hantex Garments Limited C/O PROTEX INDUSTRIAL (HK) LIMITED</t>
    <phoneticPr fontId="3"/>
  </si>
  <si>
    <t xml:space="preserve">FLAT A, 5/F, ON TAT INDUSTRIAL BUILDING, </t>
    <phoneticPr fontId="3"/>
  </si>
  <si>
    <t>3-5 PAT TAT STREET, SAN PO KONG, KOWLOON, HONG KONG</t>
    <phoneticPr fontId="3"/>
  </si>
  <si>
    <t>Tel: (+852) 35211421</t>
    <phoneticPr fontId="3"/>
  </si>
  <si>
    <t>Garry</t>
    <phoneticPr fontId="3"/>
  </si>
  <si>
    <t>File Name</t>
    <phoneticPr fontId="3"/>
  </si>
  <si>
    <t>Freight Charge</t>
    <phoneticPr fontId="3"/>
  </si>
  <si>
    <r>
      <rPr>
        <b/>
        <sz val="12"/>
        <rFont val="Times New Roman"/>
        <family val="1"/>
      </rPr>
      <t>SUN FASHION CORP.</t>
    </r>
    <r>
      <rPr>
        <sz val="10"/>
        <rFont val="Times New Roman"/>
        <family val="1"/>
      </rPr>
      <t xml:space="preserve">
21-10 Fukushima 8 Chome, Fukushima-Ku
Osaka, OSAKA 553-0003, U.S.A.
TEL: +81 6-6455-7580/ 2850
FAX: +81 6-6452-1641</t>
    </r>
    <phoneticPr fontId="3"/>
  </si>
  <si>
    <t>Invoice</t>
    <phoneticPr fontId="3"/>
  </si>
  <si>
    <t xml:space="preserve">      LA</t>
    <phoneticPr fontId="3"/>
  </si>
  <si>
    <t xml:space="preserve">      NY</t>
    <phoneticPr fontId="3"/>
  </si>
  <si>
    <t xml:space="preserve">     TOKYO</t>
    <phoneticPr fontId="3"/>
  </si>
  <si>
    <t>SUN FASHION CORP.</t>
    <phoneticPr fontId="46"/>
  </si>
  <si>
    <t>Made In</t>
    <phoneticPr fontId="3"/>
  </si>
  <si>
    <t>←標準は今日の日付</t>
    <rPh sb="1" eb="3">
      <t>ヒョウジュン</t>
    </rPh>
    <rPh sb="4" eb="6">
      <t>キョウ</t>
    </rPh>
    <rPh sb="7" eb="9">
      <t>ヒヅケ</t>
    </rPh>
    <phoneticPr fontId="3"/>
  </si>
  <si>
    <t>←クーリエ番号などはここに</t>
    <rPh sb="5" eb="7">
      <t>バンゴウ</t>
    </rPh>
    <phoneticPr fontId="3"/>
  </si>
  <si>
    <t>検索結果</t>
    <rPh sb="0" eb="2">
      <t>ケンサク</t>
    </rPh>
    <rPh sb="2" eb="4">
      <t>ケッカ</t>
    </rPh>
    <phoneticPr fontId="3"/>
  </si>
  <si>
    <t>SUN FASHION AMERICA, INC.</t>
  </si>
  <si>
    <t>SUN FASHION AMERICA, INC.</t>
    <phoneticPr fontId="3"/>
  </si>
  <si>
    <t>265 West 37th Street 7th Floor</t>
    <phoneticPr fontId="3"/>
  </si>
  <si>
    <t>Tel: 1-845-633-2131</t>
    <phoneticPr fontId="3"/>
  </si>
  <si>
    <t>Kareen</t>
    <phoneticPr fontId="3"/>
  </si>
  <si>
    <t>固定</t>
    <rPh sb="0" eb="2">
      <t>コテイ</t>
    </rPh>
    <phoneticPr fontId="3"/>
  </si>
  <si>
    <t>MUFG BANK, LTD. OSAKA-NISHI BRANCH</t>
    <phoneticPr fontId="3"/>
  </si>
  <si>
    <t>1-7-17, AWAZA, NISHI-KU, OSAKA, JAPAN</t>
    <phoneticPr fontId="3"/>
  </si>
  <si>
    <t>SUN FASHION CORP.</t>
    <phoneticPr fontId="3"/>
  </si>
  <si>
    <t>BOTKJPJT</t>
    <phoneticPr fontId="3"/>
  </si>
  <si>
    <t>545-9019494</t>
    <phoneticPr fontId="3"/>
  </si>
  <si>
    <t>N/A</t>
    <phoneticPr fontId="3"/>
  </si>
  <si>
    <t>By T/T</t>
    <phoneticPr fontId="3"/>
  </si>
  <si>
    <t>EXW Japan</t>
    <phoneticPr fontId="3"/>
  </si>
  <si>
    <t>部署</t>
    <rPh sb="0" eb="2">
      <t>ブショ</t>
    </rPh>
    <phoneticPr fontId="3"/>
  </si>
  <si>
    <t>Fax: 06-6452-1641</t>
    <phoneticPr fontId="3"/>
  </si>
  <si>
    <t>担当者</t>
    <rPh sb="0" eb="3">
      <t>タントウシャ</t>
    </rPh>
    <phoneticPr fontId="3"/>
  </si>
  <si>
    <t>注文番号</t>
    <rPh sb="0" eb="4">
      <t>チュウモンバンゴウ</t>
    </rPh>
    <phoneticPr fontId="3"/>
  </si>
  <si>
    <t>AM</t>
    <phoneticPr fontId="3"/>
  </si>
  <si>
    <t>USER PO</t>
    <phoneticPr fontId="3"/>
  </si>
  <si>
    <t>491-0131</t>
  </si>
  <si>
    <t>0586-78-4640</t>
  </si>
  <si>
    <t>0586-51-0125</t>
  </si>
  <si>
    <t>541-0053</t>
  </si>
  <si>
    <t>06-6262-4431</t>
  </si>
  <si>
    <t>06-6262-4434</t>
  </si>
  <si>
    <t>542-0062</t>
  </si>
  <si>
    <t>06-6761-5772</t>
  </si>
  <si>
    <t>06-6761-5734</t>
  </si>
  <si>
    <t>252-0155</t>
  </si>
  <si>
    <t xml:space="preserve"> </t>
  </si>
  <si>
    <t>042-785-0136</t>
  </si>
  <si>
    <t>042-785-1279</t>
  </si>
  <si>
    <t>522-0027</t>
  </si>
  <si>
    <t>0749-27-6663</t>
  </si>
  <si>
    <t>0749-23-0711</t>
  </si>
  <si>
    <t>601-8162</t>
  </si>
  <si>
    <t>075-661-9227</t>
  </si>
  <si>
    <t>075-681-8304</t>
  </si>
  <si>
    <t>711-0904</t>
  </si>
  <si>
    <t>086-477-5111</t>
  </si>
  <si>
    <t>086-477-7707</t>
  </si>
  <si>
    <t>086-477-7531</t>
  </si>
  <si>
    <t>086-477-4156</t>
  </si>
  <si>
    <t>379-2312</t>
  </si>
  <si>
    <t>0277-77-1050</t>
  </si>
  <si>
    <t>0277-77-1055</t>
  </si>
  <si>
    <t>MURRAY</t>
  </si>
  <si>
    <t>619-0221</t>
  </si>
  <si>
    <t>0774-72-7834</t>
  </si>
  <si>
    <t>0774-73-3267</t>
  </si>
  <si>
    <t>915-0251</t>
  </si>
  <si>
    <t>0778-42-1875</t>
  </si>
  <si>
    <t>0778-42-1515</t>
  </si>
  <si>
    <t>915-0234</t>
  </si>
  <si>
    <t>0778-43-0810</t>
  </si>
  <si>
    <t>0778-43-0807</t>
  </si>
  <si>
    <t>919-2224</t>
  </si>
  <si>
    <t>0770-72-3100</t>
  </si>
  <si>
    <t>0770-72-3310</t>
  </si>
  <si>
    <t>541-0054</t>
  </si>
  <si>
    <t>06-6253-7311</t>
  </si>
  <si>
    <t>06-6253-7312</t>
  </si>
  <si>
    <t>915-0203</t>
  </si>
  <si>
    <t>0778-43-1233</t>
  </si>
  <si>
    <t>0778-43-1244</t>
  </si>
  <si>
    <t>603-8436</t>
  </si>
  <si>
    <t>075-493-5555</t>
  </si>
  <si>
    <t>075-493-0831</t>
  </si>
  <si>
    <t>920-0274</t>
  </si>
  <si>
    <t>076-286-3330</t>
  </si>
  <si>
    <t>076-286-2816</t>
  </si>
  <si>
    <t>564-0001</t>
  </si>
  <si>
    <t>06-6388-2115</t>
  </si>
  <si>
    <t>06-6384-2193</t>
  </si>
  <si>
    <t>532-0011</t>
  </si>
  <si>
    <t>06-6304-1147</t>
  </si>
  <si>
    <t>06-6304-1179</t>
  </si>
  <si>
    <t>929-1215</t>
  </si>
  <si>
    <t>076-281-1256</t>
  </si>
  <si>
    <t>076-281-2343</t>
  </si>
  <si>
    <t>591-8014</t>
  </si>
  <si>
    <t>072-259-8011</t>
  </si>
  <si>
    <t>072-257-2089</t>
  </si>
  <si>
    <t>910-0845</t>
  </si>
  <si>
    <t>0776-54-1119</t>
  </si>
  <si>
    <t>0776-54-1755</t>
  </si>
  <si>
    <t>507-0038</t>
  </si>
  <si>
    <t>0572-22-3345</t>
  </si>
  <si>
    <t>0572-23-8174</t>
  </si>
  <si>
    <t>543-0002</t>
  </si>
  <si>
    <t>06-6776-8920</t>
  </si>
  <si>
    <t>06-6772-1556</t>
  </si>
  <si>
    <t>076-285-2010</t>
  </si>
  <si>
    <t>076-285-2071</t>
  </si>
  <si>
    <t>929-1171</t>
  </si>
  <si>
    <t>076-285-2070</t>
  </si>
  <si>
    <t>915-0252</t>
  </si>
  <si>
    <t>0778-43-0323</t>
  </si>
  <si>
    <t>0778-43-0418</t>
  </si>
  <si>
    <t>612-8437</t>
  </si>
  <si>
    <t>075-643-5101</t>
  </si>
  <si>
    <t>075-642-3810</t>
  </si>
  <si>
    <t>111-0042</t>
  </si>
  <si>
    <t>03-5830-3913</t>
  </si>
  <si>
    <t>03-5830-3914</t>
  </si>
  <si>
    <t>524-0013</t>
  </si>
  <si>
    <t>077-514-2600</t>
  </si>
  <si>
    <t>077-514-2610</t>
  </si>
  <si>
    <t>529-1414</t>
  </si>
  <si>
    <t>0748-48-2289</t>
  </si>
  <si>
    <t>0748-48-5801</t>
  </si>
  <si>
    <t>076-281-0444</t>
  </si>
  <si>
    <t>076-282-5572</t>
  </si>
  <si>
    <t>601-8213</t>
  </si>
  <si>
    <t>075-921-1644</t>
  </si>
  <si>
    <t>075-935-2460</t>
  </si>
  <si>
    <t>602-0958</t>
  </si>
  <si>
    <t>075-451-0558</t>
  </si>
  <si>
    <t>075-414-0309</t>
  </si>
  <si>
    <t>417-0821</t>
  </si>
  <si>
    <t>0545-38-2311</t>
  </si>
  <si>
    <t>0545-38-0100</t>
  </si>
  <si>
    <t>665-0042</t>
  </si>
  <si>
    <t>0797-71-2121</t>
  </si>
  <si>
    <t>0797-71-2125</t>
  </si>
  <si>
    <t>06-6266-0623</t>
  </si>
  <si>
    <t>06-6266-0690</t>
  </si>
  <si>
    <t>916-0124</t>
  </si>
  <si>
    <t>0778-34-0373</t>
  </si>
  <si>
    <t>0778-34-2549</t>
  </si>
  <si>
    <t>915-0052</t>
  </si>
  <si>
    <t>0778-22-7142</t>
  </si>
  <si>
    <t>0778-23-5363</t>
  </si>
  <si>
    <t>918-8024</t>
  </si>
  <si>
    <t>0776-36-1333</t>
  </si>
  <si>
    <t>0776-36-1330</t>
  </si>
  <si>
    <t>925-0001</t>
  </si>
  <si>
    <t>0767-27-1011</t>
  </si>
  <si>
    <t>0767-27-1179</t>
  </si>
  <si>
    <t>919-0614</t>
  </si>
  <si>
    <t>0776-73-7111</t>
  </si>
  <si>
    <t>0776-73-7128</t>
  </si>
  <si>
    <t>581-0027</t>
  </si>
  <si>
    <t>072-922-0407</t>
  </si>
  <si>
    <t>072-992-7281</t>
  </si>
  <si>
    <t>541-0046</t>
  </si>
  <si>
    <t>06-6231-1521</t>
  </si>
  <si>
    <t>06-6231-3692</t>
  </si>
  <si>
    <t>916-0016</t>
  </si>
  <si>
    <t>0778-52-3800</t>
  </si>
  <si>
    <t>0778-52-7962</t>
  </si>
  <si>
    <t>553-0003</t>
  </si>
  <si>
    <t>06-6451-2735</t>
  </si>
  <si>
    <t>06-6458-1292</t>
  </si>
  <si>
    <t>915-0844</t>
  </si>
  <si>
    <t>0778-23-6348</t>
  </si>
  <si>
    <t>0778-23-6322</t>
  </si>
  <si>
    <t>602-8058</t>
  </si>
  <si>
    <t>075-441-8171</t>
  </si>
  <si>
    <t>075-441-0359</t>
  </si>
  <si>
    <t>326-0141</t>
  </si>
  <si>
    <t>0284-63-1405</t>
  </si>
  <si>
    <t>0284-62-6880</t>
  </si>
  <si>
    <t>567-0895</t>
  </si>
  <si>
    <t>0726-32-5489</t>
  </si>
  <si>
    <t>0726-32-5460</t>
  </si>
  <si>
    <t>06-4964-6810</t>
  </si>
  <si>
    <t>06-4964-1198</t>
  </si>
  <si>
    <t>616-8045</t>
  </si>
  <si>
    <t>075-464-0555</t>
  </si>
  <si>
    <t>075-464-0051</t>
  </si>
  <si>
    <t>616-8015</t>
  </si>
  <si>
    <t>075-462-5053</t>
  </si>
  <si>
    <t>075-461-6608</t>
  </si>
  <si>
    <t>915-0024</t>
  </si>
  <si>
    <t>0778-27-1576</t>
  </si>
  <si>
    <t>563-0023</t>
  </si>
  <si>
    <t>072-761-2223</t>
  </si>
  <si>
    <t>072-761-2218</t>
  </si>
  <si>
    <t>616-8182</t>
  </si>
  <si>
    <t>075-882-4103</t>
  </si>
  <si>
    <t>075-861-5018</t>
  </si>
  <si>
    <t>526-0103</t>
  </si>
  <si>
    <t>0749-72-2481</t>
  </si>
  <si>
    <t>0749-72-3220</t>
  </si>
  <si>
    <t>929-1127</t>
  </si>
  <si>
    <t>076-283-3535</t>
  </si>
  <si>
    <t>076-283-5117</t>
  </si>
  <si>
    <t>923-0824</t>
  </si>
  <si>
    <t>0761-47-2020</t>
  </si>
  <si>
    <t>0761-47-3479</t>
  </si>
  <si>
    <t>621-0814</t>
  </si>
  <si>
    <t>0728-70-8866</t>
  </si>
  <si>
    <t>0728-72-3331</t>
  </si>
  <si>
    <t>611-0043</t>
  </si>
  <si>
    <t>0774-24-8629</t>
  </si>
  <si>
    <t>0774-24-862.9</t>
  </si>
  <si>
    <t>711-0903</t>
  </si>
  <si>
    <t>086-477-7700</t>
  </si>
  <si>
    <t>086-477-7789</t>
  </si>
  <si>
    <t>602-8443</t>
  </si>
  <si>
    <t>075-441-0366</t>
  </si>
  <si>
    <t>075-6448-8010</t>
  </si>
  <si>
    <t>541-0057</t>
  </si>
  <si>
    <t>06-6267</t>
  </si>
  <si>
    <t>500-8384</t>
  </si>
  <si>
    <t>0588-255-3755</t>
  </si>
  <si>
    <t>058-255-3756</t>
  </si>
  <si>
    <t>135-0007</t>
  </si>
  <si>
    <t>03-3635-3386</t>
  </si>
  <si>
    <t>03-3635-3385</t>
  </si>
  <si>
    <t>916-0073</t>
  </si>
  <si>
    <t>0778-62-1230</t>
  </si>
  <si>
    <t>0778-62-1281</t>
  </si>
  <si>
    <t>918-8018</t>
  </si>
  <si>
    <t>0776-36-7743</t>
  </si>
  <si>
    <t>0776-34-4151</t>
  </si>
  <si>
    <t>430-0943</t>
  </si>
  <si>
    <t>053-452-1177</t>
  </si>
  <si>
    <t>053-453-5598</t>
  </si>
  <si>
    <t>910-0854</t>
  </si>
  <si>
    <t>0776-24-3111</t>
  </si>
  <si>
    <t>0776-22-1422</t>
  </si>
  <si>
    <t>581-0055</t>
  </si>
  <si>
    <t>072-990-3577</t>
  </si>
  <si>
    <t>072-990-3588</t>
  </si>
  <si>
    <t>925-0005</t>
  </si>
  <si>
    <t>0767-22-4764</t>
  </si>
  <si>
    <t>0767-22-5939</t>
  </si>
  <si>
    <t>721-0000</t>
  </si>
  <si>
    <t>084-962-2137</t>
  </si>
  <si>
    <t>086-962-3345</t>
  </si>
  <si>
    <t>0284-62-2129</t>
  </si>
  <si>
    <t>0284-62-6469</t>
  </si>
  <si>
    <t>076-281-0632</t>
  </si>
  <si>
    <t>076-282-5856</t>
  </si>
  <si>
    <t>076-283-2131</t>
  </si>
  <si>
    <t>076-283-2130</t>
  </si>
  <si>
    <t>103-0013</t>
  </si>
  <si>
    <t>03-5652-0071</t>
  </si>
  <si>
    <t>03-3639-0711</t>
  </si>
  <si>
    <t>929-1121</t>
  </si>
  <si>
    <t>076-283-5111</t>
  </si>
  <si>
    <t>076-283-5112</t>
  </si>
  <si>
    <t>617-0814</t>
  </si>
  <si>
    <t>075-952-5415</t>
  </si>
  <si>
    <t>075-952-9591</t>
  </si>
  <si>
    <t>602-8465</t>
  </si>
  <si>
    <t>075-432-2131</t>
  </si>
  <si>
    <t>075-432-2138</t>
  </si>
  <si>
    <t>929-1172</t>
  </si>
  <si>
    <t>076-285-0285</t>
  </si>
  <si>
    <t>076-285-1648</t>
  </si>
  <si>
    <t>923-0983</t>
  </si>
  <si>
    <t>0761-43-0050</t>
  </si>
  <si>
    <t>0761-43-0061</t>
  </si>
  <si>
    <t>603-8376</t>
  </si>
  <si>
    <t>075-463-5370</t>
  </si>
  <si>
    <t>075-464-5353</t>
  </si>
  <si>
    <t>910-0235</t>
  </si>
  <si>
    <t>0776-66-0788</t>
  </si>
  <si>
    <t>0776-67-1589</t>
  </si>
  <si>
    <t>541-0059</t>
  </si>
  <si>
    <t>06-6252-6971</t>
  </si>
  <si>
    <t>06-6252-6972</t>
  </si>
  <si>
    <t>661-0033</t>
  </si>
  <si>
    <t>06-6438-7021</t>
  </si>
  <si>
    <t>06-6438-4641</t>
  </si>
  <si>
    <t>925-0123</t>
  </si>
  <si>
    <t>0767-36-1124</t>
  </si>
  <si>
    <t>0767-36-1358</t>
  </si>
  <si>
    <t>111-0051</t>
  </si>
  <si>
    <t>03-3862-3394</t>
  </si>
  <si>
    <t>03-3864-1419</t>
  </si>
  <si>
    <t>537-0021</t>
  </si>
  <si>
    <t>06-6974-0033</t>
  </si>
  <si>
    <t>06-6971-7789</t>
  </si>
  <si>
    <t>910-8586</t>
  </si>
  <si>
    <t>919-0603</t>
  </si>
  <si>
    <t>0776-73-0475</t>
  </si>
  <si>
    <t>0776-73-4137</t>
  </si>
  <si>
    <t>537-0025</t>
  </si>
  <si>
    <t>06-6981-4127</t>
  </si>
  <si>
    <t>06-6974-7842</t>
  </si>
  <si>
    <t>915-0253</t>
  </si>
  <si>
    <t>0778-43-1333</t>
  </si>
  <si>
    <t>0778-42-0841</t>
  </si>
  <si>
    <t>923-0865</t>
  </si>
  <si>
    <t>0761-23-0441</t>
  </si>
  <si>
    <t>0761-21-2376</t>
  </si>
  <si>
    <t>929-0327</t>
  </si>
  <si>
    <t>076-289-6996</t>
  </si>
  <si>
    <t>076-289-6971</t>
  </si>
  <si>
    <t>600-8171</t>
  </si>
  <si>
    <t>075-351-5079</t>
  </si>
  <si>
    <t>075-361-7038</t>
  </si>
  <si>
    <t>079-556-2389</t>
  </si>
  <si>
    <t>376-0002</t>
  </si>
  <si>
    <t>0277-44-5026</t>
  </si>
  <si>
    <t>0277-46-2019</t>
  </si>
  <si>
    <t>0284-63-1406</t>
  </si>
  <si>
    <t>0284-62-6886</t>
  </si>
  <si>
    <t>711-0931</t>
  </si>
  <si>
    <t>086-472-3106</t>
  </si>
  <si>
    <t>086-474-5008</t>
  </si>
  <si>
    <t>916-1115</t>
  </si>
  <si>
    <t>0778-65-1151</t>
  </si>
  <si>
    <t>0778-65-1189</t>
  </si>
  <si>
    <t>610-1146</t>
  </si>
  <si>
    <t>075-874-6715</t>
  </si>
  <si>
    <t>075-874-6745</t>
  </si>
  <si>
    <r>
      <rPr>
        <sz val="11"/>
        <rFont val="MS UI Gothic"/>
        <family val="3"/>
        <charset val="128"/>
      </rPr>
      <t>アイメックス販売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</si>
  <si>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大阪市中央区南船場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6-15</t>
    </r>
    <r>
      <rPr>
        <sz val="11"/>
        <rFont val="MS UI Gothic"/>
        <family val="3"/>
        <charset val="128"/>
      </rPr>
      <t>　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･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階</t>
    </r>
  </si>
  <si>
    <r>
      <rPr>
        <sz val="11"/>
        <rFont val="MS UI Gothic"/>
        <family val="3"/>
        <charset val="128"/>
      </rPr>
      <t>有限会社青山繊維加工</t>
    </r>
  </si>
  <si>
    <r>
      <rPr>
        <sz val="11"/>
        <rFont val="MS UI Gothic"/>
        <family val="3"/>
        <charset val="128"/>
      </rPr>
      <t>愛知県一宮市笹野</t>
    </r>
    <r>
      <rPr>
        <sz val="11"/>
        <rFont val="Times New Roman"/>
        <family val="1"/>
      </rPr>
      <t>24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</si>
  <si>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アゲハラベルベット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</si>
  <si>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1-5-6</t>
    </r>
  </si>
  <si>
    <r>
      <rPr>
        <sz val="11"/>
        <rFont val="MS UI Gothic"/>
        <family val="3"/>
        <charset val="128"/>
      </rPr>
      <t>浅田株式会社</t>
    </r>
  </si>
  <si>
    <r>
      <rPr>
        <sz val="11"/>
        <rFont val="MS UI Gothic"/>
        <family val="3"/>
        <charset val="128"/>
      </rPr>
      <t>大阪府大阪市中央区上本町西</t>
    </r>
    <r>
      <rPr>
        <sz val="11"/>
        <rFont val="Times New Roman"/>
        <family val="1"/>
      </rPr>
      <t>5-2-29</t>
    </r>
  </si>
  <si>
    <r>
      <rPr>
        <sz val="11"/>
        <rFont val="MS UI Gothic"/>
        <family val="3"/>
        <charset val="128"/>
      </rPr>
      <t>株式会社イノウエ</t>
    </r>
  </si>
  <si>
    <r>
      <rPr>
        <sz val="11"/>
        <rFont val="MS UI Gothic"/>
        <family val="3"/>
        <charset val="128"/>
      </rPr>
      <t>神奈川県相模原市緑区鳥屋</t>
    </r>
    <r>
      <rPr>
        <sz val="11"/>
        <rFont val="Times New Roman"/>
        <family val="1"/>
      </rPr>
      <t>750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 xml:space="preserve"> </t>
    </r>
  </si>
  <si>
    <r>
      <rPr>
        <sz val="11"/>
        <rFont val="MS UI Gothic"/>
        <family val="3"/>
        <charset val="128"/>
      </rPr>
      <t>株式会社イグチ</t>
    </r>
  </si>
  <si>
    <r>
      <rPr>
        <sz val="11"/>
        <rFont val="MS UI Gothic"/>
        <family val="3"/>
        <charset val="128"/>
      </rPr>
      <t>滋賀県彦根市東沼波町</t>
    </r>
    <r>
      <rPr>
        <sz val="11"/>
        <rFont val="Times New Roman"/>
        <family val="1"/>
      </rPr>
      <t>195-1</t>
    </r>
  </si>
  <si>
    <r>
      <rPr>
        <sz val="11"/>
        <rFont val="MS UI Gothic"/>
        <family val="3"/>
        <charset val="128"/>
      </rPr>
      <t>石川染工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</si>
  <si>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京都府京都市南区上鳥羽塔ノ森柴東町</t>
    </r>
    <r>
      <rPr>
        <sz val="11"/>
        <rFont val="Times New Roman"/>
        <family val="1"/>
      </rPr>
      <t xml:space="preserve"> 29-2</t>
    </r>
  </si>
  <si>
    <r>
      <rPr>
        <sz val="11"/>
        <rFont val="MS UI Gothic"/>
        <family val="3"/>
        <charset val="128"/>
      </rPr>
      <t>有限会社池田織物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</si>
  <si>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4-10-26</t>
    </r>
  </si>
  <si>
    <r>
      <rPr>
        <sz val="11"/>
        <rFont val="MS UI Gothic"/>
        <family val="3"/>
        <charset val="128"/>
      </rPr>
      <t>株式会社池田製紐所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</si>
  <si>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2-4-24</t>
    </r>
  </si>
  <si>
    <r>
      <rPr>
        <sz val="11"/>
        <rFont val="MS UI Gothic"/>
        <family val="3"/>
        <charset val="128"/>
      </rPr>
      <t>株式会社市川鉄工</t>
    </r>
  </si>
  <si>
    <r>
      <rPr>
        <sz val="11"/>
        <rFont val="MS UI Gothic"/>
        <family val="3"/>
        <charset val="128"/>
      </rPr>
      <t>群馬県みどり市笠懸町久宮</t>
    </r>
    <r>
      <rPr>
        <sz val="11"/>
        <rFont val="Times New Roman"/>
        <family val="1"/>
      </rPr>
      <t>364-1</t>
    </r>
  </si>
  <si>
    <r>
      <rPr>
        <sz val="11"/>
        <rFont val="MS UI Gothic"/>
        <family val="3"/>
        <charset val="128"/>
      </rPr>
      <t>京都府木津川市吐師郷和田</t>
    </r>
    <r>
      <rPr>
        <sz val="11"/>
        <rFont val="Times New Roman"/>
        <family val="1"/>
      </rPr>
      <t>10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</si>
  <si>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今立織物有限会社</t>
    </r>
  </si>
  <si>
    <r>
      <rPr>
        <sz val="11"/>
        <rFont val="MS UI Gothic"/>
        <family val="3"/>
        <charset val="128"/>
      </rPr>
      <t>福井県越前市東庄境町</t>
    </r>
    <r>
      <rPr>
        <sz val="11"/>
        <rFont val="Times New Roman"/>
        <family val="1"/>
      </rPr>
      <t>3-8</t>
    </r>
  </si>
  <si>
    <r>
      <rPr>
        <sz val="11"/>
        <rFont val="MS UI Gothic"/>
        <family val="3"/>
        <charset val="128"/>
      </rPr>
      <t>井上リボン工業株式会社</t>
    </r>
  </si>
  <si>
    <r>
      <rPr>
        <sz val="11"/>
        <rFont val="MS UI Gothic"/>
        <family val="3"/>
        <charset val="128"/>
      </rPr>
      <t>上田バイアス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</si>
  <si>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株式会社槍田繊維</t>
    </r>
  </si>
  <si>
    <r>
      <rPr>
        <sz val="11"/>
        <rFont val="MS UI Gothic"/>
        <family val="3"/>
        <charset val="128"/>
      </rPr>
      <t>福井県大飯郡高浜町薗部</t>
    </r>
    <r>
      <rPr>
        <sz val="11"/>
        <rFont val="Times New Roman"/>
        <family val="1"/>
      </rPr>
      <t>57-9</t>
    </r>
  </si>
  <si>
    <r>
      <rPr>
        <sz val="11"/>
        <rFont val="MS UI Gothic"/>
        <family val="3"/>
        <charset val="128"/>
      </rPr>
      <t>宇仁繊維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</si>
  <si>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6-12</t>
    </r>
  </si>
  <si>
    <r>
      <rPr>
        <sz val="11"/>
        <rFont val="MS UI Gothic"/>
        <family val="3"/>
        <charset val="128"/>
      </rPr>
      <t>マリオンタワー</t>
    </r>
    <r>
      <rPr>
        <sz val="11"/>
        <rFont val="Times New Roman"/>
        <family val="1"/>
      </rPr>
      <t>13F</t>
    </r>
  </si>
  <si>
    <r>
      <rPr>
        <sz val="11"/>
        <rFont val="MS UI Gothic"/>
        <family val="3"/>
        <charset val="128"/>
      </rPr>
      <t>宇野細巾株式会社</t>
    </r>
  </si>
  <si>
    <r>
      <rPr>
        <sz val="11"/>
        <rFont val="MS UI Gothic"/>
        <family val="3"/>
        <charset val="128"/>
      </rPr>
      <t>福井県越前市清根町</t>
    </r>
    <r>
      <rPr>
        <sz val="11"/>
        <rFont val="Times New Roman"/>
        <family val="1"/>
      </rPr>
      <t>25-6-1</t>
    </r>
  </si>
  <si>
    <r>
      <rPr>
        <sz val="11"/>
        <rFont val="MS UI Gothic"/>
        <family val="3"/>
        <charset val="128"/>
      </rPr>
      <t>株式会社浦瀬産業</t>
    </r>
  </si>
  <si>
    <r>
      <rPr>
        <sz val="11"/>
        <rFont val="MS UI Gothic"/>
        <family val="3"/>
        <charset val="128"/>
      </rPr>
      <t>京都府京都市北区紫竹西栗栖町</t>
    </r>
    <r>
      <rPr>
        <sz val="11"/>
        <rFont val="Times New Roman"/>
        <family val="1"/>
      </rPr>
      <t xml:space="preserve">5 </t>
    </r>
  </si>
  <si>
    <r>
      <rPr>
        <sz val="11"/>
        <rFont val="MS UI Gothic"/>
        <family val="3"/>
        <charset val="128"/>
      </rPr>
      <t>オージーテック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有限会社</t>
    </r>
  </si>
  <si>
    <r>
      <rPr>
        <sz val="11"/>
        <rFont val="MS UI Gothic"/>
        <family val="3"/>
        <charset val="128"/>
      </rPr>
      <t>エム繊維株式会社</t>
    </r>
  </si>
  <si>
    <r>
      <rPr>
        <sz val="11"/>
        <rFont val="MS UI Gothic"/>
        <family val="3"/>
        <charset val="128"/>
      </rPr>
      <t>石川県河北郡内灘町向粟崎</t>
    </r>
    <r>
      <rPr>
        <sz val="11"/>
        <rFont val="Times New Roman"/>
        <family val="1"/>
      </rPr>
      <t>5-243</t>
    </r>
  </si>
  <si>
    <r>
      <rPr>
        <sz val="11"/>
        <rFont val="MS UI Gothic"/>
        <family val="3"/>
        <charset val="128"/>
      </rPr>
      <t>太田製作所</t>
    </r>
  </si>
  <si>
    <r>
      <rPr>
        <sz val="11"/>
        <rFont val="MS UI Gothic"/>
        <family val="3"/>
        <charset val="128"/>
      </rPr>
      <t>大阪府吹田市岸部北</t>
    </r>
    <r>
      <rPr>
        <sz val="11"/>
        <rFont val="Times New Roman"/>
        <family val="1"/>
      </rPr>
      <t>3-6-22</t>
    </r>
  </si>
  <si>
    <r>
      <rPr>
        <sz val="11"/>
        <rFont val="MS UI Gothic"/>
        <family val="3"/>
        <charset val="128"/>
      </rPr>
      <t>落合レース株式会社</t>
    </r>
  </si>
  <si>
    <r>
      <rPr>
        <sz val="11"/>
        <rFont val="MS UI Gothic"/>
        <family val="3"/>
        <charset val="128"/>
      </rPr>
      <t>大阪府大阪市淀川区西中島</t>
    </r>
    <r>
      <rPr>
        <sz val="11"/>
        <rFont val="Times New Roman"/>
        <family val="1"/>
      </rPr>
      <t>2-6-21</t>
    </r>
  </si>
  <si>
    <r>
      <rPr>
        <sz val="11"/>
        <rFont val="MS UI Gothic"/>
        <family val="3"/>
        <charset val="128"/>
      </rPr>
      <t>有限会社沖野ファッション</t>
    </r>
  </si>
  <si>
    <r>
      <rPr>
        <sz val="11"/>
        <rFont val="MS UI Gothic"/>
        <family val="3"/>
        <charset val="128"/>
      </rPr>
      <t>石川県かほく市高松ナ</t>
    </r>
    <r>
      <rPr>
        <sz val="11"/>
        <rFont val="Times New Roman"/>
        <family val="1"/>
      </rPr>
      <t>116-1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</si>
  <si>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織元すみや</t>
    </r>
  </si>
  <si>
    <r>
      <rPr>
        <sz val="11"/>
        <rFont val="MS UI Gothic"/>
        <family val="3"/>
        <charset val="128"/>
      </rPr>
      <t>　　</t>
    </r>
  </si>
  <si>
    <r>
      <rPr>
        <sz val="11"/>
        <rFont val="MS UI Gothic"/>
        <family val="3"/>
        <charset val="128"/>
      </rPr>
      <t>カツミ産業株式会社</t>
    </r>
  </si>
  <si>
    <r>
      <rPr>
        <sz val="11"/>
        <rFont val="MS UI Gothic"/>
        <family val="3"/>
        <charset val="128"/>
      </rPr>
      <t>大阪府堺市北区八下北</t>
    </r>
    <r>
      <rPr>
        <sz val="11"/>
        <rFont val="Times New Roman"/>
        <family val="1"/>
      </rPr>
      <t>2-51</t>
    </r>
  </si>
  <si>
    <r>
      <rPr>
        <sz val="11"/>
        <rFont val="MS UI Gothic"/>
        <family val="3"/>
        <charset val="128"/>
      </rPr>
      <t>川崎リボン工業株式会社</t>
    </r>
  </si>
  <si>
    <r>
      <rPr>
        <sz val="11"/>
        <rFont val="MS UI Gothic"/>
        <family val="3"/>
        <charset val="128"/>
      </rPr>
      <t>福井県福井市志比口</t>
    </r>
    <r>
      <rPr>
        <sz val="11"/>
        <rFont val="Times New Roman"/>
        <family val="1"/>
      </rPr>
      <t>2-1-15</t>
    </r>
  </si>
  <si>
    <r>
      <rPr>
        <sz val="11"/>
        <rFont val="MS UI Gothic"/>
        <family val="3"/>
        <charset val="128"/>
      </rPr>
      <t>川村製紐工業株式会社</t>
    </r>
  </si>
  <si>
    <r>
      <rPr>
        <sz val="11"/>
        <rFont val="MS UI Gothic"/>
        <family val="3"/>
        <charset val="128"/>
      </rPr>
      <t>岐阜県多治見市白山町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</si>
  <si>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関西アサヒ株式会社</t>
    </r>
  </si>
  <si>
    <r>
      <rPr>
        <sz val="11"/>
        <rFont val="MS UI Gothic"/>
        <family val="3"/>
        <charset val="128"/>
      </rPr>
      <t>大阪府大阪市天王寺区上汐</t>
    </r>
    <r>
      <rPr>
        <sz val="11"/>
        <rFont val="Times New Roman"/>
        <family val="1"/>
      </rPr>
      <t>5-1-1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</si>
  <si>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カンダ</t>
    </r>
  </si>
  <si>
    <r>
      <rPr>
        <sz val="11"/>
        <rFont val="MS UI Gothic"/>
        <family val="3"/>
        <charset val="128"/>
      </rPr>
      <t>　</t>
    </r>
  </si>
  <si>
    <r>
      <rPr>
        <sz val="11"/>
        <rFont val="MS UI Gothic"/>
        <family val="3"/>
        <charset val="128"/>
      </rPr>
      <t>キンキテープ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</si>
  <si>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(3464)</t>
    </r>
  </si>
  <si>
    <r>
      <rPr>
        <sz val="11"/>
        <rFont val="MS UI Gothic"/>
        <family val="3"/>
        <charset val="128"/>
      </rPr>
      <t>石川県かほく市木津ハ</t>
    </r>
    <r>
      <rPr>
        <sz val="11"/>
        <rFont val="Times New Roman"/>
        <family val="1"/>
      </rPr>
      <t>41-2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</si>
  <si>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(3150</t>
    </r>
    <r>
      <rPr>
        <sz val="11"/>
        <rFont val="MS UI Gothic"/>
        <family val="3"/>
        <charset val="128"/>
      </rPr>
      <t>、</t>
    </r>
    <r>
      <rPr>
        <sz val="11"/>
        <rFont val="Times New Roman"/>
        <family val="1"/>
      </rPr>
      <t>3163)</t>
    </r>
  </si>
  <si>
    <r>
      <rPr>
        <sz val="11"/>
        <rFont val="MS UI Gothic"/>
        <family val="3"/>
        <charset val="128"/>
      </rPr>
      <t>木津織物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</si>
  <si>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福井県越前市西庄境町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</si>
  <si>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キョウトテックス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</si>
  <si>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京都府京都市伏見区深草小久保町</t>
    </r>
    <r>
      <rPr>
        <sz val="11"/>
        <rFont val="Times New Roman"/>
        <family val="1"/>
      </rPr>
      <t>367</t>
    </r>
  </si>
  <si>
    <r>
      <rPr>
        <sz val="11"/>
        <rFont val="MS UI Gothic"/>
        <family val="3"/>
        <charset val="128"/>
      </rPr>
      <t>協和レース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</si>
  <si>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東京都台東区寿</t>
    </r>
    <r>
      <rPr>
        <sz val="11"/>
        <rFont val="Times New Roman"/>
        <family val="1"/>
      </rPr>
      <t>2-5-12</t>
    </r>
    <r>
      <rPr>
        <sz val="11"/>
        <rFont val="MS UI Gothic"/>
        <family val="3"/>
        <charset val="128"/>
      </rPr>
      <t>加瀬ビル</t>
    </r>
    <r>
      <rPr>
        <sz val="11"/>
        <rFont val="Times New Roman"/>
        <family val="1"/>
      </rPr>
      <t>6F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</si>
  <si>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クボリキレース</t>
    </r>
  </si>
  <si>
    <r>
      <rPr>
        <sz val="11"/>
        <rFont val="MS UI Gothic"/>
        <family val="3"/>
        <charset val="128"/>
      </rPr>
      <t>滋賀県守山市下之郷</t>
    </r>
    <r>
      <rPr>
        <sz val="11"/>
        <rFont val="Times New Roman"/>
        <family val="1"/>
      </rPr>
      <t>3-8-6</t>
    </r>
  </si>
  <si>
    <r>
      <rPr>
        <sz val="11"/>
        <rFont val="MS UI Gothic"/>
        <family val="3"/>
        <charset val="128"/>
      </rPr>
      <t>ホームアシスタントクローバ</t>
    </r>
  </si>
  <si>
    <r>
      <rPr>
        <sz val="11"/>
        <rFont val="MS UI Gothic"/>
        <family val="3"/>
        <charset val="128"/>
      </rPr>
      <t>滋賀県東近江市五個荘中町</t>
    </r>
    <r>
      <rPr>
        <sz val="11"/>
        <rFont val="Times New Roman"/>
        <family val="1"/>
      </rPr>
      <t>67</t>
    </r>
  </si>
  <si>
    <r>
      <rPr>
        <sz val="11"/>
        <rFont val="MS UI Gothic"/>
        <family val="3"/>
        <charset val="128"/>
      </rPr>
      <t>黒川ウェーブ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</si>
  <si>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石川県かほく市高松テ</t>
    </r>
    <r>
      <rPr>
        <sz val="11"/>
        <rFont val="Times New Roman"/>
        <family val="1"/>
      </rPr>
      <t>8-1</t>
    </r>
  </si>
  <si>
    <r>
      <rPr>
        <sz val="11"/>
        <rFont val="MS UI Gothic"/>
        <family val="3"/>
        <charset val="128"/>
      </rPr>
      <t>宏和産業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</si>
  <si>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国際文化ﾈｰﾑ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</si>
  <si>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東京都品川区東五反田</t>
    </r>
    <r>
      <rPr>
        <sz val="11"/>
        <rFont val="Times New Roman"/>
        <family val="1"/>
      </rPr>
      <t>5-27-10</t>
    </r>
  </si>
  <si>
    <r>
      <rPr>
        <sz val="11"/>
        <rFont val="MS UI Gothic"/>
        <family val="3"/>
        <charset val="128"/>
      </rPr>
      <t>野村ビル</t>
    </r>
    <r>
      <rPr>
        <sz val="11"/>
        <rFont val="Times New Roman"/>
        <family val="1"/>
      </rPr>
      <t>2F</t>
    </r>
  </si>
  <si>
    <r>
      <rPr>
        <sz val="11"/>
        <rFont val="MS UI Gothic"/>
        <family val="3"/>
        <charset val="128"/>
      </rPr>
      <t>小杉染色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</si>
  <si>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京都市南区久世中久世町</t>
    </r>
    <r>
      <rPr>
        <sz val="11"/>
        <rFont val="Times New Roman"/>
        <family val="1"/>
      </rPr>
      <t xml:space="preserve"> 5-69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</si>
  <si>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小西リボン</t>
    </r>
  </si>
  <si>
    <r>
      <rPr>
        <sz val="11"/>
        <rFont val="MS UI Gothic"/>
        <family val="3"/>
        <charset val="128"/>
      </rPr>
      <t>京都府京都市上京区仲之町（元誓</t>
    </r>
  </si>
  <si>
    <r>
      <rPr>
        <sz val="11"/>
        <rFont val="MS UI Gothic"/>
        <family val="3"/>
        <charset val="128"/>
      </rPr>
      <t>願寺通堀川東入）</t>
    </r>
    <r>
      <rPr>
        <sz val="11"/>
        <rFont val="Times New Roman"/>
        <family val="1"/>
      </rPr>
      <t>463</t>
    </r>
  </si>
  <si>
    <r>
      <rPr>
        <sz val="11"/>
        <rFont val="MS UI Gothic"/>
        <family val="3"/>
        <charset val="128"/>
      </rPr>
      <t>小堀リボン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</si>
  <si>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こるどん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</si>
  <si>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静岡県富士市神谷</t>
    </r>
    <r>
      <rPr>
        <sz val="11"/>
        <rFont val="Times New Roman"/>
        <family val="1"/>
      </rPr>
      <t>819</t>
    </r>
  </si>
  <si>
    <r>
      <rPr>
        <sz val="11"/>
        <rFont val="MS UI Gothic"/>
        <family val="3"/>
        <charset val="128"/>
      </rPr>
      <t>栄レース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</si>
  <si>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兵庫県宝塚市美幸町</t>
    </r>
    <r>
      <rPr>
        <sz val="11"/>
        <rFont val="Times New Roman"/>
        <family val="1"/>
      </rPr>
      <t>10-51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</si>
  <si>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</si>
  <si>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4F</t>
    </r>
  </si>
  <si>
    <r>
      <rPr>
        <sz val="11"/>
        <rFont val="MS UI Gothic"/>
        <family val="3"/>
        <charset val="128"/>
      </rPr>
      <t>佐々木細幅織物株式会社</t>
    </r>
  </si>
  <si>
    <r>
      <rPr>
        <sz val="11"/>
        <rFont val="MS UI Gothic"/>
        <family val="3"/>
        <charset val="128"/>
      </rPr>
      <t>福井県丹生郡越前町宝泉寺</t>
    </r>
    <r>
      <rPr>
        <sz val="11"/>
        <rFont val="Times New Roman"/>
        <family val="1"/>
      </rPr>
      <t>22-8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</si>
  <si>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山英</t>
    </r>
  </si>
  <si>
    <r>
      <rPr>
        <sz val="11"/>
        <rFont val="MS UI Gothic"/>
        <family val="3"/>
        <charset val="128"/>
      </rPr>
      <t>福井県越前市矢放町</t>
    </r>
    <r>
      <rPr>
        <sz val="11"/>
        <rFont val="Times New Roman"/>
        <family val="1"/>
      </rPr>
      <t>10-15-1</t>
    </r>
  </si>
  <si>
    <r>
      <rPr>
        <sz val="11"/>
        <rFont val="MS UI Gothic"/>
        <family val="3"/>
        <charset val="128"/>
      </rPr>
      <t>三和繊維株式会社</t>
    </r>
  </si>
  <si>
    <r>
      <rPr>
        <sz val="11"/>
        <rFont val="MS UI Gothic"/>
        <family val="3"/>
        <charset val="128"/>
      </rPr>
      <t>福井県福井市舞屋町</t>
    </r>
    <r>
      <rPr>
        <sz val="11"/>
        <rFont val="Times New Roman"/>
        <family val="1"/>
      </rPr>
      <t>15-11</t>
    </r>
  </si>
  <si>
    <r>
      <rPr>
        <sz val="11"/>
        <rFont val="MS UI Gothic"/>
        <family val="3"/>
        <charset val="128"/>
      </rPr>
      <t>柴垣織物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</si>
  <si>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羽咋市柴垣町砂山１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</si>
  <si>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SHINDO</t>
    </r>
  </si>
  <si>
    <r>
      <rPr>
        <sz val="11"/>
        <rFont val="MS UI Gothic"/>
        <family val="3"/>
        <charset val="128"/>
      </rPr>
      <t>福井県あわら市伊井</t>
    </r>
    <r>
      <rPr>
        <sz val="11"/>
        <rFont val="Times New Roman"/>
        <family val="1"/>
      </rPr>
      <t>11-1-1</t>
    </r>
  </si>
  <si>
    <r>
      <rPr>
        <sz val="11"/>
        <rFont val="MS UI Gothic"/>
        <family val="3"/>
        <charset val="128"/>
      </rPr>
      <t>株式会社スギタ</t>
    </r>
  </si>
  <si>
    <r>
      <rPr>
        <sz val="11"/>
        <rFont val="MS UI Gothic"/>
        <family val="3"/>
        <charset val="128"/>
      </rPr>
      <t>大阪府八尾市八尾木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230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</si>
  <si>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双日ファッション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</si>
  <si>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大阪市中央区平野町</t>
    </r>
    <r>
      <rPr>
        <sz val="11"/>
        <rFont val="Times New Roman"/>
        <family val="1"/>
      </rPr>
      <t xml:space="preserve"> 2-1-2</t>
    </r>
  </si>
  <si>
    <r>
      <rPr>
        <sz val="11"/>
        <rFont val="MS UI Gothic"/>
        <family val="3"/>
        <charset val="128"/>
      </rPr>
      <t>高島リボン株式会社</t>
    </r>
  </si>
  <si>
    <r>
      <rPr>
        <sz val="11"/>
        <rFont val="MS UI Gothic"/>
        <family val="3"/>
        <charset val="128"/>
      </rPr>
      <t>福井県鯖江市神中町</t>
    </r>
    <r>
      <rPr>
        <sz val="11"/>
        <rFont val="Times New Roman"/>
        <family val="1"/>
      </rPr>
      <t>2-6-36</t>
    </r>
  </si>
  <si>
    <r>
      <rPr>
        <sz val="11"/>
        <rFont val="MS UI Gothic"/>
        <family val="3"/>
        <charset val="128"/>
      </rPr>
      <t>高島ﾘﾎﾞﾝ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</si>
  <si>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武正株式会社</t>
    </r>
  </si>
  <si>
    <r>
      <rPr>
        <sz val="11"/>
        <rFont val="MS UI Gothic"/>
        <family val="3"/>
        <charset val="128"/>
      </rPr>
      <t>大阪府大阪市福島区福島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</si>
  <si>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ダイソセンイ株式会社</t>
    </r>
  </si>
  <si>
    <r>
      <rPr>
        <sz val="11"/>
        <rFont val="MS UI Gothic"/>
        <family val="3"/>
        <charset val="128"/>
      </rPr>
      <t>福井県越前市妙法寺町</t>
    </r>
    <r>
      <rPr>
        <sz val="11"/>
        <rFont val="Times New Roman"/>
        <family val="1"/>
      </rPr>
      <t>21-1-1</t>
    </r>
  </si>
  <si>
    <r>
      <rPr>
        <sz val="11"/>
        <rFont val="MS UI Gothic"/>
        <family val="3"/>
        <charset val="128"/>
      </rPr>
      <t>大一株式会社</t>
    </r>
  </si>
  <si>
    <r>
      <rPr>
        <sz val="11"/>
        <rFont val="MS UI Gothic"/>
        <family val="3"/>
        <charset val="128"/>
      </rPr>
      <t>京都府京都市上京区上長者町通東</t>
    </r>
  </si>
  <si>
    <r>
      <rPr>
        <sz val="11"/>
        <rFont val="MS UI Gothic"/>
        <family val="3"/>
        <charset val="128"/>
      </rPr>
      <t>株式会社大定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</si>
  <si>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859-1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</si>
  <si>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つむぎプラン</t>
    </r>
  </si>
  <si>
    <r>
      <rPr>
        <sz val="11"/>
        <rFont val="MS UI Gothic"/>
        <family val="3"/>
        <charset val="128"/>
      </rPr>
      <t>敦賀繊維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</si>
  <si>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中越ﾚｰｽ工業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</si>
  <si>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ティーワイ通商</t>
    </r>
  </si>
  <si>
    <r>
      <rPr>
        <sz val="11"/>
        <rFont val="MS UI Gothic"/>
        <family val="3"/>
        <charset val="128"/>
      </rPr>
      <t>大阪府茨木市玉櫛</t>
    </r>
    <r>
      <rPr>
        <sz val="11"/>
        <rFont val="Times New Roman"/>
        <family val="1"/>
      </rPr>
      <t>2-17-21</t>
    </r>
  </si>
  <si>
    <r>
      <rPr>
        <sz val="11"/>
        <rFont val="MS UI Gothic"/>
        <family val="3"/>
        <charset val="128"/>
      </rPr>
      <t>同興商事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</si>
  <si>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トーホー株式会社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</si>
  <si>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2-1-6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</si>
  <si>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11F</t>
    </r>
  </si>
  <si>
    <r>
      <rPr>
        <sz val="11"/>
        <rFont val="MS UI Gothic"/>
        <family val="3"/>
        <charset val="128"/>
      </rPr>
      <t>株式会社堂本</t>
    </r>
  </si>
  <si>
    <r>
      <rPr>
        <sz val="11"/>
        <rFont val="MS UI Gothic"/>
        <family val="3"/>
        <charset val="128"/>
      </rPr>
      <t>京都府京都市右京区花園内畑町</t>
    </r>
    <r>
      <rPr>
        <sz val="11"/>
        <rFont val="Times New Roman"/>
        <family val="1"/>
      </rPr>
      <t>10</t>
    </r>
  </si>
  <si>
    <r>
      <rPr>
        <sz val="11"/>
        <rFont val="MS UI Gothic"/>
        <family val="3"/>
        <charset val="128"/>
      </rPr>
      <t>堂本製紐工業株式会社</t>
    </r>
  </si>
  <si>
    <r>
      <rPr>
        <sz val="11"/>
        <rFont val="MS UI Gothic"/>
        <family val="3"/>
        <charset val="128"/>
      </rPr>
      <t>京都府京都市右京区谷口園町</t>
    </r>
    <r>
      <rPr>
        <sz val="11"/>
        <rFont val="Times New Roman"/>
        <family val="1"/>
      </rPr>
      <t>24</t>
    </r>
  </si>
  <si>
    <r>
      <rPr>
        <sz val="11"/>
        <rFont val="MS UI Gothic"/>
        <family val="3"/>
        <charset val="128"/>
      </rPr>
      <t>株式会社土本トリミング</t>
    </r>
  </si>
  <si>
    <r>
      <rPr>
        <sz val="11"/>
        <rFont val="MS UI Gothic"/>
        <family val="3"/>
        <charset val="128"/>
      </rPr>
      <t>福井県越前市上大坪町</t>
    </r>
    <r>
      <rPr>
        <sz val="11"/>
        <rFont val="Times New Roman"/>
        <family val="1"/>
      </rPr>
      <t>18-43-1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</si>
  <si>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トリムコ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</si>
  <si>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トリムレース</t>
    </r>
  </si>
  <si>
    <r>
      <rPr>
        <sz val="11"/>
        <rFont val="MS UI Gothic"/>
        <family val="3"/>
        <charset val="128"/>
      </rPr>
      <t>池田市井口堂</t>
    </r>
    <r>
      <rPr>
        <sz val="11"/>
        <rFont val="Times New Roman"/>
        <family val="1"/>
      </rPr>
      <t xml:space="preserve"> 3-10-29</t>
    </r>
  </si>
  <si>
    <r>
      <rPr>
        <sz val="11"/>
        <rFont val="MS UI Gothic"/>
        <family val="3"/>
        <charset val="128"/>
      </rPr>
      <t>株式会社内藤レース</t>
    </r>
  </si>
  <si>
    <r>
      <rPr>
        <sz val="11"/>
        <rFont val="MS UI Gothic"/>
        <family val="3"/>
        <charset val="128"/>
      </rPr>
      <t>京都府京都市右京区太秦北路町</t>
    </r>
    <r>
      <rPr>
        <sz val="11"/>
        <rFont val="Times New Roman"/>
        <family val="1"/>
      </rPr>
      <t>11</t>
    </r>
  </si>
  <si>
    <r>
      <rPr>
        <sz val="11"/>
        <rFont val="MS UI Gothic"/>
        <family val="3"/>
        <charset val="128"/>
      </rPr>
      <t>中川リボン株式会社</t>
    </r>
  </si>
  <si>
    <r>
      <rPr>
        <sz val="11"/>
        <rFont val="MS UI Gothic"/>
        <family val="3"/>
        <charset val="128"/>
      </rPr>
      <t>滋賀県長浜市曽根町</t>
    </r>
    <r>
      <rPr>
        <sz val="11"/>
        <rFont val="Times New Roman"/>
        <family val="1"/>
      </rPr>
      <t>1102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</si>
  <si>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中辻製紐</t>
    </r>
  </si>
  <si>
    <r>
      <rPr>
        <sz val="11"/>
        <rFont val="MS UI Gothic"/>
        <family val="3"/>
        <charset val="128"/>
      </rPr>
      <t>株式会社中村編織工業</t>
    </r>
  </si>
  <si>
    <r>
      <rPr>
        <sz val="11"/>
        <rFont val="MS UI Gothic"/>
        <family val="3"/>
        <charset val="128"/>
      </rPr>
      <t>石川県かほく市大崎リ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</si>
  <si>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中村商事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</si>
  <si>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中川産業株式会社</t>
    </r>
  </si>
  <si>
    <r>
      <rPr>
        <sz val="11"/>
        <rFont val="MS UI Gothic"/>
        <family val="3"/>
        <charset val="128"/>
      </rPr>
      <t>石川県小松市軽海町ラ</t>
    </r>
    <r>
      <rPr>
        <sz val="11"/>
        <rFont val="Times New Roman"/>
        <family val="1"/>
      </rPr>
      <t>19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</si>
  <si>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ナリカワ</t>
    </r>
  </si>
  <si>
    <r>
      <rPr>
        <sz val="11"/>
        <rFont val="MS UI Gothic"/>
        <family val="3"/>
        <charset val="128"/>
      </rPr>
      <t>株式会社西口製紐</t>
    </r>
  </si>
  <si>
    <r>
      <rPr>
        <sz val="11"/>
        <rFont val="MS UI Gothic"/>
        <family val="3"/>
        <charset val="128"/>
      </rPr>
      <t>京都府亀岡市三宅町</t>
    </r>
    <r>
      <rPr>
        <sz val="11"/>
        <rFont val="Times New Roman"/>
        <family val="1"/>
      </rPr>
      <t>28</t>
    </r>
  </si>
  <si>
    <r>
      <rPr>
        <sz val="11"/>
        <rFont val="MS UI Gothic"/>
        <family val="3"/>
        <charset val="128"/>
      </rPr>
      <t>西ジマ染工房</t>
    </r>
  </si>
  <si>
    <r>
      <rPr>
        <sz val="11"/>
        <rFont val="MS UI Gothic"/>
        <family val="3"/>
        <charset val="128"/>
      </rPr>
      <t>京都府宇治市伊勢田町</t>
    </r>
    <r>
      <rPr>
        <sz val="11"/>
        <rFont val="Times New Roman"/>
        <family val="1"/>
      </rPr>
      <t>37-38</t>
    </r>
  </si>
  <si>
    <r>
      <rPr>
        <sz val="11"/>
        <rFont val="MS UI Gothic"/>
        <family val="3"/>
        <charset val="128"/>
      </rPr>
      <t>西中製紐株式会社</t>
    </r>
  </si>
  <si>
    <r>
      <rPr>
        <sz val="11"/>
        <rFont val="MS UI Gothic"/>
        <family val="3"/>
        <charset val="128"/>
      </rPr>
      <t>岡山県倉敷市児島田の口</t>
    </r>
    <r>
      <rPr>
        <sz val="11"/>
        <rFont val="Times New Roman"/>
        <family val="1"/>
      </rPr>
      <t>4-9-36</t>
    </r>
  </si>
  <si>
    <r>
      <rPr>
        <sz val="11"/>
        <rFont val="MS UI Gothic"/>
        <family val="3"/>
        <charset val="128"/>
      </rPr>
      <t>ﾘﾘｰﾚｰｽ･ｲﾝﾀｰﾅｼｮﾅﾙ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</si>
  <si>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京都府京都市上京区元妙蓮寺町</t>
    </r>
  </si>
  <si>
    <r>
      <rPr>
        <sz val="11"/>
        <rFont val="MS UI Gothic"/>
        <family val="3"/>
        <charset val="128"/>
      </rPr>
      <t>ニッシントーア・岩尾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</si>
  <si>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日清紡テキスタイル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</si>
  <si>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大阪府大阪市中央区北久宝寺町</t>
    </r>
    <r>
      <rPr>
        <sz val="11"/>
        <rFont val="Times New Roman"/>
        <family val="1"/>
      </rPr>
      <t>2-4-2</t>
    </r>
  </si>
  <si>
    <r>
      <rPr>
        <sz val="11"/>
        <rFont val="MS UI Gothic"/>
        <family val="3"/>
        <charset val="128"/>
      </rPr>
      <t>西田マーク</t>
    </r>
  </si>
  <si>
    <r>
      <rPr>
        <sz val="11"/>
        <rFont val="MS UI Gothic"/>
        <family val="3"/>
        <charset val="128"/>
      </rPr>
      <t>岐阜県岐阜市薮田南</t>
    </r>
    <r>
      <rPr>
        <sz val="11"/>
        <rFont val="Times New Roman"/>
        <family val="1"/>
      </rPr>
      <t>7-6</t>
    </r>
  </si>
  <si>
    <r>
      <rPr>
        <sz val="11"/>
        <rFont val="MS UI Gothic"/>
        <family val="3"/>
        <charset val="128"/>
      </rPr>
      <t>株式会社ハシモト</t>
    </r>
  </si>
  <si>
    <r>
      <rPr>
        <sz val="11"/>
        <rFont val="MS UI Gothic"/>
        <family val="3"/>
        <charset val="128"/>
      </rPr>
      <t>東京都江東区新大橋</t>
    </r>
    <r>
      <rPr>
        <sz val="11"/>
        <rFont val="Times New Roman"/>
        <family val="1"/>
      </rPr>
      <t>2-19-9</t>
    </r>
  </si>
  <si>
    <r>
      <rPr>
        <sz val="11"/>
        <rFont val="MS UI Gothic"/>
        <family val="3"/>
        <charset val="128"/>
      </rPr>
      <t>橋本純織物工場</t>
    </r>
  </si>
  <si>
    <r>
      <rPr>
        <sz val="11"/>
        <rFont val="MS UI Gothic"/>
        <family val="3"/>
        <charset val="128"/>
      </rPr>
      <t>福井県鯖江市下野田町</t>
    </r>
    <r>
      <rPr>
        <sz val="11"/>
        <rFont val="Times New Roman"/>
        <family val="1"/>
      </rPr>
      <t>37-16-2</t>
    </r>
  </si>
  <si>
    <r>
      <rPr>
        <sz val="11"/>
        <rFont val="MS UI Gothic"/>
        <family val="3"/>
        <charset val="128"/>
      </rPr>
      <t>畑岡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</si>
  <si>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HACHIYA</t>
    </r>
  </si>
  <si>
    <r>
      <rPr>
        <sz val="11"/>
        <rFont val="MS UI Gothic"/>
        <family val="3"/>
        <charset val="128"/>
      </rPr>
      <t>福井県福井市大島</t>
    </r>
    <r>
      <rPr>
        <sz val="11"/>
        <rFont val="Times New Roman"/>
        <family val="1"/>
      </rPr>
      <t>3-4</t>
    </r>
  </si>
  <si>
    <r>
      <rPr>
        <sz val="11"/>
        <rFont val="MS UI Gothic"/>
        <family val="3"/>
        <charset val="128"/>
      </rPr>
      <t>八田経編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</si>
  <si>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浜松テープ株式会社</t>
    </r>
  </si>
  <si>
    <r>
      <rPr>
        <sz val="11"/>
        <rFont val="MS UI Gothic"/>
        <family val="3"/>
        <charset val="128"/>
      </rPr>
      <t>静岡県浜松市中区北田町</t>
    </r>
    <r>
      <rPr>
        <sz val="11"/>
        <rFont val="Times New Roman"/>
        <family val="1"/>
      </rPr>
      <t>139-25</t>
    </r>
  </si>
  <si>
    <r>
      <rPr>
        <sz val="11"/>
        <rFont val="MS UI Gothic"/>
        <family val="3"/>
        <charset val="128"/>
      </rPr>
      <t>ひかり商事㈱</t>
    </r>
  </si>
  <si>
    <r>
      <rPr>
        <sz val="11"/>
        <rFont val="MS UI Gothic"/>
        <family val="3"/>
        <charset val="128"/>
      </rPr>
      <t>福井市御幸</t>
    </r>
    <r>
      <rPr>
        <sz val="11"/>
        <rFont val="Times New Roman"/>
        <family val="1"/>
      </rPr>
      <t xml:space="preserve"> 4-21-10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</si>
  <si>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ヒバリ</t>
    </r>
  </si>
  <si>
    <r>
      <rPr>
        <sz val="11"/>
        <rFont val="MS UI Gothic"/>
        <family val="3"/>
        <charset val="128"/>
      </rPr>
      <t>八尾市跡部南の町</t>
    </r>
    <r>
      <rPr>
        <sz val="11"/>
        <rFont val="Times New Roman"/>
        <family val="1"/>
      </rPr>
      <t xml:space="preserve"> 1-2-13</t>
    </r>
  </si>
  <si>
    <r>
      <rPr>
        <sz val="11"/>
        <rFont val="MS UI Gothic"/>
        <family val="3"/>
        <charset val="128"/>
      </rPr>
      <t>株式会社紐屋</t>
    </r>
  </si>
  <si>
    <r>
      <rPr>
        <sz val="11"/>
        <rFont val="MS UI Gothic"/>
        <family val="3"/>
        <charset val="128"/>
      </rPr>
      <t>石川県羽咋市滝町イ</t>
    </r>
    <r>
      <rPr>
        <sz val="11"/>
        <rFont val="Times New Roman"/>
        <family val="1"/>
      </rPr>
      <t>94-1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</si>
  <si>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ファニー</t>
    </r>
  </si>
  <si>
    <r>
      <rPr>
        <sz val="11"/>
        <rFont val="MS UI Gothic"/>
        <family val="3"/>
        <charset val="128"/>
      </rPr>
      <t>藤井細巾織物有限会社</t>
    </r>
  </si>
  <si>
    <r>
      <rPr>
        <sz val="11"/>
        <rFont val="MS UI Gothic"/>
        <family val="3"/>
        <charset val="128"/>
      </rPr>
      <t>広島県福山市神辺町大字川南</t>
    </r>
    <r>
      <rPr>
        <sz val="11"/>
        <rFont val="Times New Roman"/>
        <family val="1"/>
      </rPr>
      <t>2975</t>
    </r>
  </si>
  <si>
    <r>
      <rPr>
        <sz val="11"/>
        <rFont val="MS UI Gothic"/>
        <family val="3"/>
        <charset val="128"/>
      </rPr>
      <t>双葉ﾚｰｽ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</si>
  <si>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二渡レース株式会社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</si>
  <si>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1462-5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</si>
  <si>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二口製紐</t>
    </r>
  </si>
  <si>
    <r>
      <rPr>
        <sz val="11"/>
        <rFont val="MS UI Gothic"/>
        <family val="3"/>
        <charset val="128"/>
      </rPr>
      <t>石川県かほく市高松サ</t>
    </r>
    <r>
      <rPr>
        <sz val="11"/>
        <rFont val="Times New Roman"/>
        <family val="1"/>
      </rPr>
      <t>49-66</t>
    </r>
  </si>
  <si>
    <r>
      <rPr>
        <sz val="11"/>
        <rFont val="MS UI Gothic"/>
        <family val="3"/>
        <charset val="128"/>
      </rPr>
      <t>鮒田産業株式会社</t>
    </r>
  </si>
  <si>
    <r>
      <rPr>
        <sz val="11"/>
        <rFont val="MS UI Gothic"/>
        <family val="3"/>
        <charset val="128"/>
      </rPr>
      <t>石川県かほく市大崎ロ</t>
    </r>
    <r>
      <rPr>
        <sz val="11"/>
        <rFont val="Times New Roman"/>
        <family val="1"/>
      </rPr>
      <t>75-1</t>
    </r>
  </si>
  <si>
    <r>
      <rPr>
        <sz val="11"/>
        <rFont val="MS UI Gothic"/>
        <family val="3"/>
        <charset val="128"/>
      </rPr>
      <t>フロリア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</si>
  <si>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東京都中央区日本橋人形町</t>
    </r>
    <r>
      <rPr>
        <sz val="11"/>
        <rFont val="Times New Roman"/>
        <family val="1"/>
      </rPr>
      <t>1-2-6</t>
    </r>
  </si>
  <si>
    <r>
      <rPr>
        <sz val="11"/>
        <rFont val="MS UI Gothic"/>
        <family val="3"/>
        <charset val="128"/>
      </rPr>
      <t>サイボービル</t>
    </r>
    <r>
      <rPr>
        <sz val="11"/>
        <rFont val="Times New Roman"/>
        <family val="1"/>
      </rPr>
      <t>7F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</si>
  <si>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ポケット</t>
    </r>
  </si>
  <si>
    <r>
      <rPr>
        <sz val="11"/>
        <rFont val="MS UI Gothic"/>
        <family val="3"/>
        <charset val="128"/>
      </rPr>
      <t>北陸ウェブ株式会社</t>
    </r>
  </si>
  <si>
    <r>
      <rPr>
        <sz val="11"/>
        <rFont val="MS UI Gothic"/>
        <family val="3"/>
        <charset val="128"/>
      </rPr>
      <t>石川県かほく市宇気ソ</t>
    </r>
    <r>
      <rPr>
        <sz val="11"/>
        <rFont val="Times New Roman"/>
        <family val="1"/>
      </rPr>
      <t>-6-2</t>
    </r>
  </si>
  <si>
    <r>
      <rPr>
        <sz val="11"/>
        <rFont val="MS UI Gothic"/>
        <family val="3"/>
        <charset val="128"/>
      </rPr>
      <t>有限会社丸将</t>
    </r>
  </si>
  <si>
    <r>
      <rPr>
        <sz val="11"/>
        <rFont val="MS UI Gothic"/>
        <family val="3"/>
        <charset val="128"/>
      </rPr>
      <t>京都府長岡京市今里</t>
    </r>
    <r>
      <rPr>
        <sz val="11"/>
        <rFont val="Times New Roman"/>
        <family val="1"/>
      </rPr>
      <t>22-28</t>
    </r>
  </si>
  <si>
    <r>
      <rPr>
        <sz val="11"/>
        <rFont val="MS UI Gothic"/>
        <family val="3"/>
        <charset val="128"/>
      </rPr>
      <t>株式会社丸進</t>
    </r>
  </si>
  <si>
    <r>
      <rPr>
        <sz val="11"/>
        <rFont val="MS UI Gothic"/>
        <family val="3"/>
        <charset val="128"/>
      </rPr>
      <t>京都府京都市上京区松屋町</t>
    </r>
  </si>
  <si>
    <r>
      <rPr>
        <sz val="11"/>
        <rFont val="MS UI Gothic"/>
        <family val="3"/>
        <charset val="128"/>
      </rPr>
      <t>株式会社万喜</t>
    </r>
  </si>
  <si>
    <r>
      <rPr>
        <sz val="11"/>
        <rFont val="MS UI Gothic"/>
        <family val="3"/>
        <charset val="128"/>
      </rPr>
      <t>石川県かほく市松浜イ</t>
    </r>
    <r>
      <rPr>
        <sz val="11"/>
        <rFont val="Times New Roman"/>
        <family val="1"/>
      </rPr>
      <t xml:space="preserve"> 31-1</t>
    </r>
  </si>
  <si>
    <r>
      <rPr>
        <sz val="11"/>
        <rFont val="MS UI Gothic"/>
        <family val="3"/>
        <charset val="128"/>
      </rPr>
      <t>南出リボン工業</t>
    </r>
  </si>
  <si>
    <r>
      <rPr>
        <sz val="11"/>
        <rFont val="MS UI Gothic"/>
        <family val="3"/>
        <charset val="128"/>
      </rPr>
      <t>石川県小松市日末町と</t>
    </r>
    <r>
      <rPr>
        <sz val="11"/>
        <rFont val="Times New Roman"/>
        <family val="1"/>
      </rPr>
      <t>6-2</t>
    </r>
  </si>
  <si>
    <r>
      <rPr>
        <sz val="11"/>
        <rFont val="MS UI Gothic"/>
        <family val="3"/>
        <charset val="128"/>
      </rPr>
      <t>有限会社ミニ・ワールド　マミや</t>
    </r>
  </si>
  <si>
    <r>
      <rPr>
        <sz val="11"/>
        <rFont val="MS UI Gothic"/>
        <family val="3"/>
        <charset val="128"/>
      </rPr>
      <t>京都府京都市北区衣笠北天神森町</t>
    </r>
  </si>
  <si>
    <r>
      <rPr>
        <sz val="11"/>
        <rFont val="MS UI Gothic"/>
        <family val="3"/>
        <charset val="128"/>
      </rPr>
      <t>宮谷産業有限会社</t>
    </r>
  </si>
  <si>
    <r>
      <rPr>
        <sz val="11"/>
        <rFont val="MS UI Gothic"/>
        <family val="3"/>
        <charset val="128"/>
      </rPr>
      <t>福井県坂井市丸岡町巽町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101</t>
    </r>
  </si>
  <si>
    <r>
      <rPr>
        <sz val="11"/>
        <rFont val="MS UI Gothic"/>
        <family val="3"/>
        <charset val="128"/>
      </rPr>
      <t>株式会社ＭＩＹＵＫＩ</t>
    </r>
  </si>
  <si>
    <r>
      <rPr>
        <sz val="11"/>
        <rFont val="MS UI Gothic"/>
        <family val="3"/>
        <charset val="128"/>
      </rPr>
      <t>大阪府大阪市中央区博労町</t>
    </r>
    <r>
      <rPr>
        <sz val="11"/>
        <rFont val="Times New Roman"/>
        <family val="1"/>
      </rPr>
      <t>4-5-9</t>
    </r>
  </si>
  <si>
    <r>
      <rPr>
        <sz val="11"/>
        <rFont val="MS UI Gothic"/>
        <family val="3"/>
        <charset val="128"/>
      </rPr>
      <t>モリクロス株式会社</t>
    </r>
  </si>
  <si>
    <r>
      <rPr>
        <sz val="11"/>
        <rFont val="MS UI Gothic"/>
        <family val="3"/>
        <charset val="128"/>
      </rPr>
      <t>兵庫県尼崎市南武庫之荘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 xml:space="preserve">17 </t>
    </r>
  </si>
  <si>
    <r>
      <rPr>
        <sz val="11"/>
        <rFont val="MS UI Gothic"/>
        <family val="3"/>
        <charset val="128"/>
      </rPr>
      <t>株式会社モリ製紐</t>
    </r>
  </si>
  <si>
    <r>
      <rPr>
        <sz val="11"/>
        <rFont val="MS UI Gothic"/>
        <family val="3"/>
        <charset val="128"/>
      </rPr>
      <t>石川県羽咋郡志賀町矢駄タ</t>
    </r>
    <r>
      <rPr>
        <sz val="11"/>
        <rFont val="Times New Roman"/>
        <family val="1"/>
      </rPr>
      <t>-60</t>
    </r>
  </si>
  <si>
    <r>
      <rPr>
        <sz val="11"/>
        <rFont val="MS UI Gothic"/>
        <family val="3"/>
        <charset val="128"/>
      </rPr>
      <t>株式会社木馬</t>
    </r>
  </si>
  <si>
    <r>
      <rPr>
        <sz val="11"/>
        <rFont val="MS UI Gothic"/>
        <family val="3"/>
        <charset val="128"/>
      </rPr>
      <t>東京都台東区蔵前</t>
    </r>
    <r>
      <rPr>
        <sz val="11"/>
        <rFont val="Times New Roman"/>
        <family val="1"/>
      </rPr>
      <t>4-16-8</t>
    </r>
  </si>
  <si>
    <r>
      <rPr>
        <sz val="11"/>
        <rFont val="MS UI Gothic"/>
        <family val="3"/>
        <charset val="128"/>
      </rPr>
      <t>森製紐株式会社</t>
    </r>
  </si>
  <si>
    <r>
      <rPr>
        <sz val="11"/>
        <rFont val="MS UI Gothic"/>
        <family val="3"/>
        <charset val="128"/>
      </rPr>
      <t>大阪府大阪市東成区東中本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</si>
  <si>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八木熊</t>
    </r>
  </si>
  <si>
    <r>
      <rPr>
        <sz val="11"/>
        <rFont val="MS UI Gothic"/>
        <family val="3"/>
        <charset val="128"/>
      </rPr>
      <t>福井県福井市照手</t>
    </r>
    <r>
      <rPr>
        <sz val="11"/>
        <rFont val="Times New Roman"/>
        <family val="1"/>
      </rPr>
      <t>2-6-16</t>
    </r>
  </si>
  <si>
    <r>
      <rPr>
        <sz val="11"/>
        <rFont val="MS UI Gothic"/>
        <family val="3"/>
        <charset val="128"/>
      </rPr>
      <t>矢地繊維工業株式会社</t>
    </r>
  </si>
  <si>
    <r>
      <rPr>
        <sz val="11"/>
        <rFont val="MS UI Gothic"/>
        <family val="3"/>
        <charset val="128"/>
      </rPr>
      <t>福井県あわら市矢地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</si>
  <si>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山上縫糸株式会社</t>
    </r>
  </si>
  <si>
    <r>
      <rPr>
        <sz val="11"/>
        <rFont val="MS UI Gothic"/>
        <family val="3"/>
        <charset val="128"/>
      </rPr>
      <t>大阪府大阪市東成区中道</t>
    </r>
    <r>
      <rPr>
        <sz val="11"/>
        <rFont val="Times New Roman"/>
        <family val="1"/>
      </rPr>
      <t>4-16-21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</si>
  <si>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山政テキスタイル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</si>
  <si>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山崎ビロード</t>
    </r>
  </si>
  <si>
    <r>
      <rPr>
        <sz val="11"/>
        <rFont val="MS UI Gothic"/>
        <family val="3"/>
        <charset val="128"/>
      </rPr>
      <t>福井県越前市中津山町</t>
    </r>
    <r>
      <rPr>
        <sz val="11"/>
        <rFont val="Times New Roman"/>
        <family val="1"/>
      </rPr>
      <t>9-29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</si>
  <si>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山田貿易</t>
    </r>
  </si>
  <si>
    <r>
      <rPr>
        <sz val="11"/>
        <rFont val="MS UI Gothic"/>
        <family val="3"/>
        <charset val="128"/>
      </rPr>
      <t>株式会社山博</t>
    </r>
  </si>
  <si>
    <r>
      <rPr>
        <sz val="11"/>
        <rFont val="MS UI Gothic"/>
        <family val="3"/>
        <charset val="128"/>
      </rPr>
      <t>石川県小松市福乃宮町</t>
    </r>
    <r>
      <rPr>
        <sz val="11"/>
        <rFont val="Times New Roman"/>
        <family val="1"/>
      </rPr>
      <t>1-87</t>
    </r>
  </si>
  <si>
    <r>
      <rPr>
        <sz val="11"/>
        <rFont val="MS UI Gothic"/>
        <family val="3"/>
        <charset val="128"/>
      </rPr>
      <t>山屋産業株式会社</t>
    </r>
  </si>
  <si>
    <r>
      <rPr>
        <sz val="11"/>
        <rFont val="MS UI Gothic"/>
        <family val="3"/>
        <charset val="128"/>
      </rPr>
      <t>石川県河北郡津幡町庄ホ</t>
    </r>
    <r>
      <rPr>
        <sz val="11"/>
        <rFont val="Times New Roman"/>
        <family val="1"/>
      </rPr>
      <t xml:space="preserve"> 63</t>
    </r>
    <r>
      <rPr>
        <sz val="11"/>
        <rFont val="MS UI Gothic"/>
        <family val="3"/>
        <charset val="128"/>
      </rPr>
      <t>番の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</si>
  <si>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山元リボン株式会社</t>
    </r>
  </si>
  <si>
    <r>
      <rPr>
        <sz val="11"/>
        <rFont val="MS UI Gothic"/>
        <family val="3"/>
        <charset val="128"/>
      </rPr>
      <t>京都府京都市下京区上平野町</t>
    </r>
  </si>
  <si>
    <r>
      <rPr>
        <sz val="11"/>
        <rFont val="MS UI Gothic"/>
        <family val="3"/>
        <charset val="128"/>
      </rPr>
      <t>ユニーク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プランナー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</si>
  <si>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横倉繊維</t>
    </r>
  </si>
  <si>
    <r>
      <rPr>
        <sz val="11"/>
        <rFont val="MS UI Gothic"/>
        <family val="3"/>
        <charset val="128"/>
      </rPr>
      <t>群馬県桐生市境野町</t>
    </r>
    <r>
      <rPr>
        <sz val="11"/>
        <rFont val="Times New Roman"/>
        <family val="1"/>
      </rPr>
      <t>1-1147</t>
    </r>
  </si>
  <si>
    <r>
      <rPr>
        <sz val="11"/>
        <rFont val="MS UI Gothic"/>
        <family val="3"/>
        <charset val="128"/>
      </rPr>
      <t>有限会社吉田トーション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</si>
  <si>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876-3</t>
    </r>
  </si>
  <si>
    <r>
      <rPr>
        <sz val="11"/>
        <rFont val="MS UI Gothic"/>
        <family val="3"/>
        <charset val="128"/>
      </rPr>
      <t>株式会社ラインワールド</t>
    </r>
  </si>
  <si>
    <r>
      <rPr>
        <sz val="11"/>
        <rFont val="MS UI Gothic"/>
        <family val="3"/>
        <charset val="128"/>
      </rPr>
      <t>岡山県倉敷市児島赤崎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7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>57</t>
    </r>
  </si>
  <si>
    <r>
      <rPr>
        <sz val="11"/>
        <rFont val="MS UI Gothic"/>
        <family val="3"/>
        <charset val="128"/>
      </rPr>
      <t>渡辺リボン株式会社</t>
    </r>
  </si>
  <si>
    <r>
      <rPr>
        <sz val="11"/>
        <rFont val="MS UI Gothic"/>
        <family val="3"/>
        <charset val="128"/>
      </rPr>
      <t>福井県鯖江市落井町</t>
    </r>
    <r>
      <rPr>
        <sz val="11"/>
        <rFont val="Times New Roman"/>
        <family val="1"/>
      </rPr>
      <t>49-5</t>
    </r>
  </si>
  <si>
    <r>
      <rPr>
        <sz val="11"/>
        <rFont val="MS UI Gothic"/>
        <family val="3"/>
        <charset val="128"/>
      </rPr>
      <t>輪の花</t>
    </r>
  </si>
  <si>
    <r>
      <rPr>
        <sz val="11"/>
        <rFont val="MS UI Gothic"/>
        <family val="3"/>
        <charset val="128"/>
      </rPr>
      <t>京都市西京区大原野西境谷町</t>
    </r>
    <r>
      <rPr>
        <sz val="11"/>
        <rFont val="Times New Roman"/>
        <family val="1"/>
      </rPr>
      <t>2-10-2</t>
    </r>
  </si>
  <si>
    <r>
      <rPr>
        <sz val="11"/>
        <rFont val="MS UI Gothic"/>
        <family val="3"/>
        <charset val="128"/>
      </rPr>
      <t>諸口（輸入）</t>
    </r>
  </si>
  <si>
    <r>
      <rPr>
        <sz val="11"/>
        <rFont val="MS UI Gothic"/>
        <family val="3"/>
        <charset val="128"/>
      </rPr>
      <t>諸口（国内）</t>
    </r>
  </si>
  <si>
    <r>
      <rPr>
        <sz val="11"/>
        <rFont val="MS UI Gothic"/>
        <family val="3"/>
        <charset val="128"/>
      </rPr>
      <t>諸口（国内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非課税）</t>
    </r>
  </si>
  <si>
    <r>
      <rPr>
        <sz val="11"/>
        <rFont val="MS UI Gothic"/>
        <family val="3"/>
        <charset val="128"/>
      </rPr>
      <t>振替口座</t>
    </r>
  </si>
  <si>
    <r>
      <t xml:space="preserve">(SELECT) - </t>
    </r>
    <r>
      <rPr>
        <sz val="11"/>
        <rFont val="Yu Gothic"/>
        <family val="1"/>
        <charset val="128"/>
      </rPr>
      <t>仕入先名</t>
    </r>
    <rPh sb="11" eb="15">
      <t>シイレサキメイ</t>
    </rPh>
    <phoneticPr fontId="3"/>
  </si>
  <si>
    <t>Tel:</t>
    <phoneticPr fontId="3"/>
  </si>
  <si>
    <t>Fax:</t>
    <phoneticPr fontId="3"/>
  </si>
  <si>
    <r>
      <rPr>
        <sz val="11"/>
        <rFont val="ＭＳ Ｐ明朝"/>
        <family val="1"/>
        <charset val="128"/>
      </rPr>
      <t>システムコード</t>
    </r>
  </si>
  <si>
    <r>
      <rPr>
        <sz val="11"/>
        <rFont val="ＭＳ Ｐ明朝"/>
        <family val="1"/>
        <charset val="128"/>
      </rPr>
      <t>郵便番号</t>
    </r>
    <rPh sb="0" eb="4">
      <t>ユウビンバンゴウ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</si>
  <si>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1</t>
    </r>
    <rPh sb="0" eb="2">
      <t>ジュウショ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</si>
  <si>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2</t>
    </r>
    <rPh sb="0" eb="2">
      <t>ジュウショ</t>
    </rPh>
    <phoneticPr fontId="3"/>
  </si>
  <si>
    <t>合計金額</t>
    <rPh sb="0" eb="4">
      <t>ゴウケイキンガク</t>
    </rPh>
    <phoneticPr fontId="3"/>
  </si>
  <si>
    <t>ファイル名</t>
    <rPh sb="4" eb="5">
      <t>メイ</t>
    </rPh>
    <phoneticPr fontId="3"/>
  </si>
  <si>
    <t>仕入先</t>
    <rPh sb="0" eb="3">
      <t>シイレサキ</t>
    </rPh>
    <phoneticPr fontId="3"/>
  </si>
  <si>
    <t>検索結果</t>
    <rPh sb="0" eb="4">
      <t>ケンサクケッカ</t>
    </rPh>
    <phoneticPr fontId="3"/>
  </si>
  <si>
    <t>データ開始行</t>
    <rPh sb="3" eb="5">
      <t>カイシ</t>
    </rPh>
    <rPh sb="5" eb="6">
      <t>ギョウ</t>
    </rPh>
    <phoneticPr fontId="3"/>
  </si>
  <si>
    <t>データ終了行</t>
    <rPh sb="3" eb="5">
      <t>シュウリョウ</t>
    </rPh>
    <rPh sb="5" eb="6">
      <t>ギョウ</t>
    </rPh>
    <phoneticPr fontId="3"/>
  </si>
  <si>
    <t>貼付け終了行</t>
    <rPh sb="0" eb="2">
      <t>ハリツ</t>
    </rPh>
    <rPh sb="3" eb="6">
      <t>シュウリョウギョウ</t>
    </rPh>
    <phoneticPr fontId="3"/>
  </si>
  <si>
    <t>注記項目名</t>
    <rPh sb="0" eb="2">
      <t>チュウキ</t>
    </rPh>
    <rPh sb="2" eb="5">
      <t>コウモクメイ</t>
    </rPh>
    <phoneticPr fontId="3"/>
  </si>
  <si>
    <t>注記内容</t>
    <rPh sb="0" eb="2">
      <t>チュウキ</t>
    </rPh>
    <rPh sb="2" eb="4">
      <t>ナイヨウ</t>
    </rPh>
    <phoneticPr fontId="3"/>
  </si>
  <si>
    <t>同一ロット指定</t>
    <rPh sb="0" eb="2">
      <t>ドウイツ</t>
    </rPh>
    <rPh sb="5" eb="7">
      <t>シテイ</t>
    </rPh>
    <phoneticPr fontId="3"/>
  </si>
  <si>
    <t>上記商品、同一ロットでお手配お願い致します。</t>
    <rPh sb="0" eb="2">
      <t>ジョウキ</t>
    </rPh>
    <rPh sb="2" eb="4">
      <t>ショウヒン</t>
    </rPh>
    <rPh sb="5" eb="7">
      <t>ドウイツ</t>
    </rPh>
    <rPh sb="12" eb="14">
      <t>テハイ</t>
    </rPh>
    <rPh sb="15" eb="16">
      <t>ネガ</t>
    </rPh>
    <rPh sb="17" eb="18">
      <t>イタ</t>
    </rPh>
    <phoneticPr fontId="3"/>
  </si>
  <si>
    <t>出荷/到着日指定</t>
    <rPh sb="0" eb="2">
      <t>シュッカ</t>
    </rPh>
    <rPh sb="3" eb="6">
      <t>トウチャクビ</t>
    </rPh>
    <rPh sb="6" eb="8">
      <t>シテイ</t>
    </rPh>
    <phoneticPr fontId="3"/>
  </si>
  <si>
    <t>出荷日：</t>
    <rPh sb="0" eb="3">
      <t>シュッカビ</t>
    </rPh>
    <phoneticPr fontId="3"/>
  </si>
  <si>
    <t>到着日：</t>
    <rPh sb="0" eb="3">
      <t>トウチャクビ</t>
    </rPh>
    <phoneticPr fontId="3"/>
  </si>
  <si>
    <t>到着時間：</t>
    <rPh sb="0" eb="4">
      <t>トウチャクジカン</t>
    </rPh>
    <phoneticPr fontId="3"/>
  </si>
  <si>
    <t>最短納期指定</t>
    <rPh sb="0" eb="4">
      <t>サイタンノウキ</t>
    </rPh>
    <rPh sb="4" eb="6">
      <t>シテイ</t>
    </rPh>
    <phoneticPr fontId="3"/>
  </si>
  <si>
    <t>納期：</t>
    <rPh sb="0" eb="2">
      <t>ノウキ</t>
    </rPh>
    <phoneticPr fontId="3"/>
  </si>
  <si>
    <t>発送方法指定</t>
    <rPh sb="0" eb="6">
      <t>ハッソウホウホウシテイ</t>
    </rPh>
    <phoneticPr fontId="3"/>
  </si>
  <si>
    <t>配送業者：</t>
    <rPh sb="0" eb="4">
      <t>ハイソウギョウシャ</t>
    </rPh>
    <phoneticPr fontId="3"/>
  </si>
  <si>
    <t>ヤマト便</t>
    <rPh sb="3" eb="4">
      <t>ビン</t>
    </rPh>
    <phoneticPr fontId="3"/>
  </si>
  <si>
    <t>納期回答指定</t>
    <rPh sb="0" eb="4">
      <t>ノウキカイトウ</t>
    </rPh>
    <rPh sb="4" eb="6">
      <t>シテイ</t>
    </rPh>
    <phoneticPr fontId="3"/>
  </si>
  <si>
    <t>在庫有無、納期のご回答をお願い致します。</t>
    <rPh sb="0" eb="4">
      <t>ザイコウム</t>
    </rPh>
    <rPh sb="5" eb="7">
      <t>ノウキ</t>
    </rPh>
    <rPh sb="9" eb="11">
      <t>カイトウ</t>
    </rPh>
    <rPh sb="13" eb="14">
      <t>ネガ</t>
    </rPh>
    <rPh sb="15" eb="16">
      <t>イタ</t>
    </rPh>
    <phoneticPr fontId="3"/>
  </si>
  <si>
    <t>キープ分指定</t>
    <rPh sb="3" eb="4">
      <t>ブン</t>
    </rPh>
    <rPh sb="4" eb="6">
      <t>シテイ</t>
    </rPh>
    <phoneticPr fontId="3"/>
  </si>
  <si>
    <t>上記商品、キープ分より出荷お願い致します。</t>
    <rPh sb="0" eb="4">
      <t>ジョウキショウヒン</t>
    </rPh>
    <rPh sb="8" eb="9">
      <t>ブン</t>
    </rPh>
    <rPh sb="11" eb="13">
      <t>シュッカ</t>
    </rPh>
    <rPh sb="14" eb="15">
      <t>ネガ</t>
    </rPh>
    <rPh sb="16" eb="17">
      <t>イタ</t>
    </rPh>
    <phoneticPr fontId="3"/>
  </si>
  <si>
    <t>欠品連絡</t>
    <rPh sb="0" eb="4">
      <t>ケッピンレンラク</t>
    </rPh>
    <phoneticPr fontId="3"/>
  </si>
  <si>
    <t>欠品がある場合は出荷前に納期等のご連絡を御願い致します｡</t>
    <phoneticPr fontId="3"/>
  </si>
  <si>
    <t>キャンセル可能性</t>
    <rPh sb="5" eb="8">
      <t>カノウセイ</t>
    </rPh>
    <phoneticPr fontId="3"/>
  </si>
  <si>
    <t>欠品の場合は全商品キャンセルになる可能性あり､ご連絡後の出荷指示に従って下さい｡</t>
    <phoneticPr fontId="3"/>
  </si>
  <si>
    <t>その他</t>
    <rPh sb="2" eb="3">
      <t>ホカ</t>
    </rPh>
    <phoneticPr fontId="3"/>
  </si>
  <si>
    <t>自由記述：</t>
    <rPh sb="0" eb="4">
      <t>ジユウキジュツ</t>
    </rPh>
    <phoneticPr fontId="3"/>
  </si>
  <si>
    <t>あいうえお</t>
    <phoneticPr fontId="3"/>
  </si>
  <si>
    <t>発注書 (SELECTION)</t>
    <rPh sb="0" eb="3">
      <t>ハッチュウショ</t>
    </rPh>
    <phoneticPr fontId="3"/>
  </si>
  <si>
    <t>注文日</t>
    <rPh sb="0" eb="3">
      <t>チュウモンビ</t>
    </rPh>
    <phoneticPr fontId="3"/>
  </si>
  <si>
    <t xml:space="preserve">御会社名: </t>
    <rPh sb="0" eb="4">
      <t>オカイシャメイ</t>
    </rPh>
    <phoneticPr fontId="3"/>
  </si>
  <si>
    <t>株式会社サンファッション</t>
    <rPh sb="0" eb="4">
      <t>カブシキガイシャ</t>
    </rPh>
    <phoneticPr fontId="3"/>
  </si>
  <si>
    <t xml:space="preserve">御住所: </t>
    <rPh sb="0" eb="3">
      <t>ゴジュウショ</t>
    </rPh>
    <phoneticPr fontId="3"/>
  </si>
  <si>
    <t>〒553-0003　大阪府大阪市福島区福島8丁目21番10号</t>
    <rPh sb="10" eb="13">
      <t>オオサカフ</t>
    </rPh>
    <rPh sb="13" eb="16">
      <t>オオサカシ</t>
    </rPh>
    <rPh sb="16" eb="19">
      <t>フクシマク</t>
    </rPh>
    <rPh sb="19" eb="21">
      <t>フクシマ</t>
    </rPh>
    <rPh sb="22" eb="24">
      <t>チョウメ</t>
    </rPh>
    <rPh sb="26" eb="27">
      <t>バン</t>
    </rPh>
    <rPh sb="29" eb="30">
      <t>ゴウ</t>
    </rPh>
    <phoneticPr fontId="3"/>
  </si>
  <si>
    <t>Tel: 06-6455-2850 (代)</t>
    <rPh sb="19" eb="20">
      <t>ダイ</t>
    </rPh>
    <phoneticPr fontId="3"/>
  </si>
  <si>
    <t xml:space="preserve">部署: </t>
    <rPh sb="0" eb="2">
      <t>ブショ</t>
    </rPh>
    <phoneticPr fontId="3"/>
  </si>
  <si>
    <t>貿易部</t>
    <rPh sb="0" eb="3">
      <t>ボウエキブ</t>
    </rPh>
    <phoneticPr fontId="3"/>
  </si>
  <si>
    <t xml:space="preserve">ご担当様: </t>
    <rPh sb="1" eb="4">
      <t>タントウサマ</t>
    </rPh>
    <phoneticPr fontId="3"/>
  </si>
  <si>
    <t>メモ</t>
    <phoneticPr fontId="3"/>
  </si>
  <si>
    <t xml:space="preserve">Tel: </t>
    <phoneticPr fontId="3"/>
  </si>
  <si>
    <t>貼付け開始行</t>
    <rPh sb="0" eb="2">
      <t>ハリツ</t>
    </rPh>
    <rPh sb="3" eb="5">
      <t>カイシ</t>
    </rPh>
    <rPh sb="5" eb="6">
      <t>ギョウ</t>
    </rPh>
    <phoneticPr fontId="3"/>
  </si>
  <si>
    <t>明細開始行</t>
    <rPh sb="0" eb="2">
      <t>メイサイ</t>
    </rPh>
    <rPh sb="2" eb="5">
      <t>カイシギョウ</t>
    </rPh>
    <phoneticPr fontId="3"/>
  </si>
  <si>
    <t>明細終了行</t>
    <rPh sb="0" eb="2">
      <t>メイサイ</t>
    </rPh>
    <rPh sb="2" eb="5">
      <t>シュウリョウギョウ</t>
    </rPh>
    <phoneticPr fontId="3"/>
  </si>
  <si>
    <t>貼付け開始行</t>
    <rPh sb="0" eb="2">
      <t>ハリツ</t>
    </rPh>
    <rPh sb="3" eb="6">
      <t>カイシギョウ</t>
    </rPh>
    <phoneticPr fontId="3"/>
  </si>
  <si>
    <t>注記開始行</t>
    <rPh sb="0" eb="2">
      <t>チュウキ</t>
    </rPh>
    <rPh sb="2" eb="5">
      <t>カイシギョウ</t>
    </rPh>
    <phoneticPr fontId="3"/>
  </si>
  <si>
    <t>注記終了行</t>
    <rPh sb="0" eb="2">
      <t>チュウキ</t>
    </rPh>
    <rPh sb="2" eb="5">
      <t>シュウリョウギョウ</t>
    </rPh>
    <phoneticPr fontId="3"/>
  </si>
  <si>
    <t>メモ開始行</t>
    <rPh sb="2" eb="5">
      <t>カイシギョウ</t>
    </rPh>
    <phoneticPr fontId="3"/>
  </si>
  <si>
    <t>メモ終了行</t>
    <rPh sb="2" eb="5">
      <t>シュウリョウギョウ</t>
    </rPh>
    <phoneticPr fontId="3"/>
  </si>
  <si>
    <t>当社注文番号</t>
    <rPh sb="0" eb="2">
      <t>トウシャ</t>
    </rPh>
    <rPh sb="2" eb="6">
      <t>チュウモンバンゴウ</t>
    </rPh>
    <phoneticPr fontId="3"/>
  </si>
  <si>
    <t>SF米国と連動</t>
    <rPh sb="2" eb="4">
      <t>ベイコク</t>
    </rPh>
    <rPh sb="5" eb="7">
      <t>レンドウ</t>
    </rPh>
    <phoneticPr fontId="3"/>
  </si>
  <si>
    <t>No.</t>
  </si>
  <si>
    <r>
      <rPr>
        <b/>
        <sz val="11"/>
        <rFont val="MS UI Gothic"/>
        <family val="3"/>
        <charset val="128"/>
      </rPr>
      <t>品番</t>
    </r>
    <rPh sb="0" eb="2">
      <t>ヒンバン</t>
    </rPh>
    <phoneticPr fontId="3"/>
  </si>
  <si>
    <t>サイズ</t>
  </si>
  <si>
    <r>
      <rPr>
        <b/>
        <sz val="11"/>
        <rFont val="MS UI Gothic"/>
        <family val="3"/>
        <charset val="128"/>
      </rPr>
      <t>色番</t>
    </r>
    <rPh sb="0" eb="1">
      <t>イロ</t>
    </rPh>
    <rPh sb="1" eb="2">
      <t>バン</t>
    </rPh>
    <phoneticPr fontId="3"/>
  </si>
  <si>
    <r>
      <rPr>
        <b/>
        <sz val="11"/>
        <rFont val="MS UI Gothic"/>
        <family val="3"/>
        <charset val="128"/>
      </rPr>
      <t>仕立</t>
    </r>
    <rPh sb="0" eb="2">
      <t>シタテ</t>
    </rPh>
    <phoneticPr fontId="3"/>
  </si>
  <si>
    <r>
      <rPr>
        <b/>
        <sz val="11"/>
        <rFont val="MS UI Gothic"/>
        <family val="3"/>
        <charset val="128"/>
      </rPr>
      <t>反数</t>
    </r>
    <rPh sb="0" eb="1">
      <t>ハン</t>
    </rPh>
    <rPh sb="1" eb="2">
      <t>スウ</t>
    </rPh>
    <phoneticPr fontId="3"/>
  </si>
  <si>
    <r>
      <rPr>
        <b/>
        <sz val="11"/>
        <rFont val="MS UI Gothic"/>
        <family val="3"/>
        <charset val="128"/>
      </rPr>
      <t>数量</t>
    </r>
    <rPh sb="0" eb="2">
      <t>スウリョウ</t>
    </rPh>
    <phoneticPr fontId="3"/>
  </si>
  <si>
    <r>
      <rPr>
        <b/>
        <sz val="11"/>
        <rFont val="MS UI Gothic"/>
        <family val="3"/>
        <charset val="128"/>
      </rPr>
      <t>単価</t>
    </r>
    <rPh sb="0" eb="2">
      <t>タンカ</t>
    </rPh>
    <phoneticPr fontId="3"/>
  </si>
  <si>
    <r>
      <rPr>
        <b/>
        <sz val="11"/>
        <rFont val="MS UI Gothic"/>
        <family val="3"/>
        <charset val="128"/>
      </rPr>
      <t>金額</t>
    </r>
    <rPh sb="0" eb="2">
      <t>キンガク</t>
    </rPh>
    <phoneticPr fontId="3"/>
  </si>
  <si>
    <r>
      <rPr>
        <b/>
        <sz val="11"/>
        <rFont val="MS UI Gothic"/>
        <family val="3"/>
        <charset val="128"/>
      </rPr>
      <t>備考</t>
    </r>
    <r>
      <rPr>
        <b/>
        <sz val="11"/>
        <rFont val="Times New Roman"/>
        <family val="1"/>
      </rPr>
      <t>/</t>
    </r>
    <r>
      <rPr>
        <b/>
        <sz val="11"/>
        <rFont val="MS UI Gothic"/>
        <family val="3"/>
        <charset val="128"/>
      </rPr>
      <t>御社品番</t>
    </r>
    <rPh sb="0" eb="2">
      <t>ビコウ</t>
    </rPh>
    <rPh sb="3" eb="5">
      <t>オンシャ</t>
    </rPh>
    <rPh sb="5" eb="7">
      <t>ヒンバン</t>
    </rPh>
    <phoneticPr fontId="3"/>
  </si>
  <si>
    <r>
      <rPr>
        <b/>
        <sz val="11"/>
        <rFont val="MS UI Gothic"/>
        <family val="3"/>
        <charset val="128"/>
      </rPr>
      <t>在庫有無</t>
    </r>
    <rPh sb="0" eb="4">
      <t>ザイコウム</t>
    </rPh>
    <phoneticPr fontId="3"/>
  </si>
  <si>
    <r>
      <rPr>
        <b/>
        <sz val="11"/>
        <rFont val="MS UI Gothic"/>
        <family val="3"/>
        <charset val="128"/>
      </rPr>
      <t>納期</t>
    </r>
    <rPh sb="0" eb="2">
      <t>ノウキ</t>
    </rPh>
    <phoneticPr fontId="3"/>
  </si>
  <si>
    <t xml:space="preserve">L size </t>
    <phoneticPr fontId="3"/>
  </si>
  <si>
    <t>150m</t>
    <phoneticPr fontId="3"/>
  </si>
  <si>
    <t>シート名1</t>
    <rPh sb="3" eb="4">
      <t>メイ</t>
    </rPh>
    <phoneticPr fontId="3"/>
  </si>
  <si>
    <t>シート名2</t>
    <rPh sb="3" eb="4">
      <t>メイ</t>
    </rPh>
    <phoneticPr fontId="3"/>
  </si>
  <si>
    <t>BackOrder</t>
    <phoneticPr fontId="3"/>
  </si>
  <si>
    <t>シート名</t>
    <rPh sb="3" eb="4">
      <t>メイ</t>
    </rPh>
    <phoneticPr fontId="3"/>
  </si>
  <si>
    <t>Osaka, Japan</t>
    <phoneticPr fontId="3"/>
  </si>
  <si>
    <t>KG</t>
  </si>
  <si>
    <t>x x cm</t>
    <phoneticPr fontId="3"/>
  </si>
  <si>
    <t>Payment Due</t>
    <phoneticPr fontId="3"/>
  </si>
  <si>
    <t>Courier Account#</t>
    <phoneticPr fontId="3"/>
  </si>
  <si>
    <t>U.S.A.</t>
    <phoneticPr fontId="3"/>
  </si>
  <si>
    <t>-</t>
    <phoneticPr fontId="3"/>
  </si>
  <si>
    <t>2月中</t>
    <rPh sb="1" eb="2">
      <t>ガツ</t>
    </rPh>
    <rPh sb="2" eb="3">
      <t>チュウ</t>
    </rPh>
    <phoneticPr fontId="3"/>
  </si>
  <si>
    <t>RD-230119</t>
  </si>
  <si>
    <t>687 985 2585</t>
    <phoneticPr fontId="3"/>
  </si>
  <si>
    <t>①入力してください</t>
    <rPh sb="1" eb="3">
      <t>ニュウリョク</t>
    </rPh>
    <phoneticPr fontId="3"/>
  </si>
  <si>
    <t>↓⑦指定したデータ範囲をBackOrderから明細にコピー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</si>
  <si>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↓⑧データ入力が完了したら、下のボタンからファイルを保存して下さい：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</si>
  <si>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②選択してください</t>
    <rPh sb="1" eb="3">
      <t>センタク</t>
    </rPh>
    <phoneticPr fontId="3"/>
  </si>
  <si>
    <t>↓データ開始/終了行の参考用です</t>
    <rPh sb="4" eb="6">
      <t>カイシ</t>
    </rPh>
    <rPh sb="7" eb="10">
      <t>シュウリョウギョウ</t>
    </rPh>
    <rPh sb="11" eb="14">
      <t>サンコウヨウ</t>
    </rPh>
    <phoneticPr fontId="3"/>
  </si>
  <si>
    <t>③選択してください</t>
    <rPh sb="1" eb="3">
      <t>センタク</t>
    </rPh>
    <phoneticPr fontId="3"/>
  </si>
  <si>
    <t>④入力してください</t>
    <rPh sb="1" eb="3">
      <t>ニュウリョク</t>
    </rPh>
    <phoneticPr fontId="3"/>
  </si>
  <si>
    <t>⑤入力してください</t>
    <rPh sb="1" eb="3">
      <t>ニュウリョク</t>
    </rPh>
    <phoneticPr fontId="3"/>
  </si>
  <si>
    <t>：水色のセルは全て入力して下さい</t>
    <rPh sb="1" eb="3">
      <t>ミズイロ</t>
    </rPh>
    <rPh sb="7" eb="8">
      <t>スベ</t>
    </rPh>
    <rPh sb="9" eb="11">
      <t>ニュウリョク</t>
    </rPh>
    <rPh sb="13" eb="14">
      <t>クダ</t>
    </rPh>
    <phoneticPr fontId="3"/>
  </si>
  <si>
    <t>⑥入力してください</t>
    <rPh sb="1" eb="3">
      <t>ニュウリョク</t>
    </rPh>
    <phoneticPr fontId="3"/>
  </si>
  <si>
    <t>マクロ設定用
(変更しないで)</t>
    <rPh sb="3" eb="6">
      <t>セッテイヨウ</t>
    </rPh>
    <rPh sb="8" eb="10">
      <t>ヘンコウ</t>
    </rPh>
    <phoneticPr fontId="3"/>
  </si>
  <si>
    <t>改行位置検出</t>
    <rPh sb="0" eb="2">
      <t>カイギョウ</t>
    </rPh>
    <rPh sb="2" eb="4">
      <t>イチ</t>
    </rPh>
    <rPh sb="4" eb="6">
      <t>ケンシュツ</t>
    </rPh>
    <phoneticPr fontId="3"/>
  </si>
  <si>
    <t>作業中ユーザー</t>
    <rPh sb="0" eb="3">
      <t>サギョウチュウ</t>
    </rPh>
    <phoneticPr fontId="3"/>
  </si>
  <si>
    <t>保存フォルダ</t>
    <rPh sb="0" eb="2">
      <t>ホゾン</t>
    </rPh>
    <phoneticPr fontId="3"/>
  </si>
  <si>
    <t>←取引先マスタのAccount#を呼び出し</t>
    <rPh sb="1" eb="4">
      <t>トリヒキサキ</t>
    </rPh>
    <rPh sb="17" eb="18">
      <t>ヨ</t>
    </rPh>
    <rPh sb="19" eb="20">
      <t>ダ</t>
    </rPh>
    <phoneticPr fontId="3"/>
  </si>
  <si>
    <t>改行位置判定(69行目）</t>
    <rPh sb="0" eb="6">
      <t>カイギョウイチハンテイ</t>
    </rPh>
    <rPh sb="9" eb="11">
      <t>ギョウメ</t>
    </rPh>
    <phoneticPr fontId="3"/>
  </si>
  <si>
    <t>改行位置検出</t>
    <rPh sb="0" eb="4">
      <t>カイギョウイチ</t>
    </rPh>
    <rPh sb="4" eb="6">
      <t>ケンシュツ</t>
    </rPh>
    <phoneticPr fontId="3"/>
  </si>
  <si>
    <t>予備項目(1)</t>
    <rPh sb="0" eb="4">
      <t>ヨビコウモク</t>
    </rPh>
    <phoneticPr fontId="3"/>
  </si>
  <si>
    <t>予備項目(2)</t>
    <rPh sb="0" eb="4">
      <t>ヨビコウモク</t>
    </rPh>
    <phoneticPr fontId="3"/>
  </si>
  <si>
    <t>③入力してください</t>
    <rPh sb="1" eb="3">
      <t>ニュウリョク</t>
    </rPh>
    <phoneticPr fontId="3"/>
  </si>
  <si>
    <t>↓⑥指定したデータ範囲をBackOrderから明細にコピー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</si>
  <si>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↓⑦データ入力が完了したら、下のボタンからファイルを保存して下さい：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</si>
  <si>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改行位置判定</t>
    <rPh sb="0" eb="4">
      <t>カイギョウイチ</t>
    </rPh>
    <rPh sb="4" eb="6">
      <t>ハンテイ</t>
    </rPh>
    <phoneticPr fontId="3"/>
  </si>
  <si>
    <t>②入力してください</t>
    <rPh sb="1" eb="3">
      <t>ニュウリョク</t>
    </rPh>
    <phoneticPr fontId="3"/>
  </si>
  <si>
    <r>
      <t>SF America Invoice</t>
    </r>
    <r>
      <rPr>
        <sz val="11"/>
        <rFont val="Yu Gothic"/>
        <family val="1"/>
        <charset val="128"/>
      </rPr>
      <t>を出力</t>
    </r>
    <rPh sb="19" eb="21">
      <t>シュツリョク</t>
    </rPh>
    <phoneticPr fontId="3"/>
  </si>
  <si>
    <r>
      <t>SF Osaka Invoice</t>
    </r>
    <r>
      <rPr>
        <sz val="11"/>
        <rFont val="Yu Gothic"/>
        <family val="1"/>
        <charset val="128"/>
      </rPr>
      <t>を出力</t>
    </r>
    <rPh sb="17" eb="19">
      <t>シュツリョク</t>
    </rPh>
    <phoneticPr fontId="3"/>
  </si>
  <si>
    <r>
      <rPr>
        <sz val="11"/>
        <rFont val="ＭＳ Ｐゴシック"/>
        <family val="3"/>
        <charset val="128"/>
      </rPr>
      <t>両方の</t>
    </r>
    <r>
      <rPr>
        <sz val="11"/>
        <rFont val="Times New Roman"/>
        <family val="1"/>
      </rPr>
      <t>Invoice</t>
    </r>
    <r>
      <rPr>
        <sz val="11"/>
        <rFont val="Yu Gothic"/>
        <family val="1"/>
        <charset val="128"/>
      </rPr>
      <t>を出力</t>
    </r>
    <rPh sb="0" eb="2">
      <t>リョウホウ</t>
    </rPh>
    <rPh sb="11" eb="13">
      <t>シュツリョク</t>
    </rPh>
    <phoneticPr fontId="3"/>
  </si>
  <si>
    <t>FedEx 726188874</t>
  </si>
  <si>
    <t xml:space="preserve">FedEx A/C: 535860300 </t>
    <phoneticPr fontId="3"/>
  </si>
  <si>
    <t>UPS A/C: 6471TT</t>
    <phoneticPr fontId="3"/>
  </si>
  <si>
    <t xml:space="preserve">JWU LLC </t>
    <phoneticPr fontId="3"/>
  </si>
  <si>
    <t>240 West 35th St. 11FL</t>
    <phoneticPr fontId="3"/>
  </si>
  <si>
    <t>Tel: 401 529 9925</t>
    <phoneticPr fontId="3"/>
  </si>
  <si>
    <t>Juan</t>
    <phoneticPr fontId="3"/>
  </si>
  <si>
    <t>2423 E. 23rd Street</t>
  </si>
  <si>
    <t>Tel: 323-582-1005</t>
  </si>
  <si>
    <t>Tel: 01 53 38 48 20</t>
  </si>
  <si>
    <t>サンコロナ小田株式会社</t>
    <rPh sb="5" eb="7">
      <t>オダ</t>
    </rPh>
    <rPh sb="7" eb="11">
      <t>カブシキガイシャ</t>
    </rPh>
    <phoneticPr fontId="3"/>
  </si>
  <si>
    <t>8782</t>
    <phoneticPr fontId="3"/>
  </si>
  <si>
    <t xml:space="preserve"># 25 Black </t>
    <phoneticPr fontId="3"/>
  </si>
  <si>
    <t xml:space="preserve"># 8 Baby Blue </t>
    <phoneticPr fontId="3"/>
  </si>
  <si>
    <t xml:space="preserve"># 19 Grey </t>
    <phoneticPr fontId="3"/>
  </si>
  <si>
    <t>M2017</t>
    <phoneticPr fontId="3"/>
  </si>
  <si>
    <t xml:space="preserve"># 208 </t>
    <phoneticPr fontId="3"/>
  </si>
  <si>
    <t># 33</t>
    <phoneticPr fontId="3"/>
  </si>
  <si>
    <t>Double Faced Velveteen Ribbon Rayon-89%, Nylon-11%</t>
    <phoneticPr fontId="3"/>
  </si>
  <si>
    <t># 125</t>
    <phoneticPr fontId="3"/>
  </si>
  <si>
    <t># 126</t>
    <phoneticPr fontId="3"/>
  </si>
  <si>
    <t># 222</t>
    <phoneticPr fontId="3"/>
  </si>
  <si>
    <t># 180</t>
    <phoneticPr fontId="3"/>
  </si>
  <si>
    <t># 271</t>
    <phoneticPr fontId="3"/>
  </si>
  <si>
    <t xml:space="preserve"># 76 </t>
    <phoneticPr fontId="3"/>
  </si>
  <si>
    <t xml:space="preserve"># 50 Black </t>
    <phoneticPr fontId="3"/>
  </si>
  <si>
    <t>TI-1050</t>
    <phoneticPr fontId="3"/>
  </si>
  <si>
    <t xml:space="preserve"># SG01 White </t>
    <phoneticPr fontId="3"/>
  </si>
  <si>
    <t xml:space="preserve"># SG04 Black </t>
    <phoneticPr fontId="3"/>
  </si>
  <si>
    <t xml:space="preserve"># R-4 Black </t>
    <phoneticPr fontId="3"/>
  </si>
  <si>
    <t>FWL-41079S</t>
    <phoneticPr fontId="3"/>
  </si>
  <si>
    <t>FWL-41035S</t>
    <phoneticPr fontId="3"/>
  </si>
  <si>
    <t># 230 Heather Grey</t>
    <phoneticPr fontId="3"/>
  </si>
  <si>
    <t xml:space="preserve">Creative Design </t>
    <phoneticPr fontId="3"/>
  </si>
  <si>
    <t># 92</t>
    <phoneticPr fontId="3"/>
  </si>
  <si>
    <t># 270</t>
    <phoneticPr fontId="3"/>
  </si>
  <si>
    <t># 84</t>
    <phoneticPr fontId="3"/>
  </si>
  <si>
    <t># 47</t>
    <phoneticPr fontId="3"/>
  </si>
  <si>
    <t>KYL-76620</t>
    <phoneticPr fontId="3"/>
  </si>
  <si>
    <t>5603 :C/# 31 Black x Black Cel Tip (15mm )</t>
    <phoneticPr fontId="3"/>
  </si>
  <si>
    <t>5603 :C/# 30 Midnight x Black Cel Tip (15mm )</t>
    <phoneticPr fontId="3"/>
  </si>
  <si>
    <t>5603 :C/# 09 Ivory x White Cel Tip (15mm )</t>
    <phoneticPr fontId="3"/>
  </si>
  <si>
    <t>ZMG0772</t>
    <phoneticPr fontId="3"/>
  </si>
  <si>
    <t>DTM TOFU( 11-4801TPG)</t>
    <phoneticPr fontId="3"/>
  </si>
  <si>
    <t>DTM Pistachio Shell(12-0110TPG)</t>
    <phoneticPr fontId="3"/>
  </si>
  <si>
    <t>ZMA2851</t>
    <phoneticPr fontId="3"/>
  </si>
  <si>
    <t>Nylon:65%,Cationic Polyester:35%</t>
    <phoneticPr fontId="3"/>
  </si>
  <si>
    <t>ZKC4151</t>
    <phoneticPr fontId="3"/>
  </si>
  <si>
    <t>ZMT3451</t>
    <phoneticPr fontId="3"/>
  </si>
  <si>
    <t># 21</t>
    <phoneticPr fontId="3"/>
  </si>
  <si>
    <t># 107</t>
    <phoneticPr fontId="3"/>
  </si>
  <si>
    <t># 104</t>
    <phoneticPr fontId="3"/>
  </si>
  <si>
    <t>KYL-875004GL6</t>
    <phoneticPr fontId="3"/>
  </si>
  <si>
    <t>Olive (Gold x Gray)</t>
    <phoneticPr fontId="3"/>
  </si>
  <si>
    <t>KYL-875004GL7</t>
    <phoneticPr fontId="3"/>
  </si>
  <si>
    <t>Wine (Gold x Wine)</t>
    <phoneticPr fontId="3"/>
  </si>
  <si>
    <t>KYL-875008GL6</t>
    <phoneticPr fontId="3"/>
  </si>
  <si>
    <t>KYL-875005GL6</t>
    <phoneticPr fontId="3"/>
  </si>
  <si>
    <t># 31 Blush Nude</t>
    <phoneticPr fontId="3"/>
  </si>
  <si>
    <t xml:space="preserve"># 0 Ivory </t>
    <phoneticPr fontId="3"/>
  </si>
  <si>
    <t># 113</t>
    <phoneticPr fontId="3"/>
  </si>
  <si>
    <t># 106</t>
    <phoneticPr fontId="3"/>
  </si>
  <si>
    <t xml:space="preserve">Nili Lotan(Tribeca Design Studio ) </t>
    <phoneticPr fontId="3"/>
  </si>
  <si>
    <t># SG36 Nude</t>
    <phoneticPr fontId="3"/>
  </si>
  <si>
    <t>TI-10-7095</t>
    <phoneticPr fontId="3"/>
  </si>
  <si>
    <t>PFD (Preventative Yellowing Process)</t>
    <phoneticPr fontId="3"/>
  </si>
  <si>
    <t>Dye Fee for # 10-7095 / PFD</t>
    <phoneticPr fontId="3"/>
  </si>
  <si>
    <t xml:space="preserve">SAKAE Black </t>
    <phoneticPr fontId="3"/>
  </si>
  <si>
    <t xml:space="preserve"> 1 set for Pistachio (USD 40/set )</t>
    <phoneticPr fontId="3"/>
  </si>
  <si>
    <t xml:space="preserve">DTM ( SAKAE ) Black </t>
    <phoneticPr fontId="3"/>
  </si>
  <si>
    <t>Dye Fee for Pistachio</t>
    <phoneticPr fontId="3"/>
  </si>
  <si>
    <t xml:space="preserve">Dye Fee for Black </t>
    <phoneticPr fontId="3"/>
  </si>
  <si>
    <t>Changzhou Hualida Garments Group (Theory )</t>
    <phoneticPr fontId="3"/>
  </si>
  <si>
    <t xml:space="preserve"># 84 Black </t>
    <phoneticPr fontId="3"/>
  </si>
  <si>
    <t>TRL-271447</t>
    <phoneticPr fontId="3"/>
  </si>
  <si>
    <t>KS-9300</t>
    <phoneticPr fontId="3"/>
  </si>
  <si>
    <t>FLR-85019</t>
    <phoneticPr fontId="3"/>
  </si>
  <si>
    <t>FLR-85042</t>
    <phoneticPr fontId="3"/>
  </si>
  <si>
    <t># 28</t>
    <phoneticPr fontId="3"/>
  </si>
  <si>
    <t xml:space="preserve"># FB Black </t>
    <phoneticPr fontId="3"/>
  </si>
  <si>
    <t>Striped Knit Tape  Polyester-100%</t>
    <phoneticPr fontId="3"/>
  </si>
  <si>
    <t>Strawberry Ice277:  x KhakiB8035: x Gardenia298: (13mm each)</t>
    <phoneticPr fontId="3"/>
  </si>
  <si>
    <t># 47 Deep Navy</t>
    <phoneticPr fontId="3"/>
  </si>
  <si>
    <t xml:space="preserve"># 42 Bluestone </t>
    <phoneticPr fontId="3"/>
  </si>
  <si>
    <t>SKL041733</t>
    <phoneticPr fontId="3"/>
  </si>
  <si>
    <t>SKL041732</t>
    <phoneticPr fontId="3"/>
  </si>
  <si>
    <t># A18</t>
    <phoneticPr fontId="3"/>
  </si>
  <si>
    <t># 160</t>
    <phoneticPr fontId="3"/>
  </si>
  <si>
    <t>Yarn CC # 1027 Vanilla</t>
    <phoneticPr fontId="3"/>
  </si>
  <si>
    <t>Yarn CC # 1196 Lilac</t>
    <phoneticPr fontId="3"/>
  </si>
  <si>
    <t>KYL-25284-19</t>
    <phoneticPr fontId="3"/>
  </si>
  <si>
    <t>KYL-T25281</t>
    <phoneticPr fontId="3"/>
  </si>
  <si>
    <t>KYL-875008S</t>
  </si>
  <si>
    <t xml:space="preserve">Silver </t>
  </si>
  <si>
    <t xml:space="preserve"># 62 </t>
    <phoneticPr fontId="3"/>
  </si>
  <si>
    <t>JQ-2020</t>
    <phoneticPr fontId="3"/>
  </si>
  <si>
    <t># OF  Off White</t>
    <phoneticPr fontId="3"/>
  </si>
  <si>
    <t xml:space="preserve">DTM Pink ( same as ST1010 / Col. 3 ) </t>
    <phoneticPr fontId="3"/>
  </si>
  <si>
    <t>T3500</t>
  </si>
  <si>
    <t>KYL-25483</t>
    <phoneticPr fontId="3"/>
  </si>
  <si>
    <t xml:space="preserve"># 2 Ecru </t>
    <phoneticPr fontId="3"/>
  </si>
  <si>
    <t>DTM Natural</t>
    <phoneticPr fontId="3"/>
  </si>
  <si>
    <r>
      <t xml:space="preserve">01578 </t>
    </r>
    <r>
      <rPr>
        <sz val="12"/>
        <color indexed="10"/>
        <rFont val="Arial"/>
        <family val="2"/>
      </rPr>
      <t>Wng-Yi</t>
    </r>
    <phoneticPr fontId="3"/>
  </si>
  <si>
    <t>CCR-02(M) with Bullet Tip</t>
    <phoneticPr fontId="3"/>
  </si>
  <si>
    <t>CCR-02(M) :C/# L808 Ivory x Silver Bullet Tips(PWP,16mm)</t>
    <phoneticPr fontId="3"/>
  </si>
  <si>
    <t>CCR-02(M) :C/# 34C Moss x Gold Bullet Tips(16mm)</t>
    <phoneticPr fontId="3"/>
  </si>
  <si>
    <t>CCR-02(M) :C/# 50C Black x Silver Bullet Tips(PWP,16mm)</t>
    <phoneticPr fontId="3"/>
  </si>
  <si>
    <t>CCR-02(M) :C/# L732 Sahara x Gold Bullet Tips(16mm)</t>
    <phoneticPr fontId="3"/>
  </si>
  <si>
    <t>Custom Yarn color order (L808 &amp; L732)</t>
    <phoneticPr fontId="3"/>
  </si>
  <si>
    <t>Below min. fee for custom cord (L808 &amp; L732)</t>
    <phoneticPr fontId="3"/>
  </si>
  <si>
    <r>
      <t xml:space="preserve">01579 </t>
    </r>
    <r>
      <rPr>
        <sz val="12"/>
        <color indexed="10"/>
        <rFont val="Arial"/>
        <family val="2"/>
      </rPr>
      <t>Tong Hui</t>
    </r>
    <phoneticPr fontId="3"/>
  </si>
  <si>
    <t>CCR-02(M) :C/# L704 Clear Blue x Silver Bullet Tips(PWP,16mm)</t>
    <phoneticPr fontId="3"/>
  </si>
  <si>
    <t>Custom Yarn color order (L704)</t>
    <phoneticPr fontId="3"/>
  </si>
  <si>
    <t>Below min. fee for cord (L704)</t>
    <phoneticPr fontId="3"/>
  </si>
  <si>
    <t xml:space="preserve"># 45 </t>
    <phoneticPr fontId="3"/>
  </si>
  <si>
    <t>KYL-25540</t>
    <phoneticPr fontId="3"/>
  </si>
  <si>
    <t>KYL-25412</t>
    <phoneticPr fontId="3"/>
  </si>
  <si>
    <t xml:space="preserve">Mill's  Black </t>
    <phoneticPr fontId="3"/>
  </si>
  <si>
    <t xml:space="preserve">FWL-23689-11 </t>
    <phoneticPr fontId="3"/>
  </si>
  <si>
    <t>FWL-23689</t>
    <phoneticPr fontId="3"/>
  </si>
  <si>
    <t>#64</t>
  </si>
  <si>
    <t>#19 Grey</t>
    <phoneticPr fontId="3"/>
  </si>
  <si>
    <t>#25 Black</t>
  </si>
  <si>
    <t xml:space="preserve"># 13 Coral </t>
    <phoneticPr fontId="3"/>
  </si>
  <si>
    <t xml:space="preserve">DTM Navy (19-4024TCX) </t>
    <phoneticPr fontId="3"/>
  </si>
  <si>
    <t>#OF</t>
  </si>
  <si>
    <t>#69</t>
  </si>
  <si>
    <t>#BK</t>
  </si>
  <si>
    <t>#20</t>
  </si>
  <si>
    <t>#26</t>
  </si>
  <si>
    <t>#FB</t>
  </si>
  <si>
    <t xml:space="preserve"># 11 Light Blush from #TI7030  </t>
    <phoneticPr fontId="3"/>
  </si>
  <si>
    <t xml:space="preserve"># 33 Sandstorm </t>
    <phoneticPr fontId="3"/>
  </si>
  <si>
    <t xml:space="preserve">Cutting Fee for test sample </t>
    <phoneticPr fontId="3"/>
  </si>
  <si>
    <t xml:space="preserve">Handling Fee (Inland Freight Charge in Japan) for test sample </t>
    <phoneticPr fontId="3"/>
  </si>
  <si>
    <t xml:space="preserve"># 73 Lilac </t>
    <phoneticPr fontId="3"/>
  </si>
  <si>
    <t># 30 Navy</t>
    <phoneticPr fontId="3"/>
  </si>
  <si>
    <t>KYL-7627</t>
    <phoneticPr fontId="3"/>
  </si>
  <si>
    <t xml:space="preserve">DTM Tickled pink- 14-1910 TPG  </t>
    <phoneticPr fontId="3"/>
  </si>
  <si>
    <t xml:space="preserve">DTM Mellow yellow- 12-0720 TPG </t>
    <phoneticPr fontId="3"/>
  </si>
  <si>
    <t xml:space="preserve">Silver </t>
    <phoneticPr fontId="3"/>
  </si>
  <si>
    <t xml:space="preserve"># 13 Coral test sample </t>
    <phoneticPr fontId="3"/>
  </si>
  <si>
    <t>GB Test for # 13 Coral</t>
    <phoneticPr fontId="3"/>
  </si>
  <si>
    <t xml:space="preserve"># DTM Watermelon </t>
    <phoneticPr fontId="3"/>
  </si>
  <si>
    <t xml:space="preserve">  # 52 Sterling</t>
    <phoneticPr fontId="3"/>
  </si>
  <si>
    <t># 59</t>
    <phoneticPr fontId="3"/>
  </si>
  <si>
    <t xml:space="preserve"># 2 Ivory </t>
    <phoneticPr fontId="3"/>
  </si>
  <si>
    <t>Acrylic Cords   Acrylic 100%</t>
    <phoneticPr fontId="3"/>
  </si>
  <si>
    <t>8400F</t>
    <phoneticPr fontId="3"/>
  </si>
  <si>
    <t>KYL-875008S</t>
    <phoneticPr fontId="3"/>
  </si>
  <si>
    <t>Silver</t>
    <phoneticPr fontId="3"/>
  </si>
  <si>
    <t xml:space="preserve"># 95 Black </t>
    <phoneticPr fontId="3"/>
  </si>
  <si>
    <t># 2 White</t>
    <phoneticPr fontId="3"/>
  </si>
  <si>
    <t># 101</t>
    <phoneticPr fontId="3"/>
  </si>
  <si>
    <t>KYL-25100</t>
    <phoneticPr fontId="3"/>
  </si>
  <si>
    <t># 132</t>
    <phoneticPr fontId="3"/>
  </si>
  <si>
    <t>FWL-24192</t>
    <phoneticPr fontId="3"/>
  </si>
  <si>
    <t>DTM Black</t>
    <phoneticPr fontId="3"/>
  </si>
  <si>
    <t>DTM Mulberry</t>
    <phoneticPr fontId="3"/>
  </si>
  <si>
    <t># 170 Blush</t>
    <phoneticPr fontId="3"/>
  </si>
  <si>
    <t># 55 DARK GREEN</t>
    <phoneticPr fontId="3"/>
  </si>
  <si>
    <t xml:space="preserve">JAPAN </t>
  </si>
  <si>
    <t>PO-02618 Punto Group</t>
  </si>
  <si>
    <t xml:space="preserve">Art .# </t>
    <phoneticPr fontId="3"/>
  </si>
  <si>
    <t>FOB JAPAN /m</t>
    <phoneticPr fontId="3"/>
  </si>
  <si>
    <t>920-8</t>
    <phoneticPr fontId="3"/>
  </si>
  <si>
    <t xml:space="preserve">DTM Ivory </t>
    <phoneticPr fontId="3"/>
  </si>
  <si>
    <t>DTM Pink-Nude</t>
    <phoneticPr fontId="3"/>
  </si>
  <si>
    <t>Put-up / roll</t>
    <phoneticPr fontId="3"/>
  </si>
  <si>
    <t xml:space="preserve">Roll Qty </t>
    <phoneticPr fontId="3"/>
  </si>
  <si>
    <t>(Total Qty in yds )</t>
    <phoneticPr fontId="3"/>
  </si>
  <si>
    <t>CIF HK Price  /m</t>
    <phoneticPr fontId="3"/>
  </si>
  <si>
    <t>Off White</t>
    <phoneticPr fontId="3"/>
  </si>
  <si>
    <t>KYL-T23217-19</t>
    <phoneticPr fontId="3"/>
  </si>
  <si>
    <t xml:space="preserve">Mill's Black </t>
  </si>
  <si>
    <t>Off White</t>
  </si>
  <si>
    <t>KYL-T23217-19</t>
  </si>
  <si>
    <t>Mill's Black</t>
  </si>
  <si>
    <t>KYL-T23217-1</t>
  </si>
  <si>
    <t>L/T as of 1st Nov.</t>
    <phoneticPr fontId="3"/>
  </si>
  <si>
    <t>KS-9300</t>
  </si>
  <si>
    <t># 44 Black</t>
  </si>
  <si>
    <t xml:space="preserve">over 10,000m in stock </t>
    <phoneticPr fontId="3"/>
  </si>
  <si>
    <t># 2 White</t>
  </si>
  <si>
    <t>KS-9306</t>
  </si>
  <si>
    <t xml:space="preserve">abt 4 - 5 weeks </t>
    <phoneticPr fontId="3"/>
  </si>
  <si>
    <t># 7</t>
  </si>
  <si>
    <t># 9</t>
  </si>
  <si>
    <t># 12</t>
  </si>
  <si>
    <t># 7</t>
    <phoneticPr fontId="3"/>
  </si>
  <si>
    <t>3 sets (US$ 5/cut )</t>
    <phoneticPr fontId="3"/>
  </si>
  <si>
    <t xml:space="preserve">Additional Qty </t>
    <phoneticPr fontId="3"/>
  </si>
  <si>
    <t xml:space="preserve"># 22 Black </t>
    <phoneticPr fontId="3"/>
  </si>
  <si>
    <t># 20 DK Navy</t>
    <phoneticPr fontId="3"/>
  </si>
  <si>
    <t># 10 Sage</t>
    <phoneticPr fontId="3"/>
  </si>
  <si>
    <t xml:space="preserve"># 1 Optic White </t>
    <phoneticPr fontId="3"/>
  </si>
  <si>
    <t xml:space="preserve"># 131 Nude </t>
    <phoneticPr fontId="3"/>
  </si>
  <si>
    <t xml:space="preserve"># 305 Pale Blue </t>
    <phoneticPr fontId="3"/>
  </si>
  <si>
    <t>TP614848</t>
    <phoneticPr fontId="3"/>
  </si>
  <si>
    <t>KATLEYA (Derek Lam  )</t>
    <phoneticPr fontId="3"/>
  </si>
  <si>
    <t>DTM Saffron</t>
    <phoneticPr fontId="3"/>
  </si>
  <si>
    <t>KYL-23423-19</t>
    <phoneticPr fontId="3"/>
  </si>
  <si>
    <t>FWL-24003</t>
    <phoneticPr fontId="3"/>
  </si>
  <si>
    <t>FWL-3218</t>
    <phoneticPr fontId="3"/>
  </si>
  <si>
    <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27.4</t>
    </r>
    <r>
      <rPr>
        <sz val="12"/>
        <color indexed="8"/>
        <rFont val="ＭＳ Ｐゴシック"/>
        <family val="3"/>
        <charset val="128"/>
      </rPr>
      <t>ｍキープ済みです。</t>
    </r>
  </si>
  <si>
    <t xml:space="preserve">Approved </t>
    <phoneticPr fontId="3"/>
  </si>
  <si>
    <r>
      <t>（不足出た場合はあと</t>
    </r>
    <r>
      <rPr>
        <sz val="12"/>
        <color indexed="8"/>
        <rFont val="Calibri"/>
        <family val="2"/>
      </rP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60</t>
    </r>
    <r>
      <rPr>
        <sz val="12"/>
        <color indexed="8"/>
        <rFont val="ＭＳ Ｐゴシック"/>
        <family val="3"/>
        <charset val="128"/>
      </rPr>
      <t>ｍほど残ります。</t>
    </r>
  </si>
  <si>
    <t>KYL-T25281-19</t>
    <phoneticPr fontId="3"/>
  </si>
  <si>
    <r>
      <t>T25281</t>
    </r>
    <r>
      <rPr>
        <sz val="12"/>
        <color indexed="8"/>
        <rFont val="ＭＳ Ｐゴシック"/>
        <family val="3"/>
        <charset val="128"/>
      </rPr>
      <t>オフは</t>
    </r>
    <r>
      <rPr>
        <sz val="12"/>
        <color indexed="8"/>
        <rFont val="Calibri"/>
        <family val="2"/>
      </rPr>
      <t>2/28</t>
    </r>
    <r>
      <rPr>
        <sz val="12"/>
        <color indexed="8"/>
        <rFont val="ＭＳ Ｐゴシック"/>
        <family val="3"/>
        <charset val="128"/>
      </rPr>
      <t>に</t>
    </r>
    <r>
      <rPr>
        <sz val="12"/>
        <color indexed="8"/>
        <rFont val="Calibri"/>
        <family val="2"/>
      </rPr>
      <t>1,800</t>
    </r>
    <r>
      <rPr>
        <sz val="12"/>
        <color indexed="8"/>
        <rFont val="ＭＳ Ｐゴシック"/>
        <family val="3"/>
        <charset val="128"/>
      </rPr>
      <t>ｍに入荷予定になっておりますので</t>
    </r>
  </si>
  <si>
    <t>そのあと染色出来ます。）</t>
  </si>
  <si>
    <t xml:space="preserve">16the March </t>
    <phoneticPr fontId="3"/>
  </si>
  <si>
    <r>
      <t>T8333-19</t>
    </r>
    <r>
      <rPr>
        <sz val="12"/>
        <color indexed="8"/>
        <rFont val="ＭＳ Ｐゴシック"/>
        <family val="3"/>
        <charset val="128"/>
      </rPr>
      <t>　本日染色に出します。</t>
    </r>
    <r>
      <rPr>
        <sz val="12"/>
        <color indexed="8"/>
        <rFont val="Calibri"/>
        <family val="2"/>
      </rPr>
      <t>2/</t>
    </r>
    <r>
      <rPr>
        <sz val="12"/>
        <color indexed="8"/>
        <rFont val="ＭＳ Ｐゴシック"/>
        <family val="3"/>
        <charset val="128"/>
      </rPr>
      <t>末に上がり予定です。</t>
    </r>
  </si>
  <si>
    <t>DTM Midnight Dye Lot 2</t>
    <phoneticPr fontId="3"/>
  </si>
  <si>
    <t>DTM Saffron Dye Lot 2</t>
    <phoneticPr fontId="3"/>
  </si>
  <si>
    <t>MC-gran491</t>
    <phoneticPr fontId="3"/>
  </si>
  <si>
    <t xml:space="preserve"># 321 Mauve </t>
    <phoneticPr fontId="3"/>
  </si>
  <si>
    <t># 308 Blush</t>
    <phoneticPr fontId="3"/>
  </si>
  <si>
    <t xml:space="preserve"># 306 Blush </t>
    <phoneticPr fontId="3"/>
  </si>
  <si>
    <t># A1 Nude</t>
    <phoneticPr fontId="3"/>
  </si>
  <si>
    <t>SKL036137</t>
    <phoneticPr fontId="3"/>
  </si>
  <si>
    <t>KYL-24241</t>
    <phoneticPr fontId="3"/>
  </si>
  <si>
    <t>DTM Dark Purple Grey</t>
    <phoneticPr fontId="3"/>
  </si>
  <si>
    <t>KYL-875008G</t>
    <phoneticPr fontId="3"/>
  </si>
  <si>
    <t># 21 Peony</t>
    <phoneticPr fontId="3"/>
  </si>
  <si>
    <t xml:space="preserve"># 79 Midnight </t>
    <phoneticPr fontId="3"/>
  </si>
  <si>
    <t xml:space="preserve"># 93 Grey </t>
    <phoneticPr fontId="3"/>
  </si>
  <si>
    <t>FOB JAPAN /roll</t>
    <phoneticPr fontId="3"/>
  </si>
  <si>
    <t># 123</t>
    <phoneticPr fontId="3"/>
  </si>
  <si>
    <t>TRL-287724</t>
    <phoneticPr fontId="3"/>
  </si>
  <si>
    <t>TRL-358127</t>
    <phoneticPr fontId="3"/>
  </si>
  <si>
    <t>KYL-T25320</t>
    <phoneticPr fontId="3"/>
  </si>
  <si>
    <t>KYL-25513</t>
    <phoneticPr fontId="3"/>
  </si>
  <si>
    <t>KYL-25512</t>
    <phoneticPr fontId="3"/>
  </si>
  <si>
    <t xml:space="preserve"># 3SW Optic White </t>
    <phoneticPr fontId="3"/>
  </si>
  <si>
    <t>TP616300</t>
    <phoneticPr fontId="3"/>
  </si>
  <si>
    <t>ES-134</t>
    <phoneticPr fontId="3"/>
  </si>
  <si>
    <t xml:space="preserve"># 50 Black  </t>
    <phoneticPr fontId="3"/>
  </si>
  <si>
    <t>TP616301</t>
    <phoneticPr fontId="3"/>
  </si>
  <si>
    <t>TP616302</t>
    <phoneticPr fontId="3"/>
  </si>
  <si>
    <t>R1900T</t>
    <phoneticPr fontId="3"/>
  </si>
  <si>
    <t>DS-2838</t>
    <phoneticPr fontId="3"/>
  </si>
  <si>
    <t xml:space="preserve">Optic White </t>
    <phoneticPr fontId="3"/>
  </si>
  <si>
    <t xml:space="preserve">Mill's Black ( Piece Dyed ) </t>
    <phoneticPr fontId="3"/>
  </si>
  <si>
    <t>Dye Fee for DS 2838</t>
    <phoneticPr fontId="3"/>
  </si>
  <si>
    <t>FWL-91728 ( FWL-69085 Cotton Ver.)</t>
    <phoneticPr fontId="3"/>
  </si>
  <si>
    <t>Mill's Black ( Yarn Dyed )</t>
    <phoneticPr fontId="3"/>
  </si>
  <si>
    <t>Set up Fee for FWL-</t>
    <phoneticPr fontId="3"/>
  </si>
  <si>
    <t>FWL-22937</t>
    <phoneticPr fontId="3"/>
  </si>
  <si>
    <t>FWL-21871</t>
    <phoneticPr fontId="3"/>
  </si>
  <si>
    <t xml:space="preserve">Dye Fee for FWL-21871 Black </t>
    <phoneticPr fontId="3"/>
  </si>
  <si>
    <t>KYL-25578</t>
    <phoneticPr fontId="3"/>
  </si>
  <si>
    <t xml:space="preserve">Dye Fee for KYL-25578 Black </t>
    <phoneticPr fontId="3"/>
  </si>
  <si>
    <t>KYL-3222-1</t>
    <phoneticPr fontId="3"/>
  </si>
  <si>
    <t xml:space="preserve">Dye Fee for KYL-3222-1 Black </t>
    <phoneticPr fontId="3"/>
  </si>
  <si>
    <t xml:space="preserve">Dye Fee for KYL-23551-1 Black </t>
    <phoneticPr fontId="3"/>
  </si>
  <si>
    <t>TI-7000</t>
    <phoneticPr fontId="3"/>
  </si>
  <si>
    <t># 60 Black</t>
    <phoneticPr fontId="3"/>
  </si>
  <si>
    <t xml:space="preserve"># 120 Champagne </t>
    <phoneticPr fontId="3"/>
  </si>
  <si>
    <t>FWL-7302</t>
  </si>
  <si>
    <t>GREIGE(OFF WHITE)</t>
    <phoneticPr fontId="3"/>
  </si>
  <si>
    <t>FWL-7302- 3.8CM</t>
  </si>
  <si>
    <t>FWL-22446</t>
  </si>
  <si>
    <t>FWL-71543</t>
  </si>
  <si>
    <t>Set up Fee for FWL-7302 3.8cm</t>
    <phoneticPr fontId="3"/>
  </si>
  <si>
    <t>Q3FY19#055</t>
    <phoneticPr fontId="3"/>
  </si>
  <si>
    <t xml:space="preserve">DTM New White </t>
    <phoneticPr fontId="3"/>
  </si>
  <si>
    <t>Dye80</t>
    <phoneticPr fontId="3"/>
  </si>
  <si>
    <t>DTM TEA STAIN ECRU</t>
    <phoneticPr fontId="3"/>
  </si>
  <si>
    <t xml:space="preserve">DTM CLAY </t>
    <phoneticPr fontId="3"/>
  </si>
  <si>
    <t>DTM VINTAGE BROWN</t>
    <phoneticPr fontId="3"/>
  </si>
  <si>
    <t>DTM BLACK</t>
    <phoneticPr fontId="3"/>
  </si>
  <si>
    <t>DYEING SURCHARGE for CLAY &amp; VINTAGE BROWN</t>
    <phoneticPr fontId="3"/>
  </si>
  <si>
    <t>FWL-91769</t>
    <phoneticPr fontId="3"/>
  </si>
  <si>
    <t>DTM NEW WHITE</t>
    <phoneticPr fontId="3"/>
  </si>
  <si>
    <t>DTM VINTAGE GREY</t>
    <phoneticPr fontId="3"/>
  </si>
  <si>
    <t>DYEING SURCHARGE for VINTAGE GREY</t>
    <phoneticPr fontId="3"/>
  </si>
  <si>
    <t>Dye70</t>
    <phoneticPr fontId="3"/>
  </si>
  <si>
    <t>DYEING SURCHARGE for VINTAGE BROWN</t>
    <phoneticPr fontId="3"/>
  </si>
  <si>
    <t xml:space="preserve"># 51 Julep </t>
    <phoneticPr fontId="3"/>
  </si>
  <si>
    <t># 10 Light Pink</t>
    <phoneticPr fontId="3"/>
  </si>
  <si>
    <t># 11 Slipper Pink</t>
    <phoneticPr fontId="3"/>
  </si>
  <si>
    <t># SO Pearl</t>
    <phoneticPr fontId="3"/>
  </si>
  <si>
    <t>Cutting Fee for # 51 &amp; # 10</t>
    <phoneticPr fontId="3"/>
  </si>
  <si>
    <r>
      <rPr>
        <sz val="12"/>
        <color indexed="8"/>
        <rFont val="ＭＳ Ｐゴシック"/>
        <family val="3"/>
        <charset val="128"/>
      </rPr>
      <t>単価</t>
    </r>
    <r>
      <rPr>
        <sz val="12"/>
        <color indexed="8"/>
        <rFont val="Arial"/>
        <family val="2"/>
      </rPr>
      <t xml:space="preserve"> /m</t>
    </r>
    <rPh sb="0" eb="2">
      <t>タンカ</t>
    </rPh>
    <phoneticPr fontId="3"/>
  </si>
  <si>
    <r>
      <t xml:space="preserve">749 </t>
    </r>
    <r>
      <rPr>
        <sz val="12"/>
        <color indexed="10"/>
        <rFont val="Arial  "/>
        <family val="2"/>
      </rPr>
      <t>LA</t>
    </r>
    <r>
      <rPr>
        <sz val="12"/>
        <rFont val="Arial  "/>
        <family val="2"/>
      </rPr>
      <t xml:space="preserve"> </t>
    </r>
    <phoneticPr fontId="3"/>
  </si>
  <si>
    <t>FWL-23949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</si>
  <si>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43 </t>
    </r>
    <phoneticPr fontId="3"/>
  </si>
  <si>
    <t xml:space="preserve">Black 55 </t>
    <phoneticPr fontId="3"/>
  </si>
  <si>
    <t>DTM Lemonade</t>
    <phoneticPr fontId="3"/>
  </si>
  <si>
    <t>DTM Summer Sky</t>
    <phoneticPr fontId="3"/>
  </si>
  <si>
    <t>FWL-22987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</si>
  <si>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73</t>
    </r>
    <phoneticPr fontId="3"/>
  </si>
  <si>
    <t xml:space="preserve">Black 95 </t>
    <phoneticPr fontId="3"/>
  </si>
  <si>
    <t>FWL-7379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</si>
  <si>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132</t>
    </r>
    <phoneticPr fontId="3"/>
  </si>
  <si>
    <t>FWL-21969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</si>
  <si>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32</t>
    </r>
    <phoneticPr fontId="3"/>
  </si>
  <si>
    <t xml:space="preserve">Black 42 </t>
    <phoneticPr fontId="3"/>
  </si>
  <si>
    <t>DTM Ballet Pink</t>
    <phoneticPr fontId="3"/>
  </si>
  <si>
    <t>FWL-24150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</si>
  <si>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87</t>
    </r>
    <phoneticPr fontId="3"/>
  </si>
  <si>
    <t>FWL-22729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</si>
  <si>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36</t>
    </r>
    <phoneticPr fontId="3"/>
  </si>
  <si>
    <t>FWL-3171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</si>
  <si>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42</t>
    </r>
    <phoneticPr fontId="3"/>
  </si>
  <si>
    <t xml:space="preserve">DTM Azure </t>
    <phoneticPr fontId="3"/>
  </si>
  <si>
    <t xml:space="preserve">DTM Sandstone </t>
    <phoneticPr fontId="3"/>
  </si>
  <si>
    <t>DTM Neon Pink</t>
    <phoneticPr fontId="3"/>
  </si>
  <si>
    <t>FWL-91787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</si>
  <si>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135</t>
    </r>
    <phoneticPr fontId="3"/>
  </si>
  <si>
    <t xml:space="preserve">Set-up Fee for </t>
    <phoneticPr fontId="3"/>
  </si>
  <si>
    <t xml:space="preserve">7 sets </t>
    <phoneticPr fontId="3"/>
  </si>
  <si>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 xml:space="preserve">7000 - </t>
    </r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>8000</t>
    </r>
    <phoneticPr fontId="3"/>
  </si>
  <si>
    <t>8000/7000</t>
    <phoneticPr fontId="3"/>
  </si>
  <si>
    <r>
      <t>in stock-</t>
    </r>
    <r>
      <rPr>
        <b/>
        <sz val="12"/>
        <color indexed="30"/>
        <rFont val="ＭＳ Ｐゴシック"/>
        <family val="3"/>
        <charset val="128"/>
      </rPr>
      <t>キープ</t>
    </r>
    <r>
      <rPr>
        <sz val="12"/>
        <rFont val="Arial"/>
        <family val="2"/>
      </rPr>
      <t xml:space="preserve"> </t>
    </r>
    <phoneticPr fontId="3"/>
  </si>
  <si>
    <t># 1 Pink</t>
    <phoneticPr fontId="3"/>
  </si>
  <si>
    <r>
      <t>End of August-</t>
    </r>
    <r>
      <rPr>
        <b/>
        <sz val="12"/>
        <color indexed="30"/>
        <rFont val="ＭＳ Ｐゴシック"/>
        <family val="3"/>
        <charset val="128"/>
      </rPr>
      <t>生産進行お願いします</t>
    </r>
    <rPh sb="14" eb="16">
      <t>セイサン</t>
    </rPh>
    <rPh sb="16" eb="18">
      <t>シンコウ</t>
    </rPh>
    <rPh sb="19" eb="20">
      <t>ネガ</t>
    </rPh>
    <phoneticPr fontId="3"/>
  </si>
  <si>
    <t># 106 Fuchsia</t>
    <phoneticPr fontId="3"/>
  </si>
  <si>
    <t xml:space="preserve"># 109 Yellow </t>
    <phoneticPr fontId="3"/>
  </si>
  <si>
    <t># 642 Pink</t>
    <phoneticPr fontId="3"/>
  </si>
  <si>
    <t># Nude 618</t>
    <phoneticPr fontId="3"/>
  </si>
  <si>
    <t># 107 Red</t>
    <phoneticPr fontId="3"/>
  </si>
  <si>
    <t>S19C0058</t>
    <phoneticPr fontId="3"/>
  </si>
  <si>
    <t># GP1 Pale Pink</t>
    <phoneticPr fontId="3"/>
  </si>
  <si>
    <t>カット代無し</t>
    <rPh sb="3" eb="4">
      <t>ダイ</t>
    </rPh>
    <rPh sb="4" eb="5">
      <t>ナ</t>
    </rPh>
    <phoneticPr fontId="3"/>
  </si>
  <si>
    <t># A5 Rose Pink</t>
    <phoneticPr fontId="3"/>
  </si>
  <si>
    <r>
      <t xml:space="preserve">S19C0058 </t>
    </r>
    <r>
      <rPr>
        <sz val="12"/>
        <color indexed="10"/>
        <rFont val="Arial"/>
        <family val="2"/>
      </rPr>
      <t>Fullin</t>
    </r>
    <phoneticPr fontId="3"/>
  </si>
  <si>
    <r>
      <t xml:space="preserve">Fullin </t>
    </r>
    <r>
      <rPr>
        <sz val="12"/>
        <rFont val="ＭＳ Ｐゴシック"/>
        <family val="3"/>
        <charset val="128"/>
      </rPr>
      <t>に発送</t>
    </r>
    <rPh sb="8" eb="10">
      <t>ハッソウ</t>
    </rPh>
    <phoneticPr fontId="3"/>
  </si>
  <si>
    <t># A9 Lilac</t>
    <phoneticPr fontId="3"/>
  </si>
  <si>
    <t xml:space="preserve"># 300 Pale Yellow </t>
    <phoneticPr fontId="3"/>
  </si>
  <si>
    <t xml:space="preserve"># 280 Yellow </t>
    <phoneticPr fontId="3"/>
  </si>
  <si>
    <t>12 sets</t>
    <phoneticPr fontId="3"/>
  </si>
  <si>
    <t>S19C0061</t>
    <phoneticPr fontId="3"/>
  </si>
  <si>
    <t xml:space="preserve"># 24 Dusty Blue </t>
    <phoneticPr fontId="3"/>
  </si>
  <si>
    <t xml:space="preserve"># 11 Yellow </t>
    <phoneticPr fontId="3"/>
  </si>
  <si>
    <t xml:space="preserve"># 230 Heather </t>
    <phoneticPr fontId="3"/>
  </si>
  <si>
    <t xml:space="preserve"># 52 Dove Grey </t>
    <phoneticPr fontId="3"/>
  </si>
  <si>
    <t># 16 Peach</t>
    <phoneticPr fontId="3"/>
  </si>
  <si>
    <t># 32 Lavender</t>
    <phoneticPr fontId="3"/>
  </si>
  <si>
    <t>C&amp;F HK /m</t>
    <phoneticPr fontId="3"/>
  </si>
  <si>
    <t xml:space="preserve"># 32 Beige </t>
    <phoneticPr fontId="3"/>
  </si>
  <si>
    <t># 26 Navy</t>
    <phoneticPr fontId="3"/>
  </si>
  <si>
    <t># 44 Black</t>
    <phoneticPr fontId="3"/>
  </si>
  <si>
    <t>Out of Stock, ready early Sep.</t>
    <phoneticPr fontId="3"/>
  </si>
  <si>
    <t>Out of Stock, ready at the end of Sep.</t>
    <phoneticPr fontId="3"/>
  </si>
  <si>
    <t>FWL-71003</t>
    <phoneticPr fontId="3"/>
  </si>
  <si>
    <t>FWL-71029</t>
    <phoneticPr fontId="3"/>
  </si>
  <si>
    <r>
      <t xml:space="preserve">TT08008 </t>
    </r>
    <r>
      <rPr>
        <sz val="11"/>
        <color indexed="10"/>
        <rFont val="Arial"/>
        <family val="2"/>
      </rPr>
      <t/>
    </r>
    <phoneticPr fontId="3"/>
  </si>
  <si>
    <t>1017-10</t>
    <phoneticPr fontId="3"/>
  </si>
  <si>
    <t>染色代/m</t>
    <rPh sb="0" eb="2">
      <t>センショク</t>
    </rPh>
    <rPh sb="2" eb="3">
      <t>ダイ</t>
    </rPh>
    <phoneticPr fontId="3"/>
  </si>
  <si>
    <t>Off</t>
    <phoneticPr fontId="3"/>
  </si>
  <si>
    <t>FWL-23323</t>
    <phoneticPr fontId="3"/>
  </si>
  <si>
    <t xml:space="preserve">NEW WHITE (MILL'S OFF WHITE) </t>
    <phoneticPr fontId="3"/>
  </si>
  <si>
    <t>染色代：￥80/m</t>
    <rPh sb="0" eb="2">
      <t>センショク</t>
    </rPh>
    <rPh sb="2" eb="3">
      <t>ダイ</t>
    </rPh>
    <phoneticPr fontId="3"/>
  </si>
  <si>
    <t>FWL-71065</t>
    <phoneticPr fontId="3"/>
  </si>
  <si>
    <t>FWL-71070</t>
    <phoneticPr fontId="3"/>
  </si>
  <si>
    <t>FWL-7366</t>
    <phoneticPr fontId="3"/>
  </si>
  <si>
    <t>FWL-71069</t>
    <phoneticPr fontId="3"/>
  </si>
  <si>
    <t>FWL-2103</t>
    <phoneticPr fontId="3"/>
  </si>
  <si>
    <t xml:space="preserve">Dye Fee for Mill's Black </t>
    <phoneticPr fontId="3"/>
  </si>
  <si>
    <t xml:space="preserve">5 sets </t>
    <phoneticPr fontId="3"/>
  </si>
  <si>
    <t>FWL-23133</t>
    <phoneticPr fontId="3"/>
  </si>
  <si>
    <t>FWL-61086</t>
    <phoneticPr fontId="3"/>
  </si>
  <si>
    <t>FWL-61082</t>
    <phoneticPr fontId="3"/>
  </si>
  <si>
    <t>FWL-7302 (2.6cm )</t>
    <phoneticPr fontId="3"/>
  </si>
  <si>
    <t>染色代/col</t>
    <rPh sb="0" eb="2">
      <t>センショク</t>
    </rPh>
    <rPh sb="2" eb="3">
      <t>ダイ</t>
    </rPh>
    <phoneticPr fontId="3"/>
  </si>
  <si>
    <t>10-1035</t>
    <phoneticPr fontId="3"/>
  </si>
  <si>
    <t xml:space="preserve">DTM BLACK </t>
    <phoneticPr fontId="3"/>
  </si>
  <si>
    <t>DTM YKK 801</t>
    <phoneticPr fontId="3"/>
  </si>
  <si>
    <t>KYL-25520</t>
    <phoneticPr fontId="3"/>
  </si>
  <si>
    <t>KYL-25338</t>
    <phoneticPr fontId="3"/>
  </si>
  <si>
    <t>KYL-25068</t>
    <phoneticPr fontId="3"/>
  </si>
  <si>
    <t>TRL-291829</t>
    <phoneticPr fontId="3"/>
  </si>
  <si>
    <t>092719</t>
    <phoneticPr fontId="3"/>
  </si>
  <si>
    <t>OL-354181-1</t>
    <phoneticPr fontId="3"/>
  </si>
  <si>
    <t>POs from each factory</t>
    <phoneticPr fontId="3"/>
  </si>
  <si>
    <t xml:space="preserve">Chinamine : 720m </t>
    <phoneticPr fontId="3"/>
  </si>
  <si>
    <t xml:space="preserve">Chinamine : 120m </t>
    <phoneticPr fontId="3"/>
  </si>
  <si>
    <t xml:space="preserve">Unique : 60yds / Mandarin : 114m </t>
    <phoneticPr fontId="3"/>
  </si>
  <si>
    <t xml:space="preserve">Unique : 110yds </t>
    <phoneticPr fontId="3"/>
  </si>
  <si>
    <t xml:space="preserve">Chinamine : 80m </t>
    <phoneticPr fontId="3"/>
  </si>
  <si>
    <t xml:space="preserve">Unique : 170yds </t>
    <phoneticPr fontId="3"/>
  </si>
  <si>
    <r>
      <t>OL-356139</t>
    </r>
    <r>
      <rPr>
        <sz val="12"/>
        <color indexed="10"/>
        <rFont val="Arial"/>
        <family val="2"/>
      </rPr>
      <t>-1</t>
    </r>
    <phoneticPr fontId="3"/>
  </si>
  <si>
    <t xml:space="preserve">DTM Pink Sand </t>
    <phoneticPr fontId="3"/>
  </si>
  <si>
    <t>DTM Fuchsia</t>
    <phoneticPr fontId="3"/>
  </si>
  <si>
    <t>DTM Moroccan Blue</t>
    <phoneticPr fontId="3"/>
  </si>
  <si>
    <t xml:space="preserve">DTM Mustard </t>
    <phoneticPr fontId="3"/>
  </si>
  <si>
    <t>DTM White (or Mill's Off White ?)</t>
    <phoneticPr fontId="3"/>
  </si>
  <si>
    <t>OL-353526-1</t>
    <phoneticPr fontId="3"/>
  </si>
  <si>
    <t>OL-353529-1</t>
    <phoneticPr fontId="3"/>
  </si>
  <si>
    <t xml:space="preserve">Subtotal </t>
    <phoneticPr fontId="3"/>
  </si>
  <si>
    <t xml:space="preserve"># OF Ivory </t>
  </si>
  <si>
    <t># FB Black</t>
  </si>
  <si>
    <t>Backorders</t>
    <phoneticPr fontId="3"/>
  </si>
  <si>
    <t>FOB JAPAN / roll</t>
    <phoneticPr fontId="3"/>
  </si>
  <si>
    <t>FOB JAPAN / m</t>
    <phoneticPr fontId="3"/>
  </si>
  <si>
    <t xml:space="preserve">Courier A/C </t>
    <phoneticPr fontId="3"/>
  </si>
  <si>
    <t>DHL A/C : 965002200</t>
    <phoneticPr fontId="3"/>
  </si>
  <si>
    <t xml:space="preserve"> FedEx A/C : 256476126 </t>
    <phoneticPr fontId="3"/>
  </si>
  <si>
    <t>Ready on the 17th - 18th Dec.</t>
    <phoneticPr fontId="3"/>
  </si>
  <si>
    <t>Ready on the 5th - 6th Dec.</t>
    <phoneticPr fontId="3"/>
  </si>
  <si>
    <t>Ready Mid January, 2019</t>
    <phoneticPr fontId="3"/>
  </si>
  <si>
    <t xml:space="preserve"># 127 </t>
    <phoneticPr fontId="3"/>
  </si>
  <si>
    <t xml:space="preserve">Greige  </t>
    <phoneticPr fontId="3"/>
  </si>
  <si>
    <t>In stock, ship out on the 17th -18th Dec.</t>
    <phoneticPr fontId="3"/>
  </si>
  <si>
    <t>Ready Mid Feb. 2019</t>
    <phoneticPr fontId="3"/>
  </si>
  <si>
    <t># 122</t>
    <phoneticPr fontId="3"/>
  </si>
  <si>
    <t># 22 Black</t>
    <phoneticPr fontId="3"/>
  </si>
  <si>
    <t>単価/反</t>
    <rPh sb="0" eb="2">
      <t>タンカ</t>
    </rPh>
    <rPh sb="3" eb="4">
      <t>タン</t>
    </rPh>
    <phoneticPr fontId="3"/>
  </si>
  <si>
    <t xml:space="preserve"># 5 Black </t>
  </si>
  <si>
    <r>
      <t>525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</si>
  <si>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0 Cream</t>
  </si>
  <si>
    <r>
      <t>420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</si>
  <si>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123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</si>
  <si>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113 Mustard</t>
    <phoneticPr fontId="3"/>
  </si>
  <si>
    <t>DTM Copper (C/# 27 from # 12720)</t>
    <phoneticPr fontId="3"/>
  </si>
  <si>
    <t xml:space="preserve">Dye upcharge </t>
    <phoneticPr fontId="3"/>
  </si>
  <si>
    <t># 122 Navy</t>
    <phoneticPr fontId="3"/>
  </si>
  <si>
    <t># 102 White</t>
    <phoneticPr fontId="3"/>
  </si>
  <si>
    <t># 75 Maroon</t>
    <phoneticPr fontId="3"/>
  </si>
  <si>
    <t># 15 Red</t>
    <phoneticPr fontId="3"/>
  </si>
  <si>
    <t># 70 Emerald</t>
    <phoneticPr fontId="3"/>
  </si>
  <si>
    <t># 105</t>
    <phoneticPr fontId="3"/>
  </si>
  <si>
    <t>Ship out early February</t>
    <phoneticPr fontId="3"/>
  </si>
  <si>
    <t># 128</t>
    <phoneticPr fontId="3"/>
  </si>
  <si>
    <t># 68</t>
    <phoneticPr fontId="3"/>
  </si>
  <si>
    <t xml:space="preserve">Ready early March </t>
    <phoneticPr fontId="3"/>
  </si>
  <si>
    <t xml:space="preserve">Ready Mid. February </t>
    <phoneticPr fontId="3"/>
  </si>
  <si>
    <t># A12 Purple</t>
  </si>
  <si>
    <t xml:space="preserve"># 321 Mauve </t>
  </si>
  <si>
    <t>Select from Amossa Yarn C/C  (Top x Middle x Bottom )</t>
    <phoneticPr fontId="3"/>
  </si>
  <si>
    <t>BC031119PS20</t>
    <phoneticPr fontId="3"/>
  </si>
  <si>
    <t>KS-9304</t>
    <phoneticPr fontId="3"/>
  </si>
  <si>
    <t>Blue: A2021 x Red: B5019 x Yellow: B6013(5mm each)</t>
    <phoneticPr fontId="3"/>
  </si>
  <si>
    <t>Blue: A2021 x Red: B5019 x Yellow: B6013(12mm each)</t>
    <phoneticPr fontId="3"/>
  </si>
  <si>
    <t>Blue: A2021 x Red: B5019 x Yellow: B6013(16mm each)</t>
    <phoneticPr fontId="3"/>
  </si>
  <si>
    <t>EXW JAPAN / m</t>
    <phoneticPr fontId="3"/>
  </si>
  <si>
    <t>5120</t>
    <phoneticPr fontId="3"/>
  </si>
  <si>
    <t># 78 Navy</t>
    <phoneticPr fontId="3"/>
  </si>
  <si>
    <t xml:space="preserve"># 17 Blush </t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</si>
  <si>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</si>
  <si>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>CM-0002</t>
    <phoneticPr fontId="3"/>
  </si>
  <si>
    <t xml:space="preserve">Yellow: B6013 x Blue: B1069 x Red: B5019 (3mm each)  </t>
    <phoneticPr fontId="3"/>
  </si>
  <si>
    <t>CM-0003</t>
    <phoneticPr fontId="3"/>
  </si>
  <si>
    <t xml:space="preserve">Yellow: B6013 x Blue: B1069 x Red: B5019 (5mm each)  </t>
    <phoneticPr fontId="3"/>
  </si>
  <si>
    <t>CM-0004</t>
    <phoneticPr fontId="3"/>
  </si>
  <si>
    <t xml:space="preserve">Yellow: B6013 x Blue: B1069 x Red: B5019 (12mm each)  </t>
    <phoneticPr fontId="3"/>
  </si>
  <si>
    <t>CM-0005</t>
    <phoneticPr fontId="3"/>
  </si>
  <si>
    <t xml:space="preserve">Yellow: B6013 x Blue: B1069 x Red: B5019 (17mm each)  </t>
    <phoneticPr fontId="3"/>
  </si>
  <si>
    <t xml:space="preserve"># 16 Coral </t>
    <phoneticPr fontId="3"/>
  </si>
  <si>
    <t>After GW</t>
    <phoneticPr fontId="3"/>
  </si>
  <si>
    <t xml:space="preserve"># 230 Heather Grey </t>
    <phoneticPr fontId="3"/>
  </si>
  <si>
    <t>Mid May</t>
    <phoneticPr fontId="3"/>
  </si>
  <si>
    <t xml:space="preserve"># 24 Blue </t>
    <phoneticPr fontId="3"/>
  </si>
  <si>
    <t># 31 Lilac</t>
    <phoneticPr fontId="3"/>
  </si>
  <si>
    <t xml:space="preserve"># 51 Asher </t>
    <phoneticPr fontId="3"/>
  </si>
  <si>
    <t xml:space="preserve"># 52 Sterling </t>
    <phoneticPr fontId="3"/>
  </si>
  <si>
    <r>
      <rPr>
        <b/>
        <sz val="11"/>
        <rFont val="Arial"/>
        <family val="2"/>
      </rPr>
      <t xml:space="preserve">Color  </t>
    </r>
    <r>
      <rPr>
        <sz val="11"/>
        <rFont val="Arial"/>
        <family val="2"/>
      </rPr>
      <t>Select from Amossa Yarn C/C  (Top x Middle x Bottom )</t>
    </r>
    <phoneticPr fontId="3"/>
  </si>
  <si>
    <t>EXW JAPAN / set</t>
    <phoneticPr fontId="3"/>
  </si>
  <si>
    <t>CM-0006</t>
    <phoneticPr fontId="3"/>
  </si>
  <si>
    <t xml:space="preserve">KhakiBrown: B8035 x Navy: B1069 x Orange: B8001 (5mm each)  </t>
    <phoneticPr fontId="3"/>
  </si>
  <si>
    <t>CM-0007</t>
    <phoneticPr fontId="3"/>
  </si>
  <si>
    <t xml:space="preserve">KhakiBrown: B8035 x Navy: B1069 x Orange: B8001 (12mm each)  </t>
    <phoneticPr fontId="3"/>
  </si>
  <si>
    <t>CM-0008</t>
    <phoneticPr fontId="3"/>
  </si>
  <si>
    <t xml:space="preserve">KhakiBrown: B8035 x Navy: B1069 x Orange: B8001 (16mm each)  </t>
    <phoneticPr fontId="3"/>
  </si>
  <si>
    <t>CM-0009</t>
    <phoneticPr fontId="3"/>
  </si>
  <si>
    <t xml:space="preserve">KhakiBrown: B8035 x Navy: B1069 x Orange: B8001 (3mm each)  </t>
    <phoneticPr fontId="3"/>
  </si>
  <si>
    <t>Cancel Fee for 2nd sample (C-190408)</t>
    <phoneticPr fontId="3"/>
  </si>
  <si>
    <t>319 yen</t>
    <phoneticPr fontId="3"/>
  </si>
  <si>
    <t>1100 yen</t>
    <phoneticPr fontId="3"/>
  </si>
  <si>
    <t>482 yen</t>
    <phoneticPr fontId="3"/>
  </si>
  <si>
    <t>172 yen</t>
    <phoneticPr fontId="3"/>
  </si>
  <si>
    <t>LB/18-0143</t>
    <phoneticPr fontId="3"/>
  </si>
  <si>
    <t>10-7095</t>
    <phoneticPr fontId="3"/>
  </si>
  <si>
    <t>KYL-23309</t>
    <phoneticPr fontId="3"/>
  </si>
  <si>
    <r>
      <t>141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</si>
  <si>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商品</t>
    <rPh sb="0" eb="2">
      <t>ショウヒン</t>
    </rPh>
    <phoneticPr fontId="3"/>
  </si>
  <si>
    <r>
      <rPr>
        <sz val="11"/>
        <rFont val="ＭＳ Ｐゴシック"/>
        <family val="3"/>
        <charset val="128"/>
      </rPr>
      <t>カラー</t>
    </r>
    <r>
      <rPr>
        <sz val="11"/>
        <rFont val="Arial"/>
        <family val="2"/>
      </rPr>
      <t xml:space="preserve"> Amossa Yarn C/C  (Top x Middle x Bottom )</t>
    </r>
    <phoneticPr fontId="3"/>
  </si>
  <si>
    <t>別注ストライプテープ</t>
    <rPh sb="0" eb="2">
      <t>ベッチュウ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</si>
  <si>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5mm)  </t>
    </r>
    <rPh sb="49" eb="50">
      <t>カク</t>
    </rPh>
    <phoneticPr fontId="3"/>
  </si>
  <si>
    <r>
      <t>50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</si>
  <si>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43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</si>
  <si>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12mm )  </t>
    </r>
    <rPh sb="49" eb="50">
      <t>カク</t>
    </rPh>
    <phoneticPr fontId="3"/>
  </si>
  <si>
    <r>
      <t>104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</si>
  <si>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155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</si>
  <si>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</si>
  <si>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 xml:space="preserve">MOQ /col </t>
    <phoneticPr fontId="3"/>
  </si>
  <si>
    <t>KhakiBrown: B8035 x Navy: B1069 x Orange: B8001 (5mm each )  </t>
    <phoneticPr fontId="3"/>
  </si>
  <si>
    <t>KhakiBrown: B8035 x Navy: B1069 x Orange: B8001 (12mm each )  </t>
    <phoneticPr fontId="3"/>
  </si>
  <si>
    <t>MOQ/col for 
custom colors</t>
    <phoneticPr fontId="3"/>
  </si>
  <si>
    <t>USD/m</t>
    <phoneticPr fontId="3"/>
  </si>
  <si>
    <t>F19J-140</t>
    <phoneticPr fontId="3"/>
  </si>
  <si>
    <r>
      <t>PI# 2070</t>
    </r>
    <r>
      <rPr>
        <sz val="12"/>
        <rFont val="ＭＳ Ｐゴシック"/>
        <family val="3"/>
        <charset val="128"/>
      </rPr>
      <t>で</t>
    </r>
    <r>
      <rPr>
        <sz val="12"/>
        <rFont val="Arial"/>
        <family val="2"/>
      </rPr>
      <t xml:space="preserve">payment </t>
    </r>
    <r>
      <rPr>
        <sz val="12"/>
        <rFont val="ＭＳ Ｐゴシック"/>
        <family val="3"/>
        <charset val="128"/>
      </rPr>
      <t>受取予定</t>
    </r>
    <rPh sb="17" eb="19">
      <t>ウケトリ</t>
    </rPh>
    <rPh sb="19" eb="21">
      <t>ヨテイ</t>
    </rPh>
    <phoneticPr fontId="3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</si>
  <si>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 xml:space="preserve"> invoice </t>
    </r>
    <rPh sb="0" eb="2">
      <t>ツウジョウ</t>
    </rPh>
    <phoneticPr fontId="3"/>
  </si>
  <si>
    <t>F19J-141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</si>
  <si>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  "/>
        <family val="2"/>
      </rPr>
      <t>/m</t>
    </r>
    <rPh sb="0" eb="2">
      <t>タンカ</t>
    </rPh>
    <phoneticPr fontId="3"/>
  </si>
  <si>
    <r>
      <t>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</si>
  <si>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42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/m </t>
    </r>
    <rPh sb="2" eb="3">
      <t>エン</t>
    </rPh>
    <phoneticPr fontId="3"/>
  </si>
  <si>
    <t>X39842</t>
    <phoneticPr fontId="3"/>
  </si>
  <si>
    <t>Theory LLC</t>
    <phoneticPr fontId="3"/>
  </si>
  <si>
    <t>S-9480</t>
    <phoneticPr fontId="3"/>
  </si>
  <si>
    <r>
      <t xml:space="preserve">Black </t>
    </r>
    <r>
      <rPr>
        <sz val="12"/>
        <rFont val="ＭＳ Ｐゴシック"/>
        <family val="3"/>
        <charset val="128"/>
      </rPr>
      <t>単価</t>
    </r>
    <rPh sb="6" eb="8">
      <t>タンカ</t>
    </rPh>
    <phoneticPr fontId="3"/>
  </si>
  <si>
    <r>
      <rPr>
        <sz val="12"/>
        <rFont val="ＭＳ Ｐゴシック"/>
        <family val="3"/>
        <charset val="128"/>
      </rPr>
      <t>色物単価</t>
    </r>
    <r>
      <rPr>
        <sz val="12"/>
        <rFont val="Arial"/>
        <family val="2"/>
      </rPr>
      <t>12.8</t>
    </r>
    <rPh sb="0" eb="2">
      <t>イロモノ</t>
    </rPh>
    <rPh sb="2" eb="4">
      <t>タンカ</t>
    </rPh>
    <phoneticPr fontId="3"/>
  </si>
  <si>
    <t># 39 Capri</t>
    <phoneticPr fontId="3"/>
  </si>
  <si>
    <t xml:space="preserve"># 73 Dark Olive </t>
    <phoneticPr fontId="3"/>
  </si>
  <si>
    <t xml:space="preserve"># 18 Dusty Rose </t>
    <phoneticPr fontId="3"/>
  </si>
  <si>
    <t># 23 Magenta</t>
    <phoneticPr fontId="3"/>
  </si>
  <si>
    <t xml:space="preserve"># 58 Natural </t>
    <phoneticPr fontId="3"/>
  </si>
  <si>
    <t xml:space="preserve"># 77 Pale Green </t>
    <phoneticPr fontId="3"/>
  </si>
  <si>
    <t>X40115</t>
    <phoneticPr fontId="3"/>
  </si>
  <si>
    <t># 81</t>
    <phoneticPr fontId="3"/>
  </si>
  <si>
    <t>S-9518</t>
    <phoneticPr fontId="3"/>
  </si>
  <si>
    <t># 54</t>
    <phoneticPr fontId="3"/>
  </si>
  <si>
    <t>X40684</t>
    <phoneticPr fontId="3"/>
  </si>
  <si>
    <t># 61 Khaki Green</t>
    <phoneticPr fontId="3"/>
  </si>
  <si>
    <t>S-9600</t>
    <phoneticPr fontId="3"/>
  </si>
  <si>
    <t>X41231</t>
    <phoneticPr fontId="3"/>
  </si>
  <si>
    <t xml:space="preserve"># 84 </t>
    <phoneticPr fontId="3"/>
  </si>
  <si>
    <t>S-9675</t>
    <phoneticPr fontId="3"/>
  </si>
  <si>
    <t>CHG-190513</t>
    <phoneticPr fontId="3"/>
  </si>
  <si>
    <t>S-9641</t>
    <phoneticPr fontId="3"/>
  </si>
  <si>
    <t xml:space="preserve"># 83 Deep Slate </t>
    <phoneticPr fontId="3"/>
  </si>
  <si>
    <t xml:space="preserve"># 60 Grey Oat </t>
    <phoneticPr fontId="3"/>
  </si>
  <si>
    <t>CHG-190606</t>
    <phoneticPr fontId="3"/>
  </si>
  <si>
    <t>S-9711</t>
    <phoneticPr fontId="3"/>
  </si>
  <si>
    <t>X41453</t>
    <phoneticPr fontId="3"/>
  </si>
  <si>
    <t># 75</t>
    <phoneticPr fontId="3"/>
  </si>
  <si>
    <t>S-9709</t>
    <phoneticPr fontId="3"/>
  </si>
  <si>
    <t>X41538</t>
    <phoneticPr fontId="3"/>
  </si>
  <si>
    <t xml:space="preserve"># 56 Kelly Green </t>
    <phoneticPr fontId="3"/>
  </si>
  <si>
    <t>色</t>
    <rPh sb="0" eb="1">
      <t>イロ</t>
    </rPh>
    <phoneticPr fontId="3"/>
  </si>
  <si>
    <t xml:space="preserve">Col. 3 Black </t>
    <phoneticPr fontId="3"/>
  </si>
  <si>
    <t>210m</t>
    <phoneticPr fontId="3"/>
  </si>
  <si>
    <t>Col. 1 White</t>
    <phoneticPr fontId="3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</si>
  <si>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 xml:space="preserve"> /m </t>
    </r>
    <rPh sb="0" eb="2">
      <t>タンカ</t>
    </rPh>
    <phoneticPr fontId="3"/>
  </si>
  <si>
    <r>
      <t>142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</si>
  <si>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入荷済</t>
    <rPh sb="0" eb="2">
      <t>ニュウカ</t>
    </rPh>
    <rPh sb="2" eb="3">
      <t>スミ</t>
    </rPh>
    <phoneticPr fontId="3"/>
  </si>
  <si>
    <t>KYL-T24049</t>
    <phoneticPr fontId="3"/>
  </si>
  <si>
    <r>
      <t>215</t>
    </r>
    <r>
      <rPr>
        <sz val="12"/>
        <rFont val="ＭＳ Ｐゴシック"/>
        <family val="3"/>
        <charset val="128"/>
      </rPr>
      <t>円</t>
    </r>
    <phoneticPr fontId="3"/>
  </si>
  <si>
    <t>FLR-53022</t>
    <phoneticPr fontId="3"/>
  </si>
  <si>
    <r>
      <t>319</t>
    </r>
    <r>
      <rPr>
        <sz val="12"/>
        <rFont val="ＭＳ Ｐゴシック"/>
        <family val="3"/>
        <charset val="128"/>
      </rPr>
      <t>円</t>
    </r>
    <phoneticPr fontId="3"/>
  </si>
  <si>
    <t>FLR-55429</t>
    <phoneticPr fontId="3"/>
  </si>
  <si>
    <r>
      <t>450</t>
    </r>
    <r>
      <rPr>
        <sz val="12"/>
        <rFont val="ＭＳ Ｐゴシック"/>
        <family val="3"/>
        <charset val="128"/>
      </rPr>
      <t>円</t>
    </r>
    <phoneticPr fontId="3"/>
  </si>
  <si>
    <t>FWL-23504s</t>
    <phoneticPr fontId="3"/>
  </si>
  <si>
    <r>
      <t>253</t>
    </r>
    <r>
      <rPr>
        <sz val="12"/>
        <rFont val="ＭＳ Ｐゴシック"/>
        <family val="3"/>
        <charset val="128"/>
      </rPr>
      <t>円</t>
    </r>
    <phoneticPr fontId="3"/>
  </si>
  <si>
    <t>FWL-22236s</t>
    <phoneticPr fontId="3"/>
  </si>
  <si>
    <r>
      <t>408</t>
    </r>
    <r>
      <rPr>
        <sz val="12"/>
        <rFont val="ＭＳ Ｐゴシック"/>
        <family val="3"/>
        <charset val="128"/>
      </rPr>
      <t>円</t>
    </r>
    <phoneticPr fontId="3"/>
  </si>
  <si>
    <r>
      <rPr>
        <sz val="12"/>
        <rFont val="ＭＳ Ｐゴシック"/>
        <family val="3"/>
        <charset val="128"/>
      </rPr>
      <t>エステルスピンドル</t>
    </r>
    <r>
      <rPr>
        <sz val="12"/>
        <rFont val="Arial  "/>
        <family val="2"/>
      </rPr>
      <t xml:space="preserve"> ( 5288 )</t>
    </r>
    <phoneticPr fontId="3"/>
  </si>
  <si>
    <r>
      <t>20</t>
    </r>
    <r>
      <rPr>
        <sz val="12"/>
        <rFont val="ＭＳ Ｐゴシック"/>
        <family val="3"/>
        <charset val="128"/>
      </rPr>
      <t>円</t>
    </r>
    <phoneticPr fontId="3"/>
  </si>
  <si>
    <t xml:space="preserve"># 47 Black </t>
    <phoneticPr fontId="3"/>
  </si>
  <si>
    <r>
      <t>36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</si>
  <si>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92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</si>
  <si>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t>EXW JAPAN / roll</t>
    <phoneticPr fontId="3"/>
  </si>
  <si>
    <t xml:space="preserve"># 107 </t>
    <phoneticPr fontId="3"/>
  </si>
  <si>
    <t># 115</t>
    <phoneticPr fontId="3"/>
  </si>
  <si>
    <t># 119</t>
    <phoneticPr fontId="3"/>
  </si>
  <si>
    <t xml:space="preserve"># 121 </t>
    <phoneticPr fontId="3"/>
  </si>
  <si>
    <t># 131</t>
    <phoneticPr fontId="3"/>
  </si>
  <si>
    <t># 44</t>
    <phoneticPr fontId="3"/>
  </si>
  <si>
    <t xml:space="preserve">Around Aug. 7-8th </t>
    <phoneticPr fontId="3"/>
  </si>
  <si>
    <t># 39</t>
    <phoneticPr fontId="3"/>
  </si>
  <si>
    <t># 79</t>
    <phoneticPr fontId="3"/>
  </si>
  <si>
    <t xml:space="preserve">Around Aug. 2nd </t>
    <phoneticPr fontId="3"/>
  </si>
  <si>
    <t xml:space="preserve">Around July 29th  </t>
    <phoneticPr fontId="3"/>
  </si>
  <si>
    <t>KYL-24077</t>
    <phoneticPr fontId="3"/>
  </si>
  <si>
    <r>
      <t>319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</si>
  <si>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40</t>
    <phoneticPr fontId="3"/>
  </si>
  <si>
    <t>FLR-54418</t>
    <phoneticPr fontId="3"/>
  </si>
  <si>
    <r>
      <t>253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</si>
  <si>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55</t>
    <phoneticPr fontId="3"/>
  </si>
  <si>
    <t>KYL-24328</t>
    <phoneticPr fontId="3"/>
  </si>
  <si>
    <r>
      <t>193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</si>
  <si>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879</t>
    <phoneticPr fontId="3"/>
  </si>
  <si>
    <t>Black 119</t>
    <phoneticPr fontId="3"/>
  </si>
  <si>
    <t>KYL-T25109-19</t>
    <phoneticPr fontId="3"/>
  </si>
  <si>
    <t># 12  Mill's Ivory</t>
    <phoneticPr fontId="3"/>
  </si>
  <si>
    <t># 12:  139</t>
    <phoneticPr fontId="3"/>
  </si>
  <si>
    <t>Black 144</t>
    <phoneticPr fontId="3"/>
  </si>
  <si>
    <t xml:space="preserve"># 78 Cobalt </t>
    <phoneticPr fontId="3"/>
  </si>
  <si>
    <t>SIC-3122</t>
    <phoneticPr fontId="3"/>
  </si>
  <si>
    <t>LL size</t>
    <phoneticPr fontId="3"/>
  </si>
  <si>
    <t xml:space="preserve"># 01 White </t>
    <phoneticPr fontId="3"/>
  </si>
  <si>
    <t>LB/19-0432-2</t>
    <phoneticPr fontId="3"/>
  </si>
  <si>
    <t>Dye Fee for # 920-8</t>
    <phoneticPr fontId="3"/>
  </si>
  <si>
    <t>Dye Fee for # 10-7095</t>
    <phoneticPr fontId="3"/>
  </si>
  <si>
    <r>
      <rPr>
        <sz val="12"/>
        <rFont val="Arial  "/>
        <family val="2"/>
      </rPr>
      <t>123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</si>
  <si>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r>
      <t>69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</si>
  <si>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t>前回ロット</t>
    <rPh sb="0" eb="2">
      <t>ゼンカイ</t>
    </rPh>
    <phoneticPr fontId="3"/>
  </si>
  <si>
    <r>
      <t>6/3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S-282)</t>
    </r>
    <rPh sb="3" eb="5">
      <t>シュッカ</t>
    </rPh>
    <rPh sb="5" eb="6">
      <t>ブン</t>
    </rPh>
    <rPh sb="7" eb="8">
      <t>オナ</t>
    </rPh>
    <rPh sb="11" eb="13">
      <t>キボウ</t>
    </rPh>
    <rPh sb="14" eb="16">
      <t>ハッチュウ</t>
    </rPh>
    <phoneticPr fontId="3"/>
  </si>
  <si>
    <t># 37 Nude</t>
    <phoneticPr fontId="3"/>
  </si>
  <si>
    <r>
      <t>6/16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S-292)</t>
    </r>
    <rPh sb="4" eb="6">
      <t>シュッカ</t>
    </rPh>
    <rPh sb="6" eb="7">
      <t>ブン</t>
    </rPh>
    <rPh sb="8" eb="9">
      <t>オナ</t>
    </rPh>
    <rPh sb="12" eb="14">
      <t>キボウ</t>
    </rPh>
    <rPh sb="15" eb="17">
      <t>ハッチュウ</t>
    </rPh>
    <phoneticPr fontId="3"/>
  </si>
  <si>
    <t>ES-242</t>
    <phoneticPr fontId="3"/>
  </si>
  <si>
    <t xml:space="preserve">DTM Pale Yellow ( C/# 02 of ES-146 ) </t>
    <phoneticPr fontId="3"/>
  </si>
  <si>
    <t xml:space="preserve">DTM Dark Khaki ( C/# 78 of ES-146 ) </t>
    <phoneticPr fontId="3"/>
  </si>
  <si>
    <t xml:space="preserve">Dye fee for ES-242 </t>
    <phoneticPr fontId="3"/>
  </si>
  <si>
    <t>ES-146</t>
    <phoneticPr fontId="3"/>
  </si>
  <si>
    <t>C/# 02 Pale Yellow</t>
    <phoneticPr fontId="3"/>
  </si>
  <si>
    <t xml:space="preserve">C/# 78 Dark Khaki </t>
    <phoneticPr fontId="3"/>
  </si>
  <si>
    <t>DTM Light Blue</t>
    <phoneticPr fontId="3"/>
  </si>
  <si>
    <t xml:space="preserve">We bear a half of the cost </t>
    <phoneticPr fontId="3"/>
  </si>
  <si>
    <t xml:space="preserve">Dyeing Fee </t>
    <phoneticPr fontId="3"/>
  </si>
  <si>
    <t>KYL-T3220-1</t>
    <phoneticPr fontId="3"/>
  </si>
  <si>
    <t>KYL-3736-1</t>
    <phoneticPr fontId="3"/>
  </si>
  <si>
    <t>KYL-3472</t>
    <phoneticPr fontId="3"/>
  </si>
  <si>
    <t>FWL-23283</t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</si>
  <si>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phoneticPr fontId="3"/>
  </si>
  <si>
    <t>オーダー済・色確認中</t>
    <rPh sb="4" eb="5">
      <t>スミ</t>
    </rPh>
    <rPh sb="6" eb="7">
      <t>イロ</t>
    </rPh>
    <rPh sb="7" eb="9">
      <t>カクニン</t>
    </rPh>
    <rPh sb="9" eb="10">
      <t>チュウ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</si>
  <si>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phoneticPr fontId="3"/>
  </si>
  <si>
    <t>追加オーダー予定</t>
    <rPh sb="0" eb="2">
      <t>ツイカ</t>
    </rPh>
    <rPh sb="6" eb="8">
      <t>ヨテイ</t>
    </rPh>
    <phoneticPr fontId="3"/>
  </si>
  <si>
    <t>オーダー済</t>
    <rPh sb="4" eb="5">
      <t>スミ</t>
    </rPh>
    <phoneticPr fontId="3"/>
  </si>
  <si>
    <t>FWL-23808</t>
    <phoneticPr fontId="3"/>
  </si>
  <si>
    <t>DTM New White</t>
    <phoneticPr fontId="3"/>
  </si>
  <si>
    <r>
      <t xml:space="preserve">897m </t>
    </r>
    <r>
      <rPr>
        <b/>
        <sz val="12"/>
        <color indexed="10"/>
        <rFont val="ＭＳ Ｐゴシック"/>
        <family val="3"/>
        <charset val="128"/>
      </rPr>
      <t>→</t>
    </r>
    <r>
      <rPr>
        <b/>
        <sz val="12"/>
        <color indexed="10"/>
        <rFont val="Arial"/>
        <family val="2"/>
      </rPr>
      <t xml:space="preserve"> 650m </t>
    </r>
    <r>
      <rPr>
        <b/>
        <sz val="12"/>
        <color indexed="10"/>
        <rFont val="ＭＳ Ｐゴシック"/>
        <family val="3"/>
        <charset val="128"/>
      </rPr>
      <t>に変更予定</t>
    </r>
    <rPh sb="13" eb="15">
      <t>ヘンコウ</t>
    </rPh>
    <rPh sb="15" eb="17">
      <t>ヨテイ</t>
    </rPh>
    <phoneticPr fontId="3"/>
  </si>
  <si>
    <t>オーダー済・数量変更予定</t>
    <rPh sb="4" eb="5">
      <t>スミ</t>
    </rPh>
    <rPh sb="6" eb="8">
      <t>スウリョウ</t>
    </rPh>
    <rPh sb="8" eb="10">
      <t>ヘンコウ</t>
    </rPh>
    <rPh sb="10" eb="12">
      <t>ヨテイ</t>
    </rPh>
    <phoneticPr fontId="3"/>
  </si>
  <si>
    <t>FLR-55320</t>
    <phoneticPr fontId="3"/>
  </si>
  <si>
    <t>FLR-55312</t>
    <phoneticPr fontId="3"/>
  </si>
  <si>
    <t>Monika Hadioetomo</t>
    <phoneticPr fontId="3"/>
  </si>
  <si>
    <t>TI-3644-9</t>
    <phoneticPr fontId="3"/>
  </si>
  <si>
    <t>TI-16-529</t>
    <phoneticPr fontId="3"/>
  </si>
  <si>
    <t xml:space="preserve"># 43 Black </t>
    <phoneticPr fontId="3"/>
  </si>
  <si>
    <t># 40 Navy</t>
    <phoneticPr fontId="3"/>
  </si>
  <si>
    <t># 244</t>
    <phoneticPr fontId="3"/>
  </si>
  <si>
    <t># 277</t>
    <phoneticPr fontId="3"/>
  </si>
  <si>
    <t>9 x 9mm</t>
    <phoneticPr fontId="3"/>
  </si>
  <si>
    <t># 279</t>
    <phoneticPr fontId="3"/>
  </si>
  <si>
    <t># 89</t>
    <phoneticPr fontId="3"/>
  </si>
  <si>
    <r>
      <t xml:space="preserve">Mill's Off White </t>
    </r>
    <r>
      <rPr>
        <sz val="12"/>
        <rFont val="ＭＳ Ｐゴシック"/>
        <family val="3"/>
        <charset val="128"/>
      </rPr>
      <t>追加オーダー分</t>
    </r>
    <rPh sb="17" eb="19">
      <t>ツイカ</t>
    </rPh>
    <rPh sb="23" eb="24">
      <t>ブン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</si>
  <si>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Off White 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21" eb="23">
      <t>サキダ</t>
    </rPh>
    <rPh sb="24" eb="26">
      <t>ヨテイ</t>
    </rPh>
    <rPh sb="26" eb="27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</si>
  <si>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　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</si>
  <si>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(1592m)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39" eb="41">
      <t>サキダ</t>
    </rPh>
    <rPh sb="42" eb="44">
      <t>ヨテイ</t>
    </rPh>
    <rPh sb="44" eb="45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</si>
  <si>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</si>
  <si>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(807m)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</si>
  <si>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②</t>
    </r>
    <phoneticPr fontId="3"/>
  </si>
  <si>
    <t>上記全て先出し予定</t>
    <rPh sb="0" eb="2">
      <t>ジョウキ</t>
    </rPh>
    <rPh sb="2" eb="3">
      <t>スベ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</si>
  <si>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</t>
    </r>
    <r>
      <rPr>
        <sz val="12"/>
        <rFont val="ＭＳ Ｐゴシック"/>
        <family val="3"/>
        <charset val="128"/>
      </rPr>
      <t>　先出し予定分</t>
    </r>
    <rPh sb="0" eb="2">
      <t>ジョウキ</t>
    </rPh>
    <phoneticPr fontId="3"/>
  </si>
  <si>
    <t>FWL-7311</t>
    <phoneticPr fontId="3"/>
  </si>
  <si>
    <r>
      <t>148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</si>
  <si>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FWL-22978</t>
    <phoneticPr fontId="3"/>
  </si>
  <si>
    <r>
      <t>43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</si>
  <si>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(1567m)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</si>
  <si>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(787m)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</si>
  <si>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(645m)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( 80m)</t>
    </r>
    <phoneticPr fontId="3"/>
  </si>
  <si>
    <t>Lace trim</t>
    <phoneticPr fontId="3"/>
  </si>
  <si>
    <t># 5 Black</t>
    <phoneticPr fontId="3"/>
  </si>
  <si>
    <r>
      <t>1710m</t>
    </r>
    <r>
      <rPr>
        <sz val="12"/>
        <color indexed="30"/>
        <rFont val="Arial"/>
        <family val="2"/>
      </rPr>
      <t xml:space="preserve">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2100m </t>
    </r>
  </si>
  <si>
    <r>
      <t xml:space="preserve">1710m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 / </t>
    </r>
    <r>
      <rPr>
        <sz val="11"/>
        <rFont val="アリアl"/>
        <family val="3"/>
        <charset val="128"/>
      </rPr>
      <t>追加分在庫ありますか？</t>
    </r>
    <rPh sb="10" eb="11">
      <t>スミ</t>
    </rPh>
    <rPh sb="14" eb="16">
      <t>ツイカ</t>
    </rPh>
    <rPh sb="16" eb="17">
      <t>ブン</t>
    </rPh>
    <rPh sb="17" eb="19">
      <t>ザイコ</t>
    </rPh>
    <phoneticPr fontId="3"/>
  </si>
  <si>
    <t># SG01 White</t>
    <phoneticPr fontId="3"/>
  </si>
  <si>
    <r>
      <t xml:space="preserve">810m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900m  </t>
    </r>
    <phoneticPr fontId="3"/>
  </si>
  <si>
    <r>
      <t xml:space="preserve">810m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</si>
  <si>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># SG33</t>
    <phoneticPr fontId="3"/>
  </si>
  <si>
    <r>
      <t xml:space="preserve">300m </t>
    </r>
    <r>
      <rPr>
        <sz val="11"/>
        <rFont val="アリアl"/>
        <family val="3"/>
        <charset val="128"/>
      </rPr>
      <t>オーダー済</t>
    </r>
    <rPh sb="9" eb="10">
      <t>スミ</t>
    </rPh>
    <phoneticPr fontId="3"/>
  </si>
  <si>
    <t xml:space="preserve"># SG 02 </t>
    <phoneticPr fontId="3"/>
  </si>
  <si>
    <t xml:space="preserve">210m </t>
    <phoneticPr fontId="3"/>
  </si>
  <si>
    <t>新引き合い / 在庫ありますか？</t>
    <rPh sb="0" eb="1">
      <t>シン</t>
    </rPh>
    <rPh sb="1" eb="2">
      <t>ヒ</t>
    </rPh>
    <rPh sb="3" eb="4">
      <t>ア</t>
    </rPh>
    <rPh sb="8" eb="10">
      <t>ザイコ</t>
    </rPh>
    <phoneticPr fontId="3"/>
  </si>
  <si>
    <r>
      <t>2400m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2610m</t>
    </r>
    <phoneticPr fontId="3"/>
  </si>
  <si>
    <r>
      <t xml:space="preserve">2400m </t>
    </r>
    <r>
      <rPr>
        <sz val="11"/>
        <rFont val="アリアl"/>
        <family val="3"/>
        <charset val="128"/>
      </rPr>
      <t>オーダー済/追加分の納期ご確認お願いします。</t>
    </r>
    <rPh sb="10" eb="11">
      <t>スミ</t>
    </rPh>
    <rPh sb="12" eb="14">
      <t>ツイカ</t>
    </rPh>
    <rPh sb="14" eb="15">
      <t>ブン</t>
    </rPh>
    <rPh sb="16" eb="18">
      <t>ノウキ</t>
    </rPh>
    <rPh sb="19" eb="21">
      <t>カクニン</t>
    </rPh>
    <rPh sb="22" eb="23">
      <t>ネガ</t>
    </rPh>
    <phoneticPr fontId="3"/>
  </si>
  <si>
    <t xml:space="preserve">12 x 12mm </t>
    <phoneticPr fontId="3"/>
  </si>
  <si>
    <t>TI-10-D11976</t>
    <phoneticPr fontId="3"/>
  </si>
  <si>
    <r>
      <t>600m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1300m </t>
    </r>
    <phoneticPr fontId="3"/>
  </si>
  <si>
    <r>
      <t xml:space="preserve">600m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</si>
  <si>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 xml:space="preserve">DTM  Ivory </t>
    <phoneticPr fontId="3"/>
  </si>
  <si>
    <r>
      <t>500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800m</t>
    </r>
    <phoneticPr fontId="3"/>
  </si>
  <si>
    <t>未発注・キープ希望</t>
    <rPh sb="0" eb="1">
      <t>ミ</t>
    </rPh>
    <rPh sb="1" eb="3">
      <t>ハッチュウ</t>
    </rPh>
    <rPh sb="7" eb="9">
      <t>キボウ</t>
    </rPh>
    <phoneticPr fontId="3"/>
  </si>
  <si>
    <t>DTM Safari</t>
    <phoneticPr fontId="3"/>
  </si>
  <si>
    <t>新引き合い / キープ希望</t>
    <rPh sb="0" eb="1">
      <t>シン</t>
    </rPh>
    <rPh sb="1" eb="2">
      <t>ヒ</t>
    </rPh>
    <rPh sb="3" eb="4">
      <t>ア</t>
    </rPh>
    <rPh sb="11" eb="13">
      <t>キボウ</t>
    </rPh>
    <phoneticPr fontId="3"/>
  </si>
  <si>
    <r>
      <t>PFD</t>
    </r>
    <r>
      <rPr>
        <sz val="12"/>
        <color indexed="30"/>
        <rFont val="ＭＳ Ｐゴシック"/>
        <family val="3"/>
        <charset val="128"/>
      </rPr>
      <t>　黄変防止加工</t>
    </r>
    <rPh sb="4" eb="6">
      <t>オウヘン</t>
    </rPh>
    <rPh sb="6" eb="8">
      <t>ボウシ</t>
    </rPh>
    <rPh sb="8" eb="10">
      <t>カコウ</t>
    </rPh>
    <phoneticPr fontId="3"/>
  </si>
  <si>
    <t xml:space="preserve">White  </t>
    <phoneticPr fontId="3"/>
  </si>
  <si>
    <t># 05</t>
    <phoneticPr fontId="3"/>
  </si>
  <si>
    <t xml:space="preserve">Style # </t>
    <phoneticPr fontId="3"/>
  </si>
  <si>
    <t xml:space="preserve">Your Final Qty </t>
    <phoneticPr fontId="3"/>
  </si>
  <si>
    <t xml:space="preserve">Our Final Supply </t>
    <phoneticPr fontId="3"/>
  </si>
  <si>
    <t>LB/19-1703</t>
    <phoneticPr fontId="3"/>
  </si>
  <si>
    <t>TI-10-910</t>
    <phoneticPr fontId="3"/>
  </si>
  <si>
    <t>LB/19-1705</t>
    <phoneticPr fontId="3"/>
  </si>
  <si>
    <t>Your request : 1700m cancel</t>
    <phoneticPr fontId="3"/>
  </si>
  <si>
    <t xml:space="preserve">840m ( we cannot cancecl a whole qty, please take 850m ) </t>
    <phoneticPr fontId="3"/>
  </si>
  <si>
    <t>Your request : 600m cancel</t>
    <phoneticPr fontId="3"/>
  </si>
  <si>
    <t xml:space="preserve">600m ( cancellation is NOT accepted   ) </t>
    <phoneticPr fontId="3"/>
  </si>
  <si>
    <t>LB/19-1707</t>
    <phoneticPr fontId="3"/>
  </si>
  <si>
    <t>LB/19-1706</t>
    <phoneticPr fontId="3"/>
  </si>
  <si>
    <r>
      <t>Your request 1400m</t>
    </r>
    <r>
      <rPr>
        <sz val="12"/>
        <rFont val="ＭＳ Ｐゴシック"/>
        <family val="3"/>
        <charset val="128"/>
      </rPr>
      <t>→</t>
    </r>
    <r>
      <rPr>
        <sz val="12"/>
        <rFont val="Arial"/>
        <family val="2"/>
      </rPr>
      <t>200m</t>
    </r>
    <phoneticPr fontId="3"/>
  </si>
  <si>
    <t xml:space="preserve">210m ( we reduce from 1400m to 210m) </t>
    <phoneticPr fontId="3"/>
  </si>
  <si>
    <t>Your request :100m</t>
    <phoneticPr fontId="3"/>
  </si>
  <si>
    <t>300m (Reduction is NOT accepted )</t>
    <phoneticPr fontId="3"/>
  </si>
  <si>
    <t>Style #</t>
  </si>
  <si>
    <t>Size</t>
  </si>
  <si>
    <t>Your Final Qty</t>
  </si>
  <si>
    <t>Our Final Supply</t>
  </si>
  <si>
    <t>Our comment</t>
  </si>
  <si>
    <t>LB/19-1703</t>
  </si>
  <si>
    <t>TI-10-910</t>
  </si>
  <si>
    <t>PFD</t>
  </si>
  <si>
    <t>900 m</t>
  </si>
  <si>
    <t>No Change</t>
  </si>
  <si>
    <t>(Preventative Yellowing Process)</t>
  </si>
  <si>
    <t>TI-1050</t>
  </si>
  <si>
    <t>15 mm</t>
  </si>
  <si>
    <t># SG01 White</t>
  </si>
  <si>
    <t>1,800 m</t>
  </si>
  <si>
    <t>LB/19-1705</t>
  </si>
  <si>
    <t>Your request :</t>
  </si>
  <si>
    <t>840m</t>
  </si>
  <si>
    <t xml:space="preserve">We cannot cancel a whole qty. </t>
  </si>
  <si>
    <t>1700m cancel</t>
  </si>
  <si>
    <t>Please take 840m</t>
  </si>
  <si>
    <t>12 mm</t>
  </si>
  <si>
    <t>We cannot cancel</t>
  </si>
  <si>
    <t>600m cancel</t>
  </si>
  <si>
    <t>LB/19-1707</t>
  </si>
  <si>
    <t>900m</t>
  </si>
  <si>
    <t>LB/19-1706</t>
  </si>
  <si>
    <t>Your request 1400m→200m</t>
  </si>
  <si>
    <t>210m</t>
  </si>
  <si>
    <t>We can reduce from 1400m to 210m</t>
  </si>
  <si>
    <t>Your request :100m</t>
  </si>
  <si>
    <t>300m</t>
  </si>
  <si>
    <t xml:space="preserve">DTM  Ivory ( C ) </t>
    <phoneticPr fontId="3"/>
  </si>
  <si>
    <t xml:space="preserve">DTM Safari ( C ) </t>
    <phoneticPr fontId="3"/>
  </si>
  <si>
    <t xml:space="preserve">AMOSSA RASCHEL120  </t>
  </si>
  <si>
    <t>Amossa Col. A9358 Black</t>
    <phoneticPr fontId="3"/>
  </si>
  <si>
    <t>1026SD</t>
    <phoneticPr fontId="3"/>
  </si>
  <si>
    <t># 11 TOFFEE</t>
    <phoneticPr fontId="3"/>
  </si>
  <si>
    <r>
      <rPr>
        <b/>
        <sz val="10"/>
        <rFont val="ＭＳ Ｐゴシック"/>
        <family val="3"/>
        <charset val="128"/>
      </rPr>
      <t>カラー　　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Select from Amossa Bright Yarn  (Top x Middle x Bottom )</t>
    </r>
    <phoneticPr fontId="3"/>
  </si>
  <si>
    <t>CM-0016</t>
    <phoneticPr fontId="3"/>
  </si>
  <si>
    <t>Saddle: #B8242 x Pink:#B8176 x Cream: #B0297 (12mm each)</t>
    <phoneticPr fontId="3"/>
  </si>
  <si>
    <t>10-910</t>
    <phoneticPr fontId="3"/>
  </si>
  <si>
    <t>10-D11976</t>
    <phoneticPr fontId="3"/>
  </si>
  <si>
    <r>
      <rPr>
        <b/>
        <sz val="10"/>
        <rFont val="ＭＳ Ｐゴシック"/>
        <family val="3"/>
        <charset val="128"/>
      </rPr>
      <t>顧客単価</t>
    </r>
    <rPh sb="0" eb="2">
      <t>コキャク</t>
    </rPh>
    <rPh sb="2" eb="4">
      <t>タンカ</t>
    </rPh>
    <phoneticPr fontId="3"/>
  </si>
  <si>
    <r>
      <t>SF Osaka</t>
    </r>
    <r>
      <rPr>
        <b/>
        <sz val="10"/>
        <rFont val="ＭＳ Ｐゴシック"/>
        <family val="3"/>
        <charset val="128"/>
      </rPr>
      <t>　→</t>
    </r>
    <r>
      <rPr>
        <b/>
        <sz val="10"/>
        <rFont val="Arial  "/>
        <family val="2"/>
      </rPr>
      <t xml:space="preserve"> SF USA </t>
    </r>
    <r>
      <rPr>
        <b/>
        <sz val="10"/>
        <rFont val="ＭＳ Ｐゴシック"/>
        <family val="3"/>
        <charset val="128"/>
      </rPr>
      <t>単価</t>
    </r>
    <rPh sb="18" eb="20">
      <t>タンカ</t>
    </rPh>
    <phoneticPr fontId="3"/>
  </si>
  <si>
    <t xml:space="preserve">仕入単価 </t>
    <rPh sb="0" eb="2">
      <t>シイレ</t>
    </rPh>
    <rPh sb="2" eb="4">
      <t>タンカ</t>
    </rPh>
    <phoneticPr fontId="3"/>
  </si>
  <si>
    <t>DTM Teak Lab-dip Fee</t>
  </si>
  <si>
    <t>3000/set</t>
    <phoneticPr fontId="3"/>
  </si>
  <si>
    <t xml:space="preserve"># DTM Teak ( Option B ) </t>
    <phoneticPr fontId="3"/>
  </si>
  <si>
    <r>
      <rPr>
        <sz val="12"/>
        <rFont val="ＭＳ Ｐゴシック"/>
        <family val="3"/>
        <charset val="128"/>
      </rPr>
      <t>完全別注色</t>
    </r>
    <r>
      <rPr>
        <sz val="12"/>
        <rFont val="Arial  "/>
        <family val="2"/>
      </rPr>
      <t xml:space="preserve"> 24.6/m</t>
    </r>
    <rPh sb="0" eb="2">
      <t>カンゼン</t>
    </rPh>
    <rPh sb="2" eb="4">
      <t>ベッチュウ</t>
    </rPh>
    <rPh sb="4" eb="5">
      <t>イロ</t>
    </rPh>
    <phoneticPr fontId="3"/>
  </si>
  <si>
    <t xml:space="preserve">Dye Fee + Set-up Fee </t>
    <phoneticPr fontId="3"/>
  </si>
  <si>
    <t>20000/set</t>
    <phoneticPr fontId="3"/>
  </si>
  <si>
    <r>
      <rPr>
        <sz val="12"/>
        <rFont val="ＭＳ Ｐゴシック"/>
        <family val="3"/>
        <charset val="128"/>
      </rPr>
      <t>運賃</t>
    </r>
    <rPh sb="0" eb="2">
      <t>ウンチン</t>
    </rPh>
    <phoneticPr fontId="3"/>
  </si>
  <si>
    <r>
      <t>109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</si>
  <si>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 xml:space="preserve">5637 ( SB-30 ) </t>
    <phoneticPr fontId="3"/>
  </si>
  <si>
    <t xml:space="preserve"># 272 </t>
    <phoneticPr fontId="3"/>
  </si>
  <si>
    <t xml:space="preserve">Art. # </t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</si>
  <si>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Bright Yarn  (Col. A  x Col. B )</t>
    </r>
  </si>
  <si>
    <t>CM-0018</t>
    <phoneticPr fontId="3"/>
  </si>
  <si>
    <t xml:space="preserve">Colorway#1 : Lucent White: x Overture: </t>
    <phoneticPr fontId="3"/>
  </si>
  <si>
    <t>CM-0019</t>
    <phoneticPr fontId="3"/>
  </si>
  <si>
    <t xml:space="preserve">Colorway#2 : Overture: x Lucient White: </t>
    <phoneticPr fontId="3"/>
  </si>
  <si>
    <t>CM-0020</t>
    <phoneticPr fontId="3"/>
  </si>
  <si>
    <t xml:space="preserve">Colorway#3 : Racing Red : x Overture: </t>
    <phoneticPr fontId="3"/>
  </si>
  <si>
    <t>CM-0021</t>
    <phoneticPr fontId="3"/>
  </si>
  <si>
    <t xml:space="preserve">Colorway#4 : Lucent White : x Ice Water : </t>
    <phoneticPr fontId="3"/>
  </si>
  <si>
    <t>CM-0022</t>
    <phoneticPr fontId="3"/>
  </si>
  <si>
    <t xml:space="preserve">Colorway#5 : Lucent White : x Antarctica : </t>
    <phoneticPr fontId="3"/>
  </si>
  <si>
    <t>CM-0023</t>
    <phoneticPr fontId="3"/>
  </si>
  <si>
    <t xml:space="preserve">Colorway#6 : Overture: x Tambourine: </t>
    <phoneticPr fontId="3"/>
  </si>
  <si>
    <t xml:space="preserve">Colorway#1 : Lucent White:B0296 x Overture:B1354 </t>
    <phoneticPr fontId="3"/>
  </si>
  <si>
    <t xml:space="preserve">Colorway#2 : Overture:B1354 x Lucent White:B0296 </t>
    <phoneticPr fontId="3"/>
  </si>
  <si>
    <t xml:space="preserve">Colorway#3 : Racing Red :B5311 x Overture:B1354 </t>
    <phoneticPr fontId="3"/>
  </si>
  <si>
    <t xml:space="preserve">Colorway#4 : Lucent White :B0296 x Ice Water :B3111 </t>
    <phoneticPr fontId="3"/>
  </si>
  <si>
    <t xml:space="preserve">Colorway#5 : Lucent White :B0296 x Antarctica :B9162 </t>
    <phoneticPr fontId="3"/>
  </si>
  <si>
    <t xml:space="preserve">Colorway#6 : Overture:B1354 x Tambourine:B4037 </t>
    <phoneticPr fontId="3"/>
  </si>
  <si>
    <t xml:space="preserve"># 16 Black </t>
    <phoneticPr fontId="3"/>
  </si>
  <si>
    <t>FWL-71199</t>
    <phoneticPr fontId="3"/>
  </si>
  <si>
    <t>FWL-71180</t>
    <phoneticPr fontId="3"/>
  </si>
  <si>
    <t>FWL-71525</t>
    <phoneticPr fontId="3"/>
  </si>
  <si>
    <t>FWL-71271</t>
    <phoneticPr fontId="3"/>
  </si>
  <si>
    <t>FWL-71197</t>
    <phoneticPr fontId="3"/>
  </si>
  <si>
    <t>発送先</t>
    <rPh sb="0" eb="2">
      <t>ハッソウ</t>
    </rPh>
    <rPh sb="2" eb="3">
      <t>サキ</t>
    </rPh>
    <phoneticPr fontId="3"/>
  </si>
  <si>
    <t>AFF</t>
    <phoneticPr fontId="3"/>
  </si>
  <si>
    <t>在庫あり</t>
    <rPh sb="0" eb="2">
      <t>ザイコ</t>
    </rPh>
    <phoneticPr fontId="3"/>
  </si>
  <si>
    <t>TFF</t>
    <phoneticPr fontId="3"/>
  </si>
  <si>
    <t>30反在庫あり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</si>
  <si>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40反在庫あり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</si>
  <si>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will be shippped today</t>
    <phoneticPr fontId="3"/>
  </si>
  <si>
    <t xml:space="preserve">will be shippped tomorrow </t>
    <phoneticPr fontId="3"/>
  </si>
  <si>
    <t>SAKAE Articles</t>
    <phoneticPr fontId="3"/>
  </si>
  <si>
    <t>FOB Asia</t>
    <phoneticPr fontId="3"/>
  </si>
  <si>
    <t>DTM TOFU</t>
    <phoneticPr fontId="3"/>
  </si>
  <si>
    <t>DTM Pistachio Shell</t>
    <phoneticPr fontId="3"/>
  </si>
  <si>
    <t xml:space="preserve"> 8 sets (USD 10 x 8 articles)</t>
    <phoneticPr fontId="3"/>
  </si>
  <si>
    <t>Sun Fashion Article</t>
    <phoneticPr fontId="3"/>
  </si>
  <si>
    <t>2 sets (USD 125 x 2 colors)</t>
    <phoneticPr fontId="3"/>
  </si>
  <si>
    <t>Pattern no</t>
  </si>
  <si>
    <t>PRICE PER METER IN USD FOB ASIA OR CIF HK</t>
  </si>
  <si>
    <t>Minimum</t>
  </si>
  <si>
    <t>Composition and greige stock qtys</t>
  </si>
  <si>
    <t xml:space="preserve">10M </t>
  </si>
  <si>
    <t xml:space="preserve"> 100M </t>
  </si>
  <si>
    <t xml:space="preserve"> 300M </t>
  </si>
  <si>
    <t xml:space="preserve"> 1000M </t>
  </si>
  <si>
    <t>Dye to match</t>
  </si>
  <si>
    <t xml:space="preserve">(CM) </t>
  </si>
  <si>
    <t>Cotton:70%,Nylon:30% stock 2100M</t>
    <phoneticPr fontId="3"/>
  </si>
  <si>
    <t>Nylon:100%  stock 3600M</t>
    <phoneticPr fontId="3"/>
  </si>
  <si>
    <t>Nylon:65%,Cationic Polyester:35% stock 1900M</t>
    <phoneticPr fontId="3"/>
  </si>
  <si>
    <t>Nylon:100% Stock 1900M</t>
  </si>
  <si>
    <t>Cord Color x Tip</t>
    <phoneticPr fontId="3"/>
  </si>
  <si>
    <t>EXW JAPAN / pc</t>
    <phoneticPr fontId="3"/>
  </si>
  <si>
    <t xml:space="preserve">Dec. 9th - 11th </t>
    <phoneticPr fontId="3"/>
  </si>
  <si>
    <t xml:space="preserve">Dec. 15th - 17th </t>
    <phoneticPr fontId="3"/>
  </si>
  <si>
    <t>Stoc</t>
    <phoneticPr fontId="3"/>
  </si>
  <si>
    <t xml:space="preserve">No stock, it will be ready around 22nd Jan.  </t>
    <phoneticPr fontId="3"/>
  </si>
  <si>
    <t xml:space="preserve">3/11 updated </t>
    <phoneticPr fontId="3"/>
  </si>
  <si>
    <t>ZMA2851</t>
  </si>
  <si>
    <t xml:space="preserve">Nylon:100%  </t>
  </si>
  <si>
    <t>ZKC4151</t>
  </si>
  <si>
    <t xml:space="preserve">Nylon:65%,Cationic Polyester:35% </t>
  </si>
  <si>
    <t xml:space="preserve"> 2 sets for Pistachio (USD 40/set )</t>
    <phoneticPr fontId="3"/>
  </si>
  <si>
    <t xml:space="preserve">INV Amount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</si>
  <si>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 xml:space="preserve">/m </t>
    </r>
    <rPh sb="0" eb="2">
      <t>タンカ</t>
    </rPh>
    <phoneticPr fontId="3"/>
  </si>
  <si>
    <r>
      <t>620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</si>
  <si>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1100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</si>
  <si>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62456-1</t>
    <phoneticPr fontId="3"/>
  </si>
  <si>
    <r>
      <t>155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</si>
  <si>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t>DTM Citrine Lab-dip 2</t>
    <phoneticPr fontId="3"/>
  </si>
  <si>
    <r>
      <t>2800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</si>
  <si>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DTM Topaz Lab-dip 1</t>
    <phoneticPr fontId="3"/>
  </si>
  <si>
    <r>
      <t>65200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 ( 19600+19600+26000)</t>
    </r>
    <rPh sb="5" eb="6">
      <t>エン</t>
    </rPh>
    <phoneticPr fontId="3"/>
  </si>
  <si>
    <t xml:space="preserve">C&amp;F HK ?? </t>
    <phoneticPr fontId="3"/>
  </si>
  <si>
    <t>ZMA2851 (Trim Lace 100% Nylon)</t>
    <phoneticPr fontId="3"/>
  </si>
  <si>
    <t>ZKC4151(Nylon:65%,Cationic Polyester:35%)</t>
    <phoneticPr fontId="3"/>
  </si>
  <si>
    <t>CIF HK /m</t>
    <phoneticPr fontId="3"/>
  </si>
  <si>
    <t xml:space="preserve">abt 4 weeks </t>
    <phoneticPr fontId="3"/>
  </si>
  <si>
    <t xml:space="preserve">abt 2 - 3 weeks </t>
    <phoneticPr fontId="3"/>
  </si>
  <si>
    <t>出荷順序</t>
    <rPh sb="0" eb="2">
      <t>シュッカ</t>
    </rPh>
    <rPh sb="2" eb="4">
      <t>ジュンジョ</t>
    </rPh>
    <phoneticPr fontId="3"/>
  </si>
  <si>
    <r>
      <rPr>
        <sz val="12"/>
        <rFont val="ＭＳ Ｐゴシック"/>
        <family val="3"/>
        <charset val="128"/>
      </rPr>
      <t>色確認</t>
    </r>
    <r>
      <rPr>
        <sz val="12"/>
        <rFont val="Arial"/>
        <family val="2"/>
      </rPr>
      <t xml:space="preserve">OK </t>
    </r>
    <r>
      <rPr>
        <sz val="12"/>
        <rFont val="ＭＳ Ｐゴシック"/>
        <family val="3"/>
        <charset val="128"/>
      </rPr>
      <t>次第、先出し</t>
    </r>
    <rPh sb="0" eb="1">
      <t>イロ</t>
    </rPh>
    <rPh sb="1" eb="3">
      <t>カクニン</t>
    </rPh>
    <rPh sb="6" eb="8">
      <t>シダイ</t>
    </rPh>
    <rPh sb="9" eb="11">
      <t>サキダ</t>
    </rPh>
    <phoneticPr fontId="3"/>
  </si>
  <si>
    <r>
      <t xml:space="preserve">test 5m + Coach </t>
    </r>
    <r>
      <rPr>
        <sz val="12"/>
        <rFont val="ＭＳ Ｐゴシック"/>
        <family val="3"/>
        <charset val="128"/>
      </rPr>
      <t>控え</t>
    </r>
    <r>
      <rPr>
        <sz val="12"/>
        <rFont val="Arial"/>
        <family val="2"/>
      </rPr>
      <t xml:space="preserve">4m </t>
    </r>
    <rPh sb="16" eb="17">
      <t>ヒカ</t>
    </rPh>
    <phoneticPr fontId="3"/>
  </si>
  <si>
    <r>
      <t xml:space="preserve">test pass </t>
    </r>
    <r>
      <rPr>
        <sz val="12"/>
        <rFont val="ＭＳ Ｐゴシック"/>
        <family val="3"/>
        <charset val="128"/>
      </rPr>
      <t>後の出荷？</t>
    </r>
    <rPh sb="10" eb="11">
      <t>アト</t>
    </rPh>
    <rPh sb="12" eb="14">
      <t>シュッカ</t>
    </rPh>
    <phoneticPr fontId="3"/>
  </si>
  <si>
    <t xml:space="preserve">PI / INV# </t>
    <phoneticPr fontId="3"/>
  </si>
  <si>
    <t>INV # 3251</t>
    <phoneticPr fontId="3"/>
  </si>
  <si>
    <t>INV # 3255</t>
    <phoneticPr fontId="3"/>
  </si>
  <si>
    <t>PI# 3267</t>
    <phoneticPr fontId="3"/>
  </si>
  <si>
    <t>PI# 3270</t>
    <phoneticPr fontId="3"/>
  </si>
  <si>
    <t xml:space="preserve">Total Amount </t>
  </si>
  <si>
    <t>キープ希望</t>
    <rPh sb="3" eb="5">
      <t>キボウ</t>
    </rPh>
    <phoneticPr fontId="3"/>
  </si>
  <si>
    <t>７月</t>
    <rPh sb="1" eb="2">
      <t>ガツ</t>
    </rPh>
    <phoneticPr fontId="3"/>
  </si>
  <si>
    <t>OG1050-FLT</t>
    <phoneticPr fontId="3"/>
  </si>
  <si>
    <t>品質確認中</t>
    <rPh sb="0" eb="2">
      <t>ヒンシツ</t>
    </rPh>
    <rPh sb="2" eb="4">
      <t>カクニン</t>
    </rPh>
    <rPh sb="4" eb="5">
      <t>チュウ</t>
    </rPh>
    <phoneticPr fontId="3"/>
  </si>
  <si>
    <t>仕入単価</t>
    <rPh sb="0" eb="4">
      <t>シイレタンカ</t>
    </rPh>
    <phoneticPr fontId="3"/>
  </si>
  <si>
    <t>01548</t>
    <phoneticPr fontId="3"/>
  </si>
  <si>
    <t>01578</t>
    <phoneticPr fontId="3"/>
  </si>
  <si>
    <t>8000 x 2 sets</t>
    <phoneticPr fontId="3"/>
  </si>
  <si>
    <t>4000 x 2 sets</t>
    <phoneticPr fontId="3"/>
  </si>
  <si>
    <t>01579</t>
    <phoneticPr fontId="3"/>
  </si>
  <si>
    <t>8000 x 1 set</t>
    <phoneticPr fontId="3"/>
  </si>
  <si>
    <t>4000 x 1 set</t>
    <phoneticPr fontId="3"/>
  </si>
  <si>
    <t>弊社色番</t>
    <rPh sb="0" eb="2">
      <t>ヘイシャ</t>
    </rPh>
    <rPh sb="2" eb="4">
      <t>イロバン</t>
    </rPh>
    <phoneticPr fontId="3"/>
  </si>
  <si>
    <t>Ready date</t>
    <phoneticPr fontId="3"/>
  </si>
  <si>
    <t>End of Aug - Beg. Sep</t>
    <phoneticPr fontId="3"/>
  </si>
  <si>
    <r>
      <t>US$180</t>
    </r>
    <r>
      <rPr>
        <b/>
        <sz val="12"/>
        <color indexed="10"/>
        <rFont val="ＭＳ Ｐゴシック"/>
        <family val="3"/>
        <charset val="128"/>
      </rPr>
      <t>に含む</t>
    </r>
    <rPh sb="7" eb="8">
      <t>フク</t>
    </rPh>
    <phoneticPr fontId="3"/>
  </si>
  <si>
    <r>
      <t>US$0.00 (US$180</t>
    </r>
    <r>
      <rPr>
        <b/>
        <sz val="12"/>
        <color indexed="10"/>
        <rFont val="ＭＳ Ｐゴシック"/>
        <family val="3"/>
        <charset val="128"/>
      </rPr>
      <t>に含む</t>
    </r>
    <r>
      <rPr>
        <b/>
        <sz val="12"/>
        <color indexed="10"/>
        <rFont val="Arial"/>
        <family val="2"/>
      </rPr>
      <t>)</t>
    </r>
    <rPh sb="16" eb="17">
      <t>フク</t>
    </rPh>
    <phoneticPr fontId="3"/>
  </si>
  <si>
    <r>
      <rPr>
        <b/>
        <sz val="12"/>
        <rFont val="ＭＳ Ｐゴシック"/>
        <family val="3"/>
        <charset val="128"/>
      </rPr>
      <t>カラー</t>
    </r>
    <r>
      <rPr>
        <b/>
        <sz val="12"/>
        <rFont val="Arial"/>
        <family val="2"/>
      </rPr>
      <t>(Top x Middle x Bottom )</t>
    </r>
    <phoneticPr fontId="3"/>
  </si>
  <si>
    <t>CM-0024(M-75505-00 )</t>
    <phoneticPr fontId="3"/>
  </si>
  <si>
    <r>
      <t>59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</si>
  <si>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</si>
  <si>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119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</si>
  <si>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単価/pc</t>
    <rPh sb="0" eb="2">
      <t>タンカ</t>
    </rPh>
    <phoneticPr fontId="3"/>
  </si>
  <si>
    <r>
      <rPr>
        <sz val="12"/>
        <rFont val="ＭＳ Ｐゴシック"/>
        <family val="3"/>
        <charset val="128"/>
      </rPr>
      <t>別注糸代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4">
      <t>ダイ</t>
    </rPh>
    <phoneticPr fontId="3"/>
  </si>
  <si>
    <r>
      <rPr>
        <sz val="12"/>
        <rFont val="ＭＳ Ｐゴシック"/>
        <family val="3"/>
        <charset val="128"/>
      </rPr>
      <t>別注糸小口製作費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5">
      <t>コグチ</t>
    </rPh>
    <rPh sb="5" eb="8">
      <t>セイサクヒ</t>
    </rPh>
    <phoneticPr fontId="3"/>
  </si>
  <si>
    <t>小口加工代</t>
    <rPh sb="0" eb="2">
      <t>コグチ</t>
    </rPh>
    <rPh sb="2" eb="4">
      <t>カコウ</t>
    </rPh>
    <rPh sb="4" eb="5">
      <t>ダイ</t>
    </rPh>
    <phoneticPr fontId="3"/>
  </si>
  <si>
    <r>
      <t>6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</si>
  <si>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仕入単価total</t>
    <rPh sb="0" eb="2">
      <t>シイレ</t>
    </rPh>
    <rPh sb="2" eb="4">
      <t>タンカ</t>
    </rPh>
    <phoneticPr fontId="3"/>
  </si>
  <si>
    <r>
      <t>5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</si>
  <si>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Mill's Standard Color</t>
  </si>
  <si>
    <t xml:space="preserve">MOQ / col for standard color </t>
  </si>
  <si>
    <t>Dye min. /col</t>
  </si>
  <si>
    <t>EXW JAPAN /m</t>
  </si>
  <si>
    <t>100% Nylon</t>
  </si>
  <si>
    <t xml:space="preserve">1 roll ( abt 50m) </t>
  </si>
  <si>
    <t>301m -</t>
  </si>
  <si>
    <t>3 sets ( USD 125/set)</t>
    <phoneticPr fontId="3"/>
  </si>
  <si>
    <r>
      <rPr>
        <b/>
        <sz val="11"/>
        <color indexed="8"/>
        <rFont val="ＭＳ Ｐゴシック"/>
        <family val="3"/>
        <charset val="128"/>
      </rPr>
      <t>大阪発行</t>
    </r>
    <r>
      <rPr>
        <b/>
        <sz val="11"/>
        <color indexed="8"/>
        <rFont val="Arial"/>
        <family val="2"/>
      </rPr>
      <t>invoice #</t>
    </r>
    <rPh sb="0" eb="2">
      <t>オオサカ</t>
    </rPh>
    <rPh sb="2" eb="4">
      <t>ハッコウ</t>
    </rPh>
    <phoneticPr fontId="3"/>
  </si>
  <si>
    <t>3569 Nick</t>
    <phoneticPr fontId="3"/>
  </si>
  <si>
    <t>PI# 3838</t>
    <phoneticPr fontId="3"/>
  </si>
  <si>
    <t>INV # 3838</t>
    <phoneticPr fontId="3"/>
  </si>
  <si>
    <t>3606 Elizabeth</t>
    <phoneticPr fontId="3"/>
  </si>
  <si>
    <t>PI# MK-220120</t>
    <phoneticPr fontId="3"/>
  </si>
  <si>
    <t xml:space="preserve">3603  Nick </t>
    <phoneticPr fontId="3"/>
  </si>
  <si>
    <t>PI# MK-220121</t>
    <phoneticPr fontId="3"/>
  </si>
  <si>
    <r>
      <t>3.5</t>
    </r>
    <r>
      <rPr>
        <sz val="12"/>
        <rFont val="ＭＳ Ｐゴシック"/>
        <family val="3"/>
        <charset val="128"/>
      </rPr>
      <t>反フリー</t>
    </r>
    <rPh sb="3" eb="4">
      <t>タン</t>
    </rPh>
    <phoneticPr fontId="3"/>
  </si>
  <si>
    <r>
      <t xml:space="preserve">Col. SO </t>
    </r>
    <r>
      <rPr>
        <sz val="12"/>
        <rFont val="ＭＳ Ｐゴシック"/>
        <family val="3"/>
        <charset val="128"/>
      </rPr>
      <t>での染め替え対応</t>
    </r>
    <rPh sb="10" eb="11">
      <t>ソ</t>
    </rPh>
    <rPh sb="12" eb="13">
      <t>カ</t>
    </rPh>
    <rPh sb="14" eb="16">
      <t>タイオウ</t>
    </rPh>
    <phoneticPr fontId="3"/>
  </si>
  <si>
    <r>
      <t xml:space="preserve">135m </t>
    </r>
    <r>
      <rPr>
        <sz val="12"/>
        <rFont val="ＭＳ Ｐゴシック"/>
        <family val="3"/>
        <charset val="128"/>
      </rPr>
      <t>キープ中</t>
    </r>
    <rPh sb="8" eb="9">
      <t>チュウ</t>
    </rPh>
    <phoneticPr fontId="3"/>
  </si>
  <si>
    <t>EXW JAPAN 
USD/Roll</t>
    <phoneticPr fontId="3"/>
  </si>
  <si>
    <t xml:space="preserve">Order amount </t>
    <phoneticPr fontId="3"/>
  </si>
  <si>
    <t xml:space="preserve">EXW JAPAN 
USD/roll </t>
    <phoneticPr fontId="3"/>
  </si>
  <si>
    <t>EXW (JAPAN) / roll</t>
    <phoneticPr fontId="3"/>
  </si>
  <si>
    <t xml:space="preserve"># 33 Sandstormfor for approval sample  </t>
    <phoneticPr fontId="3"/>
  </si>
  <si>
    <t xml:space="preserve">Cutting Fee for approval sample  </t>
    <phoneticPr fontId="3"/>
  </si>
  <si>
    <t xml:space="preserve">Handling Fee (Inland Freight Charge in Japan) for approval sample </t>
    <phoneticPr fontId="3"/>
  </si>
  <si>
    <r>
      <t>116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3" eb="4">
      <t>エン</t>
    </rPh>
    <phoneticPr fontId="3"/>
  </si>
  <si>
    <r>
      <t>62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2" eb="3">
      <t>エン</t>
    </rPh>
    <phoneticPr fontId="3"/>
  </si>
  <si>
    <t>DTM or Mill's White</t>
    <phoneticPr fontId="3"/>
  </si>
  <si>
    <r>
      <t>7000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/col </t>
    </r>
    <rPh sb="4" eb="5">
      <t>エン</t>
    </rPh>
    <phoneticPr fontId="3"/>
  </si>
  <si>
    <t xml:space="preserve">20221020 Vera Wang  20% 120 </t>
    <phoneticPr fontId="3"/>
  </si>
  <si>
    <t>反数</t>
    <rPh sb="0" eb="1">
      <t>タン</t>
    </rPh>
    <rPh sb="1" eb="2">
      <t>スウ</t>
    </rPh>
    <phoneticPr fontId="3"/>
  </si>
  <si>
    <t>18E 16th Street 4th Floor  </t>
  </si>
  <si>
    <t>FedEx 949315037</t>
    <phoneticPr fontId="3"/>
  </si>
  <si>
    <t>A&amp;Feng Fashion Ltd.(HK)</t>
    <phoneticPr fontId="3"/>
  </si>
  <si>
    <t>A&amp;Feng Fashion Ltd.(Shenzhen)</t>
    <phoneticPr fontId="3"/>
  </si>
  <si>
    <t xml:space="preserve">Bldg B,  Sunny Ind. Zone Hezhou, Xixiang, </t>
    <phoneticPr fontId="3"/>
  </si>
  <si>
    <t xml:space="preserve">Bao’an Shenzhen, </t>
    <phoneticPr fontId="3"/>
  </si>
  <si>
    <t>Tel: 86 755 29980767</t>
    <phoneticPr fontId="3"/>
  </si>
  <si>
    <t>Tel: 212 630 9977</t>
    <phoneticPr fontId="3"/>
  </si>
  <si>
    <t>501 FIFTH AVENUE 7FL</t>
    <phoneticPr fontId="3"/>
  </si>
  <si>
    <t>PO 775 addition</t>
    <phoneticPr fontId="3"/>
  </si>
  <si>
    <r>
      <rPr>
        <b/>
        <sz val="12"/>
        <rFont val="ＭＳ Ｐゴシック"/>
        <family val="3"/>
        <charset val="128"/>
      </rPr>
      <t>仕入数量</t>
    </r>
    <rPh sb="0" eb="2">
      <t>シイレ</t>
    </rPh>
    <rPh sb="2" eb="4">
      <t>スウリョウ</t>
    </rPh>
    <phoneticPr fontId="3"/>
  </si>
  <si>
    <r>
      <t xml:space="preserve">Osaka </t>
    </r>
    <r>
      <rPr>
        <b/>
        <sz val="12"/>
        <rFont val="ＭＳ Ｐゴシック"/>
        <family val="3"/>
        <charset val="128"/>
      </rPr>
      <t>→</t>
    </r>
    <r>
      <rPr>
        <b/>
        <sz val="12"/>
        <rFont val="Arial  "/>
        <family val="2"/>
      </rPr>
      <t>NY</t>
    </r>
    <phoneticPr fontId="3"/>
  </si>
  <si>
    <r>
      <rPr>
        <b/>
        <sz val="12"/>
        <rFont val="ＭＳ Ｐゴシック"/>
        <family val="3"/>
        <charset val="128"/>
      </rPr>
      <t>仕入単価</t>
    </r>
    <rPh sb="0" eb="2">
      <t>シイレ</t>
    </rPh>
    <rPh sb="2" eb="4">
      <t>タンカ</t>
    </rPh>
    <phoneticPr fontId="3"/>
  </si>
  <si>
    <r>
      <rPr>
        <b/>
        <sz val="12"/>
        <rFont val="ＭＳ Ｐゴシック"/>
        <family val="3"/>
        <charset val="128"/>
      </rPr>
      <t>備考欄</t>
    </r>
    <rPh sb="0" eb="2">
      <t>ビコウ</t>
    </rPh>
    <rPh sb="2" eb="3">
      <t>ラン</t>
    </rPh>
    <phoneticPr fontId="3"/>
  </si>
  <si>
    <r>
      <rPr>
        <b/>
        <sz val="12"/>
        <rFont val="ＭＳ Ｐゴシック"/>
        <family val="3"/>
        <charset val="128"/>
      </rPr>
      <t>適用為替レート</t>
    </r>
    <rPh sb="0" eb="2">
      <t>テキヨウ</t>
    </rPh>
    <rPh sb="2" eb="4">
      <t>カワセ</t>
    </rPh>
    <phoneticPr fontId="3"/>
  </si>
  <si>
    <r>
      <rPr>
        <sz val="12"/>
        <color rgb="FFFF0000"/>
        <rFont val="ＭＳ Ｐゴシック"/>
        <family val="3"/>
        <charset val="128"/>
      </rPr>
      <t>例</t>
    </r>
    <rPh sb="0" eb="1">
      <t>レイ</t>
    </rPh>
    <phoneticPr fontId="3"/>
  </si>
  <si>
    <r>
      <rPr>
        <sz val="12"/>
        <rFont val="ＭＳ Ｐゴシック"/>
        <family val="3"/>
        <charset val="128"/>
      </rPr>
      <t>カテゴリ</t>
    </r>
    <phoneticPr fontId="3"/>
  </si>
  <si>
    <r>
      <rPr>
        <sz val="12"/>
        <rFont val="ＭＳ Ｐゴシック"/>
        <family val="3"/>
        <charset val="128"/>
      </rPr>
      <t>項目</t>
    </r>
    <rPh sb="0" eb="2">
      <t>コウモク</t>
    </rPh>
    <phoneticPr fontId="3"/>
  </si>
  <si>
    <r>
      <rPr>
        <sz val="12"/>
        <rFont val="ＭＳ Ｐゴシック"/>
        <family val="3"/>
        <charset val="128"/>
      </rPr>
      <t>大阪→</t>
    </r>
    <r>
      <rPr>
        <sz val="12"/>
        <rFont val="Arial  "/>
        <family val="2"/>
      </rPr>
      <t>NY</t>
    </r>
    <rPh sb="0" eb="2">
      <t>オオサカ</t>
    </rPh>
    <phoneticPr fontId="3"/>
  </si>
  <si>
    <r>
      <t>NY</t>
    </r>
    <r>
      <rPr>
        <sz val="12"/>
        <rFont val="ＭＳ Ｐゴシック"/>
        <family val="3"/>
        <charset val="128"/>
      </rPr>
      <t>→顧客</t>
    </r>
    <rPh sb="3" eb="5">
      <t>コキャク</t>
    </rPh>
    <phoneticPr fontId="3"/>
  </si>
  <si>
    <r>
      <t>Lace (699</t>
    </r>
    <r>
      <rPr>
        <b/>
        <sz val="12"/>
        <rFont val="ＭＳ Ｐゴシック"/>
        <family val="3"/>
        <charset val="128"/>
      </rPr>
      <t>円</t>
    </r>
    <r>
      <rPr>
        <b/>
        <sz val="12"/>
        <rFont val="Arial  "/>
        <family val="2"/>
      </rPr>
      <t>/m</t>
    </r>
    <r>
      <rPr>
        <b/>
        <sz val="12"/>
        <rFont val="ＭＳ Ｐゴシック"/>
        <family val="3"/>
        <charset val="128"/>
      </rPr>
      <t>以下</t>
    </r>
    <r>
      <rPr>
        <b/>
        <sz val="12"/>
        <rFont val="Arial  "/>
        <family val="2"/>
      </rPr>
      <t>)</t>
    </r>
    <rPh sb="9" eb="10">
      <t>エン</t>
    </rPh>
    <rPh sb="12" eb="14">
      <t>イカ</t>
    </rPh>
    <phoneticPr fontId="3"/>
  </si>
  <si>
    <r>
      <t>Lace (700</t>
    </r>
    <r>
      <rPr>
        <b/>
        <sz val="12"/>
        <rFont val="ＭＳ Ｐゴシック"/>
        <family val="3"/>
        <charset val="128"/>
      </rPr>
      <t>円</t>
    </r>
    <r>
      <rPr>
        <b/>
        <sz val="12"/>
        <rFont val="Arial  "/>
        <family val="2"/>
      </rPr>
      <t>/m</t>
    </r>
    <r>
      <rPr>
        <b/>
        <sz val="12"/>
        <rFont val="ＭＳ Ｐゴシック"/>
        <family val="3"/>
        <charset val="128"/>
      </rPr>
      <t>以上</t>
    </r>
    <r>
      <rPr>
        <b/>
        <sz val="12"/>
        <rFont val="Arial  "/>
        <family val="2"/>
      </rPr>
      <t>)</t>
    </r>
    <rPh sb="9" eb="10">
      <t>エン</t>
    </rPh>
    <rPh sb="12" eb="14">
      <t>イジョウ</t>
    </rPh>
    <phoneticPr fontId="3"/>
  </si>
  <si>
    <r>
      <rPr>
        <b/>
        <sz val="12"/>
        <rFont val="ＭＳ Ｐゴシック"/>
        <family val="3"/>
        <charset val="128"/>
      </rPr>
      <t>　</t>
    </r>
    <phoneticPr fontId="3"/>
  </si>
  <si>
    <r>
      <rPr>
        <b/>
        <sz val="12"/>
        <rFont val="ＭＳ Ｐゴシック"/>
        <family val="3"/>
        <charset val="128"/>
      </rPr>
      <t>カテ</t>
    </r>
    <phoneticPr fontId="3"/>
  </si>
  <si>
    <r>
      <t xml:space="preserve">Osaka </t>
    </r>
    <r>
      <rPr>
        <b/>
        <sz val="12"/>
        <rFont val="ＭＳ Ｐゴシック"/>
        <family val="3"/>
        <charset val="128"/>
      </rPr>
      <t>→</t>
    </r>
    <r>
      <rPr>
        <b/>
        <sz val="12"/>
        <rFont val="Arial  "/>
        <family val="2"/>
      </rPr>
      <t>NY Sub ttl</t>
    </r>
    <phoneticPr fontId="3"/>
  </si>
  <si>
    <r>
      <t>Waxed Cords   C</t>
    </r>
    <r>
      <rPr>
        <sz val="12"/>
        <rFont val="ＭＳ Ｐゴシック"/>
        <family val="3"/>
        <charset val="128"/>
      </rPr>
      <t>：</t>
    </r>
    <r>
      <rPr>
        <sz val="12"/>
        <rFont val="Arial  "/>
        <family val="2"/>
      </rPr>
      <t>70%</t>
    </r>
    <r>
      <rPr>
        <sz val="12"/>
        <rFont val="ＭＳ Ｐゴシック"/>
        <family val="3"/>
        <charset val="128"/>
      </rPr>
      <t>，</t>
    </r>
    <r>
      <rPr>
        <sz val="12"/>
        <rFont val="Arial  "/>
        <family val="2"/>
      </rPr>
      <t>MIX 30%</t>
    </r>
    <phoneticPr fontId="3"/>
  </si>
  <si>
    <t>2.5mm</t>
  </si>
  <si>
    <t>#30</t>
  </si>
  <si>
    <t>Charge</t>
    <phoneticPr fontId="3"/>
  </si>
  <si>
    <t xml:space="preserve">Discount </t>
    <phoneticPr fontId="3"/>
  </si>
  <si>
    <r>
      <t>Polyester Herringborne Tape  Polyester</t>
    </r>
    <r>
      <rPr>
        <sz val="12"/>
        <rFont val="ＭＳ Ｐゴシック"/>
        <family val="3"/>
        <charset val="128"/>
      </rPr>
      <t>：</t>
    </r>
    <r>
      <rPr>
        <sz val="12"/>
        <rFont val="Arial  "/>
        <family val="2"/>
      </rPr>
      <t>100%</t>
    </r>
    <phoneticPr fontId="3"/>
  </si>
  <si>
    <t>PT-EO 4/5/23</t>
    <phoneticPr fontId="3"/>
  </si>
  <si>
    <t>19mm</t>
  </si>
  <si>
    <r>
      <rPr>
        <sz val="12"/>
        <color indexed="8"/>
        <rFont val="ＭＳ Ｐゴシック"/>
        <family val="3"/>
        <charset val="128"/>
      </rPr>
      <t>通常単価</t>
    </r>
    <r>
      <rPr>
        <sz val="12"/>
        <color indexed="8"/>
        <rFont val="Arial"/>
        <family val="2"/>
      </rPr>
      <t xml:space="preserve"> 20.87</t>
    </r>
    <rPh sb="0" eb="2">
      <t>ツウジョウ</t>
    </rPh>
    <rPh sb="2" eb="4">
      <t>タンカ</t>
    </rPh>
    <phoneticPr fontId="3"/>
  </si>
  <si>
    <t>NET 30days</t>
  </si>
  <si>
    <t>Account</t>
    <phoneticPr fontId="3"/>
  </si>
  <si>
    <t>New York, U.S.A</t>
    <phoneticPr fontId="3"/>
  </si>
  <si>
    <t>PO 812 (6/13/23)</t>
    <phoneticPr fontId="3"/>
  </si>
  <si>
    <t>38mm</t>
  </si>
  <si>
    <t>#5 Black</t>
  </si>
  <si>
    <t>32mm</t>
  </si>
  <si>
    <t>25mm</t>
  </si>
  <si>
    <t>12mm</t>
  </si>
  <si>
    <t>9mm</t>
  </si>
  <si>
    <t>6mm</t>
  </si>
  <si>
    <t>#01 White</t>
  </si>
  <si>
    <t>#8 Black</t>
  </si>
  <si>
    <t xml:space="preserve">Petersham Ribbon  Cotton-100%  </t>
    <phoneticPr fontId="3"/>
  </si>
  <si>
    <t>Polyester Petersham Ribbon   Polyester-100%</t>
    <phoneticPr fontId="3"/>
  </si>
  <si>
    <t>3705 通常単価</t>
    <rPh sb="5" eb="7">
      <t>ツウジョウ</t>
    </rPh>
    <rPh sb="7" eb="9">
      <t>タンカ</t>
    </rPh>
    <phoneticPr fontId="3"/>
  </si>
  <si>
    <t>3705 貿易単価</t>
    <rPh sb="5" eb="7">
      <t>ボウエキ</t>
    </rPh>
    <rPh sb="7" eb="9">
      <t>タンカ</t>
    </rPh>
    <phoneticPr fontId="3"/>
  </si>
  <si>
    <r>
      <t xml:space="preserve">discount </t>
    </r>
    <r>
      <rPr>
        <sz val="12"/>
        <color rgb="FFFF0000"/>
        <rFont val="ＭＳ Ｐゴシック"/>
        <family val="3"/>
        <charset val="128"/>
      </rPr>
      <t>済単価</t>
    </r>
    <rPh sb="9" eb="10">
      <t>スミ</t>
    </rPh>
    <rPh sb="10" eb="12">
      <t>タンカ</t>
    </rPh>
    <phoneticPr fontId="3"/>
  </si>
  <si>
    <r>
      <t xml:space="preserve">end user </t>
    </r>
    <r>
      <rPr>
        <b/>
        <sz val="12"/>
        <rFont val="ＭＳ Ｐゴシック"/>
        <family val="3"/>
        <charset val="128"/>
      </rPr>
      <t>益率</t>
    </r>
    <rPh sb="9" eb="10">
      <t>エキ</t>
    </rPh>
    <rPh sb="10" eb="11">
      <t>リツ</t>
    </rPh>
    <phoneticPr fontId="3"/>
  </si>
  <si>
    <t>PO 816 (6/27/23)</t>
    <phoneticPr fontId="3"/>
  </si>
  <si>
    <t>Silk Satin Ribbons (Double Face)   Silk 100%</t>
    <phoneticPr fontId="3"/>
  </si>
  <si>
    <t># 20</t>
    <phoneticPr fontId="3"/>
  </si>
  <si>
    <t># 5</t>
    <phoneticPr fontId="3"/>
  </si>
  <si>
    <t># 0</t>
    <phoneticPr fontId="3"/>
  </si>
  <si>
    <t># 1</t>
    <phoneticPr fontId="3"/>
  </si>
  <si>
    <t>輸出単価</t>
    <rPh sb="0" eb="2">
      <t>ユシュツ</t>
    </rPh>
    <rPh sb="2" eb="4">
      <t>タンカ</t>
    </rPh>
    <phoneticPr fontId="3"/>
  </si>
  <si>
    <t>通常単価　</t>
    <rPh sb="0" eb="2">
      <t>ツウジョウ</t>
    </rPh>
    <rPh sb="2" eb="4">
      <t>タンカ</t>
    </rPh>
    <phoneticPr fontId="3"/>
  </si>
  <si>
    <t>Import tax</t>
    <phoneticPr fontId="3"/>
  </si>
  <si>
    <t>PO 818 (7/4/23)</t>
    <phoneticPr fontId="3"/>
  </si>
  <si>
    <t>Black</t>
    <phoneticPr fontId="3"/>
  </si>
  <si>
    <t>Plain Elastic Tape  Polyester 84% Pu 16%</t>
    <phoneticPr fontId="3"/>
  </si>
  <si>
    <t>Vietnam</t>
    <phoneticPr fontId="3"/>
  </si>
  <si>
    <t>Inside Belt (Soft Type)  Polyester 75% Pu 25%</t>
    <phoneticPr fontId="3"/>
  </si>
  <si>
    <t>White</t>
    <phoneticPr fontId="3"/>
  </si>
  <si>
    <t>6 CORD</t>
    <phoneticPr fontId="3"/>
  </si>
  <si>
    <t>Polyester Elastic Braids  Polyester 75% Pu 25%</t>
    <phoneticPr fontId="3"/>
  </si>
  <si>
    <t>12 CORD</t>
    <phoneticPr fontId="3"/>
  </si>
  <si>
    <t>PO 824 (7/19/23)</t>
    <phoneticPr fontId="3"/>
  </si>
  <si>
    <t>10 CORD</t>
    <phoneticPr fontId="3"/>
  </si>
  <si>
    <t># 45</t>
    <phoneticPr fontId="3"/>
  </si>
  <si>
    <t>PO 825 (7/24/23)</t>
    <phoneticPr fontId="3"/>
  </si>
  <si>
    <t>#3</t>
  </si>
  <si>
    <t>#79</t>
  </si>
  <si>
    <t>#57</t>
  </si>
  <si>
    <t>#34</t>
  </si>
  <si>
    <t>#2</t>
  </si>
  <si>
    <t>#55</t>
  </si>
  <si>
    <t>9mm</t>
    <phoneticPr fontId="3"/>
  </si>
  <si>
    <t># 51</t>
    <phoneticPr fontId="3"/>
  </si>
  <si>
    <t># 37</t>
    <phoneticPr fontId="3"/>
  </si>
  <si>
    <t># 79</t>
    <phoneticPr fontId="3"/>
  </si>
  <si>
    <t># 77</t>
    <phoneticPr fontId="3"/>
  </si>
  <si>
    <t>PO 836 (8/11/23)</t>
  </si>
  <si>
    <t>PO 836 (8/11/23)</t>
    <phoneticPr fontId="3"/>
  </si>
  <si>
    <t># 30</t>
    <phoneticPr fontId="3"/>
  </si>
  <si>
    <t>PO 852 (10/12/23)</t>
    <phoneticPr fontId="3"/>
  </si>
  <si>
    <t>Plain Elastic Tape  Polyester 85% Pu 15%</t>
    <phoneticPr fontId="3"/>
  </si>
  <si>
    <r>
      <rPr>
        <sz val="11"/>
        <rFont val="MS UI Gothic"/>
        <family val="3"/>
        <charset val="128"/>
      </rPr>
      <t>福井県越前市千原町</t>
    </r>
    <r>
      <rPr>
        <sz val="11"/>
        <rFont val="Times New Roman"/>
        <family val="1"/>
      </rPr>
      <t>2-6</t>
    </r>
    <phoneticPr fontId="3"/>
  </si>
  <si>
    <t>PO 872 (12/15/23)</t>
    <phoneticPr fontId="3"/>
  </si>
  <si>
    <t>4 CORD</t>
    <phoneticPr fontId="3"/>
  </si>
  <si>
    <t>8 CORD</t>
    <phoneticPr fontId="3"/>
  </si>
  <si>
    <t>#5</t>
  </si>
  <si>
    <t>#11</t>
  </si>
  <si>
    <t>#1 white</t>
  </si>
  <si>
    <t>#15</t>
  </si>
  <si>
    <t>#24</t>
  </si>
  <si>
    <t>#28</t>
  </si>
  <si>
    <t>#45</t>
  </si>
  <si>
    <t>#44</t>
  </si>
  <si>
    <t>#47 Black</t>
  </si>
  <si>
    <t>#50</t>
  </si>
  <si>
    <r>
      <t>1-19</t>
    </r>
    <r>
      <rPr>
        <sz val="12"/>
        <rFont val="ＭＳ Ｐゴシック"/>
        <family val="3"/>
        <charset val="128"/>
      </rPr>
      <t>反単価：</t>
    </r>
    <r>
      <rPr>
        <sz val="12"/>
        <rFont val="Arial"/>
        <family val="2"/>
      </rPr>
      <t>603</t>
    </r>
    <rPh sb="4" eb="5">
      <t>タン</t>
    </rPh>
    <rPh sb="5" eb="7">
      <t>タンカ</t>
    </rPh>
    <phoneticPr fontId="3"/>
  </si>
  <si>
    <t>PO 886 (2/5/24)</t>
    <phoneticPr fontId="3"/>
  </si>
  <si>
    <t># 134</t>
    <phoneticPr fontId="3"/>
  </si>
  <si>
    <t># 79</t>
    <phoneticPr fontId="3"/>
  </si>
  <si>
    <t># 36</t>
    <phoneticPr fontId="3"/>
  </si>
  <si>
    <t># 63</t>
    <phoneticPr fontId="3"/>
  </si>
  <si>
    <t># 91</t>
  </si>
  <si>
    <t># 91</t>
    <phoneticPr fontId="3"/>
  </si>
  <si>
    <t># 6</t>
    <phoneticPr fontId="3"/>
  </si>
  <si>
    <t># 14</t>
    <phoneticPr fontId="3"/>
  </si>
  <si>
    <t># 1</t>
    <phoneticPr fontId="3"/>
  </si>
  <si>
    <t># 15</t>
    <phoneticPr fontId="3"/>
  </si>
  <si>
    <t># 10</t>
    <phoneticPr fontId="3"/>
  </si>
  <si>
    <t># 2</t>
    <phoneticPr fontId="3"/>
  </si>
  <si>
    <t># 31</t>
    <phoneticPr fontId="3"/>
  </si>
  <si>
    <t>PO 886 additional (2/12/24)</t>
    <phoneticPr fontId="3"/>
  </si>
  <si>
    <r>
      <t>Recycled Polyester Herringborne Tape   Recycled Polyester</t>
    </r>
    <r>
      <rPr>
        <sz val="12"/>
        <rFont val="ＭＳ Ｐゴシック"/>
        <family val="3"/>
        <charset val="128"/>
      </rPr>
      <t>：</t>
    </r>
    <r>
      <rPr>
        <sz val="12"/>
        <rFont val="Arial  "/>
        <family val="2"/>
      </rPr>
      <t>100%</t>
    </r>
    <phoneticPr fontId="3"/>
  </si>
  <si>
    <t>E3806</t>
    <phoneticPr fontId="3"/>
  </si>
  <si>
    <t># 30 Black</t>
    <phoneticPr fontId="3"/>
  </si>
  <si>
    <t xml:space="preserve"> </t>
    <phoneticPr fontId="3"/>
  </si>
  <si>
    <t>PO 890 (3/1/24)</t>
    <phoneticPr fontId="3"/>
  </si>
  <si>
    <t>輸出単価</t>
    <rPh sb="0" eb="2">
      <t>ユシュツ</t>
    </rPh>
    <rPh sb="2" eb="4">
      <t>タンカ</t>
    </rPh>
    <phoneticPr fontId="3"/>
  </si>
  <si>
    <t>通常単価</t>
    <rPh sb="0" eb="2">
      <t>ツウジョウ</t>
    </rPh>
    <rPh sb="2" eb="4">
      <t>タンカ</t>
    </rPh>
    <phoneticPr fontId="3"/>
  </si>
  <si>
    <t>Stretch Grosgrain Ribbon   Polyester-80%/Polyurethane-20%</t>
    <phoneticPr fontId="3"/>
  </si>
  <si>
    <t>12mm x 2</t>
    <phoneticPr fontId="3"/>
  </si>
  <si>
    <t># 24 Black</t>
  </si>
  <si>
    <t>9mm x 2</t>
    <phoneticPr fontId="3"/>
  </si>
  <si>
    <t># 1</t>
    <phoneticPr fontId="3"/>
  </si>
  <si>
    <r>
      <t>1-19</t>
    </r>
    <r>
      <rPr>
        <sz val="12"/>
        <rFont val="ＭＳ Ｐゴシック"/>
        <family val="3"/>
        <charset val="128"/>
      </rPr>
      <t>反単価</t>
    </r>
    <rPh sb="4" eb="5">
      <t>タン</t>
    </rPh>
    <rPh sb="5" eb="7">
      <t>タンカ</t>
    </rPh>
    <phoneticPr fontId="3"/>
  </si>
  <si>
    <t>#9</t>
    <phoneticPr fontId="3"/>
  </si>
  <si>
    <t>PO 902 (4/1/24)</t>
    <phoneticPr fontId="3"/>
  </si>
  <si>
    <t>Plain Elastic Tape  Polyester 84.5% Pu 15.5%</t>
    <phoneticPr fontId="3"/>
  </si>
  <si>
    <t># 40</t>
    <phoneticPr fontId="3"/>
  </si>
  <si>
    <t>PO 903 (5/1/24)</t>
    <phoneticPr fontId="3"/>
  </si>
  <si>
    <t># 30</t>
  </si>
  <si>
    <t># 1</t>
    <phoneticPr fontId="3"/>
  </si>
  <si>
    <t># 3</t>
    <phoneticPr fontId="3"/>
  </si>
  <si>
    <t># 7</t>
    <phoneticPr fontId="3"/>
  </si>
  <si>
    <t># 11</t>
    <phoneticPr fontId="3"/>
  </si>
  <si>
    <t># 13</t>
    <phoneticPr fontId="3"/>
  </si>
  <si>
    <t># 16</t>
    <phoneticPr fontId="3"/>
  </si>
  <si>
    <t># 19</t>
    <phoneticPr fontId="3"/>
  </si>
  <si>
    <t># 22</t>
    <phoneticPr fontId="3"/>
  </si>
  <si>
    <t>PO 920 (6/6/24)</t>
    <phoneticPr fontId="3"/>
  </si>
  <si>
    <t>PO 920 (7/15/24)</t>
    <phoneticPr fontId="3"/>
  </si>
  <si>
    <t>PO 933 (8/22/24)</t>
    <phoneticPr fontId="3"/>
  </si>
  <si>
    <t>#47</t>
    <phoneticPr fontId="3"/>
  </si>
  <si>
    <t># 44</t>
    <phoneticPr fontId="3"/>
  </si>
  <si>
    <t># 14</t>
    <phoneticPr fontId="3"/>
  </si>
  <si>
    <t>E3709</t>
    <phoneticPr fontId="3"/>
  </si>
  <si>
    <t># 5</t>
    <phoneticPr fontId="3"/>
  </si>
  <si>
    <t>Organic Cotton Grosgrain  Organic Cotton: 100%</t>
    <phoneticPr fontId="3"/>
  </si>
  <si>
    <t>濵田</t>
    <rPh sb="0" eb="1">
      <t>ハマ</t>
    </rPh>
    <rPh sb="1" eb="2">
      <t>タ</t>
    </rPh>
    <phoneticPr fontId="3"/>
  </si>
  <si>
    <t>CANCEL</t>
    <phoneticPr fontId="3"/>
  </si>
  <si>
    <t>PO 936 (10/15/24)</t>
    <phoneticPr fontId="3"/>
  </si>
  <si>
    <t>PO 958 (12/13/24)</t>
    <phoneticPr fontId="3"/>
  </si>
  <si>
    <t>輸出単価</t>
    <rPh sb="0" eb="2">
      <t>ユシュツ</t>
    </rPh>
    <rPh sb="2" eb="4">
      <t>タンカ</t>
    </rPh>
    <phoneticPr fontId="3"/>
  </si>
  <si>
    <t>PO 967 (12/30/24)</t>
  </si>
  <si>
    <t>PO 967 (12/30/24)</t>
    <phoneticPr fontId="3"/>
  </si>
  <si>
    <t># 24</t>
    <phoneticPr fontId="3"/>
  </si>
  <si>
    <t>通常(国内)単価</t>
    <rPh sb="0" eb="2">
      <t>ツウジョウ</t>
    </rPh>
    <rPh sb="3" eb="5">
      <t>コクナイ</t>
    </rPh>
    <rPh sb="6" eb="8">
      <t>タンカ</t>
    </rPh>
    <phoneticPr fontId="3"/>
  </si>
  <si>
    <t>PO 974 (1/17/24)</t>
    <phoneticPr fontId="3"/>
  </si>
  <si>
    <t>#1 white</t>
    <phoneticPr fontId="3"/>
  </si>
  <si>
    <t># 40 ivory</t>
    <phoneticPr fontId="3"/>
  </si>
  <si>
    <t>#1 white</t>
    <phoneticPr fontId="3"/>
  </si>
  <si>
    <t>#7 ivory</t>
    <phoneticPr fontId="3"/>
  </si>
  <si>
    <t># 35</t>
    <phoneticPr fontId="3"/>
  </si>
  <si>
    <t># 80</t>
    <phoneticPr fontId="3"/>
  </si>
  <si>
    <t># 102</t>
    <phoneticPr fontId="3"/>
  </si>
  <si>
    <t># 103</t>
    <phoneticPr fontId="3"/>
  </si>
  <si>
    <t># 3 gray</t>
    <phoneticPr fontId="3"/>
  </si>
  <si>
    <t>PEO2/14/25</t>
  </si>
  <si>
    <t>PEO2/14/25</t>
    <phoneticPr fontId="3"/>
  </si>
  <si>
    <t>PO 977 (2/18/25)</t>
    <phoneticPr fontId="3"/>
  </si>
  <si>
    <t># 40 Beige</t>
    <phoneticPr fontId="3"/>
  </si>
  <si>
    <t xml:space="preserve">PO 981 </t>
    <phoneticPr fontId="3"/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</si>
  <si>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シオモト製紐</t>
    </r>
    <phoneticPr fontId="3"/>
  </si>
  <si>
    <t>929-1173</t>
    <phoneticPr fontId="3"/>
  </si>
  <si>
    <r>
      <rPr>
        <sz val="11"/>
        <rFont val="MS UI Gothic"/>
        <family val="3"/>
        <charset val="128"/>
      </rPr>
      <t>石川県かほく市遠塚ロ</t>
    </r>
    <r>
      <rPr>
        <sz val="11"/>
        <rFont val="Times New Roman"/>
        <family val="1"/>
      </rPr>
      <t>36-17</t>
    </r>
    <phoneticPr fontId="3"/>
  </si>
  <si>
    <t>076-285-3311</t>
    <phoneticPr fontId="3"/>
  </si>
  <si>
    <t>076-285-3310</t>
    <phoneticPr fontId="3"/>
  </si>
  <si>
    <r>
      <rPr>
        <sz val="12"/>
        <color theme="1"/>
        <rFont val="ＭＳ ゴシック"/>
        <family val="3"/>
        <charset val="128"/>
      </rPr>
      <t>出荷($590)</t>
    </r>
    <r>
      <rPr>
        <sz val="12"/>
        <color theme="1"/>
        <rFont val="Arial  "/>
        <family val="2"/>
        <charset val="128"/>
      </rPr>
      <t>→</t>
    </r>
    <r>
      <rPr>
        <sz val="12"/>
        <color theme="1"/>
        <rFont val="ＭＳ ゴシック"/>
        <family val="3"/>
        <charset val="128"/>
      </rPr>
      <t>返送</t>
    </r>
    <rPh sb="0" eb="2">
      <t>シュッカ</t>
    </rPh>
    <rPh sb="9" eb="11">
      <t>ヘンソウ</t>
    </rPh>
    <phoneticPr fontId="3"/>
  </si>
  <si>
    <t>出荷+返送+再出荷</t>
    <rPh sb="0" eb="2">
      <t>シュッカ</t>
    </rPh>
    <rPh sb="3" eb="5">
      <t>ヘンソウ</t>
    </rPh>
    <rPh sb="6" eb="9">
      <t>サイシュッカ</t>
    </rPh>
    <phoneticPr fontId="3"/>
  </si>
  <si>
    <t>PO 982 (2/25/25)</t>
  </si>
  <si>
    <t>PO 982 (2/25/25)</t>
    <phoneticPr fontId="3"/>
  </si>
  <si>
    <t># 30 Grey</t>
    <phoneticPr fontId="3"/>
  </si>
  <si>
    <t># 11 Orange</t>
    <phoneticPr fontId="3"/>
  </si>
  <si>
    <t># 48 Neon</t>
    <phoneticPr fontId="3"/>
  </si>
  <si>
    <t># 3 Orange pink</t>
    <phoneticPr fontId="3"/>
  </si>
  <si>
    <t>PO 977 (2/18/25)</t>
  </si>
  <si>
    <t># 12</t>
    <phoneticPr fontId="3"/>
  </si>
  <si>
    <t># 29</t>
    <phoneticPr fontId="3"/>
  </si>
  <si>
    <t>PO 984 (3/5/24)</t>
  </si>
  <si>
    <t>PO 984 (3/5/24)</t>
    <phoneticPr fontId="3"/>
  </si>
  <si>
    <t>PO 984 (3/5/24)-addition</t>
    <phoneticPr fontId="3"/>
  </si>
  <si>
    <t>PO 986 (3/10/25)</t>
  </si>
  <si>
    <t>PO 986 (3/10/25)</t>
    <phoneticPr fontId="3"/>
  </si>
  <si>
    <t>PO 987 (7/15/24)</t>
    <phoneticPr fontId="3"/>
  </si>
  <si>
    <t># 27</t>
    <phoneticPr fontId="3"/>
  </si>
  <si>
    <t># 78</t>
    <phoneticPr fontId="3"/>
  </si>
  <si>
    <t># 139</t>
    <phoneticPr fontId="3"/>
  </si>
  <si>
    <t># 140</t>
    <phoneticPr fontId="3"/>
  </si>
  <si>
    <t># 48</t>
    <phoneticPr fontId="3"/>
  </si>
  <si>
    <t>￥29978 (SF OSAKA→SF NY)  返送分再出荷：運賃確定</t>
    <rPh sb="25" eb="27">
      <t>ヘンソウ</t>
    </rPh>
    <rPh sb="27" eb="28">
      <t>フン</t>
    </rPh>
    <rPh sb="28" eb="31">
      <t>サイシュッカ</t>
    </rPh>
    <rPh sb="32" eb="34">
      <t>ウンチン</t>
    </rPh>
    <rPh sb="34" eb="36">
      <t>カクテイ</t>
    </rPh>
    <phoneticPr fontId="3"/>
  </si>
  <si>
    <t>Plain Elastic Tape  Polyester 86% Pu 14%</t>
    <phoneticPr fontId="3"/>
  </si>
  <si>
    <r>
      <rPr>
        <sz val="12"/>
        <rFont val="ＭＳ ゴシック"/>
        <family val="3"/>
        <charset val="128"/>
      </rPr>
      <t xml:space="preserve">(小林さん：@ </t>
    </r>
    <r>
      <rPr>
        <sz val="12"/>
        <rFont val="Arial"/>
        <family val="2"/>
      </rPr>
      <t xml:space="preserve">2130 ) </t>
    </r>
    <r>
      <rPr>
        <sz val="12"/>
        <rFont val="ＭＳ ゴシック"/>
        <family val="2"/>
        <charset val="128"/>
      </rPr>
      <t>→ 1950</t>
    </r>
    <rPh sb="1" eb="3">
      <t>コバヤシ</t>
    </rPh>
    <phoneticPr fontId="3"/>
  </si>
  <si>
    <r>
      <rPr>
        <sz val="12"/>
        <rFont val="ＭＳ ゴシック"/>
        <family val="3"/>
        <charset val="128"/>
      </rPr>
      <t>(小林さん：@ 3420</t>
    </r>
    <r>
      <rPr>
        <sz val="12"/>
        <rFont val="Arial"/>
        <family val="2"/>
      </rPr>
      <t xml:space="preserve"> ) </t>
    </r>
    <r>
      <rPr>
        <sz val="12"/>
        <rFont val="ＭＳ ゴシック"/>
        <family val="2"/>
        <charset val="128"/>
      </rPr>
      <t>→ 3120</t>
    </r>
    <rPh sb="1" eb="3">
      <t>コバヤシ</t>
    </rPh>
    <phoneticPr fontId="3"/>
  </si>
  <si>
    <t>PO 989 (4/9/25)</t>
    <phoneticPr fontId="3"/>
  </si>
  <si>
    <t>#5 Black</t>
    <phoneticPr fontId="3"/>
  </si>
  <si>
    <r>
      <t>(</t>
    </r>
    <r>
      <rPr>
        <sz val="12"/>
        <rFont val="ＭＳ ゴシック"/>
        <family val="3"/>
        <charset val="128"/>
      </rPr>
      <t>小林さん：</t>
    </r>
    <r>
      <rPr>
        <sz val="12"/>
        <rFont val="Arial  "/>
        <family val="2"/>
      </rPr>
      <t xml:space="preserve"> @ 1740 ) </t>
    </r>
    <r>
      <rPr>
        <sz val="12"/>
        <rFont val="Arial  "/>
        <family val="2"/>
        <charset val="128"/>
      </rPr>
      <t>→</t>
    </r>
    <r>
      <rPr>
        <sz val="12"/>
        <rFont val="Arial  "/>
        <family val="2"/>
      </rPr>
      <t xml:space="preserve"> </t>
    </r>
    <r>
      <rPr>
        <sz val="12"/>
        <rFont val="Arial  "/>
      </rPr>
      <t>1560</t>
    </r>
    <rPh sb="1" eb="3">
      <t>コバヤシ</t>
    </rPh>
    <phoneticPr fontId="3"/>
  </si>
  <si>
    <t>PO 988 (4/2/25)</t>
    <phoneticPr fontId="3"/>
  </si>
  <si>
    <r>
      <rPr>
        <sz val="12"/>
        <rFont val="ＭＳ ゴシック"/>
        <family val="3"/>
        <charset val="128"/>
      </rPr>
      <t>￥</t>
    </r>
    <r>
      <rPr>
        <sz val="12"/>
        <rFont val="Arial"/>
        <family val="2"/>
      </rPr>
      <t>50211(PT</t>
    </r>
    <r>
      <rPr>
        <sz val="12"/>
        <rFont val="Arial  "/>
        <family val="2"/>
        <charset val="128"/>
      </rPr>
      <t>→</t>
    </r>
    <r>
      <rPr>
        <sz val="12"/>
        <rFont val="Arial"/>
        <family val="2"/>
      </rPr>
      <t>SF OSAKA)</t>
    </r>
    <r>
      <rPr>
        <sz val="12"/>
        <rFont val="ＭＳ ゴシック"/>
        <family val="3"/>
        <charset val="128"/>
      </rPr>
      <t>　返送：運賃確定</t>
    </r>
    <r>
      <rPr>
        <sz val="12"/>
        <rFont val="Arial  "/>
        <family val="3"/>
        <charset val="128"/>
      </rPr>
      <t>　→返金確定-4/15</t>
    </r>
    <rPh sb="20" eb="22">
      <t>ヘンソウ</t>
    </rPh>
    <rPh sb="23" eb="25">
      <t>ウンチン</t>
    </rPh>
    <rPh sb="25" eb="27">
      <t>カクテイ</t>
    </rPh>
    <rPh sb="29" eb="31">
      <t>ヘンキン</t>
    </rPh>
    <rPh sb="31" eb="33">
      <t>カクテイ</t>
    </rPh>
    <phoneticPr fontId="3"/>
  </si>
  <si>
    <r>
      <rPr>
        <sz val="12"/>
        <rFont val="ＭＳ ゴシック"/>
        <family val="3"/>
        <charset val="128"/>
      </rPr>
      <t>￥</t>
    </r>
    <r>
      <rPr>
        <sz val="12"/>
        <rFont val="Arial"/>
        <family val="2"/>
      </rPr>
      <t>58811(1</t>
    </r>
    <r>
      <rPr>
        <sz val="12"/>
        <rFont val="ＭＳ ゴシック"/>
        <family val="3"/>
        <charset val="128"/>
      </rPr>
      <t>月</t>
    </r>
    <r>
      <rPr>
        <sz val="12"/>
        <rFont val="Arial"/>
        <family val="2"/>
      </rPr>
      <t>22</t>
    </r>
    <r>
      <rPr>
        <sz val="12"/>
        <rFont val="ＭＳ ゴシック"/>
        <family val="3"/>
        <charset val="128"/>
      </rPr>
      <t>出荷</t>
    </r>
    <r>
      <rPr>
        <sz val="12"/>
        <rFont val="Arial"/>
        <family val="2"/>
      </rPr>
      <t xml:space="preserve"> SF</t>
    </r>
    <r>
      <rPr>
        <sz val="12"/>
        <rFont val="Arial  "/>
        <family val="2"/>
        <charset val="128"/>
      </rPr>
      <t>→</t>
    </r>
    <r>
      <rPr>
        <sz val="12"/>
        <rFont val="Arial"/>
        <family val="2"/>
      </rPr>
      <t>PT)</t>
    </r>
    <r>
      <rPr>
        <sz val="12"/>
        <rFont val="ＭＳ ゴシック"/>
        <family val="3"/>
        <charset val="128"/>
      </rPr>
      <t>　</t>
    </r>
    <r>
      <rPr>
        <sz val="12"/>
        <rFont val="Arial  "/>
        <family val="2"/>
        <charset val="128"/>
      </rPr>
      <t>→</t>
    </r>
    <r>
      <rPr>
        <sz val="12"/>
        <rFont val="ＭＳ ゴシック"/>
        <family val="3"/>
        <charset val="128"/>
      </rPr>
      <t>　返金確定</t>
    </r>
    <r>
      <rPr>
        <sz val="12"/>
        <rFont val="Arial  "/>
        <family val="3"/>
        <charset val="128"/>
      </rPr>
      <t>-4/15</t>
    </r>
    <rPh sb="8" eb="9">
      <t>ガツ</t>
    </rPh>
    <rPh sb="11" eb="13">
      <t>シュッカ</t>
    </rPh>
    <rPh sb="23" eb="25">
      <t>ヘンキン</t>
    </rPh>
    <rPh sb="25" eb="27">
      <t>カクテイ</t>
    </rPh>
    <phoneticPr fontId="3"/>
  </si>
  <si>
    <t>PO 989 (4/9/25)</t>
    <phoneticPr fontId="3"/>
  </si>
  <si>
    <t>Charge</t>
    <phoneticPr fontId="3"/>
  </si>
  <si>
    <t>NY小林さん立て替え済</t>
    <rPh sb="2" eb="4">
      <t>コバヤシ</t>
    </rPh>
    <rPh sb="6" eb="7">
      <t>タ</t>
    </rPh>
    <rPh sb="8" eb="9">
      <t>カ</t>
    </rPh>
    <rPh sb="10" eb="11">
      <t>スミ</t>
    </rPh>
    <phoneticPr fontId="3"/>
  </si>
  <si>
    <t>22-Jan, 20-Feb→15-Apr,2025</t>
    <phoneticPr fontId="3"/>
  </si>
  <si>
    <t>PO 990 (5/13/25)</t>
    <phoneticPr fontId="3"/>
  </si>
  <si>
    <t>#79 Navy</t>
    <phoneticPr fontId="3"/>
  </si>
  <si>
    <t># 0 Off White</t>
    <phoneticPr fontId="3"/>
  </si>
  <si>
    <t># 40 Ivory</t>
    <phoneticPr fontId="3"/>
  </si>
  <si>
    <t># 30 Beige</t>
    <phoneticPr fontId="3"/>
  </si>
  <si>
    <r>
      <t># 1 (</t>
    </r>
    <r>
      <rPr>
        <sz val="12"/>
        <rFont val="ＭＳ Ｐゴシック"/>
        <family val="2"/>
        <charset val="128"/>
      </rPr>
      <t>←</t>
    </r>
    <r>
      <rPr>
        <sz val="12"/>
        <rFont val="Arial"/>
        <family val="2"/>
      </rPr>
      <t>3850 #91)</t>
    </r>
    <phoneticPr fontId="3"/>
  </si>
  <si>
    <r>
      <t># 0 (</t>
    </r>
    <r>
      <rPr>
        <sz val="12"/>
        <rFont val="ＭＳ Ｐゴシック"/>
        <family val="2"/>
        <charset val="128"/>
      </rPr>
      <t>←</t>
    </r>
    <r>
      <rPr>
        <sz val="12"/>
        <rFont val="Arial"/>
        <family val="2"/>
      </rPr>
      <t>3850 #90)</t>
    </r>
    <phoneticPr fontId="3"/>
  </si>
  <si>
    <r>
      <t># 5 (</t>
    </r>
    <r>
      <rPr>
        <sz val="12"/>
        <rFont val="ＭＳ Ｐゴシック"/>
        <family val="2"/>
        <charset val="128"/>
      </rPr>
      <t>←</t>
    </r>
    <r>
      <rPr>
        <sz val="12"/>
        <rFont val="Arial"/>
        <family val="2"/>
      </rPr>
      <t>3850 #95)</t>
    </r>
    <phoneticPr fontId="3"/>
  </si>
  <si>
    <r>
      <t># 3 (</t>
    </r>
    <r>
      <rPr>
        <sz val="12"/>
        <rFont val="ＭＳ Ｐゴシック"/>
        <family val="2"/>
        <charset val="128"/>
      </rPr>
      <t>←</t>
    </r>
    <r>
      <rPr>
        <sz val="12"/>
        <rFont val="Arial"/>
        <family val="2"/>
      </rPr>
      <t>3850 #93)</t>
    </r>
    <phoneticPr fontId="3"/>
  </si>
  <si>
    <t>Made in Japan</t>
    <phoneticPr fontId="3"/>
  </si>
  <si>
    <r>
      <rPr>
        <sz val="11"/>
        <color theme="1"/>
        <rFont val="ＭＳ Ｐ明朝"/>
        <family val="1"/>
        <charset val="128"/>
      </rPr>
      <t>［</t>
    </r>
    <r>
      <rPr>
        <sz val="11"/>
        <color theme="1"/>
        <rFont val="Times New Roman"/>
        <family val="1"/>
      </rPr>
      <t>Shipper Information</t>
    </r>
    <r>
      <rPr>
        <sz val="11"/>
        <color theme="1"/>
        <rFont val="ＭＳ Ｐ明朝"/>
        <family val="1"/>
        <charset val="128"/>
      </rPr>
      <t>］</t>
    </r>
    <phoneticPr fontId="3"/>
  </si>
  <si>
    <r>
      <rPr>
        <sz val="11"/>
        <rFont val="ＭＳ Ｐ明朝"/>
        <family val="1"/>
        <charset val="128"/>
      </rPr>
      <t>［</t>
    </r>
    <r>
      <rPr>
        <sz val="11"/>
        <rFont val="Times New Roman"/>
        <family val="1"/>
      </rPr>
      <t>Packing Details</t>
    </r>
    <r>
      <rPr>
        <sz val="11"/>
        <rFont val="ＭＳ Ｐ明朝"/>
        <family val="1"/>
        <charset val="128"/>
      </rPr>
      <t>］</t>
    </r>
    <phoneticPr fontId="3"/>
  </si>
  <si>
    <t>No. of Package</t>
    <phoneticPr fontId="3"/>
  </si>
  <si>
    <t xml:space="preserve"> 1 package</t>
    <phoneticPr fontId="3"/>
  </si>
  <si>
    <t xml:space="preserve">Type: </t>
    <phoneticPr fontId="3"/>
  </si>
  <si>
    <t>No. of Package</t>
  </si>
  <si>
    <t>Type:</t>
  </si>
  <si>
    <t>G/Weight:</t>
  </si>
  <si>
    <t xml:space="preserve">   package</t>
    <phoneticPr fontId="3"/>
  </si>
  <si>
    <t xml:space="preserve">     x        x      cm</t>
    <phoneticPr fontId="3"/>
  </si>
  <si>
    <t xml:space="preserve">     KG</t>
    <phoneticPr fontId="3"/>
  </si>
  <si>
    <t>PO 991 (6/4/25)</t>
  </si>
  <si>
    <t>PO 991 (6/4/25)</t>
    <phoneticPr fontId="3"/>
  </si>
  <si>
    <t>#1 White</t>
    <phoneticPr fontId="3"/>
  </si>
  <si>
    <t>#40 Beige</t>
    <phoneticPr fontId="3"/>
  </si>
  <si>
    <t># 0 off-white</t>
    <phoneticPr fontId="3"/>
  </si>
  <si>
    <t>#30</t>
    <phoneticPr fontId="3"/>
  </si>
  <si>
    <t>(per roll)</t>
  </si>
  <si>
    <t>JAPAN</t>
  </si>
  <si>
    <t>#22</t>
    <phoneticPr fontId="3"/>
  </si>
  <si>
    <t>#75</t>
    <phoneticPr fontId="3"/>
  </si>
  <si>
    <t>PO 993</t>
    <phoneticPr fontId="3"/>
  </si>
  <si>
    <t>#40 beige</t>
    <phoneticPr fontId="3"/>
  </si>
  <si>
    <t xml:space="preserve">White </t>
    <phoneticPr fontId="3"/>
  </si>
  <si>
    <t>#2 pink</t>
    <phoneticPr fontId="3"/>
  </si>
  <si>
    <t>PO 993</t>
    <phoneticPr fontId="3"/>
  </si>
  <si>
    <t>PO 994</t>
    <phoneticPr fontId="3"/>
  </si>
  <si>
    <t>PO 995</t>
    <phoneticPr fontId="3"/>
  </si>
  <si>
    <t>E3709</t>
    <phoneticPr fontId="3"/>
  </si>
  <si>
    <t>32 mm</t>
    <phoneticPr fontId="3"/>
  </si>
  <si>
    <t>#1</t>
    <phoneticPr fontId="3"/>
  </si>
  <si>
    <t>#18</t>
    <phoneticPr fontId="3"/>
  </si>
  <si>
    <t>#35</t>
    <phoneticPr fontId="3"/>
  </si>
  <si>
    <t>#48</t>
    <phoneticPr fontId="3"/>
  </si>
  <si>
    <t>#0</t>
    <phoneticPr fontId="3"/>
  </si>
  <si>
    <t>PO 995</t>
  </si>
  <si>
    <t>PO 992 (8/1/25)</t>
    <phoneticPr fontId="3"/>
  </si>
  <si>
    <r>
      <t>PO 992</t>
    </r>
    <r>
      <rPr>
        <sz val="12"/>
        <rFont val="Arial"/>
        <family val="2"/>
      </rPr>
      <t>, 995</t>
    </r>
    <phoneticPr fontId="3"/>
  </si>
  <si>
    <t>PO 992 (8/1/25), 993</t>
    <phoneticPr fontId="3"/>
  </si>
  <si>
    <t>PO 996 (9/9/25)</t>
    <phoneticPr fontId="3"/>
  </si>
  <si>
    <t>9mm x 2</t>
    <phoneticPr fontId="3"/>
  </si>
  <si>
    <t>#24 Black</t>
    <phoneticPr fontId="3"/>
  </si>
  <si>
    <t># 45</t>
    <phoneticPr fontId="3"/>
  </si>
  <si>
    <t># 47</t>
    <phoneticPr fontId="3"/>
  </si>
  <si>
    <t># 5 red</t>
    <phoneticPr fontId="3"/>
  </si>
  <si>
    <t>Stretch Grosgrain Ribbon   Polyester-80%/Polyurethane-20%</t>
    <phoneticPr fontId="3"/>
  </si>
  <si>
    <t>PO 997(9/16/25)</t>
    <phoneticPr fontId="3"/>
  </si>
  <si>
    <t>#5</t>
    <phoneticPr fontId="3"/>
  </si>
  <si>
    <t>#18</t>
    <phoneticPr fontId="3"/>
  </si>
  <si>
    <t>#78</t>
    <phoneticPr fontId="3"/>
  </si>
  <si>
    <t>PO 998 (10/8/25)</t>
    <phoneticPr fontId="3"/>
  </si>
  <si>
    <t>#24</t>
    <phoneticPr fontId="3"/>
  </si>
  <si>
    <t>PO EO10/22/25</t>
    <phoneticPr fontId="3"/>
  </si>
  <si>
    <t># 4 tan</t>
    <phoneticPr fontId="3"/>
  </si>
  <si>
    <t># 29 navy</t>
    <phoneticPr fontId="3"/>
  </si>
  <si>
    <t># 30 black</t>
    <phoneticPr fontId="3"/>
  </si>
  <si>
    <t>PO EO 11/3/25</t>
    <phoneticPr fontId="3"/>
  </si>
  <si>
    <t># 78 navy</t>
    <phoneticPr fontId="3"/>
  </si>
  <si>
    <t>PO 999(12/17/25)</t>
    <phoneticPr fontId="3"/>
  </si>
  <si>
    <t>#1</t>
    <phoneticPr fontId="3"/>
  </si>
  <si>
    <t>#3</t>
    <phoneticPr fontId="3"/>
  </si>
  <si>
    <t>#20</t>
    <phoneticPr fontId="3"/>
  </si>
  <si>
    <t>#40</t>
    <phoneticPr fontId="3"/>
  </si>
  <si>
    <t>in stock</t>
    <phoneticPr fontId="3"/>
  </si>
  <si>
    <t># 50</t>
    <phoneticPr fontId="3"/>
  </si>
  <si>
    <t># 38</t>
    <phoneticPr fontId="3"/>
  </si>
  <si>
    <t># 57</t>
    <phoneticPr fontId="3"/>
  </si>
  <si>
    <t># 76</t>
    <phoneticPr fontId="3"/>
  </si>
  <si>
    <t># 25</t>
    <phoneticPr fontId="3"/>
  </si>
  <si>
    <t># 41</t>
    <phoneticPr fontId="3"/>
  </si>
  <si>
    <t xml:space="preserve"># 49 </t>
    <phoneticPr fontId="3"/>
  </si>
  <si>
    <t>12 cord</t>
    <phoneticPr fontId="3"/>
  </si>
  <si>
    <t xml:space="preserve">in stock </t>
    <phoneticPr fontId="3"/>
  </si>
  <si>
    <t>PO 999(12/17/25)</t>
  </si>
  <si>
    <t>PO 999(12/17/25)-alternative</t>
    <phoneticPr fontId="3"/>
  </si>
  <si>
    <t>PO 1000(1/9/26)</t>
    <phoneticPr fontId="3"/>
  </si>
  <si>
    <t>PO 999,1000</t>
    <phoneticPr fontId="3"/>
  </si>
  <si>
    <t>#47 Black</t>
    <phoneticPr fontId="3"/>
  </si>
  <si>
    <t>Recycled Polyester Herringborne Tape   Recycled Polyester：100%</t>
  </si>
  <si>
    <r>
      <rPr>
        <b/>
        <sz val="12"/>
        <rFont val="Times New Roman"/>
        <family val="1"/>
      </rPr>
      <t>SUN FASHION AMERICA, INC.</t>
    </r>
    <r>
      <rPr>
        <sz val="10"/>
        <rFont val="Times New Roman"/>
        <family val="1"/>
      </rPr>
      <t xml:space="preserve">
Suite 716, 15 West 38th Street,
New York, NY 10018, U.S.A.
TEL: 81-80-4860-0203
&lt;Shipper: Sun Fashion Corp. in Japan&gt;</t>
    </r>
    <phoneticPr fontId="3"/>
  </si>
  <si>
    <t>PO 28380</t>
    <phoneticPr fontId="3"/>
  </si>
  <si>
    <t xml:space="preserve"> By T/T or ACH only (Check:N/A)</t>
    <phoneticPr fontId="3"/>
  </si>
  <si>
    <t>無償提供</t>
    <rPh sb="0" eb="2">
      <t>ムショウ</t>
    </rPh>
    <rPh sb="2" eb="4">
      <t>テイキョウ</t>
    </rPh>
    <phoneticPr fontId="3"/>
  </si>
  <si>
    <t>PO 1001 (2/19/26)</t>
    <phoneticPr fontId="3"/>
  </si>
  <si>
    <t>#44</t>
    <phoneticPr fontId="3"/>
  </si>
  <si>
    <t>￥29978 (SF OSAKA→SF NY)  返送分再出荷：運賃確定</t>
  </si>
  <si>
    <t>a</t>
  </si>
  <si>
    <t>Black</t>
  </si>
  <si>
    <t>Vietnam</t>
  </si>
  <si>
    <t>Plain Elastic Tape  Polyester 85% Pu 15%</t>
    <phoneticPr fontId="3"/>
  </si>
  <si>
    <t>P-260306</t>
  </si>
  <si>
    <t>P-260306</t>
    <phoneticPr fontId="3"/>
  </si>
  <si>
    <t>井上リボン工業株式会社</t>
  </si>
  <si>
    <t>White</t>
  </si>
  <si>
    <t>Plain Elastic Tape  Polyester 86% Pu 14%</t>
  </si>
  <si>
    <t>P-260306</t>
    <phoneticPr fontId="3"/>
  </si>
  <si>
    <t>本日出荷希望</t>
    <rPh sb="0" eb="2">
      <t>ホンジツ</t>
    </rPh>
    <rPh sb="2" eb="4">
      <t>シュッカ</t>
    </rPh>
    <rPh sb="4" eb="6">
      <t>キボウ</t>
    </rPh>
    <phoneticPr fontId="3"/>
  </si>
  <si>
    <t>P-260310</t>
  </si>
  <si>
    <t>P-260310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</si>
</sst>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3">
    <numFmt numFmtId="5" formatCode="&quot;¥&quot;#,##0;&quot;¥&quot;\-#,##0"/>
    <numFmt numFmtId="6" formatCode="&quot;¥&quot;#,##0;[Red]&quot;¥&quot;\-#,##0"/>
    <numFmt numFmtId="176" formatCode="#,##0&quot;mm&quot;"/>
    <numFmt numFmtId="177" formatCode="#,##0&quot; m&quot;"/>
    <numFmt numFmtId="178" formatCode="[$-409]d\-mmm;@"/>
    <numFmt numFmtId="179" formatCode="#,##0&quot; rolls&quot;"/>
    <numFmt numFmtId="180" formatCode="&quot;S-&quot;General"/>
    <numFmt numFmtId="181" formatCode="&quot;SF-&quot;General"/>
    <numFmt numFmtId="182" formatCode="#,##0.0&quot; m&quot;"/>
    <numFmt numFmtId="183" formatCode="#,##0&quot; set&quot;"/>
    <numFmt numFmtId="184" formatCode="&quot;@US$&quot;#,##0.00\-"/>
    <numFmt numFmtId="185" formatCode="#,##0&quot;cm&quot;"/>
    <numFmt numFmtId="186" formatCode="#,##0\ &quot;mm&quot;"/>
    <numFmt numFmtId="187" formatCode="#,##0\ &quot;cm&quot;"/>
    <numFmt numFmtId="188" formatCode="&quot;US$&quot;#,##0.00"/>
    <numFmt numFmtId="189" formatCode="&quot;&quot;General"/>
    <numFmt numFmtId="190" formatCode="General&quot; m&quot;"/>
    <numFmt numFmtId="191" formatCode="General&quot; rolls&quot;"/>
    <numFmt numFmtId="192" formatCode="&quot;US$&quot;#,##0.00;\-&quot;US$&quot;#,##0.00"/>
    <numFmt numFmtId="193" formatCode="###0.0\ &quot;m&quot;"/>
    <numFmt numFmtId="194" formatCode="&quot;KYL-&quot;General&quot;-1&quot;"/>
    <numFmt numFmtId="195" formatCode="###0\ &quot;m&quot;"/>
    <numFmt numFmtId="196" formatCode="[$¥-411]#,##0;[Red]\-[$¥-411]#,##0"/>
    <numFmt numFmtId="197" formatCode="0&quot;mm&quot;"/>
    <numFmt numFmtId="198" formatCode="00&quot;m/roll&quot;"/>
    <numFmt numFmtId="199" formatCode="&quot;@&quot;#,###.00&quot;-&quot;"/>
    <numFmt numFmtId="200" formatCode="&quot;@&quot;#,###.#&quot;-&quot;"/>
    <numFmt numFmtId="201" formatCode="#,##0\ &quot;m&quot;"/>
    <numFmt numFmtId="202" formatCode="&quot;US$&quot;#,##0.00_);\(&quot;US$&quot;#,##0.00\)"/>
    <numFmt numFmtId="203" formatCode="#,##0&quot; pcs&quot;"/>
    <numFmt numFmtId="204" formatCode="&quot;¥&quot;#,##0_);[Red]\(&quot;¥&quot;#,##0\)"/>
    <numFmt numFmtId="205" formatCode="&quot;US$&quot;#,##0.00;[Red]\-&quot;US$&quot;#,##0.00"/>
    <numFmt numFmtId="206" formatCode="#,##0&quot; sets&quot;"/>
    <numFmt numFmtId="207" formatCode="#,##0&quot;m&quot;"/>
    <numFmt numFmtId="208" formatCode="&quot;@US$&quot;#,##0.00\-&quot;/roll&quot;"/>
    <numFmt numFmtId="209" formatCode="_-* #,##0_-;\-* #,##0_-;_-* &quot;-&quot;_-;_-@_-"/>
    <numFmt numFmtId="210" formatCode="[$$-409]#,##0.00_);\([$$-409]#,##0.00\)"/>
    <numFmt numFmtId="211" formatCode="[$-409]d\-mmm\-yyyy;@"/>
    <numFmt numFmtId="212" formatCode="###0.0&quot; m&quot;"/>
    <numFmt numFmtId="213" formatCode="###0&quot; roll(s)&quot;"/>
    <numFmt numFmtId="214" formatCode="[$$-409]#,##0.00;[$$-409]#,##0.00"/>
    <numFmt numFmtId="215" formatCode="[$-F800]dddd\,\ mmmm\ dd\,\ yyyy"/>
    <numFmt numFmtId="216" formatCode="[$¥-411]#,##0_);\([$¥-411]#,##0\)"/>
    <numFmt numFmtId="217" formatCode="&quot;開始行: &quot;#"/>
    <numFmt numFmtId="218" formatCode="&quot;終了行: &quot;#"/>
    <numFmt numFmtId="219" formatCode="[$¥-411]#,##0.0;[Red]\-[$¥-411]#,##0.0"/>
    <numFmt numFmtId="220" formatCode="#,##0&quot; yds&quot;"/>
    <numFmt numFmtId="221" formatCode="&quot;¥&quot;#,##0.0;[Red]&quot;¥&quot;\-#,##0.0"/>
    <numFmt numFmtId="222" formatCode="[$¥-411]#,##0.00;[Red]\-[$¥-411]#,##0.00"/>
    <numFmt numFmtId="223" formatCode="#,##0.00&quot;cm&quot;"/>
    <numFmt numFmtId="224" formatCode="0.0%"/>
    <numFmt numFmtId="225" formatCode="General\ &quot;mm&quot;"/>
    <numFmt numFmtId="226" formatCode="0_);[Red]\(0\)"/>
  </numFmts>
  <fonts count="17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2"/>
      <color indexed="8"/>
      <name val="Arial"/>
      <family val="2"/>
    </font>
    <font>
      <sz val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Arial"/>
      <family val="2"/>
    </font>
    <font>
      <sz val="10"/>
      <color indexed="8"/>
      <name val="Arial"/>
      <family val="2"/>
    </font>
    <font>
      <sz val="12"/>
      <name val="Arial  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1"/>
      <name val="Arial  "/>
      <family val="2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  "/>
      <family val="2"/>
    </font>
    <font>
      <sz val="9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b/>
      <sz val="11"/>
      <name val="Arial  "/>
      <family val="2"/>
    </font>
    <font>
      <b/>
      <sz val="12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indexed="30"/>
      <name val="Arial"/>
      <family val="2"/>
    </font>
    <font>
      <sz val="10"/>
      <name val="ＭＳ Ｐゴシック"/>
      <family val="3"/>
      <charset val="128"/>
    </font>
    <font>
      <sz val="12"/>
      <name val="Arial   "/>
      <family val="2"/>
    </font>
    <font>
      <b/>
      <sz val="10"/>
      <name val="ＭＳ Ｐゴシック"/>
      <family val="3"/>
      <charset val="128"/>
    </font>
    <font>
      <b/>
      <sz val="12"/>
      <name val="Arial   "/>
      <family val="2"/>
    </font>
    <font>
      <sz val="8"/>
      <name val="ＭＳ Ｐゴシック"/>
      <family val="3"/>
      <charset val="128"/>
    </font>
    <font>
      <sz val="8"/>
      <name val="Arial"/>
      <family val="2"/>
    </font>
    <font>
      <b/>
      <sz val="12"/>
      <name val="Arial  "/>
      <family val="2"/>
    </font>
    <font>
      <b/>
      <sz val="12"/>
      <color indexed="30"/>
      <name val="ＭＳ Ｐゴシック"/>
      <family val="3"/>
      <charset val="128"/>
    </font>
    <font>
      <b/>
      <sz val="10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10"/>
      <name val="Arial"/>
      <family val="2"/>
    </font>
    <font>
      <b/>
      <sz val="10"/>
      <name val="arial    "/>
      <family val="2"/>
    </font>
    <font>
      <b/>
      <sz val="10"/>
      <name val="Arial  "/>
      <family val="2"/>
    </font>
    <font>
      <sz val="10"/>
      <color indexed="8"/>
      <name val="ＭＳ Ｐゴシック"/>
      <family val="3"/>
      <charset val="128"/>
    </font>
    <font>
      <sz val="11"/>
      <name val="Calibri"/>
      <family val="2"/>
    </font>
    <font>
      <sz val="10"/>
      <color indexed="8"/>
      <name val="Times New Roman"/>
      <family val="1"/>
    </font>
    <font>
      <sz val="10"/>
      <name val="Times New Roman"/>
      <family val="1"/>
    </font>
    <font>
      <sz val="6"/>
      <name val="ＭＳ Ｐゴシック"/>
      <family val="3"/>
      <charset val="128"/>
    </font>
    <font>
      <b/>
      <sz val="12"/>
      <color indexed="8"/>
      <name val="Times New Roman"/>
      <family val="1"/>
    </font>
    <font>
      <sz val="11"/>
      <name val="Times New Roman"/>
      <family val="1"/>
    </font>
    <font>
      <b/>
      <sz val="2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color theme="1"/>
      <name val="ＭＳ Ｐゴシック"/>
      <family val="3"/>
      <charset val="128"/>
      <scheme val="minor"/>
    </font>
    <font>
      <sz val="12"/>
      <color rgb="FF7030A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0"/>
      <color theme="1"/>
      <name val="Arial"/>
      <family val="2"/>
    </font>
    <font>
      <sz val="12"/>
      <color theme="9" tint="-0.249977111117893"/>
      <name val="Arial"/>
      <family val="2"/>
    </font>
    <font>
      <sz val="11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0070C0"/>
      <name val="Arial"/>
      <family val="2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2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7" tint="-0.249977111117893"/>
      <name val="Arial"/>
      <family val="2"/>
    </font>
    <font>
      <sz val="12"/>
      <color theme="7" tint="-0.249977111117893"/>
      <name val="Arial"/>
      <family val="2"/>
    </font>
    <font>
      <sz val="10"/>
      <color rgb="FFFF0000"/>
      <name val="Arial"/>
      <family val="2"/>
    </font>
    <font>
      <sz val="11"/>
      <color rgb="FF0070C0"/>
      <name val="ＭＳ Ｐゴシック"/>
      <family val="3"/>
      <charset val="128"/>
    </font>
    <font>
      <sz val="11"/>
      <color rgb="FF000000"/>
      <name val="Arial"/>
      <family val="2"/>
    </font>
    <font>
      <b/>
      <sz val="12"/>
      <color rgb="FF0070C0"/>
      <name val="ＭＳ Ｐゴシック"/>
      <family val="3"/>
      <charset val="128"/>
    </font>
    <font>
      <b/>
      <sz val="10"/>
      <color rgb="FFFF0000"/>
      <name val="Arial"/>
      <family val="2"/>
    </font>
    <font>
      <sz val="12"/>
      <color rgb="FF000000"/>
      <name val="Calibri"/>
      <family val="2"/>
    </font>
    <font>
      <sz val="12"/>
      <name val="ＭＳ Ｐゴシック"/>
      <family val="3"/>
      <charset val="128"/>
      <scheme val="minor"/>
    </font>
    <font>
      <sz val="11"/>
      <color theme="1"/>
      <name val="Calibri"/>
      <family val="2"/>
    </font>
    <font>
      <sz val="11"/>
      <color theme="1"/>
      <name val="arial    "/>
      <family val="2"/>
    </font>
    <font>
      <sz val="10"/>
      <color rgb="FF000000"/>
      <name val="Arial  "/>
      <family val="2"/>
    </font>
    <font>
      <sz val="10"/>
      <color rgb="FF0070C0"/>
      <name val="Arial"/>
      <family val="2"/>
    </font>
    <font>
      <b/>
      <sz val="10"/>
      <color theme="1"/>
      <name val="arial    "/>
      <family val="2"/>
    </font>
    <font>
      <sz val="10"/>
      <color rgb="FF000000"/>
      <name val="arial    "/>
      <family val="2"/>
    </font>
    <font>
      <sz val="12"/>
      <color theme="1"/>
      <name val="Arial  "/>
      <family val="2"/>
    </font>
    <font>
      <sz val="10"/>
      <color theme="1"/>
      <name val="arial    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ＭＳ Ｐゴシック"/>
      <family val="3"/>
      <charset val="128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ｔ"/>
      <family val="3"/>
      <charset val="128"/>
    </font>
    <font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name val="Yu Gothic"/>
      <family val="3"/>
      <charset val="128"/>
    </font>
    <font>
      <sz val="11"/>
      <name val="Times New Roman"/>
      <family val="3"/>
      <charset val="128"/>
    </font>
    <font>
      <b/>
      <sz val="14"/>
      <name val="Times New Roman"/>
      <family val="1"/>
    </font>
    <font>
      <sz val="11"/>
      <color rgb="FFFF0000"/>
      <name val="Times New Roman"/>
      <family val="1"/>
    </font>
    <font>
      <u/>
      <sz val="11"/>
      <name val="Times New Roman"/>
      <family val="1"/>
    </font>
    <font>
      <b/>
      <u/>
      <sz val="11"/>
      <name val="Times New Roman"/>
      <family val="1"/>
    </font>
    <font>
      <sz val="11"/>
      <name val="MS UI Gothic"/>
      <family val="3"/>
      <charset val="128"/>
    </font>
    <font>
      <sz val="11"/>
      <name val="Yu Gothic"/>
      <family val="1"/>
      <charset val="128"/>
    </font>
    <font>
      <b/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u/>
      <sz val="11"/>
      <color rgb="FFFF0000"/>
      <name val="ＭＳ Ｐゴシック"/>
      <family val="3"/>
      <charset val="128"/>
      <scheme val="minor"/>
    </font>
    <font>
      <b/>
      <u/>
      <sz val="11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b/>
      <sz val="11"/>
      <name val="MS UI Gothic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b/>
      <sz val="9"/>
      <color rgb="FFFF0000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sz val="9"/>
      <name val="Arial"/>
      <family val="2"/>
    </font>
    <font>
      <sz val="12"/>
      <color theme="1"/>
      <name val="ＭＳ Ｐゴシック"/>
      <family val="3"/>
      <charset val="128"/>
      <scheme val="minor"/>
    </font>
    <font>
      <sz val="12"/>
      <color indexed="30"/>
      <name val="ＭＳ Ｐゴシック"/>
      <family val="3"/>
      <charset val="128"/>
    </font>
    <font>
      <sz val="12"/>
      <color indexed="8"/>
      <name val="Calibri"/>
      <family val="2"/>
    </font>
    <font>
      <b/>
      <sz val="11"/>
      <color rgb="FF0070C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rgb="FF000000"/>
      <name val="Meiryo UI"/>
      <family val="3"/>
      <charset val="128"/>
    </font>
    <font>
      <sz val="12"/>
      <color indexed="10"/>
      <name val="Arial  "/>
      <family val="2"/>
    </font>
    <font>
      <sz val="10"/>
      <color theme="9" tint="-0.249977111117893"/>
      <name val="ＭＳ Ｐゴシック"/>
      <family val="3"/>
      <charset val="128"/>
    </font>
    <font>
      <b/>
      <sz val="10"/>
      <color rgb="FF00B0F0"/>
      <name val="Arial"/>
      <family val="2"/>
    </font>
    <font>
      <b/>
      <sz val="11"/>
      <color rgb="FFFF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10"/>
      <name val="Arial"/>
      <family val="2"/>
    </font>
    <font>
      <sz val="11"/>
      <name val="アリアl"/>
      <family val="3"/>
      <charset val="128"/>
    </font>
    <font>
      <sz val="12"/>
      <color rgb="FF0070C0"/>
      <name val="ＭＳ Ｐゴシック"/>
      <family val="3"/>
      <charset val="128"/>
    </font>
    <font>
      <sz val="12"/>
      <name val="1038"/>
      <family val="2"/>
    </font>
    <font>
      <sz val="11"/>
      <name val="游ゴシック"/>
      <family val="3"/>
      <charset val="128"/>
    </font>
    <font>
      <b/>
      <sz val="10"/>
      <color rgb="FF000000"/>
      <name val="Arial"/>
      <family val="2"/>
    </font>
    <font>
      <b/>
      <sz val="10"/>
      <color rgb="FF4472C4"/>
      <name val="Arial"/>
      <family val="2"/>
    </font>
    <font>
      <u/>
      <sz val="10"/>
      <name val="Arial"/>
      <family val="2"/>
    </font>
    <font>
      <sz val="8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002060"/>
      <name val="Meiryo UI"/>
      <family val="3"/>
      <charset val="128"/>
    </font>
    <font>
      <sz val="12"/>
      <color rgb="FF1F497D"/>
      <name val="Calibri"/>
      <family val="2"/>
    </font>
    <font>
      <b/>
      <sz val="11"/>
      <color rgb="FF000000"/>
      <name val="Calibri"/>
      <family val="2"/>
    </font>
    <font>
      <b/>
      <sz val="11"/>
      <color indexed="8"/>
      <name val="ＭＳ Ｐゴシック"/>
      <family val="3"/>
      <charset val="128"/>
    </font>
    <font>
      <b/>
      <sz val="11"/>
      <color indexed="8"/>
      <name val="Arial"/>
      <family val="2"/>
    </font>
    <font>
      <sz val="12"/>
      <color rgb="FFFF0000"/>
      <name val="ＭＳ Ｐゴシック"/>
      <family val="3"/>
      <charset val="128"/>
    </font>
    <font>
      <sz val="12"/>
      <name val="Arial  "/>
    </font>
    <font>
      <sz val="12"/>
      <color rgb="FFFF0000"/>
      <name val="Arial  "/>
      <family val="2"/>
    </font>
    <font>
      <sz val="12"/>
      <color theme="9" tint="-0.249977111117893"/>
      <name val="Arial  "/>
      <family val="2"/>
    </font>
    <font>
      <sz val="12"/>
      <color theme="7" tint="-0.249977111117893"/>
      <name val="Arial  "/>
      <family val="2"/>
    </font>
    <font>
      <sz val="12"/>
      <color rgb="FF0070C0"/>
      <name val="Arial  "/>
      <family val="2"/>
    </font>
    <font>
      <sz val="12"/>
      <color rgb="FFFF0000"/>
      <name val="Arial  "/>
    </font>
    <font>
      <sz val="12"/>
      <color indexed="8"/>
      <name val="Arial"/>
      <family val="3"/>
      <charset val="128"/>
    </font>
    <font>
      <sz val="10.5"/>
      <name val="游ゴシック"/>
      <family val="3"/>
      <charset val="128"/>
    </font>
    <font>
      <sz val="12"/>
      <name val="ＭＳ ゴシック"/>
      <family val="3"/>
      <charset val="128"/>
    </font>
    <font>
      <sz val="12"/>
      <name val="ＭＳ Ｐゴシック"/>
      <family val="2"/>
      <charset val="128"/>
    </font>
    <font>
      <sz val="12"/>
      <color rgb="FF7030A0"/>
      <name val="Arial  "/>
      <family val="2"/>
    </font>
    <font>
      <b/>
      <sz val="12"/>
      <color rgb="FF7030A0"/>
      <name val="Arial  "/>
      <family val="2"/>
    </font>
    <font>
      <sz val="12"/>
      <color theme="1"/>
      <name val="ＭＳ ゴシック"/>
      <family val="3"/>
      <charset val="128"/>
    </font>
    <font>
      <sz val="12"/>
      <color theme="1"/>
      <name val="Arial  "/>
      <family val="2"/>
      <charset val="128"/>
    </font>
    <font>
      <sz val="12"/>
      <color theme="1"/>
      <name val="Arial  "/>
      <family val="3"/>
      <charset val="128"/>
    </font>
    <font>
      <sz val="12"/>
      <name val="Arial  "/>
      <family val="2"/>
      <charset val="128"/>
    </font>
    <font>
      <sz val="12"/>
      <name val="Arial  "/>
      <family val="3"/>
      <charset val="128"/>
    </font>
    <font>
      <sz val="12"/>
      <color theme="1"/>
      <name val="Arial  "/>
    </font>
    <font>
      <sz val="12"/>
      <name val="ＭＳ ゴシック"/>
      <family val="2"/>
      <charset val="128"/>
    </font>
    <font>
      <sz val="10"/>
      <name val="Arial  "/>
      <family val="2"/>
    </font>
    <font>
      <sz val="10"/>
      <color theme="1"/>
      <name val="Arial  "/>
    </font>
    <font>
      <sz val="10"/>
      <color rgb="FFFF0000"/>
      <name val="Arial  "/>
    </font>
    <font>
      <sz val="10"/>
      <name val="Arial  "/>
    </font>
    <font>
      <b/>
      <sz val="9.5"/>
      <color rgb="FFFF0000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79998168889431442"/>
        <bgColor indexed="64"/>
      </patternFill>
    </fill>
  </fills>
  <borders count="1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35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  <xf numFmtId="38" fontId="38" fillId="0" borderId="0" applyFont="0" applyFill="0" applyBorder="0" applyAlignment="0" applyProtection="0">
      <alignment vertical="center"/>
    </xf>
    <xf numFmtId="209" fontId="52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204" fontId="52" fillId="0" borderId="0" applyFont="0" applyFill="0" applyBorder="0" applyAlignment="0" applyProtection="0">
      <alignment vertical="center"/>
    </xf>
    <xf numFmtId="204" fontId="2" fillId="0" borderId="0" applyFont="0" applyFill="0" applyBorder="0" applyAlignment="0" applyProtection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38" fillId="0" borderId="0" applyNumberFormat="0" applyFill="0" applyBorder="0" applyAlignment="0" applyProtection="0">
      <alignment vertical="center"/>
    </xf>
    <xf numFmtId="0" fontId="52" fillId="0" borderId="0">
      <alignment vertical="center"/>
    </xf>
    <xf numFmtId="0" fontId="52" fillId="0" borderId="0"/>
    <xf numFmtId="0" fontId="29" fillId="0" borderId="0"/>
    <xf numFmtId="0" fontId="79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124" fillId="0" borderId="0"/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2" fillId="0" borderId="0"/>
    <xf numFmtId="6" fontId="5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1191">
    <xf numFmtId="0" fontId="0" fillId="0" borderId="0" xfId="0">
      <alignment vertical="center"/>
    </xf>
    <xf numFmtId="0" fontId="4" fillId="0" borderId="0" xfId="0" applyFont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0" xfId="0" applyFont="1">
      <alignment vertical="center"/>
    </xf>
    <xf numFmtId="177" fontId="6" fillId="0" borderId="1" xfId="0" applyNumberFormat="1" applyFont="1" applyBorder="1" applyAlignment="1">
      <alignment horizontal="right" vertical="center"/>
    </xf>
    <xf numFmtId="178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186" fontId="6" fillId="0" borderId="1" xfId="0" applyNumberFormat="1" applyFont="1" applyBorder="1" applyAlignment="1"/>
    <xf numFmtId="0" fontId="8" fillId="0" borderId="1" xfId="0" applyFont="1" applyBorder="1" applyAlignment="1">
      <alignment horizontal="center"/>
    </xf>
    <xf numFmtId="0" fontId="6" fillId="0" borderId="0" xfId="0" applyFont="1" applyAlignment="1"/>
    <xf numFmtId="182" fontId="54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/>
    <xf numFmtId="184" fontId="6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188" fontId="54" fillId="0" borderId="1" xfId="0" applyNumberFormat="1" applyFont="1" applyBorder="1">
      <alignment vertical="center"/>
    </xf>
    <xf numFmtId="186" fontId="6" fillId="0" borderId="1" xfId="0" applyNumberFormat="1" applyFont="1" applyBorder="1" applyAlignment="1">
      <alignment horizontal="center"/>
    </xf>
    <xf numFmtId="0" fontId="56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54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7" fontId="4" fillId="0" borderId="1" xfId="0" applyNumberFormat="1" applyFont="1" applyBorder="1" applyAlignment="1">
      <alignment horizontal="right" vertical="center"/>
    </xf>
    <xf numFmtId="179" fontId="4" fillId="0" borderId="1" xfId="0" applyNumberFormat="1" applyFont="1" applyBorder="1" applyAlignment="1">
      <alignment horizontal="right" vertical="center"/>
    </xf>
    <xf numFmtId="189" fontId="12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 wrapText="1"/>
    </xf>
    <xf numFmtId="188" fontId="4" fillId="0" borderId="1" xfId="0" applyNumberFormat="1" applyFont="1" applyBorder="1">
      <alignment vertical="center"/>
    </xf>
    <xf numFmtId="179" fontId="6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center" vertical="center"/>
    </xf>
    <xf numFmtId="183" fontId="6" fillId="0" borderId="1" xfId="0" applyNumberFormat="1" applyFont="1" applyBorder="1" applyAlignment="1">
      <alignment horizontal="right" vertical="center"/>
    </xf>
    <xf numFmtId="188" fontId="6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86" fontId="5" fillId="0" borderId="1" xfId="0" applyNumberFormat="1" applyFont="1" applyBorder="1" applyAlignment="1">
      <alignment horizontal="center"/>
    </xf>
    <xf numFmtId="177" fontId="5" fillId="0" borderId="1" xfId="0" applyNumberFormat="1" applyFont="1" applyBorder="1" applyAlignment="1">
      <alignment horizontal="center" vertical="center"/>
    </xf>
    <xf numFmtId="177" fontId="57" fillId="0" borderId="1" xfId="0" applyNumberFormat="1" applyFont="1" applyBorder="1" applyAlignment="1">
      <alignment horizontal="right" vertical="center"/>
    </xf>
    <xf numFmtId="188" fontId="57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90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4" fillId="0" borderId="0" xfId="0" applyFont="1">
      <alignment vertical="center"/>
    </xf>
    <xf numFmtId="5" fontId="54" fillId="0" borderId="1" xfId="0" applyNumberFormat="1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185" fontId="4" fillId="0" borderId="1" xfId="0" applyNumberFormat="1" applyFont="1" applyBorder="1">
      <alignment vertical="center"/>
    </xf>
    <xf numFmtId="191" fontId="4" fillId="0" borderId="1" xfId="0" applyNumberFormat="1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177" fontId="59" fillId="0" borderId="1" xfId="0" applyNumberFormat="1" applyFont="1" applyBorder="1" applyAlignment="1">
      <alignment horizontal="right" vertical="center"/>
    </xf>
    <xf numFmtId="177" fontId="54" fillId="0" borderId="1" xfId="0" applyNumberFormat="1" applyFont="1" applyBorder="1" applyAlignment="1">
      <alignment horizontal="right" vertical="center"/>
    </xf>
    <xf numFmtId="179" fontId="54" fillId="0" borderId="1" xfId="0" applyNumberFormat="1" applyFont="1" applyBorder="1" applyAlignment="1">
      <alignment horizontal="right" vertical="center"/>
    </xf>
    <xf numFmtId="193" fontId="4" fillId="0" borderId="1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176" fontId="4" fillId="0" borderId="1" xfId="0" applyNumberFormat="1" applyFont="1" applyBorder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187" fontId="4" fillId="0" borderId="1" xfId="0" applyNumberFormat="1" applyFont="1" applyBorder="1" applyAlignment="1"/>
    <xf numFmtId="177" fontId="59" fillId="0" borderId="1" xfId="0" applyNumberFormat="1" applyFont="1" applyBorder="1" applyAlignment="1">
      <alignment horizontal="center" vertical="center"/>
    </xf>
    <xf numFmtId="188" fontId="54" fillId="0" borderId="1" xfId="0" applyNumberFormat="1" applyFont="1" applyBorder="1" applyAlignment="1">
      <alignment horizontal="center" vertical="center"/>
    </xf>
    <xf numFmtId="187" fontId="4" fillId="0" borderId="1" xfId="0" applyNumberFormat="1" applyFont="1" applyBorder="1" applyAlignment="1">
      <alignment horizontal="center"/>
    </xf>
    <xf numFmtId="177" fontId="4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90" fontId="4" fillId="0" borderId="1" xfId="0" applyNumberFormat="1" applyFont="1" applyBorder="1" applyAlignment="1">
      <alignment horizontal="center" vertical="center"/>
    </xf>
    <xf numFmtId="183" fontId="4" fillId="0" borderId="1" xfId="0" applyNumberFormat="1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7" fontId="55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6" fillId="0" borderId="1" xfId="0" applyFont="1" applyBorder="1" applyAlignment="1">
      <alignment horizontal="right" vertical="center"/>
    </xf>
    <xf numFmtId="0" fontId="6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90" fontId="4" fillId="0" borderId="1" xfId="0" applyNumberFormat="1" applyFont="1" applyBorder="1" applyAlignment="1">
      <alignment horizontal="right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76" fontId="18" fillId="0" borderId="1" xfId="0" applyNumberFormat="1" applyFont="1" applyBorder="1" applyAlignment="1">
      <alignment horizontal="center" vertical="center"/>
    </xf>
    <xf numFmtId="188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8" fillId="0" borderId="1" xfId="0" applyFont="1" applyBorder="1" applyAlignment="1">
      <alignment horizontal="center"/>
    </xf>
    <xf numFmtId="177" fontId="6" fillId="0" borderId="1" xfId="0" applyNumberFormat="1" applyFont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shrinkToFit="1"/>
    </xf>
    <xf numFmtId="199" fontId="17" fillId="0" borderId="1" xfId="0" applyNumberFormat="1" applyFont="1" applyBorder="1" applyAlignment="1">
      <alignment horizontal="center" vertical="center"/>
    </xf>
    <xf numFmtId="200" fontId="17" fillId="0" borderId="1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wrapText="1"/>
    </xf>
    <xf numFmtId="0" fontId="22" fillId="0" borderId="6" xfId="0" applyFont="1" applyBorder="1" applyAlignment="1">
      <alignment horizontal="left" wrapText="1"/>
    </xf>
    <xf numFmtId="0" fontId="21" fillId="0" borderId="6" xfId="0" applyFont="1" applyBorder="1" applyAlignment="1">
      <alignment horizontal="right" wrapText="1"/>
    </xf>
    <xf numFmtId="0" fontId="23" fillId="0" borderId="1" xfId="0" applyFont="1" applyBorder="1" applyAlignment="1">
      <alignment horizontal="center"/>
    </xf>
    <xf numFmtId="187" fontId="6" fillId="0" borderId="1" xfId="0" applyNumberFormat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201" fontId="6" fillId="0" borderId="1" xfId="0" applyNumberFormat="1" applyFont="1" applyBorder="1" applyAlignment="1"/>
    <xf numFmtId="185" fontId="6" fillId="0" borderId="1" xfId="0" applyNumberFormat="1" applyFont="1" applyBorder="1">
      <alignment vertical="center"/>
    </xf>
    <xf numFmtId="190" fontId="6" fillId="0" borderId="1" xfId="0" applyNumberFormat="1" applyFont="1" applyBorder="1">
      <alignment vertical="center"/>
    </xf>
    <xf numFmtId="191" fontId="6" fillId="0" borderId="1" xfId="0" applyNumberFormat="1" applyFont="1" applyBorder="1">
      <alignment vertical="center"/>
    </xf>
    <xf numFmtId="0" fontId="6" fillId="0" borderId="3" xfId="0" applyFont="1" applyBorder="1" applyAlignment="1">
      <alignment horizontal="center"/>
    </xf>
    <xf numFmtId="189" fontId="16" fillId="0" borderId="1" xfId="0" applyNumberFormat="1" applyFont="1" applyBorder="1" applyAlignment="1">
      <alignment horizontal="center" vertical="center"/>
    </xf>
    <xf numFmtId="185" fontId="6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87" fontId="53" fillId="0" borderId="1" xfId="0" applyNumberFormat="1" applyFont="1" applyBorder="1" applyAlignment="1"/>
    <xf numFmtId="188" fontId="16" fillId="0" borderId="1" xfId="0" applyNumberFormat="1" applyFont="1" applyBorder="1" applyAlignment="1">
      <alignment horizontal="center" vertical="center"/>
    </xf>
    <xf numFmtId="188" fontId="16" fillId="0" borderId="1" xfId="0" applyNumberFormat="1" applyFont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184" fontId="54" fillId="0" borderId="1" xfId="0" applyNumberFormat="1" applyFont="1" applyBorder="1">
      <alignment vertical="center"/>
    </xf>
    <xf numFmtId="190" fontId="6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right" vertical="center"/>
    </xf>
    <xf numFmtId="176" fontId="6" fillId="5" borderId="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82" fontId="6" fillId="0" borderId="1" xfId="0" applyNumberFormat="1" applyFont="1" applyBorder="1" applyAlignment="1">
      <alignment horizontal="right" vertical="center"/>
    </xf>
    <xf numFmtId="176" fontId="62" fillId="0" borderId="1" xfId="0" applyNumberFormat="1" applyFont="1" applyBorder="1" applyAlignment="1">
      <alignment horizontal="center" vertical="center"/>
    </xf>
    <xf numFmtId="188" fontId="6" fillId="0" borderId="1" xfId="0" applyNumberFormat="1" applyFont="1" applyBorder="1" applyAlignment="1">
      <alignment horizontal="right" vertical="center"/>
    </xf>
    <xf numFmtId="176" fontId="6" fillId="4" borderId="1" xfId="0" applyNumberFormat="1" applyFont="1" applyFill="1" applyBorder="1" applyAlignment="1">
      <alignment horizontal="center" vertical="center"/>
    </xf>
    <xf numFmtId="178" fontId="70" fillId="0" borderId="1" xfId="0" applyNumberFormat="1" applyFont="1" applyBorder="1" applyAlignment="1">
      <alignment horizontal="center" vertical="center" wrapText="1"/>
    </xf>
    <xf numFmtId="178" fontId="71" fillId="0" borderId="1" xfId="0" applyNumberFormat="1" applyFont="1" applyBorder="1" applyAlignment="1">
      <alignment horizontal="center" vertical="center" wrapText="1"/>
    </xf>
    <xf numFmtId="0" fontId="0" fillId="0" borderId="1" xfId="0" applyBorder="1">
      <alignment vertical="center"/>
    </xf>
    <xf numFmtId="178" fontId="72" fillId="0" borderId="1" xfId="0" applyNumberFormat="1" applyFont="1" applyBorder="1" applyAlignment="1">
      <alignment horizontal="center" vertical="center" wrapText="1"/>
    </xf>
    <xf numFmtId="188" fontId="63" fillId="0" borderId="1" xfId="0" applyNumberFormat="1" applyFont="1" applyBorder="1" applyAlignment="1">
      <alignment horizontal="center" vertical="center"/>
    </xf>
    <xf numFmtId="0" fontId="73" fillId="0" borderId="0" xfId="0" applyFont="1">
      <alignment vertical="center"/>
    </xf>
    <xf numFmtId="186" fontId="6" fillId="0" borderId="1" xfId="0" applyNumberFormat="1" applyFont="1" applyBorder="1" applyAlignment="1">
      <alignment horizontal="right"/>
    </xf>
    <xf numFmtId="190" fontId="6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203" fontId="6" fillId="0" borderId="1" xfId="0" applyNumberFormat="1" applyFont="1" applyBorder="1" applyAlignment="1">
      <alignment horizontal="right" vertical="center"/>
    </xf>
    <xf numFmtId="176" fontId="17" fillId="0" borderId="1" xfId="0" applyNumberFormat="1" applyFont="1" applyBorder="1" applyAlignment="1">
      <alignment horizontal="center" vertical="center"/>
    </xf>
    <xf numFmtId="177" fontId="6" fillId="4" borderId="1" xfId="0" applyNumberFormat="1" applyFont="1" applyFill="1" applyBorder="1" applyAlignment="1">
      <alignment horizontal="right" vertical="center"/>
    </xf>
    <xf numFmtId="0" fontId="74" fillId="0" borderId="10" xfId="0" applyFont="1" applyBorder="1" applyAlignment="1">
      <alignment horizontal="center" vertical="center"/>
    </xf>
    <xf numFmtId="49" fontId="6" fillId="6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>
      <alignment vertical="center"/>
    </xf>
    <xf numFmtId="0" fontId="58" fillId="6" borderId="1" xfId="0" applyFont="1" applyFill="1" applyBorder="1" applyAlignment="1">
      <alignment horizontal="center" vertical="center"/>
    </xf>
    <xf numFmtId="176" fontId="6" fillId="6" borderId="1" xfId="0" applyNumberFormat="1" applyFont="1" applyFill="1" applyBorder="1" applyAlignment="1">
      <alignment horizontal="center" vertical="center"/>
    </xf>
    <xf numFmtId="190" fontId="6" fillId="6" borderId="1" xfId="0" applyNumberFormat="1" applyFont="1" applyFill="1" applyBorder="1">
      <alignment vertical="center"/>
    </xf>
    <xf numFmtId="183" fontId="6" fillId="6" borderId="1" xfId="0" applyNumberFormat="1" applyFont="1" applyFill="1" applyBorder="1" applyAlignment="1">
      <alignment horizontal="right" vertical="center"/>
    </xf>
    <xf numFmtId="191" fontId="6" fillId="6" borderId="1" xfId="0" applyNumberFormat="1" applyFont="1" applyFill="1" applyBorder="1">
      <alignment vertical="center"/>
    </xf>
    <xf numFmtId="189" fontId="12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 wrapText="1"/>
    </xf>
    <xf numFmtId="178" fontId="70" fillId="6" borderId="1" xfId="0" applyNumberFormat="1" applyFont="1" applyFill="1" applyBorder="1" applyAlignment="1">
      <alignment horizontal="center" vertical="center" wrapText="1"/>
    </xf>
    <xf numFmtId="188" fontId="6" fillId="6" borderId="1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206" fontId="6" fillId="0" borderId="1" xfId="0" applyNumberFormat="1" applyFont="1" applyBorder="1" applyAlignment="1">
      <alignment horizontal="right" vertical="center"/>
    </xf>
    <xf numFmtId="195" fontId="6" fillId="0" borderId="1" xfId="0" applyNumberFormat="1" applyFont="1" applyBorder="1">
      <alignment vertical="center"/>
    </xf>
    <xf numFmtId="0" fontId="6" fillId="6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24" fillId="0" borderId="1" xfId="0" applyFont="1" applyBorder="1" applyAlignment="1">
      <alignment horizontal="center"/>
    </xf>
    <xf numFmtId="188" fontId="6" fillId="4" borderId="1" xfId="0" applyNumberFormat="1" applyFont="1" applyFill="1" applyBorder="1">
      <alignment vertical="center"/>
    </xf>
    <xf numFmtId="176" fontId="6" fillId="8" borderId="1" xfId="0" applyNumberFormat="1" applyFont="1" applyFill="1" applyBorder="1" applyAlignment="1">
      <alignment horizontal="center" vertical="center"/>
    </xf>
    <xf numFmtId="183" fontId="6" fillId="4" borderId="1" xfId="0" applyNumberFormat="1" applyFont="1" applyFill="1" applyBorder="1" applyAlignment="1">
      <alignment horizontal="right" vertical="center"/>
    </xf>
    <xf numFmtId="176" fontId="34" fillId="0" borderId="1" xfId="0" applyNumberFormat="1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justify" vertical="center"/>
    </xf>
    <xf numFmtId="0" fontId="3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207" fontId="32" fillId="7" borderId="1" xfId="0" applyNumberFormat="1" applyFont="1" applyFill="1" applyBorder="1" applyAlignment="1">
      <alignment horizontal="center" wrapText="1"/>
    </xf>
    <xf numFmtId="192" fontId="30" fillId="0" borderId="1" xfId="0" applyNumberFormat="1" applyFont="1" applyBorder="1">
      <alignment vertical="center"/>
    </xf>
    <xf numFmtId="177" fontId="6" fillId="0" borderId="1" xfId="0" applyNumberFormat="1" applyFont="1" applyBorder="1" applyAlignment="1"/>
    <xf numFmtId="49" fontId="32" fillId="7" borderId="1" xfId="0" applyNumberFormat="1" applyFont="1" applyFill="1" applyBorder="1" applyAlignment="1">
      <alignment horizontal="center"/>
    </xf>
    <xf numFmtId="177" fontId="56" fillId="0" borderId="1" xfId="0" applyNumberFormat="1" applyFont="1" applyBorder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86" fontId="32" fillId="7" borderId="1" xfId="0" applyNumberFormat="1" applyFont="1" applyFill="1" applyBorder="1" applyAlignment="1">
      <alignment horizontal="center"/>
    </xf>
    <xf numFmtId="207" fontId="32" fillId="7" borderId="1" xfId="0" applyNumberFormat="1" applyFont="1" applyFill="1" applyBorder="1" applyAlignment="1">
      <alignment horizontal="center"/>
    </xf>
    <xf numFmtId="190" fontId="17" fillId="0" borderId="1" xfId="0" applyNumberFormat="1" applyFont="1" applyBorder="1" applyAlignment="1">
      <alignment horizontal="center" vertical="center"/>
    </xf>
    <xf numFmtId="191" fontId="17" fillId="0" borderId="1" xfId="0" applyNumberFormat="1" applyFont="1" applyBorder="1" applyAlignment="1">
      <alignment horizontal="center" vertical="center"/>
    </xf>
    <xf numFmtId="177" fontId="17" fillId="0" borderId="1" xfId="0" applyNumberFormat="1" applyFont="1" applyBorder="1" applyAlignment="1">
      <alignment horizontal="center" vertical="center"/>
    </xf>
    <xf numFmtId="188" fontId="17" fillId="0" borderId="1" xfId="0" applyNumberFormat="1" applyFont="1" applyBorder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7" fontId="6" fillId="0" borderId="21" xfId="0" applyNumberFormat="1" applyFont="1" applyBorder="1" applyAlignment="1">
      <alignment horizontal="right" vertical="center"/>
    </xf>
    <xf numFmtId="186" fontId="32" fillId="7" borderId="1" xfId="0" applyNumberFormat="1" applyFont="1" applyFill="1" applyBorder="1" applyAlignment="1">
      <alignment horizontal="center" vertical="center"/>
    </xf>
    <xf numFmtId="207" fontId="32" fillId="7" borderId="1" xfId="0" applyNumberFormat="1" applyFont="1" applyFill="1" applyBorder="1" applyAlignment="1">
      <alignment horizontal="center" vertical="center"/>
    </xf>
    <xf numFmtId="207" fontId="32" fillId="7" borderId="1" xfId="0" applyNumberFormat="1" applyFont="1" applyFill="1" applyBorder="1" applyAlignment="1">
      <alignment horizontal="center" vertical="center" wrapText="1"/>
    </xf>
    <xf numFmtId="208" fontId="32" fillId="7" borderId="1" xfId="0" applyNumberFormat="1" applyFont="1" applyFill="1" applyBorder="1" applyAlignment="1">
      <alignment horizontal="center" vertical="center" wrapText="1"/>
    </xf>
    <xf numFmtId="192" fontId="30" fillId="7" borderId="1" xfId="0" applyNumberFormat="1" applyFont="1" applyFill="1" applyBorder="1">
      <alignment vertical="center"/>
    </xf>
    <xf numFmtId="0" fontId="72" fillId="0" borderId="1" xfId="0" applyFont="1" applyBorder="1" applyAlignment="1">
      <alignment horizontal="center" vertical="center"/>
    </xf>
    <xf numFmtId="49" fontId="32" fillId="7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32" fillId="7" borderId="1" xfId="0" applyFont="1" applyFill="1" applyBorder="1" applyAlignment="1">
      <alignment horizontal="center" vertical="center"/>
    </xf>
    <xf numFmtId="0" fontId="32" fillId="0" borderId="0" xfId="0" applyFont="1">
      <alignment vertical="center"/>
    </xf>
    <xf numFmtId="179" fontId="6" fillId="0" borderId="21" xfId="0" applyNumberFormat="1" applyFont="1" applyBorder="1" applyAlignment="1">
      <alignment horizontal="right" vertical="center"/>
    </xf>
    <xf numFmtId="0" fontId="78" fillId="0" borderId="0" xfId="0" applyFont="1">
      <alignment vertical="center"/>
    </xf>
    <xf numFmtId="0" fontId="5" fillId="0" borderId="0" xfId="0" applyFont="1">
      <alignment vertical="center"/>
    </xf>
    <xf numFmtId="188" fontId="54" fillId="6" borderId="1" xfId="0" applyNumberFormat="1" applyFont="1" applyFill="1" applyBorder="1">
      <alignment vertical="center"/>
    </xf>
    <xf numFmtId="0" fontId="80" fillId="0" borderId="0" xfId="0" applyFont="1">
      <alignment vertical="center"/>
    </xf>
    <xf numFmtId="49" fontId="6" fillId="6" borderId="1" xfId="0" applyNumberFormat="1" applyFont="1" applyFill="1" applyBorder="1" applyAlignment="1">
      <alignment horizontal="center" vertical="center"/>
    </xf>
    <xf numFmtId="187" fontId="6" fillId="0" borderId="1" xfId="0" applyNumberFormat="1" applyFont="1" applyBorder="1">
      <alignment vertical="center"/>
    </xf>
    <xf numFmtId="49" fontId="40" fillId="0" borderId="1" xfId="0" applyNumberFormat="1" applyFont="1" applyBorder="1" applyAlignment="1">
      <alignment horizontal="center" vertical="center" shrinkToFit="1"/>
    </xf>
    <xf numFmtId="0" fontId="29" fillId="0" borderId="0" xfId="0" applyFont="1">
      <alignment vertical="center"/>
    </xf>
    <xf numFmtId="183" fontId="5" fillId="0" borderId="1" xfId="0" applyNumberFormat="1" applyFont="1" applyBorder="1" applyAlignment="1">
      <alignment horizontal="right" vertical="center"/>
    </xf>
    <xf numFmtId="0" fontId="41" fillId="0" borderId="1" xfId="0" applyFont="1" applyBorder="1" applyAlignment="1">
      <alignment horizontal="center" vertical="center"/>
    </xf>
    <xf numFmtId="190" fontId="5" fillId="0" borderId="1" xfId="0" applyNumberFormat="1" applyFont="1" applyBorder="1">
      <alignment vertical="center"/>
    </xf>
    <xf numFmtId="191" fontId="5" fillId="0" borderId="1" xfId="0" applyNumberFormat="1" applyFont="1" applyBorder="1">
      <alignment vertical="center"/>
    </xf>
    <xf numFmtId="177" fontId="5" fillId="0" borderId="1" xfId="0" applyNumberFormat="1" applyFont="1" applyBorder="1" applyAlignment="1">
      <alignment horizontal="right" vertical="center"/>
    </xf>
    <xf numFmtId="188" fontId="5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shrinkToFit="1"/>
    </xf>
    <xf numFmtId="0" fontId="40" fillId="0" borderId="1" xfId="0" applyFont="1" applyBorder="1" applyAlignment="1">
      <alignment horizontal="center" vertical="center" wrapText="1" shrinkToFit="1"/>
    </xf>
    <xf numFmtId="0" fontId="84" fillId="0" borderId="1" xfId="0" applyFont="1" applyBorder="1" applyAlignment="1">
      <alignment horizontal="center" vertical="center" wrapText="1"/>
    </xf>
    <xf numFmtId="205" fontId="84" fillId="0" borderId="1" xfId="0" applyNumberFormat="1" applyFont="1" applyBorder="1" applyAlignment="1">
      <alignment horizontal="right" vertical="center" wrapText="1"/>
    </xf>
    <xf numFmtId="0" fontId="31" fillId="0" borderId="1" xfId="0" applyFont="1" applyBorder="1" applyAlignment="1">
      <alignment horizontal="center" vertical="center"/>
    </xf>
    <xf numFmtId="188" fontId="5" fillId="0" borderId="1" xfId="0" applyNumberFormat="1" applyFont="1" applyBorder="1" applyAlignment="1">
      <alignment horizontal="right" vertical="center"/>
    </xf>
    <xf numFmtId="0" fontId="5" fillId="0" borderId="1" xfId="0" applyFont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43" fillId="0" borderId="0" xfId="0" applyFont="1">
      <alignment vertical="center"/>
    </xf>
    <xf numFmtId="0" fontId="5" fillId="0" borderId="15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178" fontId="82" fillId="0" borderId="1" xfId="0" applyNumberFormat="1" applyFont="1" applyBorder="1" applyAlignment="1">
      <alignment horizontal="center" vertical="center" wrapText="1"/>
    </xf>
    <xf numFmtId="0" fontId="90" fillId="0" borderId="0" xfId="0" applyFont="1">
      <alignment vertical="center"/>
    </xf>
    <xf numFmtId="0" fontId="91" fillId="0" borderId="38" xfId="0" applyFont="1" applyBorder="1">
      <alignment vertical="center"/>
    </xf>
    <xf numFmtId="0" fontId="91" fillId="0" borderId="39" xfId="0" applyFont="1" applyBorder="1">
      <alignment vertical="center"/>
    </xf>
    <xf numFmtId="0" fontId="90" fillId="0" borderId="39" xfId="0" applyFont="1" applyBorder="1">
      <alignment vertical="center"/>
    </xf>
    <xf numFmtId="0" fontId="91" fillId="0" borderId="40" xfId="0" applyFont="1" applyBorder="1">
      <alignment vertical="center"/>
    </xf>
    <xf numFmtId="0" fontId="91" fillId="0" borderId="41" xfId="0" applyFont="1" applyBorder="1">
      <alignment vertical="center"/>
    </xf>
    <xf numFmtId="0" fontId="91" fillId="0" borderId="42" xfId="0" applyFont="1" applyBorder="1">
      <alignment vertical="center"/>
    </xf>
    <xf numFmtId="0" fontId="90" fillId="0" borderId="0" xfId="0" applyFont="1" applyAlignment="1">
      <alignment horizontal="center" vertical="center"/>
    </xf>
    <xf numFmtId="0" fontId="92" fillId="0" borderId="43" xfId="0" applyFont="1" applyBorder="1">
      <alignment vertical="center"/>
    </xf>
    <xf numFmtId="211" fontId="90" fillId="0" borderId="44" xfId="0" applyNumberFormat="1" applyFont="1" applyBorder="1">
      <alignment vertical="center"/>
    </xf>
    <xf numFmtId="0" fontId="90" fillId="0" borderId="45" xfId="0" applyFont="1" applyBorder="1">
      <alignment vertical="center"/>
    </xf>
    <xf numFmtId="0" fontId="90" fillId="0" borderId="46" xfId="0" applyFont="1" applyBorder="1">
      <alignment vertical="center"/>
    </xf>
    <xf numFmtId="0" fontId="90" fillId="0" borderId="47" xfId="0" applyFont="1" applyBorder="1">
      <alignment vertical="center"/>
    </xf>
    <xf numFmtId="0" fontId="90" fillId="0" borderId="44" xfId="0" applyFont="1" applyBorder="1">
      <alignment vertical="center"/>
    </xf>
    <xf numFmtId="0" fontId="90" fillId="0" borderId="48" xfId="0" applyFont="1" applyBorder="1">
      <alignment vertical="center"/>
    </xf>
    <xf numFmtId="2" fontId="91" fillId="0" borderId="48" xfId="0" applyNumberFormat="1" applyFont="1" applyBorder="1">
      <alignment vertical="center"/>
    </xf>
    <xf numFmtId="211" fontId="90" fillId="0" borderId="49" xfId="0" applyNumberFormat="1" applyFont="1" applyBorder="1">
      <alignment vertical="center"/>
    </xf>
    <xf numFmtId="0" fontId="90" fillId="0" borderId="37" xfId="0" applyFont="1" applyBorder="1">
      <alignment vertical="center"/>
    </xf>
    <xf numFmtId="0" fontId="90" fillId="0" borderId="50" xfId="0" applyFont="1" applyBorder="1">
      <alignment vertical="center"/>
    </xf>
    <xf numFmtId="0" fontId="90" fillId="0" borderId="51" xfId="0" applyFont="1" applyBorder="1">
      <alignment vertical="center"/>
    </xf>
    <xf numFmtId="0" fontId="90" fillId="0" borderId="52" xfId="0" applyFont="1" applyBorder="1">
      <alignment vertical="center"/>
    </xf>
    <xf numFmtId="0" fontId="90" fillId="0" borderId="53" xfId="0" applyFont="1" applyBorder="1" applyAlignment="1">
      <alignment horizontal="left" vertical="center" shrinkToFit="1"/>
    </xf>
    <xf numFmtId="0" fontId="90" fillId="0" borderId="45" xfId="0" applyFont="1" applyBorder="1" applyAlignment="1">
      <alignment horizontal="left" vertical="center" shrinkToFit="1"/>
    </xf>
    <xf numFmtId="0" fontId="92" fillId="0" borderId="0" xfId="0" applyFont="1">
      <alignment vertical="center"/>
    </xf>
    <xf numFmtId="0" fontId="90" fillId="0" borderId="54" xfId="0" applyFont="1" applyBorder="1">
      <alignment vertical="center"/>
    </xf>
    <xf numFmtId="0" fontId="90" fillId="0" borderId="53" xfId="0" applyFont="1" applyBorder="1">
      <alignment vertical="center"/>
    </xf>
    <xf numFmtId="0" fontId="90" fillId="0" borderId="55" xfId="0" applyFont="1" applyBorder="1">
      <alignment vertical="center"/>
    </xf>
    <xf numFmtId="0" fontId="90" fillId="0" borderId="56" xfId="0" applyFont="1" applyBorder="1">
      <alignment vertical="center"/>
    </xf>
    <xf numFmtId="0" fontId="48" fillId="0" borderId="0" xfId="0" applyFont="1">
      <alignment vertical="center"/>
    </xf>
    <xf numFmtId="0" fontId="90" fillId="0" borderId="73" xfId="0" applyFont="1" applyBorder="1">
      <alignment vertical="center"/>
    </xf>
    <xf numFmtId="0" fontId="48" fillId="0" borderId="0" xfId="0" applyFont="1" applyAlignment="1">
      <alignment horizontal="left" vertical="center"/>
    </xf>
    <xf numFmtId="0" fontId="48" fillId="0" borderId="0" xfId="0" quotePrefix="1" applyFont="1" applyAlignment="1">
      <alignment horizontal="left" vertical="center"/>
    </xf>
    <xf numFmtId="0" fontId="48" fillId="0" borderId="0" xfId="0" applyFont="1" applyAlignment="1">
      <alignment horizontal="left" vertical="center" wrapText="1"/>
    </xf>
    <xf numFmtId="0" fontId="98" fillId="0" borderId="0" xfId="0" applyFont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98" fillId="0" borderId="0" xfId="0" applyFont="1">
      <alignment vertical="center"/>
    </xf>
    <xf numFmtId="0" fontId="108" fillId="0" borderId="0" xfId="0" applyFont="1">
      <alignment vertical="center"/>
    </xf>
    <xf numFmtId="0" fontId="109" fillId="0" borderId="0" xfId="0" applyFont="1">
      <alignment vertical="center"/>
    </xf>
    <xf numFmtId="0" fontId="110" fillId="0" borderId="0" xfId="0" applyFont="1">
      <alignment vertical="center"/>
    </xf>
    <xf numFmtId="0" fontId="109" fillId="0" borderId="0" xfId="0" applyFont="1" applyAlignment="1">
      <alignment vertical="center" wrapText="1"/>
    </xf>
    <xf numFmtId="0" fontId="111" fillId="0" borderId="0" xfId="0" applyFont="1">
      <alignment vertical="center"/>
    </xf>
    <xf numFmtId="0" fontId="112" fillId="0" borderId="0" xfId="0" applyFont="1" applyAlignment="1">
      <alignment horizontal="left" vertical="center"/>
    </xf>
    <xf numFmtId="0" fontId="109" fillId="0" borderId="0" xfId="0" applyFont="1" applyAlignment="1">
      <alignment horizontal="left" vertical="center"/>
    </xf>
    <xf numFmtId="0" fontId="109" fillId="0" borderId="0" xfId="0" applyFont="1" applyAlignment="1">
      <alignment horizontal="right" vertical="center"/>
    </xf>
    <xf numFmtId="56" fontId="109" fillId="10" borderId="0" xfId="0" applyNumberFormat="1" applyFont="1" applyFill="1" applyAlignment="1">
      <alignment horizontal="left" vertical="center"/>
    </xf>
    <xf numFmtId="0" fontId="109" fillId="10" borderId="0" xfId="0" applyFont="1" applyFill="1">
      <alignment vertical="center"/>
    </xf>
    <xf numFmtId="0" fontId="109" fillId="10" borderId="0" xfId="0" applyFont="1" applyFill="1" applyAlignment="1">
      <alignment horizontal="left" vertical="center"/>
    </xf>
    <xf numFmtId="0" fontId="110" fillId="0" borderId="140" xfId="0" applyFont="1" applyBorder="1">
      <alignment vertical="center"/>
    </xf>
    <xf numFmtId="0" fontId="109" fillId="0" borderId="140" xfId="0" applyFont="1" applyBorder="1">
      <alignment vertical="center"/>
    </xf>
    <xf numFmtId="0" fontId="114" fillId="11" borderId="102" xfId="0" applyFont="1" applyFill="1" applyBorder="1" applyAlignment="1">
      <alignment horizontal="center" vertical="center"/>
    </xf>
    <xf numFmtId="0" fontId="114" fillId="11" borderId="25" xfId="0" applyFont="1" applyFill="1" applyBorder="1" applyAlignment="1">
      <alignment horizontal="center" vertical="center"/>
    </xf>
    <xf numFmtId="215" fontId="109" fillId="0" borderId="0" xfId="0" applyNumberFormat="1" applyFont="1" applyAlignment="1">
      <alignment horizontal="left" vertical="center"/>
    </xf>
    <xf numFmtId="0" fontId="114" fillId="11" borderId="17" xfId="0" applyFont="1" applyFill="1" applyBorder="1" applyAlignment="1">
      <alignment horizontal="center" vertical="center"/>
    </xf>
    <xf numFmtId="0" fontId="114" fillId="11" borderId="18" xfId="0" applyFont="1" applyFill="1" applyBorder="1" applyAlignment="1">
      <alignment horizontal="center" vertical="center"/>
    </xf>
    <xf numFmtId="0" fontId="114" fillId="11" borderId="19" xfId="0" applyFont="1" applyFill="1" applyBorder="1" applyAlignment="1">
      <alignment horizontal="center" vertical="center"/>
    </xf>
    <xf numFmtId="0" fontId="109" fillId="0" borderId="142" xfId="0" applyFont="1" applyBorder="1" applyAlignment="1">
      <alignment horizontal="center" vertical="center"/>
    </xf>
    <xf numFmtId="0" fontId="109" fillId="0" borderId="136" xfId="0" applyFont="1" applyBorder="1" applyAlignment="1">
      <alignment horizontal="left" vertical="center"/>
    </xf>
    <xf numFmtId="0" fontId="109" fillId="0" borderId="136" xfId="0" applyFont="1" applyBorder="1" applyAlignment="1">
      <alignment horizontal="center" vertical="center"/>
    </xf>
    <xf numFmtId="216" fontId="109" fillId="0" borderId="136" xfId="0" applyNumberFormat="1" applyFont="1" applyBorder="1" applyAlignment="1">
      <alignment horizontal="center" vertical="center"/>
    </xf>
    <xf numFmtId="0" fontId="109" fillId="0" borderId="136" xfId="0" applyFont="1" applyBorder="1">
      <alignment vertical="center"/>
    </xf>
    <xf numFmtId="0" fontId="109" fillId="0" borderId="143" xfId="0" applyFont="1" applyBorder="1">
      <alignment vertical="center"/>
    </xf>
    <xf numFmtId="0" fontId="109" fillId="0" borderId="144" xfId="0" applyFont="1" applyBorder="1" applyAlignment="1">
      <alignment horizontal="center" vertical="center"/>
    </xf>
    <xf numFmtId="0" fontId="109" fillId="0" borderId="131" xfId="0" applyFont="1" applyBorder="1" applyAlignment="1">
      <alignment horizontal="left" vertical="center"/>
    </xf>
    <xf numFmtId="0" fontId="109" fillId="0" borderId="131" xfId="0" applyFont="1" applyBorder="1" applyAlignment="1">
      <alignment horizontal="center" vertical="center"/>
    </xf>
    <xf numFmtId="177" fontId="109" fillId="0" borderId="131" xfId="0" applyNumberFormat="1" applyFont="1" applyBorder="1" applyAlignment="1">
      <alignment horizontal="center" vertical="center"/>
    </xf>
    <xf numFmtId="216" fontId="109" fillId="0" borderId="131" xfId="0" applyNumberFormat="1" applyFont="1" applyBorder="1" applyAlignment="1">
      <alignment horizontal="center" vertical="center"/>
    </xf>
    <xf numFmtId="0" fontId="109" fillId="0" borderId="131" xfId="0" applyFont="1" applyBorder="1">
      <alignment vertical="center"/>
    </xf>
    <xf numFmtId="0" fontId="109" fillId="0" borderId="145" xfId="0" applyFont="1" applyBorder="1">
      <alignment vertical="center"/>
    </xf>
    <xf numFmtId="190" fontId="109" fillId="0" borderId="131" xfId="0" applyNumberFormat="1" applyFont="1" applyBorder="1" applyAlignment="1">
      <alignment horizontal="center" vertical="center"/>
    </xf>
    <xf numFmtId="191" fontId="109" fillId="0" borderId="131" xfId="0" applyNumberFormat="1" applyFont="1" applyBorder="1" applyAlignment="1">
      <alignment horizontal="center" vertical="center"/>
    </xf>
    <xf numFmtId="0" fontId="109" fillId="0" borderId="146" xfId="0" applyFont="1" applyBorder="1" applyAlignment="1">
      <alignment horizontal="center" vertical="center"/>
    </xf>
    <xf numFmtId="0" fontId="109" fillId="0" borderId="147" xfId="0" applyFont="1" applyBorder="1" applyAlignment="1">
      <alignment horizontal="left" vertical="center"/>
    </xf>
    <xf numFmtId="0" fontId="109" fillId="0" borderId="147" xfId="0" applyFont="1" applyBorder="1" applyAlignment="1">
      <alignment horizontal="center" vertical="center"/>
    </xf>
    <xf numFmtId="216" fontId="109" fillId="0" borderId="147" xfId="0" applyNumberFormat="1" applyFont="1" applyBorder="1" applyAlignment="1">
      <alignment horizontal="center" vertical="center"/>
    </xf>
    <xf numFmtId="0" fontId="109" fillId="0" borderId="147" xfId="0" applyFont="1" applyBorder="1">
      <alignment vertical="center"/>
    </xf>
    <xf numFmtId="0" fontId="109" fillId="0" borderId="148" xfId="0" applyFont="1" applyBorder="1">
      <alignment vertical="center"/>
    </xf>
    <xf numFmtId="0" fontId="114" fillId="11" borderId="101" xfId="0" applyFont="1" applyFill="1" applyBorder="1" applyAlignment="1">
      <alignment horizontal="center" vertical="center"/>
    </xf>
    <xf numFmtId="216" fontId="114" fillId="0" borderId="141" xfId="0" applyNumberFormat="1" applyFont="1" applyBorder="1" applyAlignment="1">
      <alignment horizontal="center" vertical="center"/>
    </xf>
    <xf numFmtId="0" fontId="109" fillId="0" borderId="149" xfId="0" applyFont="1" applyBorder="1" applyAlignment="1">
      <alignment horizontal="center" vertical="center"/>
    </xf>
    <xf numFmtId="0" fontId="109" fillId="0" borderId="153" xfId="0" applyFont="1" applyBorder="1" applyAlignment="1">
      <alignment horizontal="center" vertical="center"/>
    </xf>
    <xf numFmtId="0" fontId="109" fillId="0" borderId="155" xfId="0" applyFont="1" applyBorder="1" applyAlignment="1">
      <alignment horizontal="center" vertical="center"/>
    </xf>
    <xf numFmtId="0" fontId="109" fillId="0" borderId="151" xfId="0" applyFont="1" applyBorder="1">
      <alignment vertical="center"/>
    </xf>
    <xf numFmtId="0" fontId="109" fillId="0" borderId="152" xfId="0" applyFont="1" applyBorder="1">
      <alignment vertical="center"/>
    </xf>
    <xf numFmtId="0" fontId="109" fillId="0" borderId="112" xfId="0" applyFont="1" applyBorder="1">
      <alignment vertical="center"/>
    </xf>
    <xf numFmtId="0" fontId="109" fillId="0" borderId="154" xfId="0" applyFont="1" applyBorder="1">
      <alignment vertical="center"/>
    </xf>
    <xf numFmtId="0" fontId="109" fillId="0" borderId="157" xfId="0" applyFont="1" applyBorder="1">
      <alignment vertical="center"/>
    </xf>
    <xf numFmtId="0" fontId="109" fillId="0" borderId="158" xfId="0" applyFont="1" applyBorder="1">
      <alignment vertical="center"/>
    </xf>
    <xf numFmtId="0" fontId="109" fillId="0" borderId="159" xfId="0" applyFont="1" applyBorder="1" applyAlignment="1">
      <alignment horizontal="left" vertical="center"/>
    </xf>
    <xf numFmtId="0" fontId="109" fillId="0" borderId="159" xfId="0" applyFont="1" applyBorder="1" applyAlignment="1">
      <alignment horizontal="center" vertical="center"/>
    </xf>
    <xf numFmtId="216" fontId="109" fillId="0" borderId="159" xfId="0" applyNumberFormat="1" applyFont="1" applyBorder="1" applyAlignment="1">
      <alignment horizontal="center" vertical="center"/>
    </xf>
    <xf numFmtId="0" fontId="109" fillId="0" borderId="159" xfId="0" applyFont="1" applyBorder="1">
      <alignment vertical="center"/>
    </xf>
    <xf numFmtId="0" fontId="109" fillId="0" borderId="160" xfId="0" applyFont="1" applyBorder="1">
      <alignment vertical="center"/>
    </xf>
    <xf numFmtId="0" fontId="109" fillId="0" borderId="0" xfId="0" applyFont="1" applyAlignment="1">
      <alignment horizontal="center" vertical="center"/>
    </xf>
    <xf numFmtId="0" fontId="109" fillId="0" borderId="140" xfId="0" applyFont="1" applyBorder="1" applyAlignment="1">
      <alignment horizontal="center" vertical="center"/>
    </xf>
    <xf numFmtId="0" fontId="109" fillId="0" borderId="140" xfId="0" applyFont="1" applyBorder="1" applyAlignment="1">
      <alignment horizontal="left" vertical="center" wrapText="1"/>
    </xf>
    <xf numFmtId="0" fontId="115" fillId="0" borderId="0" xfId="0" applyFont="1">
      <alignment vertical="center"/>
    </xf>
    <xf numFmtId="185" fontId="109" fillId="0" borderId="0" xfId="0" applyNumberFormat="1" applyFont="1">
      <alignment vertical="center"/>
    </xf>
    <xf numFmtId="190" fontId="109" fillId="0" borderId="0" xfId="0" applyNumberFormat="1" applyFont="1">
      <alignment vertical="center"/>
    </xf>
    <xf numFmtId="191" fontId="109" fillId="0" borderId="0" xfId="0" applyNumberFormat="1" applyFont="1">
      <alignment vertical="center"/>
    </xf>
    <xf numFmtId="177" fontId="109" fillId="0" borderId="0" xfId="0" applyNumberFormat="1" applyFont="1">
      <alignment vertical="center"/>
    </xf>
    <xf numFmtId="179" fontId="109" fillId="0" borderId="0" xfId="0" applyNumberFormat="1" applyFont="1">
      <alignment vertical="center"/>
    </xf>
    <xf numFmtId="185" fontId="114" fillId="11" borderId="18" xfId="0" applyNumberFormat="1" applyFont="1" applyFill="1" applyBorder="1" applyAlignment="1">
      <alignment horizontal="center" vertical="center"/>
    </xf>
    <xf numFmtId="177" fontId="114" fillId="11" borderId="18" xfId="0" applyNumberFormat="1" applyFont="1" applyFill="1" applyBorder="1" applyAlignment="1">
      <alignment horizontal="center" vertical="center"/>
    </xf>
    <xf numFmtId="179" fontId="114" fillId="11" borderId="18" xfId="0" applyNumberFormat="1" applyFont="1" applyFill="1" applyBorder="1" applyAlignment="1">
      <alignment horizontal="center" vertical="center"/>
    </xf>
    <xf numFmtId="177" fontId="109" fillId="0" borderId="159" xfId="0" applyNumberFormat="1" applyFont="1" applyBorder="1" applyAlignment="1">
      <alignment horizontal="center" vertical="center"/>
    </xf>
    <xf numFmtId="0" fontId="110" fillId="10" borderId="0" xfId="0" applyFont="1" applyFill="1">
      <alignment vertical="center"/>
    </xf>
    <xf numFmtId="0" fontId="109" fillId="0" borderId="0" xfId="0" applyFont="1" applyProtection="1">
      <alignment vertical="center"/>
      <protection locked="0"/>
    </xf>
    <xf numFmtId="0" fontId="109" fillId="0" borderId="0" xfId="0" applyFont="1" applyAlignment="1" applyProtection="1">
      <alignment vertical="center" wrapText="1"/>
      <protection locked="0"/>
    </xf>
    <xf numFmtId="0" fontId="48" fillId="0" borderId="0" xfId="0" applyFont="1" applyProtection="1">
      <alignment vertical="center"/>
      <protection locked="0"/>
    </xf>
    <xf numFmtId="0" fontId="48" fillId="0" borderId="0" xfId="0" applyFont="1" applyAlignment="1" applyProtection="1">
      <alignment vertical="center" wrapText="1"/>
      <protection locked="0"/>
    </xf>
    <xf numFmtId="0" fontId="48" fillId="0" borderId="118" xfId="0" applyFont="1" applyBorder="1" applyProtection="1">
      <alignment vertical="center"/>
      <protection locked="0"/>
    </xf>
    <xf numFmtId="0" fontId="48" fillId="0" borderId="115" xfId="0" applyFont="1" applyBorder="1" applyProtection="1">
      <alignment vertical="center"/>
      <protection locked="0"/>
    </xf>
    <xf numFmtId="0" fontId="48" fillId="0" borderId="116" xfId="0" applyFont="1" applyBorder="1" applyProtection="1">
      <alignment vertical="center"/>
      <protection locked="0"/>
    </xf>
    <xf numFmtId="0" fontId="48" fillId="0" borderId="121" xfId="0" applyFont="1" applyBorder="1" applyProtection="1">
      <alignment vertical="center"/>
      <protection locked="0"/>
    </xf>
    <xf numFmtId="0" fontId="48" fillId="0" borderId="112" xfId="0" applyFont="1" applyBorder="1" applyProtection="1">
      <alignment vertical="center"/>
      <protection locked="0"/>
    </xf>
    <xf numFmtId="0" fontId="48" fillId="0" borderId="113" xfId="0" applyFont="1" applyBorder="1" applyProtection="1">
      <alignment vertical="center"/>
      <protection locked="0"/>
    </xf>
    <xf numFmtId="0" fontId="48" fillId="0" borderId="120" xfId="0" applyFont="1" applyBorder="1" applyAlignment="1" applyProtection="1">
      <alignment horizontal="left" vertical="center"/>
      <protection locked="0"/>
    </xf>
    <xf numFmtId="0" fontId="48" fillId="0" borderId="120" xfId="0" applyFont="1" applyBorder="1" applyProtection="1">
      <alignment vertical="center"/>
      <protection locked="0"/>
    </xf>
    <xf numFmtId="49" fontId="48" fillId="0" borderId="129" xfId="0" applyNumberFormat="1" applyFont="1" applyBorder="1" applyAlignment="1" applyProtection="1">
      <alignment horizontal="left" vertical="center" shrinkToFit="1"/>
      <protection locked="0"/>
    </xf>
    <xf numFmtId="0" fontId="48" fillId="0" borderId="130" xfId="0" applyFont="1" applyBorder="1" applyAlignment="1" applyProtection="1">
      <alignment horizontal="left" vertical="center"/>
      <protection locked="0"/>
    </xf>
    <xf numFmtId="0" fontId="48" fillId="0" borderId="130" xfId="0" applyFont="1" applyBorder="1" applyAlignment="1" applyProtection="1">
      <alignment horizontal="center" vertical="center"/>
      <protection locked="0"/>
    </xf>
    <xf numFmtId="49" fontId="48" fillId="0" borderId="119" xfId="0" applyNumberFormat="1" applyFont="1" applyBorder="1" applyAlignment="1" applyProtection="1">
      <alignment horizontal="left" vertical="center" shrinkToFit="1"/>
      <protection locked="0"/>
    </xf>
    <xf numFmtId="0" fontId="48" fillId="0" borderId="131" xfId="0" applyFont="1" applyBorder="1" applyAlignment="1" applyProtection="1">
      <alignment horizontal="left" vertical="center"/>
      <protection locked="0"/>
    </xf>
    <xf numFmtId="0" fontId="48" fillId="0" borderId="131" xfId="0" applyFont="1" applyBorder="1" applyAlignment="1" applyProtection="1">
      <alignment horizontal="center" vertical="center"/>
      <protection locked="0"/>
    </xf>
    <xf numFmtId="179" fontId="48" fillId="0" borderId="131" xfId="0" applyNumberFormat="1" applyFont="1" applyBorder="1" applyAlignment="1" applyProtection="1">
      <alignment horizontal="center" vertical="center"/>
      <protection locked="0"/>
    </xf>
    <xf numFmtId="188" fontId="48" fillId="0" borderId="131" xfId="0" applyNumberFormat="1" applyFont="1" applyBorder="1" applyAlignment="1" applyProtection="1">
      <alignment horizontal="center" vertical="center"/>
      <protection locked="0"/>
    </xf>
    <xf numFmtId="177" fontId="48" fillId="0" borderId="131" xfId="0" applyNumberFormat="1" applyFont="1" applyBorder="1" applyAlignment="1" applyProtection="1">
      <alignment horizontal="center" vertical="center"/>
      <protection locked="0"/>
    </xf>
    <xf numFmtId="183" fontId="48" fillId="0" borderId="131" xfId="0" applyNumberFormat="1" applyFont="1" applyBorder="1" applyAlignment="1" applyProtection="1">
      <alignment horizontal="center" vertical="center"/>
      <protection locked="0"/>
    </xf>
    <xf numFmtId="205" fontId="48" fillId="0" borderId="131" xfId="0" applyNumberFormat="1" applyFont="1" applyBorder="1" applyAlignment="1" applyProtection="1">
      <alignment horizontal="center" vertical="center"/>
      <protection locked="0"/>
    </xf>
    <xf numFmtId="191" fontId="48" fillId="0" borderId="131" xfId="0" applyNumberFormat="1" applyFont="1" applyBorder="1" applyAlignment="1" applyProtection="1">
      <alignment horizontal="center" vertical="center"/>
      <protection locked="0"/>
    </xf>
    <xf numFmtId="190" fontId="48" fillId="0" borderId="131" xfId="0" applyNumberFormat="1" applyFont="1" applyBorder="1" applyAlignment="1" applyProtection="1">
      <alignment horizontal="center" vertical="center"/>
      <protection locked="0"/>
    </xf>
    <xf numFmtId="214" fontId="48" fillId="0" borderId="131" xfId="0" applyNumberFormat="1" applyFont="1" applyBorder="1" applyAlignment="1" applyProtection="1">
      <alignment horizontal="center" vertical="center"/>
      <protection locked="0"/>
    </xf>
    <xf numFmtId="0" fontId="48" fillId="0" borderId="132" xfId="0" applyFont="1" applyBorder="1" applyAlignment="1" applyProtection="1">
      <alignment horizontal="left" vertical="center"/>
      <protection locked="0"/>
    </xf>
    <xf numFmtId="0" fontId="48" fillId="0" borderId="132" xfId="0" applyFont="1" applyBorder="1" applyAlignment="1" applyProtection="1">
      <alignment horizontal="center" vertical="center"/>
      <protection locked="0"/>
    </xf>
    <xf numFmtId="214" fontId="48" fillId="0" borderId="132" xfId="0" applyNumberFormat="1" applyFont="1" applyBorder="1" applyAlignment="1" applyProtection="1">
      <alignment horizontal="center" vertical="center"/>
      <protection locked="0"/>
    </xf>
    <xf numFmtId="205" fontId="48" fillId="0" borderId="117" xfId="0" applyNumberFormat="1" applyFont="1" applyBorder="1" applyAlignment="1" applyProtection="1">
      <alignment horizontal="right" vertical="center"/>
      <protection locked="0"/>
    </xf>
    <xf numFmtId="205" fontId="48" fillId="0" borderId="110" xfId="0" applyNumberFormat="1" applyFont="1" applyBorder="1" applyProtection="1">
      <alignment vertical="center"/>
      <protection locked="0"/>
    </xf>
    <xf numFmtId="214" fontId="48" fillId="0" borderId="139" xfId="0" applyNumberFormat="1" applyFont="1" applyBorder="1" applyAlignment="1" applyProtection="1">
      <alignment horizontal="center" vertical="center"/>
      <protection locked="0"/>
    </xf>
    <xf numFmtId="205" fontId="48" fillId="0" borderId="119" xfId="0" applyNumberFormat="1" applyFont="1" applyBorder="1" applyAlignment="1" applyProtection="1">
      <alignment horizontal="right" vertical="center"/>
      <protection locked="0"/>
    </xf>
    <xf numFmtId="205" fontId="48" fillId="0" borderId="118" xfId="0" applyNumberFormat="1" applyFont="1" applyBorder="1" applyAlignment="1" applyProtection="1">
      <alignment horizontal="right" vertical="center"/>
      <protection locked="0"/>
    </xf>
    <xf numFmtId="214" fontId="48" fillId="0" borderId="16" xfId="0" applyNumberFormat="1" applyFont="1" applyBorder="1" applyAlignment="1" applyProtection="1">
      <alignment horizontal="center" vertical="center"/>
      <protection locked="0"/>
    </xf>
    <xf numFmtId="0" fontId="48" fillId="0" borderId="69" xfId="0" applyFont="1" applyBorder="1" applyProtection="1">
      <alignment vertical="center"/>
      <protection locked="0"/>
    </xf>
    <xf numFmtId="0" fontId="48" fillId="0" borderId="43" xfId="0" applyFont="1" applyBorder="1" applyProtection="1">
      <alignment vertical="center"/>
      <protection locked="0"/>
    </xf>
    <xf numFmtId="0" fontId="48" fillId="0" borderId="43" xfId="0" applyFont="1" applyBorder="1" applyAlignment="1" applyProtection="1">
      <alignment vertical="center" wrapText="1"/>
      <protection locked="0"/>
    </xf>
    <xf numFmtId="0" fontId="48" fillId="0" borderId="82" xfId="0" applyFont="1" applyBorder="1" applyProtection="1">
      <alignment vertical="center"/>
      <protection locked="0"/>
    </xf>
    <xf numFmtId="0" fontId="48" fillId="0" borderId="70" xfId="0" applyFont="1" applyBorder="1" applyProtection="1">
      <alignment vertical="center"/>
      <protection locked="0"/>
    </xf>
    <xf numFmtId="0" fontId="48" fillId="0" borderId="37" xfId="0" applyFont="1" applyBorder="1" applyProtection="1">
      <alignment vertical="center"/>
      <protection locked="0"/>
    </xf>
    <xf numFmtId="0" fontId="48" fillId="0" borderId="50" xfId="0" applyFont="1" applyBorder="1" applyProtection="1">
      <alignment vertical="center"/>
      <protection locked="0"/>
    </xf>
    <xf numFmtId="0" fontId="48" fillId="0" borderId="44" xfId="0" applyFont="1" applyBorder="1" applyProtection="1">
      <alignment vertical="center"/>
      <protection locked="0"/>
    </xf>
    <xf numFmtId="0" fontId="48" fillId="0" borderId="44" xfId="0" applyFont="1" applyBorder="1" applyAlignment="1" applyProtection="1">
      <alignment vertical="center" wrapText="1"/>
      <protection locked="0"/>
    </xf>
    <xf numFmtId="0" fontId="48" fillId="0" borderId="51" xfId="0" applyFont="1" applyBorder="1" applyProtection="1">
      <alignment vertical="center"/>
      <protection locked="0"/>
    </xf>
    <xf numFmtId="0" fontId="48" fillId="0" borderId="114" xfId="0" applyFont="1" applyBorder="1" applyProtection="1">
      <alignment vertical="center"/>
      <protection locked="0"/>
    </xf>
    <xf numFmtId="0" fontId="118" fillId="0" borderId="0" xfId="0" applyFont="1">
      <alignment vertical="center"/>
    </xf>
    <xf numFmtId="0" fontId="109" fillId="0" borderId="0" xfId="0" applyFont="1" applyAlignment="1" applyProtection="1">
      <alignment horizontal="center" vertical="center"/>
      <protection locked="0"/>
    </xf>
    <xf numFmtId="0" fontId="110" fillId="0" borderId="0" xfId="0" applyFont="1" applyProtection="1">
      <alignment vertical="center"/>
      <protection locked="0"/>
    </xf>
    <xf numFmtId="0" fontId="118" fillId="0" borderId="0" xfId="0" applyFont="1" applyProtection="1">
      <alignment vertical="center"/>
      <protection locked="0"/>
    </xf>
    <xf numFmtId="0" fontId="109" fillId="0" borderId="0" xfId="0" applyFont="1" applyAlignment="1" applyProtection="1">
      <alignment horizontal="left" vertical="center"/>
      <protection locked="0"/>
    </xf>
    <xf numFmtId="0" fontId="103" fillId="0" borderId="0" xfId="0" applyFont="1" applyAlignment="1" applyProtection="1">
      <alignment horizontal="center" vertical="center"/>
      <protection locked="0"/>
    </xf>
    <xf numFmtId="0" fontId="102" fillId="0" borderId="0" xfId="0" applyFont="1" applyProtection="1">
      <alignment vertical="center"/>
      <protection locked="0"/>
    </xf>
    <xf numFmtId="0" fontId="50" fillId="0" borderId="0" xfId="0" applyFont="1" applyProtection="1">
      <alignment vertical="center"/>
      <protection locked="0"/>
    </xf>
    <xf numFmtId="0" fontId="99" fillId="0" borderId="0" xfId="0" applyFont="1" applyProtection="1">
      <alignment vertical="center"/>
      <protection locked="0"/>
    </xf>
    <xf numFmtId="0" fontId="105" fillId="0" borderId="69" xfId="0" applyFont="1" applyBorder="1" applyProtection="1">
      <alignment vertical="center"/>
      <protection locked="0"/>
    </xf>
    <xf numFmtId="0" fontId="50" fillId="0" borderId="108" xfId="0" applyFont="1" applyBorder="1" applyProtection="1">
      <alignment vertical="center"/>
      <protection locked="0"/>
    </xf>
    <xf numFmtId="0" fontId="50" fillId="0" borderId="109" xfId="0" applyFont="1" applyBorder="1" applyProtection="1">
      <alignment vertical="center"/>
      <protection locked="0"/>
    </xf>
    <xf numFmtId="0" fontId="50" fillId="0" borderId="110" xfId="0" applyFont="1" applyBorder="1" applyProtection="1">
      <alignment vertical="center"/>
      <protection locked="0"/>
    </xf>
    <xf numFmtId="0" fontId="105" fillId="0" borderId="117" xfId="0" applyFont="1" applyBorder="1" applyProtection="1">
      <alignment vertical="center"/>
      <protection locked="0"/>
    </xf>
    <xf numFmtId="0" fontId="48" fillId="0" borderId="109" xfId="0" applyFont="1" applyBorder="1" applyProtection="1">
      <alignment vertical="center"/>
      <protection locked="0"/>
    </xf>
    <xf numFmtId="0" fontId="48" fillId="0" borderId="110" xfId="0" applyFont="1" applyBorder="1" applyProtection="1">
      <alignment vertical="center"/>
      <protection locked="0"/>
    </xf>
    <xf numFmtId="0" fontId="48" fillId="0" borderId="111" xfId="0" applyFont="1" applyBorder="1" applyProtection="1">
      <alignment vertical="center"/>
      <protection locked="0"/>
    </xf>
    <xf numFmtId="0" fontId="48" fillId="0" borderId="111" xfId="0" applyFont="1" applyBorder="1" applyAlignment="1" applyProtection="1">
      <alignment horizontal="left" vertical="center"/>
      <protection locked="0"/>
    </xf>
    <xf numFmtId="0" fontId="48" fillId="0" borderId="119" xfId="0" applyFont="1" applyBorder="1" applyProtection="1">
      <alignment vertical="center"/>
      <protection locked="0"/>
    </xf>
    <xf numFmtId="0" fontId="105" fillId="0" borderId="110" xfId="0" applyFont="1" applyBorder="1" applyProtection="1">
      <alignment vertical="center"/>
      <protection locked="0"/>
    </xf>
    <xf numFmtId="0" fontId="105" fillId="0" borderId="110" xfId="0" applyFont="1" applyBorder="1" applyAlignment="1" applyProtection="1">
      <alignment vertical="center" wrapText="1"/>
      <protection locked="0"/>
    </xf>
    <xf numFmtId="0" fontId="105" fillId="0" borderId="109" xfId="0" applyFont="1" applyBorder="1" applyProtection="1">
      <alignment vertical="center"/>
      <protection locked="0"/>
    </xf>
    <xf numFmtId="0" fontId="104" fillId="0" borderId="109" xfId="0" applyFont="1" applyBorder="1" applyProtection="1">
      <alignment vertical="center"/>
      <protection locked="0"/>
    </xf>
    <xf numFmtId="0" fontId="104" fillId="0" borderId="110" xfId="0" applyFont="1" applyBorder="1" applyProtection="1">
      <alignment vertical="center"/>
      <protection locked="0"/>
    </xf>
    <xf numFmtId="0" fontId="48" fillId="0" borderId="125" xfId="0" applyFont="1" applyBorder="1" applyProtection="1">
      <alignment vertical="center"/>
      <protection locked="0"/>
    </xf>
    <xf numFmtId="0" fontId="48" fillId="0" borderId="126" xfId="0" applyFont="1" applyBorder="1" applyAlignment="1" applyProtection="1">
      <alignment horizontal="left" vertical="center"/>
      <protection locked="0"/>
    </xf>
    <xf numFmtId="0" fontId="48" fillId="0" borderId="127" xfId="0" applyFont="1" applyBorder="1" applyProtection="1">
      <alignment vertical="center"/>
      <protection locked="0"/>
    </xf>
    <xf numFmtId="0" fontId="105" fillId="0" borderId="94" xfId="0" applyFont="1" applyBorder="1" applyProtection="1">
      <alignment vertical="center"/>
      <protection locked="0"/>
    </xf>
    <xf numFmtId="0" fontId="50" fillId="0" borderId="135" xfId="0" applyFont="1" applyBorder="1" applyAlignment="1" applyProtection="1">
      <alignment horizontal="center" vertical="center"/>
      <protection locked="0"/>
    </xf>
    <xf numFmtId="0" fontId="50" fillId="0" borderId="135" xfId="0" applyFont="1" applyBorder="1" applyAlignment="1" applyProtection="1">
      <alignment horizontal="center" vertical="center" wrapText="1"/>
      <protection locked="0"/>
    </xf>
    <xf numFmtId="178" fontId="48" fillId="0" borderId="0" xfId="0" applyNumberFormat="1" applyFont="1" applyProtection="1">
      <alignment vertical="center"/>
      <protection locked="0"/>
    </xf>
    <xf numFmtId="189" fontId="48" fillId="0" borderId="0" xfId="0" applyNumberFormat="1" applyFont="1" applyProtection="1">
      <alignment vertical="center"/>
      <protection locked="0"/>
    </xf>
    <xf numFmtId="49" fontId="48" fillId="0" borderId="0" xfId="0" applyNumberFormat="1" applyFont="1" applyProtection="1">
      <alignment vertical="center"/>
      <protection locked="0"/>
    </xf>
    <xf numFmtId="184" fontId="48" fillId="0" borderId="0" xfId="0" applyNumberFormat="1" applyFont="1" applyProtection="1">
      <alignment vertical="center"/>
      <protection locked="0"/>
    </xf>
    <xf numFmtId="188" fontId="48" fillId="0" borderId="0" xfId="0" applyNumberFormat="1" applyFont="1" applyProtection="1">
      <alignment vertical="center"/>
      <protection locked="0"/>
    </xf>
    <xf numFmtId="0" fontId="48" fillId="0" borderId="0" xfId="0" applyFont="1" applyAlignment="1" applyProtection="1">
      <alignment horizontal="right" vertical="center"/>
      <protection locked="0"/>
    </xf>
    <xf numFmtId="0" fontId="96" fillId="0" borderId="0" xfId="0" applyFont="1" applyProtection="1">
      <alignment vertical="center"/>
      <protection locked="0"/>
    </xf>
    <xf numFmtId="0" fontId="95" fillId="0" borderId="0" xfId="0" applyFont="1" applyProtection="1">
      <alignment vertical="center"/>
      <protection locked="0"/>
    </xf>
    <xf numFmtId="0" fontId="48" fillId="0" borderId="0" xfId="0" applyFont="1" applyAlignment="1" applyProtection="1">
      <alignment horizontal="right" vertical="center" wrapText="1"/>
      <protection locked="0"/>
    </xf>
    <xf numFmtId="0" fontId="48" fillId="0" borderId="126" xfId="0" applyFont="1" applyBorder="1" applyProtection="1">
      <alignment vertical="center"/>
      <protection locked="0"/>
    </xf>
    <xf numFmtId="0" fontId="95" fillId="10" borderId="118" xfId="0" applyFont="1" applyFill="1" applyBorder="1" applyAlignment="1" applyProtection="1">
      <alignment horizontal="center" vertical="center"/>
      <protection locked="0"/>
    </xf>
    <xf numFmtId="0" fontId="48" fillId="10" borderId="50" xfId="0" applyFont="1" applyFill="1" applyBorder="1" applyProtection="1">
      <alignment vertical="center"/>
      <protection locked="0"/>
    </xf>
    <xf numFmtId="0" fontId="48" fillId="10" borderId="44" xfId="0" applyFont="1" applyFill="1" applyBorder="1" applyAlignment="1" applyProtection="1">
      <alignment horizontal="left" vertical="center"/>
      <protection locked="0"/>
    </xf>
    <xf numFmtId="0" fontId="48" fillId="10" borderId="51" xfId="0" applyFont="1" applyFill="1" applyBorder="1" applyProtection="1">
      <alignment vertical="center"/>
      <protection locked="0"/>
    </xf>
    <xf numFmtId="211" fontId="48" fillId="0" borderId="118" xfId="0" applyNumberFormat="1" applyFont="1" applyBorder="1" applyProtection="1">
      <alignment vertical="center"/>
      <protection locked="0"/>
    </xf>
    <xf numFmtId="214" fontId="50" fillId="0" borderId="107" xfId="0" applyNumberFormat="1" applyFont="1" applyBorder="1" applyAlignment="1" applyProtection="1">
      <alignment horizontal="center" vertical="center"/>
      <protection locked="0"/>
    </xf>
    <xf numFmtId="176" fontId="62" fillId="6" borderId="1" xfId="0" applyNumberFormat="1" applyFont="1" applyFill="1" applyBorder="1" applyAlignment="1">
      <alignment horizontal="center" vertical="center"/>
    </xf>
    <xf numFmtId="0" fontId="118" fillId="0" borderId="0" xfId="0" applyFont="1" applyAlignment="1" applyProtection="1">
      <alignment horizontal="center" vertical="center"/>
      <protection locked="0"/>
    </xf>
    <xf numFmtId="0" fontId="109" fillId="2" borderId="102" xfId="0" applyFont="1" applyFill="1" applyBorder="1" applyAlignment="1" applyProtection="1">
      <alignment horizontal="center" vertical="center"/>
      <protection locked="0"/>
    </xf>
    <xf numFmtId="0" fontId="109" fillId="4" borderId="32" xfId="0" applyFont="1" applyFill="1" applyBorder="1" applyAlignment="1" applyProtection="1">
      <alignment horizontal="left" vertical="center"/>
      <protection locked="0"/>
    </xf>
    <xf numFmtId="0" fontId="109" fillId="2" borderId="23" xfId="0" applyFont="1" applyFill="1" applyBorder="1" applyAlignment="1" applyProtection="1">
      <alignment horizontal="center" vertical="center"/>
      <protection locked="0"/>
    </xf>
    <xf numFmtId="0" fontId="109" fillId="4" borderId="24" xfId="0" applyFont="1" applyFill="1" applyBorder="1" applyProtection="1">
      <alignment vertical="center"/>
      <protection locked="0"/>
    </xf>
    <xf numFmtId="0" fontId="109" fillId="2" borderId="13" xfId="0" applyFont="1" applyFill="1" applyBorder="1" applyAlignment="1" applyProtection="1">
      <alignment horizontal="center" vertical="center"/>
      <protection locked="0"/>
    </xf>
    <xf numFmtId="0" fontId="109" fillId="0" borderId="24" xfId="0" applyFont="1" applyBorder="1" applyAlignment="1" applyProtection="1">
      <alignment horizontal="left" vertical="center" wrapText="1"/>
      <protection locked="0"/>
    </xf>
    <xf numFmtId="0" fontId="109" fillId="4" borderId="24" xfId="0" applyFont="1" applyFill="1" applyBorder="1" applyAlignment="1" applyProtection="1">
      <alignment horizontal="left" vertical="center"/>
      <protection locked="0"/>
    </xf>
    <xf numFmtId="0" fontId="109" fillId="2" borderId="82" xfId="0" applyFont="1" applyFill="1" applyBorder="1" applyAlignment="1" applyProtection="1">
      <alignment horizontal="center" vertical="center"/>
      <protection locked="0"/>
    </xf>
    <xf numFmtId="217" fontId="109" fillId="0" borderId="24" xfId="0" applyNumberFormat="1" applyFont="1" applyBorder="1" applyAlignment="1" applyProtection="1">
      <alignment horizontal="left" vertical="center"/>
      <protection locked="0"/>
    </xf>
    <xf numFmtId="0" fontId="109" fillId="2" borderId="163" xfId="0" applyFont="1" applyFill="1" applyBorder="1" applyAlignment="1" applyProtection="1">
      <alignment horizontal="center" vertical="center"/>
      <protection locked="0"/>
    </xf>
    <xf numFmtId="218" fontId="109" fillId="0" borderId="33" xfId="0" applyNumberFormat="1" applyFont="1" applyBorder="1" applyAlignment="1" applyProtection="1">
      <alignment horizontal="left" vertical="center"/>
      <protection locked="0"/>
    </xf>
    <xf numFmtId="0" fontId="109" fillId="10" borderId="0" xfId="0" applyFont="1" applyFill="1" applyAlignment="1" applyProtection="1">
      <alignment horizontal="center" vertical="center"/>
      <protection locked="0"/>
    </xf>
    <xf numFmtId="0" fontId="109" fillId="2" borderId="25" xfId="0" applyFont="1" applyFill="1" applyBorder="1" applyAlignment="1" applyProtection="1">
      <alignment horizontal="center" vertical="center"/>
      <protection locked="0"/>
    </xf>
    <xf numFmtId="0" fontId="109" fillId="4" borderId="33" xfId="0" applyFont="1" applyFill="1" applyBorder="1" applyAlignment="1" applyProtection="1">
      <alignment horizontal="left" vertical="center"/>
      <protection locked="0"/>
    </xf>
    <xf numFmtId="0" fontId="98" fillId="0" borderId="99" xfId="0" applyFont="1" applyBorder="1" applyProtection="1">
      <alignment vertical="center"/>
      <protection locked="0"/>
    </xf>
    <xf numFmtId="0" fontId="98" fillId="0" borderId="87" xfId="0" applyFont="1" applyBorder="1" applyProtection="1">
      <alignment vertical="center"/>
      <protection locked="0"/>
    </xf>
    <xf numFmtId="0" fontId="109" fillId="13" borderId="102" xfId="0" applyFont="1" applyFill="1" applyBorder="1" applyAlignment="1">
      <alignment horizontal="center" vertical="center"/>
    </xf>
    <xf numFmtId="0" fontId="109" fillId="13" borderId="103" xfId="0" applyFont="1" applyFill="1" applyBorder="1" applyAlignment="1">
      <alignment horizontal="left" vertical="center"/>
    </xf>
    <xf numFmtId="0" fontId="109" fillId="13" borderId="2" xfId="0" applyFont="1" applyFill="1" applyBorder="1" applyAlignment="1">
      <alignment horizontal="center" vertical="center"/>
    </xf>
    <xf numFmtId="0" fontId="109" fillId="13" borderId="162" xfId="0" applyFont="1" applyFill="1" applyBorder="1">
      <alignment vertical="center"/>
    </xf>
    <xf numFmtId="0" fontId="109" fillId="13" borderId="23" xfId="0" applyFont="1" applyFill="1" applyBorder="1" applyAlignment="1">
      <alignment horizontal="center" vertical="center"/>
    </xf>
    <xf numFmtId="0" fontId="109" fillId="13" borderId="12" xfId="0" applyFont="1" applyFill="1" applyBorder="1" applyAlignment="1">
      <alignment horizontal="left" vertical="center"/>
    </xf>
    <xf numFmtId="0" fontId="109" fillId="13" borderId="1" xfId="0" applyFont="1" applyFill="1" applyBorder="1" applyAlignment="1" applyProtection="1">
      <alignment horizontal="center" vertical="center"/>
      <protection locked="0"/>
    </xf>
    <xf numFmtId="0" fontId="109" fillId="13" borderId="24" xfId="0" applyFont="1" applyFill="1" applyBorder="1" applyProtection="1">
      <alignment vertical="center"/>
      <protection locked="0"/>
    </xf>
    <xf numFmtId="0" fontId="109" fillId="13" borderId="31" xfId="0" applyFont="1" applyFill="1" applyBorder="1" applyProtection="1">
      <alignment vertical="center"/>
      <protection locked="0"/>
    </xf>
    <xf numFmtId="0" fontId="109" fillId="13" borderId="30" xfId="0" applyFont="1" applyFill="1" applyBorder="1" applyAlignment="1" applyProtection="1">
      <alignment horizontal="center" vertical="center"/>
      <protection locked="0"/>
    </xf>
    <xf numFmtId="0" fontId="109" fillId="13" borderId="69" xfId="0" applyFont="1" applyFill="1" applyBorder="1" applyAlignment="1" applyProtection="1">
      <alignment horizontal="left" vertical="center"/>
      <protection locked="0"/>
    </xf>
    <xf numFmtId="0" fontId="109" fillId="13" borderId="16" xfId="0" applyFont="1" applyFill="1" applyBorder="1" applyAlignment="1" applyProtection="1">
      <alignment horizontal="center" vertical="center"/>
      <protection locked="0"/>
    </xf>
    <xf numFmtId="0" fontId="109" fillId="13" borderId="25" xfId="0" applyFont="1" applyFill="1" applyBorder="1" applyAlignment="1">
      <alignment horizontal="center" vertical="center"/>
    </xf>
    <xf numFmtId="0" fontId="109" fillId="13" borderId="29" xfId="0" applyFont="1" applyFill="1" applyBorder="1">
      <alignment vertical="center"/>
    </xf>
    <xf numFmtId="0" fontId="109" fillId="12" borderId="164" xfId="0" applyFont="1" applyFill="1" applyBorder="1" applyAlignment="1" applyProtection="1">
      <alignment horizontal="center" vertical="center"/>
      <protection locked="0"/>
    </xf>
    <xf numFmtId="0" fontId="109" fillId="12" borderId="33" xfId="0" applyFont="1" applyFill="1" applyBorder="1">
      <alignment vertical="center"/>
    </xf>
    <xf numFmtId="0" fontId="48" fillId="0" borderId="100" xfId="0" applyFont="1" applyBorder="1" applyProtection="1">
      <alignment vertical="center"/>
      <protection locked="0"/>
    </xf>
    <xf numFmtId="0" fontId="48" fillId="0" borderId="15" xfId="0" applyFont="1" applyBorder="1" applyProtection="1">
      <alignment vertical="center"/>
      <protection locked="0"/>
    </xf>
    <xf numFmtId="0" fontId="109" fillId="0" borderId="15" xfId="0" applyFont="1" applyBorder="1" applyProtection="1">
      <alignment vertical="center"/>
      <protection locked="0"/>
    </xf>
    <xf numFmtId="0" fontId="109" fillId="0" borderId="100" xfId="0" applyFont="1" applyBorder="1" applyProtection="1">
      <alignment vertical="center"/>
      <protection locked="0"/>
    </xf>
    <xf numFmtId="0" fontId="48" fillId="0" borderId="101" xfId="0" applyFont="1" applyBorder="1" applyProtection="1">
      <alignment vertical="center"/>
      <protection locked="0"/>
    </xf>
    <xf numFmtId="0" fontId="48" fillId="0" borderId="10" xfId="0" applyFont="1" applyBorder="1" applyProtection="1">
      <alignment vertical="center"/>
      <protection locked="0"/>
    </xf>
    <xf numFmtId="0" fontId="120" fillId="4" borderId="0" xfId="0" applyFont="1" applyFill="1" applyAlignment="1" applyProtection="1">
      <alignment horizontal="left" vertical="center"/>
      <protection locked="0"/>
    </xf>
    <xf numFmtId="0" fontId="109" fillId="12" borderId="1" xfId="0" applyFont="1" applyFill="1" applyBorder="1" applyAlignment="1">
      <alignment horizontal="center" vertical="center"/>
    </xf>
    <xf numFmtId="0" fontId="109" fillId="12" borderId="24" xfId="0" applyFont="1" applyFill="1" applyBorder="1" applyAlignment="1">
      <alignment horizontal="left" vertical="center" shrinkToFit="1"/>
    </xf>
    <xf numFmtId="0" fontId="109" fillId="12" borderId="24" xfId="0" applyFont="1" applyFill="1" applyBorder="1" applyAlignment="1">
      <alignment vertical="center" shrinkToFit="1"/>
    </xf>
    <xf numFmtId="0" fontId="109" fillId="12" borderId="29" xfId="0" applyFont="1" applyFill="1" applyBorder="1" applyAlignment="1">
      <alignment horizontal="center" vertical="center"/>
    </xf>
    <xf numFmtId="0" fontId="109" fillId="2" borderId="102" xfId="0" applyFont="1" applyFill="1" applyBorder="1" applyAlignment="1">
      <alignment horizontal="center" vertical="center"/>
    </xf>
    <xf numFmtId="0" fontId="109" fillId="4" borderId="32" xfId="0" applyFont="1" applyFill="1" applyBorder="1">
      <alignment vertical="center"/>
    </xf>
    <xf numFmtId="0" fontId="109" fillId="2" borderId="23" xfId="0" applyFont="1" applyFill="1" applyBorder="1" applyAlignment="1">
      <alignment horizontal="center" vertical="center"/>
    </xf>
    <xf numFmtId="0" fontId="109" fillId="4" borderId="24" xfId="0" applyFont="1" applyFill="1" applyBorder="1" applyAlignment="1">
      <alignment horizontal="left" vertical="center"/>
    </xf>
    <xf numFmtId="0" fontId="109" fillId="0" borderId="24" xfId="0" applyFont="1" applyBorder="1" applyAlignment="1">
      <alignment horizontal="left" vertical="center"/>
    </xf>
    <xf numFmtId="0" fontId="109" fillId="2" borderId="30" xfId="0" applyFont="1" applyFill="1" applyBorder="1" applyAlignment="1">
      <alignment horizontal="center" vertical="center"/>
    </xf>
    <xf numFmtId="217" fontId="109" fillId="0" borderId="24" xfId="0" applyNumberFormat="1" applyFont="1" applyBorder="1" applyAlignment="1">
      <alignment horizontal="left" vertical="center"/>
    </xf>
    <xf numFmtId="0" fontId="109" fillId="2" borderId="165" xfId="0" applyFont="1" applyFill="1" applyBorder="1" applyAlignment="1">
      <alignment horizontal="center" vertical="center"/>
    </xf>
    <xf numFmtId="218" fontId="109" fillId="0" borderId="33" xfId="0" applyNumberFormat="1" applyFont="1" applyBorder="1" applyAlignment="1">
      <alignment horizontal="left" vertical="center"/>
    </xf>
    <xf numFmtId="0" fontId="109" fillId="2" borderId="25" xfId="0" applyFont="1" applyFill="1" applyBorder="1" applyAlignment="1">
      <alignment horizontal="center" vertical="center"/>
    </xf>
    <xf numFmtId="0" fontId="109" fillId="4" borderId="33" xfId="0" applyFont="1" applyFill="1" applyBorder="1" applyAlignment="1">
      <alignment horizontal="left" vertical="center"/>
    </xf>
    <xf numFmtId="0" fontId="109" fillId="12" borderId="20" xfId="0" applyFont="1" applyFill="1" applyBorder="1" applyAlignment="1">
      <alignment horizontal="center" vertical="center"/>
    </xf>
    <xf numFmtId="0" fontId="109" fillId="12" borderId="21" xfId="0" applyFont="1" applyFill="1" applyBorder="1" applyAlignment="1">
      <alignment horizontal="left" vertical="center"/>
    </xf>
    <xf numFmtId="0" fontId="109" fillId="12" borderId="2" xfId="0" applyFont="1" applyFill="1" applyBorder="1" applyAlignment="1">
      <alignment horizontal="center" vertical="center"/>
    </xf>
    <xf numFmtId="0" fontId="109" fillId="12" borderId="32" xfId="0" applyFont="1" applyFill="1" applyBorder="1" applyAlignment="1">
      <alignment vertical="center" shrinkToFit="1"/>
    </xf>
    <xf numFmtId="0" fontId="109" fillId="12" borderId="23" xfId="0" applyFont="1" applyFill="1" applyBorder="1" applyAlignment="1">
      <alignment horizontal="center" vertical="center"/>
    </xf>
    <xf numFmtId="0" fontId="109" fillId="12" borderId="1" xfId="0" applyFont="1" applyFill="1" applyBorder="1" applyAlignment="1">
      <alignment horizontal="left" vertical="center"/>
    </xf>
    <xf numFmtId="0" fontId="109" fillId="12" borderId="24" xfId="0" applyFont="1" applyFill="1" applyBorder="1">
      <alignment vertical="center"/>
    </xf>
    <xf numFmtId="0" fontId="109" fillId="12" borderId="1" xfId="0" applyFont="1" applyFill="1" applyBorder="1" applyAlignment="1">
      <alignment horizontal="left" vertical="center" wrapText="1"/>
    </xf>
    <xf numFmtId="0" fontId="109" fillId="12" borderId="25" xfId="0" applyFont="1" applyFill="1" applyBorder="1" applyAlignment="1">
      <alignment horizontal="center" vertical="center"/>
    </xf>
    <xf numFmtId="0" fontId="109" fillId="12" borderId="29" xfId="0" applyFont="1" applyFill="1" applyBorder="1" applyAlignment="1">
      <alignment horizontal="left" vertical="center" wrapText="1"/>
    </xf>
    <xf numFmtId="0" fontId="110" fillId="0" borderId="0" xfId="0" applyFont="1" applyAlignment="1">
      <alignment horizontal="center" vertical="center"/>
    </xf>
    <xf numFmtId="0" fontId="109" fillId="0" borderId="166" xfId="0" applyFont="1" applyBorder="1" applyAlignment="1">
      <alignment horizontal="center" vertical="center"/>
    </xf>
    <xf numFmtId="0" fontId="109" fillId="0" borderId="144" xfId="0" applyFont="1" applyBorder="1">
      <alignment vertical="center"/>
    </xf>
    <xf numFmtId="0" fontId="109" fillId="0" borderId="146" xfId="0" applyFont="1" applyBorder="1">
      <alignment vertical="center"/>
    </xf>
    <xf numFmtId="215" fontId="121" fillId="0" borderId="33" xfId="0" applyNumberFormat="1" applyFont="1" applyBorder="1" applyAlignment="1">
      <alignment horizontal="center" vertical="center"/>
    </xf>
    <xf numFmtId="0" fontId="122" fillId="0" borderId="32" xfId="0" applyFont="1" applyBorder="1" applyAlignment="1">
      <alignment horizontal="center" vertical="center"/>
    </xf>
    <xf numFmtId="0" fontId="118" fillId="4" borderId="0" xfId="0" applyFont="1" applyFill="1" applyAlignment="1">
      <alignment horizontal="left" vertical="center"/>
    </xf>
    <xf numFmtId="0" fontId="48" fillId="2" borderId="161" xfId="0" applyFont="1" applyFill="1" applyBorder="1" applyProtection="1">
      <alignment vertical="center"/>
      <protection locked="0"/>
    </xf>
    <xf numFmtId="0" fontId="48" fillId="2" borderId="162" xfId="0" applyFont="1" applyFill="1" applyBorder="1" applyProtection="1">
      <alignment vertical="center"/>
      <protection locked="0"/>
    </xf>
    <xf numFmtId="0" fontId="101" fillId="2" borderId="161" xfId="0" applyFont="1" applyFill="1" applyBorder="1" applyProtection="1">
      <alignment vertical="center"/>
      <protection locked="0"/>
    </xf>
    <xf numFmtId="0" fontId="74" fillId="0" borderId="9" xfId="0" applyFont="1" applyBorder="1" applyAlignment="1">
      <alignment horizontal="center" vertical="center"/>
    </xf>
    <xf numFmtId="49" fontId="62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188" fontId="9" fillId="0" borderId="1" xfId="0" applyNumberFormat="1" applyFont="1" applyBorder="1" applyAlignment="1">
      <alignment horizontal="right" vertical="center"/>
    </xf>
    <xf numFmtId="176" fontId="4" fillId="0" borderId="1" xfId="0" applyNumberFormat="1" applyFont="1" applyBorder="1" applyAlignment="1">
      <alignment horizontal="left" vertical="center"/>
    </xf>
    <xf numFmtId="203" fontId="85" fillId="0" borderId="1" xfId="0" applyNumberFormat="1" applyFont="1" applyBorder="1" applyAlignment="1">
      <alignment horizontal="left" vertical="center"/>
    </xf>
    <xf numFmtId="219" fontId="6" fillId="0" borderId="0" xfId="0" applyNumberFormat="1" applyFont="1">
      <alignment vertical="center"/>
    </xf>
    <xf numFmtId="194" fontId="4" fillId="0" borderId="1" xfId="0" applyNumberFormat="1" applyFont="1" applyBorder="1" applyAlignment="1">
      <alignment horizontal="center" vertical="center"/>
    </xf>
    <xf numFmtId="184" fontId="6" fillId="0" borderId="1" xfId="0" applyNumberFormat="1" applyFont="1" applyBorder="1" applyAlignment="1">
      <alignment horizontal="right" vertical="center"/>
    </xf>
    <xf numFmtId="176" fontId="5" fillId="0" borderId="1" xfId="0" applyNumberFormat="1" applyFont="1" applyBorder="1" applyAlignment="1">
      <alignment horizontal="left" vertical="center"/>
    </xf>
    <xf numFmtId="176" fontId="123" fillId="0" borderId="1" xfId="0" applyNumberFormat="1" applyFont="1" applyBorder="1" applyAlignment="1">
      <alignment horizontal="left" vertical="center"/>
    </xf>
    <xf numFmtId="0" fontId="6" fillId="6" borderId="1" xfId="0" applyFont="1" applyFill="1" applyBorder="1" applyAlignment="1">
      <alignment horizontal="right" vertical="center"/>
    </xf>
    <xf numFmtId="191" fontId="6" fillId="0" borderId="1" xfId="0" applyNumberFormat="1" applyFont="1" applyBorder="1" applyAlignment="1">
      <alignment horizontal="right" vertical="center"/>
    </xf>
    <xf numFmtId="187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>
      <alignment vertical="center"/>
    </xf>
    <xf numFmtId="49" fontId="14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center"/>
    </xf>
    <xf numFmtId="188" fontId="62" fillId="0" borderId="1" xfId="0" applyNumberFormat="1" applyFont="1" applyBorder="1">
      <alignment vertical="center"/>
    </xf>
    <xf numFmtId="190" fontId="12" fillId="0" borderId="1" xfId="0" applyNumberFormat="1" applyFont="1" applyBorder="1" applyAlignment="1">
      <alignment horizontal="center" vertical="center"/>
    </xf>
    <xf numFmtId="220" fontId="4" fillId="0" borderId="1" xfId="0" applyNumberFormat="1" applyFont="1" applyBorder="1" applyAlignment="1">
      <alignment horizontal="right" vertical="center"/>
    </xf>
    <xf numFmtId="194" fontId="17" fillId="0" borderId="0" xfId="0" applyNumberFormat="1" applyFont="1">
      <alignment vertical="center"/>
    </xf>
    <xf numFmtId="176" fontId="17" fillId="0" borderId="0" xfId="0" applyNumberFormat="1" applyFont="1">
      <alignment vertical="center"/>
    </xf>
    <xf numFmtId="177" fontId="17" fillId="0" borderId="0" xfId="0" applyNumberFormat="1" applyFont="1">
      <alignment vertical="center"/>
    </xf>
    <xf numFmtId="190" fontId="17" fillId="0" borderId="0" xfId="0" applyNumberFormat="1" applyFont="1">
      <alignment vertical="center"/>
    </xf>
    <xf numFmtId="191" fontId="17" fillId="0" borderId="0" xfId="0" applyNumberFormat="1" applyFont="1">
      <alignment vertical="center"/>
    </xf>
    <xf numFmtId="191" fontId="4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188" fontId="4" fillId="0" borderId="1" xfId="0" applyNumberFormat="1" applyFont="1" applyBorder="1" applyAlignment="1">
      <alignment horizontal="center" vertical="center"/>
    </xf>
    <xf numFmtId="0" fontId="77" fillId="0" borderId="0" xfId="0" applyFont="1" applyAlignment="1">
      <alignment horizontal="left" vertical="center"/>
    </xf>
    <xf numFmtId="0" fontId="127" fillId="0" borderId="1" xfId="0" applyFont="1" applyBorder="1" applyAlignment="1">
      <alignment horizontal="center"/>
    </xf>
    <xf numFmtId="0" fontId="128" fillId="0" borderId="0" xfId="0" applyFont="1" applyAlignment="1">
      <alignment horizontal="left" vertical="center"/>
    </xf>
    <xf numFmtId="0" fontId="129" fillId="0" borderId="0" xfId="0" applyFont="1" applyAlignment="1">
      <alignment horizontal="left" vertical="center"/>
    </xf>
    <xf numFmtId="176" fontId="61" fillId="0" borderId="1" xfId="0" applyNumberFormat="1" applyFont="1" applyBorder="1" applyAlignment="1">
      <alignment horizontal="center" vertical="center"/>
    </xf>
    <xf numFmtId="196" fontId="4" fillId="0" borderId="1" xfId="0" applyNumberFormat="1" applyFont="1" applyBorder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6" fontId="6" fillId="0" borderId="1" xfId="5" applyFont="1" applyBorder="1" applyAlignment="1">
      <alignment vertical="center"/>
    </xf>
    <xf numFmtId="176" fontId="6" fillId="14" borderId="1" xfId="0" applyNumberFormat="1" applyFont="1" applyFill="1" applyBorder="1" applyAlignment="1">
      <alignment horizontal="center" vertical="center"/>
    </xf>
    <xf numFmtId="176" fontId="6" fillId="15" borderId="1" xfId="0" applyNumberFormat="1" applyFont="1" applyFill="1" applyBorder="1" applyAlignment="1">
      <alignment horizontal="center" vertical="center"/>
    </xf>
    <xf numFmtId="176" fontId="6" fillId="16" borderId="1" xfId="0" applyNumberFormat="1" applyFont="1" applyFill="1" applyBorder="1" applyAlignment="1">
      <alignment horizontal="center" vertical="center"/>
    </xf>
    <xf numFmtId="191" fontId="9" fillId="0" borderId="1" xfId="0" applyNumberFormat="1" applyFont="1" applyBorder="1">
      <alignment vertical="center"/>
    </xf>
    <xf numFmtId="221" fontId="6" fillId="0" borderId="1" xfId="5" applyNumberFormat="1" applyFont="1" applyBorder="1" applyAlignment="1">
      <alignment vertical="center"/>
    </xf>
    <xf numFmtId="176" fontId="63" fillId="0" borderId="1" xfId="0" applyNumberFormat="1" applyFont="1" applyBorder="1" applyAlignment="1">
      <alignment horizontal="center" vertical="center"/>
    </xf>
    <xf numFmtId="5" fontId="12" fillId="0" borderId="1" xfId="0" applyNumberFormat="1" applyFont="1" applyBorder="1">
      <alignment vertical="center"/>
    </xf>
    <xf numFmtId="5" fontId="6" fillId="0" borderId="1" xfId="0" applyNumberFormat="1" applyFont="1" applyBorder="1">
      <alignment vertical="center"/>
    </xf>
    <xf numFmtId="5" fontId="16" fillId="0" borderId="1" xfId="0" applyNumberFormat="1" applyFont="1" applyBorder="1">
      <alignment vertical="center"/>
    </xf>
    <xf numFmtId="184" fontId="4" fillId="0" borderId="1" xfId="0" applyNumberFormat="1" applyFont="1" applyBorder="1">
      <alignment vertical="center"/>
    </xf>
    <xf numFmtId="188" fontId="6" fillId="0" borderId="3" xfId="0" applyNumberFormat="1" applyFont="1" applyBorder="1">
      <alignment vertical="center"/>
    </xf>
    <xf numFmtId="187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66" fillId="0" borderId="1" xfId="0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2" fontId="6" fillId="0" borderId="1" xfId="0" applyNumberFormat="1" applyFont="1" applyBorder="1" applyAlignment="1">
      <alignment horizontal="center" vertical="center"/>
    </xf>
    <xf numFmtId="222" fontId="6" fillId="0" borderId="1" xfId="19" applyNumberFormat="1" applyFont="1" applyBorder="1" applyAlignment="1">
      <alignment horizontal="right" vertical="center"/>
    </xf>
    <xf numFmtId="186" fontId="24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76" fontId="34" fillId="0" borderId="0" xfId="0" applyNumberFormat="1" applyFont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right" vertical="center"/>
    </xf>
    <xf numFmtId="0" fontId="32" fillId="7" borderId="1" xfId="0" applyFont="1" applyFill="1" applyBorder="1" applyAlignment="1">
      <alignment horizontal="center"/>
    </xf>
    <xf numFmtId="208" fontId="32" fillId="7" borderId="1" xfId="0" applyNumberFormat="1" applyFont="1" applyFill="1" applyBorder="1" applyAlignment="1">
      <alignment horizontal="center"/>
    </xf>
    <xf numFmtId="180" fontId="6" fillId="0" borderId="1" xfId="0" applyNumberFormat="1" applyFont="1" applyBorder="1" applyAlignment="1">
      <alignment horizontal="center" vertical="center"/>
    </xf>
    <xf numFmtId="176" fontId="23" fillId="0" borderId="1" xfId="0" applyNumberFormat="1" applyFont="1" applyBorder="1" applyAlignment="1">
      <alignment horizontal="center" vertical="center"/>
    </xf>
    <xf numFmtId="178" fontId="131" fillId="0" borderId="1" xfId="0" applyNumberFormat="1" applyFont="1" applyBorder="1" applyAlignment="1">
      <alignment horizontal="center" vertical="center" wrapText="1"/>
    </xf>
    <xf numFmtId="178" fontId="37" fillId="0" borderId="1" xfId="0" applyNumberFormat="1" applyFont="1" applyBorder="1" applyAlignment="1">
      <alignment horizontal="right" vertical="center" wrapText="1"/>
    </xf>
    <xf numFmtId="178" fontId="6" fillId="0" borderId="1" xfId="0" applyNumberFormat="1" applyFont="1" applyBorder="1" applyAlignment="1">
      <alignment horizontal="right" vertical="center" wrapText="1"/>
    </xf>
    <xf numFmtId="178" fontId="132" fillId="0" borderId="1" xfId="0" applyNumberFormat="1" applyFont="1" applyBorder="1" applyAlignment="1">
      <alignment horizontal="right" vertical="center" wrapText="1"/>
    </xf>
    <xf numFmtId="0" fontId="16" fillId="0" borderId="0" xfId="0" applyFont="1">
      <alignment vertical="center"/>
    </xf>
    <xf numFmtId="49" fontId="6" fillId="0" borderId="1" xfId="0" applyNumberFormat="1" applyFont="1" applyBorder="1" applyAlignment="1">
      <alignment horizontal="right" vertical="center"/>
    </xf>
    <xf numFmtId="0" fontId="133" fillId="0" borderId="1" xfId="0" applyFont="1" applyBorder="1" applyAlignment="1">
      <alignment horizontal="center" vertical="center"/>
    </xf>
    <xf numFmtId="190" fontId="66" fillId="0" borderId="1" xfId="0" applyNumberFormat="1" applyFont="1" applyBorder="1" applyAlignment="1">
      <alignment horizontal="right" vertical="center"/>
    </xf>
    <xf numFmtId="176" fontId="9" fillId="4" borderId="1" xfId="0" applyNumberFormat="1" applyFont="1" applyFill="1" applyBorder="1" applyAlignment="1">
      <alignment horizontal="center" vertical="center"/>
    </xf>
    <xf numFmtId="190" fontId="6" fillId="4" borderId="1" xfId="0" applyNumberFormat="1" applyFont="1" applyFill="1" applyBorder="1">
      <alignment vertical="center"/>
    </xf>
    <xf numFmtId="186" fontId="56" fillId="0" borderId="1" xfId="0" applyNumberFormat="1" applyFont="1" applyBorder="1" applyAlignment="1"/>
    <xf numFmtId="177" fontId="137" fillId="0" borderId="1" xfId="0" applyNumberFormat="1" applyFont="1" applyBorder="1" applyAlignment="1">
      <alignment horizontal="center" vertical="center"/>
    </xf>
    <xf numFmtId="0" fontId="136" fillId="0" borderId="1" xfId="0" applyFont="1" applyBorder="1" applyAlignment="1">
      <alignment horizontal="center" vertical="center"/>
    </xf>
    <xf numFmtId="186" fontId="56" fillId="0" borderId="1" xfId="0" applyNumberFormat="1" applyFont="1" applyBorder="1" applyAlignment="1">
      <alignment horizontal="right"/>
    </xf>
    <xf numFmtId="0" fontId="138" fillId="0" borderId="1" xfId="0" applyFont="1" applyBorder="1" applyAlignment="1">
      <alignment horizontal="center" vertical="center"/>
    </xf>
    <xf numFmtId="190" fontId="56" fillId="0" borderId="1" xfId="0" applyNumberFormat="1" applyFont="1" applyBorder="1">
      <alignment vertical="center"/>
    </xf>
    <xf numFmtId="188" fontId="75" fillId="0" borderId="1" xfId="0" applyNumberFormat="1" applyFont="1" applyBorder="1" applyAlignment="1">
      <alignment horizontal="left" vertical="center"/>
    </xf>
    <xf numFmtId="177" fontId="6" fillId="0" borderId="1" xfId="0" applyNumberFormat="1" applyFont="1" applyBorder="1" applyAlignment="1">
      <alignment horizontal="left" vertical="center"/>
    </xf>
    <xf numFmtId="0" fontId="139" fillId="0" borderId="0" xfId="0" applyFont="1" applyAlignment="1">
      <alignment horizontal="justify" vertical="center"/>
    </xf>
    <xf numFmtId="0" fontId="37" fillId="17" borderId="27" xfId="0" applyFont="1" applyFill="1" applyBorder="1" applyAlignment="1">
      <alignment horizontal="center" vertical="center"/>
    </xf>
    <xf numFmtId="0" fontId="140" fillId="17" borderId="28" xfId="0" applyFont="1" applyFill="1" applyBorder="1" applyAlignment="1">
      <alignment horizontal="center" vertical="center"/>
    </xf>
    <xf numFmtId="0" fontId="140" fillId="17" borderId="28" xfId="0" applyFont="1" applyFill="1" applyBorder="1" applyAlignment="1">
      <alignment horizontal="center" vertical="center" wrapText="1"/>
    </xf>
    <xf numFmtId="0" fontId="141" fillId="0" borderId="10" xfId="0" applyFont="1" applyBorder="1" applyAlignment="1">
      <alignment horizontal="center" vertical="center" wrapText="1"/>
    </xf>
    <xf numFmtId="0" fontId="5" fillId="18" borderId="9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141" fillId="18" borderId="10" xfId="0" applyFont="1" applyFill="1" applyBorder="1" applyAlignment="1">
      <alignment horizontal="center" vertical="center" wrapText="1"/>
    </xf>
    <xf numFmtId="0" fontId="142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76" fillId="0" borderId="10" xfId="0" applyFont="1" applyBorder="1" applyAlignment="1">
      <alignment horizontal="center" vertical="center" wrapText="1"/>
    </xf>
    <xf numFmtId="0" fontId="76" fillId="18" borderId="10" xfId="0" applyFont="1" applyFill="1" applyBorder="1" applyAlignment="1">
      <alignment horizontal="center" vertical="center" wrapText="1"/>
    </xf>
    <xf numFmtId="190" fontId="18" fillId="0" borderId="1" xfId="0" applyNumberFormat="1" applyFont="1" applyBorder="1" applyAlignment="1">
      <alignment horizontal="center" vertical="center"/>
    </xf>
    <xf numFmtId="176" fontId="123" fillId="0" borderId="0" xfId="0" applyNumberFormat="1" applyFont="1" applyAlignment="1">
      <alignment horizontal="left" vertical="center"/>
    </xf>
    <xf numFmtId="176" fontId="31" fillId="0" borderId="1" xfId="0" applyNumberFormat="1" applyFont="1" applyBorder="1" applyAlignment="1">
      <alignment horizontal="center" vertical="center"/>
    </xf>
    <xf numFmtId="0" fontId="41" fillId="0" borderId="1" xfId="0" applyFont="1" applyBorder="1" applyAlignment="1">
      <alignment horizontal="center"/>
    </xf>
    <xf numFmtId="188" fontId="41" fillId="0" borderId="1" xfId="0" applyNumberFormat="1" applyFont="1" applyBorder="1" applyAlignment="1">
      <alignment horizontal="right" vertical="center"/>
    </xf>
    <xf numFmtId="188" fontId="31" fillId="0" borderId="1" xfId="0" applyNumberFormat="1" applyFont="1" applyBorder="1" applyAlignment="1">
      <alignment horizontal="right" vertical="center"/>
    </xf>
    <xf numFmtId="219" fontId="14" fillId="0" borderId="1" xfId="0" applyNumberFormat="1" applyFont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223" fontId="6" fillId="0" borderId="1" xfId="0" applyNumberFormat="1" applyFont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88" fillId="20" borderId="8" xfId="0" applyFont="1" applyFill="1" applyBorder="1" applyAlignment="1">
      <alignment horizontal="center" vertical="center" wrapText="1"/>
    </xf>
    <xf numFmtId="0" fontId="88" fillId="0" borderId="14" xfId="0" applyFont="1" applyBorder="1" applyAlignment="1">
      <alignment horizontal="center" vertical="center" wrapText="1"/>
    </xf>
    <xf numFmtId="0" fontId="88" fillId="19" borderId="10" xfId="0" applyFont="1" applyFill="1" applyBorder="1" applyAlignment="1">
      <alignment horizontal="center" vertical="center"/>
    </xf>
    <xf numFmtId="0" fontId="144" fillId="20" borderId="10" xfId="0" applyFont="1" applyFill="1" applyBorder="1" applyAlignment="1">
      <alignment horizontal="center" vertical="center" wrapText="1"/>
    </xf>
    <xf numFmtId="0" fontId="88" fillId="0" borderId="10" xfId="0" applyFont="1" applyBorder="1" applyAlignment="1">
      <alignment horizontal="center" vertical="center" wrapText="1"/>
    </xf>
    <xf numFmtId="0" fontId="145" fillId="0" borderId="9" xfId="0" applyFont="1" applyBorder="1">
      <alignment vertical="center"/>
    </xf>
    <xf numFmtId="202" fontId="88" fillId="0" borderId="10" xfId="0" applyNumberFormat="1" applyFont="1" applyBorder="1" applyAlignment="1">
      <alignment horizontal="right" vertical="center"/>
    </xf>
    <xf numFmtId="0" fontId="88" fillId="0" borderId="10" xfId="0" applyFont="1" applyBorder="1" applyAlignment="1">
      <alignment horizontal="right" vertical="center"/>
    </xf>
    <xf numFmtId="0" fontId="88" fillId="0" borderId="10" xfId="0" applyFont="1" applyBorder="1">
      <alignment vertical="center"/>
    </xf>
    <xf numFmtId="0" fontId="146" fillId="0" borderId="0" xfId="0" applyFont="1">
      <alignment vertical="center"/>
    </xf>
    <xf numFmtId="202" fontId="6" fillId="0" borderId="1" xfId="0" applyNumberFormat="1" applyFont="1" applyBorder="1" applyAlignment="1">
      <alignment horizontal="right" vertical="center"/>
    </xf>
    <xf numFmtId="202" fontId="16" fillId="0" borderId="1" xfId="0" applyNumberFormat="1" applyFont="1" applyBorder="1" applyAlignment="1">
      <alignment horizontal="right" vertical="center"/>
    </xf>
    <xf numFmtId="176" fontId="75" fillId="0" borderId="1" xfId="0" applyNumberFormat="1" applyFont="1" applyBorder="1" applyAlignment="1">
      <alignment horizontal="center" vertical="center"/>
    </xf>
    <xf numFmtId="189" fontId="18" fillId="0" borderId="1" xfId="0" applyNumberFormat="1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183" fontId="62" fillId="0" borderId="1" xfId="0" applyNumberFormat="1" applyFont="1" applyBorder="1" applyAlignment="1">
      <alignment horizontal="right" vertical="center"/>
    </xf>
    <xf numFmtId="0" fontId="62" fillId="0" borderId="1" xfId="0" applyFont="1" applyBorder="1" applyAlignment="1">
      <alignment horizontal="right" vertical="center"/>
    </xf>
    <xf numFmtId="188" fontId="66" fillId="0" borderId="1" xfId="0" applyNumberFormat="1" applyFont="1" applyBorder="1" applyAlignment="1">
      <alignment horizontal="right" vertical="center"/>
    </xf>
    <xf numFmtId="176" fontId="24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3" fontId="6" fillId="6" borderId="1" xfId="0" applyNumberFormat="1" applyFont="1" applyFill="1" applyBorder="1" applyAlignment="1">
      <alignment horizontal="right" vertical="center"/>
    </xf>
    <xf numFmtId="0" fontId="147" fillId="0" borderId="0" xfId="0" applyFont="1" applyAlignment="1">
      <alignment horizontal="justify" vertical="center"/>
    </xf>
    <xf numFmtId="0" fontId="67" fillId="19" borderId="7" xfId="0" applyFont="1" applyFill="1" applyBorder="1" applyAlignment="1">
      <alignment horizontal="center" vertical="center"/>
    </xf>
    <xf numFmtId="0" fontId="67" fillId="19" borderId="8" xfId="0" applyFont="1" applyFill="1" applyBorder="1" applyAlignment="1">
      <alignment horizontal="center" vertical="center"/>
    </xf>
    <xf numFmtId="0" fontId="68" fillId="19" borderId="8" xfId="0" applyFont="1" applyFill="1" applyBorder="1" applyAlignment="1">
      <alignment horizontal="center" vertical="center"/>
    </xf>
    <xf numFmtId="0" fontId="68" fillId="19" borderId="8" xfId="0" applyFont="1" applyFill="1" applyBorder="1" applyAlignment="1">
      <alignment horizontal="center" vertical="center" wrapText="1"/>
    </xf>
    <xf numFmtId="0" fontId="67" fillId="19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202" fontId="69" fillId="0" borderId="10" xfId="0" applyNumberFormat="1" applyFont="1" applyBorder="1" applyAlignment="1">
      <alignment horizontal="right" vertical="center"/>
    </xf>
    <xf numFmtId="0" fontId="65" fillId="19" borderId="7" xfId="0" applyFont="1" applyFill="1" applyBorder="1" applyAlignment="1">
      <alignment horizontal="center" vertical="center"/>
    </xf>
    <xf numFmtId="192" fontId="32" fillId="7" borderId="1" xfId="0" applyNumberFormat="1" applyFont="1" applyFill="1" applyBorder="1" applyAlignment="1">
      <alignment horizontal="center" vertical="center"/>
    </xf>
    <xf numFmtId="192" fontId="32" fillId="7" borderId="1" xfId="0" applyNumberFormat="1" applyFont="1" applyFill="1" applyBorder="1">
      <alignment vertical="center"/>
    </xf>
    <xf numFmtId="182" fontId="6" fillId="4" borderId="1" xfId="0" applyNumberFormat="1" applyFont="1" applyFill="1" applyBorder="1" applyAlignment="1">
      <alignment horizontal="right" vertical="center"/>
    </xf>
    <xf numFmtId="0" fontId="58" fillId="4" borderId="1" xfId="0" applyFont="1" applyFill="1" applyBorder="1" applyAlignment="1">
      <alignment horizontal="center" vertical="center"/>
    </xf>
    <xf numFmtId="6" fontId="83" fillId="0" borderId="1" xfId="31" applyFont="1" applyFill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5" fillId="0" borderId="1" xfId="23" applyFont="1" applyBorder="1" applyAlignment="1">
      <alignment horizontal="center" vertical="center"/>
    </xf>
    <xf numFmtId="197" fontId="20" fillId="0" borderId="1" xfId="0" applyNumberFormat="1" applyFont="1" applyBorder="1" applyAlignment="1">
      <alignment horizontal="center" vertical="center" shrinkToFit="1"/>
    </xf>
    <xf numFmtId="198" fontId="20" fillId="0" borderId="1" xfId="0" applyNumberFormat="1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197" fontId="20" fillId="0" borderId="1" xfId="0" applyNumberFormat="1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/>
    </xf>
    <xf numFmtId="0" fontId="151" fillId="0" borderId="0" xfId="0" applyFont="1">
      <alignment vertical="center"/>
    </xf>
    <xf numFmtId="0" fontId="151" fillId="0" borderId="0" xfId="0" applyFont="1" applyAlignment="1">
      <alignment horizontal="center" vertical="center"/>
    </xf>
    <xf numFmtId="177" fontId="14" fillId="0" borderId="0" xfId="0" quotePrefix="1" applyNumberFormat="1" applyFont="1" applyAlignment="1">
      <alignment horizontal="right" vertical="center"/>
    </xf>
    <xf numFmtId="179" fontId="14" fillId="0" borderId="0" xfId="0" applyNumberFormat="1" applyFont="1" applyAlignment="1">
      <alignment horizontal="right" vertical="center"/>
    </xf>
    <xf numFmtId="177" fontId="14" fillId="0" borderId="0" xfId="0" applyNumberFormat="1" applyFont="1" applyAlignment="1">
      <alignment horizontal="right" vertical="center"/>
    </xf>
    <xf numFmtId="188" fontId="14" fillId="0" borderId="1" xfId="0" applyNumberFormat="1" applyFont="1" applyBorder="1">
      <alignment vertical="center"/>
    </xf>
    <xf numFmtId="49" fontId="14" fillId="0" borderId="0" xfId="0" applyNumberFormat="1" applyFont="1" applyAlignment="1">
      <alignment horizontal="left" vertical="center"/>
    </xf>
    <xf numFmtId="205" fontId="14" fillId="0" borderId="0" xfId="0" applyNumberFormat="1" applyFont="1">
      <alignment vertical="center"/>
    </xf>
    <xf numFmtId="184" fontId="14" fillId="0" borderId="0" xfId="0" applyNumberFormat="1" applyFont="1">
      <alignment vertical="center"/>
    </xf>
    <xf numFmtId="0" fontId="14" fillId="0" borderId="26" xfId="0" applyFont="1" applyBorder="1">
      <alignment vertical="center"/>
    </xf>
    <xf numFmtId="188" fontId="14" fillId="0" borderId="0" xfId="0" applyNumberFormat="1" applyFont="1">
      <alignment vertical="center"/>
    </xf>
    <xf numFmtId="0" fontId="35" fillId="4" borderId="0" xfId="0" applyFont="1" applyFill="1" applyAlignment="1">
      <alignment horizontal="center" vertical="center"/>
    </xf>
    <xf numFmtId="176" fontId="35" fillId="4" borderId="0" xfId="0" applyNumberFormat="1" applyFont="1" applyFill="1" applyAlignment="1">
      <alignment horizontal="center" vertical="center"/>
    </xf>
    <xf numFmtId="177" fontId="35" fillId="4" borderId="0" xfId="0" applyNumberFormat="1" applyFont="1" applyFill="1" applyAlignment="1">
      <alignment horizontal="right" vertical="center"/>
    </xf>
    <xf numFmtId="183" fontId="35" fillId="4" borderId="0" xfId="0" applyNumberFormat="1" applyFont="1" applyFill="1" applyAlignment="1">
      <alignment horizontal="right" vertical="center"/>
    </xf>
    <xf numFmtId="180" fontId="35" fillId="4" borderId="0" xfId="0" applyNumberFormat="1" applyFont="1" applyFill="1" applyAlignment="1">
      <alignment horizontal="center" vertical="center"/>
    </xf>
    <xf numFmtId="49" fontId="35" fillId="4" borderId="0" xfId="0" applyNumberFormat="1" applyFont="1" applyFill="1" applyAlignment="1">
      <alignment horizontal="center" vertical="center"/>
    </xf>
    <xf numFmtId="178" fontId="35" fillId="4" borderId="0" xfId="0" applyNumberFormat="1" applyFont="1" applyFill="1" applyAlignment="1">
      <alignment horizontal="center" vertical="center"/>
    </xf>
    <xf numFmtId="0" fontId="35" fillId="4" borderId="0" xfId="0" applyFont="1" applyFill="1" applyAlignment="1">
      <alignment horizontal="center"/>
    </xf>
    <xf numFmtId="205" fontId="35" fillId="4" borderId="0" xfId="0" applyNumberFormat="1" applyFont="1" applyFill="1" applyAlignment="1">
      <alignment horizontal="center"/>
    </xf>
    <xf numFmtId="0" fontId="35" fillId="4" borderId="0" xfId="0" applyFont="1" applyFill="1">
      <alignment vertical="center"/>
    </xf>
    <xf numFmtId="0" fontId="35" fillId="4" borderId="26" xfId="0" applyFont="1" applyFill="1" applyBorder="1">
      <alignment vertical="center"/>
    </xf>
    <xf numFmtId="0" fontId="14" fillId="4" borderId="0" xfId="0" applyFont="1" applyFill="1">
      <alignment vertical="center"/>
    </xf>
    <xf numFmtId="49" fontId="152" fillId="0" borderId="1" xfId="0" quotePrefix="1" applyNumberFormat="1" applyFont="1" applyBorder="1" applyAlignment="1">
      <alignment horizontal="left"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left" vertical="center"/>
    </xf>
    <xf numFmtId="176" fontId="14" fillId="0" borderId="1" xfId="0" applyNumberFormat="1" applyFont="1" applyBorder="1" applyAlignment="1">
      <alignment horizontal="center" vertical="center"/>
    </xf>
    <xf numFmtId="190" fontId="14" fillId="0" borderId="1" xfId="0" applyNumberFormat="1" applyFont="1" applyBorder="1">
      <alignment vertical="center"/>
    </xf>
    <xf numFmtId="205" fontId="14" fillId="0" borderId="1" xfId="0" applyNumberFormat="1" applyFont="1" applyBorder="1" applyAlignment="1">
      <alignment horizontal="right" vertical="center"/>
    </xf>
    <xf numFmtId="184" fontId="14" fillId="0" borderId="1" xfId="0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0" fontId="14" fillId="0" borderId="1" xfId="23" applyFont="1" applyBorder="1" applyAlignment="1">
      <alignment horizontal="center" vertical="center"/>
    </xf>
    <xf numFmtId="191" fontId="14" fillId="0" borderId="1" xfId="0" applyNumberFormat="1" applyFont="1" applyBorder="1">
      <alignment vertical="center"/>
    </xf>
    <xf numFmtId="177" fontId="14" fillId="0" borderId="1" xfId="0" applyNumberFormat="1" applyFont="1" applyBorder="1" applyAlignment="1">
      <alignment horizontal="right" vertical="center"/>
    </xf>
    <xf numFmtId="188" fontId="35" fillId="0" borderId="1" xfId="0" applyNumberFormat="1" applyFont="1" applyBorder="1" applyAlignment="1">
      <alignment horizontal="center" vertical="center"/>
    </xf>
    <xf numFmtId="205" fontId="14" fillId="0" borderId="13" xfId="0" applyNumberFormat="1" applyFont="1" applyBorder="1" applyAlignment="1">
      <alignment horizontal="right" vertical="center"/>
    </xf>
    <xf numFmtId="205" fontId="14" fillId="0" borderId="1" xfId="0" applyNumberFormat="1" applyFont="1" applyBorder="1">
      <alignment vertical="center"/>
    </xf>
    <xf numFmtId="0" fontId="152" fillId="0" borderId="1" xfId="0" applyFont="1" applyBorder="1" applyAlignment="1">
      <alignment horizontal="center" vertical="center"/>
    </xf>
    <xf numFmtId="179" fontId="14" fillId="0" borderId="1" xfId="0" applyNumberFormat="1" applyFont="1" applyBorder="1" applyAlignment="1">
      <alignment horizontal="right" vertical="center"/>
    </xf>
    <xf numFmtId="183" fontId="14" fillId="0" borderId="1" xfId="0" applyNumberFormat="1" applyFont="1" applyBorder="1" applyAlignment="1">
      <alignment horizontal="right" vertical="center"/>
    </xf>
    <xf numFmtId="188" fontId="14" fillId="0" borderId="1" xfId="0" applyNumberFormat="1" applyFont="1" applyBorder="1" applyAlignment="1">
      <alignment horizontal="center" vertical="center"/>
    </xf>
    <xf numFmtId="49" fontId="152" fillId="6" borderId="1" xfId="0" quotePrefix="1" applyNumberFormat="1" applyFont="1" applyFill="1" applyBorder="1" applyAlignment="1">
      <alignment horizontal="left" vertical="center"/>
    </xf>
    <xf numFmtId="0" fontId="14" fillId="6" borderId="1" xfId="0" applyFont="1" applyFill="1" applyBorder="1">
      <alignment vertical="center"/>
    </xf>
    <xf numFmtId="0" fontId="153" fillId="6" borderId="1" xfId="0" applyFont="1" applyFill="1" applyBorder="1" applyAlignment="1">
      <alignment horizontal="center" vertical="center"/>
    </xf>
    <xf numFmtId="176" fontId="14" fillId="6" borderId="1" xfId="0" applyNumberFormat="1" applyFont="1" applyFill="1" applyBorder="1" applyAlignment="1">
      <alignment horizontal="center" vertical="center"/>
    </xf>
    <xf numFmtId="183" fontId="14" fillId="6" borderId="1" xfId="0" applyNumberFormat="1" applyFont="1" applyFill="1" applyBorder="1" applyAlignment="1">
      <alignment horizontal="right" vertical="center"/>
    </xf>
    <xf numFmtId="191" fontId="14" fillId="6" borderId="1" xfId="0" applyNumberFormat="1" applyFont="1" applyFill="1" applyBorder="1">
      <alignment vertical="center"/>
    </xf>
    <xf numFmtId="190" fontId="14" fillId="6" borderId="1" xfId="0" applyNumberFormat="1" applyFont="1" applyFill="1" applyBorder="1">
      <alignment vertical="center"/>
    </xf>
    <xf numFmtId="188" fontId="14" fillId="6" borderId="1" xfId="0" applyNumberFormat="1" applyFont="1" applyFill="1" applyBorder="1">
      <alignment vertical="center"/>
    </xf>
    <xf numFmtId="49" fontId="14" fillId="6" borderId="1" xfId="0" applyNumberFormat="1" applyFont="1" applyFill="1" applyBorder="1" applyAlignment="1">
      <alignment horizontal="left" vertical="center"/>
    </xf>
    <xf numFmtId="205" fontId="85" fillId="6" borderId="1" xfId="0" applyNumberFormat="1" applyFont="1" applyFill="1" applyBorder="1">
      <alignment vertical="center"/>
    </xf>
    <xf numFmtId="0" fontId="14" fillId="6" borderId="0" xfId="0" applyFont="1" applyFill="1" applyAlignment="1">
      <alignment horizontal="right" vertical="center"/>
    </xf>
    <xf numFmtId="188" fontId="85" fillId="6" borderId="1" xfId="0" applyNumberFormat="1" applyFont="1" applyFill="1" applyBorder="1">
      <alignment vertical="center"/>
    </xf>
    <xf numFmtId="0" fontId="151" fillId="7" borderId="17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178" fontId="14" fillId="0" borderId="0" xfId="0" applyNumberFormat="1" applyFont="1" applyAlignment="1">
      <alignment horizontal="center" vertical="center" wrapText="1"/>
    </xf>
    <xf numFmtId="189" fontId="35" fillId="0" borderId="0" xfId="0" applyNumberFormat="1" applyFont="1" applyAlignment="1">
      <alignment horizontal="center" vertical="center"/>
    </xf>
    <xf numFmtId="0" fontId="35" fillId="9" borderId="20" xfId="0" applyFont="1" applyFill="1" applyBorder="1" applyAlignment="1">
      <alignment horizontal="center" vertical="center"/>
    </xf>
    <xf numFmtId="0" fontId="35" fillId="9" borderId="21" xfId="0" applyFont="1" applyFill="1" applyBorder="1">
      <alignment vertical="center"/>
    </xf>
    <xf numFmtId="40" fontId="35" fillId="9" borderId="21" xfId="2" applyNumberFormat="1" applyFont="1" applyFill="1" applyBorder="1" applyAlignment="1">
      <alignment horizontal="center" vertical="center"/>
    </xf>
    <xf numFmtId="178" fontId="154" fillId="0" borderId="0" xfId="0" applyNumberFormat="1" applyFont="1" applyAlignment="1">
      <alignment horizontal="center" vertical="center" wrapText="1"/>
    </xf>
    <xf numFmtId="0" fontId="35" fillId="9" borderId="23" xfId="0" applyFont="1" applyFill="1" applyBorder="1" applyAlignment="1">
      <alignment horizontal="center" vertical="center"/>
    </xf>
    <xf numFmtId="0" fontId="35" fillId="9" borderId="1" xfId="0" applyFont="1" applyFill="1" applyBorder="1">
      <alignment vertical="center"/>
    </xf>
    <xf numFmtId="40" fontId="35" fillId="9" borderId="1" xfId="2" applyNumberFormat="1" applyFont="1" applyFill="1" applyBorder="1" applyAlignment="1">
      <alignment horizontal="center" vertical="center"/>
    </xf>
    <xf numFmtId="0" fontId="35" fillId="9" borderId="25" xfId="0" applyFont="1" applyFill="1" applyBorder="1" applyAlignment="1">
      <alignment horizontal="center" vertical="center"/>
    </xf>
    <xf numFmtId="0" fontId="35" fillId="9" borderId="29" xfId="0" applyFont="1" applyFill="1" applyBorder="1">
      <alignment vertical="center"/>
    </xf>
    <xf numFmtId="0" fontId="35" fillId="4" borderId="0" xfId="0" applyFont="1" applyFill="1" applyAlignment="1">
      <alignment horizontal="left" vertical="center"/>
    </xf>
    <xf numFmtId="178" fontId="154" fillId="0" borderId="1" xfId="0" applyNumberFormat="1" applyFont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189" fontId="35" fillId="0" borderId="1" xfId="0" applyNumberFormat="1" applyFont="1" applyBorder="1" applyAlignment="1">
      <alignment horizontal="center" vertical="center"/>
    </xf>
    <xf numFmtId="219" fontId="155" fillId="0" borderId="0" xfId="0" applyNumberFormat="1" applyFont="1" applyAlignment="1">
      <alignment horizontal="left" vertical="center"/>
    </xf>
    <xf numFmtId="0" fontId="14" fillId="6" borderId="0" xfId="0" applyFont="1" applyFill="1">
      <alignment vertical="center"/>
    </xf>
    <xf numFmtId="0" fontId="14" fillId="6" borderId="0" xfId="0" applyFont="1" applyFill="1" applyAlignment="1">
      <alignment horizontal="center" vertical="center"/>
    </xf>
    <xf numFmtId="178" fontId="154" fillId="6" borderId="1" xfId="0" applyNumberFormat="1" applyFont="1" applyFill="1" applyBorder="1" applyAlignment="1">
      <alignment horizontal="center" vertical="center" wrapText="1"/>
    </xf>
    <xf numFmtId="178" fontId="14" fillId="6" borderId="1" xfId="0" applyNumberFormat="1" applyFont="1" applyFill="1" applyBorder="1" applyAlignment="1">
      <alignment horizontal="center" vertical="center" wrapText="1"/>
    </xf>
    <xf numFmtId="189" fontId="35" fillId="6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81" fontId="14" fillId="0" borderId="0" xfId="0" applyNumberFormat="1" applyFont="1" applyAlignment="1">
      <alignment horizontal="left" vertical="center"/>
    </xf>
    <xf numFmtId="178" fontId="14" fillId="0" borderId="0" xfId="0" applyNumberFormat="1" applyFont="1">
      <alignment vertical="center"/>
    </xf>
    <xf numFmtId="49" fontId="14" fillId="0" borderId="1" xfId="0" quotePrefix="1" applyNumberFormat="1" applyFont="1" applyBorder="1" applyAlignment="1">
      <alignment horizontal="left" vertical="center"/>
    </xf>
    <xf numFmtId="0" fontId="156" fillId="0" borderId="0" xfId="0" applyFont="1">
      <alignment vertical="center"/>
    </xf>
    <xf numFmtId="49" fontId="14" fillId="6" borderId="1" xfId="0" quotePrefix="1" applyNumberFormat="1" applyFont="1" applyFill="1" applyBorder="1" applyAlignment="1">
      <alignment horizontal="left" vertical="center"/>
    </xf>
    <xf numFmtId="188" fontId="14" fillId="6" borderId="1" xfId="0" applyNumberFormat="1" applyFont="1" applyFill="1" applyBorder="1" applyAlignment="1">
      <alignment horizontal="right" vertical="center"/>
    </xf>
    <xf numFmtId="9" fontId="14" fillId="0" borderId="1" xfId="19" applyFont="1" applyBorder="1" applyAlignment="1">
      <alignment horizontal="right" vertical="center"/>
    </xf>
    <xf numFmtId="0" fontId="6" fillId="0" borderId="26" xfId="0" applyFont="1" applyBorder="1">
      <alignment vertical="center"/>
    </xf>
    <xf numFmtId="184" fontId="157" fillId="0" borderId="170" xfId="0" applyNumberFormat="1" applyFont="1" applyBorder="1" applyAlignment="1">
      <alignment horizontal="right" vertical="center"/>
    </xf>
    <xf numFmtId="0" fontId="48" fillId="0" borderId="44" xfId="0" applyFont="1" applyBorder="1" applyAlignment="1" applyProtection="1">
      <alignment horizontal="left" vertical="center"/>
      <protection locked="0"/>
    </xf>
    <xf numFmtId="0" fontId="6" fillId="21" borderId="13" xfId="0" applyFont="1" applyFill="1" applyBorder="1" applyAlignment="1">
      <alignment horizontal="right" vertical="center"/>
    </xf>
    <xf numFmtId="0" fontId="6" fillId="21" borderId="170" xfId="0" applyFont="1" applyFill="1" applyBorder="1" applyAlignment="1">
      <alignment horizontal="right" vertical="center"/>
    </xf>
    <xf numFmtId="184" fontId="14" fillId="0" borderId="170" xfId="0" applyNumberFormat="1" applyFont="1" applyBorder="1">
      <alignment vertical="center"/>
    </xf>
    <xf numFmtId="184" fontId="25" fillId="0" borderId="170" xfId="0" applyNumberFormat="1" applyFont="1" applyBorder="1" applyAlignment="1">
      <alignment horizontal="right" vertical="center"/>
    </xf>
    <xf numFmtId="178" fontId="152" fillId="0" borderId="1" xfId="0" applyNumberFormat="1" applyFont="1" applyBorder="1" applyAlignment="1">
      <alignment horizontal="center" vertical="center"/>
    </xf>
    <xf numFmtId="224" fontId="151" fillId="0" borderId="0" xfId="19" applyNumberFormat="1" applyFont="1">
      <alignment vertical="center"/>
    </xf>
    <xf numFmtId="3" fontId="139" fillId="0" borderId="0" xfId="0" applyNumberFormat="1" applyFont="1">
      <alignment vertical="center"/>
    </xf>
    <xf numFmtId="225" fontId="14" fillId="7" borderId="19" xfId="0" applyNumberFormat="1" applyFont="1" applyFill="1" applyBorder="1" applyAlignment="1">
      <alignment horizontal="center" vertical="center"/>
    </xf>
    <xf numFmtId="225" fontId="35" fillId="9" borderId="22" xfId="2" applyNumberFormat="1" applyFont="1" applyFill="1" applyBorder="1" applyAlignment="1">
      <alignment horizontal="center" vertical="center"/>
    </xf>
    <xf numFmtId="225" fontId="35" fillId="9" borderId="24" xfId="2" applyNumberFormat="1" applyFont="1" applyFill="1" applyBorder="1" applyAlignment="1">
      <alignment horizontal="center" vertical="center"/>
    </xf>
    <xf numFmtId="225" fontId="35" fillId="4" borderId="0" xfId="0" applyNumberFormat="1" applyFont="1" applyFill="1" applyAlignment="1">
      <alignment horizontal="center" vertical="center"/>
    </xf>
    <xf numFmtId="225" fontId="14" fillId="0" borderId="1" xfId="0" applyNumberFormat="1" applyFont="1" applyBorder="1" applyAlignment="1">
      <alignment horizontal="center" vertical="center"/>
    </xf>
    <xf numFmtId="225" fontId="14" fillId="0" borderId="1" xfId="0" applyNumberFormat="1" applyFont="1" applyBorder="1" applyAlignment="1"/>
    <xf numFmtId="225" fontId="152" fillId="6" borderId="1" xfId="0" applyNumberFormat="1" applyFont="1" applyFill="1" applyBorder="1" applyAlignment="1">
      <alignment horizontal="center" vertical="center"/>
    </xf>
    <xf numFmtId="225" fontId="6" fillId="0" borderId="1" xfId="0" applyNumberFormat="1" applyFont="1" applyBorder="1" applyAlignment="1">
      <alignment horizontal="center" vertical="center"/>
    </xf>
    <xf numFmtId="225" fontId="6" fillId="0" borderId="1" xfId="0" applyNumberFormat="1" applyFont="1" applyBorder="1" applyAlignment="1">
      <alignment horizontal="center"/>
    </xf>
    <xf numFmtId="225" fontId="14" fillId="0" borderId="0" xfId="0" applyNumberFormat="1" applyFont="1">
      <alignment vertical="center"/>
    </xf>
    <xf numFmtId="0" fontId="101" fillId="0" borderId="0" xfId="0" applyFont="1">
      <alignment vertical="center"/>
    </xf>
    <xf numFmtId="205" fontId="155" fillId="0" borderId="1" xfId="0" applyNumberFormat="1" applyFont="1" applyBorder="1">
      <alignment vertical="center"/>
    </xf>
    <xf numFmtId="188" fontId="14" fillId="0" borderId="13" xfId="0" applyNumberFormat="1" applyFont="1" applyBorder="1">
      <alignment vertical="center"/>
    </xf>
    <xf numFmtId="202" fontId="69" fillId="0" borderId="1" xfId="0" applyNumberFormat="1" applyFont="1" applyBorder="1" applyAlignment="1">
      <alignment horizontal="right" vertical="center"/>
    </xf>
    <xf numFmtId="0" fontId="69" fillId="22" borderId="1" xfId="0" applyFont="1" applyFill="1" applyBorder="1" applyAlignment="1">
      <alignment horizontal="right" vertical="center"/>
    </xf>
    <xf numFmtId="190" fontId="6" fillId="0" borderId="13" xfId="0" applyNumberFormat="1" applyFont="1" applyBorder="1">
      <alignment vertical="center"/>
    </xf>
    <xf numFmtId="0" fontId="69" fillId="0" borderId="1" xfId="0" applyFont="1" applyBorder="1" applyAlignment="1">
      <alignment horizontal="center" vertical="center"/>
    </xf>
    <xf numFmtId="188" fontId="9" fillId="0" borderId="12" xfId="0" applyNumberFormat="1" applyFont="1" applyBorder="1" applyAlignment="1">
      <alignment horizontal="right" vertical="center"/>
    </xf>
    <xf numFmtId="184" fontId="6" fillId="0" borderId="170" xfId="0" applyNumberFormat="1" applyFont="1" applyBorder="1">
      <alignment vertical="center"/>
    </xf>
    <xf numFmtId="0" fontId="6" fillId="0" borderId="26" xfId="0" applyFont="1" applyBorder="1" applyAlignment="1">
      <alignment horizontal="center" vertical="center"/>
    </xf>
    <xf numFmtId="225" fontId="5" fillId="0" borderId="1" xfId="0" applyNumberFormat="1" applyFont="1" applyBorder="1" applyAlignment="1">
      <alignment horizontal="center" vertical="center"/>
    </xf>
    <xf numFmtId="188" fontId="5" fillId="0" borderId="1" xfId="0" applyNumberFormat="1" applyFont="1" applyBorder="1">
      <alignment vertical="center"/>
    </xf>
    <xf numFmtId="3" fontId="6" fillId="21" borderId="13" xfId="0" applyNumberFormat="1" applyFont="1" applyFill="1" applyBorder="1" applyAlignment="1">
      <alignment horizontal="right" vertical="center"/>
    </xf>
    <xf numFmtId="3" fontId="158" fillId="0" borderId="0" xfId="0" applyNumberFormat="1" applyFont="1">
      <alignment vertical="center"/>
    </xf>
    <xf numFmtId="225" fontId="109" fillId="0" borderId="136" xfId="0" applyNumberFormat="1" applyFont="1" applyBorder="1" applyAlignment="1">
      <alignment horizontal="center" vertical="center"/>
    </xf>
    <xf numFmtId="177" fontId="109" fillId="0" borderId="136" xfId="0" applyNumberFormat="1" applyFont="1" applyBorder="1" applyAlignment="1">
      <alignment horizontal="center" vertical="center"/>
    </xf>
    <xf numFmtId="225" fontId="109" fillId="0" borderId="131" xfId="0" applyNumberFormat="1" applyFont="1" applyBorder="1" applyAlignment="1">
      <alignment horizontal="center" vertical="center"/>
    </xf>
    <xf numFmtId="0" fontId="109" fillId="0" borderId="151" xfId="0" quotePrefix="1" applyFont="1" applyBorder="1">
      <alignment vertical="center"/>
    </xf>
    <xf numFmtId="0" fontId="151" fillId="5" borderId="0" xfId="0" applyFont="1" applyFill="1">
      <alignment vertical="center"/>
    </xf>
    <xf numFmtId="0" fontId="151" fillId="5" borderId="0" xfId="0" applyFont="1" applyFill="1" applyAlignment="1">
      <alignment horizontal="center" vertical="center"/>
    </xf>
    <xf numFmtId="49" fontId="14" fillId="5" borderId="1" xfId="0" quotePrefix="1" applyNumberFormat="1" applyFont="1" applyFill="1" applyBorder="1" applyAlignment="1">
      <alignment horizontal="left" vertical="center"/>
    </xf>
    <xf numFmtId="0" fontId="14" fillId="5" borderId="1" xfId="0" applyFont="1" applyFill="1" applyBorder="1">
      <alignment vertical="center"/>
    </xf>
    <xf numFmtId="0" fontId="6" fillId="5" borderId="1" xfId="0" applyFont="1" applyFill="1" applyBorder="1" applyAlignment="1">
      <alignment horizontal="left" vertical="center"/>
    </xf>
    <xf numFmtId="225" fontId="6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90" fontId="6" fillId="5" borderId="1" xfId="0" applyNumberFormat="1" applyFont="1" applyFill="1" applyBorder="1">
      <alignment vertical="center"/>
    </xf>
    <xf numFmtId="191" fontId="6" fillId="5" borderId="1" xfId="0" applyNumberFormat="1" applyFont="1" applyFill="1" applyBorder="1">
      <alignment vertical="center"/>
    </xf>
    <xf numFmtId="177" fontId="6" fillId="5" borderId="1" xfId="0" applyNumberFormat="1" applyFont="1" applyFill="1" applyBorder="1" applyAlignment="1">
      <alignment horizontal="right" vertical="center"/>
    </xf>
    <xf numFmtId="0" fontId="14" fillId="5" borderId="1" xfId="0" applyFont="1" applyFill="1" applyBorder="1" applyAlignment="1">
      <alignment horizontal="center"/>
    </xf>
    <xf numFmtId="188" fontId="14" fillId="5" borderId="1" xfId="0" applyNumberFormat="1" applyFont="1" applyFill="1" applyBorder="1">
      <alignment vertical="center"/>
    </xf>
    <xf numFmtId="188" fontId="35" fillId="5" borderId="1" xfId="0" applyNumberFormat="1" applyFont="1" applyFill="1" applyBorder="1" applyAlignment="1">
      <alignment horizontal="center" vertical="center"/>
    </xf>
    <xf numFmtId="178" fontId="14" fillId="5" borderId="1" xfId="0" applyNumberFormat="1" applyFont="1" applyFill="1" applyBorder="1" applyAlignment="1">
      <alignment horizontal="center" vertical="center" wrapText="1"/>
    </xf>
    <xf numFmtId="205" fontId="14" fillId="5" borderId="13" xfId="0" applyNumberFormat="1" applyFont="1" applyFill="1" applyBorder="1" applyAlignment="1">
      <alignment horizontal="right" vertical="center"/>
    </xf>
    <xf numFmtId="205" fontId="14" fillId="5" borderId="1" xfId="0" applyNumberFormat="1" applyFont="1" applyFill="1" applyBorder="1">
      <alignment vertical="center"/>
    </xf>
    <xf numFmtId="184" fontId="25" fillId="5" borderId="170" xfId="0" applyNumberFormat="1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14" fillId="5" borderId="26" xfId="0" applyFont="1" applyFill="1" applyBorder="1" applyAlignment="1">
      <alignment horizontal="center" vertical="center"/>
    </xf>
    <xf numFmtId="188" fontId="6" fillId="5" borderId="1" xfId="0" applyNumberFormat="1" applyFont="1" applyFill="1" applyBorder="1">
      <alignment vertical="center"/>
    </xf>
    <xf numFmtId="0" fontId="6" fillId="5" borderId="13" xfId="0" applyFont="1" applyFill="1" applyBorder="1" applyAlignment="1">
      <alignment horizontal="right" vertical="center"/>
    </xf>
    <xf numFmtId="0" fontId="6" fillId="5" borderId="170" xfId="0" applyFont="1" applyFill="1" applyBorder="1" applyAlignment="1">
      <alignment horizontal="right" vertical="center"/>
    </xf>
    <xf numFmtId="224" fontId="151" fillId="5" borderId="0" xfId="19" applyNumberFormat="1" applyFont="1" applyFill="1">
      <alignment vertical="center"/>
    </xf>
    <xf numFmtId="225" fontId="48" fillId="0" borderId="130" xfId="0" applyNumberFormat="1" applyFont="1" applyBorder="1" applyAlignment="1" applyProtection="1">
      <alignment horizontal="center" vertical="center"/>
      <protection locked="0"/>
    </xf>
    <xf numFmtId="190" fontId="48" fillId="0" borderId="130" xfId="0" applyNumberFormat="1" applyFont="1" applyBorder="1" applyAlignment="1" applyProtection="1">
      <alignment horizontal="center" vertical="center"/>
      <protection locked="0"/>
    </xf>
    <xf numFmtId="225" fontId="48" fillId="0" borderId="131" xfId="0" applyNumberFormat="1" applyFont="1" applyBorder="1" applyAlignment="1" applyProtection="1">
      <alignment horizontal="center" vertical="center"/>
      <protection locked="0"/>
    </xf>
    <xf numFmtId="189" fontId="35" fillId="5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right" vertical="center"/>
    </xf>
    <xf numFmtId="0" fontId="6" fillId="0" borderId="170" xfId="0" applyFont="1" applyBorder="1" applyAlignment="1">
      <alignment horizontal="right" vertical="center"/>
    </xf>
    <xf numFmtId="224" fontId="151" fillId="0" borderId="0" xfId="19" applyNumberFormat="1" applyFont="1" applyFill="1">
      <alignment vertical="center"/>
    </xf>
    <xf numFmtId="205" fontId="14" fillId="4" borderId="13" xfId="0" applyNumberFormat="1" applyFont="1" applyFill="1" applyBorder="1" applyAlignment="1">
      <alignment horizontal="right" vertical="center"/>
    </xf>
    <xf numFmtId="0" fontId="159" fillId="0" borderId="0" xfId="0" applyFont="1" applyAlignment="1">
      <alignment horizontal="right" vertical="center"/>
    </xf>
    <xf numFmtId="225" fontId="109" fillId="0" borderId="159" xfId="0" applyNumberFormat="1" applyFont="1" applyBorder="1" applyAlignment="1">
      <alignment horizontal="center" vertical="center"/>
    </xf>
    <xf numFmtId="190" fontId="109" fillId="0" borderId="159" xfId="0" applyNumberFormat="1" applyFont="1" applyBorder="1" applyAlignment="1">
      <alignment horizontal="center" vertical="center"/>
    </xf>
    <xf numFmtId="191" fontId="109" fillId="0" borderId="159" xfId="0" applyNumberFormat="1" applyFont="1" applyBorder="1" applyAlignment="1">
      <alignment horizontal="center" vertical="center"/>
    </xf>
    <xf numFmtId="0" fontId="6" fillId="7" borderId="13" xfId="0" applyFont="1" applyFill="1" applyBorder="1" applyAlignment="1">
      <alignment horizontal="right" vertical="center"/>
    </xf>
    <xf numFmtId="0" fontId="69" fillId="7" borderId="1" xfId="0" applyFont="1" applyFill="1" applyBorder="1" applyAlignment="1">
      <alignment horizontal="right" vertical="center"/>
    </xf>
    <xf numFmtId="184" fontId="25" fillId="7" borderId="170" xfId="0" applyNumberFormat="1" applyFont="1" applyFill="1" applyBorder="1" applyAlignment="1">
      <alignment horizontal="right" vertical="center"/>
    </xf>
    <xf numFmtId="49" fontId="48" fillId="0" borderId="118" xfId="0" applyNumberFormat="1" applyFont="1" applyBorder="1" applyAlignment="1" applyProtection="1">
      <alignment horizontal="left" vertical="center" shrinkToFit="1"/>
      <protection locked="0"/>
    </xf>
    <xf numFmtId="49" fontId="95" fillId="0" borderId="0" xfId="0" applyNumberFormat="1" applyFont="1" applyProtection="1">
      <alignment vertical="center"/>
      <protection locked="0"/>
    </xf>
    <xf numFmtId="225" fontId="48" fillId="0" borderId="132" xfId="0" applyNumberFormat="1" applyFont="1" applyBorder="1" applyAlignment="1" applyProtection="1">
      <alignment horizontal="center" vertical="center"/>
      <protection locked="0"/>
    </xf>
    <xf numFmtId="190" fontId="48" fillId="0" borderId="132" xfId="0" applyNumberFormat="1" applyFont="1" applyBorder="1" applyAlignment="1" applyProtection="1">
      <alignment horizontal="center" vertical="center"/>
      <protection locked="0"/>
    </xf>
    <xf numFmtId="191" fontId="48" fillId="0" borderId="132" xfId="0" applyNumberFormat="1" applyFont="1" applyBorder="1" applyAlignment="1" applyProtection="1">
      <alignment horizontal="center" vertical="center"/>
      <protection locked="0"/>
    </xf>
    <xf numFmtId="177" fontId="48" fillId="0" borderId="132" xfId="0" applyNumberFormat="1" applyFont="1" applyBorder="1" applyAlignment="1" applyProtection="1">
      <alignment horizontal="center" vertical="center"/>
      <protection locked="0"/>
    </xf>
    <xf numFmtId="188" fontId="48" fillId="0" borderId="132" xfId="0" applyNumberFormat="1" applyFont="1" applyBorder="1" applyAlignment="1" applyProtection="1">
      <alignment horizontal="center" vertical="center"/>
      <protection locked="0"/>
    </xf>
    <xf numFmtId="190" fontId="48" fillId="0" borderId="0" xfId="0" applyNumberFormat="1" applyFont="1" applyProtection="1">
      <alignment vertical="center"/>
      <protection locked="0"/>
    </xf>
    <xf numFmtId="191" fontId="48" fillId="0" borderId="0" xfId="0" applyNumberFormat="1" applyFont="1" applyAlignment="1" applyProtection="1">
      <alignment horizontal="right" vertical="center"/>
      <protection locked="0"/>
    </xf>
    <xf numFmtId="188" fontId="48" fillId="0" borderId="139" xfId="0" applyNumberFormat="1" applyFont="1" applyBorder="1" applyAlignment="1" applyProtection="1">
      <alignment horizontal="center" vertical="center"/>
      <protection locked="0"/>
    </xf>
    <xf numFmtId="225" fontId="50" fillId="0" borderId="0" xfId="0" applyNumberFormat="1" applyFont="1" applyProtection="1">
      <alignment vertical="center"/>
      <protection locked="0"/>
    </xf>
    <xf numFmtId="225" fontId="48" fillId="0" borderId="0" xfId="0" applyNumberFormat="1" applyFont="1" applyAlignment="1" applyProtection="1">
      <alignment horizontal="right" vertical="center" wrapText="1"/>
      <protection locked="0"/>
    </xf>
    <xf numFmtId="177" fontId="48" fillId="0" borderId="0" xfId="0" applyNumberFormat="1" applyFont="1" applyProtection="1">
      <alignment vertical="center"/>
      <protection locked="0"/>
    </xf>
    <xf numFmtId="179" fontId="48" fillId="0" borderId="0" xfId="0" applyNumberFormat="1" applyFont="1" applyAlignment="1" applyProtection="1">
      <alignment horizontal="right" vertical="center"/>
      <protection locked="0"/>
    </xf>
    <xf numFmtId="183" fontId="48" fillId="0" borderId="118" xfId="0" applyNumberFormat="1" applyFont="1" applyBorder="1" applyAlignment="1" applyProtection="1">
      <alignment horizontal="right" vertical="center"/>
      <protection locked="0"/>
    </xf>
    <xf numFmtId="188" fontId="48" fillId="0" borderId="116" xfId="0" applyNumberFormat="1" applyFont="1" applyBorder="1" applyProtection="1">
      <alignment vertical="center"/>
      <protection locked="0"/>
    </xf>
    <xf numFmtId="178" fontId="152" fillId="6" borderId="1" xfId="0" applyNumberFormat="1" applyFont="1" applyFill="1" applyBorder="1" applyAlignment="1">
      <alignment horizontal="center" vertical="center" wrapText="1"/>
    </xf>
    <xf numFmtId="49" fontId="152" fillId="6" borderId="1" xfId="0" applyNumberFormat="1" applyFont="1" applyFill="1" applyBorder="1" applyAlignment="1">
      <alignment horizontal="left" vertical="center"/>
    </xf>
    <xf numFmtId="49" fontId="161" fillId="6" borderId="1" xfId="0" quotePrefix="1" applyNumberFormat="1" applyFont="1" applyFill="1" applyBorder="1" applyAlignment="1">
      <alignment horizontal="left" vertical="center"/>
    </xf>
    <xf numFmtId="0" fontId="161" fillId="6" borderId="1" xfId="0" applyFont="1" applyFill="1" applyBorder="1">
      <alignment vertical="center"/>
    </xf>
    <xf numFmtId="0" fontId="161" fillId="6" borderId="1" xfId="0" applyFont="1" applyFill="1" applyBorder="1" applyAlignment="1">
      <alignment horizontal="center" vertical="center"/>
    </xf>
    <xf numFmtId="225" fontId="161" fillId="6" borderId="1" xfId="0" applyNumberFormat="1" applyFont="1" applyFill="1" applyBorder="1" applyAlignment="1">
      <alignment horizontal="center" vertical="center"/>
    </xf>
    <xf numFmtId="176" fontId="161" fillId="6" borderId="1" xfId="0" applyNumberFormat="1" applyFont="1" applyFill="1" applyBorder="1" applyAlignment="1">
      <alignment horizontal="center" vertical="center"/>
    </xf>
    <xf numFmtId="183" fontId="161" fillId="6" borderId="1" xfId="0" applyNumberFormat="1" applyFont="1" applyFill="1" applyBorder="1" applyAlignment="1">
      <alignment horizontal="right" vertical="center"/>
    </xf>
    <xf numFmtId="191" fontId="161" fillId="6" borderId="1" xfId="0" applyNumberFormat="1" applyFont="1" applyFill="1" applyBorder="1">
      <alignment vertical="center"/>
    </xf>
    <xf numFmtId="190" fontId="161" fillId="6" borderId="1" xfId="0" applyNumberFormat="1" applyFont="1" applyFill="1" applyBorder="1">
      <alignment vertical="center"/>
    </xf>
    <xf numFmtId="188" fontId="161" fillId="6" borderId="1" xfId="0" applyNumberFormat="1" applyFont="1" applyFill="1" applyBorder="1" applyAlignment="1">
      <alignment horizontal="right" vertical="center"/>
    </xf>
    <xf numFmtId="178" fontId="161" fillId="6" borderId="1" xfId="0" applyNumberFormat="1" applyFont="1" applyFill="1" applyBorder="1" applyAlignment="1">
      <alignment horizontal="center" vertical="center" wrapText="1"/>
    </xf>
    <xf numFmtId="189" fontId="162" fillId="6" borderId="1" xfId="0" applyNumberFormat="1" applyFont="1" applyFill="1" applyBorder="1" applyAlignment="1">
      <alignment horizontal="center" vertical="center"/>
    </xf>
    <xf numFmtId="178" fontId="151" fillId="0" borderId="1" xfId="0" applyNumberFormat="1" applyFont="1" applyBorder="1" applyAlignment="1">
      <alignment horizontal="center" vertical="center" wrapText="1"/>
    </xf>
    <xf numFmtId="0" fontId="167" fillId="6" borderId="0" xfId="0" applyFont="1" applyFill="1">
      <alignment vertical="center"/>
    </xf>
    <xf numFmtId="0" fontId="159" fillId="0" borderId="0" xfId="0" applyFont="1">
      <alignment vertical="center"/>
    </xf>
    <xf numFmtId="191" fontId="48" fillId="0" borderId="130" xfId="0" applyNumberFormat="1" applyFont="1" applyBorder="1" applyAlignment="1" applyProtection="1">
      <alignment horizontal="center" vertical="center"/>
      <protection locked="0"/>
    </xf>
    <xf numFmtId="177" fontId="48" fillId="0" borderId="130" xfId="0" applyNumberFormat="1" applyFont="1" applyBorder="1" applyAlignment="1" applyProtection="1">
      <alignment horizontal="center" vertical="center"/>
      <protection locked="0"/>
    </xf>
    <xf numFmtId="188" fontId="48" fillId="0" borderId="130" xfId="0" applyNumberFormat="1" applyFont="1" applyBorder="1" applyAlignment="1" applyProtection="1">
      <alignment horizontal="center" vertical="center"/>
      <protection locked="0"/>
    </xf>
    <xf numFmtId="178" fontId="168" fillId="0" borderId="1" xfId="0" applyNumberFormat="1" applyFont="1" applyBorder="1" applyAlignment="1">
      <alignment horizontal="center" vertical="center" wrapText="1"/>
    </xf>
    <xf numFmtId="178" fontId="85" fillId="0" borderId="1" xfId="0" applyNumberFormat="1" applyFont="1" applyBorder="1" applyAlignment="1">
      <alignment horizontal="center" vertical="center" wrapText="1"/>
    </xf>
    <xf numFmtId="0" fontId="167" fillId="0" borderId="0" xfId="0" applyFont="1">
      <alignment vertical="center"/>
    </xf>
    <xf numFmtId="3" fontId="158" fillId="0" borderId="0" xfId="0" applyNumberFormat="1" applyFont="1" applyAlignment="1">
      <alignment horizontal="right" vertical="center"/>
    </xf>
    <xf numFmtId="0" fontId="14" fillId="11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49" fontId="14" fillId="11" borderId="1" xfId="0" applyNumberFormat="1" applyFont="1" applyFill="1" applyBorder="1" applyAlignment="1">
      <alignment horizontal="left" vertical="center"/>
    </xf>
    <xf numFmtId="188" fontId="14" fillId="11" borderId="1" xfId="0" applyNumberFormat="1" applyFont="1" applyFill="1" applyBorder="1" applyAlignment="1">
      <alignment horizontal="right" vertical="center"/>
    </xf>
    <xf numFmtId="3" fontId="158" fillId="11" borderId="0" xfId="0" applyNumberFormat="1" applyFont="1" applyFill="1">
      <alignment vertical="center"/>
    </xf>
    <xf numFmtId="49" fontId="161" fillId="2" borderId="1" xfId="0" quotePrefix="1" applyNumberFormat="1" applyFont="1" applyFill="1" applyBorder="1" applyAlignment="1">
      <alignment horizontal="left" vertical="center"/>
    </xf>
    <xf numFmtId="0" fontId="161" fillId="2" borderId="1" xfId="0" applyFont="1" applyFill="1" applyBorder="1">
      <alignment vertical="center"/>
    </xf>
    <xf numFmtId="0" fontId="161" fillId="2" borderId="1" xfId="0" applyFont="1" applyFill="1" applyBorder="1" applyAlignment="1">
      <alignment horizontal="center" vertical="center"/>
    </xf>
    <xf numFmtId="225" fontId="161" fillId="2" borderId="1" xfId="0" applyNumberFormat="1" applyFont="1" applyFill="1" applyBorder="1" applyAlignment="1">
      <alignment horizontal="center" vertical="center"/>
    </xf>
    <xf numFmtId="176" fontId="161" fillId="2" borderId="1" xfId="0" applyNumberFormat="1" applyFont="1" applyFill="1" applyBorder="1" applyAlignment="1">
      <alignment horizontal="center" vertical="center"/>
    </xf>
    <xf numFmtId="183" fontId="161" fillId="2" borderId="1" xfId="0" applyNumberFormat="1" applyFont="1" applyFill="1" applyBorder="1" applyAlignment="1">
      <alignment horizontal="right" vertical="center"/>
    </xf>
    <xf numFmtId="191" fontId="161" fillId="2" borderId="1" xfId="0" applyNumberFormat="1" applyFont="1" applyFill="1" applyBorder="1">
      <alignment vertical="center"/>
    </xf>
    <xf numFmtId="190" fontId="161" fillId="2" borderId="1" xfId="0" applyNumberFormat="1" applyFont="1" applyFill="1" applyBorder="1">
      <alignment vertical="center"/>
    </xf>
    <xf numFmtId="188" fontId="161" fillId="2" borderId="1" xfId="0" applyNumberFormat="1" applyFont="1" applyFill="1" applyBorder="1" applyAlignment="1">
      <alignment horizontal="right" vertical="center"/>
    </xf>
    <xf numFmtId="178" fontId="161" fillId="2" borderId="1" xfId="0" applyNumberFormat="1" applyFont="1" applyFill="1" applyBorder="1" applyAlignment="1">
      <alignment horizontal="center" vertical="center" wrapText="1"/>
    </xf>
    <xf numFmtId="189" fontId="162" fillId="2" borderId="1" xfId="0" applyNumberFormat="1" applyFont="1" applyFill="1" applyBorder="1" applyAlignment="1">
      <alignment horizontal="center" vertical="center"/>
    </xf>
    <xf numFmtId="49" fontId="14" fillId="6" borderId="13" xfId="0" applyNumberFormat="1" applyFont="1" applyFill="1" applyBorder="1" applyAlignment="1">
      <alignment horizontal="left" vertical="center"/>
    </xf>
    <xf numFmtId="178" fontId="170" fillId="0" borderId="1" xfId="0" applyNumberFormat="1" applyFont="1" applyBorder="1" applyAlignment="1">
      <alignment horizontal="center" vertical="center"/>
    </xf>
    <xf numFmtId="178" fontId="170" fillId="6" borderId="1" xfId="0" applyNumberFormat="1" applyFont="1" applyFill="1" applyBorder="1" applyAlignment="1">
      <alignment horizontal="center" vertical="center"/>
    </xf>
    <xf numFmtId="225" fontId="48" fillId="0" borderId="0" xfId="0" applyNumberFormat="1" applyFont="1" applyProtection="1">
      <alignment vertical="center"/>
      <protection locked="0"/>
    </xf>
    <xf numFmtId="178" fontId="151" fillId="6" borderId="1" xfId="0" applyNumberFormat="1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/>
    </xf>
    <xf numFmtId="225" fontId="14" fillId="6" borderId="1" xfId="0" applyNumberFormat="1" applyFont="1" applyFill="1" applyBorder="1" applyAlignment="1">
      <alignment horizontal="center" vertical="center"/>
    </xf>
    <xf numFmtId="3" fontId="54" fillId="21" borderId="13" xfId="0" applyNumberFormat="1" applyFont="1" applyFill="1" applyBorder="1" applyAlignment="1">
      <alignment horizontal="right" vertical="center"/>
    </xf>
    <xf numFmtId="190" fontId="109" fillId="0" borderId="136" xfId="0" applyNumberFormat="1" applyFont="1" applyBorder="1" applyAlignment="1">
      <alignment horizontal="center" vertical="center"/>
    </xf>
    <xf numFmtId="191" fontId="109" fillId="0" borderId="136" xfId="0" applyNumberFormat="1" applyFont="1" applyBorder="1" applyAlignment="1">
      <alignment horizontal="center" vertical="center"/>
    </xf>
    <xf numFmtId="0" fontId="109" fillId="0" borderId="145" xfId="0" applyFont="1" applyBorder="1" applyAlignment="1">
      <alignment horizontal="left" vertical="center"/>
    </xf>
    <xf numFmtId="0" fontId="54" fillId="0" borderId="1" xfId="0" applyFont="1" applyBorder="1" applyAlignment="1">
      <alignment horizontal="left" vertical="center"/>
    </xf>
    <xf numFmtId="3" fontId="54" fillId="0" borderId="1" xfId="0" applyNumberFormat="1" applyFont="1" applyBorder="1" applyAlignment="1">
      <alignment horizontal="right" vertical="center"/>
    </xf>
    <xf numFmtId="0" fontId="6" fillId="7" borderId="1" xfId="0" applyFont="1" applyFill="1" applyBorder="1" applyAlignment="1">
      <alignment horizontal="right" vertical="center"/>
    </xf>
    <xf numFmtId="205" fontId="14" fillId="0" borderId="12" xfId="0" applyNumberFormat="1" applyFont="1" applyBorder="1">
      <alignment vertical="center"/>
    </xf>
    <xf numFmtId="184" fontId="25" fillId="0" borderId="173" xfId="0" applyNumberFormat="1" applyFont="1" applyBorder="1" applyAlignment="1">
      <alignment horizontal="right" vertical="center"/>
    </xf>
    <xf numFmtId="184" fontId="25" fillId="0" borderId="1" xfId="0" applyNumberFormat="1" applyFont="1" applyBorder="1" applyAlignment="1">
      <alignment horizontal="right" vertical="center"/>
    </xf>
    <xf numFmtId="49" fontId="14" fillId="0" borderId="16" xfId="0" quotePrefix="1" applyNumberFormat="1" applyFont="1" applyBorder="1" applyAlignment="1">
      <alignment horizontal="left" vertical="center"/>
    </xf>
    <xf numFmtId="0" fontId="14" fillId="0" borderId="16" xfId="0" applyFont="1" applyBorder="1">
      <alignment vertical="center"/>
    </xf>
    <xf numFmtId="225" fontId="6" fillId="0" borderId="16" xfId="0" applyNumberFormat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190" fontId="6" fillId="0" borderId="16" xfId="0" applyNumberFormat="1" applyFont="1" applyBorder="1">
      <alignment vertical="center"/>
    </xf>
    <xf numFmtId="191" fontId="6" fillId="0" borderId="16" xfId="0" applyNumberFormat="1" applyFont="1" applyBorder="1">
      <alignment vertical="center"/>
    </xf>
    <xf numFmtId="177" fontId="6" fillId="0" borderId="16" xfId="0" applyNumberFormat="1" applyFont="1" applyBorder="1" applyAlignment="1">
      <alignment horizontal="right" vertical="center"/>
    </xf>
    <xf numFmtId="188" fontId="6" fillId="0" borderId="16" xfId="0" applyNumberFormat="1" applyFont="1" applyBorder="1">
      <alignment vertical="center"/>
    </xf>
    <xf numFmtId="188" fontId="14" fillId="0" borderId="16" xfId="0" applyNumberFormat="1" applyFont="1" applyBorder="1">
      <alignment vertical="center"/>
    </xf>
    <xf numFmtId="188" fontId="35" fillId="0" borderId="16" xfId="0" applyNumberFormat="1" applyFont="1" applyBorder="1" applyAlignment="1">
      <alignment horizontal="center" vertical="center"/>
    </xf>
    <xf numFmtId="0" fontId="6" fillId="7" borderId="82" xfId="0" applyFont="1" applyFill="1" applyBorder="1" applyAlignment="1">
      <alignment horizontal="right" vertical="center"/>
    </xf>
    <xf numFmtId="189" fontId="35" fillId="0" borderId="12" xfId="0" applyNumberFormat="1" applyFont="1" applyBorder="1" applyAlignment="1">
      <alignment horizontal="center" vertical="center"/>
    </xf>
    <xf numFmtId="3" fontId="62" fillId="0" borderId="1" xfId="0" applyNumberFormat="1" applyFont="1" applyBorder="1" applyAlignment="1">
      <alignment horizontal="right" vertical="center"/>
    </xf>
    <xf numFmtId="188" fontId="14" fillId="0" borderId="1" xfId="0" applyNumberFormat="1" applyFont="1" applyBorder="1" applyAlignment="1">
      <alignment horizontal="right" vertical="center"/>
    </xf>
    <xf numFmtId="205" fontId="14" fillId="0" borderId="82" xfId="0" applyNumberFormat="1" applyFont="1" applyBorder="1" applyAlignment="1">
      <alignment horizontal="right" vertical="center"/>
    </xf>
    <xf numFmtId="205" fontId="14" fillId="0" borderId="16" xfId="0" applyNumberFormat="1" applyFont="1" applyBorder="1">
      <alignment vertical="center"/>
    </xf>
    <xf numFmtId="0" fontId="165" fillId="0" borderId="1" xfId="0" applyFont="1" applyBorder="1">
      <alignment vertical="center"/>
    </xf>
    <xf numFmtId="0" fontId="163" fillId="0" borderId="1" xfId="0" applyFont="1" applyBorder="1">
      <alignment vertical="center"/>
    </xf>
    <xf numFmtId="0" fontId="163" fillId="0" borderId="11" xfId="0" applyFont="1" applyBorder="1">
      <alignment vertical="center"/>
    </xf>
    <xf numFmtId="188" fontId="85" fillId="0" borderId="1" xfId="0" applyNumberFormat="1" applyFont="1" applyBorder="1">
      <alignment vertical="center"/>
    </xf>
    <xf numFmtId="0" fontId="160" fillId="0" borderId="170" xfId="0" applyFont="1" applyBorder="1" applyAlignment="1">
      <alignment horizontal="right" vertical="center"/>
    </xf>
    <xf numFmtId="226" fontId="6" fillId="0" borderId="0" xfId="0" applyNumberFormat="1" applyFont="1" applyAlignment="1">
      <alignment horizontal="right" vertical="center"/>
    </xf>
    <xf numFmtId="0" fontId="160" fillId="0" borderId="173" xfId="0" applyFont="1" applyBorder="1" applyAlignment="1">
      <alignment horizontal="right" vertical="center"/>
    </xf>
    <xf numFmtId="188" fontId="85" fillId="0" borderId="0" xfId="0" applyNumberFormat="1" applyFont="1">
      <alignment vertical="center"/>
    </xf>
    <xf numFmtId="0" fontId="6" fillId="0" borderId="16" xfId="0" applyFont="1" applyBorder="1" applyAlignment="1">
      <alignment horizontal="right" vertical="center"/>
    </xf>
    <xf numFmtId="184" fontId="25" fillId="0" borderId="0" xfId="0" applyNumberFormat="1" applyFont="1" applyAlignment="1">
      <alignment horizontal="right" vertical="center"/>
    </xf>
    <xf numFmtId="178" fontId="168" fillId="6" borderId="1" xfId="0" applyNumberFormat="1" applyFont="1" applyFill="1" applyBorder="1" applyAlignment="1">
      <alignment horizontal="center" vertical="center" wrapText="1"/>
    </xf>
    <xf numFmtId="226" fontId="6" fillId="0" borderId="1" xfId="0" applyNumberFormat="1" applyFont="1" applyBorder="1" applyAlignment="1">
      <alignment horizontal="right" vertical="center"/>
    </xf>
    <xf numFmtId="49" fontId="170" fillId="0" borderId="1" xfId="0" quotePrefix="1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79" fontId="5" fillId="0" borderId="1" xfId="0" applyNumberFormat="1" applyFont="1" applyBorder="1" applyAlignment="1">
      <alignment horizontal="right" vertical="center"/>
    </xf>
    <xf numFmtId="0" fontId="170" fillId="0" borderId="1" xfId="0" applyFont="1" applyBorder="1" applyAlignment="1">
      <alignment horizontal="left" vertical="center"/>
    </xf>
    <xf numFmtId="225" fontId="170" fillId="0" borderId="1" xfId="0" applyNumberFormat="1" applyFont="1" applyBorder="1" applyAlignment="1">
      <alignment horizontal="center" vertical="center"/>
    </xf>
    <xf numFmtId="176" fontId="170" fillId="0" borderId="1" xfId="0" applyNumberFormat="1" applyFont="1" applyBorder="1" applyAlignment="1">
      <alignment horizontal="center" vertical="center"/>
    </xf>
    <xf numFmtId="190" fontId="170" fillId="0" borderId="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left" vertical="center"/>
    </xf>
    <xf numFmtId="0" fontId="170" fillId="0" borderId="1" xfId="0" applyFont="1" applyBorder="1" applyAlignment="1">
      <alignment horizontal="center"/>
    </xf>
    <xf numFmtId="188" fontId="170" fillId="0" borderId="1" xfId="0" applyNumberFormat="1" applyFont="1" applyBorder="1">
      <alignment vertical="center"/>
    </xf>
    <xf numFmtId="178" fontId="171" fillId="0" borderId="1" xfId="0" applyNumberFormat="1" applyFont="1" applyBorder="1" applyAlignment="1">
      <alignment horizontal="center" vertical="center" wrapText="1"/>
    </xf>
    <xf numFmtId="178" fontId="172" fillId="0" borderId="1" xfId="0" applyNumberFormat="1" applyFont="1" applyBorder="1" applyAlignment="1">
      <alignment horizontal="center" vertical="center" wrapText="1"/>
    </xf>
    <xf numFmtId="178" fontId="173" fillId="0" borderId="1" xfId="0" applyNumberFormat="1" applyFont="1" applyBorder="1" applyAlignment="1">
      <alignment horizontal="center" vertical="center" wrapText="1"/>
    </xf>
    <xf numFmtId="0" fontId="170" fillId="0" borderId="1" xfId="0" applyFont="1" applyBorder="1" applyAlignment="1">
      <alignment horizontal="center" vertical="center"/>
    </xf>
    <xf numFmtId="225" fontId="170" fillId="0" borderId="1" xfId="0" applyNumberFormat="1" applyFont="1" applyBorder="1" applyAlignment="1"/>
    <xf numFmtId="177" fontId="170" fillId="0" borderId="1" xfId="0" applyNumberFormat="1" applyFont="1" applyBorder="1" applyAlignment="1">
      <alignment horizontal="right" vertical="center"/>
    </xf>
    <xf numFmtId="179" fontId="170" fillId="0" borderId="1" xfId="0" applyNumberFormat="1" applyFont="1" applyBorder="1" applyAlignment="1">
      <alignment horizontal="right" vertical="center"/>
    </xf>
    <xf numFmtId="183" fontId="170" fillId="0" borderId="1" xfId="0" applyNumberFormat="1" applyFont="1" applyBorder="1" applyAlignment="1">
      <alignment horizontal="right" vertical="center"/>
    </xf>
    <xf numFmtId="0" fontId="29" fillId="0" borderId="1" xfId="0" applyFont="1" applyBorder="1">
      <alignment vertical="center"/>
    </xf>
    <xf numFmtId="205" fontId="14" fillId="23" borderId="13" xfId="0" applyNumberFormat="1" applyFont="1" applyFill="1" applyBorder="1" applyAlignment="1">
      <alignment horizontal="right" vertical="center"/>
    </xf>
    <xf numFmtId="205" fontId="14" fillId="23" borderId="1" xfId="0" applyNumberFormat="1" applyFont="1" applyFill="1" applyBorder="1">
      <alignment vertical="center"/>
    </xf>
    <xf numFmtId="0" fontId="6" fillId="23" borderId="13" xfId="0" applyFont="1" applyFill="1" applyBorder="1" applyAlignment="1">
      <alignment horizontal="right" vertical="center"/>
    </xf>
    <xf numFmtId="0" fontId="6" fillId="23" borderId="0" xfId="0" applyFont="1" applyFill="1" applyAlignment="1">
      <alignment horizontal="right" vertical="center"/>
    </xf>
    <xf numFmtId="0" fontId="69" fillId="23" borderId="1" xfId="0" applyFont="1" applyFill="1" applyBorder="1" applyAlignment="1">
      <alignment horizontal="right" vertical="center"/>
    </xf>
    <xf numFmtId="205" fontId="48" fillId="0" borderId="132" xfId="0" applyNumberFormat="1" applyFont="1" applyBorder="1" applyAlignment="1" applyProtection="1">
      <alignment horizontal="center" vertical="center"/>
      <protection locked="0"/>
    </xf>
    <xf numFmtId="189" fontId="35" fillId="6" borderId="12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right" vertical="center"/>
    </xf>
    <xf numFmtId="188" fontId="85" fillId="6" borderId="11" xfId="0" applyNumberFormat="1" applyFont="1" applyFill="1" applyBorder="1">
      <alignment vertical="center"/>
    </xf>
    <xf numFmtId="188" fontId="14" fillId="0" borderId="13" xfId="0" applyNumberFormat="1" applyFont="1" applyBorder="1" applyAlignment="1">
      <alignment horizontal="right" vertical="center"/>
    </xf>
    <xf numFmtId="178" fontId="151" fillId="0" borderId="1" xfId="0" applyNumberFormat="1" applyFont="1" applyBorder="1" applyAlignment="1">
      <alignment horizontal="center" vertical="center"/>
    </xf>
    <xf numFmtId="0" fontId="174" fillId="4" borderId="115" xfId="0" applyFont="1" applyFill="1" applyBorder="1" applyProtection="1">
      <alignment vertical="center"/>
      <protection locked="0"/>
    </xf>
    <xf numFmtId="0" fontId="48" fillId="4" borderId="115" xfId="0" applyFont="1" applyFill="1" applyBorder="1" applyProtection="1">
      <alignment vertical="center"/>
      <protection locked="0"/>
    </xf>
    <xf numFmtId="3" fontId="62" fillId="21" borderId="13" xfId="0" applyNumberFormat="1" applyFont="1" applyFill="1" applyBorder="1" applyAlignment="1">
      <alignment horizontal="right" vertical="center"/>
    </xf>
    <xf numFmtId="0" fontId="109" fillId="0" borderId="161" xfId="0" applyFont="1" applyBorder="1" applyAlignment="1" applyProtection="1">
      <alignment horizontal="center" vertical="center"/>
      <protection locked="0"/>
    </xf>
    <xf numFmtId="0" fontId="109" fillId="0" borderId="162" xfId="0" applyFont="1" applyBorder="1" applyAlignment="1" applyProtection="1">
      <alignment horizontal="center" vertical="center"/>
      <protection locked="0"/>
    </xf>
    <xf numFmtId="0" fontId="109" fillId="12" borderId="35" xfId="0" applyFont="1" applyFill="1" applyBorder="1" applyAlignment="1">
      <alignment horizontal="center" vertical="center" wrapText="1"/>
    </xf>
    <xf numFmtId="0" fontId="109" fillId="12" borderId="36" xfId="0" applyFont="1" applyFill="1" applyBorder="1" applyAlignment="1">
      <alignment horizontal="center" vertical="center"/>
    </xf>
    <xf numFmtId="0" fontId="109" fillId="12" borderId="9" xfId="0" applyFont="1" applyFill="1" applyBorder="1" applyAlignment="1">
      <alignment horizontal="center" vertical="center"/>
    </xf>
    <xf numFmtId="0" fontId="48" fillId="10" borderId="122" xfId="0" applyFont="1" applyFill="1" applyBorder="1" applyAlignment="1" applyProtection="1">
      <alignment horizontal="left" vertical="center"/>
      <protection locked="0"/>
    </xf>
    <xf numFmtId="0" fontId="48" fillId="10" borderId="123" xfId="0" applyFont="1" applyFill="1" applyBorder="1" applyAlignment="1" applyProtection="1">
      <alignment horizontal="left" vertical="center"/>
      <protection locked="0"/>
    </xf>
    <xf numFmtId="0" fontId="45" fillId="0" borderId="0" xfId="0" applyFont="1" applyAlignment="1" applyProtection="1">
      <alignment horizontal="left" vertical="center" wrapText="1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5" fillId="0" borderId="44" xfId="0" applyFont="1" applyBorder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top"/>
      <protection locked="0"/>
    </xf>
    <xf numFmtId="0" fontId="102" fillId="0" borderId="0" xfId="0" applyFont="1" applyAlignment="1" applyProtection="1">
      <alignment horizontal="left" vertical="center"/>
      <protection locked="0"/>
    </xf>
    <xf numFmtId="211" fontId="48" fillId="0" borderId="44" xfId="0" applyNumberFormat="1" applyFont="1" applyBorder="1" applyAlignment="1" applyProtection="1">
      <alignment horizontal="left" vertical="center"/>
      <protection locked="0"/>
    </xf>
    <xf numFmtId="0" fontId="48" fillId="0" borderId="128" xfId="0" applyFont="1" applyBorder="1" applyAlignment="1" applyProtection="1">
      <alignment horizontal="left" vertical="center"/>
      <protection locked="0"/>
    </xf>
    <xf numFmtId="0" fontId="48" fillId="0" borderId="91" xfId="0" applyFont="1" applyBorder="1" applyAlignment="1" applyProtection="1">
      <alignment horizontal="left" vertical="center"/>
      <protection locked="0"/>
    </xf>
    <xf numFmtId="0" fontId="48" fillId="0" borderId="122" xfId="0" applyFont="1" applyBorder="1" applyAlignment="1" applyProtection="1">
      <alignment horizontal="left" vertical="center"/>
      <protection locked="0"/>
    </xf>
    <xf numFmtId="0" fontId="48" fillId="0" borderId="124" xfId="0" applyFont="1" applyBorder="1" applyAlignment="1" applyProtection="1">
      <alignment horizontal="left" vertical="center"/>
      <protection locked="0"/>
    </xf>
    <xf numFmtId="0" fontId="48" fillId="0" borderId="123" xfId="0" applyFont="1" applyBorder="1" applyAlignment="1" applyProtection="1">
      <alignment horizontal="left" vertical="center"/>
      <protection locked="0"/>
    </xf>
    <xf numFmtId="0" fontId="50" fillId="0" borderId="64" xfId="0" applyFont="1" applyBorder="1" applyAlignment="1" applyProtection="1">
      <alignment horizontal="center" vertical="center"/>
      <protection locked="0"/>
    </xf>
    <xf numFmtId="0" fontId="50" fillId="0" borderId="65" xfId="0" applyFont="1" applyBorder="1" applyAlignment="1" applyProtection="1">
      <alignment horizontal="center" vertical="center"/>
      <protection locked="0"/>
    </xf>
    <xf numFmtId="0" fontId="50" fillId="0" borderId="137" xfId="0" applyFont="1" applyBorder="1" applyAlignment="1" applyProtection="1">
      <alignment horizontal="center" vertical="center"/>
      <protection locked="0"/>
    </xf>
    <xf numFmtId="0" fontId="50" fillId="0" borderId="34" xfId="0" applyFont="1" applyBorder="1" applyAlignment="1" applyProtection="1">
      <alignment horizontal="center" vertical="center"/>
      <protection locked="0"/>
    </xf>
    <xf numFmtId="0" fontId="50" fillId="0" borderId="62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211" fontId="48" fillId="0" borderId="118" xfId="0" applyNumberFormat="1" applyFont="1" applyBorder="1" applyAlignment="1" applyProtection="1">
      <alignment horizontal="left" vertical="center"/>
      <protection locked="0"/>
    </xf>
    <xf numFmtId="211" fontId="48" fillId="0" borderId="115" xfId="0" applyNumberFormat="1" applyFont="1" applyBorder="1" applyAlignment="1" applyProtection="1">
      <alignment horizontal="left" vertical="center"/>
      <protection locked="0"/>
    </xf>
    <xf numFmtId="211" fontId="48" fillId="0" borderId="116" xfId="0" applyNumberFormat="1" applyFont="1" applyBorder="1" applyAlignment="1" applyProtection="1">
      <alignment horizontal="left" vertical="center"/>
      <protection locked="0"/>
    </xf>
    <xf numFmtId="0" fontId="48" fillId="10" borderId="118" xfId="0" applyFont="1" applyFill="1" applyBorder="1" applyAlignment="1" applyProtection="1">
      <alignment horizontal="left" vertical="center"/>
      <protection locked="0"/>
    </xf>
    <xf numFmtId="0" fontId="48" fillId="10" borderId="116" xfId="0" applyFont="1" applyFill="1" applyBorder="1" applyAlignment="1" applyProtection="1">
      <alignment horizontal="left" vertical="center"/>
      <protection locked="0"/>
    </xf>
    <xf numFmtId="205" fontId="50" fillId="0" borderId="106" xfId="0" applyNumberFormat="1" applyFont="1" applyBorder="1" applyAlignment="1" applyProtection="1">
      <alignment horizontal="center" vertical="center"/>
      <protection locked="0"/>
    </xf>
    <xf numFmtId="205" fontId="50" fillId="0" borderId="138" xfId="0" applyNumberFormat="1" applyFont="1" applyBorder="1" applyAlignment="1" applyProtection="1">
      <alignment horizontal="center" vertical="center"/>
      <protection locked="0"/>
    </xf>
    <xf numFmtId="205" fontId="48" fillId="0" borderId="16" xfId="0" applyNumberFormat="1" applyFont="1" applyBorder="1" applyAlignment="1" applyProtection="1">
      <alignment horizontal="center" vertical="center"/>
      <protection locked="0"/>
    </xf>
    <xf numFmtId="0" fontId="50" fillId="0" borderId="66" xfId="0" applyFont="1" applyBorder="1" applyAlignment="1" applyProtection="1">
      <alignment horizontal="center" vertical="center"/>
      <protection locked="0"/>
    </xf>
    <xf numFmtId="0" fontId="50" fillId="0" borderId="67" xfId="0" applyFont="1" applyBorder="1" applyAlignment="1" applyProtection="1">
      <alignment horizontal="center" vertical="center"/>
      <protection locked="0"/>
    </xf>
    <xf numFmtId="0" fontId="119" fillId="0" borderId="118" xfId="0" applyFont="1" applyBorder="1" applyAlignment="1" applyProtection="1">
      <alignment horizontal="center" vertical="center"/>
      <protection locked="0"/>
    </xf>
    <xf numFmtId="0" fontId="119" fillId="0" borderId="115" xfId="0" applyFont="1" applyBorder="1" applyAlignment="1" applyProtection="1">
      <alignment horizontal="center" vertical="center"/>
      <protection locked="0"/>
    </xf>
    <xf numFmtId="0" fontId="50" fillId="0" borderId="130" xfId="0" applyFont="1" applyBorder="1" applyAlignment="1" applyProtection="1">
      <alignment horizontal="center" vertical="center"/>
      <protection locked="0"/>
    </xf>
    <xf numFmtId="0" fontId="50" fillId="0" borderId="129" xfId="0" applyFont="1" applyBorder="1" applyAlignment="1" applyProtection="1">
      <alignment horizontal="center" vertical="center"/>
      <protection locked="0"/>
    </xf>
    <xf numFmtId="0" fontId="50" fillId="0" borderId="133" xfId="0" applyFont="1" applyBorder="1" applyAlignment="1" applyProtection="1">
      <alignment horizontal="center" vertical="center"/>
      <protection locked="0"/>
    </xf>
    <xf numFmtId="0" fontId="50" fillId="0" borderId="134" xfId="0" applyFont="1" applyBorder="1" applyAlignment="1" applyProtection="1">
      <alignment horizontal="center" vertical="center"/>
      <protection locked="0"/>
    </xf>
    <xf numFmtId="177" fontId="48" fillId="0" borderId="117" xfId="0" applyNumberFormat="1" applyFont="1" applyBorder="1" applyAlignment="1" applyProtection="1">
      <alignment horizontal="center" vertical="center"/>
      <protection locked="0"/>
    </xf>
    <xf numFmtId="188" fontId="48" fillId="0" borderId="110" xfId="0" applyNumberFormat="1" applyFont="1" applyBorder="1" applyAlignment="1" applyProtection="1">
      <alignment horizontal="center" vertical="center"/>
      <protection locked="0"/>
    </xf>
    <xf numFmtId="177" fontId="48" fillId="0" borderId="171" xfId="0" applyNumberFormat="1" applyFont="1" applyBorder="1" applyAlignment="1" applyProtection="1">
      <alignment horizontal="center" vertical="center"/>
      <protection locked="0"/>
    </xf>
    <xf numFmtId="188" fontId="48" fillId="0" borderId="172" xfId="0" applyNumberFormat="1" applyFont="1" applyBorder="1" applyAlignment="1" applyProtection="1">
      <alignment horizontal="center" vertical="center"/>
      <protection locked="0"/>
    </xf>
    <xf numFmtId="205" fontId="48" fillId="0" borderId="106" xfId="0" applyNumberFormat="1" applyFont="1" applyBorder="1" applyAlignment="1" applyProtection="1">
      <alignment horizontal="center" vertical="center"/>
      <protection locked="0"/>
    </xf>
    <xf numFmtId="205" fontId="48" fillId="0" borderId="138" xfId="0" applyNumberFormat="1" applyFont="1" applyBorder="1" applyAlignment="1" applyProtection="1">
      <alignment horizontal="center" vertical="center"/>
      <protection locked="0"/>
    </xf>
    <xf numFmtId="0" fontId="95" fillId="0" borderId="118" xfId="0" applyFont="1" applyBorder="1" applyAlignment="1" applyProtection="1">
      <alignment horizontal="left" vertical="center"/>
      <protection locked="0"/>
    </xf>
    <xf numFmtId="0" fontId="95" fillId="0" borderId="115" xfId="0" applyFont="1" applyBorder="1" applyAlignment="1" applyProtection="1">
      <alignment horizontal="left" vertical="center"/>
      <protection locked="0"/>
    </xf>
    <xf numFmtId="0" fontId="50" fillId="0" borderId="37" xfId="0" applyFont="1" applyBorder="1" applyAlignment="1" applyProtection="1">
      <alignment horizontal="center" vertical="center"/>
      <protection locked="0"/>
    </xf>
    <xf numFmtId="211" fontId="48" fillId="10" borderId="118" xfId="0" applyNumberFormat="1" applyFont="1" applyFill="1" applyBorder="1" applyAlignment="1" applyProtection="1">
      <alignment horizontal="left" vertical="center"/>
      <protection locked="0"/>
    </xf>
    <xf numFmtId="0" fontId="48" fillId="10" borderId="115" xfId="0" applyFont="1" applyFill="1" applyBorder="1" applyAlignment="1" applyProtection="1">
      <alignment horizontal="left" vertical="center"/>
      <protection locked="0"/>
    </xf>
    <xf numFmtId="0" fontId="48" fillId="10" borderId="128" xfId="0" applyFont="1" applyFill="1" applyBorder="1" applyAlignment="1" applyProtection="1">
      <alignment horizontal="left" vertical="center"/>
      <protection locked="0"/>
    </xf>
    <xf numFmtId="0" fontId="48" fillId="10" borderId="91" xfId="0" applyFont="1" applyFill="1" applyBorder="1" applyAlignment="1" applyProtection="1">
      <alignment horizontal="left"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0" fontId="50" fillId="0" borderId="70" xfId="0" applyFont="1" applyBorder="1" applyAlignment="1" applyProtection="1">
      <alignment horizontal="center" vertical="center"/>
      <protection locked="0"/>
    </xf>
    <xf numFmtId="0" fontId="50" fillId="0" borderId="21" xfId="0" applyFont="1" applyBorder="1" applyAlignment="1" applyProtection="1">
      <alignment horizontal="center" vertical="center"/>
      <protection locked="0"/>
    </xf>
    <xf numFmtId="0" fontId="109" fillId="0" borderId="156" xfId="0" applyFont="1" applyBorder="1" applyAlignment="1">
      <alignment horizontal="left" vertical="center" shrinkToFit="1"/>
    </xf>
    <xf numFmtId="0" fontId="109" fillId="0" borderId="157" xfId="0" applyFont="1" applyBorder="1" applyAlignment="1">
      <alignment horizontal="left" vertical="center" shrinkToFit="1"/>
    </xf>
    <xf numFmtId="0" fontId="109" fillId="0" borderId="158" xfId="0" applyFont="1" applyBorder="1" applyAlignment="1">
      <alignment horizontal="left" vertical="center" shrinkToFit="1"/>
    </xf>
    <xf numFmtId="0" fontId="109" fillId="0" borderId="0" xfId="0" applyFont="1" applyAlignment="1">
      <alignment horizontal="left" vertical="center" shrinkToFit="1"/>
    </xf>
    <xf numFmtId="0" fontId="108" fillId="0" borderId="0" xfId="0" applyFont="1" applyAlignment="1">
      <alignment horizontal="left" vertical="center"/>
    </xf>
    <xf numFmtId="0" fontId="113" fillId="0" borderId="0" xfId="0" applyFont="1" applyAlignment="1">
      <alignment horizontal="center" vertical="center"/>
    </xf>
    <xf numFmtId="0" fontId="109" fillId="0" borderId="150" xfId="0" applyFont="1" applyBorder="1" applyAlignment="1">
      <alignment horizontal="left" vertical="center" shrinkToFit="1"/>
    </xf>
    <xf numFmtId="0" fontId="109" fillId="0" borderId="151" xfId="0" applyFont="1" applyBorder="1" applyAlignment="1">
      <alignment horizontal="left" vertical="center" shrinkToFit="1"/>
    </xf>
    <xf numFmtId="0" fontId="109" fillId="0" borderId="152" xfId="0" applyFont="1" applyBorder="1" applyAlignment="1">
      <alignment horizontal="left" vertical="center" shrinkToFit="1"/>
    </xf>
    <xf numFmtId="0" fontId="109" fillId="0" borderId="119" xfId="0" applyFont="1" applyBorder="1" applyAlignment="1">
      <alignment horizontal="left" vertical="center" shrinkToFit="1"/>
    </xf>
    <xf numFmtId="0" fontId="109" fillId="0" borderId="112" xfId="0" applyFont="1" applyBorder="1" applyAlignment="1">
      <alignment horizontal="left" vertical="center" shrinkToFit="1"/>
    </xf>
    <xf numFmtId="0" fontId="109" fillId="0" borderId="154" xfId="0" applyFont="1" applyBorder="1" applyAlignment="1">
      <alignment horizontal="left" vertical="center" shrinkToFit="1"/>
    </xf>
    <xf numFmtId="0" fontId="88" fillId="0" borderId="35" xfId="0" applyFont="1" applyBorder="1" applyAlignment="1">
      <alignment horizontal="center" vertical="center"/>
    </xf>
    <xf numFmtId="0" fontId="88" fillId="0" borderId="169" xfId="0" applyFont="1" applyBorder="1" applyAlignment="1">
      <alignment horizontal="center" vertical="center"/>
    </xf>
    <xf numFmtId="0" fontId="143" fillId="19" borderId="84" xfId="0" applyFont="1" applyFill="1" applyBorder="1" applyAlignment="1">
      <alignment horizontal="center" vertical="center"/>
    </xf>
    <xf numFmtId="0" fontId="143" fillId="19" borderId="85" xfId="0" applyFont="1" applyFill="1" applyBorder="1" applyAlignment="1">
      <alignment horizontal="center" vertical="center"/>
    </xf>
    <xf numFmtId="0" fontId="143" fillId="19" borderId="168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76" fillId="0" borderId="35" xfId="0" applyFont="1" applyBorder="1" applyAlignment="1">
      <alignment horizontal="center" vertical="center" wrapText="1"/>
    </xf>
    <xf numFmtId="0" fontId="76" fillId="0" borderId="9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67" xfId="0" applyFont="1" applyBorder="1" applyAlignment="1">
      <alignment horizontal="center" vertical="center"/>
    </xf>
    <xf numFmtId="0" fontId="141" fillId="0" borderId="167" xfId="0" applyFont="1" applyBorder="1" applyAlignment="1">
      <alignment horizontal="center" vertical="center" wrapText="1"/>
    </xf>
    <xf numFmtId="0" fontId="141" fillId="0" borderId="9" xfId="0" applyFont="1" applyBorder="1" applyAlignment="1">
      <alignment horizontal="center" vertical="center" wrapText="1"/>
    </xf>
    <xf numFmtId="176" fontId="16" fillId="0" borderId="12" xfId="0" applyNumberFormat="1" applyFont="1" applyBorder="1" applyAlignment="1">
      <alignment horizontal="center" vertical="center"/>
    </xf>
    <xf numFmtId="176" fontId="16" fillId="0" borderId="13" xfId="0" applyNumberFormat="1" applyFont="1" applyBorder="1" applyAlignment="1">
      <alignment horizontal="center" vertical="center"/>
    </xf>
    <xf numFmtId="189" fontId="12" fillId="0" borderId="16" xfId="0" applyNumberFormat="1" applyFont="1" applyBorder="1" applyAlignment="1">
      <alignment horizontal="center" vertical="center"/>
    </xf>
    <xf numFmtId="189" fontId="12" fillId="0" borderId="3" xfId="0" applyNumberFormat="1" applyFont="1" applyBorder="1" applyAlignment="1">
      <alignment horizontal="center" vertical="center"/>
    </xf>
    <xf numFmtId="189" fontId="12" fillId="0" borderId="21" xfId="0" applyNumberFormat="1" applyFont="1" applyBorder="1" applyAlignment="1">
      <alignment horizontal="center" vertical="center"/>
    </xf>
    <xf numFmtId="188" fontId="6" fillId="0" borderId="16" xfId="0" applyNumberFormat="1" applyFont="1" applyBorder="1" applyAlignment="1">
      <alignment horizontal="center" vertical="center"/>
    </xf>
    <xf numFmtId="188" fontId="6" fillId="0" borderId="3" xfId="0" applyNumberFormat="1" applyFont="1" applyBorder="1" applyAlignment="1">
      <alignment horizontal="center" vertical="center"/>
    </xf>
    <xf numFmtId="188" fontId="6" fillId="0" borderId="21" xfId="0" applyNumberFormat="1" applyFont="1" applyBorder="1" applyAlignment="1">
      <alignment horizontal="center" vertical="center"/>
    </xf>
    <xf numFmtId="177" fontId="6" fillId="0" borderId="16" xfId="0" applyNumberFormat="1" applyFont="1" applyBorder="1" applyAlignment="1">
      <alignment horizontal="center" vertical="center" wrapText="1"/>
    </xf>
    <xf numFmtId="177" fontId="6" fillId="0" borderId="3" xfId="0" applyNumberFormat="1" applyFont="1" applyBorder="1" applyAlignment="1">
      <alignment horizontal="center" vertical="center" wrapText="1"/>
    </xf>
    <xf numFmtId="177" fontId="6" fillId="0" borderId="21" xfId="0" applyNumberFormat="1" applyFont="1" applyBorder="1" applyAlignment="1">
      <alignment horizontal="center" vertical="center" wrapText="1"/>
    </xf>
    <xf numFmtId="177" fontId="6" fillId="0" borderId="16" xfId="0" applyNumberFormat="1" applyFont="1" applyBorder="1" applyAlignment="1">
      <alignment horizontal="center" vertical="center"/>
    </xf>
    <xf numFmtId="177" fontId="6" fillId="0" borderId="3" xfId="0" applyNumberFormat="1" applyFont="1" applyBorder="1" applyAlignment="1">
      <alignment horizontal="center" vertical="center"/>
    </xf>
    <xf numFmtId="177" fontId="6" fillId="0" borderId="21" xfId="0" applyNumberFormat="1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183" fontId="4" fillId="0" borderId="12" xfId="0" applyNumberFormat="1" applyFont="1" applyBorder="1" applyAlignment="1">
      <alignment horizontal="center" vertical="center"/>
    </xf>
    <xf numFmtId="183" fontId="4" fillId="0" borderId="11" xfId="0" applyNumberFormat="1" applyFont="1" applyBorder="1" applyAlignment="1">
      <alignment horizontal="center" vertical="center"/>
    </xf>
    <xf numFmtId="183" fontId="4" fillId="0" borderId="13" xfId="0" applyNumberFormat="1" applyFont="1" applyBorder="1" applyAlignment="1">
      <alignment horizontal="center" vertical="center"/>
    </xf>
    <xf numFmtId="0" fontId="90" fillId="0" borderId="60" xfId="0" applyFont="1" applyBorder="1" applyAlignment="1">
      <alignment horizontal="center" vertical="center"/>
    </xf>
    <xf numFmtId="0" fontId="90" fillId="0" borderId="58" xfId="0" applyFont="1" applyBorder="1" applyAlignment="1">
      <alignment horizontal="center" vertical="center"/>
    </xf>
    <xf numFmtId="0" fontId="90" fillId="0" borderId="53" xfId="0" applyFont="1" applyBorder="1" applyAlignment="1">
      <alignment horizontal="center" vertical="center"/>
    </xf>
    <xf numFmtId="0" fontId="90" fillId="0" borderId="54" xfId="0" applyFont="1" applyBorder="1" applyAlignment="1">
      <alignment horizontal="center" vertical="center"/>
    </xf>
    <xf numFmtId="210" fontId="90" fillId="0" borderId="58" xfId="0" applyNumberFormat="1" applyFont="1" applyBorder="1" applyAlignment="1">
      <alignment horizontal="center" vertical="center"/>
    </xf>
    <xf numFmtId="210" fontId="90" fillId="0" borderId="53" xfId="0" applyNumberFormat="1" applyFont="1" applyBorder="1" applyAlignment="1">
      <alignment horizontal="center" vertical="center"/>
    </xf>
    <xf numFmtId="210" fontId="90" fillId="0" borderId="54" xfId="0" applyNumberFormat="1" applyFont="1" applyBorder="1" applyAlignment="1">
      <alignment horizontal="center" vertical="center"/>
    </xf>
    <xf numFmtId="0" fontId="90" fillId="0" borderId="58" xfId="0" applyFont="1" applyBorder="1" applyAlignment="1">
      <alignment horizontal="left" vertical="center" shrinkToFit="1"/>
    </xf>
    <xf numFmtId="0" fontId="90" fillId="0" borderId="53" xfId="0" applyFont="1" applyBorder="1" applyAlignment="1">
      <alignment horizontal="left" vertical="center" shrinkToFit="1"/>
    </xf>
    <xf numFmtId="0" fontId="90" fillId="0" borderId="57" xfId="0" applyFont="1" applyBorder="1" applyAlignment="1">
      <alignment horizontal="left" vertical="center" shrinkToFit="1"/>
    </xf>
    <xf numFmtId="0" fontId="90" fillId="0" borderId="59" xfId="0" applyFont="1" applyBorder="1" applyAlignment="1">
      <alignment horizontal="left" vertical="center" shrinkToFit="1"/>
    </xf>
    <xf numFmtId="212" fontId="90" fillId="0" borderId="58" xfId="0" applyNumberFormat="1" applyFont="1" applyBorder="1" applyAlignment="1">
      <alignment horizontal="center" vertical="center"/>
    </xf>
    <xf numFmtId="212" fontId="90" fillId="0" borderId="59" xfId="0" applyNumberFormat="1" applyFont="1" applyBorder="1" applyAlignment="1">
      <alignment horizontal="center" vertical="center"/>
    </xf>
    <xf numFmtId="213" fontId="90" fillId="0" borderId="57" xfId="0" applyNumberFormat="1" applyFont="1" applyBorder="1" applyAlignment="1">
      <alignment horizontal="center" vertical="center"/>
    </xf>
    <xf numFmtId="213" fontId="90" fillId="0" borderId="59" xfId="0" applyNumberFormat="1" applyFont="1" applyBorder="1" applyAlignment="1">
      <alignment horizontal="center" vertical="center"/>
    </xf>
    <xf numFmtId="182" fontId="90" fillId="0" borderId="57" xfId="0" applyNumberFormat="1" applyFont="1" applyBorder="1" applyAlignment="1">
      <alignment horizontal="center" vertical="center"/>
    </xf>
    <xf numFmtId="182" fontId="90" fillId="0" borderId="54" xfId="0" applyNumberFormat="1" applyFont="1" applyBorder="1" applyAlignment="1">
      <alignment horizontal="center" vertical="center"/>
    </xf>
    <xf numFmtId="0" fontId="91" fillId="0" borderId="58" xfId="0" applyFont="1" applyBorder="1">
      <alignment vertical="center"/>
    </xf>
    <xf numFmtId="0" fontId="91" fillId="0" borderId="53" xfId="0" applyFont="1" applyBorder="1">
      <alignment vertical="center"/>
    </xf>
    <xf numFmtId="0" fontId="91" fillId="0" borderId="57" xfId="0" applyFont="1" applyBorder="1">
      <alignment vertical="center"/>
    </xf>
    <xf numFmtId="0" fontId="91" fillId="0" borderId="54" xfId="0" applyFont="1" applyBorder="1">
      <alignment vertical="center"/>
    </xf>
    <xf numFmtId="0" fontId="90" fillId="0" borderId="72" xfId="0" applyFont="1" applyBorder="1">
      <alignment vertical="center"/>
    </xf>
    <xf numFmtId="0" fontId="90" fillId="0" borderId="41" xfId="0" applyFont="1" applyBorder="1">
      <alignment vertical="center"/>
    </xf>
    <xf numFmtId="0" fontId="90" fillId="0" borderId="42" xfId="0" applyFont="1" applyBorder="1">
      <alignment vertical="center"/>
    </xf>
    <xf numFmtId="0" fontId="90" fillId="0" borderId="57" xfId="0" applyFont="1" applyBorder="1" applyAlignment="1">
      <alignment horizontal="left" vertical="center"/>
    </xf>
    <xf numFmtId="0" fontId="90" fillId="0" borderId="53" xfId="0" applyFont="1" applyBorder="1" applyAlignment="1">
      <alignment horizontal="left" vertical="center"/>
    </xf>
    <xf numFmtId="0" fontId="90" fillId="0" borderId="54" xfId="0" applyFont="1" applyBorder="1" applyAlignment="1">
      <alignment horizontal="left" vertical="center"/>
    </xf>
    <xf numFmtId="0" fontId="90" fillId="0" borderId="57" xfId="0" applyFont="1" applyBorder="1">
      <alignment vertical="center"/>
    </xf>
    <xf numFmtId="0" fontId="90" fillId="0" borderId="53" xfId="0" applyFont="1" applyBorder="1">
      <alignment vertical="center"/>
    </xf>
    <xf numFmtId="0" fontId="90" fillId="0" borderId="54" xfId="0" applyFont="1" applyBorder="1">
      <alignment vertical="center"/>
    </xf>
    <xf numFmtId="0" fontId="91" fillId="0" borderId="74" xfId="0" applyFont="1" applyBorder="1" applyAlignment="1">
      <alignment horizontal="left" vertical="center"/>
    </xf>
    <xf numFmtId="0" fontId="91" fillId="0" borderId="45" xfId="0" applyFont="1" applyBorder="1" applyAlignment="1">
      <alignment horizontal="left" vertical="center"/>
    </xf>
    <xf numFmtId="0" fontId="90" fillId="0" borderId="74" xfId="0" applyFont="1" applyBorder="1" applyAlignment="1">
      <alignment horizontal="left" vertical="center"/>
    </xf>
    <xf numFmtId="0" fontId="90" fillId="0" borderId="45" xfId="0" applyFont="1" applyBorder="1" applyAlignment="1">
      <alignment horizontal="left" vertical="center"/>
    </xf>
    <xf numFmtId="0" fontId="90" fillId="0" borderId="46" xfId="0" applyFont="1" applyBorder="1" applyAlignment="1">
      <alignment horizontal="left" vertical="center"/>
    </xf>
    <xf numFmtId="0" fontId="91" fillId="0" borderId="40" xfId="0" applyFont="1" applyBorder="1">
      <alignment vertical="center"/>
    </xf>
    <xf numFmtId="0" fontId="91" fillId="0" borderId="38" xfId="0" applyFont="1" applyBorder="1">
      <alignment vertical="center"/>
    </xf>
    <xf numFmtId="0" fontId="91" fillId="0" borderId="39" xfId="0" applyFont="1" applyBorder="1">
      <alignment vertical="center"/>
    </xf>
    <xf numFmtId="0" fontId="91" fillId="0" borderId="71" xfId="0" applyFont="1" applyBorder="1" applyAlignment="1">
      <alignment horizontal="left" vertical="center"/>
    </xf>
    <xf numFmtId="0" fontId="91" fillId="0" borderId="38" xfId="0" applyFont="1" applyBorder="1" applyAlignment="1">
      <alignment horizontal="left" vertical="center"/>
    </xf>
    <xf numFmtId="0" fontId="91" fillId="0" borderId="39" xfId="0" applyFont="1" applyBorder="1" applyAlignment="1">
      <alignment horizontal="left" vertical="center"/>
    </xf>
    <xf numFmtId="0" fontId="91" fillId="0" borderId="61" xfId="0" applyFont="1" applyBorder="1">
      <alignment vertical="center"/>
    </xf>
    <xf numFmtId="0" fontId="91" fillId="0" borderId="41" xfId="0" applyFont="1" applyBorder="1">
      <alignment vertical="center"/>
    </xf>
    <xf numFmtId="0" fontId="44" fillId="0" borderId="0" xfId="0" applyFont="1" applyAlignment="1">
      <alignment horizontal="left" vertical="center" wrapText="1"/>
    </xf>
    <xf numFmtId="0" fontId="87" fillId="0" borderId="0" xfId="0" applyFont="1" applyAlignment="1">
      <alignment horizontal="left" vertical="center"/>
    </xf>
    <xf numFmtId="0" fontId="87" fillId="0" borderId="44" xfId="0" applyFont="1" applyBorder="1" applyAlignment="1">
      <alignment horizontal="left" vertical="center"/>
    </xf>
    <xf numFmtId="0" fontId="93" fillId="0" borderId="0" xfId="0" applyFont="1" applyAlignment="1">
      <alignment horizontal="left" vertical="center"/>
    </xf>
    <xf numFmtId="0" fontId="94" fillId="0" borderId="0" xfId="0" applyFont="1" applyAlignment="1">
      <alignment horizontal="left" vertical="center"/>
    </xf>
    <xf numFmtId="0" fontId="90" fillId="0" borderId="44" xfId="0" applyFont="1" applyBorder="1" applyAlignment="1">
      <alignment horizontal="left" vertical="center"/>
    </xf>
    <xf numFmtId="211" fontId="90" fillId="0" borderId="44" xfId="0" applyNumberFormat="1" applyFont="1" applyBorder="1" applyAlignment="1">
      <alignment horizontal="center" vertical="center"/>
    </xf>
    <xf numFmtId="0" fontId="91" fillId="0" borderId="69" xfId="0" applyFont="1" applyBorder="1" applyAlignment="1">
      <alignment horizontal="left" vertical="top"/>
    </xf>
    <xf numFmtId="0" fontId="91" fillId="0" borderId="43" xfId="0" applyFont="1" applyBorder="1" applyAlignment="1">
      <alignment horizontal="left" vertical="top"/>
    </xf>
    <xf numFmtId="0" fontId="91" fillId="0" borderId="70" xfId="0" applyFont="1" applyBorder="1" applyAlignment="1">
      <alignment horizontal="left" vertical="top"/>
    </xf>
    <xf numFmtId="0" fontId="91" fillId="0" borderId="0" xfId="0" applyFont="1" applyAlignment="1">
      <alignment horizontal="left" vertical="top"/>
    </xf>
    <xf numFmtId="0" fontId="91" fillId="0" borderId="50" xfId="0" applyFont="1" applyBorder="1" applyAlignment="1">
      <alignment horizontal="left" vertical="top"/>
    </xf>
    <xf numFmtId="0" fontId="91" fillId="0" borderId="44" xfId="0" applyFont="1" applyBorder="1" applyAlignment="1">
      <alignment horizontal="left" vertical="top"/>
    </xf>
    <xf numFmtId="0" fontId="91" fillId="0" borderId="71" xfId="0" applyFont="1" applyBorder="1">
      <alignment vertical="center"/>
    </xf>
    <xf numFmtId="0" fontId="90" fillId="0" borderId="58" xfId="0" applyFont="1" applyBorder="1">
      <alignment vertical="center"/>
    </xf>
    <xf numFmtId="0" fontId="90" fillId="0" borderId="73" xfId="0" applyFont="1" applyBorder="1">
      <alignment vertical="center"/>
    </xf>
    <xf numFmtId="0" fontId="90" fillId="0" borderId="45" xfId="0" applyFont="1" applyBorder="1">
      <alignment vertical="center"/>
    </xf>
    <xf numFmtId="0" fontId="90" fillId="0" borderId="74" xfId="0" applyFont="1" applyBorder="1">
      <alignment vertical="center"/>
    </xf>
    <xf numFmtId="0" fontId="90" fillId="0" borderId="46" xfId="0" applyFont="1" applyBorder="1">
      <alignment vertical="center"/>
    </xf>
    <xf numFmtId="0" fontId="91" fillId="0" borderId="73" xfId="0" applyFont="1" applyBorder="1">
      <alignment vertical="center"/>
    </xf>
    <xf numFmtId="0" fontId="91" fillId="0" borderId="45" xfId="0" applyFont="1" applyBorder="1">
      <alignment vertical="center"/>
    </xf>
    <xf numFmtId="0" fontId="90" fillId="0" borderId="79" xfId="0" applyFont="1" applyBorder="1">
      <alignment vertical="center"/>
    </xf>
    <xf numFmtId="0" fontId="90" fillId="0" borderId="80" xfId="0" applyFont="1" applyBorder="1">
      <alignment vertical="center"/>
    </xf>
    <xf numFmtId="0" fontId="90" fillId="0" borderId="81" xfId="0" applyFont="1" applyBorder="1">
      <alignment vertical="center"/>
    </xf>
    <xf numFmtId="0" fontId="90" fillId="0" borderId="61" xfId="0" applyFont="1" applyBorder="1" applyAlignment="1">
      <alignment horizontal="left" vertical="center" shrinkToFit="1"/>
    </xf>
    <xf numFmtId="0" fontId="90" fillId="0" borderId="41" xfId="0" applyFont="1" applyBorder="1" applyAlignment="1">
      <alignment horizontal="left" vertical="center" shrinkToFit="1"/>
    </xf>
    <xf numFmtId="0" fontId="90" fillId="0" borderId="42" xfId="0" applyFont="1" applyBorder="1" applyAlignment="1">
      <alignment horizontal="left" vertical="center" shrinkToFit="1"/>
    </xf>
    <xf numFmtId="0" fontId="90" fillId="0" borderId="73" xfId="0" applyFont="1" applyBorder="1" applyAlignment="1">
      <alignment horizontal="left" vertical="center"/>
    </xf>
    <xf numFmtId="211" fontId="90" fillId="0" borderId="73" xfId="0" applyNumberFormat="1" applyFont="1" applyBorder="1" applyAlignment="1">
      <alignment horizontal="left" vertical="center"/>
    </xf>
    <xf numFmtId="211" fontId="90" fillId="0" borderId="45" xfId="0" applyNumberFormat="1" applyFont="1" applyBorder="1" applyAlignment="1">
      <alignment horizontal="left" vertical="center"/>
    </xf>
    <xf numFmtId="211" fontId="90" fillId="0" borderId="46" xfId="0" applyNumberFormat="1" applyFont="1" applyBorder="1" applyAlignment="1">
      <alignment horizontal="left" vertical="center"/>
    </xf>
    <xf numFmtId="0" fontId="90" fillId="0" borderId="75" xfId="0" applyFont="1" applyBorder="1" applyAlignment="1">
      <alignment horizontal="left" vertical="center"/>
    </xf>
    <xf numFmtId="0" fontId="90" fillId="0" borderId="47" xfId="0" applyFont="1" applyBorder="1" applyAlignment="1">
      <alignment horizontal="left" vertical="center"/>
    </xf>
    <xf numFmtId="0" fontId="90" fillId="0" borderId="61" xfId="0" applyFont="1" applyBorder="1" applyAlignment="1">
      <alignment horizontal="center" vertical="center"/>
    </xf>
    <xf numFmtId="0" fontId="90" fillId="0" borderId="41" xfId="0" applyFont="1" applyBorder="1" applyAlignment="1">
      <alignment horizontal="center" vertical="center"/>
    </xf>
    <xf numFmtId="0" fontId="90" fillId="0" borderId="42" xfId="0" applyFont="1" applyBorder="1" applyAlignment="1">
      <alignment horizontal="center" vertical="center"/>
    </xf>
    <xf numFmtId="0" fontId="90" fillId="0" borderId="62" xfId="0" applyFont="1" applyBorder="1" applyAlignment="1">
      <alignment horizontal="center" vertical="center"/>
    </xf>
    <xf numFmtId="0" fontId="90" fillId="0" borderId="63" xfId="0" applyFont="1" applyBorder="1" applyAlignment="1">
      <alignment horizontal="center" vertical="center"/>
    </xf>
    <xf numFmtId="0" fontId="90" fillId="0" borderId="64" xfId="0" applyFont="1" applyBorder="1" applyAlignment="1">
      <alignment horizontal="center" vertical="center"/>
    </xf>
    <xf numFmtId="0" fontId="90" fillId="0" borderId="55" xfId="0" applyFont="1" applyBorder="1" applyAlignment="1">
      <alignment horizontal="center" vertical="center"/>
    </xf>
    <xf numFmtId="0" fontId="90" fillId="0" borderId="48" xfId="0" applyFont="1" applyBorder="1" applyAlignment="1">
      <alignment horizontal="center" vertical="center"/>
    </xf>
    <xf numFmtId="0" fontId="90" fillId="0" borderId="65" xfId="0" applyFont="1" applyBorder="1" applyAlignment="1">
      <alignment horizontal="center" vertical="center"/>
    </xf>
    <xf numFmtId="0" fontId="90" fillId="0" borderId="66" xfId="0" applyFont="1" applyBorder="1" applyAlignment="1">
      <alignment horizontal="center" vertical="center"/>
    </xf>
    <xf numFmtId="0" fontId="90" fillId="0" borderId="67" xfId="0" applyFont="1" applyBorder="1" applyAlignment="1">
      <alignment horizontal="center" vertical="center"/>
    </xf>
    <xf numFmtId="0" fontId="90" fillId="0" borderId="68" xfId="0" applyFont="1" applyBorder="1" applyAlignment="1">
      <alignment horizontal="center" vertical="center"/>
    </xf>
    <xf numFmtId="0" fontId="90" fillId="0" borderId="76" xfId="0" applyFont="1" applyBorder="1" applyAlignment="1">
      <alignment horizontal="center" vertical="center"/>
    </xf>
    <xf numFmtId="0" fontId="90" fillId="0" borderId="77" xfId="0" applyFont="1" applyBorder="1" applyAlignment="1">
      <alignment horizontal="center" vertical="center"/>
    </xf>
    <xf numFmtId="0" fontId="90" fillId="0" borderId="78" xfId="0" applyFont="1" applyBorder="1" applyAlignment="1">
      <alignment horizontal="center" vertical="center"/>
    </xf>
    <xf numFmtId="0" fontId="90" fillId="0" borderId="96" xfId="0" applyFont="1" applyBorder="1" applyAlignment="1">
      <alignment horizontal="left" vertical="center"/>
    </xf>
    <xf numFmtId="0" fontId="90" fillId="0" borderId="97" xfId="0" applyFont="1" applyBorder="1" applyAlignment="1">
      <alignment horizontal="left" vertical="center"/>
    </xf>
    <xf numFmtId="0" fontId="90" fillId="0" borderId="98" xfId="0" applyFont="1" applyBorder="1" applyAlignment="1">
      <alignment horizontal="left" vertical="center"/>
    </xf>
    <xf numFmtId="0" fontId="90" fillId="0" borderId="73" xfId="0" applyFont="1" applyBorder="1" applyAlignment="1">
      <alignment horizontal="center" vertical="center"/>
    </xf>
    <xf numFmtId="0" fontId="90" fillId="0" borderId="45" xfId="0" applyFont="1" applyBorder="1" applyAlignment="1">
      <alignment horizontal="center" vertical="center"/>
    </xf>
    <xf numFmtId="0" fontId="90" fillId="0" borderId="46" xfId="0" applyFont="1" applyBorder="1" applyAlignment="1">
      <alignment horizontal="center" vertical="center"/>
    </xf>
    <xf numFmtId="0" fontId="90" fillId="0" borderId="54" xfId="0" applyFont="1" applyBorder="1" applyAlignment="1">
      <alignment horizontal="left" vertical="center" shrinkToFit="1"/>
    </xf>
    <xf numFmtId="0" fontId="90" fillId="0" borderId="0" xfId="0" applyFont="1" applyAlignment="1">
      <alignment horizontal="center" vertical="center"/>
    </xf>
    <xf numFmtId="0" fontId="90" fillId="0" borderId="86" xfId="0" applyFont="1" applyBorder="1" applyAlignment="1">
      <alignment horizontal="center" vertical="center"/>
    </xf>
    <xf numFmtId="210" fontId="90" fillId="0" borderId="69" xfId="0" applyNumberFormat="1" applyFont="1" applyBorder="1" applyAlignment="1">
      <alignment horizontal="center" vertical="center"/>
    </xf>
    <xf numFmtId="210" fontId="90" fillId="0" borderId="43" xfId="0" applyNumberFormat="1" applyFont="1" applyBorder="1" applyAlignment="1">
      <alignment horizontal="center" vertical="center"/>
    </xf>
    <xf numFmtId="210" fontId="90" fillId="0" borderId="82" xfId="0" applyNumberFormat="1" applyFont="1" applyBorder="1" applyAlignment="1">
      <alignment horizontal="center" vertical="center"/>
    </xf>
    <xf numFmtId="210" fontId="90" fillId="0" borderId="73" xfId="0" applyNumberFormat="1" applyFont="1" applyBorder="1" applyAlignment="1">
      <alignment horizontal="center" vertical="center"/>
    </xf>
    <xf numFmtId="210" fontId="90" fillId="0" borderId="45" xfId="0" applyNumberFormat="1" applyFont="1" applyBorder="1" applyAlignment="1">
      <alignment horizontal="center" vertical="center"/>
    </xf>
    <xf numFmtId="210" fontId="90" fillId="0" borderId="46" xfId="0" applyNumberFormat="1" applyFont="1" applyBorder="1" applyAlignment="1">
      <alignment horizontal="center" vertical="center"/>
    </xf>
    <xf numFmtId="0" fontId="92" fillId="0" borderId="43" xfId="0" applyFont="1" applyBorder="1" applyAlignment="1">
      <alignment horizontal="right" vertical="center"/>
    </xf>
    <xf numFmtId="0" fontId="92" fillId="0" borderId="43" xfId="0" applyFont="1" applyBorder="1" applyAlignment="1">
      <alignment horizontal="left" vertical="center"/>
    </xf>
    <xf numFmtId="0" fontId="92" fillId="0" borderId="82" xfId="0" applyFont="1" applyBorder="1" applyAlignment="1">
      <alignment horizontal="left" vertical="center"/>
    </xf>
    <xf numFmtId="0" fontId="90" fillId="0" borderId="12" xfId="0" applyFont="1" applyBorder="1" applyAlignment="1">
      <alignment horizontal="center" vertical="center"/>
    </xf>
    <xf numFmtId="0" fontId="90" fillId="0" borderId="11" xfId="0" applyFont="1" applyBorder="1" applyAlignment="1">
      <alignment horizontal="center" vertical="center"/>
    </xf>
    <xf numFmtId="213" fontId="90" fillId="0" borderId="74" xfId="0" applyNumberFormat="1" applyFont="1" applyBorder="1" applyAlignment="1">
      <alignment horizontal="center" vertical="center"/>
    </xf>
    <xf numFmtId="213" fontId="90" fillId="0" borderId="83" xfId="0" applyNumberFormat="1" applyFont="1" applyBorder="1" applyAlignment="1">
      <alignment horizontal="center" vertical="center"/>
    </xf>
    <xf numFmtId="182" fontId="90" fillId="0" borderId="74" xfId="0" applyNumberFormat="1" applyFont="1" applyBorder="1" applyAlignment="1">
      <alignment horizontal="center" vertical="center"/>
    </xf>
    <xf numFmtId="182" fontId="90" fillId="0" borderId="46" xfId="0" applyNumberFormat="1" applyFont="1" applyBorder="1" applyAlignment="1">
      <alignment horizontal="center" vertical="center"/>
    </xf>
    <xf numFmtId="0" fontId="90" fillId="0" borderId="87" xfId="0" applyFont="1" applyBorder="1" applyAlignment="1">
      <alignment horizontal="right" vertical="center"/>
    </xf>
    <xf numFmtId="0" fontId="90" fillId="0" borderId="1" xfId="0" applyFont="1" applyBorder="1" applyAlignment="1">
      <alignment horizontal="center" vertical="center"/>
    </xf>
    <xf numFmtId="0" fontId="90" fillId="0" borderId="12" xfId="0" applyFont="1" applyBorder="1" applyAlignment="1">
      <alignment horizontal="left" vertical="center"/>
    </xf>
    <xf numFmtId="0" fontId="90" fillId="0" borderId="11" xfId="0" applyFont="1" applyBorder="1" applyAlignment="1">
      <alignment horizontal="left" vertical="center"/>
    </xf>
    <xf numFmtId="0" fontId="90" fillId="0" borderId="13" xfId="0" applyFont="1" applyBorder="1" applyAlignment="1">
      <alignment horizontal="left" vertical="center"/>
    </xf>
    <xf numFmtId="210" fontId="90" fillId="0" borderId="88" xfId="0" applyNumberFormat="1" applyFont="1" applyBorder="1" applyAlignment="1">
      <alignment horizontal="center" vertical="center"/>
    </xf>
    <xf numFmtId="210" fontId="90" fillId="0" borderId="85" xfId="0" applyNumberFormat="1" applyFont="1" applyBorder="1" applyAlignment="1">
      <alignment horizontal="center" vertical="center"/>
    </xf>
    <xf numFmtId="210" fontId="90" fillId="0" borderId="8" xfId="0" applyNumberFormat="1" applyFont="1" applyBorder="1" applyAlignment="1">
      <alignment horizontal="center" vertical="center"/>
    </xf>
    <xf numFmtId="2" fontId="91" fillId="0" borderId="89" xfId="0" applyNumberFormat="1" applyFont="1" applyBorder="1" applyAlignment="1">
      <alignment horizontal="center" vertical="center"/>
    </xf>
    <xf numFmtId="2" fontId="91" fillId="0" borderId="90" xfId="0" applyNumberFormat="1" applyFont="1" applyBorder="1" applyAlignment="1">
      <alignment horizontal="center" vertical="center"/>
    </xf>
    <xf numFmtId="2" fontId="91" fillId="0" borderId="91" xfId="0" applyNumberFormat="1" applyFont="1" applyBorder="1" applyAlignment="1">
      <alignment horizontal="center" vertical="center"/>
    </xf>
    <xf numFmtId="0" fontId="90" fillId="0" borderId="69" xfId="0" applyFont="1" applyBorder="1" applyAlignment="1">
      <alignment horizontal="center" vertical="center"/>
    </xf>
    <xf numFmtId="0" fontId="90" fillId="0" borderId="43" xfId="0" applyFont="1" applyBorder="1" applyAlignment="1">
      <alignment horizontal="center" vertical="center"/>
    </xf>
    <xf numFmtId="0" fontId="90" fillId="0" borderId="92" xfId="0" applyFont="1" applyBorder="1" applyAlignment="1">
      <alignment horizontal="left" vertical="center"/>
    </xf>
    <xf numFmtId="0" fontId="90" fillId="0" borderId="81" xfId="0" applyFont="1" applyBorder="1" applyAlignment="1">
      <alignment horizontal="left" vertical="center"/>
    </xf>
    <xf numFmtId="210" fontId="90" fillId="0" borderId="12" xfId="0" applyNumberFormat="1" applyFont="1" applyBorder="1" applyAlignment="1">
      <alignment horizontal="center" vertical="center"/>
    </xf>
    <xf numFmtId="210" fontId="90" fillId="0" borderId="11" xfId="0" applyNumberFormat="1" applyFont="1" applyBorder="1" applyAlignment="1">
      <alignment horizontal="center" vertical="center"/>
    </xf>
    <xf numFmtId="210" fontId="90" fillId="0" borderId="13" xfId="0" applyNumberFormat="1" applyFont="1" applyBorder="1" applyAlignment="1">
      <alignment horizontal="center" vertical="center"/>
    </xf>
    <xf numFmtId="0" fontId="90" fillId="0" borderId="74" xfId="0" applyFont="1" applyBorder="1" applyAlignment="1">
      <alignment horizontal="left" vertical="center" shrinkToFit="1"/>
    </xf>
    <xf numFmtId="0" fontId="90" fillId="0" borderId="45" xfId="0" applyFont="1" applyBorder="1" applyAlignment="1">
      <alignment horizontal="left" vertical="center" shrinkToFit="1"/>
    </xf>
    <xf numFmtId="0" fontId="90" fillId="0" borderId="83" xfId="0" applyFont="1" applyBorder="1" applyAlignment="1">
      <alignment horizontal="left" vertical="center" shrinkToFit="1"/>
    </xf>
    <xf numFmtId="0" fontId="90" fillId="0" borderId="89" xfId="0" applyFont="1" applyBorder="1" applyAlignment="1">
      <alignment horizontal="center" vertical="center"/>
    </xf>
    <xf numFmtId="0" fontId="90" fillId="0" borderId="91" xfId="0" applyFont="1" applyBorder="1" applyAlignment="1">
      <alignment horizontal="center" vertical="center"/>
    </xf>
    <xf numFmtId="0" fontId="90" fillId="0" borderId="93" xfId="0" applyFont="1" applyBorder="1" applyAlignment="1">
      <alignment horizontal="center" vertical="center"/>
    </xf>
    <xf numFmtId="0" fontId="90" fillId="0" borderId="94" xfId="0" applyFont="1" applyBorder="1" applyAlignment="1">
      <alignment horizontal="center" vertical="center"/>
    </xf>
    <xf numFmtId="210" fontId="90" fillId="0" borderId="61" xfId="0" applyNumberFormat="1" applyFont="1" applyBorder="1" applyAlignment="1">
      <alignment horizontal="center" vertical="center"/>
    </xf>
    <xf numFmtId="210" fontId="90" fillId="0" borderId="41" xfId="0" applyNumberFormat="1" applyFont="1" applyBorder="1" applyAlignment="1">
      <alignment horizontal="center" vertical="center"/>
    </xf>
    <xf numFmtId="210" fontId="90" fillId="0" borderId="42" xfId="0" applyNumberFormat="1" applyFont="1" applyBorder="1" applyAlignment="1">
      <alignment horizontal="center" vertical="center"/>
    </xf>
    <xf numFmtId="182" fontId="90" fillId="0" borderId="72" xfId="0" applyNumberFormat="1" applyFont="1" applyBorder="1" applyAlignment="1">
      <alignment horizontal="center" vertical="center"/>
    </xf>
    <xf numFmtId="182" fontId="90" fillId="0" borderId="42" xfId="0" applyNumberFormat="1" applyFont="1" applyBorder="1" applyAlignment="1">
      <alignment horizontal="center" vertical="center"/>
    </xf>
    <xf numFmtId="213" fontId="90" fillId="0" borderId="72" xfId="0" applyNumberFormat="1" applyFont="1" applyBorder="1" applyAlignment="1">
      <alignment horizontal="center" vertical="center"/>
    </xf>
    <xf numFmtId="213" fontId="90" fillId="0" borderId="95" xfId="0" applyNumberFormat="1" applyFont="1" applyBorder="1" applyAlignment="1">
      <alignment horizontal="center" vertical="center"/>
    </xf>
    <xf numFmtId="212" fontId="90" fillId="0" borderId="61" xfId="0" applyNumberFormat="1" applyFont="1" applyBorder="1" applyAlignment="1">
      <alignment horizontal="center" vertical="center"/>
    </xf>
    <xf numFmtId="212" fontId="90" fillId="0" borderId="95" xfId="0" applyNumberFormat="1" applyFont="1" applyBorder="1" applyAlignment="1">
      <alignment horizontal="center" vertical="center"/>
    </xf>
    <xf numFmtId="0" fontId="90" fillId="0" borderId="0" xfId="0" applyFont="1" applyAlignment="1">
      <alignment horizontal="left" vertical="center"/>
    </xf>
    <xf numFmtId="0" fontId="90" fillId="0" borderId="84" xfId="0" applyFont="1" applyBorder="1" applyAlignment="1">
      <alignment horizontal="center" vertical="center"/>
    </xf>
    <xf numFmtId="0" fontId="90" fillId="0" borderId="85" xfId="0" applyFont="1" applyBorder="1" applyAlignment="1">
      <alignment horizontal="center" vertical="center"/>
    </xf>
    <xf numFmtId="212" fontId="90" fillId="0" borderId="73" xfId="0" applyNumberFormat="1" applyFont="1" applyBorder="1" applyAlignment="1">
      <alignment horizontal="center" vertical="center"/>
    </xf>
    <xf numFmtId="212" fontId="90" fillId="0" borderId="83" xfId="0" applyNumberFormat="1" applyFont="1" applyBorder="1" applyAlignment="1">
      <alignment horizontal="center" vertical="center"/>
    </xf>
    <xf numFmtId="0" fontId="90" fillId="0" borderId="73" xfId="0" applyFont="1" applyBorder="1" applyAlignment="1">
      <alignment horizontal="left" vertical="center" shrinkToFit="1"/>
    </xf>
  </cellXfs>
  <cellStyles count="35">
    <cellStyle name="Normal 2" xfId="1" xr:uid="{00000000-0005-0000-0000-000000000000}"/>
    <cellStyle name="パーセント" xfId="19" builtinId="5"/>
    <cellStyle name="桁区切り" xfId="2" builtinId="6"/>
    <cellStyle name="桁区切り 2" xfId="3" xr:uid="{00000000-0005-0000-0000-000002000000}"/>
    <cellStyle name="桁区切り 3" xfId="4" xr:uid="{00000000-0005-0000-0000-000003000000}"/>
    <cellStyle name="桁区切り 4" xfId="33" xr:uid="{7519EECF-5E38-4DEC-9DD3-2CEAD79DA87D}"/>
    <cellStyle name="通貨" xfId="5" builtinId="7"/>
    <cellStyle name="通貨 2" xfId="6" xr:uid="{00000000-0005-0000-0000-000005000000}"/>
    <cellStyle name="通貨 3" xfId="7" xr:uid="{00000000-0005-0000-0000-000006000000}"/>
    <cellStyle name="通貨 3 2" xfId="31" xr:uid="{6674FED8-2B9A-41AC-980C-BD3868E9EED1}"/>
    <cellStyle name="通貨 4" xfId="34" xr:uid="{ABEC7D9E-1015-4F2F-AD54-4FE9B87633A5}"/>
    <cellStyle name="標準" xfId="0" builtinId="0"/>
    <cellStyle name="標準 10" xfId="26" xr:uid="{E6865F7D-C4AA-4C98-AE44-145CF1F34B77}"/>
    <cellStyle name="標準 11" xfId="17" xr:uid="{3FA020E9-A79C-4058-B757-1929A34B0FF7}"/>
    <cellStyle name="標準 12" xfId="27" xr:uid="{5E71E43B-EF83-497E-A72C-F9E64C0271EF}"/>
    <cellStyle name="標準 13" xfId="28" xr:uid="{D19536F5-D2CA-4E4B-B48C-960B6E996B52}"/>
    <cellStyle name="標準 14" xfId="29" xr:uid="{15B80412-313A-4FFE-B808-8E3102C91388}"/>
    <cellStyle name="標準 15" xfId="8" xr:uid="{00000000-0005-0000-0000-000008000000}"/>
    <cellStyle name="標準 16" xfId="30" xr:uid="{41BBB06C-C175-43F6-918F-1F657ED312CE}"/>
    <cellStyle name="標準 17" xfId="18" xr:uid="{52689775-D2AF-451D-AB82-D969E17736AC}"/>
    <cellStyle name="標準 18" xfId="32" xr:uid="{86B063D7-BF2A-4AC6-8189-AAF91BFA9A98}"/>
    <cellStyle name="標準 2" xfId="9" xr:uid="{00000000-0005-0000-0000-000009000000}"/>
    <cellStyle name="標準 2 2" xfId="10" xr:uid="{00000000-0005-0000-0000-00000A000000}"/>
    <cellStyle name="標準 2 2 2" xfId="16" xr:uid="{00000000-0005-0000-0000-00000B000000}"/>
    <cellStyle name="標準 2 3" xfId="11" xr:uid="{00000000-0005-0000-0000-00000C000000}"/>
    <cellStyle name="標準 2 4" xfId="13" xr:uid="{00000000-0005-0000-0000-00000D000000}"/>
    <cellStyle name="標準 3" xfId="12" xr:uid="{00000000-0005-0000-0000-00000E000000}"/>
    <cellStyle name="標準 3 2" xfId="14" xr:uid="{00000000-0005-0000-0000-00000F000000}"/>
    <cellStyle name="標準 4" xfId="15" xr:uid="{00000000-0005-0000-0000-000010000000}"/>
    <cellStyle name="標準 4 2" xfId="20" xr:uid="{E078701B-DF58-476F-8A1D-3FF42E023698}"/>
    <cellStyle name="標準 5" xfId="21" xr:uid="{B7468410-268E-40A3-87B7-930E89C3012E}"/>
    <cellStyle name="標準 6" xfId="22" xr:uid="{E098531F-9790-45A8-8A3A-84A50831F272}"/>
    <cellStyle name="標準 7" xfId="23" xr:uid="{EFD7CCEF-32B7-4F47-AA1D-A8FE15209EA2}"/>
    <cellStyle name="標準 8" xfId="24" xr:uid="{F2599607-C237-4344-888B-2F8FBB0AD684}"/>
    <cellStyle name="標準 9" xfId="25" xr:uid="{687DBE96-7EBD-401D-961B-74746BC12E15}"/>
  </cellStyles>
  <dxfs count="32"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fmlaLink="$H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263002</xdr:colOff>
      <xdr:row>1</xdr:row>
      <xdr:rowOff>50426</xdr:rowOff>
    </xdr:from>
    <xdr:ext cx="65" cy="19083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77552" y="250451"/>
          <a:ext cx="65" cy="1908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81645</xdr:rowOff>
    </xdr:from>
    <xdr:to>
      <xdr:col>10</xdr:col>
      <xdr:colOff>776475</xdr:colOff>
      <xdr:row>4</xdr:row>
      <xdr:rowOff>166008</xdr:rowOff>
    </xdr:to>
    <xdr:sp macro="[0]!PDF_BackOrder_SFAmerica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925175" y="738870"/>
          <a:ext cx="1548000" cy="303438"/>
        </a:xfrm>
        <a:prstGeom prst="bevel">
          <a:avLst/>
        </a:prstGeom>
        <a:ln w="9525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3</xdr:row>
      <xdr:rowOff>81645</xdr:rowOff>
    </xdr:from>
    <xdr:to>
      <xdr:col>12</xdr:col>
      <xdr:colOff>791443</xdr:colOff>
      <xdr:row>4</xdr:row>
      <xdr:rowOff>166008</xdr:rowOff>
    </xdr:to>
    <xdr:sp macro="[0]!PDF_BackOrder_SFOsaka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845143" y="738870"/>
          <a:ext cx="1548000" cy="303438"/>
        </a:xfrm>
        <a:prstGeom prst="bevel">
          <a:avLst/>
        </a:prstGeom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13</xdr:col>
      <xdr:colOff>186418</xdr:colOff>
      <xdr:row>3</xdr:row>
      <xdr:rowOff>81645</xdr:rowOff>
    </xdr:from>
    <xdr:to>
      <xdr:col>14</xdr:col>
      <xdr:colOff>781918</xdr:colOff>
      <xdr:row>4</xdr:row>
      <xdr:rowOff>166008</xdr:rowOff>
    </xdr:to>
    <xdr:sp macro="[0]!PDF_同時実行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40618" y="738870"/>
          <a:ext cx="1548000" cy="303438"/>
        </a:xfrm>
        <a:prstGeom prst="bevel">
          <a:avLst/>
        </a:prstGeom>
        <a:ln w="9525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9</xdr:col>
      <xdr:colOff>171450</xdr:colOff>
      <xdr:row>5</xdr:row>
      <xdr:rowOff>39462</xdr:rowOff>
    </xdr:from>
    <xdr:to>
      <xdr:col>10</xdr:col>
      <xdr:colOff>776475</xdr:colOff>
      <xdr:row>6</xdr:row>
      <xdr:rowOff>123825</xdr:rowOff>
    </xdr:to>
    <xdr:sp macro="[0]!EXCEL_BackOrder_SFAmerica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925175" y="1134837"/>
          <a:ext cx="1548000" cy="303438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5</xdr:row>
      <xdr:rowOff>39462</xdr:rowOff>
    </xdr:from>
    <xdr:to>
      <xdr:col>12</xdr:col>
      <xdr:colOff>791443</xdr:colOff>
      <xdr:row>6</xdr:row>
      <xdr:rowOff>123825</xdr:rowOff>
    </xdr:to>
    <xdr:sp macro="[0]!EXCEL_BackOrder_SFOsak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845143" y="1134837"/>
          <a:ext cx="1548000" cy="303438"/>
        </a:xfrm>
        <a:prstGeom prst="bevel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 editAs="oneCell">
    <xdr:from>
      <xdr:col>6</xdr:col>
      <xdr:colOff>28575</xdr:colOff>
      <xdr:row>15</xdr:row>
      <xdr:rowOff>228600</xdr:rowOff>
    </xdr:from>
    <xdr:to>
      <xdr:col>6</xdr:col>
      <xdr:colOff>333375</xdr:colOff>
      <xdr:row>17</xdr:row>
      <xdr:rowOff>1</xdr:rowOff>
    </xdr:to>
    <xdr:sp macro="" textlink="">
      <xdr:nvSpPr>
        <xdr:cNvPr id="17412" name="Option 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300-000004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15</xdr:row>
      <xdr:rowOff>228600</xdr:rowOff>
    </xdr:from>
    <xdr:to>
      <xdr:col>7</xdr:col>
      <xdr:colOff>314325</xdr:colOff>
      <xdr:row>17</xdr:row>
      <xdr:rowOff>1</xdr:rowOff>
    </xdr:to>
    <xdr:sp macro="" textlink="">
      <xdr:nvSpPr>
        <xdr:cNvPr id="17413" name="Option Button 5" hidden="1">
          <a:extLst>
            <a:ext uri="{63B3BB69-23CF-44E3-9099-C40C66FF867C}">
              <a14:compatExt xmlns:a14="http://schemas.microsoft.com/office/drawing/2010/main" spid="_x0000_s17413"/>
            </a:ext>
            <a:ext uri="{FF2B5EF4-FFF2-40B4-BE49-F238E27FC236}">
              <a16:creationId xmlns:a16="http://schemas.microsoft.com/office/drawing/2014/main" id="{00000000-0008-0000-0300-000005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186417</xdr:colOff>
      <xdr:row>5</xdr:row>
      <xdr:rowOff>39462</xdr:rowOff>
    </xdr:from>
    <xdr:to>
      <xdr:col>14</xdr:col>
      <xdr:colOff>781917</xdr:colOff>
      <xdr:row>6</xdr:row>
      <xdr:rowOff>123825</xdr:rowOff>
    </xdr:to>
    <xdr:sp macro="[0]!EXCEL_BackOrder_BOTH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740617" y="1134837"/>
          <a:ext cx="1548000" cy="303438"/>
        </a:xfrm>
        <a:prstGeom prst="bevel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5</xdr:col>
      <xdr:colOff>57150</xdr:colOff>
      <xdr:row>2</xdr:row>
      <xdr:rowOff>0</xdr:rowOff>
    </xdr:from>
    <xdr:to>
      <xdr:col>5</xdr:col>
      <xdr:colOff>904875</xdr:colOff>
      <xdr:row>4</xdr:row>
      <xdr:rowOff>114300</xdr:rowOff>
    </xdr:to>
    <xdr:sp macro="" textlink="">
      <xdr:nvSpPr>
        <xdr:cNvPr id="17417" name="Button 9" hidden="1">
          <a:extLst>
            <a:ext uri="{63B3BB69-23CF-44E3-9099-C40C66FF867C}">
              <a14:compatExt xmlns:a14="http://schemas.microsoft.com/office/drawing/2010/main" spid="_x0000_s17417"/>
            </a:ext>
            <a:ext uri="{FF2B5EF4-FFF2-40B4-BE49-F238E27FC236}">
              <a16:creationId xmlns:a16="http://schemas.microsoft.com/office/drawing/2014/main" id="{00000000-0008-0000-0300-000009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SF米国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6</xdr:col>
      <xdr:colOff>57150</xdr:colOff>
      <xdr:row>2</xdr:row>
      <xdr:rowOff>0</xdr:rowOff>
    </xdr:from>
    <xdr:to>
      <xdr:col>6</xdr:col>
      <xdr:colOff>904875</xdr:colOff>
      <xdr:row>4</xdr:row>
      <xdr:rowOff>114300</xdr:rowOff>
    </xdr:to>
    <xdr:sp macro="" textlink="">
      <xdr:nvSpPr>
        <xdr:cNvPr id="17418" name="Button 10" hidden="1">
          <a:extLst>
            <a:ext uri="{63B3BB69-23CF-44E3-9099-C40C66FF867C}">
              <a14:compatExt xmlns:a14="http://schemas.microsoft.com/office/drawing/2010/main" spid="_x0000_s17418"/>
            </a:ext>
            <a:ext uri="{FF2B5EF4-FFF2-40B4-BE49-F238E27FC236}">
              <a16:creationId xmlns:a16="http://schemas.microsoft.com/office/drawing/2014/main" id="{00000000-0008-0000-0300-00000A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SF大阪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7</xdr:col>
      <xdr:colOff>57150</xdr:colOff>
      <xdr:row>2</xdr:row>
      <xdr:rowOff>0</xdr:rowOff>
    </xdr:from>
    <xdr:to>
      <xdr:col>7</xdr:col>
      <xdr:colOff>904875</xdr:colOff>
      <xdr:row>4</xdr:row>
      <xdr:rowOff>114300</xdr:rowOff>
    </xdr:to>
    <xdr:sp macro="" textlink="">
      <xdr:nvSpPr>
        <xdr:cNvPr id="17422" name="Button 14" hidden="1">
          <a:extLst>
            <a:ext uri="{63B3BB69-23CF-44E3-9099-C40C66FF867C}">
              <a14:compatExt xmlns:a14="http://schemas.microsoft.com/office/drawing/2010/main" spid="_x0000_s17422"/>
            </a:ext>
            <a:ext uri="{FF2B5EF4-FFF2-40B4-BE49-F238E27FC236}">
              <a16:creationId xmlns:a16="http://schemas.microsoft.com/office/drawing/2014/main" id="{00000000-0008-0000-0300-00000E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明細を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クリア</a:t>
          </a:r>
        </a:p>
      </xdr:txBody>
    </xdr:sp>
    <xdr:clientData fPrintsWithSheet="0"/>
  </xdr:twoCellAnchor>
  <xdr:twoCellAnchor>
    <xdr:from>
      <xdr:col>8</xdr:col>
      <xdr:colOff>49306</xdr:colOff>
      <xdr:row>1</xdr:row>
      <xdr:rowOff>219075</xdr:rowOff>
    </xdr:from>
    <xdr:to>
      <xdr:col>8</xdr:col>
      <xdr:colOff>897031</xdr:colOff>
      <xdr:row>4</xdr:row>
      <xdr:rowOff>114300</xdr:rowOff>
    </xdr:to>
    <xdr:sp macro="" textlink="">
      <xdr:nvSpPr>
        <xdr:cNvPr id="17427" name="Button 19" hidden="1">
          <a:extLst>
            <a:ext uri="{63B3BB69-23CF-44E3-9099-C40C66FF867C}">
              <a14:compatExt xmlns:a14="http://schemas.microsoft.com/office/drawing/2010/main" spid="_x0000_s17427"/>
            </a:ext>
            <a:ext uri="{FF2B5EF4-FFF2-40B4-BE49-F238E27FC236}">
              <a16:creationId xmlns:a16="http://schemas.microsoft.com/office/drawing/2014/main" id="{00000000-0008-0000-0300-000013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改ページ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設定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228600</xdr:rowOff>
        </xdr:from>
        <xdr:to>
          <xdr:col>6</xdr:col>
          <xdr:colOff>333375</xdr:colOff>
          <xdr:row>17</xdr:row>
          <xdr:rowOff>0</xdr:rowOff>
        </xdr:to>
        <xdr:sp macro="" textlink="">
          <xdr:nvSpPr>
            <xdr:cNvPr id="50177" name="Option 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228600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3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228600</xdr:rowOff>
        </xdr:from>
        <xdr:to>
          <xdr:col>6</xdr:col>
          <xdr:colOff>314325</xdr:colOff>
          <xdr:row>17</xdr:row>
          <xdr:rowOff>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15</xdr:row>
          <xdr:rowOff>228600</xdr:rowOff>
        </xdr:from>
        <xdr:to>
          <xdr:col>7</xdr:col>
          <xdr:colOff>276225</xdr:colOff>
          <xdr:row>17</xdr:row>
          <xdr:rowOff>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4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4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4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4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4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</xdr:row>
          <xdr:rowOff>38100</xdr:rowOff>
        </xdr:from>
        <xdr:to>
          <xdr:col>5</xdr:col>
          <xdr:colOff>942975</xdr:colOff>
          <xdr:row>5</xdr:row>
          <xdr:rowOff>85725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19050</xdr:rowOff>
        </xdr:from>
        <xdr:to>
          <xdr:col>8</xdr:col>
          <xdr:colOff>876300</xdr:colOff>
          <xdr:row>4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注文明細コピー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38100</xdr:rowOff>
        </xdr:from>
        <xdr:to>
          <xdr:col>6</xdr:col>
          <xdr:colOff>914400</xdr:colOff>
          <xdr:row>5</xdr:row>
          <xdr:rowOff>85725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注記クリア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7</xdr:col>
          <xdr:colOff>885825</xdr:colOff>
          <xdr:row>5</xdr:row>
          <xdr:rowOff>85725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メモクリア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38100</xdr:rowOff>
        </xdr:from>
        <xdr:to>
          <xdr:col>8</xdr:col>
          <xdr:colOff>876300</xdr:colOff>
          <xdr:row>5</xdr:row>
          <xdr:rowOff>85725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56030</xdr:colOff>
      <xdr:row>2</xdr:row>
      <xdr:rowOff>49999</xdr:rowOff>
    </xdr:from>
    <xdr:to>
      <xdr:col>10</xdr:col>
      <xdr:colOff>526676</xdr:colOff>
      <xdr:row>4</xdr:row>
      <xdr:rowOff>131641</xdr:rowOff>
    </xdr:to>
    <xdr:sp macro="[0]!PDF_発注書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668001" y="419793"/>
          <a:ext cx="1423146" cy="417819"/>
        </a:xfrm>
        <a:prstGeom prst="bevel">
          <a:avLst/>
        </a:prstGeom>
        <a:ln w="12700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PDF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10</xdr:col>
      <xdr:colOff>593913</xdr:colOff>
      <xdr:row>2</xdr:row>
      <xdr:rowOff>44824</xdr:rowOff>
    </xdr:from>
    <xdr:to>
      <xdr:col>11</xdr:col>
      <xdr:colOff>302559</xdr:colOff>
      <xdr:row>4</xdr:row>
      <xdr:rowOff>131641</xdr:rowOff>
    </xdr:to>
    <xdr:sp macro="[0]!EXCEL_発注書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58384" y="414618"/>
          <a:ext cx="1423146" cy="422994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EXCEL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5</xdr:row>
          <xdr:rowOff>228600</xdr:rowOff>
        </xdr:from>
        <xdr:to>
          <xdr:col>22</xdr:col>
          <xdr:colOff>323850</xdr:colOff>
          <xdr:row>7</xdr:row>
          <xdr:rowOff>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133350</xdr:colOff>
          <xdr:row>5</xdr:row>
          <xdr:rowOff>228600</xdr:rowOff>
        </xdr:from>
        <xdr:to>
          <xdr:col>26</xdr:col>
          <xdr:colOff>66675</xdr:colOff>
          <xdr:row>7</xdr:row>
          <xdr:rowOff>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001/Desktop/Outerwear%20Quotation%20=%20Offer%20List%20=%2030-JULY-2019/Updated%20Price%20List%20by%20Dickson%20-%2015-JULY-2022/20220715%20%20EU%20USA%20Market%20Price%20List%20US%20with%20new%20column%20heading-15JULY2022.xlsm" TargetMode="External"/><Relationship Id="rId1" Type="http://schemas.openxmlformats.org/officeDocument/2006/relationships/externalLinkPath" Target="/Users/User001/Desktop/Outerwear%20Quotation%20=%20Offer%20List%20=%2030-JULY-2019/Updated%20Price%20List%20by%20Dickson%20-%2015-JULY-2022/20220715%20%20EU%20USA%20Market%20Price%20List%20US%20with%20new%20column%20heading-15JULY202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.hamada\Box\&#20849;&#29992;\D-Order\Invoice\&#21315;&#33865;%20NY-Backorder%20%20-%2020221227&#65374;.xlsm" TargetMode="External"/><Relationship Id="rId1" Type="http://schemas.openxmlformats.org/officeDocument/2006/relationships/externalLinkPath" Target="&#21315;&#33865;%20NY-Backorder%20%20-%2020221227&#653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w To"/>
      <sheetName val="OfferList"/>
      <sheetName val="History"/>
      <sheetName val="Unit_List"/>
      <sheetName val="Master"/>
    </sheetNames>
    <sheetDataSet>
      <sheetData sheetId="0"/>
      <sheetData sheetId="1"/>
      <sheetData sheetId="2"/>
      <sheetData sheetId="3"/>
      <sheetData sheetId="4">
        <row r="2">
          <cell r="D2" t="str">
            <v>FOB Qingdao China</v>
          </cell>
          <cell r="K2" t="str">
            <v>USD</v>
          </cell>
        </row>
        <row r="3">
          <cell r="D3" t="str">
            <v>FOB Chiang Mai Thailand</v>
          </cell>
          <cell r="K3" t="str">
            <v>RMB</v>
          </cell>
        </row>
        <row r="4">
          <cell r="D4" t="str">
            <v>FOB</v>
          </cell>
          <cell r="K4" t="str">
            <v>EUR</v>
          </cell>
        </row>
        <row r="5">
          <cell r="D5" t="str">
            <v>CIF by air or courier</v>
          </cell>
          <cell r="K5" t="str">
            <v>THB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Y BackOrder"/>
      <sheetName val="取引先マスタ"/>
      <sheetName val="仕入先マスタ"/>
      <sheetName val="Invoice(SF米国)"/>
      <sheetName val="Invoice(SF大阪)"/>
      <sheetName val="発注書"/>
      <sheetName val="carton mark "/>
      <sheetName val="顧客連絡用シート"/>
      <sheetName val="Sheet2"/>
      <sheetName val="Sheet3"/>
      <sheetName val="Sheet1"/>
      <sheetName val="Invoice(Sample)"/>
    </sheetNames>
    <sheetDataSet>
      <sheetData sheetId="0"/>
      <sheetData sheetId="1">
        <row r="1">
          <cell r="C1" t="str">
            <v>(SELECT) - 顧客名</v>
          </cell>
          <cell r="D1" t="str">
            <v>ZIP CODE</v>
          </cell>
          <cell r="E1" t="str">
            <v>ADDRESS 1</v>
          </cell>
          <cell r="F1" t="str">
            <v>ADDRESS 2</v>
          </cell>
          <cell r="G1" t="str">
            <v>COUNTRY</v>
          </cell>
          <cell r="H1" t="str">
            <v>TEL</v>
          </cell>
          <cell r="I1" t="str">
            <v>ATTENTION</v>
          </cell>
          <cell r="J1" t="str">
            <v>Courier Account#</v>
          </cell>
        </row>
        <row r="2">
          <cell r="C2" t="str">
            <v>3.1 PHILLIP LIM, LLC</v>
          </cell>
          <cell r="D2">
            <v>10003</v>
          </cell>
          <cell r="E2" t="str">
            <v>18E 16th Street 4th Floor  </v>
          </cell>
          <cell r="F2" t="str">
            <v>NEW YORK, NY</v>
          </cell>
          <cell r="G2" t="str">
            <v>U.S.A.</v>
          </cell>
          <cell r="J2" t="str">
            <v>FedEx 949315037</v>
          </cell>
        </row>
        <row r="3">
          <cell r="C3" t="str">
            <v>A&amp;Feng Fashion Ltd.(HK)</v>
          </cell>
          <cell r="E3" t="str">
            <v>Rm 702 7/F, New Tech Plaza</v>
          </cell>
          <cell r="F3" t="str">
            <v>34 Tai Yau Street,San Po Kong, Kowloon, Hong Kong</v>
          </cell>
          <cell r="G3" t="str">
            <v>CHINA</v>
          </cell>
          <cell r="H3" t="str">
            <v>Tel: 852 2761 0390</v>
          </cell>
        </row>
        <row r="4">
          <cell r="C4" t="str">
            <v>A&amp;Feng Fashion Ltd.(Shenzhen)</v>
          </cell>
          <cell r="D4">
            <v>518120</v>
          </cell>
          <cell r="E4" t="str">
            <v xml:space="preserve">Bldg B,  Sunny Ind. Zone Hezhou, Xixiang, </v>
          </cell>
          <cell r="F4" t="str">
            <v xml:space="preserve">Bao’an Shenzhen, </v>
          </cell>
          <cell r="G4" t="str">
            <v>CHINA</v>
          </cell>
          <cell r="H4" t="str">
            <v>Tel: 86 755 29980767</v>
          </cell>
        </row>
        <row r="5">
          <cell r="C5" t="str">
            <v>Aanchal Apparels Pvt Ltd.</v>
          </cell>
          <cell r="D5">
            <v>400025</v>
          </cell>
          <cell r="E5" t="str">
            <v>4-a 3rd floor, Industry Manor</v>
          </cell>
          <cell r="F5" t="str">
            <v>Appasaheb Marathe Marg, Prabhadevi, Mumbai</v>
          </cell>
          <cell r="G5" t="str">
            <v>INDIA</v>
          </cell>
          <cell r="H5" t="str">
            <v>Tel: 022-40278822</v>
          </cell>
        </row>
        <row r="6">
          <cell r="C6" t="str">
            <v>ALC &amp; CO LLC</v>
          </cell>
          <cell r="D6">
            <v>90014</v>
          </cell>
          <cell r="E6" t="str">
            <v>818 S Broadway Suite 400</v>
          </cell>
          <cell r="F6" t="str">
            <v>Los Angeles, CA</v>
          </cell>
          <cell r="G6" t="str">
            <v>U.S.A.</v>
          </cell>
          <cell r="H6" t="str">
            <v>Tel: 213-670-0214</v>
          </cell>
          <cell r="I6" t="str">
            <v>Jade</v>
          </cell>
        </row>
        <row r="7">
          <cell r="C7" t="str">
            <v>ALEXANDER WANG</v>
          </cell>
          <cell r="D7">
            <v>10013</v>
          </cell>
          <cell r="E7" t="str">
            <v>386 Broadway 6th Floor</v>
          </cell>
          <cell r="F7" t="str">
            <v>New York, NY</v>
          </cell>
          <cell r="G7" t="str">
            <v>U.S.A.</v>
          </cell>
          <cell r="H7" t="str">
            <v>Tel: 212-532-3103</v>
          </cell>
        </row>
        <row r="8">
          <cell r="C8" t="str">
            <v>Alexandra Grecco</v>
          </cell>
          <cell r="D8">
            <v>10018</v>
          </cell>
          <cell r="E8" t="str">
            <v>265 West 37th St. 5FL</v>
          </cell>
          <cell r="F8" t="str">
            <v>New York, NY</v>
          </cell>
          <cell r="G8" t="str">
            <v>U.S.A.</v>
          </cell>
          <cell r="H8" t="str">
            <v>Tel: 646 588 8824</v>
          </cell>
          <cell r="I8" t="str">
            <v>LEIGH REILLY</v>
          </cell>
        </row>
        <row r="9">
          <cell r="C9" t="str">
            <v xml:space="preserve">ALEXIS MABILLE </v>
          </cell>
          <cell r="D9">
            <v>75011</v>
          </cell>
          <cell r="E9" t="str">
            <v>4 BIS ALLEE VERTE</v>
          </cell>
          <cell r="F9" t="str">
            <v>Paris</v>
          </cell>
          <cell r="G9" t="str">
            <v>FRANCE</v>
          </cell>
          <cell r="H9" t="str">
            <v>Tel: 09-5251-2719</v>
          </cell>
          <cell r="I9" t="str">
            <v>STEPHANIE</v>
          </cell>
        </row>
        <row r="10">
          <cell r="C10" t="str">
            <v>Alexis Monsanto Atelier</v>
          </cell>
          <cell r="D10">
            <v>90046</v>
          </cell>
          <cell r="E10" t="str">
            <v>8281 Melrose Ave. suite 206</v>
          </cell>
          <cell r="F10" t="str">
            <v>Los Angeles, CA</v>
          </cell>
          <cell r="G10" t="str">
            <v>U.S.A.</v>
          </cell>
          <cell r="H10" t="str">
            <v>Tel: 323 963 4351</v>
          </cell>
          <cell r="I10" t="str">
            <v>Alexis Monsanto</v>
          </cell>
        </row>
        <row r="11">
          <cell r="C11" t="str">
            <v>ALIX NYC</v>
          </cell>
          <cell r="D11">
            <v>10018</v>
          </cell>
          <cell r="E11" t="str">
            <v>209 W38TH ST SUITE 312</v>
          </cell>
          <cell r="F11" t="str">
            <v>New York, NY</v>
          </cell>
          <cell r="G11" t="str">
            <v>U.S.A.</v>
          </cell>
          <cell r="H11" t="str">
            <v>Tel: 305 609 3841</v>
          </cell>
          <cell r="I11" t="str">
            <v>Tim and Grace</v>
          </cell>
        </row>
        <row r="12">
          <cell r="C12" t="str">
            <v>AMANDA JAMES DESIGN GROUP LLC</v>
          </cell>
          <cell r="D12">
            <v>75207</v>
          </cell>
          <cell r="E12" t="str">
            <v>2050 N Stemmons FWY # 15149</v>
          </cell>
          <cell r="F12" t="str">
            <v>Dallas, TX</v>
          </cell>
          <cell r="G12" t="str">
            <v>U.S.A.</v>
          </cell>
          <cell r="H12" t="str">
            <v>Tel: 424.501.5381</v>
          </cell>
        </row>
        <row r="13">
          <cell r="C13" t="str">
            <v>Amsale Aberra, L.L.C.</v>
          </cell>
          <cell r="D13">
            <v>10018</v>
          </cell>
          <cell r="E13" t="str">
            <v>318 West 39th Street, 12th Flr</v>
          </cell>
          <cell r="F13" t="str">
            <v>New York, NY</v>
          </cell>
          <cell r="G13" t="str">
            <v>U.S.A.</v>
          </cell>
          <cell r="H13" t="str">
            <v>Tel: (212) 971-0170</v>
          </cell>
          <cell r="I13" t="str">
            <v>Sylvia</v>
          </cell>
        </row>
        <row r="14">
          <cell r="C14" t="str">
            <v>Anahit's Studio, LLC</v>
          </cell>
          <cell r="D14">
            <v>90015</v>
          </cell>
          <cell r="E14" t="str">
            <v>112 WWST 9th St. SuitE 909 ,</v>
          </cell>
          <cell r="F14" t="str">
            <v>Los Angeles, CA</v>
          </cell>
          <cell r="G14" t="str">
            <v>U.S.A.</v>
          </cell>
          <cell r="H14" t="str">
            <v>Tel: 626 272 5240</v>
          </cell>
          <cell r="I14" t="str">
            <v>Anahit Jackson</v>
          </cell>
        </row>
        <row r="15">
          <cell r="C15" t="str">
            <v>ANHUI MINMETALS DEVELOPMENT I/E CO. LTD</v>
          </cell>
          <cell r="D15">
            <v>230088</v>
          </cell>
          <cell r="E15" t="str">
            <v>Shen gang park NO 1689 XIYOU road</v>
          </cell>
          <cell r="F15" t="str">
            <v>GAOXING district, Hefei Anhui,</v>
          </cell>
          <cell r="G15" t="str">
            <v>CHINA</v>
          </cell>
          <cell r="H15" t="str">
            <v>Tel: 0086-13955160073</v>
          </cell>
          <cell r="I15" t="str">
            <v>XING LI</v>
          </cell>
        </row>
        <row r="16">
          <cell r="C16" t="str">
            <v>ANKASA LTD / Sachin &amp; Babi</v>
          </cell>
          <cell r="D16">
            <v>10018</v>
          </cell>
          <cell r="E16" t="str">
            <v>132 West 36th Street, 9th Floor</v>
          </cell>
          <cell r="F16" t="str">
            <v>New York, NY</v>
          </cell>
          <cell r="G16" t="str">
            <v>U.S.A.</v>
          </cell>
          <cell r="H16" t="str">
            <v>Tel: (212) 575-1994</v>
          </cell>
        </row>
        <row r="17">
          <cell r="C17" t="str">
            <v>ARE YOU AM I</v>
          </cell>
          <cell r="D17">
            <v>90015</v>
          </cell>
          <cell r="E17" t="str">
            <v>1024 SANTEE ST. SUITE 300</v>
          </cell>
          <cell r="F17" t="str">
            <v>Los Angeles, CA</v>
          </cell>
          <cell r="G17" t="str">
            <v>U.S.A.</v>
          </cell>
          <cell r="H17" t="str">
            <v>Tel: 213.689.5088</v>
          </cell>
        </row>
        <row r="18">
          <cell r="C18" t="str">
            <v>Artsline Company</v>
          </cell>
          <cell r="E18" t="str">
            <v>A2, 11/F, Phase 2, Hang Fung Ind Bldg,</v>
          </cell>
          <cell r="F18" t="str">
            <v>2G, Hok Yuen St., Hung Hom, Kowloon, Hong Kong</v>
          </cell>
          <cell r="G18" t="str">
            <v>CHINA</v>
          </cell>
          <cell r="H18" t="str">
            <v>Tel: 852 2365 7052</v>
          </cell>
          <cell r="I18" t="str">
            <v>Christin Au</v>
          </cell>
        </row>
        <row r="19">
          <cell r="C19" t="str">
            <v>Atelier Marey</v>
          </cell>
          <cell r="D19">
            <v>75002</v>
          </cell>
          <cell r="E19" t="str">
            <v>42 Rue De Clery</v>
          </cell>
          <cell r="F19" t="str">
            <v>Paris</v>
          </cell>
          <cell r="G19" t="str">
            <v>FRANCE</v>
          </cell>
          <cell r="H19" t="str">
            <v>Tel: 33 1422 11203</v>
          </cell>
          <cell r="I19" t="str">
            <v>Linah</v>
          </cell>
        </row>
        <row r="20">
          <cell r="C20" t="str">
            <v>BA&amp;SH</v>
          </cell>
          <cell r="D20">
            <v>75116</v>
          </cell>
          <cell r="E20" t="str">
            <v>67 AVENUE RAYMOND POINCARE,</v>
          </cell>
          <cell r="F20" t="str">
            <v>Paris</v>
          </cell>
          <cell r="G20" t="str">
            <v>FRANCE</v>
          </cell>
          <cell r="H20" t="str">
            <v>Tel: 33-1-4508-1415</v>
          </cell>
          <cell r="I20" t="str">
            <v>MANON</v>
          </cell>
        </row>
        <row r="21">
          <cell r="C21" t="str">
            <v>BAILEY 44</v>
          </cell>
          <cell r="D21">
            <v>90058</v>
          </cell>
          <cell r="E21" t="str">
            <v>4700 S. BOYLE AVENUE</v>
          </cell>
          <cell r="F21" t="str">
            <v>Vernon, CA</v>
          </cell>
          <cell r="G21" t="str">
            <v>U.S.A.</v>
          </cell>
          <cell r="H21" t="str">
            <v>Tel: 213.228.1930</v>
          </cell>
          <cell r="I21" t="str">
            <v>Lizette</v>
          </cell>
        </row>
        <row r="22">
          <cell r="C22" t="str">
            <v>Beach Riot</v>
          </cell>
          <cell r="D22">
            <v>92663</v>
          </cell>
          <cell r="E22" t="str">
            <v>828 production place</v>
          </cell>
          <cell r="F22" t="str">
            <v>Newport Beach, CA</v>
          </cell>
          <cell r="G22" t="str">
            <v>U.S.A.</v>
          </cell>
          <cell r="H22" t="str">
            <v>Tel: 949.966.0108</v>
          </cell>
          <cell r="I22" t="str">
            <v>Kat Eyanson</v>
          </cell>
        </row>
        <row r="23">
          <cell r="C23" t="str">
            <v>Belle Atelier</v>
          </cell>
          <cell r="D23">
            <v>60647</v>
          </cell>
          <cell r="E23" t="str">
            <v>1755 n Damen Ave #c2 REAR</v>
          </cell>
          <cell r="F23" t="str">
            <v>chicago IL</v>
          </cell>
          <cell r="G23" t="str">
            <v>U.S.A.</v>
          </cell>
          <cell r="H23" t="str">
            <v>Tel: 773 365 1751</v>
          </cell>
          <cell r="I23" t="str">
            <v>Giselle</v>
          </cell>
        </row>
        <row r="24">
          <cell r="C24" t="str">
            <v>BENDA BILI S.A.S / SEZANE</v>
          </cell>
          <cell r="D24">
            <v>75002</v>
          </cell>
          <cell r="E24" t="str">
            <v>12 RUE D'UZES 2EME ETAGE</v>
          </cell>
          <cell r="F24" t="str">
            <v>Paris</v>
          </cell>
          <cell r="G24" t="str">
            <v>FRANCE</v>
          </cell>
          <cell r="H24" t="str">
            <v>Tel: 01-77-38-81-95</v>
          </cell>
          <cell r="I24" t="str">
            <v>Clemence</v>
          </cell>
        </row>
        <row r="25">
          <cell r="C25" t="str">
            <v>BIBHU MOHAPATRA</v>
          </cell>
          <cell r="D25">
            <v>10013</v>
          </cell>
          <cell r="E25" t="str">
            <v>39 North Moore Street, Store Entrance</v>
          </cell>
          <cell r="F25" t="str">
            <v>New York, NY</v>
          </cell>
          <cell r="G25" t="str">
            <v>U.S.A.</v>
          </cell>
          <cell r="H25" t="str">
            <v>Tel: 212.579.2095</v>
          </cell>
        </row>
        <row r="26">
          <cell r="C26" t="str">
            <v>BONPOINT SAS</v>
          </cell>
          <cell r="D26">
            <v>75116</v>
          </cell>
          <cell r="E26" t="str">
            <v>62 AVENUE D’IENA</v>
          </cell>
          <cell r="F26" t="str">
            <v>Paris</v>
          </cell>
          <cell r="G26" t="str">
            <v>FRANCE</v>
          </cell>
          <cell r="H26" t="str">
            <v>Tel: 33(0)1-40-62-76-20</v>
          </cell>
          <cell r="I26" t="str">
            <v>Nadia</v>
          </cell>
        </row>
        <row r="27">
          <cell r="C27" t="str">
            <v>BRILLIANT Invest Co.</v>
          </cell>
          <cell r="D27">
            <v>4004</v>
          </cell>
          <cell r="E27" t="str">
            <v>40, Tzar Boris III Obedinitel Blvd</v>
          </cell>
          <cell r="F27" t="str">
            <v>4004 Plovdiv</v>
          </cell>
          <cell r="G27" t="str">
            <v>BULGARIA</v>
          </cell>
          <cell r="H27" t="str">
            <v>Tel: 0035 932 218 326</v>
          </cell>
          <cell r="I27" t="str">
            <v>Albena</v>
          </cell>
        </row>
        <row r="28">
          <cell r="C28" t="str">
            <v>Bsquare holdings LTD</v>
          </cell>
          <cell r="D28">
            <v>10013</v>
          </cell>
          <cell r="E28" t="str">
            <v>39 North moore street, store entrance</v>
          </cell>
          <cell r="F28" t="str">
            <v>New York, NY</v>
          </cell>
          <cell r="G28" t="str">
            <v>U.S.A.</v>
          </cell>
          <cell r="H28" t="str">
            <v>Tel: 212 944 5757</v>
          </cell>
        </row>
        <row r="29">
          <cell r="C29" t="str">
            <v>BURNING TORCH</v>
          </cell>
          <cell r="D29">
            <v>90007</v>
          </cell>
          <cell r="E29" t="str">
            <v>1738 CORDOVA ST</v>
          </cell>
          <cell r="F29" t="str">
            <v>Los Angeles, CA</v>
          </cell>
          <cell r="G29" t="str">
            <v>U.S.A.</v>
          </cell>
          <cell r="H29" t="str">
            <v>Tel: 323.733.7700</v>
          </cell>
          <cell r="I29" t="str">
            <v>Amy</v>
          </cell>
        </row>
        <row r="30">
          <cell r="C30" t="str">
            <v>CAMPO LONGO INDUSTRIA E COMERCIO VESTUARIO LDA.,</v>
          </cell>
          <cell r="D30">
            <v>4475309</v>
          </cell>
          <cell r="E30" t="str">
            <v>TRAVESSA DA ALEGRIA 77,</v>
          </cell>
          <cell r="F30" t="str">
            <v xml:space="preserve">MILHEIROS, </v>
          </cell>
          <cell r="G30" t="str">
            <v xml:space="preserve">PORTUGAL </v>
          </cell>
          <cell r="H30" t="str">
            <v>Tel: 917-592-2967</v>
          </cell>
        </row>
        <row r="31">
          <cell r="C31" t="str">
            <v>CAPITAL CUTTING</v>
          </cell>
          <cell r="D31">
            <v>10018</v>
          </cell>
          <cell r="E31" t="str">
            <v>318 WEST 39TH STREET 3RD FLOOR</v>
          </cell>
          <cell r="F31" t="str">
            <v>NEW YORK, NY</v>
          </cell>
          <cell r="G31" t="str">
            <v>U.S.A.</v>
          </cell>
          <cell r="J31" t="str">
            <v>FedEx 726188874</v>
          </cell>
        </row>
        <row r="32">
          <cell r="C32" t="str">
            <v>Carolina Herrera</v>
          </cell>
          <cell r="D32">
            <v>10018</v>
          </cell>
          <cell r="E32" t="str">
            <v>501 7th Avenue 16FL</v>
          </cell>
          <cell r="F32" t="str">
            <v>New York, NY</v>
          </cell>
          <cell r="G32" t="str">
            <v>U.S.A.</v>
          </cell>
          <cell r="H32" t="str">
            <v>Tel:212 944 5757</v>
          </cell>
          <cell r="I32" t="str">
            <v>Alonso</v>
          </cell>
        </row>
        <row r="33">
          <cell r="C33" t="str">
            <v>Casablanca</v>
          </cell>
          <cell r="D33" t="str">
            <v>E8 3RL</v>
          </cell>
          <cell r="E33" t="str">
            <v>NETIL HOUSE, SUITE 204, 1 WESTGATE STREET,</v>
          </cell>
          <cell r="F33" t="str">
            <v>London</v>
          </cell>
          <cell r="G33" t="str">
            <v>U.K.</v>
          </cell>
          <cell r="H33" t="str">
            <v>Tel: 44 07784 682678</v>
          </cell>
          <cell r="I33" t="str">
            <v>Valbona / Yasmine</v>
          </cell>
        </row>
        <row r="34">
          <cell r="C34" t="str">
            <v>Centric West LLC</v>
          </cell>
          <cell r="D34">
            <v>27406</v>
          </cell>
          <cell r="E34" t="str">
            <v>620 South Elm Street</v>
          </cell>
          <cell r="F34" t="str">
            <v>Greensboro, NC</v>
          </cell>
          <cell r="G34" t="str">
            <v>U.S.A.</v>
          </cell>
          <cell r="I34" t="str">
            <v>RefJoe’s Jeans</v>
          </cell>
        </row>
        <row r="35">
          <cell r="C35" t="str">
            <v>CHANGZHOU HUALIDA GARMENTS Group</v>
          </cell>
          <cell r="D35">
            <v>213000</v>
          </cell>
          <cell r="E35" t="str">
            <v>No. 958 Laodong East Rd</v>
          </cell>
          <cell r="F35" t="str">
            <v>Changzhou, Jiangsu</v>
          </cell>
          <cell r="G35" t="str">
            <v xml:space="preserve">CHINA  </v>
          </cell>
          <cell r="H35" t="str">
            <v>Tel: 86 519 83870739</v>
          </cell>
          <cell r="I35" t="str">
            <v>Jerrica/Roi Robinson Wang</v>
          </cell>
        </row>
        <row r="36">
          <cell r="C36" t="str">
            <v>CHAOZHOU YADA EMBROIDERY GARMENT INDUSTRIAL CO.,LTD.</v>
          </cell>
          <cell r="D36">
            <v>521000</v>
          </cell>
          <cell r="E36" t="str">
            <v>North 3rd Road, North Industrial Zone, ChaoZhou Avenue</v>
          </cell>
          <cell r="F36" t="str">
            <v>CHAOZHOU CITY,GUANGDONG,</v>
          </cell>
          <cell r="G36" t="str">
            <v>CHINA</v>
          </cell>
          <cell r="H36" t="str">
            <v>Tel: 323.225.9525</v>
          </cell>
        </row>
        <row r="37">
          <cell r="C37" t="str">
            <v>CHENFENG (JIANGSU) APPAREL CO.,LTD</v>
          </cell>
          <cell r="D37">
            <v>213200</v>
          </cell>
          <cell r="E37" t="str">
            <v>NO.99JIN HU road, Jintan District</v>
          </cell>
          <cell r="F37" t="str">
            <v>Changzhou, Jiangsu</v>
          </cell>
          <cell r="G37" t="str">
            <v>CHINA</v>
          </cell>
          <cell r="H37" t="str">
            <v xml:space="preserve">Tel: 0519-82698844 </v>
          </cell>
          <cell r="I37" t="str">
            <v>Bella</v>
          </cell>
        </row>
        <row r="38">
          <cell r="C38" t="str">
            <v>CHINA FENG FASHION (SHENZHEN)LTD</v>
          </cell>
          <cell r="D38">
            <v>518000</v>
          </cell>
          <cell r="E38" t="str">
            <v>5-7 FLOOR,BLGD B3，SUNNY IND.PARK,</v>
          </cell>
          <cell r="F38" t="str">
            <v xml:space="preserve">NO.2-3,HEZHOU SOUTHERN IND .ZONE,SHENZHEN, </v>
          </cell>
          <cell r="G38" t="str">
            <v>CHINA</v>
          </cell>
          <cell r="H38" t="str">
            <v>Tel: (86) 755 29980940-818</v>
          </cell>
        </row>
        <row r="39">
          <cell r="C39" t="str">
            <v>China Ting Group Co., LTD</v>
          </cell>
          <cell r="D39">
            <v>311100</v>
          </cell>
          <cell r="E39" t="str">
            <v>4FL, No. 56 Beisha East Rd.</v>
          </cell>
          <cell r="F39" t="str">
            <v xml:space="preserve">Yuhang Economic Development Zone, HangZhou </v>
          </cell>
          <cell r="G39" t="str">
            <v>CHINA</v>
          </cell>
          <cell r="H39" t="str">
            <v>Tel: 86 57186259028</v>
          </cell>
          <cell r="I39" t="str">
            <v>Yukishu</v>
          </cell>
        </row>
        <row r="40">
          <cell r="C40" t="str">
            <v>CHINAMINE TRADING LIMITED</v>
          </cell>
          <cell r="E40" t="str">
            <v>Room 2805, 28/F</v>
          </cell>
          <cell r="F40" t="str">
            <v>No. 1 Hung To Road, Kwun Tong, Kowloon, Hong Kong</v>
          </cell>
          <cell r="G40" t="str">
            <v>CHINA</v>
          </cell>
        </row>
        <row r="41">
          <cell r="C41" t="str">
            <v>CHINAMINE TRADING LTD.</v>
          </cell>
          <cell r="E41" t="str">
            <v xml:space="preserve">RM 2802-2815, 28/F No. 1 Hung To Road </v>
          </cell>
          <cell r="F41" t="str">
            <v>Kwun Tong Kowloon, Hong Kong</v>
          </cell>
          <cell r="G41" t="str">
            <v>CHINA</v>
          </cell>
          <cell r="H41" t="str">
            <v>Tel: 29505305</v>
          </cell>
          <cell r="I41" t="str">
            <v>Kay Lee</v>
          </cell>
        </row>
        <row r="42">
          <cell r="C42" t="str">
            <v>Christy Dawn</v>
          </cell>
          <cell r="D42">
            <v>90011</v>
          </cell>
          <cell r="E42" t="str">
            <v>2115 South San Pedro</v>
          </cell>
          <cell r="F42" t="str">
            <v>Los Angeles, CA</v>
          </cell>
          <cell r="G42" t="str">
            <v>U.S.A.</v>
          </cell>
          <cell r="H42" t="str">
            <v>Tel: 323 481 1928</v>
          </cell>
        </row>
        <row r="43">
          <cell r="C43" t="str">
            <v>CIAO LUCIA</v>
          </cell>
          <cell r="D43">
            <v>90039</v>
          </cell>
          <cell r="E43" t="str">
            <v>2930 DENBY AVENUE, STUDIO B,</v>
          </cell>
          <cell r="F43" t="str">
            <v>Los Angeles, CA</v>
          </cell>
          <cell r="G43" t="str">
            <v>U.S.A.</v>
          </cell>
          <cell r="H43" t="str">
            <v>Tel: 385-856-6836</v>
          </cell>
        </row>
        <row r="44">
          <cell r="C44" t="str">
            <v>Classita (M) Sdn Bhd</v>
          </cell>
          <cell r="D44">
            <v>36000</v>
          </cell>
          <cell r="E44" t="str">
            <v>Lot 2661, 3rd Mile</v>
          </cell>
          <cell r="F44" t="str">
            <v xml:space="preserve">Jalan Maharajalela, 36000 Teluk Intan, Perak Darul Ridzuan, </v>
          </cell>
          <cell r="G44" t="str">
            <v>MALAYSIA</v>
          </cell>
          <cell r="H44" t="str">
            <v>Tel: 605-621-8888</v>
          </cell>
        </row>
        <row r="45">
          <cell r="C45" t="str">
            <v>Claudie Pierlot</v>
          </cell>
          <cell r="D45">
            <v>75001</v>
          </cell>
          <cell r="E45" t="str">
            <v>2 rue de Marengo</v>
          </cell>
          <cell r="F45" t="str">
            <v>Paris</v>
          </cell>
          <cell r="G45" t="str">
            <v>FRANCE</v>
          </cell>
          <cell r="H45" t="str">
            <v>Tel: 33 (0) 1 58 16 25 00</v>
          </cell>
          <cell r="I45" t="str">
            <v>Clotilde Le Marchand</v>
          </cell>
        </row>
        <row r="46">
          <cell r="C46" t="str">
            <v>Coach/Tapestry</v>
          </cell>
          <cell r="D46">
            <v>10001</v>
          </cell>
          <cell r="E46" t="str">
            <v>10 Hudson Yard 16FL</v>
          </cell>
          <cell r="F46" t="str">
            <v>New York, NY</v>
          </cell>
          <cell r="G46" t="str">
            <v>U.S.A.</v>
          </cell>
          <cell r="H46" t="str">
            <v>Tel: 212 629 2215</v>
          </cell>
          <cell r="I46" t="str">
            <v>Clay Smith</v>
          </cell>
        </row>
        <row r="47">
          <cell r="C47" t="str">
            <v>Courreges</v>
          </cell>
          <cell r="D47">
            <v>75008</v>
          </cell>
          <cell r="E47" t="str">
            <v xml:space="preserve">40 rue Fran?ois 1er, </v>
          </cell>
          <cell r="F47" t="str">
            <v>Paris</v>
          </cell>
          <cell r="G47" t="str">
            <v>FRANCE</v>
          </cell>
          <cell r="H47" t="str">
            <v>Tel: 33 6 86 61 35 36</v>
          </cell>
          <cell r="I47" t="str">
            <v>Olivia NOUET</v>
          </cell>
        </row>
        <row r="48">
          <cell r="C48" t="str">
            <v>CQY</v>
          </cell>
          <cell r="D48">
            <v>90277</v>
          </cell>
          <cell r="E48" t="str">
            <v>410 N Paulina Ave.</v>
          </cell>
          <cell r="F48" t="str">
            <v>Redondo Beach, CA</v>
          </cell>
          <cell r="G48" t="str">
            <v>U.S.A.</v>
          </cell>
        </row>
        <row r="49">
          <cell r="C49" t="str">
            <v>CREATIONS BY SHANAGAR</v>
          </cell>
          <cell r="D49">
            <v>400001</v>
          </cell>
          <cell r="E49" t="str">
            <v>2-B, Grotto Villa</v>
          </cell>
          <cell r="F49" t="str">
            <v>2nd hasnabad lane, MUMBAI, 27 Maharashtra</v>
          </cell>
          <cell r="G49" t="str">
            <v>INDIA</v>
          </cell>
        </row>
        <row r="50">
          <cell r="C50" t="str">
            <v>CREATIVE DESIGN MANAGEMENT EDGARDO BONILLA BRIDAL</v>
          </cell>
          <cell r="D50" t="str">
            <v>08057</v>
          </cell>
          <cell r="E50" t="str">
            <v>One Executive Drive, Suite 3</v>
          </cell>
          <cell r="F50" t="str">
            <v>Moorestown, NJ</v>
          </cell>
          <cell r="G50" t="str">
            <v>U.S.A.</v>
          </cell>
        </row>
        <row r="51">
          <cell r="C51" t="str">
            <v>Cymbeline</v>
          </cell>
          <cell r="D51">
            <v>77210</v>
          </cell>
          <cell r="E51" t="str">
            <v>2 rue Gambetta</v>
          </cell>
          <cell r="F51" t="str">
            <v>Avon</v>
          </cell>
          <cell r="G51" t="str">
            <v>FRANCE</v>
          </cell>
          <cell r="H51" t="str">
            <v>Tel: 33 1 64 78 56 50</v>
          </cell>
          <cell r="I51" t="str">
            <v>Lucrece &amp; Annie</v>
          </cell>
        </row>
        <row r="52">
          <cell r="C52" t="str">
            <v>DANIELLE FRANKEL</v>
          </cell>
          <cell r="D52">
            <v>10018</v>
          </cell>
          <cell r="E52" t="str">
            <v>260 West 39th St. suite 1401</v>
          </cell>
          <cell r="F52" t="str">
            <v>New York, NY</v>
          </cell>
          <cell r="G52" t="str">
            <v>U.S.A.</v>
          </cell>
          <cell r="H52" t="str">
            <v>Tel: 503 724 4959</v>
          </cell>
          <cell r="I52" t="str">
            <v>Margo Lafontaine</v>
          </cell>
          <cell r="J52" t="str">
            <v xml:space="preserve">FedEx A/C: 535860300 </v>
          </cell>
        </row>
        <row r="53">
          <cell r="C53" t="str">
            <v>DANNIJO</v>
          </cell>
          <cell r="D53">
            <v>10018</v>
          </cell>
          <cell r="E53" t="str">
            <v>1407 Broadway, Suite #720</v>
          </cell>
          <cell r="F53" t="str">
            <v>New York, NY</v>
          </cell>
          <cell r="G53" t="str">
            <v>U.S.A.</v>
          </cell>
          <cell r="H53" t="str">
            <v>Tel: 212-971-7070</v>
          </cell>
        </row>
        <row r="54">
          <cell r="C54" t="str">
            <v>DDA HOLDINGS, INC</v>
          </cell>
          <cell r="D54">
            <v>90014</v>
          </cell>
          <cell r="E54" t="str">
            <v>Xirena Division, 834 S Broadway # 600</v>
          </cell>
          <cell r="F54" t="str">
            <v>Los Angeles, CA</v>
          </cell>
          <cell r="G54" t="str">
            <v>USA</v>
          </cell>
          <cell r="H54" t="str">
            <v>Tel: 213 624 5200</v>
          </cell>
          <cell r="I54" t="str">
            <v>Adeline Martinez</v>
          </cell>
        </row>
        <row r="55">
          <cell r="C55" t="str">
            <v>DE FURSAC</v>
          </cell>
          <cell r="D55">
            <v>75002</v>
          </cell>
          <cell r="E55" t="str">
            <v>112 rue de Richelieu</v>
          </cell>
          <cell r="F55" t="str">
            <v>Paris</v>
          </cell>
          <cell r="G55" t="str">
            <v>FRANCE</v>
          </cell>
          <cell r="H55" t="str">
            <v>Tel: 331 40 07 49 76</v>
          </cell>
          <cell r="I55" t="str">
            <v>Sarah</v>
          </cell>
        </row>
        <row r="56">
          <cell r="C56" t="str">
            <v>Deutsche Bekleidungswerke Limited</v>
          </cell>
          <cell r="D56">
            <v>850000</v>
          </cell>
          <cell r="E56" t="str">
            <v>Plot P-1A, road no.6, Long Hau IP Expansion Area,</v>
          </cell>
          <cell r="F56" t="str">
            <v xml:space="preserve">Long Hau Commune, Can Giuoc Dist, Long An Province, </v>
          </cell>
          <cell r="G56" t="str">
            <v>VIETNAM</v>
          </cell>
          <cell r="H56" t="str">
            <v>Tel: Tel:  (+84) 36201420</v>
          </cell>
          <cell r="I56" t="str">
            <v>Hana/Tigon</v>
          </cell>
        </row>
        <row r="57">
          <cell r="C57" t="str">
            <v>DUNE BY MARIE LAPORTE SARL</v>
          </cell>
          <cell r="D57">
            <v>75017</v>
          </cell>
          <cell r="E57" t="str">
            <v>48 rue de L?vis</v>
          </cell>
          <cell r="F57" t="str">
            <v>Paris</v>
          </cell>
          <cell r="G57" t="str">
            <v>FRANCE</v>
          </cell>
          <cell r="H57" t="str">
            <v>Tel: 06 21 56 12 65</v>
          </cell>
          <cell r="I57" t="str">
            <v>Marie Voignier</v>
          </cell>
        </row>
        <row r="58">
          <cell r="C58" t="str">
            <v>EAST CONCEPT FASHION LTD</v>
          </cell>
          <cell r="E58" t="str">
            <v>UNIT 1-5, 4/F, WELL TECH CENTER</v>
          </cell>
          <cell r="F58" t="str">
            <v>9 PAT TAT STREET,KOWLOON, HONG KONG</v>
          </cell>
          <cell r="G58" t="str">
            <v>CHINA</v>
          </cell>
          <cell r="H58" t="str">
            <v>Tel: 852 29977828</v>
          </cell>
        </row>
        <row r="59">
          <cell r="C59" t="str">
            <v>East Concept Fashion LTD.</v>
          </cell>
          <cell r="E59" t="str">
            <v>Unit 1-5, 4/F, Well Tech Centre</v>
          </cell>
          <cell r="F59" t="str">
            <v>9 Pat Tat Street, San Po Kong, Kowloon, Hong Kong</v>
          </cell>
          <cell r="G59" t="str">
            <v>CHINA</v>
          </cell>
        </row>
        <row r="60">
          <cell r="C60" t="str">
            <v>Estee Couture</v>
          </cell>
          <cell r="D60">
            <v>91745</v>
          </cell>
          <cell r="E60" t="str">
            <v>16083 Sierra Pass Way</v>
          </cell>
          <cell r="F60" t="str">
            <v>Hacienda Heights, CA</v>
          </cell>
          <cell r="G60" t="str">
            <v>U.S.A.</v>
          </cell>
          <cell r="H60" t="str">
            <v>Tel: Tel: 626-922-7122</v>
          </cell>
        </row>
        <row r="61">
          <cell r="C61" t="str">
            <v>ETAM 1.2.3.</v>
          </cell>
          <cell r="D61">
            <v>92614</v>
          </cell>
          <cell r="E61" t="str">
            <v>57-59 RUE HENRI BARBUSSE</v>
          </cell>
          <cell r="F61" t="str">
            <v>Clichy</v>
          </cell>
          <cell r="G61" t="str">
            <v>FRANCE</v>
          </cell>
          <cell r="H61" t="str">
            <v>Tel: 33-1-5590-7070</v>
          </cell>
          <cell r="I61" t="str">
            <v xml:space="preserve">MS. Isabelle &amp; Nathalie </v>
          </cell>
        </row>
        <row r="62">
          <cell r="C62" t="str">
            <v>EVERYBODY.WORLD</v>
          </cell>
          <cell r="D62">
            <v>90058</v>
          </cell>
          <cell r="E62" t="str">
            <v>5718 S. Santa Fe Ave.</v>
          </cell>
          <cell r="F62" t="str">
            <v>Vernon, CA</v>
          </cell>
          <cell r="G62" t="str">
            <v>U.S.A</v>
          </cell>
          <cell r="H62" t="str">
            <v>Tel: Tel: 310-809-4025</v>
          </cell>
          <cell r="I62" t="str">
            <v>Alice</v>
          </cell>
        </row>
        <row r="63">
          <cell r="C63" t="str">
            <v>F I H Co. Limited</v>
          </cell>
          <cell r="E63" t="str">
            <v xml:space="preserve">A5 17F Goodwill Ind. Bldg. </v>
          </cell>
          <cell r="F63" t="str">
            <v>36-44 Pak Tin Par St., Tsuen Wan, Hong Kong</v>
          </cell>
          <cell r="G63" t="str">
            <v>CHINA</v>
          </cell>
          <cell r="H63" t="str">
            <v>Tel: 84 221 3986 500</v>
          </cell>
        </row>
        <row r="64">
          <cell r="C64" t="str">
            <v>Fenix Fashion Ltd</v>
          </cell>
          <cell r="E64" t="str">
            <v>UG/F., Cobalt Building, 926 Cheung</v>
          </cell>
          <cell r="F64" t="str">
            <v>Kowloon, Hong Kong</v>
          </cell>
          <cell r="G64" t="str">
            <v>CHINA</v>
          </cell>
          <cell r="H64" t="str">
            <v>Tel: 852 23107655</v>
          </cell>
          <cell r="I64" t="str">
            <v>JOHANNA</v>
          </cell>
        </row>
        <row r="65">
          <cell r="C65" t="str">
            <v>FOOK WAH KUN KEE KNITTING FTY., LTD.</v>
          </cell>
          <cell r="E65" t="str">
            <v>9/F., Block B, Po Yip Building,</v>
          </cell>
          <cell r="F65" t="str">
            <v>62-70 Texaco Road, Tsuen Wan, Hong Kong</v>
          </cell>
          <cell r="G65" t="str">
            <v>CHINA</v>
          </cell>
          <cell r="H65" t="str">
            <v>Tel: Tel: 26127117558</v>
          </cell>
          <cell r="I65" t="str">
            <v>Sandy Feng</v>
          </cell>
        </row>
        <row r="66">
          <cell r="C66" t="str">
            <v>Frankies</v>
          </cell>
          <cell r="D66">
            <v>90016</v>
          </cell>
          <cell r="E66" t="str">
            <v>3349 La Cienega Place</v>
          </cell>
          <cell r="F66" t="str">
            <v>Los Angeles, CA</v>
          </cell>
          <cell r="G66" t="str">
            <v>U.S.A.</v>
          </cell>
          <cell r="H66" t="str">
            <v>Tel: 86.754.836.9416</v>
          </cell>
        </row>
        <row r="67">
          <cell r="C67" t="str">
            <v>FRANKIES BIKINIS</v>
          </cell>
          <cell r="D67">
            <v>90292</v>
          </cell>
          <cell r="E67" t="str">
            <v xml:space="preserve">4030 DEL REY AVE </v>
          </cell>
          <cell r="F67" t="str">
            <v>Venice, CA</v>
          </cell>
          <cell r="G67" t="str">
            <v>U.S.A.</v>
          </cell>
        </row>
        <row r="68">
          <cell r="C68" t="str">
            <v>Friendship Manufacturing Co., Ltd.</v>
          </cell>
          <cell r="D68">
            <v>70000</v>
          </cell>
          <cell r="E68" t="str">
            <v>17/6A Phan Huy ich Street, Ward 14</v>
          </cell>
          <cell r="F68" t="str">
            <v>Go Vap District, HCMC,</v>
          </cell>
          <cell r="G68" t="str">
            <v>VIETNAM</v>
          </cell>
          <cell r="H68" t="str">
            <v>Tel: +84 28 62873760</v>
          </cell>
        </row>
        <row r="69">
          <cell r="C69" t="str">
            <v>Global Sourcenet Ltd</v>
          </cell>
          <cell r="D69">
            <v>39000</v>
          </cell>
          <cell r="E69" t="str">
            <v>Minh Khai, Nhu Quynh, Van Lam,</v>
          </cell>
          <cell r="F69" t="str">
            <v>Hung Yen,</v>
          </cell>
          <cell r="G69" t="str">
            <v>VIETNAM</v>
          </cell>
          <cell r="H69" t="str">
            <v>Tel: 323-888-8838</v>
          </cell>
        </row>
        <row r="70">
          <cell r="C70" t="str">
            <v>Gold Flower Ltd.</v>
          </cell>
          <cell r="E70" t="str">
            <v>8/FL, 66-72, Lei Muk Road,</v>
          </cell>
          <cell r="F70" t="str">
            <v>Kwai Chung, N.T. Hong Kong</v>
          </cell>
          <cell r="G70" t="str">
            <v>CHINA</v>
          </cell>
          <cell r="H70" t="str">
            <v>Tel: (+84) 36201420</v>
          </cell>
        </row>
        <row r="71">
          <cell r="C71" t="str">
            <v>Golden Stitching C/O Minnow Swim</v>
          </cell>
          <cell r="D71">
            <v>92704</v>
          </cell>
          <cell r="E71" t="str">
            <v>3348 W Harvard St</v>
          </cell>
          <cell r="F71" t="str">
            <v>Santa Ana, CA</v>
          </cell>
          <cell r="G71" t="str">
            <v>U.S.A.</v>
          </cell>
          <cell r="H71" t="str">
            <v>Tel: 714-838-3110</v>
          </cell>
        </row>
        <row r="72">
          <cell r="C72" t="str">
            <v>Grace Fu</v>
          </cell>
          <cell r="D72">
            <v>10016</v>
          </cell>
          <cell r="E72" t="str">
            <v>231 Lexington Ave #1A</v>
          </cell>
          <cell r="F72" t="str">
            <v>New York, NY</v>
          </cell>
          <cell r="G72" t="str">
            <v>U.S.A.</v>
          </cell>
          <cell r="H72" t="str">
            <v>Tel: Tel: 646 318 8800</v>
          </cell>
          <cell r="I72" t="str">
            <v xml:space="preserve">Grace </v>
          </cell>
        </row>
        <row r="73">
          <cell r="C73" t="str">
            <v>Grace Garment Factory</v>
          </cell>
          <cell r="D73">
            <v>523108</v>
          </cell>
          <cell r="E73" t="str">
            <v>2F 83 Li Chuan Road, Dong Cheng</v>
          </cell>
          <cell r="F73" t="str">
            <v>Li Chuan, Dong Guan</v>
          </cell>
          <cell r="G73" t="str">
            <v>CHINA</v>
          </cell>
          <cell r="H73" t="str">
            <v>Tel: Tel: 0769-22609802</v>
          </cell>
        </row>
        <row r="74">
          <cell r="C74" t="str">
            <v>Greenhill Fashion Knitters</v>
          </cell>
          <cell r="E74" t="str">
            <v xml:space="preserve">Flat 1, 15/F, Room A, Wing Shing Industrial Building, </v>
          </cell>
          <cell r="F74" t="str">
            <v>26 Ng Fong Street, San Po Kong Kowloon, Hong Kong</v>
          </cell>
          <cell r="G74" t="str">
            <v>CHINA</v>
          </cell>
          <cell r="H74" t="str">
            <v>Tel: 818.522.4287</v>
          </cell>
        </row>
        <row r="75">
          <cell r="C75" t="str">
            <v>HANGZHOU HEQI IMPORT AND EXPORT TRADE CO.,LTD</v>
          </cell>
          <cell r="D75">
            <v>311200</v>
          </cell>
          <cell r="E75" t="str">
            <v>2-130,NO.158,HONGXING ROAD,ECONOMIC AND</v>
          </cell>
          <cell r="F75" t="str">
            <v>TECHNOLOGICAL DEVELOPMENT ZONE,XIAOSHAN DISTRICT, HANGZHOU, ZHEJIANG,</v>
          </cell>
          <cell r="G75" t="str">
            <v>CHINA</v>
          </cell>
          <cell r="H75" t="str">
            <v>Tel: 86 13735869749</v>
          </cell>
          <cell r="I75" t="str">
            <v>Faye chen</v>
          </cell>
        </row>
        <row r="76">
          <cell r="C76" t="str">
            <v>Hantex Garments Limited C/O PROTEX INDUSTRIAL (HK) LIMITED</v>
          </cell>
          <cell r="E76" t="str">
            <v xml:space="preserve">FLAT A, 5/F, ON TAT INDUSTRIAL BUILDING, </v>
          </cell>
          <cell r="F76" t="str">
            <v>3-5 PAT TAT STREET, SAN PO KONG, KOWLOON, HONG KONG</v>
          </cell>
          <cell r="G76" t="str">
            <v>CHINA</v>
          </cell>
          <cell r="H76" t="str">
            <v>Tel: (+852) 35211421</v>
          </cell>
          <cell r="I76" t="str">
            <v>Garry</v>
          </cell>
        </row>
        <row r="77">
          <cell r="C77" t="str">
            <v>HAPPY TIMES CAFE LLC</v>
          </cell>
          <cell r="D77">
            <v>11206</v>
          </cell>
          <cell r="E77" t="str">
            <v>349 SCHOLES STREET SUITE 307</v>
          </cell>
          <cell r="F77" t="str">
            <v>Brooklyn, NY</v>
          </cell>
          <cell r="G77" t="str">
            <v>U.S.A.</v>
          </cell>
          <cell r="I77" t="str">
            <v>MIKE ECKHAUS</v>
          </cell>
        </row>
        <row r="78">
          <cell r="C78" t="str">
            <v>Hat Salon</v>
          </cell>
          <cell r="D78">
            <v>10950</v>
          </cell>
          <cell r="E78" t="str">
            <v>5 Stropkov Ct. #101</v>
          </cell>
          <cell r="F78" t="str">
            <v>Monroe, NY</v>
          </cell>
          <cell r="G78" t="str">
            <v>U.S.A.</v>
          </cell>
          <cell r="H78" t="str">
            <v>Tel: 845-783-2069</v>
          </cell>
          <cell r="I78" t="str">
            <v>Malky</v>
          </cell>
        </row>
        <row r="79">
          <cell r="C79" t="str">
            <v>Hellessy</v>
          </cell>
          <cell r="D79">
            <v>10012</v>
          </cell>
          <cell r="E79" t="str">
            <v>270 Lafayette St, Suite 610</v>
          </cell>
          <cell r="F79" t="str">
            <v>New York, NY</v>
          </cell>
          <cell r="G79" t="str">
            <v>U.S.A.</v>
          </cell>
          <cell r="H79" t="str">
            <v>Tel: 646 882 2963</v>
          </cell>
          <cell r="I79" t="str">
            <v>Allan</v>
          </cell>
          <cell r="J79" t="str">
            <v>UPS A/C: 6471TT</v>
          </cell>
        </row>
        <row r="80">
          <cell r="C80" t="str">
            <v>Hellessy C/O Magic Team &amp; Company Ltd.</v>
          </cell>
          <cell r="E80" t="str">
            <v>Room D, 4th Fl., Wing Cheung Industrial Bldg.</v>
          </cell>
          <cell r="F80" t="str">
            <v>109 How Ming St. Kwun Tong, Kowloon, Hong Kong</v>
          </cell>
          <cell r="G80" t="str">
            <v>CHINA</v>
          </cell>
          <cell r="H80" t="str">
            <v>Tel: 323-685-2029</v>
          </cell>
        </row>
        <row r="81">
          <cell r="C81" t="str">
            <v>Hellessy c/o Shantou Huanlong Fashion Limited</v>
          </cell>
          <cell r="D81">
            <v>515041</v>
          </cell>
          <cell r="E81" t="str">
            <v>3-4/Floor, No. 8, West 1 Street, Longxin Indstrial Zone</v>
          </cell>
          <cell r="F81" t="str">
            <v>Longhu District, Shantou</v>
          </cell>
          <cell r="G81" t="str">
            <v>CHINA</v>
          </cell>
          <cell r="H81" t="str">
            <v>Tel: 323.658.7979</v>
          </cell>
        </row>
        <row r="82">
          <cell r="C82" t="str">
            <v>Helmut Lang</v>
          </cell>
          <cell r="D82">
            <v>10014</v>
          </cell>
          <cell r="E82" t="str">
            <v>2 Gansevoort St. 4FL</v>
          </cell>
          <cell r="F82" t="str">
            <v>New York, NY</v>
          </cell>
          <cell r="G82" t="str">
            <v>U.S.A.</v>
          </cell>
          <cell r="H82" t="str">
            <v>Tel: 917.689.8983</v>
          </cell>
        </row>
        <row r="83">
          <cell r="C83" t="str">
            <v>Helmut Lang New York</v>
          </cell>
          <cell r="D83" t="str">
            <v>07071</v>
          </cell>
          <cell r="E83" t="str">
            <v xml:space="preserve">165 Polito Ave, </v>
          </cell>
          <cell r="F83" t="str">
            <v>Lyndhurst, NJ</v>
          </cell>
          <cell r="G83" t="str">
            <v>U.S.A.</v>
          </cell>
          <cell r="I83" t="str">
            <v>Marcel Pawlas</v>
          </cell>
        </row>
        <row r="84">
          <cell r="C84" t="str">
            <v>Henet Pte. Ltd</v>
          </cell>
          <cell r="D84" t="str">
            <v>099253</v>
          </cell>
          <cell r="E84" t="str">
            <v>1 Maritime Square #09-19</v>
          </cell>
          <cell r="F84" t="str">
            <v>Harbourfront Centre</v>
          </cell>
          <cell r="G84" t="str">
            <v>SINGAPORE</v>
          </cell>
          <cell r="H84" t="str">
            <v>Tel: 65 6258 6881</v>
          </cell>
        </row>
        <row r="85">
          <cell r="C85" t="str">
            <v>Hongtex Hong Kong Ltd.</v>
          </cell>
          <cell r="E85" t="str">
            <v>RM2005 20/F NEW TREASURE CENTRE</v>
          </cell>
          <cell r="F85" t="str">
            <v>10NG FONG STREET, SAN PO KONG,  KOWLOON, HONG KONG</v>
          </cell>
          <cell r="G85" t="str">
            <v>CHINA</v>
          </cell>
          <cell r="H85" t="str">
            <v>Tel: 852 23545077</v>
          </cell>
          <cell r="I85" t="str">
            <v>Joanne/Ginny</v>
          </cell>
        </row>
        <row r="86">
          <cell r="C86" t="str">
            <v>HONOR</v>
          </cell>
          <cell r="D86">
            <v>10012</v>
          </cell>
          <cell r="E86" t="str">
            <v>270 Lafayette Street Suite 1209</v>
          </cell>
          <cell r="F86" t="str">
            <v>New York, NY</v>
          </cell>
          <cell r="G86" t="str">
            <v>U.S.A.</v>
          </cell>
          <cell r="H86" t="str">
            <v>Tel: 917-868-1911</v>
          </cell>
          <cell r="I86" t="str">
            <v>Madison Wu</v>
          </cell>
        </row>
        <row r="87">
          <cell r="C87" t="str">
            <v>IDEA 2000 LIMITED</v>
          </cell>
          <cell r="D87">
            <v>314003</v>
          </cell>
          <cell r="E87" t="str">
            <v xml:space="preserve">7/F, Yonglian Buliding, </v>
          </cell>
          <cell r="F87" t="str">
            <v xml:space="preserve">No.188 He Ping Street, Xiuzhou District, Jiaxing, Zhejiang, </v>
          </cell>
          <cell r="G87" t="str">
            <v>CHINA</v>
          </cell>
        </row>
        <row r="88">
          <cell r="C88" t="str">
            <v>IKKS WOMEN-BATIMENT 5</v>
          </cell>
          <cell r="D88">
            <v>49455</v>
          </cell>
          <cell r="E88" t="str">
            <v>SERVICE COMPTABILITE FOURNISS EURS</v>
          </cell>
          <cell r="F88" t="str">
            <v>94,RUE CHOLETAISE 49455 SEVREMOINE</v>
          </cell>
          <cell r="G88" t="str">
            <v>FRANCE</v>
          </cell>
          <cell r="H88" t="str">
            <v>Tel: 02-41-75-97-80</v>
          </cell>
          <cell r="I88" t="str">
            <v>Nadia</v>
          </cell>
        </row>
        <row r="89">
          <cell r="C89" t="str">
            <v>JANE WANG</v>
          </cell>
          <cell r="D89">
            <v>11362</v>
          </cell>
          <cell r="E89" t="str">
            <v>248-25 Northan Blvd, 1J-363</v>
          </cell>
          <cell r="F89" t="str">
            <v>Douglaston, NY 11362</v>
          </cell>
          <cell r="G89" t="str">
            <v>U.S.A.</v>
          </cell>
          <cell r="H89" t="str">
            <v>Tel: 415 250 8391</v>
          </cell>
        </row>
        <row r="90">
          <cell r="C90" t="str">
            <v>JANE WANG LLC</v>
          </cell>
          <cell r="D90">
            <v>11021</v>
          </cell>
          <cell r="E90" t="str">
            <v>33 Great Neck Rd., Suite #6</v>
          </cell>
          <cell r="F90" t="str">
            <v>Great Neck, NY</v>
          </cell>
          <cell r="G90" t="str">
            <v>U.S.A.</v>
          </cell>
          <cell r="H90" t="str">
            <v>Tel: 917-592-2966</v>
          </cell>
        </row>
        <row r="91">
          <cell r="C91" t="str">
            <v>Jason Wu (Shanghai) Garment Co., Ltd.</v>
          </cell>
          <cell r="D91">
            <v>201108</v>
          </cell>
          <cell r="E91" t="str">
            <v>2700 Lianhualu Rd., Building 1, 5th FL</v>
          </cell>
          <cell r="F91" t="str">
            <v>Minhang District, Shanghai</v>
          </cell>
          <cell r="G91" t="str">
            <v>CHINA</v>
          </cell>
          <cell r="H91" t="str">
            <v>Tel: 86 21 6728 8264</v>
          </cell>
          <cell r="I91" t="str">
            <v xml:space="preserve">Michelle </v>
          </cell>
        </row>
        <row r="92">
          <cell r="C92" t="str">
            <v xml:space="preserve">JWU LLC </v>
          </cell>
          <cell r="D92">
            <v>10001</v>
          </cell>
          <cell r="E92" t="str">
            <v>240 West 35th St. 11FL</v>
          </cell>
          <cell r="F92" t="str">
            <v>New York, NY</v>
          </cell>
          <cell r="G92" t="str">
            <v>U.S.A.</v>
          </cell>
          <cell r="H92" t="str">
            <v>Tel: 401 529 9925</v>
          </cell>
        </row>
        <row r="93">
          <cell r="C93" t="str">
            <v>Jenny Yoo Collection</v>
          </cell>
          <cell r="D93">
            <v>10018</v>
          </cell>
          <cell r="E93" t="str">
            <v>132 West 36th Street 9th Floor</v>
          </cell>
          <cell r="F93" t="str">
            <v>New York, NY</v>
          </cell>
          <cell r="G93" t="str">
            <v>U.S.A.</v>
          </cell>
          <cell r="H93" t="str">
            <v>Tel: 212.645.0823</v>
          </cell>
        </row>
        <row r="94">
          <cell r="C94" t="str">
            <v>JILLMARK, INC. dba H O N O R I N E</v>
          </cell>
          <cell r="D94">
            <v>90025</v>
          </cell>
          <cell r="E94" t="str">
            <v>10474 Santa Monica Blvd., Suite 308</v>
          </cell>
          <cell r="F94" t="str">
            <v>Los Angeles, CA</v>
          </cell>
          <cell r="G94" t="str">
            <v>U.S.A.</v>
          </cell>
          <cell r="H94" t="str">
            <v>Tel: 818.522.4287</v>
          </cell>
          <cell r="I94" t="str">
            <v>Samantha</v>
          </cell>
        </row>
        <row r="95">
          <cell r="C95" t="str">
            <v>Joe's Jeans</v>
          </cell>
          <cell r="D95">
            <v>90021</v>
          </cell>
          <cell r="E95" t="str">
            <v>1580 Jesse St.</v>
          </cell>
          <cell r="F95" t="str">
            <v>Los Angeles, CA</v>
          </cell>
          <cell r="G95" t="str">
            <v>U.S.A.</v>
          </cell>
          <cell r="H95" t="str">
            <v>Tel: 29505305</v>
          </cell>
        </row>
        <row r="96">
          <cell r="C96" t="str">
            <v>JOHNNY WAS</v>
          </cell>
          <cell r="D96">
            <v>90058</v>
          </cell>
          <cell r="E96" t="str">
            <v>2423 E. 23rd Street</v>
          </cell>
          <cell r="F96" t="str">
            <v>Los Angeles, CA</v>
          </cell>
          <cell r="G96" t="str">
            <v>U.S.A</v>
          </cell>
          <cell r="H96" t="str">
            <v>Tel: 323-582-1005</v>
          </cell>
        </row>
        <row r="97">
          <cell r="C97" t="str">
            <v>Jonathan Simkhai</v>
          </cell>
          <cell r="D97">
            <v>90069</v>
          </cell>
          <cell r="E97" t="str">
            <v>653 N La Cienega Blvd</v>
          </cell>
          <cell r="F97" t="str">
            <v>West Hollywood, CA</v>
          </cell>
          <cell r="G97" t="str">
            <v>U.S.A.</v>
          </cell>
          <cell r="H97" t="str">
            <v>Tel: 646-590-0528</v>
          </cell>
        </row>
        <row r="98">
          <cell r="C98" t="str">
            <v>JOYANCE CORPORATION LIMITED</v>
          </cell>
          <cell r="D98">
            <v>310051</v>
          </cell>
          <cell r="E98" t="str">
            <v>14F 188 BINKANG ROAD, BINJIANG</v>
          </cell>
          <cell r="F98" t="str">
            <v>HANGZHOU, ZHEJIANG</v>
          </cell>
          <cell r="G98" t="str">
            <v>CHINA</v>
          </cell>
          <cell r="H98" t="str">
            <v>Tel: 0086-571-87117581</v>
          </cell>
          <cell r="I98" t="str">
            <v>Nancy</v>
          </cell>
        </row>
        <row r="99">
          <cell r="C99" t="str">
            <v xml:space="preserve">Katie May  </v>
          </cell>
          <cell r="D99">
            <v>90023</v>
          </cell>
          <cell r="E99" t="str">
            <v>2301 East 7th Street Suite A315-A319,</v>
          </cell>
          <cell r="F99" t="str">
            <v>Los Angeles, CA</v>
          </cell>
          <cell r="G99" t="str">
            <v>U.S.A.</v>
          </cell>
          <cell r="H99" t="str">
            <v>Tel: 323-685-2029</v>
          </cell>
        </row>
        <row r="100">
          <cell r="C100" t="str">
            <v>KATIE MAY WAREHOUSE</v>
          </cell>
          <cell r="D100">
            <v>90023</v>
          </cell>
          <cell r="E100" t="str">
            <v xml:space="preserve">2301 EAST 7TH STREET, SUITE A315 </v>
          </cell>
          <cell r="F100" t="str">
            <v>Los Angeles, CA</v>
          </cell>
          <cell r="G100" t="str">
            <v>U.S.A.</v>
          </cell>
          <cell r="H100" t="str">
            <v>Tel: 206-552-4715?</v>
          </cell>
        </row>
        <row r="101">
          <cell r="C101" t="str">
            <v>Kevan Hall</v>
          </cell>
          <cell r="D101">
            <v>90048</v>
          </cell>
          <cell r="E101" t="str">
            <v>8313 Beverly Blvd.</v>
          </cell>
          <cell r="F101" t="str">
            <v>Los Angeles, CA</v>
          </cell>
          <cell r="G101" t="str">
            <v>U.S.A.</v>
          </cell>
          <cell r="H101" t="str">
            <v>Tel: 323.658.7979</v>
          </cell>
        </row>
        <row r="102">
          <cell r="C102" t="str">
            <v>KRP LCC/Houghton</v>
          </cell>
          <cell r="D102">
            <v>91604</v>
          </cell>
          <cell r="E102" t="str">
            <v>26500 Agoura Rd #531</v>
          </cell>
          <cell r="F102" t="str">
            <v>Calabasas, CA</v>
          </cell>
          <cell r="G102" t="str">
            <v>U.S.A.</v>
          </cell>
          <cell r="I102" t="str">
            <v>Katharine Polk</v>
          </cell>
        </row>
        <row r="103">
          <cell r="C103" t="str">
            <v>LA ADA DE ACUNA, S DE RL DE CV</v>
          </cell>
          <cell r="D103">
            <v>26220</v>
          </cell>
          <cell r="E103" t="str">
            <v>CARRETERA PRESA DE LA AMISTAD KM 4.5</v>
          </cell>
          <cell r="F103" t="str">
            <v>CD. ACUNA, COAHUILA</v>
          </cell>
          <cell r="G103" t="str">
            <v>MEXICO</v>
          </cell>
        </row>
        <row r="104">
          <cell r="C104" t="str">
            <v xml:space="preserve">Lauren Moshi </v>
          </cell>
          <cell r="D104">
            <v>90040</v>
          </cell>
          <cell r="E104" t="str">
            <v>2515 Yates Ave,</v>
          </cell>
          <cell r="F104" t="str">
            <v>Commerce, CA</v>
          </cell>
          <cell r="G104" t="str">
            <v>U.S.A.</v>
          </cell>
          <cell r="H104" t="str">
            <v>Tel: 323-888-8838</v>
          </cell>
          <cell r="I104" t="str">
            <v xml:space="preserve">Clelia Chavez </v>
          </cell>
        </row>
        <row r="105">
          <cell r="C105" t="str">
            <v>LE SUPERBE</v>
          </cell>
          <cell r="D105">
            <v>90014</v>
          </cell>
          <cell r="E105" t="str">
            <v>719 S. Los Angeles St. Suite 419</v>
          </cell>
          <cell r="F105" t="str">
            <v>Los Angeles, CA</v>
          </cell>
          <cell r="G105" t="str">
            <v>U.S.A.</v>
          </cell>
          <cell r="H105" t="str">
            <v>Tel: (213) 627-7200</v>
          </cell>
          <cell r="I105" t="str">
            <v>Rey Pascua</v>
          </cell>
        </row>
        <row r="106">
          <cell r="C106" t="str">
            <v>LOGTEX/IKKS WOMEN</v>
          </cell>
          <cell r="D106">
            <v>85600</v>
          </cell>
          <cell r="E106" t="str">
            <v>FOURNITURES DE COLLECTION</v>
          </cell>
          <cell r="F106" t="str">
            <v>Z.I DE LA GARE RUE DU DR FAYAU, MONTAIGU,</v>
          </cell>
          <cell r="G106" t="str">
            <v>FRANCE</v>
          </cell>
          <cell r="H106" t="str">
            <v>Tel: 02-41-75-97-80</v>
          </cell>
          <cell r="I106" t="str">
            <v>Nadia</v>
          </cell>
        </row>
        <row r="107">
          <cell r="C107" t="str">
            <v>LUCY BLAIR LLC (T/A CIAO LUCIA)</v>
          </cell>
          <cell r="D107">
            <v>90039</v>
          </cell>
          <cell r="E107" t="str">
            <v>2930 DENBY AVENUE, STUDIO B,</v>
          </cell>
          <cell r="F107" t="str">
            <v>Los Angeles, CA</v>
          </cell>
          <cell r="G107" t="str">
            <v>U.S.A.</v>
          </cell>
          <cell r="H107" t="str">
            <v>Tel: 415 250 8391</v>
          </cell>
        </row>
        <row r="108">
          <cell r="C108" t="str">
            <v>Lynne Carter</v>
          </cell>
          <cell r="D108">
            <v>90015</v>
          </cell>
          <cell r="E108" t="str">
            <v>117 W 9th St., Mezzanine #111</v>
          </cell>
          <cell r="F108" t="str">
            <v>Los Angeles, CA</v>
          </cell>
          <cell r="G108" t="str">
            <v>U.S.A.</v>
          </cell>
          <cell r="H108" t="str">
            <v>Tel: +1 949-922-9225</v>
          </cell>
        </row>
        <row r="109">
          <cell r="C109" t="str">
            <v>M I S A</v>
          </cell>
          <cell r="D109">
            <v>90011</v>
          </cell>
          <cell r="E109" t="str">
            <v>1530 E 25th St.</v>
          </cell>
          <cell r="G109" t="str">
            <v>U.S.A.</v>
          </cell>
          <cell r="H109" t="str">
            <v>Tel: 323.225.9525</v>
          </cell>
          <cell r="I109" t="str">
            <v>AttenImelda</v>
          </cell>
        </row>
        <row r="110">
          <cell r="C110" t="str">
            <v>MAISON 123</v>
          </cell>
          <cell r="D110">
            <v>92614</v>
          </cell>
          <cell r="E110" t="str">
            <v>57-59 avenue Henri Barbusse</v>
          </cell>
          <cell r="F110" t="str">
            <v>92 614 Clichy Cedex</v>
          </cell>
          <cell r="G110" t="str">
            <v>FRANCE</v>
          </cell>
          <cell r="H110" t="str">
            <v>Tel: 01 55 90 71 20</v>
          </cell>
          <cell r="I110" t="str">
            <v>Murielle Deny</v>
          </cell>
        </row>
        <row r="111">
          <cell r="C111" t="str">
            <v>MAISON PERE</v>
          </cell>
          <cell r="D111">
            <v>75009</v>
          </cell>
          <cell r="E111" t="str">
            <v>36 RUE VIGNON</v>
          </cell>
          <cell r="F111" t="str">
            <v>Paris</v>
          </cell>
          <cell r="G111" t="str">
            <v>FRANCE</v>
          </cell>
          <cell r="H111" t="str">
            <v>Tel: 33-9-7250-4076</v>
          </cell>
          <cell r="I111" t="str">
            <v>Ms. Adele Grenot</v>
          </cell>
        </row>
        <row r="112">
          <cell r="C112" t="str">
            <v>Maison Rabih Kayrouz</v>
          </cell>
          <cell r="D112">
            <v>75007</v>
          </cell>
          <cell r="E112" t="str">
            <v xml:space="preserve">38 Boulevard Raspail </v>
          </cell>
          <cell r="F112" t="str">
            <v>Paris</v>
          </cell>
          <cell r="G112" t="str">
            <v>FRANCE</v>
          </cell>
          <cell r="H112" t="str">
            <v>Tel: 33-145482828</v>
          </cell>
          <cell r="I112" t="str">
            <v>Mirjana Morozin</v>
          </cell>
        </row>
        <row r="113">
          <cell r="C113" t="str">
            <v>Maje</v>
          </cell>
          <cell r="D113">
            <v>75001</v>
          </cell>
          <cell r="E113" t="str">
            <v xml:space="preserve">2 rue de Marengo </v>
          </cell>
          <cell r="F113" t="str">
            <v>Paris</v>
          </cell>
          <cell r="G113" t="str">
            <v>FRANCE</v>
          </cell>
          <cell r="H113" t="str">
            <v>Tel: 33 (0) 1 42 96 77 24</v>
          </cell>
          <cell r="I113" t="str">
            <v>Marion Blanchard</v>
          </cell>
        </row>
        <row r="114">
          <cell r="C114" t="str">
            <v>Marchesa RM</v>
          </cell>
          <cell r="D114">
            <v>10011</v>
          </cell>
          <cell r="E114" t="str">
            <v>FLOOR 4, 80 8th Avenue,</v>
          </cell>
          <cell r="F114" t="str">
            <v>New York, NY</v>
          </cell>
          <cell r="G114" t="str">
            <v>U.S.A.</v>
          </cell>
          <cell r="H114" t="str">
            <v>Tel: 212-463-8135</v>
          </cell>
        </row>
        <row r="115">
          <cell r="C115" t="str">
            <v>MAREY SHANGHAI Office</v>
          </cell>
          <cell r="D115">
            <v>200001</v>
          </cell>
          <cell r="E115" t="str">
            <v xml:space="preserve">21st Floor, Harbour Ring Huangpu Center, </v>
          </cell>
          <cell r="F115" t="str">
            <v>No. 98 Liu He Road, Shanghai</v>
          </cell>
          <cell r="G115" t="str">
            <v>CHINA</v>
          </cell>
          <cell r="H115" t="str">
            <v>Tel: 86-21-61367255</v>
          </cell>
          <cell r="I115" t="str">
            <v>DEBBIE YAN</v>
          </cell>
        </row>
        <row r="116">
          <cell r="C116" t="str">
            <v>MARIE LAPORTE</v>
          </cell>
          <cell r="D116">
            <v>75017</v>
          </cell>
          <cell r="E116" t="str">
            <v>48 rue de L?vis</v>
          </cell>
          <cell r="F116" t="str">
            <v>Paris</v>
          </cell>
          <cell r="G116" t="str">
            <v>FRANCE</v>
          </cell>
          <cell r="H116" t="str">
            <v>Tel: 06 21 56 12 65</v>
          </cell>
          <cell r="I116" t="str">
            <v>Marie Voignier</v>
          </cell>
        </row>
        <row r="117">
          <cell r="C117" t="str">
            <v>Marius Revere</v>
          </cell>
          <cell r="D117">
            <v>90292</v>
          </cell>
          <cell r="E117" t="str">
            <v>13969 Marquesas Way Apt 202b,</v>
          </cell>
          <cell r="F117" t="str">
            <v>Marina Del Rey, CA</v>
          </cell>
          <cell r="G117" t="str">
            <v>U.S.A.</v>
          </cell>
          <cell r="H117" t="str">
            <v>Tel: 206-552-4715?</v>
          </cell>
          <cell r="I117" t="str">
            <v>Marius Revere</v>
          </cell>
        </row>
        <row r="118">
          <cell r="C118" t="str">
            <v>MELOYUN CO LTD</v>
          </cell>
          <cell r="D118">
            <v>11000</v>
          </cell>
          <cell r="E118" t="str">
            <v xml:space="preserve">101/63-65 Moo 3, Suetrong group, </v>
          </cell>
          <cell r="F118" t="str">
            <v xml:space="preserve">TAMBON SAIMA, AUMPHUR MUANG, NONTHABURI, </v>
          </cell>
          <cell r="G118" t="str">
            <v>THAILAND</v>
          </cell>
          <cell r="H118" t="str">
            <v>Tel: (+66)29261820</v>
          </cell>
          <cell r="I118" t="str">
            <v>Li</v>
          </cell>
        </row>
        <row r="119">
          <cell r="C119" t="str">
            <v>MELOYUN CO LTD</v>
          </cell>
          <cell r="D119">
            <v>11000</v>
          </cell>
          <cell r="E119" t="str">
            <v>101/63-65 Moo 3, Suetrong group,</v>
          </cell>
          <cell r="F119" t="str">
            <v>TAMBON SAIMA, AUMPHUR MUANG, NONTHABURI,</v>
          </cell>
          <cell r="G119" t="str">
            <v>THAILAND</v>
          </cell>
          <cell r="H119" t="str">
            <v>Tel: (+66)29261820</v>
          </cell>
        </row>
        <row r="120">
          <cell r="C120" t="str">
            <v>Ming Leurn Co., Ltd.</v>
          </cell>
          <cell r="D120">
            <v>523170</v>
          </cell>
          <cell r="E120" t="str">
            <v>ShinWen Industry Zone,Daojiao Town</v>
          </cell>
          <cell r="F120" t="str">
            <v>Dongguan City</v>
          </cell>
          <cell r="G120" t="str">
            <v>CHINA</v>
          </cell>
          <cell r="H120" t="str">
            <v>Tel: 213 380 8071</v>
          </cell>
        </row>
        <row r="121">
          <cell r="C121" t="str">
            <v>minnow</v>
          </cell>
          <cell r="D121">
            <v>92662</v>
          </cell>
          <cell r="E121" t="str">
            <v>219 MARINE AVE, STE A</v>
          </cell>
          <cell r="F121" t="str">
            <v>New Port Beach , CA</v>
          </cell>
          <cell r="G121" t="str">
            <v>U.S.A.</v>
          </cell>
        </row>
        <row r="122">
          <cell r="C122" t="str">
            <v>MMAA</v>
          </cell>
          <cell r="E122" t="str">
            <v>BOLGATANGA BONGO ROAD</v>
          </cell>
          <cell r="F122" t="str">
            <v>AKUNTAASI STREET HSE NO 15, BOLGATANGA,</v>
          </cell>
          <cell r="G122" t="str">
            <v>GHANA</v>
          </cell>
          <cell r="H122" t="str">
            <v>Tel: 233546700007, 0242855460</v>
          </cell>
        </row>
        <row r="123">
          <cell r="C123" t="str">
            <v>MODERN TROUSSEAU</v>
          </cell>
          <cell r="D123" t="str">
            <v>06525</v>
          </cell>
          <cell r="E123" t="str">
            <v>125 Bradley Road</v>
          </cell>
          <cell r="F123" t="str">
            <v>Woodbridge, CT</v>
          </cell>
          <cell r="G123" t="str">
            <v>U.S.A.</v>
          </cell>
        </row>
        <row r="124">
          <cell r="C124" t="str">
            <v>MONIQUE LHUILLIER</v>
          </cell>
          <cell r="D124">
            <v>90058</v>
          </cell>
          <cell r="E124" t="str">
            <v>4533 Pacific Blvd.</v>
          </cell>
          <cell r="F124" t="str">
            <v>Vernon, CA</v>
          </cell>
          <cell r="G124" t="str">
            <v>U.S.A.</v>
          </cell>
          <cell r="H124" t="str">
            <v>Tel: 213.747.8811</v>
          </cell>
        </row>
        <row r="125">
          <cell r="C125" t="str">
            <v>MONSE c/o Max Lu</v>
          </cell>
          <cell r="D125">
            <v>10012</v>
          </cell>
          <cell r="E125" t="str">
            <v>611 Broadway Suite 308</v>
          </cell>
          <cell r="F125" t="str">
            <v>New York, NY</v>
          </cell>
          <cell r="G125" t="str">
            <v>U.S.A.</v>
          </cell>
          <cell r="H125" t="str">
            <v>Tel:+1 646 809 0100 x.106</v>
          </cell>
        </row>
        <row r="126">
          <cell r="C126" t="str">
            <v>MONSE LLC</v>
          </cell>
          <cell r="D126">
            <v>10012</v>
          </cell>
          <cell r="E126" t="str">
            <v>611 Broadway, 308</v>
          </cell>
          <cell r="F126" t="str">
            <v>New York, NY</v>
          </cell>
          <cell r="G126" t="str">
            <v>U.S.A.</v>
          </cell>
          <cell r="H126" t="str">
            <v>Tel: 646-809-0100</v>
          </cell>
          <cell r="I126" t="str">
            <v>Max Lu</v>
          </cell>
        </row>
        <row r="127">
          <cell r="C127" t="str">
            <v>Navee Charoen Ltd., Part.</v>
          </cell>
          <cell r="D127">
            <v>10200</v>
          </cell>
          <cell r="E127" t="str">
            <v>104/8 Krung Kasem Rd., Dheves,</v>
          </cell>
          <cell r="F127" t="str">
            <v>Bangkok</v>
          </cell>
          <cell r="G127" t="str">
            <v>THAILAND</v>
          </cell>
          <cell r="H127" t="str">
            <v>Tel: (66)2 222 7099</v>
          </cell>
        </row>
        <row r="128">
          <cell r="C128" t="str">
            <v>OFFICINE GENERALE</v>
          </cell>
          <cell r="D128">
            <v>75006</v>
          </cell>
          <cell r="E128" t="str">
            <v xml:space="preserve">11 RUE JULES CHAPLAIN </v>
          </cell>
          <cell r="F128" t="str">
            <v>PARIS</v>
          </cell>
          <cell r="G128" t="str">
            <v>FRANCE</v>
          </cell>
          <cell r="H128" t="str">
            <v>Tel: 33-185096442</v>
          </cell>
          <cell r="I128" t="str">
            <v>Dan</v>
          </cell>
        </row>
        <row r="129">
          <cell r="C129" t="str">
            <v>P.H.Garment Manufacturing Company Limited</v>
          </cell>
          <cell r="E129" t="str">
            <v>UNIT 1412, 14/F., TOWER 2, EVER GAIN PLAZA,</v>
          </cell>
          <cell r="F129" t="str">
            <v>NOS. 88 CONTAINER PORT ROAD, KWAI CHUNG, N.T. Hong Kong</v>
          </cell>
          <cell r="G129" t="str">
            <v>CHINA</v>
          </cell>
          <cell r="H129" t="str">
            <v>Tel: 852-24226622 Ext.3331</v>
          </cell>
        </row>
        <row r="130">
          <cell r="C130" t="str">
            <v>PACIFIC TRIMMING ENTERPRISE</v>
          </cell>
          <cell r="D130">
            <v>10018</v>
          </cell>
          <cell r="E130" t="str">
            <v>218 West 38th Street</v>
          </cell>
          <cell r="F130" t="str">
            <v>New York, NY</v>
          </cell>
          <cell r="G130" t="str">
            <v>U.S.A.</v>
          </cell>
          <cell r="H130" t="str">
            <v>Tel:  212-279-9310</v>
          </cell>
        </row>
        <row r="131">
          <cell r="C131" t="str">
            <v>Paco Rabanne</v>
          </cell>
          <cell r="D131">
            <v>75008</v>
          </cell>
          <cell r="E131" t="str">
            <v>17, rue Fran?ois 1er</v>
          </cell>
          <cell r="F131" t="str">
            <v>Paris</v>
          </cell>
          <cell r="G131" t="str">
            <v>FRANCE</v>
          </cell>
          <cell r="H131" t="str">
            <v>Tel: (0)1 83 97 72 51</v>
          </cell>
        </row>
        <row r="132">
          <cell r="C132" t="str">
            <v>PARC AND PEARL</v>
          </cell>
          <cell r="D132">
            <v>90015</v>
          </cell>
          <cell r="E132" t="str">
            <v>1506 W. 12TH ST.</v>
          </cell>
          <cell r="F132" t="str">
            <v>Los Angeles, CA</v>
          </cell>
          <cell r="G132" t="str">
            <v>U.S.A.</v>
          </cell>
          <cell r="H132" t="str">
            <v>Tel : 213 380 8071</v>
          </cell>
          <cell r="I132" t="str">
            <v>Qian</v>
          </cell>
        </row>
        <row r="133">
          <cell r="C133" t="str">
            <v>PARMAMODA SRL</v>
          </cell>
          <cell r="D133">
            <v>43122</v>
          </cell>
          <cell r="E133" t="str">
            <v xml:space="preserve">VIA G. BOTTERI, 12 </v>
          </cell>
          <cell r="F133" t="str">
            <v>PARMA</v>
          </cell>
          <cell r="G133" t="str">
            <v>ITALY</v>
          </cell>
          <cell r="H133" t="str">
            <v>Tel: 0521 994068</v>
          </cell>
          <cell r="I133" t="str">
            <v>Emanuela</v>
          </cell>
        </row>
        <row r="134">
          <cell r="C134" t="str">
            <v>Peru Fashions S.A.C.</v>
          </cell>
          <cell r="E134" t="str">
            <v xml:space="preserve">Mz. E Lote 9, URB. Las Vegas </v>
          </cell>
          <cell r="F134" t="str">
            <v>Puente Piedra,</v>
          </cell>
          <cell r="G134" t="str">
            <v>PERU</v>
          </cell>
          <cell r="H134" t="str">
            <v>Tel: 511 613 9999</v>
          </cell>
          <cell r="I134" t="str">
            <v>Jacqueline Mego</v>
          </cell>
        </row>
        <row r="135">
          <cell r="C135" t="str">
            <v>Piret Kartus</v>
          </cell>
          <cell r="D135">
            <v>10146</v>
          </cell>
          <cell r="E135" t="str">
            <v>Parnu mnt 8</v>
          </cell>
          <cell r="F135" t="str">
            <v xml:space="preserve">Apartment 7a, Tallinn, </v>
          </cell>
          <cell r="G135" t="str">
            <v xml:space="preserve">ESTONIA </v>
          </cell>
          <cell r="H135" t="str">
            <v>Tel: 37 256501126</v>
          </cell>
          <cell r="I135" t="str">
            <v>Piret Kartus</v>
          </cell>
        </row>
        <row r="136">
          <cell r="C136" t="str">
            <v>Polytime</v>
          </cell>
          <cell r="D136">
            <v>90014</v>
          </cell>
          <cell r="E136" t="str">
            <v>704 S Spring St #301</v>
          </cell>
          <cell r="F136" t="str">
            <v>Los Angeles, CA</v>
          </cell>
          <cell r="G136" t="str">
            <v>U.S.A.</v>
          </cell>
          <cell r="H136" t="str">
            <v>Tel: (714) 328-0282</v>
          </cell>
        </row>
        <row r="137">
          <cell r="C137" t="str">
            <v>Potencier</v>
          </cell>
          <cell r="D137">
            <v>59142</v>
          </cell>
          <cell r="E137" t="str">
            <v>106, rue L?on Gambetta</v>
          </cell>
          <cell r="F137" t="str">
            <v>Villers-Outreaux</v>
          </cell>
          <cell r="G137" t="str">
            <v>FRANCE</v>
          </cell>
          <cell r="H137" t="str">
            <v>Tel: 33 (0)327 822 100</v>
          </cell>
          <cell r="I137" t="str">
            <v xml:space="preserve">Eric Leroy </v>
          </cell>
        </row>
        <row r="138">
          <cell r="C138" t="str">
            <v>PRIVATE LABEL TEHUACAN, S. DE R.L. DE C.V.</v>
          </cell>
          <cell r="D138">
            <v>75800</v>
          </cell>
          <cell r="E138" t="str">
            <v>KM. 107 CARRETERA PUEBLA-TEHUACAN</v>
          </cell>
          <cell r="F138" t="str">
            <v>No. 4 S.C. TEPANCO DE LOPEZ, PUEBLA</v>
          </cell>
          <cell r="G138" t="str">
            <v>MEXICO</v>
          </cell>
          <cell r="H138" t="str">
            <v>Tel: 238 383 71 71</v>
          </cell>
          <cell r="I138" t="str">
            <v>Marisela Lerin</v>
          </cell>
        </row>
        <row r="139">
          <cell r="C139" t="str">
            <v>PROLOG ( MRK PROD E20 )</v>
          </cell>
          <cell r="D139">
            <v>49450</v>
          </cell>
          <cell r="E139" t="str">
            <v>84 rue Choletaise</v>
          </cell>
          <cell r="F139" t="str">
            <v>Saint Macaire en Mauges, Sevremoine,</v>
          </cell>
          <cell r="G139" t="str">
            <v>FRANCE</v>
          </cell>
          <cell r="H139" t="str">
            <v>Tel: 02.41.55.62.29</v>
          </cell>
          <cell r="I139" t="str">
            <v>Sylvie</v>
          </cell>
        </row>
        <row r="140">
          <cell r="C140" t="str">
            <v>Puppets and Puppets</v>
          </cell>
          <cell r="D140">
            <v>10001</v>
          </cell>
          <cell r="E140" t="str">
            <v>115 West 30th St. suite 203</v>
          </cell>
          <cell r="F140" t="str">
            <v>New York, NY</v>
          </cell>
          <cell r="G140" t="str">
            <v>U.S.A.</v>
          </cell>
          <cell r="H140" t="str">
            <v>Tel: 917 783 6577</v>
          </cell>
          <cell r="I140" t="str">
            <v>Carly Mark</v>
          </cell>
        </row>
        <row r="141">
          <cell r="C141" t="str">
            <v>RAJ Manufacturing, LLC.</v>
          </cell>
          <cell r="D141">
            <v>92780</v>
          </cell>
          <cell r="E141" t="str">
            <v xml:space="preserve">2692 Dow Ave, </v>
          </cell>
          <cell r="F141" t="str">
            <v>Tustin, CA</v>
          </cell>
          <cell r="G141" t="str">
            <v>U.S.A.</v>
          </cell>
          <cell r="H141" t="str">
            <v>Tel: 714-838-3110</v>
          </cell>
          <cell r="I141" t="str">
            <v>Kareen</v>
          </cell>
        </row>
        <row r="142">
          <cell r="C142" t="str">
            <v>RAJ MFG.LLC (RM WHSE)</v>
          </cell>
          <cell r="D142">
            <v>92780</v>
          </cell>
          <cell r="E142" t="str">
            <v xml:space="preserve">RAW MATERIAL WHSE, 2692 DOW AVENUE, </v>
          </cell>
          <cell r="F142" t="str">
            <v>Tustin, CA</v>
          </cell>
          <cell r="G142" t="str">
            <v>U.S.A.</v>
          </cell>
          <cell r="H142" t="str">
            <v>Tel: 852-2743-1083</v>
          </cell>
        </row>
        <row r="143">
          <cell r="C143" t="str">
            <v>RCD</v>
          </cell>
          <cell r="D143">
            <v>35603</v>
          </cell>
          <cell r="E143" t="str">
            <v>Z.I. DE BRIANGAUD</v>
          </cell>
          <cell r="F143" t="str">
            <v>Rue JEAN-MONNET, CS 40275, REDON CEDEX</v>
          </cell>
          <cell r="G143" t="str">
            <v>FRANCE</v>
          </cell>
          <cell r="H143" t="str">
            <v>Tel: 02 99 71 57 83</v>
          </cell>
        </row>
        <row r="144">
          <cell r="C144" t="str">
            <v>RDM / CELESTINA AGOSTINO</v>
          </cell>
          <cell r="D144">
            <v>75006</v>
          </cell>
          <cell r="E144" t="str">
            <v>15 RUE DE L'ABBE GREGOIRE</v>
          </cell>
          <cell r="F144" t="str">
            <v>Paris</v>
          </cell>
          <cell r="G144" t="str">
            <v>FRANCE</v>
          </cell>
          <cell r="H144" t="str">
            <v>Tel: 33(0)1-45 48 81 24</v>
          </cell>
          <cell r="I144" t="str">
            <v>CELESTINA AGOSTINO</v>
          </cell>
        </row>
        <row r="145">
          <cell r="C145" t="str">
            <v>REEM ACRA RTW</v>
          </cell>
          <cell r="D145">
            <v>10017</v>
          </cell>
          <cell r="E145" t="str">
            <v>501 FIFTH AVENUE 7FL</v>
          </cell>
          <cell r="F145" t="str">
            <v>New York, NY</v>
          </cell>
          <cell r="G145" t="str">
            <v>U.S.A.</v>
          </cell>
          <cell r="H145" t="str">
            <v>Tel: 212 630 9977</v>
          </cell>
          <cell r="I145" t="str">
            <v>David Farshadfar</v>
          </cell>
        </row>
        <row r="146">
          <cell r="C146" t="str">
            <v>Richard Naigard</v>
          </cell>
          <cell r="D146">
            <v>75002</v>
          </cell>
          <cell r="E146" t="str">
            <v>232,rue St Denis</v>
          </cell>
          <cell r="F146" t="str">
            <v>Paris</v>
          </cell>
          <cell r="G146" t="str">
            <v>FRANCE</v>
          </cell>
          <cell r="H146" t="str">
            <v>Tel: 06 598868538</v>
          </cell>
          <cell r="I146" t="str">
            <v>Richard Naigard</v>
          </cell>
        </row>
        <row r="147">
          <cell r="C147" t="str">
            <v>Rodarte</v>
          </cell>
          <cell r="D147">
            <v>91106</v>
          </cell>
          <cell r="E147" t="str">
            <v>715 South Oakland Ave</v>
          </cell>
          <cell r="F147" t="str">
            <v>Pasadena, CA</v>
          </cell>
          <cell r="G147" t="str">
            <v>U.S.A.</v>
          </cell>
        </row>
        <row r="148">
          <cell r="C148" t="str">
            <v>Royal Spirit Limited</v>
          </cell>
          <cell r="E148" t="str">
            <v>11th Floor, 822, Lai Chi Kok Road,</v>
          </cell>
          <cell r="F148" t="str">
            <v>Kowloon, Hong Kong</v>
          </cell>
          <cell r="G148" t="str">
            <v>CHINA</v>
          </cell>
          <cell r="H148" t="str">
            <v>Tel: 852 2786 7667/529</v>
          </cell>
          <cell r="I148" t="str">
            <v>AGNES/AMY</v>
          </cell>
        </row>
        <row r="149">
          <cell r="C149" t="str">
            <v>Salt and Pepper Gifts</v>
          </cell>
          <cell r="D149">
            <v>90502</v>
          </cell>
          <cell r="E149" t="str">
            <v>970 Knox St. Unit A</v>
          </cell>
          <cell r="F149" t="str">
            <v>Torrance, CA</v>
          </cell>
          <cell r="G149" t="str">
            <v>U.S.A.</v>
          </cell>
          <cell r="H149" t="str">
            <v>Tel: 323.493.9357</v>
          </cell>
          <cell r="I149" t="str">
            <v>AttenTara</v>
          </cell>
        </row>
        <row r="150">
          <cell r="C150" t="str">
            <v>Sara Campbell LTD</v>
          </cell>
          <cell r="D150" t="str">
            <v>02119</v>
          </cell>
          <cell r="E150" t="str">
            <v>67 Kemble St / 4th Floor</v>
          </cell>
          <cell r="F150" t="str">
            <v>Boston, MA</v>
          </cell>
          <cell r="G150" t="str">
            <v>U.S.A.</v>
          </cell>
          <cell r="H150" t="str">
            <v>Tel: 617.423.3134</v>
          </cell>
          <cell r="I150" t="str">
            <v>Geraldine</v>
          </cell>
        </row>
        <row r="151">
          <cell r="C151" t="str">
            <v>SCRO - DESIGN SRL</v>
          </cell>
          <cell r="D151">
            <v>62520</v>
          </cell>
          <cell r="E151" t="str">
            <v>REPUBLICII6</v>
          </cell>
          <cell r="F151" t="str">
            <v>MARASESTI</v>
          </cell>
          <cell r="G151" t="str">
            <v>ROMANIA</v>
          </cell>
        </row>
        <row r="152">
          <cell r="C152" t="str">
            <v>Shengzhou Fred Fashion Co., Ltd</v>
          </cell>
          <cell r="D152">
            <v>312400</v>
          </cell>
          <cell r="E152" t="str">
            <v>No.109 Jia Jia Road, Shengzhou</v>
          </cell>
          <cell r="F152" t="str">
            <v>Zhejiang</v>
          </cell>
          <cell r="G152" t="str">
            <v>CHINA</v>
          </cell>
          <cell r="H152" t="str">
            <v>Tel: 852 2786 7667/529</v>
          </cell>
        </row>
        <row r="153">
          <cell r="C153" t="str">
            <v>ShenZhen Maohua Fashion Co., Ltd.</v>
          </cell>
          <cell r="D153">
            <v>518100</v>
          </cell>
          <cell r="E153" t="str">
            <v>6FL, Bldg C, Wentao Tech Zone,</v>
          </cell>
          <cell r="F153" t="str">
            <v>Ying Ren Shi, Bao'an District, ShenZhen,</v>
          </cell>
          <cell r="G153" t="str">
            <v>CHINA</v>
          </cell>
          <cell r="H153" t="str">
            <v>Tel: 755 2664 1991</v>
          </cell>
        </row>
        <row r="154">
          <cell r="C154" t="str">
            <v>SIA Apparel</v>
          </cell>
          <cell r="D154">
            <v>10018</v>
          </cell>
          <cell r="E154" t="str">
            <v xml:space="preserve">3rd Floor, 306 West 37th Street, </v>
          </cell>
          <cell r="F154" t="str">
            <v>New York, NY</v>
          </cell>
          <cell r="G154" t="str">
            <v>U.S.A.</v>
          </cell>
          <cell r="H154" t="str">
            <v>Tel: 212-279-9310</v>
          </cell>
        </row>
        <row r="155">
          <cell r="C155" t="str">
            <v>SREEPRIYA EXPORTS PVT LTD</v>
          </cell>
          <cell r="D155">
            <v>700046</v>
          </cell>
          <cell r="E155" t="str">
            <v>31 TOPSIA ROAD SOUTH</v>
          </cell>
          <cell r="F155" t="str">
            <v>PICNIC GARDEN KOLKATA,WEST BENGAL,</v>
          </cell>
          <cell r="G155" t="str">
            <v>India</v>
          </cell>
          <cell r="H155" t="str">
            <v>Tel: 213 380 8071</v>
          </cell>
        </row>
        <row r="156">
          <cell r="C156" t="str">
            <v>SUN FASHION AMERICA, INC.</v>
          </cell>
          <cell r="D156">
            <v>10018</v>
          </cell>
          <cell r="E156" t="str">
            <v>Suite 716, 15 West 38th Street,</v>
          </cell>
          <cell r="F156" t="str">
            <v>New York, NY</v>
          </cell>
          <cell r="G156" t="str">
            <v>U.S.A.</v>
          </cell>
          <cell r="I156" t="str">
            <v>Megumi Chiba</v>
          </cell>
        </row>
        <row r="157">
          <cell r="C157" t="str">
            <v>Suteks Tekstil Sanayi ve Ticaret AS</v>
          </cell>
          <cell r="D157">
            <v>34406</v>
          </cell>
          <cell r="E157" t="str">
            <v>Kemerburgaz Cad. No:16</v>
          </cell>
          <cell r="F157" t="str">
            <v>Kagithane, Istanbul,</v>
          </cell>
          <cell r="G157" t="str">
            <v>TURKEY</v>
          </cell>
          <cell r="H157" t="str">
            <v>Tel: +90 (212) 294 09 09 - 271</v>
          </cell>
          <cell r="I157" t="str">
            <v>GONCA ATILCAN</v>
          </cell>
        </row>
        <row r="158">
          <cell r="C158" t="str">
            <v>SVAC Collective, LLC</v>
          </cell>
          <cell r="D158">
            <v>90049</v>
          </cell>
          <cell r="E158" t="str">
            <v>LLC998 Casiano Rd</v>
          </cell>
          <cell r="F158" t="str">
            <v>Los Angeles, CA</v>
          </cell>
          <cell r="G158" t="str">
            <v>U.S.A.</v>
          </cell>
          <cell r="I158" t="str">
            <v>Accounts Payable</v>
          </cell>
        </row>
        <row r="159">
          <cell r="C159" t="str">
            <v>Temperley London</v>
          </cell>
          <cell r="D159" t="str">
            <v>W10 6SZ</v>
          </cell>
          <cell r="E159" t="str">
            <v>Phoenix Brewery, 13 Bramley Road</v>
          </cell>
          <cell r="F159" t="str">
            <v>London</v>
          </cell>
          <cell r="G159" t="str">
            <v>U.K.</v>
          </cell>
          <cell r="H159" t="str">
            <v>Tel: +44 20 7229 7957</v>
          </cell>
          <cell r="I159" t="str">
            <v>Marta</v>
          </cell>
        </row>
        <row r="160">
          <cell r="C160" t="str">
            <v>Textile Gloria Ltd</v>
          </cell>
          <cell r="D160">
            <v>6560108</v>
          </cell>
          <cell r="E160" t="str">
            <v>8 Hashomer street</v>
          </cell>
          <cell r="F160" t="str">
            <v>Tel Aviv,</v>
          </cell>
          <cell r="G160" t="str">
            <v>ISRAEL</v>
          </cell>
          <cell r="H160" t="str">
            <v>Tel: 323.733.7700</v>
          </cell>
        </row>
        <row r="161">
          <cell r="C161" t="str">
            <v>TFH</v>
          </cell>
          <cell r="D161">
            <v>2010</v>
          </cell>
          <cell r="E161" t="str">
            <v>RUE DU TISSAGE 29, ZI KSAR SAID,</v>
          </cell>
          <cell r="F161" t="str">
            <v>MANOUBA</v>
          </cell>
          <cell r="G161" t="str">
            <v xml:space="preserve">TUNISIA </v>
          </cell>
          <cell r="H161" t="str">
            <v xml:space="preserve">Tel: 216 71 651 100 </v>
          </cell>
          <cell r="I161" t="str">
            <v>RYM/FATMA</v>
          </cell>
        </row>
        <row r="162">
          <cell r="C162" t="str">
            <v>The Evans Group</v>
          </cell>
          <cell r="D162">
            <v>90021</v>
          </cell>
          <cell r="E162" t="str">
            <v>1926 E. 7th Street</v>
          </cell>
          <cell r="F162" t="str">
            <v>Los Angeles, CA</v>
          </cell>
          <cell r="G162" t="str">
            <v>U.S.A.</v>
          </cell>
          <cell r="H162" t="str">
            <v>Tel: 213-309-4842</v>
          </cell>
        </row>
        <row r="163">
          <cell r="C163" t="str">
            <v>The Kooples</v>
          </cell>
          <cell r="D163">
            <v>75017</v>
          </cell>
          <cell r="E163" t="str">
            <v>11 Rue de Prony,</v>
          </cell>
          <cell r="F163" t="str">
            <v>Paris</v>
          </cell>
          <cell r="G163" t="str">
            <v>FRANCE</v>
          </cell>
          <cell r="H163" t="str">
            <v>Tel: 33 144779977</v>
          </cell>
          <cell r="I163" t="str">
            <v>Laurie Poisvert</v>
          </cell>
        </row>
        <row r="164">
          <cell r="C164" t="str">
            <v>Theory</v>
          </cell>
          <cell r="D164">
            <v>10014</v>
          </cell>
          <cell r="E164" t="str">
            <v>2 Gansevoort st 2FL</v>
          </cell>
          <cell r="F164" t="str">
            <v>New York, NY</v>
          </cell>
          <cell r="G164" t="str">
            <v>U.S.A.</v>
          </cell>
          <cell r="H164" t="str">
            <v>Tel: 212 300 0899</v>
          </cell>
          <cell r="I164" t="str">
            <v>Dave</v>
          </cell>
        </row>
        <row r="165">
          <cell r="C165" t="str">
            <v>Tomomi Okubo</v>
          </cell>
          <cell r="D165">
            <v>11201</v>
          </cell>
          <cell r="E165" t="str">
            <v>53 Bridge street Unit 201</v>
          </cell>
          <cell r="F165" t="str">
            <v>Brooklyn, NY</v>
          </cell>
          <cell r="G165" t="str">
            <v>U.S.A.</v>
          </cell>
          <cell r="H165" t="str">
            <v>Tel: 646 765 5400</v>
          </cell>
          <cell r="I165" t="str">
            <v>Tomomi Okubo</v>
          </cell>
        </row>
        <row r="166">
          <cell r="C166" t="str">
            <v>Tory Burch</v>
          </cell>
          <cell r="D166">
            <v>10011</v>
          </cell>
          <cell r="E166" t="str">
            <v>11 West 19th St. 8FL</v>
          </cell>
          <cell r="F166" t="str">
            <v>New York, NY</v>
          </cell>
          <cell r="G166" t="str">
            <v>U.S.A.</v>
          </cell>
          <cell r="H166" t="str">
            <v>Tel:212 683 2323</v>
          </cell>
          <cell r="I166" t="str">
            <v>Saman Chaudhry</v>
          </cell>
        </row>
        <row r="167">
          <cell r="C167" t="str">
            <v>Trade Harvest Industrial Ltd.</v>
          </cell>
          <cell r="E167" t="str">
            <v>Workship No.7, 10/F, Permier Centre</v>
          </cell>
          <cell r="F167" t="str">
            <v>No.20 Cheung Shun Street, Lai Chi Kok, Hong Kong</v>
          </cell>
          <cell r="G167" t="str">
            <v>CHINA</v>
          </cell>
          <cell r="H167" t="str">
            <v>Tel: 852-2743-1083</v>
          </cell>
        </row>
        <row r="168">
          <cell r="C168" t="str">
            <v>TRIBECA DESIGN STUDIO</v>
          </cell>
          <cell r="D168">
            <v>10013</v>
          </cell>
          <cell r="E168" t="str">
            <v>142 DUANE STREET NEW YORK,</v>
          </cell>
          <cell r="F168" t="str">
            <v>New York, NY</v>
          </cell>
          <cell r="G168" t="str">
            <v>U.S.A.</v>
          </cell>
          <cell r="J168" t="str">
            <v>FedEx 726188874</v>
          </cell>
        </row>
        <row r="169">
          <cell r="C169" t="str">
            <v>ULLA JOHNSON</v>
          </cell>
          <cell r="D169">
            <v>10012</v>
          </cell>
          <cell r="E169" t="str">
            <v>270 Lafayette Street, 1101</v>
          </cell>
          <cell r="F169" t="str">
            <v>New York, NY 10012</v>
          </cell>
          <cell r="G169" t="str">
            <v>U.S.A.</v>
          </cell>
          <cell r="H169" t="str">
            <v>Tel: 917-921-0697</v>
          </cell>
          <cell r="I169" t="str">
            <v>Patricia Voto</v>
          </cell>
        </row>
        <row r="170">
          <cell r="C170" t="str">
            <v>Urban Zen</v>
          </cell>
          <cell r="D170">
            <v>10014</v>
          </cell>
          <cell r="E170" t="str">
            <v>705 Greenwich St</v>
          </cell>
          <cell r="F170" t="str">
            <v>New York NY 10014</v>
          </cell>
          <cell r="G170" t="str">
            <v>U.S.A.</v>
          </cell>
          <cell r="H170" t="str">
            <v>Tel: 212 206 3999</v>
          </cell>
          <cell r="I170" t="str">
            <v>Larisa Marginean</v>
          </cell>
        </row>
        <row r="171">
          <cell r="C171" t="str">
            <v>Valerie Khalfon</v>
          </cell>
          <cell r="D171">
            <v>75002</v>
          </cell>
          <cell r="E171" t="str">
            <v xml:space="preserve">9 rue Saint Fiacre </v>
          </cell>
          <cell r="F171" t="str">
            <v>Paris</v>
          </cell>
          <cell r="G171" t="str">
            <v>FRANCE</v>
          </cell>
          <cell r="H171" t="str">
            <v>Tel: 01 40 26 00 01</v>
          </cell>
          <cell r="I171" t="str">
            <v>Valerie Israel</v>
          </cell>
        </row>
        <row r="172">
          <cell r="C172" t="str">
            <v>VERA WANG BRIDAL</v>
          </cell>
          <cell r="D172">
            <v>10010</v>
          </cell>
          <cell r="E172" t="str">
            <v>15 EAST 26TH STREET</v>
          </cell>
          <cell r="F172" t="str">
            <v>NEW YORK, NY 10010</v>
          </cell>
          <cell r="G172" t="str">
            <v>U.S.A.</v>
          </cell>
        </row>
        <row r="173">
          <cell r="C173" t="str">
            <v>Vera Wang Bridal House, LLC</v>
          </cell>
          <cell r="D173">
            <v>33414</v>
          </cell>
          <cell r="E173" t="str">
            <v>11260 FORTUNE CIRCLE suite J4</v>
          </cell>
          <cell r="F173" t="str">
            <v>WELLINGTON, FL</v>
          </cell>
          <cell r="G173" t="str">
            <v>U.S.A.</v>
          </cell>
        </row>
        <row r="174">
          <cell r="C174" t="str">
            <v>Veronique Leroy</v>
          </cell>
          <cell r="D174">
            <v>75012</v>
          </cell>
          <cell r="E174" t="str">
            <v>50 rue du Faubourg ST Antoine</v>
          </cell>
          <cell r="F174" t="str">
            <v>4 Passage de la Boule Blanche, Paris</v>
          </cell>
          <cell r="G174" t="str">
            <v>FRANCE</v>
          </cell>
          <cell r="H174" t="str">
            <v>Tel: 1 44 87 90 90</v>
          </cell>
          <cell r="I174" t="str">
            <v>Jean Fran?ois</v>
          </cell>
        </row>
        <row r="175">
          <cell r="C175" t="str">
            <v>Vinnitsa Hong Kong Ltd.</v>
          </cell>
          <cell r="E175" t="str">
            <v>Unit B &amp; C, 9/F., Fuk Cheong Factory Building,</v>
          </cell>
          <cell r="F175" t="str">
            <v>1 Walnut Street, Tai Kok Tsui, Kowloon, Hong Kong</v>
          </cell>
          <cell r="G175" t="str">
            <v>CHINA</v>
          </cell>
          <cell r="H175" t="str">
            <v>Tel: (852) 2392 7323</v>
          </cell>
          <cell r="I175" t="str">
            <v>Helly</v>
          </cell>
        </row>
        <row r="176">
          <cell r="C176" t="str">
            <v>Wacoal Dominicana Corp.</v>
          </cell>
          <cell r="E176" t="str">
            <v>Zona Franca Industrial</v>
          </cell>
          <cell r="F176" t="str">
            <v xml:space="preserve">22 Autopista Las Americas, Santo Dominigo, </v>
          </cell>
          <cell r="G176" t="str">
            <v>DOMINICA REPUBLIC</v>
          </cell>
        </row>
        <row r="177">
          <cell r="C177" t="str">
            <v>WEI YI FACTORY</v>
          </cell>
          <cell r="D177">
            <v>52100</v>
          </cell>
          <cell r="E177" t="str">
            <v>No. 8, Gouwei Road, Yongan Road</v>
          </cell>
          <cell r="F177" t="str">
            <v>Chaozhou, Guangdong</v>
          </cell>
          <cell r="G177" t="str">
            <v>CHINA</v>
          </cell>
          <cell r="H177" t="str">
            <v>Tel: 646 882 2963</v>
          </cell>
        </row>
        <row r="178">
          <cell r="C178" t="str">
            <v>Wenzhou Qihe import &amp; export Co., Ltd</v>
          </cell>
          <cell r="D178">
            <v>3111108</v>
          </cell>
          <cell r="E178" t="str">
            <v xml:space="preserve">RM 2404, No.25 building, Gongchen bund, </v>
          </cell>
          <cell r="F178" t="str">
            <v>Chongxian street, Linping District, Hangzhou,</v>
          </cell>
          <cell r="G178" t="str">
            <v>CHINA</v>
          </cell>
          <cell r="H178" t="str">
            <v>Tel: 213.747.8811</v>
          </cell>
        </row>
        <row r="179">
          <cell r="C179" t="str">
            <v>Y/PROJECT</v>
          </cell>
          <cell r="D179">
            <v>75010</v>
          </cell>
          <cell r="E179" t="str">
            <v xml:space="preserve">40 RUE DE PARADIS, </v>
          </cell>
          <cell r="F179" t="str">
            <v>Paris</v>
          </cell>
          <cell r="G179" t="str">
            <v>FRANCE</v>
          </cell>
          <cell r="H179" t="str">
            <v>Tel: 33-186640269</v>
          </cell>
          <cell r="I179" t="str">
            <v>Ran Roh</v>
          </cell>
        </row>
        <row r="180">
          <cell r="C180" t="str">
            <v>Zapa</v>
          </cell>
          <cell r="D180">
            <v>75010</v>
          </cell>
          <cell r="E180" t="str">
            <v>8bis Rue Dieu</v>
          </cell>
          <cell r="F180" t="str">
            <v xml:space="preserve">Paris 10?me </v>
          </cell>
          <cell r="G180" t="str">
            <v>FRANCE</v>
          </cell>
          <cell r="H180" t="str">
            <v>Tel: 01 53 38 48 20</v>
          </cell>
          <cell r="I180" t="str">
            <v>France Rocher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1076"/>
  <sheetViews>
    <sheetView tabSelected="1" view="pageBreakPreview" topLeftCell="A580" zoomScale="70" zoomScaleNormal="100" zoomScaleSheetLayoutView="70" workbookViewId="0">
      <selection activeCell="C624" sqref="C624"/>
    </sheetView>
  </sheetViews>
  <sheetFormatPr defaultRowHeight="18" customHeight="1"/>
  <cols>
    <col min="1" max="1" width="5.375" style="46" bestFit="1" customWidth="1"/>
    <col min="2" max="2" width="4.75" style="714" customWidth="1"/>
    <col min="3" max="3" width="17.625" style="715" customWidth="1"/>
    <col min="4" max="4" width="22.125" style="46" hidden="1" customWidth="1"/>
    <col min="5" max="5" width="17.5" style="46" customWidth="1"/>
    <col min="6" max="6" width="12" style="741" customWidth="1"/>
    <col min="7" max="7" width="40.75" style="46" customWidth="1"/>
    <col min="8" max="8" width="11.5" style="46" customWidth="1"/>
    <col min="9" max="9" width="11.375" style="46" customWidth="1"/>
    <col min="10" max="10" width="12.5" style="46" customWidth="1"/>
    <col min="11" max="11" width="16.375" style="46" customWidth="1"/>
    <col min="12" max="12" width="14.875" style="46" customWidth="1"/>
    <col min="13" max="13" width="14.875" style="714" customWidth="1"/>
    <col min="14" max="14" width="26" style="46" customWidth="1"/>
    <col min="15" max="15" width="14.75" style="716" customWidth="1"/>
    <col min="16" max="16" width="13.625" style="46" bestFit="1" customWidth="1"/>
    <col min="17" max="17" width="16.375" style="645" bestFit="1" customWidth="1"/>
    <col min="18" max="18" width="15.875" style="46" customWidth="1"/>
    <col min="19" max="19" width="16.125" style="46" bestFit="1" customWidth="1"/>
    <col min="20" max="20" width="15.625" style="46" customWidth="1"/>
    <col min="21" max="21" width="16.875" style="46" hidden="1" customWidth="1"/>
    <col min="22" max="22" width="17" style="647" bestFit="1" customWidth="1"/>
    <col min="23" max="23" width="12.5" style="46" bestFit="1" customWidth="1"/>
    <col min="24" max="24" width="9" style="46"/>
    <col min="25" max="25" width="67" style="46" bestFit="1" customWidth="1"/>
    <col min="26" max="256" width="9" style="46"/>
    <col min="257" max="257" width="5.375" style="46" bestFit="1" customWidth="1"/>
    <col min="258" max="258" width="4.75" style="46" customWidth="1"/>
    <col min="259" max="259" width="17.625" style="46" customWidth="1"/>
    <col min="260" max="260" width="22.125" style="46" customWidth="1"/>
    <col min="261" max="261" width="17.5" style="46" customWidth="1"/>
    <col min="262" max="262" width="12" style="46" customWidth="1"/>
    <col min="263" max="263" width="40.75" style="46" customWidth="1"/>
    <col min="264" max="264" width="11.5" style="46" customWidth="1"/>
    <col min="265" max="265" width="11.375" style="46" bestFit="1" customWidth="1"/>
    <col min="266" max="266" width="12.5" style="46" customWidth="1"/>
    <col min="267" max="267" width="16.375" style="46" bestFit="1" customWidth="1"/>
    <col min="268" max="268" width="14.875" style="46" bestFit="1" customWidth="1"/>
    <col min="269" max="269" width="14.875" style="46" customWidth="1"/>
    <col min="270" max="270" width="14.875" style="46" bestFit="1" customWidth="1"/>
    <col min="271" max="271" width="14.75" style="46" bestFit="1" customWidth="1"/>
    <col min="272" max="272" width="13.625" style="46" bestFit="1" customWidth="1"/>
    <col min="273" max="273" width="16.375" style="46" bestFit="1" customWidth="1"/>
    <col min="274" max="274" width="15.875" style="46" customWidth="1"/>
    <col min="275" max="275" width="14.875" style="46" bestFit="1" customWidth="1"/>
    <col min="276" max="276" width="15.625" style="46" customWidth="1"/>
    <col min="277" max="277" width="16.25" style="46" customWidth="1"/>
    <col min="278" max="278" width="16.625" style="46" bestFit="1" customWidth="1"/>
    <col min="279" max="512" width="9" style="46"/>
    <col min="513" max="513" width="5.375" style="46" bestFit="1" customWidth="1"/>
    <col min="514" max="514" width="4.75" style="46" customWidth="1"/>
    <col min="515" max="515" width="17.625" style="46" customWidth="1"/>
    <col min="516" max="516" width="22.125" style="46" customWidth="1"/>
    <col min="517" max="517" width="17.5" style="46" customWidth="1"/>
    <col min="518" max="518" width="12" style="46" customWidth="1"/>
    <col min="519" max="519" width="40.75" style="46" customWidth="1"/>
    <col min="520" max="520" width="11.5" style="46" customWidth="1"/>
    <col min="521" max="521" width="11.375" style="46" bestFit="1" customWidth="1"/>
    <col min="522" max="522" width="12.5" style="46" customWidth="1"/>
    <col min="523" max="523" width="16.375" style="46" bestFit="1" customWidth="1"/>
    <col min="524" max="524" width="14.875" style="46" bestFit="1" customWidth="1"/>
    <col min="525" max="525" width="14.875" style="46" customWidth="1"/>
    <col min="526" max="526" width="14.875" style="46" bestFit="1" customWidth="1"/>
    <col min="527" max="527" width="14.75" style="46" bestFit="1" customWidth="1"/>
    <col min="528" max="528" width="13.625" style="46" bestFit="1" customWidth="1"/>
    <col min="529" max="529" width="16.375" style="46" bestFit="1" customWidth="1"/>
    <col min="530" max="530" width="15.875" style="46" customWidth="1"/>
    <col min="531" max="531" width="14.875" style="46" bestFit="1" customWidth="1"/>
    <col min="532" max="532" width="15.625" style="46" customWidth="1"/>
    <col min="533" max="533" width="16.25" style="46" customWidth="1"/>
    <col min="534" max="534" width="16.625" style="46" bestFit="1" customWidth="1"/>
    <col min="535" max="768" width="9" style="46"/>
    <col min="769" max="769" width="5.375" style="46" bestFit="1" customWidth="1"/>
    <col min="770" max="770" width="4.75" style="46" customWidth="1"/>
    <col min="771" max="771" width="17.625" style="46" customWidth="1"/>
    <col min="772" max="772" width="22.125" style="46" customWidth="1"/>
    <col min="773" max="773" width="17.5" style="46" customWidth="1"/>
    <col min="774" max="774" width="12" style="46" customWidth="1"/>
    <col min="775" max="775" width="40.75" style="46" customWidth="1"/>
    <col min="776" max="776" width="11.5" style="46" customWidth="1"/>
    <col min="777" max="777" width="11.375" style="46" bestFit="1" customWidth="1"/>
    <col min="778" max="778" width="12.5" style="46" customWidth="1"/>
    <col min="779" max="779" width="16.375" style="46" bestFit="1" customWidth="1"/>
    <col min="780" max="780" width="14.875" style="46" bestFit="1" customWidth="1"/>
    <col min="781" max="781" width="14.875" style="46" customWidth="1"/>
    <col min="782" max="782" width="14.875" style="46" bestFit="1" customWidth="1"/>
    <col min="783" max="783" width="14.75" style="46" bestFit="1" customWidth="1"/>
    <col min="784" max="784" width="13.625" style="46" bestFit="1" customWidth="1"/>
    <col min="785" max="785" width="16.375" style="46" bestFit="1" customWidth="1"/>
    <col min="786" max="786" width="15.875" style="46" customWidth="1"/>
    <col min="787" max="787" width="14.875" style="46" bestFit="1" customWidth="1"/>
    <col min="788" max="788" width="15.625" style="46" customWidth="1"/>
    <col min="789" max="789" width="16.25" style="46" customWidth="1"/>
    <col min="790" max="790" width="16.625" style="46" bestFit="1" customWidth="1"/>
    <col min="791" max="1024" width="9" style="46"/>
    <col min="1025" max="1025" width="5.375" style="46" bestFit="1" customWidth="1"/>
    <col min="1026" max="1026" width="4.75" style="46" customWidth="1"/>
    <col min="1027" max="1027" width="17.625" style="46" customWidth="1"/>
    <col min="1028" max="1028" width="22.125" style="46" customWidth="1"/>
    <col min="1029" max="1029" width="17.5" style="46" customWidth="1"/>
    <col min="1030" max="1030" width="12" style="46" customWidth="1"/>
    <col min="1031" max="1031" width="40.75" style="46" customWidth="1"/>
    <col min="1032" max="1032" width="11.5" style="46" customWidth="1"/>
    <col min="1033" max="1033" width="11.375" style="46" bestFit="1" customWidth="1"/>
    <col min="1034" max="1034" width="12.5" style="46" customWidth="1"/>
    <col min="1035" max="1035" width="16.375" style="46" bestFit="1" customWidth="1"/>
    <col min="1036" max="1036" width="14.875" style="46" bestFit="1" customWidth="1"/>
    <col min="1037" max="1037" width="14.875" style="46" customWidth="1"/>
    <col min="1038" max="1038" width="14.875" style="46" bestFit="1" customWidth="1"/>
    <col min="1039" max="1039" width="14.75" style="46" bestFit="1" customWidth="1"/>
    <col min="1040" max="1040" width="13.625" style="46" bestFit="1" customWidth="1"/>
    <col min="1041" max="1041" width="16.375" style="46" bestFit="1" customWidth="1"/>
    <col min="1042" max="1042" width="15.875" style="46" customWidth="1"/>
    <col min="1043" max="1043" width="14.875" style="46" bestFit="1" customWidth="1"/>
    <col min="1044" max="1044" width="15.625" style="46" customWidth="1"/>
    <col min="1045" max="1045" width="16.25" style="46" customWidth="1"/>
    <col min="1046" max="1046" width="16.625" style="46" bestFit="1" customWidth="1"/>
    <col min="1047" max="1280" width="9" style="46"/>
    <col min="1281" max="1281" width="5.375" style="46" bestFit="1" customWidth="1"/>
    <col min="1282" max="1282" width="4.75" style="46" customWidth="1"/>
    <col min="1283" max="1283" width="17.625" style="46" customWidth="1"/>
    <col min="1284" max="1284" width="22.125" style="46" customWidth="1"/>
    <col min="1285" max="1285" width="17.5" style="46" customWidth="1"/>
    <col min="1286" max="1286" width="12" style="46" customWidth="1"/>
    <col min="1287" max="1287" width="40.75" style="46" customWidth="1"/>
    <col min="1288" max="1288" width="11.5" style="46" customWidth="1"/>
    <col min="1289" max="1289" width="11.375" style="46" bestFit="1" customWidth="1"/>
    <col min="1290" max="1290" width="12.5" style="46" customWidth="1"/>
    <col min="1291" max="1291" width="16.375" style="46" bestFit="1" customWidth="1"/>
    <col min="1292" max="1292" width="14.875" style="46" bestFit="1" customWidth="1"/>
    <col min="1293" max="1293" width="14.875" style="46" customWidth="1"/>
    <col min="1294" max="1294" width="14.875" style="46" bestFit="1" customWidth="1"/>
    <col min="1295" max="1295" width="14.75" style="46" bestFit="1" customWidth="1"/>
    <col min="1296" max="1296" width="13.625" style="46" bestFit="1" customWidth="1"/>
    <col min="1297" max="1297" width="16.375" style="46" bestFit="1" customWidth="1"/>
    <col min="1298" max="1298" width="15.875" style="46" customWidth="1"/>
    <col min="1299" max="1299" width="14.875" style="46" bestFit="1" customWidth="1"/>
    <col min="1300" max="1300" width="15.625" style="46" customWidth="1"/>
    <col min="1301" max="1301" width="16.25" style="46" customWidth="1"/>
    <col min="1302" max="1302" width="16.625" style="46" bestFit="1" customWidth="1"/>
    <col min="1303" max="1536" width="9" style="46"/>
    <col min="1537" max="1537" width="5.375" style="46" bestFit="1" customWidth="1"/>
    <col min="1538" max="1538" width="4.75" style="46" customWidth="1"/>
    <col min="1539" max="1539" width="17.625" style="46" customWidth="1"/>
    <col min="1540" max="1540" width="22.125" style="46" customWidth="1"/>
    <col min="1541" max="1541" width="17.5" style="46" customWidth="1"/>
    <col min="1542" max="1542" width="12" style="46" customWidth="1"/>
    <col min="1543" max="1543" width="40.75" style="46" customWidth="1"/>
    <col min="1544" max="1544" width="11.5" style="46" customWidth="1"/>
    <col min="1545" max="1545" width="11.375" style="46" bestFit="1" customWidth="1"/>
    <col min="1546" max="1546" width="12.5" style="46" customWidth="1"/>
    <col min="1547" max="1547" width="16.375" style="46" bestFit="1" customWidth="1"/>
    <col min="1548" max="1548" width="14.875" style="46" bestFit="1" customWidth="1"/>
    <col min="1549" max="1549" width="14.875" style="46" customWidth="1"/>
    <col min="1550" max="1550" width="14.875" style="46" bestFit="1" customWidth="1"/>
    <col min="1551" max="1551" width="14.75" style="46" bestFit="1" customWidth="1"/>
    <col min="1552" max="1552" width="13.625" style="46" bestFit="1" customWidth="1"/>
    <col min="1553" max="1553" width="16.375" style="46" bestFit="1" customWidth="1"/>
    <col min="1554" max="1554" width="15.875" style="46" customWidth="1"/>
    <col min="1555" max="1555" width="14.875" style="46" bestFit="1" customWidth="1"/>
    <col min="1556" max="1556" width="15.625" style="46" customWidth="1"/>
    <col min="1557" max="1557" width="16.25" style="46" customWidth="1"/>
    <col min="1558" max="1558" width="16.625" style="46" bestFit="1" customWidth="1"/>
    <col min="1559" max="1792" width="9" style="46"/>
    <col min="1793" max="1793" width="5.375" style="46" bestFit="1" customWidth="1"/>
    <col min="1794" max="1794" width="4.75" style="46" customWidth="1"/>
    <col min="1795" max="1795" width="17.625" style="46" customWidth="1"/>
    <col min="1796" max="1796" width="22.125" style="46" customWidth="1"/>
    <col min="1797" max="1797" width="17.5" style="46" customWidth="1"/>
    <col min="1798" max="1798" width="12" style="46" customWidth="1"/>
    <col min="1799" max="1799" width="40.75" style="46" customWidth="1"/>
    <col min="1800" max="1800" width="11.5" style="46" customWidth="1"/>
    <col min="1801" max="1801" width="11.375" style="46" bestFit="1" customWidth="1"/>
    <col min="1802" max="1802" width="12.5" style="46" customWidth="1"/>
    <col min="1803" max="1803" width="16.375" style="46" bestFit="1" customWidth="1"/>
    <col min="1804" max="1804" width="14.875" style="46" bestFit="1" customWidth="1"/>
    <col min="1805" max="1805" width="14.875" style="46" customWidth="1"/>
    <col min="1806" max="1806" width="14.875" style="46" bestFit="1" customWidth="1"/>
    <col min="1807" max="1807" width="14.75" style="46" bestFit="1" customWidth="1"/>
    <col min="1808" max="1808" width="13.625" style="46" bestFit="1" customWidth="1"/>
    <col min="1809" max="1809" width="16.375" style="46" bestFit="1" customWidth="1"/>
    <col min="1810" max="1810" width="15.875" style="46" customWidth="1"/>
    <col min="1811" max="1811" width="14.875" style="46" bestFit="1" customWidth="1"/>
    <col min="1812" max="1812" width="15.625" style="46" customWidth="1"/>
    <col min="1813" max="1813" width="16.25" style="46" customWidth="1"/>
    <col min="1814" max="1814" width="16.625" style="46" bestFit="1" customWidth="1"/>
    <col min="1815" max="2048" width="9" style="46"/>
    <col min="2049" max="2049" width="5.375" style="46" bestFit="1" customWidth="1"/>
    <col min="2050" max="2050" width="4.75" style="46" customWidth="1"/>
    <col min="2051" max="2051" width="17.625" style="46" customWidth="1"/>
    <col min="2052" max="2052" width="22.125" style="46" customWidth="1"/>
    <col min="2053" max="2053" width="17.5" style="46" customWidth="1"/>
    <col min="2054" max="2054" width="12" style="46" customWidth="1"/>
    <col min="2055" max="2055" width="40.75" style="46" customWidth="1"/>
    <col min="2056" max="2056" width="11.5" style="46" customWidth="1"/>
    <col min="2057" max="2057" width="11.375" style="46" bestFit="1" customWidth="1"/>
    <col min="2058" max="2058" width="12.5" style="46" customWidth="1"/>
    <col min="2059" max="2059" width="16.375" style="46" bestFit="1" customWidth="1"/>
    <col min="2060" max="2060" width="14.875" style="46" bestFit="1" customWidth="1"/>
    <col min="2061" max="2061" width="14.875" style="46" customWidth="1"/>
    <col min="2062" max="2062" width="14.875" style="46" bestFit="1" customWidth="1"/>
    <col min="2063" max="2063" width="14.75" style="46" bestFit="1" customWidth="1"/>
    <col min="2064" max="2064" width="13.625" style="46" bestFit="1" customWidth="1"/>
    <col min="2065" max="2065" width="16.375" style="46" bestFit="1" customWidth="1"/>
    <col min="2066" max="2066" width="15.875" style="46" customWidth="1"/>
    <col min="2067" max="2067" width="14.875" style="46" bestFit="1" customWidth="1"/>
    <col min="2068" max="2068" width="15.625" style="46" customWidth="1"/>
    <col min="2069" max="2069" width="16.25" style="46" customWidth="1"/>
    <col min="2070" max="2070" width="16.625" style="46" bestFit="1" customWidth="1"/>
    <col min="2071" max="2304" width="9" style="46"/>
    <col min="2305" max="2305" width="5.375" style="46" bestFit="1" customWidth="1"/>
    <col min="2306" max="2306" width="4.75" style="46" customWidth="1"/>
    <col min="2307" max="2307" width="17.625" style="46" customWidth="1"/>
    <col min="2308" max="2308" width="22.125" style="46" customWidth="1"/>
    <col min="2309" max="2309" width="17.5" style="46" customWidth="1"/>
    <col min="2310" max="2310" width="12" style="46" customWidth="1"/>
    <col min="2311" max="2311" width="40.75" style="46" customWidth="1"/>
    <col min="2312" max="2312" width="11.5" style="46" customWidth="1"/>
    <col min="2313" max="2313" width="11.375" style="46" bestFit="1" customWidth="1"/>
    <col min="2314" max="2314" width="12.5" style="46" customWidth="1"/>
    <col min="2315" max="2315" width="16.375" style="46" bestFit="1" customWidth="1"/>
    <col min="2316" max="2316" width="14.875" style="46" bestFit="1" customWidth="1"/>
    <col min="2317" max="2317" width="14.875" style="46" customWidth="1"/>
    <col min="2318" max="2318" width="14.875" style="46" bestFit="1" customWidth="1"/>
    <col min="2319" max="2319" width="14.75" style="46" bestFit="1" customWidth="1"/>
    <col min="2320" max="2320" width="13.625" style="46" bestFit="1" customWidth="1"/>
    <col min="2321" max="2321" width="16.375" style="46" bestFit="1" customWidth="1"/>
    <col min="2322" max="2322" width="15.875" style="46" customWidth="1"/>
    <col min="2323" max="2323" width="14.875" style="46" bestFit="1" customWidth="1"/>
    <col min="2324" max="2324" width="15.625" style="46" customWidth="1"/>
    <col min="2325" max="2325" width="16.25" style="46" customWidth="1"/>
    <col min="2326" max="2326" width="16.625" style="46" bestFit="1" customWidth="1"/>
    <col min="2327" max="2560" width="9" style="46"/>
    <col min="2561" max="2561" width="5.375" style="46" bestFit="1" customWidth="1"/>
    <col min="2562" max="2562" width="4.75" style="46" customWidth="1"/>
    <col min="2563" max="2563" width="17.625" style="46" customWidth="1"/>
    <col min="2564" max="2564" width="22.125" style="46" customWidth="1"/>
    <col min="2565" max="2565" width="17.5" style="46" customWidth="1"/>
    <col min="2566" max="2566" width="12" style="46" customWidth="1"/>
    <col min="2567" max="2567" width="40.75" style="46" customWidth="1"/>
    <col min="2568" max="2568" width="11.5" style="46" customWidth="1"/>
    <col min="2569" max="2569" width="11.375" style="46" bestFit="1" customWidth="1"/>
    <col min="2570" max="2570" width="12.5" style="46" customWidth="1"/>
    <col min="2571" max="2571" width="16.375" style="46" bestFit="1" customWidth="1"/>
    <col min="2572" max="2572" width="14.875" style="46" bestFit="1" customWidth="1"/>
    <col min="2573" max="2573" width="14.875" style="46" customWidth="1"/>
    <col min="2574" max="2574" width="14.875" style="46" bestFit="1" customWidth="1"/>
    <col min="2575" max="2575" width="14.75" style="46" bestFit="1" customWidth="1"/>
    <col min="2576" max="2576" width="13.625" style="46" bestFit="1" customWidth="1"/>
    <col min="2577" max="2577" width="16.375" style="46" bestFit="1" customWidth="1"/>
    <col min="2578" max="2578" width="15.875" style="46" customWidth="1"/>
    <col min="2579" max="2579" width="14.875" style="46" bestFit="1" customWidth="1"/>
    <col min="2580" max="2580" width="15.625" style="46" customWidth="1"/>
    <col min="2581" max="2581" width="16.25" style="46" customWidth="1"/>
    <col min="2582" max="2582" width="16.625" style="46" bestFit="1" customWidth="1"/>
    <col min="2583" max="2816" width="9" style="46"/>
    <col min="2817" max="2817" width="5.375" style="46" bestFit="1" customWidth="1"/>
    <col min="2818" max="2818" width="4.75" style="46" customWidth="1"/>
    <col min="2819" max="2819" width="17.625" style="46" customWidth="1"/>
    <col min="2820" max="2820" width="22.125" style="46" customWidth="1"/>
    <col min="2821" max="2821" width="17.5" style="46" customWidth="1"/>
    <col min="2822" max="2822" width="12" style="46" customWidth="1"/>
    <col min="2823" max="2823" width="40.75" style="46" customWidth="1"/>
    <col min="2824" max="2824" width="11.5" style="46" customWidth="1"/>
    <col min="2825" max="2825" width="11.375" style="46" bestFit="1" customWidth="1"/>
    <col min="2826" max="2826" width="12.5" style="46" customWidth="1"/>
    <col min="2827" max="2827" width="16.375" style="46" bestFit="1" customWidth="1"/>
    <col min="2828" max="2828" width="14.875" style="46" bestFit="1" customWidth="1"/>
    <col min="2829" max="2829" width="14.875" style="46" customWidth="1"/>
    <col min="2830" max="2830" width="14.875" style="46" bestFit="1" customWidth="1"/>
    <col min="2831" max="2831" width="14.75" style="46" bestFit="1" customWidth="1"/>
    <col min="2832" max="2832" width="13.625" style="46" bestFit="1" customWidth="1"/>
    <col min="2833" max="2833" width="16.375" style="46" bestFit="1" customWidth="1"/>
    <col min="2834" max="2834" width="15.875" style="46" customWidth="1"/>
    <col min="2835" max="2835" width="14.875" style="46" bestFit="1" customWidth="1"/>
    <col min="2836" max="2836" width="15.625" style="46" customWidth="1"/>
    <col min="2837" max="2837" width="16.25" style="46" customWidth="1"/>
    <col min="2838" max="2838" width="16.625" style="46" bestFit="1" customWidth="1"/>
    <col min="2839" max="3072" width="9" style="46"/>
    <col min="3073" max="3073" width="5.375" style="46" bestFit="1" customWidth="1"/>
    <col min="3074" max="3074" width="4.75" style="46" customWidth="1"/>
    <col min="3075" max="3075" width="17.625" style="46" customWidth="1"/>
    <col min="3076" max="3076" width="22.125" style="46" customWidth="1"/>
    <col min="3077" max="3077" width="17.5" style="46" customWidth="1"/>
    <col min="3078" max="3078" width="12" style="46" customWidth="1"/>
    <col min="3079" max="3079" width="40.75" style="46" customWidth="1"/>
    <col min="3080" max="3080" width="11.5" style="46" customWidth="1"/>
    <col min="3081" max="3081" width="11.375" style="46" bestFit="1" customWidth="1"/>
    <col min="3082" max="3082" width="12.5" style="46" customWidth="1"/>
    <col min="3083" max="3083" width="16.375" style="46" bestFit="1" customWidth="1"/>
    <col min="3084" max="3084" width="14.875" style="46" bestFit="1" customWidth="1"/>
    <col min="3085" max="3085" width="14.875" style="46" customWidth="1"/>
    <col min="3086" max="3086" width="14.875" style="46" bestFit="1" customWidth="1"/>
    <col min="3087" max="3087" width="14.75" style="46" bestFit="1" customWidth="1"/>
    <col min="3088" max="3088" width="13.625" style="46" bestFit="1" customWidth="1"/>
    <col min="3089" max="3089" width="16.375" style="46" bestFit="1" customWidth="1"/>
    <col min="3090" max="3090" width="15.875" style="46" customWidth="1"/>
    <col min="3091" max="3091" width="14.875" style="46" bestFit="1" customWidth="1"/>
    <col min="3092" max="3092" width="15.625" style="46" customWidth="1"/>
    <col min="3093" max="3093" width="16.25" style="46" customWidth="1"/>
    <col min="3094" max="3094" width="16.625" style="46" bestFit="1" customWidth="1"/>
    <col min="3095" max="3328" width="9" style="46"/>
    <col min="3329" max="3329" width="5.375" style="46" bestFit="1" customWidth="1"/>
    <col min="3330" max="3330" width="4.75" style="46" customWidth="1"/>
    <col min="3331" max="3331" width="17.625" style="46" customWidth="1"/>
    <col min="3332" max="3332" width="22.125" style="46" customWidth="1"/>
    <col min="3333" max="3333" width="17.5" style="46" customWidth="1"/>
    <col min="3334" max="3334" width="12" style="46" customWidth="1"/>
    <col min="3335" max="3335" width="40.75" style="46" customWidth="1"/>
    <col min="3336" max="3336" width="11.5" style="46" customWidth="1"/>
    <col min="3337" max="3337" width="11.375" style="46" bestFit="1" customWidth="1"/>
    <col min="3338" max="3338" width="12.5" style="46" customWidth="1"/>
    <col min="3339" max="3339" width="16.375" style="46" bestFit="1" customWidth="1"/>
    <col min="3340" max="3340" width="14.875" style="46" bestFit="1" customWidth="1"/>
    <col min="3341" max="3341" width="14.875" style="46" customWidth="1"/>
    <col min="3342" max="3342" width="14.875" style="46" bestFit="1" customWidth="1"/>
    <col min="3343" max="3343" width="14.75" style="46" bestFit="1" customWidth="1"/>
    <col min="3344" max="3344" width="13.625" style="46" bestFit="1" customWidth="1"/>
    <col min="3345" max="3345" width="16.375" style="46" bestFit="1" customWidth="1"/>
    <col min="3346" max="3346" width="15.875" style="46" customWidth="1"/>
    <col min="3347" max="3347" width="14.875" style="46" bestFit="1" customWidth="1"/>
    <col min="3348" max="3348" width="15.625" style="46" customWidth="1"/>
    <col min="3349" max="3349" width="16.25" style="46" customWidth="1"/>
    <col min="3350" max="3350" width="16.625" style="46" bestFit="1" customWidth="1"/>
    <col min="3351" max="3584" width="9" style="46"/>
    <col min="3585" max="3585" width="5.375" style="46" bestFit="1" customWidth="1"/>
    <col min="3586" max="3586" width="4.75" style="46" customWidth="1"/>
    <col min="3587" max="3587" width="17.625" style="46" customWidth="1"/>
    <col min="3588" max="3588" width="22.125" style="46" customWidth="1"/>
    <col min="3589" max="3589" width="17.5" style="46" customWidth="1"/>
    <col min="3590" max="3590" width="12" style="46" customWidth="1"/>
    <col min="3591" max="3591" width="40.75" style="46" customWidth="1"/>
    <col min="3592" max="3592" width="11.5" style="46" customWidth="1"/>
    <col min="3593" max="3593" width="11.375" style="46" bestFit="1" customWidth="1"/>
    <col min="3594" max="3594" width="12.5" style="46" customWidth="1"/>
    <col min="3595" max="3595" width="16.375" style="46" bestFit="1" customWidth="1"/>
    <col min="3596" max="3596" width="14.875" style="46" bestFit="1" customWidth="1"/>
    <col min="3597" max="3597" width="14.875" style="46" customWidth="1"/>
    <col min="3598" max="3598" width="14.875" style="46" bestFit="1" customWidth="1"/>
    <col min="3599" max="3599" width="14.75" style="46" bestFit="1" customWidth="1"/>
    <col min="3600" max="3600" width="13.625" style="46" bestFit="1" customWidth="1"/>
    <col min="3601" max="3601" width="16.375" style="46" bestFit="1" customWidth="1"/>
    <col min="3602" max="3602" width="15.875" style="46" customWidth="1"/>
    <col min="3603" max="3603" width="14.875" style="46" bestFit="1" customWidth="1"/>
    <col min="3604" max="3604" width="15.625" style="46" customWidth="1"/>
    <col min="3605" max="3605" width="16.25" style="46" customWidth="1"/>
    <col min="3606" max="3606" width="16.625" style="46" bestFit="1" customWidth="1"/>
    <col min="3607" max="3840" width="9" style="46"/>
    <col min="3841" max="3841" width="5.375" style="46" bestFit="1" customWidth="1"/>
    <col min="3842" max="3842" width="4.75" style="46" customWidth="1"/>
    <col min="3843" max="3843" width="17.625" style="46" customWidth="1"/>
    <col min="3844" max="3844" width="22.125" style="46" customWidth="1"/>
    <col min="3845" max="3845" width="17.5" style="46" customWidth="1"/>
    <col min="3846" max="3846" width="12" style="46" customWidth="1"/>
    <col min="3847" max="3847" width="40.75" style="46" customWidth="1"/>
    <col min="3848" max="3848" width="11.5" style="46" customWidth="1"/>
    <col min="3849" max="3849" width="11.375" style="46" bestFit="1" customWidth="1"/>
    <col min="3850" max="3850" width="12.5" style="46" customWidth="1"/>
    <col min="3851" max="3851" width="16.375" style="46" bestFit="1" customWidth="1"/>
    <col min="3852" max="3852" width="14.875" style="46" bestFit="1" customWidth="1"/>
    <col min="3853" max="3853" width="14.875" style="46" customWidth="1"/>
    <col min="3854" max="3854" width="14.875" style="46" bestFit="1" customWidth="1"/>
    <col min="3855" max="3855" width="14.75" style="46" bestFit="1" customWidth="1"/>
    <col min="3856" max="3856" width="13.625" style="46" bestFit="1" customWidth="1"/>
    <col min="3857" max="3857" width="16.375" style="46" bestFit="1" customWidth="1"/>
    <col min="3858" max="3858" width="15.875" style="46" customWidth="1"/>
    <col min="3859" max="3859" width="14.875" style="46" bestFit="1" customWidth="1"/>
    <col min="3860" max="3860" width="15.625" style="46" customWidth="1"/>
    <col min="3861" max="3861" width="16.25" style="46" customWidth="1"/>
    <col min="3862" max="3862" width="16.625" style="46" bestFit="1" customWidth="1"/>
    <col min="3863" max="4096" width="9" style="46"/>
    <col min="4097" max="4097" width="5.375" style="46" bestFit="1" customWidth="1"/>
    <col min="4098" max="4098" width="4.75" style="46" customWidth="1"/>
    <col min="4099" max="4099" width="17.625" style="46" customWidth="1"/>
    <col min="4100" max="4100" width="22.125" style="46" customWidth="1"/>
    <col min="4101" max="4101" width="17.5" style="46" customWidth="1"/>
    <col min="4102" max="4102" width="12" style="46" customWidth="1"/>
    <col min="4103" max="4103" width="40.75" style="46" customWidth="1"/>
    <col min="4104" max="4104" width="11.5" style="46" customWidth="1"/>
    <col min="4105" max="4105" width="11.375" style="46" bestFit="1" customWidth="1"/>
    <col min="4106" max="4106" width="12.5" style="46" customWidth="1"/>
    <col min="4107" max="4107" width="16.375" style="46" bestFit="1" customWidth="1"/>
    <col min="4108" max="4108" width="14.875" style="46" bestFit="1" customWidth="1"/>
    <col min="4109" max="4109" width="14.875" style="46" customWidth="1"/>
    <col min="4110" max="4110" width="14.875" style="46" bestFit="1" customWidth="1"/>
    <col min="4111" max="4111" width="14.75" style="46" bestFit="1" customWidth="1"/>
    <col min="4112" max="4112" width="13.625" style="46" bestFit="1" customWidth="1"/>
    <col min="4113" max="4113" width="16.375" style="46" bestFit="1" customWidth="1"/>
    <col min="4114" max="4114" width="15.875" style="46" customWidth="1"/>
    <col min="4115" max="4115" width="14.875" style="46" bestFit="1" customWidth="1"/>
    <col min="4116" max="4116" width="15.625" style="46" customWidth="1"/>
    <col min="4117" max="4117" width="16.25" style="46" customWidth="1"/>
    <col min="4118" max="4118" width="16.625" style="46" bestFit="1" customWidth="1"/>
    <col min="4119" max="4352" width="9" style="46"/>
    <col min="4353" max="4353" width="5.375" style="46" bestFit="1" customWidth="1"/>
    <col min="4354" max="4354" width="4.75" style="46" customWidth="1"/>
    <col min="4355" max="4355" width="17.625" style="46" customWidth="1"/>
    <col min="4356" max="4356" width="22.125" style="46" customWidth="1"/>
    <col min="4357" max="4357" width="17.5" style="46" customWidth="1"/>
    <col min="4358" max="4358" width="12" style="46" customWidth="1"/>
    <col min="4359" max="4359" width="40.75" style="46" customWidth="1"/>
    <col min="4360" max="4360" width="11.5" style="46" customWidth="1"/>
    <col min="4361" max="4361" width="11.375" style="46" bestFit="1" customWidth="1"/>
    <col min="4362" max="4362" width="12.5" style="46" customWidth="1"/>
    <col min="4363" max="4363" width="16.375" style="46" bestFit="1" customWidth="1"/>
    <col min="4364" max="4364" width="14.875" style="46" bestFit="1" customWidth="1"/>
    <col min="4365" max="4365" width="14.875" style="46" customWidth="1"/>
    <col min="4366" max="4366" width="14.875" style="46" bestFit="1" customWidth="1"/>
    <col min="4367" max="4367" width="14.75" style="46" bestFit="1" customWidth="1"/>
    <col min="4368" max="4368" width="13.625" style="46" bestFit="1" customWidth="1"/>
    <col min="4369" max="4369" width="16.375" style="46" bestFit="1" customWidth="1"/>
    <col min="4370" max="4370" width="15.875" style="46" customWidth="1"/>
    <col min="4371" max="4371" width="14.875" style="46" bestFit="1" customWidth="1"/>
    <col min="4372" max="4372" width="15.625" style="46" customWidth="1"/>
    <col min="4373" max="4373" width="16.25" style="46" customWidth="1"/>
    <col min="4374" max="4374" width="16.625" style="46" bestFit="1" customWidth="1"/>
    <col min="4375" max="4608" width="9" style="46"/>
    <col min="4609" max="4609" width="5.375" style="46" bestFit="1" customWidth="1"/>
    <col min="4610" max="4610" width="4.75" style="46" customWidth="1"/>
    <col min="4611" max="4611" width="17.625" style="46" customWidth="1"/>
    <col min="4612" max="4612" width="22.125" style="46" customWidth="1"/>
    <col min="4613" max="4613" width="17.5" style="46" customWidth="1"/>
    <col min="4614" max="4614" width="12" style="46" customWidth="1"/>
    <col min="4615" max="4615" width="40.75" style="46" customWidth="1"/>
    <col min="4616" max="4616" width="11.5" style="46" customWidth="1"/>
    <col min="4617" max="4617" width="11.375" style="46" bestFit="1" customWidth="1"/>
    <col min="4618" max="4618" width="12.5" style="46" customWidth="1"/>
    <col min="4619" max="4619" width="16.375" style="46" bestFit="1" customWidth="1"/>
    <col min="4620" max="4620" width="14.875" style="46" bestFit="1" customWidth="1"/>
    <col min="4621" max="4621" width="14.875" style="46" customWidth="1"/>
    <col min="4622" max="4622" width="14.875" style="46" bestFit="1" customWidth="1"/>
    <col min="4623" max="4623" width="14.75" style="46" bestFit="1" customWidth="1"/>
    <col min="4624" max="4624" width="13.625" style="46" bestFit="1" customWidth="1"/>
    <col min="4625" max="4625" width="16.375" style="46" bestFit="1" customWidth="1"/>
    <col min="4626" max="4626" width="15.875" style="46" customWidth="1"/>
    <col min="4627" max="4627" width="14.875" style="46" bestFit="1" customWidth="1"/>
    <col min="4628" max="4628" width="15.625" style="46" customWidth="1"/>
    <col min="4629" max="4629" width="16.25" style="46" customWidth="1"/>
    <col min="4630" max="4630" width="16.625" style="46" bestFit="1" customWidth="1"/>
    <col min="4631" max="4864" width="9" style="46"/>
    <col min="4865" max="4865" width="5.375" style="46" bestFit="1" customWidth="1"/>
    <col min="4866" max="4866" width="4.75" style="46" customWidth="1"/>
    <col min="4867" max="4867" width="17.625" style="46" customWidth="1"/>
    <col min="4868" max="4868" width="22.125" style="46" customWidth="1"/>
    <col min="4869" max="4869" width="17.5" style="46" customWidth="1"/>
    <col min="4870" max="4870" width="12" style="46" customWidth="1"/>
    <col min="4871" max="4871" width="40.75" style="46" customWidth="1"/>
    <col min="4872" max="4872" width="11.5" style="46" customWidth="1"/>
    <col min="4873" max="4873" width="11.375" style="46" bestFit="1" customWidth="1"/>
    <col min="4874" max="4874" width="12.5" style="46" customWidth="1"/>
    <col min="4875" max="4875" width="16.375" style="46" bestFit="1" customWidth="1"/>
    <col min="4876" max="4876" width="14.875" style="46" bestFit="1" customWidth="1"/>
    <col min="4877" max="4877" width="14.875" style="46" customWidth="1"/>
    <col min="4878" max="4878" width="14.875" style="46" bestFit="1" customWidth="1"/>
    <col min="4879" max="4879" width="14.75" style="46" bestFit="1" customWidth="1"/>
    <col min="4880" max="4880" width="13.625" style="46" bestFit="1" customWidth="1"/>
    <col min="4881" max="4881" width="16.375" style="46" bestFit="1" customWidth="1"/>
    <col min="4882" max="4882" width="15.875" style="46" customWidth="1"/>
    <col min="4883" max="4883" width="14.875" style="46" bestFit="1" customWidth="1"/>
    <col min="4884" max="4884" width="15.625" style="46" customWidth="1"/>
    <col min="4885" max="4885" width="16.25" style="46" customWidth="1"/>
    <col min="4886" max="4886" width="16.625" style="46" bestFit="1" customWidth="1"/>
    <col min="4887" max="5120" width="9" style="46"/>
    <col min="5121" max="5121" width="5.375" style="46" bestFit="1" customWidth="1"/>
    <col min="5122" max="5122" width="4.75" style="46" customWidth="1"/>
    <col min="5123" max="5123" width="17.625" style="46" customWidth="1"/>
    <col min="5124" max="5124" width="22.125" style="46" customWidth="1"/>
    <col min="5125" max="5125" width="17.5" style="46" customWidth="1"/>
    <col min="5126" max="5126" width="12" style="46" customWidth="1"/>
    <col min="5127" max="5127" width="40.75" style="46" customWidth="1"/>
    <col min="5128" max="5128" width="11.5" style="46" customWidth="1"/>
    <col min="5129" max="5129" width="11.375" style="46" bestFit="1" customWidth="1"/>
    <col min="5130" max="5130" width="12.5" style="46" customWidth="1"/>
    <col min="5131" max="5131" width="16.375" style="46" bestFit="1" customWidth="1"/>
    <col min="5132" max="5132" width="14.875" style="46" bestFit="1" customWidth="1"/>
    <col min="5133" max="5133" width="14.875" style="46" customWidth="1"/>
    <col min="5134" max="5134" width="14.875" style="46" bestFit="1" customWidth="1"/>
    <col min="5135" max="5135" width="14.75" style="46" bestFit="1" customWidth="1"/>
    <col min="5136" max="5136" width="13.625" style="46" bestFit="1" customWidth="1"/>
    <col min="5137" max="5137" width="16.375" style="46" bestFit="1" customWidth="1"/>
    <col min="5138" max="5138" width="15.875" style="46" customWidth="1"/>
    <col min="5139" max="5139" width="14.875" style="46" bestFit="1" customWidth="1"/>
    <col min="5140" max="5140" width="15.625" style="46" customWidth="1"/>
    <col min="5141" max="5141" width="16.25" style="46" customWidth="1"/>
    <col min="5142" max="5142" width="16.625" style="46" bestFit="1" customWidth="1"/>
    <col min="5143" max="5376" width="9" style="46"/>
    <col min="5377" max="5377" width="5.375" style="46" bestFit="1" customWidth="1"/>
    <col min="5378" max="5378" width="4.75" style="46" customWidth="1"/>
    <col min="5379" max="5379" width="17.625" style="46" customWidth="1"/>
    <col min="5380" max="5380" width="22.125" style="46" customWidth="1"/>
    <col min="5381" max="5381" width="17.5" style="46" customWidth="1"/>
    <col min="5382" max="5382" width="12" style="46" customWidth="1"/>
    <col min="5383" max="5383" width="40.75" style="46" customWidth="1"/>
    <col min="5384" max="5384" width="11.5" style="46" customWidth="1"/>
    <col min="5385" max="5385" width="11.375" style="46" bestFit="1" customWidth="1"/>
    <col min="5386" max="5386" width="12.5" style="46" customWidth="1"/>
    <col min="5387" max="5387" width="16.375" style="46" bestFit="1" customWidth="1"/>
    <col min="5388" max="5388" width="14.875" style="46" bestFit="1" customWidth="1"/>
    <col min="5389" max="5389" width="14.875" style="46" customWidth="1"/>
    <col min="5390" max="5390" width="14.875" style="46" bestFit="1" customWidth="1"/>
    <col min="5391" max="5391" width="14.75" style="46" bestFit="1" customWidth="1"/>
    <col min="5392" max="5392" width="13.625" style="46" bestFit="1" customWidth="1"/>
    <col min="5393" max="5393" width="16.375" style="46" bestFit="1" customWidth="1"/>
    <col min="5394" max="5394" width="15.875" style="46" customWidth="1"/>
    <col min="5395" max="5395" width="14.875" style="46" bestFit="1" customWidth="1"/>
    <col min="5396" max="5396" width="15.625" style="46" customWidth="1"/>
    <col min="5397" max="5397" width="16.25" style="46" customWidth="1"/>
    <col min="5398" max="5398" width="16.625" style="46" bestFit="1" customWidth="1"/>
    <col min="5399" max="5632" width="9" style="46"/>
    <col min="5633" max="5633" width="5.375" style="46" bestFit="1" customWidth="1"/>
    <col min="5634" max="5634" width="4.75" style="46" customWidth="1"/>
    <col min="5635" max="5635" width="17.625" style="46" customWidth="1"/>
    <col min="5636" max="5636" width="22.125" style="46" customWidth="1"/>
    <col min="5637" max="5637" width="17.5" style="46" customWidth="1"/>
    <col min="5638" max="5638" width="12" style="46" customWidth="1"/>
    <col min="5639" max="5639" width="40.75" style="46" customWidth="1"/>
    <col min="5640" max="5640" width="11.5" style="46" customWidth="1"/>
    <col min="5641" max="5641" width="11.375" style="46" bestFit="1" customWidth="1"/>
    <col min="5642" max="5642" width="12.5" style="46" customWidth="1"/>
    <col min="5643" max="5643" width="16.375" style="46" bestFit="1" customWidth="1"/>
    <col min="5644" max="5644" width="14.875" style="46" bestFit="1" customWidth="1"/>
    <col min="5645" max="5645" width="14.875" style="46" customWidth="1"/>
    <col min="5646" max="5646" width="14.875" style="46" bestFit="1" customWidth="1"/>
    <col min="5647" max="5647" width="14.75" style="46" bestFit="1" customWidth="1"/>
    <col min="5648" max="5648" width="13.625" style="46" bestFit="1" customWidth="1"/>
    <col min="5649" max="5649" width="16.375" style="46" bestFit="1" customWidth="1"/>
    <col min="5650" max="5650" width="15.875" style="46" customWidth="1"/>
    <col min="5651" max="5651" width="14.875" style="46" bestFit="1" customWidth="1"/>
    <col min="5652" max="5652" width="15.625" style="46" customWidth="1"/>
    <col min="5653" max="5653" width="16.25" style="46" customWidth="1"/>
    <col min="5654" max="5654" width="16.625" style="46" bestFit="1" customWidth="1"/>
    <col min="5655" max="5888" width="9" style="46"/>
    <col min="5889" max="5889" width="5.375" style="46" bestFit="1" customWidth="1"/>
    <col min="5890" max="5890" width="4.75" style="46" customWidth="1"/>
    <col min="5891" max="5891" width="17.625" style="46" customWidth="1"/>
    <col min="5892" max="5892" width="22.125" style="46" customWidth="1"/>
    <col min="5893" max="5893" width="17.5" style="46" customWidth="1"/>
    <col min="5894" max="5894" width="12" style="46" customWidth="1"/>
    <col min="5895" max="5895" width="40.75" style="46" customWidth="1"/>
    <col min="5896" max="5896" width="11.5" style="46" customWidth="1"/>
    <col min="5897" max="5897" width="11.375" style="46" bestFit="1" customWidth="1"/>
    <col min="5898" max="5898" width="12.5" style="46" customWidth="1"/>
    <col min="5899" max="5899" width="16.375" style="46" bestFit="1" customWidth="1"/>
    <col min="5900" max="5900" width="14.875" style="46" bestFit="1" customWidth="1"/>
    <col min="5901" max="5901" width="14.875" style="46" customWidth="1"/>
    <col min="5902" max="5902" width="14.875" style="46" bestFit="1" customWidth="1"/>
    <col min="5903" max="5903" width="14.75" style="46" bestFit="1" customWidth="1"/>
    <col min="5904" max="5904" width="13.625" style="46" bestFit="1" customWidth="1"/>
    <col min="5905" max="5905" width="16.375" style="46" bestFit="1" customWidth="1"/>
    <col min="5906" max="5906" width="15.875" style="46" customWidth="1"/>
    <col min="5907" max="5907" width="14.875" style="46" bestFit="1" customWidth="1"/>
    <col min="5908" max="5908" width="15.625" style="46" customWidth="1"/>
    <col min="5909" max="5909" width="16.25" style="46" customWidth="1"/>
    <col min="5910" max="5910" width="16.625" style="46" bestFit="1" customWidth="1"/>
    <col min="5911" max="6144" width="9" style="46"/>
    <col min="6145" max="6145" width="5.375" style="46" bestFit="1" customWidth="1"/>
    <col min="6146" max="6146" width="4.75" style="46" customWidth="1"/>
    <col min="6147" max="6147" width="17.625" style="46" customWidth="1"/>
    <col min="6148" max="6148" width="22.125" style="46" customWidth="1"/>
    <col min="6149" max="6149" width="17.5" style="46" customWidth="1"/>
    <col min="6150" max="6150" width="12" style="46" customWidth="1"/>
    <col min="6151" max="6151" width="40.75" style="46" customWidth="1"/>
    <col min="6152" max="6152" width="11.5" style="46" customWidth="1"/>
    <col min="6153" max="6153" width="11.375" style="46" bestFit="1" customWidth="1"/>
    <col min="6154" max="6154" width="12.5" style="46" customWidth="1"/>
    <col min="6155" max="6155" width="16.375" style="46" bestFit="1" customWidth="1"/>
    <col min="6156" max="6156" width="14.875" style="46" bestFit="1" customWidth="1"/>
    <col min="6157" max="6157" width="14.875" style="46" customWidth="1"/>
    <col min="6158" max="6158" width="14.875" style="46" bestFit="1" customWidth="1"/>
    <col min="6159" max="6159" width="14.75" style="46" bestFit="1" customWidth="1"/>
    <col min="6160" max="6160" width="13.625" style="46" bestFit="1" customWidth="1"/>
    <col min="6161" max="6161" width="16.375" style="46" bestFit="1" customWidth="1"/>
    <col min="6162" max="6162" width="15.875" style="46" customWidth="1"/>
    <col min="6163" max="6163" width="14.875" style="46" bestFit="1" customWidth="1"/>
    <col min="6164" max="6164" width="15.625" style="46" customWidth="1"/>
    <col min="6165" max="6165" width="16.25" style="46" customWidth="1"/>
    <col min="6166" max="6166" width="16.625" style="46" bestFit="1" customWidth="1"/>
    <col min="6167" max="6400" width="9" style="46"/>
    <col min="6401" max="6401" width="5.375" style="46" bestFit="1" customWidth="1"/>
    <col min="6402" max="6402" width="4.75" style="46" customWidth="1"/>
    <col min="6403" max="6403" width="17.625" style="46" customWidth="1"/>
    <col min="6404" max="6404" width="22.125" style="46" customWidth="1"/>
    <col min="6405" max="6405" width="17.5" style="46" customWidth="1"/>
    <col min="6406" max="6406" width="12" style="46" customWidth="1"/>
    <col min="6407" max="6407" width="40.75" style="46" customWidth="1"/>
    <col min="6408" max="6408" width="11.5" style="46" customWidth="1"/>
    <col min="6409" max="6409" width="11.375" style="46" bestFit="1" customWidth="1"/>
    <col min="6410" max="6410" width="12.5" style="46" customWidth="1"/>
    <col min="6411" max="6411" width="16.375" style="46" bestFit="1" customWidth="1"/>
    <col min="6412" max="6412" width="14.875" style="46" bestFit="1" customWidth="1"/>
    <col min="6413" max="6413" width="14.875" style="46" customWidth="1"/>
    <col min="6414" max="6414" width="14.875" style="46" bestFit="1" customWidth="1"/>
    <col min="6415" max="6415" width="14.75" style="46" bestFit="1" customWidth="1"/>
    <col min="6416" max="6416" width="13.625" style="46" bestFit="1" customWidth="1"/>
    <col min="6417" max="6417" width="16.375" style="46" bestFit="1" customWidth="1"/>
    <col min="6418" max="6418" width="15.875" style="46" customWidth="1"/>
    <col min="6419" max="6419" width="14.875" style="46" bestFit="1" customWidth="1"/>
    <col min="6420" max="6420" width="15.625" style="46" customWidth="1"/>
    <col min="6421" max="6421" width="16.25" style="46" customWidth="1"/>
    <col min="6422" max="6422" width="16.625" style="46" bestFit="1" customWidth="1"/>
    <col min="6423" max="6656" width="9" style="46"/>
    <col min="6657" max="6657" width="5.375" style="46" bestFit="1" customWidth="1"/>
    <col min="6658" max="6658" width="4.75" style="46" customWidth="1"/>
    <col min="6659" max="6659" width="17.625" style="46" customWidth="1"/>
    <col min="6660" max="6660" width="22.125" style="46" customWidth="1"/>
    <col min="6661" max="6661" width="17.5" style="46" customWidth="1"/>
    <col min="6662" max="6662" width="12" style="46" customWidth="1"/>
    <col min="6663" max="6663" width="40.75" style="46" customWidth="1"/>
    <col min="6664" max="6664" width="11.5" style="46" customWidth="1"/>
    <col min="6665" max="6665" width="11.375" style="46" bestFit="1" customWidth="1"/>
    <col min="6666" max="6666" width="12.5" style="46" customWidth="1"/>
    <col min="6667" max="6667" width="16.375" style="46" bestFit="1" customWidth="1"/>
    <col min="6668" max="6668" width="14.875" style="46" bestFit="1" customWidth="1"/>
    <col min="6669" max="6669" width="14.875" style="46" customWidth="1"/>
    <col min="6670" max="6670" width="14.875" style="46" bestFit="1" customWidth="1"/>
    <col min="6671" max="6671" width="14.75" style="46" bestFit="1" customWidth="1"/>
    <col min="6672" max="6672" width="13.625" style="46" bestFit="1" customWidth="1"/>
    <col min="6673" max="6673" width="16.375" style="46" bestFit="1" customWidth="1"/>
    <col min="6674" max="6674" width="15.875" style="46" customWidth="1"/>
    <col min="6675" max="6675" width="14.875" style="46" bestFit="1" customWidth="1"/>
    <col min="6676" max="6676" width="15.625" style="46" customWidth="1"/>
    <col min="6677" max="6677" width="16.25" style="46" customWidth="1"/>
    <col min="6678" max="6678" width="16.625" style="46" bestFit="1" customWidth="1"/>
    <col min="6679" max="6912" width="9" style="46"/>
    <col min="6913" max="6913" width="5.375" style="46" bestFit="1" customWidth="1"/>
    <col min="6914" max="6914" width="4.75" style="46" customWidth="1"/>
    <col min="6915" max="6915" width="17.625" style="46" customWidth="1"/>
    <col min="6916" max="6916" width="22.125" style="46" customWidth="1"/>
    <col min="6917" max="6917" width="17.5" style="46" customWidth="1"/>
    <col min="6918" max="6918" width="12" style="46" customWidth="1"/>
    <col min="6919" max="6919" width="40.75" style="46" customWidth="1"/>
    <col min="6920" max="6920" width="11.5" style="46" customWidth="1"/>
    <col min="6921" max="6921" width="11.375" style="46" bestFit="1" customWidth="1"/>
    <col min="6922" max="6922" width="12.5" style="46" customWidth="1"/>
    <col min="6923" max="6923" width="16.375" style="46" bestFit="1" customWidth="1"/>
    <col min="6924" max="6924" width="14.875" style="46" bestFit="1" customWidth="1"/>
    <col min="6925" max="6925" width="14.875" style="46" customWidth="1"/>
    <col min="6926" max="6926" width="14.875" style="46" bestFit="1" customWidth="1"/>
    <col min="6927" max="6927" width="14.75" style="46" bestFit="1" customWidth="1"/>
    <col min="6928" max="6928" width="13.625" style="46" bestFit="1" customWidth="1"/>
    <col min="6929" max="6929" width="16.375" style="46" bestFit="1" customWidth="1"/>
    <col min="6930" max="6930" width="15.875" style="46" customWidth="1"/>
    <col min="6931" max="6931" width="14.875" style="46" bestFit="1" customWidth="1"/>
    <col min="6932" max="6932" width="15.625" style="46" customWidth="1"/>
    <col min="6933" max="6933" width="16.25" style="46" customWidth="1"/>
    <col min="6934" max="6934" width="16.625" style="46" bestFit="1" customWidth="1"/>
    <col min="6935" max="7168" width="9" style="46"/>
    <col min="7169" max="7169" width="5.375" style="46" bestFit="1" customWidth="1"/>
    <col min="7170" max="7170" width="4.75" style="46" customWidth="1"/>
    <col min="7171" max="7171" width="17.625" style="46" customWidth="1"/>
    <col min="7172" max="7172" width="22.125" style="46" customWidth="1"/>
    <col min="7173" max="7173" width="17.5" style="46" customWidth="1"/>
    <col min="7174" max="7174" width="12" style="46" customWidth="1"/>
    <col min="7175" max="7175" width="40.75" style="46" customWidth="1"/>
    <col min="7176" max="7176" width="11.5" style="46" customWidth="1"/>
    <col min="7177" max="7177" width="11.375" style="46" bestFit="1" customWidth="1"/>
    <col min="7178" max="7178" width="12.5" style="46" customWidth="1"/>
    <col min="7179" max="7179" width="16.375" style="46" bestFit="1" customWidth="1"/>
    <col min="7180" max="7180" width="14.875" style="46" bestFit="1" customWidth="1"/>
    <col min="7181" max="7181" width="14.875" style="46" customWidth="1"/>
    <col min="7182" max="7182" width="14.875" style="46" bestFit="1" customWidth="1"/>
    <col min="7183" max="7183" width="14.75" style="46" bestFit="1" customWidth="1"/>
    <col min="7184" max="7184" width="13.625" style="46" bestFit="1" customWidth="1"/>
    <col min="7185" max="7185" width="16.375" style="46" bestFit="1" customWidth="1"/>
    <col min="7186" max="7186" width="15.875" style="46" customWidth="1"/>
    <col min="7187" max="7187" width="14.875" style="46" bestFit="1" customWidth="1"/>
    <col min="7188" max="7188" width="15.625" style="46" customWidth="1"/>
    <col min="7189" max="7189" width="16.25" style="46" customWidth="1"/>
    <col min="7190" max="7190" width="16.625" style="46" bestFit="1" customWidth="1"/>
    <col min="7191" max="7424" width="9" style="46"/>
    <col min="7425" max="7425" width="5.375" style="46" bestFit="1" customWidth="1"/>
    <col min="7426" max="7426" width="4.75" style="46" customWidth="1"/>
    <col min="7427" max="7427" width="17.625" style="46" customWidth="1"/>
    <col min="7428" max="7428" width="22.125" style="46" customWidth="1"/>
    <col min="7429" max="7429" width="17.5" style="46" customWidth="1"/>
    <col min="7430" max="7430" width="12" style="46" customWidth="1"/>
    <col min="7431" max="7431" width="40.75" style="46" customWidth="1"/>
    <col min="7432" max="7432" width="11.5" style="46" customWidth="1"/>
    <col min="7433" max="7433" width="11.375" style="46" bestFit="1" customWidth="1"/>
    <col min="7434" max="7434" width="12.5" style="46" customWidth="1"/>
    <col min="7435" max="7435" width="16.375" style="46" bestFit="1" customWidth="1"/>
    <col min="7436" max="7436" width="14.875" style="46" bestFit="1" customWidth="1"/>
    <col min="7437" max="7437" width="14.875" style="46" customWidth="1"/>
    <col min="7438" max="7438" width="14.875" style="46" bestFit="1" customWidth="1"/>
    <col min="7439" max="7439" width="14.75" style="46" bestFit="1" customWidth="1"/>
    <col min="7440" max="7440" width="13.625" style="46" bestFit="1" customWidth="1"/>
    <col min="7441" max="7441" width="16.375" style="46" bestFit="1" customWidth="1"/>
    <col min="7442" max="7442" width="15.875" style="46" customWidth="1"/>
    <col min="7443" max="7443" width="14.875" style="46" bestFit="1" customWidth="1"/>
    <col min="7444" max="7444" width="15.625" style="46" customWidth="1"/>
    <col min="7445" max="7445" width="16.25" style="46" customWidth="1"/>
    <col min="7446" max="7446" width="16.625" style="46" bestFit="1" customWidth="1"/>
    <col min="7447" max="7680" width="9" style="46"/>
    <col min="7681" max="7681" width="5.375" style="46" bestFit="1" customWidth="1"/>
    <col min="7682" max="7682" width="4.75" style="46" customWidth="1"/>
    <col min="7683" max="7683" width="17.625" style="46" customWidth="1"/>
    <col min="7684" max="7684" width="22.125" style="46" customWidth="1"/>
    <col min="7685" max="7685" width="17.5" style="46" customWidth="1"/>
    <col min="7686" max="7686" width="12" style="46" customWidth="1"/>
    <col min="7687" max="7687" width="40.75" style="46" customWidth="1"/>
    <col min="7688" max="7688" width="11.5" style="46" customWidth="1"/>
    <col min="7689" max="7689" width="11.375" style="46" bestFit="1" customWidth="1"/>
    <col min="7690" max="7690" width="12.5" style="46" customWidth="1"/>
    <col min="7691" max="7691" width="16.375" style="46" bestFit="1" customWidth="1"/>
    <col min="7692" max="7692" width="14.875" style="46" bestFit="1" customWidth="1"/>
    <col min="7693" max="7693" width="14.875" style="46" customWidth="1"/>
    <col min="7694" max="7694" width="14.875" style="46" bestFit="1" customWidth="1"/>
    <col min="7695" max="7695" width="14.75" style="46" bestFit="1" customWidth="1"/>
    <col min="7696" max="7696" width="13.625" style="46" bestFit="1" customWidth="1"/>
    <col min="7697" max="7697" width="16.375" style="46" bestFit="1" customWidth="1"/>
    <col min="7698" max="7698" width="15.875" style="46" customWidth="1"/>
    <col min="7699" max="7699" width="14.875" style="46" bestFit="1" customWidth="1"/>
    <col min="7700" max="7700" width="15.625" style="46" customWidth="1"/>
    <col min="7701" max="7701" width="16.25" style="46" customWidth="1"/>
    <col min="7702" max="7702" width="16.625" style="46" bestFit="1" customWidth="1"/>
    <col min="7703" max="7936" width="9" style="46"/>
    <col min="7937" max="7937" width="5.375" style="46" bestFit="1" customWidth="1"/>
    <col min="7938" max="7938" width="4.75" style="46" customWidth="1"/>
    <col min="7939" max="7939" width="17.625" style="46" customWidth="1"/>
    <col min="7940" max="7940" width="22.125" style="46" customWidth="1"/>
    <col min="7941" max="7941" width="17.5" style="46" customWidth="1"/>
    <col min="7942" max="7942" width="12" style="46" customWidth="1"/>
    <col min="7943" max="7943" width="40.75" style="46" customWidth="1"/>
    <col min="7944" max="7944" width="11.5" style="46" customWidth="1"/>
    <col min="7945" max="7945" width="11.375" style="46" bestFit="1" customWidth="1"/>
    <col min="7946" max="7946" width="12.5" style="46" customWidth="1"/>
    <col min="7947" max="7947" width="16.375" style="46" bestFit="1" customWidth="1"/>
    <col min="7948" max="7948" width="14.875" style="46" bestFit="1" customWidth="1"/>
    <col min="7949" max="7949" width="14.875" style="46" customWidth="1"/>
    <col min="7950" max="7950" width="14.875" style="46" bestFit="1" customWidth="1"/>
    <col min="7951" max="7951" width="14.75" style="46" bestFit="1" customWidth="1"/>
    <col min="7952" max="7952" width="13.625" style="46" bestFit="1" customWidth="1"/>
    <col min="7953" max="7953" width="16.375" style="46" bestFit="1" customWidth="1"/>
    <col min="7954" max="7954" width="15.875" style="46" customWidth="1"/>
    <col min="7955" max="7955" width="14.875" style="46" bestFit="1" customWidth="1"/>
    <col min="7956" max="7956" width="15.625" style="46" customWidth="1"/>
    <col min="7957" max="7957" width="16.25" style="46" customWidth="1"/>
    <col min="7958" max="7958" width="16.625" style="46" bestFit="1" customWidth="1"/>
    <col min="7959" max="8192" width="9" style="46"/>
    <col min="8193" max="8193" width="5.375" style="46" bestFit="1" customWidth="1"/>
    <col min="8194" max="8194" width="4.75" style="46" customWidth="1"/>
    <col min="8195" max="8195" width="17.625" style="46" customWidth="1"/>
    <col min="8196" max="8196" width="22.125" style="46" customWidth="1"/>
    <col min="8197" max="8197" width="17.5" style="46" customWidth="1"/>
    <col min="8198" max="8198" width="12" style="46" customWidth="1"/>
    <col min="8199" max="8199" width="40.75" style="46" customWidth="1"/>
    <col min="8200" max="8200" width="11.5" style="46" customWidth="1"/>
    <col min="8201" max="8201" width="11.375" style="46" bestFit="1" customWidth="1"/>
    <col min="8202" max="8202" width="12.5" style="46" customWidth="1"/>
    <col min="8203" max="8203" width="16.375" style="46" bestFit="1" customWidth="1"/>
    <col min="8204" max="8204" width="14.875" style="46" bestFit="1" customWidth="1"/>
    <col min="8205" max="8205" width="14.875" style="46" customWidth="1"/>
    <col min="8206" max="8206" width="14.875" style="46" bestFit="1" customWidth="1"/>
    <col min="8207" max="8207" width="14.75" style="46" bestFit="1" customWidth="1"/>
    <col min="8208" max="8208" width="13.625" style="46" bestFit="1" customWidth="1"/>
    <col min="8209" max="8209" width="16.375" style="46" bestFit="1" customWidth="1"/>
    <col min="8210" max="8210" width="15.875" style="46" customWidth="1"/>
    <col min="8211" max="8211" width="14.875" style="46" bestFit="1" customWidth="1"/>
    <col min="8212" max="8212" width="15.625" style="46" customWidth="1"/>
    <col min="8213" max="8213" width="16.25" style="46" customWidth="1"/>
    <col min="8214" max="8214" width="16.625" style="46" bestFit="1" customWidth="1"/>
    <col min="8215" max="8448" width="9" style="46"/>
    <col min="8449" max="8449" width="5.375" style="46" bestFit="1" customWidth="1"/>
    <col min="8450" max="8450" width="4.75" style="46" customWidth="1"/>
    <col min="8451" max="8451" width="17.625" style="46" customWidth="1"/>
    <col min="8452" max="8452" width="22.125" style="46" customWidth="1"/>
    <col min="8453" max="8453" width="17.5" style="46" customWidth="1"/>
    <col min="8454" max="8454" width="12" style="46" customWidth="1"/>
    <col min="8455" max="8455" width="40.75" style="46" customWidth="1"/>
    <col min="8456" max="8456" width="11.5" style="46" customWidth="1"/>
    <col min="8457" max="8457" width="11.375" style="46" bestFit="1" customWidth="1"/>
    <col min="8458" max="8458" width="12.5" style="46" customWidth="1"/>
    <col min="8459" max="8459" width="16.375" style="46" bestFit="1" customWidth="1"/>
    <col min="8460" max="8460" width="14.875" style="46" bestFit="1" customWidth="1"/>
    <col min="8461" max="8461" width="14.875" style="46" customWidth="1"/>
    <col min="8462" max="8462" width="14.875" style="46" bestFit="1" customWidth="1"/>
    <col min="8463" max="8463" width="14.75" style="46" bestFit="1" customWidth="1"/>
    <col min="8464" max="8464" width="13.625" style="46" bestFit="1" customWidth="1"/>
    <col min="8465" max="8465" width="16.375" style="46" bestFit="1" customWidth="1"/>
    <col min="8466" max="8466" width="15.875" style="46" customWidth="1"/>
    <col min="8467" max="8467" width="14.875" style="46" bestFit="1" customWidth="1"/>
    <col min="8468" max="8468" width="15.625" style="46" customWidth="1"/>
    <col min="8469" max="8469" width="16.25" style="46" customWidth="1"/>
    <col min="8470" max="8470" width="16.625" style="46" bestFit="1" customWidth="1"/>
    <col min="8471" max="8704" width="9" style="46"/>
    <col min="8705" max="8705" width="5.375" style="46" bestFit="1" customWidth="1"/>
    <col min="8706" max="8706" width="4.75" style="46" customWidth="1"/>
    <col min="8707" max="8707" width="17.625" style="46" customWidth="1"/>
    <col min="8708" max="8708" width="22.125" style="46" customWidth="1"/>
    <col min="8709" max="8709" width="17.5" style="46" customWidth="1"/>
    <col min="8710" max="8710" width="12" style="46" customWidth="1"/>
    <col min="8711" max="8711" width="40.75" style="46" customWidth="1"/>
    <col min="8712" max="8712" width="11.5" style="46" customWidth="1"/>
    <col min="8713" max="8713" width="11.375" style="46" bestFit="1" customWidth="1"/>
    <col min="8714" max="8714" width="12.5" style="46" customWidth="1"/>
    <col min="8715" max="8715" width="16.375" style="46" bestFit="1" customWidth="1"/>
    <col min="8716" max="8716" width="14.875" style="46" bestFit="1" customWidth="1"/>
    <col min="8717" max="8717" width="14.875" style="46" customWidth="1"/>
    <col min="8718" max="8718" width="14.875" style="46" bestFit="1" customWidth="1"/>
    <col min="8719" max="8719" width="14.75" style="46" bestFit="1" customWidth="1"/>
    <col min="8720" max="8720" width="13.625" style="46" bestFit="1" customWidth="1"/>
    <col min="8721" max="8721" width="16.375" style="46" bestFit="1" customWidth="1"/>
    <col min="8722" max="8722" width="15.875" style="46" customWidth="1"/>
    <col min="8723" max="8723" width="14.875" style="46" bestFit="1" customWidth="1"/>
    <col min="8724" max="8724" width="15.625" style="46" customWidth="1"/>
    <col min="8725" max="8725" width="16.25" style="46" customWidth="1"/>
    <col min="8726" max="8726" width="16.625" style="46" bestFit="1" customWidth="1"/>
    <col min="8727" max="8960" width="9" style="46"/>
    <col min="8961" max="8961" width="5.375" style="46" bestFit="1" customWidth="1"/>
    <col min="8962" max="8962" width="4.75" style="46" customWidth="1"/>
    <col min="8963" max="8963" width="17.625" style="46" customWidth="1"/>
    <col min="8964" max="8964" width="22.125" style="46" customWidth="1"/>
    <col min="8965" max="8965" width="17.5" style="46" customWidth="1"/>
    <col min="8966" max="8966" width="12" style="46" customWidth="1"/>
    <col min="8967" max="8967" width="40.75" style="46" customWidth="1"/>
    <col min="8968" max="8968" width="11.5" style="46" customWidth="1"/>
    <col min="8969" max="8969" width="11.375" style="46" bestFit="1" customWidth="1"/>
    <col min="8970" max="8970" width="12.5" style="46" customWidth="1"/>
    <col min="8971" max="8971" width="16.375" style="46" bestFit="1" customWidth="1"/>
    <col min="8972" max="8972" width="14.875" style="46" bestFit="1" customWidth="1"/>
    <col min="8973" max="8973" width="14.875" style="46" customWidth="1"/>
    <col min="8974" max="8974" width="14.875" style="46" bestFit="1" customWidth="1"/>
    <col min="8975" max="8975" width="14.75" style="46" bestFit="1" customWidth="1"/>
    <col min="8976" max="8976" width="13.625" style="46" bestFit="1" customWidth="1"/>
    <col min="8977" max="8977" width="16.375" style="46" bestFit="1" customWidth="1"/>
    <col min="8978" max="8978" width="15.875" style="46" customWidth="1"/>
    <col min="8979" max="8979" width="14.875" style="46" bestFit="1" customWidth="1"/>
    <col min="8980" max="8980" width="15.625" style="46" customWidth="1"/>
    <col min="8981" max="8981" width="16.25" style="46" customWidth="1"/>
    <col min="8982" max="8982" width="16.625" style="46" bestFit="1" customWidth="1"/>
    <col min="8983" max="9216" width="9" style="46"/>
    <col min="9217" max="9217" width="5.375" style="46" bestFit="1" customWidth="1"/>
    <col min="9218" max="9218" width="4.75" style="46" customWidth="1"/>
    <col min="9219" max="9219" width="17.625" style="46" customWidth="1"/>
    <col min="9220" max="9220" width="22.125" style="46" customWidth="1"/>
    <col min="9221" max="9221" width="17.5" style="46" customWidth="1"/>
    <col min="9222" max="9222" width="12" style="46" customWidth="1"/>
    <col min="9223" max="9223" width="40.75" style="46" customWidth="1"/>
    <col min="9224" max="9224" width="11.5" style="46" customWidth="1"/>
    <col min="9225" max="9225" width="11.375" style="46" bestFit="1" customWidth="1"/>
    <col min="9226" max="9226" width="12.5" style="46" customWidth="1"/>
    <col min="9227" max="9227" width="16.375" style="46" bestFit="1" customWidth="1"/>
    <col min="9228" max="9228" width="14.875" style="46" bestFit="1" customWidth="1"/>
    <col min="9229" max="9229" width="14.875" style="46" customWidth="1"/>
    <col min="9230" max="9230" width="14.875" style="46" bestFit="1" customWidth="1"/>
    <col min="9231" max="9231" width="14.75" style="46" bestFit="1" customWidth="1"/>
    <col min="9232" max="9232" width="13.625" style="46" bestFit="1" customWidth="1"/>
    <col min="9233" max="9233" width="16.375" style="46" bestFit="1" customWidth="1"/>
    <col min="9234" max="9234" width="15.875" style="46" customWidth="1"/>
    <col min="9235" max="9235" width="14.875" style="46" bestFit="1" customWidth="1"/>
    <col min="9236" max="9236" width="15.625" style="46" customWidth="1"/>
    <col min="9237" max="9237" width="16.25" style="46" customWidth="1"/>
    <col min="9238" max="9238" width="16.625" style="46" bestFit="1" customWidth="1"/>
    <col min="9239" max="9472" width="9" style="46"/>
    <col min="9473" max="9473" width="5.375" style="46" bestFit="1" customWidth="1"/>
    <col min="9474" max="9474" width="4.75" style="46" customWidth="1"/>
    <col min="9475" max="9475" width="17.625" style="46" customWidth="1"/>
    <col min="9476" max="9476" width="22.125" style="46" customWidth="1"/>
    <col min="9477" max="9477" width="17.5" style="46" customWidth="1"/>
    <col min="9478" max="9478" width="12" style="46" customWidth="1"/>
    <col min="9479" max="9479" width="40.75" style="46" customWidth="1"/>
    <col min="9480" max="9480" width="11.5" style="46" customWidth="1"/>
    <col min="9481" max="9481" width="11.375" style="46" bestFit="1" customWidth="1"/>
    <col min="9482" max="9482" width="12.5" style="46" customWidth="1"/>
    <col min="9483" max="9483" width="16.375" style="46" bestFit="1" customWidth="1"/>
    <col min="9484" max="9484" width="14.875" style="46" bestFit="1" customWidth="1"/>
    <col min="9485" max="9485" width="14.875" style="46" customWidth="1"/>
    <col min="9486" max="9486" width="14.875" style="46" bestFit="1" customWidth="1"/>
    <col min="9487" max="9487" width="14.75" style="46" bestFit="1" customWidth="1"/>
    <col min="9488" max="9488" width="13.625" style="46" bestFit="1" customWidth="1"/>
    <col min="9489" max="9489" width="16.375" style="46" bestFit="1" customWidth="1"/>
    <col min="9490" max="9490" width="15.875" style="46" customWidth="1"/>
    <col min="9491" max="9491" width="14.875" style="46" bestFit="1" customWidth="1"/>
    <col min="9492" max="9492" width="15.625" style="46" customWidth="1"/>
    <col min="9493" max="9493" width="16.25" style="46" customWidth="1"/>
    <col min="9494" max="9494" width="16.625" style="46" bestFit="1" customWidth="1"/>
    <col min="9495" max="9728" width="9" style="46"/>
    <col min="9729" max="9729" width="5.375" style="46" bestFit="1" customWidth="1"/>
    <col min="9730" max="9730" width="4.75" style="46" customWidth="1"/>
    <col min="9731" max="9731" width="17.625" style="46" customWidth="1"/>
    <col min="9732" max="9732" width="22.125" style="46" customWidth="1"/>
    <col min="9733" max="9733" width="17.5" style="46" customWidth="1"/>
    <col min="9734" max="9734" width="12" style="46" customWidth="1"/>
    <col min="9735" max="9735" width="40.75" style="46" customWidth="1"/>
    <col min="9736" max="9736" width="11.5" style="46" customWidth="1"/>
    <col min="9737" max="9737" width="11.375" style="46" bestFit="1" customWidth="1"/>
    <col min="9738" max="9738" width="12.5" style="46" customWidth="1"/>
    <col min="9739" max="9739" width="16.375" style="46" bestFit="1" customWidth="1"/>
    <col min="9740" max="9740" width="14.875" style="46" bestFit="1" customWidth="1"/>
    <col min="9741" max="9741" width="14.875" style="46" customWidth="1"/>
    <col min="9742" max="9742" width="14.875" style="46" bestFit="1" customWidth="1"/>
    <col min="9743" max="9743" width="14.75" style="46" bestFit="1" customWidth="1"/>
    <col min="9744" max="9744" width="13.625" style="46" bestFit="1" customWidth="1"/>
    <col min="9745" max="9745" width="16.375" style="46" bestFit="1" customWidth="1"/>
    <col min="9746" max="9746" width="15.875" style="46" customWidth="1"/>
    <col min="9747" max="9747" width="14.875" style="46" bestFit="1" customWidth="1"/>
    <col min="9748" max="9748" width="15.625" style="46" customWidth="1"/>
    <col min="9749" max="9749" width="16.25" style="46" customWidth="1"/>
    <col min="9750" max="9750" width="16.625" style="46" bestFit="1" customWidth="1"/>
    <col min="9751" max="9984" width="9" style="46"/>
    <col min="9985" max="9985" width="5.375" style="46" bestFit="1" customWidth="1"/>
    <col min="9986" max="9986" width="4.75" style="46" customWidth="1"/>
    <col min="9987" max="9987" width="17.625" style="46" customWidth="1"/>
    <col min="9988" max="9988" width="22.125" style="46" customWidth="1"/>
    <col min="9989" max="9989" width="17.5" style="46" customWidth="1"/>
    <col min="9990" max="9990" width="12" style="46" customWidth="1"/>
    <col min="9991" max="9991" width="40.75" style="46" customWidth="1"/>
    <col min="9992" max="9992" width="11.5" style="46" customWidth="1"/>
    <col min="9993" max="9993" width="11.375" style="46" bestFit="1" customWidth="1"/>
    <col min="9994" max="9994" width="12.5" style="46" customWidth="1"/>
    <col min="9995" max="9995" width="16.375" style="46" bestFit="1" customWidth="1"/>
    <col min="9996" max="9996" width="14.875" style="46" bestFit="1" customWidth="1"/>
    <col min="9997" max="9997" width="14.875" style="46" customWidth="1"/>
    <col min="9998" max="9998" width="14.875" style="46" bestFit="1" customWidth="1"/>
    <col min="9999" max="9999" width="14.75" style="46" bestFit="1" customWidth="1"/>
    <col min="10000" max="10000" width="13.625" style="46" bestFit="1" customWidth="1"/>
    <col min="10001" max="10001" width="16.375" style="46" bestFit="1" customWidth="1"/>
    <col min="10002" max="10002" width="15.875" style="46" customWidth="1"/>
    <col min="10003" max="10003" width="14.875" style="46" bestFit="1" customWidth="1"/>
    <col min="10004" max="10004" width="15.625" style="46" customWidth="1"/>
    <col min="10005" max="10005" width="16.25" style="46" customWidth="1"/>
    <col min="10006" max="10006" width="16.625" style="46" bestFit="1" customWidth="1"/>
    <col min="10007" max="10240" width="9" style="46"/>
    <col min="10241" max="10241" width="5.375" style="46" bestFit="1" customWidth="1"/>
    <col min="10242" max="10242" width="4.75" style="46" customWidth="1"/>
    <col min="10243" max="10243" width="17.625" style="46" customWidth="1"/>
    <col min="10244" max="10244" width="22.125" style="46" customWidth="1"/>
    <col min="10245" max="10245" width="17.5" style="46" customWidth="1"/>
    <col min="10246" max="10246" width="12" style="46" customWidth="1"/>
    <col min="10247" max="10247" width="40.75" style="46" customWidth="1"/>
    <col min="10248" max="10248" width="11.5" style="46" customWidth="1"/>
    <col min="10249" max="10249" width="11.375" style="46" bestFit="1" customWidth="1"/>
    <col min="10250" max="10250" width="12.5" style="46" customWidth="1"/>
    <col min="10251" max="10251" width="16.375" style="46" bestFit="1" customWidth="1"/>
    <col min="10252" max="10252" width="14.875" style="46" bestFit="1" customWidth="1"/>
    <col min="10253" max="10253" width="14.875" style="46" customWidth="1"/>
    <col min="10254" max="10254" width="14.875" style="46" bestFit="1" customWidth="1"/>
    <col min="10255" max="10255" width="14.75" style="46" bestFit="1" customWidth="1"/>
    <col min="10256" max="10256" width="13.625" style="46" bestFit="1" customWidth="1"/>
    <col min="10257" max="10257" width="16.375" style="46" bestFit="1" customWidth="1"/>
    <col min="10258" max="10258" width="15.875" style="46" customWidth="1"/>
    <col min="10259" max="10259" width="14.875" style="46" bestFit="1" customWidth="1"/>
    <col min="10260" max="10260" width="15.625" style="46" customWidth="1"/>
    <col min="10261" max="10261" width="16.25" style="46" customWidth="1"/>
    <col min="10262" max="10262" width="16.625" style="46" bestFit="1" customWidth="1"/>
    <col min="10263" max="10496" width="9" style="46"/>
    <col min="10497" max="10497" width="5.375" style="46" bestFit="1" customWidth="1"/>
    <col min="10498" max="10498" width="4.75" style="46" customWidth="1"/>
    <col min="10499" max="10499" width="17.625" style="46" customWidth="1"/>
    <col min="10500" max="10500" width="22.125" style="46" customWidth="1"/>
    <col min="10501" max="10501" width="17.5" style="46" customWidth="1"/>
    <col min="10502" max="10502" width="12" style="46" customWidth="1"/>
    <col min="10503" max="10503" width="40.75" style="46" customWidth="1"/>
    <col min="10504" max="10504" width="11.5" style="46" customWidth="1"/>
    <col min="10505" max="10505" width="11.375" style="46" bestFit="1" customWidth="1"/>
    <col min="10506" max="10506" width="12.5" style="46" customWidth="1"/>
    <col min="10507" max="10507" width="16.375" style="46" bestFit="1" customWidth="1"/>
    <col min="10508" max="10508" width="14.875" style="46" bestFit="1" customWidth="1"/>
    <col min="10509" max="10509" width="14.875" style="46" customWidth="1"/>
    <col min="10510" max="10510" width="14.875" style="46" bestFit="1" customWidth="1"/>
    <col min="10511" max="10511" width="14.75" style="46" bestFit="1" customWidth="1"/>
    <col min="10512" max="10512" width="13.625" style="46" bestFit="1" customWidth="1"/>
    <col min="10513" max="10513" width="16.375" style="46" bestFit="1" customWidth="1"/>
    <col min="10514" max="10514" width="15.875" style="46" customWidth="1"/>
    <col min="10515" max="10515" width="14.875" style="46" bestFit="1" customWidth="1"/>
    <col min="10516" max="10516" width="15.625" style="46" customWidth="1"/>
    <col min="10517" max="10517" width="16.25" style="46" customWidth="1"/>
    <col min="10518" max="10518" width="16.625" style="46" bestFit="1" customWidth="1"/>
    <col min="10519" max="10752" width="9" style="46"/>
    <col min="10753" max="10753" width="5.375" style="46" bestFit="1" customWidth="1"/>
    <col min="10754" max="10754" width="4.75" style="46" customWidth="1"/>
    <col min="10755" max="10755" width="17.625" style="46" customWidth="1"/>
    <col min="10756" max="10756" width="22.125" style="46" customWidth="1"/>
    <col min="10757" max="10757" width="17.5" style="46" customWidth="1"/>
    <col min="10758" max="10758" width="12" style="46" customWidth="1"/>
    <col min="10759" max="10759" width="40.75" style="46" customWidth="1"/>
    <col min="10760" max="10760" width="11.5" style="46" customWidth="1"/>
    <col min="10761" max="10761" width="11.375" style="46" bestFit="1" customWidth="1"/>
    <col min="10762" max="10762" width="12.5" style="46" customWidth="1"/>
    <col min="10763" max="10763" width="16.375" style="46" bestFit="1" customWidth="1"/>
    <col min="10764" max="10764" width="14.875" style="46" bestFit="1" customWidth="1"/>
    <col min="10765" max="10765" width="14.875" style="46" customWidth="1"/>
    <col min="10766" max="10766" width="14.875" style="46" bestFit="1" customWidth="1"/>
    <col min="10767" max="10767" width="14.75" style="46" bestFit="1" customWidth="1"/>
    <col min="10768" max="10768" width="13.625" style="46" bestFit="1" customWidth="1"/>
    <col min="10769" max="10769" width="16.375" style="46" bestFit="1" customWidth="1"/>
    <col min="10770" max="10770" width="15.875" style="46" customWidth="1"/>
    <col min="10771" max="10771" width="14.875" style="46" bestFit="1" customWidth="1"/>
    <col min="10772" max="10772" width="15.625" style="46" customWidth="1"/>
    <col min="10773" max="10773" width="16.25" style="46" customWidth="1"/>
    <col min="10774" max="10774" width="16.625" style="46" bestFit="1" customWidth="1"/>
    <col min="10775" max="11008" width="9" style="46"/>
    <col min="11009" max="11009" width="5.375" style="46" bestFit="1" customWidth="1"/>
    <col min="11010" max="11010" width="4.75" style="46" customWidth="1"/>
    <col min="11011" max="11011" width="17.625" style="46" customWidth="1"/>
    <col min="11012" max="11012" width="22.125" style="46" customWidth="1"/>
    <col min="11013" max="11013" width="17.5" style="46" customWidth="1"/>
    <col min="11014" max="11014" width="12" style="46" customWidth="1"/>
    <col min="11015" max="11015" width="40.75" style="46" customWidth="1"/>
    <col min="11016" max="11016" width="11.5" style="46" customWidth="1"/>
    <col min="11017" max="11017" width="11.375" style="46" bestFit="1" customWidth="1"/>
    <col min="11018" max="11018" width="12.5" style="46" customWidth="1"/>
    <col min="11019" max="11019" width="16.375" style="46" bestFit="1" customWidth="1"/>
    <col min="11020" max="11020" width="14.875" style="46" bestFit="1" customWidth="1"/>
    <col min="11021" max="11021" width="14.875" style="46" customWidth="1"/>
    <col min="11022" max="11022" width="14.875" style="46" bestFit="1" customWidth="1"/>
    <col min="11023" max="11023" width="14.75" style="46" bestFit="1" customWidth="1"/>
    <col min="11024" max="11024" width="13.625" style="46" bestFit="1" customWidth="1"/>
    <col min="11025" max="11025" width="16.375" style="46" bestFit="1" customWidth="1"/>
    <col min="11026" max="11026" width="15.875" style="46" customWidth="1"/>
    <col min="11027" max="11027" width="14.875" style="46" bestFit="1" customWidth="1"/>
    <col min="11028" max="11028" width="15.625" style="46" customWidth="1"/>
    <col min="11029" max="11029" width="16.25" style="46" customWidth="1"/>
    <col min="11030" max="11030" width="16.625" style="46" bestFit="1" customWidth="1"/>
    <col min="11031" max="11264" width="9" style="46"/>
    <col min="11265" max="11265" width="5.375" style="46" bestFit="1" customWidth="1"/>
    <col min="11266" max="11266" width="4.75" style="46" customWidth="1"/>
    <col min="11267" max="11267" width="17.625" style="46" customWidth="1"/>
    <col min="11268" max="11268" width="22.125" style="46" customWidth="1"/>
    <col min="11269" max="11269" width="17.5" style="46" customWidth="1"/>
    <col min="11270" max="11270" width="12" style="46" customWidth="1"/>
    <col min="11271" max="11271" width="40.75" style="46" customWidth="1"/>
    <col min="11272" max="11272" width="11.5" style="46" customWidth="1"/>
    <col min="11273" max="11273" width="11.375" style="46" bestFit="1" customWidth="1"/>
    <col min="11274" max="11274" width="12.5" style="46" customWidth="1"/>
    <col min="11275" max="11275" width="16.375" style="46" bestFit="1" customWidth="1"/>
    <col min="11276" max="11276" width="14.875" style="46" bestFit="1" customWidth="1"/>
    <col min="11277" max="11277" width="14.875" style="46" customWidth="1"/>
    <col min="11278" max="11278" width="14.875" style="46" bestFit="1" customWidth="1"/>
    <col min="11279" max="11279" width="14.75" style="46" bestFit="1" customWidth="1"/>
    <col min="11280" max="11280" width="13.625" style="46" bestFit="1" customWidth="1"/>
    <col min="11281" max="11281" width="16.375" style="46" bestFit="1" customWidth="1"/>
    <col min="11282" max="11282" width="15.875" style="46" customWidth="1"/>
    <col min="11283" max="11283" width="14.875" style="46" bestFit="1" customWidth="1"/>
    <col min="11284" max="11284" width="15.625" style="46" customWidth="1"/>
    <col min="11285" max="11285" width="16.25" style="46" customWidth="1"/>
    <col min="11286" max="11286" width="16.625" style="46" bestFit="1" customWidth="1"/>
    <col min="11287" max="11520" width="9" style="46"/>
    <col min="11521" max="11521" width="5.375" style="46" bestFit="1" customWidth="1"/>
    <col min="11522" max="11522" width="4.75" style="46" customWidth="1"/>
    <col min="11523" max="11523" width="17.625" style="46" customWidth="1"/>
    <col min="11524" max="11524" width="22.125" style="46" customWidth="1"/>
    <col min="11525" max="11525" width="17.5" style="46" customWidth="1"/>
    <col min="11526" max="11526" width="12" style="46" customWidth="1"/>
    <col min="11527" max="11527" width="40.75" style="46" customWidth="1"/>
    <col min="11528" max="11528" width="11.5" style="46" customWidth="1"/>
    <col min="11529" max="11529" width="11.375" style="46" bestFit="1" customWidth="1"/>
    <col min="11530" max="11530" width="12.5" style="46" customWidth="1"/>
    <col min="11531" max="11531" width="16.375" style="46" bestFit="1" customWidth="1"/>
    <col min="11532" max="11532" width="14.875" style="46" bestFit="1" customWidth="1"/>
    <col min="11533" max="11533" width="14.875" style="46" customWidth="1"/>
    <col min="11534" max="11534" width="14.875" style="46" bestFit="1" customWidth="1"/>
    <col min="11535" max="11535" width="14.75" style="46" bestFit="1" customWidth="1"/>
    <col min="11536" max="11536" width="13.625" style="46" bestFit="1" customWidth="1"/>
    <col min="11537" max="11537" width="16.375" style="46" bestFit="1" customWidth="1"/>
    <col min="11538" max="11538" width="15.875" style="46" customWidth="1"/>
    <col min="11539" max="11539" width="14.875" style="46" bestFit="1" customWidth="1"/>
    <col min="11540" max="11540" width="15.625" style="46" customWidth="1"/>
    <col min="11541" max="11541" width="16.25" style="46" customWidth="1"/>
    <col min="11542" max="11542" width="16.625" style="46" bestFit="1" customWidth="1"/>
    <col min="11543" max="11776" width="9" style="46"/>
    <col min="11777" max="11777" width="5.375" style="46" bestFit="1" customWidth="1"/>
    <col min="11778" max="11778" width="4.75" style="46" customWidth="1"/>
    <col min="11779" max="11779" width="17.625" style="46" customWidth="1"/>
    <col min="11780" max="11780" width="22.125" style="46" customWidth="1"/>
    <col min="11781" max="11781" width="17.5" style="46" customWidth="1"/>
    <col min="11782" max="11782" width="12" style="46" customWidth="1"/>
    <col min="11783" max="11783" width="40.75" style="46" customWidth="1"/>
    <col min="11784" max="11784" width="11.5" style="46" customWidth="1"/>
    <col min="11785" max="11785" width="11.375" style="46" bestFit="1" customWidth="1"/>
    <col min="11786" max="11786" width="12.5" style="46" customWidth="1"/>
    <col min="11787" max="11787" width="16.375" style="46" bestFit="1" customWidth="1"/>
    <col min="11788" max="11788" width="14.875" style="46" bestFit="1" customWidth="1"/>
    <col min="11789" max="11789" width="14.875" style="46" customWidth="1"/>
    <col min="11790" max="11790" width="14.875" style="46" bestFit="1" customWidth="1"/>
    <col min="11791" max="11791" width="14.75" style="46" bestFit="1" customWidth="1"/>
    <col min="11792" max="11792" width="13.625" style="46" bestFit="1" customWidth="1"/>
    <col min="11793" max="11793" width="16.375" style="46" bestFit="1" customWidth="1"/>
    <col min="11794" max="11794" width="15.875" style="46" customWidth="1"/>
    <col min="11795" max="11795" width="14.875" style="46" bestFit="1" customWidth="1"/>
    <col min="11796" max="11796" width="15.625" style="46" customWidth="1"/>
    <col min="11797" max="11797" width="16.25" style="46" customWidth="1"/>
    <col min="11798" max="11798" width="16.625" style="46" bestFit="1" customWidth="1"/>
    <col min="11799" max="12032" width="9" style="46"/>
    <col min="12033" max="12033" width="5.375" style="46" bestFit="1" customWidth="1"/>
    <col min="12034" max="12034" width="4.75" style="46" customWidth="1"/>
    <col min="12035" max="12035" width="17.625" style="46" customWidth="1"/>
    <col min="12036" max="12036" width="22.125" style="46" customWidth="1"/>
    <col min="12037" max="12037" width="17.5" style="46" customWidth="1"/>
    <col min="12038" max="12038" width="12" style="46" customWidth="1"/>
    <col min="12039" max="12039" width="40.75" style="46" customWidth="1"/>
    <col min="12040" max="12040" width="11.5" style="46" customWidth="1"/>
    <col min="12041" max="12041" width="11.375" style="46" bestFit="1" customWidth="1"/>
    <col min="12042" max="12042" width="12.5" style="46" customWidth="1"/>
    <col min="12043" max="12043" width="16.375" style="46" bestFit="1" customWidth="1"/>
    <col min="12044" max="12044" width="14.875" style="46" bestFit="1" customWidth="1"/>
    <col min="12045" max="12045" width="14.875" style="46" customWidth="1"/>
    <col min="12046" max="12046" width="14.875" style="46" bestFit="1" customWidth="1"/>
    <col min="12047" max="12047" width="14.75" style="46" bestFit="1" customWidth="1"/>
    <col min="12048" max="12048" width="13.625" style="46" bestFit="1" customWidth="1"/>
    <col min="12049" max="12049" width="16.375" style="46" bestFit="1" customWidth="1"/>
    <col min="12050" max="12050" width="15.875" style="46" customWidth="1"/>
    <col min="12051" max="12051" width="14.875" style="46" bestFit="1" customWidth="1"/>
    <col min="12052" max="12052" width="15.625" style="46" customWidth="1"/>
    <col min="12053" max="12053" width="16.25" style="46" customWidth="1"/>
    <col min="12054" max="12054" width="16.625" style="46" bestFit="1" customWidth="1"/>
    <col min="12055" max="12288" width="9" style="46"/>
    <col min="12289" max="12289" width="5.375" style="46" bestFit="1" customWidth="1"/>
    <col min="12290" max="12290" width="4.75" style="46" customWidth="1"/>
    <col min="12291" max="12291" width="17.625" style="46" customWidth="1"/>
    <col min="12292" max="12292" width="22.125" style="46" customWidth="1"/>
    <col min="12293" max="12293" width="17.5" style="46" customWidth="1"/>
    <col min="12294" max="12294" width="12" style="46" customWidth="1"/>
    <col min="12295" max="12295" width="40.75" style="46" customWidth="1"/>
    <col min="12296" max="12296" width="11.5" style="46" customWidth="1"/>
    <col min="12297" max="12297" width="11.375" style="46" bestFit="1" customWidth="1"/>
    <col min="12298" max="12298" width="12.5" style="46" customWidth="1"/>
    <col min="12299" max="12299" width="16.375" style="46" bestFit="1" customWidth="1"/>
    <col min="12300" max="12300" width="14.875" style="46" bestFit="1" customWidth="1"/>
    <col min="12301" max="12301" width="14.875" style="46" customWidth="1"/>
    <col min="12302" max="12302" width="14.875" style="46" bestFit="1" customWidth="1"/>
    <col min="12303" max="12303" width="14.75" style="46" bestFit="1" customWidth="1"/>
    <col min="12304" max="12304" width="13.625" style="46" bestFit="1" customWidth="1"/>
    <col min="12305" max="12305" width="16.375" style="46" bestFit="1" customWidth="1"/>
    <col min="12306" max="12306" width="15.875" style="46" customWidth="1"/>
    <col min="12307" max="12307" width="14.875" style="46" bestFit="1" customWidth="1"/>
    <col min="12308" max="12308" width="15.625" style="46" customWidth="1"/>
    <col min="12309" max="12309" width="16.25" style="46" customWidth="1"/>
    <col min="12310" max="12310" width="16.625" style="46" bestFit="1" customWidth="1"/>
    <col min="12311" max="12544" width="9" style="46"/>
    <col min="12545" max="12545" width="5.375" style="46" bestFit="1" customWidth="1"/>
    <col min="12546" max="12546" width="4.75" style="46" customWidth="1"/>
    <col min="12547" max="12547" width="17.625" style="46" customWidth="1"/>
    <col min="12548" max="12548" width="22.125" style="46" customWidth="1"/>
    <col min="12549" max="12549" width="17.5" style="46" customWidth="1"/>
    <col min="12550" max="12550" width="12" style="46" customWidth="1"/>
    <col min="12551" max="12551" width="40.75" style="46" customWidth="1"/>
    <col min="12552" max="12552" width="11.5" style="46" customWidth="1"/>
    <col min="12553" max="12553" width="11.375" style="46" bestFit="1" customWidth="1"/>
    <col min="12554" max="12554" width="12.5" style="46" customWidth="1"/>
    <col min="12555" max="12555" width="16.375" style="46" bestFit="1" customWidth="1"/>
    <col min="12556" max="12556" width="14.875" style="46" bestFit="1" customWidth="1"/>
    <col min="12557" max="12557" width="14.875" style="46" customWidth="1"/>
    <col min="12558" max="12558" width="14.875" style="46" bestFit="1" customWidth="1"/>
    <col min="12559" max="12559" width="14.75" style="46" bestFit="1" customWidth="1"/>
    <col min="12560" max="12560" width="13.625" style="46" bestFit="1" customWidth="1"/>
    <col min="12561" max="12561" width="16.375" style="46" bestFit="1" customWidth="1"/>
    <col min="12562" max="12562" width="15.875" style="46" customWidth="1"/>
    <col min="12563" max="12563" width="14.875" style="46" bestFit="1" customWidth="1"/>
    <col min="12564" max="12564" width="15.625" style="46" customWidth="1"/>
    <col min="12565" max="12565" width="16.25" style="46" customWidth="1"/>
    <col min="12566" max="12566" width="16.625" style="46" bestFit="1" customWidth="1"/>
    <col min="12567" max="12800" width="9" style="46"/>
    <col min="12801" max="12801" width="5.375" style="46" bestFit="1" customWidth="1"/>
    <col min="12802" max="12802" width="4.75" style="46" customWidth="1"/>
    <col min="12803" max="12803" width="17.625" style="46" customWidth="1"/>
    <col min="12804" max="12804" width="22.125" style="46" customWidth="1"/>
    <col min="12805" max="12805" width="17.5" style="46" customWidth="1"/>
    <col min="12806" max="12806" width="12" style="46" customWidth="1"/>
    <col min="12807" max="12807" width="40.75" style="46" customWidth="1"/>
    <col min="12808" max="12808" width="11.5" style="46" customWidth="1"/>
    <col min="12809" max="12809" width="11.375" style="46" bestFit="1" customWidth="1"/>
    <col min="12810" max="12810" width="12.5" style="46" customWidth="1"/>
    <col min="12811" max="12811" width="16.375" style="46" bestFit="1" customWidth="1"/>
    <col min="12812" max="12812" width="14.875" style="46" bestFit="1" customWidth="1"/>
    <col min="12813" max="12813" width="14.875" style="46" customWidth="1"/>
    <col min="12814" max="12814" width="14.875" style="46" bestFit="1" customWidth="1"/>
    <col min="12815" max="12815" width="14.75" style="46" bestFit="1" customWidth="1"/>
    <col min="12816" max="12816" width="13.625" style="46" bestFit="1" customWidth="1"/>
    <col min="12817" max="12817" width="16.375" style="46" bestFit="1" customWidth="1"/>
    <col min="12818" max="12818" width="15.875" style="46" customWidth="1"/>
    <col min="12819" max="12819" width="14.875" style="46" bestFit="1" customWidth="1"/>
    <col min="12820" max="12820" width="15.625" style="46" customWidth="1"/>
    <col min="12821" max="12821" width="16.25" style="46" customWidth="1"/>
    <col min="12822" max="12822" width="16.625" style="46" bestFit="1" customWidth="1"/>
    <col min="12823" max="13056" width="9" style="46"/>
    <col min="13057" max="13057" width="5.375" style="46" bestFit="1" customWidth="1"/>
    <col min="13058" max="13058" width="4.75" style="46" customWidth="1"/>
    <col min="13059" max="13059" width="17.625" style="46" customWidth="1"/>
    <col min="13060" max="13060" width="22.125" style="46" customWidth="1"/>
    <col min="13061" max="13061" width="17.5" style="46" customWidth="1"/>
    <col min="13062" max="13062" width="12" style="46" customWidth="1"/>
    <col min="13063" max="13063" width="40.75" style="46" customWidth="1"/>
    <col min="13064" max="13064" width="11.5" style="46" customWidth="1"/>
    <col min="13065" max="13065" width="11.375" style="46" bestFit="1" customWidth="1"/>
    <col min="13066" max="13066" width="12.5" style="46" customWidth="1"/>
    <col min="13067" max="13067" width="16.375" style="46" bestFit="1" customWidth="1"/>
    <col min="13068" max="13068" width="14.875" style="46" bestFit="1" customWidth="1"/>
    <col min="13069" max="13069" width="14.875" style="46" customWidth="1"/>
    <col min="13070" max="13070" width="14.875" style="46" bestFit="1" customWidth="1"/>
    <col min="13071" max="13071" width="14.75" style="46" bestFit="1" customWidth="1"/>
    <col min="13072" max="13072" width="13.625" style="46" bestFit="1" customWidth="1"/>
    <col min="13073" max="13073" width="16.375" style="46" bestFit="1" customWidth="1"/>
    <col min="13074" max="13074" width="15.875" style="46" customWidth="1"/>
    <col min="13075" max="13075" width="14.875" style="46" bestFit="1" customWidth="1"/>
    <col min="13076" max="13076" width="15.625" style="46" customWidth="1"/>
    <col min="13077" max="13077" width="16.25" style="46" customWidth="1"/>
    <col min="13078" max="13078" width="16.625" style="46" bestFit="1" customWidth="1"/>
    <col min="13079" max="13312" width="9" style="46"/>
    <col min="13313" max="13313" width="5.375" style="46" bestFit="1" customWidth="1"/>
    <col min="13314" max="13314" width="4.75" style="46" customWidth="1"/>
    <col min="13315" max="13315" width="17.625" style="46" customWidth="1"/>
    <col min="13316" max="13316" width="22.125" style="46" customWidth="1"/>
    <col min="13317" max="13317" width="17.5" style="46" customWidth="1"/>
    <col min="13318" max="13318" width="12" style="46" customWidth="1"/>
    <col min="13319" max="13319" width="40.75" style="46" customWidth="1"/>
    <col min="13320" max="13320" width="11.5" style="46" customWidth="1"/>
    <col min="13321" max="13321" width="11.375" style="46" bestFit="1" customWidth="1"/>
    <col min="13322" max="13322" width="12.5" style="46" customWidth="1"/>
    <col min="13323" max="13323" width="16.375" style="46" bestFit="1" customWidth="1"/>
    <col min="13324" max="13324" width="14.875" style="46" bestFit="1" customWidth="1"/>
    <col min="13325" max="13325" width="14.875" style="46" customWidth="1"/>
    <col min="13326" max="13326" width="14.875" style="46" bestFit="1" customWidth="1"/>
    <col min="13327" max="13327" width="14.75" style="46" bestFit="1" customWidth="1"/>
    <col min="13328" max="13328" width="13.625" style="46" bestFit="1" customWidth="1"/>
    <col min="13329" max="13329" width="16.375" style="46" bestFit="1" customWidth="1"/>
    <col min="13330" max="13330" width="15.875" style="46" customWidth="1"/>
    <col min="13331" max="13331" width="14.875" style="46" bestFit="1" customWidth="1"/>
    <col min="13332" max="13332" width="15.625" style="46" customWidth="1"/>
    <col min="13333" max="13333" width="16.25" style="46" customWidth="1"/>
    <col min="13334" max="13334" width="16.625" style="46" bestFit="1" customWidth="1"/>
    <col min="13335" max="13568" width="9" style="46"/>
    <col min="13569" max="13569" width="5.375" style="46" bestFit="1" customWidth="1"/>
    <col min="13570" max="13570" width="4.75" style="46" customWidth="1"/>
    <col min="13571" max="13571" width="17.625" style="46" customWidth="1"/>
    <col min="13572" max="13572" width="22.125" style="46" customWidth="1"/>
    <col min="13573" max="13573" width="17.5" style="46" customWidth="1"/>
    <col min="13574" max="13574" width="12" style="46" customWidth="1"/>
    <col min="13575" max="13575" width="40.75" style="46" customWidth="1"/>
    <col min="13576" max="13576" width="11.5" style="46" customWidth="1"/>
    <col min="13577" max="13577" width="11.375" style="46" bestFit="1" customWidth="1"/>
    <col min="13578" max="13578" width="12.5" style="46" customWidth="1"/>
    <col min="13579" max="13579" width="16.375" style="46" bestFit="1" customWidth="1"/>
    <col min="13580" max="13580" width="14.875" style="46" bestFit="1" customWidth="1"/>
    <col min="13581" max="13581" width="14.875" style="46" customWidth="1"/>
    <col min="13582" max="13582" width="14.875" style="46" bestFit="1" customWidth="1"/>
    <col min="13583" max="13583" width="14.75" style="46" bestFit="1" customWidth="1"/>
    <col min="13584" max="13584" width="13.625" style="46" bestFit="1" customWidth="1"/>
    <col min="13585" max="13585" width="16.375" style="46" bestFit="1" customWidth="1"/>
    <col min="13586" max="13586" width="15.875" style="46" customWidth="1"/>
    <col min="13587" max="13587" width="14.875" style="46" bestFit="1" customWidth="1"/>
    <col min="13588" max="13588" width="15.625" style="46" customWidth="1"/>
    <col min="13589" max="13589" width="16.25" style="46" customWidth="1"/>
    <col min="13590" max="13590" width="16.625" style="46" bestFit="1" customWidth="1"/>
    <col min="13591" max="13824" width="9" style="46"/>
    <col min="13825" max="13825" width="5.375" style="46" bestFit="1" customWidth="1"/>
    <col min="13826" max="13826" width="4.75" style="46" customWidth="1"/>
    <col min="13827" max="13827" width="17.625" style="46" customWidth="1"/>
    <col min="13828" max="13828" width="22.125" style="46" customWidth="1"/>
    <col min="13829" max="13829" width="17.5" style="46" customWidth="1"/>
    <col min="13830" max="13830" width="12" style="46" customWidth="1"/>
    <col min="13831" max="13831" width="40.75" style="46" customWidth="1"/>
    <col min="13832" max="13832" width="11.5" style="46" customWidth="1"/>
    <col min="13833" max="13833" width="11.375" style="46" bestFit="1" customWidth="1"/>
    <col min="13834" max="13834" width="12.5" style="46" customWidth="1"/>
    <col min="13835" max="13835" width="16.375" style="46" bestFit="1" customWidth="1"/>
    <col min="13836" max="13836" width="14.875" style="46" bestFit="1" customWidth="1"/>
    <col min="13837" max="13837" width="14.875" style="46" customWidth="1"/>
    <col min="13838" max="13838" width="14.875" style="46" bestFit="1" customWidth="1"/>
    <col min="13839" max="13839" width="14.75" style="46" bestFit="1" customWidth="1"/>
    <col min="13840" max="13840" width="13.625" style="46" bestFit="1" customWidth="1"/>
    <col min="13841" max="13841" width="16.375" style="46" bestFit="1" customWidth="1"/>
    <col min="13842" max="13842" width="15.875" style="46" customWidth="1"/>
    <col min="13843" max="13843" width="14.875" style="46" bestFit="1" customWidth="1"/>
    <col min="13844" max="13844" width="15.625" style="46" customWidth="1"/>
    <col min="13845" max="13845" width="16.25" style="46" customWidth="1"/>
    <col min="13846" max="13846" width="16.625" style="46" bestFit="1" customWidth="1"/>
    <col min="13847" max="14080" width="9" style="46"/>
    <col min="14081" max="14081" width="5.375" style="46" bestFit="1" customWidth="1"/>
    <col min="14082" max="14082" width="4.75" style="46" customWidth="1"/>
    <col min="14083" max="14083" width="17.625" style="46" customWidth="1"/>
    <col min="14084" max="14084" width="22.125" style="46" customWidth="1"/>
    <col min="14085" max="14085" width="17.5" style="46" customWidth="1"/>
    <col min="14086" max="14086" width="12" style="46" customWidth="1"/>
    <col min="14087" max="14087" width="40.75" style="46" customWidth="1"/>
    <col min="14088" max="14088" width="11.5" style="46" customWidth="1"/>
    <col min="14089" max="14089" width="11.375" style="46" bestFit="1" customWidth="1"/>
    <col min="14090" max="14090" width="12.5" style="46" customWidth="1"/>
    <col min="14091" max="14091" width="16.375" style="46" bestFit="1" customWidth="1"/>
    <col min="14092" max="14092" width="14.875" style="46" bestFit="1" customWidth="1"/>
    <col min="14093" max="14093" width="14.875" style="46" customWidth="1"/>
    <col min="14094" max="14094" width="14.875" style="46" bestFit="1" customWidth="1"/>
    <col min="14095" max="14095" width="14.75" style="46" bestFit="1" customWidth="1"/>
    <col min="14096" max="14096" width="13.625" style="46" bestFit="1" customWidth="1"/>
    <col min="14097" max="14097" width="16.375" style="46" bestFit="1" customWidth="1"/>
    <col min="14098" max="14098" width="15.875" style="46" customWidth="1"/>
    <col min="14099" max="14099" width="14.875" style="46" bestFit="1" customWidth="1"/>
    <col min="14100" max="14100" width="15.625" style="46" customWidth="1"/>
    <col min="14101" max="14101" width="16.25" style="46" customWidth="1"/>
    <col min="14102" max="14102" width="16.625" style="46" bestFit="1" customWidth="1"/>
    <col min="14103" max="14336" width="9" style="46"/>
    <col min="14337" max="14337" width="5.375" style="46" bestFit="1" customWidth="1"/>
    <col min="14338" max="14338" width="4.75" style="46" customWidth="1"/>
    <col min="14339" max="14339" width="17.625" style="46" customWidth="1"/>
    <col min="14340" max="14340" width="22.125" style="46" customWidth="1"/>
    <col min="14341" max="14341" width="17.5" style="46" customWidth="1"/>
    <col min="14342" max="14342" width="12" style="46" customWidth="1"/>
    <col min="14343" max="14343" width="40.75" style="46" customWidth="1"/>
    <col min="14344" max="14344" width="11.5" style="46" customWidth="1"/>
    <col min="14345" max="14345" width="11.375" style="46" bestFit="1" customWidth="1"/>
    <col min="14346" max="14346" width="12.5" style="46" customWidth="1"/>
    <col min="14347" max="14347" width="16.375" style="46" bestFit="1" customWidth="1"/>
    <col min="14348" max="14348" width="14.875" style="46" bestFit="1" customWidth="1"/>
    <col min="14349" max="14349" width="14.875" style="46" customWidth="1"/>
    <col min="14350" max="14350" width="14.875" style="46" bestFit="1" customWidth="1"/>
    <col min="14351" max="14351" width="14.75" style="46" bestFit="1" customWidth="1"/>
    <col min="14352" max="14352" width="13.625" style="46" bestFit="1" customWidth="1"/>
    <col min="14353" max="14353" width="16.375" style="46" bestFit="1" customWidth="1"/>
    <col min="14354" max="14354" width="15.875" style="46" customWidth="1"/>
    <col min="14355" max="14355" width="14.875" style="46" bestFit="1" customWidth="1"/>
    <col min="14356" max="14356" width="15.625" style="46" customWidth="1"/>
    <col min="14357" max="14357" width="16.25" style="46" customWidth="1"/>
    <col min="14358" max="14358" width="16.625" style="46" bestFit="1" customWidth="1"/>
    <col min="14359" max="14592" width="9" style="46"/>
    <col min="14593" max="14593" width="5.375" style="46" bestFit="1" customWidth="1"/>
    <col min="14594" max="14594" width="4.75" style="46" customWidth="1"/>
    <col min="14595" max="14595" width="17.625" style="46" customWidth="1"/>
    <col min="14596" max="14596" width="22.125" style="46" customWidth="1"/>
    <col min="14597" max="14597" width="17.5" style="46" customWidth="1"/>
    <col min="14598" max="14598" width="12" style="46" customWidth="1"/>
    <col min="14599" max="14599" width="40.75" style="46" customWidth="1"/>
    <col min="14600" max="14600" width="11.5" style="46" customWidth="1"/>
    <col min="14601" max="14601" width="11.375" style="46" bestFit="1" customWidth="1"/>
    <col min="14602" max="14602" width="12.5" style="46" customWidth="1"/>
    <col min="14603" max="14603" width="16.375" style="46" bestFit="1" customWidth="1"/>
    <col min="14604" max="14604" width="14.875" style="46" bestFit="1" customWidth="1"/>
    <col min="14605" max="14605" width="14.875" style="46" customWidth="1"/>
    <col min="14606" max="14606" width="14.875" style="46" bestFit="1" customWidth="1"/>
    <col min="14607" max="14607" width="14.75" style="46" bestFit="1" customWidth="1"/>
    <col min="14608" max="14608" width="13.625" style="46" bestFit="1" customWidth="1"/>
    <col min="14609" max="14609" width="16.375" style="46" bestFit="1" customWidth="1"/>
    <col min="14610" max="14610" width="15.875" style="46" customWidth="1"/>
    <col min="14611" max="14611" width="14.875" style="46" bestFit="1" customWidth="1"/>
    <col min="14612" max="14612" width="15.625" style="46" customWidth="1"/>
    <col min="14613" max="14613" width="16.25" style="46" customWidth="1"/>
    <col min="14614" max="14614" width="16.625" style="46" bestFit="1" customWidth="1"/>
    <col min="14615" max="14848" width="9" style="46"/>
    <col min="14849" max="14849" width="5.375" style="46" bestFit="1" customWidth="1"/>
    <col min="14850" max="14850" width="4.75" style="46" customWidth="1"/>
    <col min="14851" max="14851" width="17.625" style="46" customWidth="1"/>
    <col min="14852" max="14852" width="22.125" style="46" customWidth="1"/>
    <col min="14853" max="14853" width="17.5" style="46" customWidth="1"/>
    <col min="14854" max="14854" width="12" style="46" customWidth="1"/>
    <col min="14855" max="14855" width="40.75" style="46" customWidth="1"/>
    <col min="14856" max="14856" width="11.5" style="46" customWidth="1"/>
    <col min="14857" max="14857" width="11.375" style="46" bestFit="1" customWidth="1"/>
    <col min="14858" max="14858" width="12.5" style="46" customWidth="1"/>
    <col min="14859" max="14859" width="16.375" style="46" bestFit="1" customWidth="1"/>
    <col min="14860" max="14860" width="14.875" style="46" bestFit="1" customWidth="1"/>
    <col min="14861" max="14861" width="14.875" style="46" customWidth="1"/>
    <col min="14862" max="14862" width="14.875" style="46" bestFit="1" customWidth="1"/>
    <col min="14863" max="14863" width="14.75" style="46" bestFit="1" customWidth="1"/>
    <col min="14864" max="14864" width="13.625" style="46" bestFit="1" customWidth="1"/>
    <col min="14865" max="14865" width="16.375" style="46" bestFit="1" customWidth="1"/>
    <col min="14866" max="14866" width="15.875" style="46" customWidth="1"/>
    <col min="14867" max="14867" width="14.875" style="46" bestFit="1" customWidth="1"/>
    <col min="14868" max="14868" width="15.625" style="46" customWidth="1"/>
    <col min="14869" max="14869" width="16.25" style="46" customWidth="1"/>
    <col min="14870" max="14870" width="16.625" style="46" bestFit="1" customWidth="1"/>
    <col min="14871" max="15104" width="9" style="46"/>
    <col min="15105" max="15105" width="5.375" style="46" bestFit="1" customWidth="1"/>
    <col min="15106" max="15106" width="4.75" style="46" customWidth="1"/>
    <col min="15107" max="15107" width="17.625" style="46" customWidth="1"/>
    <col min="15108" max="15108" width="22.125" style="46" customWidth="1"/>
    <col min="15109" max="15109" width="17.5" style="46" customWidth="1"/>
    <col min="15110" max="15110" width="12" style="46" customWidth="1"/>
    <col min="15111" max="15111" width="40.75" style="46" customWidth="1"/>
    <col min="15112" max="15112" width="11.5" style="46" customWidth="1"/>
    <col min="15113" max="15113" width="11.375" style="46" bestFit="1" customWidth="1"/>
    <col min="15114" max="15114" width="12.5" style="46" customWidth="1"/>
    <col min="15115" max="15115" width="16.375" style="46" bestFit="1" customWidth="1"/>
    <col min="15116" max="15116" width="14.875" style="46" bestFit="1" customWidth="1"/>
    <col min="15117" max="15117" width="14.875" style="46" customWidth="1"/>
    <col min="15118" max="15118" width="14.875" style="46" bestFit="1" customWidth="1"/>
    <col min="15119" max="15119" width="14.75" style="46" bestFit="1" customWidth="1"/>
    <col min="15120" max="15120" width="13.625" style="46" bestFit="1" customWidth="1"/>
    <col min="15121" max="15121" width="16.375" style="46" bestFit="1" customWidth="1"/>
    <col min="15122" max="15122" width="15.875" style="46" customWidth="1"/>
    <col min="15123" max="15123" width="14.875" style="46" bestFit="1" customWidth="1"/>
    <col min="15124" max="15124" width="15.625" style="46" customWidth="1"/>
    <col min="15125" max="15125" width="16.25" style="46" customWidth="1"/>
    <col min="15126" max="15126" width="16.625" style="46" bestFit="1" customWidth="1"/>
    <col min="15127" max="15360" width="9" style="46"/>
    <col min="15361" max="15361" width="5.375" style="46" bestFit="1" customWidth="1"/>
    <col min="15362" max="15362" width="4.75" style="46" customWidth="1"/>
    <col min="15363" max="15363" width="17.625" style="46" customWidth="1"/>
    <col min="15364" max="15364" width="22.125" style="46" customWidth="1"/>
    <col min="15365" max="15365" width="17.5" style="46" customWidth="1"/>
    <col min="15366" max="15366" width="12" style="46" customWidth="1"/>
    <col min="15367" max="15367" width="40.75" style="46" customWidth="1"/>
    <col min="15368" max="15368" width="11.5" style="46" customWidth="1"/>
    <col min="15369" max="15369" width="11.375" style="46" bestFit="1" customWidth="1"/>
    <col min="15370" max="15370" width="12.5" style="46" customWidth="1"/>
    <col min="15371" max="15371" width="16.375" style="46" bestFit="1" customWidth="1"/>
    <col min="15372" max="15372" width="14.875" style="46" bestFit="1" customWidth="1"/>
    <col min="15373" max="15373" width="14.875" style="46" customWidth="1"/>
    <col min="15374" max="15374" width="14.875" style="46" bestFit="1" customWidth="1"/>
    <col min="15375" max="15375" width="14.75" style="46" bestFit="1" customWidth="1"/>
    <col min="15376" max="15376" width="13.625" style="46" bestFit="1" customWidth="1"/>
    <col min="15377" max="15377" width="16.375" style="46" bestFit="1" customWidth="1"/>
    <col min="15378" max="15378" width="15.875" style="46" customWidth="1"/>
    <col min="15379" max="15379" width="14.875" style="46" bestFit="1" customWidth="1"/>
    <col min="15380" max="15380" width="15.625" style="46" customWidth="1"/>
    <col min="15381" max="15381" width="16.25" style="46" customWidth="1"/>
    <col min="15382" max="15382" width="16.625" style="46" bestFit="1" customWidth="1"/>
    <col min="15383" max="15616" width="9" style="46"/>
    <col min="15617" max="15617" width="5.375" style="46" bestFit="1" customWidth="1"/>
    <col min="15618" max="15618" width="4.75" style="46" customWidth="1"/>
    <col min="15619" max="15619" width="17.625" style="46" customWidth="1"/>
    <col min="15620" max="15620" width="22.125" style="46" customWidth="1"/>
    <col min="15621" max="15621" width="17.5" style="46" customWidth="1"/>
    <col min="15622" max="15622" width="12" style="46" customWidth="1"/>
    <col min="15623" max="15623" width="40.75" style="46" customWidth="1"/>
    <col min="15624" max="15624" width="11.5" style="46" customWidth="1"/>
    <col min="15625" max="15625" width="11.375" style="46" bestFit="1" customWidth="1"/>
    <col min="15626" max="15626" width="12.5" style="46" customWidth="1"/>
    <col min="15627" max="15627" width="16.375" style="46" bestFit="1" customWidth="1"/>
    <col min="15628" max="15628" width="14.875" style="46" bestFit="1" customWidth="1"/>
    <col min="15629" max="15629" width="14.875" style="46" customWidth="1"/>
    <col min="15630" max="15630" width="14.875" style="46" bestFit="1" customWidth="1"/>
    <col min="15631" max="15631" width="14.75" style="46" bestFit="1" customWidth="1"/>
    <col min="15632" max="15632" width="13.625" style="46" bestFit="1" customWidth="1"/>
    <col min="15633" max="15633" width="16.375" style="46" bestFit="1" customWidth="1"/>
    <col min="15634" max="15634" width="15.875" style="46" customWidth="1"/>
    <col min="15635" max="15635" width="14.875" style="46" bestFit="1" customWidth="1"/>
    <col min="15636" max="15636" width="15.625" style="46" customWidth="1"/>
    <col min="15637" max="15637" width="16.25" style="46" customWidth="1"/>
    <col min="15638" max="15638" width="16.625" style="46" bestFit="1" customWidth="1"/>
    <col min="15639" max="15872" width="9" style="46"/>
    <col min="15873" max="15873" width="5.375" style="46" bestFit="1" customWidth="1"/>
    <col min="15874" max="15874" width="4.75" style="46" customWidth="1"/>
    <col min="15875" max="15875" width="17.625" style="46" customWidth="1"/>
    <col min="15876" max="15876" width="22.125" style="46" customWidth="1"/>
    <col min="15877" max="15877" width="17.5" style="46" customWidth="1"/>
    <col min="15878" max="15878" width="12" style="46" customWidth="1"/>
    <col min="15879" max="15879" width="40.75" style="46" customWidth="1"/>
    <col min="15880" max="15880" width="11.5" style="46" customWidth="1"/>
    <col min="15881" max="15881" width="11.375" style="46" bestFit="1" customWidth="1"/>
    <col min="15882" max="15882" width="12.5" style="46" customWidth="1"/>
    <col min="15883" max="15883" width="16.375" style="46" bestFit="1" customWidth="1"/>
    <col min="15884" max="15884" width="14.875" style="46" bestFit="1" customWidth="1"/>
    <col min="15885" max="15885" width="14.875" style="46" customWidth="1"/>
    <col min="15886" max="15886" width="14.875" style="46" bestFit="1" customWidth="1"/>
    <col min="15887" max="15887" width="14.75" style="46" bestFit="1" customWidth="1"/>
    <col min="15888" max="15888" width="13.625" style="46" bestFit="1" customWidth="1"/>
    <col min="15889" max="15889" width="16.375" style="46" bestFit="1" customWidth="1"/>
    <col min="15890" max="15890" width="15.875" style="46" customWidth="1"/>
    <col min="15891" max="15891" width="14.875" style="46" bestFit="1" customWidth="1"/>
    <col min="15892" max="15892" width="15.625" style="46" customWidth="1"/>
    <col min="15893" max="15893" width="16.25" style="46" customWidth="1"/>
    <col min="15894" max="15894" width="16.625" style="46" bestFit="1" customWidth="1"/>
    <col min="15895" max="16128" width="9" style="46"/>
    <col min="16129" max="16129" width="5.375" style="46" bestFit="1" customWidth="1"/>
    <col min="16130" max="16130" width="4.75" style="46" customWidth="1"/>
    <col min="16131" max="16131" width="17.625" style="46" customWidth="1"/>
    <col min="16132" max="16132" width="22.125" style="46" customWidth="1"/>
    <col min="16133" max="16133" width="17.5" style="46" customWidth="1"/>
    <col min="16134" max="16134" width="12" style="46" customWidth="1"/>
    <col min="16135" max="16135" width="40.75" style="46" customWidth="1"/>
    <col min="16136" max="16136" width="11.5" style="46" customWidth="1"/>
    <col min="16137" max="16137" width="11.375" style="46" bestFit="1" customWidth="1"/>
    <col min="16138" max="16138" width="12.5" style="46" customWidth="1"/>
    <col min="16139" max="16139" width="16.375" style="46" bestFit="1" customWidth="1"/>
    <col min="16140" max="16140" width="14.875" style="46" bestFit="1" customWidth="1"/>
    <col min="16141" max="16141" width="14.875" style="46" customWidth="1"/>
    <col min="16142" max="16142" width="14.875" style="46" bestFit="1" customWidth="1"/>
    <col min="16143" max="16143" width="14.75" style="46" bestFit="1" customWidth="1"/>
    <col min="16144" max="16144" width="13.625" style="46" bestFit="1" customWidth="1"/>
    <col min="16145" max="16145" width="16.375" style="46" bestFit="1" customWidth="1"/>
    <col min="16146" max="16146" width="15.875" style="46" customWidth="1"/>
    <col min="16147" max="16147" width="14.875" style="46" bestFit="1" customWidth="1"/>
    <col min="16148" max="16148" width="15.625" style="46" customWidth="1"/>
    <col min="16149" max="16149" width="16.25" style="46" customWidth="1"/>
    <col min="16150" max="16150" width="16.625" style="46" bestFit="1" customWidth="1"/>
    <col min="16151" max="16384" width="9" style="46"/>
  </cols>
  <sheetData>
    <row r="1" spans="1:23" s="638" customFormat="1" ht="16.5" thickBot="1">
      <c r="B1" s="639"/>
      <c r="C1" s="691" t="s">
        <v>2742</v>
      </c>
      <c r="D1" s="692" t="s">
        <v>2743</v>
      </c>
      <c r="E1" s="692" t="s">
        <v>2744</v>
      </c>
      <c r="F1" s="732" t="s">
        <v>2745</v>
      </c>
      <c r="G1" s="639"/>
      <c r="H1" s="640" t="s">
        <v>1843</v>
      </c>
      <c r="I1" s="641"/>
      <c r="J1" s="642"/>
      <c r="K1" s="643"/>
      <c r="L1" s="643"/>
      <c r="M1" s="693"/>
      <c r="N1" s="643">
        <f>ROUNDUP(V1/0.6/90,2)</f>
        <v>0</v>
      </c>
      <c r="O1" s="694"/>
      <c r="P1" s="644"/>
      <c r="Q1" s="645"/>
      <c r="U1" s="646"/>
      <c r="V1" s="647"/>
    </row>
    <row r="2" spans="1:23" s="638" customFormat="1" ht="16.5" thickTop="1">
      <c r="B2" s="639"/>
      <c r="C2" s="695" t="s">
        <v>236</v>
      </c>
      <c r="D2" s="696" t="s">
        <v>237</v>
      </c>
      <c r="E2" s="697">
        <v>0.7</v>
      </c>
      <c r="F2" s="733">
        <v>0.6</v>
      </c>
      <c r="G2" s="639"/>
      <c r="H2" s="642"/>
      <c r="I2" s="641"/>
      <c r="J2" s="642"/>
      <c r="K2" s="648"/>
      <c r="L2" s="698"/>
      <c r="M2" s="693"/>
      <c r="N2" s="693"/>
      <c r="O2" s="694"/>
      <c r="P2" s="644"/>
      <c r="Q2" s="645"/>
      <c r="U2" s="646"/>
      <c r="V2" s="647"/>
    </row>
    <row r="3" spans="1:23" s="638" customFormat="1" ht="15.75">
      <c r="B3" s="639"/>
      <c r="C3" s="699" t="s">
        <v>238</v>
      </c>
      <c r="D3" s="700" t="s">
        <v>239</v>
      </c>
      <c r="E3" s="701">
        <v>0.88</v>
      </c>
      <c r="F3" s="734">
        <v>0.8</v>
      </c>
      <c r="G3" s="639"/>
      <c r="H3" s="642"/>
      <c r="I3" s="641"/>
      <c r="J3" s="642"/>
      <c r="K3" s="648"/>
      <c r="L3" s="698"/>
      <c r="M3" s="693"/>
      <c r="N3" s="693"/>
      <c r="O3" s="694"/>
      <c r="P3" s="644"/>
      <c r="Q3" s="645"/>
      <c r="U3" s="646"/>
      <c r="V3" s="647"/>
    </row>
    <row r="4" spans="1:23" s="638" customFormat="1" ht="15.75">
      <c r="B4" s="639"/>
      <c r="C4" s="699" t="s">
        <v>240</v>
      </c>
      <c r="D4" s="700" t="s">
        <v>2746</v>
      </c>
      <c r="E4" s="701">
        <v>0.7</v>
      </c>
      <c r="F4" s="734">
        <v>0.6</v>
      </c>
      <c r="G4" s="639"/>
      <c r="H4" s="642"/>
      <c r="I4" s="641"/>
      <c r="J4" s="642"/>
      <c r="K4" s="648"/>
      <c r="L4" s="698"/>
      <c r="M4" s="693"/>
      <c r="N4" s="693"/>
      <c r="O4" s="694"/>
      <c r="P4" s="644"/>
      <c r="Q4" s="645"/>
      <c r="U4" s="646"/>
      <c r="V4" s="647"/>
    </row>
    <row r="5" spans="1:23" s="638" customFormat="1" ht="15.75">
      <c r="B5" s="639"/>
      <c r="C5" s="699" t="s">
        <v>241</v>
      </c>
      <c r="D5" s="700" t="s">
        <v>2747</v>
      </c>
      <c r="E5" s="701">
        <v>0.88</v>
      </c>
      <c r="F5" s="734">
        <v>0.8</v>
      </c>
      <c r="G5" s="639"/>
      <c r="H5" s="642"/>
      <c r="I5" s="641"/>
      <c r="J5" s="642"/>
      <c r="K5" s="648"/>
      <c r="L5" s="698"/>
      <c r="M5" s="693"/>
      <c r="N5" s="693"/>
      <c r="O5" s="694"/>
      <c r="P5" s="644"/>
      <c r="Q5" s="645"/>
      <c r="U5" s="646"/>
      <c r="V5" s="647"/>
    </row>
    <row r="6" spans="1:23" s="638" customFormat="1" ht="16.5" thickBot="1">
      <c r="B6" s="639"/>
      <c r="C6" s="702" t="s">
        <v>242</v>
      </c>
      <c r="D6" s="703" t="s">
        <v>243</v>
      </c>
      <c r="E6" s="701">
        <v>0.88</v>
      </c>
      <c r="F6" s="734">
        <v>0.8</v>
      </c>
      <c r="G6" s="639"/>
      <c r="H6" s="642"/>
      <c r="I6" s="641"/>
      <c r="J6" s="642"/>
      <c r="K6" s="648"/>
      <c r="L6" s="698"/>
      <c r="M6" s="693"/>
      <c r="N6" s="693"/>
      <c r="O6" s="694"/>
      <c r="P6" s="644"/>
      <c r="Q6" s="645"/>
      <c r="U6" s="646"/>
      <c r="V6" s="647"/>
    </row>
    <row r="7" spans="1:23" s="660" customFormat="1" ht="15.75">
      <c r="A7" s="649" t="s">
        <v>2748</v>
      </c>
      <c r="B7" s="649" t="s">
        <v>2749</v>
      </c>
      <c r="C7" s="704" t="s">
        <v>76</v>
      </c>
      <c r="D7" s="649" t="s">
        <v>114</v>
      </c>
      <c r="E7" s="650" t="s">
        <v>219</v>
      </c>
      <c r="F7" s="735" t="s">
        <v>32</v>
      </c>
      <c r="G7" s="651" t="s">
        <v>94</v>
      </c>
      <c r="H7" s="652" t="s">
        <v>2</v>
      </c>
      <c r="I7" s="652" t="s">
        <v>111</v>
      </c>
      <c r="J7" s="652" t="s">
        <v>110</v>
      </c>
      <c r="K7" s="653" t="s">
        <v>207</v>
      </c>
      <c r="L7" s="654" t="s">
        <v>190</v>
      </c>
      <c r="M7" s="653" t="s">
        <v>253</v>
      </c>
      <c r="N7" s="655" t="s">
        <v>245</v>
      </c>
      <c r="O7" s="655" t="s">
        <v>235</v>
      </c>
      <c r="P7" s="656" t="s">
        <v>2736</v>
      </c>
      <c r="Q7" s="657" t="s">
        <v>2737</v>
      </c>
      <c r="R7" s="657" t="s">
        <v>2750</v>
      </c>
      <c r="S7" s="649" t="s">
        <v>2738</v>
      </c>
      <c r="T7" s="658" t="s">
        <v>209</v>
      </c>
      <c r="U7" s="649" t="s">
        <v>2739</v>
      </c>
      <c r="V7" s="659" t="s">
        <v>2740</v>
      </c>
      <c r="W7" s="658" t="s">
        <v>2778</v>
      </c>
    </row>
    <row r="8" spans="1:23" s="638" customFormat="1" ht="18" customHeight="1">
      <c r="B8" s="639"/>
      <c r="C8" s="661" t="s">
        <v>2741</v>
      </c>
      <c r="D8" s="662" t="s">
        <v>1894</v>
      </c>
      <c r="E8" s="663" t="s">
        <v>1979</v>
      </c>
      <c r="F8" s="736"/>
      <c r="G8" s="664"/>
      <c r="H8" s="665"/>
      <c r="I8" s="665"/>
      <c r="J8" s="665"/>
      <c r="K8" s="505" t="s">
        <v>4</v>
      </c>
      <c r="L8" s="705"/>
      <c r="M8" s="706"/>
      <c r="N8" s="706">
        <v>44978</v>
      </c>
      <c r="O8" s="707">
        <v>5007</v>
      </c>
      <c r="P8" s="504"/>
      <c r="Q8" s="666"/>
      <c r="U8" s="667"/>
      <c r="V8" s="668">
        <v>120</v>
      </c>
    </row>
    <row r="9" spans="1:23" s="638" customFormat="1" ht="17.25" customHeight="1">
      <c r="B9" s="639" t="s">
        <v>236</v>
      </c>
      <c r="C9" s="661" t="s">
        <v>2741</v>
      </c>
      <c r="D9" s="662" t="s">
        <v>1894</v>
      </c>
      <c r="E9" s="158" t="s">
        <v>1980</v>
      </c>
      <c r="F9" s="736"/>
      <c r="G9" s="669" t="s">
        <v>1992</v>
      </c>
      <c r="H9" s="665">
        <v>30</v>
      </c>
      <c r="I9" s="670">
        <v>34</v>
      </c>
      <c r="J9" s="671">
        <f>H9*I9</f>
        <v>1020</v>
      </c>
      <c r="K9" s="643">
        <v>0.84</v>
      </c>
      <c r="L9" s="643">
        <f>K9*J9</f>
        <v>856.8</v>
      </c>
      <c r="M9" s="672" t="s">
        <v>255</v>
      </c>
      <c r="N9" s="706">
        <v>44978</v>
      </c>
      <c r="O9" s="707">
        <v>5007</v>
      </c>
      <c r="P9" s="673">
        <f>ROUNDUP(S9/V9/VLOOKUP(B9,$C$2:$F$6,3,FALSE),2)</f>
        <v>0.54</v>
      </c>
      <c r="Q9" s="674">
        <v>0.54</v>
      </c>
      <c r="R9" s="674">
        <f>Q9*J9</f>
        <v>550.80000000000007</v>
      </c>
      <c r="S9" s="638">
        <v>45</v>
      </c>
      <c r="T9" s="638">
        <f>S9*J9</f>
        <v>45900</v>
      </c>
      <c r="U9" s="708"/>
      <c r="V9" s="668">
        <v>120</v>
      </c>
      <c r="W9" s="730">
        <f>(((K9*V9)-S9)/(K9*V9))</f>
        <v>0.5535714285714286</v>
      </c>
    </row>
    <row r="10" spans="1:23" s="638" customFormat="1" ht="15.75">
      <c r="B10" s="639"/>
      <c r="C10" s="661" t="s">
        <v>2741</v>
      </c>
      <c r="D10" s="662" t="s">
        <v>1894</v>
      </c>
      <c r="E10" s="675"/>
      <c r="F10" s="737"/>
      <c r="G10" s="158" t="s">
        <v>250</v>
      </c>
      <c r="H10" s="671"/>
      <c r="I10" s="676"/>
      <c r="J10" s="677">
        <v>1</v>
      </c>
      <c r="K10" s="643">
        <v>12</v>
      </c>
      <c r="L10" s="643">
        <f>K10*J10</f>
        <v>12</v>
      </c>
      <c r="M10" s="678"/>
      <c r="N10" s="706">
        <v>44978</v>
      </c>
      <c r="O10" s="707">
        <v>5007</v>
      </c>
      <c r="P10" s="504"/>
      <c r="Q10" s="674">
        <v>12</v>
      </c>
      <c r="R10" s="674">
        <f>Q10*J10</f>
        <v>12</v>
      </c>
      <c r="S10" s="638">
        <v>0</v>
      </c>
      <c r="T10" s="638">
        <f>S10*J10</f>
        <v>0</v>
      </c>
      <c r="U10" s="667"/>
      <c r="V10" s="668">
        <v>120</v>
      </c>
      <c r="W10" s="730"/>
    </row>
    <row r="11" spans="1:23" s="709" customFormat="1" ht="15.75">
      <c r="B11" s="710"/>
      <c r="C11" s="679" t="s">
        <v>2741</v>
      </c>
      <c r="D11" s="680" t="s">
        <v>1894</v>
      </c>
      <c r="E11" s="681"/>
      <c r="F11" s="738"/>
      <c r="G11" s="682" t="s">
        <v>210</v>
      </c>
      <c r="H11" s="683" t="s">
        <v>211</v>
      </c>
      <c r="I11" s="684"/>
      <c r="J11" s="685"/>
      <c r="K11" s="686">
        <v>0</v>
      </c>
      <c r="L11" s="711"/>
      <c r="M11" s="712"/>
      <c r="N11" s="712">
        <v>44978</v>
      </c>
      <c r="O11" s="713">
        <v>5007</v>
      </c>
      <c r="P11" s="687"/>
      <c r="Q11" s="688">
        <v>0</v>
      </c>
      <c r="S11" s="689">
        <v>0</v>
      </c>
      <c r="T11" s="689">
        <v>0</v>
      </c>
      <c r="U11" s="690"/>
      <c r="V11" s="668">
        <v>120</v>
      </c>
      <c r="W11" s="730"/>
    </row>
    <row r="12" spans="1:23" s="638" customFormat="1" ht="18" customHeight="1">
      <c r="B12" s="639"/>
      <c r="C12" s="717" t="s">
        <v>2735</v>
      </c>
      <c r="D12" s="662"/>
      <c r="E12" s="663" t="s">
        <v>2751</v>
      </c>
      <c r="F12" s="736"/>
      <c r="G12" s="664"/>
      <c r="H12" s="665"/>
      <c r="I12" s="665"/>
      <c r="J12" s="665"/>
      <c r="K12" s="505" t="s">
        <v>5</v>
      </c>
      <c r="L12" s="705"/>
      <c r="M12" s="706"/>
      <c r="N12" s="706">
        <v>45023</v>
      </c>
      <c r="O12" s="707">
        <v>5138</v>
      </c>
      <c r="P12" s="504"/>
      <c r="Q12" s="666"/>
      <c r="U12" s="667"/>
      <c r="V12" s="668">
        <v>120</v>
      </c>
    </row>
    <row r="13" spans="1:23" s="638" customFormat="1" ht="17.25" customHeight="1">
      <c r="B13" s="639" t="s">
        <v>236</v>
      </c>
      <c r="C13" s="717" t="s">
        <v>2735</v>
      </c>
      <c r="D13" s="662"/>
      <c r="E13" s="17">
        <v>5313</v>
      </c>
      <c r="F13" s="739" t="s">
        <v>2752</v>
      </c>
      <c r="G13" s="17" t="s">
        <v>2753</v>
      </c>
      <c r="H13" s="100">
        <v>150</v>
      </c>
      <c r="I13" s="101">
        <v>1</v>
      </c>
      <c r="J13" s="6">
        <f>H13*I13</f>
        <v>150</v>
      </c>
      <c r="K13" s="33">
        <v>0.31</v>
      </c>
      <c r="L13" s="643">
        <f>K13*J13</f>
        <v>46.5</v>
      </c>
      <c r="M13" s="672" t="s">
        <v>255</v>
      </c>
      <c r="N13" s="706">
        <v>45023</v>
      </c>
      <c r="O13" s="707">
        <v>5138</v>
      </c>
      <c r="P13" s="673">
        <f>ROUNDUP(S13/V13/VLOOKUP(B13,$C$2:$F$6,3,FALSE),2)</f>
        <v>0.17</v>
      </c>
      <c r="Q13" s="674">
        <v>0.17</v>
      </c>
      <c r="R13" s="674">
        <f>Q13*J13</f>
        <v>25.500000000000004</v>
      </c>
      <c r="S13" s="638">
        <v>14</v>
      </c>
      <c r="T13" s="84">
        <f>S13*J13</f>
        <v>2100</v>
      </c>
      <c r="U13" s="708"/>
      <c r="V13" s="668">
        <v>120</v>
      </c>
      <c r="W13" s="730">
        <f>(((K13*V13)-S13)/(K13*V13))</f>
        <v>0.62365591397849462</v>
      </c>
    </row>
    <row r="14" spans="1:23" s="638" customFormat="1" ht="18" customHeight="1">
      <c r="B14" s="639"/>
      <c r="C14" s="717" t="s">
        <v>2757</v>
      </c>
      <c r="D14" s="662"/>
      <c r="E14" s="663" t="s">
        <v>2756</v>
      </c>
      <c r="F14" s="736"/>
      <c r="G14" s="664"/>
      <c r="H14" s="665"/>
      <c r="I14" s="665"/>
      <c r="J14" s="665"/>
      <c r="K14" s="505"/>
      <c r="L14" s="705"/>
      <c r="M14" s="706"/>
      <c r="N14" s="706">
        <v>45023</v>
      </c>
      <c r="O14" s="707">
        <v>5138</v>
      </c>
      <c r="P14" s="504"/>
      <c r="Q14" s="666"/>
      <c r="U14" s="667"/>
      <c r="V14" s="668">
        <v>120</v>
      </c>
    </row>
    <row r="15" spans="1:23" s="638" customFormat="1" ht="17.25" customHeight="1">
      <c r="B15" s="639" t="s">
        <v>236</v>
      </c>
      <c r="C15" s="717" t="s">
        <v>2757</v>
      </c>
      <c r="D15" s="662"/>
      <c r="E15" s="17">
        <v>3806</v>
      </c>
      <c r="F15" s="739" t="s">
        <v>2758</v>
      </c>
      <c r="G15" s="17" t="s">
        <v>1960</v>
      </c>
      <c r="H15" s="100">
        <v>30</v>
      </c>
      <c r="I15" s="101">
        <v>44</v>
      </c>
      <c r="J15" s="6">
        <f>H15*I15</f>
        <v>1320</v>
      </c>
      <c r="K15" s="33">
        <v>0.46</v>
      </c>
      <c r="L15" s="643">
        <f>K15*J15</f>
        <v>607.20000000000005</v>
      </c>
      <c r="M15" s="672" t="s">
        <v>255</v>
      </c>
      <c r="N15" s="706">
        <v>45023</v>
      </c>
      <c r="O15" s="707">
        <v>5138</v>
      </c>
      <c r="P15" s="673">
        <f>ROUNDUP(S15/V15/VLOOKUP(B15,$C$2:$F$6,3,FALSE),2)</f>
        <v>0.24000000000000002</v>
      </c>
      <c r="Q15" s="674">
        <v>0.24</v>
      </c>
      <c r="R15" s="674">
        <f>Q15*J15</f>
        <v>316.8</v>
      </c>
      <c r="S15" s="722">
        <v>19.829999999999998</v>
      </c>
      <c r="T15" s="84">
        <f>S15*J15</f>
        <v>26175.599999999999</v>
      </c>
      <c r="U15" s="723" t="s">
        <v>2759</v>
      </c>
      <c r="V15" s="668">
        <v>120</v>
      </c>
      <c r="W15" s="730">
        <f>(((K15*V15)-S15)/(K15*V15))</f>
        <v>0.64076086956521749</v>
      </c>
    </row>
    <row r="16" spans="1:23" s="638" customFormat="1" ht="15.75">
      <c r="B16" s="639"/>
      <c r="C16" s="717" t="s">
        <v>2757</v>
      </c>
      <c r="D16" s="662"/>
      <c r="E16" s="675"/>
      <c r="F16" s="737"/>
      <c r="G16" s="158" t="s">
        <v>250</v>
      </c>
      <c r="H16" s="671"/>
      <c r="I16" s="676"/>
      <c r="J16" s="677">
        <v>2</v>
      </c>
      <c r="K16" s="643">
        <v>12</v>
      </c>
      <c r="L16" s="643">
        <f>K16*J16</f>
        <v>24</v>
      </c>
      <c r="M16" s="678"/>
      <c r="N16" s="706">
        <v>45023</v>
      </c>
      <c r="O16" s="707">
        <v>5138</v>
      </c>
      <c r="P16" s="504"/>
      <c r="Q16" s="674">
        <v>12</v>
      </c>
      <c r="R16" s="674">
        <f>Q16*J16</f>
        <v>24</v>
      </c>
      <c r="S16" s="638">
        <v>500</v>
      </c>
      <c r="T16" s="638">
        <v>500</v>
      </c>
      <c r="U16" s="667"/>
      <c r="V16" s="668">
        <v>120</v>
      </c>
    </row>
    <row r="17" spans="2:23" s="638" customFormat="1" ht="15.75">
      <c r="B17" s="639"/>
      <c r="C17" s="717" t="s">
        <v>2735</v>
      </c>
      <c r="D17" s="662"/>
      <c r="E17" s="675"/>
      <c r="F17" s="737"/>
      <c r="G17" s="158" t="s">
        <v>2755</v>
      </c>
      <c r="H17" s="671"/>
      <c r="I17" s="676"/>
      <c r="J17" s="721">
        <v>0.15</v>
      </c>
      <c r="K17" s="674">
        <f>-ROUND((L13+L15)*J17,2)</f>
        <v>-98.06</v>
      </c>
      <c r="L17" s="674">
        <v>-98.06</v>
      </c>
      <c r="M17" s="678"/>
      <c r="N17" s="706">
        <v>45023</v>
      </c>
      <c r="O17" s="707">
        <v>5138</v>
      </c>
      <c r="P17" s="504"/>
      <c r="Q17" s="674"/>
      <c r="R17" s="674"/>
      <c r="S17" s="718"/>
      <c r="T17" s="718"/>
      <c r="U17" s="667"/>
      <c r="V17" s="668"/>
    </row>
    <row r="18" spans="2:23" s="709" customFormat="1" ht="15.75">
      <c r="B18" s="710"/>
      <c r="C18" s="719"/>
      <c r="D18" s="680"/>
      <c r="E18" s="681"/>
      <c r="F18" s="738"/>
      <c r="G18" s="682" t="s">
        <v>210</v>
      </c>
      <c r="H18" s="683" t="s">
        <v>2754</v>
      </c>
      <c r="I18" s="684"/>
      <c r="J18" s="685"/>
      <c r="K18" s="720">
        <v>75</v>
      </c>
      <c r="L18" s="720">
        <v>75</v>
      </c>
      <c r="M18" s="712"/>
      <c r="N18" s="712">
        <v>45023</v>
      </c>
      <c r="O18" s="713">
        <v>5138</v>
      </c>
      <c r="P18" s="687"/>
      <c r="Q18" s="720">
        <v>75</v>
      </c>
      <c r="R18" s="720">
        <v>75</v>
      </c>
      <c r="S18" s="689">
        <v>8942</v>
      </c>
      <c r="T18" s="689">
        <v>8942</v>
      </c>
      <c r="U18" s="690"/>
      <c r="V18" s="668">
        <v>120</v>
      </c>
    </row>
    <row r="19" spans="2:23" s="638" customFormat="1" ht="18" customHeight="1">
      <c r="B19" s="639"/>
      <c r="C19" s="717" t="s">
        <v>2763</v>
      </c>
      <c r="D19" s="662"/>
      <c r="E19" s="14" t="s">
        <v>2773</v>
      </c>
      <c r="F19" s="736"/>
      <c r="G19" s="664"/>
      <c r="H19" s="665"/>
      <c r="I19" s="665"/>
      <c r="J19" s="665"/>
      <c r="K19" s="505" t="s">
        <v>4</v>
      </c>
      <c r="L19" s="729" t="s">
        <v>2777</v>
      </c>
      <c r="M19" s="706"/>
      <c r="N19" s="706">
        <v>45093</v>
      </c>
      <c r="O19" s="707">
        <v>5313</v>
      </c>
      <c r="P19" s="504"/>
      <c r="Q19" s="666"/>
      <c r="U19" s="667"/>
      <c r="V19" s="668">
        <v>120</v>
      </c>
    </row>
    <row r="20" spans="2:23" s="638" customFormat="1" ht="17.25" customHeight="1">
      <c r="B20" s="639" t="s">
        <v>236</v>
      </c>
      <c r="C20" s="717" t="s">
        <v>2763</v>
      </c>
      <c r="D20" s="662"/>
      <c r="E20" s="17">
        <v>3709</v>
      </c>
      <c r="F20" s="739" t="s">
        <v>2764</v>
      </c>
      <c r="G20" s="17" t="s">
        <v>2765</v>
      </c>
      <c r="H20" s="100">
        <v>30</v>
      </c>
      <c r="I20" s="101">
        <v>3</v>
      </c>
      <c r="J20" s="6">
        <f t="shared" ref="J20:J44" si="0">H20*I20</f>
        <v>90</v>
      </c>
      <c r="K20" s="33">
        <v>40.26</v>
      </c>
      <c r="L20" s="643">
        <f t="shared" ref="L20:L29" si="1">K20*I20</f>
        <v>120.78</v>
      </c>
      <c r="M20" s="672" t="s">
        <v>255</v>
      </c>
      <c r="N20" s="706">
        <v>45093</v>
      </c>
      <c r="O20" s="707">
        <v>5313</v>
      </c>
      <c r="P20" s="673">
        <f t="shared" ref="P20:P29" si="2">ROUNDUP(S20/V20/VLOOKUP(B20,$C$2:$F$6,3,FALSE),2)</f>
        <v>31.64</v>
      </c>
      <c r="Q20" s="674">
        <v>31.64</v>
      </c>
      <c r="R20" s="674">
        <f t="shared" ref="R20:R29" si="3">Q20*I20</f>
        <v>94.92</v>
      </c>
      <c r="S20" s="725">
        <v>2657</v>
      </c>
      <c r="T20" s="84">
        <f t="shared" ref="T20:T29" si="4">S20*I20</f>
        <v>7971</v>
      </c>
      <c r="U20" s="723"/>
      <c r="V20" s="668">
        <v>120</v>
      </c>
      <c r="W20" s="730">
        <f t="shared" ref="W20:W29" si="5">(((K20*V20)-S20)/(K20*V20))</f>
        <v>0.45003311806590496</v>
      </c>
    </row>
    <row r="21" spans="2:23" s="638" customFormat="1" ht="17.25" customHeight="1">
      <c r="B21" s="639" t="s">
        <v>236</v>
      </c>
      <c r="C21" s="717" t="s">
        <v>2763</v>
      </c>
      <c r="D21" s="662"/>
      <c r="E21" s="17">
        <v>3709</v>
      </c>
      <c r="F21" s="739" t="s">
        <v>2766</v>
      </c>
      <c r="G21" s="17" t="s">
        <v>2765</v>
      </c>
      <c r="H21" s="100">
        <v>30</v>
      </c>
      <c r="I21" s="101">
        <v>12</v>
      </c>
      <c r="J21" s="6">
        <f t="shared" si="0"/>
        <v>360</v>
      </c>
      <c r="K21" s="33">
        <v>31.42</v>
      </c>
      <c r="L21" s="643">
        <f t="shared" si="1"/>
        <v>377.04</v>
      </c>
      <c r="M21" s="672" t="s">
        <v>255</v>
      </c>
      <c r="N21" s="706">
        <v>45093</v>
      </c>
      <c r="O21" s="707">
        <v>5313</v>
      </c>
      <c r="P21" s="673">
        <f t="shared" si="2"/>
        <v>24.700000000000003</v>
      </c>
      <c r="Q21" s="674">
        <v>24.7</v>
      </c>
      <c r="R21" s="674">
        <f t="shared" si="3"/>
        <v>296.39999999999998</v>
      </c>
      <c r="S21" s="725">
        <v>2074</v>
      </c>
      <c r="T21" s="84">
        <f t="shared" si="4"/>
        <v>24888</v>
      </c>
      <c r="U21" s="723"/>
      <c r="V21" s="668">
        <v>120</v>
      </c>
      <c r="W21" s="730">
        <f t="shared" si="5"/>
        <v>0.44992573732230001</v>
      </c>
    </row>
    <row r="22" spans="2:23" s="638" customFormat="1" ht="17.25" customHeight="1">
      <c r="B22" s="639" t="s">
        <v>236</v>
      </c>
      <c r="C22" s="717" t="s">
        <v>2763</v>
      </c>
      <c r="D22" s="662"/>
      <c r="E22" s="17">
        <v>3709</v>
      </c>
      <c r="F22" s="740" t="s">
        <v>2767</v>
      </c>
      <c r="G22" s="17" t="s">
        <v>2765</v>
      </c>
      <c r="H22" s="6">
        <v>30</v>
      </c>
      <c r="I22" s="30">
        <v>10</v>
      </c>
      <c r="J22" s="6">
        <f t="shared" si="0"/>
        <v>300</v>
      </c>
      <c r="K22" s="33">
        <v>23.99</v>
      </c>
      <c r="L22" s="643">
        <f t="shared" si="1"/>
        <v>239.89999999999998</v>
      </c>
      <c r="M22" s="672" t="s">
        <v>255</v>
      </c>
      <c r="N22" s="706">
        <v>45093</v>
      </c>
      <c r="O22" s="707">
        <v>5313</v>
      </c>
      <c r="P22" s="673">
        <f t="shared" si="2"/>
        <v>18.850000000000001</v>
      </c>
      <c r="Q22" s="674">
        <v>18.850000000000001</v>
      </c>
      <c r="R22" s="674">
        <f t="shared" si="3"/>
        <v>188.5</v>
      </c>
      <c r="S22" s="725">
        <v>1583</v>
      </c>
      <c r="T22" s="84">
        <f t="shared" si="4"/>
        <v>15830</v>
      </c>
      <c r="U22" s="723"/>
      <c r="V22" s="668">
        <v>120</v>
      </c>
      <c r="W22" s="730">
        <f t="shared" si="5"/>
        <v>0.4501181047658746</v>
      </c>
    </row>
    <row r="23" spans="2:23" s="638" customFormat="1" ht="17.25" customHeight="1">
      <c r="B23" s="639" t="s">
        <v>236</v>
      </c>
      <c r="C23" s="717" t="s">
        <v>2763</v>
      </c>
      <c r="D23" s="662"/>
      <c r="E23" s="17">
        <v>3709</v>
      </c>
      <c r="F23" s="739" t="s">
        <v>2758</v>
      </c>
      <c r="G23" s="17" t="s">
        <v>2765</v>
      </c>
      <c r="H23" s="100">
        <v>30</v>
      </c>
      <c r="I23" s="101">
        <v>9</v>
      </c>
      <c r="J23" s="6">
        <f t="shared" si="0"/>
        <v>270</v>
      </c>
      <c r="K23" s="33">
        <v>18.82</v>
      </c>
      <c r="L23" s="643">
        <f t="shared" si="1"/>
        <v>169.38</v>
      </c>
      <c r="M23" s="672" t="s">
        <v>255</v>
      </c>
      <c r="N23" s="706">
        <v>45093</v>
      </c>
      <c r="O23" s="707">
        <v>5313</v>
      </c>
      <c r="P23" s="673">
        <f t="shared" si="2"/>
        <v>14.79</v>
      </c>
      <c r="Q23" s="674">
        <v>14.79</v>
      </c>
      <c r="R23" s="674">
        <f t="shared" si="3"/>
        <v>133.10999999999999</v>
      </c>
      <c r="S23" s="725">
        <v>1242</v>
      </c>
      <c r="T23" s="84">
        <f t="shared" si="4"/>
        <v>11178</v>
      </c>
      <c r="U23" s="723"/>
      <c r="V23" s="668">
        <v>120</v>
      </c>
      <c r="W23" s="730">
        <f t="shared" si="5"/>
        <v>0.45005313496280552</v>
      </c>
    </row>
    <row r="24" spans="2:23" s="638" customFormat="1" ht="17.25" customHeight="1">
      <c r="B24" s="639" t="s">
        <v>236</v>
      </c>
      <c r="C24" s="717" t="s">
        <v>2763</v>
      </c>
      <c r="D24" s="662"/>
      <c r="E24" s="17">
        <v>3709</v>
      </c>
      <c r="F24" s="739" t="s">
        <v>2768</v>
      </c>
      <c r="G24" s="17" t="s">
        <v>2765</v>
      </c>
      <c r="H24" s="100">
        <v>30</v>
      </c>
      <c r="I24" s="101">
        <v>7</v>
      </c>
      <c r="J24" s="6">
        <f t="shared" si="0"/>
        <v>210</v>
      </c>
      <c r="K24" s="33">
        <v>13.65</v>
      </c>
      <c r="L24" s="643">
        <f t="shared" si="1"/>
        <v>95.55</v>
      </c>
      <c r="M24" s="672" t="s">
        <v>255</v>
      </c>
      <c r="N24" s="706">
        <v>45093</v>
      </c>
      <c r="O24" s="707">
        <v>5313</v>
      </c>
      <c r="P24" s="673">
        <f t="shared" si="2"/>
        <v>10.73</v>
      </c>
      <c r="Q24" s="674">
        <v>10.73</v>
      </c>
      <c r="R24" s="674">
        <f t="shared" si="3"/>
        <v>75.11</v>
      </c>
      <c r="S24" s="725">
        <v>901</v>
      </c>
      <c r="T24" s="84">
        <f t="shared" si="4"/>
        <v>6307</v>
      </c>
      <c r="U24" s="723"/>
      <c r="V24" s="668">
        <v>120</v>
      </c>
      <c r="W24" s="730">
        <f t="shared" si="5"/>
        <v>0.44993894993894995</v>
      </c>
    </row>
    <row r="25" spans="2:23" s="638" customFormat="1" ht="17.25" customHeight="1">
      <c r="B25" s="639" t="s">
        <v>236</v>
      </c>
      <c r="C25" s="717" t="s">
        <v>2763</v>
      </c>
      <c r="D25" s="662"/>
      <c r="E25" s="17">
        <v>3709</v>
      </c>
      <c r="F25" s="739" t="s">
        <v>2769</v>
      </c>
      <c r="G25" s="17" t="s">
        <v>2765</v>
      </c>
      <c r="H25" s="6">
        <v>30</v>
      </c>
      <c r="I25" s="30">
        <v>5</v>
      </c>
      <c r="J25" s="6">
        <f t="shared" si="0"/>
        <v>150</v>
      </c>
      <c r="K25" s="33">
        <v>11.99</v>
      </c>
      <c r="L25" s="643">
        <f t="shared" si="1"/>
        <v>59.95</v>
      </c>
      <c r="M25" s="672" t="s">
        <v>255</v>
      </c>
      <c r="N25" s="706">
        <v>45093</v>
      </c>
      <c r="O25" s="707">
        <v>5313</v>
      </c>
      <c r="P25" s="673">
        <f t="shared" si="2"/>
        <v>9.42</v>
      </c>
      <c r="Q25" s="674">
        <v>9.42</v>
      </c>
      <c r="R25" s="674">
        <f t="shared" si="3"/>
        <v>47.1</v>
      </c>
      <c r="S25" s="725">
        <v>791</v>
      </c>
      <c r="T25" s="84">
        <f t="shared" si="4"/>
        <v>3955</v>
      </c>
      <c r="U25" s="723"/>
      <c r="V25" s="668">
        <v>120</v>
      </c>
      <c r="W25" s="730">
        <f t="shared" si="5"/>
        <v>0.45023630803447318</v>
      </c>
    </row>
    <row r="26" spans="2:23" s="638" customFormat="1" ht="17.25" customHeight="1">
      <c r="B26" s="639" t="s">
        <v>236</v>
      </c>
      <c r="C26" s="717" t="s">
        <v>2763</v>
      </c>
      <c r="D26" s="662"/>
      <c r="E26" s="17">
        <v>3709</v>
      </c>
      <c r="F26" s="739" t="s">
        <v>2770</v>
      </c>
      <c r="G26" s="31" t="s">
        <v>2765</v>
      </c>
      <c r="H26" s="6">
        <v>30</v>
      </c>
      <c r="I26" s="101">
        <v>6</v>
      </c>
      <c r="J26" s="6">
        <f t="shared" si="0"/>
        <v>180</v>
      </c>
      <c r="K26" s="33">
        <v>11.38</v>
      </c>
      <c r="L26" s="643">
        <f t="shared" si="1"/>
        <v>68.28</v>
      </c>
      <c r="M26" s="672" t="s">
        <v>255</v>
      </c>
      <c r="N26" s="706">
        <v>45093</v>
      </c>
      <c r="O26" s="707">
        <v>5313</v>
      </c>
      <c r="P26" s="673">
        <f t="shared" si="2"/>
        <v>8.9499999999999993</v>
      </c>
      <c r="Q26" s="674">
        <v>8.9499999999999993</v>
      </c>
      <c r="R26" s="674">
        <f t="shared" si="3"/>
        <v>53.699999999999996</v>
      </c>
      <c r="S26" s="725">
        <v>751</v>
      </c>
      <c r="T26" s="84">
        <f t="shared" si="4"/>
        <v>4506</v>
      </c>
      <c r="U26" s="723"/>
      <c r="V26" s="668">
        <v>120</v>
      </c>
      <c r="W26" s="730">
        <f t="shared" si="5"/>
        <v>0.450058582308143</v>
      </c>
    </row>
    <row r="27" spans="2:23" s="638" customFormat="1" ht="17.25" customHeight="1">
      <c r="B27" s="639" t="s">
        <v>236</v>
      </c>
      <c r="C27" s="717" t="s">
        <v>2763</v>
      </c>
      <c r="D27" s="662"/>
      <c r="E27" s="17">
        <v>3709</v>
      </c>
      <c r="F27" s="740" t="s">
        <v>2767</v>
      </c>
      <c r="G27" s="17" t="s">
        <v>2771</v>
      </c>
      <c r="H27" s="6">
        <v>30</v>
      </c>
      <c r="I27" s="30">
        <v>2</v>
      </c>
      <c r="J27" s="6">
        <f t="shared" si="0"/>
        <v>60</v>
      </c>
      <c r="K27" s="33">
        <v>23.99</v>
      </c>
      <c r="L27" s="643">
        <f t="shared" si="1"/>
        <v>47.98</v>
      </c>
      <c r="M27" s="672" t="s">
        <v>255</v>
      </c>
      <c r="N27" s="706">
        <v>45093</v>
      </c>
      <c r="O27" s="707">
        <v>5313</v>
      </c>
      <c r="P27" s="673">
        <f t="shared" si="2"/>
        <v>18.850000000000001</v>
      </c>
      <c r="Q27" s="674">
        <v>18.850000000000001</v>
      </c>
      <c r="R27" s="674">
        <f t="shared" si="3"/>
        <v>37.700000000000003</v>
      </c>
      <c r="S27" s="725">
        <v>1583</v>
      </c>
      <c r="T27" s="84">
        <f t="shared" si="4"/>
        <v>3166</v>
      </c>
      <c r="U27" s="723"/>
      <c r="V27" s="668">
        <v>120</v>
      </c>
      <c r="W27" s="730">
        <f t="shared" si="5"/>
        <v>0.4501181047658746</v>
      </c>
    </row>
    <row r="28" spans="2:23" s="638" customFormat="1" ht="17.25" customHeight="1">
      <c r="B28" s="639" t="s">
        <v>236</v>
      </c>
      <c r="C28" s="717" t="s">
        <v>2763</v>
      </c>
      <c r="D28" s="662"/>
      <c r="E28" s="17">
        <v>3709</v>
      </c>
      <c r="F28" s="739" t="s">
        <v>2758</v>
      </c>
      <c r="G28" s="31" t="s">
        <v>2771</v>
      </c>
      <c r="H28" s="6">
        <v>30</v>
      </c>
      <c r="I28" s="101">
        <v>6</v>
      </c>
      <c r="J28" s="6">
        <f t="shared" si="0"/>
        <v>180</v>
      </c>
      <c r="K28" s="33">
        <v>18.82</v>
      </c>
      <c r="L28" s="643">
        <f t="shared" si="1"/>
        <v>112.92</v>
      </c>
      <c r="M28" s="672" t="s">
        <v>255</v>
      </c>
      <c r="N28" s="706">
        <v>45093</v>
      </c>
      <c r="O28" s="707">
        <v>5313</v>
      </c>
      <c r="P28" s="673">
        <f t="shared" si="2"/>
        <v>14.79</v>
      </c>
      <c r="Q28" s="674">
        <v>14.79</v>
      </c>
      <c r="R28" s="674">
        <f t="shared" si="3"/>
        <v>88.74</v>
      </c>
      <c r="S28" s="725">
        <v>1242</v>
      </c>
      <c r="T28" s="84">
        <f t="shared" si="4"/>
        <v>7452</v>
      </c>
      <c r="U28" s="723"/>
      <c r="V28" s="668">
        <v>120</v>
      </c>
      <c r="W28" s="730">
        <f t="shared" si="5"/>
        <v>0.45005313496280552</v>
      </c>
    </row>
    <row r="29" spans="2:23" s="638" customFormat="1" ht="17.25" customHeight="1">
      <c r="B29" s="639" t="s">
        <v>236</v>
      </c>
      <c r="C29" s="717" t="s">
        <v>2763</v>
      </c>
      <c r="D29" s="662"/>
      <c r="E29" s="17">
        <v>3709</v>
      </c>
      <c r="F29" s="739" t="s">
        <v>2768</v>
      </c>
      <c r="G29" s="17" t="s">
        <v>2771</v>
      </c>
      <c r="H29" s="100">
        <v>30</v>
      </c>
      <c r="I29" s="101">
        <v>4</v>
      </c>
      <c r="J29" s="6">
        <f t="shared" si="0"/>
        <v>120</v>
      </c>
      <c r="K29" s="33">
        <v>13.65</v>
      </c>
      <c r="L29" s="643">
        <f t="shared" si="1"/>
        <v>54.6</v>
      </c>
      <c r="M29" s="672" t="s">
        <v>255</v>
      </c>
      <c r="N29" s="706">
        <v>45093</v>
      </c>
      <c r="O29" s="707">
        <v>5313</v>
      </c>
      <c r="P29" s="673">
        <f t="shared" si="2"/>
        <v>10.73</v>
      </c>
      <c r="Q29" s="674">
        <v>10.73</v>
      </c>
      <c r="R29" s="674">
        <f t="shared" si="3"/>
        <v>42.92</v>
      </c>
      <c r="S29" s="725">
        <v>901</v>
      </c>
      <c r="T29" s="84">
        <f t="shared" si="4"/>
        <v>3604</v>
      </c>
      <c r="U29" s="723"/>
      <c r="V29" s="668">
        <v>120</v>
      </c>
      <c r="W29" s="730">
        <f t="shared" si="5"/>
        <v>0.44993894993894995</v>
      </c>
    </row>
    <row r="30" spans="2:23" s="638" customFormat="1" ht="17.25" customHeight="1">
      <c r="B30" s="639"/>
      <c r="C30" s="717" t="s">
        <v>2763</v>
      </c>
      <c r="D30" s="662"/>
      <c r="E30" s="14" t="s">
        <v>2774</v>
      </c>
      <c r="F30" s="739"/>
      <c r="G30" s="17"/>
      <c r="H30" s="100"/>
      <c r="I30" s="101"/>
      <c r="J30" s="6"/>
      <c r="K30" s="33"/>
      <c r="L30" s="643"/>
      <c r="M30" s="672"/>
      <c r="N30" s="706">
        <v>45093</v>
      </c>
      <c r="O30" s="707">
        <v>5313</v>
      </c>
      <c r="P30" s="673"/>
      <c r="Q30" s="674"/>
      <c r="R30" s="674"/>
      <c r="S30" s="728" t="s">
        <v>2776</v>
      </c>
      <c r="T30" s="84"/>
      <c r="U30" s="728" t="s">
        <v>2775</v>
      </c>
      <c r="V30" s="668"/>
    </row>
    <row r="31" spans="2:23" s="638" customFormat="1" ht="17.25" customHeight="1">
      <c r="B31" s="639" t="s">
        <v>236</v>
      </c>
      <c r="C31" s="717" t="s">
        <v>2763</v>
      </c>
      <c r="D31" s="662"/>
      <c r="E31" s="17">
        <v>3705</v>
      </c>
      <c r="F31" s="739" t="s">
        <v>2764</v>
      </c>
      <c r="G31" s="17" t="s">
        <v>2772</v>
      </c>
      <c r="H31" s="100">
        <v>30</v>
      </c>
      <c r="I31" s="101">
        <v>7</v>
      </c>
      <c r="J31" s="6">
        <f t="shared" si="0"/>
        <v>210</v>
      </c>
      <c r="K31" s="33">
        <v>23.9</v>
      </c>
      <c r="L31" s="643">
        <f t="shared" ref="L31:L44" si="6">K31*I31</f>
        <v>167.29999999999998</v>
      </c>
      <c r="M31" s="672" t="s">
        <v>255</v>
      </c>
      <c r="N31" s="706">
        <v>45093</v>
      </c>
      <c r="O31" s="707">
        <v>5313</v>
      </c>
      <c r="P31" s="673">
        <f t="shared" ref="P31:P44" si="7">ROUNDUP(S31/V31/VLOOKUP(B31,$C$2:$F$6,3,FALSE),2)</f>
        <v>16.09</v>
      </c>
      <c r="Q31" s="674">
        <v>16.09</v>
      </c>
      <c r="R31" s="674">
        <f t="shared" ref="R31:R44" si="8">Q31*I31</f>
        <v>112.63</v>
      </c>
      <c r="S31" s="725">
        <v>1351</v>
      </c>
      <c r="T31" s="84">
        <f t="shared" ref="T31:T45" si="9">S31*I31</f>
        <v>9457</v>
      </c>
      <c r="U31" s="726">
        <v>1577</v>
      </c>
      <c r="V31" s="668">
        <v>120</v>
      </c>
      <c r="W31" s="730">
        <f t="shared" ref="W31:W44" si="10">(((K31*V31)-S31)/(K31*V31))</f>
        <v>0.52894002789400274</v>
      </c>
    </row>
    <row r="32" spans="2:23" s="638" customFormat="1" ht="17.25" customHeight="1">
      <c r="B32" s="639" t="s">
        <v>236</v>
      </c>
      <c r="C32" s="717" t="s">
        <v>2763</v>
      </c>
      <c r="D32" s="662"/>
      <c r="E32" s="17">
        <v>3705</v>
      </c>
      <c r="F32" s="739" t="s">
        <v>2766</v>
      </c>
      <c r="G32" s="17" t="s">
        <v>2772</v>
      </c>
      <c r="H32" s="100">
        <v>30</v>
      </c>
      <c r="I32" s="101">
        <v>4</v>
      </c>
      <c r="J32" s="6">
        <f t="shared" si="0"/>
        <v>120</v>
      </c>
      <c r="K32" s="33">
        <v>20.88</v>
      </c>
      <c r="L32" s="643">
        <f t="shared" si="6"/>
        <v>83.52</v>
      </c>
      <c r="M32" s="672" t="s">
        <v>255</v>
      </c>
      <c r="N32" s="706">
        <v>45093</v>
      </c>
      <c r="O32" s="707">
        <v>5313</v>
      </c>
      <c r="P32" s="673">
        <f t="shared" si="7"/>
        <v>14.04</v>
      </c>
      <c r="Q32" s="674">
        <v>14.04</v>
      </c>
      <c r="R32" s="674">
        <f t="shared" si="8"/>
        <v>56.16</v>
      </c>
      <c r="S32" s="725">
        <v>1179</v>
      </c>
      <c r="T32" s="84">
        <f t="shared" si="9"/>
        <v>4716</v>
      </c>
      <c r="U32" s="726">
        <v>1378</v>
      </c>
      <c r="V32" s="668">
        <v>120</v>
      </c>
      <c r="W32" s="730">
        <f t="shared" si="10"/>
        <v>0.52945402298850575</v>
      </c>
    </row>
    <row r="33" spans="2:23" s="638" customFormat="1" ht="17.25" customHeight="1">
      <c r="B33" s="639" t="s">
        <v>236</v>
      </c>
      <c r="C33" s="717" t="s">
        <v>2763</v>
      </c>
      <c r="D33" s="662"/>
      <c r="E33" s="17">
        <v>3705</v>
      </c>
      <c r="F33" s="739" t="s">
        <v>2767</v>
      </c>
      <c r="G33" s="17" t="s">
        <v>2772</v>
      </c>
      <c r="H33" s="100">
        <v>30</v>
      </c>
      <c r="I33" s="101">
        <v>12</v>
      </c>
      <c r="J33" s="6">
        <f t="shared" si="0"/>
        <v>360</v>
      </c>
      <c r="K33" s="33">
        <v>15.94</v>
      </c>
      <c r="L33" s="643">
        <f t="shared" si="6"/>
        <v>191.28</v>
      </c>
      <c r="M33" s="672" t="s">
        <v>255</v>
      </c>
      <c r="N33" s="706">
        <v>45093</v>
      </c>
      <c r="O33" s="707">
        <v>5313</v>
      </c>
      <c r="P33" s="673">
        <f t="shared" si="7"/>
        <v>10.73</v>
      </c>
      <c r="Q33" s="674">
        <v>10.73</v>
      </c>
      <c r="R33" s="674">
        <f t="shared" si="8"/>
        <v>128.76</v>
      </c>
      <c r="S33" s="725">
        <v>901</v>
      </c>
      <c r="T33" s="84">
        <f t="shared" si="9"/>
        <v>10812</v>
      </c>
      <c r="U33" s="726">
        <v>1052</v>
      </c>
      <c r="V33" s="668">
        <v>120</v>
      </c>
      <c r="W33" s="730">
        <f t="shared" si="10"/>
        <v>0.52896277708071937</v>
      </c>
    </row>
    <row r="34" spans="2:23" s="638" customFormat="1" ht="17.25" customHeight="1">
      <c r="B34" s="639" t="s">
        <v>236</v>
      </c>
      <c r="C34" s="717" t="s">
        <v>2763</v>
      </c>
      <c r="D34" s="662"/>
      <c r="E34" s="17">
        <v>3705</v>
      </c>
      <c r="F34" s="739" t="s">
        <v>2758</v>
      </c>
      <c r="G34" s="17" t="s">
        <v>2772</v>
      </c>
      <c r="H34" s="100">
        <v>30</v>
      </c>
      <c r="I34" s="101">
        <v>12</v>
      </c>
      <c r="J34" s="6">
        <f t="shared" si="0"/>
        <v>360</v>
      </c>
      <c r="K34" s="33">
        <v>12.5</v>
      </c>
      <c r="L34" s="643">
        <f t="shared" si="6"/>
        <v>150</v>
      </c>
      <c r="M34" s="672" t="s">
        <v>255</v>
      </c>
      <c r="N34" s="706">
        <v>45093</v>
      </c>
      <c r="O34" s="707">
        <v>5313</v>
      </c>
      <c r="P34" s="673">
        <f t="shared" si="7"/>
        <v>8.42</v>
      </c>
      <c r="Q34" s="674">
        <v>8.42</v>
      </c>
      <c r="R34" s="674">
        <f t="shared" si="8"/>
        <v>101.03999999999999</v>
      </c>
      <c r="S34" s="725">
        <v>707</v>
      </c>
      <c r="T34" s="84">
        <f t="shared" si="9"/>
        <v>8484</v>
      </c>
      <c r="U34" s="726">
        <v>825</v>
      </c>
      <c r="V34" s="668">
        <v>120</v>
      </c>
      <c r="W34" s="730">
        <f t="shared" si="10"/>
        <v>0.52866666666666662</v>
      </c>
    </row>
    <row r="35" spans="2:23" s="638" customFormat="1" ht="17.25" customHeight="1">
      <c r="B35" s="639" t="s">
        <v>236</v>
      </c>
      <c r="C35" s="717" t="s">
        <v>2763</v>
      </c>
      <c r="D35" s="662"/>
      <c r="E35" s="17">
        <v>3705</v>
      </c>
      <c r="F35" s="740" t="s">
        <v>2768</v>
      </c>
      <c r="G35" s="17" t="s">
        <v>2772</v>
      </c>
      <c r="H35" s="6">
        <v>30</v>
      </c>
      <c r="I35" s="30">
        <v>8</v>
      </c>
      <c r="J35" s="6">
        <f t="shared" si="0"/>
        <v>240</v>
      </c>
      <c r="K35" s="33">
        <v>9.09</v>
      </c>
      <c r="L35" s="643">
        <f t="shared" si="6"/>
        <v>72.72</v>
      </c>
      <c r="M35" s="672" t="s">
        <v>255</v>
      </c>
      <c r="N35" s="706">
        <v>45093</v>
      </c>
      <c r="O35" s="707">
        <v>5313</v>
      </c>
      <c r="P35" s="673">
        <f t="shared" si="7"/>
        <v>6.14</v>
      </c>
      <c r="Q35" s="674">
        <v>6.14</v>
      </c>
      <c r="R35" s="674">
        <f t="shared" si="8"/>
        <v>49.12</v>
      </c>
      <c r="S35" s="725">
        <v>515</v>
      </c>
      <c r="T35" s="84">
        <f t="shared" si="9"/>
        <v>4120</v>
      </c>
      <c r="U35" s="726">
        <v>600</v>
      </c>
      <c r="V35" s="668">
        <v>120</v>
      </c>
      <c r="W35" s="730">
        <f t="shared" si="10"/>
        <v>0.52786945361202786</v>
      </c>
    </row>
    <row r="36" spans="2:23" s="638" customFormat="1" ht="17.25" customHeight="1">
      <c r="B36" s="639" t="s">
        <v>236</v>
      </c>
      <c r="C36" s="717" t="s">
        <v>2763</v>
      </c>
      <c r="D36" s="662"/>
      <c r="E36" s="17">
        <v>3705</v>
      </c>
      <c r="F36" s="739" t="s">
        <v>2769</v>
      </c>
      <c r="G36" s="17" t="s">
        <v>2772</v>
      </c>
      <c r="H36" s="100">
        <v>30</v>
      </c>
      <c r="I36" s="101">
        <v>8</v>
      </c>
      <c r="J36" s="6">
        <f t="shared" si="0"/>
        <v>240</v>
      </c>
      <c r="K36" s="33">
        <v>7.99</v>
      </c>
      <c r="L36" s="643">
        <f t="shared" si="6"/>
        <v>63.92</v>
      </c>
      <c r="M36" s="672" t="s">
        <v>255</v>
      </c>
      <c r="N36" s="706">
        <v>45093</v>
      </c>
      <c r="O36" s="707">
        <v>5313</v>
      </c>
      <c r="P36" s="673">
        <f t="shared" si="7"/>
        <v>5.46</v>
      </c>
      <c r="Q36" s="674">
        <v>5.46</v>
      </c>
      <c r="R36" s="674">
        <f t="shared" si="8"/>
        <v>43.68</v>
      </c>
      <c r="S36" s="725">
        <v>458</v>
      </c>
      <c r="T36" s="84">
        <f t="shared" si="9"/>
        <v>3664</v>
      </c>
      <c r="U36" s="726">
        <v>527</v>
      </c>
      <c r="V36" s="668">
        <v>120</v>
      </c>
      <c r="W36" s="730">
        <f t="shared" si="10"/>
        <v>0.52231956612432207</v>
      </c>
    </row>
    <row r="37" spans="2:23" s="638" customFormat="1" ht="17.25" customHeight="1">
      <c r="B37" s="639" t="s">
        <v>236</v>
      </c>
      <c r="C37" s="717" t="s">
        <v>2763</v>
      </c>
      <c r="D37" s="662"/>
      <c r="E37" s="17">
        <v>3705</v>
      </c>
      <c r="F37" s="739" t="s">
        <v>2770</v>
      </c>
      <c r="G37" s="17" t="s">
        <v>2772</v>
      </c>
      <c r="H37" s="100">
        <v>30</v>
      </c>
      <c r="I37" s="101">
        <v>6</v>
      </c>
      <c r="J37" s="6">
        <f t="shared" si="0"/>
        <v>180</v>
      </c>
      <c r="K37" s="33">
        <v>7.56</v>
      </c>
      <c r="L37" s="643">
        <f t="shared" si="6"/>
        <v>45.36</v>
      </c>
      <c r="M37" s="672" t="s">
        <v>255</v>
      </c>
      <c r="N37" s="706">
        <v>45093</v>
      </c>
      <c r="O37" s="707">
        <v>5313</v>
      </c>
      <c r="P37" s="673">
        <f t="shared" si="7"/>
        <v>5.1099999999999994</v>
      </c>
      <c r="Q37" s="674">
        <v>5.1100000000000003</v>
      </c>
      <c r="R37" s="674">
        <f t="shared" si="8"/>
        <v>30.660000000000004</v>
      </c>
      <c r="S37" s="725">
        <v>429</v>
      </c>
      <c r="T37" s="84">
        <f t="shared" si="9"/>
        <v>2574</v>
      </c>
      <c r="U37" s="726">
        <v>499</v>
      </c>
      <c r="V37" s="668">
        <v>120</v>
      </c>
      <c r="W37" s="730">
        <f t="shared" si="10"/>
        <v>0.52711640211640209</v>
      </c>
    </row>
    <row r="38" spans="2:23" s="638" customFormat="1" ht="17.25" customHeight="1">
      <c r="B38" s="639" t="s">
        <v>236</v>
      </c>
      <c r="C38" s="717" t="s">
        <v>2763</v>
      </c>
      <c r="D38" s="662"/>
      <c r="E38" s="17">
        <v>3705</v>
      </c>
      <c r="F38" s="740" t="s">
        <v>2764</v>
      </c>
      <c r="G38" s="17" t="s">
        <v>2771</v>
      </c>
      <c r="H38" s="6">
        <v>30</v>
      </c>
      <c r="I38" s="30">
        <v>12</v>
      </c>
      <c r="J38" s="6">
        <f t="shared" si="0"/>
        <v>360</v>
      </c>
      <c r="K38" s="33">
        <v>23.9</v>
      </c>
      <c r="L38" s="643">
        <f t="shared" si="6"/>
        <v>286.79999999999995</v>
      </c>
      <c r="M38" s="672" t="s">
        <v>255</v>
      </c>
      <c r="N38" s="706">
        <v>45093</v>
      </c>
      <c r="O38" s="707">
        <v>5313</v>
      </c>
      <c r="P38" s="673">
        <f t="shared" si="7"/>
        <v>16.09</v>
      </c>
      <c r="Q38" s="674">
        <v>16.09</v>
      </c>
      <c r="R38" s="674">
        <f t="shared" si="8"/>
        <v>193.07999999999998</v>
      </c>
      <c r="S38" s="725">
        <v>1351</v>
      </c>
      <c r="T38" s="84">
        <f t="shared" si="9"/>
        <v>16212</v>
      </c>
      <c r="U38" s="726">
        <v>1577</v>
      </c>
      <c r="V38" s="668">
        <v>120</v>
      </c>
      <c r="W38" s="730">
        <f t="shared" si="10"/>
        <v>0.52894002789400274</v>
      </c>
    </row>
    <row r="39" spans="2:23" s="638" customFormat="1" ht="17.25" customHeight="1">
      <c r="B39" s="639" t="s">
        <v>236</v>
      </c>
      <c r="C39" s="717" t="s">
        <v>2763</v>
      </c>
      <c r="D39" s="662"/>
      <c r="E39" s="17">
        <v>3705</v>
      </c>
      <c r="F39" s="739" t="s">
        <v>2766</v>
      </c>
      <c r="G39" s="31" t="s">
        <v>2771</v>
      </c>
      <c r="H39" s="6">
        <v>30</v>
      </c>
      <c r="I39" s="101">
        <v>10</v>
      </c>
      <c r="J39" s="6">
        <f t="shared" si="0"/>
        <v>300</v>
      </c>
      <c r="K39" s="33">
        <v>20.88</v>
      </c>
      <c r="L39" s="643">
        <f t="shared" si="6"/>
        <v>208.79999999999998</v>
      </c>
      <c r="M39" s="672" t="s">
        <v>255</v>
      </c>
      <c r="N39" s="706">
        <v>45093</v>
      </c>
      <c r="O39" s="707">
        <v>5313</v>
      </c>
      <c r="P39" s="673">
        <f t="shared" si="7"/>
        <v>14.04</v>
      </c>
      <c r="Q39" s="674">
        <v>14.04</v>
      </c>
      <c r="R39" s="674">
        <f t="shared" si="8"/>
        <v>140.39999999999998</v>
      </c>
      <c r="S39" s="725">
        <v>1179</v>
      </c>
      <c r="T39" s="84">
        <f t="shared" si="9"/>
        <v>11790</v>
      </c>
      <c r="U39" s="726">
        <v>1378</v>
      </c>
      <c r="V39" s="668">
        <v>120</v>
      </c>
      <c r="W39" s="730">
        <f t="shared" si="10"/>
        <v>0.52945402298850575</v>
      </c>
    </row>
    <row r="40" spans="2:23" s="638" customFormat="1" ht="17.25" customHeight="1">
      <c r="B40" s="639" t="s">
        <v>236</v>
      </c>
      <c r="C40" s="717" t="s">
        <v>2763</v>
      </c>
      <c r="D40" s="662"/>
      <c r="E40" s="17">
        <v>3705</v>
      </c>
      <c r="F40" s="740" t="s">
        <v>2767</v>
      </c>
      <c r="G40" s="17" t="s">
        <v>2771</v>
      </c>
      <c r="H40" s="6">
        <v>30</v>
      </c>
      <c r="I40" s="30">
        <v>12</v>
      </c>
      <c r="J40" s="6">
        <f t="shared" si="0"/>
        <v>360</v>
      </c>
      <c r="K40" s="33">
        <v>15.94</v>
      </c>
      <c r="L40" s="643">
        <f t="shared" si="6"/>
        <v>191.28</v>
      </c>
      <c r="M40" s="672" t="s">
        <v>255</v>
      </c>
      <c r="N40" s="706">
        <v>45093</v>
      </c>
      <c r="O40" s="707">
        <v>5313</v>
      </c>
      <c r="P40" s="673">
        <f t="shared" si="7"/>
        <v>10.73</v>
      </c>
      <c r="Q40" s="674">
        <v>10.73</v>
      </c>
      <c r="R40" s="674">
        <f t="shared" si="8"/>
        <v>128.76</v>
      </c>
      <c r="S40" s="725">
        <v>901</v>
      </c>
      <c r="T40" s="84">
        <f t="shared" si="9"/>
        <v>10812</v>
      </c>
      <c r="U40" s="726">
        <v>1052</v>
      </c>
      <c r="V40" s="668">
        <v>120</v>
      </c>
      <c r="W40" s="730">
        <f t="shared" si="10"/>
        <v>0.52896277708071937</v>
      </c>
    </row>
    <row r="41" spans="2:23" s="638" customFormat="1" ht="17.25" customHeight="1">
      <c r="B41" s="639" t="s">
        <v>236</v>
      </c>
      <c r="C41" s="717" t="s">
        <v>2763</v>
      </c>
      <c r="D41" s="662"/>
      <c r="E41" s="17">
        <v>3705</v>
      </c>
      <c r="F41" s="739" t="s">
        <v>2758</v>
      </c>
      <c r="G41" s="31" t="s">
        <v>2771</v>
      </c>
      <c r="H41" s="6">
        <v>30</v>
      </c>
      <c r="I41" s="101">
        <v>12</v>
      </c>
      <c r="J41" s="6">
        <f t="shared" si="0"/>
        <v>360</v>
      </c>
      <c r="K41" s="33">
        <v>12.5</v>
      </c>
      <c r="L41" s="643">
        <f t="shared" si="6"/>
        <v>150</v>
      </c>
      <c r="M41" s="672" t="s">
        <v>255</v>
      </c>
      <c r="N41" s="706">
        <v>45093</v>
      </c>
      <c r="O41" s="707">
        <v>5313</v>
      </c>
      <c r="P41" s="673">
        <f t="shared" si="7"/>
        <v>8.42</v>
      </c>
      <c r="Q41" s="674">
        <v>8.42</v>
      </c>
      <c r="R41" s="674">
        <f t="shared" si="8"/>
        <v>101.03999999999999</v>
      </c>
      <c r="S41" s="725">
        <v>707</v>
      </c>
      <c r="T41" s="84">
        <f t="shared" si="9"/>
        <v>8484</v>
      </c>
      <c r="U41" s="726">
        <v>825</v>
      </c>
      <c r="V41" s="668">
        <v>120</v>
      </c>
      <c r="W41" s="730">
        <f t="shared" si="10"/>
        <v>0.52866666666666662</v>
      </c>
    </row>
    <row r="42" spans="2:23" s="638" customFormat="1" ht="17.25" customHeight="1">
      <c r="B42" s="639" t="s">
        <v>236</v>
      </c>
      <c r="C42" s="717" t="s">
        <v>2763</v>
      </c>
      <c r="D42" s="662"/>
      <c r="E42" s="17">
        <v>3705</v>
      </c>
      <c r="F42" s="739" t="s">
        <v>2768</v>
      </c>
      <c r="G42" s="17" t="s">
        <v>2771</v>
      </c>
      <c r="H42" s="100">
        <v>30</v>
      </c>
      <c r="I42" s="101">
        <v>12</v>
      </c>
      <c r="J42" s="6">
        <f t="shared" si="0"/>
        <v>360</v>
      </c>
      <c r="K42" s="33">
        <v>9.09</v>
      </c>
      <c r="L42" s="643">
        <f t="shared" si="6"/>
        <v>109.08</v>
      </c>
      <c r="M42" s="672" t="s">
        <v>255</v>
      </c>
      <c r="N42" s="706">
        <v>45093</v>
      </c>
      <c r="O42" s="707">
        <v>5313</v>
      </c>
      <c r="P42" s="673">
        <f t="shared" si="7"/>
        <v>6.14</v>
      </c>
      <c r="Q42" s="674">
        <v>6.14</v>
      </c>
      <c r="R42" s="674">
        <f t="shared" si="8"/>
        <v>73.679999999999993</v>
      </c>
      <c r="S42" s="725">
        <v>515</v>
      </c>
      <c r="T42" s="84">
        <f t="shared" si="9"/>
        <v>6180</v>
      </c>
      <c r="U42" s="726">
        <v>600</v>
      </c>
      <c r="V42" s="668">
        <v>120</v>
      </c>
      <c r="W42" s="730">
        <f t="shared" si="10"/>
        <v>0.52786945361202786</v>
      </c>
    </row>
    <row r="43" spans="2:23" s="638" customFormat="1" ht="17.25" customHeight="1">
      <c r="B43" s="639" t="s">
        <v>236</v>
      </c>
      <c r="C43" s="717" t="s">
        <v>2763</v>
      </c>
      <c r="D43" s="662"/>
      <c r="E43" s="17">
        <v>3705</v>
      </c>
      <c r="F43" s="739" t="s">
        <v>2769</v>
      </c>
      <c r="G43" s="17" t="s">
        <v>2771</v>
      </c>
      <c r="H43" s="100">
        <v>30</v>
      </c>
      <c r="I43" s="101">
        <v>12</v>
      </c>
      <c r="J43" s="6">
        <f t="shared" si="0"/>
        <v>360</v>
      </c>
      <c r="K43" s="33">
        <v>7.99</v>
      </c>
      <c r="L43" s="643">
        <f t="shared" si="6"/>
        <v>95.88</v>
      </c>
      <c r="M43" s="672" t="s">
        <v>255</v>
      </c>
      <c r="N43" s="706">
        <v>45093</v>
      </c>
      <c r="O43" s="707">
        <v>5313</v>
      </c>
      <c r="P43" s="673">
        <f t="shared" si="7"/>
        <v>5.46</v>
      </c>
      <c r="Q43" s="674">
        <v>5.46</v>
      </c>
      <c r="R43" s="674">
        <f t="shared" si="8"/>
        <v>65.52</v>
      </c>
      <c r="S43" s="725">
        <v>458</v>
      </c>
      <c r="T43" s="84">
        <f t="shared" si="9"/>
        <v>5496</v>
      </c>
      <c r="U43" s="726">
        <v>527</v>
      </c>
      <c r="V43" s="668">
        <v>120</v>
      </c>
      <c r="W43" s="730">
        <f t="shared" si="10"/>
        <v>0.52231956612432207</v>
      </c>
    </row>
    <row r="44" spans="2:23" s="638" customFormat="1" ht="17.25" customHeight="1">
      <c r="B44" s="639" t="s">
        <v>236</v>
      </c>
      <c r="C44" s="717" t="s">
        <v>2763</v>
      </c>
      <c r="D44" s="662"/>
      <c r="E44" s="17">
        <v>3705</v>
      </c>
      <c r="F44" s="739" t="s">
        <v>2770</v>
      </c>
      <c r="G44" s="17" t="s">
        <v>2771</v>
      </c>
      <c r="H44" s="100">
        <v>30</v>
      </c>
      <c r="I44" s="101">
        <v>12</v>
      </c>
      <c r="J44" s="6">
        <f t="shared" si="0"/>
        <v>360</v>
      </c>
      <c r="K44" s="33">
        <v>7.56</v>
      </c>
      <c r="L44" s="643">
        <f t="shared" si="6"/>
        <v>90.72</v>
      </c>
      <c r="M44" s="672" t="s">
        <v>255</v>
      </c>
      <c r="N44" s="706">
        <v>45093</v>
      </c>
      <c r="O44" s="707">
        <v>5313</v>
      </c>
      <c r="P44" s="673">
        <f t="shared" si="7"/>
        <v>5.1099999999999994</v>
      </c>
      <c r="Q44" s="674">
        <v>5.1100000000000003</v>
      </c>
      <c r="R44" s="674">
        <f t="shared" si="8"/>
        <v>61.320000000000007</v>
      </c>
      <c r="S44" s="725">
        <v>429</v>
      </c>
      <c r="T44" s="84">
        <f t="shared" si="9"/>
        <v>5148</v>
      </c>
      <c r="U44" s="726">
        <v>499</v>
      </c>
      <c r="V44" s="668">
        <v>120</v>
      </c>
      <c r="W44" s="730">
        <f t="shared" si="10"/>
        <v>0.52711640211640209</v>
      </c>
    </row>
    <row r="45" spans="2:23" s="638" customFormat="1" ht="15.75">
      <c r="B45" s="639"/>
      <c r="C45" s="717" t="s">
        <v>2763</v>
      </c>
      <c r="D45" s="662"/>
      <c r="E45" s="675"/>
      <c r="F45" s="737"/>
      <c r="G45" s="158" t="s">
        <v>250</v>
      </c>
      <c r="H45" s="671"/>
      <c r="I45" s="676"/>
      <c r="J45" s="677">
        <v>1</v>
      </c>
      <c r="K45" s="643">
        <v>12</v>
      </c>
      <c r="L45" s="643">
        <f>K45*J45</f>
        <v>12</v>
      </c>
      <c r="M45" s="678"/>
      <c r="N45" s="706">
        <v>45093</v>
      </c>
      <c r="O45" s="707">
        <v>5313</v>
      </c>
      <c r="P45" s="504"/>
      <c r="Q45" s="674">
        <v>12</v>
      </c>
      <c r="R45" s="674">
        <f>Q45*J45</f>
        <v>12</v>
      </c>
      <c r="S45" s="638">
        <v>0</v>
      </c>
      <c r="T45" s="84">
        <f t="shared" si="9"/>
        <v>0</v>
      </c>
      <c r="U45" s="727"/>
      <c r="V45" s="668">
        <v>120</v>
      </c>
      <c r="W45" s="730"/>
    </row>
    <row r="46" spans="2:23" s="709" customFormat="1" ht="18.75">
      <c r="B46" s="710"/>
      <c r="C46" s="719" t="s">
        <v>2763</v>
      </c>
      <c r="D46" s="680"/>
      <c r="E46" s="681"/>
      <c r="F46" s="738"/>
      <c r="G46" s="682" t="s">
        <v>2787</v>
      </c>
      <c r="H46" s="683" t="s">
        <v>2754</v>
      </c>
      <c r="I46" s="684"/>
      <c r="J46" s="685"/>
      <c r="K46" s="720">
        <v>353</v>
      </c>
      <c r="L46" s="720">
        <v>353</v>
      </c>
      <c r="M46" s="712"/>
      <c r="N46" s="712">
        <v>45093</v>
      </c>
      <c r="O46" s="713">
        <v>5313</v>
      </c>
      <c r="P46" s="687"/>
      <c r="Q46" s="720">
        <v>353</v>
      </c>
      <c r="R46" s="720">
        <v>353</v>
      </c>
      <c r="S46" s="731">
        <v>40486</v>
      </c>
      <c r="T46" s="731">
        <v>40486</v>
      </c>
      <c r="U46" s="690"/>
      <c r="V46" s="668">
        <v>120</v>
      </c>
    </row>
    <row r="47" spans="2:23" s="709" customFormat="1" ht="18.75">
      <c r="B47" s="710"/>
      <c r="C47" s="719" t="s">
        <v>2763</v>
      </c>
      <c r="D47" s="680"/>
      <c r="E47" s="681"/>
      <c r="F47" s="738"/>
      <c r="G47" s="682" t="s">
        <v>210</v>
      </c>
      <c r="H47" s="683" t="s">
        <v>2754</v>
      </c>
      <c r="I47" s="684"/>
      <c r="J47" s="685"/>
      <c r="K47" s="720">
        <v>223</v>
      </c>
      <c r="L47" s="720">
        <v>223</v>
      </c>
      <c r="M47" s="712"/>
      <c r="N47" s="712">
        <v>45093</v>
      </c>
      <c r="O47" s="713">
        <v>5313</v>
      </c>
      <c r="P47" s="687"/>
      <c r="Q47" s="720">
        <v>223</v>
      </c>
      <c r="R47" s="720">
        <v>223</v>
      </c>
      <c r="S47" s="731">
        <v>25583</v>
      </c>
      <c r="T47" s="731">
        <v>25583</v>
      </c>
      <c r="U47" s="690"/>
      <c r="V47" s="668">
        <v>120</v>
      </c>
    </row>
    <row r="48" spans="2:23" s="638" customFormat="1" ht="17.25" customHeight="1">
      <c r="B48" s="639"/>
      <c r="C48" s="717" t="s">
        <v>2779</v>
      </c>
      <c r="D48" s="662"/>
      <c r="E48" s="14" t="s">
        <v>2780</v>
      </c>
      <c r="F48" s="739"/>
      <c r="G48" s="17"/>
      <c r="H48" s="100"/>
      <c r="I48" s="101"/>
      <c r="J48" s="6"/>
      <c r="K48" s="505" t="s">
        <v>4</v>
      </c>
      <c r="L48" s="643"/>
      <c r="M48" s="672"/>
      <c r="N48" s="706">
        <v>45106</v>
      </c>
      <c r="O48" s="707">
        <v>5347</v>
      </c>
      <c r="P48" s="673"/>
      <c r="Q48" s="674"/>
      <c r="R48" s="674"/>
      <c r="S48" s="728" t="s">
        <v>2785</v>
      </c>
      <c r="T48" s="84"/>
      <c r="U48" s="728" t="s">
        <v>2786</v>
      </c>
      <c r="V48" s="668"/>
    </row>
    <row r="49" spans="2:23" s="638" customFormat="1" ht="17.25" customHeight="1">
      <c r="B49" s="639" t="s">
        <v>236</v>
      </c>
      <c r="C49" s="717" t="s">
        <v>2779</v>
      </c>
      <c r="D49" s="662"/>
      <c r="E49" s="17">
        <v>2200</v>
      </c>
      <c r="F49" s="739">
        <v>12</v>
      </c>
      <c r="G49" s="17" t="s">
        <v>2781</v>
      </c>
      <c r="H49" s="100">
        <v>15</v>
      </c>
      <c r="I49" s="101">
        <v>5</v>
      </c>
      <c r="J49" s="6">
        <f>H49*I49</f>
        <v>75</v>
      </c>
      <c r="K49" s="33">
        <v>12.52</v>
      </c>
      <c r="L49" s="643">
        <f>K49*I49</f>
        <v>62.599999999999994</v>
      </c>
      <c r="M49" s="672" t="s">
        <v>255</v>
      </c>
      <c r="N49" s="706">
        <v>45106</v>
      </c>
      <c r="O49" s="707">
        <v>5347</v>
      </c>
      <c r="P49" s="673">
        <f>ROUNDUP(S49/V49/VLOOKUP(B49,$C$2:$F$6,3,FALSE),2)</f>
        <v>8.93</v>
      </c>
      <c r="Q49" s="674">
        <v>8.93</v>
      </c>
      <c r="R49" s="674">
        <f>Q49*I49</f>
        <v>44.65</v>
      </c>
      <c r="S49" s="725">
        <v>750</v>
      </c>
      <c r="T49" s="84">
        <f>S49*I49</f>
        <v>3750</v>
      </c>
      <c r="U49" s="726">
        <v>826</v>
      </c>
      <c r="V49" s="668">
        <v>120</v>
      </c>
      <c r="W49" s="730">
        <f>(((K49*V49)-S49)/(K49*V49))</f>
        <v>0.50079872204472842</v>
      </c>
    </row>
    <row r="50" spans="2:23" s="638" customFormat="1" ht="17.25" customHeight="1">
      <c r="B50" s="639" t="s">
        <v>236</v>
      </c>
      <c r="C50" s="717" t="s">
        <v>2779</v>
      </c>
      <c r="D50" s="662"/>
      <c r="E50" s="17">
        <v>2200</v>
      </c>
      <c r="F50" s="739">
        <v>12</v>
      </c>
      <c r="G50" s="17" t="s">
        <v>2782</v>
      </c>
      <c r="H50" s="100">
        <v>15</v>
      </c>
      <c r="I50" s="101">
        <v>5</v>
      </c>
      <c r="J50" s="6">
        <f>H50*I50</f>
        <v>75</v>
      </c>
      <c r="K50" s="33">
        <v>12.52</v>
      </c>
      <c r="L50" s="643">
        <f>K50*I50</f>
        <v>62.599999999999994</v>
      </c>
      <c r="M50" s="672" t="s">
        <v>255</v>
      </c>
      <c r="N50" s="706">
        <v>45106</v>
      </c>
      <c r="O50" s="707">
        <v>5347</v>
      </c>
      <c r="P50" s="673">
        <f>ROUNDUP(S50/V50/VLOOKUP(B50,$C$2:$F$6,3,FALSE),2)</f>
        <v>8.93</v>
      </c>
      <c r="Q50" s="674">
        <v>8.93</v>
      </c>
      <c r="R50" s="674">
        <f>Q50*I50</f>
        <v>44.65</v>
      </c>
      <c r="S50" s="725">
        <v>750</v>
      </c>
      <c r="T50" s="84">
        <f>S50*I50</f>
        <v>3750</v>
      </c>
      <c r="U50" s="726">
        <v>826</v>
      </c>
      <c r="V50" s="668">
        <v>120</v>
      </c>
      <c r="W50" s="730">
        <f>(((K50*V50)-S50)/(K50*V50))</f>
        <v>0.50079872204472842</v>
      </c>
    </row>
    <row r="51" spans="2:23" s="638" customFormat="1" ht="17.25" customHeight="1">
      <c r="B51" s="639" t="s">
        <v>236</v>
      </c>
      <c r="C51" s="717" t="s">
        <v>2779</v>
      </c>
      <c r="D51" s="662"/>
      <c r="E51" s="17">
        <v>2200</v>
      </c>
      <c r="F51" s="739">
        <v>12</v>
      </c>
      <c r="G51" s="17" t="s">
        <v>2783</v>
      </c>
      <c r="H51" s="100">
        <v>15</v>
      </c>
      <c r="I51" s="101">
        <v>5</v>
      </c>
      <c r="J51" s="6">
        <f>H51*I51</f>
        <v>75</v>
      </c>
      <c r="K51" s="33">
        <v>12.52</v>
      </c>
      <c r="L51" s="643">
        <f>K51*I51</f>
        <v>62.599999999999994</v>
      </c>
      <c r="M51" s="672" t="s">
        <v>255</v>
      </c>
      <c r="N51" s="706">
        <v>45106</v>
      </c>
      <c r="O51" s="707">
        <v>5347</v>
      </c>
      <c r="P51" s="673">
        <f>ROUNDUP(S51/V51/VLOOKUP(B51,$C$2:$F$6,3,FALSE),2)</f>
        <v>8.93</v>
      </c>
      <c r="Q51" s="674">
        <v>8.93</v>
      </c>
      <c r="R51" s="674">
        <f>Q51*I51</f>
        <v>44.65</v>
      </c>
      <c r="S51" s="725">
        <v>750</v>
      </c>
      <c r="T51" s="84">
        <f>S51*I51</f>
        <v>3750</v>
      </c>
      <c r="U51" s="726">
        <v>826</v>
      </c>
      <c r="V51" s="668">
        <v>120</v>
      </c>
      <c r="W51" s="730">
        <f>(((K51*V51)-S51)/(K51*V51))</f>
        <v>0.50079872204472842</v>
      </c>
    </row>
    <row r="52" spans="2:23" s="638" customFormat="1" ht="17.25" customHeight="1">
      <c r="B52" s="639" t="s">
        <v>236</v>
      </c>
      <c r="C52" s="717" t="s">
        <v>2779</v>
      </c>
      <c r="D52" s="662"/>
      <c r="E52" s="17">
        <v>2200</v>
      </c>
      <c r="F52" s="739">
        <v>12</v>
      </c>
      <c r="G52" s="17" t="s">
        <v>2784</v>
      </c>
      <c r="H52" s="100">
        <v>15</v>
      </c>
      <c r="I52" s="101">
        <v>5</v>
      </c>
      <c r="J52" s="6">
        <f>H52*I52</f>
        <v>75</v>
      </c>
      <c r="K52" s="33">
        <v>12.52</v>
      </c>
      <c r="L52" s="643">
        <f>K52*I52</f>
        <v>62.599999999999994</v>
      </c>
      <c r="M52" s="672" t="s">
        <v>255</v>
      </c>
      <c r="N52" s="706">
        <v>45106</v>
      </c>
      <c r="O52" s="707">
        <v>5347</v>
      </c>
      <c r="P52" s="673">
        <f>ROUNDUP(S52/V52/VLOOKUP(B52,$C$2:$F$6,3,FALSE),2)</f>
        <v>8.93</v>
      </c>
      <c r="Q52" s="674">
        <v>8.93</v>
      </c>
      <c r="R52" s="674">
        <f>Q52*I52</f>
        <v>44.65</v>
      </c>
      <c r="S52" s="725">
        <v>750</v>
      </c>
      <c r="T52" s="84">
        <f>S52*I52</f>
        <v>3750</v>
      </c>
      <c r="U52" s="726">
        <v>826</v>
      </c>
      <c r="V52" s="668">
        <v>120</v>
      </c>
      <c r="W52" s="730">
        <f>(((K52*V52)-S52)/(K52*V52))</f>
        <v>0.50079872204472842</v>
      </c>
    </row>
    <row r="53" spans="2:23" s="638" customFormat="1" ht="15.75">
      <c r="B53" s="639"/>
      <c r="C53" s="717" t="s">
        <v>2779</v>
      </c>
      <c r="D53" s="662"/>
      <c r="E53" s="158"/>
      <c r="F53" s="737"/>
      <c r="G53" s="158" t="s">
        <v>250</v>
      </c>
      <c r="H53" s="671"/>
      <c r="I53" s="676"/>
      <c r="J53" s="677">
        <v>1</v>
      </c>
      <c r="K53" s="643">
        <v>12</v>
      </c>
      <c r="L53" s="643">
        <f>K53*J53</f>
        <v>12</v>
      </c>
      <c r="M53" s="678"/>
      <c r="N53" s="706">
        <v>45106</v>
      </c>
      <c r="O53" s="707">
        <v>5347</v>
      </c>
      <c r="P53" s="504"/>
      <c r="Q53" s="674">
        <v>12</v>
      </c>
      <c r="R53" s="674">
        <f>Q53*J53</f>
        <v>12</v>
      </c>
      <c r="S53" s="638">
        <v>0</v>
      </c>
      <c r="T53" s="638">
        <v>0</v>
      </c>
      <c r="U53" s="726"/>
      <c r="V53" s="668">
        <v>120</v>
      </c>
      <c r="W53" s="730"/>
    </row>
    <row r="54" spans="2:23" s="709" customFormat="1" ht="15.75">
      <c r="B54" s="710"/>
      <c r="C54" s="719" t="s">
        <v>2779</v>
      </c>
      <c r="D54" s="680"/>
      <c r="E54" s="681"/>
      <c r="F54" s="738"/>
      <c r="G54" s="682" t="s">
        <v>210</v>
      </c>
      <c r="H54" s="683" t="s">
        <v>2754</v>
      </c>
      <c r="I54" s="684"/>
      <c r="J54" s="685"/>
      <c r="K54" s="720">
        <v>33</v>
      </c>
      <c r="L54" s="720">
        <v>33</v>
      </c>
      <c r="M54" s="712"/>
      <c r="N54" s="712">
        <v>45106</v>
      </c>
      <c r="O54" s="713">
        <v>5347</v>
      </c>
      <c r="P54" s="687"/>
      <c r="Q54" s="720">
        <v>33</v>
      </c>
      <c r="R54" s="720">
        <v>33</v>
      </c>
      <c r="S54" s="725">
        <v>3784</v>
      </c>
      <c r="T54" s="725">
        <v>3784</v>
      </c>
      <c r="U54" s="690"/>
      <c r="V54" s="668">
        <v>120</v>
      </c>
    </row>
    <row r="55" spans="2:23" s="638" customFormat="1" ht="17.25" customHeight="1">
      <c r="B55" s="639"/>
      <c r="C55" s="717" t="s">
        <v>2788</v>
      </c>
      <c r="D55" s="662"/>
      <c r="E55" s="14" t="s">
        <v>2790</v>
      </c>
      <c r="F55" s="739"/>
      <c r="G55" s="17"/>
      <c r="H55" s="100"/>
      <c r="I55" s="101"/>
      <c r="J55" s="6"/>
      <c r="K55" s="505" t="s">
        <v>4</v>
      </c>
      <c r="L55" s="643"/>
      <c r="M55" s="672"/>
      <c r="N55" s="706">
        <v>45114</v>
      </c>
      <c r="O55" s="707">
        <v>5357</v>
      </c>
      <c r="P55" s="673"/>
      <c r="Q55" s="674"/>
      <c r="R55" s="674"/>
      <c r="S55" s="728"/>
      <c r="T55" s="84"/>
      <c r="U55" s="728"/>
      <c r="V55" s="668"/>
    </row>
    <row r="56" spans="2:23" s="638" customFormat="1" ht="17.25" customHeight="1">
      <c r="B56" s="639" t="s">
        <v>236</v>
      </c>
      <c r="C56" s="717" t="s">
        <v>2788</v>
      </c>
      <c r="D56" s="662"/>
      <c r="E56" s="17">
        <v>1100</v>
      </c>
      <c r="F56" s="739">
        <v>30</v>
      </c>
      <c r="G56" s="17" t="s">
        <v>2789</v>
      </c>
      <c r="H56" s="100">
        <v>30</v>
      </c>
      <c r="I56" s="101">
        <v>5</v>
      </c>
      <c r="J56" s="6">
        <f>H56*I56</f>
        <v>150</v>
      </c>
      <c r="K56" s="33">
        <v>40.450000000000003</v>
      </c>
      <c r="L56" s="643">
        <f>K56*I56</f>
        <v>202.25</v>
      </c>
      <c r="M56" s="672" t="s">
        <v>2791</v>
      </c>
      <c r="N56" s="706">
        <v>45114</v>
      </c>
      <c r="O56" s="707">
        <v>5357</v>
      </c>
      <c r="P56" s="673">
        <f>ROUNDUP(S56/V56/VLOOKUP(B56,$C$2:$F$6,3,FALSE),2)</f>
        <v>31.790000000000003</v>
      </c>
      <c r="Q56" s="674">
        <v>31.79</v>
      </c>
      <c r="R56" s="674">
        <f>Q56*I56</f>
        <v>158.94999999999999</v>
      </c>
      <c r="S56" s="725">
        <v>2670</v>
      </c>
      <c r="T56" s="84">
        <f>S56*I56</f>
        <v>13350</v>
      </c>
      <c r="U56" s="726"/>
      <c r="V56" s="668">
        <v>120</v>
      </c>
      <c r="W56" s="730">
        <f>(((K56*V56)-S56)/(K56*V56))</f>
        <v>0.44993819530284301</v>
      </c>
    </row>
    <row r="57" spans="2:23" s="638" customFormat="1" ht="17.25" customHeight="1">
      <c r="B57" s="639"/>
      <c r="C57" s="717" t="s">
        <v>2788</v>
      </c>
      <c r="D57" s="662"/>
      <c r="E57" s="14" t="s">
        <v>2792</v>
      </c>
      <c r="F57" s="739"/>
      <c r="G57" s="17"/>
      <c r="H57" s="100"/>
      <c r="I57" s="101"/>
      <c r="J57" s="6"/>
      <c r="K57" s="505"/>
      <c r="L57" s="643"/>
      <c r="M57" s="672"/>
      <c r="N57" s="706">
        <v>45114</v>
      </c>
      <c r="O57" s="707">
        <v>5357</v>
      </c>
      <c r="P57" s="673"/>
      <c r="Q57" s="674"/>
      <c r="R57" s="674"/>
      <c r="S57" s="728"/>
      <c r="T57" s="84"/>
      <c r="U57" s="728"/>
      <c r="V57" s="668"/>
    </row>
    <row r="58" spans="2:23" s="638" customFormat="1" ht="17.25" customHeight="1">
      <c r="B58" s="639" t="s">
        <v>236</v>
      </c>
      <c r="C58" s="717" t="s">
        <v>2788</v>
      </c>
      <c r="D58" s="662"/>
      <c r="E58" s="17">
        <v>3534</v>
      </c>
      <c r="F58" s="739">
        <v>60</v>
      </c>
      <c r="G58" s="17" t="s">
        <v>2793</v>
      </c>
      <c r="H58" s="100">
        <v>30</v>
      </c>
      <c r="I58" s="101">
        <v>5</v>
      </c>
      <c r="J58" s="6">
        <f>H58*I58</f>
        <v>150</v>
      </c>
      <c r="K58" s="33">
        <v>61.21</v>
      </c>
      <c r="L58" s="643">
        <f>K58*I58</f>
        <v>306.05</v>
      </c>
      <c r="M58" s="672" t="s">
        <v>255</v>
      </c>
      <c r="N58" s="706">
        <v>45114</v>
      </c>
      <c r="O58" s="707">
        <v>5357</v>
      </c>
      <c r="P58" s="673">
        <f>ROUNDUP(S58/V58/VLOOKUP(B58,$C$2:$F$6,3,FALSE),2)</f>
        <v>38.699999999999996</v>
      </c>
      <c r="Q58" s="674">
        <v>38.700000000000003</v>
      </c>
      <c r="R58" s="674">
        <f>Q58*I58</f>
        <v>193.5</v>
      </c>
      <c r="S58" s="725">
        <v>3250</v>
      </c>
      <c r="T58" s="84">
        <f>S58*I58</f>
        <v>16250</v>
      </c>
      <c r="U58" s="726"/>
      <c r="V58" s="668">
        <v>120</v>
      </c>
      <c r="W58" s="730">
        <f>(((K58*V58)-S58)/(K58*V58))</f>
        <v>0.55753417197625654</v>
      </c>
    </row>
    <row r="59" spans="2:23" s="638" customFormat="1" ht="17.25" customHeight="1">
      <c r="B59" s="639"/>
      <c r="C59" s="717" t="s">
        <v>2788</v>
      </c>
      <c r="D59" s="662"/>
      <c r="E59" s="14" t="s">
        <v>2795</v>
      </c>
      <c r="F59" s="739"/>
      <c r="G59" s="17"/>
      <c r="H59" s="100"/>
      <c r="I59" s="101"/>
      <c r="J59" s="6"/>
      <c r="K59" s="505"/>
      <c r="L59" s="643"/>
      <c r="M59" s="672"/>
      <c r="N59" s="706">
        <v>45114</v>
      </c>
      <c r="O59" s="707">
        <v>5357</v>
      </c>
      <c r="P59" s="673"/>
      <c r="Q59" s="674"/>
      <c r="R59" s="674"/>
      <c r="S59" s="728"/>
      <c r="T59" s="84"/>
      <c r="U59" s="728"/>
      <c r="V59" s="668"/>
    </row>
    <row r="60" spans="2:23" s="638" customFormat="1" ht="17.25" customHeight="1">
      <c r="B60" s="639" t="s">
        <v>236</v>
      </c>
      <c r="C60" s="717" t="s">
        <v>2788</v>
      </c>
      <c r="D60" s="662"/>
      <c r="E60" s="17">
        <v>3544</v>
      </c>
      <c r="F60" s="739" t="s">
        <v>2794</v>
      </c>
      <c r="G60" s="17" t="s">
        <v>2390</v>
      </c>
      <c r="H60" s="100">
        <v>30</v>
      </c>
      <c r="I60" s="101">
        <v>5</v>
      </c>
      <c r="J60" s="6">
        <f>H60*I60</f>
        <v>150</v>
      </c>
      <c r="K60" s="33">
        <v>10.36</v>
      </c>
      <c r="L60" s="643">
        <f>K60*I60</f>
        <v>51.8</v>
      </c>
      <c r="M60" s="672" t="s">
        <v>255</v>
      </c>
      <c r="N60" s="706">
        <v>45114</v>
      </c>
      <c r="O60" s="707">
        <v>5357</v>
      </c>
      <c r="P60" s="673">
        <f>ROUNDUP(S60/V60/VLOOKUP(B60,$C$2:$F$6,3,FALSE),2)</f>
        <v>8.9700000000000006</v>
      </c>
      <c r="Q60" s="674">
        <v>8.9700000000000006</v>
      </c>
      <c r="R60" s="674">
        <f>Q60*I60</f>
        <v>44.85</v>
      </c>
      <c r="S60" s="725">
        <v>753</v>
      </c>
      <c r="T60" s="84">
        <f>S60*I60</f>
        <v>3765</v>
      </c>
      <c r="U60" s="726"/>
      <c r="V60" s="668">
        <v>120</v>
      </c>
      <c r="W60" s="730">
        <f>(((K60*V60)-S60)/(K60*V60))</f>
        <v>0.39430501930501921</v>
      </c>
    </row>
    <row r="61" spans="2:23" s="638" customFormat="1" ht="17.25" customHeight="1">
      <c r="B61" s="639" t="s">
        <v>236</v>
      </c>
      <c r="C61" s="717" t="s">
        <v>2788</v>
      </c>
      <c r="D61" s="662"/>
      <c r="E61" s="17">
        <v>3544</v>
      </c>
      <c r="F61" s="739" t="s">
        <v>2796</v>
      </c>
      <c r="G61" s="17" t="s">
        <v>74</v>
      </c>
      <c r="H61" s="100">
        <v>30</v>
      </c>
      <c r="I61" s="101">
        <v>5</v>
      </c>
      <c r="J61" s="6">
        <f>H61*I61</f>
        <v>150</v>
      </c>
      <c r="K61" s="33">
        <v>17.27</v>
      </c>
      <c r="L61" s="643">
        <f>K61*I61</f>
        <v>86.35</v>
      </c>
      <c r="M61" s="672" t="s">
        <v>255</v>
      </c>
      <c r="N61" s="706">
        <v>45114</v>
      </c>
      <c r="O61" s="707">
        <v>5357</v>
      </c>
      <c r="P61" s="673">
        <f>ROUNDUP(S61/V61/VLOOKUP(B61,$C$2:$F$6,3,FALSE),2)</f>
        <v>14.93</v>
      </c>
      <c r="Q61" s="674">
        <v>14.93</v>
      </c>
      <c r="R61" s="674">
        <f>Q61*I61</f>
        <v>74.650000000000006</v>
      </c>
      <c r="S61" s="725">
        <v>1254</v>
      </c>
      <c r="T61" s="84">
        <f>S61*I61</f>
        <v>6270</v>
      </c>
      <c r="U61" s="726"/>
      <c r="V61" s="668">
        <v>120</v>
      </c>
      <c r="W61" s="730">
        <f>(((K61*V61)-S61)/(K61*V61))</f>
        <v>0.39490445859872614</v>
      </c>
    </row>
    <row r="62" spans="2:23" s="638" customFormat="1" ht="15.75">
      <c r="B62" s="639"/>
      <c r="C62" s="717" t="s">
        <v>2788</v>
      </c>
      <c r="D62" s="662"/>
      <c r="E62" s="158"/>
      <c r="F62" s="737"/>
      <c r="G62" s="158" t="s">
        <v>250</v>
      </c>
      <c r="H62" s="671"/>
      <c r="I62" s="676"/>
      <c r="J62" s="677">
        <v>3</v>
      </c>
      <c r="K62" s="643">
        <v>12</v>
      </c>
      <c r="L62" s="643">
        <f>K62*J62</f>
        <v>36</v>
      </c>
      <c r="M62" s="678"/>
      <c r="N62" s="706">
        <v>45114</v>
      </c>
      <c r="O62" s="707">
        <v>5357</v>
      </c>
      <c r="P62" s="504"/>
      <c r="Q62" s="674">
        <v>12</v>
      </c>
      <c r="R62" s="674">
        <f>Q62*J62</f>
        <v>36</v>
      </c>
      <c r="S62" s="638">
        <f>1000+1000+1200</f>
        <v>3200</v>
      </c>
      <c r="T62" s="638">
        <f>1000+1000+1200</f>
        <v>3200</v>
      </c>
      <c r="U62" s="726"/>
      <c r="V62" s="668">
        <v>120</v>
      </c>
      <c r="W62" s="730"/>
    </row>
    <row r="63" spans="2:23" s="709" customFormat="1" ht="15.75">
      <c r="B63" s="710"/>
      <c r="C63" s="719" t="s">
        <v>2788</v>
      </c>
      <c r="D63" s="680"/>
      <c r="E63" s="681"/>
      <c r="F63" s="738"/>
      <c r="G63" s="682" t="s">
        <v>210</v>
      </c>
      <c r="H63" s="683" t="s">
        <v>2754</v>
      </c>
      <c r="I63" s="684"/>
      <c r="J63" s="685"/>
      <c r="K63" s="720">
        <v>153</v>
      </c>
      <c r="L63" s="720">
        <v>153</v>
      </c>
      <c r="M63" s="712"/>
      <c r="N63" s="712">
        <v>45114</v>
      </c>
      <c r="O63" s="713">
        <v>5357</v>
      </c>
      <c r="P63" s="687"/>
      <c r="Q63" s="720">
        <v>153</v>
      </c>
      <c r="R63" s="720">
        <v>153</v>
      </c>
      <c r="S63" s="638">
        <v>17538</v>
      </c>
      <c r="T63" s="638">
        <v>17538</v>
      </c>
      <c r="U63" s="690"/>
      <c r="V63" s="668">
        <v>120</v>
      </c>
    </row>
    <row r="64" spans="2:23" s="638" customFormat="1" ht="17.25" customHeight="1">
      <c r="B64" s="639"/>
      <c r="C64" s="717" t="s">
        <v>2797</v>
      </c>
      <c r="D64" s="662"/>
      <c r="E64" s="14" t="s">
        <v>2795</v>
      </c>
      <c r="F64" s="739"/>
      <c r="G64" s="17"/>
      <c r="H64" s="100"/>
      <c r="I64" s="101"/>
      <c r="J64" s="6"/>
      <c r="K64" s="505" t="s">
        <v>4</v>
      </c>
      <c r="L64" s="643"/>
      <c r="M64" s="672"/>
      <c r="N64" s="706">
        <v>45131</v>
      </c>
      <c r="O64" s="707">
        <v>5395</v>
      </c>
      <c r="P64" s="673"/>
      <c r="Q64" s="674"/>
      <c r="R64" s="674"/>
      <c r="S64" s="728"/>
      <c r="T64" s="84"/>
      <c r="U64" s="728"/>
      <c r="V64" s="668"/>
    </row>
    <row r="65" spans="2:23" s="638" customFormat="1" ht="17.25" customHeight="1">
      <c r="B65" s="639" t="s">
        <v>236</v>
      </c>
      <c r="C65" s="717" t="s">
        <v>2797</v>
      </c>
      <c r="D65" s="662"/>
      <c r="E65" s="17">
        <v>3544</v>
      </c>
      <c r="F65" s="739" t="s">
        <v>2798</v>
      </c>
      <c r="G65" s="17" t="s">
        <v>74</v>
      </c>
      <c r="H65" s="100">
        <v>30</v>
      </c>
      <c r="I65" s="101">
        <v>5</v>
      </c>
      <c r="J65" s="6">
        <f>H65*I65</f>
        <v>150</v>
      </c>
      <c r="K65" s="33">
        <v>15</v>
      </c>
      <c r="L65" s="643">
        <f>K65*I65</f>
        <v>75</v>
      </c>
      <c r="M65" s="672" t="s">
        <v>255</v>
      </c>
      <c r="N65" s="706">
        <v>45131</v>
      </c>
      <c r="O65" s="707">
        <v>5395</v>
      </c>
      <c r="P65" s="673">
        <f>ROUNDUP(S65/V65/VLOOKUP(B65,$C$2:$F$6,3,FALSE),2)</f>
        <v>12.97</v>
      </c>
      <c r="Q65" s="674">
        <v>12.97</v>
      </c>
      <c r="R65" s="674">
        <f>Q65*I65</f>
        <v>64.850000000000009</v>
      </c>
      <c r="S65" s="725">
        <v>1089</v>
      </c>
      <c r="T65" s="84">
        <f>S65*I65</f>
        <v>5445</v>
      </c>
      <c r="U65" s="726"/>
      <c r="V65" s="668">
        <v>120</v>
      </c>
      <c r="W65" s="730">
        <f>(((K65*V65)-S65)/(K65*V65))</f>
        <v>0.39500000000000002</v>
      </c>
    </row>
    <row r="66" spans="2:23" s="638" customFormat="1" ht="17.25" customHeight="1">
      <c r="B66" s="639" t="s">
        <v>236</v>
      </c>
      <c r="C66" s="717" t="s">
        <v>2797</v>
      </c>
      <c r="D66" s="662"/>
      <c r="E66" s="17">
        <v>3544</v>
      </c>
      <c r="F66" s="739" t="s">
        <v>2796</v>
      </c>
      <c r="G66" s="17" t="s">
        <v>2390</v>
      </c>
      <c r="H66" s="100">
        <v>30</v>
      </c>
      <c r="I66" s="101">
        <v>5</v>
      </c>
      <c r="J66" s="6">
        <f>H66*I66</f>
        <v>150</v>
      </c>
      <c r="K66" s="33">
        <v>17.27</v>
      </c>
      <c r="L66" s="643">
        <f>K66*I66</f>
        <v>86.35</v>
      </c>
      <c r="M66" s="672" t="s">
        <v>255</v>
      </c>
      <c r="N66" s="706">
        <v>45131</v>
      </c>
      <c r="O66" s="707">
        <v>5395</v>
      </c>
      <c r="P66" s="673">
        <f>ROUNDUP(S66/V66/VLOOKUP(B66,$C$2:$F$6,3,FALSE),2)</f>
        <v>14.93</v>
      </c>
      <c r="Q66" s="674">
        <v>14.93</v>
      </c>
      <c r="R66" s="674">
        <f>Q66*I66</f>
        <v>74.650000000000006</v>
      </c>
      <c r="S66" s="725">
        <v>1254</v>
      </c>
      <c r="T66" s="84">
        <f>S66*I66</f>
        <v>6270</v>
      </c>
      <c r="U66" s="726"/>
      <c r="V66" s="668">
        <v>120</v>
      </c>
      <c r="W66" s="730">
        <f>(((K66*V66)-S66)/(K66*V66))</f>
        <v>0.39490445859872614</v>
      </c>
    </row>
    <row r="67" spans="2:23" s="638" customFormat="1" ht="17.25" customHeight="1">
      <c r="B67" s="639" t="s">
        <v>236</v>
      </c>
      <c r="C67" s="717" t="s">
        <v>2797</v>
      </c>
      <c r="D67" s="662"/>
      <c r="E67" s="17">
        <v>3544</v>
      </c>
      <c r="F67" s="739" t="s">
        <v>2796</v>
      </c>
      <c r="G67" s="17" t="s">
        <v>2799</v>
      </c>
      <c r="H67" s="100">
        <v>30</v>
      </c>
      <c r="I67" s="101">
        <v>5</v>
      </c>
      <c r="J67" s="6">
        <f>H67*I67</f>
        <v>150</v>
      </c>
      <c r="K67" s="33">
        <v>17.27</v>
      </c>
      <c r="L67" s="643">
        <f>K67*I67</f>
        <v>86.35</v>
      </c>
      <c r="M67" s="672" t="s">
        <v>255</v>
      </c>
      <c r="N67" s="706">
        <v>45131</v>
      </c>
      <c r="O67" s="707">
        <v>5395</v>
      </c>
      <c r="P67" s="673">
        <f>ROUNDUP(S67/V67/VLOOKUP(B67,$C$2:$F$6,3,FALSE),2)</f>
        <v>14.93</v>
      </c>
      <c r="Q67" s="674">
        <v>14.93</v>
      </c>
      <c r="R67" s="674">
        <f>Q67*I67</f>
        <v>74.650000000000006</v>
      </c>
      <c r="S67" s="725">
        <v>1254</v>
      </c>
      <c r="T67" s="84">
        <f>S67*I67</f>
        <v>6270</v>
      </c>
      <c r="U67" s="726"/>
      <c r="V67" s="668">
        <v>120</v>
      </c>
      <c r="W67" s="730">
        <f>(((K67*V67)-S67)/(K67*V67))</f>
        <v>0.39490445859872614</v>
      </c>
    </row>
    <row r="68" spans="2:23" s="638" customFormat="1" ht="15.75">
      <c r="B68" s="639"/>
      <c r="C68" s="717" t="s">
        <v>2797</v>
      </c>
      <c r="D68" s="662"/>
      <c r="E68" s="158"/>
      <c r="F68" s="737"/>
      <c r="G68" s="158" t="s">
        <v>250</v>
      </c>
      <c r="H68" s="671"/>
      <c r="I68" s="676"/>
      <c r="J68" s="677">
        <v>1</v>
      </c>
      <c r="K68" s="643">
        <v>12</v>
      </c>
      <c r="L68" s="643">
        <f>K68*J68</f>
        <v>12</v>
      </c>
      <c r="M68" s="678"/>
      <c r="N68" s="706">
        <v>45131</v>
      </c>
      <c r="O68" s="707">
        <v>5395</v>
      </c>
      <c r="P68" s="504"/>
      <c r="Q68" s="674">
        <v>12</v>
      </c>
      <c r="R68" s="674">
        <f>Q68*J68</f>
        <v>12</v>
      </c>
      <c r="S68" s="638">
        <v>1000</v>
      </c>
      <c r="T68" s="84">
        <v>1000</v>
      </c>
      <c r="U68" s="726"/>
      <c r="V68" s="668">
        <v>120</v>
      </c>
      <c r="W68" s="730"/>
    </row>
    <row r="69" spans="2:23" s="709" customFormat="1" ht="15.75">
      <c r="B69" s="710"/>
      <c r="C69" s="719" t="s">
        <v>2797</v>
      </c>
      <c r="D69" s="680"/>
      <c r="E69" s="681"/>
      <c r="F69" s="738"/>
      <c r="G69" s="682" t="s">
        <v>210</v>
      </c>
      <c r="H69" s="683" t="s">
        <v>2754</v>
      </c>
      <c r="I69" s="684"/>
      <c r="J69" s="685"/>
      <c r="K69" s="720">
        <v>46</v>
      </c>
      <c r="L69" s="720">
        <v>46</v>
      </c>
      <c r="M69" s="712"/>
      <c r="N69" s="712">
        <v>45131</v>
      </c>
      <c r="O69" s="713">
        <v>5395</v>
      </c>
      <c r="P69" s="687"/>
      <c r="Q69" s="720">
        <v>46</v>
      </c>
      <c r="R69" s="720">
        <v>46</v>
      </c>
      <c r="S69" s="725">
        <v>5203</v>
      </c>
      <c r="T69" s="725">
        <v>5203</v>
      </c>
      <c r="U69" s="690"/>
      <c r="V69" s="668">
        <v>120</v>
      </c>
    </row>
    <row r="70" spans="2:23" s="638" customFormat="1" ht="18" customHeight="1">
      <c r="B70" s="639"/>
      <c r="C70" s="717" t="s">
        <v>2800</v>
      </c>
      <c r="D70" s="662"/>
      <c r="E70" s="14" t="s">
        <v>2773</v>
      </c>
      <c r="F70" s="736"/>
      <c r="G70" s="664"/>
      <c r="H70" s="665"/>
      <c r="I70" s="665"/>
      <c r="J70" s="665"/>
      <c r="K70" s="505" t="s">
        <v>4</v>
      </c>
      <c r="L70" s="729"/>
      <c r="M70" s="706"/>
      <c r="N70" s="706">
        <v>45133</v>
      </c>
      <c r="O70" s="707">
        <v>5353</v>
      </c>
      <c r="P70" s="504"/>
      <c r="Q70" s="666"/>
      <c r="U70" s="667"/>
      <c r="V70" s="668">
        <v>120</v>
      </c>
    </row>
    <row r="71" spans="2:23" s="638" customFormat="1" ht="17.25" customHeight="1">
      <c r="B71" s="639" t="s">
        <v>236</v>
      </c>
      <c r="C71" s="717" t="s">
        <v>2800</v>
      </c>
      <c r="D71" s="662"/>
      <c r="E71" s="17">
        <v>3709</v>
      </c>
      <c r="F71" s="739" t="s">
        <v>2769</v>
      </c>
      <c r="G71" s="17" t="s">
        <v>2801</v>
      </c>
      <c r="H71" s="6">
        <v>30</v>
      </c>
      <c r="I71" s="30">
        <v>3</v>
      </c>
      <c r="J71" s="6">
        <f>H71*I71</f>
        <v>90</v>
      </c>
      <c r="K71" s="33">
        <v>11.99</v>
      </c>
      <c r="L71" s="643">
        <f>K71*I71</f>
        <v>35.97</v>
      </c>
      <c r="M71" s="672" t="s">
        <v>255</v>
      </c>
      <c r="N71" s="706">
        <v>45133</v>
      </c>
      <c r="O71" s="707">
        <v>5353</v>
      </c>
      <c r="P71" s="673">
        <f>ROUNDUP(S71/V71/VLOOKUP(B71,$C$2:$F$6,3,FALSE),2)</f>
        <v>9.42</v>
      </c>
      <c r="Q71" s="674">
        <v>9.42</v>
      </c>
      <c r="R71" s="674">
        <f>Q71*I71</f>
        <v>28.259999999999998</v>
      </c>
      <c r="S71" s="725">
        <v>791</v>
      </c>
      <c r="T71" s="84">
        <f>S71*I71</f>
        <v>2373</v>
      </c>
      <c r="U71" s="723"/>
      <c r="V71" s="668">
        <v>120</v>
      </c>
      <c r="W71" s="730">
        <f>(((K71*V71)-S71)/(K71*V71))</f>
        <v>0.45023630803447318</v>
      </c>
    </row>
    <row r="72" spans="2:23" s="638" customFormat="1" ht="17.25" customHeight="1">
      <c r="B72" s="639" t="s">
        <v>236</v>
      </c>
      <c r="C72" s="717" t="s">
        <v>2800</v>
      </c>
      <c r="D72" s="662"/>
      <c r="E72" s="17">
        <v>3709</v>
      </c>
      <c r="F72" s="739" t="s">
        <v>2768</v>
      </c>
      <c r="G72" s="17" t="s">
        <v>2802</v>
      </c>
      <c r="H72" s="100">
        <v>30</v>
      </c>
      <c r="I72" s="101">
        <v>3</v>
      </c>
      <c r="J72" s="6">
        <f>H72*I72</f>
        <v>90</v>
      </c>
      <c r="K72" s="33">
        <v>13.65</v>
      </c>
      <c r="L72" s="643">
        <f>K72*I72</f>
        <v>40.950000000000003</v>
      </c>
      <c r="M72" s="672" t="s">
        <v>255</v>
      </c>
      <c r="N72" s="706">
        <v>45133</v>
      </c>
      <c r="O72" s="707">
        <v>5353</v>
      </c>
      <c r="P72" s="673">
        <f>ROUNDUP(S72/V72/VLOOKUP(B72,$C$2:$F$6,3,FALSE),2)</f>
        <v>10.73</v>
      </c>
      <c r="Q72" s="674">
        <v>10.73</v>
      </c>
      <c r="R72" s="674">
        <f>Q72*I72</f>
        <v>32.19</v>
      </c>
      <c r="S72" s="725">
        <v>901</v>
      </c>
      <c r="T72" s="84">
        <f>S72*I72</f>
        <v>2703</v>
      </c>
      <c r="U72" s="723"/>
      <c r="V72" s="668">
        <v>120</v>
      </c>
      <c r="W72" s="730">
        <f>(((K72*V72)-S72)/(K72*V72))</f>
        <v>0.44993894993894995</v>
      </c>
    </row>
    <row r="73" spans="2:23" s="638" customFormat="1" ht="17.25" customHeight="1">
      <c r="B73" s="639"/>
      <c r="C73" s="717" t="s">
        <v>2800</v>
      </c>
      <c r="D73" s="662"/>
      <c r="E73" s="14" t="s">
        <v>2774</v>
      </c>
      <c r="F73" s="739"/>
      <c r="G73" s="17"/>
      <c r="H73" s="100"/>
      <c r="I73" s="101"/>
      <c r="J73" s="6"/>
      <c r="K73" s="33"/>
      <c r="L73" s="643"/>
      <c r="M73" s="672"/>
      <c r="N73" s="706">
        <v>45133</v>
      </c>
      <c r="O73" s="707">
        <v>5353</v>
      </c>
      <c r="P73" s="673"/>
      <c r="Q73" s="674"/>
      <c r="R73" s="674"/>
      <c r="S73" s="728" t="s">
        <v>2776</v>
      </c>
      <c r="T73" s="84"/>
      <c r="U73" s="728" t="s">
        <v>2775</v>
      </c>
      <c r="V73" s="668"/>
    </row>
    <row r="74" spans="2:23" s="638" customFormat="1" ht="17.25" customHeight="1">
      <c r="B74" s="639" t="s">
        <v>236</v>
      </c>
      <c r="C74" s="717" t="s">
        <v>2800</v>
      </c>
      <c r="D74" s="662"/>
      <c r="E74" s="17">
        <v>3705</v>
      </c>
      <c r="F74" s="739" t="s">
        <v>2807</v>
      </c>
      <c r="G74" s="17" t="s">
        <v>2803</v>
      </c>
      <c r="H74" s="100">
        <v>30</v>
      </c>
      <c r="I74" s="101">
        <v>3</v>
      </c>
      <c r="J74" s="6">
        <f t="shared" ref="J74:J87" si="11">H74*I74</f>
        <v>90</v>
      </c>
      <c r="K74" s="33">
        <v>7.99</v>
      </c>
      <c r="L74" s="643">
        <f t="shared" ref="L74:L87" si="12">K74*I74</f>
        <v>23.97</v>
      </c>
      <c r="M74" s="672" t="s">
        <v>255</v>
      </c>
      <c r="N74" s="706">
        <v>45133</v>
      </c>
      <c r="O74" s="707">
        <v>5353</v>
      </c>
      <c r="P74" s="673">
        <f t="shared" ref="P74:P87" si="13">ROUNDUP(S74/V74/VLOOKUP(B74,$C$2:$F$6,3,FALSE),2)</f>
        <v>5.46</v>
      </c>
      <c r="Q74" s="674">
        <v>5.46</v>
      </c>
      <c r="R74" s="674">
        <f t="shared" ref="R74:R87" si="14">Q74*I74</f>
        <v>16.38</v>
      </c>
      <c r="S74" s="725">
        <v>458</v>
      </c>
      <c r="T74" s="84">
        <f t="shared" ref="T74:T87" si="15">S74*I74</f>
        <v>1374</v>
      </c>
      <c r="U74" s="726">
        <v>527</v>
      </c>
      <c r="V74" s="668">
        <v>120</v>
      </c>
      <c r="W74" s="730">
        <f t="shared" ref="W74:W87" si="16">(((K74*V74)-S74)/(K74*V74))</f>
        <v>0.52231956612432207</v>
      </c>
    </row>
    <row r="75" spans="2:23" s="638" customFormat="1" ht="17.25" customHeight="1">
      <c r="B75" s="639" t="s">
        <v>236</v>
      </c>
      <c r="C75" s="717" t="s">
        <v>2800</v>
      </c>
      <c r="D75" s="662"/>
      <c r="E75" s="17">
        <v>3705</v>
      </c>
      <c r="F75" s="740" t="s">
        <v>2768</v>
      </c>
      <c r="G75" s="17" t="s">
        <v>2803</v>
      </c>
      <c r="H75" s="6">
        <v>30</v>
      </c>
      <c r="I75" s="30">
        <v>3</v>
      </c>
      <c r="J75" s="6">
        <f t="shared" si="11"/>
        <v>90</v>
      </c>
      <c r="K75" s="33">
        <v>9.09</v>
      </c>
      <c r="L75" s="643">
        <f t="shared" si="12"/>
        <v>27.27</v>
      </c>
      <c r="M75" s="672" t="s">
        <v>255</v>
      </c>
      <c r="N75" s="706">
        <v>45133</v>
      </c>
      <c r="O75" s="707">
        <v>5353</v>
      </c>
      <c r="P75" s="673">
        <f t="shared" si="13"/>
        <v>6.14</v>
      </c>
      <c r="Q75" s="674">
        <v>6.14</v>
      </c>
      <c r="R75" s="674">
        <f t="shared" si="14"/>
        <v>18.419999999999998</v>
      </c>
      <c r="S75" s="725">
        <v>515</v>
      </c>
      <c r="T75" s="84">
        <f t="shared" si="15"/>
        <v>1545</v>
      </c>
      <c r="U75" s="726">
        <v>600</v>
      </c>
      <c r="V75" s="668">
        <v>120</v>
      </c>
      <c r="W75" s="730">
        <f t="shared" si="16"/>
        <v>0.52786945361202786</v>
      </c>
    </row>
    <row r="76" spans="2:23" s="638" customFormat="1" ht="17.25" customHeight="1">
      <c r="B76" s="639" t="s">
        <v>236</v>
      </c>
      <c r="C76" s="717" t="s">
        <v>2800</v>
      </c>
      <c r="D76" s="662"/>
      <c r="E76" s="17">
        <v>3705</v>
      </c>
      <c r="F76" s="740" t="s">
        <v>2767</v>
      </c>
      <c r="G76" s="17" t="s">
        <v>2803</v>
      </c>
      <c r="H76" s="6">
        <v>30</v>
      </c>
      <c r="I76" s="30">
        <v>3</v>
      </c>
      <c r="J76" s="6">
        <f t="shared" si="11"/>
        <v>90</v>
      </c>
      <c r="K76" s="33">
        <v>15.94</v>
      </c>
      <c r="L76" s="643">
        <f t="shared" si="12"/>
        <v>47.82</v>
      </c>
      <c r="M76" s="672" t="s">
        <v>255</v>
      </c>
      <c r="N76" s="706">
        <v>45133</v>
      </c>
      <c r="O76" s="707">
        <v>5353</v>
      </c>
      <c r="P76" s="673">
        <f t="shared" si="13"/>
        <v>10.73</v>
      </c>
      <c r="Q76" s="674">
        <v>10.73</v>
      </c>
      <c r="R76" s="674">
        <f t="shared" si="14"/>
        <v>32.19</v>
      </c>
      <c r="S76" s="725">
        <v>901</v>
      </c>
      <c r="T76" s="84">
        <f t="shared" si="15"/>
        <v>2703</v>
      </c>
      <c r="U76" s="726">
        <v>1052</v>
      </c>
      <c r="V76" s="668">
        <v>120</v>
      </c>
      <c r="W76" s="730">
        <f t="shared" si="16"/>
        <v>0.52896277708071937</v>
      </c>
    </row>
    <row r="77" spans="2:23" s="638" customFormat="1" ht="17.25" customHeight="1">
      <c r="B77" s="639" t="s">
        <v>236</v>
      </c>
      <c r="C77" s="717" t="s">
        <v>2800</v>
      </c>
      <c r="D77" s="662"/>
      <c r="E77" s="17">
        <v>3705</v>
      </c>
      <c r="F77" s="739" t="s">
        <v>2766</v>
      </c>
      <c r="G77" s="31" t="s">
        <v>2803</v>
      </c>
      <c r="H77" s="6">
        <v>30</v>
      </c>
      <c r="I77" s="101">
        <v>3</v>
      </c>
      <c r="J77" s="6">
        <f t="shared" si="11"/>
        <v>90</v>
      </c>
      <c r="K77" s="33">
        <v>20.88</v>
      </c>
      <c r="L77" s="643">
        <f t="shared" si="12"/>
        <v>62.64</v>
      </c>
      <c r="M77" s="672" t="s">
        <v>255</v>
      </c>
      <c r="N77" s="706">
        <v>45133</v>
      </c>
      <c r="O77" s="707">
        <v>5353</v>
      </c>
      <c r="P77" s="673">
        <f t="shared" si="13"/>
        <v>14.04</v>
      </c>
      <c r="Q77" s="674">
        <v>14.04</v>
      </c>
      <c r="R77" s="674">
        <f t="shared" si="14"/>
        <v>42.12</v>
      </c>
      <c r="S77" s="725">
        <v>1179</v>
      </c>
      <c r="T77" s="84">
        <f t="shared" si="15"/>
        <v>3537</v>
      </c>
      <c r="U77" s="726">
        <v>1378</v>
      </c>
      <c r="V77" s="668">
        <v>120</v>
      </c>
      <c r="W77" s="730">
        <f t="shared" si="16"/>
        <v>0.52945402298850575</v>
      </c>
    </row>
    <row r="78" spans="2:23" s="638" customFormat="1" ht="17.25" customHeight="1">
      <c r="B78" s="639" t="s">
        <v>236</v>
      </c>
      <c r="C78" s="717" t="s">
        <v>2800</v>
      </c>
      <c r="D78" s="662"/>
      <c r="E78" s="17">
        <v>3705</v>
      </c>
      <c r="F78" s="739" t="s">
        <v>2769</v>
      </c>
      <c r="G78" s="17" t="s">
        <v>2804</v>
      </c>
      <c r="H78" s="100">
        <v>30</v>
      </c>
      <c r="I78" s="101">
        <v>3</v>
      </c>
      <c r="J78" s="6">
        <f t="shared" ref="J78:J83" si="17">H78*I78</f>
        <v>90</v>
      </c>
      <c r="K78" s="33">
        <v>7.99</v>
      </c>
      <c r="L78" s="643">
        <f t="shared" ref="L78:L83" si="18">K78*I78</f>
        <v>23.97</v>
      </c>
      <c r="M78" s="672" t="s">
        <v>255</v>
      </c>
      <c r="N78" s="706">
        <v>45133</v>
      </c>
      <c r="O78" s="707">
        <v>5353</v>
      </c>
      <c r="P78" s="673">
        <f t="shared" ref="P78:P83" si="19">ROUNDUP(S78/V78/VLOOKUP(B78,$C$2:$F$6,3,FALSE),2)</f>
        <v>5.46</v>
      </c>
      <c r="Q78" s="674">
        <v>5.46</v>
      </c>
      <c r="R78" s="674">
        <f t="shared" ref="R78:R83" si="20">Q78*I78</f>
        <v>16.38</v>
      </c>
      <c r="S78" s="725">
        <v>458</v>
      </c>
      <c r="T78" s="84">
        <f t="shared" ref="T78:T83" si="21">S78*I78</f>
        <v>1374</v>
      </c>
      <c r="U78" s="726">
        <v>527</v>
      </c>
      <c r="V78" s="668">
        <v>120</v>
      </c>
      <c r="W78" s="730">
        <f t="shared" ref="W78:W83" si="22">(((K78*V78)-S78)/(K78*V78))</f>
        <v>0.52231956612432207</v>
      </c>
    </row>
    <row r="79" spans="2:23" s="638" customFormat="1" ht="17.25" customHeight="1">
      <c r="B79" s="639" t="s">
        <v>236</v>
      </c>
      <c r="C79" s="717" t="s">
        <v>2800</v>
      </c>
      <c r="D79" s="662"/>
      <c r="E79" s="17">
        <v>3705</v>
      </c>
      <c r="F79" s="740" t="s">
        <v>2768</v>
      </c>
      <c r="G79" s="17" t="s">
        <v>2804</v>
      </c>
      <c r="H79" s="6">
        <v>30</v>
      </c>
      <c r="I79" s="30">
        <v>3</v>
      </c>
      <c r="J79" s="6">
        <f t="shared" si="17"/>
        <v>90</v>
      </c>
      <c r="K79" s="33">
        <v>9.09</v>
      </c>
      <c r="L79" s="643">
        <f t="shared" si="18"/>
        <v>27.27</v>
      </c>
      <c r="M79" s="672" t="s">
        <v>255</v>
      </c>
      <c r="N79" s="706">
        <v>45133</v>
      </c>
      <c r="O79" s="707">
        <v>5353</v>
      </c>
      <c r="P79" s="673">
        <f t="shared" si="19"/>
        <v>6.14</v>
      </c>
      <c r="Q79" s="674">
        <v>6.14</v>
      </c>
      <c r="R79" s="674">
        <f t="shared" si="20"/>
        <v>18.419999999999998</v>
      </c>
      <c r="S79" s="725">
        <v>515</v>
      </c>
      <c r="T79" s="84">
        <f t="shared" si="21"/>
        <v>1545</v>
      </c>
      <c r="U79" s="726">
        <v>600</v>
      </c>
      <c r="V79" s="668">
        <v>120</v>
      </c>
      <c r="W79" s="730">
        <f t="shared" si="22"/>
        <v>0.52786945361202786</v>
      </c>
    </row>
    <row r="80" spans="2:23" s="638" customFormat="1" ht="17.25" customHeight="1">
      <c r="B80" s="639" t="s">
        <v>236</v>
      </c>
      <c r="C80" s="717" t="s">
        <v>2800</v>
      </c>
      <c r="D80" s="662"/>
      <c r="E80" s="17">
        <v>3705</v>
      </c>
      <c r="F80" s="739" t="s">
        <v>2766</v>
      </c>
      <c r="G80" s="31" t="s">
        <v>2804</v>
      </c>
      <c r="H80" s="6">
        <v>30</v>
      </c>
      <c r="I80" s="101">
        <v>3</v>
      </c>
      <c r="J80" s="6">
        <f t="shared" si="17"/>
        <v>90</v>
      </c>
      <c r="K80" s="33">
        <v>20.88</v>
      </c>
      <c r="L80" s="643">
        <f t="shared" si="18"/>
        <v>62.64</v>
      </c>
      <c r="M80" s="672" t="s">
        <v>255</v>
      </c>
      <c r="N80" s="706">
        <v>45133</v>
      </c>
      <c r="O80" s="707">
        <v>5353</v>
      </c>
      <c r="P80" s="673">
        <f t="shared" si="19"/>
        <v>14.04</v>
      </c>
      <c r="Q80" s="674">
        <v>14.04</v>
      </c>
      <c r="R80" s="674">
        <f t="shared" si="20"/>
        <v>42.12</v>
      </c>
      <c r="S80" s="725">
        <v>1179</v>
      </c>
      <c r="T80" s="84">
        <f t="shared" si="21"/>
        <v>3537</v>
      </c>
      <c r="U80" s="726">
        <v>1378</v>
      </c>
      <c r="V80" s="668">
        <v>120</v>
      </c>
      <c r="W80" s="730">
        <f t="shared" si="22"/>
        <v>0.52945402298850575</v>
      </c>
    </row>
    <row r="81" spans="2:23" s="638" customFormat="1" ht="17.25" customHeight="1">
      <c r="B81" s="639" t="s">
        <v>236</v>
      </c>
      <c r="C81" s="717" t="s">
        <v>2800</v>
      </c>
      <c r="D81" s="662"/>
      <c r="E81" s="17">
        <v>3705</v>
      </c>
      <c r="F81" s="739" t="s">
        <v>2769</v>
      </c>
      <c r="G81" s="17" t="s">
        <v>2805</v>
      </c>
      <c r="H81" s="100">
        <v>30</v>
      </c>
      <c r="I81" s="101">
        <v>3</v>
      </c>
      <c r="J81" s="6">
        <f t="shared" si="17"/>
        <v>90</v>
      </c>
      <c r="K81" s="33">
        <v>7.99</v>
      </c>
      <c r="L81" s="643">
        <f t="shared" si="18"/>
        <v>23.97</v>
      </c>
      <c r="M81" s="672" t="s">
        <v>255</v>
      </c>
      <c r="N81" s="706">
        <v>45133</v>
      </c>
      <c r="O81" s="707">
        <v>5353</v>
      </c>
      <c r="P81" s="673">
        <f t="shared" si="19"/>
        <v>5.46</v>
      </c>
      <c r="Q81" s="674">
        <v>5.46</v>
      </c>
      <c r="R81" s="674">
        <f t="shared" si="20"/>
        <v>16.38</v>
      </c>
      <c r="S81" s="725">
        <v>458</v>
      </c>
      <c r="T81" s="84">
        <f t="shared" si="21"/>
        <v>1374</v>
      </c>
      <c r="U81" s="726">
        <v>527</v>
      </c>
      <c r="V81" s="668">
        <v>120</v>
      </c>
      <c r="W81" s="730">
        <f t="shared" si="22"/>
        <v>0.52231956612432207</v>
      </c>
    </row>
    <row r="82" spans="2:23" s="638" customFormat="1" ht="17.25" customHeight="1">
      <c r="B82" s="639" t="s">
        <v>236</v>
      </c>
      <c r="C82" s="717" t="s">
        <v>2800</v>
      </c>
      <c r="D82" s="662"/>
      <c r="E82" s="17">
        <v>3705</v>
      </c>
      <c r="F82" s="740" t="s">
        <v>2767</v>
      </c>
      <c r="G82" s="17" t="s">
        <v>2805</v>
      </c>
      <c r="H82" s="6">
        <v>30</v>
      </c>
      <c r="I82" s="30">
        <v>3</v>
      </c>
      <c r="J82" s="6">
        <f t="shared" si="17"/>
        <v>90</v>
      </c>
      <c r="K82" s="33">
        <v>15.94</v>
      </c>
      <c r="L82" s="643">
        <f t="shared" si="18"/>
        <v>47.82</v>
      </c>
      <c r="M82" s="672" t="s">
        <v>255</v>
      </c>
      <c r="N82" s="706">
        <v>45133</v>
      </c>
      <c r="O82" s="707">
        <v>5353</v>
      </c>
      <c r="P82" s="673">
        <f t="shared" si="19"/>
        <v>10.73</v>
      </c>
      <c r="Q82" s="674">
        <v>10.73</v>
      </c>
      <c r="R82" s="674">
        <f t="shared" si="20"/>
        <v>32.19</v>
      </c>
      <c r="S82" s="725">
        <v>901</v>
      </c>
      <c r="T82" s="84">
        <f t="shared" si="21"/>
        <v>2703</v>
      </c>
      <c r="U82" s="726">
        <v>1052</v>
      </c>
      <c r="V82" s="668">
        <v>120</v>
      </c>
      <c r="W82" s="730">
        <f t="shared" si="22"/>
        <v>0.52896277708071937</v>
      </c>
    </row>
    <row r="83" spans="2:23" s="638" customFormat="1" ht="17.25" customHeight="1">
      <c r="B83" s="639" t="s">
        <v>236</v>
      </c>
      <c r="C83" s="717" t="s">
        <v>2800</v>
      </c>
      <c r="D83" s="662"/>
      <c r="E83" s="17">
        <v>3705</v>
      </c>
      <c r="F83" s="739" t="s">
        <v>2766</v>
      </c>
      <c r="G83" s="31" t="s">
        <v>2805</v>
      </c>
      <c r="H83" s="6">
        <v>30</v>
      </c>
      <c r="I83" s="101">
        <v>3</v>
      </c>
      <c r="J83" s="6">
        <f t="shared" si="17"/>
        <v>90</v>
      </c>
      <c r="K83" s="33">
        <v>20.88</v>
      </c>
      <c r="L83" s="643">
        <f t="shared" si="18"/>
        <v>62.64</v>
      </c>
      <c r="M83" s="672" t="s">
        <v>255</v>
      </c>
      <c r="N83" s="706">
        <v>45133</v>
      </c>
      <c r="O83" s="707">
        <v>5353</v>
      </c>
      <c r="P83" s="673">
        <f t="shared" si="19"/>
        <v>14.04</v>
      </c>
      <c r="Q83" s="674">
        <v>14.04</v>
      </c>
      <c r="R83" s="674">
        <f t="shared" si="20"/>
        <v>42.12</v>
      </c>
      <c r="S83" s="725">
        <v>1179</v>
      </c>
      <c r="T83" s="84">
        <f t="shared" si="21"/>
        <v>3537</v>
      </c>
      <c r="U83" s="726">
        <v>1378</v>
      </c>
      <c r="V83" s="668">
        <v>120</v>
      </c>
      <c r="W83" s="730">
        <f t="shared" si="22"/>
        <v>0.52945402298850575</v>
      </c>
    </row>
    <row r="84" spans="2:23" s="638" customFormat="1" ht="17.25" customHeight="1">
      <c r="B84" s="639" t="s">
        <v>236</v>
      </c>
      <c r="C84" s="717" t="s">
        <v>2800</v>
      </c>
      <c r="D84" s="662"/>
      <c r="E84" s="17">
        <v>3705</v>
      </c>
      <c r="F84" s="739" t="s">
        <v>2764</v>
      </c>
      <c r="G84" s="17" t="s">
        <v>2805</v>
      </c>
      <c r="H84" s="100">
        <v>30</v>
      </c>
      <c r="I84" s="101">
        <v>3</v>
      </c>
      <c r="J84" s="6">
        <f t="shared" si="11"/>
        <v>90</v>
      </c>
      <c r="K84" s="33">
        <v>23.9</v>
      </c>
      <c r="L84" s="643">
        <f t="shared" si="12"/>
        <v>71.699999999999989</v>
      </c>
      <c r="M84" s="672" t="s">
        <v>255</v>
      </c>
      <c r="N84" s="706">
        <v>45133</v>
      </c>
      <c r="O84" s="707">
        <v>5353</v>
      </c>
      <c r="P84" s="673">
        <f t="shared" si="13"/>
        <v>16.09</v>
      </c>
      <c r="Q84" s="674">
        <v>16.09</v>
      </c>
      <c r="R84" s="674">
        <f t="shared" si="14"/>
        <v>48.269999999999996</v>
      </c>
      <c r="S84" s="725">
        <v>1351</v>
      </c>
      <c r="T84" s="84">
        <f t="shared" si="15"/>
        <v>4053</v>
      </c>
      <c r="U84" s="726">
        <v>1577</v>
      </c>
      <c r="V84" s="668">
        <v>120</v>
      </c>
      <c r="W84" s="730">
        <f t="shared" si="16"/>
        <v>0.52894002789400274</v>
      </c>
    </row>
    <row r="85" spans="2:23" s="638" customFormat="1" ht="17.25" customHeight="1">
      <c r="B85" s="639" t="s">
        <v>236</v>
      </c>
      <c r="C85" s="717" t="s">
        <v>2800</v>
      </c>
      <c r="D85" s="662"/>
      <c r="E85" s="17">
        <v>3705</v>
      </c>
      <c r="F85" s="739" t="s">
        <v>2769</v>
      </c>
      <c r="G85" s="17" t="s">
        <v>2806</v>
      </c>
      <c r="H85" s="100">
        <v>30</v>
      </c>
      <c r="I85" s="101">
        <v>3</v>
      </c>
      <c r="J85" s="6">
        <f t="shared" si="11"/>
        <v>90</v>
      </c>
      <c r="K85" s="33">
        <v>7.99</v>
      </c>
      <c r="L85" s="643">
        <f t="shared" si="12"/>
        <v>23.97</v>
      </c>
      <c r="M85" s="672" t="s">
        <v>255</v>
      </c>
      <c r="N85" s="706">
        <v>45133</v>
      </c>
      <c r="O85" s="707">
        <v>5353</v>
      </c>
      <c r="P85" s="673">
        <f t="shared" si="13"/>
        <v>5.46</v>
      </c>
      <c r="Q85" s="674">
        <v>5.46</v>
      </c>
      <c r="R85" s="674">
        <f t="shared" si="14"/>
        <v>16.38</v>
      </c>
      <c r="S85" s="725">
        <v>458</v>
      </c>
      <c r="T85" s="84">
        <f t="shared" si="15"/>
        <v>1374</v>
      </c>
      <c r="U85" s="726">
        <v>527</v>
      </c>
      <c r="V85" s="668">
        <v>120</v>
      </c>
      <c r="W85" s="730">
        <f t="shared" si="16"/>
        <v>0.52231956612432207</v>
      </c>
    </row>
    <row r="86" spans="2:23" s="638" customFormat="1" ht="17.25" customHeight="1">
      <c r="B86" s="639" t="s">
        <v>236</v>
      </c>
      <c r="C86" s="717" t="s">
        <v>2800</v>
      </c>
      <c r="D86" s="662"/>
      <c r="E86" s="17">
        <v>3705</v>
      </c>
      <c r="F86" s="740" t="s">
        <v>2767</v>
      </c>
      <c r="G86" s="17" t="s">
        <v>2806</v>
      </c>
      <c r="H86" s="6">
        <v>30</v>
      </c>
      <c r="I86" s="30">
        <v>3</v>
      </c>
      <c r="J86" s="6">
        <f t="shared" si="11"/>
        <v>90</v>
      </c>
      <c r="K86" s="33">
        <v>15.94</v>
      </c>
      <c r="L86" s="643">
        <f t="shared" si="12"/>
        <v>47.82</v>
      </c>
      <c r="M86" s="672" t="s">
        <v>255</v>
      </c>
      <c r="N86" s="706">
        <v>45133</v>
      </c>
      <c r="O86" s="707">
        <v>5353</v>
      </c>
      <c r="P86" s="673">
        <f t="shared" si="13"/>
        <v>10.73</v>
      </c>
      <c r="Q86" s="674">
        <v>10.73</v>
      </c>
      <c r="R86" s="674">
        <f t="shared" si="14"/>
        <v>32.19</v>
      </c>
      <c r="S86" s="725">
        <v>901</v>
      </c>
      <c r="T86" s="84">
        <f t="shared" si="15"/>
        <v>2703</v>
      </c>
      <c r="U86" s="726">
        <v>1052</v>
      </c>
      <c r="V86" s="668">
        <v>120</v>
      </c>
      <c r="W86" s="730">
        <f t="shared" si="16"/>
        <v>0.52896277708071937</v>
      </c>
    </row>
    <row r="87" spans="2:23" s="638" customFormat="1" ht="17.25" customHeight="1">
      <c r="B87" s="639" t="s">
        <v>236</v>
      </c>
      <c r="C87" s="717" t="s">
        <v>2800</v>
      </c>
      <c r="D87" s="662"/>
      <c r="E87" s="17">
        <v>3705</v>
      </c>
      <c r="F87" s="739" t="s">
        <v>2766</v>
      </c>
      <c r="G87" s="31" t="s">
        <v>2806</v>
      </c>
      <c r="H87" s="6">
        <v>30</v>
      </c>
      <c r="I87" s="101">
        <v>3</v>
      </c>
      <c r="J87" s="6">
        <f t="shared" si="11"/>
        <v>90</v>
      </c>
      <c r="K87" s="33">
        <v>20.88</v>
      </c>
      <c r="L87" s="643">
        <f t="shared" si="12"/>
        <v>62.64</v>
      </c>
      <c r="M87" s="672" t="s">
        <v>255</v>
      </c>
      <c r="N87" s="706">
        <v>45133</v>
      </c>
      <c r="O87" s="707">
        <v>5353</v>
      </c>
      <c r="P87" s="673">
        <f t="shared" si="13"/>
        <v>14.04</v>
      </c>
      <c r="Q87" s="674">
        <v>14.04</v>
      </c>
      <c r="R87" s="674">
        <f t="shared" si="14"/>
        <v>42.12</v>
      </c>
      <c r="S87" s="725">
        <v>1179</v>
      </c>
      <c r="T87" s="84">
        <f t="shared" si="15"/>
        <v>3537</v>
      </c>
      <c r="U87" s="726">
        <v>1378</v>
      </c>
      <c r="V87" s="668">
        <v>120</v>
      </c>
      <c r="W87" s="730">
        <f t="shared" si="16"/>
        <v>0.52945402298850575</v>
      </c>
    </row>
    <row r="88" spans="2:23" s="638" customFormat="1" ht="17.25" customHeight="1">
      <c r="B88" s="639" t="s">
        <v>236</v>
      </c>
      <c r="C88" s="717" t="s">
        <v>2800</v>
      </c>
      <c r="D88" s="662"/>
      <c r="E88" s="17">
        <v>3705</v>
      </c>
      <c r="F88" s="739" t="s">
        <v>2764</v>
      </c>
      <c r="G88" s="17" t="s">
        <v>2806</v>
      </c>
      <c r="H88" s="100">
        <v>30</v>
      </c>
      <c r="I88" s="101">
        <v>3</v>
      </c>
      <c r="J88" s="6">
        <f>H88*I88</f>
        <v>90</v>
      </c>
      <c r="K88" s="33">
        <v>23.9</v>
      </c>
      <c r="L88" s="643">
        <f>K88*I88</f>
        <v>71.699999999999989</v>
      </c>
      <c r="M88" s="672" t="s">
        <v>255</v>
      </c>
      <c r="N88" s="706">
        <v>45133</v>
      </c>
      <c r="O88" s="707">
        <v>5353</v>
      </c>
      <c r="P88" s="673">
        <f>ROUNDUP(S88/V88/VLOOKUP(B88,$C$2:$F$6,3,FALSE),2)</f>
        <v>16.09</v>
      </c>
      <c r="Q88" s="674">
        <v>16.09</v>
      </c>
      <c r="R88" s="674">
        <f>Q88*I88</f>
        <v>48.269999999999996</v>
      </c>
      <c r="S88" s="725">
        <v>1351</v>
      </c>
      <c r="T88" s="84">
        <f>S88*I88</f>
        <v>4053</v>
      </c>
      <c r="U88" s="726">
        <v>1577</v>
      </c>
      <c r="V88" s="668">
        <v>120</v>
      </c>
      <c r="W88" s="730">
        <f>(((K88*V88)-S88)/(K88*V88))</f>
        <v>0.52894002789400274</v>
      </c>
    </row>
    <row r="89" spans="2:23" s="638" customFormat="1" ht="15.75">
      <c r="B89" s="639"/>
      <c r="C89" s="717" t="s">
        <v>2800</v>
      </c>
      <c r="D89" s="662"/>
      <c r="E89" s="158"/>
      <c r="F89" s="737"/>
      <c r="G89" s="158" t="s">
        <v>250</v>
      </c>
      <c r="H89" s="671"/>
      <c r="I89" s="676"/>
      <c r="J89" s="677">
        <v>1</v>
      </c>
      <c r="K89" s="643">
        <v>12</v>
      </c>
      <c r="L89" s="643">
        <f>K89*J89</f>
        <v>12</v>
      </c>
      <c r="M89" s="678"/>
      <c r="N89" s="706">
        <v>45133</v>
      </c>
      <c r="O89" s="707">
        <v>5353</v>
      </c>
      <c r="P89" s="504"/>
      <c r="Q89" s="674">
        <v>12</v>
      </c>
      <c r="R89" s="674">
        <f>Q89*J89</f>
        <v>12</v>
      </c>
      <c r="S89" s="638">
        <v>0</v>
      </c>
      <c r="T89" s="84">
        <v>0</v>
      </c>
      <c r="U89" s="726"/>
      <c r="V89" s="668">
        <v>120</v>
      </c>
      <c r="W89" s="730"/>
    </row>
    <row r="90" spans="2:23" s="709" customFormat="1" ht="15.75">
      <c r="B90" s="710"/>
      <c r="C90" s="719" t="s">
        <v>2800</v>
      </c>
      <c r="D90" s="680"/>
      <c r="E90" s="681"/>
      <c r="F90" s="738"/>
      <c r="G90" s="682" t="s">
        <v>210</v>
      </c>
      <c r="H90" s="683" t="s">
        <v>2754</v>
      </c>
      <c r="I90" s="684"/>
      <c r="J90" s="685"/>
      <c r="K90" s="720">
        <v>157</v>
      </c>
      <c r="L90" s="720">
        <v>157</v>
      </c>
      <c r="M90" s="712"/>
      <c r="N90" s="712">
        <v>45133</v>
      </c>
      <c r="O90" s="713">
        <v>5353</v>
      </c>
      <c r="P90" s="687"/>
      <c r="Q90" s="720">
        <v>157</v>
      </c>
      <c r="R90" s="720">
        <v>157</v>
      </c>
      <c r="S90" s="725">
        <v>18021</v>
      </c>
      <c r="T90" s="725">
        <v>18021</v>
      </c>
      <c r="U90" s="690"/>
      <c r="V90" s="668">
        <v>120</v>
      </c>
    </row>
    <row r="91" spans="2:23" s="638" customFormat="1" ht="17.25" customHeight="1">
      <c r="B91" s="639"/>
      <c r="C91" s="717" t="s">
        <v>2800</v>
      </c>
      <c r="D91" s="662"/>
      <c r="E91" s="14" t="s">
        <v>2774</v>
      </c>
      <c r="F91" s="739"/>
      <c r="G91" s="17"/>
      <c r="H91" s="100"/>
      <c r="I91" s="101"/>
      <c r="J91" s="6"/>
      <c r="K91" s="505" t="s">
        <v>4</v>
      </c>
      <c r="L91" s="643"/>
      <c r="M91" s="672"/>
      <c r="N91" s="706">
        <v>45174</v>
      </c>
      <c r="O91" s="707">
        <v>5451</v>
      </c>
      <c r="P91" s="673"/>
      <c r="Q91" s="674"/>
      <c r="R91" s="674"/>
      <c r="S91" s="728" t="s">
        <v>2776</v>
      </c>
      <c r="T91" s="84"/>
      <c r="U91" s="728" t="s">
        <v>2775</v>
      </c>
      <c r="V91" s="668"/>
    </row>
    <row r="92" spans="2:23" s="638" customFormat="1" ht="17.25" customHeight="1">
      <c r="B92" s="639" t="s">
        <v>236</v>
      </c>
      <c r="C92" s="717" t="s">
        <v>2800</v>
      </c>
      <c r="D92" s="662"/>
      <c r="E92" s="17">
        <v>3705</v>
      </c>
      <c r="F92" s="740" t="s">
        <v>2767</v>
      </c>
      <c r="G92" s="17" t="s">
        <v>2804</v>
      </c>
      <c r="H92" s="6">
        <v>30</v>
      </c>
      <c r="I92" s="30">
        <v>3</v>
      </c>
      <c r="J92" s="6">
        <f>H92*I92</f>
        <v>90</v>
      </c>
      <c r="K92" s="33">
        <v>15.94</v>
      </c>
      <c r="L92" s="643">
        <f>K92*I92</f>
        <v>47.82</v>
      </c>
      <c r="M92" s="672" t="s">
        <v>255</v>
      </c>
      <c r="N92" s="706">
        <v>45174</v>
      </c>
      <c r="O92" s="707">
        <v>5451</v>
      </c>
      <c r="P92" s="673">
        <f>ROUNDUP(S92/V92/VLOOKUP(B92,$C$2:$F$6,3,FALSE),2)</f>
        <v>10.73</v>
      </c>
      <c r="Q92" s="674">
        <v>10.73</v>
      </c>
      <c r="R92" s="674">
        <f>Q92*I92</f>
        <v>32.19</v>
      </c>
      <c r="S92" s="725">
        <v>901</v>
      </c>
      <c r="T92" s="84">
        <f>S92*I92</f>
        <v>2703</v>
      </c>
      <c r="U92" s="726">
        <v>1052</v>
      </c>
      <c r="V92" s="668">
        <v>120</v>
      </c>
      <c r="W92" s="730">
        <f>(((K92*V92)-S92)/(K92*V92))</f>
        <v>0.52896277708071937</v>
      </c>
    </row>
    <row r="93" spans="2:23" s="638" customFormat="1" ht="17.25" customHeight="1">
      <c r="B93" s="639" t="s">
        <v>236</v>
      </c>
      <c r="C93" s="717" t="s">
        <v>2800</v>
      </c>
      <c r="D93" s="662"/>
      <c r="E93" s="17">
        <v>3705</v>
      </c>
      <c r="F93" s="739" t="s">
        <v>2764</v>
      </c>
      <c r="G93" s="17" t="s">
        <v>2804</v>
      </c>
      <c r="H93" s="100">
        <v>30</v>
      </c>
      <c r="I93" s="101">
        <v>3</v>
      </c>
      <c r="J93" s="6">
        <f>H93*I93</f>
        <v>90</v>
      </c>
      <c r="K93" s="33">
        <v>23.9</v>
      </c>
      <c r="L93" s="643">
        <f>K93*I93</f>
        <v>71.699999999999989</v>
      </c>
      <c r="M93" s="672" t="s">
        <v>255</v>
      </c>
      <c r="N93" s="706">
        <v>45174</v>
      </c>
      <c r="O93" s="707">
        <v>5451</v>
      </c>
      <c r="P93" s="673">
        <f>ROUNDUP(S93/V93/VLOOKUP(B93,$C$2:$F$6,3,FALSE),2)</f>
        <v>16.09</v>
      </c>
      <c r="Q93" s="674">
        <v>16.09</v>
      </c>
      <c r="R93" s="674">
        <f>Q93*I93</f>
        <v>48.269999999999996</v>
      </c>
      <c r="S93" s="725">
        <v>1351</v>
      </c>
      <c r="T93" s="84">
        <f>S93*I93</f>
        <v>4053</v>
      </c>
      <c r="U93" s="726">
        <v>1577</v>
      </c>
      <c r="V93" s="668">
        <v>120</v>
      </c>
      <c r="W93" s="730">
        <f>(((K93*V93)-S93)/(K93*V93))</f>
        <v>0.52894002789400274</v>
      </c>
    </row>
    <row r="94" spans="2:23" s="638" customFormat="1" ht="15.75">
      <c r="B94" s="639"/>
      <c r="C94" s="717" t="s">
        <v>2813</v>
      </c>
      <c r="D94" s="662"/>
      <c r="E94" s="14" t="s">
        <v>2774</v>
      </c>
      <c r="F94" s="739"/>
      <c r="G94" s="17"/>
      <c r="H94" s="100"/>
      <c r="I94" s="101"/>
      <c r="J94" s="6"/>
      <c r="K94" s="505" t="s">
        <v>4</v>
      </c>
      <c r="L94" s="643"/>
      <c r="M94" s="672"/>
      <c r="N94" s="706">
        <v>45174</v>
      </c>
      <c r="O94" s="707">
        <v>5451</v>
      </c>
      <c r="P94" s="673"/>
      <c r="Q94" s="674"/>
      <c r="R94" s="674"/>
      <c r="S94" s="728" t="s">
        <v>2776</v>
      </c>
      <c r="T94" s="84"/>
      <c r="U94" s="728" t="s">
        <v>2775</v>
      </c>
      <c r="V94" s="668"/>
    </row>
    <row r="95" spans="2:23" s="638" customFormat="1" ht="15.75">
      <c r="B95" s="639" t="s">
        <v>236</v>
      </c>
      <c r="C95" s="717" t="s">
        <v>2813</v>
      </c>
      <c r="D95" s="662"/>
      <c r="E95" s="17">
        <v>3705</v>
      </c>
      <c r="F95" s="739" t="s">
        <v>2807</v>
      </c>
      <c r="G95" s="17" t="s">
        <v>2808</v>
      </c>
      <c r="H95" s="100">
        <v>30</v>
      </c>
      <c r="I95" s="101">
        <v>3</v>
      </c>
      <c r="J95" s="6">
        <f t="shared" ref="J95:J103" si="23">H95*I95</f>
        <v>90</v>
      </c>
      <c r="K95" s="33">
        <v>7.99</v>
      </c>
      <c r="L95" s="643">
        <f t="shared" ref="L95:L103" si="24">K95*I95</f>
        <v>23.97</v>
      </c>
      <c r="M95" s="672" t="s">
        <v>255</v>
      </c>
      <c r="N95" s="706">
        <v>45174</v>
      </c>
      <c r="O95" s="707">
        <v>5451</v>
      </c>
      <c r="P95" s="673">
        <f t="shared" ref="P95:P103" si="25">ROUNDUP(S95/V95/VLOOKUP(B95,$C$2:$F$6,3,FALSE),2)</f>
        <v>5.46</v>
      </c>
      <c r="Q95" s="674">
        <v>5.46</v>
      </c>
      <c r="R95" s="674">
        <f t="shared" ref="R95:R103" si="26">Q95*I95</f>
        <v>16.38</v>
      </c>
      <c r="S95" s="725">
        <v>458</v>
      </c>
      <c r="T95" s="84">
        <f t="shared" ref="T95:T103" si="27">S95*I95</f>
        <v>1374</v>
      </c>
      <c r="U95" s="726">
        <v>527</v>
      </c>
      <c r="V95" s="668">
        <v>120</v>
      </c>
      <c r="W95" s="730">
        <f t="shared" ref="W95:W103" si="28">(((K95*V95)-S95)/(K95*V95))</f>
        <v>0.52231956612432207</v>
      </c>
    </row>
    <row r="96" spans="2:23" s="638" customFormat="1" ht="15.75">
      <c r="B96" s="639" t="s">
        <v>236</v>
      </c>
      <c r="C96" s="717" t="s">
        <v>2813</v>
      </c>
      <c r="D96" s="662"/>
      <c r="E96" s="17">
        <v>3705</v>
      </c>
      <c r="F96" s="740" t="s">
        <v>2768</v>
      </c>
      <c r="G96" s="17" t="s">
        <v>2808</v>
      </c>
      <c r="H96" s="6">
        <v>30</v>
      </c>
      <c r="I96" s="30">
        <v>3</v>
      </c>
      <c r="J96" s="6">
        <f t="shared" si="23"/>
        <v>90</v>
      </c>
      <c r="K96" s="33">
        <v>9.09</v>
      </c>
      <c r="L96" s="643">
        <f t="shared" si="24"/>
        <v>27.27</v>
      </c>
      <c r="M96" s="672" t="s">
        <v>255</v>
      </c>
      <c r="N96" s="706">
        <v>45174</v>
      </c>
      <c r="O96" s="707">
        <v>5451</v>
      </c>
      <c r="P96" s="673">
        <f t="shared" si="25"/>
        <v>6.14</v>
      </c>
      <c r="Q96" s="674">
        <v>6.14</v>
      </c>
      <c r="R96" s="674">
        <f t="shared" si="26"/>
        <v>18.419999999999998</v>
      </c>
      <c r="S96" s="725">
        <v>515</v>
      </c>
      <c r="T96" s="84">
        <f t="shared" si="27"/>
        <v>1545</v>
      </c>
      <c r="U96" s="726">
        <v>600</v>
      </c>
      <c r="V96" s="668">
        <v>120</v>
      </c>
      <c r="W96" s="730">
        <f t="shared" si="28"/>
        <v>0.52786945361202786</v>
      </c>
    </row>
    <row r="97" spans="2:23" s="638" customFormat="1" ht="15.75">
      <c r="B97" s="639" t="s">
        <v>236</v>
      </c>
      <c r="C97" s="717" t="s">
        <v>2813</v>
      </c>
      <c r="D97" s="662"/>
      <c r="E97" s="17">
        <v>3705</v>
      </c>
      <c r="F97" s="739" t="s">
        <v>2766</v>
      </c>
      <c r="G97" s="31" t="s">
        <v>2808</v>
      </c>
      <c r="H97" s="6">
        <v>30</v>
      </c>
      <c r="I97" s="101">
        <v>3</v>
      </c>
      <c r="J97" s="6">
        <f t="shared" si="23"/>
        <v>90</v>
      </c>
      <c r="K97" s="33">
        <v>20.88</v>
      </c>
      <c r="L97" s="643">
        <f t="shared" si="24"/>
        <v>62.64</v>
      </c>
      <c r="M97" s="672" t="s">
        <v>255</v>
      </c>
      <c r="N97" s="706">
        <v>45174</v>
      </c>
      <c r="O97" s="707">
        <v>5451</v>
      </c>
      <c r="P97" s="673">
        <f t="shared" si="25"/>
        <v>14.04</v>
      </c>
      <c r="Q97" s="674">
        <v>14.04</v>
      </c>
      <c r="R97" s="674">
        <f t="shared" si="26"/>
        <v>42.12</v>
      </c>
      <c r="S97" s="725">
        <v>1179</v>
      </c>
      <c r="T97" s="84">
        <f t="shared" si="27"/>
        <v>3537</v>
      </c>
      <c r="U97" s="726">
        <v>1378</v>
      </c>
      <c r="V97" s="668">
        <v>120</v>
      </c>
      <c r="W97" s="730">
        <f t="shared" si="28"/>
        <v>0.52945402298850575</v>
      </c>
    </row>
    <row r="98" spans="2:23" s="638" customFormat="1" ht="15.75">
      <c r="B98" s="639" t="s">
        <v>236</v>
      </c>
      <c r="C98" s="717" t="s">
        <v>2812</v>
      </c>
      <c r="D98" s="662"/>
      <c r="E98" s="17">
        <v>3705</v>
      </c>
      <c r="F98" s="740" t="s">
        <v>2767</v>
      </c>
      <c r="G98" s="17" t="s">
        <v>2808</v>
      </c>
      <c r="H98" s="6">
        <v>30</v>
      </c>
      <c r="I98" s="30">
        <v>3</v>
      </c>
      <c r="J98" s="6">
        <f t="shared" si="23"/>
        <v>90</v>
      </c>
      <c r="K98" s="33">
        <v>15.94</v>
      </c>
      <c r="L98" s="643">
        <f t="shared" si="24"/>
        <v>47.82</v>
      </c>
      <c r="M98" s="672" t="s">
        <v>255</v>
      </c>
      <c r="N98" s="706">
        <v>45174</v>
      </c>
      <c r="O98" s="707">
        <v>5451</v>
      </c>
      <c r="P98" s="673">
        <f t="shared" si="25"/>
        <v>10.73</v>
      </c>
      <c r="Q98" s="674">
        <v>10.73</v>
      </c>
      <c r="R98" s="674">
        <f t="shared" si="26"/>
        <v>32.19</v>
      </c>
      <c r="S98" s="725">
        <v>901</v>
      </c>
      <c r="T98" s="84">
        <f t="shared" si="27"/>
        <v>2703</v>
      </c>
      <c r="U98" s="726">
        <v>1052</v>
      </c>
      <c r="V98" s="668">
        <v>120</v>
      </c>
      <c r="W98" s="730">
        <f t="shared" si="28"/>
        <v>0.52896277708071937</v>
      </c>
    </row>
    <row r="99" spans="2:23" s="638" customFormat="1" ht="15.75">
      <c r="B99" s="639" t="s">
        <v>236</v>
      </c>
      <c r="C99" s="717" t="s">
        <v>2812</v>
      </c>
      <c r="D99" s="662"/>
      <c r="E99" s="17">
        <v>3705</v>
      </c>
      <c r="F99" s="739" t="s">
        <v>2807</v>
      </c>
      <c r="G99" s="17" t="s">
        <v>2809</v>
      </c>
      <c r="H99" s="100">
        <v>30</v>
      </c>
      <c r="I99" s="101">
        <v>3</v>
      </c>
      <c r="J99" s="6">
        <f t="shared" si="23"/>
        <v>90</v>
      </c>
      <c r="K99" s="33">
        <v>7.99</v>
      </c>
      <c r="L99" s="643">
        <f t="shared" si="24"/>
        <v>23.97</v>
      </c>
      <c r="M99" s="672" t="s">
        <v>255</v>
      </c>
      <c r="N99" s="706">
        <v>45174</v>
      </c>
      <c r="O99" s="707">
        <v>5451</v>
      </c>
      <c r="P99" s="673">
        <f t="shared" si="25"/>
        <v>5.46</v>
      </c>
      <c r="Q99" s="674">
        <v>5.46</v>
      </c>
      <c r="R99" s="674">
        <f t="shared" si="26"/>
        <v>16.38</v>
      </c>
      <c r="S99" s="725">
        <v>458</v>
      </c>
      <c r="T99" s="84">
        <f t="shared" si="27"/>
        <v>1374</v>
      </c>
      <c r="U99" s="726">
        <v>527</v>
      </c>
      <c r="V99" s="668">
        <v>120</v>
      </c>
      <c r="W99" s="730">
        <f t="shared" si="28"/>
        <v>0.52231956612432207</v>
      </c>
    </row>
    <row r="100" spans="2:23" s="638" customFormat="1" ht="15.75">
      <c r="B100" s="639" t="s">
        <v>236</v>
      </c>
      <c r="C100" s="717" t="s">
        <v>2812</v>
      </c>
      <c r="D100" s="662"/>
      <c r="E100" s="17">
        <v>3705</v>
      </c>
      <c r="F100" s="740" t="s">
        <v>2768</v>
      </c>
      <c r="G100" s="17" t="s">
        <v>2809</v>
      </c>
      <c r="H100" s="6">
        <v>30</v>
      </c>
      <c r="I100" s="30">
        <v>3</v>
      </c>
      <c r="J100" s="6">
        <f t="shared" si="23"/>
        <v>90</v>
      </c>
      <c r="K100" s="33">
        <v>9.09</v>
      </c>
      <c r="L100" s="643">
        <f t="shared" si="24"/>
        <v>27.27</v>
      </c>
      <c r="M100" s="672" t="s">
        <v>255</v>
      </c>
      <c r="N100" s="706">
        <v>45174</v>
      </c>
      <c r="O100" s="707">
        <v>5451</v>
      </c>
      <c r="P100" s="673">
        <f t="shared" si="25"/>
        <v>6.14</v>
      </c>
      <c r="Q100" s="674">
        <v>6.14</v>
      </c>
      <c r="R100" s="674">
        <f t="shared" si="26"/>
        <v>18.419999999999998</v>
      </c>
      <c r="S100" s="725">
        <v>515</v>
      </c>
      <c r="T100" s="84">
        <f t="shared" si="27"/>
        <v>1545</v>
      </c>
      <c r="U100" s="726">
        <v>600</v>
      </c>
      <c r="V100" s="668">
        <v>120</v>
      </c>
      <c r="W100" s="730">
        <f t="shared" si="28"/>
        <v>0.52786945361202786</v>
      </c>
    </row>
    <row r="101" spans="2:23" s="638" customFormat="1" ht="15.75">
      <c r="B101" s="639" t="s">
        <v>236</v>
      </c>
      <c r="C101" s="717" t="s">
        <v>2812</v>
      </c>
      <c r="D101" s="662"/>
      <c r="E101" s="17">
        <v>3705</v>
      </c>
      <c r="F101" s="739" t="s">
        <v>2766</v>
      </c>
      <c r="G101" s="31" t="s">
        <v>2809</v>
      </c>
      <c r="H101" s="6">
        <v>30</v>
      </c>
      <c r="I101" s="101">
        <v>3</v>
      </c>
      <c r="J101" s="6">
        <f t="shared" si="23"/>
        <v>90</v>
      </c>
      <c r="K101" s="33">
        <v>20.88</v>
      </c>
      <c r="L101" s="643">
        <f t="shared" si="24"/>
        <v>62.64</v>
      </c>
      <c r="M101" s="672" t="s">
        <v>255</v>
      </c>
      <c r="N101" s="706">
        <v>45174</v>
      </c>
      <c r="O101" s="707">
        <v>5451</v>
      </c>
      <c r="P101" s="673">
        <f t="shared" si="25"/>
        <v>14.04</v>
      </c>
      <c r="Q101" s="674">
        <v>14.04</v>
      </c>
      <c r="R101" s="674">
        <f t="shared" si="26"/>
        <v>42.12</v>
      </c>
      <c r="S101" s="725">
        <v>1179</v>
      </c>
      <c r="T101" s="84">
        <f t="shared" si="27"/>
        <v>3537</v>
      </c>
      <c r="U101" s="726">
        <v>1378</v>
      </c>
      <c r="V101" s="668">
        <v>120</v>
      </c>
      <c r="W101" s="730">
        <f t="shared" si="28"/>
        <v>0.52945402298850575</v>
      </c>
    </row>
    <row r="102" spans="2:23" s="638" customFormat="1" ht="15.75">
      <c r="B102" s="639" t="s">
        <v>236</v>
      </c>
      <c r="C102" s="717" t="s">
        <v>2812</v>
      </c>
      <c r="D102" s="662"/>
      <c r="E102" s="17">
        <v>3705</v>
      </c>
      <c r="F102" s="739" t="s">
        <v>2807</v>
      </c>
      <c r="G102" s="17" t="s">
        <v>2810</v>
      </c>
      <c r="H102" s="100">
        <v>30</v>
      </c>
      <c r="I102" s="101">
        <v>3</v>
      </c>
      <c r="J102" s="6">
        <f t="shared" si="23"/>
        <v>90</v>
      </c>
      <c r="K102" s="33">
        <v>7.99</v>
      </c>
      <c r="L102" s="643">
        <f t="shared" si="24"/>
        <v>23.97</v>
      </c>
      <c r="M102" s="672" t="s">
        <v>255</v>
      </c>
      <c r="N102" s="706">
        <v>45174</v>
      </c>
      <c r="O102" s="707">
        <v>5451</v>
      </c>
      <c r="P102" s="673">
        <f t="shared" si="25"/>
        <v>5.46</v>
      </c>
      <c r="Q102" s="674">
        <v>5.46</v>
      </c>
      <c r="R102" s="674">
        <f t="shared" si="26"/>
        <v>16.38</v>
      </c>
      <c r="S102" s="725">
        <v>458</v>
      </c>
      <c r="T102" s="84">
        <f t="shared" si="27"/>
        <v>1374</v>
      </c>
      <c r="U102" s="726">
        <v>527</v>
      </c>
      <c r="V102" s="668">
        <v>120</v>
      </c>
      <c r="W102" s="730">
        <f t="shared" si="28"/>
        <v>0.52231956612432207</v>
      </c>
    </row>
    <row r="103" spans="2:23" s="638" customFormat="1" ht="15.75">
      <c r="B103" s="639" t="s">
        <v>236</v>
      </c>
      <c r="C103" s="717" t="s">
        <v>2812</v>
      </c>
      <c r="D103" s="662"/>
      <c r="E103" s="17">
        <v>3705</v>
      </c>
      <c r="F103" s="739" t="s">
        <v>2807</v>
      </c>
      <c r="G103" s="17" t="s">
        <v>2811</v>
      </c>
      <c r="H103" s="100">
        <v>30</v>
      </c>
      <c r="I103" s="101">
        <v>3</v>
      </c>
      <c r="J103" s="6">
        <f t="shared" si="23"/>
        <v>90</v>
      </c>
      <c r="K103" s="33">
        <v>7.99</v>
      </c>
      <c r="L103" s="643">
        <f t="shared" si="24"/>
        <v>23.97</v>
      </c>
      <c r="M103" s="672" t="s">
        <v>255</v>
      </c>
      <c r="N103" s="706">
        <v>45174</v>
      </c>
      <c r="O103" s="707">
        <v>5451</v>
      </c>
      <c r="P103" s="673">
        <f t="shared" si="25"/>
        <v>5.46</v>
      </c>
      <c r="Q103" s="674">
        <v>5.46</v>
      </c>
      <c r="R103" s="674">
        <f t="shared" si="26"/>
        <v>16.38</v>
      </c>
      <c r="S103" s="725">
        <v>458</v>
      </c>
      <c r="T103" s="84">
        <f t="shared" si="27"/>
        <v>1374</v>
      </c>
      <c r="U103" s="726">
        <v>527</v>
      </c>
      <c r="V103" s="668">
        <v>120</v>
      </c>
      <c r="W103" s="730">
        <f t="shared" si="28"/>
        <v>0.52231956612432207</v>
      </c>
    </row>
    <row r="104" spans="2:23" s="638" customFormat="1" ht="18" customHeight="1">
      <c r="B104" s="639"/>
      <c r="C104" s="717" t="s">
        <v>2812</v>
      </c>
      <c r="D104" s="662"/>
      <c r="E104" s="663" t="s">
        <v>2751</v>
      </c>
      <c r="F104" s="736"/>
      <c r="G104" s="664"/>
      <c r="H104" s="665"/>
      <c r="I104" s="665"/>
      <c r="J104" s="665"/>
      <c r="K104" s="505" t="s">
        <v>4</v>
      </c>
      <c r="L104" s="705"/>
      <c r="M104" s="706"/>
      <c r="N104" s="706">
        <v>45174</v>
      </c>
      <c r="O104" s="707">
        <v>5451</v>
      </c>
      <c r="P104" s="504"/>
      <c r="Q104" s="666"/>
      <c r="U104" s="667"/>
      <c r="V104" s="668">
        <v>120</v>
      </c>
    </row>
    <row r="105" spans="2:23" s="638" customFormat="1" ht="17.25" customHeight="1">
      <c r="B105" s="639" t="s">
        <v>236</v>
      </c>
      <c r="C105" s="717" t="s">
        <v>2812</v>
      </c>
      <c r="D105" s="662"/>
      <c r="E105" s="17">
        <v>5313</v>
      </c>
      <c r="F105" s="739" t="s">
        <v>2752</v>
      </c>
      <c r="G105" s="17" t="s">
        <v>2814</v>
      </c>
      <c r="H105" s="100">
        <v>150</v>
      </c>
      <c r="I105" s="101">
        <v>1</v>
      </c>
      <c r="J105" s="6">
        <f>H105*I105</f>
        <v>150</v>
      </c>
      <c r="K105" s="33">
        <v>35</v>
      </c>
      <c r="L105" s="643">
        <f>K105*I105</f>
        <v>35</v>
      </c>
      <c r="M105" s="672" t="s">
        <v>255</v>
      </c>
      <c r="N105" s="706">
        <v>45174</v>
      </c>
      <c r="O105" s="707">
        <v>5451</v>
      </c>
      <c r="P105" s="673">
        <f>ROUNDUP(S105/V105/VLOOKUP(B105,$C$2:$F$6,3,FALSE),2)</f>
        <v>25</v>
      </c>
      <c r="Q105" s="674">
        <v>25</v>
      </c>
      <c r="R105" s="674">
        <f>Q105*I105</f>
        <v>25</v>
      </c>
      <c r="S105" s="725">
        <v>2100</v>
      </c>
      <c r="T105" s="84">
        <f>S105*I105</f>
        <v>2100</v>
      </c>
      <c r="U105" s="726"/>
      <c r="V105" s="668">
        <v>120</v>
      </c>
      <c r="W105" s="730">
        <f>(((K105*V105)-S105)/(K105*V105))</f>
        <v>0.5</v>
      </c>
    </row>
    <row r="106" spans="2:23" s="638" customFormat="1" ht="15.75">
      <c r="B106" s="639"/>
      <c r="C106" s="717" t="s">
        <v>2812</v>
      </c>
      <c r="D106" s="662"/>
      <c r="E106" s="158"/>
      <c r="F106" s="737"/>
      <c r="G106" s="158" t="s">
        <v>250</v>
      </c>
      <c r="H106" s="671"/>
      <c r="I106" s="676"/>
      <c r="J106" s="677">
        <v>2</v>
      </c>
      <c r="K106" s="643">
        <v>12</v>
      </c>
      <c r="L106" s="643">
        <f>K106*J106</f>
        <v>24</v>
      </c>
      <c r="M106" s="678"/>
      <c r="N106" s="706">
        <v>45174</v>
      </c>
      <c r="O106" s="707">
        <v>5451</v>
      </c>
      <c r="P106" s="504"/>
      <c r="Q106" s="674">
        <v>12</v>
      </c>
      <c r="R106" s="674">
        <f>Q106*J106</f>
        <v>24</v>
      </c>
      <c r="S106" s="638">
        <v>500</v>
      </c>
      <c r="T106" s="638">
        <v>500</v>
      </c>
      <c r="U106" s="726"/>
      <c r="V106" s="668">
        <v>120</v>
      </c>
      <c r="W106" s="730"/>
    </row>
    <row r="107" spans="2:23" s="709" customFormat="1" ht="15.75">
      <c r="B107" s="710"/>
      <c r="C107" s="719" t="s">
        <v>2812</v>
      </c>
      <c r="D107" s="680"/>
      <c r="E107" s="681"/>
      <c r="F107" s="738"/>
      <c r="G107" s="682" t="s">
        <v>210</v>
      </c>
      <c r="H107" s="683" t="s">
        <v>2754</v>
      </c>
      <c r="I107" s="684"/>
      <c r="J107" s="685"/>
      <c r="K107" s="720">
        <v>78</v>
      </c>
      <c r="L107" s="720">
        <v>78</v>
      </c>
      <c r="M107" s="712"/>
      <c r="N107" s="712">
        <v>45174</v>
      </c>
      <c r="O107" s="713">
        <v>5451</v>
      </c>
      <c r="P107" s="687"/>
      <c r="Q107" s="720">
        <v>78</v>
      </c>
      <c r="R107" s="720">
        <v>78</v>
      </c>
      <c r="S107" s="638">
        <v>8918</v>
      </c>
      <c r="T107" s="638">
        <v>8918</v>
      </c>
      <c r="U107" s="690"/>
      <c r="V107" s="668">
        <v>120</v>
      </c>
    </row>
    <row r="108" spans="2:23" s="638" customFormat="1" ht="17.25" customHeight="1">
      <c r="B108" s="639"/>
      <c r="C108" s="717" t="s">
        <v>2815</v>
      </c>
      <c r="D108" s="662"/>
      <c r="E108" s="14" t="s">
        <v>2774</v>
      </c>
      <c r="F108" s="739"/>
      <c r="G108" s="17"/>
      <c r="H108" s="100"/>
      <c r="I108" s="101"/>
      <c r="J108" s="6"/>
      <c r="K108" s="505" t="s">
        <v>4</v>
      </c>
      <c r="L108" s="643"/>
      <c r="M108" s="672"/>
      <c r="N108" s="706">
        <v>45215</v>
      </c>
      <c r="O108" s="707">
        <v>5590</v>
      </c>
      <c r="P108" s="673"/>
      <c r="Q108" s="674"/>
      <c r="R108" s="674"/>
      <c r="S108" s="728" t="s">
        <v>2776</v>
      </c>
      <c r="T108" s="84"/>
      <c r="U108" s="728" t="s">
        <v>2775</v>
      </c>
      <c r="V108" s="668"/>
    </row>
    <row r="109" spans="2:23" s="638" customFormat="1" ht="15.75">
      <c r="B109" s="639" t="s">
        <v>236</v>
      </c>
      <c r="C109" s="717" t="s">
        <v>2815</v>
      </c>
      <c r="D109" s="662"/>
      <c r="E109" s="17">
        <v>3705</v>
      </c>
      <c r="F109" s="739">
        <v>4</v>
      </c>
      <c r="G109" s="17" t="s">
        <v>1910</v>
      </c>
      <c r="H109" s="100">
        <v>30</v>
      </c>
      <c r="I109" s="101">
        <v>3</v>
      </c>
      <c r="J109" s="6">
        <f t="shared" ref="J109:J118" si="29">H109*I109</f>
        <v>90</v>
      </c>
      <c r="K109" s="33">
        <v>7.28</v>
      </c>
      <c r="L109" s="643">
        <f t="shared" ref="L109:L118" si="30">K109*I109</f>
        <v>21.84</v>
      </c>
      <c r="M109" s="672" t="s">
        <v>255</v>
      </c>
      <c r="N109" s="706">
        <v>45215</v>
      </c>
      <c r="O109" s="707">
        <v>5590</v>
      </c>
      <c r="P109" s="673">
        <f t="shared" ref="P109:P118" si="31">ROUNDUP(S109/V109/VLOOKUP(B109,$C$2:$F$6,3,FALSE),2)</f>
        <v>4.95</v>
      </c>
      <c r="Q109" s="674">
        <v>4.95</v>
      </c>
      <c r="R109" s="674">
        <f t="shared" ref="R109:R118" si="32">Q109*I109</f>
        <v>14.850000000000001</v>
      </c>
      <c r="S109" s="725">
        <v>415</v>
      </c>
      <c r="T109" s="84">
        <f t="shared" ref="T109:T118" si="33">S109*I109</f>
        <v>1245</v>
      </c>
      <c r="U109" s="726">
        <v>480</v>
      </c>
      <c r="V109" s="668">
        <v>120</v>
      </c>
      <c r="W109" s="730">
        <f t="shared" ref="W109:W118" si="34">(((K109*V109)-S109)/(K109*V109))</f>
        <v>0.52495421245421248</v>
      </c>
    </row>
    <row r="110" spans="2:23" s="638" customFormat="1" ht="15.75">
      <c r="B110" s="639" t="s">
        <v>236</v>
      </c>
      <c r="C110" s="717" t="s">
        <v>2815</v>
      </c>
      <c r="D110" s="662"/>
      <c r="E110" s="17">
        <v>3705</v>
      </c>
      <c r="F110" s="740" t="s">
        <v>2768</v>
      </c>
      <c r="G110" s="17" t="s">
        <v>1910</v>
      </c>
      <c r="H110" s="6">
        <v>30</v>
      </c>
      <c r="I110" s="30">
        <v>3</v>
      </c>
      <c r="J110" s="6">
        <f t="shared" si="29"/>
        <v>90</v>
      </c>
      <c r="K110" s="33">
        <v>9.09</v>
      </c>
      <c r="L110" s="643">
        <f t="shared" si="30"/>
        <v>27.27</v>
      </c>
      <c r="M110" s="672" t="s">
        <v>255</v>
      </c>
      <c r="N110" s="706">
        <v>45215</v>
      </c>
      <c r="O110" s="707">
        <v>5590</v>
      </c>
      <c r="P110" s="673">
        <f t="shared" si="31"/>
        <v>6.14</v>
      </c>
      <c r="Q110" s="674">
        <v>6.14</v>
      </c>
      <c r="R110" s="674">
        <f t="shared" si="32"/>
        <v>18.419999999999998</v>
      </c>
      <c r="S110" s="725">
        <v>515</v>
      </c>
      <c r="T110" s="84">
        <f t="shared" si="33"/>
        <v>1545</v>
      </c>
      <c r="U110" s="726">
        <v>600</v>
      </c>
      <c r="V110" s="668">
        <v>120</v>
      </c>
      <c r="W110" s="730">
        <f t="shared" si="34"/>
        <v>0.52786945361202786</v>
      </c>
    </row>
    <row r="111" spans="2:23" s="638" customFormat="1" ht="17.25" customHeight="1">
      <c r="B111" s="639" t="s">
        <v>236</v>
      </c>
      <c r="C111" s="717" t="s">
        <v>2815</v>
      </c>
      <c r="D111" s="662"/>
      <c r="E111" s="17">
        <v>3705</v>
      </c>
      <c r="F111" s="740" t="s">
        <v>2767</v>
      </c>
      <c r="G111" s="17" t="s">
        <v>1910</v>
      </c>
      <c r="H111" s="6">
        <v>30</v>
      </c>
      <c r="I111" s="30">
        <v>3</v>
      </c>
      <c r="J111" s="6">
        <f t="shared" si="29"/>
        <v>90</v>
      </c>
      <c r="K111" s="33">
        <v>15.94</v>
      </c>
      <c r="L111" s="643">
        <f t="shared" si="30"/>
        <v>47.82</v>
      </c>
      <c r="M111" s="672" t="s">
        <v>255</v>
      </c>
      <c r="N111" s="706">
        <v>45215</v>
      </c>
      <c r="O111" s="707">
        <v>5590</v>
      </c>
      <c r="P111" s="673">
        <f t="shared" si="31"/>
        <v>10.73</v>
      </c>
      <c r="Q111" s="674">
        <v>10.73</v>
      </c>
      <c r="R111" s="674">
        <f t="shared" si="32"/>
        <v>32.19</v>
      </c>
      <c r="S111" s="725">
        <v>901</v>
      </c>
      <c r="T111" s="84">
        <f t="shared" si="33"/>
        <v>2703</v>
      </c>
      <c r="U111" s="726">
        <v>1052</v>
      </c>
      <c r="V111" s="668">
        <v>120</v>
      </c>
      <c r="W111" s="730">
        <f t="shared" si="34"/>
        <v>0.52896277708071937</v>
      </c>
    </row>
    <row r="112" spans="2:23" s="638" customFormat="1" ht="15.75">
      <c r="B112" s="639" t="s">
        <v>236</v>
      </c>
      <c r="C112" s="717" t="s">
        <v>2815</v>
      </c>
      <c r="D112" s="662"/>
      <c r="E112" s="17">
        <v>3705</v>
      </c>
      <c r="F112" s="739" t="s">
        <v>2766</v>
      </c>
      <c r="G112" s="17" t="s">
        <v>1910</v>
      </c>
      <c r="H112" s="6">
        <v>30</v>
      </c>
      <c r="I112" s="101">
        <v>3</v>
      </c>
      <c r="J112" s="6">
        <f t="shared" si="29"/>
        <v>90</v>
      </c>
      <c r="K112" s="33">
        <v>20.88</v>
      </c>
      <c r="L112" s="643">
        <f t="shared" si="30"/>
        <v>62.64</v>
      </c>
      <c r="M112" s="672" t="s">
        <v>255</v>
      </c>
      <c r="N112" s="706">
        <v>45215</v>
      </c>
      <c r="O112" s="707">
        <v>5590</v>
      </c>
      <c r="P112" s="673">
        <f t="shared" si="31"/>
        <v>14.04</v>
      </c>
      <c r="Q112" s="674">
        <v>14.04</v>
      </c>
      <c r="R112" s="674">
        <f t="shared" si="32"/>
        <v>42.12</v>
      </c>
      <c r="S112" s="725">
        <v>1179</v>
      </c>
      <c r="T112" s="84">
        <f t="shared" si="33"/>
        <v>3537</v>
      </c>
      <c r="U112" s="726">
        <v>1378</v>
      </c>
      <c r="V112" s="668">
        <v>120</v>
      </c>
      <c r="W112" s="730">
        <f t="shared" si="34"/>
        <v>0.52945402298850575</v>
      </c>
    </row>
    <row r="113" spans="2:23" s="638" customFormat="1" ht="17.25" customHeight="1">
      <c r="B113" s="639" t="s">
        <v>236</v>
      </c>
      <c r="C113" s="717" t="s">
        <v>2815</v>
      </c>
      <c r="D113" s="662"/>
      <c r="E113" s="17">
        <v>3705</v>
      </c>
      <c r="F113" s="739" t="s">
        <v>2764</v>
      </c>
      <c r="G113" s="17" t="s">
        <v>1910</v>
      </c>
      <c r="H113" s="100">
        <v>30</v>
      </c>
      <c r="I113" s="101">
        <v>3</v>
      </c>
      <c r="J113" s="6">
        <f t="shared" si="29"/>
        <v>90</v>
      </c>
      <c r="K113" s="33">
        <v>23.9</v>
      </c>
      <c r="L113" s="643">
        <f t="shared" si="30"/>
        <v>71.699999999999989</v>
      </c>
      <c r="M113" s="672" t="s">
        <v>255</v>
      </c>
      <c r="N113" s="706">
        <v>45215</v>
      </c>
      <c r="O113" s="707">
        <v>5590</v>
      </c>
      <c r="P113" s="673">
        <f t="shared" si="31"/>
        <v>16.09</v>
      </c>
      <c r="Q113" s="674">
        <v>16.09</v>
      </c>
      <c r="R113" s="674">
        <f t="shared" si="32"/>
        <v>48.269999999999996</v>
      </c>
      <c r="S113" s="725">
        <v>1351</v>
      </c>
      <c r="T113" s="84">
        <f t="shared" si="33"/>
        <v>4053</v>
      </c>
      <c r="U113" s="726">
        <v>1577</v>
      </c>
      <c r="V113" s="668">
        <v>120</v>
      </c>
      <c r="W113" s="730">
        <f t="shared" si="34"/>
        <v>0.52894002789400274</v>
      </c>
    </row>
    <row r="114" spans="2:23" s="638" customFormat="1" ht="15.75">
      <c r="B114" s="639" t="s">
        <v>236</v>
      </c>
      <c r="C114" s="717" t="s">
        <v>2815</v>
      </c>
      <c r="D114" s="662"/>
      <c r="E114" s="17">
        <v>3705</v>
      </c>
      <c r="F114" s="739">
        <v>4</v>
      </c>
      <c r="G114" s="17" t="s">
        <v>212</v>
      </c>
      <c r="H114" s="100">
        <v>30</v>
      </c>
      <c r="I114" s="101">
        <v>3</v>
      </c>
      <c r="J114" s="6">
        <f t="shared" si="29"/>
        <v>90</v>
      </c>
      <c r="K114" s="33">
        <v>7.28</v>
      </c>
      <c r="L114" s="643">
        <f t="shared" si="30"/>
        <v>21.84</v>
      </c>
      <c r="M114" s="672" t="s">
        <v>255</v>
      </c>
      <c r="N114" s="706">
        <v>45215</v>
      </c>
      <c r="O114" s="707">
        <v>5590</v>
      </c>
      <c r="P114" s="673">
        <f t="shared" si="31"/>
        <v>4.95</v>
      </c>
      <c r="Q114" s="674">
        <v>5.46</v>
      </c>
      <c r="R114" s="674">
        <f t="shared" si="32"/>
        <v>16.38</v>
      </c>
      <c r="S114" s="725">
        <v>415</v>
      </c>
      <c r="T114" s="84">
        <f t="shared" si="33"/>
        <v>1245</v>
      </c>
      <c r="U114" s="726">
        <v>480</v>
      </c>
      <c r="V114" s="668">
        <v>120</v>
      </c>
      <c r="W114" s="730">
        <f t="shared" si="34"/>
        <v>0.52495421245421248</v>
      </c>
    </row>
    <row r="115" spans="2:23" s="638" customFormat="1" ht="15.75">
      <c r="B115" s="639" t="s">
        <v>236</v>
      </c>
      <c r="C115" s="717" t="s">
        <v>2815</v>
      </c>
      <c r="D115" s="662"/>
      <c r="E115" s="17">
        <v>3705</v>
      </c>
      <c r="F115" s="740" t="s">
        <v>2768</v>
      </c>
      <c r="G115" s="17" t="s">
        <v>212</v>
      </c>
      <c r="H115" s="6">
        <v>30</v>
      </c>
      <c r="I115" s="30">
        <v>3</v>
      </c>
      <c r="J115" s="6">
        <f t="shared" si="29"/>
        <v>90</v>
      </c>
      <c r="K115" s="33">
        <v>9.09</v>
      </c>
      <c r="L115" s="643">
        <f t="shared" si="30"/>
        <v>27.27</v>
      </c>
      <c r="M115" s="672" t="s">
        <v>255</v>
      </c>
      <c r="N115" s="706">
        <v>45215</v>
      </c>
      <c r="O115" s="707">
        <v>5590</v>
      </c>
      <c r="P115" s="673">
        <f t="shared" si="31"/>
        <v>6.14</v>
      </c>
      <c r="Q115" s="674">
        <v>6.14</v>
      </c>
      <c r="R115" s="674">
        <f t="shared" si="32"/>
        <v>18.419999999999998</v>
      </c>
      <c r="S115" s="725">
        <v>515</v>
      </c>
      <c r="T115" s="84">
        <f t="shared" si="33"/>
        <v>1545</v>
      </c>
      <c r="U115" s="726">
        <v>600</v>
      </c>
      <c r="V115" s="668">
        <v>120</v>
      </c>
      <c r="W115" s="730">
        <f t="shared" si="34"/>
        <v>0.52786945361202786</v>
      </c>
    </row>
    <row r="116" spans="2:23" s="638" customFormat="1" ht="17.25" customHeight="1">
      <c r="B116" s="639" t="s">
        <v>236</v>
      </c>
      <c r="C116" s="717" t="s">
        <v>2815</v>
      </c>
      <c r="D116" s="662"/>
      <c r="E116" s="17">
        <v>3705</v>
      </c>
      <c r="F116" s="740" t="s">
        <v>2767</v>
      </c>
      <c r="G116" s="17" t="s">
        <v>212</v>
      </c>
      <c r="H116" s="6">
        <v>30</v>
      </c>
      <c r="I116" s="30">
        <v>3</v>
      </c>
      <c r="J116" s="6">
        <f t="shared" si="29"/>
        <v>90</v>
      </c>
      <c r="K116" s="33">
        <v>15.94</v>
      </c>
      <c r="L116" s="643">
        <f t="shared" si="30"/>
        <v>47.82</v>
      </c>
      <c r="M116" s="672" t="s">
        <v>255</v>
      </c>
      <c r="N116" s="706">
        <v>45215</v>
      </c>
      <c r="O116" s="707">
        <v>5590</v>
      </c>
      <c r="P116" s="673">
        <f t="shared" si="31"/>
        <v>10.73</v>
      </c>
      <c r="Q116" s="674">
        <v>10.73</v>
      </c>
      <c r="R116" s="674">
        <f t="shared" si="32"/>
        <v>32.19</v>
      </c>
      <c r="S116" s="725">
        <v>901</v>
      </c>
      <c r="T116" s="84">
        <f t="shared" si="33"/>
        <v>2703</v>
      </c>
      <c r="U116" s="726">
        <v>1052</v>
      </c>
      <c r="V116" s="668">
        <v>120</v>
      </c>
      <c r="W116" s="730">
        <f t="shared" si="34"/>
        <v>0.52896277708071937</v>
      </c>
    </row>
    <row r="117" spans="2:23" s="638" customFormat="1" ht="15.75">
      <c r="B117" s="639" t="s">
        <v>236</v>
      </c>
      <c r="C117" s="717" t="s">
        <v>2815</v>
      </c>
      <c r="D117" s="662"/>
      <c r="E117" s="17">
        <v>3705</v>
      </c>
      <c r="F117" s="739" t="s">
        <v>2766</v>
      </c>
      <c r="G117" s="17" t="s">
        <v>212</v>
      </c>
      <c r="H117" s="6">
        <v>30</v>
      </c>
      <c r="I117" s="101">
        <v>3</v>
      </c>
      <c r="J117" s="6">
        <f t="shared" si="29"/>
        <v>90</v>
      </c>
      <c r="K117" s="33">
        <v>20.88</v>
      </c>
      <c r="L117" s="643">
        <f t="shared" si="30"/>
        <v>62.64</v>
      </c>
      <c r="M117" s="672" t="s">
        <v>255</v>
      </c>
      <c r="N117" s="706">
        <v>45215</v>
      </c>
      <c r="O117" s="707">
        <v>5590</v>
      </c>
      <c r="P117" s="673">
        <f t="shared" si="31"/>
        <v>14.04</v>
      </c>
      <c r="Q117" s="674">
        <v>14.04</v>
      </c>
      <c r="R117" s="674">
        <f t="shared" si="32"/>
        <v>42.12</v>
      </c>
      <c r="S117" s="725">
        <v>1179</v>
      </c>
      <c r="T117" s="84">
        <f t="shared" si="33"/>
        <v>3537</v>
      </c>
      <c r="U117" s="726">
        <v>1378</v>
      </c>
      <c r="V117" s="668">
        <v>120</v>
      </c>
      <c r="W117" s="730">
        <f t="shared" si="34"/>
        <v>0.52945402298850575</v>
      </c>
    </row>
    <row r="118" spans="2:23" s="638" customFormat="1" ht="17.25" customHeight="1">
      <c r="B118" s="639" t="s">
        <v>236</v>
      </c>
      <c r="C118" s="717" t="s">
        <v>2815</v>
      </c>
      <c r="D118" s="662"/>
      <c r="E118" s="17">
        <v>3705</v>
      </c>
      <c r="F118" s="739" t="s">
        <v>2764</v>
      </c>
      <c r="G118" s="17" t="s">
        <v>212</v>
      </c>
      <c r="H118" s="100">
        <v>30</v>
      </c>
      <c r="I118" s="101">
        <v>3</v>
      </c>
      <c r="J118" s="6">
        <f t="shared" si="29"/>
        <v>90</v>
      </c>
      <c r="K118" s="33">
        <v>23.9</v>
      </c>
      <c r="L118" s="643">
        <f t="shared" si="30"/>
        <v>71.699999999999989</v>
      </c>
      <c r="M118" s="672" t="s">
        <v>255</v>
      </c>
      <c r="N118" s="706">
        <v>45215</v>
      </c>
      <c r="O118" s="707">
        <v>5590</v>
      </c>
      <c r="P118" s="673">
        <f t="shared" si="31"/>
        <v>16.09</v>
      </c>
      <c r="Q118" s="674">
        <v>16.09</v>
      </c>
      <c r="R118" s="674">
        <f t="shared" si="32"/>
        <v>48.269999999999996</v>
      </c>
      <c r="S118" s="725">
        <v>1351</v>
      </c>
      <c r="T118" s="84">
        <f t="shared" si="33"/>
        <v>4053</v>
      </c>
      <c r="U118" s="726">
        <v>1577</v>
      </c>
      <c r="V118" s="668">
        <v>120</v>
      </c>
      <c r="W118" s="730">
        <f t="shared" si="34"/>
        <v>0.52894002789400274</v>
      </c>
    </row>
    <row r="119" spans="2:23" s="638" customFormat="1" ht="17.25" customHeight="1">
      <c r="B119" s="639"/>
      <c r="C119" s="717" t="s">
        <v>2815</v>
      </c>
      <c r="D119" s="662"/>
      <c r="E119" s="14" t="s">
        <v>2795</v>
      </c>
      <c r="F119" s="739"/>
      <c r="G119" s="17"/>
      <c r="H119" s="100"/>
      <c r="I119" s="101"/>
      <c r="J119" s="6"/>
      <c r="K119" s="505" t="s">
        <v>4</v>
      </c>
      <c r="L119" s="643"/>
      <c r="M119" s="672"/>
      <c r="N119" s="706">
        <v>45215</v>
      </c>
      <c r="O119" s="707">
        <v>5590</v>
      </c>
      <c r="P119" s="673"/>
      <c r="Q119" s="674"/>
      <c r="R119" s="674"/>
      <c r="S119" s="728"/>
      <c r="T119" s="84"/>
      <c r="U119" s="728"/>
      <c r="V119" s="668"/>
    </row>
    <row r="120" spans="2:23" s="638" customFormat="1" ht="17.25" customHeight="1">
      <c r="B120" s="639" t="s">
        <v>236</v>
      </c>
      <c r="C120" s="717" t="s">
        <v>2815</v>
      </c>
      <c r="D120" s="662"/>
      <c r="E120" s="17">
        <v>3544</v>
      </c>
      <c r="F120" s="739" t="s">
        <v>2796</v>
      </c>
      <c r="G120" s="17" t="s">
        <v>10</v>
      </c>
      <c r="H120" s="100">
        <v>30</v>
      </c>
      <c r="I120" s="101">
        <v>5</v>
      </c>
      <c r="J120" s="6">
        <f>H120*I120</f>
        <v>150</v>
      </c>
      <c r="K120" s="33">
        <v>17.27</v>
      </c>
      <c r="L120" s="643">
        <f>K120*I120</f>
        <v>86.35</v>
      </c>
      <c r="M120" s="672" t="s">
        <v>255</v>
      </c>
      <c r="N120" s="706">
        <v>45215</v>
      </c>
      <c r="O120" s="707">
        <v>5590</v>
      </c>
      <c r="P120" s="673">
        <f>ROUNDUP(S120/V120/VLOOKUP(B120,$C$2:$F$6,3,FALSE),2)</f>
        <v>14.93</v>
      </c>
      <c r="Q120" s="674">
        <v>14.93</v>
      </c>
      <c r="R120" s="674">
        <f>Q120*I120</f>
        <v>74.650000000000006</v>
      </c>
      <c r="S120" s="725">
        <v>1254</v>
      </c>
      <c r="T120" s="84">
        <f>S120*I120</f>
        <v>6270</v>
      </c>
      <c r="U120" s="726"/>
      <c r="V120" s="668">
        <v>120</v>
      </c>
      <c r="W120" s="730">
        <f>(((K120*V120)-S120)/(K120*V120))</f>
        <v>0.39490445859872614</v>
      </c>
    </row>
    <row r="121" spans="2:23" s="638" customFormat="1" ht="17.25" customHeight="1">
      <c r="B121" s="639"/>
      <c r="C121" s="717" t="s">
        <v>2815</v>
      </c>
      <c r="D121" s="662"/>
      <c r="E121" s="14" t="s">
        <v>2774</v>
      </c>
      <c r="F121" s="739"/>
      <c r="G121" s="17"/>
      <c r="H121" s="100"/>
      <c r="I121" s="101"/>
      <c r="J121" s="6"/>
      <c r="K121" s="505" t="s">
        <v>4</v>
      </c>
      <c r="L121" s="643"/>
      <c r="M121" s="672"/>
      <c r="N121" s="706">
        <v>45215</v>
      </c>
      <c r="O121" s="707">
        <v>5590</v>
      </c>
      <c r="P121" s="673"/>
      <c r="Q121" s="674"/>
      <c r="R121" s="674"/>
      <c r="S121" s="728" t="s">
        <v>2776</v>
      </c>
      <c r="T121" s="84"/>
      <c r="U121" s="728" t="s">
        <v>2775</v>
      </c>
      <c r="V121" s="668"/>
    </row>
    <row r="122" spans="2:23" s="638" customFormat="1" ht="17.25" customHeight="1">
      <c r="B122" s="639" t="s">
        <v>236</v>
      </c>
      <c r="C122" s="717" t="s">
        <v>2815</v>
      </c>
      <c r="D122" s="662"/>
      <c r="E122" s="17">
        <v>3705</v>
      </c>
      <c r="F122" s="739" t="s">
        <v>2769</v>
      </c>
      <c r="G122" s="17" t="s">
        <v>1910</v>
      </c>
      <c r="H122" s="100">
        <v>30</v>
      </c>
      <c r="I122" s="101">
        <v>3</v>
      </c>
      <c r="J122" s="6">
        <f>H122*I122</f>
        <v>90</v>
      </c>
      <c r="K122" s="33">
        <v>7.99</v>
      </c>
      <c r="L122" s="643">
        <f>K122*I122</f>
        <v>23.97</v>
      </c>
      <c r="M122" s="672" t="s">
        <v>255</v>
      </c>
      <c r="N122" s="706">
        <v>45215</v>
      </c>
      <c r="O122" s="707">
        <v>5590</v>
      </c>
      <c r="P122" s="673">
        <f>ROUNDUP(S122/V122/VLOOKUP(B122,$C$2:$F$6,3,FALSE),2)</f>
        <v>5.46</v>
      </c>
      <c r="Q122" s="674">
        <v>5.46</v>
      </c>
      <c r="R122" s="674">
        <f>Q122*I122</f>
        <v>16.38</v>
      </c>
      <c r="S122" s="725">
        <v>458</v>
      </c>
      <c r="T122" s="84">
        <f>S122*I122</f>
        <v>1374</v>
      </c>
      <c r="U122" s="726">
        <v>527</v>
      </c>
      <c r="V122" s="668">
        <v>120</v>
      </c>
      <c r="W122" s="730">
        <f>(((K122*V122)-S122)/(K122*V122))</f>
        <v>0.52231956612432207</v>
      </c>
    </row>
    <row r="123" spans="2:23" s="638" customFormat="1" ht="17.25" customHeight="1">
      <c r="B123" s="639" t="s">
        <v>236</v>
      </c>
      <c r="C123" s="717" t="s">
        <v>2815</v>
      </c>
      <c r="D123" s="662"/>
      <c r="E123" s="17">
        <v>3705</v>
      </c>
      <c r="F123" s="739" t="s">
        <v>2770</v>
      </c>
      <c r="G123" s="17" t="s">
        <v>1910</v>
      </c>
      <c r="H123" s="100">
        <v>30</v>
      </c>
      <c r="I123" s="101">
        <v>3</v>
      </c>
      <c r="J123" s="6">
        <f>H123*I123</f>
        <v>90</v>
      </c>
      <c r="K123" s="33">
        <v>7.56</v>
      </c>
      <c r="L123" s="643">
        <f>K123*I123</f>
        <v>22.68</v>
      </c>
      <c r="M123" s="672" t="s">
        <v>255</v>
      </c>
      <c r="N123" s="706">
        <v>45215</v>
      </c>
      <c r="O123" s="707">
        <v>5590</v>
      </c>
      <c r="P123" s="673">
        <f>ROUNDUP(S123/V123/VLOOKUP(B123,$C$2:$F$6,3,FALSE),2)</f>
        <v>5.1099999999999994</v>
      </c>
      <c r="Q123" s="674">
        <v>5.1100000000000003</v>
      </c>
      <c r="R123" s="674">
        <f>Q123*I123</f>
        <v>15.330000000000002</v>
      </c>
      <c r="S123" s="725">
        <v>429</v>
      </c>
      <c r="T123" s="84">
        <f>S123*I123</f>
        <v>1287</v>
      </c>
      <c r="U123" s="726">
        <v>499</v>
      </c>
      <c r="V123" s="668">
        <v>120</v>
      </c>
      <c r="W123" s="730">
        <f>(((K123*V123)-S123)/(K123*V123))</f>
        <v>0.52711640211640209</v>
      </c>
    </row>
    <row r="124" spans="2:23" s="638" customFormat="1" ht="17.25" customHeight="1">
      <c r="B124" s="639" t="s">
        <v>236</v>
      </c>
      <c r="C124" s="717" t="s">
        <v>2815</v>
      </c>
      <c r="D124" s="662"/>
      <c r="E124" s="17">
        <v>3705</v>
      </c>
      <c r="F124" s="739">
        <v>50</v>
      </c>
      <c r="G124" s="17" t="s">
        <v>1910</v>
      </c>
      <c r="H124" s="100">
        <v>30</v>
      </c>
      <c r="I124" s="101">
        <v>3</v>
      </c>
      <c r="J124" s="6">
        <f>H124*I124</f>
        <v>90</v>
      </c>
      <c r="K124" s="33">
        <v>44.49</v>
      </c>
      <c r="L124" s="643">
        <f>K124*I124</f>
        <v>133.47</v>
      </c>
      <c r="M124" s="672" t="s">
        <v>255</v>
      </c>
      <c r="N124" s="706">
        <v>45215</v>
      </c>
      <c r="O124" s="707">
        <v>5590</v>
      </c>
      <c r="P124" s="673">
        <f>ROUNDUP(S124/V124/VLOOKUP(B124,$C$2:$F$6,3,FALSE),2)</f>
        <v>29.96</v>
      </c>
      <c r="Q124" s="674">
        <v>29.96</v>
      </c>
      <c r="R124" s="674">
        <f>Q124*I124</f>
        <v>89.88</v>
      </c>
      <c r="S124" s="725">
        <v>2516</v>
      </c>
      <c r="T124" s="84">
        <f>S124*I124</f>
        <v>7548</v>
      </c>
      <c r="U124" s="726">
        <v>2936</v>
      </c>
      <c r="V124" s="668">
        <v>120</v>
      </c>
      <c r="W124" s="730">
        <f>(((K124*V124)-S124)/(K124*V124))</f>
        <v>0.52873304862515924</v>
      </c>
    </row>
    <row r="125" spans="2:23" s="638" customFormat="1" ht="17.25" customHeight="1">
      <c r="B125" s="639"/>
      <c r="C125" s="717" t="s">
        <v>2815</v>
      </c>
      <c r="D125" s="662"/>
      <c r="E125" s="14" t="s">
        <v>2790</v>
      </c>
      <c r="F125" s="739"/>
      <c r="G125" s="17"/>
      <c r="H125" s="100"/>
      <c r="I125" s="101"/>
      <c r="J125" s="6"/>
      <c r="K125" s="505" t="s">
        <v>4</v>
      </c>
      <c r="L125" s="643"/>
      <c r="M125" s="672"/>
      <c r="N125" s="706">
        <v>45215</v>
      </c>
      <c r="O125" s="707">
        <v>5590</v>
      </c>
      <c r="P125" s="673"/>
      <c r="Q125" s="674"/>
      <c r="R125" s="674"/>
      <c r="S125" s="728"/>
      <c r="T125" s="84"/>
      <c r="U125" s="728"/>
      <c r="V125" s="668"/>
    </row>
    <row r="126" spans="2:23" s="638" customFormat="1" ht="17.25" customHeight="1">
      <c r="B126" s="639" t="s">
        <v>236</v>
      </c>
      <c r="C126" s="717" t="s">
        <v>2815</v>
      </c>
      <c r="D126" s="662"/>
      <c r="E126" s="17">
        <v>1100</v>
      </c>
      <c r="F126" s="739">
        <v>30</v>
      </c>
      <c r="G126" s="17" t="s">
        <v>2789</v>
      </c>
      <c r="H126" s="100">
        <v>30</v>
      </c>
      <c r="I126" s="101">
        <v>3</v>
      </c>
      <c r="J126" s="6">
        <f>H126*I126</f>
        <v>90</v>
      </c>
      <c r="K126" s="33">
        <v>40.450000000000003</v>
      </c>
      <c r="L126" s="643">
        <f>K126*I126</f>
        <v>121.35000000000001</v>
      </c>
      <c r="M126" s="672" t="s">
        <v>2791</v>
      </c>
      <c r="N126" s="706">
        <v>45215</v>
      </c>
      <c r="O126" s="707">
        <v>5590</v>
      </c>
      <c r="P126" s="673">
        <f>ROUNDUP(S126/V126/VLOOKUP(B126,$C$2:$F$6,3,FALSE),2)</f>
        <v>31.790000000000003</v>
      </c>
      <c r="Q126" s="674">
        <v>31.79</v>
      </c>
      <c r="R126" s="674">
        <f>Q126*I126</f>
        <v>95.37</v>
      </c>
      <c r="S126" s="725">
        <v>2670</v>
      </c>
      <c r="T126" s="84">
        <f>S126*I126</f>
        <v>8010</v>
      </c>
      <c r="U126" s="726"/>
      <c r="V126" s="668">
        <v>120</v>
      </c>
      <c r="W126" s="730">
        <f>(((K126*V126)-S126)/(K126*V126))</f>
        <v>0.44993819530284301</v>
      </c>
    </row>
    <row r="127" spans="2:23" s="638" customFormat="1" ht="17.25" customHeight="1">
      <c r="B127" s="639"/>
      <c r="C127" s="717" t="s">
        <v>2815</v>
      </c>
      <c r="D127" s="662"/>
      <c r="E127" s="14" t="s">
        <v>2816</v>
      </c>
      <c r="F127" s="739"/>
      <c r="G127" s="17"/>
      <c r="H127" s="100"/>
      <c r="I127" s="101"/>
      <c r="J127" s="6"/>
      <c r="K127" s="505" t="s">
        <v>4</v>
      </c>
      <c r="L127" s="643"/>
      <c r="M127" s="672"/>
      <c r="N127" s="706">
        <v>45215</v>
      </c>
      <c r="O127" s="707">
        <v>5590</v>
      </c>
      <c r="P127" s="673"/>
      <c r="Q127" s="674"/>
      <c r="R127" s="674"/>
      <c r="S127" s="728"/>
      <c r="T127" s="84"/>
      <c r="U127" s="728"/>
      <c r="V127" s="668"/>
    </row>
    <row r="128" spans="2:23" s="638" customFormat="1" ht="17.25" customHeight="1">
      <c r="B128" s="639" t="s">
        <v>236</v>
      </c>
      <c r="C128" s="717" t="s">
        <v>2815</v>
      </c>
      <c r="D128" s="662"/>
      <c r="E128" s="17">
        <v>1100</v>
      </c>
      <c r="F128" s="739">
        <v>40</v>
      </c>
      <c r="G128" s="17" t="s">
        <v>2789</v>
      </c>
      <c r="H128" s="100">
        <v>30</v>
      </c>
      <c r="I128" s="101">
        <v>3</v>
      </c>
      <c r="J128" s="6">
        <f>H128*I128</f>
        <v>90</v>
      </c>
      <c r="K128" s="33">
        <v>55.05</v>
      </c>
      <c r="L128" s="643">
        <f>K128*I128</f>
        <v>165.14999999999998</v>
      </c>
      <c r="M128" s="672" t="s">
        <v>2791</v>
      </c>
      <c r="N128" s="706">
        <v>45215</v>
      </c>
      <c r="O128" s="707">
        <v>5590</v>
      </c>
      <c r="P128" s="673">
        <f>ROUNDUP(S128/V128/VLOOKUP(B128,$C$2:$F$6,3,FALSE),2)</f>
        <v>43.25</v>
      </c>
      <c r="Q128" s="674">
        <v>43.25</v>
      </c>
      <c r="R128" s="674">
        <f>Q128*I128</f>
        <v>129.75</v>
      </c>
      <c r="S128" s="725">
        <v>3633</v>
      </c>
      <c r="T128" s="84">
        <f>S128*I128</f>
        <v>10899</v>
      </c>
      <c r="U128" s="726"/>
      <c r="V128" s="668">
        <v>120</v>
      </c>
      <c r="W128" s="730">
        <f>(((K128*V128)-S128)/(K128*V128))</f>
        <v>0.4500454132606721</v>
      </c>
    </row>
    <row r="129" spans="2:23" s="638" customFormat="1" ht="15.75">
      <c r="B129" s="639"/>
      <c r="C129" s="717" t="s">
        <v>2815</v>
      </c>
      <c r="D129" s="662"/>
      <c r="E129" s="158"/>
      <c r="F129" s="737"/>
      <c r="G129" s="158" t="s">
        <v>250</v>
      </c>
      <c r="H129" s="671"/>
      <c r="I129" s="676"/>
      <c r="J129" s="677">
        <v>3</v>
      </c>
      <c r="K129" s="643">
        <v>12</v>
      </c>
      <c r="L129" s="643">
        <f>K129*J129</f>
        <v>36</v>
      </c>
      <c r="M129" s="678"/>
      <c r="N129" s="706">
        <v>45215</v>
      </c>
      <c r="O129" s="707">
        <v>5590</v>
      </c>
      <c r="P129" s="504"/>
      <c r="Q129" s="674">
        <v>12</v>
      </c>
      <c r="R129" s="674">
        <f>Q129*J129</f>
        <v>36</v>
      </c>
      <c r="S129" s="638">
        <v>800</v>
      </c>
      <c r="T129" s="84">
        <v>800</v>
      </c>
      <c r="U129" s="726"/>
      <c r="V129" s="668">
        <v>120</v>
      </c>
      <c r="W129" s="730"/>
    </row>
    <row r="130" spans="2:23" s="709" customFormat="1" ht="15.75">
      <c r="B130" s="710"/>
      <c r="C130" s="719" t="s">
        <v>2815</v>
      </c>
      <c r="D130" s="680"/>
      <c r="E130" s="681"/>
      <c r="F130" s="738"/>
      <c r="G130" s="682" t="s">
        <v>210</v>
      </c>
      <c r="H130" s="683" t="s">
        <v>2754</v>
      </c>
      <c r="I130" s="684"/>
      <c r="J130" s="685"/>
      <c r="K130" s="720">
        <v>177</v>
      </c>
      <c r="L130" s="720">
        <v>177</v>
      </c>
      <c r="M130" s="712"/>
      <c r="N130" s="712">
        <v>45215</v>
      </c>
      <c r="O130" s="713">
        <v>5590</v>
      </c>
      <c r="P130" s="687"/>
      <c r="Q130" s="720">
        <v>177</v>
      </c>
      <c r="R130" s="720">
        <v>177</v>
      </c>
      <c r="S130" s="725">
        <v>20342</v>
      </c>
      <c r="T130" s="725">
        <v>20342</v>
      </c>
      <c r="U130" s="690"/>
      <c r="V130" s="668">
        <v>120</v>
      </c>
    </row>
    <row r="131" spans="2:23" s="638" customFormat="1" ht="17.25" customHeight="1">
      <c r="B131" s="639"/>
      <c r="C131" s="717" t="s">
        <v>2818</v>
      </c>
      <c r="D131" s="662"/>
      <c r="E131" s="14" t="s">
        <v>2795</v>
      </c>
      <c r="F131" s="739"/>
      <c r="G131" s="17"/>
      <c r="H131" s="100"/>
      <c r="I131" s="101"/>
      <c r="J131" s="6"/>
      <c r="K131" s="505" t="s">
        <v>4</v>
      </c>
      <c r="L131" s="643"/>
      <c r="M131" s="672"/>
      <c r="N131" s="706">
        <v>45279</v>
      </c>
      <c r="O131" s="707">
        <v>5762</v>
      </c>
      <c r="P131" s="673"/>
      <c r="Q131" s="674"/>
      <c r="R131" s="674"/>
      <c r="S131" s="728"/>
      <c r="T131" s="84"/>
      <c r="U131" s="728"/>
      <c r="V131" s="668"/>
    </row>
    <row r="132" spans="2:23" s="638" customFormat="1" ht="17.25" customHeight="1">
      <c r="B132" s="639" t="s">
        <v>236</v>
      </c>
      <c r="C132" s="717" t="s">
        <v>2818</v>
      </c>
      <c r="D132" s="662"/>
      <c r="E132" s="17">
        <v>3544</v>
      </c>
      <c r="F132" s="739" t="s">
        <v>2796</v>
      </c>
      <c r="G132" s="17" t="s">
        <v>2805</v>
      </c>
      <c r="H132" s="100">
        <v>30</v>
      </c>
      <c r="I132" s="101">
        <v>2</v>
      </c>
      <c r="J132" s="6">
        <f t="shared" ref="J132:J152" si="35">H132*I132</f>
        <v>60</v>
      </c>
      <c r="K132" s="33">
        <v>17.27</v>
      </c>
      <c r="L132" s="643">
        <f t="shared" ref="L132:L152" si="36">K132*I132</f>
        <v>34.54</v>
      </c>
      <c r="M132" s="672" t="s">
        <v>255</v>
      </c>
      <c r="N132" s="706">
        <v>45279</v>
      </c>
      <c r="O132" s="707">
        <v>5762</v>
      </c>
      <c r="P132" s="673">
        <f t="shared" ref="P132:P152" si="37">ROUNDUP(S132/V132/VLOOKUP(B132,$C$2:$F$6,3,FALSE),2)</f>
        <v>14.93</v>
      </c>
      <c r="Q132" s="674">
        <v>14.93</v>
      </c>
      <c r="R132" s="674">
        <f t="shared" ref="R132:R152" si="38">Q132*I132</f>
        <v>29.86</v>
      </c>
      <c r="S132" s="725">
        <v>1254</v>
      </c>
      <c r="T132" s="84">
        <f t="shared" ref="T132:T152" si="39">S132*I132</f>
        <v>2508</v>
      </c>
      <c r="U132" s="726"/>
      <c r="V132" s="668">
        <v>120</v>
      </c>
      <c r="W132" s="730">
        <f t="shared" ref="W132:W152" si="40">(((K132*V132)-S132)/(K132*V132))</f>
        <v>0.39490445859872614</v>
      </c>
    </row>
    <row r="133" spans="2:23" s="638" customFormat="1" ht="17.25" customHeight="1">
      <c r="B133" s="639" t="s">
        <v>236</v>
      </c>
      <c r="C133" s="717" t="s">
        <v>2818</v>
      </c>
      <c r="D133" s="662"/>
      <c r="E133" s="17">
        <v>3544</v>
      </c>
      <c r="F133" s="739" t="s">
        <v>2819</v>
      </c>
      <c r="G133" s="17" t="s">
        <v>2821</v>
      </c>
      <c r="H133" s="100">
        <v>30</v>
      </c>
      <c r="I133" s="101">
        <v>2</v>
      </c>
      <c r="J133" s="6">
        <f t="shared" si="35"/>
        <v>60</v>
      </c>
      <c r="K133" s="33">
        <v>8.27</v>
      </c>
      <c r="L133" s="643">
        <f t="shared" si="36"/>
        <v>16.54</v>
      </c>
      <c r="M133" s="672" t="s">
        <v>255</v>
      </c>
      <c r="N133" s="706">
        <v>45279</v>
      </c>
      <c r="O133" s="707">
        <v>5762</v>
      </c>
      <c r="P133" s="673">
        <f t="shared" si="37"/>
        <v>6.22</v>
      </c>
      <c r="Q133" s="743">
        <v>7.18</v>
      </c>
      <c r="R133" s="674">
        <f t="shared" si="38"/>
        <v>14.36</v>
      </c>
      <c r="S133" s="725">
        <v>522</v>
      </c>
      <c r="T133" s="84">
        <f t="shared" si="39"/>
        <v>1044</v>
      </c>
      <c r="U133" s="726" t="s">
        <v>2831</v>
      </c>
      <c r="V133" s="668">
        <v>120</v>
      </c>
      <c r="W133" s="730">
        <f t="shared" si="40"/>
        <v>0.4740024183796856</v>
      </c>
    </row>
    <row r="134" spans="2:23" s="638" customFormat="1" ht="17.25" customHeight="1">
      <c r="B134" s="639" t="s">
        <v>236</v>
      </c>
      <c r="C134" s="717" t="s">
        <v>2818</v>
      </c>
      <c r="D134" s="662"/>
      <c r="E134" s="17">
        <v>3544</v>
      </c>
      <c r="F134" s="739" t="s">
        <v>2796</v>
      </c>
      <c r="G134" s="17" t="s">
        <v>2821</v>
      </c>
      <c r="H134" s="100">
        <v>30</v>
      </c>
      <c r="I134" s="101">
        <v>2</v>
      </c>
      <c r="J134" s="6">
        <f t="shared" si="35"/>
        <v>60</v>
      </c>
      <c r="K134" s="33">
        <v>17.27</v>
      </c>
      <c r="L134" s="643">
        <f t="shared" si="36"/>
        <v>34.54</v>
      </c>
      <c r="M134" s="672" t="s">
        <v>255</v>
      </c>
      <c r="N134" s="706">
        <v>45279</v>
      </c>
      <c r="O134" s="707">
        <v>5762</v>
      </c>
      <c r="P134" s="673">
        <f t="shared" si="37"/>
        <v>14.93</v>
      </c>
      <c r="Q134" s="674">
        <v>14.93</v>
      </c>
      <c r="R134" s="674">
        <f t="shared" si="38"/>
        <v>29.86</v>
      </c>
      <c r="S134" s="725">
        <v>1254</v>
      </c>
      <c r="T134" s="84">
        <f t="shared" si="39"/>
        <v>2508</v>
      </c>
      <c r="U134" s="726"/>
      <c r="V134" s="668">
        <v>120</v>
      </c>
      <c r="W134" s="730">
        <f t="shared" si="40"/>
        <v>0.39490445859872614</v>
      </c>
    </row>
    <row r="135" spans="2:23" s="638" customFormat="1" ht="17.25" customHeight="1">
      <c r="B135" s="639" t="s">
        <v>236</v>
      </c>
      <c r="C135" s="717" t="s">
        <v>2818</v>
      </c>
      <c r="D135" s="662"/>
      <c r="E135" s="17">
        <v>3544</v>
      </c>
      <c r="F135" s="739" t="s">
        <v>2819</v>
      </c>
      <c r="G135" s="17" t="s">
        <v>2860</v>
      </c>
      <c r="H135" s="100">
        <v>30</v>
      </c>
      <c r="I135" s="101">
        <v>2</v>
      </c>
      <c r="J135" s="6">
        <f t="shared" si="35"/>
        <v>60</v>
      </c>
      <c r="K135" s="33">
        <v>8.27</v>
      </c>
      <c r="L135" s="643">
        <f t="shared" si="36"/>
        <v>16.54</v>
      </c>
      <c r="M135" s="672" t="s">
        <v>255</v>
      </c>
      <c r="N135" s="706">
        <v>45279</v>
      </c>
      <c r="O135" s="707">
        <v>5762</v>
      </c>
      <c r="P135" s="673">
        <f t="shared" si="37"/>
        <v>6.22</v>
      </c>
      <c r="Q135" s="743">
        <v>7.18</v>
      </c>
      <c r="R135" s="674">
        <f t="shared" si="38"/>
        <v>14.36</v>
      </c>
      <c r="S135" s="725">
        <v>522</v>
      </c>
      <c r="T135" s="84">
        <f t="shared" si="39"/>
        <v>1044</v>
      </c>
      <c r="U135" s="726" t="s">
        <v>2831</v>
      </c>
      <c r="V135" s="668">
        <v>120</v>
      </c>
      <c r="W135" s="730">
        <f t="shared" si="40"/>
        <v>0.4740024183796856</v>
      </c>
    </row>
    <row r="136" spans="2:23" s="638" customFormat="1" ht="17.25" customHeight="1">
      <c r="B136" s="639" t="s">
        <v>236</v>
      </c>
      <c r="C136" s="717" t="s">
        <v>2818</v>
      </c>
      <c r="D136" s="662"/>
      <c r="E136" s="17">
        <v>3544</v>
      </c>
      <c r="F136" s="739" t="s">
        <v>2796</v>
      </c>
      <c r="G136" s="17" t="s">
        <v>2822</v>
      </c>
      <c r="H136" s="100">
        <v>30</v>
      </c>
      <c r="I136" s="101">
        <v>2</v>
      </c>
      <c r="J136" s="6">
        <f t="shared" si="35"/>
        <v>60</v>
      </c>
      <c r="K136" s="33">
        <v>17.27</v>
      </c>
      <c r="L136" s="643">
        <f t="shared" si="36"/>
        <v>34.54</v>
      </c>
      <c r="M136" s="672" t="s">
        <v>255</v>
      </c>
      <c r="N136" s="706">
        <v>45279</v>
      </c>
      <c r="O136" s="707">
        <v>5762</v>
      </c>
      <c r="P136" s="673">
        <f t="shared" si="37"/>
        <v>14.93</v>
      </c>
      <c r="Q136" s="674">
        <v>14.93</v>
      </c>
      <c r="R136" s="674">
        <f t="shared" si="38"/>
        <v>29.86</v>
      </c>
      <c r="S136" s="725">
        <v>1254</v>
      </c>
      <c r="T136" s="84">
        <f t="shared" si="39"/>
        <v>2508</v>
      </c>
      <c r="U136" s="726"/>
      <c r="V136" s="668">
        <v>120</v>
      </c>
      <c r="W136" s="730">
        <f t="shared" si="40"/>
        <v>0.39490445859872614</v>
      </c>
    </row>
    <row r="137" spans="2:23" s="638" customFormat="1" ht="17.25" customHeight="1">
      <c r="B137" s="639" t="s">
        <v>236</v>
      </c>
      <c r="C137" s="717" t="s">
        <v>2818</v>
      </c>
      <c r="D137" s="662"/>
      <c r="E137" s="17">
        <v>3544</v>
      </c>
      <c r="F137" s="739" t="s">
        <v>2798</v>
      </c>
      <c r="G137" s="17" t="s">
        <v>2823</v>
      </c>
      <c r="H137" s="100">
        <v>30</v>
      </c>
      <c r="I137" s="101">
        <v>2</v>
      </c>
      <c r="J137" s="6">
        <f t="shared" si="35"/>
        <v>60</v>
      </c>
      <c r="K137" s="33">
        <v>15</v>
      </c>
      <c r="L137" s="643">
        <f t="shared" si="36"/>
        <v>30</v>
      </c>
      <c r="M137" s="672" t="s">
        <v>255</v>
      </c>
      <c r="N137" s="706">
        <v>45279</v>
      </c>
      <c r="O137" s="707">
        <v>5762</v>
      </c>
      <c r="P137" s="673">
        <f t="shared" si="37"/>
        <v>12.97</v>
      </c>
      <c r="Q137" s="674">
        <v>12.97</v>
      </c>
      <c r="R137" s="674">
        <f t="shared" si="38"/>
        <v>25.94</v>
      </c>
      <c r="S137" s="725">
        <v>1089</v>
      </c>
      <c r="T137" s="84">
        <f t="shared" si="39"/>
        <v>2178</v>
      </c>
      <c r="U137" s="726"/>
      <c r="V137" s="668">
        <v>120</v>
      </c>
      <c r="W137" s="730">
        <f t="shared" si="40"/>
        <v>0.39500000000000002</v>
      </c>
    </row>
    <row r="138" spans="2:23" s="638" customFormat="1" ht="17.25" customHeight="1">
      <c r="B138" s="639" t="s">
        <v>236</v>
      </c>
      <c r="C138" s="717" t="s">
        <v>2818</v>
      </c>
      <c r="D138" s="662"/>
      <c r="E138" s="17">
        <v>3544</v>
      </c>
      <c r="F138" s="739" t="s">
        <v>2819</v>
      </c>
      <c r="G138" s="17" t="s">
        <v>2824</v>
      </c>
      <c r="H138" s="100">
        <v>30</v>
      </c>
      <c r="I138" s="101">
        <v>2</v>
      </c>
      <c r="J138" s="6">
        <f t="shared" si="35"/>
        <v>60</v>
      </c>
      <c r="K138" s="33">
        <v>8.27</v>
      </c>
      <c r="L138" s="643">
        <f t="shared" si="36"/>
        <v>16.54</v>
      </c>
      <c r="M138" s="672" t="s">
        <v>255</v>
      </c>
      <c r="N138" s="706">
        <v>45279</v>
      </c>
      <c r="O138" s="707">
        <v>5762</v>
      </c>
      <c r="P138" s="673">
        <f t="shared" si="37"/>
        <v>6.22</v>
      </c>
      <c r="Q138" s="743">
        <v>7.18</v>
      </c>
      <c r="R138" s="674">
        <f t="shared" si="38"/>
        <v>14.36</v>
      </c>
      <c r="S138" s="725">
        <v>522</v>
      </c>
      <c r="T138" s="84">
        <f t="shared" si="39"/>
        <v>1044</v>
      </c>
      <c r="U138" s="726" t="s">
        <v>2831</v>
      </c>
      <c r="V138" s="668">
        <v>120</v>
      </c>
      <c r="W138" s="730">
        <f t="shared" si="40"/>
        <v>0.4740024183796856</v>
      </c>
    </row>
    <row r="139" spans="2:23" s="638" customFormat="1" ht="17.25" customHeight="1">
      <c r="B139" s="639" t="s">
        <v>236</v>
      </c>
      <c r="C139" s="717" t="s">
        <v>2818</v>
      </c>
      <c r="D139" s="662"/>
      <c r="E139" s="17">
        <v>3544</v>
      </c>
      <c r="F139" s="739" t="s">
        <v>2819</v>
      </c>
      <c r="G139" s="17" t="s">
        <v>2825</v>
      </c>
      <c r="H139" s="100">
        <v>30</v>
      </c>
      <c r="I139" s="101">
        <v>2</v>
      </c>
      <c r="J139" s="6">
        <f t="shared" si="35"/>
        <v>60</v>
      </c>
      <c r="K139" s="33">
        <v>8.27</v>
      </c>
      <c r="L139" s="643">
        <f t="shared" si="36"/>
        <v>16.54</v>
      </c>
      <c r="M139" s="672" t="s">
        <v>255</v>
      </c>
      <c r="N139" s="706">
        <v>45279</v>
      </c>
      <c r="O139" s="707">
        <v>5762</v>
      </c>
      <c r="P139" s="673">
        <f t="shared" si="37"/>
        <v>6.22</v>
      </c>
      <c r="Q139" s="743">
        <v>7.18</v>
      </c>
      <c r="R139" s="674">
        <f t="shared" si="38"/>
        <v>14.36</v>
      </c>
      <c r="S139" s="725">
        <v>522</v>
      </c>
      <c r="T139" s="84">
        <f t="shared" si="39"/>
        <v>1044</v>
      </c>
      <c r="U139" s="726" t="s">
        <v>2831</v>
      </c>
      <c r="V139" s="668">
        <v>120</v>
      </c>
      <c r="W139" s="730">
        <f t="shared" si="40"/>
        <v>0.4740024183796856</v>
      </c>
    </row>
    <row r="140" spans="2:23" s="638" customFormat="1" ht="17.25" customHeight="1">
      <c r="B140" s="639" t="s">
        <v>236</v>
      </c>
      <c r="C140" s="717" t="s">
        <v>2818</v>
      </c>
      <c r="D140" s="662"/>
      <c r="E140" s="17">
        <v>3544</v>
      </c>
      <c r="F140" s="739" t="s">
        <v>2794</v>
      </c>
      <c r="G140" s="17" t="s">
        <v>2825</v>
      </c>
      <c r="H140" s="100">
        <v>30</v>
      </c>
      <c r="I140" s="101">
        <v>2</v>
      </c>
      <c r="J140" s="6">
        <f t="shared" si="35"/>
        <v>60</v>
      </c>
      <c r="K140" s="33">
        <v>10.36</v>
      </c>
      <c r="L140" s="643">
        <f t="shared" si="36"/>
        <v>20.72</v>
      </c>
      <c r="M140" s="672" t="s">
        <v>255</v>
      </c>
      <c r="N140" s="706">
        <v>45279</v>
      </c>
      <c r="O140" s="707">
        <v>5762</v>
      </c>
      <c r="P140" s="673">
        <f t="shared" si="37"/>
        <v>8.9700000000000006</v>
      </c>
      <c r="Q140" s="674">
        <v>8.9700000000000006</v>
      </c>
      <c r="R140" s="674">
        <f t="shared" si="38"/>
        <v>17.940000000000001</v>
      </c>
      <c r="S140" s="725">
        <v>753</v>
      </c>
      <c r="T140" s="84">
        <f t="shared" si="39"/>
        <v>1506</v>
      </c>
      <c r="U140" s="726"/>
      <c r="V140" s="668">
        <v>120</v>
      </c>
      <c r="W140" s="730">
        <f t="shared" si="40"/>
        <v>0.39430501930501921</v>
      </c>
    </row>
    <row r="141" spans="2:23" s="638" customFormat="1" ht="17.25" customHeight="1">
      <c r="B141" s="639" t="s">
        <v>236</v>
      </c>
      <c r="C141" s="717" t="s">
        <v>2818</v>
      </c>
      <c r="D141" s="662"/>
      <c r="E141" s="17">
        <v>3544</v>
      </c>
      <c r="F141" s="739" t="s">
        <v>2819</v>
      </c>
      <c r="G141" s="17" t="s">
        <v>2826</v>
      </c>
      <c r="H141" s="100">
        <v>30</v>
      </c>
      <c r="I141" s="101">
        <v>2</v>
      </c>
      <c r="J141" s="6">
        <f t="shared" si="35"/>
        <v>60</v>
      </c>
      <c r="K141" s="33">
        <v>8.27</v>
      </c>
      <c r="L141" s="643">
        <f t="shared" si="36"/>
        <v>16.54</v>
      </c>
      <c r="M141" s="672" t="s">
        <v>255</v>
      </c>
      <c r="N141" s="706">
        <v>45279</v>
      </c>
      <c r="O141" s="707">
        <v>5762</v>
      </c>
      <c r="P141" s="673">
        <f t="shared" si="37"/>
        <v>6.22</v>
      </c>
      <c r="Q141" s="743">
        <v>7.18</v>
      </c>
      <c r="R141" s="674">
        <f t="shared" si="38"/>
        <v>14.36</v>
      </c>
      <c r="S141" s="725">
        <v>522</v>
      </c>
      <c r="T141" s="84">
        <f t="shared" si="39"/>
        <v>1044</v>
      </c>
      <c r="U141" s="726" t="s">
        <v>2831</v>
      </c>
      <c r="V141" s="668">
        <v>120</v>
      </c>
      <c r="W141" s="730">
        <f t="shared" si="40"/>
        <v>0.4740024183796856</v>
      </c>
    </row>
    <row r="142" spans="2:23" s="638" customFormat="1" ht="17.25" customHeight="1">
      <c r="B142" s="639" t="s">
        <v>236</v>
      </c>
      <c r="C142" s="717" t="s">
        <v>2818</v>
      </c>
      <c r="D142" s="662"/>
      <c r="E142" s="17">
        <v>3544</v>
      </c>
      <c r="F142" s="739" t="s">
        <v>2819</v>
      </c>
      <c r="G142" s="17" t="s">
        <v>2753</v>
      </c>
      <c r="H142" s="100">
        <v>30</v>
      </c>
      <c r="I142" s="101">
        <v>2</v>
      </c>
      <c r="J142" s="6">
        <f t="shared" si="35"/>
        <v>60</v>
      </c>
      <c r="K142" s="33">
        <v>8.27</v>
      </c>
      <c r="L142" s="643">
        <f t="shared" si="36"/>
        <v>16.54</v>
      </c>
      <c r="M142" s="672" t="s">
        <v>255</v>
      </c>
      <c r="N142" s="706">
        <v>45279</v>
      </c>
      <c r="O142" s="707">
        <v>5762</v>
      </c>
      <c r="P142" s="673">
        <f t="shared" si="37"/>
        <v>6.22</v>
      </c>
      <c r="Q142" s="743">
        <v>7.18</v>
      </c>
      <c r="R142" s="674">
        <f t="shared" si="38"/>
        <v>14.36</v>
      </c>
      <c r="S142" s="725">
        <v>522</v>
      </c>
      <c r="T142" s="84">
        <f t="shared" si="39"/>
        <v>1044</v>
      </c>
      <c r="U142" s="726" t="s">
        <v>2831</v>
      </c>
      <c r="V142" s="668">
        <v>120</v>
      </c>
      <c r="W142" s="730">
        <f t="shared" si="40"/>
        <v>0.4740024183796856</v>
      </c>
    </row>
    <row r="143" spans="2:23" s="638" customFormat="1" ht="17.25" customHeight="1">
      <c r="B143" s="639" t="s">
        <v>236</v>
      </c>
      <c r="C143" s="717" t="s">
        <v>2818</v>
      </c>
      <c r="D143" s="662"/>
      <c r="E143" s="17">
        <v>3544</v>
      </c>
      <c r="F143" s="739" t="s">
        <v>2820</v>
      </c>
      <c r="G143" s="17" t="s">
        <v>2753</v>
      </c>
      <c r="H143" s="100">
        <v>30</v>
      </c>
      <c r="I143" s="101">
        <v>2</v>
      </c>
      <c r="J143" s="6">
        <f t="shared" si="35"/>
        <v>60</v>
      </c>
      <c r="K143" s="33">
        <v>12.68</v>
      </c>
      <c r="L143" s="643">
        <f t="shared" si="36"/>
        <v>25.36</v>
      </c>
      <c r="M143" s="672" t="s">
        <v>255</v>
      </c>
      <c r="N143" s="706">
        <v>45279</v>
      </c>
      <c r="O143" s="707">
        <v>5762</v>
      </c>
      <c r="P143" s="673">
        <f t="shared" si="37"/>
        <v>10.97</v>
      </c>
      <c r="Q143" s="674">
        <v>10.97</v>
      </c>
      <c r="R143" s="674">
        <f t="shared" si="38"/>
        <v>21.94</v>
      </c>
      <c r="S143" s="725">
        <v>921</v>
      </c>
      <c r="T143" s="84">
        <f t="shared" si="39"/>
        <v>1842</v>
      </c>
      <c r="U143" s="726"/>
      <c r="V143" s="668">
        <v>120</v>
      </c>
      <c r="W143" s="730">
        <f t="shared" si="40"/>
        <v>0.3947160883280757</v>
      </c>
    </row>
    <row r="144" spans="2:23" s="638" customFormat="1" ht="17.25" customHeight="1">
      <c r="B144" s="639" t="s">
        <v>236</v>
      </c>
      <c r="C144" s="717" t="s">
        <v>2818</v>
      </c>
      <c r="D144" s="662"/>
      <c r="E144" s="17">
        <v>3544</v>
      </c>
      <c r="F144" s="739" t="s">
        <v>2819</v>
      </c>
      <c r="G144" s="17" t="s">
        <v>2827</v>
      </c>
      <c r="H144" s="100">
        <v>30</v>
      </c>
      <c r="I144" s="101">
        <v>2</v>
      </c>
      <c r="J144" s="6">
        <f t="shared" si="35"/>
        <v>60</v>
      </c>
      <c r="K144" s="33">
        <v>8.27</v>
      </c>
      <c r="L144" s="643">
        <f t="shared" si="36"/>
        <v>16.54</v>
      </c>
      <c r="M144" s="672" t="s">
        <v>255</v>
      </c>
      <c r="N144" s="706">
        <v>45279</v>
      </c>
      <c r="O144" s="707">
        <v>5762</v>
      </c>
      <c r="P144" s="673">
        <f t="shared" si="37"/>
        <v>6.22</v>
      </c>
      <c r="Q144" s="743">
        <v>7.18</v>
      </c>
      <c r="R144" s="674">
        <f t="shared" si="38"/>
        <v>14.36</v>
      </c>
      <c r="S144" s="725">
        <v>522</v>
      </c>
      <c r="T144" s="84">
        <f t="shared" si="39"/>
        <v>1044</v>
      </c>
      <c r="U144" s="726" t="s">
        <v>2831</v>
      </c>
      <c r="V144" s="668">
        <v>120</v>
      </c>
      <c r="W144" s="730">
        <f t="shared" si="40"/>
        <v>0.4740024183796856</v>
      </c>
    </row>
    <row r="145" spans="1:23" s="638" customFormat="1" ht="17.25" customHeight="1">
      <c r="B145" s="639" t="s">
        <v>236</v>
      </c>
      <c r="C145" s="717" t="s">
        <v>2818</v>
      </c>
      <c r="D145" s="662"/>
      <c r="E145" s="17">
        <v>3544</v>
      </c>
      <c r="F145" s="739" t="s">
        <v>2798</v>
      </c>
      <c r="G145" s="17" t="s">
        <v>2827</v>
      </c>
      <c r="H145" s="100">
        <v>30</v>
      </c>
      <c r="I145" s="101">
        <v>2</v>
      </c>
      <c r="J145" s="6">
        <f t="shared" si="35"/>
        <v>60</v>
      </c>
      <c r="K145" s="33">
        <v>15</v>
      </c>
      <c r="L145" s="643">
        <f t="shared" si="36"/>
        <v>30</v>
      </c>
      <c r="M145" s="672" t="s">
        <v>255</v>
      </c>
      <c r="N145" s="706">
        <v>45279</v>
      </c>
      <c r="O145" s="707">
        <v>5762</v>
      </c>
      <c r="P145" s="673">
        <f t="shared" si="37"/>
        <v>12.97</v>
      </c>
      <c r="Q145" s="674">
        <v>12.97</v>
      </c>
      <c r="R145" s="674">
        <f t="shared" si="38"/>
        <v>25.94</v>
      </c>
      <c r="S145" s="725">
        <v>1089</v>
      </c>
      <c r="T145" s="84">
        <f t="shared" si="39"/>
        <v>2178</v>
      </c>
      <c r="U145" s="726"/>
      <c r="V145" s="668">
        <v>120</v>
      </c>
      <c r="W145" s="730">
        <f t="shared" si="40"/>
        <v>0.39500000000000002</v>
      </c>
    </row>
    <row r="146" spans="1:23" s="638" customFormat="1" ht="17.25" customHeight="1">
      <c r="B146" s="639" t="s">
        <v>236</v>
      </c>
      <c r="C146" s="717" t="s">
        <v>2818</v>
      </c>
      <c r="D146" s="662"/>
      <c r="E146" s="17">
        <v>3544</v>
      </c>
      <c r="F146" s="739" t="s">
        <v>2819</v>
      </c>
      <c r="G146" s="17" t="s">
        <v>2828</v>
      </c>
      <c r="H146" s="100">
        <v>30</v>
      </c>
      <c r="I146" s="101">
        <v>2</v>
      </c>
      <c r="J146" s="6">
        <f t="shared" si="35"/>
        <v>60</v>
      </c>
      <c r="K146" s="33">
        <v>8.27</v>
      </c>
      <c r="L146" s="643">
        <f t="shared" si="36"/>
        <v>16.54</v>
      </c>
      <c r="M146" s="672" t="s">
        <v>255</v>
      </c>
      <c r="N146" s="706">
        <v>45279</v>
      </c>
      <c r="O146" s="707">
        <v>5762</v>
      </c>
      <c r="P146" s="673">
        <f t="shared" si="37"/>
        <v>6.22</v>
      </c>
      <c r="Q146" s="743">
        <v>7.18</v>
      </c>
      <c r="R146" s="674">
        <f t="shared" si="38"/>
        <v>14.36</v>
      </c>
      <c r="S146" s="725">
        <v>522</v>
      </c>
      <c r="T146" s="84">
        <f t="shared" si="39"/>
        <v>1044</v>
      </c>
      <c r="U146" s="726" t="s">
        <v>2831</v>
      </c>
      <c r="V146" s="668">
        <v>120</v>
      </c>
      <c r="W146" s="730">
        <f t="shared" si="40"/>
        <v>0.4740024183796856</v>
      </c>
    </row>
    <row r="147" spans="1:23" s="638" customFormat="1" ht="17.25" customHeight="1">
      <c r="B147" s="639" t="s">
        <v>236</v>
      </c>
      <c r="C147" s="717" t="s">
        <v>2818</v>
      </c>
      <c r="D147" s="662"/>
      <c r="E147" s="17">
        <v>3544</v>
      </c>
      <c r="F147" s="739" t="s">
        <v>2794</v>
      </c>
      <c r="G147" s="17" t="s">
        <v>2828</v>
      </c>
      <c r="H147" s="100">
        <v>30</v>
      </c>
      <c r="I147" s="101">
        <v>2</v>
      </c>
      <c r="J147" s="6">
        <f t="shared" si="35"/>
        <v>60</v>
      </c>
      <c r="K147" s="33">
        <v>10.36</v>
      </c>
      <c r="L147" s="643">
        <f t="shared" si="36"/>
        <v>20.72</v>
      </c>
      <c r="M147" s="672" t="s">
        <v>255</v>
      </c>
      <c r="N147" s="706">
        <v>45279</v>
      </c>
      <c r="O147" s="707">
        <v>5762</v>
      </c>
      <c r="P147" s="673">
        <f t="shared" si="37"/>
        <v>8.9700000000000006</v>
      </c>
      <c r="Q147" s="674">
        <v>8.9700000000000006</v>
      </c>
      <c r="R147" s="674">
        <f t="shared" si="38"/>
        <v>17.940000000000001</v>
      </c>
      <c r="S147" s="725">
        <v>753</v>
      </c>
      <c r="T147" s="84">
        <f t="shared" si="39"/>
        <v>1506</v>
      </c>
      <c r="U147" s="726"/>
      <c r="V147" s="668">
        <v>120</v>
      </c>
      <c r="W147" s="730">
        <f t="shared" si="40"/>
        <v>0.39430501930501921</v>
      </c>
    </row>
    <row r="148" spans="1:23" s="638" customFormat="1" ht="17.25" customHeight="1">
      <c r="B148" s="639" t="s">
        <v>236</v>
      </c>
      <c r="C148" s="717" t="s">
        <v>2818</v>
      </c>
      <c r="D148" s="662"/>
      <c r="E148" s="17">
        <v>3544</v>
      </c>
      <c r="F148" s="739" t="s">
        <v>2819</v>
      </c>
      <c r="G148" s="17" t="s">
        <v>2829</v>
      </c>
      <c r="H148" s="100">
        <v>30</v>
      </c>
      <c r="I148" s="101">
        <v>2</v>
      </c>
      <c r="J148" s="6">
        <f t="shared" si="35"/>
        <v>60</v>
      </c>
      <c r="K148" s="33">
        <v>8.27</v>
      </c>
      <c r="L148" s="643">
        <f t="shared" si="36"/>
        <v>16.54</v>
      </c>
      <c r="M148" s="672" t="s">
        <v>255</v>
      </c>
      <c r="N148" s="706">
        <v>45279</v>
      </c>
      <c r="O148" s="707">
        <v>5762</v>
      </c>
      <c r="P148" s="673">
        <f t="shared" si="37"/>
        <v>6.22</v>
      </c>
      <c r="Q148" s="743">
        <v>7.18</v>
      </c>
      <c r="R148" s="674">
        <f t="shared" si="38"/>
        <v>14.36</v>
      </c>
      <c r="S148" s="725">
        <v>522</v>
      </c>
      <c r="T148" s="84">
        <f t="shared" si="39"/>
        <v>1044</v>
      </c>
      <c r="U148" s="726" t="s">
        <v>2831</v>
      </c>
      <c r="V148" s="668">
        <v>120</v>
      </c>
      <c r="W148" s="730">
        <f t="shared" si="40"/>
        <v>0.4740024183796856</v>
      </c>
    </row>
    <row r="149" spans="1:23" s="638" customFormat="1" ht="17.25" customHeight="1">
      <c r="B149" s="639" t="s">
        <v>236</v>
      </c>
      <c r="C149" s="717" t="s">
        <v>2818</v>
      </c>
      <c r="D149" s="662"/>
      <c r="E149" s="17">
        <v>3544</v>
      </c>
      <c r="F149" s="739" t="s">
        <v>2794</v>
      </c>
      <c r="G149" s="17" t="s">
        <v>2829</v>
      </c>
      <c r="H149" s="100">
        <v>30</v>
      </c>
      <c r="I149" s="101">
        <v>2</v>
      </c>
      <c r="J149" s="6">
        <f t="shared" si="35"/>
        <v>60</v>
      </c>
      <c r="K149" s="33">
        <v>10.36</v>
      </c>
      <c r="L149" s="643">
        <f t="shared" si="36"/>
        <v>20.72</v>
      </c>
      <c r="M149" s="672" t="s">
        <v>255</v>
      </c>
      <c r="N149" s="706">
        <v>45279</v>
      </c>
      <c r="O149" s="707">
        <v>5762</v>
      </c>
      <c r="P149" s="673">
        <f t="shared" si="37"/>
        <v>8.9700000000000006</v>
      </c>
      <c r="Q149" s="674">
        <v>8.9700000000000006</v>
      </c>
      <c r="R149" s="674">
        <f t="shared" si="38"/>
        <v>17.940000000000001</v>
      </c>
      <c r="S149" s="725">
        <v>753</v>
      </c>
      <c r="T149" s="84">
        <f t="shared" si="39"/>
        <v>1506</v>
      </c>
      <c r="U149" s="726"/>
      <c r="V149" s="668">
        <v>120</v>
      </c>
      <c r="W149" s="730">
        <f t="shared" si="40"/>
        <v>0.39430501930501921</v>
      </c>
    </row>
    <row r="150" spans="1:23" s="638" customFormat="1" ht="17.25" customHeight="1">
      <c r="B150" s="639" t="s">
        <v>236</v>
      </c>
      <c r="C150" s="717" t="s">
        <v>2818</v>
      </c>
      <c r="D150" s="662"/>
      <c r="E150" s="17">
        <v>3544</v>
      </c>
      <c r="F150" s="739" t="s">
        <v>2798</v>
      </c>
      <c r="G150" s="17" t="s">
        <v>2829</v>
      </c>
      <c r="H150" s="100">
        <v>30</v>
      </c>
      <c r="I150" s="101">
        <v>2</v>
      </c>
      <c r="J150" s="6">
        <f t="shared" si="35"/>
        <v>60</v>
      </c>
      <c r="K150" s="33">
        <v>15</v>
      </c>
      <c r="L150" s="643">
        <f t="shared" si="36"/>
        <v>30</v>
      </c>
      <c r="M150" s="672" t="s">
        <v>255</v>
      </c>
      <c r="N150" s="706">
        <v>45279</v>
      </c>
      <c r="O150" s="707">
        <v>5762</v>
      </c>
      <c r="P150" s="673">
        <f t="shared" si="37"/>
        <v>12.97</v>
      </c>
      <c r="Q150" s="674">
        <v>12.97</v>
      </c>
      <c r="R150" s="674">
        <f t="shared" si="38"/>
        <v>25.94</v>
      </c>
      <c r="S150" s="725">
        <v>1089</v>
      </c>
      <c r="T150" s="84">
        <f t="shared" si="39"/>
        <v>2178</v>
      </c>
      <c r="U150" s="726"/>
      <c r="V150" s="668">
        <v>120</v>
      </c>
      <c r="W150" s="730">
        <f t="shared" si="40"/>
        <v>0.39500000000000002</v>
      </c>
    </row>
    <row r="151" spans="1:23" s="638" customFormat="1" ht="17.25" customHeight="1">
      <c r="B151" s="639" t="s">
        <v>236</v>
      </c>
      <c r="C151" s="717" t="s">
        <v>2818</v>
      </c>
      <c r="D151" s="662"/>
      <c r="E151" s="17">
        <v>3544</v>
      </c>
      <c r="F151" s="739" t="s">
        <v>2819</v>
      </c>
      <c r="G151" s="17" t="s">
        <v>2826</v>
      </c>
      <c r="H151" s="100">
        <v>30</v>
      </c>
      <c r="I151" s="101">
        <v>2</v>
      </c>
      <c r="J151" s="6">
        <f t="shared" si="35"/>
        <v>60</v>
      </c>
      <c r="K151" s="33">
        <v>8.27</v>
      </c>
      <c r="L151" s="643">
        <f t="shared" si="36"/>
        <v>16.54</v>
      </c>
      <c r="M151" s="672" t="s">
        <v>255</v>
      </c>
      <c r="N151" s="706">
        <v>45279</v>
      </c>
      <c r="O151" s="707">
        <v>5762</v>
      </c>
      <c r="P151" s="673">
        <f t="shared" si="37"/>
        <v>6.22</v>
      </c>
      <c r="Q151" s="743">
        <v>7.18</v>
      </c>
      <c r="R151" s="674">
        <f t="shared" si="38"/>
        <v>14.36</v>
      </c>
      <c r="S151" s="725">
        <v>522</v>
      </c>
      <c r="T151" s="84">
        <f t="shared" si="39"/>
        <v>1044</v>
      </c>
      <c r="U151" s="726" t="s">
        <v>2831</v>
      </c>
      <c r="V151" s="668">
        <v>120</v>
      </c>
      <c r="W151" s="730">
        <f t="shared" si="40"/>
        <v>0.4740024183796856</v>
      </c>
    </row>
    <row r="152" spans="1:23" s="638" customFormat="1" ht="17.25" customHeight="1">
      <c r="B152" s="639" t="s">
        <v>236</v>
      </c>
      <c r="C152" s="717" t="s">
        <v>2818</v>
      </c>
      <c r="D152" s="662"/>
      <c r="E152" s="17">
        <v>3544</v>
      </c>
      <c r="F152" s="739" t="s">
        <v>2819</v>
      </c>
      <c r="G152" s="17" t="s">
        <v>2830</v>
      </c>
      <c r="H152" s="100">
        <v>30</v>
      </c>
      <c r="I152" s="101">
        <v>2</v>
      </c>
      <c r="J152" s="6">
        <f t="shared" si="35"/>
        <v>60</v>
      </c>
      <c r="K152" s="33">
        <v>8.27</v>
      </c>
      <c r="L152" s="643">
        <f t="shared" si="36"/>
        <v>16.54</v>
      </c>
      <c r="M152" s="672" t="s">
        <v>255</v>
      </c>
      <c r="N152" s="706">
        <v>45279</v>
      </c>
      <c r="O152" s="707">
        <v>5762</v>
      </c>
      <c r="P152" s="673">
        <f t="shared" si="37"/>
        <v>6.22</v>
      </c>
      <c r="Q152" s="743">
        <v>7.18</v>
      </c>
      <c r="R152" s="674">
        <f t="shared" si="38"/>
        <v>14.36</v>
      </c>
      <c r="S152" s="725">
        <v>522</v>
      </c>
      <c r="T152" s="84">
        <f t="shared" si="39"/>
        <v>1044</v>
      </c>
      <c r="U152" s="726" t="s">
        <v>2831</v>
      </c>
      <c r="V152" s="668">
        <v>120</v>
      </c>
      <c r="W152" s="730">
        <f t="shared" si="40"/>
        <v>0.4740024183796856</v>
      </c>
    </row>
    <row r="153" spans="1:23" s="638" customFormat="1" ht="15.75">
      <c r="B153" s="639"/>
      <c r="C153" s="717" t="s">
        <v>2818</v>
      </c>
      <c r="D153" s="662"/>
      <c r="E153" s="158"/>
      <c r="F153" s="737"/>
      <c r="G153" s="158" t="s">
        <v>250</v>
      </c>
      <c r="H153" s="671"/>
      <c r="I153" s="676"/>
      <c r="J153" s="677">
        <v>1</v>
      </c>
      <c r="K153" s="643">
        <v>12</v>
      </c>
      <c r="L153" s="643">
        <f>K153*J153</f>
        <v>12</v>
      </c>
      <c r="M153" s="678"/>
      <c r="N153" s="706">
        <v>45279</v>
      </c>
      <c r="O153" s="707">
        <v>5762</v>
      </c>
      <c r="P153" s="504"/>
      <c r="Q153" s="674">
        <v>12</v>
      </c>
      <c r="R153" s="674">
        <f>Q153*J153</f>
        <v>12</v>
      </c>
      <c r="S153" s="638">
        <v>0</v>
      </c>
      <c r="T153" s="84">
        <v>0</v>
      </c>
      <c r="U153" s="726"/>
      <c r="V153" s="668">
        <v>120</v>
      </c>
      <c r="W153" s="730"/>
    </row>
    <row r="154" spans="1:23" s="709" customFormat="1" ht="15.75">
      <c r="B154" s="710"/>
      <c r="C154" s="719" t="s">
        <v>2818</v>
      </c>
      <c r="D154" s="680"/>
      <c r="E154" s="681"/>
      <c r="F154" s="738"/>
      <c r="G154" s="682" t="s">
        <v>210</v>
      </c>
      <c r="H154" s="683" t="s">
        <v>2754</v>
      </c>
      <c r="I154" s="684"/>
      <c r="J154" s="685"/>
      <c r="K154" s="720">
        <v>61</v>
      </c>
      <c r="L154" s="720">
        <v>61</v>
      </c>
      <c r="M154" s="712"/>
      <c r="N154" s="712">
        <v>45279</v>
      </c>
      <c r="O154" s="713">
        <v>5762</v>
      </c>
      <c r="P154" s="687"/>
      <c r="Q154" s="720">
        <v>61</v>
      </c>
      <c r="R154" s="720">
        <v>61</v>
      </c>
      <c r="S154" s="725">
        <v>6936</v>
      </c>
      <c r="T154" s="725">
        <v>6936</v>
      </c>
      <c r="U154" s="690"/>
      <c r="V154" s="668">
        <v>120</v>
      </c>
    </row>
    <row r="155" spans="1:23" s="638" customFormat="1" ht="17.25" customHeight="1">
      <c r="B155" s="639"/>
      <c r="C155" s="717" t="s">
        <v>2832</v>
      </c>
      <c r="D155" s="662"/>
      <c r="E155" s="14" t="s">
        <v>2790</v>
      </c>
      <c r="F155" s="739"/>
      <c r="G155" s="17"/>
      <c r="H155" s="100"/>
      <c r="I155" s="101"/>
      <c r="J155" s="6"/>
      <c r="K155" s="505" t="s">
        <v>4</v>
      </c>
      <c r="L155" s="643"/>
      <c r="M155" s="672"/>
      <c r="N155" s="706">
        <v>45330</v>
      </c>
      <c r="O155" s="707">
        <v>5875</v>
      </c>
      <c r="P155" s="673"/>
      <c r="Q155" s="674"/>
      <c r="R155" s="674"/>
      <c r="S155" s="728"/>
      <c r="T155" s="84"/>
      <c r="U155" s="728"/>
      <c r="V155" s="668"/>
    </row>
    <row r="156" spans="1:23" s="638" customFormat="1" ht="17.25" customHeight="1">
      <c r="B156" s="639" t="s">
        <v>236</v>
      </c>
      <c r="C156" s="717" t="s">
        <v>2832</v>
      </c>
      <c r="D156" s="662"/>
      <c r="E156" s="17">
        <v>1100</v>
      </c>
      <c r="F156" s="739">
        <v>30</v>
      </c>
      <c r="G156" s="17" t="s">
        <v>2789</v>
      </c>
      <c r="H156" s="100">
        <v>30</v>
      </c>
      <c r="I156" s="101">
        <v>5</v>
      </c>
      <c r="J156" s="6">
        <f>H156*I156</f>
        <v>150</v>
      </c>
      <c r="K156" s="33">
        <v>37.08</v>
      </c>
      <c r="L156" s="643">
        <f>K156*I156</f>
        <v>185.39999999999998</v>
      </c>
      <c r="M156" s="672" t="s">
        <v>2791</v>
      </c>
      <c r="N156" s="706">
        <v>45330</v>
      </c>
      <c r="O156" s="707">
        <v>5875</v>
      </c>
      <c r="P156" s="673">
        <f>ROUNDUP(S156/V156/VLOOKUP(B156,$C$2:$F$6,3,FALSE),2)</f>
        <v>31.790000000000003</v>
      </c>
      <c r="Q156" s="674">
        <v>31.79</v>
      </c>
      <c r="R156" s="674">
        <f>Q156*I156</f>
        <v>158.94999999999999</v>
      </c>
      <c r="S156" s="725">
        <v>2670</v>
      </c>
      <c r="T156" s="84">
        <f>S156*I156</f>
        <v>13350</v>
      </c>
      <c r="U156" s="726"/>
      <c r="V156" s="668">
        <v>120</v>
      </c>
      <c r="W156" s="730">
        <f>(((K156*V156)-S156)/(K156*V156))</f>
        <v>0.39994606256742171</v>
      </c>
    </row>
    <row r="157" spans="1:23" s="638" customFormat="1" ht="17.25" customHeight="1">
      <c r="A157" s="638" t="s">
        <v>2850</v>
      </c>
      <c r="B157" s="639"/>
      <c r="C157" s="717" t="s">
        <v>2832</v>
      </c>
      <c r="D157" s="662"/>
      <c r="E157" s="14" t="s">
        <v>2780</v>
      </c>
      <c r="F157" s="739"/>
      <c r="G157" s="17"/>
      <c r="H157" s="100"/>
      <c r="I157" s="101"/>
      <c r="J157" s="6"/>
      <c r="K157" s="505" t="s">
        <v>4</v>
      </c>
      <c r="L157" s="643"/>
      <c r="M157" s="672"/>
      <c r="N157" s="706">
        <v>45330</v>
      </c>
      <c r="O157" s="707">
        <v>5875</v>
      </c>
      <c r="P157" s="673"/>
      <c r="Q157" s="674"/>
      <c r="R157" s="674"/>
      <c r="S157" s="728"/>
      <c r="T157" s="84"/>
      <c r="U157" s="728"/>
      <c r="V157" s="668"/>
    </row>
    <row r="158" spans="1:23" s="638" customFormat="1" ht="17.25" customHeight="1">
      <c r="B158" s="639" t="s">
        <v>236</v>
      </c>
      <c r="C158" s="717" t="s">
        <v>2832</v>
      </c>
      <c r="D158" s="662"/>
      <c r="E158" s="17">
        <v>2200</v>
      </c>
      <c r="F158" s="739">
        <v>18</v>
      </c>
      <c r="G158" s="17" t="s">
        <v>2475</v>
      </c>
      <c r="H158" s="100">
        <v>15</v>
      </c>
      <c r="I158" s="101">
        <v>5</v>
      </c>
      <c r="J158" s="6">
        <f>H158*I158</f>
        <v>75</v>
      </c>
      <c r="K158" s="33">
        <v>18.75</v>
      </c>
      <c r="L158" s="643">
        <f>K158*I158</f>
        <v>93.75</v>
      </c>
      <c r="M158" s="672" t="s">
        <v>255</v>
      </c>
      <c r="N158" s="706">
        <v>45330</v>
      </c>
      <c r="O158" s="707">
        <v>5875</v>
      </c>
      <c r="P158" s="673">
        <f>ROUNDUP(S158/V158/VLOOKUP(B158,$C$2:$F$6,3,FALSE),2)</f>
        <v>14.58</v>
      </c>
      <c r="Q158" s="674">
        <v>14.58</v>
      </c>
      <c r="R158" s="674">
        <f>Q158*I158</f>
        <v>72.900000000000006</v>
      </c>
      <c r="S158" s="725">
        <v>1224</v>
      </c>
      <c r="T158" s="84">
        <f>S158*I158</f>
        <v>6120</v>
      </c>
      <c r="U158" s="726"/>
      <c r="V158" s="668">
        <v>120</v>
      </c>
      <c r="W158" s="730">
        <f>(((K158*V158)-S158)/(K158*V158))</f>
        <v>0.45600000000000002</v>
      </c>
    </row>
    <row r="159" spans="1:23" s="638" customFormat="1" ht="17.25" customHeight="1">
      <c r="B159" s="639" t="s">
        <v>236</v>
      </c>
      <c r="C159" s="717" t="s">
        <v>2832</v>
      </c>
      <c r="D159" s="662"/>
      <c r="E159" s="17">
        <v>2200</v>
      </c>
      <c r="F159" s="739">
        <v>18</v>
      </c>
      <c r="G159" s="17" t="s">
        <v>2833</v>
      </c>
      <c r="H159" s="100">
        <v>15</v>
      </c>
      <c r="I159" s="101">
        <v>3</v>
      </c>
      <c r="J159" s="6">
        <f>H159*I159</f>
        <v>45</v>
      </c>
      <c r="K159" s="33">
        <v>18.75</v>
      </c>
      <c r="L159" s="643">
        <f>K159*I159</f>
        <v>56.25</v>
      </c>
      <c r="M159" s="672" t="s">
        <v>255</v>
      </c>
      <c r="N159" s="706">
        <v>45330</v>
      </c>
      <c r="O159" s="707">
        <v>5875</v>
      </c>
      <c r="P159" s="673">
        <f>ROUNDUP(S159/V159/VLOOKUP(B159,$C$2:$F$6,3,FALSE),2)</f>
        <v>14.58</v>
      </c>
      <c r="Q159" s="674">
        <v>14.58</v>
      </c>
      <c r="R159" s="674">
        <f>Q159*I159</f>
        <v>43.74</v>
      </c>
      <c r="S159" s="725">
        <v>1224</v>
      </c>
      <c r="T159" s="84">
        <f>S159*I159</f>
        <v>3672</v>
      </c>
      <c r="U159" s="726"/>
      <c r="V159" s="668">
        <v>120</v>
      </c>
      <c r="W159" s="730">
        <f>(((K159*V159)-S159)/(K159*V159))</f>
        <v>0.45600000000000002</v>
      </c>
    </row>
    <row r="160" spans="1:23" s="638" customFormat="1" ht="18" customHeight="1">
      <c r="B160" s="639"/>
      <c r="C160" s="717" t="s">
        <v>2832</v>
      </c>
      <c r="D160" s="662"/>
      <c r="E160" s="663" t="s">
        <v>2756</v>
      </c>
      <c r="F160" s="736"/>
      <c r="G160" s="664"/>
      <c r="H160" s="665"/>
      <c r="I160" s="665"/>
      <c r="J160" s="665"/>
      <c r="K160" s="505" t="s">
        <v>4</v>
      </c>
      <c r="L160" s="705"/>
      <c r="M160" s="706"/>
      <c r="N160" s="706">
        <v>45330</v>
      </c>
      <c r="O160" s="707">
        <v>5875</v>
      </c>
      <c r="P160" s="504"/>
      <c r="Q160" s="666"/>
      <c r="U160" s="667"/>
      <c r="V160" s="668">
        <v>120</v>
      </c>
    </row>
    <row r="161" spans="2:23" s="638" customFormat="1" ht="17.25" customHeight="1">
      <c r="B161" s="639" t="s">
        <v>236</v>
      </c>
      <c r="C161" s="717" t="s">
        <v>2832</v>
      </c>
      <c r="D161" s="662"/>
      <c r="E161" s="17">
        <v>3806</v>
      </c>
      <c r="F161" s="739">
        <v>19</v>
      </c>
      <c r="G161" s="17" t="s">
        <v>2834</v>
      </c>
      <c r="H161" s="100">
        <v>30</v>
      </c>
      <c r="I161" s="101">
        <v>3</v>
      </c>
      <c r="J161" s="6">
        <f>H161*I161</f>
        <v>90</v>
      </c>
      <c r="K161" s="745">
        <v>8.69</v>
      </c>
      <c r="L161" s="744">
        <f>K161*I161</f>
        <v>26.07</v>
      </c>
      <c r="M161" s="672" t="s">
        <v>255</v>
      </c>
      <c r="N161" s="706">
        <v>45330</v>
      </c>
      <c r="O161" s="707">
        <v>5875</v>
      </c>
      <c r="P161" s="673">
        <f>ROUNDUP(S161/V161/VLOOKUP(B161,$C$2:$F$6,3,FALSE),2)</f>
        <v>7.09</v>
      </c>
      <c r="Q161" s="674">
        <v>7.09</v>
      </c>
      <c r="R161" s="674">
        <f>Q161*I161</f>
        <v>21.27</v>
      </c>
      <c r="S161" s="746">
        <v>595</v>
      </c>
      <c r="T161" s="84">
        <f>S161*I161</f>
        <v>1785</v>
      </c>
      <c r="U161" s="726"/>
      <c r="V161" s="668">
        <v>120</v>
      </c>
      <c r="W161" s="730">
        <f>(((K161*V161)-S161)/(K161*V161))</f>
        <v>0.42942079018028384</v>
      </c>
    </row>
    <row r="162" spans="2:23" s="638" customFormat="1" ht="17.25" customHeight="1">
      <c r="B162" s="639" t="s">
        <v>236</v>
      </c>
      <c r="C162" s="717" t="s">
        <v>2832</v>
      </c>
      <c r="D162" s="662"/>
      <c r="E162" s="17">
        <v>3806</v>
      </c>
      <c r="F162" s="739">
        <v>25</v>
      </c>
      <c r="G162" s="17" t="s">
        <v>2835</v>
      </c>
      <c r="H162" s="100">
        <v>30</v>
      </c>
      <c r="I162" s="101">
        <v>3</v>
      </c>
      <c r="J162" s="6">
        <f>H162*I162</f>
        <v>90</v>
      </c>
      <c r="K162" s="745">
        <v>10.94</v>
      </c>
      <c r="L162" s="744">
        <f>K162*I162</f>
        <v>32.82</v>
      </c>
      <c r="M162" s="672" t="s">
        <v>255</v>
      </c>
      <c r="N162" s="706">
        <v>45330</v>
      </c>
      <c r="O162" s="707">
        <v>5875</v>
      </c>
      <c r="P162" s="673">
        <f>ROUNDUP(S162/V162/VLOOKUP(B162,$C$2:$F$6,3,FALSE),2)</f>
        <v>8.6</v>
      </c>
      <c r="Q162" s="674">
        <v>8.6</v>
      </c>
      <c r="R162" s="674">
        <f>Q162*I162</f>
        <v>25.799999999999997</v>
      </c>
      <c r="S162" s="746">
        <v>722</v>
      </c>
      <c r="T162" s="84">
        <f>S162*I162</f>
        <v>2166</v>
      </c>
      <c r="U162" s="726"/>
      <c r="V162" s="668">
        <v>120</v>
      </c>
      <c r="W162" s="730">
        <f>(((K162*V162)-S162)/(K162*V162))</f>
        <v>0.45003046922608164</v>
      </c>
    </row>
    <row r="163" spans="2:23" s="638" customFormat="1" ht="17.25" customHeight="1">
      <c r="B163" s="639" t="s">
        <v>236</v>
      </c>
      <c r="C163" s="717" t="s">
        <v>2832</v>
      </c>
      <c r="D163" s="662"/>
      <c r="E163" s="17">
        <v>3806</v>
      </c>
      <c r="F163" s="739">
        <v>32</v>
      </c>
      <c r="G163" s="17" t="s">
        <v>2836</v>
      </c>
      <c r="H163" s="100">
        <v>30</v>
      </c>
      <c r="I163" s="101">
        <v>3</v>
      </c>
      <c r="J163" s="6">
        <f>H163*I163</f>
        <v>90</v>
      </c>
      <c r="K163" s="745">
        <v>14.42</v>
      </c>
      <c r="L163" s="744">
        <f>K163*I163</f>
        <v>43.26</v>
      </c>
      <c r="M163" s="672" t="s">
        <v>255</v>
      </c>
      <c r="N163" s="706">
        <v>45330</v>
      </c>
      <c r="O163" s="707">
        <v>5875</v>
      </c>
      <c r="P163" s="673">
        <f>ROUNDUP(S163/V163/VLOOKUP(B163,$C$2:$F$6,3,FALSE),2)</f>
        <v>11.75</v>
      </c>
      <c r="Q163" s="674">
        <v>11.75</v>
      </c>
      <c r="R163" s="674">
        <f>Q163*I163</f>
        <v>35.25</v>
      </c>
      <c r="S163" s="746">
        <v>987</v>
      </c>
      <c r="T163" s="84">
        <f>S163*I163</f>
        <v>2961</v>
      </c>
      <c r="U163" s="726"/>
      <c r="V163" s="668">
        <v>120</v>
      </c>
      <c r="W163" s="730">
        <f>(((K163*V163)-S163)/(K163*V163))</f>
        <v>0.42961165048543692</v>
      </c>
    </row>
    <row r="164" spans="2:23" s="638" customFormat="1" ht="17.25" customHeight="1">
      <c r="B164" s="639" t="s">
        <v>236</v>
      </c>
      <c r="C164" s="717" t="s">
        <v>2832</v>
      </c>
      <c r="D164" s="662"/>
      <c r="E164" s="17">
        <v>3806</v>
      </c>
      <c r="F164" s="739">
        <v>12</v>
      </c>
      <c r="G164" s="17" t="s">
        <v>2838</v>
      </c>
      <c r="H164" s="100">
        <v>30</v>
      </c>
      <c r="I164" s="101">
        <v>3</v>
      </c>
      <c r="J164" s="6">
        <f>H164*I164</f>
        <v>90</v>
      </c>
      <c r="K164" s="745">
        <v>5.92</v>
      </c>
      <c r="L164" s="744">
        <f>K164*I164</f>
        <v>17.759999999999998</v>
      </c>
      <c r="M164" s="672" t="s">
        <v>255</v>
      </c>
      <c r="N164" s="706">
        <v>45330</v>
      </c>
      <c r="O164" s="707">
        <v>5875</v>
      </c>
      <c r="P164" s="673">
        <f>ROUNDUP(S164/V164/VLOOKUP(B164,$C$2:$F$6,3,FALSE),2)</f>
        <v>4.83</v>
      </c>
      <c r="Q164" s="674">
        <v>4.83</v>
      </c>
      <c r="R164" s="674">
        <f>Q164*I164</f>
        <v>14.49</v>
      </c>
      <c r="S164" s="746">
        <v>405</v>
      </c>
      <c r="T164" s="84">
        <f>S164*I164</f>
        <v>1215</v>
      </c>
      <c r="U164" s="726"/>
      <c r="V164" s="668">
        <v>120</v>
      </c>
      <c r="W164" s="730">
        <f>(((K164*V164)-S164)/(K164*V164))</f>
        <v>0.42989864864864863</v>
      </c>
    </row>
    <row r="165" spans="2:23" s="638" customFormat="1" ht="17.25" customHeight="1">
      <c r="B165" s="639" t="s">
        <v>236</v>
      </c>
      <c r="C165" s="717" t="s">
        <v>2832</v>
      </c>
      <c r="D165" s="662"/>
      <c r="E165" s="17">
        <v>3806</v>
      </c>
      <c r="F165" s="739">
        <v>9</v>
      </c>
      <c r="G165" s="17" t="s">
        <v>2837</v>
      </c>
      <c r="H165" s="100">
        <v>30</v>
      </c>
      <c r="I165" s="101">
        <v>3</v>
      </c>
      <c r="J165" s="6">
        <f>H165*I165</f>
        <v>90</v>
      </c>
      <c r="K165" s="745">
        <v>5.08</v>
      </c>
      <c r="L165" s="744">
        <f>K165*I165</f>
        <v>15.24</v>
      </c>
      <c r="M165" s="672" t="s">
        <v>255</v>
      </c>
      <c r="N165" s="706">
        <v>45330</v>
      </c>
      <c r="O165" s="707">
        <v>5875</v>
      </c>
      <c r="P165" s="673">
        <f>ROUNDUP(S165/V165/VLOOKUP(B165,$C$2:$F$6,3,FALSE),2)</f>
        <v>4.1499999999999995</v>
      </c>
      <c r="Q165" s="674">
        <v>4.1500000000000004</v>
      </c>
      <c r="R165" s="674">
        <f>Q165*I165</f>
        <v>12.450000000000001</v>
      </c>
      <c r="S165" s="746">
        <v>348</v>
      </c>
      <c r="T165" s="84">
        <f>S165*I165</f>
        <v>1044</v>
      </c>
      <c r="U165" s="726"/>
      <c r="V165" s="668">
        <v>120</v>
      </c>
      <c r="W165" s="730">
        <f>(((K165*V165)-S165)/(K165*V165))</f>
        <v>0.42913385826771655</v>
      </c>
    </row>
    <row r="166" spans="2:23" s="638" customFormat="1" ht="18" customHeight="1">
      <c r="B166" s="639"/>
      <c r="C166" s="717" t="s">
        <v>2832</v>
      </c>
      <c r="D166" s="662"/>
      <c r="E166" s="663" t="s">
        <v>2751</v>
      </c>
      <c r="F166" s="736"/>
      <c r="G166" s="664"/>
      <c r="H166" s="665"/>
      <c r="I166" s="665"/>
      <c r="J166" s="665"/>
      <c r="K166" s="505" t="s">
        <v>4</v>
      </c>
      <c r="L166" s="705"/>
      <c r="M166" s="706"/>
      <c r="N166" s="706">
        <v>45330</v>
      </c>
      <c r="O166" s="707">
        <v>5875</v>
      </c>
      <c r="P166" s="504"/>
      <c r="Q166" s="666"/>
      <c r="U166" s="667"/>
      <c r="V166" s="668">
        <v>120</v>
      </c>
    </row>
    <row r="167" spans="2:23" s="638" customFormat="1" ht="17.25" customHeight="1">
      <c r="B167" s="639" t="s">
        <v>236</v>
      </c>
      <c r="C167" s="717" t="s">
        <v>2832</v>
      </c>
      <c r="D167" s="662"/>
      <c r="E167" s="17">
        <v>5313</v>
      </c>
      <c r="F167" s="739">
        <v>2.5</v>
      </c>
      <c r="G167" s="748" t="s">
        <v>2839</v>
      </c>
      <c r="H167" s="747">
        <v>150</v>
      </c>
      <c r="I167" s="101">
        <v>3</v>
      </c>
      <c r="J167" s="6">
        <f>H167*I167</f>
        <v>450</v>
      </c>
      <c r="K167" s="745">
        <v>29.17</v>
      </c>
      <c r="L167" s="744">
        <f>K167*I167</f>
        <v>87.51</v>
      </c>
      <c r="M167" s="672" t="s">
        <v>255</v>
      </c>
      <c r="N167" s="706">
        <v>45330</v>
      </c>
      <c r="O167" s="707">
        <v>5875</v>
      </c>
      <c r="P167" s="673">
        <f>ROUNDUP(S167/V167/VLOOKUP(B167,$C$2:$F$6,3,FALSE),2)</f>
        <v>25</v>
      </c>
      <c r="Q167" s="674">
        <v>25</v>
      </c>
      <c r="R167" s="674">
        <f>Q167*I167</f>
        <v>75</v>
      </c>
      <c r="S167" s="746">
        <v>2100</v>
      </c>
      <c r="T167" s="84">
        <f>S167*I167</f>
        <v>6300</v>
      </c>
      <c r="U167" s="726"/>
      <c r="V167" s="668">
        <v>120</v>
      </c>
      <c r="W167" s="730">
        <f>(((K167*V167)-S167)/(K167*V167))</f>
        <v>0.4000685635927323</v>
      </c>
    </row>
    <row r="168" spans="2:23" s="638" customFormat="1" ht="17.25" customHeight="1">
      <c r="B168" s="639" t="s">
        <v>236</v>
      </c>
      <c r="C168" s="717" t="s">
        <v>2832</v>
      </c>
      <c r="D168" s="662"/>
      <c r="E168" s="17">
        <v>5313</v>
      </c>
      <c r="F168" s="739">
        <v>2.5</v>
      </c>
      <c r="G168" s="748" t="s">
        <v>2840</v>
      </c>
      <c r="H168" s="747">
        <v>150</v>
      </c>
      <c r="I168" s="101">
        <v>3</v>
      </c>
      <c r="J168" s="6">
        <f t="shared" ref="J168:J173" si="41">H168*I168</f>
        <v>450</v>
      </c>
      <c r="K168" s="745">
        <v>29.17</v>
      </c>
      <c r="L168" s="744">
        <f t="shared" ref="L168:L173" si="42">K168*I168</f>
        <v>87.51</v>
      </c>
      <c r="M168" s="672" t="s">
        <v>255</v>
      </c>
      <c r="N168" s="706">
        <v>45330</v>
      </c>
      <c r="O168" s="707">
        <v>5875</v>
      </c>
      <c r="P168" s="673">
        <f t="shared" ref="P168:P173" si="43">ROUNDUP(S168/V168/VLOOKUP(B168,$C$2:$F$6,3,FALSE),2)</f>
        <v>25</v>
      </c>
      <c r="Q168" s="674">
        <v>25</v>
      </c>
      <c r="R168" s="674">
        <f t="shared" ref="R168:R173" si="44">Q168*I168</f>
        <v>75</v>
      </c>
      <c r="S168" s="746">
        <v>2100</v>
      </c>
      <c r="T168" s="84">
        <f t="shared" ref="T168:T173" si="45">S168*I168</f>
        <v>6300</v>
      </c>
      <c r="U168" s="726"/>
      <c r="V168" s="668">
        <v>120</v>
      </c>
      <c r="W168" s="730">
        <f t="shared" ref="W168:W173" si="46">(((K168*V168)-S168)/(K168*V168))</f>
        <v>0.4000685635927323</v>
      </c>
    </row>
    <row r="169" spans="2:23" s="638" customFormat="1" ht="17.25" customHeight="1">
      <c r="B169" s="639" t="s">
        <v>236</v>
      </c>
      <c r="C169" s="717" t="s">
        <v>2832</v>
      </c>
      <c r="D169" s="662"/>
      <c r="E169" s="17">
        <v>5313</v>
      </c>
      <c r="F169" s="739">
        <v>2.5</v>
      </c>
      <c r="G169" s="748" t="s">
        <v>2841</v>
      </c>
      <c r="H169" s="747">
        <v>150</v>
      </c>
      <c r="I169" s="101">
        <v>3</v>
      </c>
      <c r="J169" s="6">
        <f t="shared" si="41"/>
        <v>450</v>
      </c>
      <c r="K169" s="745">
        <v>29.17</v>
      </c>
      <c r="L169" s="744">
        <f t="shared" si="42"/>
        <v>87.51</v>
      </c>
      <c r="M169" s="672" t="s">
        <v>255</v>
      </c>
      <c r="N169" s="706">
        <v>45330</v>
      </c>
      <c r="O169" s="707">
        <v>5875</v>
      </c>
      <c r="P169" s="673">
        <f t="shared" si="43"/>
        <v>25</v>
      </c>
      <c r="Q169" s="674">
        <v>25</v>
      </c>
      <c r="R169" s="674">
        <f t="shared" si="44"/>
        <v>75</v>
      </c>
      <c r="S169" s="746">
        <v>2100</v>
      </c>
      <c r="T169" s="84">
        <f t="shared" si="45"/>
        <v>6300</v>
      </c>
      <c r="U169" s="726"/>
      <c r="V169" s="668">
        <v>120</v>
      </c>
      <c r="W169" s="730">
        <f t="shared" si="46"/>
        <v>0.4000685635927323</v>
      </c>
    </row>
    <row r="170" spans="2:23" s="638" customFormat="1" ht="17.25" customHeight="1">
      <c r="B170" s="639" t="s">
        <v>236</v>
      </c>
      <c r="C170" s="717" t="s">
        <v>2832</v>
      </c>
      <c r="D170" s="662"/>
      <c r="E170" s="17">
        <v>5313</v>
      </c>
      <c r="F170" s="739">
        <v>2.5</v>
      </c>
      <c r="G170" s="748" t="s">
        <v>2842</v>
      </c>
      <c r="H170" s="747">
        <v>150</v>
      </c>
      <c r="I170" s="101">
        <v>3</v>
      </c>
      <c r="J170" s="6">
        <f t="shared" si="41"/>
        <v>450</v>
      </c>
      <c r="K170" s="745">
        <v>29.17</v>
      </c>
      <c r="L170" s="744">
        <f t="shared" si="42"/>
        <v>87.51</v>
      </c>
      <c r="M170" s="672" t="s">
        <v>255</v>
      </c>
      <c r="N170" s="706">
        <v>45330</v>
      </c>
      <c r="O170" s="707">
        <v>5875</v>
      </c>
      <c r="P170" s="673">
        <f t="shared" si="43"/>
        <v>25</v>
      </c>
      <c r="Q170" s="674">
        <v>25</v>
      </c>
      <c r="R170" s="674">
        <f t="shared" si="44"/>
        <v>75</v>
      </c>
      <c r="S170" s="746">
        <v>2100</v>
      </c>
      <c r="T170" s="84">
        <f t="shared" si="45"/>
        <v>6300</v>
      </c>
      <c r="U170" s="726"/>
      <c r="V170" s="668">
        <v>120</v>
      </c>
      <c r="W170" s="730">
        <f t="shared" si="46"/>
        <v>0.4000685635927323</v>
      </c>
    </row>
    <row r="171" spans="2:23" s="638" customFormat="1" ht="17.25" customHeight="1">
      <c r="B171" s="639" t="s">
        <v>236</v>
      </c>
      <c r="C171" s="717" t="s">
        <v>2832</v>
      </c>
      <c r="D171" s="662"/>
      <c r="E171" s="17">
        <v>5313</v>
      </c>
      <c r="F171" s="739">
        <v>2.5</v>
      </c>
      <c r="G171" s="748" t="s">
        <v>2843</v>
      </c>
      <c r="H171" s="747">
        <v>150</v>
      </c>
      <c r="I171" s="101">
        <v>3</v>
      </c>
      <c r="J171" s="6">
        <f t="shared" si="41"/>
        <v>450</v>
      </c>
      <c r="K171" s="745">
        <v>29.17</v>
      </c>
      <c r="L171" s="744">
        <f t="shared" si="42"/>
        <v>87.51</v>
      </c>
      <c r="M171" s="672" t="s">
        <v>255</v>
      </c>
      <c r="N171" s="706">
        <v>45330</v>
      </c>
      <c r="O171" s="707">
        <v>5875</v>
      </c>
      <c r="P171" s="673">
        <f t="shared" si="43"/>
        <v>25</v>
      </c>
      <c r="Q171" s="674">
        <v>25</v>
      </c>
      <c r="R171" s="674">
        <f t="shared" si="44"/>
        <v>75</v>
      </c>
      <c r="S171" s="746">
        <v>2100</v>
      </c>
      <c r="T171" s="84">
        <f t="shared" si="45"/>
        <v>6300</v>
      </c>
      <c r="U171" s="726"/>
      <c r="V171" s="668">
        <v>120</v>
      </c>
      <c r="W171" s="730">
        <f t="shared" si="46"/>
        <v>0.4000685635927323</v>
      </c>
    </row>
    <row r="172" spans="2:23" s="638" customFormat="1" ht="17.25" customHeight="1">
      <c r="B172" s="639" t="s">
        <v>236</v>
      </c>
      <c r="C172" s="717" t="s">
        <v>2832</v>
      </c>
      <c r="D172" s="662"/>
      <c r="E172" s="17">
        <v>5313</v>
      </c>
      <c r="F172" s="739">
        <v>2.5</v>
      </c>
      <c r="G172" s="748" t="s">
        <v>2844</v>
      </c>
      <c r="H172" s="747">
        <v>150</v>
      </c>
      <c r="I172" s="101">
        <v>3</v>
      </c>
      <c r="J172" s="6">
        <f t="shared" si="41"/>
        <v>450</v>
      </c>
      <c r="K172" s="745">
        <v>29.17</v>
      </c>
      <c r="L172" s="744">
        <f t="shared" si="42"/>
        <v>87.51</v>
      </c>
      <c r="M172" s="672" t="s">
        <v>255</v>
      </c>
      <c r="N172" s="706">
        <v>45330</v>
      </c>
      <c r="O172" s="707">
        <v>5875</v>
      </c>
      <c r="P172" s="673">
        <f t="shared" si="43"/>
        <v>25</v>
      </c>
      <c r="Q172" s="674">
        <v>25</v>
      </c>
      <c r="R172" s="674">
        <f t="shared" si="44"/>
        <v>75</v>
      </c>
      <c r="S172" s="746">
        <v>2100</v>
      </c>
      <c r="T172" s="84">
        <f t="shared" si="45"/>
        <v>6300</v>
      </c>
      <c r="U172" s="726"/>
      <c r="V172" s="668">
        <v>120</v>
      </c>
      <c r="W172" s="730">
        <f t="shared" si="46"/>
        <v>0.4000685635927323</v>
      </c>
    </row>
    <row r="173" spans="2:23" s="638" customFormat="1" ht="17.25" customHeight="1">
      <c r="B173" s="639" t="s">
        <v>236</v>
      </c>
      <c r="C173" s="717" t="s">
        <v>2832</v>
      </c>
      <c r="D173" s="662"/>
      <c r="E173" s="17">
        <v>5313</v>
      </c>
      <c r="F173" s="739">
        <v>2.5</v>
      </c>
      <c r="G173" s="748" t="s">
        <v>2845</v>
      </c>
      <c r="H173" s="747">
        <v>150</v>
      </c>
      <c r="I173" s="101">
        <v>3</v>
      </c>
      <c r="J173" s="6">
        <f t="shared" si="41"/>
        <v>450</v>
      </c>
      <c r="K173" s="745">
        <v>29.17</v>
      </c>
      <c r="L173" s="744">
        <f t="shared" si="42"/>
        <v>87.51</v>
      </c>
      <c r="M173" s="672" t="s">
        <v>255</v>
      </c>
      <c r="N173" s="706">
        <v>45330</v>
      </c>
      <c r="O173" s="707">
        <v>5875</v>
      </c>
      <c r="P173" s="673">
        <f t="shared" si="43"/>
        <v>25</v>
      </c>
      <c r="Q173" s="674">
        <v>25</v>
      </c>
      <c r="R173" s="674">
        <f t="shared" si="44"/>
        <v>75</v>
      </c>
      <c r="S173" s="746">
        <v>2100</v>
      </c>
      <c r="T173" s="84">
        <f t="shared" si="45"/>
        <v>6300</v>
      </c>
      <c r="U173" s="726"/>
      <c r="V173" s="668">
        <v>120</v>
      </c>
      <c r="W173" s="730">
        <f t="shared" si="46"/>
        <v>0.4000685635927323</v>
      </c>
    </row>
    <row r="174" spans="2:23" s="638" customFormat="1" ht="15.75">
      <c r="B174" s="639"/>
      <c r="C174" s="717" t="s">
        <v>2832</v>
      </c>
      <c r="D174" s="662"/>
      <c r="E174" s="158"/>
      <c r="F174" s="737"/>
      <c r="G174" s="158" t="s">
        <v>250</v>
      </c>
      <c r="H174" s="671"/>
      <c r="I174" s="676"/>
      <c r="J174" s="677">
        <v>3</v>
      </c>
      <c r="K174" s="643">
        <v>12</v>
      </c>
      <c r="L174" s="643">
        <f>K174*J174</f>
        <v>36</v>
      </c>
      <c r="M174" s="678"/>
      <c r="N174" s="706">
        <v>45330</v>
      </c>
      <c r="O174" s="707">
        <v>5875</v>
      </c>
      <c r="P174" s="504"/>
      <c r="Q174" s="674">
        <v>12</v>
      </c>
      <c r="R174" s="674">
        <f>Q174*J174</f>
        <v>36</v>
      </c>
      <c r="S174" s="638">
        <v>0</v>
      </c>
      <c r="T174" s="638">
        <v>0</v>
      </c>
      <c r="U174" s="726"/>
      <c r="V174" s="668">
        <v>120</v>
      </c>
      <c r="W174" s="730"/>
    </row>
    <row r="175" spans="2:23" s="709" customFormat="1" ht="15.75">
      <c r="B175" s="710"/>
      <c r="C175" s="719" t="s">
        <v>2832</v>
      </c>
      <c r="D175" s="680"/>
      <c r="E175" s="681"/>
      <c r="F175" s="738"/>
      <c r="G175" s="682" t="s">
        <v>210</v>
      </c>
      <c r="H175" s="683" t="s">
        <v>2754</v>
      </c>
      <c r="I175" s="684"/>
      <c r="J175" s="685"/>
      <c r="K175" s="720">
        <v>235</v>
      </c>
      <c r="L175" s="720">
        <v>235</v>
      </c>
      <c r="M175" s="712"/>
      <c r="N175" s="712">
        <v>45330</v>
      </c>
      <c r="O175" s="713">
        <v>5875</v>
      </c>
      <c r="P175" s="687"/>
      <c r="Q175" s="720">
        <v>235</v>
      </c>
      <c r="R175" s="720">
        <v>235</v>
      </c>
      <c r="S175" s="84">
        <v>28116</v>
      </c>
      <c r="T175" s="84">
        <v>28116</v>
      </c>
      <c r="U175" s="690"/>
      <c r="V175" s="668">
        <v>120</v>
      </c>
    </row>
    <row r="176" spans="2:23" s="638" customFormat="1" ht="18" customHeight="1">
      <c r="B176" s="639"/>
      <c r="C176" s="717" t="s">
        <v>2846</v>
      </c>
      <c r="D176" s="662"/>
      <c r="E176" s="663" t="s">
        <v>2847</v>
      </c>
      <c r="F176" s="736"/>
      <c r="G176" s="664"/>
      <c r="H176" s="665"/>
      <c r="I176" s="665"/>
      <c r="J176" s="665"/>
      <c r="K176" s="505" t="s">
        <v>4</v>
      </c>
      <c r="L176" s="705"/>
      <c r="M176" s="706"/>
      <c r="N176" s="706">
        <v>45359</v>
      </c>
      <c r="O176" s="707">
        <v>5947</v>
      </c>
      <c r="P176" s="504"/>
      <c r="Q176" s="666"/>
      <c r="U176" s="667"/>
      <c r="V176" s="668">
        <v>120</v>
      </c>
    </row>
    <row r="177" spans="1:23" s="638" customFormat="1" ht="17.25" customHeight="1">
      <c r="B177" s="639" t="s">
        <v>236</v>
      </c>
      <c r="C177" s="717" t="s">
        <v>2846</v>
      </c>
      <c r="D177" s="662"/>
      <c r="E177" s="17" t="s">
        <v>2848</v>
      </c>
      <c r="F177" s="739">
        <v>19</v>
      </c>
      <c r="G177" s="17" t="s">
        <v>2475</v>
      </c>
      <c r="H177" s="100">
        <v>30</v>
      </c>
      <c r="I177" s="101">
        <v>3</v>
      </c>
      <c r="J177" s="6">
        <f>H177*I177</f>
        <v>90</v>
      </c>
      <c r="K177" s="745">
        <v>9.57</v>
      </c>
      <c r="L177" s="744">
        <f>K177*I177</f>
        <v>28.71</v>
      </c>
      <c r="M177" s="672" t="s">
        <v>255</v>
      </c>
      <c r="N177" s="706">
        <v>45359</v>
      </c>
      <c r="O177" s="707">
        <v>5947</v>
      </c>
      <c r="P177" s="673">
        <f>ROUNDUP(S177/V177/VLOOKUP(B177,$C$2:$F$6,3,FALSE),2)</f>
        <v>8.2099999999999991</v>
      </c>
      <c r="Q177" s="674">
        <v>8.2100000000000009</v>
      </c>
      <c r="R177" s="674">
        <f>Q177*I177</f>
        <v>24.630000000000003</v>
      </c>
      <c r="S177" s="746">
        <v>689</v>
      </c>
      <c r="T177" s="84">
        <f>S177*I177</f>
        <v>2067</v>
      </c>
      <c r="U177" s="726"/>
      <c r="V177" s="668">
        <v>120</v>
      </c>
      <c r="W177" s="730">
        <f>(((K177*V177)-S177)/(K177*V177))</f>
        <v>0.40003483106931387</v>
      </c>
    </row>
    <row r="178" spans="1:23" s="638" customFormat="1" ht="18" customHeight="1">
      <c r="B178" s="639"/>
      <c r="C178" s="717" t="s">
        <v>2846</v>
      </c>
      <c r="D178" s="662"/>
      <c r="E178" s="663" t="s">
        <v>2751</v>
      </c>
      <c r="F178" s="736"/>
      <c r="G178" s="664"/>
      <c r="H178" s="665"/>
      <c r="I178" s="665"/>
      <c r="J178" s="665"/>
      <c r="K178" s="505" t="s">
        <v>4</v>
      </c>
      <c r="L178" s="705"/>
      <c r="M178" s="706"/>
      <c r="N178" s="706">
        <v>45359</v>
      </c>
      <c r="O178" s="707">
        <v>5947</v>
      </c>
      <c r="P178" s="504"/>
      <c r="Q178" s="666"/>
      <c r="U178" s="667"/>
      <c r="V178" s="668">
        <v>120</v>
      </c>
    </row>
    <row r="179" spans="1:23" s="638" customFormat="1" ht="17.25" customHeight="1">
      <c r="B179" s="639" t="s">
        <v>236</v>
      </c>
      <c r="C179" s="717" t="s">
        <v>2846</v>
      </c>
      <c r="D179" s="662"/>
      <c r="E179" s="17">
        <v>5313</v>
      </c>
      <c r="F179" s="739">
        <v>2.5</v>
      </c>
      <c r="G179" s="748" t="s">
        <v>2849</v>
      </c>
      <c r="H179" s="747">
        <v>150</v>
      </c>
      <c r="I179" s="101">
        <v>5</v>
      </c>
      <c r="J179" s="6">
        <f>H179*I179</f>
        <v>750</v>
      </c>
      <c r="K179" s="745">
        <v>29.17</v>
      </c>
      <c r="L179" s="744">
        <f>K179*I179</f>
        <v>145.85000000000002</v>
      </c>
      <c r="M179" s="672" t="s">
        <v>255</v>
      </c>
      <c r="N179" s="706">
        <v>45359</v>
      </c>
      <c r="O179" s="707">
        <v>5947</v>
      </c>
      <c r="P179" s="673">
        <f>ROUNDUP(S179/V179/VLOOKUP(B179,$C$2:$F$6,3,FALSE),2)</f>
        <v>25</v>
      </c>
      <c r="Q179" s="674">
        <v>25</v>
      </c>
      <c r="R179" s="674">
        <f>Q179*I179</f>
        <v>125</v>
      </c>
      <c r="S179" s="746">
        <v>2100</v>
      </c>
      <c r="T179" s="84">
        <f>S179*I179</f>
        <v>10500</v>
      </c>
      <c r="U179" s="726"/>
      <c r="V179" s="668">
        <v>120</v>
      </c>
      <c r="W179" s="730">
        <f>(((K179*V179)-S179)/(K179*V179))</f>
        <v>0.4000685635927323</v>
      </c>
    </row>
    <row r="180" spans="1:23" s="638" customFormat="1" ht="15.75">
      <c r="B180" s="639"/>
      <c r="C180" s="717" t="s">
        <v>2846</v>
      </c>
      <c r="D180" s="662"/>
      <c r="E180" s="158"/>
      <c r="F180" s="737"/>
      <c r="G180" s="158" t="s">
        <v>250</v>
      </c>
      <c r="H180" s="671"/>
      <c r="I180" s="676"/>
      <c r="J180" s="677">
        <v>2</v>
      </c>
      <c r="K180" s="643">
        <v>12</v>
      </c>
      <c r="L180" s="643">
        <f>K180*J180</f>
        <v>24</v>
      </c>
      <c r="M180" s="678"/>
      <c r="N180" s="706">
        <v>45359</v>
      </c>
      <c r="O180" s="707">
        <v>5947</v>
      </c>
      <c r="P180" s="504"/>
      <c r="Q180" s="674">
        <v>12</v>
      </c>
      <c r="R180" s="674">
        <f>Q180*J180</f>
        <v>24</v>
      </c>
      <c r="S180" s="638">
        <f>500</f>
        <v>500</v>
      </c>
      <c r="T180" s="638">
        <f>500</f>
        <v>500</v>
      </c>
      <c r="U180" s="726"/>
      <c r="V180" s="668">
        <v>120</v>
      </c>
      <c r="W180" s="730"/>
    </row>
    <row r="181" spans="1:23" s="709" customFormat="1" ht="15.75">
      <c r="B181" s="710"/>
      <c r="C181" s="719" t="s">
        <v>2846</v>
      </c>
      <c r="D181" s="680"/>
      <c r="E181" s="681"/>
      <c r="F181" s="738"/>
      <c r="G181" s="682" t="s">
        <v>210</v>
      </c>
      <c r="H181" s="683" t="s">
        <v>2754</v>
      </c>
      <c r="I181" s="684"/>
      <c r="J181" s="685"/>
      <c r="K181" s="720" t="s">
        <v>1801</v>
      </c>
      <c r="L181" s="720" t="s">
        <v>1801</v>
      </c>
      <c r="M181" s="712"/>
      <c r="N181" s="712">
        <v>45359</v>
      </c>
      <c r="O181" s="713">
        <v>5947</v>
      </c>
      <c r="P181" s="687"/>
      <c r="Q181" s="720" t="s">
        <v>1801</v>
      </c>
      <c r="R181" s="720" t="s">
        <v>1801</v>
      </c>
      <c r="S181" s="720" t="s">
        <v>1801</v>
      </c>
      <c r="T181" s="720" t="s">
        <v>1801</v>
      </c>
      <c r="U181" s="690"/>
      <c r="V181" s="668">
        <v>120</v>
      </c>
    </row>
    <row r="182" spans="1:23" s="638" customFormat="1" ht="17.25" customHeight="1">
      <c r="A182" s="638" t="s">
        <v>2850</v>
      </c>
      <c r="B182" s="639"/>
      <c r="C182" s="717" t="s">
        <v>2851</v>
      </c>
      <c r="D182" s="662"/>
      <c r="E182" s="14" t="s">
        <v>2780</v>
      </c>
      <c r="F182" s="739"/>
      <c r="G182" s="17"/>
      <c r="H182" s="100"/>
      <c r="I182" s="101"/>
      <c r="J182" s="6"/>
      <c r="K182" s="505" t="s">
        <v>4</v>
      </c>
      <c r="L182" s="643"/>
      <c r="M182" s="672"/>
      <c r="N182" s="706">
        <v>45359</v>
      </c>
      <c r="O182" s="707">
        <v>5947</v>
      </c>
      <c r="P182" s="673"/>
      <c r="Q182" s="674"/>
      <c r="R182" s="674"/>
      <c r="S182" s="728" t="s">
        <v>2852</v>
      </c>
      <c r="T182" s="84"/>
      <c r="U182" s="728" t="s">
        <v>2853</v>
      </c>
      <c r="V182" s="668"/>
    </row>
    <row r="183" spans="1:23" s="638" customFormat="1" ht="17.25" customHeight="1">
      <c r="B183" s="639" t="s">
        <v>236</v>
      </c>
      <c r="C183" s="717" t="s">
        <v>2851</v>
      </c>
      <c r="D183" s="662"/>
      <c r="E183" s="17">
        <v>2200</v>
      </c>
      <c r="F183" s="739">
        <v>12</v>
      </c>
      <c r="G183" s="17" t="s">
        <v>2475</v>
      </c>
      <c r="H183" s="100">
        <v>15</v>
      </c>
      <c r="I183" s="101">
        <v>5</v>
      </c>
      <c r="J183" s="6">
        <f>H183*I183</f>
        <v>75</v>
      </c>
      <c r="K183" s="33">
        <v>12.63</v>
      </c>
      <c r="L183" s="643">
        <f>K183*I183</f>
        <v>63.150000000000006</v>
      </c>
      <c r="M183" s="672" t="s">
        <v>255</v>
      </c>
      <c r="N183" s="706">
        <v>45359</v>
      </c>
      <c r="O183" s="707">
        <v>5947</v>
      </c>
      <c r="P183" s="673">
        <f>ROUNDUP(S183/V183/VLOOKUP(B183,$C$2:$F$6,3,FALSE),2)</f>
        <v>9.83</v>
      </c>
      <c r="Q183" s="674">
        <v>9.83</v>
      </c>
      <c r="R183" s="674">
        <f>Q183*I183</f>
        <v>49.15</v>
      </c>
      <c r="S183" s="725">
        <v>825</v>
      </c>
      <c r="T183" s="84">
        <f>S183*I183</f>
        <v>4125</v>
      </c>
      <c r="U183" s="726">
        <v>909</v>
      </c>
      <c r="V183" s="668">
        <v>120</v>
      </c>
      <c r="W183" s="730">
        <f>(((K183*V183)-S183)/(K183*V183))</f>
        <v>0.45566112430720512</v>
      </c>
    </row>
    <row r="184" spans="1:23" s="638" customFormat="1" ht="17.25" customHeight="1">
      <c r="B184" s="639" t="s">
        <v>236</v>
      </c>
      <c r="C184" s="717" t="s">
        <v>2851</v>
      </c>
      <c r="D184" s="662"/>
      <c r="E184" s="17">
        <v>2200</v>
      </c>
      <c r="F184" s="739">
        <v>24</v>
      </c>
      <c r="G184" s="17" t="s">
        <v>2475</v>
      </c>
      <c r="H184" s="100">
        <v>15</v>
      </c>
      <c r="I184" s="101">
        <v>5</v>
      </c>
      <c r="J184" s="6">
        <f>H184*I184</f>
        <v>75</v>
      </c>
      <c r="K184" s="33">
        <v>23.72</v>
      </c>
      <c r="L184" s="643">
        <f>K184*I184</f>
        <v>118.6</v>
      </c>
      <c r="M184" s="672" t="s">
        <v>255</v>
      </c>
      <c r="N184" s="706">
        <v>45359</v>
      </c>
      <c r="O184" s="707">
        <v>5947</v>
      </c>
      <c r="P184" s="673">
        <f>ROUNDUP(S184/V184/VLOOKUP(B184,$C$2:$F$6,3,FALSE),2)</f>
        <v>18.470000000000002</v>
      </c>
      <c r="Q184" s="674">
        <v>18.47</v>
      </c>
      <c r="R184" s="674">
        <f>Q184*I184</f>
        <v>92.35</v>
      </c>
      <c r="S184" s="725">
        <v>1551</v>
      </c>
      <c r="T184" s="84">
        <f>S184*I184</f>
        <v>7755</v>
      </c>
      <c r="U184" s="726">
        <v>1708</v>
      </c>
      <c r="V184" s="668">
        <v>120</v>
      </c>
      <c r="W184" s="730">
        <f>(((K184*V184)-S184)/(K184*V184))</f>
        <v>0.45510118043844849</v>
      </c>
    </row>
    <row r="185" spans="1:23" s="1" customFormat="1" ht="18" customHeight="1">
      <c r="B185" s="21"/>
      <c r="C185" s="717" t="s">
        <v>2851</v>
      </c>
      <c r="D185" s="662"/>
      <c r="E185" s="14" t="s">
        <v>2854</v>
      </c>
      <c r="F185" s="31"/>
      <c r="G185" s="31"/>
      <c r="H185" s="100"/>
      <c r="I185" s="100"/>
      <c r="J185" s="100"/>
      <c r="K185" s="24" t="s">
        <v>96</v>
      </c>
      <c r="L185" s="28"/>
      <c r="M185" s="28"/>
      <c r="N185" s="706">
        <v>45359</v>
      </c>
      <c r="O185" s="707">
        <v>5947</v>
      </c>
      <c r="P185" s="4"/>
      <c r="Q185" s="749"/>
      <c r="S185" s="722"/>
      <c r="T185" s="84"/>
      <c r="U185" s="750"/>
      <c r="V185" s="751">
        <v>120</v>
      </c>
      <c r="W185" s="730" t="e">
        <f>(((K185*V185)-S185)/(K185*V185))</f>
        <v>#VALUE!</v>
      </c>
    </row>
    <row r="186" spans="1:23" s="638" customFormat="1" ht="17.25" customHeight="1">
      <c r="B186" s="639" t="s">
        <v>236</v>
      </c>
      <c r="C186" s="717" t="s">
        <v>2851</v>
      </c>
      <c r="D186" s="662"/>
      <c r="E186" s="17">
        <v>4141</v>
      </c>
      <c r="F186" s="739" t="s">
        <v>2855</v>
      </c>
      <c r="G186" s="17" t="s">
        <v>2856</v>
      </c>
      <c r="H186" s="100">
        <v>20</v>
      </c>
      <c r="I186" s="101">
        <v>5</v>
      </c>
      <c r="J186" s="6">
        <f>H186*I186</f>
        <v>100</v>
      </c>
      <c r="K186" s="33">
        <v>41.11</v>
      </c>
      <c r="L186" s="643">
        <f>K186*I186</f>
        <v>205.55</v>
      </c>
      <c r="M186" s="672" t="s">
        <v>255</v>
      </c>
      <c r="N186" s="706">
        <v>45359</v>
      </c>
      <c r="O186" s="707">
        <v>5947</v>
      </c>
      <c r="P186" s="673">
        <f>ROUNDUP(S186/V186/VLOOKUP(B186,$C$2:$F$6,3,FALSE),2)</f>
        <v>35.239999999999995</v>
      </c>
      <c r="Q186" s="674">
        <v>35.24</v>
      </c>
      <c r="R186" s="674">
        <f>Q186*I186</f>
        <v>176.20000000000002</v>
      </c>
      <c r="S186" s="725">
        <v>2960</v>
      </c>
      <c r="T186" s="84">
        <f>S186*I186</f>
        <v>14800</v>
      </c>
      <c r="U186" s="726"/>
      <c r="V186" s="668">
        <v>120</v>
      </c>
      <c r="W186" s="730">
        <f>(((K186*V186)-S186)/(K186*V186))</f>
        <v>0.39998378334549578</v>
      </c>
    </row>
    <row r="187" spans="1:23" s="638" customFormat="1" ht="17.25" customHeight="1">
      <c r="B187" s="639" t="s">
        <v>236</v>
      </c>
      <c r="C187" s="717" t="s">
        <v>2851</v>
      </c>
      <c r="D187" s="662"/>
      <c r="E187" s="17">
        <v>4141</v>
      </c>
      <c r="F187" s="739" t="s">
        <v>2857</v>
      </c>
      <c r="G187" s="17" t="s">
        <v>28</v>
      </c>
      <c r="H187" s="100">
        <v>20</v>
      </c>
      <c r="I187" s="101">
        <v>5</v>
      </c>
      <c r="J187" s="6">
        <f>H187*I187</f>
        <v>100</v>
      </c>
      <c r="K187" s="33">
        <v>35</v>
      </c>
      <c r="L187" s="643">
        <f>K187*I187</f>
        <v>175</v>
      </c>
      <c r="M187" s="672" t="s">
        <v>255</v>
      </c>
      <c r="N187" s="706">
        <v>45359</v>
      </c>
      <c r="O187" s="707">
        <v>5947</v>
      </c>
      <c r="P187" s="673">
        <f>ROUNDUP(S187/V187/VLOOKUP(B187,$C$2:$F$6,3,FALSE),2)</f>
        <v>30</v>
      </c>
      <c r="Q187" s="674">
        <v>30</v>
      </c>
      <c r="R187" s="674">
        <f>Q187*I187</f>
        <v>150</v>
      </c>
      <c r="S187" s="725">
        <v>2520</v>
      </c>
      <c r="T187" s="84">
        <f>S187*I187</f>
        <v>12600</v>
      </c>
      <c r="U187" s="726"/>
      <c r="V187" s="668">
        <v>120</v>
      </c>
      <c r="W187" s="730">
        <f>(((K187*V187)-S187)/(K187*V187))</f>
        <v>0.4</v>
      </c>
    </row>
    <row r="188" spans="1:23" s="638" customFormat="1" ht="18" customHeight="1">
      <c r="B188" s="639"/>
      <c r="C188" s="717" t="s">
        <v>2851</v>
      </c>
      <c r="D188" s="662"/>
      <c r="E188" s="663" t="s">
        <v>2847</v>
      </c>
      <c r="F188" s="736"/>
      <c r="G188" s="664"/>
      <c r="H188" s="665"/>
      <c r="I188" s="665"/>
      <c r="J188" s="665"/>
      <c r="K188" s="505" t="s">
        <v>4</v>
      </c>
      <c r="L188" s="705"/>
      <c r="M188" s="706"/>
      <c r="N188" s="706">
        <v>45359</v>
      </c>
      <c r="O188" s="707">
        <v>5947</v>
      </c>
      <c r="P188" s="504"/>
      <c r="Q188" s="666"/>
      <c r="U188" s="667"/>
      <c r="V188" s="668">
        <v>120</v>
      </c>
    </row>
    <row r="189" spans="1:23" s="638" customFormat="1" ht="17.25" customHeight="1">
      <c r="B189" s="639" t="s">
        <v>236</v>
      </c>
      <c r="C189" s="717" t="s">
        <v>2851</v>
      </c>
      <c r="D189" s="662"/>
      <c r="E189" s="17" t="s">
        <v>2848</v>
      </c>
      <c r="F189" s="739">
        <v>19</v>
      </c>
      <c r="G189" s="17" t="s">
        <v>2475</v>
      </c>
      <c r="H189" s="100">
        <v>30</v>
      </c>
      <c r="I189" s="101">
        <v>2</v>
      </c>
      <c r="J189" s="6">
        <f>H189*I189</f>
        <v>60</v>
      </c>
      <c r="K189" s="745">
        <v>9.57</v>
      </c>
      <c r="L189" s="744">
        <f>K189*I189</f>
        <v>19.14</v>
      </c>
      <c r="M189" s="672" t="s">
        <v>255</v>
      </c>
      <c r="N189" s="706">
        <v>45359</v>
      </c>
      <c r="O189" s="707">
        <v>5947</v>
      </c>
      <c r="P189" s="673">
        <f>ROUNDUP(S189/V189/VLOOKUP(B189,$C$2:$F$6,3,FALSE),2)</f>
        <v>8.2099999999999991</v>
      </c>
      <c r="Q189" s="674">
        <v>8.2100000000000009</v>
      </c>
      <c r="R189" s="674">
        <f>Q189*I189</f>
        <v>16.420000000000002</v>
      </c>
      <c r="S189" s="746">
        <v>689</v>
      </c>
      <c r="T189" s="84">
        <f>S189*I189</f>
        <v>1378</v>
      </c>
      <c r="U189" s="726"/>
      <c r="V189" s="668">
        <v>120</v>
      </c>
      <c r="W189" s="730">
        <f>(((K189*V189)-S189)/(K189*V189))</f>
        <v>0.40003483106931387</v>
      </c>
    </row>
    <row r="190" spans="1:23" s="638" customFormat="1" ht="17.25" customHeight="1">
      <c r="B190" s="639"/>
      <c r="C190" s="717" t="s">
        <v>2851</v>
      </c>
      <c r="D190" s="662"/>
      <c r="E190" s="14" t="s">
        <v>2795</v>
      </c>
      <c r="F190" s="739"/>
      <c r="G190" s="17"/>
      <c r="H190" s="100"/>
      <c r="I190" s="101"/>
      <c r="J190" s="6"/>
      <c r="K190" s="505" t="s">
        <v>4</v>
      </c>
      <c r="L190" s="643"/>
      <c r="M190" s="672"/>
      <c r="N190" s="706">
        <v>45359</v>
      </c>
      <c r="O190" s="707">
        <v>5947</v>
      </c>
      <c r="P190" s="673"/>
      <c r="Q190" s="674"/>
      <c r="R190" s="674"/>
      <c r="S190" s="726" t="s">
        <v>2859</v>
      </c>
      <c r="T190" s="84"/>
      <c r="U190" s="728"/>
      <c r="V190" s="668"/>
    </row>
    <row r="191" spans="1:23" s="638" customFormat="1" ht="17.25" customHeight="1">
      <c r="B191" s="639" t="s">
        <v>236</v>
      </c>
      <c r="C191" s="717" t="s">
        <v>2851</v>
      </c>
      <c r="D191" s="662"/>
      <c r="E191" s="17">
        <v>3544</v>
      </c>
      <c r="F191" s="739" t="s">
        <v>2819</v>
      </c>
      <c r="G191" s="17" t="s">
        <v>2858</v>
      </c>
      <c r="H191" s="100">
        <v>30</v>
      </c>
      <c r="I191" s="101">
        <v>5</v>
      </c>
      <c r="J191" s="6">
        <f>H191*I191</f>
        <v>150</v>
      </c>
      <c r="K191" s="33">
        <v>8.3800000000000008</v>
      </c>
      <c r="L191" s="643">
        <f>K191*I191</f>
        <v>41.900000000000006</v>
      </c>
      <c r="M191" s="672" t="s">
        <v>255</v>
      </c>
      <c r="N191" s="706">
        <v>45359</v>
      </c>
      <c r="O191" s="707">
        <v>5947</v>
      </c>
      <c r="P191" s="673">
        <f>ROUNDUP(S191/V191/VLOOKUP(B191,$C$2:$F$6,3,FALSE),2)</f>
        <v>7.18</v>
      </c>
      <c r="Q191" s="674">
        <v>7.18</v>
      </c>
      <c r="R191" s="674">
        <f>Q191*I191</f>
        <v>35.9</v>
      </c>
      <c r="S191" s="746">
        <v>603</v>
      </c>
      <c r="T191" s="84">
        <f>S191*I191</f>
        <v>3015</v>
      </c>
      <c r="U191" s="726"/>
      <c r="V191" s="668">
        <v>120</v>
      </c>
      <c r="W191" s="730">
        <f>(((K191*V191)-S191)/(K191*V191))</f>
        <v>0.40035799522673038</v>
      </c>
    </row>
    <row r="192" spans="1:23" s="638" customFormat="1" ht="17.25" customHeight="1">
      <c r="B192" s="639" t="s">
        <v>236</v>
      </c>
      <c r="C192" s="717" t="s">
        <v>2851</v>
      </c>
      <c r="D192" s="662"/>
      <c r="E192" s="17">
        <v>3544</v>
      </c>
      <c r="F192" s="739" t="s">
        <v>2798</v>
      </c>
      <c r="G192" s="17" t="s">
        <v>2858</v>
      </c>
      <c r="H192" s="100">
        <v>30</v>
      </c>
      <c r="I192" s="101">
        <v>5</v>
      </c>
      <c r="J192" s="6">
        <f>H192*I192</f>
        <v>150</v>
      </c>
      <c r="K192" s="33">
        <v>15.13</v>
      </c>
      <c r="L192" s="643">
        <f>K192*I192</f>
        <v>75.650000000000006</v>
      </c>
      <c r="M192" s="672" t="s">
        <v>255</v>
      </c>
      <c r="N192" s="706">
        <v>45359</v>
      </c>
      <c r="O192" s="707">
        <v>5947</v>
      </c>
      <c r="P192" s="673">
        <f>ROUNDUP(S192/V192/VLOOKUP(B192,$C$2:$F$6,3,FALSE),2)</f>
        <v>12.97</v>
      </c>
      <c r="Q192" s="674">
        <v>12.97</v>
      </c>
      <c r="R192" s="674">
        <f>Q192*I192</f>
        <v>64.850000000000009</v>
      </c>
      <c r="S192" s="725">
        <v>1089</v>
      </c>
      <c r="T192" s="84">
        <f>S192*I192</f>
        <v>5445</v>
      </c>
      <c r="U192" s="726"/>
      <c r="V192" s="668">
        <v>120</v>
      </c>
      <c r="W192" s="730">
        <f>(((K192*V192)-S192)/(K192*V192))</f>
        <v>0.40019828155981496</v>
      </c>
    </row>
    <row r="193" spans="2:23" s="638" customFormat="1" ht="15.75">
      <c r="B193" s="639"/>
      <c r="C193" s="717" t="s">
        <v>2851</v>
      </c>
      <c r="D193" s="662"/>
      <c r="E193" s="158"/>
      <c r="F193" s="737"/>
      <c r="G193" s="158" t="s">
        <v>250</v>
      </c>
      <c r="H193" s="671"/>
      <c r="I193" s="676"/>
      <c r="J193" s="677">
        <v>3</v>
      </c>
      <c r="K193" s="643">
        <v>12</v>
      </c>
      <c r="L193" s="643">
        <f>K193*J193</f>
        <v>36</v>
      </c>
      <c r="M193" s="678"/>
      <c r="N193" s="706">
        <v>45359</v>
      </c>
      <c r="O193" s="707">
        <v>5947</v>
      </c>
      <c r="P193" s="504"/>
      <c r="Q193" s="674">
        <v>12</v>
      </c>
      <c r="R193" s="674">
        <f>Q193*J193</f>
        <v>36</v>
      </c>
      <c r="S193" s="725">
        <f>1100+800</f>
        <v>1900</v>
      </c>
      <c r="T193" s="725">
        <f>1100+800</f>
        <v>1900</v>
      </c>
      <c r="U193" s="726"/>
      <c r="V193" s="668">
        <v>120</v>
      </c>
      <c r="W193" s="730"/>
    </row>
    <row r="194" spans="2:23" s="709" customFormat="1" ht="15.75">
      <c r="B194" s="710"/>
      <c r="C194" s="719" t="s">
        <v>2851</v>
      </c>
      <c r="D194" s="680"/>
      <c r="E194" s="681"/>
      <c r="F194" s="738"/>
      <c r="G194" s="682" t="s">
        <v>210</v>
      </c>
      <c r="H194" s="683" t="s">
        <v>2754</v>
      </c>
      <c r="I194" s="684"/>
      <c r="J194" s="685"/>
      <c r="K194" s="720">
        <v>201</v>
      </c>
      <c r="L194" s="720">
        <v>201</v>
      </c>
      <c r="M194" s="712"/>
      <c r="N194" s="712">
        <v>45359</v>
      </c>
      <c r="O194" s="713">
        <v>5947</v>
      </c>
      <c r="P194" s="687"/>
      <c r="Q194" s="720">
        <v>201</v>
      </c>
      <c r="R194" s="720">
        <v>201</v>
      </c>
      <c r="S194" s="725">
        <v>24015</v>
      </c>
      <c r="T194" s="725">
        <v>24015</v>
      </c>
      <c r="U194" s="690"/>
      <c r="V194" s="668">
        <v>120</v>
      </c>
    </row>
    <row r="195" spans="2:23" s="638" customFormat="1" ht="18" customHeight="1">
      <c r="B195" s="639"/>
      <c r="C195" s="717" t="s">
        <v>2861</v>
      </c>
      <c r="D195" s="662"/>
      <c r="E195" s="663" t="s">
        <v>2847</v>
      </c>
      <c r="F195" s="736"/>
      <c r="G195" s="664"/>
      <c r="H195" s="665"/>
      <c r="I195" s="665"/>
      <c r="J195" s="665"/>
      <c r="K195" s="505" t="s">
        <v>4</v>
      </c>
      <c r="L195" s="705"/>
      <c r="M195" s="706"/>
      <c r="N195" s="706">
        <v>45385</v>
      </c>
      <c r="O195" s="707">
        <v>6024</v>
      </c>
      <c r="P195" s="504"/>
      <c r="Q195" s="666"/>
      <c r="U195" s="667"/>
      <c r="V195" s="668">
        <v>120</v>
      </c>
    </row>
    <row r="196" spans="2:23" s="638" customFormat="1" ht="17.25" customHeight="1">
      <c r="B196" s="639" t="s">
        <v>236</v>
      </c>
      <c r="C196" s="717" t="s">
        <v>2861</v>
      </c>
      <c r="D196" s="662"/>
      <c r="E196" s="17" t="s">
        <v>2848</v>
      </c>
      <c r="F196" s="739">
        <v>25</v>
      </c>
      <c r="G196" s="17" t="s">
        <v>2475</v>
      </c>
      <c r="H196" s="100">
        <v>30</v>
      </c>
      <c r="I196" s="101">
        <v>10</v>
      </c>
      <c r="J196" s="6">
        <f>H196*I196</f>
        <v>300</v>
      </c>
      <c r="K196" s="745">
        <v>11.6</v>
      </c>
      <c r="L196" s="744">
        <f>K196*I196</f>
        <v>116</v>
      </c>
      <c r="M196" s="672" t="s">
        <v>255</v>
      </c>
      <c r="N196" s="706">
        <v>45385</v>
      </c>
      <c r="O196" s="707">
        <v>6024</v>
      </c>
      <c r="P196" s="673">
        <f>ROUNDUP(S196/V196/VLOOKUP(B196,$C$2:$F$6,3,FALSE),2)</f>
        <v>9.9499999999999993</v>
      </c>
      <c r="Q196" s="674">
        <v>9.9499999999999993</v>
      </c>
      <c r="R196" s="674">
        <f>Q196*I196</f>
        <v>99.5</v>
      </c>
      <c r="S196" s="746">
        <v>835</v>
      </c>
      <c r="T196" s="84">
        <f>S196*I196</f>
        <v>8350</v>
      </c>
      <c r="U196" s="726"/>
      <c r="V196" s="668">
        <v>120</v>
      </c>
      <c r="W196" s="730">
        <f>(((K196*V196)-S196)/(K196*V196))</f>
        <v>0.40014367816091956</v>
      </c>
    </row>
    <row r="197" spans="2:23" s="638" customFormat="1" ht="17.25" customHeight="1">
      <c r="B197" s="639"/>
      <c r="C197" s="717" t="s">
        <v>2861</v>
      </c>
      <c r="D197" s="662"/>
      <c r="E197" s="14" t="s">
        <v>2816</v>
      </c>
      <c r="F197" s="739"/>
      <c r="G197" s="17"/>
      <c r="H197" s="100"/>
      <c r="I197" s="101"/>
      <c r="J197" s="6"/>
      <c r="K197" s="505" t="s">
        <v>4</v>
      </c>
      <c r="L197" s="643"/>
      <c r="M197" s="672"/>
      <c r="N197" s="706">
        <v>45385</v>
      </c>
      <c r="O197" s="707">
        <v>6024</v>
      </c>
      <c r="P197" s="673"/>
      <c r="Q197" s="674"/>
      <c r="R197" s="674"/>
      <c r="S197" s="728"/>
      <c r="T197" s="84"/>
      <c r="U197" s="728"/>
      <c r="V197" s="668"/>
    </row>
    <row r="198" spans="2:23" s="638" customFormat="1" ht="17.25" customHeight="1">
      <c r="B198" s="639" t="s">
        <v>236</v>
      </c>
      <c r="C198" s="717" t="s">
        <v>2861</v>
      </c>
      <c r="D198" s="662"/>
      <c r="E198" s="17">
        <v>1100</v>
      </c>
      <c r="F198" s="739">
        <v>40</v>
      </c>
      <c r="G198" s="17" t="s">
        <v>2793</v>
      </c>
      <c r="H198" s="100">
        <v>30</v>
      </c>
      <c r="I198" s="101">
        <v>5</v>
      </c>
      <c r="J198" s="6">
        <f>H198*I198</f>
        <v>150</v>
      </c>
      <c r="K198" s="33">
        <v>50.46</v>
      </c>
      <c r="L198" s="643">
        <f>K198*I198</f>
        <v>252.3</v>
      </c>
      <c r="M198" s="672" t="s">
        <v>2791</v>
      </c>
      <c r="N198" s="706">
        <v>45385</v>
      </c>
      <c r="O198" s="707">
        <v>6024</v>
      </c>
      <c r="P198" s="673">
        <f>ROUNDUP(S198/V198/VLOOKUP(B198,$C$2:$F$6,3,FALSE),2)</f>
        <v>44.29</v>
      </c>
      <c r="Q198" s="674">
        <v>44.29</v>
      </c>
      <c r="R198" s="674">
        <f>Q198*I198</f>
        <v>221.45</v>
      </c>
      <c r="S198" s="725">
        <v>3720</v>
      </c>
      <c r="T198" s="84">
        <f>S198*I198</f>
        <v>18600</v>
      </c>
      <c r="U198" s="726"/>
      <c r="V198" s="668">
        <v>120</v>
      </c>
      <c r="W198" s="730">
        <f>(((K198*V198)-S198)/(K198*V198))</f>
        <v>0.38565200158541418</v>
      </c>
    </row>
    <row r="199" spans="2:23" s="638" customFormat="1" ht="17.25" customHeight="1">
      <c r="B199" s="639"/>
      <c r="C199" s="717" t="s">
        <v>2861</v>
      </c>
      <c r="D199" s="662"/>
      <c r="E199" s="14" t="s">
        <v>2792</v>
      </c>
      <c r="F199" s="739"/>
      <c r="G199" s="17"/>
      <c r="H199" s="100"/>
      <c r="I199" s="101"/>
      <c r="J199" s="6"/>
      <c r="K199" s="505" t="s">
        <v>4</v>
      </c>
      <c r="L199" s="643"/>
      <c r="M199" s="672"/>
      <c r="N199" s="706">
        <v>45385</v>
      </c>
      <c r="O199" s="707">
        <v>6024</v>
      </c>
      <c r="P199" s="673"/>
      <c r="Q199" s="674"/>
      <c r="R199" s="674"/>
      <c r="S199" s="728"/>
      <c r="T199" s="84"/>
      <c r="U199" s="728"/>
      <c r="V199" s="668"/>
    </row>
    <row r="200" spans="2:23" s="638" customFormat="1" ht="17.25" customHeight="1">
      <c r="B200" s="639" t="s">
        <v>236</v>
      </c>
      <c r="C200" s="717" t="s">
        <v>2861</v>
      </c>
      <c r="D200" s="662"/>
      <c r="E200" s="17">
        <v>3534</v>
      </c>
      <c r="F200" s="739">
        <v>30</v>
      </c>
      <c r="G200" s="17" t="s">
        <v>2789</v>
      </c>
      <c r="H200" s="100">
        <v>30</v>
      </c>
      <c r="I200" s="101">
        <v>5</v>
      </c>
      <c r="J200" s="6">
        <f>H200*I200</f>
        <v>150</v>
      </c>
      <c r="K200" s="33">
        <v>22.92</v>
      </c>
      <c r="L200" s="643">
        <f>K200*I200</f>
        <v>114.60000000000001</v>
      </c>
      <c r="M200" s="672" t="s">
        <v>255</v>
      </c>
      <c r="N200" s="706">
        <v>45385</v>
      </c>
      <c r="O200" s="707">
        <v>6024</v>
      </c>
      <c r="P200" s="673">
        <f>ROUNDUP(S200/V200/VLOOKUP(B200,$C$2:$F$6,3,FALSE),2)</f>
        <v>19.650000000000002</v>
      </c>
      <c r="Q200" s="674">
        <v>19.649999999999999</v>
      </c>
      <c r="R200" s="674">
        <f>Q200*I200</f>
        <v>98.25</v>
      </c>
      <c r="S200" s="725">
        <v>1650</v>
      </c>
      <c r="T200" s="84">
        <f>S200*I200</f>
        <v>8250</v>
      </c>
      <c r="U200" s="726"/>
      <c r="V200" s="668">
        <v>120</v>
      </c>
      <c r="W200" s="730">
        <f>(((K200*V200)-S200)/(K200*V200))</f>
        <v>0.40008726003490402</v>
      </c>
    </row>
    <row r="201" spans="2:23" s="638" customFormat="1" ht="17.25" customHeight="1">
      <c r="B201" s="639"/>
      <c r="C201" s="717" t="s">
        <v>2861</v>
      </c>
      <c r="D201" s="662"/>
      <c r="E201" s="14" t="s">
        <v>2795</v>
      </c>
      <c r="F201" s="739"/>
      <c r="G201" s="17"/>
      <c r="H201" s="100"/>
      <c r="I201" s="101"/>
      <c r="J201" s="6"/>
      <c r="K201" s="505" t="s">
        <v>4</v>
      </c>
      <c r="L201" s="643"/>
      <c r="M201" s="672"/>
      <c r="N201" s="706">
        <v>45385</v>
      </c>
      <c r="O201" s="707">
        <v>6024</v>
      </c>
      <c r="P201" s="673"/>
      <c r="Q201" s="674"/>
      <c r="R201" s="674"/>
      <c r="S201" s="728"/>
      <c r="T201" s="84"/>
      <c r="U201" s="728"/>
      <c r="V201" s="668"/>
    </row>
    <row r="202" spans="2:23" s="638" customFormat="1" ht="17.25" customHeight="1">
      <c r="B202" s="639" t="s">
        <v>236</v>
      </c>
      <c r="C202" s="717" t="s">
        <v>2861</v>
      </c>
      <c r="D202" s="662"/>
      <c r="E202" s="17">
        <v>3544</v>
      </c>
      <c r="F202" s="739" t="s">
        <v>2794</v>
      </c>
      <c r="G202" s="17" t="s">
        <v>2863</v>
      </c>
      <c r="H202" s="100">
        <v>30</v>
      </c>
      <c r="I202" s="101">
        <v>5</v>
      </c>
      <c r="J202" s="6">
        <f>H202*I202</f>
        <v>150</v>
      </c>
      <c r="K202" s="33">
        <v>10.46</v>
      </c>
      <c r="L202" s="643">
        <f>K202*I202</f>
        <v>52.300000000000004</v>
      </c>
      <c r="M202" s="672" t="s">
        <v>255</v>
      </c>
      <c r="N202" s="706">
        <v>45385</v>
      </c>
      <c r="O202" s="707">
        <v>6024</v>
      </c>
      <c r="P202" s="673">
        <f>ROUNDUP(S202/V202/VLOOKUP(B202,$C$2:$F$6,3,FALSE),2)</f>
        <v>8.9700000000000006</v>
      </c>
      <c r="Q202" s="674">
        <v>8.9700000000000006</v>
      </c>
      <c r="R202" s="674">
        <f>Q202*I202</f>
        <v>44.85</v>
      </c>
      <c r="S202" s="725">
        <v>753</v>
      </c>
      <c r="T202" s="84">
        <f>S202*I202</f>
        <v>3765</v>
      </c>
      <c r="U202" s="726"/>
      <c r="V202" s="668">
        <v>120</v>
      </c>
      <c r="W202" s="730">
        <f>(((K202*V202)-S202)/(K202*V202))</f>
        <v>0.40009560229445507</v>
      </c>
    </row>
    <row r="203" spans="2:23" s="638" customFormat="1" ht="17.25" customHeight="1">
      <c r="B203" s="639"/>
      <c r="C203" s="717" t="s">
        <v>2861</v>
      </c>
      <c r="D203" s="662"/>
      <c r="E203" s="14" t="s">
        <v>2790</v>
      </c>
      <c r="F203" s="739"/>
      <c r="G203" s="17"/>
      <c r="H203" s="100"/>
      <c r="I203" s="101"/>
      <c r="J203" s="6"/>
      <c r="K203" s="505" t="s">
        <v>4</v>
      </c>
      <c r="L203" s="643"/>
      <c r="M203" s="672"/>
      <c r="N203" s="706">
        <v>45385</v>
      </c>
      <c r="O203" s="707">
        <v>6024</v>
      </c>
      <c r="P203" s="673"/>
      <c r="Q203" s="674"/>
      <c r="R203" s="674"/>
      <c r="S203" s="728"/>
      <c r="T203" s="84"/>
      <c r="U203" s="728"/>
      <c r="V203" s="668"/>
    </row>
    <row r="204" spans="2:23" s="638" customFormat="1" ht="18" customHeight="1">
      <c r="B204" s="639" t="s">
        <v>236</v>
      </c>
      <c r="C204" s="717" t="s">
        <v>2861</v>
      </c>
      <c r="D204" s="662"/>
      <c r="E204" s="17">
        <v>1100</v>
      </c>
      <c r="F204" s="739">
        <v>25</v>
      </c>
      <c r="G204" s="17" t="s">
        <v>2793</v>
      </c>
      <c r="H204" s="100">
        <v>30</v>
      </c>
      <c r="I204" s="101">
        <v>5</v>
      </c>
      <c r="J204" s="6">
        <f>H204*I204</f>
        <v>150</v>
      </c>
      <c r="K204" s="33">
        <v>33.33</v>
      </c>
      <c r="L204" s="643">
        <f>K204*I204</f>
        <v>166.64999999999998</v>
      </c>
      <c r="M204" s="672" t="s">
        <v>2791</v>
      </c>
      <c r="N204" s="706">
        <v>45385</v>
      </c>
      <c r="O204" s="707">
        <v>6024</v>
      </c>
      <c r="P204" s="673">
        <f>ROUNDUP(S204/V204/VLOOKUP(B204,$C$2:$F$6,3,FALSE),2)</f>
        <v>27.860000000000003</v>
      </c>
      <c r="Q204" s="674">
        <v>27.86</v>
      </c>
      <c r="R204" s="674">
        <f>Q204*I204</f>
        <v>139.30000000000001</v>
      </c>
      <c r="S204" s="725">
        <v>2340</v>
      </c>
      <c r="T204" s="84">
        <f>S204*I204</f>
        <v>11700</v>
      </c>
      <c r="U204" s="726"/>
      <c r="V204" s="668">
        <v>120</v>
      </c>
      <c r="W204" s="730">
        <f>(((K204*V204)-S204)/(K204*V204))</f>
        <v>0.41494149414941495</v>
      </c>
    </row>
    <row r="205" spans="2:23" s="638" customFormat="1" ht="17.25" customHeight="1">
      <c r="B205" s="639"/>
      <c r="C205" s="717" t="s">
        <v>2861</v>
      </c>
      <c r="D205" s="662"/>
      <c r="E205" s="14" t="s">
        <v>2862</v>
      </c>
      <c r="F205" s="739"/>
      <c r="G205" s="17"/>
      <c r="H205" s="100"/>
      <c r="I205" s="101"/>
      <c r="J205" s="6"/>
      <c r="K205" s="505" t="s">
        <v>4</v>
      </c>
      <c r="L205" s="643"/>
      <c r="M205" s="672"/>
      <c r="N205" s="706">
        <v>45385</v>
      </c>
      <c r="O205" s="707">
        <v>6024</v>
      </c>
      <c r="P205" s="673"/>
      <c r="Q205" s="674"/>
      <c r="R205" s="674"/>
      <c r="S205" s="728"/>
      <c r="T205" s="84"/>
      <c r="U205" s="728"/>
      <c r="V205" s="668"/>
    </row>
    <row r="206" spans="2:23" s="638" customFormat="1" ht="17.25" customHeight="1">
      <c r="B206" s="639" t="s">
        <v>236</v>
      </c>
      <c r="C206" s="717" t="s">
        <v>2861</v>
      </c>
      <c r="D206" s="662"/>
      <c r="E206" s="17">
        <v>1100</v>
      </c>
      <c r="F206" s="739">
        <v>35</v>
      </c>
      <c r="G206" s="17" t="s">
        <v>2793</v>
      </c>
      <c r="H206" s="100">
        <v>30</v>
      </c>
      <c r="I206" s="101">
        <v>5</v>
      </c>
      <c r="J206" s="6">
        <f>H206*I206</f>
        <v>150</v>
      </c>
      <c r="K206" s="33">
        <v>44.96</v>
      </c>
      <c r="L206" s="643">
        <f>K206*I206</f>
        <v>224.8</v>
      </c>
      <c r="M206" s="672" t="s">
        <v>2791</v>
      </c>
      <c r="N206" s="706">
        <v>45385</v>
      </c>
      <c r="O206" s="707">
        <v>6024</v>
      </c>
      <c r="P206" s="673">
        <f>ROUNDUP(S206/V206/VLOOKUP(B206,$C$2:$F$6,3,FALSE),2)</f>
        <v>37.15</v>
      </c>
      <c r="Q206" s="674">
        <v>37.15</v>
      </c>
      <c r="R206" s="674">
        <f>Q206*I206</f>
        <v>185.75</v>
      </c>
      <c r="S206" s="725">
        <v>3120</v>
      </c>
      <c r="T206" s="84">
        <f>S206*I206</f>
        <v>15600</v>
      </c>
      <c r="U206" s="726"/>
      <c r="V206" s="668">
        <v>120</v>
      </c>
      <c r="W206" s="730">
        <f>(((K206*V206)-S206)/(K206*V206))</f>
        <v>0.42170818505338076</v>
      </c>
    </row>
    <row r="207" spans="2:23" s="638" customFormat="1" ht="15.75">
      <c r="B207" s="639"/>
      <c r="C207" s="717" t="s">
        <v>2861</v>
      </c>
      <c r="D207" s="662"/>
      <c r="E207" s="158"/>
      <c r="F207" s="737"/>
      <c r="G207" s="158" t="s">
        <v>250</v>
      </c>
      <c r="H207" s="671"/>
      <c r="I207" s="676"/>
      <c r="J207" s="677">
        <v>3</v>
      </c>
      <c r="K207" s="643">
        <v>12</v>
      </c>
      <c r="L207" s="643">
        <f>K207*J207</f>
        <v>36</v>
      </c>
      <c r="M207" s="678"/>
      <c r="N207" s="706">
        <v>45385</v>
      </c>
      <c r="O207" s="707">
        <v>6024</v>
      </c>
      <c r="P207" s="504"/>
      <c r="Q207" s="674">
        <v>12</v>
      </c>
      <c r="R207" s="674">
        <f>Q207*J207</f>
        <v>36</v>
      </c>
      <c r="S207" s="725">
        <f>1100+1000</f>
        <v>2100</v>
      </c>
      <c r="T207" s="725">
        <f>1100+1000</f>
        <v>2100</v>
      </c>
      <c r="U207" s="726"/>
      <c r="V207" s="668">
        <v>120</v>
      </c>
      <c r="W207" s="730"/>
    </row>
    <row r="208" spans="2:23" s="709" customFormat="1" ht="15.75">
      <c r="B208" s="710"/>
      <c r="C208" s="719" t="s">
        <v>2861</v>
      </c>
      <c r="D208" s="680"/>
      <c r="E208" s="681"/>
      <c r="F208" s="738"/>
      <c r="G208" s="682" t="s">
        <v>210</v>
      </c>
      <c r="H208" s="683" t="s">
        <v>2754</v>
      </c>
      <c r="I208" s="684"/>
      <c r="J208" s="685"/>
      <c r="K208" s="720">
        <v>202</v>
      </c>
      <c r="L208" s="720">
        <v>202</v>
      </c>
      <c r="M208" s="712"/>
      <c r="N208" s="712">
        <v>45385</v>
      </c>
      <c r="O208" s="713">
        <v>6024</v>
      </c>
      <c r="P208" s="687"/>
      <c r="Q208" s="720">
        <v>202</v>
      </c>
      <c r="R208" s="720">
        <v>202</v>
      </c>
      <c r="S208" s="84">
        <v>24190</v>
      </c>
      <c r="T208" s="84">
        <v>24190</v>
      </c>
      <c r="U208" s="690"/>
      <c r="V208" s="668">
        <v>120</v>
      </c>
    </row>
    <row r="209" spans="1:23" s="638" customFormat="1" ht="17.25" customHeight="1">
      <c r="A209" s="638" t="s">
        <v>2850</v>
      </c>
      <c r="B209" s="639"/>
      <c r="C209" s="717" t="s">
        <v>2864</v>
      </c>
      <c r="D209" s="662"/>
      <c r="E209" s="14" t="s">
        <v>2780</v>
      </c>
      <c r="F209" s="739"/>
      <c r="G209" s="17"/>
      <c r="H209" s="100"/>
      <c r="I209" s="101"/>
      <c r="J209" s="6"/>
      <c r="K209" s="505" t="s">
        <v>4</v>
      </c>
      <c r="L209" s="643"/>
      <c r="M209" s="672"/>
      <c r="N209" s="706">
        <v>45419</v>
      </c>
      <c r="O209" s="707">
        <v>6116</v>
      </c>
      <c r="P209" s="673"/>
      <c r="Q209" s="674"/>
      <c r="R209" s="674"/>
      <c r="S209" s="728" t="s">
        <v>2785</v>
      </c>
      <c r="T209" s="84"/>
      <c r="U209" s="728" t="s">
        <v>2853</v>
      </c>
      <c r="V209" s="668"/>
    </row>
    <row r="210" spans="1:23" s="638" customFormat="1" ht="17.25" customHeight="1">
      <c r="B210" s="639" t="s">
        <v>236</v>
      </c>
      <c r="C210" s="717" t="s">
        <v>2864</v>
      </c>
      <c r="D210" s="662"/>
      <c r="E210" s="17">
        <v>2200</v>
      </c>
      <c r="F210" s="739">
        <v>18</v>
      </c>
      <c r="G210" s="17" t="s">
        <v>273</v>
      </c>
      <c r="H210" s="100">
        <v>15</v>
      </c>
      <c r="I210" s="101">
        <v>5</v>
      </c>
      <c r="J210" s="6">
        <f>H210*I210</f>
        <v>75</v>
      </c>
      <c r="K210" s="33">
        <v>18.75</v>
      </c>
      <c r="L210" s="643">
        <f>K210*I210</f>
        <v>93.75</v>
      </c>
      <c r="M210" s="672" t="s">
        <v>255</v>
      </c>
      <c r="N210" s="706">
        <v>45419</v>
      </c>
      <c r="O210" s="707">
        <v>6116</v>
      </c>
      <c r="P210" s="673">
        <f>ROUNDUP(S210/V210/VLOOKUP(B210,$C$2:$F$6,3,FALSE),2)</f>
        <v>14.58</v>
      </c>
      <c r="Q210" s="674">
        <v>14.58</v>
      </c>
      <c r="R210" s="674">
        <f>Q210*I210</f>
        <v>72.900000000000006</v>
      </c>
      <c r="S210" s="725">
        <v>1224</v>
      </c>
      <c r="T210" s="84">
        <f>S210*I210</f>
        <v>6120</v>
      </c>
      <c r="U210" s="726">
        <v>1350</v>
      </c>
      <c r="V210" s="668">
        <v>120</v>
      </c>
      <c r="W210" s="730">
        <f>(((K210*V210)-S210)/(K210*V210))</f>
        <v>0.45600000000000002</v>
      </c>
    </row>
    <row r="211" spans="1:23" s="638" customFormat="1" ht="18" customHeight="1">
      <c r="B211" s="639"/>
      <c r="C211" s="717" t="s">
        <v>2864</v>
      </c>
      <c r="D211" s="662"/>
      <c r="E211" s="663" t="s">
        <v>2751</v>
      </c>
      <c r="F211" s="736"/>
      <c r="G211" s="664"/>
      <c r="H211" s="665"/>
      <c r="I211" s="665"/>
      <c r="J211" s="665"/>
      <c r="K211" s="505" t="s">
        <v>4</v>
      </c>
      <c r="L211" s="705"/>
      <c r="M211" s="706"/>
      <c r="N211" s="706">
        <v>45419</v>
      </c>
      <c r="O211" s="707">
        <v>6116</v>
      </c>
      <c r="P211" s="504"/>
      <c r="Q211" s="666"/>
      <c r="U211" s="667"/>
      <c r="V211" s="668">
        <v>120</v>
      </c>
    </row>
    <row r="212" spans="1:23" s="638" customFormat="1" ht="17.25" customHeight="1">
      <c r="B212" s="639" t="s">
        <v>236</v>
      </c>
      <c r="C212" s="717" t="s">
        <v>2864</v>
      </c>
      <c r="D212" s="662"/>
      <c r="E212" s="17">
        <v>5313</v>
      </c>
      <c r="F212" s="739">
        <v>2.5</v>
      </c>
      <c r="G212" s="748" t="s">
        <v>2866</v>
      </c>
      <c r="H212" s="747">
        <v>150</v>
      </c>
      <c r="I212" s="101">
        <v>5</v>
      </c>
      <c r="J212" s="6">
        <f>H212*I212</f>
        <v>750</v>
      </c>
      <c r="K212" s="745">
        <v>31.25</v>
      </c>
      <c r="L212" s="744">
        <f>K212*I212</f>
        <v>156.25</v>
      </c>
      <c r="M212" s="672" t="s">
        <v>255</v>
      </c>
      <c r="N212" s="706">
        <v>45419</v>
      </c>
      <c r="O212" s="707">
        <v>6116</v>
      </c>
      <c r="P212" s="673">
        <f>ROUNDUP(S212/V212/VLOOKUP(B212,$C$2:$F$6,3,FALSE),2)</f>
        <v>26.790000000000003</v>
      </c>
      <c r="Q212" s="674">
        <v>26.79</v>
      </c>
      <c r="R212" s="674">
        <f>Q212*I212</f>
        <v>133.94999999999999</v>
      </c>
      <c r="S212" s="746">
        <v>2250</v>
      </c>
      <c r="T212" s="84">
        <f>S212*I212</f>
        <v>11250</v>
      </c>
      <c r="U212" s="726"/>
      <c r="V212" s="668">
        <v>120</v>
      </c>
      <c r="W212" s="730">
        <f>(((K212*V212)-S212)/(K212*V212))</f>
        <v>0.4</v>
      </c>
    </row>
    <row r="213" spans="1:23" s="638" customFormat="1" ht="17.25" customHeight="1">
      <c r="B213" s="639" t="s">
        <v>236</v>
      </c>
      <c r="C213" s="717" t="s">
        <v>2864</v>
      </c>
      <c r="D213" s="662"/>
      <c r="E213" s="17">
        <v>5313</v>
      </c>
      <c r="F213" s="739">
        <v>2.5</v>
      </c>
      <c r="G213" s="748" t="s">
        <v>2867</v>
      </c>
      <c r="H213" s="747">
        <v>150</v>
      </c>
      <c r="I213" s="101">
        <v>5</v>
      </c>
      <c r="J213" s="6">
        <f t="shared" ref="J213:J220" si="47">H213*I213</f>
        <v>750</v>
      </c>
      <c r="K213" s="745">
        <v>31.25</v>
      </c>
      <c r="L213" s="744">
        <f t="shared" ref="L213:L220" si="48">K213*I213</f>
        <v>156.25</v>
      </c>
      <c r="M213" s="672" t="s">
        <v>255</v>
      </c>
      <c r="N213" s="706">
        <v>45419</v>
      </c>
      <c r="O213" s="707">
        <v>6116</v>
      </c>
      <c r="P213" s="673">
        <f t="shared" ref="P213:P220" si="49">ROUNDUP(S213/V213/VLOOKUP(B213,$C$2:$F$6,3,FALSE),2)</f>
        <v>26.790000000000003</v>
      </c>
      <c r="Q213" s="674">
        <v>26.79</v>
      </c>
      <c r="R213" s="674">
        <f t="shared" ref="R213:R220" si="50">Q213*I213</f>
        <v>133.94999999999999</v>
      </c>
      <c r="S213" s="746">
        <v>2250</v>
      </c>
      <c r="T213" s="84">
        <f t="shared" ref="T213:T220" si="51">S213*I213</f>
        <v>11250</v>
      </c>
      <c r="U213" s="726"/>
      <c r="V213" s="668">
        <v>120</v>
      </c>
      <c r="W213" s="730">
        <f t="shared" ref="W213:W222" si="52">(((K213*V213)-S213)/(K213*V213))</f>
        <v>0.4</v>
      </c>
    </row>
    <row r="214" spans="1:23" s="638" customFormat="1" ht="17.25" customHeight="1">
      <c r="B214" s="639" t="s">
        <v>236</v>
      </c>
      <c r="C214" s="717" t="s">
        <v>2864</v>
      </c>
      <c r="D214" s="662"/>
      <c r="E214" s="17">
        <v>5313</v>
      </c>
      <c r="F214" s="739">
        <v>2.5</v>
      </c>
      <c r="G214" s="748" t="s">
        <v>2868</v>
      </c>
      <c r="H214" s="747">
        <v>150</v>
      </c>
      <c r="I214" s="101">
        <v>5</v>
      </c>
      <c r="J214" s="6">
        <f t="shared" si="47"/>
        <v>750</v>
      </c>
      <c r="K214" s="745">
        <v>31.25</v>
      </c>
      <c r="L214" s="744">
        <f t="shared" si="48"/>
        <v>156.25</v>
      </c>
      <c r="M214" s="672" t="s">
        <v>255</v>
      </c>
      <c r="N214" s="706">
        <v>45419</v>
      </c>
      <c r="O214" s="707">
        <v>6116</v>
      </c>
      <c r="P214" s="673">
        <f t="shared" si="49"/>
        <v>26.790000000000003</v>
      </c>
      <c r="Q214" s="674">
        <v>26.79</v>
      </c>
      <c r="R214" s="674">
        <f t="shared" si="50"/>
        <v>133.94999999999999</v>
      </c>
      <c r="S214" s="746">
        <v>2250</v>
      </c>
      <c r="T214" s="84">
        <f t="shared" si="51"/>
        <v>11250</v>
      </c>
      <c r="U214" s="726"/>
      <c r="V214" s="668">
        <v>120</v>
      </c>
      <c r="W214" s="730">
        <f t="shared" si="52"/>
        <v>0.4</v>
      </c>
    </row>
    <row r="215" spans="1:23" s="638" customFormat="1" ht="17.25" customHeight="1">
      <c r="B215" s="639" t="s">
        <v>236</v>
      </c>
      <c r="C215" s="717" t="s">
        <v>2864</v>
      </c>
      <c r="D215" s="662"/>
      <c r="E215" s="17">
        <v>5313</v>
      </c>
      <c r="F215" s="739">
        <v>2.5</v>
      </c>
      <c r="G215" s="748" t="s">
        <v>2869</v>
      </c>
      <c r="H215" s="747">
        <v>150</v>
      </c>
      <c r="I215" s="101">
        <v>5</v>
      </c>
      <c r="J215" s="6">
        <f t="shared" si="47"/>
        <v>750</v>
      </c>
      <c r="K215" s="745">
        <v>31.25</v>
      </c>
      <c r="L215" s="744">
        <f t="shared" si="48"/>
        <v>156.25</v>
      </c>
      <c r="M215" s="672" t="s">
        <v>255</v>
      </c>
      <c r="N215" s="706">
        <v>45419</v>
      </c>
      <c r="O215" s="707">
        <v>6116</v>
      </c>
      <c r="P215" s="673">
        <f t="shared" si="49"/>
        <v>26.790000000000003</v>
      </c>
      <c r="Q215" s="674">
        <v>26.79</v>
      </c>
      <c r="R215" s="674">
        <f t="shared" si="50"/>
        <v>133.94999999999999</v>
      </c>
      <c r="S215" s="746">
        <v>2250</v>
      </c>
      <c r="T215" s="84">
        <f t="shared" si="51"/>
        <v>11250</v>
      </c>
      <c r="U215" s="726"/>
      <c r="V215" s="668">
        <v>120</v>
      </c>
      <c r="W215" s="730">
        <f t="shared" si="52"/>
        <v>0.4</v>
      </c>
    </row>
    <row r="216" spans="1:23" s="638" customFormat="1" ht="17.25" customHeight="1">
      <c r="B216" s="639" t="s">
        <v>236</v>
      </c>
      <c r="C216" s="717" t="s">
        <v>2864</v>
      </c>
      <c r="D216" s="662"/>
      <c r="E216" s="17">
        <v>5313</v>
      </c>
      <c r="F216" s="739">
        <v>2.5</v>
      </c>
      <c r="G216" s="748" t="s">
        <v>2870</v>
      </c>
      <c r="H216" s="747">
        <v>150</v>
      </c>
      <c r="I216" s="101">
        <v>5</v>
      </c>
      <c r="J216" s="6">
        <f t="shared" si="47"/>
        <v>750</v>
      </c>
      <c r="K216" s="745">
        <v>31.25</v>
      </c>
      <c r="L216" s="744">
        <f t="shared" si="48"/>
        <v>156.25</v>
      </c>
      <c r="M216" s="672" t="s">
        <v>255</v>
      </c>
      <c r="N216" s="706">
        <v>45419</v>
      </c>
      <c r="O216" s="707">
        <v>6116</v>
      </c>
      <c r="P216" s="673">
        <f t="shared" si="49"/>
        <v>26.790000000000003</v>
      </c>
      <c r="Q216" s="674">
        <v>26.79</v>
      </c>
      <c r="R216" s="674">
        <f t="shared" si="50"/>
        <v>133.94999999999999</v>
      </c>
      <c r="S216" s="746">
        <v>2250</v>
      </c>
      <c r="T216" s="84">
        <f t="shared" si="51"/>
        <v>11250</v>
      </c>
      <c r="U216" s="726"/>
      <c r="V216" s="668">
        <v>120</v>
      </c>
      <c r="W216" s="730">
        <f t="shared" si="52"/>
        <v>0.4</v>
      </c>
    </row>
    <row r="217" spans="1:23" s="638" customFormat="1" ht="17.25" customHeight="1">
      <c r="B217" s="639" t="s">
        <v>236</v>
      </c>
      <c r="C217" s="717" t="s">
        <v>2864</v>
      </c>
      <c r="D217" s="662"/>
      <c r="E217" s="17">
        <v>5313</v>
      </c>
      <c r="F217" s="739">
        <v>2.5</v>
      </c>
      <c r="G217" s="748" t="s">
        <v>2871</v>
      </c>
      <c r="H217" s="747">
        <v>150</v>
      </c>
      <c r="I217" s="101">
        <v>5</v>
      </c>
      <c r="J217" s="6">
        <f t="shared" si="47"/>
        <v>750</v>
      </c>
      <c r="K217" s="745">
        <v>31.25</v>
      </c>
      <c r="L217" s="744">
        <f t="shared" si="48"/>
        <v>156.25</v>
      </c>
      <c r="M217" s="672" t="s">
        <v>255</v>
      </c>
      <c r="N217" s="706">
        <v>45419</v>
      </c>
      <c r="O217" s="707">
        <v>6116</v>
      </c>
      <c r="P217" s="673">
        <f t="shared" si="49"/>
        <v>26.790000000000003</v>
      </c>
      <c r="Q217" s="674">
        <v>26.79</v>
      </c>
      <c r="R217" s="674">
        <f t="shared" si="50"/>
        <v>133.94999999999999</v>
      </c>
      <c r="S217" s="746">
        <v>2250</v>
      </c>
      <c r="T217" s="84">
        <f t="shared" si="51"/>
        <v>11250</v>
      </c>
      <c r="U217" s="726"/>
      <c r="V217" s="668">
        <v>120</v>
      </c>
      <c r="W217" s="730">
        <f t="shared" si="52"/>
        <v>0.4</v>
      </c>
    </row>
    <row r="218" spans="1:23" s="638" customFormat="1" ht="17.25" customHeight="1">
      <c r="B218" s="639" t="s">
        <v>236</v>
      </c>
      <c r="C218" s="717" t="s">
        <v>2864</v>
      </c>
      <c r="D218" s="662"/>
      <c r="E218" s="17">
        <v>5313</v>
      </c>
      <c r="F218" s="739">
        <v>2.5</v>
      </c>
      <c r="G218" s="748" t="s">
        <v>2872</v>
      </c>
      <c r="H218" s="747">
        <v>150</v>
      </c>
      <c r="I218" s="101">
        <v>5</v>
      </c>
      <c r="J218" s="6">
        <f t="shared" si="47"/>
        <v>750</v>
      </c>
      <c r="K218" s="745">
        <v>31.25</v>
      </c>
      <c r="L218" s="744">
        <f t="shared" si="48"/>
        <v>156.25</v>
      </c>
      <c r="M218" s="672" t="s">
        <v>255</v>
      </c>
      <c r="N218" s="706">
        <v>45419</v>
      </c>
      <c r="O218" s="707">
        <v>6116</v>
      </c>
      <c r="P218" s="673">
        <f t="shared" si="49"/>
        <v>26.790000000000003</v>
      </c>
      <c r="Q218" s="674">
        <v>26.79</v>
      </c>
      <c r="R218" s="674">
        <f t="shared" si="50"/>
        <v>133.94999999999999</v>
      </c>
      <c r="S218" s="746">
        <v>2250</v>
      </c>
      <c r="T218" s="84">
        <f t="shared" si="51"/>
        <v>11250</v>
      </c>
      <c r="U218" s="726"/>
      <c r="V218" s="668">
        <v>120</v>
      </c>
      <c r="W218" s="730">
        <f t="shared" si="52"/>
        <v>0.4</v>
      </c>
    </row>
    <row r="219" spans="1:23" s="638" customFormat="1" ht="17.25" customHeight="1">
      <c r="B219" s="639" t="s">
        <v>236</v>
      </c>
      <c r="C219" s="717" t="s">
        <v>2864</v>
      </c>
      <c r="D219" s="662"/>
      <c r="E219" s="17">
        <v>5313</v>
      </c>
      <c r="F219" s="739">
        <v>2.5</v>
      </c>
      <c r="G219" s="748" t="s">
        <v>2873</v>
      </c>
      <c r="H219" s="747">
        <v>150</v>
      </c>
      <c r="I219" s="101">
        <v>5</v>
      </c>
      <c r="J219" s="6">
        <f t="shared" si="47"/>
        <v>750</v>
      </c>
      <c r="K219" s="745">
        <v>31.25</v>
      </c>
      <c r="L219" s="744">
        <f t="shared" si="48"/>
        <v>156.25</v>
      </c>
      <c r="M219" s="672" t="s">
        <v>255</v>
      </c>
      <c r="N219" s="706">
        <v>45419</v>
      </c>
      <c r="O219" s="707">
        <v>6116</v>
      </c>
      <c r="P219" s="673">
        <f t="shared" si="49"/>
        <v>26.790000000000003</v>
      </c>
      <c r="Q219" s="674">
        <v>26.79</v>
      </c>
      <c r="R219" s="674">
        <f t="shared" si="50"/>
        <v>133.94999999999999</v>
      </c>
      <c r="S219" s="746">
        <v>2250</v>
      </c>
      <c r="T219" s="84">
        <f t="shared" si="51"/>
        <v>11250</v>
      </c>
      <c r="U219" s="726"/>
      <c r="V219" s="668">
        <v>120</v>
      </c>
      <c r="W219" s="730">
        <f t="shared" si="52"/>
        <v>0.4</v>
      </c>
    </row>
    <row r="220" spans="1:23" s="638" customFormat="1" ht="17.25" customHeight="1">
      <c r="B220" s="639" t="s">
        <v>236</v>
      </c>
      <c r="C220" s="717" t="s">
        <v>2864</v>
      </c>
      <c r="D220" s="662"/>
      <c r="E220" s="17">
        <v>5313</v>
      </c>
      <c r="F220" s="739">
        <v>2.5</v>
      </c>
      <c r="G220" s="748" t="s">
        <v>2865</v>
      </c>
      <c r="H220" s="747">
        <v>150</v>
      </c>
      <c r="I220" s="101">
        <v>5</v>
      </c>
      <c r="J220" s="6">
        <f t="shared" si="47"/>
        <v>750</v>
      </c>
      <c r="K220" s="745">
        <v>31.25</v>
      </c>
      <c r="L220" s="744">
        <f t="shared" si="48"/>
        <v>156.25</v>
      </c>
      <c r="M220" s="672" t="s">
        <v>255</v>
      </c>
      <c r="N220" s="706">
        <v>45419</v>
      </c>
      <c r="O220" s="707">
        <v>6116</v>
      </c>
      <c r="P220" s="673">
        <f t="shared" si="49"/>
        <v>26.790000000000003</v>
      </c>
      <c r="Q220" s="674">
        <v>26.79</v>
      </c>
      <c r="R220" s="674">
        <f t="shared" si="50"/>
        <v>133.94999999999999</v>
      </c>
      <c r="S220" s="746">
        <v>2250</v>
      </c>
      <c r="T220" s="84">
        <f t="shared" si="51"/>
        <v>11250</v>
      </c>
      <c r="U220" s="726"/>
      <c r="V220" s="668">
        <v>120</v>
      </c>
      <c r="W220" s="730">
        <f t="shared" si="52"/>
        <v>0.4</v>
      </c>
    </row>
    <row r="221" spans="1:23" s="638" customFormat="1" ht="15.75">
      <c r="B221" s="639"/>
      <c r="C221" s="717" t="s">
        <v>2864</v>
      </c>
      <c r="D221" s="662"/>
      <c r="E221" s="158"/>
      <c r="F221" s="737"/>
      <c r="G221" s="158" t="s">
        <v>250</v>
      </c>
      <c r="H221" s="671"/>
      <c r="I221" s="676"/>
      <c r="J221" s="677">
        <v>1</v>
      </c>
      <c r="K221" s="643">
        <v>12</v>
      </c>
      <c r="L221" s="643">
        <f>K221*J221</f>
        <v>12</v>
      </c>
      <c r="M221" s="678"/>
      <c r="N221" s="706">
        <v>45419</v>
      </c>
      <c r="O221" s="707">
        <v>6116</v>
      </c>
      <c r="P221" s="504"/>
      <c r="Q221" s="674">
        <v>12</v>
      </c>
      <c r="R221" s="674">
        <f>Q221*J221</f>
        <v>12</v>
      </c>
      <c r="S221" s="725">
        <v>0</v>
      </c>
      <c r="T221" s="725">
        <v>0</v>
      </c>
      <c r="U221" s="726"/>
      <c r="V221" s="668">
        <v>120</v>
      </c>
      <c r="W221" s="730">
        <f t="shared" si="52"/>
        <v>1</v>
      </c>
    </row>
    <row r="222" spans="1:23" s="709" customFormat="1" ht="15.75">
      <c r="B222" s="710"/>
      <c r="C222" s="719" t="s">
        <v>2864</v>
      </c>
      <c r="D222" s="680"/>
      <c r="E222" s="681"/>
      <c r="F222" s="738"/>
      <c r="G222" s="682" t="s">
        <v>210</v>
      </c>
      <c r="H222" s="683" t="s">
        <v>2754</v>
      </c>
      <c r="I222" s="684"/>
      <c r="J222" s="685"/>
      <c r="K222" s="720">
        <v>348</v>
      </c>
      <c r="L222" s="720">
        <v>348</v>
      </c>
      <c r="M222" s="712"/>
      <c r="N222" s="712">
        <v>45419</v>
      </c>
      <c r="O222" s="713">
        <v>6116</v>
      </c>
      <c r="P222" s="687"/>
      <c r="Q222" s="720">
        <v>348</v>
      </c>
      <c r="R222" s="720">
        <v>348</v>
      </c>
      <c r="S222" s="754">
        <v>41645</v>
      </c>
      <c r="T222" s="754">
        <v>41645</v>
      </c>
      <c r="U222" s="690"/>
      <c r="V222" s="668">
        <v>120</v>
      </c>
      <c r="W222" s="730">
        <f t="shared" si="52"/>
        <v>2.7538314176245209E-3</v>
      </c>
    </row>
    <row r="223" spans="1:23" s="638" customFormat="1" ht="17.25" customHeight="1">
      <c r="A223" s="638" t="s">
        <v>2850</v>
      </c>
      <c r="B223" s="639"/>
      <c r="C223" s="717" t="s">
        <v>2864</v>
      </c>
      <c r="D223" s="662"/>
      <c r="E223" s="14" t="s">
        <v>2780</v>
      </c>
      <c r="F223" s="739"/>
      <c r="G223" s="17"/>
      <c r="H223" s="100"/>
      <c r="I223" s="101"/>
      <c r="J223" s="6"/>
      <c r="K223" s="505" t="s">
        <v>4</v>
      </c>
      <c r="L223" s="643"/>
      <c r="M223" s="672"/>
      <c r="N223" s="706">
        <v>45453</v>
      </c>
      <c r="O223" s="707">
        <v>6199</v>
      </c>
      <c r="P223" s="673"/>
      <c r="Q223" s="674"/>
      <c r="R223" s="674"/>
      <c r="S223" s="728" t="s">
        <v>2785</v>
      </c>
      <c r="T223" s="84"/>
      <c r="U223" s="728" t="s">
        <v>2853</v>
      </c>
      <c r="V223" s="668"/>
    </row>
    <row r="224" spans="1:23" s="638" customFormat="1" ht="17.25" customHeight="1">
      <c r="B224" s="639" t="s">
        <v>236</v>
      </c>
      <c r="C224" s="717" t="s">
        <v>2864</v>
      </c>
      <c r="D224" s="662"/>
      <c r="E224" s="17">
        <v>2200</v>
      </c>
      <c r="F224" s="739">
        <v>12</v>
      </c>
      <c r="G224" s="17" t="s">
        <v>2814</v>
      </c>
      <c r="H224" s="100">
        <v>15</v>
      </c>
      <c r="I224" s="101">
        <v>5</v>
      </c>
      <c r="J224" s="6">
        <f>H224*I224</f>
        <v>75</v>
      </c>
      <c r="K224" s="33">
        <v>12.63</v>
      </c>
      <c r="L224" s="643">
        <f>K224*I224</f>
        <v>63.150000000000006</v>
      </c>
      <c r="M224" s="672" t="s">
        <v>255</v>
      </c>
      <c r="N224" s="706">
        <v>45453</v>
      </c>
      <c r="O224" s="707">
        <v>6199</v>
      </c>
      <c r="P224" s="673">
        <f>ROUNDUP(S224/V224/VLOOKUP(B224,$C$2:$F$6,3,FALSE),2)</f>
        <v>9.83</v>
      </c>
      <c r="Q224" s="674">
        <v>9.83</v>
      </c>
      <c r="R224" s="674">
        <f>Q224*I224</f>
        <v>49.15</v>
      </c>
      <c r="S224" s="725">
        <v>825</v>
      </c>
      <c r="T224" s="84">
        <f>S224*I224</f>
        <v>4125</v>
      </c>
      <c r="U224" s="726">
        <v>909</v>
      </c>
      <c r="V224" s="668">
        <v>120</v>
      </c>
      <c r="W224" s="730">
        <f>(((K224*V224)-S224)/(K224*V224))</f>
        <v>0.45566112430720512</v>
      </c>
    </row>
    <row r="225" spans="1:23" s="709" customFormat="1" ht="15.75">
      <c r="B225" s="710"/>
      <c r="C225" s="719" t="s">
        <v>2864</v>
      </c>
      <c r="D225" s="680"/>
      <c r="E225" s="681"/>
      <c r="F225" s="738"/>
      <c r="G225" s="682" t="s">
        <v>210</v>
      </c>
      <c r="H225" s="683" t="s">
        <v>2754</v>
      </c>
      <c r="I225" s="684"/>
      <c r="J225" s="685"/>
      <c r="K225" s="720" t="s">
        <v>1801</v>
      </c>
      <c r="L225" s="720" t="s">
        <v>1801</v>
      </c>
      <c r="M225" s="712"/>
      <c r="N225" s="712">
        <v>45453</v>
      </c>
      <c r="O225" s="713">
        <v>6199</v>
      </c>
      <c r="P225" s="687"/>
      <c r="Q225" s="720" t="s">
        <v>1801</v>
      </c>
      <c r="R225" s="720" t="s">
        <v>1801</v>
      </c>
      <c r="S225" s="720" t="s">
        <v>1801</v>
      </c>
      <c r="T225" s="720" t="s">
        <v>1801</v>
      </c>
      <c r="U225" s="690"/>
      <c r="V225" s="668">
        <v>120</v>
      </c>
      <c r="W225" s="730" t="e">
        <f>(((K225*V225)-S225)/(K225*V225))</f>
        <v>#VALUE!</v>
      </c>
    </row>
    <row r="226" spans="1:23" s="638" customFormat="1" ht="17.25" customHeight="1">
      <c r="B226" s="639"/>
      <c r="C226" s="717" t="s">
        <v>2874</v>
      </c>
      <c r="D226" s="662"/>
      <c r="E226" s="14" t="s">
        <v>2795</v>
      </c>
      <c r="F226" s="739"/>
      <c r="G226" s="17"/>
      <c r="H226" s="100"/>
      <c r="I226" s="101"/>
      <c r="J226" s="6"/>
      <c r="K226" s="505" t="s">
        <v>4</v>
      </c>
      <c r="L226" s="643"/>
      <c r="M226" s="672"/>
      <c r="N226" s="706">
        <v>45453</v>
      </c>
      <c r="O226" s="707">
        <v>6199</v>
      </c>
      <c r="P226" s="673"/>
      <c r="Q226" s="674"/>
      <c r="R226" s="674"/>
      <c r="S226" s="728"/>
      <c r="T226" s="84"/>
      <c r="U226" s="728"/>
      <c r="V226" s="668"/>
    </row>
    <row r="227" spans="1:23" s="638" customFormat="1" ht="17.25" customHeight="1">
      <c r="B227" s="639" t="s">
        <v>236</v>
      </c>
      <c r="C227" s="717" t="s">
        <v>2874</v>
      </c>
      <c r="D227" s="662"/>
      <c r="E227" s="17">
        <v>3544</v>
      </c>
      <c r="F227" s="739" t="s">
        <v>2794</v>
      </c>
      <c r="G227" s="17" t="s">
        <v>74</v>
      </c>
      <c r="H227" s="100">
        <v>30</v>
      </c>
      <c r="I227" s="101">
        <v>10</v>
      </c>
      <c r="J227" s="6">
        <f>H227*I227</f>
        <v>300</v>
      </c>
      <c r="K227" s="33">
        <v>10.46</v>
      </c>
      <c r="L227" s="643">
        <f>K227*I227</f>
        <v>104.60000000000001</v>
      </c>
      <c r="M227" s="672" t="s">
        <v>255</v>
      </c>
      <c r="N227" s="706">
        <v>45453</v>
      </c>
      <c r="O227" s="707">
        <v>6199</v>
      </c>
      <c r="P227" s="673">
        <f>ROUNDUP(S227/V227/VLOOKUP(B227,$C$2:$F$6,3,FALSE),2)</f>
        <v>8.9700000000000006</v>
      </c>
      <c r="Q227" s="674">
        <v>8.9700000000000006</v>
      </c>
      <c r="R227" s="674">
        <f>Q227*I227</f>
        <v>89.7</v>
      </c>
      <c r="S227" s="725">
        <v>753</v>
      </c>
      <c r="T227" s="84">
        <f>S227*I227</f>
        <v>7530</v>
      </c>
      <c r="U227" s="726"/>
      <c r="V227" s="668">
        <v>120</v>
      </c>
      <c r="W227" s="730">
        <f>(((K227*V227)-S227)/(K227*V227))</f>
        <v>0.40009560229445507</v>
      </c>
    </row>
    <row r="228" spans="1:23" s="638" customFormat="1" ht="17.25" customHeight="1">
      <c r="B228" s="639" t="s">
        <v>236</v>
      </c>
      <c r="C228" s="717" t="s">
        <v>2874</v>
      </c>
      <c r="D228" s="662"/>
      <c r="E228" s="17">
        <v>3544</v>
      </c>
      <c r="F228" s="739" t="s">
        <v>2796</v>
      </c>
      <c r="G228" s="17" t="s">
        <v>74</v>
      </c>
      <c r="H228" s="100">
        <v>30</v>
      </c>
      <c r="I228" s="101">
        <v>10</v>
      </c>
      <c r="J228" s="6">
        <f>H228*I228</f>
        <v>300</v>
      </c>
      <c r="K228" s="33">
        <v>17.420000000000002</v>
      </c>
      <c r="L228" s="643">
        <f>K228*I228</f>
        <v>174.20000000000002</v>
      </c>
      <c r="M228" s="672" t="s">
        <v>255</v>
      </c>
      <c r="N228" s="706">
        <v>45453</v>
      </c>
      <c r="O228" s="707">
        <v>6199</v>
      </c>
      <c r="P228" s="673">
        <f>ROUNDUP(S228/V228/VLOOKUP(B228,$C$2:$F$6,3,FALSE),2)</f>
        <v>14.93</v>
      </c>
      <c r="Q228" s="674">
        <v>14.93</v>
      </c>
      <c r="R228" s="674">
        <f>Q228*I228</f>
        <v>149.30000000000001</v>
      </c>
      <c r="S228" s="725">
        <v>1254</v>
      </c>
      <c r="T228" s="84">
        <f>S228*I228</f>
        <v>12540</v>
      </c>
      <c r="U228" s="726"/>
      <c r="V228" s="668">
        <v>120</v>
      </c>
      <c r="W228" s="730">
        <f>(((K228*V228)-S228)/(K228*V228))</f>
        <v>0.40011481056257181</v>
      </c>
    </row>
    <row r="229" spans="1:23" s="638" customFormat="1" ht="15.75">
      <c r="B229" s="639"/>
      <c r="C229" s="717" t="s">
        <v>2874</v>
      </c>
      <c r="D229" s="662"/>
      <c r="E229" s="158"/>
      <c r="F229" s="737"/>
      <c r="G229" s="158" t="s">
        <v>250</v>
      </c>
      <c r="H229" s="671"/>
      <c r="I229" s="676"/>
      <c r="J229" s="677">
        <v>1</v>
      </c>
      <c r="K229" s="643">
        <v>12</v>
      </c>
      <c r="L229" s="643">
        <f>K229*J229</f>
        <v>12</v>
      </c>
      <c r="M229" s="678"/>
      <c r="N229" s="706">
        <v>45453</v>
      </c>
      <c r="O229" s="707">
        <v>6199</v>
      </c>
      <c r="P229" s="504"/>
      <c r="Q229" s="674">
        <v>12</v>
      </c>
      <c r="R229" s="674">
        <f>Q229*J229</f>
        <v>12</v>
      </c>
      <c r="S229" s="725">
        <v>1000</v>
      </c>
      <c r="T229" s="725">
        <v>1000</v>
      </c>
      <c r="U229" s="726"/>
      <c r="V229" s="668">
        <v>120</v>
      </c>
      <c r="W229" s="730">
        <f>(((K229*V229)-S229)/(K229*V229))</f>
        <v>0.30555555555555558</v>
      </c>
    </row>
    <row r="230" spans="1:23" s="709" customFormat="1" ht="15.75">
      <c r="B230" s="710"/>
      <c r="C230" s="719" t="s">
        <v>2874</v>
      </c>
      <c r="D230" s="680"/>
      <c r="E230" s="681"/>
      <c r="F230" s="738"/>
      <c r="G230" s="682" t="s">
        <v>210</v>
      </c>
      <c r="H230" s="683" t="s">
        <v>2754</v>
      </c>
      <c r="I230" s="684"/>
      <c r="J230" s="685"/>
      <c r="K230" s="720">
        <v>73</v>
      </c>
      <c r="L230" s="720">
        <v>73</v>
      </c>
      <c r="M230" s="712"/>
      <c r="N230" s="712">
        <v>45453</v>
      </c>
      <c r="O230" s="713">
        <v>6199</v>
      </c>
      <c r="P230" s="687"/>
      <c r="Q230" s="720">
        <v>73</v>
      </c>
      <c r="R230" s="720">
        <v>73</v>
      </c>
      <c r="S230" s="725">
        <v>9559</v>
      </c>
      <c r="T230" s="725">
        <v>9559</v>
      </c>
      <c r="U230" s="690"/>
      <c r="V230" s="668">
        <v>120</v>
      </c>
      <c r="W230" s="730">
        <f>(((K230*V230)-S230)/(K230*V230))</f>
        <v>-9.1210045662100461E-2</v>
      </c>
    </row>
    <row r="231" spans="1:23" s="638" customFormat="1" ht="17.25" customHeight="1">
      <c r="B231" s="639"/>
      <c r="C231" s="717" t="s">
        <v>2875</v>
      </c>
      <c r="D231" s="662"/>
      <c r="E231" s="14" t="s">
        <v>2816</v>
      </c>
      <c r="F231" s="739"/>
      <c r="G231" s="17"/>
      <c r="H231" s="100"/>
      <c r="I231" s="101"/>
      <c r="J231" s="6"/>
      <c r="K231" s="505" t="s">
        <v>4</v>
      </c>
      <c r="L231" s="643"/>
      <c r="M231" s="672"/>
      <c r="N231" s="706">
        <v>45491</v>
      </c>
      <c r="O231" s="707">
        <v>6307</v>
      </c>
      <c r="P231" s="673"/>
      <c r="Q231" s="674"/>
      <c r="R231" s="674"/>
      <c r="S231" s="728"/>
      <c r="T231" s="84"/>
      <c r="U231" s="728"/>
      <c r="V231" s="668"/>
    </row>
    <row r="232" spans="1:23" s="638" customFormat="1" ht="17.25" customHeight="1">
      <c r="B232" s="639" t="s">
        <v>236</v>
      </c>
      <c r="C232" s="717" t="s">
        <v>2875</v>
      </c>
      <c r="D232" s="662"/>
      <c r="E232" s="17">
        <v>1100</v>
      </c>
      <c r="F232" s="739">
        <v>40</v>
      </c>
      <c r="G232" s="17" t="s">
        <v>2789</v>
      </c>
      <c r="H232" s="100">
        <v>30</v>
      </c>
      <c r="I232" s="101">
        <v>10</v>
      </c>
      <c r="J232" s="6">
        <f>H232*I232</f>
        <v>300</v>
      </c>
      <c r="K232" s="33">
        <v>53.33</v>
      </c>
      <c r="L232" s="643">
        <f>K232*I232</f>
        <v>533.29999999999995</v>
      </c>
      <c r="M232" s="672" t="s">
        <v>2791</v>
      </c>
      <c r="N232" s="706">
        <v>45491</v>
      </c>
      <c r="O232" s="707">
        <v>6307</v>
      </c>
      <c r="P232" s="673">
        <f>ROUNDUP(S232/V232/VLOOKUP(B232,$C$2:$F$6,3,FALSE),2)</f>
        <v>45.72</v>
      </c>
      <c r="Q232" s="674">
        <v>45.72</v>
      </c>
      <c r="R232" s="674">
        <f>Q232*I232</f>
        <v>457.2</v>
      </c>
      <c r="S232" s="725">
        <v>3840</v>
      </c>
      <c r="T232" s="84">
        <f>S232*I232</f>
        <v>38400</v>
      </c>
      <c r="U232" s="726"/>
      <c r="V232" s="668">
        <v>120</v>
      </c>
      <c r="W232" s="730">
        <f>(((K232*V232)-S232)/(K232*V232))</f>
        <v>0.39996249765610348</v>
      </c>
    </row>
    <row r="233" spans="1:23" s="638" customFormat="1" ht="17.25" customHeight="1">
      <c r="B233" s="639"/>
      <c r="C233" s="717" t="s">
        <v>2875</v>
      </c>
      <c r="D233" s="662"/>
      <c r="E233" s="14" t="s">
        <v>2792</v>
      </c>
      <c r="F233" s="739"/>
      <c r="G233" s="17"/>
      <c r="H233" s="100"/>
      <c r="I233" s="101"/>
      <c r="J233" s="6"/>
      <c r="K233" s="505" t="s">
        <v>4</v>
      </c>
      <c r="L233" s="643"/>
      <c r="M233" s="672"/>
      <c r="N233" s="706">
        <v>45491</v>
      </c>
      <c r="O233" s="707">
        <v>6307</v>
      </c>
      <c r="P233" s="673"/>
      <c r="Q233" s="674"/>
      <c r="R233" s="674"/>
      <c r="S233" s="728"/>
      <c r="T233" s="84"/>
      <c r="U233" s="728"/>
      <c r="V233" s="668"/>
    </row>
    <row r="234" spans="1:23" s="638" customFormat="1" ht="17.25" customHeight="1">
      <c r="B234" s="639" t="s">
        <v>236</v>
      </c>
      <c r="C234" s="717" t="s">
        <v>2875</v>
      </c>
      <c r="D234" s="662"/>
      <c r="E234" s="17">
        <v>3534</v>
      </c>
      <c r="F234" s="739">
        <v>35</v>
      </c>
      <c r="G234" s="17" t="s">
        <v>2793</v>
      </c>
      <c r="H234" s="100">
        <v>30</v>
      </c>
      <c r="I234" s="101">
        <v>10</v>
      </c>
      <c r="J234" s="6">
        <f>H234*I234</f>
        <v>300</v>
      </c>
      <c r="K234" s="33">
        <v>27.92</v>
      </c>
      <c r="L234" s="643">
        <f>K234*I234</f>
        <v>279.20000000000005</v>
      </c>
      <c r="M234" s="672" t="s">
        <v>255</v>
      </c>
      <c r="N234" s="706">
        <v>45491</v>
      </c>
      <c r="O234" s="707">
        <v>6307</v>
      </c>
      <c r="P234" s="673">
        <f>ROUNDUP(S234/V234/VLOOKUP(B234,$C$2:$F$6,3,FALSE),2)</f>
        <v>19.41</v>
      </c>
      <c r="Q234" s="674">
        <v>19.41</v>
      </c>
      <c r="R234" s="674">
        <f>Q234*I234</f>
        <v>194.1</v>
      </c>
      <c r="S234" s="725">
        <v>1630</v>
      </c>
      <c r="T234" s="84">
        <f>S234*I234</f>
        <v>16300</v>
      </c>
      <c r="U234" s="726"/>
      <c r="V234" s="668">
        <v>120</v>
      </c>
      <c r="W234" s="730">
        <f>(((K234*V234)-S234)/(K234*V234))</f>
        <v>0.51349092645654248</v>
      </c>
    </row>
    <row r="235" spans="1:23" s="638" customFormat="1" ht="17.25" customHeight="1">
      <c r="B235" s="639" t="s">
        <v>236</v>
      </c>
      <c r="C235" s="717" t="s">
        <v>2875</v>
      </c>
      <c r="D235" s="662"/>
      <c r="E235" s="17">
        <v>3534</v>
      </c>
      <c r="F235" s="739">
        <v>40</v>
      </c>
      <c r="G235" s="17" t="s">
        <v>2789</v>
      </c>
      <c r="H235" s="100">
        <v>30</v>
      </c>
      <c r="I235" s="101">
        <v>10</v>
      </c>
      <c r="J235" s="6">
        <f>H235*I235</f>
        <v>300</v>
      </c>
      <c r="K235" s="33">
        <v>32.08</v>
      </c>
      <c r="L235" s="643">
        <f>K235*I235</f>
        <v>320.79999999999995</v>
      </c>
      <c r="M235" s="672" t="s">
        <v>255</v>
      </c>
      <c r="N235" s="706">
        <v>45491</v>
      </c>
      <c r="O235" s="707">
        <v>6307</v>
      </c>
      <c r="P235" s="673">
        <f>ROUNDUP(S235/V235/VLOOKUP(B235,$C$2:$F$6,3,FALSE),2)</f>
        <v>27.5</v>
      </c>
      <c r="Q235" s="674">
        <v>27.5</v>
      </c>
      <c r="R235" s="674">
        <f>Q235*I235</f>
        <v>275</v>
      </c>
      <c r="S235" s="725">
        <v>2310</v>
      </c>
      <c r="T235" s="84">
        <f>S235*I235</f>
        <v>23100</v>
      </c>
      <c r="U235" s="726"/>
      <c r="V235" s="668">
        <v>120</v>
      </c>
      <c r="W235" s="730">
        <f>(((K235*V235)-S235)/(K235*V235))</f>
        <v>0.39993765586034913</v>
      </c>
    </row>
    <row r="236" spans="1:23" s="638" customFormat="1" ht="17.25" customHeight="1">
      <c r="A236" s="638" t="s">
        <v>2850</v>
      </c>
      <c r="B236" s="639"/>
      <c r="C236" s="717" t="s">
        <v>2875</v>
      </c>
      <c r="D236" s="662"/>
      <c r="E236" s="14" t="s">
        <v>2780</v>
      </c>
      <c r="F236" s="739"/>
      <c r="G236" s="17"/>
      <c r="H236" s="100"/>
      <c r="I236" s="101"/>
      <c r="J236" s="6"/>
      <c r="K236" s="505" t="s">
        <v>4</v>
      </c>
      <c r="L236" s="643"/>
      <c r="M236" s="672"/>
      <c r="N236" s="706">
        <v>45491</v>
      </c>
      <c r="O236" s="707">
        <v>6307</v>
      </c>
      <c r="P236" s="673"/>
      <c r="Q236" s="674"/>
      <c r="R236" s="674"/>
      <c r="S236" s="728" t="s">
        <v>2785</v>
      </c>
      <c r="T236" s="84"/>
      <c r="U236" s="728" t="s">
        <v>2853</v>
      </c>
      <c r="V236" s="668"/>
    </row>
    <row r="237" spans="1:23" s="638" customFormat="1" ht="17.25" customHeight="1">
      <c r="B237" s="639" t="s">
        <v>236</v>
      </c>
      <c r="C237" s="717" t="s">
        <v>2875</v>
      </c>
      <c r="D237" s="662"/>
      <c r="E237" s="17">
        <v>2200</v>
      </c>
      <c r="F237" s="739">
        <v>9</v>
      </c>
      <c r="G237" s="17" t="s">
        <v>2358</v>
      </c>
      <c r="H237" s="100">
        <v>15</v>
      </c>
      <c r="I237" s="101">
        <v>5</v>
      </c>
      <c r="J237" s="6">
        <f>H237*I237</f>
        <v>75</v>
      </c>
      <c r="K237" s="33">
        <v>10.14</v>
      </c>
      <c r="L237" s="643">
        <f>K237*I237</f>
        <v>50.7</v>
      </c>
      <c r="M237" s="672" t="s">
        <v>255</v>
      </c>
      <c r="N237" s="706">
        <v>45532</v>
      </c>
      <c r="O237" s="707">
        <v>6398</v>
      </c>
      <c r="P237" s="673">
        <f>ROUNDUP(S237/V237/VLOOKUP(B237,$C$2:$F$6,3,FALSE),2)</f>
        <v>7.91</v>
      </c>
      <c r="Q237" s="674">
        <v>7.91</v>
      </c>
      <c r="R237" s="674">
        <f>Q237*I237</f>
        <v>39.549999999999997</v>
      </c>
      <c r="S237" s="725">
        <v>664</v>
      </c>
      <c r="T237" s="84">
        <f>S237*I237</f>
        <v>3320</v>
      </c>
      <c r="U237" s="726">
        <v>730</v>
      </c>
      <c r="V237" s="668">
        <v>120</v>
      </c>
      <c r="W237" s="730">
        <f>(((K237*V237)-S237)/(K237*V237))</f>
        <v>0.45430637738330054</v>
      </c>
    </row>
    <row r="238" spans="1:23" s="638" customFormat="1" ht="17.25" customHeight="1">
      <c r="B238" s="639" t="s">
        <v>236</v>
      </c>
      <c r="C238" s="717" t="s">
        <v>2875</v>
      </c>
      <c r="D238" s="662"/>
      <c r="E238" s="17">
        <v>2200</v>
      </c>
      <c r="F238" s="739">
        <v>12</v>
      </c>
      <c r="G238" s="17" t="s">
        <v>2358</v>
      </c>
      <c r="H238" s="100">
        <v>15</v>
      </c>
      <c r="I238" s="101">
        <v>5</v>
      </c>
      <c r="J238" s="6">
        <f>H238*I238</f>
        <v>75</v>
      </c>
      <c r="K238" s="33">
        <v>12.63</v>
      </c>
      <c r="L238" s="643">
        <f>K238*I238</f>
        <v>63.150000000000006</v>
      </c>
      <c r="M238" s="672" t="s">
        <v>255</v>
      </c>
      <c r="N238" s="706">
        <v>45491</v>
      </c>
      <c r="O238" s="707">
        <v>6307</v>
      </c>
      <c r="P238" s="673">
        <f>ROUNDUP(S238/V238/VLOOKUP(B238,$C$2:$F$6,3,FALSE),2)</f>
        <v>9.83</v>
      </c>
      <c r="Q238" s="674">
        <v>9.83</v>
      </c>
      <c r="R238" s="674">
        <f>Q238*I238</f>
        <v>49.15</v>
      </c>
      <c r="S238" s="725">
        <v>825</v>
      </c>
      <c r="T238" s="84">
        <f>S238*I238</f>
        <v>4125</v>
      </c>
      <c r="U238" s="726">
        <v>909</v>
      </c>
      <c r="V238" s="668">
        <v>120</v>
      </c>
      <c r="W238" s="730">
        <f>(((K238*V238)-S238)/(K238*V238))</f>
        <v>0.45566112430720512</v>
      </c>
    </row>
    <row r="239" spans="1:23" s="638" customFormat="1" ht="17.25" customHeight="1">
      <c r="B239" s="639"/>
      <c r="C239" s="717" t="s">
        <v>2875</v>
      </c>
      <c r="D239" s="662"/>
      <c r="E239" s="14" t="s">
        <v>2795</v>
      </c>
      <c r="F239" s="739"/>
      <c r="G239" s="17"/>
      <c r="H239" s="100"/>
      <c r="I239" s="101"/>
      <c r="J239" s="6"/>
      <c r="K239" s="505" t="s">
        <v>4</v>
      </c>
      <c r="L239" s="643"/>
      <c r="M239" s="672"/>
      <c r="N239" s="706">
        <v>45491</v>
      </c>
      <c r="O239" s="707">
        <v>6307</v>
      </c>
      <c r="P239" s="673"/>
      <c r="Q239" s="674"/>
      <c r="R239" s="674"/>
      <c r="S239" s="726" t="s">
        <v>2859</v>
      </c>
      <c r="T239" s="84"/>
      <c r="U239" s="728"/>
      <c r="V239" s="668"/>
    </row>
    <row r="240" spans="1:23" s="638" customFormat="1" ht="17.25" customHeight="1">
      <c r="B240" s="639" t="s">
        <v>236</v>
      </c>
      <c r="C240" s="717" t="s">
        <v>2875</v>
      </c>
      <c r="D240" s="662"/>
      <c r="E240" s="17">
        <v>3544</v>
      </c>
      <c r="F240" s="739" t="s">
        <v>2798</v>
      </c>
      <c r="G240" s="17" t="s">
        <v>74</v>
      </c>
      <c r="H240" s="100">
        <v>30</v>
      </c>
      <c r="I240" s="101">
        <v>10</v>
      </c>
      <c r="J240" s="6">
        <f>H240*I240</f>
        <v>300</v>
      </c>
      <c r="K240" s="33">
        <v>15.13</v>
      </c>
      <c r="L240" s="643">
        <f>K240*I240</f>
        <v>151.30000000000001</v>
      </c>
      <c r="M240" s="672" t="s">
        <v>255</v>
      </c>
      <c r="N240" s="706">
        <v>45491</v>
      </c>
      <c r="O240" s="707">
        <v>6307</v>
      </c>
      <c r="P240" s="673">
        <f>ROUNDUP(S240/V240/VLOOKUP(B240,$C$2:$F$6,3,FALSE),2)</f>
        <v>12.97</v>
      </c>
      <c r="Q240" s="674">
        <v>12.97</v>
      </c>
      <c r="R240" s="674">
        <f>Q240*I240</f>
        <v>129.70000000000002</v>
      </c>
      <c r="S240" s="725">
        <v>1089</v>
      </c>
      <c r="T240" s="84">
        <f>S240*I240</f>
        <v>10890</v>
      </c>
      <c r="U240" s="726"/>
      <c r="V240" s="668">
        <v>120</v>
      </c>
      <c r="W240" s="730">
        <f>(((K240*V240)-S240)/(K240*V240))</f>
        <v>0.40019828155981496</v>
      </c>
    </row>
    <row r="241" spans="2:23" s="638" customFormat="1" ht="18" customHeight="1">
      <c r="B241" s="639"/>
      <c r="C241" s="717" t="s">
        <v>2875</v>
      </c>
      <c r="D241" s="662"/>
      <c r="E241" s="663" t="s">
        <v>2847</v>
      </c>
      <c r="F241" s="736"/>
      <c r="G241" s="664"/>
      <c r="H241" s="665"/>
      <c r="I241" s="665"/>
      <c r="J241" s="665"/>
      <c r="K241" s="505" t="s">
        <v>4</v>
      </c>
      <c r="L241" s="705"/>
      <c r="M241" s="706"/>
      <c r="N241" s="706">
        <v>45491</v>
      </c>
      <c r="O241" s="707">
        <v>6307</v>
      </c>
      <c r="P241" s="504"/>
      <c r="Q241" s="666"/>
      <c r="U241" s="667"/>
      <c r="V241" s="668">
        <v>120</v>
      </c>
    </row>
    <row r="242" spans="2:23" s="638" customFormat="1" ht="17.25" customHeight="1">
      <c r="B242" s="639" t="s">
        <v>236</v>
      </c>
      <c r="C242" s="717" t="s">
        <v>2875</v>
      </c>
      <c r="D242" s="662"/>
      <c r="E242" s="17" t="s">
        <v>2848</v>
      </c>
      <c r="F242" s="739">
        <v>9</v>
      </c>
      <c r="G242" s="17" t="s">
        <v>74</v>
      </c>
      <c r="H242" s="100">
        <v>30</v>
      </c>
      <c r="I242" s="101">
        <v>10</v>
      </c>
      <c r="J242" s="6">
        <f t="shared" ref="J242:J256" si="53">H242*I242</f>
        <v>300</v>
      </c>
      <c r="K242" s="745">
        <v>5.6</v>
      </c>
      <c r="L242" s="744">
        <f t="shared" ref="L242:L256" si="54">K242*I242</f>
        <v>56</v>
      </c>
      <c r="M242" s="672" t="s">
        <v>255</v>
      </c>
      <c r="N242" s="706">
        <v>45491</v>
      </c>
      <c r="O242" s="707">
        <v>6307</v>
      </c>
      <c r="P242" s="673">
        <f t="shared" ref="P242:P256" si="55">ROUNDUP(S242/V242/VLOOKUP(B242,$C$2:$F$6,3,FALSE),2)</f>
        <v>4.8</v>
      </c>
      <c r="Q242" s="674">
        <v>4.8</v>
      </c>
      <c r="R242" s="674">
        <f t="shared" ref="R242:R256" si="56">Q242*I242</f>
        <v>48</v>
      </c>
      <c r="S242" s="746">
        <v>403</v>
      </c>
      <c r="T242" s="84">
        <f t="shared" ref="T242:T256" si="57">S242*I242</f>
        <v>4030</v>
      </c>
      <c r="U242" s="726"/>
      <c r="V242" s="668">
        <v>120</v>
      </c>
      <c r="W242" s="730">
        <f t="shared" ref="W242:W258" si="58">(((K242*V242)-S242)/(K242*V242))</f>
        <v>0.40029761904761907</v>
      </c>
    </row>
    <row r="243" spans="2:23" s="638" customFormat="1" ht="17.25" customHeight="1">
      <c r="B243" s="639" t="s">
        <v>236</v>
      </c>
      <c r="C243" s="717" t="s">
        <v>2875</v>
      </c>
      <c r="D243" s="662"/>
      <c r="E243" s="17" t="s">
        <v>2848</v>
      </c>
      <c r="F243" s="739">
        <v>12</v>
      </c>
      <c r="G243" s="17" t="s">
        <v>74</v>
      </c>
      <c r="H243" s="100">
        <v>30</v>
      </c>
      <c r="I243" s="101">
        <v>10</v>
      </c>
      <c r="J243" s="6">
        <f t="shared" si="53"/>
        <v>300</v>
      </c>
      <c r="K243" s="33">
        <v>6.51</v>
      </c>
      <c r="L243" s="744">
        <f t="shared" si="54"/>
        <v>65.099999999999994</v>
      </c>
      <c r="M243" s="672" t="s">
        <v>255</v>
      </c>
      <c r="N243" s="706">
        <v>45491</v>
      </c>
      <c r="O243" s="707">
        <v>6307</v>
      </c>
      <c r="P243" s="673">
        <f t="shared" si="55"/>
        <v>5.59</v>
      </c>
      <c r="Q243" s="674">
        <v>5.59</v>
      </c>
      <c r="R243" s="674">
        <f t="shared" si="56"/>
        <v>55.9</v>
      </c>
      <c r="S243" s="746">
        <v>469</v>
      </c>
      <c r="T243" s="84">
        <f t="shared" si="57"/>
        <v>4690</v>
      </c>
      <c r="U243" s="726"/>
      <c r="V243" s="668">
        <v>120</v>
      </c>
      <c r="W243" s="730">
        <f t="shared" si="58"/>
        <v>0.39964157706093184</v>
      </c>
    </row>
    <row r="244" spans="2:23" s="638" customFormat="1" ht="17.25" customHeight="1">
      <c r="B244" s="639" t="s">
        <v>236</v>
      </c>
      <c r="C244" s="717" t="s">
        <v>2875</v>
      </c>
      <c r="D244" s="662"/>
      <c r="E244" s="17" t="s">
        <v>2848</v>
      </c>
      <c r="F244" s="739">
        <v>12</v>
      </c>
      <c r="G244" s="17" t="s">
        <v>273</v>
      </c>
      <c r="H244" s="100">
        <v>30</v>
      </c>
      <c r="I244" s="101">
        <v>10</v>
      </c>
      <c r="J244" s="6">
        <f t="shared" si="53"/>
        <v>300</v>
      </c>
      <c r="K244" s="33">
        <v>6.51</v>
      </c>
      <c r="L244" s="744">
        <f t="shared" si="54"/>
        <v>65.099999999999994</v>
      </c>
      <c r="M244" s="672" t="s">
        <v>255</v>
      </c>
      <c r="N244" s="706">
        <v>45491</v>
      </c>
      <c r="O244" s="707">
        <v>6307</v>
      </c>
      <c r="P244" s="673">
        <f t="shared" si="55"/>
        <v>5.59</v>
      </c>
      <c r="Q244" s="674">
        <v>5.59</v>
      </c>
      <c r="R244" s="674">
        <f t="shared" si="56"/>
        <v>55.9</v>
      </c>
      <c r="S244" s="746">
        <v>469</v>
      </c>
      <c r="T244" s="84">
        <f t="shared" si="57"/>
        <v>4690</v>
      </c>
      <c r="U244" s="726"/>
      <c r="V244" s="668">
        <v>120</v>
      </c>
      <c r="W244" s="730">
        <f t="shared" si="58"/>
        <v>0.39964157706093184</v>
      </c>
    </row>
    <row r="245" spans="2:23" s="638" customFormat="1" ht="17.25" customHeight="1">
      <c r="B245" s="639" t="s">
        <v>236</v>
      </c>
      <c r="C245" s="717" t="s">
        <v>2875</v>
      </c>
      <c r="D245" s="662"/>
      <c r="E245" s="17" t="s">
        <v>2848</v>
      </c>
      <c r="F245" s="739">
        <v>9</v>
      </c>
      <c r="G245" s="17" t="s">
        <v>2863</v>
      </c>
      <c r="H245" s="100">
        <v>30</v>
      </c>
      <c r="I245" s="101">
        <v>10</v>
      </c>
      <c r="J245" s="6">
        <f t="shared" si="53"/>
        <v>300</v>
      </c>
      <c r="K245" s="745">
        <v>5.6</v>
      </c>
      <c r="L245" s="744">
        <f t="shared" si="54"/>
        <v>56</v>
      </c>
      <c r="M245" s="672" t="s">
        <v>255</v>
      </c>
      <c r="N245" s="706">
        <v>45491</v>
      </c>
      <c r="O245" s="707">
        <v>6307</v>
      </c>
      <c r="P245" s="673">
        <f t="shared" si="55"/>
        <v>4.8</v>
      </c>
      <c r="Q245" s="674">
        <v>4.8</v>
      </c>
      <c r="R245" s="674">
        <f t="shared" si="56"/>
        <v>48</v>
      </c>
      <c r="S245" s="746">
        <v>403</v>
      </c>
      <c r="T245" s="84">
        <f t="shared" si="57"/>
        <v>4030</v>
      </c>
      <c r="U245" s="726"/>
      <c r="V245" s="668">
        <v>120</v>
      </c>
      <c r="W245" s="730">
        <f t="shared" si="58"/>
        <v>0.40029761904761907</v>
      </c>
    </row>
    <row r="246" spans="2:23" s="638" customFormat="1" ht="17.25" customHeight="1">
      <c r="B246" s="639" t="s">
        <v>236</v>
      </c>
      <c r="C246" s="717" t="s">
        <v>2875</v>
      </c>
      <c r="D246" s="662"/>
      <c r="E246" s="17" t="s">
        <v>2848</v>
      </c>
      <c r="F246" s="739">
        <v>25</v>
      </c>
      <c r="G246" s="17" t="s">
        <v>2814</v>
      </c>
      <c r="H246" s="100">
        <v>30</v>
      </c>
      <c r="I246" s="101">
        <v>10</v>
      </c>
      <c r="J246" s="6">
        <f t="shared" si="53"/>
        <v>300</v>
      </c>
      <c r="K246" s="33">
        <v>11.6</v>
      </c>
      <c r="L246" s="744">
        <f t="shared" si="54"/>
        <v>116</v>
      </c>
      <c r="M246" s="672" t="s">
        <v>255</v>
      </c>
      <c r="N246" s="706">
        <v>45491</v>
      </c>
      <c r="O246" s="707">
        <v>6307</v>
      </c>
      <c r="P246" s="673">
        <f t="shared" si="55"/>
        <v>9.9499999999999993</v>
      </c>
      <c r="Q246" s="674">
        <v>9.9499999999999993</v>
      </c>
      <c r="R246" s="674">
        <f t="shared" si="56"/>
        <v>99.5</v>
      </c>
      <c r="S246" s="746">
        <v>835</v>
      </c>
      <c r="T246" s="84">
        <f t="shared" si="57"/>
        <v>8350</v>
      </c>
      <c r="U246" s="726"/>
      <c r="V246" s="668">
        <v>120</v>
      </c>
      <c r="W246" s="730">
        <f t="shared" si="58"/>
        <v>0.40014367816091956</v>
      </c>
    </row>
    <row r="247" spans="2:23" s="638" customFormat="1" ht="17.25" customHeight="1">
      <c r="B247" s="639" t="s">
        <v>236</v>
      </c>
      <c r="C247" s="717" t="s">
        <v>2875</v>
      </c>
      <c r="D247" s="662"/>
      <c r="E247" s="17" t="s">
        <v>2848</v>
      </c>
      <c r="F247" s="739">
        <v>9</v>
      </c>
      <c r="G247" s="17" t="s">
        <v>2393</v>
      </c>
      <c r="H247" s="100">
        <v>30</v>
      </c>
      <c r="I247" s="101">
        <v>10</v>
      </c>
      <c r="J247" s="6">
        <f t="shared" si="53"/>
        <v>300</v>
      </c>
      <c r="K247" s="745">
        <v>5.6</v>
      </c>
      <c r="L247" s="744">
        <f t="shared" si="54"/>
        <v>56</v>
      </c>
      <c r="M247" s="672" t="s">
        <v>255</v>
      </c>
      <c r="N247" s="706">
        <v>45491</v>
      </c>
      <c r="O247" s="707">
        <v>6307</v>
      </c>
      <c r="P247" s="673">
        <f t="shared" si="55"/>
        <v>4.8</v>
      </c>
      <c r="Q247" s="674">
        <v>4.8</v>
      </c>
      <c r="R247" s="674">
        <f t="shared" si="56"/>
        <v>48</v>
      </c>
      <c r="S247" s="746">
        <v>403</v>
      </c>
      <c r="T247" s="84">
        <f t="shared" si="57"/>
        <v>4030</v>
      </c>
      <c r="U247" s="726"/>
      <c r="V247" s="668">
        <v>120</v>
      </c>
      <c r="W247" s="730">
        <f t="shared" si="58"/>
        <v>0.40029761904761907</v>
      </c>
    </row>
    <row r="248" spans="2:23" s="638" customFormat="1" ht="17.100000000000001" customHeight="1">
      <c r="B248" s="639" t="s">
        <v>236</v>
      </c>
      <c r="C248" s="717" t="s">
        <v>2875</v>
      </c>
      <c r="D248" s="662"/>
      <c r="E248" s="17" t="s">
        <v>2848</v>
      </c>
      <c r="F248" s="739">
        <v>12</v>
      </c>
      <c r="G248" s="17" t="s">
        <v>2393</v>
      </c>
      <c r="H248" s="100">
        <v>30</v>
      </c>
      <c r="I248" s="101">
        <v>10</v>
      </c>
      <c r="J248" s="6">
        <f t="shared" si="53"/>
        <v>300</v>
      </c>
      <c r="K248" s="33">
        <v>6.51</v>
      </c>
      <c r="L248" s="744">
        <f t="shared" si="54"/>
        <v>65.099999999999994</v>
      </c>
      <c r="M248" s="672" t="s">
        <v>255</v>
      </c>
      <c r="N248" s="706">
        <v>45491</v>
      </c>
      <c r="O248" s="707">
        <v>6307</v>
      </c>
      <c r="P248" s="673">
        <f t="shared" si="55"/>
        <v>5.59</v>
      </c>
      <c r="Q248" s="674">
        <v>5.59</v>
      </c>
      <c r="R248" s="674">
        <f t="shared" si="56"/>
        <v>55.9</v>
      </c>
      <c r="S248" s="746">
        <v>469</v>
      </c>
      <c r="T248" s="84">
        <f t="shared" si="57"/>
        <v>4690</v>
      </c>
      <c r="U248" s="726"/>
      <c r="V248" s="668">
        <v>120</v>
      </c>
      <c r="W248" s="730">
        <f t="shared" si="58"/>
        <v>0.39964157706093184</v>
      </c>
    </row>
    <row r="249" spans="2:23" s="638" customFormat="1" ht="17.25" customHeight="1">
      <c r="B249" s="639" t="s">
        <v>236</v>
      </c>
      <c r="C249" s="717" t="s">
        <v>2875</v>
      </c>
      <c r="D249" s="662"/>
      <c r="E249" s="17" t="s">
        <v>2848</v>
      </c>
      <c r="F249" s="739">
        <v>19</v>
      </c>
      <c r="G249" s="17" t="s">
        <v>2393</v>
      </c>
      <c r="H249" s="100">
        <v>30</v>
      </c>
      <c r="I249" s="101">
        <v>10</v>
      </c>
      <c r="J249" s="6">
        <f t="shared" si="53"/>
        <v>300</v>
      </c>
      <c r="K249" s="33">
        <v>9.57</v>
      </c>
      <c r="L249" s="744">
        <f t="shared" si="54"/>
        <v>95.7</v>
      </c>
      <c r="M249" s="672" t="s">
        <v>255</v>
      </c>
      <c r="N249" s="706">
        <v>45491</v>
      </c>
      <c r="O249" s="707">
        <v>6307</v>
      </c>
      <c r="P249" s="673">
        <f t="shared" si="55"/>
        <v>8.2099999999999991</v>
      </c>
      <c r="Q249" s="674">
        <v>8.2100000000000009</v>
      </c>
      <c r="R249" s="674">
        <f t="shared" si="56"/>
        <v>82.100000000000009</v>
      </c>
      <c r="S249" s="746">
        <v>689</v>
      </c>
      <c r="T249" s="84">
        <f t="shared" si="57"/>
        <v>6890</v>
      </c>
      <c r="U249" s="726"/>
      <c r="V249" s="668">
        <v>120</v>
      </c>
      <c r="W249" s="730">
        <f t="shared" si="58"/>
        <v>0.40003483106931387</v>
      </c>
    </row>
    <row r="250" spans="2:23" s="638" customFormat="1" ht="17.25" customHeight="1">
      <c r="B250" s="639" t="s">
        <v>236</v>
      </c>
      <c r="C250" s="717" t="s">
        <v>2875</v>
      </c>
      <c r="D250" s="662"/>
      <c r="E250" s="17" t="s">
        <v>2848</v>
      </c>
      <c r="F250" s="739">
        <v>25</v>
      </c>
      <c r="G250" s="17" t="s">
        <v>2393</v>
      </c>
      <c r="H250" s="100">
        <v>30</v>
      </c>
      <c r="I250" s="101">
        <v>10</v>
      </c>
      <c r="J250" s="6">
        <f t="shared" si="53"/>
        <v>300</v>
      </c>
      <c r="K250" s="33">
        <v>11.6</v>
      </c>
      <c r="L250" s="744">
        <f t="shared" si="54"/>
        <v>116</v>
      </c>
      <c r="M250" s="672" t="s">
        <v>255</v>
      </c>
      <c r="N250" s="706">
        <v>45491</v>
      </c>
      <c r="O250" s="707">
        <v>6307</v>
      </c>
      <c r="P250" s="673">
        <f t="shared" si="55"/>
        <v>9.9499999999999993</v>
      </c>
      <c r="Q250" s="674">
        <v>9.9499999999999993</v>
      </c>
      <c r="R250" s="674">
        <f t="shared" si="56"/>
        <v>99.5</v>
      </c>
      <c r="S250" s="746">
        <v>835</v>
      </c>
      <c r="T250" s="84">
        <f t="shared" si="57"/>
        <v>8350</v>
      </c>
      <c r="U250" s="726"/>
      <c r="V250" s="668">
        <v>120</v>
      </c>
      <c r="W250" s="730">
        <f t="shared" si="58"/>
        <v>0.40014367816091956</v>
      </c>
    </row>
    <row r="251" spans="2:23" s="638" customFormat="1" ht="17.25" customHeight="1">
      <c r="B251" s="639" t="s">
        <v>236</v>
      </c>
      <c r="C251" s="717" t="s">
        <v>2875</v>
      </c>
      <c r="D251" s="662"/>
      <c r="E251" s="17" t="s">
        <v>2848</v>
      </c>
      <c r="F251" s="739">
        <v>32</v>
      </c>
      <c r="G251" s="17" t="s">
        <v>2393</v>
      </c>
      <c r="H251" s="100">
        <v>30</v>
      </c>
      <c r="I251" s="101">
        <v>10</v>
      </c>
      <c r="J251" s="6">
        <f t="shared" si="53"/>
        <v>300</v>
      </c>
      <c r="K251" s="33">
        <v>15.86</v>
      </c>
      <c r="L251" s="744">
        <f t="shared" si="54"/>
        <v>158.6</v>
      </c>
      <c r="M251" s="672" t="s">
        <v>255</v>
      </c>
      <c r="N251" s="706">
        <v>45491</v>
      </c>
      <c r="O251" s="707">
        <v>6307</v>
      </c>
      <c r="P251" s="673">
        <f t="shared" si="55"/>
        <v>13.6</v>
      </c>
      <c r="Q251" s="674">
        <v>13.6</v>
      </c>
      <c r="R251" s="674">
        <f t="shared" si="56"/>
        <v>136</v>
      </c>
      <c r="S251" s="746">
        <v>1142</v>
      </c>
      <c r="T251" s="84">
        <f t="shared" si="57"/>
        <v>11420</v>
      </c>
      <c r="U251" s="726"/>
      <c r="V251" s="668">
        <v>120</v>
      </c>
      <c r="W251" s="730">
        <f t="shared" si="58"/>
        <v>0.39995796553173596</v>
      </c>
    </row>
    <row r="252" spans="2:23" s="638" customFormat="1" ht="17.100000000000001" customHeight="1">
      <c r="B252" s="639" t="s">
        <v>236</v>
      </c>
      <c r="C252" s="717" t="s">
        <v>2875</v>
      </c>
      <c r="D252" s="662"/>
      <c r="E252" s="17" t="s">
        <v>2848</v>
      </c>
      <c r="F252" s="739">
        <v>38</v>
      </c>
      <c r="G252" s="17" t="s">
        <v>2393</v>
      </c>
      <c r="H252" s="100">
        <v>30</v>
      </c>
      <c r="I252" s="101">
        <v>10</v>
      </c>
      <c r="J252" s="6">
        <f t="shared" si="53"/>
        <v>300</v>
      </c>
      <c r="K252" s="33">
        <v>19.43</v>
      </c>
      <c r="L252" s="744">
        <f t="shared" si="54"/>
        <v>194.3</v>
      </c>
      <c r="M252" s="672" t="s">
        <v>255</v>
      </c>
      <c r="N252" s="706">
        <v>45491</v>
      </c>
      <c r="O252" s="707">
        <v>6307</v>
      </c>
      <c r="P252" s="673">
        <f t="shared" si="55"/>
        <v>16.66</v>
      </c>
      <c r="Q252" s="674">
        <v>16.66</v>
      </c>
      <c r="R252" s="674">
        <f t="shared" si="56"/>
        <v>166.6</v>
      </c>
      <c r="S252" s="746">
        <v>1399</v>
      </c>
      <c r="T252" s="84">
        <f t="shared" si="57"/>
        <v>13990</v>
      </c>
      <c r="U252" s="726"/>
      <c r="V252" s="668">
        <v>120</v>
      </c>
      <c r="W252" s="730">
        <f t="shared" si="58"/>
        <v>0.39998284439869614</v>
      </c>
    </row>
    <row r="253" spans="2:23" s="638" customFormat="1" ht="17.25" customHeight="1">
      <c r="B253" s="639" t="s">
        <v>236</v>
      </c>
      <c r="C253" s="717" t="s">
        <v>2875</v>
      </c>
      <c r="D253" s="662"/>
      <c r="E253" s="17" t="s">
        <v>2848</v>
      </c>
      <c r="F253" s="739">
        <v>9</v>
      </c>
      <c r="G253" s="17" t="s">
        <v>117</v>
      </c>
      <c r="H253" s="100">
        <v>30</v>
      </c>
      <c r="I253" s="101">
        <v>10</v>
      </c>
      <c r="J253" s="6">
        <f t="shared" si="53"/>
        <v>300</v>
      </c>
      <c r="K253" s="745">
        <v>5.6</v>
      </c>
      <c r="L253" s="744">
        <f t="shared" si="54"/>
        <v>56</v>
      </c>
      <c r="M253" s="672" t="s">
        <v>255</v>
      </c>
      <c r="N253" s="706">
        <v>45491</v>
      </c>
      <c r="O253" s="707">
        <v>6307</v>
      </c>
      <c r="P253" s="673">
        <f t="shared" si="55"/>
        <v>4.8</v>
      </c>
      <c r="Q253" s="674">
        <v>4.8</v>
      </c>
      <c r="R253" s="674">
        <f t="shared" si="56"/>
        <v>48</v>
      </c>
      <c r="S253" s="746">
        <v>403</v>
      </c>
      <c r="T253" s="84">
        <f t="shared" si="57"/>
        <v>4030</v>
      </c>
      <c r="U253" s="726"/>
      <c r="V253" s="668">
        <v>120</v>
      </c>
      <c r="W253" s="730">
        <f t="shared" si="58"/>
        <v>0.40029761904761907</v>
      </c>
    </row>
    <row r="254" spans="2:23" s="638" customFormat="1" ht="17.25" customHeight="1">
      <c r="B254" s="639" t="s">
        <v>236</v>
      </c>
      <c r="C254" s="717" t="s">
        <v>2875</v>
      </c>
      <c r="D254" s="662"/>
      <c r="E254" s="17" t="s">
        <v>2848</v>
      </c>
      <c r="F254" s="739">
        <v>12</v>
      </c>
      <c r="G254" s="17" t="s">
        <v>117</v>
      </c>
      <c r="H254" s="100">
        <v>30</v>
      </c>
      <c r="I254" s="101">
        <v>10</v>
      </c>
      <c r="J254" s="6">
        <f t="shared" si="53"/>
        <v>300</v>
      </c>
      <c r="K254" s="33">
        <v>6.51</v>
      </c>
      <c r="L254" s="744">
        <f t="shared" si="54"/>
        <v>65.099999999999994</v>
      </c>
      <c r="M254" s="672" t="s">
        <v>255</v>
      </c>
      <c r="N254" s="706">
        <v>45491</v>
      </c>
      <c r="O254" s="707">
        <v>6307</v>
      </c>
      <c r="P254" s="673">
        <f t="shared" si="55"/>
        <v>5.59</v>
      </c>
      <c r="Q254" s="674">
        <v>5.59</v>
      </c>
      <c r="R254" s="674">
        <f t="shared" si="56"/>
        <v>55.9</v>
      </c>
      <c r="S254" s="746">
        <v>469</v>
      </c>
      <c r="T254" s="84">
        <f t="shared" si="57"/>
        <v>4690</v>
      </c>
      <c r="U254" s="726"/>
      <c r="V254" s="668">
        <v>120</v>
      </c>
      <c r="W254" s="730">
        <f t="shared" si="58"/>
        <v>0.39964157706093184</v>
      </c>
    </row>
    <row r="255" spans="2:23" s="638" customFormat="1" ht="17.25" customHeight="1">
      <c r="B255" s="639" t="s">
        <v>236</v>
      </c>
      <c r="C255" s="717" t="s">
        <v>2875</v>
      </c>
      <c r="D255" s="662"/>
      <c r="E255" s="17" t="s">
        <v>2848</v>
      </c>
      <c r="F255" s="739">
        <v>19</v>
      </c>
      <c r="G255" s="17" t="s">
        <v>117</v>
      </c>
      <c r="H255" s="100">
        <v>30</v>
      </c>
      <c r="I255" s="101">
        <v>10</v>
      </c>
      <c r="J255" s="6">
        <f t="shared" si="53"/>
        <v>300</v>
      </c>
      <c r="K255" s="33">
        <v>9.57</v>
      </c>
      <c r="L255" s="744">
        <f t="shared" si="54"/>
        <v>95.7</v>
      </c>
      <c r="M255" s="672" t="s">
        <v>255</v>
      </c>
      <c r="N255" s="706">
        <v>45491</v>
      </c>
      <c r="O255" s="707">
        <v>6307</v>
      </c>
      <c r="P255" s="673">
        <f t="shared" si="55"/>
        <v>8.2099999999999991</v>
      </c>
      <c r="Q255" s="674">
        <v>8.2100000000000009</v>
      </c>
      <c r="R255" s="674">
        <f t="shared" si="56"/>
        <v>82.100000000000009</v>
      </c>
      <c r="S255" s="746">
        <v>689</v>
      </c>
      <c r="T255" s="84">
        <f t="shared" si="57"/>
        <v>6890</v>
      </c>
      <c r="U255" s="726"/>
      <c r="V255" s="668">
        <v>120</v>
      </c>
      <c r="W255" s="730">
        <f t="shared" si="58"/>
        <v>0.40003483106931387</v>
      </c>
    </row>
    <row r="256" spans="2:23" s="638" customFormat="1" ht="17.25" customHeight="1">
      <c r="B256" s="639" t="s">
        <v>236</v>
      </c>
      <c r="C256" s="717" t="s">
        <v>2875</v>
      </c>
      <c r="D256" s="662"/>
      <c r="E256" s="17" t="s">
        <v>2848</v>
      </c>
      <c r="F256" s="739">
        <v>38</v>
      </c>
      <c r="G256" s="17" t="s">
        <v>117</v>
      </c>
      <c r="H256" s="100">
        <v>30</v>
      </c>
      <c r="I256" s="101">
        <v>10</v>
      </c>
      <c r="J256" s="6">
        <f t="shared" si="53"/>
        <v>300</v>
      </c>
      <c r="K256" s="33">
        <v>19.43</v>
      </c>
      <c r="L256" s="744">
        <f t="shared" si="54"/>
        <v>194.3</v>
      </c>
      <c r="M256" s="672" t="s">
        <v>255</v>
      </c>
      <c r="N256" s="706">
        <v>45491</v>
      </c>
      <c r="O256" s="707">
        <v>6307</v>
      </c>
      <c r="P256" s="673">
        <f t="shared" si="55"/>
        <v>16.66</v>
      </c>
      <c r="Q256" s="674">
        <v>16.66</v>
      </c>
      <c r="R256" s="674">
        <f t="shared" si="56"/>
        <v>166.6</v>
      </c>
      <c r="S256" s="746">
        <v>1399</v>
      </c>
      <c r="T256" s="84">
        <f t="shared" si="57"/>
        <v>13990</v>
      </c>
      <c r="U256" s="726"/>
      <c r="V256" s="668">
        <v>120</v>
      </c>
      <c r="W256" s="730">
        <f t="shared" si="58"/>
        <v>0.39998284439869614</v>
      </c>
    </row>
    <row r="257" spans="1:23" s="638" customFormat="1" ht="15.75">
      <c r="B257" s="639"/>
      <c r="C257" s="717" t="s">
        <v>2875</v>
      </c>
      <c r="D257" s="662"/>
      <c r="E257" s="158"/>
      <c r="F257" s="737"/>
      <c r="G257" s="158" t="s">
        <v>250</v>
      </c>
      <c r="H257" s="671"/>
      <c r="I257" s="676"/>
      <c r="J257" s="677">
        <v>4</v>
      </c>
      <c r="K257" s="643">
        <v>12</v>
      </c>
      <c r="L257" s="643">
        <f>K257*J257</f>
        <v>48</v>
      </c>
      <c r="M257" s="678"/>
      <c r="N257" s="706">
        <v>45491</v>
      </c>
      <c r="O257" s="707">
        <v>6307</v>
      </c>
      <c r="P257" s="504"/>
      <c r="Q257" s="674">
        <v>12</v>
      </c>
      <c r="R257" s="674">
        <f>Q257*J257</f>
        <v>48</v>
      </c>
      <c r="S257" s="725">
        <v>1000</v>
      </c>
      <c r="T257" s="84">
        <v>1000</v>
      </c>
      <c r="U257" s="726"/>
      <c r="V257" s="668">
        <v>120</v>
      </c>
      <c r="W257" s="730">
        <f t="shared" si="58"/>
        <v>0.30555555555555558</v>
      </c>
    </row>
    <row r="258" spans="1:23" s="709" customFormat="1" ht="17.25">
      <c r="B258" s="710"/>
      <c r="C258" s="719" t="s">
        <v>2875</v>
      </c>
      <c r="D258" s="680"/>
      <c r="E258" s="681"/>
      <c r="F258" s="738"/>
      <c r="G258" s="682" t="s">
        <v>210</v>
      </c>
      <c r="H258" s="683" t="s">
        <v>2754</v>
      </c>
      <c r="I258" s="684"/>
      <c r="J258" s="685"/>
      <c r="K258" s="720">
        <v>643</v>
      </c>
      <c r="L258" s="720">
        <v>643</v>
      </c>
      <c r="M258" s="712"/>
      <c r="N258" s="712">
        <v>45491</v>
      </c>
      <c r="O258" s="713">
        <v>6307</v>
      </c>
      <c r="P258" s="687"/>
      <c r="Q258" s="720">
        <v>643</v>
      </c>
      <c r="R258" s="720">
        <v>643</v>
      </c>
      <c r="S258" s="755">
        <v>77049</v>
      </c>
      <c r="T258" s="755">
        <v>77049</v>
      </c>
      <c r="U258" s="690"/>
      <c r="V258" s="668">
        <v>120</v>
      </c>
      <c r="W258" s="730">
        <f t="shared" si="58"/>
        <v>1.4385692068429239E-3</v>
      </c>
    </row>
    <row r="259" spans="1:23" s="638" customFormat="1" ht="17.25" customHeight="1">
      <c r="B259" s="639"/>
      <c r="C259" s="717" t="s">
        <v>2876</v>
      </c>
      <c r="D259" s="662"/>
      <c r="E259" s="14" t="s">
        <v>2795</v>
      </c>
      <c r="F259" s="739"/>
      <c r="G259" s="17"/>
      <c r="H259" s="100"/>
      <c r="I259" s="101"/>
      <c r="J259" s="6"/>
      <c r="K259" s="505" t="s">
        <v>4</v>
      </c>
      <c r="L259" s="643"/>
      <c r="M259" s="672"/>
      <c r="N259" s="706">
        <v>45532</v>
      </c>
      <c r="O259" s="707">
        <v>6398</v>
      </c>
      <c r="P259" s="673"/>
      <c r="Q259" s="674"/>
      <c r="R259" s="674"/>
      <c r="S259" s="728"/>
      <c r="T259" s="84"/>
      <c r="U259" s="728"/>
      <c r="V259" s="668"/>
    </row>
    <row r="260" spans="1:23" s="638" customFormat="1" ht="17.25" customHeight="1">
      <c r="B260" s="639" t="s">
        <v>236</v>
      </c>
      <c r="C260" s="717" t="s">
        <v>2876</v>
      </c>
      <c r="D260" s="662"/>
      <c r="E260" s="17">
        <v>3544</v>
      </c>
      <c r="F260" s="739" t="s">
        <v>2796</v>
      </c>
      <c r="G260" s="17" t="s">
        <v>1869</v>
      </c>
      <c r="H260" s="100">
        <v>30</v>
      </c>
      <c r="I260" s="101">
        <v>10</v>
      </c>
      <c r="J260" s="6">
        <f>H260*I260</f>
        <v>300</v>
      </c>
      <c r="K260" s="33">
        <v>17.420000000000002</v>
      </c>
      <c r="L260" s="643">
        <f>K260*I260</f>
        <v>174.20000000000002</v>
      </c>
      <c r="M260" s="672" t="s">
        <v>255</v>
      </c>
      <c r="N260" s="706">
        <v>45532</v>
      </c>
      <c r="O260" s="707">
        <v>6398</v>
      </c>
      <c r="P260" s="673">
        <f>ROUNDUP(S260/V260/VLOOKUP(B260,$C$2:$F$6,3,FALSE),2)</f>
        <v>12.86</v>
      </c>
      <c r="Q260" s="674">
        <v>12.86</v>
      </c>
      <c r="R260" s="674">
        <f>Q260*I260</f>
        <v>128.6</v>
      </c>
      <c r="S260" s="725">
        <v>1080</v>
      </c>
      <c r="T260" s="84">
        <f>S260*I260</f>
        <v>10800</v>
      </c>
      <c r="U260" s="726"/>
      <c r="V260" s="668">
        <v>120</v>
      </c>
      <c r="W260" s="730">
        <f>(((K260*V260)-S260)/(K260*V260))</f>
        <v>0.48335246842709534</v>
      </c>
    </row>
    <row r="261" spans="1:23" s="638" customFormat="1" ht="17.25" customHeight="1">
      <c r="B261" s="639" t="s">
        <v>236</v>
      </c>
      <c r="C261" s="717" t="s">
        <v>2876</v>
      </c>
      <c r="D261" s="662"/>
      <c r="E261" s="17">
        <v>3544</v>
      </c>
      <c r="F261" s="739" t="s">
        <v>2796</v>
      </c>
      <c r="G261" s="17" t="s">
        <v>74</v>
      </c>
      <c r="H261" s="100">
        <v>30</v>
      </c>
      <c r="I261" s="101">
        <v>10</v>
      </c>
      <c r="J261" s="6">
        <f>H261*I261</f>
        <v>300</v>
      </c>
      <c r="K261" s="33">
        <v>17.420000000000002</v>
      </c>
      <c r="L261" s="643">
        <f>K261*I261</f>
        <v>174.20000000000002</v>
      </c>
      <c r="M261" s="672" t="s">
        <v>255</v>
      </c>
      <c r="N261" s="706">
        <v>45532</v>
      </c>
      <c r="O261" s="707">
        <v>6398</v>
      </c>
      <c r="P261" s="673">
        <f>ROUNDUP(S261/V261/VLOOKUP(B261,$C$2:$F$6,3,FALSE),2)</f>
        <v>12.86</v>
      </c>
      <c r="Q261" s="674">
        <v>12.86</v>
      </c>
      <c r="R261" s="674">
        <f>Q261*I261</f>
        <v>128.6</v>
      </c>
      <c r="S261" s="725">
        <v>1080</v>
      </c>
      <c r="T261" s="84">
        <f>S261*I261</f>
        <v>10800</v>
      </c>
      <c r="U261" s="726"/>
      <c r="V261" s="668">
        <v>120</v>
      </c>
      <c r="W261" s="730">
        <f>(((K261*V261)-S261)/(K261*V261))</f>
        <v>0.48335246842709534</v>
      </c>
    </row>
    <row r="262" spans="1:23" s="638" customFormat="1" ht="17.25" customHeight="1">
      <c r="A262" s="638" t="s">
        <v>2850</v>
      </c>
      <c r="B262" s="639"/>
      <c r="C262" s="717" t="s">
        <v>2876</v>
      </c>
      <c r="D262" s="662"/>
      <c r="E262" s="14" t="s">
        <v>2780</v>
      </c>
      <c r="F262" s="739"/>
      <c r="G262" s="17"/>
      <c r="H262" s="100"/>
      <c r="I262" s="101"/>
      <c r="J262" s="6"/>
      <c r="K262" s="505" t="s">
        <v>4</v>
      </c>
      <c r="L262" s="643"/>
      <c r="M262" s="672"/>
      <c r="N262" s="706">
        <v>45532</v>
      </c>
      <c r="O262" s="707">
        <v>6398</v>
      </c>
      <c r="P262" s="673"/>
      <c r="Q262" s="674"/>
      <c r="R262" s="674"/>
      <c r="S262" s="728" t="s">
        <v>2785</v>
      </c>
      <c r="T262" s="84"/>
      <c r="U262" s="728" t="s">
        <v>2853</v>
      </c>
      <c r="V262" s="668"/>
    </row>
    <row r="263" spans="1:23" s="638" customFormat="1" ht="17.25" customHeight="1">
      <c r="B263" s="639" t="s">
        <v>236</v>
      </c>
      <c r="C263" s="717" t="s">
        <v>2876</v>
      </c>
      <c r="D263" s="662"/>
      <c r="E263" s="17">
        <v>2200</v>
      </c>
      <c r="F263" s="739">
        <v>12</v>
      </c>
      <c r="G263" s="17" t="s">
        <v>117</v>
      </c>
      <c r="H263" s="100">
        <v>15</v>
      </c>
      <c r="I263" s="101">
        <v>5</v>
      </c>
      <c r="J263" s="6">
        <f>H263*I263</f>
        <v>75</v>
      </c>
      <c r="K263" s="33">
        <v>12.63</v>
      </c>
      <c r="L263" s="643">
        <f>K263*I263</f>
        <v>63.150000000000006</v>
      </c>
      <c r="M263" s="672" t="s">
        <v>255</v>
      </c>
      <c r="N263" s="706">
        <v>45532</v>
      </c>
      <c r="O263" s="707">
        <v>6398</v>
      </c>
      <c r="P263" s="673">
        <f>ROUNDUP(S263/V263/VLOOKUP(B263,$C$2:$F$6,3,FALSE),2)</f>
        <v>9.83</v>
      </c>
      <c r="Q263" s="674">
        <v>9.83</v>
      </c>
      <c r="R263" s="674">
        <f>Q263*I263</f>
        <v>49.15</v>
      </c>
      <c r="S263" s="725">
        <v>825</v>
      </c>
      <c r="T263" s="84">
        <f>S263*I263</f>
        <v>4125</v>
      </c>
      <c r="U263" s="726">
        <v>909</v>
      </c>
      <c r="V263" s="668">
        <v>120</v>
      </c>
      <c r="W263" s="730">
        <f>(((K263*V263)-S263)/(K263*V263))</f>
        <v>0.45566112430720512</v>
      </c>
    </row>
    <row r="264" spans="1:23" s="638" customFormat="1" ht="17.25" customHeight="1">
      <c r="B264" s="639"/>
      <c r="C264" s="717" t="s">
        <v>2876</v>
      </c>
      <c r="D264" s="662"/>
      <c r="E264" s="14" t="s">
        <v>2790</v>
      </c>
      <c r="F264" s="739"/>
      <c r="G264" s="17"/>
      <c r="H264" s="100"/>
      <c r="I264" s="101"/>
      <c r="J264" s="6"/>
      <c r="K264" s="505" t="s">
        <v>4</v>
      </c>
      <c r="L264" s="643"/>
      <c r="M264" s="672"/>
      <c r="N264" s="706">
        <v>45532</v>
      </c>
      <c r="O264" s="707">
        <v>6398</v>
      </c>
      <c r="P264" s="673"/>
      <c r="Q264" s="674"/>
      <c r="R264" s="674"/>
      <c r="S264" s="728"/>
      <c r="T264" s="84"/>
      <c r="U264" s="728"/>
      <c r="V264" s="668"/>
    </row>
    <row r="265" spans="1:23" s="638" customFormat="1" ht="18" customHeight="1">
      <c r="B265" s="639" t="s">
        <v>236</v>
      </c>
      <c r="C265" s="717" t="s">
        <v>2876</v>
      </c>
      <c r="D265" s="662"/>
      <c r="E265" s="17">
        <v>1100</v>
      </c>
      <c r="F265" s="739">
        <v>25</v>
      </c>
      <c r="G265" s="17" t="s">
        <v>2793</v>
      </c>
      <c r="H265" s="100">
        <v>30</v>
      </c>
      <c r="I265" s="101">
        <v>5</v>
      </c>
      <c r="J265" s="6">
        <f>H265*I265</f>
        <v>150</v>
      </c>
      <c r="K265" s="33">
        <v>33.33</v>
      </c>
      <c r="L265" s="643">
        <f>K265*I265</f>
        <v>166.64999999999998</v>
      </c>
      <c r="M265" s="672" t="s">
        <v>2791</v>
      </c>
      <c r="N265" s="706">
        <v>45532</v>
      </c>
      <c r="O265" s="707">
        <v>6398</v>
      </c>
      <c r="P265" s="673">
        <f>ROUNDUP(S265/V265/VLOOKUP(B265,$C$2:$F$6,3,FALSE),2)</f>
        <v>27.860000000000003</v>
      </c>
      <c r="Q265" s="674">
        <v>27.86</v>
      </c>
      <c r="R265" s="674">
        <f>Q265*I265</f>
        <v>139.30000000000001</v>
      </c>
      <c r="S265" s="725">
        <v>2340</v>
      </c>
      <c r="T265" s="84">
        <f>S265*I265</f>
        <v>11700</v>
      </c>
      <c r="U265" s="726"/>
      <c r="V265" s="668">
        <v>120</v>
      </c>
      <c r="W265" s="730">
        <f>(((K265*V265)-S265)/(K265*V265))</f>
        <v>0.41494149414941495</v>
      </c>
    </row>
    <row r="266" spans="1:23" s="638" customFormat="1" ht="17.25" customHeight="1">
      <c r="B266" s="639"/>
      <c r="C266" s="717" t="s">
        <v>2876</v>
      </c>
      <c r="D266" s="662"/>
      <c r="E266" s="14" t="s">
        <v>2816</v>
      </c>
      <c r="F266" s="739"/>
      <c r="G266" s="17"/>
      <c r="H266" s="100"/>
      <c r="I266" s="101"/>
      <c r="J266" s="6"/>
      <c r="K266" s="505" t="s">
        <v>4</v>
      </c>
      <c r="L266" s="643"/>
      <c r="M266" s="672"/>
      <c r="N266" s="706">
        <v>45532</v>
      </c>
      <c r="O266" s="707">
        <v>6398</v>
      </c>
      <c r="P266" s="673"/>
      <c r="Q266" s="674"/>
      <c r="R266" s="674"/>
      <c r="S266" s="728"/>
      <c r="T266" s="84"/>
      <c r="U266" s="728"/>
      <c r="V266" s="668"/>
    </row>
    <row r="267" spans="1:23" s="638" customFormat="1" ht="17.25" customHeight="1">
      <c r="B267" s="639" t="s">
        <v>236</v>
      </c>
      <c r="C267" s="717" t="s">
        <v>2876</v>
      </c>
      <c r="D267" s="662"/>
      <c r="E267" s="17">
        <v>1100</v>
      </c>
      <c r="F267" s="739">
        <v>40</v>
      </c>
      <c r="G267" s="17" t="s">
        <v>2793</v>
      </c>
      <c r="H267" s="100">
        <v>30</v>
      </c>
      <c r="I267" s="101">
        <v>5</v>
      </c>
      <c r="J267" s="6">
        <f>H267*I267</f>
        <v>150</v>
      </c>
      <c r="K267" s="33">
        <v>50.46</v>
      </c>
      <c r="L267" s="643">
        <f>K267*I267</f>
        <v>252.3</v>
      </c>
      <c r="M267" s="672" t="s">
        <v>2791</v>
      </c>
      <c r="N267" s="706">
        <v>45532</v>
      </c>
      <c r="O267" s="707">
        <v>6398</v>
      </c>
      <c r="P267" s="673">
        <f>ROUNDUP(S267/V267/VLOOKUP(B267,$C$2:$F$6,3,FALSE),2)</f>
        <v>44.29</v>
      </c>
      <c r="Q267" s="674">
        <v>44.29</v>
      </c>
      <c r="R267" s="674">
        <f>Q267*I267</f>
        <v>221.45</v>
      </c>
      <c r="S267" s="725">
        <v>3720</v>
      </c>
      <c r="T267" s="84">
        <f>S267*I267</f>
        <v>18600</v>
      </c>
      <c r="U267" s="726"/>
      <c r="V267" s="668">
        <v>120</v>
      </c>
      <c r="W267" s="730">
        <f>(((K267*V267)-S267)/(K267*V267))</f>
        <v>0.38565200158541418</v>
      </c>
    </row>
    <row r="268" spans="1:23" s="638" customFormat="1" ht="15.75">
      <c r="B268" s="639"/>
      <c r="C268" s="717" t="s">
        <v>2876</v>
      </c>
      <c r="D268" s="662"/>
      <c r="E268" s="158"/>
      <c r="F268" s="737"/>
      <c r="G268" s="158" t="s">
        <v>250</v>
      </c>
      <c r="H268" s="671"/>
      <c r="I268" s="676"/>
      <c r="J268" s="677">
        <v>3</v>
      </c>
      <c r="K268" s="643">
        <v>12</v>
      </c>
      <c r="L268" s="643">
        <f>K268*J268</f>
        <v>36</v>
      </c>
      <c r="M268" s="678"/>
      <c r="N268" s="706">
        <v>45532</v>
      </c>
      <c r="O268" s="707">
        <v>6398</v>
      </c>
      <c r="P268" s="504"/>
      <c r="Q268" s="674">
        <v>12</v>
      </c>
      <c r="R268" s="674">
        <f>Q268*J268</f>
        <v>36</v>
      </c>
      <c r="S268" s="725">
        <v>0</v>
      </c>
      <c r="T268" s="84">
        <f>S268*J268</f>
        <v>0</v>
      </c>
      <c r="U268" s="726"/>
      <c r="V268" s="668">
        <v>120</v>
      </c>
      <c r="W268" s="730">
        <f>(((K268*V268)-S268)/(K268*V268))</f>
        <v>1</v>
      </c>
    </row>
    <row r="269" spans="1:23" s="709" customFormat="1" ht="17.25">
      <c r="B269" s="710"/>
      <c r="C269" s="719" t="s">
        <v>2876</v>
      </c>
      <c r="D269" s="680"/>
      <c r="E269" s="681"/>
      <c r="F269" s="738"/>
      <c r="G269" s="682" t="s">
        <v>210</v>
      </c>
      <c r="H269" s="683" t="s">
        <v>2754</v>
      </c>
      <c r="I269" s="684"/>
      <c r="J269" s="685"/>
      <c r="K269" s="720">
        <v>163</v>
      </c>
      <c r="L269" s="720">
        <v>163</v>
      </c>
      <c r="M269" s="712"/>
      <c r="N269" s="712">
        <v>45532</v>
      </c>
      <c r="O269" s="713">
        <v>6398</v>
      </c>
      <c r="P269" s="687"/>
      <c r="Q269" s="720">
        <v>163</v>
      </c>
      <c r="R269" s="720">
        <v>163</v>
      </c>
      <c r="S269" s="755">
        <v>19454</v>
      </c>
      <c r="T269" s="755">
        <v>19454</v>
      </c>
      <c r="U269" s="690"/>
      <c r="V269" s="668">
        <v>120</v>
      </c>
      <c r="W269" s="730">
        <f>(((K269*V269)-S269)/(K269*V269))</f>
        <v>5.4192229038854808E-3</v>
      </c>
    </row>
    <row r="270" spans="1:23" s="638" customFormat="1" ht="17.25" customHeight="1">
      <c r="B270" s="639"/>
      <c r="C270" s="717" t="s">
        <v>2885</v>
      </c>
      <c r="D270" s="662"/>
      <c r="E270" s="14" t="s">
        <v>2795</v>
      </c>
      <c r="F270" s="739"/>
      <c r="G270" s="17"/>
      <c r="H270" s="100"/>
      <c r="I270" s="101"/>
      <c r="J270" s="6"/>
      <c r="K270" s="505" t="s">
        <v>4</v>
      </c>
      <c r="L270" s="643"/>
      <c r="M270" s="672"/>
      <c r="N270" s="706">
        <v>45582</v>
      </c>
      <c r="O270" s="707">
        <v>6551</v>
      </c>
      <c r="P270" s="673"/>
      <c r="Q270" s="674"/>
      <c r="R270" s="674"/>
      <c r="S270" s="728"/>
      <c r="T270" s="84"/>
      <c r="U270" s="728"/>
      <c r="V270" s="668"/>
    </row>
    <row r="271" spans="1:23" s="638" customFormat="1" ht="17.25" customHeight="1">
      <c r="B271" s="639" t="s">
        <v>236</v>
      </c>
      <c r="C271" s="717" t="s">
        <v>2885</v>
      </c>
      <c r="D271" s="662"/>
      <c r="E271" s="17">
        <v>3544</v>
      </c>
      <c r="F271" s="739" t="s">
        <v>2798</v>
      </c>
      <c r="G271" s="17" t="s">
        <v>2877</v>
      </c>
      <c r="H271" s="100">
        <v>30</v>
      </c>
      <c r="I271" s="101">
        <v>15</v>
      </c>
      <c r="J271" s="6">
        <f>H271*I271</f>
        <v>450</v>
      </c>
      <c r="K271" s="33">
        <v>15</v>
      </c>
      <c r="L271" s="643">
        <f>K271*I271</f>
        <v>225</v>
      </c>
      <c r="M271" s="672" t="s">
        <v>255</v>
      </c>
      <c r="N271" s="706">
        <v>45582</v>
      </c>
      <c r="O271" s="707">
        <v>6551</v>
      </c>
      <c r="P271" s="673">
        <f>ROUNDUP(S271/V271/VLOOKUP(B271,$C$2:$F$6,3,FALSE),2)</f>
        <v>12.97</v>
      </c>
      <c r="Q271" s="674">
        <v>12.97</v>
      </c>
      <c r="R271" s="674">
        <f>Q271*I271</f>
        <v>194.55</v>
      </c>
      <c r="S271" s="725">
        <v>1089</v>
      </c>
      <c r="T271" s="84">
        <f>S271*I271</f>
        <v>16335</v>
      </c>
      <c r="U271" s="726"/>
      <c r="V271" s="668">
        <v>120</v>
      </c>
      <c r="W271" s="730">
        <f>(((K271*V271)-S271)/(K271*V271))</f>
        <v>0.39500000000000002</v>
      </c>
    </row>
    <row r="272" spans="1:23" s="638" customFormat="1" ht="17.25" customHeight="1">
      <c r="B272" s="639" t="s">
        <v>236</v>
      </c>
      <c r="C272" s="717" t="s">
        <v>2885</v>
      </c>
      <c r="D272" s="662"/>
      <c r="E272" s="17">
        <v>3544</v>
      </c>
      <c r="F272" s="739" t="s">
        <v>2794</v>
      </c>
      <c r="G272" s="17" t="s">
        <v>2390</v>
      </c>
      <c r="H272" s="100">
        <v>30</v>
      </c>
      <c r="I272" s="101">
        <v>10</v>
      </c>
      <c r="J272" s="6">
        <f>H272*I272</f>
        <v>300</v>
      </c>
      <c r="K272" s="33">
        <v>10.46</v>
      </c>
      <c r="L272" s="643">
        <f>K272*I272</f>
        <v>104.60000000000001</v>
      </c>
      <c r="M272" s="672" t="s">
        <v>255</v>
      </c>
      <c r="N272" s="706">
        <v>45582</v>
      </c>
      <c r="O272" s="707">
        <v>6551</v>
      </c>
      <c r="P272" s="673">
        <f>ROUNDUP(S272/V272/VLOOKUP(B272,$C$2:$F$6,3,FALSE),2)</f>
        <v>8.9700000000000006</v>
      </c>
      <c r="Q272" s="674">
        <v>8.9700000000000006</v>
      </c>
      <c r="R272" s="674">
        <f>Q272*I272</f>
        <v>89.7</v>
      </c>
      <c r="S272" s="725">
        <v>753</v>
      </c>
      <c r="T272" s="84">
        <f>S272*I272</f>
        <v>7530</v>
      </c>
      <c r="U272" s="726"/>
      <c r="V272" s="668">
        <v>120</v>
      </c>
      <c r="W272" s="730">
        <f>(((K272*V272)-S272)/(K272*V272))</f>
        <v>0.40009560229445507</v>
      </c>
    </row>
    <row r="273" spans="1:23" s="638" customFormat="1" ht="17.25" customHeight="1">
      <c r="B273" s="639" t="s">
        <v>236</v>
      </c>
      <c r="C273" s="717" t="s">
        <v>2885</v>
      </c>
      <c r="D273" s="662"/>
      <c r="E273" s="17">
        <v>3544</v>
      </c>
      <c r="F273" s="739" t="s">
        <v>2820</v>
      </c>
      <c r="G273" s="17" t="s">
        <v>2878</v>
      </c>
      <c r="H273" s="100">
        <v>30</v>
      </c>
      <c r="I273" s="101">
        <v>10</v>
      </c>
      <c r="J273" s="6">
        <f>H273*I273</f>
        <v>300</v>
      </c>
      <c r="K273" s="33">
        <v>12.68</v>
      </c>
      <c r="L273" s="643">
        <f>K273*I273</f>
        <v>126.8</v>
      </c>
      <c r="M273" s="672" t="s">
        <v>255</v>
      </c>
      <c r="N273" s="706">
        <v>45582</v>
      </c>
      <c r="O273" s="707">
        <v>6551</v>
      </c>
      <c r="P273" s="673">
        <f>ROUNDUP(S273/V273/VLOOKUP(B273,$C$2:$F$6,3,FALSE),2)</f>
        <v>10.97</v>
      </c>
      <c r="Q273" s="674">
        <v>10.97</v>
      </c>
      <c r="R273" s="674">
        <f>Q273*I273</f>
        <v>109.7</v>
      </c>
      <c r="S273" s="725">
        <v>921</v>
      </c>
      <c r="T273" s="84">
        <f>S273*I273</f>
        <v>9210</v>
      </c>
      <c r="U273" s="726"/>
      <c r="V273" s="668">
        <v>120</v>
      </c>
      <c r="W273" s="730">
        <f>(((K273*V273)-S273)/(K273*V273))</f>
        <v>0.3947160883280757</v>
      </c>
    </row>
    <row r="274" spans="1:23" s="638" customFormat="1" ht="17.25" customHeight="1">
      <c r="B274" s="639" t="s">
        <v>236</v>
      </c>
      <c r="C274" s="717" t="s">
        <v>2885</v>
      </c>
      <c r="D274" s="662"/>
      <c r="E274" s="17">
        <v>3544</v>
      </c>
      <c r="F274" s="739" t="s">
        <v>2796</v>
      </c>
      <c r="G274" s="17" t="s">
        <v>2390</v>
      </c>
      <c r="H274" s="100">
        <v>30</v>
      </c>
      <c r="I274" s="101">
        <v>10</v>
      </c>
      <c r="J274" s="6">
        <f>H274*I274</f>
        <v>300</v>
      </c>
      <c r="K274" s="33">
        <v>17.420000000000002</v>
      </c>
      <c r="L274" s="643">
        <f>K274*I274</f>
        <v>174.20000000000002</v>
      </c>
      <c r="M274" s="672" t="s">
        <v>255</v>
      </c>
      <c r="N274" s="706">
        <v>45582</v>
      </c>
      <c r="O274" s="707">
        <v>6551</v>
      </c>
      <c r="P274" s="673">
        <f>ROUNDUP(S274/V274/VLOOKUP(B274,$C$2:$F$6,3,FALSE),2)</f>
        <v>14.93</v>
      </c>
      <c r="Q274" s="674">
        <v>14.93</v>
      </c>
      <c r="R274" s="674">
        <f>Q274*I274</f>
        <v>149.30000000000001</v>
      </c>
      <c r="S274" s="725">
        <v>1254</v>
      </c>
      <c r="T274" s="84">
        <f>S274*I274</f>
        <v>12540</v>
      </c>
      <c r="U274" s="726"/>
      <c r="V274" s="668">
        <v>120</v>
      </c>
      <c r="W274" s="730">
        <f>(((K274*V274)-S274)/(K274*V274))</f>
        <v>0.40011481056257181</v>
      </c>
    </row>
    <row r="275" spans="1:23" s="760" customFormat="1" ht="17.25" customHeight="1">
      <c r="A275" s="760" t="s">
        <v>2850</v>
      </c>
      <c r="B275" s="761"/>
      <c r="C275" s="762" t="s">
        <v>2885</v>
      </c>
      <c r="D275" s="763"/>
      <c r="E275" s="764" t="s">
        <v>2780</v>
      </c>
      <c r="F275" s="765"/>
      <c r="G275" s="766"/>
      <c r="H275" s="767"/>
      <c r="I275" s="768"/>
      <c r="J275" s="769"/>
      <c r="K275" s="770" t="s">
        <v>4</v>
      </c>
      <c r="L275" s="771"/>
      <c r="M275" s="772"/>
      <c r="N275" s="773"/>
      <c r="O275" s="786"/>
      <c r="P275" s="774"/>
      <c r="Q275" s="775"/>
      <c r="R275" s="775"/>
      <c r="S275" s="776" t="s">
        <v>2785</v>
      </c>
      <c r="T275" s="777"/>
      <c r="U275" s="776" t="s">
        <v>2853</v>
      </c>
      <c r="V275" s="778"/>
    </row>
    <row r="276" spans="1:23" s="760" customFormat="1" ht="17.25" customHeight="1">
      <c r="B276" s="761" t="s">
        <v>236</v>
      </c>
      <c r="C276" s="762" t="s">
        <v>2885</v>
      </c>
      <c r="D276" s="763"/>
      <c r="E276" s="766">
        <v>2200</v>
      </c>
      <c r="F276" s="765">
        <v>12</v>
      </c>
      <c r="G276" s="766" t="s">
        <v>1910</v>
      </c>
      <c r="H276" s="767">
        <v>15</v>
      </c>
      <c r="I276" s="768">
        <v>5</v>
      </c>
      <c r="J276" s="769">
        <f>H276*I276</f>
        <v>75</v>
      </c>
      <c r="K276" s="779">
        <v>12.63</v>
      </c>
      <c r="L276" s="771">
        <f>K276*I276</f>
        <v>63.150000000000006</v>
      </c>
      <c r="M276" s="772" t="s">
        <v>255</v>
      </c>
      <c r="N276" s="773" t="s">
        <v>2884</v>
      </c>
      <c r="O276" s="786"/>
      <c r="P276" s="774">
        <f>ROUNDUP(S276/V276/VLOOKUP(B276,$C$2:$F$6,3,FALSE),2)</f>
        <v>9.83</v>
      </c>
      <c r="Q276" s="775">
        <v>9.83</v>
      </c>
      <c r="R276" s="775">
        <f>Q276*I276</f>
        <v>49.15</v>
      </c>
      <c r="S276" s="780">
        <v>825</v>
      </c>
      <c r="T276" s="777">
        <f>S276*I276</f>
        <v>4125</v>
      </c>
      <c r="U276" s="781">
        <v>909</v>
      </c>
      <c r="V276" s="778">
        <v>120</v>
      </c>
      <c r="W276" s="782">
        <f>(((K276*V276)-S276)/(K276*V276))</f>
        <v>0.45566112430720512</v>
      </c>
    </row>
    <row r="277" spans="1:23" s="638" customFormat="1" ht="18" customHeight="1">
      <c r="B277" s="639"/>
      <c r="C277" s="717" t="s">
        <v>2885</v>
      </c>
      <c r="D277" s="662"/>
      <c r="E277" s="663" t="s">
        <v>2751</v>
      </c>
      <c r="F277" s="736"/>
      <c r="G277" s="664"/>
      <c r="H277" s="665"/>
      <c r="I277" s="665"/>
      <c r="J277" s="665"/>
      <c r="K277" s="505" t="s">
        <v>4</v>
      </c>
      <c r="L277" s="705"/>
      <c r="M277" s="706"/>
      <c r="N277" s="706">
        <v>45582</v>
      </c>
      <c r="O277" s="707">
        <v>6551</v>
      </c>
      <c r="P277" s="504"/>
      <c r="Q277" s="666"/>
      <c r="U277" s="667"/>
      <c r="V277" s="668">
        <v>120</v>
      </c>
    </row>
    <row r="278" spans="1:23" s="638" customFormat="1" ht="17.25" customHeight="1">
      <c r="B278" s="639" t="s">
        <v>236</v>
      </c>
      <c r="C278" s="717" t="s">
        <v>2885</v>
      </c>
      <c r="D278" s="662"/>
      <c r="E278" s="17">
        <v>5313</v>
      </c>
      <c r="F278" s="739">
        <v>2.5</v>
      </c>
      <c r="G278" s="748" t="s">
        <v>2879</v>
      </c>
      <c r="H278" s="747">
        <v>150</v>
      </c>
      <c r="I278" s="101">
        <v>1</v>
      </c>
      <c r="J278" s="6">
        <f>H278*I278</f>
        <v>150</v>
      </c>
      <c r="K278" s="745">
        <v>31.25</v>
      </c>
      <c r="L278" s="744">
        <f>K278*I278</f>
        <v>31.25</v>
      </c>
      <c r="M278" s="672" t="s">
        <v>255</v>
      </c>
      <c r="N278" s="706">
        <v>45582</v>
      </c>
      <c r="O278" s="707">
        <v>6551</v>
      </c>
      <c r="P278" s="673">
        <f>ROUNDUP(S278/V278/VLOOKUP(B278,$C$2:$F$6,3,FALSE),2)</f>
        <v>26.790000000000003</v>
      </c>
      <c r="Q278" s="674">
        <v>26.79</v>
      </c>
      <c r="R278" s="674">
        <f>Q278*I278</f>
        <v>26.79</v>
      </c>
      <c r="S278" s="746">
        <v>2250</v>
      </c>
      <c r="T278" s="84">
        <f>S278*I278</f>
        <v>2250</v>
      </c>
      <c r="U278" s="726"/>
      <c r="V278" s="668">
        <v>120</v>
      </c>
      <c r="W278" s="730">
        <f>(((K278*V278)-S278)/(K278*V278))</f>
        <v>0.4</v>
      </c>
    </row>
    <row r="279" spans="1:23" s="638" customFormat="1" ht="18" customHeight="1">
      <c r="B279" s="639"/>
      <c r="C279" s="717" t="s">
        <v>2885</v>
      </c>
      <c r="D279" s="662"/>
      <c r="E279" s="14" t="s">
        <v>2882</v>
      </c>
      <c r="F279" s="736"/>
      <c r="G279" s="664"/>
      <c r="H279" s="665"/>
      <c r="I279" s="665"/>
      <c r="J279" s="665"/>
      <c r="K279" s="505" t="s">
        <v>4</v>
      </c>
      <c r="L279" s="729"/>
      <c r="M279" s="706"/>
      <c r="N279" s="706">
        <v>45582</v>
      </c>
      <c r="O279" s="707">
        <v>6551</v>
      </c>
      <c r="P279" s="504"/>
      <c r="Q279" s="666"/>
      <c r="U279" s="667"/>
      <c r="V279" s="668">
        <v>120</v>
      </c>
    </row>
    <row r="280" spans="1:23" s="638" customFormat="1" ht="17.25" customHeight="1">
      <c r="B280" s="639" t="s">
        <v>236</v>
      </c>
      <c r="C280" s="717" t="s">
        <v>2885</v>
      </c>
      <c r="D280" s="662"/>
      <c r="E280" s="17" t="s">
        <v>2880</v>
      </c>
      <c r="F280" s="739">
        <v>25</v>
      </c>
      <c r="G280" s="17" t="s">
        <v>2881</v>
      </c>
      <c r="H280" s="6">
        <v>30</v>
      </c>
      <c r="I280" s="30">
        <v>10</v>
      </c>
      <c r="J280" s="6">
        <f>H280*I280</f>
        <v>300</v>
      </c>
      <c r="K280" s="33">
        <v>24.18</v>
      </c>
      <c r="L280" s="643">
        <f>K280*I280</f>
        <v>241.8</v>
      </c>
      <c r="M280" s="672" t="s">
        <v>255</v>
      </c>
      <c r="N280" s="706">
        <v>45582</v>
      </c>
      <c r="O280" s="707">
        <v>6551</v>
      </c>
      <c r="P280" s="673">
        <f>ROUNDUP(S280/V280/VLOOKUP(B280,$C$2:$F$6,3,FALSE),2)</f>
        <v>20.73</v>
      </c>
      <c r="Q280" s="674">
        <v>20.73</v>
      </c>
      <c r="R280" s="674">
        <f>Q280*I280</f>
        <v>207.3</v>
      </c>
      <c r="S280" s="725">
        <v>1741</v>
      </c>
      <c r="T280" s="84">
        <f>S280*I280</f>
        <v>17410</v>
      </c>
      <c r="U280" s="723"/>
      <c r="V280" s="668">
        <v>120</v>
      </c>
      <c r="W280" s="730">
        <f>(((K280*V280)-S280)/(K280*V280))</f>
        <v>0.39998621450234351</v>
      </c>
    </row>
    <row r="281" spans="1:23" s="638" customFormat="1" ht="17.25" customHeight="1">
      <c r="B281" s="639" t="s">
        <v>236</v>
      </c>
      <c r="C281" s="717" t="s">
        <v>2885</v>
      </c>
      <c r="D281" s="662"/>
      <c r="E281" s="17" t="s">
        <v>2880</v>
      </c>
      <c r="F281" s="739">
        <v>32</v>
      </c>
      <c r="G281" s="17" t="s">
        <v>2881</v>
      </c>
      <c r="H281" s="6">
        <v>30</v>
      </c>
      <c r="I281" s="30">
        <v>10</v>
      </c>
      <c r="J281" s="6">
        <f>H281*I281</f>
        <v>300</v>
      </c>
      <c r="K281" s="33">
        <v>31.68</v>
      </c>
      <c r="L281" s="643">
        <f>K281*I281</f>
        <v>316.8</v>
      </c>
      <c r="M281" s="672" t="s">
        <v>255</v>
      </c>
      <c r="N281" s="706">
        <v>45582</v>
      </c>
      <c r="O281" s="707">
        <v>6551</v>
      </c>
      <c r="P281" s="673">
        <f>ROUNDUP(S281/V281/VLOOKUP(B281,$C$2:$F$6,3,FALSE),2)</f>
        <v>27.16</v>
      </c>
      <c r="Q281" s="674">
        <v>27.16</v>
      </c>
      <c r="R281" s="674">
        <f>Q281*I281</f>
        <v>271.60000000000002</v>
      </c>
      <c r="S281" s="725">
        <v>2281</v>
      </c>
      <c r="T281" s="84">
        <f>S281*I281</f>
        <v>22810</v>
      </c>
      <c r="U281" s="723"/>
      <c r="V281" s="668">
        <v>120</v>
      </c>
      <c r="W281" s="730">
        <f>(((K281*V281)-S281)/(K281*V281))</f>
        <v>0.3999894781144781</v>
      </c>
    </row>
    <row r="282" spans="1:23" s="638" customFormat="1" ht="15.75">
      <c r="B282" s="639"/>
      <c r="C282" s="717" t="s">
        <v>2885</v>
      </c>
      <c r="D282" s="662"/>
      <c r="E282" s="158"/>
      <c r="F282" s="737"/>
      <c r="G282" s="158" t="s">
        <v>250</v>
      </c>
      <c r="H282" s="671"/>
      <c r="I282" s="676"/>
      <c r="J282" s="677">
        <v>3</v>
      </c>
      <c r="K282" s="643">
        <v>12</v>
      </c>
      <c r="L282" s="643">
        <f>K282*J282</f>
        <v>36</v>
      </c>
      <c r="M282" s="678"/>
      <c r="N282" s="706">
        <v>45582</v>
      </c>
      <c r="O282" s="707">
        <v>6551</v>
      </c>
      <c r="P282" s="504"/>
      <c r="Q282" s="674">
        <v>12</v>
      </c>
      <c r="R282" s="674">
        <f>Q282*J282</f>
        <v>36</v>
      </c>
      <c r="S282" s="725">
        <v>800</v>
      </c>
      <c r="T282" s="84">
        <v>800</v>
      </c>
      <c r="U282" s="726"/>
      <c r="V282" s="668">
        <v>120</v>
      </c>
      <c r="W282" s="730">
        <f>(((K282*V282)-S282)/(K282*V282))</f>
        <v>0.44444444444444442</v>
      </c>
    </row>
    <row r="283" spans="1:23" s="709" customFormat="1" ht="17.25">
      <c r="B283" s="710"/>
      <c r="C283" s="719" t="s">
        <v>2885</v>
      </c>
      <c r="D283" s="680"/>
      <c r="E283" s="681"/>
      <c r="F283" s="738"/>
      <c r="G283" s="682" t="s">
        <v>210</v>
      </c>
      <c r="H283" s="683" t="s">
        <v>2754</v>
      </c>
      <c r="I283" s="684"/>
      <c r="J283" s="685"/>
      <c r="K283" s="720">
        <v>187</v>
      </c>
      <c r="L283" s="720">
        <v>187</v>
      </c>
      <c r="M283" s="712"/>
      <c r="N283" s="712">
        <v>45582</v>
      </c>
      <c r="O283" s="713">
        <v>6551</v>
      </c>
      <c r="P283" s="687"/>
      <c r="Q283" s="720">
        <v>187</v>
      </c>
      <c r="R283" s="720">
        <v>187</v>
      </c>
      <c r="S283" s="755">
        <v>22351</v>
      </c>
      <c r="T283" s="755">
        <v>22351</v>
      </c>
      <c r="U283" s="690"/>
      <c r="V283" s="668">
        <v>120</v>
      </c>
      <c r="W283" s="730">
        <f>(((K283*V283)-S283)/(K283*V283))</f>
        <v>3.9661319073083781E-3</v>
      </c>
    </row>
    <row r="284" spans="1:23" s="638" customFormat="1" ht="17.25" customHeight="1">
      <c r="A284" s="638" t="s">
        <v>2850</v>
      </c>
      <c r="B284" s="639"/>
      <c r="C284" s="717" t="s">
        <v>2886</v>
      </c>
      <c r="D284" s="662"/>
      <c r="E284" s="14" t="s">
        <v>2780</v>
      </c>
      <c r="F284" s="739"/>
      <c r="G284" s="17"/>
      <c r="H284" s="100"/>
      <c r="I284" s="101"/>
      <c r="J284" s="6"/>
      <c r="K284" s="505" t="s">
        <v>4</v>
      </c>
      <c r="L284" s="643"/>
      <c r="M284" s="672"/>
      <c r="N284" s="706">
        <v>45643</v>
      </c>
      <c r="O284" s="707">
        <v>6710</v>
      </c>
      <c r="P284" s="673"/>
      <c r="Q284" s="674"/>
      <c r="R284" s="674"/>
      <c r="S284" s="728" t="s">
        <v>2887</v>
      </c>
      <c r="T284" s="84"/>
      <c r="U284" s="728"/>
      <c r="V284" s="668"/>
    </row>
    <row r="285" spans="1:23" s="638" customFormat="1" ht="17.25" customHeight="1">
      <c r="B285" s="639" t="s">
        <v>236</v>
      </c>
      <c r="C285" s="717" t="s">
        <v>2886</v>
      </c>
      <c r="D285" s="662"/>
      <c r="E285" s="787">
        <v>2200</v>
      </c>
      <c r="F285" s="739">
        <v>18</v>
      </c>
      <c r="G285" s="17" t="s">
        <v>10</v>
      </c>
      <c r="H285" s="100">
        <v>15</v>
      </c>
      <c r="I285" s="101">
        <v>3</v>
      </c>
      <c r="J285" s="6">
        <f>H285*I285</f>
        <v>45</v>
      </c>
      <c r="K285" s="33">
        <v>18.75</v>
      </c>
      <c r="L285" s="643">
        <f>K285*I285</f>
        <v>56.25</v>
      </c>
      <c r="M285" s="672" t="s">
        <v>255</v>
      </c>
      <c r="N285" s="706">
        <v>45643</v>
      </c>
      <c r="O285" s="707">
        <v>6710</v>
      </c>
      <c r="P285" s="673">
        <f>ROUNDUP(S285/V285/VLOOKUP(B285,$C$2:$F$6,3,FALSE),2)</f>
        <v>14.58</v>
      </c>
      <c r="Q285" s="674">
        <v>14.58</v>
      </c>
      <c r="R285" s="674">
        <f>Q285*I285</f>
        <v>43.74</v>
      </c>
      <c r="S285" s="725">
        <v>1224</v>
      </c>
      <c r="T285" s="84">
        <f>S285*I285</f>
        <v>3672</v>
      </c>
      <c r="U285" s="726"/>
      <c r="V285" s="668">
        <v>120</v>
      </c>
      <c r="W285" s="730">
        <f>(((K285*V285)-S285)/(K285*V285))</f>
        <v>0.45600000000000002</v>
      </c>
    </row>
    <row r="286" spans="1:23" s="638" customFormat="1" ht="17.25" customHeight="1">
      <c r="B286" s="639" t="s">
        <v>236</v>
      </c>
      <c r="C286" s="717" t="s">
        <v>2886</v>
      </c>
      <c r="D286" s="662"/>
      <c r="E286" s="787">
        <v>2200</v>
      </c>
      <c r="F286" s="739">
        <v>12</v>
      </c>
      <c r="G286" s="17" t="s">
        <v>2238</v>
      </c>
      <c r="H286" s="100">
        <v>15</v>
      </c>
      <c r="I286" s="101">
        <v>3</v>
      </c>
      <c r="J286" s="6">
        <f>H286*I286</f>
        <v>45</v>
      </c>
      <c r="K286" s="33">
        <v>12.63</v>
      </c>
      <c r="L286" s="643">
        <f>K286*I286</f>
        <v>37.89</v>
      </c>
      <c r="M286" s="672" t="s">
        <v>255</v>
      </c>
      <c r="N286" s="706">
        <v>45643</v>
      </c>
      <c r="O286" s="707">
        <v>6710</v>
      </c>
      <c r="P286" s="673">
        <f>ROUNDUP(S286/V286/VLOOKUP(B286,$C$2:$F$6,3,FALSE),2)</f>
        <v>9.83</v>
      </c>
      <c r="Q286" s="674">
        <v>9.83</v>
      </c>
      <c r="R286" s="674">
        <f>Q286*I286</f>
        <v>29.490000000000002</v>
      </c>
      <c r="S286" s="725">
        <v>825</v>
      </c>
      <c r="T286" s="84">
        <f>S286*I286</f>
        <v>2475</v>
      </c>
      <c r="U286" s="726"/>
      <c r="V286" s="668">
        <v>120</v>
      </c>
      <c r="W286" s="730">
        <f>(((K286*V286)-S286)/(K286*V286))</f>
        <v>0.45566112430720512</v>
      </c>
    </row>
    <row r="287" spans="1:23" s="638" customFormat="1" ht="17.25" customHeight="1">
      <c r="B287" s="639" t="s">
        <v>236</v>
      </c>
      <c r="C287" s="717" t="s">
        <v>2886</v>
      </c>
      <c r="D287" s="662"/>
      <c r="E287" s="787">
        <v>2200</v>
      </c>
      <c r="F287" s="739">
        <v>18</v>
      </c>
      <c r="G287" s="17" t="s">
        <v>2475</v>
      </c>
      <c r="H287" s="100">
        <v>15</v>
      </c>
      <c r="I287" s="101">
        <v>10</v>
      </c>
      <c r="J287" s="6">
        <f>H287*I287</f>
        <v>150</v>
      </c>
      <c r="K287" s="33">
        <v>18.75</v>
      </c>
      <c r="L287" s="643">
        <f>K287*I287</f>
        <v>187.5</v>
      </c>
      <c r="M287" s="672" t="s">
        <v>255</v>
      </c>
      <c r="N287" s="706">
        <v>45643</v>
      </c>
      <c r="O287" s="707">
        <v>6710</v>
      </c>
      <c r="P287" s="673">
        <f>ROUNDUP(S287/V287/VLOOKUP(B287,$C$2:$F$6,3,FALSE),2)</f>
        <v>14.58</v>
      </c>
      <c r="Q287" s="674">
        <v>14.58</v>
      </c>
      <c r="R287" s="674">
        <f>Q287*I287</f>
        <v>145.80000000000001</v>
      </c>
      <c r="S287" s="725">
        <v>1224</v>
      </c>
      <c r="T287" s="84">
        <f>S287*I287</f>
        <v>12240</v>
      </c>
      <c r="U287" s="726"/>
      <c r="V287" s="668">
        <v>120</v>
      </c>
      <c r="W287" s="730">
        <f>(((K287*V287)-S287)/(K287*V287))</f>
        <v>0.45600000000000002</v>
      </c>
    </row>
    <row r="288" spans="1:23" s="638" customFormat="1" ht="15.75">
      <c r="B288" s="639"/>
      <c r="C288" s="717" t="s">
        <v>2886</v>
      </c>
      <c r="D288" s="662"/>
      <c r="E288" s="158"/>
      <c r="F288" s="737"/>
      <c r="G288" s="158" t="s">
        <v>250</v>
      </c>
      <c r="H288" s="671"/>
      <c r="I288" s="676"/>
      <c r="J288" s="677">
        <v>1</v>
      </c>
      <c r="K288" s="643">
        <v>12</v>
      </c>
      <c r="L288" s="643">
        <f>K288*J288</f>
        <v>12</v>
      </c>
      <c r="M288" s="678"/>
      <c r="N288" s="706">
        <v>45643</v>
      </c>
      <c r="O288" s="707">
        <v>6710</v>
      </c>
      <c r="P288" s="504"/>
      <c r="Q288" s="674">
        <v>12</v>
      </c>
      <c r="R288" s="674">
        <f>Q288*J288</f>
        <v>12</v>
      </c>
      <c r="S288" s="788">
        <v>0</v>
      </c>
      <c r="T288" s="84">
        <v>0</v>
      </c>
      <c r="U288" s="789"/>
      <c r="V288" s="668">
        <v>120</v>
      </c>
      <c r="W288" s="790">
        <f>(((K288*V288)-S288)/(K288*V288))</f>
        <v>1</v>
      </c>
    </row>
    <row r="289" spans="1:23" s="709" customFormat="1" ht="17.25">
      <c r="B289" s="710"/>
      <c r="C289" s="719" t="s">
        <v>2885</v>
      </c>
      <c r="D289" s="680"/>
      <c r="E289" s="681"/>
      <c r="F289" s="738"/>
      <c r="G289" s="682" t="s">
        <v>210</v>
      </c>
      <c r="H289" s="683" t="s">
        <v>2754</v>
      </c>
      <c r="I289" s="684"/>
      <c r="J289" s="685"/>
      <c r="K289" s="720">
        <v>62</v>
      </c>
      <c r="L289" s="720">
        <v>62</v>
      </c>
      <c r="M289" s="712"/>
      <c r="N289" s="712">
        <v>45643</v>
      </c>
      <c r="O289" s="713">
        <v>6710</v>
      </c>
      <c r="P289" s="687"/>
      <c r="Q289" s="720">
        <v>62</v>
      </c>
      <c r="R289" s="720">
        <v>62</v>
      </c>
      <c r="S289" s="755">
        <v>7266</v>
      </c>
      <c r="T289" s="755">
        <v>7266</v>
      </c>
      <c r="U289" s="690"/>
      <c r="V289" s="668">
        <v>120</v>
      </c>
      <c r="W289" s="730">
        <f>(((K289*V289)-S289)/(K289*V289))</f>
        <v>2.3387096774193549E-2</v>
      </c>
    </row>
    <row r="290" spans="1:23" s="638" customFormat="1" ht="17.25" customHeight="1">
      <c r="A290" s="638" t="s">
        <v>2850</v>
      </c>
      <c r="B290" s="639"/>
      <c r="C290" s="717" t="s">
        <v>2889</v>
      </c>
      <c r="D290" s="662"/>
      <c r="E290" s="14" t="s">
        <v>2780</v>
      </c>
      <c r="F290" s="739"/>
      <c r="G290" s="17"/>
      <c r="H290" s="100"/>
      <c r="I290" s="101"/>
      <c r="J290" s="6"/>
      <c r="K290" s="505" t="s">
        <v>4</v>
      </c>
      <c r="L290" s="643"/>
      <c r="M290" s="672"/>
      <c r="N290" s="706">
        <v>45665</v>
      </c>
      <c r="O290" s="707">
        <v>6746</v>
      </c>
      <c r="P290" s="673"/>
      <c r="Q290" s="674"/>
      <c r="R290" s="674"/>
      <c r="S290" s="728" t="s">
        <v>2785</v>
      </c>
      <c r="T290" s="84"/>
      <c r="U290" s="728"/>
      <c r="V290" s="668"/>
    </row>
    <row r="291" spans="1:23" s="638" customFormat="1" ht="17.25" customHeight="1">
      <c r="B291" s="639" t="s">
        <v>236</v>
      </c>
      <c r="C291" s="717" t="s">
        <v>2889</v>
      </c>
      <c r="D291" s="662"/>
      <c r="E291" s="17">
        <v>2200</v>
      </c>
      <c r="F291" s="739">
        <v>12</v>
      </c>
      <c r="G291" s="17" t="s">
        <v>2890</v>
      </c>
      <c r="H291" s="100">
        <v>15</v>
      </c>
      <c r="I291" s="101">
        <v>3</v>
      </c>
      <c r="J291" s="6">
        <f>H291*I291</f>
        <v>45</v>
      </c>
      <c r="K291" s="33">
        <v>12.63</v>
      </c>
      <c r="L291" s="643">
        <f>K291*I291</f>
        <v>37.89</v>
      </c>
      <c r="M291" s="672" t="s">
        <v>255</v>
      </c>
      <c r="N291" s="706">
        <v>45665</v>
      </c>
      <c r="O291" s="707">
        <v>6746</v>
      </c>
      <c r="P291" s="673">
        <f>ROUNDUP(S291/V291/VLOOKUP(B291,$C$2:$F$6,3,FALSE),2)</f>
        <v>9.83</v>
      </c>
      <c r="Q291" s="674">
        <v>9.83</v>
      </c>
      <c r="R291" s="674">
        <f>Q291*I291</f>
        <v>29.490000000000002</v>
      </c>
      <c r="S291" s="725">
        <v>825</v>
      </c>
      <c r="T291" s="84">
        <f>S291*I291</f>
        <v>2475</v>
      </c>
      <c r="U291" s="726"/>
      <c r="V291" s="668">
        <v>120</v>
      </c>
      <c r="W291" s="730">
        <f>(((K291*V291)-S291)/(K291*V291))</f>
        <v>0.45566112430720512</v>
      </c>
    </row>
    <row r="292" spans="1:23" s="638" customFormat="1" ht="17.25" customHeight="1">
      <c r="B292" s="639" t="s">
        <v>236</v>
      </c>
      <c r="C292" s="717" t="s">
        <v>2889</v>
      </c>
      <c r="D292" s="662"/>
      <c r="E292" s="17">
        <v>2200</v>
      </c>
      <c r="F292" s="739">
        <v>12</v>
      </c>
      <c r="G292" s="17" t="s">
        <v>26</v>
      </c>
      <c r="H292" s="100">
        <v>15</v>
      </c>
      <c r="I292" s="101">
        <v>3</v>
      </c>
      <c r="J292" s="6">
        <f>H292*I292</f>
        <v>45</v>
      </c>
      <c r="K292" s="33">
        <v>12.63</v>
      </c>
      <c r="L292" s="643">
        <f>K292*I292</f>
        <v>37.89</v>
      </c>
      <c r="M292" s="672" t="s">
        <v>255</v>
      </c>
      <c r="N292" s="706">
        <v>45665</v>
      </c>
      <c r="O292" s="707">
        <v>6746</v>
      </c>
      <c r="P292" s="673">
        <f>ROUNDUP(S292/V292/VLOOKUP(B292,$C$2:$F$6,3,FALSE),2)</f>
        <v>9.83</v>
      </c>
      <c r="Q292" s="674">
        <v>9.83</v>
      </c>
      <c r="R292" s="674">
        <f>Q292*I292</f>
        <v>29.490000000000002</v>
      </c>
      <c r="S292" s="725">
        <v>825</v>
      </c>
      <c r="T292" s="84">
        <f>S292*I292</f>
        <v>2475</v>
      </c>
      <c r="U292" s="726"/>
      <c r="V292" s="668">
        <v>120</v>
      </c>
      <c r="W292" s="730">
        <f>(((K292*V292)-S292)/(K292*V292))</f>
        <v>0.45566112430720512</v>
      </c>
    </row>
    <row r="293" spans="1:23" s="638" customFormat="1" ht="18" customHeight="1">
      <c r="B293" s="639"/>
      <c r="C293" s="717" t="s">
        <v>2889</v>
      </c>
      <c r="D293" s="662"/>
      <c r="E293" s="14" t="s">
        <v>2882</v>
      </c>
      <c r="F293" s="736"/>
      <c r="G293" s="664"/>
      <c r="H293" s="665"/>
      <c r="I293" s="665"/>
      <c r="J293" s="665"/>
      <c r="K293" s="505" t="s">
        <v>4</v>
      </c>
      <c r="L293" s="729"/>
      <c r="M293" s="706"/>
      <c r="N293" s="706">
        <v>45665</v>
      </c>
      <c r="O293" s="707">
        <v>6746</v>
      </c>
      <c r="P293" s="504"/>
      <c r="Q293" s="666"/>
      <c r="S293" s="792" t="s">
        <v>2891</v>
      </c>
      <c r="U293" s="667"/>
      <c r="V293" s="668">
        <v>120</v>
      </c>
    </row>
    <row r="294" spans="1:23" s="638" customFormat="1" ht="17.25" customHeight="1">
      <c r="B294" s="639" t="s">
        <v>236</v>
      </c>
      <c r="C294" s="717" t="s">
        <v>2889</v>
      </c>
      <c r="D294" s="662"/>
      <c r="E294" s="17" t="s">
        <v>2880</v>
      </c>
      <c r="F294" s="739">
        <v>19</v>
      </c>
      <c r="G294" s="17" t="s">
        <v>117</v>
      </c>
      <c r="H294" s="6">
        <v>30</v>
      </c>
      <c r="I294" s="30">
        <v>3</v>
      </c>
      <c r="J294" s="6">
        <f>H294*I294</f>
        <v>90</v>
      </c>
      <c r="K294" s="33">
        <v>18.97</v>
      </c>
      <c r="L294" s="643">
        <f>K294*I294</f>
        <v>56.91</v>
      </c>
      <c r="M294" s="672" t="s">
        <v>255</v>
      </c>
      <c r="N294" s="706">
        <v>45665</v>
      </c>
      <c r="O294" s="707">
        <v>6746</v>
      </c>
      <c r="P294" s="791">
        <f>ROUNDUP(S294/V294/VLOOKUP(B294,$C$2:$F$6,3,FALSE),2)</f>
        <v>16.270000000000003</v>
      </c>
      <c r="Q294" s="674">
        <v>16.27</v>
      </c>
      <c r="R294" s="674">
        <f>Q294*I294</f>
        <v>48.81</v>
      </c>
      <c r="S294" s="725">
        <v>1366</v>
      </c>
      <c r="T294" s="84">
        <f>S294*I294</f>
        <v>4098</v>
      </c>
      <c r="U294" s="723"/>
      <c r="V294" s="668">
        <v>120</v>
      </c>
      <c r="W294" s="730">
        <f>(((K294*V294)-S294)/(K294*V294))</f>
        <v>0.39992971358285001</v>
      </c>
    </row>
    <row r="295" spans="1:23" s="638" customFormat="1" ht="15.75">
      <c r="B295" s="639"/>
      <c r="C295" s="717" t="s">
        <v>2889</v>
      </c>
      <c r="D295" s="662"/>
      <c r="E295" s="158"/>
      <c r="F295" s="737"/>
      <c r="G295" s="158" t="s">
        <v>279</v>
      </c>
      <c r="H295" s="671"/>
      <c r="I295" s="676"/>
      <c r="J295" s="677">
        <v>2</v>
      </c>
      <c r="K295" s="643">
        <v>12</v>
      </c>
      <c r="L295" s="643">
        <f>K295*J295</f>
        <v>24</v>
      </c>
      <c r="M295" s="678"/>
      <c r="N295" s="706">
        <v>45665</v>
      </c>
      <c r="O295" s="707">
        <v>6746</v>
      </c>
      <c r="P295" s="504"/>
      <c r="Q295" s="674">
        <v>12</v>
      </c>
      <c r="R295" s="674">
        <f>Q295*J295</f>
        <v>24</v>
      </c>
      <c r="S295" s="788">
        <v>0</v>
      </c>
      <c r="T295" s="84">
        <v>0</v>
      </c>
      <c r="U295" s="789"/>
      <c r="V295" s="668">
        <v>120</v>
      </c>
      <c r="W295" s="790">
        <f>(((K295*V295)-S295)/(K295*V295))</f>
        <v>1</v>
      </c>
    </row>
    <row r="296" spans="1:23" s="709" customFormat="1" ht="17.25">
      <c r="B296" s="710"/>
      <c r="C296" s="719" t="s">
        <v>2888</v>
      </c>
      <c r="D296" s="680"/>
      <c r="E296" s="681"/>
      <c r="F296" s="738"/>
      <c r="G296" s="682" t="s">
        <v>210</v>
      </c>
      <c r="H296" s="683" t="s">
        <v>2754</v>
      </c>
      <c r="I296" s="684"/>
      <c r="J296" s="685"/>
      <c r="K296" s="720">
        <v>71</v>
      </c>
      <c r="L296" s="720">
        <v>71</v>
      </c>
      <c r="M296" s="712"/>
      <c r="N296" s="712">
        <v>45665</v>
      </c>
      <c r="O296" s="713">
        <v>6746</v>
      </c>
      <c r="P296" s="687"/>
      <c r="Q296" s="720">
        <v>71</v>
      </c>
      <c r="R296" s="720">
        <v>71</v>
      </c>
      <c r="S296" s="755">
        <v>7013</v>
      </c>
      <c r="T296" s="755">
        <v>7013</v>
      </c>
      <c r="U296" s="690"/>
      <c r="V296" s="668">
        <v>120</v>
      </c>
      <c r="W296" s="730">
        <f>(((K296*V296)-S296)/(K296*V296))</f>
        <v>0.17687793427230047</v>
      </c>
    </row>
    <row r="297" spans="1:23" s="638" customFormat="1" ht="17.25" customHeight="1">
      <c r="A297" s="638" t="s">
        <v>2850</v>
      </c>
      <c r="B297" s="639"/>
      <c r="C297" s="717" t="s">
        <v>2892</v>
      </c>
      <c r="D297" s="662"/>
      <c r="E297" s="14" t="s">
        <v>2882</v>
      </c>
      <c r="F297" s="739"/>
      <c r="G297" s="17"/>
      <c r="H297" s="100"/>
      <c r="I297" s="101"/>
      <c r="J297" s="6"/>
      <c r="K297" s="505" t="s">
        <v>4</v>
      </c>
      <c r="L297" s="643"/>
      <c r="M297" s="672"/>
      <c r="N297" s="855" t="s">
        <v>2947</v>
      </c>
      <c r="O297" s="707">
        <v>6796</v>
      </c>
      <c r="P297" s="673"/>
      <c r="Q297" s="674"/>
      <c r="R297" s="674"/>
      <c r="S297" s="792" t="s">
        <v>2891</v>
      </c>
      <c r="T297" s="84"/>
      <c r="U297" s="728"/>
      <c r="V297" s="668"/>
    </row>
    <row r="298" spans="1:23" s="638" customFormat="1" ht="17.25" customHeight="1">
      <c r="B298" s="639" t="s">
        <v>236</v>
      </c>
      <c r="C298" s="717" t="s">
        <v>2892</v>
      </c>
      <c r="D298" s="662"/>
      <c r="E298" s="17" t="s">
        <v>2880</v>
      </c>
      <c r="F298" s="739">
        <v>9</v>
      </c>
      <c r="G298" s="17" t="s">
        <v>2893</v>
      </c>
      <c r="H298" s="6">
        <v>30</v>
      </c>
      <c r="I298" s="30">
        <v>10</v>
      </c>
      <c r="J298" s="6">
        <f>H298*I298</f>
        <v>300</v>
      </c>
      <c r="K298" s="33">
        <v>12.09</v>
      </c>
      <c r="L298" s="643">
        <f>K298*I298</f>
        <v>120.9</v>
      </c>
      <c r="M298" s="672" t="s">
        <v>255</v>
      </c>
      <c r="N298" s="855" t="s">
        <v>2947</v>
      </c>
      <c r="O298" s="707">
        <v>6796</v>
      </c>
      <c r="P298" s="673">
        <f>ROUNDUP(S298/V298/VLOOKUP(B298,$C$2:$F$6,3,FALSE),2)</f>
        <v>10.36</v>
      </c>
      <c r="Q298" s="674">
        <v>10.36</v>
      </c>
      <c r="R298" s="674">
        <f>Q298*I298</f>
        <v>103.6</v>
      </c>
      <c r="S298" s="796">
        <v>870</v>
      </c>
      <c r="T298" s="84">
        <f>S298*I298</f>
        <v>8700</v>
      </c>
      <c r="U298" s="723"/>
      <c r="V298" s="668">
        <v>120</v>
      </c>
      <c r="W298" s="790">
        <f>(((K298*V298)-S298)/(K298*V298))</f>
        <v>0.40033085194375517</v>
      </c>
    </row>
    <row r="299" spans="1:23" s="638" customFormat="1" ht="17.25" customHeight="1">
      <c r="B299" s="639" t="s">
        <v>236</v>
      </c>
      <c r="C299" s="717" t="s">
        <v>2892</v>
      </c>
      <c r="D299" s="662"/>
      <c r="E299" s="17" t="s">
        <v>2880</v>
      </c>
      <c r="F299" s="739">
        <v>12</v>
      </c>
      <c r="G299" s="17" t="s">
        <v>2893</v>
      </c>
      <c r="H299" s="6">
        <v>30</v>
      </c>
      <c r="I299" s="30">
        <v>10</v>
      </c>
      <c r="J299" s="6">
        <f>H299*I299</f>
        <v>300</v>
      </c>
      <c r="K299" s="33">
        <v>13.76</v>
      </c>
      <c r="L299" s="643">
        <f>K299*I299</f>
        <v>137.6</v>
      </c>
      <c r="M299" s="672" t="s">
        <v>255</v>
      </c>
      <c r="N299" s="855" t="s">
        <v>2947</v>
      </c>
      <c r="O299" s="707">
        <v>6796</v>
      </c>
      <c r="P299" s="673">
        <f>ROUNDUP(S299/V299/VLOOKUP(B299,$C$2:$F$6,3,FALSE),2)</f>
        <v>11.799999999999999</v>
      </c>
      <c r="Q299" s="674">
        <v>11.8</v>
      </c>
      <c r="R299" s="674">
        <f>Q299*I299</f>
        <v>118</v>
      </c>
      <c r="S299" s="796">
        <v>991</v>
      </c>
      <c r="T299" s="84">
        <f>S299*I299</f>
        <v>9910</v>
      </c>
      <c r="U299" s="723"/>
      <c r="V299" s="668">
        <v>120</v>
      </c>
      <c r="W299" s="790">
        <f>(((K299*V299)-S299)/(K299*V299))</f>
        <v>0.39983042635658916</v>
      </c>
    </row>
    <row r="300" spans="1:23" s="638" customFormat="1" ht="17.25" customHeight="1">
      <c r="B300" s="639" t="s">
        <v>236</v>
      </c>
      <c r="C300" s="717" t="s">
        <v>2892</v>
      </c>
      <c r="D300" s="662"/>
      <c r="E300" s="17" t="s">
        <v>2880</v>
      </c>
      <c r="F300" s="739">
        <v>25</v>
      </c>
      <c r="G300" s="17" t="s">
        <v>2893</v>
      </c>
      <c r="H300" s="6">
        <v>30</v>
      </c>
      <c r="I300" s="30">
        <v>10</v>
      </c>
      <c r="J300" s="6">
        <f>H300*I300</f>
        <v>300</v>
      </c>
      <c r="K300" s="33">
        <v>24.18</v>
      </c>
      <c r="L300" s="643">
        <f>K300*I300</f>
        <v>241.8</v>
      </c>
      <c r="M300" s="672" t="s">
        <v>255</v>
      </c>
      <c r="N300" s="855" t="s">
        <v>2947</v>
      </c>
      <c r="O300" s="707">
        <v>6796</v>
      </c>
      <c r="P300" s="673">
        <f>ROUNDUP(S300/V300/VLOOKUP(B300,$C$2:$F$6,3,FALSE),2)</f>
        <v>20.73</v>
      </c>
      <c r="Q300" s="674">
        <v>20.73</v>
      </c>
      <c r="R300" s="674">
        <f>Q300*I300</f>
        <v>207.3</v>
      </c>
      <c r="S300" s="796">
        <v>1741</v>
      </c>
      <c r="T300" s="84">
        <f>S300*I300</f>
        <v>17410</v>
      </c>
      <c r="U300" s="723"/>
      <c r="V300" s="668">
        <v>120</v>
      </c>
      <c r="W300" s="790">
        <f>(((K300*V300)-S300)/(K300*V300))</f>
        <v>0.39998621450234351</v>
      </c>
    </row>
    <row r="301" spans="1:23" s="638" customFormat="1" ht="18" customHeight="1">
      <c r="B301" s="639"/>
      <c r="C301" s="717" t="s">
        <v>2892</v>
      </c>
      <c r="D301" s="662"/>
      <c r="E301" s="663" t="s">
        <v>2847</v>
      </c>
      <c r="F301" s="736"/>
      <c r="G301" s="664"/>
      <c r="H301" s="665"/>
      <c r="I301" s="665"/>
      <c r="J301" s="665"/>
      <c r="K301" s="505" t="s">
        <v>4</v>
      </c>
      <c r="L301" s="705"/>
      <c r="M301" s="706"/>
      <c r="N301" s="855" t="s">
        <v>2947</v>
      </c>
      <c r="O301" s="707">
        <v>6796</v>
      </c>
      <c r="P301" s="504"/>
      <c r="Q301" s="666"/>
      <c r="U301" s="667"/>
      <c r="V301" s="668">
        <v>120</v>
      </c>
    </row>
    <row r="302" spans="1:23" s="638" customFormat="1" ht="17.25" customHeight="1">
      <c r="B302" s="639" t="s">
        <v>236</v>
      </c>
      <c r="C302" s="717" t="s">
        <v>2892</v>
      </c>
      <c r="D302" s="662"/>
      <c r="E302" s="17" t="s">
        <v>2848</v>
      </c>
      <c r="F302" s="739">
        <v>38</v>
      </c>
      <c r="G302" s="17" t="s">
        <v>2894</v>
      </c>
      <c r="H302" s="100">
        <v>30</v>
      </c>
      <c r="I302" s="101">
        <v>3</v>
      </c>
      <c r="J302" s="6">
        <f>H302*I302</f>
        <v>90</v>
      </c>
      <c r="K302" s="745">
        <v>19.43</v>
      </c>
      <c r="L302" s="744">
        <f>K302*I302</f>
        <v>58.29</v>
      </c>
      <c r="M302" s="672" t="s">
        <v>255</v>
      </c>
      <c r="N302" s="855" t="s">
        <v>2947</v>
      </c>
      <c r="O302" s="707">
        <v>6796</v>
      </c>
      <c r="P302" s="673">
        <f>ROUNDUP(S302/V302/VLOOKUP(B302,$C$2:$F$6,3,FALSE),2)</f>
        <v>16.66</v>
      </c>
      <c r="Q302" s="674">
        <v>16.66</v>
      </c>
      <c r="R302" s="674">
        <f>Q302*I302</f>
        <v>49.980000000000004</v>
      </c>
      <c r="S302" s="797">
        <v>1399</v>
      </c>
      <c r="T302" s="84">
        <f>S302*I302</f>
        <v>4197</v>
      </c>
      <c r="U302" s="789"/>
      <c r="V302" s="668">
        <v>120</v>
      </c>
      <c r="W302" s="790">
        <f>(((K302*V302)-S302)/(K302*V302))</f>
        <v>0.39998284439869614</v>
      </c>
    </row>
    <row r="303" spans="1:23" s="638" customFormat="1" ht="17.25" customHeight="1">
      <c r="B303" s="639" t="s">
        <v>236</v>
      </c>
      <c r="C303" s="717" t="s">
        <v>2892</v>
      </c>
      <c r="D303" s="662"/>
      <c r="E303" s="17" t="s">
        <v>2848</v>
      </c>
      <c r="F303" s="739">
        <v>19</v>
      </c>
      <c r="G303" s="17" t="s">
        <v>2894</v>
      </c>
      <c r="H303" s="100">
        <v>30</v>
      </c>
      <c r="I303" s="101">
        <v>6</v>
      </c>
      <c r="J303" s="6">
        <f>H303*I303</f>
        <v>180</v>
      </c>
      <c r="K303" s="33">
        <v>9.57</v>
      </c>
      <c r="L303" s="744">
        <f>K303*I303</f>
        <v>57.42</v>
      </c>
      <c r="M303" s="672" t="s">
        <v>255</v>
      </c>
      <c r="N303" s="855" t="s">
        <v>2947</v>
      </c>
      <c r="O303" s="707">
        <v>6796</v>
      </c>
      <c r="P303" s="673">
        <f>ROUNDUP(S303/V303/VLOOKUP(B303,$C$2:$F$6,3,FALSE),2)</f>
        <v>8.2099999999999991</v>
      </c>
      <c r="Q303" s="674">
        <v>8.2100000000000009</v>
      </c>
      <c r="R303" s="674">
        <f>Q303*I303</f>
        <v>49.260000000000005</v>
      </c>
      <c r="S303" s="797">
        <v>689</v>
      </c>
      <c r="T303" s="84">
        <f>S303*I303</f>
        <v>4134</v>
      </c>
      <c r="U303" s="789"/>
      <c r="V303" s="668">
        <v>120</v>
      </c>
      <c r="W303" s="790">
        <f>(((K303*V303)-S303)/(K303*V303))</f>
        <v>0.40003483106931387</v>
      </c>
    </row>
    <row r="304" spans="1:23" s="638" customFormat="1" ht="17.25" customHeight="1">
      <c r="B304" s="639" t="s">
        <v>236</v>
      </c>
      <c r="C304" s="717" t="s">
        <v>2892</v>
      </c>
      <c r="D304" s="662"/>
      <c r="E304" s="17" t="s">
        <v>2848</v>
      </c>
      <c r="F304" s="739">
        <v>38</v>
      </c>
      <c r="G304" s="17" t="s">
        <v>2901</v>
      </c>
      <c r="H304" s="100">
        <v>30</v>
      </c>
      <c r="I304" s="101">
        <v>6</v>
      </c>
      <c r="J304" s="6">
        <f>H304*I304</f>
        <v>180</v>
      </c>
      <c r="K304" s="33">
        <v>19.43</v>
      </c>
      <c r="L304" s="744">
        <f>K304*I304</f>
        <v>116.58</v>
      </c>
      <c r="M304" s="672" t="s">
        <v>255</v>
      </c>
      <c r="N304" s="855" t="s">
        <v>2947</v>
      </c>
      <c r="O304" s="707">
        <v>6796</v>
      </c>
      <c r="P304" s="673">
        <f>ROUNDUP(S304/V304/VLOOKUP(B304,$C$2:$F$6,3,FALSE),2)</f>
        <v>16.66</v>
      </c>
      <c r="Q304" s="674">
        <v>16.66</v>
      </c>
      <c r="R304" s="674">
        <f>Q304*I304</f>
        <v>99.960000000000008</v>
      </c>
      <c r="S304" s="797">
        <v>1399</v>
      </c>
      <c r="T304" s="84">
        <f>S304*I304</f>
        <v>8394</v>
      </c>
      <c r="U304" s="789"/>
      <c r="V304" s="668">
        <v>120</v>
      </c>
      <c r="W304" s="790">
        <f>(((K304*V304)-S304)/(K304*V304))</f>
        <v>0.39998284439869614</v>
      </c>
    </row>
    <row r="305" spans="1:23" s="638" customFormat="1" ht="17.25" customHeight="1">
      <c r="B305" s="639"/>
      <c r="C305" s="717" t="s">
        <v>2892</v>
      </c>
      <c r="D305" s="662"/>
      <c r="E305" s="14" t="s">
        <v>2795</v>
      </c>
      <c r="F305" s="739"/>
      <c r="G305" s="17"/>
      <c r="H305" s="100"/>
      <c r="I305" s="101"/>
      <c r="J305" s="6"/>
      <c r="K305" s="505" t="s">
        <v>4</v>
      </c>
      <c r="L305" s="643"/>
      <c r="M305" s="672"/>
      <c r="N305" s="855" t="s">
        <v>2947</v>
      </c>
      <c r="O305" s="707">
        <v>6796</v>
      </c>
      <c r="P305" s="673"/>
      <c r="Q305" s="674"/>
      <c r="R305" s="674"/>
      <c r="S305" s="798"/>
      <c r="T305" s="84"/>
      <c r="U305" s="728"/>
      <c r="V305" s="668"/>
    </row>
    <row r="306" spans="1:23" s="638" customFormat="1" ht="17.25" customHeight="1">
      <c r="B306" s="639" t="s">
        <v>236</v>
      </c>
      <c r="C306" s="717" t="s">
        <v>2892</v>
      </c>
      <c r="D306" s="662"/>
      <c r="E306" s="17">
        <v>3544</v>
      </c>
      <c r="F306" s="739" t="s">
        <v>2798</v>
      </c>
      <c r="G306" s="17" t="s">
        <v>2895</v>
      </c>
      <c r="H306" s="100">
        <v>30</v>
      </c>
      <c r="I306" s="101">
        <v>10</v>
      </c>
      <c r="J306" s="6">
        <f>H306*I306</f>
        <v>300</v>
      </c>
      <c r="K306" s="33">
        <v>16.5</v>
      </c>
      <c r="L306" s="643">
        <f>K306*I306</f>
        <v>165</v>
      </c>
      <c r="M306" s="672" t="s">
        <v>255</v>
      </c>
      <c r="N306" s="855" t="s">
        <v>2947</v>
      </c>
      <c r="O306" s="707">
        <v>6796</v>
      </c>
      <c r="P306" s="673">
        <f>ROUNDUP(S306/V306/VLOOKUP(B306,$C$2:$F$6,3,FALSE),2)</f>
        <v>14.15</v>
      </c>
      <c r="Q306" s="674">
        <v>14.15</v>
      </c>
      <c r="R306" s="674">
        <f>Q306*I306</f>
        <v>141.5</v>
      </c>
      <c r="S306" s="796">
        <v>1188</v>
      </c>
      <c r="T306" s="84">
        <f>S306*I306</f>
        <v>11880</v>
      </c>
      <c r="U306" s="789"/>
      <c r="V306" s="668">
        <v>120</v>
      </c>
      <c r="W306" s="790">
        <f>(((K306*V306)-S306)/(K306*V306))</f>
        <v>0.4</v>
      </c>
    </row>
    <row r="307" spans="1:23" s="638" customFormat="1" ht="17.25" customHeight="1">
      <c r="B307" s="639" t="s">
        <v>236</v>
      </c>
      <c r="C307" s="717" t="s">
        <v>2892</v>
      </c>
      <c r="D307" s="662"/>
      <c r="E307" s="17">
        <v>3544</v>
      </c>
      <c r="F307" s="739" t="s">
        <v>2796</v>
      </c>
      <c r="G307" s="17" t="s">
        <v>2896</v>
      </c>
      <c r="H307" s="100">
        <v>30</v>
      </c>
      <c r="I307" s="101">
        <v>5</v>
      </c>
      <c r="J307" s="6">
        <f>H307*I307</f>
        <v>150</v>
      </c>
      <c r="K307" s="33">
        <v>19</v>
      </c>
      <c r="L307" s="643">
        <f>K307*I307</f>
        <v>95</v>
      </c>
      <c r="M307" s="672" t="s">
        <v>255</v>
      </c>
      <c r="N307" s="855" t="s">
        <v>2947</v>
      </c>
      <c r="O307" s="707">
        <v>6796</v>
      </c>
      <c r="P307" s="673">
        <f>ROUNDUP(S307/V307/VLOOKUP(B307,$C$2:$F$6,3,FALSE),2)</f>
        <v>16.290000000000003</v>
      </c>
      <c r="Q307" s="674">
        <v>16.29</v>
      </c>
      <c r="R307" s="674">
        <f>Q307*I307</f>
        <v>81.449999999999989</v>
      </c>
      <c r="S307" s="796">
        <v>1368</v>
      </c>
      <c r="T307" s="84">
        <f>S307*I307</f>
        <v>6840</v>
      </c>
      <c r="U307" s="789"/>
      <c r="V307" s="668">
        <v>120</v>
      </c>
      <c r="W307" s="790">
        <f>(((K307*V307)-S307)/(K307*V307))</f>
        <v>0.4</v>
      </c>
    </row>
    <row r="308" spans="1:23" s="638" customFormat="1" ht="17.25" customHeight="1">
      <c r="B308" s="639"/>
      <c r="C308" s="717" t="s">
        <v>2892</v>
      </c>
      <c r="D308" s="662"/>
      <c r="E308" s="14" t="s">
        <v>2790</v>
      </c>
      <c r="F308" s="739"/>
      <c r="G308" s="17"/>
      <c r="H308" s="100"/>
      <c r="I308" s="101"/>
      <c r="J308" s="6"/>
      <c r="K308" s="505" t="s">
        <v>4</v>
      </c>
      <c r="L308" s="643"/>
      <c r="M308" s="672"/>
      <c r="N308" s="855" t="s">
        <v>2947</v>
      </c>
      <c r="O308" s="707">
        <v>6796</v>
      </c>
      <c r="P308" s="673"/>
      <c r="Q308" s="674"/>
      <c r="R308" s="674"/>
      <c r="S308" s="728"/>
      <c r="T308" s="84"/>
      <c r="U308" s="728"/>
      <c r="V308" s="668"/>
    </row>
    <row r="309" spans="1:23" s="638" customFormat="1" ht="18" customHeight="1">
      <c r="B309" s="639" t="s">
        <v>236</v>
      </c>
      <c r="C309" s="717" t="s">
        <v>2892</v>
      </c>
      <c r="D309" s="662"/>
      <c r="E309" s="17">
        <v>1100</v>
      </c>
      <c r="F309" s="739">
        <v>30</v>
      </c>
      <c r="G309" s="17" t="s">
        <v>2793</v>
      </c>
      <c r="H309" s="100">
        <v>30</v>
      </c>
      <c r="I309" s="101">
        <v>10</v>
      </c>
      <c r="J309" s="6">
        <f>H309*I309</f>
        <v>300</v>
      </c>
      <c r="K309" s="33">
        <v>39.17</v>
      </c>
      <c r="L309" s="643">
        <f>K309*I309</f>
        <v>391.70000000000005</v>
      </c>
      <c r="M309" s="672" t="s">
        <v>2791</v>
      </c>
      <c r="N309" s="855" t="s">
        <v>2947</v>
      </c>
      <c r="O309" s="707">
        <v>6796</v>
      </c>
      <c r="P309" s="673">
        <f>ROUNDUP(S309/V309/VLOOKUP(B309,$C$2:$F$6,3,FALSE),2)</f>
        <v>30.720000000000002</v>
      </c>
      <c r="Q309" s="674">
        <v>30.72</v>
      </c>
      <c r="R309" s="674">
        <f>Q309*I309</f>
        <v>307.2</v>
      </c>
      <c r="S309" s="796">
        <v>2580</v>
      </c>
      <c r="T309" s="84">
        <f>S309*I309</f>
        <v>25800</v>
      </c>
      <c r="U309" s="789"/>
      <c r="V309" s="668">
        <v>120</v>
      </c>
      <c r="W309" s="790">
        <f>(((K309*V309)-S309)/(K309*V309))</f>
        <v>0.45111054378350784</v>
      </c>
    </row>
    <row r="310" spans="1:23" s="638" customFormat="1" ht="18" customHeight="1">
      <c r="B310" s="639" t="s">
        <v>236</v>
      </c>
      <c r="C310" s="717" t="s">
        <v>2892</v>
      </c>
      <c r="D310" s="662"/>
      <c r="E310" s="17">
        <v>1100</v>
      </c>
      <c r="F310" s="739">
        <v>25</v>
      </c>
      <c r="G310" s="17" t="s">
        <v>2793</v>
      </c>
      <c r="H310" s="100">
        <v>30</v>
      </c>
      <c r="I310" s="101">
        <v>7</v>
      </c>
      <c r="J310" s="6">
        <f>H310*I310</f>
        <v>210</v>
      </c>
      <c r="K310" s="33">
        <v>35.42</v>
      </c>
      <c r="L310" s="643">
        <f>K310*I310</f>
        <v>247.94</v>
      </c>
      <c r="M310" s="672" t="s">
        <v>2791</v>
      </c>
      <c r="N310" s="855" t="s">
        <v>2947</v>
      </c>
      <c r="O310" s="707">
        <v>6796</v>
      </c>
      <c r="P310" s="673">
        <f>ROUNDUP(S310/V310/VLOOKUP(B310,$C$2:$F$6,3,FALSE),2)</f>
        <v>27.860000000000003</v>
      </c>
      <c r="Q310" s="674">
        <v>27.86</v>
      </c>
      <c r="R310" s="674">
        <f>Q310*I310</f>
        <v>195.01999999999998</v>
      </c>
      <c r="S310" s="796">
        <v>2340</v>
      </c>
      <c r="T310" s="84">
        <f>S310*I310</f>
        <v>16380</v>
      </c>
      <c r="U310" s="789"/>
      <c r="V310" s="668">
        <v>120</v>
      </c>
      <c r="W310" s="790">
        <f>(((K310*V310)-S310)/(K310*V310))</f>
        <v>0.44946357989836255</v>
      </c>
    </row>
    <row r="311" spans="1:23" s="638" customFormat="1" ht="17.25" customHeight="1">
      <c r="A311" s="638" t="s">
        <v>2850</v>
      </c>
      <c r="B311" s="639"/>
      <c r="C311" s="717" t="s">
        <v>2892</v>
      </c>
      <c r="D311" s="662"/>
      <c r="E311" s="14" t="s">
        <v>2780</v>
      </c>
      <c r="F311" s="739"/>
      <c r="G311" s="17"/>
      <c r="H311" s="100"/>
      <c r="I311" s="101"/>
      <c r="J311" s="6"/>
      <c r="K311" s="505" t="s">
        <v>4</v>
      </c>
      <c r="L311" s="643"/>
      <c r="M311" s="672"/>
      <c r="N311" s="855" t="s">
        <v>2947</v>
      </c>
      <c r="O311" s="707">
        <v>6796</v>
      </c>
      <c r="P311" s="673"/>
      <c r="Q311" s="674"/>
      <c r="R311" s="674"/>
      <c r="S311" s="728" t="s">
        <v>2785</v>
      </c>
      <c r="T311" s="84"/>
      <c r="U311" s="728"/>
      <c r="V311" s="668"/>
    </row>
    <row r="312" spans="1:23" s="638" customFormat="1" ht="17.25" customHeight="1">
      <c r="B312" s="639" t="s">
        <v>236</v>
      </c>
      <c r="C312" s="717" t="s">
        <v>2892</v>
      </c>
      <c r="D312" s="662"/>
      <c r="E312" s="17">
        <v>2200</v>
      </c>
      <c r="F312" s="739">
        <v>12</v>
      </c>
      <c r="G312" s="17" t="s">
        <v>2867</v>
      </c>
      <c r="H312" s="100">
        <v>15</v>
      </c>
      <c r="I312" s="101">
        <v>3</v>
      </c>
      <c r="J312" s="6">
        <f>H312*I312</f>
        <v>45</v>
      </c>
      <c r="K312" s="33">
        <v>12.63</v>
      </c>
      <c r="L312" s="643">
        <f>K312*I312</f>
        <v>37.89</v>
      </c>
      <c r="M312" s="672" t="s">
        <v>255</v>
      </c>
      <c r="N312" s="828">
        <v>45719</v>
      </c>
      <c r="O312" s="707">
        <v>6892</v>
      </c>
      <c r="P312" s="673">
        <f>ROUNDUP(S312/V312/VLOOKUP(B312,$C$2:$F$6,3,FALSE),2)</f>
        <v>9.83</v>
      </c>
      <c r="Q312" s="674">
        <v>9.83</v>
      </c>
      <c r="R312" s="674">
        <f>Q312*I312</f>
        <v>29.490000000000002</v>
      </c>
      <c r="S312" s="725">
        <v>825</v>
      </c>
      <c r="T312" s="84">
        <f>S312*I312</f>
        <v>2475</v>
      </c>
      <c r="U312" s="789"/>
      <c r="V312" s="668">
        <v>120</v>
      </c>
      <c r="W312" s="790">
        <f>(((K312*V312)-S312)/(K312*V312))</f>
        <v>0.45566112430720512</v>
      </c>
    </row>
    <row r="313" spans="1:23" s="638" customFormat="1" ht="17.25" customHeight="1">
      <c r="B313" s="639" t="s">
        <v>236</v>
      </c>
      <c r="C313" s="717" t="s">
        <v>2892</v>
      </c>
      <c r="D313" s="662"/>
      <c r="E313" s="17">
        <v>2200</v>
      </c>
      <c r="F313" s="739">
        <v>18</v>
      </c>
      <c r="G313" s="17" t="s">
        <v>2867</v>
      </c>
      <c r="H313" s="100">
        <v>15</v>
      </c>
      <c r="I313" s="101">
        <v>3</v>
      </c>
      <c r="J313" s="6">
        <f>H313*I313</f>
        <v>45</v>
      </c>
      <c r="K313" s="33">
        <v>18.75</v>
      </c>
      <c r="L313" s="643">
        <f>K313*I313</f>
        <v>56.25</v>
      </c>
      <c r="M313" s="672" t="s">
        <v>255</v>
      </c>
      <c r="N313" s="855" t="s">
        <v>2947</v>
      </c>
      <c r="O313" s="707">
        <v>6796</v>
      </c>
      <c r="P313" s="673">
        <f>ROUNDUP(S313/V313/VLOOKUP(B313,$C$2:$F$6,3,FALSE),2)</f>
        <v>14.58</v>
      </c>
      <c r="Q313" s="674">
        <v>14.58</v>
      </c>
      <c r="R313" s="674">
        <f>Q313*I313</f>
        <v>43.74</v>
      </c>
      <c r="S313" s="796">
        <v>1224</v>
      </c>
      <c r="T313" s="84">
        <f>S313*I313</f>
        <v>3672</v>
      </c>
      <c r="U313" s="789"/>
      <c r="V313" s="668">
        <v>120</v>
      </c>
      <c r="W313" s="790">
        <f>(((K313*V313)-S313)/(K313*V313))</f>
        <v>0.45600000000000002</v>
      </c>
    </row>
    <row r="314" spans="1:23" s="638" customFormat="1" ht="17.25" customHeight="1">
      <c r="B314" s="639" t="s">
        <v>236</v>
      </c>
      <c r="C314" s="717" t="s">
        <v>2892</v>
      </c>
      <c r="D314" s="662"/>
      <c r="E314" s="17">
        <v>2200</v>
      </c>
      <c r="F314" s="739">
        <v>24</v>
      </c>
      <c r="G314" s="17" t="s">
        <v>273</v>
      </c>
      <c r="H314" s="100">
        <v>15</v>
      </c>
      <c r="I314" s="101">
        <v>3</v>
      </c>
      <c r="J314" s="6">
        <f>H314*I314</f>
        <v>45</v>
      </c>
      <c r="K314" s="33">
        <v>23.72</v>
      </c>
      <c r="L314" s="643">
        <f>K314*I314</f>
        <v>71.16</v>
      </c>
      <c r="M314" s="672" t="s">
        <v>255</v>
      </c>
      <c r="N314" s="855" t="s">
        <v>2947</v>
      </c>
      <c r="O314" s="707">
        <v>6796</v>
      </c>
      <c r="P314" s="673">
        <f>ROUNDUP(S314/V314/VLOOKUP(B314,$C$2:$F$6,3,FALSE),2)</f>
        <v>18.470000000000002</v>
      </c>
      <c r="Q314" s="674">
        <v>18.47</v>
      </c>
      <c r="R314" s="674">
        <f>Q314*I314</f>
        <v>55.41</v>
      </c>
      <c r="S314" s="796">
        <v>1551</v>
      </c>
      <c r="T314" s="84">
        <f>S314*I314</f>
        <v>4653</v>
      </c>
      <c r="U314" s="789"/>
      <c r="V314" s="668">
        <v>120</v>
      </c>
      <c r="W314" s="790">
        <f>(((K314*V314)-S314)/(K314*V314))</f>
        <v>0.45510118043844849</v>
      </c>
    </row>
    <row r="315" spans="1:23" s="638" customFormat="1" ht="17.25" customHeight="1">
      <c r="B315" s="639" t="s">
        <v>236</v>
      </c>
      <c r="C315" s="717" t="s">
        <v>2892</v>
      </c>
      <c r="D315" s="662"/>
      <c r="E315" s="17">
        <v>2200</v>
      </c>
      <c r="F315" s="739">
        <v>24</v>
      </c>
      <c r="G315" s="17" t="s">
        <v>74</v>
      </c>
      <c r="H315" s="100">
        <v>15</v>
      </c>
      <c r="I315" s="101">
        <v>3</v>
      </c>
      <c r="J315" s="6">
        <f t="shared" ref="J315:J331" si="59">H315*I315</f>
        <v>45</v>
      </c>
      <c r="K315" s="33">
        <v>23.72</v>
      </c>
      <c r="L315" s="643">
        <f t="shared" ref="L315:L331" si="60">K315*I315</f>
        <v>71.16</v>
      </c>
      <c r="M315" s="672" t="s">
        <v>255</v>
      </c>
      <c r="N315" s="855" t="s">
        <v>2947</v>
      </c>
      <c r="O315" s="707">
        <v>6796</v>
      </c>
      <c r="P315" s="673">
        <f t="shared" ref="P315:P331" si="61">ROUNDUP(S315/V315/VLOOKUP(B315,$C$2:$F$6,3,FALSE),2)</f>
        <v>18.470000000000002</v>
      </c>
      <c r="Q315" s="674">
        <v>18.47</v>
      </c>
      <c r="R315" s="674">
        <f t="shared" ref="R315:R331" si="62">Q315*I315</f>
        <v>55.41</v>
      </c>
      <c r="S315" s="796">
        <v>1551</v>
      </c>
      <c r="T315" s="84">
        <f t="shared" ref="T315:T331" si="63">S315*I315</f>
        <v>4653</v>
      </c>
      <c r="U315" s="789"/>
      <c r="V315" s="668">
        <v>120</v>
      </c>
      <c r="W315" s="790">
        <f t="shared" ref="W315:W333" si="64">(((K315*V315)-S315)/(K315*V315))</f>
        <v>0.45510118043844849</v>
      </c>
    </row>
    <row r="316" spans="1:23" s="638" customFormat="1" ht="17.25" customHeight="1">
      <c r="B316" s="639" t="s">
        <v>236</v>
      </c>
      <c r="C316" s="717" t="s">
        <v>2892</v>
      </c>
      <c r="D316" s="662"/>
      <c r="E316" s="17">
        <v>2200</v>
      </c>
      <c r="F316" s="739">
        <v>12</v>
      </c>
      <c r="G316" s="17" t="s">
        <v>2843</v>
      </c>
      <c r="H316" s="100">
        <v>15</v>
      </c>
      <c r="I316" s="101">
        <v>3</v>
      </c>
      <c r="J316" s="6">
        <f t="shared" si="59"/>
        <v>45</v>
      </c>
      <c r="K316" s="33">
        <v>12.63</v>
      </c>
      <c r="L316" s="643">
        <f t="shared" si="60"/>
        <v>37.89</v>
      </c>
      <c r="M316" s="672" t="s">
        <v>255</v>
      </c>
      <c r="N316" s="855" t="s">
        <v>2947</v>
      </c>
      <c r="O316" s="707">
        <v>6796</v>
      </c>
      <c r="P316" s="673">
        <f t="shared" si="61"/>
        <v>9.83</v>
      </c>
      <c r="Q316" s="674">
        <v>9.83</v>
      </c>
      <c r="R316" s="674">
        <f t="shared" si="62"/>
        <v>29.490000000000002</v>
      </c>
      <c r="S316" s="796">
        <v>825</v>
      </c>
      <c r="T316" s="84">
        <f t="shared" si="63"/>
        <v>2475</v>
      </c>
      <c r="U316" s="789"/>
      <c r="V316" s="668">
        <v>120</v>
      </c>
      <c r="W316" s="790">
        <f t="shared" si="64"/>
        <v>0.45566112430720512</v>
      </c>
    </row>
    <row r="317" spans="1:23" s="638" customFormat="1" ht="17.25" customHeight="1">
      <c r="B317" s="639" t="s">
        <v>236</v>
      </c>
      <c r="C317" s="717" t="s">
        <v>2892</v>
      </c>
      <c r="D317" s="662"/>
      <c r="E317" s="17">
        <v>2200</v>
      </c>
      <c r="F317" s="739">
        <v>24</v>
      </c>
      <c r="G317" s="17" t="s">
        <v>149</v>
      </c>
      <c r="H317" s="100">
        <v>15</v>
      </c>
      <c r="I317" s="101">
        <v>3</v>
      </c>
      <c r="J317" s="6">
        <f t="shared" si="59"/>
        <v>45</v>
      </c>
      <c r="K317" s="33">
        <v>23.72</v>
      </c>
      <c r="L317" s="643">
        <f t="shared" si="60"/>
        <v>71.16</v>
      </c>
      <c r="M317" s="672" t="s">
        <v>255</v>
      </c>
      <c r="N317" s="828">
        <v>45719</v>
      </c>
      <c r="O317" s="707">
        <v>6892</v>
      </c>
      <c r="P317" s="673">
        <f t="shared" si="61"/>
        <v>18.470000000000002</v>
      </c>
      <c r="Q317" s="674">
        <v>18.47</v>
      </c>
      <c r="R317" s="674">
        <f t="shared" si="62"/>
        <v>55.41</v>
      </c>
      <c r="S317" s="788">
        <v>1551</v>
      </c>
      <c r="T317" s="84">
        <f t="shared" si="63"/>
        <v>4653</v>
      </c>
      <c r="U317" s="789"/>
      <c r="V317" s="668">
        <v>120</v>
      </c>
      <c r="W317" s="790">
        <f t="shared" si="64"/>
        <v>0.45510118043844849</v>
      </c>
    </row>
    <row r="318" spans="1:23" s="638" customFormat="1" ht="17.25" customHeight="1">
      <c r="B318" s="639" t="s">
        <v>236</v>
      </c>
      <c r="C318" s="717" t="s">
        <v>2892</v>
      </c>
      <c r="D318" s="662"/>
      <c r="E318" s="17">
        <v>2200</v>
      </c>
      <c r="F318" s="739">
        <v>18</v>
      </c>
      <c r="G318" s="17" t="s">
        <v>26</v>
      </c>
      <c r="H318" s="100">
        <v>15</v>
      </c>
      <c r="I318" s="101">
        <v>3</v>
      </c>
      <c r="J318" s="6">
        <f t="shared" si="59"/>
        <v>45</v>
      </c>
      <c r="K318" s="33">
        <v>18.75</v>
      </c>
      <c r="L318" s="643">
        <f t="shared" si="60"/>
        <v>56.25</v>
      </c>
      <c r="M318" s="672" t="s">
        <v>255</v>
      </c>
      <c r="N318" s="855" t="s">
        <v>2947</v>
      </c>
      <c r="O318" s="707">
        <v>6796</v>
      </c>
      <c r="P318" s="673">
        <f t="shared" si="61"/>
        <v>14.58</v>
      </c>
      <c r="Q318" s="674">
        <v>14.58</v>
      </c>
      <c r="R318" s="674">
        <f t="shared" si="62"/>
        <v>43.74</v>
      </c>
      <c r="S318" s="796">
        <v>1224</v>
      </c>
      <c r="T318" s="84">
        <f t="shared" si="63"/>
        <v>3672</v>
      </c>
      <c r="U318" s="789"/>
      <c r="V318" s="668">
        <v>120</v>
      </c>
      <c r="W318" s="790">
        <f t="shared" si="64"/>
        <v>0.45600000000000002</v>
      </c>
    </row>
    <row r="319" spans="1:23" s="638" customFormat="1" ht="17.25" customHeight="1">
      <c r="B319" s="639" t="s">
        <v>236</v>
      </c>
      <c r="C319" s="717" t="s">
        <v>2892</v>
      </c>
      <c r="D319" s="662"/>
      <c r="E319" s="17">
        <v>2200</v>
      </c>
      <c r="F319" s="739">
        <v>12</v>
      </c>
      <c r="G319" s="17" t="s">
        <v>144</v>
      </c>
      <c r="H319" s="100">
        <v>15</v>
      </c>
      <c r="I319" s="101">
        <v>3</v>
      </c>
      <c r="J319" s="6">
        <f t="shared" si="59"/>
        <v>45</v>
      </c>
      <c r="K319" s="33">
        <v>12.63</v>
      </c>
      <c r="L319" s="643">
        <f t="shared" si="60"/>
        <v>37.89</v>
      </c>
      <c r="M319" s="672" t="s">
        <v>255</v>
      </c>
      <c r="N319" s="855" t="s">
        <v>2947</v>
      </c>
      <c r="O319" s="707">
        <v>6796</v>
      </c>
      <c r="P319" s="673">
        <f t="shared" si="61"/>
        <v>9.83</v>
      </c>
      <c r="Q319" s="674">
        <v>9.83</v>
      </c>
      <c r="R319" s="674">
        <f t="shared" si="62"/>
        <v>29.490000000000002</v>
      </c>
      <c r="S319" s="796">
        <v>825</v>
      </c>
      <c r="T319" s="84">
        <f t="shared" si="63"/>
        <v>2475</v>
      </c>
      <c r="U319" s="789"/>
      <c r="V319" s="668">
        <v>120</v>
      </c>
      <c r="W319" s="790">
        <f t="shared" si="64"/>
        <v>0.45566112430720512</v>
      </c>
    </row>
    <row r="320" spans="1:23" s="638" customFormat="1" ht="17.25" customHeight="1">
      <c r="B320" s="639" t="s">
        <v>236</v>
      </c>
      <c r="C320" s="717" t="s">
        <v>2892</v>
      </c>
      <c r="D320" s="662"/>
      <c r="E320" s="17">
        <v>2200</v>
      </c>
      <c r="F320" s="739">
        <v>18</v>
      </c>
      <c r="G320" s="17" t="s">
        <v>2897</v>
      </c>
      <c r="H320" s="100">
        <v>15</v>
      </c>
      <c r="I320" s="101">
        <v>3</v>
      </c>
      <c r="J320" s="6">
        <f t="shared" si="59"/>
        <v>45</v>
      </c>
      <c r="K320" s="33">
        <v>18.75</v>
      </c>
      <c r="L320" s="643">
        <f t="shared" si="60"/>
        <v>56.25</v>
      </c>
      <c r="M320" s="672" t="s">
        <v>255</v>
      </c>
      <c r="N320" s="828">
        <v>45719</v>
      </c>
      <c r="O320" s="707">
        <v>6892</v>
      </c>
      <c r="P320" s="673">
        <f t="shared" si="61"/>
        <v>14.58</v>
      </c>
      <c r="Q320" s="674">
        <v>14.58</v>
      </c>
      <c r="R320" s="674">
        <f t="shared" si="62"/>
        <v>43.74</v>
      </c>
      <c r="S320" s="725">
        <v>1224</v>
      </c>
      <c r="T320" s="84">
        <f t="shared" si="63"/>
        <v>3672</v>
      </c>
      <c r="U320" s="789"/>
      <c r="V320" s="668">
        <v>120</v>
      </c>
      <c r="W320" s="790">
        <f t="shared" si="64"/>
        <v>0.45600000000000002</v>
      </c>
    </row>
    <row r="321" spans="1:25" s="638" customFormat="1" ht="17.25" customHeight="1">
      <c r="B321" s="639" t="s">
        <v>236</v>
      </c>
      <c r="C321" s="717" t="s">
        <v>2892</v>
      </c>
      <c r="D321" s="662"/>
      <c r="E321" s="17">
        <v>2200</v>
      </c>
      <c r="F321" s="739">
        <v>12</v>
      </c>
      <c r="G321" s="17" t="s">
        <v>2863</v>
      </c>
      <c r="H321" s="100">
        <v>15</v>
      </c>
      <c r="I321" s="101">
        <v>3</v>
      </c>
      <c r="J321" s="6">
        <f t="shared" si="59"/>
        <v>45</v>
      </c>
      <c r="K321" s="33">
        <v>12.63</v>
      </c>
      <c r="L321" s="643">
        <f t="shared" si="60"/>
        <v>37.89</v>
      </c>
      <c r="M321" s="672" t="s">
        <v>255</v>
      </c>
      <c r="N321" s="855" t="s">
        <v>2947</v>
      </c>
      <c r="O321" s="707">
        <v>6796</v>
      </c>
      <c r="P321" s="673">
        <f t="shared" si="61"/>
        <v>9.83</v>
      </c>
      <c r="Q321" s="674">
        <v>9.83</v>
      </c>
      <c r="R321" s="674">
        <f t="shared" si="62"/>
        <v>29.490000000000002</v>
      </c>
      <c r="S321" s="796">
        <v>825</v>
      </c>
      <c r="T321" s="84">
        <f t="shared" si="63"/>
        <v>2475</v>
      </c>
      <c r="U321" s="789"/>
      <c r="V321" s="668">
        <v>120</v>
      </c>
      <c r="W321" s="790">
        <f t="shared" si="64"/>
        <v>0.45566112430720512</v>
      </c>
    </row>
    <row r="322" spans="1:25" s="638" customFormat="1" ht="17.25" customHeight="1">
      <c r="B322" s="639" t="s">
        <v>236</v>
      </c>
      <c r="C322" s="717" t="s">
        <v>2892</v>
      </c>
      <c r="D322" s="662"/>
      <c r="E322" s="17">
        <v>2200</v>
      </c>
      <c r="F322" s="739">
        <v>18</v>
      </c>
      <c r="G322" s="17" t="s">
        <v>2863</v>
      </c>
      <c r="H322" s="100">
        <v>15</v>
      </c>
      <c r="I322" s="101">
        <v>3</v>
      </c>
      <c r="J322" s="6">
        <f>H322*I322</f>
        <v>45</v>
      </c>
      <c r="K322" s="33">
        <v>18.75</v>
      </c>
      <c r="L322" s="643">
        <f t="shared" si="60"/>
        <v>56.25</v>
      </c>
      <c r="M322" s="672" t="s">
        <v>255</v>
      </c>
      <c r="N322" s="855" t="s">
        <v>2947</v>
      </c>
      <c r="O322" s="707">
        <v>6796</v>
      </c>
      <c r="P322" s="673">
        <f t="shared" si="61"/>
        <v>14.58</v>
      </c>
      <c r="Q322" s="674">
        <v>14.58</v>
      </c>
      <c r="R322" s="674">
        <f t="shared" si="62"/>
        <v>43.74</v>
      </c>
      <c r="S322" s="796">
        <v>1224</v>
      </c>
      <c r="T322" s="84">
        <f t="shared" si="63"/>
        <v>3672</v>
      </c>
      <c r="U322" s="789"/>
      <c r="V322" s="668">
        <v>120</v>
      </c>
      <c r="W322" s="790">
        <f t="shared" si="64"/>
        <v>0.45600000000000002</v>
      </c>
    </row>
    <row r="323" spans="1:25" s="638" customFormat="1" ht="17.25" customHeight="1">
      <c r="B323" s="639" t="s">
        <v>236</v>
      </c>
      <c r="C323" s="717" t="s">
        <v>2892</v>
      </c>
      <c r="D323" s="662"/>
      <c r="E323" s="17">
        <v>2200</v>
      </c>
      <c r="F323" s="739">
        <v>18</v>
      </c>
      <c r="G323" s="17" t="s">
        <v>2358</v>
      </c>
      <c r="H323" s="100">
        <v>15</v>
      </c>
      <c r="I323" s="101">
        <v>3</v>
      </c>
      <c r="J323" s="6">
        <f t="shared" si="59"/>
        <v>45</v>
      </c>
      <c r="K323" s="33">
        <v>18.75</v>
      </c>
      <c r="L323" s="643">
        <f t="shared" si="60"/>
        <v>56.25</v>
      </c>
      <c r="M323" s="672" t="s">
        <v>255</v>
      </c>
      <c r="N323" s="855" t="s">
        <v>2947</v>
      </c>
      <c r="O323" s="707">
        <v>6796</v>
      </c>
      <c r="P323" s="673">
        <f t="shared" si="61"/>
        <v>14.58</v>
      </c>
      <c r="Q323" s="674">
        <v>14.58</v>
      </c>
      <c r="R323" s="674">
        <f t="shared" si="62"/>
        <v>43.74</v>
      </c>
      <c r="S323" s="796">
        <v>1224</v>
      </c>
      <c r="T323" s="84">
        <f t="shared" si="63"/>
        <v>3672</v>
      </c>
      <c r="U323" s="789"/>
      <c r="V323" s="668">
        <v>120</v>
      </c>
      <c r="W323" s="790">
        <f t="shared" si="64"/>
        <v>0.45600000000000002</v>
      </c>
    </row>
    <row r="324" spans="1:25" s="638" customFormat="1" ht="17.25" customHeight="1">
      <c r="B324" s="639" t="s">
        <v>236</v>
      </c>
      <c r="C324" s="717" t="s">
        <v>2892</v>
      </c>
      <c r="D324" s="662"/>
      <c r="E324" s="17">
        <v>2200</v>
      </c>
      <c r="F324" s="739">
        <v>12</v>
      </c>
      <c r="G324" s="17" t="s">
        <v>2898</v>
      </c>
      <c r="H324" s="100">
        <v>15</v>
      </c>
      <c r="I324" s="101">
        <v>3</v>
      </c>
      <c r="J324" s="6">
        <f t="shared" si="59"/>
        <v>45</v>
      </c>
      <c r="K324" s="33">
        <v>12.63</v>
      </c>
      <c r="L324" s="643">
        <f t="shared" si="60"/>
        <v>37.89</v>
      </c>
      <c r="M324" s="672" t="s">
        <v>255</v>
      </c>
      <c r="N324" s="828">
        <v>45719</v>
      </c>
      <c r="O324" s="707">
        <v>6892</v>
      </c>
      <c r="P324" s="673">
        <f t="shared" si="61"/>
        <v>9.83</v>
      </c>
      <c r="Q324" s="674">
        <v>9.83</v>
      </c>
      <c r="R324" s="674">
        <f t="shared" si="62"/>
        <v>29.490000000000002</v>
      </c>
      <c r="S324" s="788">
        <v>825</v>
      </c>
      <c r="T324" s="84">
        <f t="shared" si="63"/>
        <v>2475</v>
      </c>
      <c r="U324" s="789"/>
      <c r="V324" s="668">
        <v>120</v>
      </c>
      <c r="W324" s="790">
        <f t="shared" si="64"/>
        <v>0.45566112430720512</v>
      </c>
    </row>
    <row r="325" spans="1:25" s="638" customFormat="1" ht="17.25" customHeight="1">
      <c r="B325" s="639" t="s">
        <v>236</v>
      </c>
      <c r="C325" s="717" t="s">
        <v>2892</v>
      </c>
      <c r="D325" s="662"/>
      <c r="E325" s="17">
        <v>2200</v>
      </c>
      <c r="F325" s="739">
        <v>18</v>
      </c>
      <c r="G325" s="17" t="s">
        <v>2898</v>
      </c>
      <c r="H325" s="100">
        <v>15</v>
      </c>
      <c r="I325" s="101">
        <v>3</v>
      </c>
      <c r="J325" s="6">
        <f t="shared" si="59"/>
        <v>45</v>
      </c>
      <c r="K325" s="33">
        <v>18.75</v>
      </c>
      <c r="L325" s="643">
        <f t="shared" si="60"/>
        <v>56.25</v>
      </c>
      <c r="M325" s="672" t="s">
        <v>255</v>
      </c>
      <c r="N325" s="855" t="s">
        <v>2947</v>
      </c>
      <c r="O325" s="707">
        <v>6796</v>
      </c>
      <c r="P325" s="673">
        <f t="shared" si="61"/>
        <v>14.58</v>
      </c>
      <c r="Q325" s="674">
        <v>14.58</v>
      </c>
      <c r="R325" s="674">
        <f t="shared" si="62"/>
        <v>43.74</v>
      </c>
      <c r="S325" s="725">
        <v>1224</v>
      </c>
      <c r="T325" s="84">
        <f t="shared" si="63"/>
        <v>3672</v>
      </c>
      <c r="U325" s="789"/>
      <c r="V325" s="668">
        <v>120</v>
      </c>
      <c r="W325" s="790">
        <f t="shared" si="64"/>
        <v>0.45600000000000002</v>
      </c>
    </row>
    <row r="326" spans="1:25" s="638" customFormat="1" ht="17.25" customHeight="1">
      <c r="B326" s="639" t="s">
        <v>236</v>
      </c>
      <c r="C326" s="717" t="s">
        <v>2892</v>
      </c>
      <c r="D326" s="662"/>
      <c r="E326" s="17">
        <v>2200</v>
      </c>
      <c r="F326" s="739">
        <v>24</v>
      </c>
      <c r="G326" s="17" t="s">
        <v>2898</v>
      </c>
      <c r="H326" s="100">
        <v>15</v>
      </c>
      <c r="I326" s="101">
        <v>3</v>
      </c>
      <c r="J326" s="6">
        <f t="shared" si="59"/>
        <v>45</v>
      </c>
      <c r="K326" s="33">
        <v>23.72</v>
      </c>
      <c r="L326" s="643">
        <f t="shared" si="60"/>
        <v>71.16</v>
      </c>
      <c r="M326" s="672" t="s">
        <v>255</v>
      </c>
      <c r="N326" s="855" t="s">
        <v>2947</v>
      </c>
      <c r="O326" s="707">
        <v>6796</v>
      </c>
      <c r="P326" s="673">
        <f t="shared" si="61"/>
        <v>18.470000000000002</v>
      </c>
      <c r="Q326" s="674">
        <v>18.47</v>
      </c>
      <c r="R326" s="674">
        <f t="shared" si="62"/>
        <v>55.41</v>
      </c>
      <c r="S326" s="725">
        <v>1551</v>
      </c>
      <c r="T326" s="84">
        <f t="shared" si="63"/>
        <v>4653</v>
      </c>
      <c r="U326" s="789"/>
      <c r="V326" s="668">
        <v>120</v>
      </c>
      <c r="W326" s="790">
        <f t="shared" si="64"/>
        <v>0.45510118043844849</v>
      </c>
    </row>
    <row r="327" spans="1:25" s="638" customFormat="1" ht="17.25" customHeight="1">
      <c r="B327" s="639" t="s">
        <v>236</v>
      </c>
      <c r="C327" s="717" t="s">
        <v>2892</v>
      </c>
      <c r="D327" s="662"/>
      <c r="E327" s="17">
        <v>2200</v>
      </c>
      <c r="F327" s="739">
        <v>12</v>
      </c>
      <c r="G327" s="17" t="s">
        <v>2899</v>
      </c>
      <c r="H327" s="100">
        <v>15</v>
      </c>
      <c r="I327" s="101">
        <v>3</v>
      </c>
      <c r="J327" s="6">
        <f t="shared" si="59"/>
        <v>45</v>
      </c>
      <c r="K327" s="33">
        <v>12.63</v>
      </c>
      <c r="L327" s="643">
        <f t="shared" si="60"/>
        <v>37.89</v>
      </c>
      <c r="M327" s="672" t="s">
        <v>255</v>
      </c>
      <c r="N327" s="855" t="s">
        <v>2947</v>
      </c>
      <c r="O327" s="707">
        <v>6796</v>
      </c>
      <c r="P327" s="673">
        <f t="shared" si="61"/>
        <v>9.83</v>
      </c>
      <c r="Q327" s="674">
        <v>9.83</v>
      </c>
      <c r="R327" s="674">
        <f t="shared" si="62"/>
        <v>29.490000000000002</v>
      </c>
      <c r="S327" s="725">
        <v>825</v>
      </c>
      <c r="T327" s="84">
        <f t="shared" si="63"/>
        <v>2475</v>
      </c>
      <c r="U327" s="789"/>
      <c r="V327" s="668">
        <v>120</v>
      </c>
      <c r="W327" s="790">
        <f t="shared" si="64"/>
        <v>0.45566112430720512</v>
      </c>
    </row>
    <row r="328" spans="1:25" s="638" customFormat="1" ht="17.25" customHeight="1">
      <c r="B328" s="639" t="s">
        <v>236</v>
      </c>
      <c r="C328" s="717" t="s">
        <v>2892</v>
      </c>
      <c r="D328" s="662"/>
      <c r="E328" s="17">
        <v>2200</v>
      </c>
      <c r="F328" s="739">
        <v>18</v>
      </c>
      <c r="G328" s="17" t="s">
        <v>2899</v>
      </c>
      <c r="H328" s="100">
        <v>15</v>
      </c>
      <c r="I328" s="101">
        <v>3</v>
      </c>
      <c r="J328" s="6">
        <f t="shared" si="59"/>
        <v>45</v>
      </c>
      <c r="K328" s="33">
        <v>18.75</v>
      </c>
      <c r="L328" s="643">
        <f t="shared" si="60"/>
        <v>56.25</v>
      </c>
      <c r="M328" s="672" t="s">
        <v>255</v>
      </c>
      <c r="N328" s="855" t="s">
        <v>2947</v>
      </c>
      <c r="O328" s="707">
        <v>6796</v>
      </c>
      <c r="P328" s="673">
        <f t="shared" si="61"/>
        <v>14.58</v>
      </c>
      <c r="Q328" s="674">
        <v>14.58</v>
      </c>
      <c r="R328" s="674">
        <f t="shared" si="62"/>
        <v>43.74</v>
      </c>
      <c r="S328" s="725">
        <v>1224</v>
      </c>
      <c r="T328" s="84">
        <f t="shared" si="63"/>
        <v>3672</v>
      </c>
      <c r="U328" s="789"/>
      <c r="V328" s="668">
        <v>120</v>
      </c>
      <c r="W328" s="790">
        <f t="shared" si="64"/>
        <v>0.45600000000000002</v>
      </c>
    </row>
    <row r="329" spans="1:25" s="638" customFormat="1" ht="17.25" customHeight="1">
      <c r="B329" s="639" t="s">
        <v>236</v>
      </c>
      <c r="C329" s="717" t="s">
        <v>2892</v>
      </c>
      <c r="D329" s="662"/>
      <c r="E329" s="17">
        <v>2200</v>
      </c>
      <c r="F329" s="739">
        <v>12</v>
      </c>
      <c r="G329" s="17" t="s">
        <v>2900</v>
      </c>
      <c r="H329" s="100">
        <v>15</v>
      </c>
      <c r="I329" s="101">
        <v>3</v>
      </c>
      <c r="J329" s="6">
        <f t="shared" si="59"/>
        <v>45</v>
      </c>
      <c r="K329" s="33">
        <v>12.63</v>
      </c>
      <c r="L329" s="643">
        <f t="shared" si="60"/>
        <v>37.89</v>
      </c>
      <c r="M329" s="672" t="s">
        <v>255</v>
      </c>
      <c r="N329" s="855" t="s">
        <v>2947</v>
      </c>
      <c r="O329" s="707">
        <v>6796</v>
      </c>
      <c r="P329" s="673">
        <f t="shared" si="61"/>
        <v>9.83</v>
      </c>
      <c r="Q329" s="674">
        <v>9.83</v>
      </c>
      <c r="R329" s="674">
        <f t="shared" si="62"/>
        <v>29.490000000000002</v>
      </c>
      <c r="S329" s="725">
        <v>825</v>
      </c>
      <c r="T329" s="84">
        <f t="shared" si="63"/>
        <v>2475</v>
      </c>
      <c r="U329" s="789"/>
      <c r="V329" s="668">
        <v>120</v>
      </c>
      <c r="W329" s="790">
        <f t="shared" si="64"/>
        <v>0.45566112430720512</v>
      </c>
    </row>
    <row r="330" spans="1:25" s="638" customFormat="1" ht="17.25" customHeight="1">
      <c r="B330" s="639" t="s">
        <v>236</v>
      </c>
      <c r="C330" s="717" t="s">
        <v>2892</v>
      </c>
      <c r="D330" s="662"/>
      <c r="E330" s="17">
        <v>2200</v>
      </c>
      <c r="F330" s="739">
        <v>12</v>
      </c>
      <c r="G330" s="17" t="s">
        <v>2833</v>
      </c>
      <c r="H330" s="100">
        <v>15</v>
      </c>
      <c r="I330" s="101">
        <v>3</v>
      </c>
      <c r="J330" s="6">
        <f t="shared" si="59"/>
        <v>45</v>
      </c>
      <c r="K330" s="33">
        <v>12.63</v>
      </c>
      <c r="L330" s="643">
        <f t="shared" si="60"/>
        <v>37.89</v>
      </c>
      <c r="M330" s="672" t="s">
        <v>255</v>
      </c>
      <c r="N330" s="855" t="s">
        <v>2947</v>
      </c>
      <c r="O330" s="707">
        <v>6796</v>
      </c>
      <c r="P330" s="673">
        <f t="shared" si="61"/>
        <v>9.83</v>
      </c>
      <c r="Q330" s="674">
        <v>9.83</v>
      </c>
      <c r="R330" s="674">
        <f t="shared" si="62"/>
        <v>29.490000000000002</v>
      </c>
      <c r="S330" s="725">
        <v>825</v>
      </c>
      <c r="T330" s="84">
        <f t="shared" si="63"/>
        <v>2475</v>
      </c>
      <c r="U330" s="789"/>
      <c r="V330" s="668">
        <v>120</v>
      </c>
      <c r="W330" s="790">
        <f t="shared" si="64"/>
        <v>0.45566112430720512</v>
      </c>
    </row>
    <row r="331" spans="1:25" s="638" customFormat="1" ht="17.25" customHeight="1">
      <c r="B331" s="639" t="s">
        <v>236</v>
      </c>
      <c r="C331" s="717" t="s">
        <v>2892</v>
      </c>
      <c r="D331" s="662"/>
      <c r="E331" s="17">
        <v>2200</v>
      </c>
      <c r="F331" s="739">
        <v>12</v>
      </c>
      <c r="G331" s="17" t="s">
        <v>2814</v>
      </c>
      <c r="H331" s="100">
        <v>15</v>
      </c>
      <c r="I331" s="101">
        <v>3</v>
      </c>
      <c r="J331" s="6">
        <f t="shared" si="59"/>
        <v>45</v>
      </c>
      <c r="K331" s="33">
        <v>12.63</v>
      </c>
      <c r="L331" s="643">
        <f t="shared" si="60"/>
        <v>37.89</v>
      </c>
      <c r="M331" s="672" t="s">
        <v>255</v>
      </c>
      <c r="N331" s="855" t="s">
        <v>2947</v>
      </c>
      <c r="O331" s="707">
        <v>6796</v>
      </c>
      <c r="P331" s="673">
        <f t="shared" si="61"/>
        <v>9.83</v>
      </c>
      <c r="Q331" s="674">
        <v>9.83</v>
      </c>
      <c r="R331" s="674">
        <f t="shared" si="62"/>
        <v>29.490000000000002</v>
      </c>
      <c r="S331" s="725">
        <v>825</v>
      </c>
      <c r="T331" s="84">
        <f t="shared" si="63"/>
        <v>2475</v>
      </c>
      <c r="U331" s="789"/>
      <c r="V331" s="668">
        <v>120</v>
      </c>
      <c r="W331" s="790">
        <f t="shared" si="64"/>
        <v>0.45566112430720512</v>
      </c>
    </row>
    <row r="332" spans="1:25" s="638" customFormat="1" ht="15.75">
      <c r="B332" s="639"/>
      <c r="C332" s="717" t="s">
        <v>2892</v>
      </c>
      <c r="D332" s="662"/>
      <c r="E332" s="158"/>
      <c r="F332" s="737"/>
      <c r="G332" s="158" t="s">
        <v>279</v>
      </c>
      <c r="H332" s="671"/>
      <c r="I332" s="676"/>
      <c r="J332" s="677">
        <v>3</v>
      </c>
      <c r="K332" s="643">
        <v>12</v>
      </c>
      <c r="L332" s="643">
        <f>K332*J332</f>
        <v>36</v>
      </c>
      <c r="M332" s="678"/>
      <c r="N332" s="855" t="s">
        <v>2947</v>
      </c>
      <c r="O332" s="707">
        <v>6796</v>
      </c>
      <c r="P332" s="504"/>
      <c r="Q332" s="674">
        <v>12</v>
      </c>
      <c r="R332" s="674">
        <f>Q332*J332</f>
        <v>36</v>
      </c>
      <c r="S332" s="788">
        <v>1000</v>
      </c>
      <c r="T332" s="84">
        <v>1000</v>
      </c>
      <c r="U332" s="789"/>
      <c r="V332" s="668">
        <v>120</v>
      </c>
      <c r="W332" s="790">
        <f t="shared" si="64"/>
        <v>0.30555555555555558</v>
      </c>
    </row>
    <row r="333" spans="1:25" s="709" customFormat="1" ht="17.25">
      <c r="A333" s="838"/>
      <c r="B333" s="839"/>
      <c r="C333" s="843" t="s">
        <v>2885</v>
      </c>
      <c r="D333" s="844"/>
      <c r="E333" s="845"/>
      <c r="F333" s="846"/>
      <c r="G333" s="847" t="s">
        <v>210</v>
      </c>
      <c r="H333" s="848" t="s">
        <v>2754</v>
      </c>
      <c r="I333" s="849"/>
      <c r="J333" s="850"/>
      <c r="K333" s="851">
        <v>590</v>
      </c>
      <c r="L333" s="851">
        <v>590</v>
      </c>
      <c r="M333" s="852"/>
      <c r="N333" s="852">
        <v>45679</v>
      </c>
      <c r="O333" s="853">
        <v>6796</v>
      </c>
      <c r="P333" s="840"/>
      <c r="Q333" s="841">
        <v>590</v>
      </c>
      <c r="R333" s="841">
        <v>590</v>
      </c>
      <c r="S333" s="842">
        <v>58811</v>
      </c>
      <c r="T333" s="755">
        <v>58811</v>
      </c>
      <c r="U333" s="887" t="s">
        <v>2912</v>
      </c>
      <c r="V333" s="668">
        <v>120</v>
      </c>
      <c r="W333" s="790">
        <f t="shared" si="64"/>
        <v>0.16933615819209039</v>
      </c>
      <c r="Y333" s="829" t="s">
        <v>2943</v>
      </c>
    </row>
    <row r="334" spans="1:25" s="709" customFormat="1" ht="17.25">
      <c r="B334" s="710"/>
      <c r="C334" s="817" t="s">
        <v>2885</v>
      </c>
      <c r="D334" s="818"/>
      <c r="E334" s="819"/>
      <c r="F334" s="820"/>
      <c r="G334" s="821" t="s">
        <v>210</v>
      </c>
      <c r="H334" s="822" t="s">
        <v>2754</v>
      </c>
      <c r="I334" s="823"/>
      <c r="J334" s="824"/>
      <c r="K334" s="825">
        <v>300</v>
      </c>
      <c r="L334" s="825">
        <v>300</v>
      </c>
      <c r="M334" s="826"/>
      <c r="N334" s="856" t="s">
        <v>2947</v>
      </c>
      <c r="O334" s="827">
        <v>6796</v>
      </c>
      <c r="P334" s="687"/>
      <c r="Q334" s="720">
        <v>300</v>
      </c>
      <c r="R334" s="720">
        <v>300</v>
      </c>
      <c r="S334" s="755">
        <v>29978</v>
      </c>
      <c r="T334" s="755">
        <v>29978</v>
      </c>
      <c r="U334" s="888" t="s">
        <v>2913</v>
      </c>
      <c r="V334" s="668">
        <v>120</v>
      </c>
      <c r="W334" s="790">
        <f>(((K334*V334)-S334)/(K334*V334))</f>
        <v>0.16727777777777778</v>
      </c>
      <c r="Y334" s="829" t="s">
        <v>2942</v>
      </c>
    </row>
    <row r="335" spans="1:25" s="709" customFormat="1" ht="20.25" customHeight="1">
      <c r="B335" s="710"/>
      <c r="C335" s="817" t="s">
        <v>2885</v>
      </c>
      <c r="D335" s="818"/>
      <c r="E335" s="819"/>
      <c r="F335" s="820"/>
      <c r="G335" s="821" t="s">
        <v>2787</v>
      </c>
      <c r="H335" s="822" t="s">
        <v>2945</v>
      </c>
      <c r="I335" s="823"/>
      <c r="J335" s="824"/>
      <c r="K335" s="825">
        <v>176.39</v>
      </c>
      <c r="L335" s="825">
        <v>176.39</v>
      </c>
      <c r="M335" s="826"/>
      <c r="N335" s="856" t="s">
        <v>2947</v>
      </c>
      <c r="O335" s="827">
        <v>6796</v>
      </c>
      <c r="P335" s="854"/>
      <c r="Q335" s="720">
        <v>0</v>
      </c>
      <c r="R335" s="720">
        <v>0</v>
      </c>
      <c r="S335" s="755">
        <v>0</v>
      </c>
      <c r="T335" s="755">
        <v>0</v>
      </c>
      <c r="U335" s="889" t="s">
        <v>2946</v>
      </c>
      <c r="V335" s="668"/>
      <c r="W335" s="790"/>
      <c r="Y335" s="829"/>
    </row>
    <row r="336" spans="1:25" s="638" customFormat="1" ht="17.25" customHeight="1">
      <c r="B336" s="639"/>
      <c r="C336" s="717" t="s">
        <v>2902</v>
      </c>
      <c r="D336" s="662"/>
      <c r="E336" s="14" t="s">
        <v>2790</v>
      </c>
      <c r="F336" s="739"/>
      <c r="G336" s="17"/>
      <c r="H336" s="100"/>
      <c r="I336" s="101"/>
      <c r="J336" s="6"/>
      <c r="K336" s="505" t="s">
        <v>4</v>
      </c>
      <c r="L336" s="643"/>
      <c r="M336" s="672"/>
      <c r="N336" s="706">
        <v>45706</v>
      </c>
      <c r="O336" s="707">
        <v>6859</v>
      </c>
      <c r="P336" s="673"/>
      <c r="Q336" s="674"/>
      <c r="R336" s="674"/>
      <c r="S336" s="728"/>
      <c r="T336" s="84"/>
      <c r="U336" s="728"/>
      <c r="V336" s="668"/>
      <c r="Y336" s="830" t="s">
        <v>2934</v>
      </c>
    </row>
    <row r="337" spans="2:25" s="638" customFormat="1" ht="18" customHeight="1">
      <c r="B337" s="639" t="s">
        <v>236</v>
      </c>
      <c r="C337" s="717" t="s">
        <v>2903</v>
      </c>
      <c r="D337" s="662"/>
      <c r="E337" s="17">
        <v>1100</v>
      </c>
      <c r="F337" s="739">
        <v>15</v>
      </c>
      <c r="G337" s="17" t="s">
        <v>2789</v>
      </c>
      <c r="H337" s="100">
        <v>30</v>
      </c>
      <c r="I337" s="101">
        <v>31</v>
      </c>
      <c r="J337" s="6">
        <f>H337*I337</f>
        <v>930</v>
      </c>
      <c r="K337" s="33">
        <v>24.17</v>
      </c>
      <c r="L337" s="643">
        <f>K337*I337</f>
        <v>749.2700000000001</v>
      </c>
      <c r="M337" s="672" t="s">
        <v>2791</v>
      </c>
      <c r="N337" s="706">
        <v>45706</v>
      </c>
      <c r="O337" s="707">
        <v>6859</v>
      </c>
      <c r="P337" s="673">
        <f>ROUNDUP(S337/V337/VLOOKUP(B337,$C$2:$F$6,3,FALSE),2)</f>
        <v>20.720000000000002</v>
      </c>
      <c r="Q337" s="674">
        <v>20.72</v>
      </c>
      <c r="R337" s="674">
        <f>Q337*I337</f>
        <v>642.31999999999994</v>
      </c>
      <c r="S337" s="796">
        <v>1740</v>
      </c>
      <c r="T337" s="84">
        <f>S337*I337</f>
        <v>53940</v>
      </c>
      <c r="U337" s="789"/>
      <c r="V337" s="668">
        <v>120</v>
      </c>
      <c r="W337" s="790">
        <f>(((K337*V337)-S337)/(K337*V337))</f>
        <v>0.40008274720728176</v>
      </c>
    </row>
    <row r="338" spans="2:25" s="638" customFormat="1" ht="15.75">
      <c r="B338" s="639"/>
      <c r="C338" s="717" t="s">
        <v>2902</v>
      </c>
      <c r="D338" s="662"/>
      <c r="E338" s="158"/>
      <c r="F338" s="737"/>
      <c r="G338" s="158" t="s">
        <v>279</v>
      </c>
      <c r="H338" s="671"/>
      <c r="I338" s="676"/>
      <c r="J338" s="677">
        <v>1</v>
      </c>
      <c r="K338" s="643">
        <v>12</v>
      </c>
      <c r="L338" s="643">
        <f>K338*J338</f>
        <v>12</v>
      </c>
      <c r="M338" s="678"/>
      <c r="N338" s="706">
        <v>45706</v>
      </c>
      <c r="O338" s="707">
        <v>6859</v>
      </c>
      <c r="P338" s="504"/>
      <c r="Q338" s="674">
        <v>12</v>
      </c>
      <c r="R338" s="674">
        <f>Q338*J338</f>
        <v>12</v>
      </c>
      <c r="S338" s="788">
        <v>0</v>
      </c>
      <c r="T338" s="84">
        <v>0</v>
      </c>
      <c r="U338" s="789"/>
      <c r="V338" s="668">
        <v>120</v>
      </c>
      <c r="W338" s="790">
        <f>(((K338*V338)-S338)/(K338*V338))</f>
        <v>1</v>
      </c>
      <c r="Y338" s="638">
        <f>58811+50211+29978</f>
        <v>139000</v>
      </c>
    </row>
    <row r="339" spans="2:25" s="709" customFormat="1" ht="17.25">
      <c r="B339" s="710"/>
      <c r="C339" s="719" t="s">
        <v>2902</v>
      </c>
      <c r="D339" s="680"/>
      <c r="E339" s="681"/>
      <c r="F339" s="738"/>
      <c r="G339" s="682" t="s">
        <v>210</v>
      </c>
      <c r="H339" s="683" t="s">
        <v>2754</v>
      </c>
      <c r="I339" s="684"/>
      <c r="J339" s="685"/>
      <c r="K339" s="720">
        <v>205</v>
      </c>
      <c r="L339" s="720">
        <v>205</v>
      </c>
      <c r="M339" s="712"/>
      <c r="N339" s="712">
        <v>45706</v>
      </c>
      <c r="O339" s="713">
        <v>6859</v>
      </c>
      <c r="P339" s="687"/>
      <c r="Q339" s="720">
        <v>205</v>
      </c>
      <c r="R339" s="720">
        <v>205</v>
      </c>
      <c r="S339" s="755">
        <v>20335</v>
      </c>
      <c r="T339" s="755">
        <v>20335</v>
      </c>
      <c r="U339" s="890"/>
      <c r="V339" s="668">
        <v>120</v>
      </c>
      <c r="W339" s="790">
        <f>(((K339*V339)-S339)/(K339*V339))</f>
        <v>0.1733739837398374</v>
      </c>
    </row>
    <row r="340" spans="2:25" s="638" customFormat="1" ht="18" customHeight="1">
      <c r="B340" s="639"/>
      <c r="C340" s="717" t="s">
        <v>2904</v>
      </c>
      <c r="D340" s="662"/>
      <c r="E340" s="663" t="s">
        <v>2847</v>
      </c>
      <c r="F340" s="736"/>
      <c r="G340" s="664"/>
      <c r="H340" s="665"/>
      <c r="I340" s="665"/>
      <c r="J340" s="665"/>
      <c r="K340" s="505" t="s">
        <v>4</v>
      </c>
      <c r="L340" s="705"/>
      <c r="M340" s="706"/>
      <c r="N340" s="706">
        <v>45719</v>
      </c>
      <c r="O340" s="707">
        <v>6892</v>
      </c>
      <c r="P340" s="504"/>
      <c r="Q340" s="666"/>
      <c r="U340" s="667"/>
      <c r="V340" s="668">
        <v>120</v>
      </c>
    </row>
    <row r="341" spans="2:25" s="638" customFormat="1" ht="17.25" customHeight="1">
      <c r="B341" s="639" t="s">
        <v>236</v>
      </c>
      <c r="C341" s="717" t="s">
        <v>2904</v>
      </c>
      <c r="D341" s="662"/>
      <c r="E341" s="17" t="s">
        <v>2848</v>
      </c>
      <c r="F341" s="739">
        <v>25</v>
      </c>
      <c r="G341" s="17" t="s">
        <v>10</v>
      </c>
      <c r="H341" s="100">
        <v>30</v>
      </c>
      <c r="I341" s="101">
        <v>10</v>
      </c>
      <c r="J341" s="6">
        <f>H341*I341</f>
        <v>300</v>
      </c>
      <c r="K341" s="33">
        <v>11.6</v>
      </c>
      <c r="L341" s="744">
        <f>K341*I341</f>
        <v>116</v>
      </c>
      <c r="M341" s="672" t="s">
        <v>255</v>
      </c>
      <c r="N341" s="706">
        <v>45719</v>
      </c>
      <c r="O341" s="707">
        <v>6892</v>
      </c>
      <c r="P341" s="673">
        <f>ROUNDUP(S341/V341/VLOOKUP(B341,$C$2:$F$6,3,FALSE),2)</f>
        <v>9.9499999999999993</v>
      </c>
      <c r="Q341" s="674">
        <v>9.9499999999999993</v>
      </c>
      <c r="R341" s="674">
        <f>Q341*I341</f>
        <v>99.5</v>
      </c>
      <c r="S341" s="746">
        <v>835</v>
      </c>
      <c r="T341" s="84">
        <f>S341*I341</f>
        <v>8350</v>
      </c>
      <c r="U341" s="789"/>
      <c r="V341" s="668">
        <v>120</v>
      </c>
      <c r="W341" s="790">
        <f>(((K341*V341)-S341)/(K341*V341))</f>
        <v>0.40014367816091956</v>
      </c>
    </row>
    <row r="342" spans="2:25" s="638" customFormat="1" ht="17.25" customHeight="1">
      <c r="B342" s="639"/>
      <c r="C342" s="717" t="s">
        <v>2904</v>
      </c>
      <c r="D342" s="662"/>
      <c r="E342" s="14" t="s">
        <v>2795</v>
      </c>
      <c r="F342" s="739"/>
      <c r="G342" s="17"/>
      <c r="H342" s="100"/>
      <c r="I342" s="101"/>
      <c r="J342" s="6"/>
      <c r="K342" s="505" t="s">
        <v>4</v>
      </c>
      <c r="L342" s="643"/>
      <c r="M342" s="672"/>
      <c r="N342" s="706">
        <v>45719</v>
      </c>
      <c r="O342" s="707">
        <v>6892</v>
      </c>
      <c r="P342" s="673"/>
      <c r="Q342" s="674"/>
      <c r="R342" s="674"/>
      <c r="S342" s="728"/>
      <c r="T342" s="84"/>
      <c r="U342" s="728"/>
      <c r="V342" s="668"/>
    </row>
    <row r="343" spans="2:25" s="638" customFormat="1" ht="17.25" customHeight="1">
      <c r="B343" s="639" t="s">
        <v>236</v>
      </c>
      <c r="C343" s="717" t="s">
        <v>2904</v>
      </c>
      <c r="D343" s="662"/>
      <c r="E343" s="17">
        <v>3544</v>
      </c>
      <c r="F343" s="739" t="s">
        <v>2796</v>
      </c>
      <c r="G343" s="17" t="s">
        <v>2905</v>
      </c>
      <c r="H343" s="100">
        <v>30</v>
      </c>
      <c r="I343" s="101">
        <v>10</v>
      </c>
      <c r="J343" s="6">
        <f>H343*I343</f>
        <v>300</v>
      </c>
      <c r="K343" s="33">
        <v>19</v>
      </c>
      <c r="L343" s="643">
        <f>K343*I343</f>
        <v>190</v>
      </c>
      <c r="M343" s="672" t="s">
        <v>255</v>
      </c>
      <c r="N343" s="706">
        <v>45719</v>
      </c>
      <c r="O343" s="707">
        <v>6892</v>
      </c>
      <c r="P343" s="673">
        <f>ROUNDUP(S343/V343/VLOOKUP(B343,$C$2:$F$6,3,FALSE),2)</f>
        <v>16.290000000000003</v>
      </c>
      <c r="Q343" s="674">
        <v>16.29</v>
      </c>
      <c r="R343" s="674">
        <f>Q343*I343</f>
        <v>162.89999999999998</v>
      </c>
      <c r="S343" s="725">
        <v>1368</v>
      </c>
      <c r="T343" s="84">
        <f>S343*I343</f>
        <v>13680</v>
      </c>
      <c r="U343" s="891"/>
      <c r="V343" s="668">
        <v>120</v>
      </c>
      <c r="W343" s="790">
        <f>(((K343*V343)-S343)/(K343*V343))</f>
        <v>0.4</v>
      </c>
    </row>
    <row r="344" spans="2:25" s="638" customFormat="1" ht="17.25" customHeight="1">
      <c r="B344" s="639"/>
      <c r="C344" s="717" t="s">
        <v>2906</v>
      </c>
      <c r="D344" s="662"/>
      <c r="E344" s="14" t="s">
        <v>2816</v>
      </c>
      <c r="F344" s="739"/>
      <c r="G344" s="17"/>
      <c r="H344" s="100"/>
      <c r="I344" s="101"/>
      <c r="J344" s="6"/>
      <c r="K344" s="505" t="s">
        <v>4</v>
      </c>
      <c r="L344" s="643"/>
      <c r="M344" s="672"/>
      <c r="N344" s="835">
        <v>45747</v>
      </c>
      <c r="O344" s="707">
        <v>6984</v>
      </c>
      <c r="P344" s="673"/>
      <c r="Q344" s="674"/>
      <c r="R344" s="674"/>
      <c r="S344" s="728"/>
      <c r="T344" s="84"/>
      <c r="U344" s="728"/>
      <c r="V344" s="668"/>
    </row>
    <row r="345" spans="2:25" s="638" customFormat="1" ht="17.25" customHeight="1">
      <c r="B345" s="639" t="s">
        <v>236</v>
      </c>
      <c r="C345" s="717" t="s">
        <v>2906</v>
      </c>
      <c r="D345" s="662"/>
      <c r="E345" s="787">
        <v>1100</v>
      </c>
      <c r="F345" s="739">
        <v>40</v>
      </c>
      <c r="G345" s="17" t="s">
        <v>2789</v>
      </c>
      <c r="H345" s="100">
        <v>30</v>
      </c>
      <c r="I345" s="101">
        <v>10</v>
      </c>
      <c r="J345" s="6">
        <f>H345*I345</f>
        <v>300</v>
      </c>
      <c r="K345" s="33">
        <v>53.33</v>
      </c>
      <c r="L345" s="643">
        <f>K345*I345</f>
        <v>533.29999999999995</v>
      </c>
      <c r="M345" s="672" t="s">
        <v>2791</v>
      </c>
      <c r="N345" s="835">
        <v>45747</v>
      </c>
      <c r="O345" s="707">
        <v>6984</v>
      </c>
      <c r="P345" s="673">
        <f>ROUNDUP(S345/V345/VLOOKUP(B345,$C$2:$F$6,3,FALSE),2)</f>
        <v>45.72</v>
      </c>
      <c r="Q345" s="674">
        <v>45.72</v>
      </c>
      <c r="R345" s="674">
        <f>Q345*I345</f>
        <v>457.2</v>
      </c>
      <c r="S345" s="725">
        <v>3840</v>
      </c>
      <c r="T345" s="84">
        <f>S345*I345</f>
        <v>38400</v>
      </c>
      <c r="U345" s="789"/>
      <c r="V345" s="668">
        <v>120</v>
      </c>
      <c r="W345" s="790">
        <f>(((K345*V345)-S345)/(K345*V345))</f>
        <v>0.39996249765610348</v>
      </c>
    </row>
    <row r="346" spans="2:25" s="638" customFormat="1" ht="17.25" customHeight="1">
      <c r="B346" s="639"/>
      <c r="C346" s="717" t="s">
        <v>2906</v>
      </c>
      <c r="D346" s="662"/>
      <c r="E346" s="14" t="s">
        <v>2790</v>
      </c>
      <c r="F346" s="739"/>
      <c r="G346" s="17"/>
      <c r="H346" s="100"/>
      <c r="I346" s="101"/>
      <c r="J346" s="6"/>
      <c r="K346" s="505" t="s">
        <v>4</v>
      </c>
      <c r="L346" s="643"/>
      <c r="M346" s="672"/>
      <c r="N346" s="706">
        <v>45719</v>
      </c>
      <c r="O346" s="707">
        <v>6892</v>
      </c>
      <c r="P346" s="673"/>
      <c r="Q346" s="674"/>
      <c r="R346" s="674"/>
      <c r="S346" s="728"/>
      <c r="T346" s="84"/>
      <c r="U346" s="728"/>
      <c r="V346" s="668"/>
    </row>
    <row r="347" spans="2:25" s="638" customFormat="1" ht="18" customHeight="1">
      <c r="B347" s="639" t="s">
        <v>236</v>
      </c>
      <c r="C347" s="717" t="s">
        <v>2906</v>
      </c>
      <c r="D347" s="662"/>
      <c r="E347" s="17">
        <v>1100</v>
      </c>
      <c r="F347" s="739">
        <v>25</v>
      </c>
      <c r="G347" s="17" t="s">
        <v>2793</v>
      </c>
      <c r="H347" s="100">
        <v>30</v>
      </c>
      <c r="I347" s="101">
        <v>10</v>
      </c>
      <c r="J347" s="6">
        <f>H347*I347</f>
        <v>300</v>
      </c>
      <c r="K347" s="33">
        <v>32.5</v>
      </c>
      <c r="L347" s="643">
        <f>K347*I347</f>
        <v>325</v>
      </c>
      <c r="M347" s="672" t="s">
        <v>2791</v>
      </c>
      <c r="N347" s="706">
        <v>45719</v>
      </c>
      <c r="O347" s="707">
        <v>6892</v>
      </c>
      <c r="P347" s="673">
        <f>ROUNDUP(S347/V347/VLOOKUP(B347,$C$2:$F$6,3,FALSE),2)</f>
        <v>27.860000000000003</v>
      </c>
      <c r="Q347" s="674">
        <v>27.86</v>
      </c>
      <c r="R347" s="674">
        <f>Q347*I347</f>
        <v>278.60000000000002</v>
      </c>
      <c r="S347" s="725">
        <v>2340</v>
      </c>
      <c r="T347" s="84">
        <f>S347*I347</f>
        <v>23400</v>
      </c>
      <c r="U347" s="891"/>
      <c r="V347" s="668">
        <v>120</v>
      </c>
      <c r="W347" s="790">
        <f>(((K347*V347)-S347)/(K347*V347))</f>
        <v>0.4</v>
      </c>
    </row>
    <row r="348" spans="2:25" s="638" customFormat="1" ht="17.25" customHeight="1">
      <c r="B348" s="639"/>
      <c r="C348" s="717" t="s">
        <v>2906</v>
      </c>
      <c r="D348" s="662"/>
      <c r="E348" s="14" t="s">
        <v>2792</v>
      </c>
      <c r="F348" s="739"/>
      <c r="G348" s="17"/>
      <c r="H348" s="100"/>
      <c r="I348" s="101"/>
      <c r="J348" s="6"/>
      <c r="K348" s="505"/>
      <c r="L348" s="643"/>
      <c r="M348" s="672"/>
      <c r="N348" s="706">
        <v>45719</v>
      </c>
      <c r="O348" s="707">
        <v>6892</v>
      </c>
      <c r="P348" s="673"/>
      <c r="Q348" s="674"/>
      <c r="R348" s="674"/>
      <c r="S348" s="728"/>
      <c r="T348" s="84"/>
      <c r="U348" s="728"/>
      <c r="V348" s="668"/>
    </row>
    <row r="349" spans="2:25" s="638" customFormat="1" ht="17.25" customHeight="1">
      <c r="B349" s="639" t="s">
        <v>236</v>
      </c>
      <c r="C349" s="717" t="s">
        <v>2906</v>
      </c>
      <c r="D349" s="662"/>
      <c r="E349" s="17">
        <v>3534</v>
      </c>
      <c r="F349" s="739">
        <v>50</v>
      </c>
      <c r="G349" s="17" t="s">
        <v>2793</v>
      </c>
      <c r="H349" s="100">
        <v>30</v>
      </c>
      <c r="I349" s="101">
        <v>10</v>
      </c>
      <c r="J349" s="6">
        <f>H349*I349</f>
        <v>300</v>
      </c>
      <c r="K349" s="33">
        <v>32.5</v>
      </c>
      <c r="L349" s="643">
        <f>K349*I349</f>
        <v>325</v>
      </c>
      <c r="M349" s="672" t="s">
        <v>255</v>
      </c>
      <c r="N349" s="706">
        <v>45719</v>
      </c>
      <c r="O349" s="707">
        <v>6892</v>
      </c>
      <c r="P349" s="673">
        <f>ROUNDUP(S349/V349/VLOOKUP(B349,$C$2:$F$6,3,FALSE),2)</f>
        <v>27.860000000000003</v>
      </c>
      <c r="Q349" s="674">
        <v>27.86</v>
      </c>
      <c r="R349" s="674">
        <f>Q349*I349</f>
        <v>278.60000000000002</v>
      </c>
      <c r="S349" s="725">
        <v>2340</v>
      </c>
      <c r="T349" s="84">
        <f>S349*I349</f>
        <v>23400</v>
      </c>
      <c r="U349" s="891"/>
      <c r="V349" s="668">
        <v>120</v>
      </c>
      <c r="W349" s="790">
        <f>(((K349*V349)-S349)/(K349*V349))</f>
        <v>0.4</v>
      </c>
    </row>
    <row r="350" spans="2:25" s="638" customFormat="1" ht="15.75">
      <c r="B350" s="639"/>
      <c r="C350" s="717" t="s">
        <v>2906</v>
      </c>
      <c r="D350" s="662"/>
      <c r="E350" s="158"/>
      <c r="F350" s="737"/>
      <c r="G350" s="158" t="s">
        <v>279</v>
      </c>
      <c r="H350" s="671"/>
      <c r="I350" s="676"/>
      <c r="J350" s="677">
        <v>4</v>
      </c>
      <c r="K350" s="643">
        <v>12</v>
      </c>
      <c r="L350" s="643">
        <f>K350*J350</f>
        <v>48</v>
      </c>
      <c r="M350" s="678"/>
      <c r="N350" s="706">
        <v>45719</v>
      </c>
      <c r="O350" s="707">
        <v>6892</v>
      </c>
      <c r="P350" s="674">
        <v>12</v>
      </c>
      <c r="Q350" s="674">
        <v>12</v>
      </c>
      <c r="R350" s="674">
        <f>Q350*J350</f>
        <v>48</v>
      </c>
      <c r="S350" s="788">
        <v>0</v>
      </c>
      <c r="T350" s="84">
        <f>1000+1100+1000</f>
        <v>3100</v>
      </c>
      <c r="U350" s="789"/>
      <c r="V350" s="668">
        <v>120</v>
      </c>
      <c r="W350" s="790">
        <f>(((K350*V350)-S350)/(K350*V350))</f>
        <v>1</v>
      </c>
    </row>
    <row r="351" spans="2:25" s="638" customFormat="1" ht="18" customHeight="1">
      <c r="B351" s="639"/>
      <c r="C351" s="717" t="s">
        <v>2915</v>
      </c>
      <c r="D351" s="662"/>
      <c r="E351" s="663" t="s">
        <v>2847</v>
      </c>
      <c r="F351" s="736"/>
      <c r="G351" s="664"/>
      <c r="H351" s="665"/>
      <c r="I351" s="665"/>
      <c r="J351" s="665"/>
      <c r="K351" s="505" t="s">
        <v>4</v>
      </c>
      <c r="L351" s="705"/>
      <c r="M351" s="706"/>
      <c r="N351" s="706">
        <v>45719</v>
      </c>
      <c r="O351" s="707">
        <v>6892</v>
      </c>
      <c r="P351" s="504"/>
      <c r="Q351" s="666"/>
      <c r="U351" s="667"/>
      <c r="V351" s="668">
        <v>120</v>
      </c>
    </row>
    <row r="352" spans="2:25" s="638" customFormat="1" ht="17.25" customHeight="1">
      <c r="B352" s="639" t="s">
        <v>236</v>
      </c>
      <c r="C352" s="717" t="s">
        <v>2914</v>
      </c>
      <c r="D352" s="662"/>
      <c r="E352" s="17" t="s">
        <v>2848</v>
      </c>
      <c r="F352" s="739">
        <v>6</v>
      </c>
      <c r="G352" s="17" t="s">
        <v>2475</v>
      </c>
      <c r="H352" s="100">
        <v>30</v>
      </c>
      <c r="I352" s="101">
        <v>10</v>
      </c>
      <c r="J352" s="6">
        <f>H352*I352</f>
        <v>300</v>
      </c>
      <c r="K352" s="33">
        <v>4.47</v>
      </c>
      <c r="L352" s="744">
        <f>K352*I352</f>
        <v>44.699999999999996</v>
      </c>
      <c r="M352" s="672" t="s">
        <v>255</v>
      </c>
      <c r="N352" s="706">
        <v>45719</v>
      </c>
      <c r="O352" s="707">
        <v>6892</v>
      </c>
      <c r="P352" s="673">
        <f>ROUNDUP(S352/V352/VLOOKUP(B352,$C$2:$F$6,3,FALSE),2)</f>
        <v>3.84</v>
      </c>
      <c r="Q352" s="674">
        <v>3.84</v>
      </c>
      <c r="R352" s="674">
        <f>Q352*I352</f>
        <v>38.4</v>
      </c>
      <c r="S352" s="746">
        <v>322</v>
      </c>
      <c r="T352" s="84">
        <f>S352*I352</f>
        <v>3220</v>
      </c>
      <c r="U352" s="789"/>
      <c r="V352" s="668">
        <v>120</v>
      </c>
      <c r="W352" s="790">
        <f>(((K352*V352)-S352)/(K352*V352))</f>
        <v>0.39970171513795671</v>
      </c>
    </row>
    <row r="353" spans="2:23" s="638" customFormat="1" ht="17.25" customHeight="1">
      <c r="B353" s="639" t="s">
        <v>236</v>
      </c>
      <c r="C353" s="717" t="s">
        <v>2914</v>
      </c>
      <c r="D353" s="662"/>
      <c r="E353" s="17" t="s">
        <v>2848</v>
      </c>
      <c r="F353" s="739">
        <v>6</v>
      </c>
      <c r="G353" s="17" t="s">
        <v>10</v>
      </c>
      <c r="H353" s="100">
        <v>30</v>
      </c>
      <c r="I353" s="101">
        <v>10</v>
      </c>
      <c r="J353" s="6">
        <f>H353*I353</f>
        <v>300</v>
      </c>
      <c r="K353" s="33">
        <v>4.47</v>
      </c>
      <c r="L353" s="744">
        <f>K353*I353</f>
        <v>44.699999999999996</v>
      </c>
      <c r="M353" s="672" t="s">
        <v>255</v>
      </c>
      <c r="N353" s="706">
        <v>45719</v>
      </c>
      <c r="O353" s="707">
        <v>6892</v>
      </c>
      <c r="P353" s="673">
        <f>ROUNDUP(S353/V353/VLOOKUP(B353,$C$2:$F$6,3,FALSE),2)</f>
        <v>3.84</v>
      </c>
      <c r="Q353" s="674">
        <v>3.84</v>
      </c>
      <c r="R353" s="674">
        <f>Q353*I353</f>
        <v>38.4</v>
      </c>
      <c r="S353" s="746">
        <v>322</v>
      </c>
      <c r="T353" s="84">
        <f>S353*I353</f>
        <v>3220</v>
      </c>
      <c r="U353" s="789"/>
      <c r="V353" s="668">
        <v>120</v>
      </c>
      <c r="W353" s="790">
        <f>(((K353*V353)-S353)/(K353*V353))</f>
        <v>0.39970171513795671</v>
      </c>
    </row>
    <row r="354" spans="2:23" s="638" customFormat="1" ht="17.25" customHeight="1">
      <c r="B354" s="639"/>
      <c r="C354" s="717" t="s">
        <v>2904</v>
      </c>
      <c r="D354" s="662"/>
      <c r="E354" s="14" t="s">
        <v>2795</v>
      </c>
      <c r="F354" s="739"/>
      <c r="G354" s="17"/>
      <c r="H354" s="100"/>
      <c r="I354" s="101"/>
      <c r="J354" s="6"/>
      <c r="K354" s="505" t="s">
        <v>4</v>
      </c>
      <c r="L354" s="643"/>
      <c r="M354" s="672"/>
      <c r="N354" s="706">
        <v>45719</v>
      </c>
      <c r="O354" s="707">
        <v>6892</v>
      </c>
      <c r="P354" s="673"/>
      <c r="Q354" s="674"/>
      <c r="R354" s="674"/>
      <c r="S354" s="728"/>
      <c r="T354" s="84"/>
      <c r="U354" s="728"/>
      <c r="V354" s="668"/>
    </row>
    <row r="355" spans="2:23" s="638" customFormat="1" ht="17.25" customHeight="1">
      <c r="B355" s="639" t="s">
        <v>236</v>
      </c>
      <c r="C355" s="717" t="s">
        <v>2904</v>
      </c>
      <c r="D355" s="662"/>
      <c r="E355" s="17">
        <v>3544</v>
      </c>
      <c r="F355" s="739" t="s">
        <v>2819</v>
      </c>
      <c r="G355" s="17" t="s">
        <v>2916</v>
      </c>
      <c r="H355" s="100">
        <v>30</v>
      </c>
      <c r="I355" s="101">
        <v>10</v>
      </c>
      <c r="J355" s="6">
        <f>H355*I355</f>
        <v>300</v>
      </c>
      <c r="K355" s="33">
        <v>9.1300000000000008</v>
      </c>
      <c r="L355" s="643">
        <f>K355*I355</f>
        <v>91.300000000000011</v>
      </c>
      <c r="M355" s="672" t="s">
        <v>255</v>
      </c>
      <c r="N355" s="706">
        <v>45719</v>
      </c>
      <c r="O355" s="707">
        <v>6892</v>
      </c>
      <c r="P355" s="673">
        <f>ROUNDUP(S355/V355/VLOOKUP(B355,$C$2:$F$6,3,FALSE),2)</f>
        <v>7.83</v>
      </c>
      <c r="Q355" s="674">
        <v>7.83</v>
      </c>
      <c r="R355" s="674">
        <f>Q355*I355</f>
        <v>78.3</v>
      </c>
      <c r="S355" s="725">
        <v>657</v>
      </c>
      <c r="T355" s="84">
        <f>S355*I355</f>
        <v>6570</v>
      </c>
      <c r="U355" s="891"/>
      <c r="V355" s="668">
        <v>120</v>
      </c>
      <c r="W355" s="790">
        <f t="shared" ref="W355:W360" si="65">(((K355*V355)-S355)/(K355*V355))</f>
        <v>0.40032858707557512</v>
      </c>
    </row>
    <row r="356" spans="2:23" s="638" customFormat="1" ht="17.25" customHeight="1">
      <c r="B356" s="639" t="s">
        <v>236</v>
      </c>
      <c r="C356" s="717" t="s">
        <v>2904</v>
      </c>
      <c r="D356" s="662"/>
      <c r="E356" s="17">
        <v>3544</v>
      </c>
      <c r="F356" s="739" t="s">
        <v>2798</v>
      </c>
      <c r="G356" s="17" t="s">
        <v>2917</v>
      </c>
      <c r="H356" s="100">
        <v>30</v>
      </c>
      <c r="I356" s="101">
        <v>10</v>
      </c>
      <c r="J356" s="6">
        <f>H356*I356</f>
        <v>300</v>
      </c>
      <c r="K356" s="33">
        <v>16.5</v>
      </c>
      <c r="L356" s="643">
        <f>K356*I356</f>
        <v>165</v>
      </c>
      <c r="M356" s="672" t="s">
        <v>255</v>
      </c>
      <c r="N356" s="706">
        <v>45719</v>
      </c>
      <c r="O356" s="707">
        <v>6892</v>
      </c>
      <c r="P356" s="673">
        <f>ROUNDUP(S356/V356/VLOOKUP(B356,$C$2:$F$6,3,FALSE),2)</f>
        <v>14.15</v>
      </c>
      <c r="Q356" s="674">
        <v>14.15</v>
      </c>
      <c r="R356" s="674">
        <f>Q356*I356</f>
        <v>141.5</v>
      </c>
      <c r="S356" s="725">
        <v>1188</v>
      </c>
      <c r="T356" s="84">
        <f>S356*I356</f>
        <v>11880</v>
      </c>
      <c r="U356" s="891"/>
      <c r="V356" s="668">
        <v>120</v>
      </c>
      <c r="W356" s="790">
        <f t="shared" si="65"/>
        <v>0.4</v>
      </c>
    </row>
    <row r="357" spans="2:23" s="638" customFormat="1" ht="17.25" customHeight="1">
      <c r="B357" s="639" t="s">
        <v>236</v>
      </c>
      <c r="C357" s="717" t="s">
        <v>2904</v>
      </c>
      <c r="D357" s="662"/>
      <c r="E357" s="17">
        <v>3544</v>
      </c>
      <c r="F357" s="739" t="s">
        <v>2796</v>
      </c>
      <c r="G357" s="17" t="s">
        <v>2918</v>
      </c>
      <c r="H357" s="100">
        <v>30</v>
      </c>
      <c r="I357" s="101">
        <v>10</v>
      </c>
      <c r="J357" s="6">
        <f>H357*I357</f>
        <v>300</v>
      </c>
      <c r="K357" s="33">
        <v>16.329999999999998</v>
      </c>
      <c r="L357" s="643">
        <f>K357*I357</f>
        <v>163.29999999999998</v>
      </c>
      <c r="M357" s="672" t="s">
        <v>255</v>
      </c>
      <c r="N357" s="706">
        <v>45719</v>
      </c>
      <c r="O357" s="707">
        <v>6892</v>
      </c>
      <c r="P357" s="673">
        <f>ROUNDUP(S357/V357/VLOOKUP(B357,$C$2:$F$6,3,FALSE),2)</f>
        <v>14</v>
      </c>
      <c r="Q357" s="674">
        <v>14</v>
      </c>
      <c r="R357" s="674">
        <f>Q357*I357</f>
        <v>140</v>
      </c>
      <c r="S357" s="725">
        <v>1176</v>
      </c>
      <c r="T357" s="84">
        <f>S357*I357</f>
        <v>11760</v>
      </c>
      <c r="U357" s="891"/>
      <c r="V357" s="668">
        <v>120</v>
      </c>
      <c r="W357" s="790">
        <f t="shared" si="65"/>
        <v>0.39987752602571952</v>
      </c>
    </row>
    <row r="358" spans="2:23" s="638" customFormat="1" ht="17.25" customHeight="1">
      <c r="B358" s="639" t="s">
        <v>236</v>
      </c>
      <c r="C358" s="717" t="s">
        <v>2904</v>
      </c>
      <c r="D358" s="662"/>
      <c r="E358" s="17">
        <v>3544</v>
      </c>
      <c r="F358" s="739" t="s">
        <v>2796</v>
      </c>
      <c r="G358" s="17" t="s">
        <v>2919</v>
      </c>
      <c r="H358" s="100">
        <v>30</v>
      </c>
      <c r="I358" s="101">
        <v>10</v>
      </c>
      <c r="J358" s="6">
        <f>H358*I358</f>
        <v>300</v>
      </c>
      <c r="K358" s="33">
        <v>16.329999999999998</v>
      </c>
      <c r="L358" s="643">
        <f>K358*I358</f>
        <v>163.29999999999998</v>
      </c>
      <c r="M358" s="672" t="s">
        <v>255</v>
      </c>
      <c r="N358" s="706">
        <v>45719</v>
      </c>
      <c r="O358" s="707">
        <v>6892</v>
      </c>
      <c r="P358" s="673">
        <f>ROUNDUP(S358/V358/VLOOKUP(B358,$C$2:$F$6,3,FALSE),2)</f>
        <v>14</v>
      </c>
      <c r="Q358" s="674">
        <v>14</v>
      </c>
      <c r="R358" s="674">
        <f>Q358*I358</f>
        <v>140</v>
      </c>
      <c r="S358" s="725">
        <v>1176</v>
      </c>
      <c r="T358" s="84">
        <f>S358*I358</f>
        <v>11760</v>
      </c>
      <c r="U358" s="891"/>
      <c r="V358" s="668">
        <v>120</v>
      </c>
      <c r="W358" s="790">
        <f t="shared" si="65"/>
        <v>0.39987752602571952</v>
      </c>
    </row>
    <row r="359" spans="2:23" s="638" customFormat="1" ht="15.75">
      <c r="B359" s="639"/>
      <c r="C359" s="717" t="s">
        <v>2904</v>
      </c>
      <c r="D359" s="662"/>
      <c r="E359" s="158"/>
      <c r="F359" s="737"/>
      <c r="G359" s="158" t="s">
        <v>279</v>
      </c>
      <c r="H359" s="671"/>
      <c r="I359" s="676"/>
      <c r="J359" s="677">
        <v>2</v>
      </c>
      <c r="K359" s="643">
        <v>12</v>
      </c>
      <c r="L359" s="643">
        <f>K359*J359</f>
        <v>24</v>
      </c>
      <c r="M359" s="678"/>
      <c r="N359" s="706">
        <v>45719</v>
      </c>
      <c r="O359" s="707">
        <v>6892</v>
      </c>
      <c r="P359" s="674">
        <v>12</v>
      </c>
      <c r="Q359" s="674">
        <v>12</v>
      </c>
      <c r="R359" s="674">
        <f>Q359*J359</f>
        <v>24</v>
      </c>
      <c r="S359" s="788">
        <v>0</v>
      </c>
      <c r="T359" s="84">
        <v>0</v>
      </c>
      <c r="U359" s="789"/>
      <c r="V359" s="668">
        <v>120</v>
      </c>
      <c r="W359" s="790">
        <f t="shared" si="65"/>
        <v>1</v>
      </c>
    </row>
    <row r="360" spans="2:23" s="709" customFormat="1" ht="17.25">
      <c r="B360" s="710"/>
      <c r="C360" s="719" t="s">
        <v>2920</v>
      </c>
      <c r="D360" s="680"/>
      <c r="E360" s="681"/>
      <c r="F360" s="738"/>
      <c r="G360" s="682" t="s">
        <v>210</v>
      </c>
      <c r="H360" s="683" t="s">
        <v>2754</v>
      </c>
      <c r="I360" s="684"/>
      <c r="J360" s="685"/>
      <c r="K360" s="720">
        <v>390</v>
      </c>
      <c r="L360" s="720">
        <v>390</v>
      </c>
      <c r="M360" s="815"/>
      <c r="N360" s="712">
        <v>45719</v>
      </c>
      <c r="O360" s="713">
        <v>6892</v>
      </c>
      <c r="P360" s="816"/>
      <c r="Q360" s="720">
        <v>390</v>
      </c>
      <c r="R360" s="720">
        <v>390</v>
      </c>
      <c r="S360" s="837">
        <v>38870</v>
      </c>
      <c r="T360" s="837">
        <v>38870</v>
      </c>
      <c r="U360" s="890"/>
      <c r="V360" s="668">
        <v>120</v>
      </c>
      <c r="W360" s="790">
        <f t="shared" si="65"/>
        <v>0.16944444444444445</v>
      </c>
    </row>
    <row r="361" spans="2:23" s="638" customFormat="1" ht="18" customHeight="1">
      <c r="B361" s="639"/>
      <c r="C361" s="717" t="s">
        <v>2924</v>
      </c>
      <c r="D361" s="662"/>
      <c r="E361" s="663" t="s">
        <v>2751</v>
      </c>
      <c r="F361" s="736"/>
      <c r="G361" s="664"/>
      <c r="H361" s="665"/>
      <c r="I361" s="665"/>
      <c r="J361" s="665"/>
      <c r="K361" s="505" t="s">
        <v>4</v>
      </c>
      <c r="L361" s="705"/>
      <c r="M361" s="706"/>
      <c r="N361" s="706">
        <v>45729</v>
      </c>
      <c r="O361" s="707">
        <v>6916</v>
      </c>
      <c r="P361" s="504"/>
      <c r="Q361" s="666"/>
      <c r="U361" s="667"/>
      <c r="V361" s="668">
        <v>120</v>
      </c>
    </row>
    <row r="362" spans="2:23" s="638" customFormat="1" ht="17.25" customHeight="1">
      <c r="B362" s="639" t="s">
        <v>236</v>
      </c>
      <c r="C362" s="717" t="s">
        <v>2924</v>
      </c>
      <c r="D362" s="662"/>
      <c r="E362" s="17">
        <v>5313</v>
      </c>
      <c r="F362" s="739">
        <v>2.5</v>
      </c>
      <c r="G362" s="748" t="s">
        <v>75</v>
      </c>
      <c r="H362" s="747">
        <v>150</v>
      </c>
      <c r="I362" s="101">
        <v>10</v>
      </c>
      <c r="J362" s="6">
        <f t="shared" ref="J362:J369" si="66">H362*I362</f>
        <v>1500</v>
      </c>
      <c r="K362" s="745">
        <v>31.25</v>
      </c>
      <c r="L362" s="744">
        <f t="shared" ref="L362:L369" si="67">K362*I362</f>
        <v>312.5</v>
      </c>
      <c r="M362" s="672" t="s">
        <v>255</v>
      </c>
      <c r="N362" s="706">
        <v>45729</v>
      </c>
      <c r="O362" s="707">
        <v>6916</v>
      </c>
      <c r="P362" s="673">
        <f t="shared" ref="P362:P369" si="68">ROUNDUP(S362/V362/VLOOKUP(B362,$C$2:$F$6,3,FALSE),2)</f>
        <v>26.790000000000003</v>
      </c>
      <c r="Q362" s="674">
        <v>26.79</v>
      </c>
      <c r="R362" s="674">
        <f t="shared" ref="R362:R369" si="69">Q362*I362</f>
        <v>267.89999999999998</v>
      </c>
      <c r="S362" s="746">
        <v>2250</v>
      </c>
      <c r="T362" s="84">
        <f t="shared" ref="T362:T369" si="70">S362*I362</f>
        <v>22500</v>
      </c>
      <c r="U362" s="789"/>
      <c r="V362" s="668">
        <v>120</v>
      </c>
      <c r="W362" s="790">
        <f t="shared" ref="W362:W371" si="71">(((K362*V362)-S362)/(K362*V362))</f>
        <v>0.4</v>
      </c>
    </row>
    <row r="363" spans="2:23" s="638" customFormat="1" ht="17.25" customHeight="1">
      <c r="B363" s="639" t="s">
        <v>236</v>
      </c>
      <c r="C363" s="717" t="s">
        <v>2924</v>
      </c>
      <c r="D363" s="662"/>
      <c r="E363" s="787">
        <v>5313</v>
      </c>
      <c r="F363" s="739">
        <v>2.5</v>
      </c>
      <c r="G363" s="748" t="s">
        <v>73</v>
      </c>
      <c r="H363" s="747">
        <v>150</v>
      </c>
      <c r="I363" s="101">
        <v>5</v>
      </c>
      <c r="J363" s="6">
        <f t="shared" si="66"/>
        <v>750</v>
      </c>
      <c r="K363" s="745">
        <v>31.25</v>
      </c>
      <c r="L363" s="744">
        <f t="shared" si="67"/>
        <v>156.25</v>
      </c>
      <c r="M363" s="672" t="s">
        <v>255</v>
      </c>
      <c r="N363" s="835">
        <v>45747</v>
      </c>
      <c r="O363" s="707">
        <v>6984</v>
      </c>
      <c r="P363" s="673">
        <f t="shared" si="68"/>
        <v>26.790000000000003</v>
      </c>
      <c r="Q363" s="674">
        <v>26.79</v>
      </c>
      <c r="R363" s="674">
        <f t="shared" si="69"/>
        <v>133.94999999999999</v>
      </c>
      <c r="S363" s="746">
        <v>2250</v>
      </c>
      <c r="T363" s="84">
        <f t="shared" si="70"/>
        <v>11250</v>
      </c>
      <c r="U363" s="789"/>
      <c r="V363" s="668">
        <v>120</v>
      </c>
      <c r="W363" s="790">
        <f t="shared" si="71"/>
        <v>0.4</v>
      </c>
    </row>
    <row r="364" spans="2:23" s="638" customFormat="1" ht="17.25" customHeight="1">
      <c r="B364" s="639" t="s">
        <v>236</v>
      </c>
      <c r="C364" s="717" t="s">
        <v>2924</v>
      </c>
      <c r="D364" s="662"/>
      <c r="E364" s="17">
        <v>5313</v>
      </c>
      <c r="F364" s="739">
        <v>2.5</v>
      </c>
      <c r="G364" s="748" t="s">
        <v>2921</v>
      </c>
      <c r="H364" s="747">
        <v>150</v>
      </c>
      <c r="I364" s="101">
        <v>5</v>
      </c>
      <c r="J364" s="6">
        <f t="shared" si="66"/>
        <v>750</v>
      </c>
      <c r="K364" s="745">
        <v>31.25</v>
      </c>
      <c r="L364" s="744">
        <f t="shared" si="67"/>
        <v>156.25</v>
      </c>
      <c r="M364" s="672" t="s">
        <v>255</v>
      </c>
      <c r="N364" s="835">
        <v>45729</v>
      </c>
      <c r="O364" s="707">
        <v>6916</v>
      </c>
      <c r="P364" s="673">
        <f t="shared" si="68"/>
        <v>26.790000000000003</v>
      </c>
      <c r="Q364" s="674">
        <v>26.79</v>
      </c>
      <c r="R364" s="674">
        <f t="shared" si="69"/>
        <v>133.94999999999999</v>
      </c>
      <c r="S364" s="746">
        <v>2250</v>
      </c>
      <c r="T364" s="84">
        <f t="shared" si="70"/>
        <v>11250</v>
      </c>
      <c r="U364" s="789"/>
      <c r="V364" s="668">
        <v>120</v>
      </c>
      <c r="W364" s="790">
        <f t="shared" si="71"/>
        <v>0.4</v>
      </c>
    </row>
    <row r="365" spans="2:23" s="638" customFormat="1" ht="17.25" customHeight="1">
      <c r="B365" s="639" t="s">
        <v>236</v>
      </c>
      <c r="C365" s="717" t="s">
        <v>2924</v>
      </c>
      <c r="D365" s="662"/>
      <c r="E365" s="17">
        <v>5313</v>
      </c>
      <c r="F365" s="739">
        <v>2.5</v>
      </c>
      <c r="G365" s="748" t="s">
        <v>2842</v>
      </c>
      <c r="H365" s="747">
        <v>150</v>
      </c>
      <c r="I365" s="101">
        <v>5</v>
      </c>
      <c r="J365" s="6">
        <f t="shared" si="66"/>
        <v>750</v>
      </c>
      <c r="K365" s="745">
        <v>31.25</v>
      </c>
      <c r="L365" s="744">
        <f t="shared" si="67"/>
        <v>156.25</v>
      </c>
      <c r="M365" s="672" t="s">
        <v>255</v>
      </c>
      <c r="N365" s="835">
        <v>45729</v>
      </c>
      <c r="O365" s="707">
        <v>6916</v>
      </c>
      <c r="P365" s="673">
        <f t="shared" si="68"/>
        <v>26.790000000000003</v>
      </c>
      <c r="Q365" s="674">
        <v>26.79</v>
      </c>
      <c r="R365" s="674">
        <f t="shared" si="69"/>
        <v>133.94999999999999</v>
      </c>
      <c r="S365" s="746">
        <v>2250</v>
      </c>
      <c r="T365" s="84">
        <f t="shared" si="70"/>
        <v>11250</v>
      </c>
      <c r="U365" s="789"/>
      <c r="V365" s="668">
        <v>120</v>
      </c>
      <c r="W365" s="790">
        <f t="shared" si="71"/>
        <v>0.4</v>
      </c>
    </row>
    <row r="366" spans="2:23" s="638" customFormat="1" ht="17.25" customHeight="1">
      <c r="B366" s="639" t="s">
        <v>236</v>
      </c>
      <c r="C366" s="717" t="s">
        <v>2924</v>
      </c>
      <c r="D366" s="662"/>
      <c r="E366" s="17">
        <v>5313</v>
      </c>
      <c r="F366" s="739">
        <v>2.5</v>
      </c>
      <c r="G366" s="748" t="s">
        <v>26</v>
      </c>
      <c r="H366" s="747">
        <v>150</v>
      </c>
      <c r="I366" s="101">
        <v>5</v>
      </c>
      <c r="J366" s="6">
        <f t="shared" si="66"/>
        <v>750</v>
      </c>
      <c r="K366" s="745">
        <v>31.25</v>
      </c>
      <c r="L366" s="744">
        <f t="shared" si="67"/>
        <v>156.25</v>
      </c>
      <c r="M366" s="672" t="s">
        <v>255</v>
      </c>
      <c r="N366" s="835">
        <v>45729</v>
      </c>
      <c r="O366" s="707">
        <v>6916</v>
      </c>
      <c r="P366" s="673">
        <f t="shared" si="68"/>
        <v>26.790000000000003</v>
      </c>
      <c r="Q366" s="674">
        <v>26.79</v>
      </c>
      <c r="R366" s="674">
        <f t="shared" si="69"/>
        <v>133.94999999999999</v>
      </c>
      <c r="S366" s="746">
        <v>2250</v>
      </c>
      <c r="T366" s="84">
        <f t="shared" si="70"/>
        <v>11250</v>
      </c>
      <c r="U366" s="789"/>
      <c r="V366" s="668">
        <v>120</v>
      </c>
      <c r="W366" s="790">
        <f t="shared" si="71"/>
        <v>0.4</v>
      </c>
    </row>
    <row r="367" spans="2:23" s="638" customFormat="1" ht="17.25" customHeight="1">
      <c r="B367" s="639" t="s">
        <v>236</v>
      </c>
      <c r="C367" s="717" t="s">
        <v>2924</v>
      </c>
      <c r="D367" s="662"/>
      <c r="E367" s="17">
        <v>5313</v>
      </c>
      <c r="F367" s="739">
        <v>2.5</v>
      </c>
      <c r="G367" s="748" t="s">
        <v>1881</v>
      </c>
      <c r="H367" s="747">
        <v>150</v>
      </c>
      <c r="I367" s="101">
        <v>5</v>
      </c>
      <c r="J367" s="6">
        <f t="shared" si="66"/>
        <v>750</v>
      </c>
      <c r="K367" s="745">
        <v>31.25</v>
      </c>
      <c r="L367" s="744">
        <f t="shared" si="67"/>
        <v>156.25</v>
      </c>
      <c r="M367" s="672" t="s">
        <v>255</v>
      </c>
      <c r="N367" s="835">
        <v>45729</v>
      </c>
      <c r="O367" s="707">
        <v>6916</v>
      </c>
      <c r="P367" s="673">
        <f t="shared" si="68"/>
        <v>26.790000000000003</v>
      </c>
      <c r="Q367" s="674">
        <v>26.79</v>
      </c>
      <c r="R367" s="674">
        <f t="shared" si="69"/>
        <v>133.94999999999999</v>
      </c>
      <c r="S367" s="746">
        <v>2250</v>
      </c>
      <c r="T367" s="84">
        <f t="shared" si="70"/>
        <v>11250</v>
      </c>
      <c r="U367" s="789"/>
      <c r="V367" s="668">
        <v>120</v>
      </c>
      <c r="W367" s="790">
        <f t="shared" si="71"/>
        <v>0.4</v>
      </c>
    </row>
    <row r="368" spans="2:23" s="638" customFormat="1" ht="17.25" customHeight="1">
      <c r="B368" s="639" t="s">
        <v>236</v>
      </c>
      <c r="C368" s="717" t="s">
        <v>2924</v>
      </c>
      <c r="D368" s="662"/>
      <c r="E368" s="17">
        <v>5313</v>
      </c>
      <c r="F368" s="739">
        <v>2.5</v>
      </c>
      <c r="G368" s="748" t="s">
        <v>2922</v>
      </c>
      <c r="H368" s="747">
        <v>150</v>
      </c>
      <c r="I368" s="101">
        <v>5</v>
      </c>
      <c r="J368" s="6">
        <f t="shared" si="66"/>
        <v>750</v>
      </c>
      <c r="K368" s="745">
        <v>31.25</v>
      </c>
      <c r="L368" s="744">
        <f t="shared" si="67"/>
        <v>156.25</v>
      </c>
      <c r="M368" s="672" t="s">
        <v>255</v>
      </c>
      <c r="N368" s="835">
        <v>45729</v>
      </c>
      <c r="O368" s="707">
        <v>6916</v>
      </c>
      <c r="P368" s="673">
        <f t="shared" si="68"/>
        <v>26.790000000000003</v>
      </c>
      <c r="Q368" s="674">
        <v>26.79</v>
      </c>
      <c r="R368" s="674">
        <f t="shared" si="69"/>
        <v>133.94999999999999</v>
      </c>
      <c r="S368" s="746">
        <v>2250</v>
      </c>
      <c r="T368" s="84">
        <f t="shared" si="70"/>
        <v>11250</v>
      </c>
      <c r="U368" s="789"/>
      <c r="V368" s="668">
        <v>120</v>
      </c>
      <c r="W368" s="790">
        <f t="shared" si="71"/>
        <v>0.4</v>
      </c>
    </row>
    <row r="369" spans="1:23" s="638" customFormat="1" ht="17.25" customHeight="1">
      <c r="B369" s="639" t="s">
        <v>236</v>
      </c>
      <c r="C369" s="717" t="s">
        <v>2924</v>
      </c>
      <c r="D369" s="662"/>
      <c r="E369" s="787">
        <v>5313</v>
      </c>
      <c r="F369" s="739">
        <v>2.5</v>
      </c>
      <c r="G369" s="748" t="s">
        <v>2814</v>
      </c>
      <c r="H369" s="747">
        <v>150</v>
      </c>
      <c r="I369" s="101">
        <v>5</v>
      </c>
      <c r="J369" s="6">
        <f t="shared" si="66"/>
        <v>750</v>
      </c>
      <c r="K369" s="745">
        <v>31.25</v>
      </c>
      <c r="L369" s="744">
        <f t="shared" si="67"/>
        <v>156.25</v>
      </c>
      <c r="M369" s="672" t="s">
        <v>255</v>
      </c>
      <c r="N369" s="835">
        <v>45747</v>
      </c>
      <c r="O369" s="707">
        <v>6984</v>
      </c>
      <c r="P369" s="673">
        <f t="shared" si="68"/>
        <v>26.790000000000003</v>
      </c>
      <c r="Q369" s="674">
        <v>26.79</v>
      </c>
      <c r="R369" s="674">
        <f t="shared" si="69"/>
        <v>133.94999999999999</v>
      </c>
      <c r="S369" s="746">
        <v>2250</v>
      </c>
      <c r="T369" s="84">
        <f t="shared" si="70"/>
        <v>11250</v>
      </c>
      <c r="U369" s="789"/>
      <c r="V369" s="668">
        <v>120</v>
      </c>
      <c r="W369" s="790">
        <f t="shared" si="71"/>
        <v>0.4</v>
      </c>
    </row>
    <row r="370" spans="1:23" s="638" customFormat="1" ht="15.75">
      <c r="B370" s="639"/>
      <c r="C370" s="717" t="s">
        <v>2924</v>
      </c>
      <c r="D370" s="662"/>
      <c r="E370" s="158"/>
      <c r="F370" s="737"/>
      <c r="G370" s="158" t="s">
        <v>250</v>
      </c>
      <c r="H370" s="671"/>
      <c r="I370" s="676"/>
      <c r="J370" s="677">
        <v>1</v>
      </c>
      <c r="K370" s="643">
        <v>12</v>
      </c>
      <c r="L370" s="643">
        <f>K370*J370</f>
        <v>12</v>
      </c>
      <c r="M370" s="678"/>
      <c r="N370" s="706">
        <v>45729</v>
      </c>
      <c r="O370" s="707">
        <v>6916</v>
      </c>
      <c r="P370" s="504"/>
      <c r="Q370" s="674">
        <v>12</v>
      </c>
      <c r="R370" s="674">
        <f>Q370*J370</f>
        <v>12</v>
      </c>
      <c r="S370" s="725">
        <v>0</v>
      </c>
      <c r="T370" s="725">
        <v>0</v>
      </c>
      <c r="U370" s="726"/>
      <c r="V370" s="668">
        <v>120</v>
      </c>
      <c r="W370" s="730">
        <f t="shared" si="71"/>
        <v>1</v>
      </c>
    </row>
    <row r="371" spans="1:23" s="709" customFormat="1" ht="15.75">
      <c r="B371" s="710"/>
      <c r="C371" s="719" t="s">
        <v>2923</v>
      </c>
      <c r="D371" s="680"/>
      <c r="E371" s="681"/>
      <c r="F371" s="738"/>
      <c r="G371" s="682" t="s">
        <v>210</v>
      </c>
      <c r="H371" s="683" t="s">
        <v>2754</v>
      </c>
      <c r="I371" s="684"/>
      <c r="J371" s="685"/>
      <c r="K371" s="720">
        <v>330</v>
      </c>
      <c r="L371" s="720">
        <v>330</v>
      </c>
      <c r="M371" s="712"/>
      <c r="N371" s="712">
        <v>45729</v>
      </c>
      <c r="O371" s="713">
        <v>6916</v>
      </c>
      <c r="P371" s="687"/>
      <c r="Q371" s="720">
        <v>330</v>
      </c>
      <c r="R371" s="720">
        <v>330</v>
      </c>
      <c r="S371" s="754">
        <v>39490</v>
      </c>
      <c r="T371" s="754">
        <v>39490</v>
      </c>
      <c r="U371" s="690"/>
      <c r="V371" s="668">
        <v>120</v>
      </c>
      <c r="W371" s="730">
        <f t="shared" si="71"/>
        <v>2.7777777777777779E-3</v>
      </c>
    </row>
    <row r="372" spans="1:23" s="638" customFormat="1" ht="17.25" customHeight="1">
      <c r="B372" s="639"/>
      <c r="C372" s="717" t="s">
        <v>2925</v>
      </c>
      <c r="D372" s="662"/>
      <c r="E372" s="14" t="s">
        <v>2792</v>
      </c>
      <c r="F372" s="739"/>
      <c r="G372" s="17"/>
      <c r="H372" s="100"/>
      <c r="I372" s="101"/>
      <c r="J372" s="6"/>
      <c r="K372" s="505" t="s">
        <v>4</v>
      </c>
      <c r="L372" s="643"/>
      <c r="M372" s="672"/>
      <c r="N372" s="828">
        <v>45729</v>
      </c>
      <c r="O372" s="707">
        <v>6916</v>
      </c>
      <c r="P372" s="673"/>
      <c r="Q372" s="674"/>
      <c r="R372" s="674"/>
      <c r="S372" s="728"/>
      <c r="T372" s="84"/>
      <c r="U372" s="728"/>
      <c r="V372" s="668"/>
    </row>
    <row r="373" spans="1:23" s="638" customFormat="1" ht="17.25" customHeight="1">
      <c r="B373" s="639" t="s">
        <v>236</v>
      </c>
      <c r="C373" s="717" t="s">
        <v>2925</v>
      </c>
      <c r="D373" s="662"/>
      <c r="E373" s="17">
        <v>3534</v>
      </c>
      <c r="F373" s="739">
        <v>40</v>
      </c>
      <c r="G373" s="17" t="s">
        <v>2793</v>
      </c>
      <c r="H373" s="100">
        <v>30</v>
      </c>
      <c r="I373" s="101">
        <v>10</v>
      </c>
      <c r="J373" s="6">
        <f>H373*I373</f>
        <v>300</v>
      </c>
      <c r="K373" s="33">
        <v>32.08</v>
      </c>
      <c r="L373" s="643">
        <f>K373*I373</f>
        <v>320.79999999999995</v>
      </c>
      <c r="M373" s="672" t="s">
        <v>255</v>
      </c>
      <c r="N373" s="706">
        <v>45729</v>
      </c>
      <c r="O373" s="707">
        <v>6916</v>
      </c>
      <c r="P373" s="673">
        <f>ROUNDUP(S373/V373/VLOOKUP(B373,$C$2:$F$6,3,FALSE),2)</f>
        <v>22.150000000000002</v>
      </c>
      <c r="Q373" s="674">
        <v>27.5</v>
      </c>
      <c r="R373" s="674">
        <f>Q373*I373</f>
        <v>275</v>
      </c>
      <c r="S373" s="725">
        <v>1860</v>
      </c>
      <c r="T373" s="84">
        <f>S373*I373</f>
        <v>18600</v>
      </c>
      <c r="U373" s="726"/>
      <c r="V373" s="668">
        <v>120</v>
      </c>
      <c r="W373" s="730">
        <f>(((K373*V373)-S373)/(K373*V373))</f>
        <v>0.51683291770573569</v>
      </c>
    </row>
    <row r="374" spans="1:23" s="638" customFormat="1" ht="15.75">
      <c r="B374" s="639"/>
      <c r="C374" s="717" t="s">
        <v>2925</v>
      </c>
      <c r="D374" s="662"/>
      <c r="E374" s="158"/>
      <c r="F374" s="737"/>
      <c r="G374" s="158" t="s">
        <v>279</v>
      </c>
      <c r="H374" s="671"/>
      <c r="I374" s="676"/>
      <c r="J374" s="677">
        <v>1</v>
      </c>
      <c r="K374" s="643">
        <v>12</v>
      </c>
      <c r="L374" s="643">
        <f>K374*J374</f>
        <v>12</v>
      </c>
      <c r="M374" s="678"/>
      <c r="N374" s="706">
        <v>45729</v>
      </c>
      <c r="O374" s="707">
        <v>6916</v>
      </c>
      <c r="P374" s="674">
        <v>12</v>
      </c>
      <c r="Q374" s="674">
        <v>12</v>
      </c>
      <c r="R374" s="674">
        <f>Q374*J374</f>
        <v>12</v>
      </c>
      <c r="S374" s="788">
        <v>1100</v>
      </c>
      <c r="T374" s="84">
        <v>1100</v>
      </c>
      <c r="U374" s="789"/>
      <c r="V374" s="668">
        <v>120</v>
      </c>
      <c r="W374" s="790">
        <f>(((K374*V374)-S374)/(K374*V374))</f>
        <v>0.2361111111111111</v>
      </c>
    </row>
    <row r="375" spans="1:23" s="638" customFormat="1" ht="17.25" customHeight="1">
      <c r="A375" s="638" t="s">
        <v>2850</v>
      </c>
      <c r="B375" s="639"/>
      <c r="C375" s="717" t="s">
        <v>2927</v>
      </c>
      <c r="D375" s="662"/>
      <c r="E375" s="14" t="s">
        <v>2780</v>
      </c>
      <c r="F375" s="739"/>
      <c r="G375" s="17"/>
      <c r="H375" s="100"/>
      <c r="I375" s="101"/>
      <c r="J375" s="6"/>
      <c r="K375" s="505" t="s">
        <v>4</v>
      </c>
      <c r="L375" s="643"/>
      <c r="M375" s="672"/>
      <c r="N375" s="706">
        <v>45729</v>
      </c>
      <c r="O375" s="707">
        <v>6916</v>
      </c>
      <c r="P375" s="673"/>
      <c r="Q375" s="674"/>
      <c r="R375" s="674"/>
      <c r="S375" s="728" t="s">
        <v>2785</v>
      </c>
      <c r="T375" s="84"/>
      <c r="U375" s="728"/>
      <c r="V375" s="668"/>
    </row>
    <row r="376" spans="1:23" s="638" customFormat="1" ht="17.25" customHeight="1">
      <c r="B376" s="639" t="s">
        <v>236</v>
      </c>
      <c r="C376" s="717" t="s">
        <v>2927</v>
      </c>
      <c r="D376" s="662"/>
      <c r="E376" s="17">
        <v>2200</v>
      </c>
      <c r="F376" s="739">
        <v>18</v>
      </c>
      <c r="G376" s="17" t="s">
        <v>273</v>
      </c>
      <c r="H376" s="100">
        <v>15</v>
      </c>
      <c r="I376" s="101">
        <v>3</v>
      </c>
      <c r="J376" s="6">
        <f t="shared" ref="J376:J381" si="72">H376*I376</f>
        <v>45</v>
      </c>
      <c r="K376" s="33">
        <v>18.75</v>
      </c>
      <c r="L376" s="643">
        <f t="shared" ref="L376:L381" si="73">K376*I376</f>
        <v>56.25</v>
      </c>
      <c r="M376" s="672" t="s">
        <v>255</v>
      </c>
      <c r="N376" s="828">
        <v>45729</v>
      </c>
      <c r="O376" s="707">
        <v>6916</v>
      </c>
      <c r="P376" s="673">
        <f t="shared" ref="P376:P381" si="74">ROUNDUP(S376/V376/VLOOKUP(B376,$C$2:$F$6,3,FALSE),2)</f>
        <v>14.58</v>
      </c>
      <c r="Q376" s="674">
        <v>14.58</v>
      </c>
      <c r="R376" s="674">
        <f t="shared" ref="R376:R381" si="75">Q376*I376</f>
        <v>43.74</v>
      </c>
      <c r="S376" s="725">
        <v>1224</v>
      </c>
      <c r="T376" s="84">
        <f t="shared" ref="T376:T381" si="76">S376*I376</f>
        <v>3672</v>
      </c>
      <c r="U376" s="726"/>
      <c r="V376" s="668">
        <v>120</v>
      </c>
      <c r="W376" s="730">
        <f t="shared" ref="W376:W383" si="77">(((K376*V376)-S376)/(K376*V376))</f>
        <v>0.45600000000000002</v>
      </c>
    </row>
    <row r="377" spans="1:23" s="638" customFormat="1" ht="17.25" customHeight="1">
      <c r="B377" s="639" t="s">
        <v>236</v>
      </c>
      <c r="C377" s="717" t="s">
        <v>2927</v>
      </c>
      <c r="D377" s="662"/>
      <c r="E377" s="17">
        <v>2200</v>
      </c>
      <c r="F377" s="739">
        <v>12</v>
      </c>
      <c r="G377" s="17" t="s">
        <v>74</v>
      </c>
      <c r="H377" s="100">
        <v>15</v>
      </c>
      <c r="I377" s="101">
        <v>3</v>
      </c>
      <c r="J377" s="6">
        <f t="shared" si="72"/>
        <v>45</v>
      </c>
      <c r="K377" s="33">
        <v>12.63</v>
      </c>
      <c r="L377" s="643">
        <f t="shared" si="73"/>
        <v>37.89</v>
      </c>
      <c r="M377" s="672" t="s">
        <v>255</v>
      </c>
      <c r="N377" s="828">
        <v>45729</v>
      </c>
      <c r="O377" s="707">
        <v>6916</v>
      </c>
      <c r="P377" s="673">
        <f t="shared" si="74"/>
        <v>9.83</v>
      </c>
      <c r="Q377" s="674">
        <v>9.83</v>
      </c>
      <c r="R377" s="674">
        <f t="shared" si="75"/>
        <v>29.490000000000002</v>
      </c>
      <c r="S377" s="796">
        <v>825</v>
      </c>
      <c r="T377" s="84">
        <f t="shared" si="76"/>
        <v>2475</v>
      </c>
      <c r="U377" s="789"/>
      <c r="V377" s="668">
        <v>120</v>
      </c>
      <c r="W377" s="790">
        <f t="shared" si="77"/>
        <v>0.45566112430720512</v>
      </c>
    </row>
    <row r="378" spans="1:23" s="638" customFormat="1" ht="17.25" customHeight="1">
      <c r="B378" s="639" t="s">
        <v>236</v>
      </c>
      <c r="C378" s="717" t="s">
        <v>2927</v>
      </c>
      <c r="D378" s="662"/>
      <c r="E378" s="17">
        <v>2200</v>
      </c>
      <c r="F378" s="739">
        <v>18</v>
      </c>
      <c r="G378" s="17" t="s">
        <v>71</v>
      </c>
      <c r="H378" s="100">
        <v>15</v>
      </c>
      <c r="I378" s="101">
        <v>3</v>
      </c>
      <c r="J378" s="6">
        <f t="shared" si="72"/>
        <v>45</v>
      </c>
      <c r="K378" s="33">
        <v>18.75</v>
      </c>
      <c r="L378" s="643">
        <f t="shared" si="73"/>
        <v>56.25</v>
      </c>
      <c r="M378" s="672" t="s">
        <v>255</v>
      </c>
      <c r="N378" s="828">
        <v>45729</v>
      </c>
      <c r="O378" s="707">
        <v>6916</v>
      </c>
      <c r="P378" s="673">
        <f t="shared" si="74"/>
        <v>14.58</v>
      </c>
      <c r="Q378" s="674">
        <v>14.58</v>
      </c>
      <c r="R378" s="674">
        <f t="shared" si="75"/>
        <v>43.74</v>
      </c>
      <c r="S378" s="725">
        <v>1224</v>
      </c>
      <c r="T378" s="84">
        <f t="shared" si="76"/>
        <v>3672</v>
      </c>
      <c r="U378" s="789"/>
      <c r="V378" s="668">
        <v>120</v>
      </c>
      <c r="W378" s="790">
        <f t="shared" si="77"/>
        <v>0.45600000000000002</v>
      </c>
    </row>
    <row r="379" spans="1:23" s="638" customFormat="1" ht="17.25" customHeight="1">
      <c r="B379" s="639" t="s">
        <v>236</v>
      </c>
      <c r="C379" s="717" t="s">
        <v>2927</v>
      </c>
      <c r="D379" s="662"/>
      <c r="E379" s="17">
        <v>2200</v>
      </c>
      <c r="F379" s="739">
        <v>12</v>
      </c>
      <c r="G379" s="17" t="s">
        <v>117</v>
      </c>
      <c r="H379" s="100">
        <v>15</v>
      </c>
      <c r="I379" s="101">
        <v>5</v>
      </c>
      <c r="J379" s="6">
        <f t="shared" si="72"/>
        <v>75</v>
      </c>
      <c r="K379" s="33">
        <v>12.63</v>
      </c>
      <c r="L379" s="643">
        <f t="shared" si="73"/>
        <v>63.150000000000006</v>
      </c>
      <c r="M379" s="672" t="s">
        <v>255</v>
      </c>
      <c r="N379" s="828">
        <v>45729</v>
      </c>
      <c r="O379" s="707">
        <v>6916</v>
      </c>
      <c r="P379" s="673">
        <f t="shared" si="74"/>
        <v>9.83</v>
      </c>
      <c r="Q379" s="674">
        <v>9.83</v>
      </c>
      <c r="R379" s="674">
        <f t="shared" si="75"/>
        <v>49.15</v>
      </c>
      <c r="S379" s="796">
        <v>825</v>
      </c>
      <c r="T379" s="84">
        <f t="shared" si="76"/>
        <v>4125</v>
      </c>
      <c r="U379" s="789"/>
      <c r="V379" s="668">
        <v>120</v>
      </c>
      <c r="W379" s="790">
        <f t="shared" si="77"/>
        <v>0.45566112430720512</v>
      </c>
    </row>
    <row r="380" spans="1:23" s="638" customFormat="1" ht="17.25" customHeight="1">
      <c r="B380" s="639" t="s">
        <v>236</v>
      </c>
      <c r="C380" s="717" t="s">
        <v>2927</v>
      </c>
      <c r="D380" s="662"/>
      <c r="E380" s="787">
        <v>2200</v>
      </c>
      <c r="F380" s="739">
        <v>24</v>
      </c>
      <c r="G380" s="17" t="s">
        <v>117</v>
      </c>
      <c r="H380" s="100">
        <v>15</v>
      </c>
      <c r="I380" s="101">
        <v>5</v>
      </c>
      <c r="J380" s="6">
        <f t="shared" si="72"/>
        <v>75</v>
      </c>
      <c r="K380" s="33">
        <v>23.72</v>
      </c>
      <c r="L380" s="643">
        <f t="shared" si="73"/>
        <v>118.6</v>
      </c>
      <c r="M380" s="672" t="s">
        <v>255</v>
      </c>
      <c r="N380" s="834">
        <v>45747</v>
      </c>
      <c r="O380" s="707">
        <v>6984</v>
      </c>
      <c r="P380" s="673">
        <f t="shared" si="74"/>
        <v>18.470000000000002</v>
      </c>
      <c r="Q380" s="674">
        <v>18.47</v>
      </c>
      <c r="R380" s="674">
        <f t="shared" si="75"/>
        <v>92.35</v>
      </c>
      <c r="S380" s="796">
        <v>1551</v>
      </c>
      <c r="T380" s="84">
        <f t="shared" si="76"/>
        <v>7755</v>
      </c>
      <c r="U380" s="789"/>
      <c r="V380" s="668">
        <v>120</v>
      </c>
      <c r="W380" s="790">
        <f t="shared" si="77"/>
        <v>0.45510118043844849</v>
      </c>
    </row>
    <row r="381" spans="1:23" s="638" customFormat="1" ht="17.25" customHeight="1">
      <c r="B381" s="639" t="s">
        <v>236</v>
      </c>
      <c r="C381" s="717" t="s">
        <v>2927</v>
      </c>
      <c r="D381" s="662"/>
      <c r="E381" s="787">
        <v>2200</v>
      </c>
      <c r="F381" s="739">
        <v>12</v>
      </c>
      <c r="G381" s="17" t="s">
        <v>2890</v>
      </c>
      <c r="H381" s="100">
        <v>15</v>
      </c>
      <c r="I381" s="101">
        <v>3</v>
      </c>
      <c r="J381" s="6">
        <f t="shared" si="72"/>
        <v>45</v>
      </c>
      <c r="K381" s="33">
        <v>12.63</v>
      </c>
      <c r="L381" s="643">
        <f t="shared" si="73"/>
        <v>37.89</v>
      </c>
      <c r="M381" s="672" t="s">
        <v>255</v>
      </c>
      <c r="N381" s="834">
        <v>45747</v>
      </c>
      <c r="O381" s="707">
        <v>6984</v>
      </c>
      <c r="P381" s="673">
        <f t="shared" si="74"/>
        <v>9.83</v>
      </c>
      <c r="Q381" s="674">
        <v>9.83</v>
      </c>
      <c r="R381" s="674">
        <f t="shared" si="75"/>
        <v>29.490000000000002</v>
      </c>
      <c r="S381" s="788">
        <v>825</v>
      </c>
      <c r="T381" s="84">
        <f t="shared" si="76"/>
        <v>2475</v>
      </c>
      <c r="U381" s="726"/>
      <c r="V381" s="668">
        <v>120</v>
      </c>
      <c r="W381" s="730">
        <f t="shared" si="77"/>
        <v>0.45566112430720512</v>
      </c>
    </row>
    <row r="382" spans="1:23" s="638" customFormat="1" ht="15.75">
      <c r="B382" s="639"/>
      <c r="C382" s="717" t="s">
        <v>2927</v>
      </c>
      <c r="D382" s="662"/>
      <c r="E382" s="158"/>
      <c r="F382" s="737"/>
      <c r="G382" s="158" t="s">
        <v>250</v>
      </c>
      <c r="H382" s="671"/>
      <c r="I382" s="676"/>
      <c r="J382" s="677">
        <v>1</v>
      </c>
      <c r="K382" s="643">
        <v>12</v>
      </c>
      <c r="L382" s="643">
        <f>K382*J382</f>
        <v>12</v>
      </c>
      <c r="M382" s="678"/>
      <c r="N382" s="706">
        <v>45747</v>
      </c>
      <c r="O382" s="707">
        <v>6984</v>
      </c>
      <c r="P382" s="504"/>
      <c r="Q382" s="674">
        <v>12</v>
      </c>
      <c r="R382" s="674">
        <f>Q382*J382</f>
        <v>12</v>
      </c>
      <c r="S382" s="725">
        <v>0</v>
      </c>
      <c r="T382" s="725">
        <v>0</v>
      </c>
      <c r="U382" s="726"/>
      <c r="V382" s="668">
        <v>120</v>
      </c>
      <c r="W382" s="730">
        <f t="shared" si="77"/>
        <v>1</v>
      </c>
    </row>
    <row r="383" spans="1:23" s="709" customFormat="1" ht="15.75">
      <c r="B383" s="710"/>
      <c r="C383" s="719" t="s">
        <v>2926</v>
      </c>
      <c r="D383" s="680"/>
      <c r="E383" s="681"/>
      <c r="F383" s="738"/>
      <c r="G383" s="682" t="s">
        <v>210</v>
      </c>
      <c r="H383" s="683" t="s">
        <v>2754</v>
      </c>
      <c r="I383" s="684"/>
      <c r="J383" s="685"/>
      <c r="K383" s="720">
        <v>420</v>
      </c>
      <c r="L383" s="720">
        <v>420</v>
      </c>
      <c r="M383" s="712"/>
      <c r="N383" s="712">
        <v>45747</v>
      </c>
      <c r="O383" s="713">
        <v>6984</v>
      </c>
      <c r="P383" s="687"/>
      <c r="Q383" s="720">
        <v>420</v>
      </c>
      <c r="R383" s="720">
        <v>420</v>
      </c>
      <c r="S383" s="754">
        <v>41513</v>
      </c>
      <c r="T383" s="754">
        <v>41513</v>
      </c>
      <c r="U383" s="690"/>
      <c r="V383" s="668">
        <v>120</v>
      </c>
      <c r="W383" s="730">
        <f t="shared" si="77"/>
        <v>0.17632936507936509</v>
      </c>
    </row>
    <row r="384" spans="1:23" s="638" customFormat="1" ht="17.25" customHeight="1">
      <c r="B384" s="639"/>
      <c r="C384" s="717" t="s">
        <v>2928</v>
      </c>
      <c r="D384" s="662"/>
      <c r="E384" s="14" t="s">
        <v>2792</v>
      </c>
      <c r="F384" s="739"/>
      <c r="G384" s="17"/>
      <c r="H384" s="100"/>
      <c r="I384" s="101"/>
      <c r="J384" s="6"/>
      <c r="K384" s="505" t="s">
        <v>4</v>
      </c>
      <c r="L384" s="643"/>
      <c r="M384" s="672"/>
      <c r="N384" s="706">
        <v>45747</v>
      </c>
      <c r="O384" s="707">
        <v>6984</v>
      </c>
      <c r="P384" s="673"/>
      <c r="Q384" s="674"/>
      <c r="R384" s="674"/>
      <c r="S384" s="728"/>
      <c r="T384" s="84"/>
      <c r="U384" s="728"/>
      <c r="V384" s="668"/>
    </row>
    <row r="385" spans="1:23" s="638" customFormat="1" ht="17.25" customHeight="1">
      <c r="B385" s="639" t="s">
        <v>236</v>
      </c>
      <c r="C385" s="717" t="s">
        <v>2928</v>
      </c>
      <c r="D385" s="662"/>
      <c r="E385" s="787">
        <v>3534</v>
      </c>
      <c r="F385" s="739">
        <v>30</v>
      </c>
      <c r="G385" s="17" t="s">
        <v>2789</v>
      </c>
      <c r="H385" s="100">
        <v>30</v>
      </c>
      <c r="I385" s="101">
        <v>10</v>
      </c>
      <c r="J385" s="6">
        <f>H385*I385</f>
        <v>300</v>
      </c>
      <c r="K385" s="33">
        <v>22.92</v>
      </c>
      <c r="L385" s="643">
        <f>K385*I385</f>
        <v>229.20000000000002</v>
      </c>
      <c r="M385" s="672" t="s">
        <v>255</v>
      </c>
      <c r="N385" s="834">
        <v>45747</v>
      </c>
      <c r="O385" s="707">
        <v>6984</v>
      </c>
      <c r="P385" s="673">
        <f>ROUNDUP(S385/V385/VLOOKUP(B385,$C$2:$F$6,3,FALSE),2)</f>
        <v>19.650000000000002</v>
      </c>
      <c r="Q385" s="674">
        <v>19.41</v>
      </c>
      <c r="R385" s="674">
        <f>Q385*I385</f>
        <v>194.1</v>
      </c>
      <c r="S385" s="725">
        <v>1650</v>
      </c>
      <c r="T385" s="84">
        <f>S385*I385</f>
        <v>16500</v>
      </c>
      <c r="U385" s="726"/>
      <c r="V385" s="668">
        <v>120</v>
      </c>
      <c r="W385" s="730">
        <f>(((K385*V385)-S385)/(K385*V385))</f>
        <v>0.40008726003490402</v>
      </c>
    </row>
    <row r="386" spans="1:23" s="638" customFormat="1" ht="17.25" customHeight="1">
      <c r="B386" s="639" t="s">
        <v>236</v>
      </c>
      <c r="C386" s="717" t="s">
        <v>2928</v>
      </c>
      <c r="D386" s="662"/>
      <c r="E386" s="787">
        <v>3534</v>
      </c>
      <c r="F386" s="739">
        <v>40</v>
      </c>
      <c r="G386" s="17" t="s">
        <v>2789</v>
      </c>
      <c r="H386" s="100">
        <v>30</v>
      </c>
      <c r="I386" s="101">
        <v>10</v>
      </c>
      <c r="J386" s="6">
        <f>H386*I386</f>
        <v>300</v>
      </c>
      <c r="K386" s="33">
        <v>32.08</v>
      </c>
      <c r="L386" s="643">
        <f>K386*I386</f>
        <v>320.79999999999995</v>
      </c>
      <c r="M386" s="672" t="s">
        <v>255</v>
      </c>
      <c r="N386" s="834">
        <v>45747</v>
      </c>
      <c r="O386" s="707">
        <v>6984</v>
      </c>
      <c r="P386" s="673">
        <f>ROUNDUP(S386/V386/VLOOKUP(B386,$C$2:$F$6,3,FALSE),2)</f>
        <v>27.5</v>
      </c>
      <c r="Q386" s="674">
        <v>27.5</v>
      </c>
      <c r="R386" s="674">
        <f>Q386*I386</f>
        <v>275</v>
      </c>
      <c r="S386" s="725">
        <v>2310</v>
      </c>
      <c r="T386" s="84">
        <f>S386*I386</f>
        <v>23100</v>
      </c>
      <c r="U386" s="726"/>
      <c r="V386" s="668">
        <v>120</v>
      </c>
      <c r="W386" s="730">
        <f>(((K386*V386)-S386)/(K386*V386))</f>
        <v>0.39993765586034913</v>
      </c>
    </row>
    <row r="387" spans="1:23" s="638" customFormat="1" ht="17.25" customHeight="1">
      <c r="A387" s="638" t="s">
        <v>2850</v>
      </c>
      <c r="B387" s="639"/>
      <c r="C387" s="717" t="s">
        <v>2928</v>
      </c>
      <c r="D387" s="662"/>
      <c r="E387" s="14" t="s">
        <v>2780</v>
      </c>
      <c r="F387" s="739"/>
      <c r="G387" s="17"/>
      <c r="H387" s="100"/>
      <c r="I387" s="101"/>
      <c r="J387" s="6"/>
      <c r="K387" s="505" t="s">
        <v>4</v>
      </c>
      <c r="L387" s="643"/>
      <c r="M387" s="672"/>
      <c r="N387" s="706">
        <v>45747</v>
      </c>
      <c r="O387" s="707">
        <v>6984</v>
      </c>
      <c r="P387" s="673"/>
      <c r="Q387" s="674"/>
      <c r="R387" s="674"/>
      <c r="S387" s="728" t="s">
        <v>2785</v>
      </c>
      <c r="T387" s="84"/>
      <c r="U387" s="728"/>
      <c r="V387" s="668"/>
    </row>
    <row r="388" spans="1:23" s="638" customFormat="1" ht="17.25" customHeight="1">
      <c r="B388" s="639" t="s">
        <v>236</v>
      </c>
      <c r="C388" s="717" t="s">
        <v>2928</v>
      </c>
      <c r="D388" s="662"/>
      <c r="E388" s="787">
        <v>2200</v>
      </c>
      <c r="F388" s="739">
        <v>12</v>
      </c>
      <c r="G388" s="17" t="s">
        <v>117</v>
      </c>
      <c r="H388" s="100">
        <v>15</v>
      </c>
      <c r="I388" s="101">
        <v>20</v>
      </c>
      <c r="J388" s="6">
        <f>H388*I388</f>
        <v>300</v>
      </c>
      <c r="K388" s="33">
        <v>12.63</v>
      </c>
      <c r="L388" s="643">
        <f>K388*I388</f>
        <v>252.60000000000002</v>
      </c>
      <c r="M388" s="672" t="s">
        <v>255</v>
      </c>
      <c r="N388" s="834">
        <v>45747</v>
      </c>
      <c r="O388" s="707">
        <v>6984</v>
      </c>
      <c r="P388" s="673">
        <f>ROUNDUP(S388/V388/VLOOKUP(B388,$C$2:$F$6,3,FALSE),2)</f>
        <v>9.83</v>
      </c>
      <c r="Q388" s="674">
        <v>9.83</v>
      </c>
      <c r="R388" s="674">
        <f>Q388*I388</f>
        <v>196.6</v>
      </c>
      <c r="S388" s="788">
        <v>825</v>
      </c>
      <c r="T388" s="84">
        <f>S388*I388</f>
        <v>16500</v>
      </c>
      <c r="U388" s="726"/>
      <c r="V388" s="668">
        <v>120</v>
      </c>
      <c r="W388" s="730">
        <f>(((K388*V388)-S388)/(K388*V388))</f>
        <v>0.45566112430720512</v>
      </c>
    </row>
    <row r="389" spans="1:23" s="638" customFormat="1" ht="17.25" customHeight="1">
      <c r="B389" s="639" t="s">
        <v>236</v>
      </c>
      <c r="C389" s="717" t="s">
        <v>2928</v>
      </c>
      <c r="D389" s="662"/>
      <c r="E389" s="787">
        <v>2200</v>
      </c>
      <c r="F389" s="739">
        <v>12</v>
      </c>
      <c r="G389" s="17" t="s">
        <v>149</v>
      </c>
      <c r="H389" s="100">
        <v>15</v>
      </c>
      <c r="I389" s="101">
        <v>3</v>
      </c>
      <c r="J389" s="6">
        <f t="shared" ref="J389:J394" si="78">H389*I389</f>
        <v>45</v>
      </c>
      <c r="K389" s="33">
        <v>12.63</v>
      </c>
      <c r="L389" s="643">
        <f t="shared" ref="L389:L394" si="79">K389*I389</f>
        <v>37.89</v>
      </c>
      <c r="M389" s="672" t="s">
        <v>255</v>
      </c>
      <c r="N389" s="834">
        <v>45747</v>
      </c>
      <c r="O389" s="707">
        <v>6984</v>
      </c>
      <c r="P389" s="673">
        <f t="shared" ref="P389:P394" si="80">ROUNDUP(S389/V389/VLOOKUP(B389,$C$2:$F$6,3,FALSE),2)</f>
        <v>9.83</v>
      </c>
      <c r="Q389" s="674">
        <v>9.83</v>
      </c>
      <c r="R389" s="674">
        <f t="shared" ref="R389:R394" si="81">Q389*I389</f>
        <v>29.490000000000002</v>
      </c>
      <c r="S389" s="788">
        <v>825</v>
      </c>
      <c r="T389" s="84">
        <f t="shared" ref="T389:T394" si="82">S389*I389</f>
        <v>2475</v>
      </c>
      <c r="U389" s="726"/>
      <c r="V389" s="668">
        <v>120</v>
      </c>
      <c r="W389" s="730">
        <f t="shared" ref="W389:W394" si="83">(((K389*V389)-S389)/(K389*V389))</f>
        <v>0.45566112430720512</v>
      </c>
    </row>
    <row r="390" spans="1:23" s="638" customFormat="1" ht="17.25" customHeight="1">
      <c r="B390" s="639" t="s">
        <v>236</v>
      </c>
      <c r="C390" s="717" t="s">
        <v>2928</v>
      </c>
      <c r="D390" s="662"/>
      <c r="E390" s="787">
        <v>2200</v>
      </c>
      <c r="F390" s="739">
        <v>12</v>
      </c>
      <c r="G390" s="17" t="s">
        <v>2872</v>
      </c>
      <c r="H390" s="100">
        <v>15</v>
      </c>
      <c r="I390" s="101">
        <v>3</v>
      </c>
      <c r="J390" s="6">
        <f t="shared" si="78"/>
        <v>45</v>
      </c>
      <c r="K390" s="33">
        <v>12.63</v>
      </c>
      <c r="L390" s="643">
        <f t="shared" si="79"/>
        <v>37.89</v>
      </c>
      <c r="M390" s="672" t="s">
        <v>255</v>
      </c>
      <c r="N390" s="834">
        <v>45747</v>
      </c>
      <c r="O390" s="707">
        <v>6984</v>
      </c>
      <c r="P390" s="673">
        <f t="shared" si="80"/>
        <v>9.83</v>
      </c>
      <c r="Q390" s="674">
        <v>9.83</v>
      </c>
      <c r="R390" s="674">
        <f t="shared" si="81"/>
        <v>29.490000000000002</v>
      </c>
      <c r="S390" s="788">
        <v>825</v>
      </c>
      <c r="T390" s="84">
        <f t="shared" si="82"/>
        <v>2475</v>
      </c>
      <c r="U390" s="726"/>
      <c r="V390" s="668">
        <v>120</v>
      </c>
      <c r="W390" s="730">
        <f t="shared" si="83"/>
        <v>0.45566112430720512</v>
      </c>
    </row>
    <row r="391" spans="1:23" s="638" customFormat="1" ht="17.25" customHeight="1">
      <c r="B391" s="639" t="s">
        <v>236</v>
      </c>
      <c r="C391" s="717" t="s">
        <v>2928</v>
      </c>
      <c r="D391" s="662"/>
      <c r="E391" s="787">
        <v>2200</v>
      </c>
      <c r="F391" s="739">
        <v>12</v>
      </c>
      <c r="G391" s="17" t="s">
        <v>2929</v>
      </c>
      <c r="H391" s="100">
        <v>15</v>
      </c>
      <c r="I391" s="101">
        <v>3</v>
      </c>
      <c r="J391" s="6">
        <f t="shared" si="78"/>
        <v>45</v>
      </c>
      <c r="K391" s="33">
        <v>12.63</v>
      </c>
      <c r="L391" s="643">
        <f t="shared" si="79"/>
        <v>37.89</v>
      </c>
      <c r="M391" s="672" t="s">
        <v>255</v>
      </c>
      <c r="N391" s="834">
        <v>45747</v>
      </c>
      <c r="O391" s="707">
        <v>6984</v>
      </c>
      <c r="P391" s="673">
        <f t="shared" si="80"/>
        <v>9.83</v>
      </c>
      <c r="Q391" s="674">
        <v>9.83</v>
      </c>
      <c r="R391" s="674">
        <f t="shared" si="81"/>
        <v>29.490000000000002</v>
      </c>
      <c r="S391" s="788">
        <v>825</v>
      </c>
      <c r="T391" s="84">
        <f t="shared" si="82"/>
        <v>2475</v>
      </c>
      <c r="U391" s="726"/>
      <c r="V391" s="668">
        <v>120</v>
      </c>
      <c r="W391" s="730">
        <f t="shared" si="83"/>
        <v>0.45566112430720512</v>
      </c>
    </row>
    <row r="392" spans="1:23" s="638" customFormat="1" ht="17.25" customHeight="1">
      <c r="B392" s="639" t="s">
        <v>236</v>
      </c>
      <c r="C392" s="717" t="s">
        <v>2928</v>
      </c>
      <c r="D392" s="662"/>
      <c r="E392" s="17">
        <v>2200</v>
      </c>
      <c r="F392" s="739">
        <v>12</v>
      </c>
      <c r="G392" s="17" t="s">
        <v>150</v>
      </c>
      <c r="H392" s="100">
        <v>15</v>
      </c>
      <c r="I392" s="101">
        <v>3</v>
      </c>
      <c r="J392" s="6">
        <f t="shared" si="78"/>
        <v>45</v>
      </c>
      <c r="K392" s="33">
        <v>12.63</v>
      </c>
      <c r="L392" s="643">
        <f t="shared" si="79"/>
        <v>37.89</v>
      </c>
      <c r="M392" s="672" t="s">
        <v>255</v>
      </c>
      <c r="N392" s="828">
        <v>45763</v>
      </c>
      <c r="O392" s="707">
        <v>7007</v>
      </c>
      <c r="P392" s="673">
        <f t="shared" si="80"/>
        <v>9.83</v>
      </c>
      <c r="Q392" s="674">
        <v>9.83</v>
      </c>
      <c r="R392" s="674">
        <f t="shared" si="81"/>
        <v>29.490000000000002</v>
      </c>
      <c r="S392" s="788">
        <v>825</v>
      </c>
      <c r="T392" s="84">
        <f t="shared" si="82"/>
        <v>2475</v>
      </c>
      <c r="U392" s="726"/>
      <c r="V392" s="668">
        <v>120</v>
      </c>
      <c r="W392" s="730">
        <f t="shared" si="83"/>
        <v>0.45566112430720512</v>
      </c>
    </row>
    <row r="393" spans="1:23" s="638" customFormat="1" ht="17.25" customHeight="1">
      <c r="B393" s="639" t="s">
        <v>236</v>
      </c>
      <c r="C393" s="717" t="s">
        <v>2928</v>
      </c>
      <c r="D393" s="662"/>
      <c r="E393" s="787">
        <v>2200</v>
      </c>
      <c r="F393" s="739">
        <v>12</v>
      </c>
      <c r="G393" s="17" t="s">
        <v>2930</v>
      </c>
      <c r="H393" s="100">
        <v>15</v>
      </c>
      <c r="I393" s="101">
        <v>3</v>
      </c>
      <c r="J393" s="6">
        <f t="shared" si="78"/>
        <v>45</v>
      </c>
      <c r="K393" s="33">
        <v>12.63</v>
      </c>
      <c r="L393" s="643">
        <f t="shared" si="79"/>
        <v>37.89</v>
      </c>
      <c r="M393" s="672" t="s">
        <v>255</v>
      </c>
      <c r="N393" s="834">
        <v>45747</v>
      </c>
      <c r="O393" s="707">
        <v>6984</v>
      </c>
      <c r="P393" s="673">
        <f t="shared" si="80"/>
        <v>9.83</v>
      </c>
      <c r="Q393" s="674">
        <v>9.83</v>
      </c>
      <c r="R393" s="674">
        <f t="shared" si="81"/>
        <v>29.490000000000002</v>
      </c>
      <c r="S393" s="788">
        <v>825</v>
      </c>
      <c r="T393" s="84">
        <f t="shared" si="82"/>
        <v>2475</v>
      </c>
      <c r="U393" s="726"/>
      <c r="V393" s="668">
        <v>120</v>
      </c>
      <c r="W393" s="730">
        <f t="shared" si="83"/>
        <v>0.45566112430720512</v>
      </c>
    </row>
    <row r="394" spans="1:23" s="638" customFormat="1" ht="17.25" customHeight="1">
      <c r="B394" s="639" t="s">
        <v>236</v>
      </c>
      <c r="C394" s="717" t="s">
        <v>2928</v>
      </c>
      <c r="D394" s="662"/>
      <c r="E394" s="787">
        <v>2200</v>
      </c>
      <c r="F394" s="739">
        <v>12</v>
      </c>
      <c r="G394" s="17" t="s">
        <v>2931</v>
      </c>
      <c r="H394" s="100">
        <v>15</v>
      </c>
      <c r="I394" s="101">
        <v>3</v>
      </c>
      <c r="J394" s="6">
        <f t="shared" si="78"/>
        <v>45</v>
      </c>
      <c r="K394" s="33">
        <v>12.63</v>
      </c>
      <c r="L394" s="643">
        <f t="shared" si="79"/>
        <v>37.89</v>
      </c>
      <c r="M394" s="672" t="s">
        <v>255</v>
      </c>
      <c r="N394" s="834">
        <v>45747</v>
      </c>
      <c r="O394" s="707">
        <v>6984</v>
      </c>
      <c r="P394" s="673">
        <f t="shared" si="80"/>
        <v>9.83</v>
      </c>
      <c r="Q394" s="674">
        <v>9.83</v>
      </c>
      <c r="R394" s="674">
        <f t="shared" si="81"/>
        <v>29.490000000000002</v>
      </c>
      <c r="S394" s="788">
        <v>825</v>
      </c>
      <c r="T394" s="84">
        <f t="shared" si="82"/>
        <v>2475</v>
      </c>
      <c r="U394" s="726"/>
      <c r="V394" s="668">
        <v>120</v>
      </c>
      <c r="W394" s="730">
        <f t="shared" si="83"/>
        <v>0.45566112430720512</v>
      </c>
    </row>
    <row r="395" spans="1:23" s="638" customFormat="1" ht="17.25" customHeight="1">
      <c r="B395" s="639" t="s">
        <v>236</v>
      </c>
      <c r="C395" s="717" t="s">
        <v>2928</v>
      </c>
      <c r="D395" s="662"/>
      <c r="E395" s="17">
        <v>2200</v>
      </c>
      <c r="F395" s="739">
        <v>12</v>
      </c>
      <c r="G395" s="17" t="s">
        <v>2932</v>
      </c>
      <c r="H395" s="100">
        <v>15</v>
      </c>
      <c r="I395" s="101">
        <v>5</v>
      </c>
      <c r="J395" s="6">
        <f t="shared" ref="J395:J404" si="84">H395*I395</f>
        <v>75</v>
      </c>
      <c r="K395" s="33">
        <v>12.63</v>
      </c>
      <c r="L395" s="643">
        <f t="shared" ref="L395:L404" si="85">K395*I395</f>
        <v>63.150000000000006</v>
      </c>
      <c r="M395" s="672" t="s">
        <v>255</v>
      </c>
      <c r="N395" s="828">
        <v>45763</v>
      </c>
      <c r="O395" s="707">
        <v>7007</v>
      </c>
      <c r="P395" s="673">
        <f t="shared" ref="P395:P404" si="86">ROUNDUP(S395/V395/VLOOKUP(B395,$C$2:$F$6,3,FALSE),2)</f>
        <v>9.83</v>
      </c>
      <c r="Q395" s="674">
        <v>9.83</v>
      </c>
      <c r="R395" s="674">
        <f t="shared" ref="R395:R404" si="87">Q395*I395</f>
        <v>49.15</v>
      </c>
      <c r="S395" s="796">
        <v>825</v>
      </c>
      <c r="T395" s="84">
        <f t="shared" ref="T395:T404" si="88">S395*I395</f>
        <v>4125</v>
      </c>
      <c r="U395" s="789"/>
      <c r="V395" s="668">
        <v>120</v>
      </c>
      <c r="W395" s="790">
        <f t="shared" ref="W395:W405" si="89">(((K395*V395)-S395)/(K395*V395))</f>
        <v>0.45566112430720512</v>
      </c>
    </row>
    <row r="396" spans="1:23" s="638" customFormat="1" ht="17.25" customHeight="1">
      <c r="B396" s="639" t="s">
        <v>236</v>
      </c>
      <c r="C396" s="717" t="s">
        <v>2928</v>
      </c>
      <c r="D396" s="662"/>
      <c r="E396" s="787">
        <v>2200</v>
      </c>
      <c r="F396" s="739">
        <v>18</v>
      </c>
      <c r="G396" s="17" t="s">
        <v>2843</v>
      </c>
      <c r="H396" s="100">
        <v>15</v>
      </c>
      <c r="I396" s="101">
        <v>3</v>
      </c>
      <c r="J396" s="6">
        <f t="shared" si="84"/>
        <v>45</v>
      </c>
      <c r="K396" s="33">
        <v>18.75</v>
      </c>
      <c r="L396" s="643">
        <f t="shared" si="85"/>
        <v>56.25</v>
      </c>
      <c r="M396" s="672" t="s">
        <v>255</v>
      </c>
      <c r="N396" s="834">
        <v>45747</v>
      </c>
      <c r="O396" s="707">
        <v>6984</v>
      </c>
      <c r="P396" s="673">
        <f t="shared" si="86"/>
        <v>14.58</v>
      </c>
      <c r="Q396" s="674">
        <v>14.58</v>
      </c>
      <c r="R396" s="674">
        <f t="shared" si="87"/>
        <v>43.74</v>
      </c>
      <c r="S396" s="725">
        <v>1224</v>
      </c>
      <c r="T396" s="84">
        <f t="shared" si="88"/>
        <v>3672</v>
      </c>
      <c r="U396" s="789"/>
      <c r="V396" s="668">
        <v>120</v>
      </c>
      <c r="W396" s="790">
        <f t="shared" si="89"/>
        <v>0.45600000000000002</v>
      </c>
    </row>
    <row r="397" spans="1:23" s="638" customFormat="1" ht="17.25" customHeight="1">
      <c r="B397" s="639" t="s">
        <v>236</v>
      </c>
      <c r="C397" s="717" t="s">
        <v>2928</v>
      </c>
      <c r="D397" s="662"/>
      <c r="E397" s="787">
        <v>2200</v>
      </c>
      <c r="F397" s="739">
        <v>18</v>
      </c>
      <c r="G397" s="17" t="s">
        <v>2929</v>
      </c>
      <c r="H397" s="100">
        <v>15</v>
      </c>
      <c r="I397" s="101">
        <v>3</v>
      </c>
      <c r="J397" s="6">
        <f t="shared" si="84"/>
        <v>45</v>
      </c>
      <c r="K397" s="33">
        <v>18.75</v>
      </c>
      <c r="L397" s="643">
        <f t="shared" si="85"/>
        <v>56.25</v>
      </c>
      <c r="M397" s="672" t="s">
        <v>255</v>
      </c>
      <c r="N397" s="834">
        <v>45747</v>
      </c>
      <c r="O397" s="707">
        <v>6984</v>
      </c>
      <c r="P397" s="673">
        <f t="shared" si="86"/>
        <v>14.58</v>
      </c>
      <c r="Q397" s="674">
        <v>14.58</v>
      </c>
      <c r="R397" s="674">
        <f t="shared" si="87"/>
        <v>43.74</v>
      </c>
      <c r="S397" s="725">
        <v>1224</v>
      </c>
      <c r="T397" s="84">
        <f t="shared" si="88"/>
        <v>3672</v>
      </c>
      <c r="U397" s="789"/>
      <c r="V397" s="668">
        <v>120</v>
      </c>
      <c r="W397" s="790">
        <f t="shared" si="89"/>
        <v>0.45600000000000002</v>
      </c>
    </row>
    <row r="398" spans="1:23" s="638" customFormat="1" ht="17.25" customHeight="1">
      <c r="B398" s="639" t="s">
        <v>236</v>
      </c>
      <c r="C398" s="717" t="s">
        <v>2928</v>
      </c>
      <c r="D398" s="662"/>
      <c r="E398" s="787">
        <v>2200</v>
      </c>
      <c r="F398" s="739">
        <v>18</v>
      </c>
      <c r="G398" s="17" t="s">
        <v>2814</v>
      </c>
      <c r="H398" s="100">
        <v>15</v>
      </c>
      <c r="I398" s="101">
        <v>3</v>
      </c>
      <c r="J398" s="6">
        <f t="shared" si="84"/>
        <v>45</v>
      </c>
      <c r="K398" s="33">
        <v>18.75</v>
      </c>
      <c r="L398" s="643">
        <f t="shared" si="85"/>
        <v>56.25</v>
      </c>
      <c r="M398" s="672" t="s">
        <v>255</v>
      </c>
      <c r="N398" s="834">
        <v>45747</v>
      </c>
      <c r="O398" s="707">
        <v>6984</v>
      </c>
      <c r="P398" s="673">
        <f t="shared" si="86"/>
        <v>14.58</v>
      </c>
      <c r="Q398" s="674">
        <v>14.58</v>
      </c>
      <c r="R398" s="674">
        <f t="shared" si="87"/>
        <v>43.74</v>
      </c>
      <c r="S398" s="725">
        <v>1224</v>
      </c>
      <c r="T398" s="84">
        <f t="shared" si="88"/>
        <v>3672</v>
      </c>
      <c r="U398" s="789"/>
      <c r="V398" s="668">
        <v>120</v>
      </c>
      <c r="W398" s="790">
        <f t="shared" si="89"/>
        <v>0.45600000000000002</v>
      </c>
    </row>
    <row r="399" spans="1:23" s="638" customFormat="1" ht="17.25" customHeight="1">
      <c r="B399" s="639" t="s">
        <v>236</v>
      </c>
      <c r="C399" s="717" t="s">
        <v>2928</v>
      </c>
      <c r="D399" s="662"/>
      <c r="E399" s="787">
        <v>2200</v>
      </c>
      <c r="F399" s="739">
        <v>18</v>
      </c>
      <c r="G399" s="17" t="s">
        <v>2933</v>
      </c>
      <c r="H399" s="100">
        <v>15</v>
      </c>
      <c r="I399" s="101">
        <v>3</v>
      </c>
      <c r="J399" s="6">
        <f t="shared" si="84"/>
        <v>45</v>
      </c>
      <c r="K399" s="33">
        <v>18.75</v>
      </c>
      <c r="L399" s="643">
        <f t="shared" si="85"/>
        <v>56.25</v>
      </c>
      <c r="M399" s="672" t="s">
        <v>255</v>
      </c>
      <c r="N399" s="834">
        <v>45747</v>
      </c>
      <c r="O399" s="707">
        <v>6984</v>
      </c>
      <c r="P399" s="673">
        <f t="shared" si="86"/>
        <v>14.58</v>
      </c>
      <c r="Q399" s="674">
        <v>14.58</v>
      </c>
      <c r="R399" s="674">
        <f t="shared" si="87"/>
        <v>43.74</v>
      </c>
      <c r="S399" s="725">
        <v>1224</v>
      </c>
      <c r="T399" s="84">
        <f t="shared" si="88"/>
        <v>3672</v>
      </c>
      <c r="U399" s="789"/>
      <c r="V399" s="668">
        <v>120</v>
      </c>
      <c r="W399" s="790">
        <f t="shared" si="89"/>
        <v>0.45600000000000002</v>
      </c>
    </row>
    <row r="400" spans="1:23" s="638" customFormat="1" ht="17.25" customHeight="1">
      <c r="B400" s="639" t="s">
        <v>236</v>
      </c>
      <c r="C400" s="717" t="s">
        <v>2928</v>
      </c>
      <c r="D400" s="662"/>
      <c r="E400" s="787">
        <v>2200</v>
      </c>
      <c r="F400" s="739">
        <v>18</v>
      </c>
      <c r="G400" s="17" t="s">
        <v>150</v>
      </c>
      <c r="H400" s="100">
        <v>15</v>
      </c>
      <c r="I400" s="101">
        <v>3</v>
      </c>
      <c r="J400" s="6">
        <f t="shared" si="84"/>
        <v>45</v>
      </c>
      <c r="K400" s="33">
        <v>18.75</v>
      </c>
      <c r="L400" s="643">
        <f t="shared" si="85"/>
        <v>56.25</v>
      </c>
      <c r="M400" s="672" t="s">
        <v>255</v>
      </c>
      <c r="N400" s="834">
        <v>45747</v>
      </c>
      <c r="O400" s="707">
        <v>6984</v>
      </c>
      <c r="P400" s="673">
        <f t="shared" si="86"/>
        <v>14.58</v>
      </c>
      <c r="Q400" s="674">
        <v>14.58</v>
      </c>
      <c r="R400" s="674">
        <f t="shared" si="87"/>
        <v>43.74</v>
      </c>
      <c r="S400" s="725">
        <v>1224</v>
      </c>
      <c r="T400" s="84">
        <f t="shared" si="88"/>
        <v>3672</v>
      </c>
      <c r="U400" s="789"/>
      <c r="V400" s="668">
        <v>120</v>
      </c>
      <c r="W400" s="790">
        <f t="shared" si="89"/>
        <v>0.45600000000000002</v>
      </c>
    </row>
    <row r="401" spans="1:25" s="638" customFormat="1" ht="17.25" customHeight="1">
      <c r="B401" s="639" t="s">
        <v>236</v>
      </c>
      <c r="C401" s="717" t="s">
        <v>2928</v>
      </c>
      <c r="D401" s="662"/>
      <c r="E401" s="787">
        <v>2200</v>
      </c>
      <c r="F401" s="739">
        <v>18</v>
      </c>
      <c r="G401" s="17" t="s">
        <v>2393</v>
      </c>
      <c r="H401" s="100">
        <v>15</v>
      </c>
      <c r="I401" s="101">
        <v>3</v>
      </c>
      <c r="J401" s="6">
        <f t="shared" si="84"/>
        <v>45</v>
      </c>
      <c r="K401" s="33">
        <v>18.75</v>
      </c>
      <c r="L401" s="643">
        <f t="shared" si="85"/>
        <v>56.25</v>
      </c>
      <c r="M401" s="672" t="s">
        <v>255</v>
      </c>
      <c r="N401" s="834">
        <v>45747</v>
      </c>
      <c r="O401" s="707">
        <v>6984</v>
      </c>
      <c r="P401" s="673">
        <f t="shared" si="86"/>
        <v>14.58</v>
      </c>
      <c r="Q401" s="674">
        <v>14.58</v>
      </c>
      <c r="R401" s="674">
        <f t="shared" si="87"/>
        <v>43.74</v>
      </c>
      <c r="S401" s="725">
        <v>1224</v>
      </c>
      <c r="T401" s="84">
        <f t="shared" si="88"/>
        <v>3672</v>
      </c>
      <c r="U401" s="789"/>
      <c r="V401" s="668">
        <v>120</v>
      </c>
      <c r="W401" s="790">
        <f t="shared" si="89"/>
        <v>0.45600000000000002</v>
      </c>
    </row>
    <row r="402" spans="1:25" s="638" customFormat="1" ht="17.25" customHeight="1">
      <c r="B402" s="639" t="s">
        <v>236</v>
      </c>
      <c r="C402" s="717" t="s">
        <v>2928</v>
      </c>
      <c r="D402" s="662"/>
      <c r="E402" s="787">
        <v>2200</v>
      </c>
      <c r="F402" s="739">
        <v>18</v>
      </c>
      <c r="G402" s="17" t="s">
        <v>2900</v>
      </c>
      <c r="H402" s="100">
        <v>15</v>
      </c>
      <c r="I402" s="101">
        <v>3</v>
      </c>
      <c r="J402" s="6">
        <f t="shared" si="84"/>
        <v>45</v>
      </c>
      <c r="K402" s="33">
        <v>18.75</v>
      </c>
      <c r="L402" s="643">
        <f t="shared" si="85"/>
        <v>56.25</v>
      </c>
      <c r="M402" s="672" t="s">
        <v>255</v>
      </c>
      <c r="N402" s="834">
        <v>45747</v>
      </c>
      <c r="O402" s="707">
        <v>6984</v>
      </c>
      <c r="P402" s="673">
        <f t="shared" si="86"/>
        <v>14.58</v>
      </c>
      <c r="Q402" s="674">
        <v>14.58</v>
      </c>
      <c r="R402" s="674">
        <f t="shared" si="87"/>
        <v>43.74</v>
      </c>
      <c r="S402" s="725">
        <v>1224</v>
      </c>
      <c r="T402" s="84">
        <f t="shared" si="88"/>
        <v>3672</v>
      </c>
      <c r="U402" s="789"/>
      <c r="V402" s="668">
        <v>120</v>
      </c>
      <c r="W402" s="790">
        <f t="shared" si="89"/>
        <v>0.45600000000000002</v>
      </c>
    </row>
    <row r="403" spans="1:25" s="638" customFormat="1" ht="17.25" customHeight="1">
      <c r="B403" s="639" t="s">
        <v>236</v>
      </c>
      <c r="C403" s="717" t="s">
        <v>2928</v>
      </c>
      <c r="D403" s="662"/>
      <c r="E403" s="787">
        <v>2200</v>
      </c>
      <c r="F403" s="739">
        <v>18</v>
      </c>
      <c r="G403" s="17" t="s">
        <v>2238</v>
      </c>
      <c r="H403" s="100">
        <v>15</v>
      </c>
      <c r="I403" s="101">
        <v>3</v>
      </c>
      <c r="J403" s="6">
        <f t="shared" si="84"/>
        <v>45</v>
      </c>
      <c r="K403" s="33">
        <v>18.75</v>
      </c>
      <c r="L403" s="643">
        <f t="shared" si="85"/>
        <v>56.25</v>
      </c>
      <c r="M403" s="672" t="s">
        <v>255</v>
      </c>
      <c r="N403" s="834">
        <v>45747</v>
      </c>
      <c r="O403" s="707">
        <v>6984</v>
      </c>
      <c r="P403" s="673">
        <f t="shared" si="86"/>
        <v>14.58</v>
      </c>
      <c r="Q403" s="674">
        <v>14.58</v>
      </c>
      <c r="R403" s="674">
        <f t="shared" si="87"/>
        <v>43.74</v>
      </c>
      <c r="S403" s="725">
        <v>1224</v>
      </c>
      <c r="T403" s="84">
        <f t="shared" si="88"/>
        <v>3672</v>
      </c>
      <c r="U403" s="789"/>
      <c r="V403" s="668">
        <v>120</v>
      </c>
      <c r="W403" s="790">
        <f t="shared" si="89"/>
        <v>0.45600000000000002</v>
      </c>
    </row>
    <row r="404" spans="1:25" s="638" customFormat="1" ht="17.25" customHeight="1">
      <c r="B404" s="639" t="s">
        <v>236</v>
      </c>
      <c r="C404" s="717" t="s">
        <v>2928</v>
      </c>
      <c r="D404" s="662"/>
      <c r="E404" s="787">
        <v>2200</v>
      </c>
      <c r="F404" s="739">
        <v>18</v>
      </c>
      <c r="G404" s="17" t="s">
        <v>2931</v>
      </c>
      <c r="H404" s="100">
        <v>15</v>
      </c>
      <c r="I404" s="101">
        <v>3</v>
      </c>
      <c r="J404" s="6">
        <f t="shared" si="84"/>
        <v>45</v>
      </c>
      <c r="K404" s="33">
        <v>18.75</v>
      </c>
      <c r="L404" s="643">
        <f t="shared" si="85"/>
        <v>56.25</v>
      </c>
      <c r="M404" s="672" t="s">
        <v>255</v>
      </c>
      <c r="N404" s="834">
        <v>45747</v>
      </c>
      <c r="O404" s="707">
        <v>6984</v>
      </c>
      <c r="P404" s="673">
        <f t="shared" si="86"/>
        <v>14.58</v>
      </c>
      <c r="Q404" s="674">
        <v>14.58</v>
      </c>
      <c r="R404" s="674">
        <f t="shared" si="87"/>
        <v>43.74</v>
      </c>
      <c r="S404" s="725">
        <v>1224</v>
      </c>
      <c r="T404" s="84">
        <f t="shared" si="88"/>
        <v>3672</v>
      </c>
      <c r="U404" s="789"/>
      <c r="V404" s="668">
        <v>120</v>
      </c>
      <c r="W404" s="790">
        <f t="shared" si="89"/>
        <v>0.45600000000000002</v>
      </c>
    </row>
    <row r="405" spans="1:25" s="638" customFormat="1" ht="15.75">
      <c r="B405" s="639"/>
      <c r="C405" s="717" t="s">
        <v>2928</v>
      </c>
      <c r="D405" s="662"/>
      <c r="E405" s="158"/>
      <c r="F405" s="737"/>
      <c r="G405" s="158" t="s">
        <v>250</v>
      </c>
      <c r="H405" s="671"/>
      <c r="I405" s="676"/>
      <c r="J405" s="677">
        <v>2</v>
      </c>
      <c r="K405" s="643">
        <v>12</v>
      </c>
      <c r="L405" s="643">
        <v>24</v>
      </c>
      <c r="M405" s="678"/>
      <c r="N405" s="706">
        <v>45747</v>
      </c>
      <c r="O405" s="707">
        <v>6984</v>
      </c>
      <c r="P405" s="504"/>
      <c r="Q405" s="674">
        <v>12</v>
      </c>
      <c r="R405" s="674">
        <v>24</v>
      </c>
      <c r="S405" s="725">
        <v>0</v>
      </c>
      <c r="T405" s="725">
        <v>0</v>
      </c>
      <c r="U405" s="726"/>
      <c r="V405" s="668">
        <v>120</v>
      </c>
      <c r="W405" s="730">
        <f t="shared" si="89"/>
        <v>1</v>
      </c>
    </row>
    <row r="406" spans="1:25" s="638" customFormat="1" ht="17.25" customHeight="1">
      <c r="B406" s="639"/>
      <c r="C406" s="717" t="s">
        <v>2941</v>
      </c>
      <c r="D406" s="662"/>
      <c r="E406" s="14" t="s">
        <v>2792</v>
      </c>
      <c r="F406" s="739"/>
      <c r="G406" s="17"/>
      <c r="H406" s="100"/>
      <c r="I406" s="101"/>
      <c r="J406" s="6"/>
      <c r="K406" s="505"/>
      <c r="L406" s="643"/>
      <c r="M406" s="672"/>
      <c r="N406" s="828">
        <v>45763</v>
      </c>
      <c r="O406" s="707">
        <v>7007</v>
      </c>
      <c r="P406" s="673"/>
      <c r="Q406" s="674"/>
      <c r="R406" s="674"/>
      <c r="S406" s="728"/>
      <c r="T406" s="84"/>
      <c r="U406" s="728"/>
      <c r="V406" s="668"/>
    </row>
    <row r="407" spans="1:25" s="638" customFormat="1" ht="17.25" customHeight="1">
      <c r="B407" s="639" t="s">
        <v>236</v>
      </c>
      <c r="C407" s="717" t="s">
        <v>2941</v>
      </c>
      <c r="D407" s="662"/>
      <c r="E407" s="17">
        <v>3534</v>
      </c>
      <c r="F407" s="739">
        <v>50</v>
      </c>
      <c r="G407" s="17" t="s">
        <v>2789</v>
      </c>
      <c r="H407" s="100">
        <v>30</v>
      </c>
      <c r="I407" s="101">
        <v>10</v>
      </c>
      <c r="J407" s="6">
        <f>H407*I407</f>
        <v>300</v>
      </c>
      <c r="K407" s="33">
        <v>39.72</v>
      </c>
      <c r="L407" s="643">
        <f>K407*I407</f>
        <v>397.2</v>
      </c>
      <c r="M407" s="672" t="s">
        <v>255</v>
      </c>
      <c r="N407" s="828">
        <v>45763</v>
      </c>
      <c r="O407" s="707">
        <v>7007</v>
      </c>
      <c r="P407" s="673">
        <f>ROUNDUP(S407/V407/VLOOKUP(B407,$C$2:$F$6,3,FALSE),2)</f>
        <v>34.049999999999997</v>
      </c>
      <c r="Q407" s="674">
        <v>34.049999999999997</v>
      </c>
      <c r="R407" s="674">
        <f>Q407*I407</f>
        <v>340.5</v>
      </c>
      <c r="S407" s="796">
        <v>2860</v>
      </c>
      <c r="T407" s="84">
        <f>S407*I407</f>
        <v>28600</v>
      </c>
      <c r="U407" s="891"/>
      <c r="V407" s="668">
        <v>120</v>
      </c>
      <c r="W407" s="790">
        <f>(((K407*V407)-S407)/(K407*V407))</f>
        <v>0.399966431688486</v>
      </c>
    </row>
    <row r="408" spans="1:25" s="638" customFormat="1" ht="17.25" customHeight="1">
      <c r="B408" s="639"/>
      <c r="C408" s="717" t="s">
        <v>2941</v>
      </c>
      <c r="D408" s="662"/>
      <c r="E408" s="14" t="s">
        <v>2816</v>
      </c>
      <c r="F408" s="739"/>
      <c r="G408" s="17"/>
      <c r="H408" s="100"/>
      <c r="I408" s="101"/>
      <c r="J408" s="6"/>
      <c r="K408" s="505" t="s">
        <v>4</v>
      </c>
      <c r="L408" s="643"/>
      <c r="M408" s="672"/>
      <c r="N408" s="828">
        <v>45763</v>
      </c>
      <c r="O408" s="707">
        <v>7007</v>
      </c>
      <c r="P408" s="673"/>
      <c r="Q408" s="674"/>
      <c r="R408" s="674"/>
      <c r="S408" s="728"/>
      <c r="T408" s="84"/>
      <c r="U408" s="728"/>
      <c r="V408" s="668"/>
      <c r="Y408" s="830"/>
    </row>
    <row r="409" spans="1:25" s="638" customFormat="1" ht="18" customHeight="1">
      <c r="B409" s="639" t="s">
        <v>236</v>
      </c>
      <c r="C409" s="717" t="s">
        <v>2941</v>
      </c>
      <c r="D409" s="662"/>
      <c r="E409" s="17">
        <v>1100</v>
      </c>
      <c r="F409" s="739">
        <v>15</v>
      </c>
      <c r="G409" s="17" t="s">
        <v>2793</v>
      </c>
      <c r="H409" s="100">
        <v>30</v>
      </c>
      <c r="I409" s="101">
        <v>10</v>
      </c>
      <c r="J409" s="6">
        <f>H409*I409</f>
        <v>300</v>
      </c>
      <c r="K409" s="33">
        <v>24.17</v>
      </c>
      <c r="L409" s="643">
        <f>K409*I409</f>
        <v>241.70000000000002</v>
      </c>
      <c r="M409" s="672" t="s">
        <v>2791</v>
      </c>
      <c r="N409" s="828">
        <v>45763</v>
      </c>
      <c r="O409" s="707">
        <v>7007</v>
      </c>
      <c r="P409" s="673">
        <f>ROUNDUP(S409/V409/VLOOKUP(B409,$C$2:$F$6,3,FALSE),2)</f>
        <v>18.580000000000002</v>
      </c>
      <c r="Q409" s="674">
        <v>20.72</v>
      </c>
      <c r="R409" s="674">
        <f>Q409*I409</f>
        <v>207.2</v>
      </c>
      <c r="S409" s="796">
        <v>1560</v>
      </c>
      <c r="T409" s="84">
        <f>S409*I409</f>
        <v>15600</v>
      </c>
      <c r="U409" s="789"/>
      <c r="V409" s="668">
        <v>120</v>
      </c>
      <c r="W409" s="790">
        <f>(((K409*V409)-S409)/(K409*V409))</f>
        <v>0.46214315266859746</v>
      </c>
      <c r="Y409" s="638" t="s">
        <v>2940</v>
      </c>
    </row>
    <row r="410" spans="1:25" s="638" customFormat="1" ht="17.25" customHeight="1">
      <c r="B410" s="639"/>
      <c r="C410" s="717" t="s">
        <v>2941</v>
      </c>
      <c r="D410" s="662"/>
      <c r="E410" s="14" t="s">
        <v>2935</v>
      </c>
      <c r="F410" s="739"/>
      <c r="G410" s="17"/>
      <c r="H410" s="100"/>
      <c r="I410" s="101"/>
      <c r="J410" s="6"/>
      <c r="K410" s="505" t="s">
        <v>4</v>
      </c>
      <c r="L410" s="643"/>
      <c r="M410" s="672"/>
      <c r="N410" s="828">
        <v>45763</v>
      </c>
      <c r="O410" s="707">
        <v>7007</v>
      </c>
      <c r="P410" s="673"/>
      <c r="Q410" s="674"/>
      <c r="R410" s="674"/>
      <c r="S410" s="728"/>
      <c r="T410" s="84"/>
      <c r="U410" s="728"/>
      <c r="V410" s="668"/>
      <c r="Y410" s="830"/>
    </row>
    <row r="411" spans="1:25" s="638" customFormat="1" ht="18" customHeight="1">
      <c r="B411" s="639" t="s">
        <v>236</v>
      </c>
      <c r="C411" s="717" t="s">
        <v>2941</v>
      </c>
      <c r="D411" s="662"/>
      <c r="E411" s="17">
        <v>1100</v>
      </c>
      <c r="F411" s="739">
        <v>20</v>
      </c>
      <c r="G411" s="17" t="s">
        <v>2793</v>
      </c>
      <c r="H411" s="100">
        <v>30</v>
      </c>
      <c r="I411" s="101">
        <v>10</v>
      </c>
      <c r="J411" s="6">
        <f>H411*I411</f>
        <v>300</v>
      </c>
      <c r="K411" s="33">
        <v>29.58</v>
      </c>
      <c r="L411" s="643">
        <f>K411*I411</f>
        <v>295.79999999999995</v>
      </c>
      <c r="M411" s="672" t="s">
        <v>2791</v>
      </c>
      <c r="N411" s="828">
        <v>45763</v>
      </c>
      <c r="O411" s="707">
        <v>7007</v>
      </c>
      <c r="P411" s="673">
        <f>ROUNDUP(S411/V411/VLOOKUP(B411,$C$2:$F$6,3,FALSE),2)</f>
        <v>23.220000000000002</v>
      </c>
      <c r="Q411" s="674">
        <v>23.22</v>
      </c>
      <c r="R411" s="674">
        <f>Q411*I411</f>
        <v>232.2</v>
      </c>
      <c r="S411" s="796">
        <v>1950</v>
      </c>
      <c r="T411" s="84">
        <f>S411*I411</f>
        <v>19500</v>
      </c>
      <c r="U411" s="789"/>
      <c r="V411" s="668">
        <v>120</v>
      </c>
      <c r="W411" s="790">
        <f>(((K411*V411)-S411)/(K411*V411))</f>
        <v>0.45064232589587555</v>
      </c>
      <c r="Y411" s="836" t="s">
        <v>2936</v>
      </c>
    </row>
    <row r="412" spans="1:25" s="638" customFormat="1" ht="17.25" customHeight="1">
      <c r="B412" s="639"/>
      <c r="C412" s="717" t="s">
        <v>2941</v>
      </c>
      <c r="D412" s="662"/>
      <c r="E412" s="14" t="s">
        <v>2862</v>
      </c>
      <c r="F412" s="739"/>
      <c r="G412" s="17"/>
      <c r="H412" s="100"/>
      <c r="I412" s="101"/>
      <c r="J412" s="6"/>
      <c r="K412" s="505" t="s">
        <v>4</v>
      </c>
      <c r="L412" s="643"/>
      <c r="M412" s="672"/>
      <c r="N412" s="828">
        <v>45763</v>
      </c>
      <c r="O412" s="707">
        <v>7007</v>
      </c>
      <c r="P412" s="673"/>
      <c r="Q412" s="674"/>
      <c r="R412" s="674"/>
      <c r="S412" s="728"/>
      <c r="T412" s="84"/>
      <c r="U412" s="728"/>
      <c r="V412" s="668"/>
    </row>
    <row r="413" spans="1:25" s="638" customFormat="1" ht="18" customHeight="1">
      <c r="B413" s="639" t="s">
        <v>236</v>
      </c>
      <c r="C413" s="717" t="s">
        <v>2941</v>
      </c>
      <c r="D413" s="662"/>
      <c r="E413" s="17">
        <v>1100</v>
      </c>
      <c r="F413" s="739">
        <v>35</v>
      </c>
      <c r="G413" s="17" t="s">
        <v>2793</v>
      </c>
      <c r="H413" s="100">
        <v>30</v>
      </c>
      <c r="I413" s="101">
        <v>10</v>
      </c>
      <c r="J413" s="6">
        <f>H413*I413</f>
        <v>300</v>
      </c>
      <c r="K413" s="33">
        <v>47.5</v>
      </c>
      <c r="L413" s="643">
        <f>K413*I413</f>
        <v>475</v>
      </c>
      <c r="M413" s="672" t="s">
        <v>2791</v>
      </c>
      <c r="N413" s="828">
        <v>45763</v>
      </c>
      <c r="O413" s="707">
        <v>7007</v>
      </c>
      <c r="P413" s="673">
        <f>ROUNDUP(S413/V413/VLOOKUP(B413,$C$2:$F$6,3,FALSE),2)</f>
        <v>37.15</v>
      </c>
      <c r="Q413" s="674">
        <v>37.15</v>
      </c>
      <c r="R413" s="674">
        <f>Q413*I413</f>
        <v>371.5</v>
      </c>
      <c r="S413" s="796">
        <v>3120</v>
      </c>
      <c r="T413" s="84">
        <f>S413*I413</f>
        <v>31200</v>
      </c>
      <c r="U413" s="789"/>
      <c r="V413" s="668">
        <v>120</v>
      </c>
      <c r="W413" s="790">
        <f>(((K413*V413)-S413)/(K413*V413))</f>
        <v>0.45263157894736844</v>
      </c>
      <c r="Y413" s="836" t="s">
        <v>2937</v>
      </c>
    </row>
    <row r="414" spans="1:25" s="638" customFormat="1" ht="15.75">
      <c r="B414" s="639"/>
      <c r="C414" s="717" t="s">
        <v>2941</v>
      </c>
      <c r="D414" s="662"/>
      <c r="E414" s="158"/>
      <c r="F414" s="737"/>
      <c r="G414" s="158" t="s">
        <v>250</v>
      </c>
      <c r="H414" s="671"/>
      <c r="I414" s="676"/>
      <c r="J414" s="677">
        <v>2</v>
      </c>
      <c r="K414" s="643">
        <v>12</v>
      </c>
      <c r="L414" s="643">
        <v>24</v>
      </c>
      <c r="M414" s="678"/>
      <c r="N414" s="828">
        <v>45763</v>
      </c>
      <c r="O414" s="707">
        <v>7007</v>
      </c>
      <c r="P414" s="674">
        <v>12</v>
      </c>
      <c r="Q414" s="674">
        <v>12</v>
      </c>
      <c r="R414" s="674">
        <v>24</v>
      </c>
      <c r="S414" s="725">
        <v>1000</v>
      </c>
      <c r="T414" s="725">
        <v>1000</v>
      </c>
      <c r="U414" s="726"/>
      <c r="V414" s="668">
        <v>120</v>
      </c>
      <c r="W414" s="730">
        <f>(((K414*V414)-S414)/(K414*V414))</f>
        <v>0.30555555555555558</v>
      </c>
    </row>
    <row r="415" spans="1:25" s="638" customFormat="1" ht="17.25" customHeight="1">
      <c r="A415" s="638" t="s">
        <v>2850</v>
      </c>
      <c r="B415" s="639"/>
      <c r="C415" s="717" t="s">
        <v>2938</v>
      </c>
      <c r="D415" s="662"/>
      <c r="E415" s="14" t="s">
        <v>2882</v>
      </c>
      <c r="F415" s="739"/>
      <c r="G415" s="17"/>
      <c r="H415" s="100"/>
      <c r="I415" s="101"/>
      <c r="J415" s="6"/>
      <c r="K415" s="505" t="s">
        <v>4</v>
      </c>
      <c r="L415" s="643"/>
      <c r="M415" s="672"/>
      <c r="N415" s="828">
        <v>45763</v>
      </c>
      <c r="O415" s="707">
        <v>7007</v>
      </c>
      <c r="P415" s="673"/>
      <c r="Q415" s="674"/>
      <c r="R415" s="674"/>
      <c r="S415" s="792" t="s">
        <v>2891</v>
      </c>
      <c r="T415" s="84"/>
      <c r="U415" s="728"/>
      <c r="V415" s="668"/>
    </row>
    <row r="416" spans="1:25" s="638" customFormat="1" ht="17.25" customHeight="1">
      <c r="B416" s="639" t="s">
        <v>236</v>
      </c>
      <c r="C416" s="717" t="s">
        <v>2938</v>
      </c>
      <c r="D416" s="662"/>
      <c r="E416" s="17" t="s">
        <v>2880</v>
      </c>
      <c r="F416" s="739">
        <v>9</v>
      </c>
      <c r="G416" s="17" t="s">
        <v>2939</v>
      </c>
      <c r="H416" s="6">
        <v>30</v>
      </c>
      <c r="I416" s="30">
        <v>10</v>
      </c>
      <c r="J416" s="6">
        <f>H416*I416</f>
        <v>300</v>
      </c>
      <c r="K416" s="33">
        <v>12.08</v>
      </c>
      <c r="L416" s="643">
        <f>K416*I416</f>
        <v>120.8</v>
      </c>
      <c r="M416" s="672" t="s">
        <v>255</v>
      </c>
      <c r="N416" s="828">
        <v>45763</v>
      </c>
      <c r="O416" s="707">
        <v>7007</v>
      </c>
      <c r="P416" s="673">
        <f>ROUNDUP(S416/V416/VLOOKUP(B416,$C$2:$F$6,3,FALSE),2)</f>
        <v>10.36</v>
      </c>
      <c r="Q416" s="674">
        <v>10.36</v>
      </c>
      <c r="R416" s="674">
        <f>Q416*I416</f>
        <v>103.6</v>
      </c>
      <c r="S416" s="796">
        <v>870</v>
      </c>
      <c r="T416" s="84">
        <f>S416*I416</f>
        <v>8700</v>
      </c>
      <c r="U416" s="723"/>
      <c r="V416" s="668">
        <v>120</v>
      </c>
      <c r="W416" s="790">
        <f t="shared" ref="W416:W421" si="90">(((K416*V416)-S416)/(K416*V416))</f>
        <v>0.39983443708609268</v>
      </c>
    </row>
    <row r="417" spans="1:23" s="638" customFormat="1" ht="17.25" customHeight="1">
      <c r="B417" s="639" t="s">
        <v>236</v>
      </c>
      <c r="C417" s="717" t="s">
        <v>2938</v>
      </c>
      <c r="D417" s="662"/>
      <c r="E417" s="17" t="s">
        <v>2880</v>
      </c>
      <c r="F417" s="739">
        <v>12</v>
      </c>
      <c r="G417" s="17" t="s">
        <v>2939</v>
      </c>
      <c r="H417" s="6">
        <v>30</v>
      </c>
      <c r="I417" s="30">
        <v>10</v>
      </c>
      <c r="J417" s="6">
        <f>H417*I417</f>
        <v>300</v>
      </c>
      <c r="K417" s="33">
        <v>13.76</v>
      </c>
      <c r="L417" s="643">
        <f>K417*I417</f>
        <v>137.6</v>
      </c>
      <c r="M417" s="672" t="s">
        <v>255</v>
      </c>
      <c r="N417" s="828">
        <v>45763</v>
      </c>
      <c r="O417" s="707">
        <v>7007</v>
      </c>
      <c r="P417" s="673">
        <f>ROUNDUP(S417/V417/VLOOKUP(B417,$C$2:$F$6,3,FALSE),2)</f>
        <v>11.799999999999999</v>
      </c>
      <c r="Q417" s="674">
        <v>11.8</v>
      </c>
      <c r="R417" s="674">
        <f>Q417*I417</f>
        <v>118</v>
      </c>
      <c r="S417" s="796">
        <v>991</v>
      </c>
      <c r="T417" s="84">
        <f>S417*I417</f>
        <v>9910</v>
      </c>
      <c r="U417" s="723"/>
      <c r="V417" s="668">
        <v>120</v>
      </c>
      <c r="W417" s="790">
        <f t="shared" si="90"/>
        <v>0.39983042635658916</v>
      </c>
    </row>
    <row r="418" spans="1:23" s="638" customFormat="1" ht="17.25" customHeight="1">
      <c r="B418" s="639" t="s">
        <v>236</v>
      </c>
      <c r="C418" s="717" t="s">
        <v>2938</v>
      </c>
      <c r="D418" s="662"/>
      <c r="E418" s="17" t="s">
        <v>2880</v>
      </c>
      <c r="F418" s="739">
        <v>19</v>
      </c>
      <c r="G418" s="17" t="s">
        <v>2939</v>
      </c>
      <c r="H418" s="6">
        <v>30</v>
      </c>
      <c r="I418" s="30">
        <v>10</v>
      </c>
      <c r="J418" s="6">
        <f>H418*I418</f>
        <v>300</v>
      </c>
      <c r="K418" s="33">
        <v>18.97</v>
      </c>
      <c r="L418" s="643">
        <f>K418*I418</f>
        <v>189.7</v>
      </c>
      <c r="M418" s="672" t="s">
        <v>255</v>
      </c>
      <c r="N418" s="828">
        <v>45763</v>
      </c>
      <c r="O418" s="707">
        <v>7007</v>
      </c>
      <c r="P418" s="791">
        <f>ROUNDUP(S418/V418/VLOOKUP(B418,$C$2:$F$6,3,FALSE),2)</f>
        <v>16.270000000000003</v>
      </c>
      <c r="Q418" s="674">
        <v>16.27</v>
      </c>
      <c r="R418" s="674">
        <f>Q418*I418</f>
        <v>162.69999999999999</v>
      </c>
      <c r="S418" s="725">
        <v>1366</v>
      </c>
      <c r="T418" s="84">
        <f>S418*I418</f>
        <v>13660</v>
      </c>
      <c r="U418" s="723"/>
      <c r="V418" s="668">
        <v>120</v>
      </c>
      <c r="W418" s="790">
        <f t="shared" si="90"/>
        <v>0.39992971358285001</v>
      </c>
    </row>
    <row r="419" spans="1:23" s="638" customFormat="1" ht="17.25" customHeight="1">
      <c r="B419" s="639" t="s">
        <v>236</v>
      </c>
      <c r="C419" s="717" t="s">
        <v>2938</v>
      </c>
      <c r="D419" s="662"/>
      <c r="E419" s="17" t="s">
        <v>2880</v>
      </c>
      <c r="F419" s="739">
        <v>38</v>
      </c>
      <c r="G419" s="17" t="s">
        <v>2939</v>
      </c>
      <c r="H419" s="100">
        <v>30</v>
      </c>
      <c r="I419" s="101">
        <v>10</v>
      </c>
      <c r="J419" s="6">
        <f>H419*I419</f>
        <v>300</v>
      </c>
      <c r="K419" s="33">
        <v>40.6</v>
      </c>
      <c r="L419" s="643">
        <f>K419*I419</f>
        <v>406</v>
      </c>
      <c r="M419" s="672" t="s">
        <v>255</v>
      </c>
      <c r="N419" s="828">
        <v>45763</v>
      </c>
      <c r="O419" s="707">
        <v>7007</v>
      </c>
      <c r="P419" s="673">
        <f>ROUNDUP(S419/V419/VLOOKUP(B419,$C$2:$F$6,3,FALSE),2)</f>
        <v>34.799999999999997</v>
      </c>
      <c r="Q419" s="674">
        <v>34.799999999999997</v>
      </c>
      <c r="R419" s="674">
        <f>P419*I419</f>
        <v>348</v>
      </c>
      <c r="S419" s="796">
        <v>2923</v>
      </c>
      <c r="T419" s="84">
        <f>S419*I419</f>
        <v>29230</v>
      </c>
      <c r="U419" s="789"/>
      <c r="V419" s="668">
        <v>120</v>
      </c>
      <c r="W419" s="790">
        <f t="shared" si="90"/>
        <v>0.40004105090311987</v>
      </c>
    </row>
    <row r="420" spans="1:23" s="638" customFormat="1" ht="15.75">
      <c r="B420" s="639"/>
      <c r="C420" s="717" t="s">
        <v>2938</v>
      </c>
      <c r="D420" s="662"/>
      <c r="E420" s="158"/>
      <c r="F420" s="737"/>
      <c r="G420" s="158" t="s">
        <v>250</v>
      </c>
      <c r="H420" s="671"/>
      <c r="I420" s="676"/>
      <c r="J420" s="677">
        <v>1</v>
      </c>
      <c r="K420" s="643">
        <v>12</v>
      </c>
      <c r="L420" s="643">
        <v>12</v>
      </c>
      <c r="M420" s="678"/>
      <c r="N420" s="828">
        <v>45763</v>
      </c>
      <c r="O420" s="707">
        <v>7007</v>
      </c>
      <c r="P420" s="674">
        <v>12</v>
      </c>
      <c r="Q420" s="674">
        <v>12</v>
      </c>
      <c r="R420" s="674">
        <v>12</v>
      </c>
      <c r="S420" s="725">
        <v>0</v>
      </c>
      <c r="T420" s="725">
        <v>0</v>
      </c>
      <c r="U420" s="726"/>
      <c r="V420" s="668">
        <v>120</v>
      </c>
      <c r="W420" s="730">
        <f t="shared" si="90"/>
        <v>1</v>
      </c>
    </row>
    <row r="421" spans="1:23" s="709" customFormat="1" ht="15.75">
      <c r="B421" s="710"/>
      <c r="C421" s="719" t="s">
        <v>2944</v>
      </c>
      <c r="D421" s="680"/>
      <c r="E421" s="681"/>
      <c r="F421" s="738"/>
      <c r="G421" s="682" t="s">
        <v>210</v>
      </c>
      <c r="H421" s="683" t="s">
        <v>2754</v>
      </c>
      <c r="I421" s="684"/>
      <c r="J421" s="685"/>
      <c r="K421" s="720">
        <v>420</v>
      </c>
      <c r="L421" s="720">
        <v>420</v>
      </c>
      <c r="M421" s="712"/>
      <c r="N421" s="712">
        <v>45763</v>
      </c>
      <c r="O421" s="713">
        <v>7007</v>
      </c>
      <c r="P421" s="687"/>
      <c r="Q421" s="720">
        <v>420</v>
      </c>
      <c r="R421" s="720">
        <v>420</v>
      </c>
      <c r="S421" s="754">
        <f>1820+39774</f>
        <v>41594</v>
      </c>
      <c r="T421" s="754">
        <f>1820+39774</f>
        <v>41594</v>
      </c>
      <c r="U421" s="690"/>
      <c r="V421" s="668">
        <v>120</v>
      </c>
      <c r="W421" s="730">
        <f t="shared" si="90"/>
        <v>0.17472222222222222</v>
      </c>
    </row>
    <row r="422" spans="1:23" s="638" customFormat="1" ht="17.25" customHeight="1">
      <c r="A422" s="638" t="s">
        <v>2850</v>
      </c>
      <c r="B422" s="639"/>
      <c r="C422" s="717" t="s">
        <v>2948</v>
      </c>
      <c r="D422" s="662"/>
      <c r="E422" s="14" t="s">
        <v>2882</v>
      </c>
      <c r="F422" s="739"/>
      <c r="G422" s="17"/>
      <c r="H422" s="100"/>
      <c r="I422" s="101"/>
      <c r="J422" s="6"/>
      <c r="K422" s="505" t="s">
        <v>4</v>
      </c>
      <c r="L422" s="643"/>
      <c r="M422" s="672"/>
      <c r="N422" s="828">
        <v>45792</v>
      </c>
      <c r="O422" s="707">
        <v>7127</v>
      </c>
      <c r="P422" s="673"/>
      <c r="Q422" s="674"/>
      <c r="R422" s="674"/>
      <c r="S422" s="792" t="s">
        <v>2891</v>
      </c>
      <c r="T422" s="84"/>
      <c r="U422" s="728"/>
      <c r="V422" s="668"/>
    </row>
    <row r="423" spans="1:23" s="638" customFormat="1" ht="17.25" customHeight="1">
      <c r="B423" s="639" t="s">
        <v>236</v>
      </c>
      <c r="C423" s="717" t="s">
        <v>2948</v>
      </c>
      <c r="D423" s="662"/>
      <c r="E423" s="17" t="s">
        <v>2880</v>
      </c>
      <c r="F423" s="739">
        <v>25</v>
      </c>
      <c r="G423" s="17" t="s">
        <v>2949</v>
      </c>
      <c r="H423" s="6">
        <v>30</v>
      </c>
      <c r="I423" s="30">
        <v>5</v>
      </c>
      <c r="J423" s="6">
        <f>H423*I423</f>
        <v>150</v>
      </c>
      <c r="K423" s="33">
        <v>24.18</v>
      </c>
      <c r="L423" s="643">
        <f>K423*I423</f>
        <v>120.9</v>
      </c>
      <c r="M423" s="672" t="s">
        <v>255</v>
      </c>
      <c r="N423" s="828">
        <v>45792</v>
      </c>
      <c r="O423" s="707">
        <v>7127</v>
      </c>
      <c r="P423" s="673">
        <f>ROUNDUP(S423/V423/VLOOKUP(B423,$C$2:$F$6,3,FALSE),2)</f>
        <v>20.73</v>
      </c>
      <c r="Q423" s="674">
        <v>20.73</v>
      </c>
      <c r="R423" s="674">
        <f>Q423*I423</f>
        <v>103.65</v>
      </c>
      <c r="S423" s="796">
        <v>1741</v>
      </c>
      <c r="T423" s="84">
        <f>S423*I423</f>
        <v>8705</v>
      </c>
      <c r="U423" s="723"/>
      <c r="V423" s="668">
        <v>120</v>
      </c>
      <c r="W423" s="790">
        <f>(((K423*V423)-S423)/(K423*V423))</f>
        <v>0.39998621450234351</v>
      </c>
    </row>
    <row r="424" spans="1:23" s="638" customFormat="1" ht="18" customHeight="1">
      <c r="B424" s="639"/>
      <c r="C424" s="717" t="s">
        <v>2948</v>
      </c>
      <c r="D424" s="662"/>
      <c r="E424" s="663" t="s">
        <v>2847</v>
      </c>
      <c r="F424" s="736"/>
      <c r="G424" s="664"/>
      <c r="H424" s="665"/>
      <c r="I424" s="665"/>
      <c r="J424" s="665"/>
      <c r="K424" s="505" t="s">
        <v>4</v>
      </c>
      <c r="L424" s="706"/>
      <c r="M424" s="706"/>
      <c r="N424" s="828">
        <v>45792</v>
      </c>
      <c r="O424" s="707">
        <v>7127</v>
      </c>
      <c r="P424" s="504"/>
      <c r="Q424" s="666"/>
      <c r="U424" s="667"/>
      <c r="V424" s="668">
        <v>120</v>
      </c>
    </row>
    <row r="425" spans="1:23" s="638" customFormat="1" ht="17.25" customHeight="1">
      <c r="B425" s="639" t="s">
        <v>236</v>
      </c>
      <c r="C425" s="717" t="s">
        <v>2948</v>
      </c>
      <c r="D425" s="662"/>
      <c r="E425" s="17" t="s">
        <v>2848</v>
      </c>
      <c r="F425" s="739">
        <v>9</v>
      </c>
      <c r="G425" s="17" t="s">
        <v>2950</v>
      </c>
      <c r="H425" s="100">
        <v>30</v>
      </c>
      <c r="I425" s="101">
        <v>10</v>
      </c>
      <c r="J425" s="6">
        <f t="shared" ref="J425:J445" si="91">H425*I425</f>
        <v>300</v>
      </c>
      <c r="K425" s="33">
        <v>5.6</v>
      </c>
      <c r="L425" s="744">
        <f t="shared" ref="L425:L445" si="92">K425*I425</f>
        <v>56</v>
      </c>
      <c r="M425" s="672" t="s">
        <v>255</v>
      </c>
      <c r="N425" s="828">
        <v>45792</v>
      </c>
      <c r="O425" s="707">
        <v>7127</v>
      </c>
      <c r="P425" s="673">
        <f t="shared" ref="P425:P445" si="93">ROUNDUP(S425/V425/VLOOKUP(B425,$C$2:$F$6,3,FALSE),2)</f>
        <v>4.8</v>
      </c>
      <c r="Q425" s="674">
        <v>4.8</v>
      </c>
      <c r="R425" s="674">
        <f t="shared" ref="R425:R445" si="94">Q425*I425</f>
        <v>48</v>
      </c>
      <c r="S425" s="797">
        <v>403</v>
      </c>
      <c r="T425" s="84">
        <f t="shared" ref="T425:T445" si="95">S425*I425</f>
        <v>4030</v>
      </c>
      <c r="U425" s="789"/>
      <c r="V425" s="668">
        <v>120</v>
      </c>
      <c r="W425" s="790">
        <f t="shared" ref="W425:W445" si="96">(((K425*V425)-S425)/(K425*V425))</f>
        <v>0.40029761904761907</v>
      </c>
    </row>
    <row r="426" spans="1:23" s="638" customFormat="1" ht="17.25" customHeight="1">
      <c r="B426" s="639" t="s">
        <v>236</v>
      </c>
      <c r="C426" s="717" t="s">
        <v>2948</v>
      </c>
      <c r="D426" s="662"/>
      <c r="E426" s="17" t="s">
        <v>2848</v>
      </c>
      <c r="F426" s="739">
        <v>9</v>
      </c>
      <c r="G426" s="17" t="s">
        <v>2951</v>
      </c>
      <c r="H426" s="100">
        <v>30</v>
      </c>
      <c r="I426" s="101">
        <v>10</v>
      </c>
      <c r="J426" s="6">
        <f t="shared" si="91"/>
        <v>300</v>
      </c>
      <c r="K426" s="33">
        <v>5.6</v>
      </c>
      <c r="L426" s="744">
        <f t="shared" si="92"/>
        <v>56</v>
      </c>
      <c r="M426" s="672" t="s">
        <v>255</v>
      </c>
      <c r="N426" s="828">
        <v>45792</v>
      </c>
      <c r="O426" s="707">
        <v>7127</v>
      </c>
      <c r="P426" s="673">
        <f t="shared" si="93"/>
        <v>4.8</v>
      </c>
      <c r="Q426" s="674">
        <v>4.8</v>
      </c>
      <c r="R426" s="674">
        <f t="shared" si="94"/>
        <v>48</v>
      </c>
      <c r="S426" s="797">
        <v>403</v>
      </c>
      <c r="T426" s="84">
        <f t="shared" si="95"/>
        <v>4030</v>
      </c>
      <c r="U426" s="789"/>
      <c r="V426" s="668">
        <v>120</v>
      </c>
      <c r="W426" s="790">
        <f t="shared" si="96"/>
        <v>0.40029761904761907</v>
      </c>
    </row>
    <row r="427" spans="1:23" s="638" customFormat="1" ht="17.25" customHeight="1">
      <c r="B427" s="639" t="s">
        <v>236</v>
      </c>
      <c r="C427" s="717" t="s">
        <v>2948</v>
      </c>
      <c r="D427" s="662"/>
      <c r="E427" s="17" t="s">
        <v>2848</v>
      </c>
      <c r="F427" s="739">
        <v>9</v>
      </c>
      <c r="G427" s="17" t="s">
        <v>2952</v>
      </c>
      <c r="H427" s="100">
        <v>30</v>
      </c>
      <c r="I427" s="101">
        <v>5</v>
      </c>
      <c r="J427" s="6">
        <f t="shared" si="91"/>
        <v>150</v>
      </c>
      <c r="K427" s="33">
        <v>5.6</v>
      </c>
      <c r="L427" s="744">
        <f t="shared" si="92"/>
        <v>28</v>
      </c>
      <c r="M427" s="672" t="s">
        <v>255</v>
      </c>
      <c r="N427" s="828">
        <v>45792</v>
      </c>
      <c r="O427" s="707">
        <v>7127</v>
      </c>
      <c r="P427" s="673">
        <f t="shared" si="93"/>
        <v>4.8</v>
      </c>
      <c r="Q427" s="674">
        <v>4.8</v>
      </c>
      <c r="R427" s="674">
        <f t="shared" si="94"/>
        <v>24</v>
      </c>
      <c r="S427" s="746">
        <v>403</v>
      </c>
      <c r="T427" s="84">
        <f t="shared" si="95"/>
        <v>2015</v>
      </c>
      <c r="U427" s="789"/>
      <c r="V427" s="668">
        <v>120</v>
      </c>
      <c r="W427" s="790">
        <f t="shared" si="96"/>
        <v>0.40029761904761907</v>
      </c>
    </row>
    <row r="428" spans="1:23" s="638" customFormat="1" ht="17.25" customHeight="1">
      <c r="B428" s="639" t="s">
        <v>236</v>
      </c>
      <c r="C428" s="717" t="s">
        <v>2948</v>
      </c>
      <c r="D428" s="662"/>
      <c r="E428" s="17" t="s">
        <v>2848</v>
      </c>
      <c r="F428" s="739">
        <v>12</v>
      </c>
      <c r="G428" s="17" t="s">
        <v>2956</v>
      </c>
      <c r="H428" s="100">
        <v>30</v>
      </c>
      <c r="I428" s="101">
        <v>5</v>
      </c>
      <c r="J428" s="6">
        <f t="shared" si="91"/>
        <v>150</v>
      </c>
      <c r="K428" s="33">
        <v>6.51</v>
      </c>
      <c r="L428" s="744">
        <f t="shared" si="92"/>
        <v>32.549999999999997</v>
      </c>
      <c r="M428" s="672" t="s">
        <v>255</v>
      </c>
      <c r="N428" s="828">
        <v>45792</v>
      </c>
      <c r="O428" s="707">
        <v>7127</v>
      </c>
      <c r="P428" s="673">
        <f t="shared" si="93"/>
        <v>5.59</v>
      </c>
      <c r="Q428" s="674">
        <v>5.59</v>
      </c>
      <c r="R428" s="674">
        <f t="shared" si="94"/>
        <v>27.95</v>
      </c>
      <c r="S428" s="797">
        <v>469</v>
      </c>
      <c r="T428" s="84">
        <f t="shared" si="95"/>
        <v>2345</v>
      </c>
      <c r="U428" s="789"/>
      <c r="V428" s="668">
        <v>120</v>
      </c>
      <c r="W428" s="790">
        <f t="shared" si="96"/>
        <v>0.39964157706093184</v>
      </c>
    </row>
    <row r="429" spans="1:23" s="638" customFormat="1" ht="17.25" customHeight="1">
      <c r="B429" s="639" t="s">
        <v>236</v>
      </c>
      <c r="C429" s="717" t="s">
        <v>2948</v>
      </c>
      <c r="D429" s="662"/>
      <c r="E429" s="17" t="s">
        <v>2848</v>
      </c>
      <c r="F429" s="739">
        <v>12</v>
      </c>
      <c r="G429" s="17" t="s">
        <v>2863</v>
      </c>
      <c r="H429" s="100">
        <v>30</v>
      </c>
      <c r="I429" s="101">
        <v>5</v>
      </c>
      <c r="J429" s="6">
        <f t="shared" si="91"/>
        <v>150</v>
      </c>
      <c r="K429" s="33">
        <v>6.51</v>
      </c>
      <c r="L429" s="744">
        <f t="shared" si="92"/>
        <v>32.549999999999997</v>
      </c>
      <c r="M429" s="672" t="s">
        <v>255</v>
      </c>
      <c r="N429" s="828">
        <v>45792</v>
      </c>
      <c r="O429" s="707">
        <v>7127</v>
      </c>
      <c r="P429" s="673">
        <f t="shared" si="93"/>
        <v>5.59</v>
      </c>
      <c r="Q429" s="674">
        <v>5.59</v>
      </c>
      <c r="R429" s="674">
        <f t="shared" si="94"/>
        <v>27.95</v>
      </c>
      <c r="S429" s="797">
        <v>469</v>
      </c>
      <c r="T429" s="84">
        <f t="shared" si="95"/>
        <v>2345</v>
      </c>
      <c r="U429" s="789"/>
      <c r="V429" s="668">
        <v>120</v>
      </c>
      <c r="W429" s="790">
        <f t="shared" si="96"/>
        <v>0.39964157706093184</v>
      </c>
    </row>
    <row r="430" spans="1:23" s="638" customFormat="1" ht="17.25" customHeight="1">
      <c r="B430" s="639" t="s">
        <v>236</v>
      </c>
      <c r="C430" s="717" t="s">
        <v>2948</v>
      </c>
      <c r="D430" s="662"/>
      <c r="E430" s="17" t="s">
        <v>2848</v>
      </c>
      <c r="F430" s="739">
        <v>12</v>
      </c>
      <c r="G430" s="17" t="s">
        <v>2814</v>
      </c>
      <c r="H430" s="100">
        <v>30</v>
      </c>
      <c r="I430" s="101">
        <v>5</v>
      </c>
      <c r="J430" s="6">
        <f t="shared" si="91"/>
        <v>150</v>
      </c>
      <c r="K430" s="33">
        <v>6.51</v>
      </c>
      <c r="L430" s="744">
        <f t="shared" si="92"/>
        <v>32.549999999999997</v>
      </c>
      <c r="M430" s="672" t="s">
        <v>255</v>
      </c>
      <c r="N430" s="828">
        <v>45792</v>
      </c>
      <c r="O430" s="707">
        <v>7127</v>
      </c>
      <c r="P430" s="673">
        <f t="shared" si="93"/>
        <v>5.59</v>
      </c>
      <c r="Q430" s="674">
        <v>5.59</v>
      </c>
      <c r="R430" s="674">
        <f t="shared" si="94"/>
        <v>27.95</v>
      </c>
      <c r="S430" s="797">
        <v>469</v>
      </c>
      <c r="T430" s="84">
        <f t="shared" si="95"/>
        <v>2345</v>
      </c>
      <c r="U430" s="789"/>
      <c r="V430" s="668">
        <v>120</v>
      </c>
      <c r="W430" s="790">
        <f t="shared" si="96"/>
        <v>0.39964157706093184</v>
      </c>
    </row>
    <row r="431" spans="1:23" s="638" customFormat="1" ht="17.25" customHeight="1">
      <c r="B431" s="639" t="s">
        <v>236</v>
      </c>
      <c r="C431" s="717" t="s">
        <v>2948</v>
      </c>
      <c r="D431" s="662"/>
      <c r="E431" s="17" t="s">
        <v>2848</v>
      </c>
      <c r="F431" s="739">
        <v>19</v>
      </c>
      <c r="G431" s="17" t="s">
        <v>2953</v>
      </c>
      <c r="H431" s="100">
        <v>30</v>
      </c>
      <c r="I431" s="101">
        <v>10</v>
      </c>
      <c r="J431" s="6">
        <f t="shared" si="91"/>
        <v>300</v>
      </c>
      <c r="K431" s="33">
        <v>9.57</v>
      </c>
      <c r="L431" s="744">
        <f t="shared" si="92"/>
        <v>95.7</v>
      </c>
      <c r="M431" s="672" t="s">
        <v>255</v>
      </c>
      <c r="N431" s="828">
        <v>45792</v>
      </c>
      <c r="O431" s="707">
        <v>7127</v>
      </c>
      <c r="P431" s="673">
        <f t="shared" si="93"/>
        <v>8.2099999999999991</v>
      </c>
      <c r="Q431" s="674">
        <v>8.2100000000000009</v>
      </c>
      <c r="R431" s="674">
        <f t="shared" si="94"/>
        <v>82.100000000000009</v>
      </c>
      <c r="S431" s="797">
        <v>689</v>
      </c>
      <c r="T431" s="84">
        <f t="shared" si="95"/>
        <v>6890</v>
      </c>
      <c r="U431" s="789"/>
      <c r="V431" s="668">
        <v>120</v>
      </c>
      <c r="W431" s="790">
        <f t="shared" si="96"/>
        <v>0.40003483106931387</v>
      </c>
    </row>
    <row r="432" spans="1:23" s="638" customFormat="1" ht="17.25" customHeight="1">
      <c r="B432" s="639" t="s">
        <v>236</v>
      </c>
      <c r="C432" s="717" t="s">
        <v>2948</v>
      </c>
      <c r="D432" s="662"/>
      <c r="E432" s="17" t="s">
        <v>2848</v>
      </c>
      <c r="F432" s="739">
        <v>19</v>
      </c>
      <c r="G432" s="17" t="s">
        <v>2954</v>
      </c>
      <c r="H432" s="100">
        <v>30</v>
      </c>
      <c r="I432" s="101">
        <v>5</v>
      </c>
      <c r="J432" s="6">
        <f t="shared" si="91"/>
        <v>150</v>
      </c>
      <c r="K432" s="33">
        <v>9.57</v>
      </c>
      <c r="L432" s="744">
        <f t="shared" si="92"/>
        <v>47.85</v>
      </c>
      <c r="M432" s="672" t="s">
        <v>255</v>
      </c>
      <c r="N432" s="828">
        <v>45792</v>
      </c>
      <c r="O432" s="707">
        <v>7127</v>
      </c>
      <c r="P432" s="673">
        <f t="shared" si="93"/>
        <v>8.2099999999999991</v>
      </c>
      <c r="Q432" s="674">
        <v>8.2100000000000009</v>
      </c>
      <c r="R432" s="674">
        <f t="shared" si="94"/>
        <v>41.050000000000004</v>
      </c>
      <c r="S432" s="797">
        <v>689</v>
      </c>
      <c r="T432" s="84">
        <f t="shared" si="95"/>
        <v>3445</v>
      </c>
      <c r="U432" s="789"/>
      <c r="V432" s="668">
        <v>120</v>
      </c>
      <c r="W432" s="790">
        <f t="shared" si="96"/>
        <v>0.40003483106931387</v>
      </c>
    </row>
    <row r="433" spans="2:25" s="638" customFormat="1" ht="17.25" customHeight="1">
      <c r="B433" s="639" t="s">
        <v>236</v>
      </c>
      <c r="C433" s="717" t="s">
        <v>2948</v>
      </c>
      <c r="D433" s="662"/>
      <c r="E433" s="17" t="s">
        <v>2848</v>
      </c>
      <c r="F433" s="739">
        <v>19</v>
      </c>
      <c r="G433" s="17" t="s">
        <v>2955</v>
      </c>
      <c r="H433" s="100">
        <v>30</v>
      </c>
      <c r="I433" s="101">
        <v>5</v>
      </c>
      <c r="J433" s="6">
        <f t="shared" si="91"/>
        <v>150</v>
      </c>
      <c r="K433" s="33">
        <v>9.57</v>
      </c>
      <c r="L433" s="744">
        <f t="shared" si="92"/>
        <v>47.85</v>
      </c>
      <c r="M433" s="672" t="s">
        <v>255</v>
      </c>
      <c r="N433" s="828">
        <v>45792</v>
      </c>
      <c r="O433" s="707">
        <v>7127</v>
      </c>
      <c r="P433" s="673">
        <f t="shared" si="93"/>
        <v>8.2099999999999991</v>
      </c>
      <c r="Q433" s="674">
        <v>8.2100000000000009</v>
      </c>
      <c r="R433" s="674">
        <f t="shared" si="94"/>
        <v>41.050000000000004</v>
      </c>
      <c r="S433" s="797">
        <v>689</v>
      </c>
      <c r="T433" s="84">
        <f t="shared" si="95"/>
        <v>3445</v>
      </c>
      <c r="U433" s="789"/>
      <c r="V433" s="668">
        <v>120</v>
      </c>
      <c r="W433" s="790">
        <f t="shared" si="96"/>
        <v>0.40003483106931387</v>
      </c>
    </row>
    <row r="434" spans="2:25" s="638" customFormat="1" ht="17.25" customHeight="1">
      <c r="B434" s="639" t="s">
        <v>236</v>
      </c>
      <c r="C434" s="717" t="s">
        <v>2948</v>
      </c>
      <c r="D434" s="662"/>
      <c r="E434" s="17" t="s">
        <v>2848</v>
      </c>
      <c r="F434" s="739">
        <v>19</v>
      </c>
      <c r="G434" s="17" t="s">
        <v>2956</v>
      </c>
      <c r="H434" s="100">
        <v>30</v>
      </c>
      <c r="I434" s="101">
        <v>5</v>
      </c>
      <c r="J434" s="6">
        <f t="shared" si="91"/>
        <v>150</v>
      </c>
      <c r="K434" s="33">
        <v>9.57</v>
      </c>
      <c r="L434" s="744">
        <f t="shared" si="92"/>
        <v>47.85</v>
      </c>
      <c r="M434" s="672" t="s">
        <v>255</v>
      </c>
      <c r="N434" s="828">
        <v>45792</v>
      </c>
      <c r="O434" s="707">
        <v>7127</v>
      </c>
      <c r="P434" s="673">
        <f t="shared" si="93"/>
        <v>8.2099999999999991</v>
      </c>
      <c r="Q434" s="674">
        <v>8.2100000000000009</v>
      </c>
      <c r="R434" s="674">
        <f t="shared" si="94"/>
        <v>41.050000000000004</v>
      </c>
      <c r="S434" s="797">
        <v>689</v>
      </c>
      <c r="T434" s="84">
        <f t="shared" si="95"/>
        <v>3445</v>
      </c>
      <c r="U434" s="789"/>
      <c r="V434" s="668">
        <v>120</v>
      </c>
      <c r="W434" s="790">
        <f t="shared" si="96"/>
        <v>0.40003483106931387</v>
      </c>
    </row>
    <row r="435" spans="2:25" s="638" customFormat="1" ht="17.25" customHeight="1">
      <c r="B435" s="639" t="s">
        <v>236</v>
      </c>
      <c r="C435" s="717" t="s">
        <v>2948</v>
      </c>
      <c r="D435" s="662"/>
      <c r="E435" s="17" t="s">
        <v>2848</v>
      </c>
      <c r="F435" s="739">
        <v>19</v>
      </c>
      <c r="G435" s="17" t="s">
        <v>2863</v>
      </c>
      <c r="H435" s="100">
        <v>30</v>
      </c>
      <c r="I435" s="101">
        <v>5</v>
      </c>
      <c r="J435" s="6">
        <f t="shared" si="91"/>
        <v>150</v>
      </c>
      <c r="K435" s="33">
        <v>9.57</v>
      </c>
      <c r="L435" s="744">
        <f t="shared" si="92"/>
        <v>47.85</v>
      </c>
      <c r="M435" s="672" t="s">
        <v>255</v>
      </c>
      <c r="N435" s="828">
        <v>45792</v>
      </c>
      <c r="O435" s="707">
        <v>7127</v>
      </c>
      <c r="P435" s="673">
        <f t="shared" si="93"/>
        <v>8.2099999999999991</v>
      </c>
      <c r="Q435" s="674">
        <v>8.2100000000000009</v>
      </c>
      <c r="R435" s="674">
        <f t="shared" si="94"/>
        <v>41.050000000000004</v>
      </c>
      <c r="S435" s="797">
        <v>689</v>
      </c>
      <c r="T435" s="84">
        <f t="shared" si="95"/>
        <v>3445</v>
      </c>
      <c r="U435" s="789"/>
      <c r="V435" s="668">
        <v>120</v>
      </c>
      <c r="W435" s="790">
        <f t="shared" si="96"/>
        <v>0.40003483106931387</v>
      </c>
    </row>
    <row r="436" spans="2:25" s="638" customFormat="1" ht="17.25" customHeight="1">
      <c r="B436" s="639" t="s">
        <v>236</v>
      </c>
      <c r="C436" s="717" t="s">
        <v>2948</v>
      </c>
      <c r="D436" s="662"/>
      <c r="E436" s="17" t="s">
        <v>2848</v>
      </c>
      <c r="F436" s="739">
        <v>19</v>
      </c>
      <c r="G436" s="17" t="s">
        <v>2814</v>
      </c>
      <c r="H436" s="100">
        <v>30</v>
      </c>
      <c r="I436" s="101">
        <v>10</v>
      </c>
      <c r="J436" s="6">
        <f t="shared" si="91"/>
        <v>300</v>
      </c>
      <c r="K436" s="33">
        <v>9.57</v>
      </c>
      <c r="L436" s="744">
        <f t="shared" si="92"/>
        <v>95.7</v>
      </c>
      <c r="M436" s="672" t="s">
        <v>255</v>
      </c>
      <c r="N436" s="828">
        <v>45792</v>
      </c>
      <c r="O436" s="707">
        <v>7127</v>
      </c>
      <c r="P436" s="673">
        <f t="shared" si="93"/>
        <v>8.2099999999999991</v>
      </c>
      <c r="Q436" s="674">
        <v>8.2100000000000009</v>
      </c>
      <c r="R436" s="674">
        <f t="shared" si="94"/>
        <v>82.100000000000009</v>
      </c>
      <c r="S436" s="797">
        <v>689</v>
      </c>
      <c r="T436" s="84">
        <f t="shared" si="95"/>
        <v>6890</v>
      </c>
      <c r="U436" s="789"/>
      <c r="V436" s="668">
        <v>120</v>
      </c>
      <c r="W436" s="790">
        <f t="shared" si="96"/>
        <v>0.40003483106931387</v>
      </c>
    </row>
    <row r="437" spans="2:25" s="638" customFormat="1" ht="17.25" customHeight="1">
      <c r="B437" s="639" t="s">
        <v>236</v>
      </c>
      <c r="C437" s="717" t="s">
        <v>2948</v>
      </c>
      <c r="D437" s="662"/>
      <c r="E437" s="17" t="s">
        <v>2848</v>
      </c>
      <c r="F437" s="739">
        <v>25</v>
      </c>
      <c r="G437" s="17" t="s">
        <v>2954</v>
      </c>
      <c r="H437" s="100">
        <v>30</v>
      </c>
      <c r="I437" s="101">
        <v>10</v>
      </c>
      <c r="J437" s="6">
        <f t="shared" si="91"/>
        <v>300</v>
      </c>
      <c r="K437" s="33">
        <v>11.6</v>
      </c>
      <c r="L437" s="744">
        <f t="shared" si="92"/>
        <v>116</v>
      </c>
      <c r="M437" s="672" t="s">
        <v>255</v>
      </c>
      <c r="N437" s="828">
        <v>45792</v>
      </c>
      <c r="O437" s="707">
        <v>7127</v>
      </c>
      <c r="P437" s="673">
        <f t="shared" si="93"/>
        <v>9.9499999999999993</v>
      </c>
      <c r="Q437" s="674">
        <v>9.9499999999999993</v>
      </c>
      <c r="R437" s="674">
        <f t="shared" si="94"/>
        <v>99.5</v>
      </c>
      <c r="S437" s="797">
        <v>835</v>
      </c>
      <c r="T437" s="84">
        <f t="shared" si="95"/>
        <v>8350</v>
      </c>
      <c r="U437" s="789"/>
      <c r="V437" s="668">
        <v>120</v>
      </c>
      <c r="W437" s="790">
        <f t="shared" si="96"/>
        <v>0.40014367816091956</v>
      </c>
    </row>
    <row r="438" spans="2:25" s="638" customFormat="1" ht="17.25" customHeight="1">
      <c r="B438" s="639" t="s">
        <v>236</v>
      </c>
      <c r="C438" s="717" t="s">
        <v>2948</v>
      </c>
      <c r="D438" s="662"/>
      <c r="E438" s="17" t="s">
        <v>2848</v>
      </c>
      <c r="F438" s="739">
        <v>25</v>
      </c>
      <c r="G438" s="17" t="s">
        <v>2955</v>
      </c>
      <c r="H438" s="100">
        <v>30</v>
      </c>
      <c r="I438" s="101">
        <v>15</v>
      </c>
      <c r="J438" s="6">
        <f t="shared" si="91"/>
        <v>450</v>
      </c>
      <c r="K438" s="33">
        <v>11.6</v>
      </c>
      <c r="L438" s="744">
        <f t="shared" si="92"/>
        <v>174</v>
      </c>
      <c r="M438" s="672" t="s">
        <v>255</v>
      </c>
      <c r="N438" s="828">
        <v>45792</v>
      </c>
      <c r="O438" s="707">
        <v>7127</v>
      </c>
      <c r="P438" s="673">
        <f t="shared" si="93"/>
        <v>9.9499999999999993</v>
      </c>
      <c r="Q438" s="674">
        <v>9.9499999999999993</v>
      </c>
      <c r="R438" s="674">
        <f t="shared" si="94"/>
        <v>149.25</v>
      </c>
      <c r="S438" s="797">
        <v>835</v>
      </c>
      <c r="T438" s="84">
        <f t="shared" si="95"/>
        <v>12525</v>
      </c>
      <c r="U438" s="789"/>
      <c r="V438" s="668">
        <v>120</v>
      </c>
      <c r="W438" s="790">
        <f t="shared" si="96"/>
        <v>0.40014367816091956</v>
      </c>
    </row>
    <row r="439" spans="2:25" s="638" customFormat="1" ht="17.25" customHeight="1">
      <c r="B439" s="639" t="s">
        <v>236</v>
      </c>
      <c r="C439" s="717" t="s">
        <v>2948</v>
      </c>
      <c r="D439" s="662"/>
      <c r="E439" s="17" t="s">
        <v>2848</v>
      </c>
      <c r="F439" s="739">
        <v>25</v>
      </c>
      <c r="G439" s="17" t="s">
        <v>2956</v>
      </c>
      <c r="H439" s="100">
        <v>30</v>
      </c>
      <c r="I439" s="101">
        <v>10</v>
      </c>
      <c r="J439" s="6">
        <f t="shared" si="91"/>
        <v>300</v>
      </c>
      <c r="K439" s="33">
        <v>11.6</v>
      </c>
      <c r="L439" s="744">
        <f t="shared" si="92"/>
        <v>116</v>
      </c>
      <c r="M439" s="672" t="s">
        <v>255</v>
      </c>
      <c r="N439" s="828">
        <v>45792</v>
      </c>
      <c r="O439" s="707">
        <v>7127</v>
      </c>
      <c r="P439" s="673">
        <f t="shared" si="93"/>
        <v>9.9499999999999993</v>
      </c>
      <c r="Q439" s="674">
        <v>9.9499999999999993</v>
      </c>
      <c r="R439" s="674">
        <f t="shared" si="94"/>
        <v>99.5</v>
      </c>
      <c r="S439" s="746">
        <v>835</v>
      </c>
      <c r="T439" s="84">
        <f t="shared" si="95"/>
        <v>8350</v>
      </c>
      <c r="U439" s="789"/>
      <c r="V439" s="668">
        <v>120</v>
      </c>
      <c r="W439" s="790">
        <f t="shared" si="96"/>
        <v>0.40014367816091956</v>
      </c>
    </row>
    <row r="440" spans="2:25" s="638" customFormat="1" ht="17.25" customHeight="1">
      <c r="B440" s="639" t="s">
        <v>236</v>
      </c>
      <c r="C440" s="717" t="s">
        <v>2948</v>
      </c>
      <c r="D440" s="662"/>
      <c r="E440" s="17" t="s">
        <v>2848</v>
      </c>
      <c r="F440" s="739">
        <v>25</v>
      </c>
      <c r="G440" s="17" t="s">
        <v>2814</v>
      </c>
      <c r="H440" s="100">
        <v>30</v>
      </c>
      <c r="I440" s="101">
        <v>5</v>
      </c>
      <c r="J440" s="6">
        <f t="shared" si="91"/>
        <v>150</v>
      </c>
      <c r="K440" s="33">
        <v>11.6</v>
      </c>
      <c r="L440" s="744">
        <f t="shared" si="92"/>
        <v>58</v>
      </c>
      <c r="M440" s="672" t="s">
        <v>255</v>
      </c>
      <c r="N440" s="828">
        <v>45792</v>
      </c>
      <c r="O440" s="707">
        <v>7127</v>
      </c>
      <c r="P440" s="673">
        <f t="shared" si="93"/>
        <v>9.9499999999999993</v>
      </c>
      <c r="Q440" s="674">
        <v>9.9499999999999993</v>
      </c>
      <c r="R440" s="674">
        <f t="shared" si="94"/>
        <v>49.75</v>
      </c>
      <c r="S440" s="746">
        <v>835</v>
      </c>
      <c r="T440" s="84">
        <f t="shared" si="95"/>
        <v>4175</v>
      </c>
      <c r="U440" s="789"/>
      <c r="V440" s="668">
        <v>120</v>
      </c>
      <c r="W440" s="790">
        <f t="shared" si="96"/>
        <v>0.40014367816091956</v>
      </c>
    </row>
    <row r="441" spans="2:25" s="638" customFormat="1" ht="17.25" customHeight="1">
      <c r="B441" s="639" t="s">
        <v>236</v>
      </c>
      <c r="C441" s="717" t="s">
        <v>2948</v>
      </c>
      <c r="D441" s="662"/>
      <c r="E441" s="17" t="s">
        <v>2848</v>
      </c>
      <c r="F441" s="739">
        <v>32</v>
      </c>
      <c r="G441" s="17" t="s">
        <v>2956</v>
      </c>
      <c r="H441" s="100">
        <v>30</v>
      </c>
      <c r="I441" s="101">
        <v>5</v>
      </c>
      <c r="J441" s="6">
        <f t="shared" si="91"/>
        <v>150</v>
      </c>
      <c r="K441" s="33">
        <v>15.86</v>
      </c>
      <c r="L441" s="744">
        <f t="shared" si="92"/>
        <v>79.3</v>
      </c>
      <c r="M441" s="672" t="s">
        <v>255</v>
      </c>
      <c r="N441" s="828">
        <v>45792</v>
      </c>
      <c r="O441" s="707">
        <v>7127</v>
      </c>
      <c r="P441" s="673">
        <f t="shared" si="93"/>
        <v>13.6</v>
      </c>
      <c r="Q441" s="674">
        <v>13.6</v>
      </c>
      <c r="R441" s="674">
        <f t="shared" si="94"/>
        <v>68</v>
      </c>
      <c r="S441" s="746">
        <v>1142</v>
      </c>
      <c r="T441" s="84">
        <f t="shared" si="95"/>
        <v>5710</v>
      </c>
      <c r="U441" s="789"/>
      <c r="V441" s="668">
        <v>120</v>
      </c>
      <c r="W441" s="790">
        <f t="shared" si="96"/>
        <v>0.39995796553173596</v>
      </c>
    </row>
    <row r="442" spans="2:25" s="638" customFormat="1" ht="17.25" customHeight="1">
      <c r="B442" s="639" t="s">
        <v>236</v>
      </c>
      <c r="C442" s="717" t="s">
        <v>2948</v>
      </c>
      <c r="D442" s="662"/>
      <c r="E442" s="17" t="s">
        <v>2848</v>
      </c>
      <c r="F442" s="739">
        <v>32</v>
      </c>
      <c r="G442" s="17" t="s">
        <v>2863</v>
      </c>
      <c r="H442" s="100">
        <v>30</v>
      </c>
      <c r="I442" s="101">
        <v>5</v>
      </c>
      <c r="J442" s="6">
        <f t="shared" si="91"/>
        <v>150</v>
      </c>
      <c r="K442" s="33">
        <v>15.86</v>
      </c>
      <c r="L442" s="744">
        <f t="shared" si="92"/>
        <v>79.3</v>
      </c>
      <c r="M442" s="672" t="s">
        <v>255</v>
      </c>
      <c r="N442" s="828">
        <v>45792</v>
      </c>
      <c r="O442" s="707">
        <v>7127</v>
      </c>
      <c r="P442" s="673">
        <f t="shared" si="93"/>
        <v>13.6</v>
      </c>
      <c r="Q442" s="674">
        <v>13.6</v>
      </c>
      <c r="R442" s="674">
        <f t="shared" si="94"/>
        <v>68</v>
      </c>
      <c r="S442" s="797">
        <v>1142</v>
      </c>
      <c r="T442" s="84">
        <f t="shared" si="95"/>
        <v>5710</v>
      </c>
      <c r="U442" s="789"/>
      <c r="V442" s="668">
        <v>120</v>
      </c>
      <c r="W442" s="790">
        <f t="shared" si="96"/>
        <v>0.39995796553173596</v>
      </c>
    </row>
    <row r="443" spans="2:25" s="638" customFormat="1" ht="17.25" customHeight="1">
      <c r="B443" s="639" t="s">
        <v>236</v>
      </c>
      <c r="C443" s="717" t="s">
        <v>2948</v>
      </c>
      <c r="D443" s="662"/>
      <c r="E443" s="17" t="s">
        <v>2848</v>
      </c>
      <c r="F443" s="739">
        <v>38</v>
      </c>
      <c r="G443" s="17" t="s">
        <v>2956</v>
      </c>
      <c r="H443" s="100">
        <v>30</v>
      </c>
      <c r="I443" s="101">
        <v>10</v>
      </c>
      <c r="J443" s="6">
        <f t="shared" si="91"/>
        <v>300</v>
      </c>
      <c r="K443" s="33">
        <v>19.43</v>
      </c>
      <c r="L443" s="744">
        <f t="shared" si="92"/>
        <v>194.3</v>
      </c>
      <c r="M443" s="672" t="s">
        <v>255</v>
      </c>
      <c r="N443" s="828">
        <v>45792</v>
      </c>
      <c r="O443" s="707">
        <v>7127</v>
      </c>
      <c r="P443" s="673">
        <f t="shared" si="93"/>
        <v>16.66</v>
      </c>
      <c r="Q443" s="674">
        <v>16.66</v>
      </c>
      <c r="R443" s="674">
        <f t="shared" si="94"/>
        <v>166.6</v>
      </c>
      <c r="S443" s="797">
        <v>1399</v>
      </c>
      <c r="T443" s="84">
        <f t="shared" si="95"/>
        <v>13990</v>
      </c>
      <c r="U443" s="789"/>
      <c r="V443" s="668">
        <v>120</v>
      </c>
      <c r="W443" s="790">
        <f t="shared" si="96"/>
        <v>0.39998284439869614</v>
      </c>
    </row>
    <row r="444" spans="2:25" s="638" customFormat="1" ht="17.25" customHeight="1">
      <c r="B444" s="639" t="s">
        <v>236</v>
      </c>
      <c r="C444" s="717" t="s">
        <v>2948</v>
      </c>
      <c r="D444" s="662"/>
      <c r="E444" s="17" t="s">
        <v>2848</v>
      </c>
      <c r="F444" s="739">
        <v>38</v>
      </c>
      <c r="G444" s="17" t="s">
        <v>2863</v>
      </c>
      <c r="H444" s="100">
        <v>30</v>
      </c>
      <c r="I444" s="101">
        <v>5</v>
      </c>
      <c r="J444" s="6">
        <f t="shared" si="91"/>
        <v>150</v>
      </c>
      <c r="K444" s="33">
        <v>19.43</v>
      </c>
      <c r="L444" s="744">
        <f t="shared" si="92"/>
        <v>97.15</v>
      </c>
      <c r="M444" s="672" t="s">
        <v>255</v>
      </c>
      <c r="N444" s="828">
        <v>45792</v>
      </c>
      <c r="O444" s="707">
        <v>7127</v>
      </c>
      <c r="P444" s="673">
        <f t="shared" si="93"/>
        <v>16.66</v>
      </c>
      <c r="Q444" s="674">
        <v>16.66</v>
      </c>
      <c r="R444" s="674">
        <f t="shared" si="94"/>
        <v>83.3</v>
      </c>
      <c r="S444" s="797">
        <v>1399</v>
      </c>
      <c r="T444" s="84">
        <f t="shared" si="95"/>
        <v>6995</v>
      </c>
      <c r="U444" s="789"/>
      <c r="V444" s="668">
        <v>120</v>
      </c>
      <c r="W444" s="790">
        <f t="shared" si="96"/>
        <v>0.39998284439869614</v>
      </c>
    </row>
    <row r="445" spans="2:25" s="638" customFormat="1" ht="17.25" customHeight="1">
      <c r="B445" s="639" t="s">
        <v>236</v>
      </c>
      <c r="C445" s="717" t="s">
        <v>2948</v>
      </c>
      <c r="D445" s="662"/>
      <c r="E445" s="17" t="s">
        <v>2848</v>
      </c>
      <c r="F445" s="739">
        <v>38</v>
      </c>
      <c r="G445" s="17" t="s">
        <v>2814</v>
      </c>
      <c r="H445" s="100">
        <v>30</v>
      </c>
      <c r="I445" s="101">
        <v>5</v>
      </c>
      <c r="J445" s="6">
        <f t="shared" si="91"/>
        <v>150</v>
      </c>
      <c r="K445" s="33">
        <v>19.43</v>
      </c>
      <c r="L445" s="744">
        <f t="shared" si="92"/>
        <v>97.15</v>
      </c>
      <c r="M445" s="672" t="s">
        <v>255</v>
      </c>
      <c r="N445" s="828">
        <v>45792</v>
      </c>
      <c r="O445" s="707">
        <v>7127</v>
      </c>
      <c r="P445" s="673">
        <f t="shared" si="93"/>
        <v>16.66</v>
      </c>
      <c r="Q445" s="674">
        <v>16.66</v>
      </c>
      <c r="R445" s="674">
        <f t="shared" si="94"/>
        <v>83.3</v>
      </c>
      <c r="S445" s="797">
        <v>1399</v>
      </c>
      <c r="T445" s="84">
        <f t="shared" si="95"/>
        <v>6995</v>
      </c>
      <c r="U445" s="789"/>
      <c r="V445" s="668">
        <v>120</v>
      </c>
      <c r="W445" s="790">
        <f t="shared" si="96"/>
        <v>0.39998284439869614</v>
      </c>
    </row>
    <row r="446" spans="2:25" s="638" customFormat="1" ht="15.75">
      <c r="B446" s="639"/>
      <c r="C446" s="717" t="s">
        <v>2948</v>
      </c>
      <c r="D446" s="662"/>
      <c r="E446" s="158"/>
      <c r="F446" s="737"/>
      <c r="G446" s="158" t="s">
        <v>250</v>
      </c>
      <c r="H446" s="671"/>
      <c r="I446" s="676"/>
      <c r="J446" s="677">
        <v>1</v>
      </c>
      <c r="K446" s="643">
        <v>12</v>
      </c>
      <c r="L446" s="643">
        <v>12</v>
      </c>
      <c r="M446" s="678"/>
      <c r="N446" s="828">
        <v>45792</v>
      </c>
      <c r="O446" s="707">
        <v>7127</v>
      </c>
      <c r="P446" s="674">
        <v>12</v>
      </c>
      <c r="Q446" s="674">
        <v>12</v>
      </c>
      <c r="R446" s="674">
        <v>12</v>
      </c>
      <c r="S446" s="725">
        <v>0</v>
      </c>
      <c r="T446" s="725">
        <v>0</v>
      </c>
      <c r="U446" s="726"/>
      <c r="V446" s="668">
        <v>120</v>
      </c>
      <c r="W446" s="730">
        <f>(((K446*V446)-S446)/(K446*V446))</f>
        <v>1</v>
      </c>
    </row>
    <row r="447" spans="2:25" s="709" customFormat="1" ht="15.75">
      <c r="B447" s="710"/>
      <c r="C447" s="719" t="s">
        <v>2948</v>
      </c>
      <c r="D447" s="680"/>
      <c r="E447" s="681"/>
      <c r="F447" s="738"/>
      <c r="G447" s="682" t="s">
        <v>210</v>
      </c>
      <c r="H447" s="683" t="s">
        <v>2754</v>
      </c>
      <c r="I447" s="684"/>
      <c r="J447" s="685"/>
      <c r="K447" s="720">
        <v>400</v>
      </c>
      <c r="L447" s="720">
        <v>400</v>
      </c>
      <c r="M447" s="712"/>
      <c r="N447" s="712">
        <v>45792</v>
      </c>
      <c r="O447" s="713">
        <v>7127</v>
      </c>
      <c r="P447" s="687"/>
      <c r="Q447" s="720">
        <v>400</v>
      </c>
      <c r="R447" s="720">
        <v>400</v>
      </c>
      <c r="S447" s="754">
        <v>39122</v>
      </c>
      <c r="T447" s="754">
        <v>39122</v>
      </c>
      <c r="U447" s="690"/>
      <c r="V447" s="668">
        <v>120</v>
      </c>
      <c r="W447" s="730">
        <f>(((K447*V447)-S447)/(K447*V447))</f>
        <v>0.18495833333333334</v>
      </c>
    </row>
    <row r="448" spans="2:25" s="638" customFormat="1" ht="17.25" customHeight="1">
      <c r="B448" s="639"/>
      <c r="C448" s="717" t="s">
        <v>2970</v>
      </c>
      <c r="D448" s="662"/>
      <c r="E448" s="14" t="s">
        <v>2790</v>
      </c>
      <c r="F448" s="739"/>
      <c r="G448" s="17"/>
      <c r="H448" s="100"/>
      <c r="I448" s="101"/>
      <c r="J448" s="6"/>
      <c r="K448" s="505" t="s">
        <v>4</v>
      </c>
      <c r="L448" s="643"/>
      <c r="M448" s="672"/>
      <c r="N448" s="828">
        <v>45824</v>
      </c>
      <c r="O448" s="707">
        <v>7191</v>
      </c>
      <c r="P448" s="673"/>
      <c r="Q448" s="674"/>
      <c r="R448" s="674"/>
      <c r="S448" s="728"/>
      <c r="T448" s="84"/>
      <c r="U448" s="728"/>
      <c r="V448" s="668"/>
      <c r="Y448" s="830" t="s">
        <v>2934</v>
      </c>
    </row>
    <row r="449" spans="1:27" s="638" customFormat="1" ht="18" customHeight="1">
      <c r="B449" s="639" t="s">
        <v>236</v>
      </c>
      <c r="C449" s="717" t="s">
        <v>2970</v>
      </c>
      <c r="D449" s="662"/>
      <c r="E449" s="17">
        <v>1100</v>
      </c>
      <c r="F449" s="739">
        <v>15</v>
      </c>
      <c r="G449" s="17" t="s">
        <v>2789</v>
      </c>
      <c r="H449" s="100">
        <v>30</v>
      </c>
      <c r="I449" s="101">
        <v>15</v>
      </c>
      <c r="J449" s="6">
        <f>H449*I449</f>
        <v>450</v>
      </c>
      <c r="K449" s="33">
        <v>24.17</v>
      </c>
      <c r="L449" s="643">
        <f>K449*I449</f>
        <v>362.55</v>
      </c>
      <c r="M449" s="672" t="s">
        <v>2791</v>
      </c>
      <c r="N449" s="828">
        <v>45824</v>
      </c>
      <c r="O449" s="707">
        <v>7191</v>
      </c>
      <c r="P449" s="673">
        <f>ROUNDUP(S449/V449/VLOOKUP(B449,$C$2:$F$6,3,FALSE),2)</f>
        <v>20.720000000000002</v>
      </c>
      <c r="Q449" s="674">
        <v>20.72</v>
      </c>
      <c r="R449" s="674">
        <f>Q449*I449</f>
        <v>310.79999999999995</v>
      </c>
      <c r="S449" s="796">
        <v>1740</v>
      </c>
      <c r="T449" s="84">
        <f>S449*I449</f>
        <v>26100</v>
      </c>
      <c r="U449" s="789"/>
      <c r="V449" s="668">
        <v>120</v>
      </c>
      <c r="W449" s="790">
        <f>(((K449*V449)-S449)/(K449*V449))</f>
        <v>0.40008274720728176</v>
      </c>
    </row>
    <row r="450" spans="1:27" s="638" customFormat="1" ht="17.25" customHeight="1">
      <c r="B450" s="639"/>
      <c r="C450" s="717" t="s">
        <v>2970</v>
      </c>
      <c r="D450" s="662"/>
      <c r="E450" s="14" t="s">
        <v>2795</v>
      </c>
      <c r="F450" s="739"/>
      <c r="G450" s="17"/>
      <c r="H450" s="100"/>
      <c r="I450" s="101"/>
      <c r="J450" s="6"/>
      <c r="K450" s="505" t="s">
        <v>4</v>
      </c>
      <c r="L450" s="643"/>
      <c r="M450" s="672"/>
      <c r="N450" s="828">
        <v>45824</v>
      </c>
      <c r="O450" s="707">
        <v>7191</v>
      </c>
      <c r="P450" s="673"/>
      <c r="Q450" s="674"/>
      <c r="R450" s="674"/>
      <c r="S450" s="728"/>
      <c r="T450" s="84"/>
      <c r="U450" s="728"/>
      <c r="V450" s="668"/>
    </row>
    <row r="451" spans="1:27" s="638" customFormat="1" ht="17.25" customHeight="1">
      <c r="B451" s="639" t="s">
        <v>236</v>
      </c>
      <c r="C451" s="717" t="s">
        <v>2970</v>
      </c>
      <c r="D451" s="662"/>
      <c r="E451" s="17">
        <v>3544</v>
      </c>
      <c r="F451" s="739" t="s">
        <v>2794</v>
      </c>
      <c r="G451" s="17" t="s">
        <v>10</v>
      </c>
      <c r="H451" s="100">
        <v>30</v>
      </c>
      <c r="I451" s="101">
        <v>15</v>
      </c>
      <c r="J451" s="6">
        <f>H451*I451</f>
        <v>450</v>
      </c>
      <c r="K451" s="33">
        <v>11.42</v>
      </c>
      <c r="L451" s="643">
        <f>K451*I451</f>
        <v>171.3</v>
      </c>
      <c r="M451" s="672" t="s">
        <v>255</v>
      </c>
      <c r="N451" s="828">
        <v>45824</v>
      </c>
      <c r="O451" s="707">
        <v>7191</v>
      </c>
      <c r="P451" s="673">
        <f>ROUNDUP(S451/V451/VLOOKUP(B451,$C$2:$F$6,3,FALSE),2)</f>
        <v>9.7899999999999991</v>
      </c>
      <c r="Q451" s="674">
        <v>9.7899999999999991</v>
      </c>
      <c r="R451" s="674">
        <f>Q451*I451</f>
        <v>146.85</v>
      </c>
      <c r="S451" s="725">
        <v>822</v>
      </c>
      <c r="T451" s="84">
        <f>S451*I451</f>
        <v>12330</v>
      </c>
      <c r="U451" s="891"/>
      <c r="V451" s="668">
        <v>120</v>
      </c>
      <c r="W451" s="790">
        <f>(((K451*V451)-S451)/(K451*V451))</f>
        <v>0.4001751313485114</v>
      </c>
    </row>
    <row r="452" spans="1:27" s="638" customFormat="1" ht="17.25" customHeight="1">
      <c r="B452" s="639" t="s">
        <v>236</v>
      </c>
      <c r="C452" s="717" t="s">
        <v>2970</v>
      </c>
      <c r="D452" s="662"/>
      <c r="E452" s="17">
        <v>3544</v>
      </c>
      <c r="F452" s="739" t="s">
        <v>2798</v>
      </c>
      <c r="G452" s="17" t="s">
        <v>2971</v>
      </c>
      <c r="H452" s="100">
        <v>30</v>
      </c>
      <c r="I452" s="101">
        <v>15</v>
      </c>
      <c r="J452" s="6">
        <f>H452*I452</f>
        <v>450</v>
      </c>
      <c r="K452" s="33">
        <v>16.5</v>
      </c>
      <c r="L452" s="643">
        <f>K452*I452</f>
        <v>247.5</v>
      </c>
      <c r="M452" s="672" t="s">
        <v>255</v>
      </c>
      <c r="N452" s="828">
        <v>45824</v>
      </c>
      <c r="O452" s="707">
        <v>7191</v>
      </c>
      <c r="P452" s="673">
        <f>ROUNDUP(S452/V452/VLOOKUP(B452,$C$2:$F$6,3,FALSE),2)</f>
        <v>12.22</v>
      </c>
      <c r="Q452" s="674">
        <v>12.22</v>
      </c>
      <c r="R452" s="674">
        <f>Q452*I452</f>
        <v>183.3</v>
      </c>
      <c r="S452" s="725">
        <v>1026</v>
      </c>
      <c r="T452" s="84">
        <f>S452*I452</f>
        <v>15390</v>
      </c>
      <c r="U452" s="891"/>
      <c r="V452" s="668">
        <v>120</v>
      </c>
      <c r="W452" s="790">
        <f>(((K452*V452)-S452)/(K452*V452))</f>
        <v>0.48181818181818181</v>
      </c>
      <c r="Z452" s="725">
        <v>1188</v>
      </c>
      <c r="AA452" s="84">
        <f>Z452*P452</f>
        <v>14517.36</v>
      </c>
    </row>
    <row r="453" spans="1:27" s="638" customFormat="1" ht="17.25" customHeight="1">
      <c r="B453" s="639" t="s">
        <v>236</v>
      </c>
      <c r="C453" s="717" t="s">
        <v>2970</v>
      </c>
      <c r="D453" s="662"/>
      <c r="E453" s="17">
        <v>3544</v>
      </c>
      <c r="F453" s="739" t="s">
        <v>2798</v>
      </c>
      <c r="G453" s="17" t="s">
        <v>2972</v>
      </c>
      <c r="H453" s="100">
        <v>30</v>
      </c>
      <c r="I453" s="101">
        <v>10</v>
      </c>
      <c r="J453" s="6">
        <f>H453*I453</f>
        <v>300</v>
      </c>
      <c r="K453" s="33">
        <v>16.5</v>
      </c>
      <c r="L453" s="643">
        <f>K453*I453</f>
        <v>165</v>
      </c>
      <c r="M453" s="672" t="s">
        <v>255</v>
      </c>
      <c r="N453" s="828">
        <v>45824</v>
      </c>
      <c r="O453" s="707">
        <v>7191</v>
      </c>
      <c r="P453" s="673">
        <f>ROUNDUP(S453/V453/VLOOKUP(B453,$C$2:$F$6,3,FALSE),2)</f>
        <v>12.22</v>
      </c>
      <c r="Q453" s="674">
        <v>12.22</v>
      </c>
      <c r="R453" s="674">
        <f>Q453*I453</f>
        <v>122.2</v>
      </c>
      <c r="S453" s="725">
        <v>1026</v>
      </c>
      <c r="T453" s="84">
        <f>S453*I453</f>
        <v>10260</v>
      </c>
      <c r="U453" s="891"/>
      <c r="V453" s="668">
        <v>120</v>
      </c>
      <c r="W453" s="790">
        <f>(((K453*V453)-S453)/(K453*V453))</f>
        <v>0.48181818181818181</v>
      </c>
      <c r="Z453" s="725">
        <v>1188</v>
      </c>
      <c r="AA453" s="84">
        <f>Z453*P453</f>
        <v>14517.36</v>
      </c>
    </row>
    <row r="454" spans="1:27" s="638" customFormat="1" ht="17.25" customHeight="1">
      <c r="A454" s="638" t="s">
        <v>2850</v>
      </c>
      <c r="B454" s="639"/>
      <c r="C454" s="717" t="s">
        <v>2970</v>
      </c>
      <c r="D454" s="662"/>
      <c r="E454" s="14" t="s">
        <v>2882</v>
      </c>
      <c r="F454" s="739"/>
      <c r="G454" s="17"/>
      <c r="H454" s="100"/>
      <c r="I454" s="101"/>
      <c r="J454" s="6"/>
      <c r="K454" s="505" t="s">
        <v>4</v>
      </c>
      <c r="L454" s="643"/>
      <c r="M454" s="672"/>
      <c r="N454" s="828">
        <v>45824</v>
      </c>
      <c r="O454" s="707">
        <v>7191</v>
      </c>
      <c r="P454" s="673"/>
      <c r="Q454" s="674"/>
      <c r="R454" s="674"/>
      <c r="S454" s="792" t="s">
        <v>2891</v>
      </c>
      <c r="T454" s="84"/>
      <c r="U454" s="728"/>
      <c r="V454" s="668"/>
    </row>
    <row r="455" spans="1:27" s="638" customFormat="1" ht="17.25" customHeight="1">
      <c r="B455" s="639" t="s">
        <v>236</v>
      </c>
      <c r="C455" s="717" t="s">
        <v>2970</v>
      </c>
      <c r="D455" s="662"/>
      <c r="E455" s="17" t="s">
        <v>2880</v>
      </c>
      <c r="F455" s="739">
        <v>25</v>
      </c>
      <c r="G455" s="17" t="s">
        <v>2939</v>
      </c>
      <c r="H455" s="6">
        <v>30</v>
      </c>
      <c r="I455" s="30">
        <v>10</v>
      </c>
      <c r="J455" s="6">
        <f>H455*I455</f>
        <v>300</v>
      </c>
      <c r="K455" s="33">
        <v>24.18</v>
      </c>
      <c r="L455" s="643">
        <f>K455*I455</f>
        <v>241.8</v>
      </c>
      <c r="M455" s="672" t="s">
        <v>255</v>
      </c>
      <c r="N455" s="828">
        <v>45824</v>
      </c>
      <c r="O455" s="707">
        <v>7191</v>
      </c>
      <c r="P455" s="673">
        <f>ROUNDUP(S455/V455/VLOOKUP(B455,$C$2:$F$6,3,FALSE),2)</f>
        <v>20.73</v>
      </c>
      <c r="Q455" s="674">
        <v>20.73</v>
      </c>
      <c r="R455" s="674">
        <f>Q455*I455</f>
        <v>207.3</v>
      </c>
      <c r="S455" s="796">
        <v>1741</v>
      </c>
      <c r="T455" s="84">
        <f>S455*I455</f>
        <v>17410</v>
      </c>
      <c r="U455" s="723"/>
      <c r="V455" s="668">
        <v>120</v>
      </c>
      <c r="W455" s="790">
        <f>(((K455*V455)-S455)/(K455*V455))</f>
        <v>0.39998621450234351</v>
      </c>
    </row>
    <row r="456" spans="1:27" s="638" customFormat="1" ht="17.25" customHeight="1">
      <c r="A456" s="638" t="s">
        <v>2850</v>
      </c>
      <c r="B456" s="639"/>
      <c r="C456" s="717" t="s">
        <v>2970</v>
      </c>
      <c r="D456" s="662"/>
      <c r="E456" s="14" t="s">
        <v>2780</v>
      </c>
      <c r="F456" s="739"/>
      <c r="G456" s="17"/>
      <c r="H456" s="100"/>
      <c r="I456" s="101"/>
      <c r="J456" s="6"/>
      <c r="K456" s="505" t="s">
        <v>4</v>
      </c>
      <c r="L456" s="643"/>
      <c r="M456" s="672"/>
      <c r="N456" s="828">
        <v>45824</v>
      </c>
      <c r="O456" s="707">
        <v>7191</v>
      </c>
      <c r="P456" s="673"/>
      <c r="Q456" s="674"/>
      <c r="R456" s="674"/>
      <c r="S456" s="728" t="s">
        <v>2785</v>
      </c>
      <c r="T456" s="84"/>
      <c r="U456" s="728"/>
      <c r="V456" s="668"/>
    </row>
    <row r="457" spans="1:27" s="638" customFormat="1" ht="17.25" customHeight="1">
      <c r="B457" s="639" t="s">
        <v>236</v>
      </c>
      <c r="C457" s="717" t="s">
        <v>2970</v>
      </c>
      <c r="D457" s="662"/>
      <c r="E457" s="17">
        <v>2200</v>
      </c>
      <c r="F457" s="739">
        <v>12</v>
      </c>
      <c r="G457" s="17" t="s">
        <v>2973</v>
      </c>
      <c r="H457" s="100">
        <v>15</v>
      </c>
      <c r="I457" s="101">
        <v>5</v>
      </c>
      <c r="J457" s="6">
        <f>H457*I457</f>
        <v>75</v>
      </c>
      <c r="K457" s="33">
        <v>13.18</v>
      </c>
      <c r="L457" s="643">
        <f>K457*I457</f>
        <v>65.900000000000006</v>
      </c>
      <c r="M457" s="672" t="s">
        <v>255</v>
      </c>
      <c r="N457" s="828">
        <v>45824</v>
      </c>
      <c r="O457" s="707">
        <v>7191</v>
      </c>
      <c r="P457" s="673">
        <f>ROUNDUP(S457/V457/VLOOKUP(B457,$C$2:$F$6,3,FALSE),2)</f>
        <v>11.299999999999999</v>
      </c>
      <c r="Q457" s="674">
        <v>11.3</v>
      </c>
      <c r="R457" s="674">
        <f>Q457*I457</f>
        <v>56.5</v>
      </c>
      <c r="S457" s="796">
        <v>949</v>
      </c>
      <c r="T457" s="892">
        <f>S457*I457</f>
        <v>4745</v>
      </c>
      <c r="U457" s="84"/>
      <c r="V457" s="668">
        <v>120</v>
      </c>
      <c r="W457" s="790">
        <f t="shared" ref="W457:W462" si="97">(((K457*V457)-S457)/(K457*V457))</f>
        <v>0.39997470915528577</v>
      </c>
      <c r="Y457" s="84">
        <f t="shared" ref="Y457:Y463" si="98">X457*N457</f>
        <v>0</v>
      </c>
    </row>
    <row r="458" spans="1:27" s="638" customFormat="1" ht="17.25" customHeight="1">
      <c r="B458" s="639" t="s">
        <v>236</v>
      </c>
      <c r="C458" s="717" t="s">
        <v>2970</v>
      </c>
      <c r="D458" s="662"/>
      <c r="E458" s="17">
        <v>2200</v>
      </c>
      <c r="F458" s="739">
        <v>12</v>
      </c>
      <c r="G458" s="17" t="s">
        <v>2971</v>
      </c>
      <c r="H458" s="100">
        <v>15</v>
      </c>
      <c r="I458" s="101">
        <v>5</v>
      </c>
      <c r="J458" s="6">
        <f>H458*I458</f>
        <v>75</v>
      </c>
      <c r="K458" s="33">
        <v>13.18</v>
      </c>
      <c r="L458" s="643">
        <f>K458*I458</f>
        <v>65.900000000000006</v>
      </c>
      <c r="M458" s="672" t="s">
        <v>255</v>
      </c>
      <c r="N458" s="828">
        <v>45824</v>
      </c>
      <c r="O458" s="707">
        <v>7191</v>
      </c>
      <c r="P458" s="673">
        <f>ROUNDUP(S458/V458/VLOOKUP(B458,$C$2:$F$6,3,FALSE),2)</f>
        <v>11.299999999999999</v>
      </c>
      <c r="Q458" s="674">
        <v>11.3</v>
      </c>
      <c r="R458" s="674">
        <f>Q458*I458</f>
        <v>56.5</v>
      </c>
      <c r="S458" s="796">
        <v>949</v>
      </c>
      <c r="T458" s="892">
        <f>S458*I458</f>
        <v>4745</v>
      </c>
      <c r="U458" s="84"/>
      <c r="V458" s="668">
        <v>120</v>
      </c>
      <c r="W458" s="790">
        <f t="shared" si="97"/>
        <v>0.39997470915528577</v>
      </c>
      <c r="Y458" s="84">
        <f t="shared" si="98"/>
        <v>0</v>
      </c>
    </row>
    <row r="459" spans="1:27" s="638" customFormat="1" ht="17.25" customHeight="1">
      <c r="B459" s="639" t="s">
        <v>236</v>
      </c>
      <c r="C459" s="717" t="s">
        <v>2970</v>
      </c>
      <c r="D459" s="662"/>
      <c r="E459" s="17">
        <v>2200</v>
      </c>
      <c r="F459" s="739">
        <v>24</v>
      </c>
      <c r="G459" s="17" t="s">
        <v>2971</v>
      </c>
      <c r="H459" s="100">
        <v>15</v>
      </c>
      <c r="I459" s="101">
        <v>3</v>
      </c>
      <c r="J459" s="6">
        <f>H459*I459</f>
        <v>45</v>
      </c>
      <c r="K459" s="33">
        <v>24.78</v>
      </c>
      <c r="L459" s="643">
        <f>K459*I459</f>
        <v>74.34</v>
      </c>
      <c r="M459" s="672" t="s">
        <v>255</v>
      </c>
      <c r="N459" s="828">
        <v>45824</v>
      </c>
      <c r="O459" s="707">
        <v>7191</v>
      </c>
      <c r="P459" s="673">
        <f>ROUNDUP(S459/V459/VLOOKUP(B459,$C$2:$F$6,3,FALSE),2)</f>
        <v>21.240000000000002</v>
      </c>
      <c r="Q459" s="674">
        <v>21.24</v>
      </c>
      <c r="R459" s="674">
        <f>Q459*I459</f>
        <v>63.72</v>
      </c>
      <c r="S459" s="796">
        <v>1784</v>
      </c>
      <c r="T459" s="892">
        <f>S459*I459</f>
        <v>5352</v>
      </c>
      <c r="U459" s="84"/>
      <c r="V459" s="668">
        <v>120</v>
      </c>
      <c r="W459" s="790">
        <f t="shared" si="97"/>
        <v>0.40005380683346792</v>
      </c>
      <c r="Y459" s="84">
        <f t="shared" si="98"/>
        <v>0</v>
      </c>
    </row>
    <row r="460" spans="1:27" s="638" customFormat="1" ht="17.25" customHeight="1">
      <c r="B460" s="639" t="s">
        <v>236</v>
      </c>
      <c r="C460" s="717" t="s">
        <v>2970</v>
      </c>
      <c r="D460" s="662"/>
      <c r="E460" s="17">
        <v>2200</v>
      </c>
      <c r="F460" s="739">
        <v>12</v>
      </c>
      <c r="G460" s="17" t="s">
        <v>2974</v>
      </c>
      <c r="H460" s="100">
        <v>15</v>
      </c>
      <c r="I460" s="101">
        <v>5</v>
      </c>
      <c r="J460" s="6">
        <f>H460*I460</f>
        <v>75</v>
      </c>
      <c r="K460" s="33">
        <v>13.18</v>
      </c>
      <c r="L460" s="643">
        <f>K460*I460</f>
        <v>65.900000000000006</v>
      </c>
      <c r="M460" s="672" t="s">
        <v>255</v>
      </c>
      <c r="N460" s="828">
        <v>45824</v>
      </c>
      <c r="O460" s="707">
        <v>7191</v>
      </c>
      <c r="P460" s="673">
        <f>ROUNDUP(S460/V460/VLOOKUP(B460,$C$2:$F$6,3,FALSE),2)</f>
        <v>11.299999999999999</v>
      </c>
      <c r="Q460" s="674">
        <v>11.3</v>
      </c>
      <c r="R460" s="674">
        <f>Q460*I460</f>
        <v>56.5</v>
      </c>
      <c r="S460" s="796">
        <v>949</v>
      </c>
      <c r="T460" s="892">
        <f>S460*I460</f>
        <v>4745</v>
      </c>
      <c r="U460" s="84"/>
      <c r="V460" s="668">
        <v>120</v>
      </c>
      <c r="W460" s="790">
        <f t="shared" si="97"/>
        <v>0.39997470915528577</v>
      </c>
      <c r="Y460" s="84">
        <f t="shared" si="98"/>
        <v>0</v>
      </c>
    </row>
    <row r="461" spans="1:27" s="638" customFormat="1" ht="15.75">
      <c r="B461" s="639"/>
      <c r="C461" s="717" t="s">
        <v>2969</v>
      </c>
      <c r="D461" s="662"/>
      <c r="E461" s="158"/>
      <c r="F461" s="737"/>
      <c r="G461" s="158" t="s">
        <v>250</v>
      </c>
      <c r="H461" s="671"/>
      <c r="I461" s="676"/>
      <c r="J461" s="677">
        <v>3</v>
      </c>
      <c r="K461" s="643">
        <v>12</v>
      </c>
      <c r="L461" s="643">
        <f>K461*J461</f>
        <v>36</v>
      </c>
      <c r="M461" s="678"/>
      <c r="N461" s="828">
        <v>45824</v>
      </c>
      <c r="O461" s="707">
        <v>7191</v>
      </c>
      <c r="P461" s="674">
        <v>12</v>
      </c>
      <c r="Q461" s="674">
        <v>12</v>
      </c>
      <c r="R461" s="674">
        <v>36</v>
      </c>
      <c r="S461" s="796">
        <f>1000</f>
        <v>1000</v>
      </c>
      <c r="T461" s="788">
        <v>1000</v>
      </c>
      <c r="U461" s="728"/>
      <c r="V461" s="668">
        <v>120</v>
      </c>
      <c r="W461" s="790">
        <f t="shared" si="97"/>
        <v>0.30555555555555558</v>
      </c>
      <c r="Y461" s="638">
        <f t="shared" si="98"/>
        <v>0</v>
      </c>
    </row>
    <row r="462" spans="1:27" s="709" customFormat="1" ht="15.75">
      <c r="B462" s="710"/>
      <c r="C462" s="719" t="s">
        <v>2969</v>
      </c>
      <c r="D462" s="680"/>
      <c r="E462" s="859"/>
      <c r="F462" s="860"/>
      <c r="G462" s="682" t="s">
        <v>210</v>
      </c>
      <c r="H462" s="683" t="s">
        <v>2754</v>
      </c>
      <c r="I462" s="684"/>
      <c r="J462" s="685"/>
      <c r="K462" s="720">
        <v>225</v>
      </c>
      <c r="L462" s="720">
        <v>225</v>
      </c>
      <c r="M462" s="712"/>
      <c r="N462" s="858">
        <v>45824</v>
      </c>
      <c r="O462" s="713">
        <v>7191</v>
      </c>
      <c r="P462" s="687"/>
      <c r="Q462" s="720">
        <v>225</v>
      </c>
      <c r="R462" s="720">
        <v>225</v>
      </c>
      <c r="S462" s="861">
        <v>22372</v>
      </c>
      <c r="T462" s="861">
        <v>22372</v>
      </c>
      <c r="U462" s="690"/>
      <c r="V462" s="668">
        <v>120</v>
      </c>
      <c r="W462" s="730">
        <f t="shared" si="97"/>
        <v>0.1714074074074074</v>
      </c>
      <c r="Y462" s="709">
        <f t="shared" si="98"/>
        <v>0</v>
      </c>
    </row>
    <row r="463" spans="1:27" s="638" customFormat="1" ht="17.25" customHeight="1">
      <c r="B463" s="639"/>
      <c r="C463" s="717" t="s">
        <v>2994</v>
      </c>
      <c r="D463" s="662"/>
      <c r="E463" s="14" t="s">
        <v>2882</v>
      </c>
      <c r="F463" s="739"/>
      <c r="G463" s="17"/>
      <c r="H463" s="100"/>
      <c r="I463" s="101"/>
      <c r="J463" s="6"/>
      <c r="K463" s="505" t="s">
        <v>4</v>
      </c>
      <c r="L463" s="643"/>
      <c r="M463" s="672"/>
      <c r="N463" s="828">
        <v>45876</v>
      </c>
      <c r="O463" s="707">
        <v>7352</v>
      </c>
      <c r="P463" s="673"/>
      <c r="Q463" s="674"/>
      <c r="R463" s="674"/>
      <c r="S463" s="792" t="s">
        <v>2891</v>
      </c>
      <c r="T463" s="84"/>
      <c r="U463" s="728"/>
      <c r="V463" s="668"/>
      <c r="Y463" s="638">
        <f t="shared" si="98"/>
        <v>0</v>
      </c>
    </row>
    <row r="464" spans="1:27" s="638" customFormat="1" ht="17.25" customHeight="1">
      <c r="B464" s="639" t="s">
        <v>236</v>
      </c>
      <c r="C464" s="717" t="s">
        <v>2994</v>
      </c>
      <c r="D464" s="662"/>
      <c r="E464" s="17" t="s">
        <v>2880</v>
      </c>
      <c r="F464" s="739">
        <v>25</v>
      </c>
      <c r="G464" s="17" t="s">
        <v>2939</v>
      </c>
      <c r="H464" s="6">
        <v>30</v>
      </c>
      <c r="I464" s="30">
        <v>20</v>
      </c>
      <c r="J464" s="6">
        <v>600</v>
      </c>
      <c r="K464" s="33">
        <v>24.19</v>
      </c>
      <c r="L464" s="643">
        <f>K464*I464</f>
        <v>483.8</v>
      </c>
      <c r="M464" s="672" t="s">
        <v>255</v>
      </c>
      <c r="N464" s="834">
        <v>45876</v>
      </c>
      <c r="O464" s="707">
        <v>7352</v>
      </c>
      <c r="P464" s="673">
        <f>ROUNDUP(S464/V464/VLOOKUP(B464,$C$2:$F$6,3,FALSE),2)</f>
        <v>20.73</v>
      </c>
      <c r="Q464" s="674">
        <v>20.73</v>
      </c>
      <c r="R464" s="674">
        <f>Q464*I464</f>
        <v>414.6</v>
      </c>
      <c r="S464" s="796">
        <v>1741</v>
      </c>
      <c r="T464" s="84">
        <f>S464*I464</f>
        <v>34820</v>
      </c>
      <c r="U464" s="723"/>
      <c r="V464" s="668">
        <v>120</v>
      </c>
      <c r="W464" s="790">
        <f>(((K464*V464)-S464)/(K464*V464))</f>
        <v>0.40023425657985395</v>
      </c>
    </row>
    <row r="465" spans="2:25" s="638" customFormat="1" ht="17.25" customHeight="1">
      <c r="B465" s="639"/>
      <c r="C465" s="717" t="s">
        <v>2994</v>
      </c>
      <c r="D465" s="662"/>
      <c r="E465" s="14" t="s">
        <v>2780</v>
      </c>
      <c r="F465" s="739"/>
      <c r="G465" s="17"/>
      <c r="H465" s="100"/>
      <c r="I465" s="101"/>
      <c r="J465" s="6"/>
      <c r="K465" s="505" t="s">
        <v>4</v>
      </c>
      <c r="L465" s="643"/>
      <c r="M465" s="672"/>
      <c r="N465" s="834">
        <v>45876</v>
      </c>
      <c r="O465" s="707">
        <v>7352</v>
      </c>
      <c r="P465" s="673"/>
      <c r="Q465" s="674"/>
      <c r="R465" s="674"/>
      <c r="S465" s="728" t="s">
        <v>2785</v>
      </c>
      <c r="T465" s="84"/>
      <c r="U465" s="728"/>
      <c r="V465" s="668"/>
    </row>
    <row r="466" spans="2:25" s="638" customFormat="1" ht="17.25" customHeight="1">
      <c r="B466" s="639" t="s">
        <v>236</v>
      </c>
      <c r="C466" s="717" t="s">
        <v>2994</v>
      </c>
      <c r="D466" s="662"/>
      <c r="E466" s="17">
        <v>2200</v>
      </c>
      <c r="F466" s="739">
        <v>50</v>
      </c>
      <c r="G466" s="17" t="s">
        <v>2939</v>
      </c>
      <c r="H466" s="100">
        <v>15</v>
      </c>
      <c r="I466" s="101">
        <v>3</v>
      </c>
      <c r="J466" s="6">
        <f>H466*I466</f>
        <v>45</v>
      </c>
      <c r="K466" s="33">
        <v>54.12</v>
      </c>
      <c r="L466" s="643">
        <f t="shared" ref="L466:L471" si="99">K466*I466</f>
        <v>162.35999999999999</v>
      </c>
      <c r="M466" s="672" t="s">
        <v>255</v>
      </c>
      <c r="N466" s="834">
        <v>45876</v>
      </c>
      <c r="O466" s="707">
        <v>7352</v>
      </c>
      <c r="P466" s="673">
        <f t="shared" ref="P466:P471" si="100">ROUNDUP(S466/V466/VLOOKUP(B466,$C$2:$F$6,3,FALSE),2)</f>
        <v>46.39</v>
      </c>
      <c r="Q466" s="674">
        <v>46.39</v>
      </c>
      <c r="R466" s="674">
        <f t="shared" ref="R466:R472" si="101">Q466*I466</f>
        <v>139.17000000000002</v>
      </c>
      <c r="S466" s="796">
        <v>3896</v>
      </c>
      <c r="T466" s="892">
        <f t="shared" ref="T466:T471" si="102">S466*I466</f>
        <v>11688</v>
      </c>
      <c r="U466" s="84"/>
      <c r="V466" s="668">
        <v>120</v>
      </c>
      <c r="W466" s="790">
        <f t="shared" ref="W466:W472" si="103">(((K466*V466)-S466)/(K466*V466))</f>
        <v>0.40009854644000981</v>
      </c>
      <c r="Y466" s="84">
        <f t="shared" ref="Y466:Y472" si="104">X466*N466</f>
        <v>0</v>
      </c>
    </row>
    <row r="467" spans="2:25" s="638" customFormat="1" ht="17.25" customHeight="1">
      <c r="B467" s="639" t="s">
        <v>236</v>
      </c>
      <c r="C467" s="717" t="s">
        <v>2994</v>
      </c>
      <c r="D467" s="662"/>
      <c r="E467" s="17">
        <v>2200</v>
      </c>
      <c r="F467" s="739">
        <v>12</v>
      </c>
      <c r="G467" s="17" t="s">
        <v>2939</v>
      </c>
      <c r="H467" s="100">
        <v>15</v>
      </c>
      <c r="I467" s="101">
        <v>20</v>
      </c>
      <c r="J467" s="6">
        <f>H467*I467</f>
        <v>300</v>
      </c>
      <c r="K467" s="33">
        <v>13.19</v>
      </c>
      <c r="L467" s="643">
        <f t="shared" si="99"/>
        <v>263.8</v>
      </c>
      <c r="M467" s="672" t="s">
        <v>255</v>
      </c>
      <c r="N467" s="834">
        <v>45876</v>
      </c>
      <c r="O467" s="707">
        <v>7352</v>
      </c>
      <c r="P467" s="673">
        <f t="shared" si="100"/>
        <v>11.299999999999999</v>
      </c>
      <c r="Q467" s="674">
        <v>11.3</v>
      </c>
      <c r="R467" s="674">
        <f t="shared" si="101"/>
        <v>226</v>
      </c>
      <c r="S467" s="796">
        <v>949</v>
      </c>
      <c r="T467" s="892">
        <f t="shared" si="102"/>
        <v>18980</v>
      </c>
      <c r="U467" s="84"/>
      <c r="V467" s="668">
        <v>120</v>
      </c>
      <c r="W467" s="790">
        <f t="shared" si="103"/>
        <v>0.40042961839777608</v>
      </c>
      <c r="Y467" s="84">
        <f t="shared" si="104"/>
        <v>0</v>
      </c>
    </row>
    <row r="468" spans="2:25" s="638" customFormat="1" ht="17.25" customHeight="1">
      <c r="B468" s="639" t="s">
        <v>236</v>
      </c>
      <c r="C468" s="717" t="s">
        <v>2994</v>
      </c>
      <c r="D468" s="662"/>
      <c r="E468" s="17">
        <v>2200</v>
      </c>
      <c r="F468" s="739">
        <v>24</v>
      </c>
      <c r="G468" s="17" t="s">
        <v>2973</v>
      </c>
      <c r="H468" s="100">
        <v>15</v>
      </c>
      <c r="I468" s="101">
        <f>J468/H468</f>
        <v>5</v>
      </c>
      <c r="J468" s="6">
        <v>75</v>
      </c>
      <c r="K468" s="33">
        <v>24.78</v>
      </c>
      <c r="L468" s="643">
        <f t="shared" si="99"/>
        <v>123.9</v>
      </c>
      <c r="M468" s="672" t="s">
        <v>255</v>
      </c>
      <c r="N468" s="828">
        <v>45897</v>
      </c>
      <c r="O468" s="707">
        <v>7410</v>
      </c>
      <c r="P468" s="673">
        <f t="shared" si="100"/>
        <v>21.240000000000002</v>
      </c>
      <c r="Q468" s="674">
        <v>21.24</v>
      </c>
      <c r="R468" s="674">
        <f t="shared" si="101"/>
        <v>106.19999999999999</v>
      </c>
      <c r="S468" s="796">
        <v>1784</v>
      </c>
      <c r="T468" s="892">
        <f t="shared" si="102"/>
        <v>8920</v>
      </c>
      <c r="U468" s="84"/>
      <c r="V468" s="668">
        <v>120</v>
      </c>
      <c r="W468" s="790">
        <f t="shared" si="103"/>
        <v>0.40005380683346792</v>
      </c>
      <c r="Y468" s="84">
        <f t="shared" si="104"/>
        <v>0</v>
      </c>
    </row>
    <row r="469" spans="2:25" s="638" customFormat="1" ht="17.25" customHeight="1">
      <c r="B469" s="639" t="s">
        <v>236</v>
      </c>
      <c r="C469" s="717" t="s">
        <v>2994</v>
      </c>
      <c r="D469" s="662"/>
      <c r="E469" s="17">
        <v>2200</v>
      </c>
      <c r="F469" s="739">
        <v>24</v>
      </c>
      <c r="G469" s="17" t="s">
        <v>2939</v>
      </c>
      <c r="H469" s="100">
        <v>15</v>
      </c>
      <c r="I469" s="101">
        <f>J469/H469</f>
        <v>10</v>
      </c>
      <c r="J469" s="6">
        <v>150</v>
      </c>
      <c r="K469" s="33">
        <v>24.78</v>
      </c>
      <c r="L469" s="643">
        <f t="shared" si="99"/>
        <v>247.8</v>
      </c>
      <c r="M469" s="672" t="s">
        <v>255</v>
      </c>
      <c r="N469" s="828">
        <v>45911</v>
      </c>
      <c r="O469" s="707">
        <v>7445</v>
      </c>
      <c r="P469" s="673">
        <f t="shared" si="100"/>
        <v>21.240000000000002</v>
      </c>
      <c r="Q469" s="674">
        <v>11.3</v>
      </c>
      <c r="R469" s="674">
        <f t="shared" si="101"/>
        <v>113</v>
      </c>
      <c r="S469" s="796">
        <v>1784</v>
      </c>
      <c r="T469" s="892">
        <f t="shared" si="102"/>
        <v>17840</v>
      </c>
      <c r="U469" s="84"/>
      <c r="V469" s="668">
        <v>120</v>
      </c>
      <c r="W469" s="790">
        <f t="shared" si="103"/>
        <v>0.40005380683346792</v>
      </c>
      <c r="Y469" s="84">
        <f t="shared" si="104"/>
        <v>0</v>
      </c>
    </row>
    <row r="470" spans="2:25" s="638" customFormat="1" ht="17.25" customHeight="1">
      <c r="B470" s="639" t="s">
        <v>236</v>
      </c>
      <c r="C470" s="717" t="s">
        <v>2994</v>
      </c>
      <c r="D470" s="662"/>
      <c r="E470" s="17">
        <v>2200</v>
      </c>
      <c r="F470" s="739">
        <v>36</v>
      </c>
      <c r="G470" s="17" t="s">
        <v>2939</v>
      </c>
      <c r="H470" s="100">
        <v>15</v>
      </c>
      <c r="I470" s="101">
        <f>J470/H470</f>
        <v>3</v>
      </c>
      <c r="J470" s="6">
        <v>45</v>
      </c>
      <c r="K470" s="33">
        <v>39.409999999999997</v>
      </c>
      <c r="L470" s="643">
        <f t="shared" si="99"/>
        <v>118.22999999999999</v>
      </c>
      <c r="M470" s="672" t="s">
        <v>255</v>
      </c>
      <c r="N470" s="834">
        <v>45876</v>
      </c>
      <c r="O470" s="707">
        <v>7352</v>
      </c>
      <c r="P470" s="673">
        <f t="shared" si="100"/>
        <v>33.78</v>
      </c>
      <c r="Q470" s="674">
        <v>33.78</v>
      </c>
      <c r="R470" s="674">
        <f t="shared" si="101"/>
        <v>101.34</v>
      </c>
      <c r="S470" s="796">
        <v>2837</v>
      </c>
      <c r="T470" s="892">
        <f t="shared" si="102"/>
        <v>8511</v>
      </c>
      <c r="U470" s="84"/>
      <c r="V470" s="668">
        <v>120</v>
      </c>
      <c r="W470" s="790">
        <f t="shared" si="103"/>
        <v>0.40010995517212211</v>
      </c>
      <c r="Y470" s="84">
        <f t="shared" si="104"/>
        <v>0</v>
      </c>
    </row>
    <row r="471" spans="2:25" s="638" customFormat="1" ht="17.25" customHeight="1">
      <c r="B471" s="639" t="s">
        <v>236</v>
      </c>
      <c r="C471" s="717" t="s">
        <v>2994</v>
      </c>
      <c r="D471" s="662"/>
      <c r="E471" s="17">
        <v>2200</v>
      </c>
      <c r="F471" s="739">
        <v>18</v>
      </c>
      <c r="G471" s="17" t="s">
        <v>2977</v>
      </c>
      <c r="H471" s="100">
        <v>15</v>
      </c>
      <c r="I471" s="101">
        <f>J471/H471</f>
        <v>5</v>
      </c>
      <c r="J471" s="6">
        <v>75</v>
      </c>
      <c r="K471" s="33">
        <v>19.559999999999999</v>
      </c>
      <c r="L471" s="643">
        <f t="shared" si="99"/>
        <v>97.8</v>
      </c>
      <c r="M471" s="672" t="s">
        <v>255</v>
      </c>
      <c r="N471" s="834">
        <v>45876</v>
      </c>
      <c r="O471" s="707">
        <v>7352</v>
      </c>
      <c r="P471" s="673">
        <f t="shared" si="100"/>
        <v>16.770000000000003</v>
      </c>
      <c r="Q471" s="674">
        <v>16.77</v>
      </c>
      <c r="R471" s="674">
        <f t="shared" si="101"/>
        <v>83.85</v>
      </c>
      <c r="S471" s="796">
        <v>1408</v>
      </c>
      <c r="T471" s="892">
        <f t="shared" si="102"/>
        <v>7040</v>
      </c>
      <c r="U471" s="84"/>
      <c r="V471" s="668">
        <v>120</v>
      </c>
      <c r="W471" s="790">
        <f t="shared" si="103"/>
        <v>0.40013633265167003</v>
      </c>
      <c r="Y471" s="84">
        <f t="shared" si="104"/>
        <v>0</v>
      </c>
    </row>
    <row r="472" spans="2:25" s="638" customFormat="1" ht="17.25" customHeight="1">
      <c r="B472" s="639" t="s">
        <v>236</v>
      </c>
      <c r="C472" s="717" t="s">
        <v>2994</v>
      </c>
      <c r="D472" s="662"/>
      <c r="E472" s="17">
        <v>2200</v>
      </c>
      <c r="F472" s="739">
        <v>12</v>
      </c>
      <c r="G472" s="17" t="s">
        <v>2978</v>
      </c>
      <c r="H472" s="100">
        <v>15</v>
      </c>
      <c r="I472" s="101">
        <v>5</v>
      </c>
      <c r="J472" s="6">
        <f>H472*I472</f>
        <v>75</v>
      </c>
      <c r="K472" s="33">
        <v>13.19</v>
      </c>
      <c r="L472" s="643">
        <f>K472*I472</f>
        <v>65.95</v>
      </c>
      <c r="M472" s="672" t="s">
        <v>2976</v>
      </c>
      <c r="N472" s="834">
        <v>45876</v>
      </c>
      <c r="O472" s="707">
        <v>7352</v>
      </c>
      <c r="P472" s="673">
        <v>14.58</v>
      </c>
      <c r="Q472" s="674">
        <v>14.58</v>
      </c>
      <c r="R472" s="674">
        <f t="shared" si="101"/>
        <v>72.900000000000006</v>
      </c>
      <c r="S472" s="796">
        <v>949</v>
      </c>
      <c r="T472" s="892">
        <f>S472*I472</f>
        <v>4745</v>
      </c>
      <c r="U472" s="84"/>
      <c r="V472" s="668">
        <v>120</v>
      </c>
      <c r="W472" s="790">
        <f t="shared" si="103"/>
        <v>0.40042961839777608</v>
      </c>
      <c r="Y472" s="84">
        <f t="shared" si="104"/>
        <v>0</v>
      </c>
    </row>
    <row r="473" spans="2:25" s="638" customFormat="1" ht="17.25" customHeight="1">
      <c r="B473" s="639"/>
      <c r="C473" s="717" t="s">
        <v>2979</v>
      </c>
      <c r="D473" s="662"/>
      <c r="E473" s="14" t="s">
        <v>2816</v>
      </c>
      <c r="F473" s="739"/>
      <c r="G473" s="17"/>
      <c r="H473" s="100"/>
      <c r="I473" s="101"/>
      <c r="J473" s="6"/>
      <c r="K473" s="505" t="s">
        <v>4</v>
      </c>
      <c r="L473" s="643"/>
      <c r="M473" s="672"/>
      <c r="N473" s="835">
        <v>45890</v>
      </c>
      <c r="O473" s="707">
        <v>7387</v>
      </c>
      <c r="P473" s="673"/>
      <c r="Q473" s="674"/>
      <c r="R473" s="674"/>
      <c r="S473" s="728"/>
      <c r="T473" s="84"/>
      <c r="U473" s="728"/>
      <c r="V473" s="668"/>
    </row>
    <row r="474" spans="2:25" s="638" customFormat="1" ht="17.25" customHeight="1">
      <c r="B474" s="639" t="s">
        <v>236</v>
      </c>
      <c r="C474" s="717" t="s">
        <v>2979</v>
      </c>
      <c r="D474" s="662"/>
      <c r="E474" s="17">
        <v>1100</v>
      </c>
      <c r="F474" s="739">
        <v>40</v>
      </c>
      <c r="G474" s="17" t="s">
        <v>2793</v>
      </c>
      <c r="H474" s="100">
        <v>30</v>
      </c>
      <c r="I474" s="101">
        <v>10</v>
      </c>
      <c r="J474" s="6">
        <f>H474*I474</f>
        <v>300</v>
      </c>
      <c r="K474" s="33">
        <v>56.37</v>
      </c>
      <c r="L474" s="643">
        <f>K474*I474</f>
        <v>563.69999999999993</v>
      </c>
      <c r="M474" s="672" t="s">
        <v>2791</v>
      </c>
      <c r="N474" s="835">
        <v>45890</v>
      </c>
      <c r="O474" s="707">
        <v>7387</v>
      </c>
      <c r="P474" s="673">
        <f>ROUNDUP(S474/V474/VLOOKUP(B474,$C$2:$F$6,3,FALSE),2)</f>
        <v>44.29</v>
      </c>
      <c r="Q474" s="674">
        <v>45.72</v>
      </c>
      <c r="R474" s="674">
        <f>Q474*I474</f>
        <v>457.2</v>
      </c>
      <c r="S474" s="725">
        <v>3720</v>
      </c>
      <c r="T474" s="84">
        <f>S474*I474</f>
        <v>37200</v>
      </c>
      <c r="U474" s="726"/>
      <c r="V474" s="668">
        <v>120</v>
      </c>
      <c r="W474" s="730">
        <f>(((K474*V474)-S474)/(K474*V474))</f>
        <v>0.45006208976405887</v>
      </c>
    </row>
    <row r="475" spans="2:25" s="709" customFormat="1" ht="15.75">
      <c r="B475" s="710"/>
      <c r="C475" s="719" t="s">
        <v>2983</v>
      </c>
      <c r="D475" s="680"/>
      <c r="E475" s="859"/>
      <c r="F475" s="860"/>
      <c r="G475" s="682" t="s">
        <v>210</v>
      </c>
      <c r="H475" s="683" t="s">
        <v>2754</v>
      </c>
      <c r="I475" s="684"/>
      <c r="J475" s="685"/>
      <c r="K475" s="720">
        <v>120</v>
      </c>
      <c r="L475" s="720">
        <v>120</v>
      </c>
      <c r="M475" s="712"/>
      <c r="N475" s="858">
        <v>45890</v>
      </c>
      <c r="O475" s="713">
        <v>7387</v>
      </c>
      <c r="P475" s="687"/>
      <c r="Q475" s="720">
        <v>120</v>
      </c>
      <c r="R475" s="720">
        <v>120</v>
      </c>
      <c r="S475" s="754">
        <v>11882</v>
      </c>
      <c r="T475" s="754">
        <v>11882</v>
      </c>
      <c r="U475" s="690"/>
      <c r="V475" s="668">
        <v>120</v>
      </c>
      <c r="W475" s="730">
        <f>(((K475*V475)-S475)/(K475*V475))</f>
        <v>0.17486111111111111</v>
      </c>
      <c r="Y475" s="709">
        <f>X475*N475</f>
        <v>0</v>
      </c>
    </row>
    <row r="476" spans="2:25" s="638" customFormat="1" ht="17.25" customHeight="1">
      <c r="B476" s="639"/>
      <c r="C476" s="717" t="s">
        <v>2979</v>
      </c>
      <c r="D476" s="662"/>
      <c r="E476" s="14" t="s">
        <v>2795</v>
      </c>
      <c r="F476" s="739"/>
      <c r="G476" s="17"/>
      <c r="H476" s="100"/>
      <c r="I476" s="101"/>
      <c r="J476" s="6"/>
      <c r="K476" s="505" t="s">
        <v>4</v>
      </c>
      <c r="L476" s="643"/>
      <c r="M476" s="672"/>
      <c r="N476" s="828">
        <v>45876</v>
      </c>
      <c r="O476" s="707">
        <v>7352</v>
      </c>
      <c r="P476" s="673"/>
      <c r="Q476" s="674"/>
      <c r="R476" s="674"/>
      <c r="S476" s="728"/>
      <c r="T476" s="84"/>
      <c r="U476" s="728"/>
      <c r="V476" s="668"/>
    </row>
    <row r="477" spans="2:25" s="638" customFormat="1" ht="17.25" customHeight="1">
      <c r="B477" s="639" t="s">
        <v>236</v>
      </c>
      <c r="C477" s="717" t="s">
        <v>2979</v>
      </c>
      <c r="D477" s="662"/>
      <c r="E477" s="787">
        <v>3544</v>
      </c>
      <c r="F477" s="739" t="s">
        <v>2794</v>
      </c>
      <c r="G477" s="17" t="s">
        <v>2980</v>
      </c>
      <c r="H477" s="100">
        <v>30</v>
      </c>
      <c r="I477" s="101">
        <v>10</v>
      </c>
      <c r="J477" s="6">
        <f>H477*I477</f>
        <v>300</v>
      </c>
      <c r="K477" s="33">
        <v>11.42</v>
      </c>
      <c r="L477" s="643">
        <f>K477*I477</f>
        <v>114.2</v>
      </c>
      <c r="M477" s="672" t="s">
        <v>255</v>
      </c>
      <c r="N477" s="834">
        <v>45876</v>
      </c>
      <c r="O477" s="707">
        <v>7352</v>
      </c>
      <c r="P477" s="673">
        <f>ROUNDUP(S477/V477/VLOOKUP(B477,$C$2:$F$6,3,FALSE),2)</f>
        <v>9.7899999999999991</v>
      </c>
      <c r="Q477" s="674">
        <v>9.7899999999999991</v>
      </c>
      <c r="R477" s="674">
        <f>Q477*I477</f>
        <v>97.899999999999991</v>
      </c>
      <c r="S477" s="796">
        <v>822</v>
      </c>
      <c r="T477" s="84">
        <f>S477*I477</f>
        <v>8220</v>
      </c>
      <c r="U477" s="891"/>
      <c r="V477" s="668">
        <v>120</v>
      </c>
      <c r="W477" s="790">
        <f>(((K477*V477)-S477)/(K477*V477))</f>
        <v>0.4001751313485114</v>
      </c>
    </row>
    <row r="478" spans="2:25" s="638" customFormat="1" ht="17.25" customHeight="1">
      <c r="B478" s="639" t="s">
        <v>236</v>
      </c>
      <c r="C478" s="717" t="s">
        <v>2979</v>
      </c>
      <c r="D478" s="662"/>
      <c r="E478" s="787">
        <v>3544</v>
      </c>
      <c r="F478" s="739" t="s">
        <v>2796</v>
      </c>
      <c r="G478" s="17" t="s">
        <v>2982</v>
      </c>
      <c r="H478" s="100">
        <v>30</v>
      </c>
      <c r="I478" s="101">
        <v>10</v>
      </c>
      <c r="J478" s="6">
        <f>H478*I478</f>
        <v>300</v>
      </c>
      <c r="K478" s="33">
        <v>19</v>
      </c>
      <c r="L478" s="643">
        <f>K478*I478</f>
        <v>190</v>
      </c>
      <c r="M478" s="672" t="s">
        <v>255</v>
      </c>
      <c r="N478" s="834">
        <v>45876</v>
      </c>
      <c r="O478" s="707">
        <v>7352</v>
      </c>
      <c r="P478" s="673">
        <f>ROUNDUP(S478/V478/VLOOKUP(B478,$C$2:$F$6,3,FALSE),2)</f>
        <v>16.290000000000003</v>
      </c>
      <c r="Q478" s="674">
        <v>16.29</v>
      </c>
      <c r="R478" s="674">
        <f>Q478*I478</f>
        <v>162.89999999999998</v>
      </c>
      <c r="S478" s="796">
        <v>1368</v>
      </c>
      <c r="T478" s="84">
        <f>S478*I478</f>
        <v>13680</v>
      </c>
      <c r="U478" s="891"/>
      <c r="V478" s="668">
        <v>120</v>
      </c>
      <c r="W478" s="790">
        <f>(((K478*V478)-S478)/(K478*V478))</f>
        <v>0.4</v>
      </c>
    </row>
    <row r="479" spans="2:25" s="638" customFormat="1" ht="17.25" customHeight="1">
      <c r="B479" s="639"/>
      <c r="C479" s="717" t="s">
        <v>2979</v>
      </c>
      <c r="D479" s="662"/>
      <c r="E479" s="865" t="s">
        <v>2792</v>
      </c>
      <c r="F479" s="739"/>
      <c r="G479" s="17"/>
      <c r="H479" s="100"/>
      <c r="I479" s="101"/>
      <c r="J479" s="6"/>
      <c r="K479" s="505"/>
      <c r="L479" s="643"/>
      <c r="M479" s="672"/>
      <c r="N479" s="834">
        <v>45876</v>
      </c>
      <c r="O479" s="707">
        <v>7352</v>
      </c>
      <c r="P479" s="673"/>
      <c r="Q479" s="674"/>
      <c r="R479" s="674"/>
      <c r="S479" s="728"/>
      <c r="T479" s="84"/>
      <c r="U479" s="728"/>
      <c r="V479" s="668"/>
    </row>
    <row r="480" spans="2:25" s="638" customFormat="1" ht="17.25" customHeight="1">
      <c r="B480" s="639" t="s">
        <v>236</v>
      </c>
      <c r="C480" s="717" t="s">
        <v>2979</v>
      </c>
      <c r="D480" s="662"/>
      <c r="E480" s="787">
        <v>3534</v>
      </c>
      <c r="F480" s="739">
        <v>35</v>
      </c>
      <c r="G480" s="17" t="s">
        <v>2981</v>
      </c>
      <c r="H480" s="100">
        <v>30</v>
      </c>
      <c r="I480" s="101">
        <v>10</v>
      </c>
      <c r="J480" s="6">
        <f>H480*I480</f>
        <v>300</v>
      </c>
      <c r="K480" s="33">
        <v>24.7</v>
      </c>
      <c r="L480" s="643">
        <f>K480*I480</f>
        <v>247</v>
      </c>
      <c r="M480" s="672" t="s">
        <v>255</v>
      </c>
      <c r="N480" s="834">
        <v>45876</v>
      </c>
      <c r="O480" s="707">
        <v>7352</v>
      </c>
      <c r="P480" s="673">
        <f>ROUNDUP(S480/V480/VLOOKUP(B480,$C$2:$F$6,3,FALSE),2)</f>
        <v>19.41</v>
      </c>
      <c r="Q480" s="674">
        <v>19.41</v>
      </c>
      <c r="R480" s="674">
        <f>Q480*I480</f>
        <v>194.1</v>
      </c>
      <c r="S480" s="796">
        <v>1630</v>
      </c>
      <c r="T480" s="84">
        <f>S480*I480</f>
        <v>16300</v>
      </c>
      <c r="U480" s="891"/>
      <c r="V480" s="668">
        <v>120</v>
      </c>
      <c r="W480" s="790">
        <f t="shared" ref="W480:W485" si="105">(((K480*V480)-S480)/(K480*V480))</f>
        <v>0.45006747638326583</v>
      </c>
    </row>
    <row r="481" spans="1:25" s="638" customFormat="1" ht="17.25" customHeight="1">
      <c r="B481" s="639" t="s">
        <v>236</v>
      </c>
      <c r="C481" s="717" t="s">
        <v>2979</v>
      </c>
      <c r="D481" s="662"/>
      <c r="E481" s="787">
        <v>3534</v>
      </c>
      <c r="F481" s="739">
        <v>40</v>
      </c>
      <c r="G481" s="17" t="s">
        <v>2793</v>
      </c>
      <c r="H481" s="100">
        <v>30</v>
      </c>
      <c r="I481" s="101">
        <v>10</v>
      </c>
      <c r="J481" s="6">
        <f>H481*I481</f>
        <v>300</v>
      </c>
      <c r="K481" s="33">
        <v>28.19</v>
      </c>
      <c r="L481" s="643">
        <f>K481*I481</f>
        <v>281.90000000000003</v>
      </c>
      <c r="M481" s="672" t="s">
        <v>255</v>
      </c>
      <c r="N481" s="834">
        <v>45876</v>
      </c>
      <c r="O481" s="707">
        <v>7352</v>
      </c>
      <c r="P481" s="673">
        <f>ROUNDUP(S481/V481/VLOOKUP(B481,$C$2:$F$6,3,FALSE),2)</f>
        <v>22.150000000000002</v>
      </c>
      <c r="Q481" s="674">
        <v>22.15</v>
      </c>
      <c r="R481" s="674">
        <f>Q481*I481</f>
        <v>221.5</v>
      </c>
      <c r="S481" s="796">
        <v>1860</v>
      </c>
      <c r="T481" s="84">
        <f>S481*I481</f>
        <v>18600</v>
      </c>
      <c r="U481" s="891"/>
      <c r="V481" s="668">
        <v>120</v>
      </c>
      <c r="W481" s="790">
        <f t="shared" si="105"/>
        <v>0.45015963107484924</v>
      </c>
    </row>
    <row r="482" spans="1:25" s="638" customFormat="1" ht="17.25" customHeight="1">
      <c r="B482" s="639" t="s">
        <v>236</v>
      </c>
      <c r="C482" s="717" t="s">
        <v>2979</v>
      </c>
      <c r="D482" s="662"/>
      <c r="E482" s="787">
        <v>3534</v>
      </c>
      <c r="F482" s="739">
        <v>20</v>
      </c>
      <c r="G482" s="17" t="s">
        <v>2793</v>
      </c>
      <c r="H482" s="100">
        <v>30</v>
      </c>
      <c r="I482" s="101">
        <v>10</v>
      </c>
      <c r="J482" s="6">
        <f>H482*I482</f>
        <v>300</v>
      </c>
      <c r="K482" s="33">
        <v>16.37</v>
      </c>
      <c r="L482" s="643">
        <f>K482*I482</f>
        <v>163.70000000000002</v>
      </c>
      <c r="M482" s="672" t="s">
        <v>255</v>
      </c>
      <c r="N482" s="834">
        <v>45876</v>
      </c>
      <c r="O482" s="707">
        <v>7352</v>
      </c>
      <c r="P482" s="673">
        <f>ROUNDUP(S482/V482/VLOOKUP(B482,$C$2:$F$6,3,FALSE),2)</f>
        <v>12.86</v>
      </c>
      <c r="Q482" s="674">
        <v>12.86</v>
      </c>
      <c r="R482" s="674">
        <f>Q482*I482</f>
        <v>128.6</v>
      </c>
      <c r="S482" s="796">
        <v>1080</v>
      </c>
      <c r="T482" s="84">
        <f>S482*I482</f>
        <v>10800</v>
      </c>
      <c r="U482" s="891"/>
      <c r="V482" s="668">
        <v>120</v>
      </c>
      <c r="W482" s="790">
        <f t="shared" si="105"/>
        <v>0.45021380574221137</v>
      </c>
    </row>
    <row r="483" spans="1:25" s="638" customFormat="1" ht="17.25" customHeight="1">
      <c r="B483" s="639" t="s">
        <v>236</v>
      </c>
      <c r="C483" s="717" t="s">
        <v>2979</v>
      </c>
      <c r="D483" s="662"/>
      <c r="E483" s="787">
        <v>3534</v>
      </c>
      <c r="F483" s="739">
        <v>30</v>
      </c>
      <c r="G483" s="17" t="s">
        <v>2793</v>
      </c>
      <c r="H483" s="100">
        <v>30</v>
      </c>
      <c r="I483" s="101">
        <v>10</v>
      </c>
      <c r="J483" s="6">
        <f>H483*I483</f>
        <v>300</v>
      </c>
      <c r="K483" s="33">
        <v>21.37</v>
      </c>
      <c r="L483" s="643">
        <f>K483*I483</f>
        <v>213.70000000000002</v>
      </c>
      <c r="M483" s="672" t="s">
        <v>255</v>
      </c>
      <c r="N483" s="834">
        <v>45876</v>
      </c>
      <c r="O483" s="707">
        <v>7352</v>
      </c>
      <c r="P483" s="673">
        <f>ROUNDUP(S483/V483/VLOOKUP(B483,$C$2:$F$6,3,FALSE),2)</f>
        <v>16.790000000000003</v>
      </c>
      <c r="Q483" s="674">
        <v>16.79</v>
      </c>
      <c r="R483" s="674">
        <f>Q483*I483</f>
        <v>167.89999999999998</v>
      </c>
      <c r="S483" s="796">
        <v>1410</v>
      </c>
      <c r="T483" s="84">
        <f>S483*I483</f>
        <v>14100</v>
      </c>
      <c r="U483" s="891"/>
      <c r="V483" s="668">
        <v>120</v>
      </c>
      <c r="W483" s="790">
        <f t="shared" si="105"/>
        <v>0.45016378100140386</v>
      </c>
    </row>
    <row r="484" spans="1:25" s="638" customFormat="1" ht="15.75">
      <c r="B484" s="639"/>
      <c r="C484" s="717" t="s">
        <v>2994</v>
      </c>
      <c r="D484" s="662"/>
      <c r="E484" s="158"/>
      <c r="F484" s="737"/>
      <c r="G484" s="158" t="s">
        <v>250</v>
      </c>
      <c r="H484" s="671"/>
      <c r="I484" s="676"/>
      <c r="J484" s="677">
        <v>2</v>
      </c>
      <c r="K484" s="643">
        <v>12</v>
      </c>
      <c r="L484" s="643">
        <f>K484*J484</f>
        <v>24</v>
      </c>
      <c r="M484" s="678"/>
      <c r="N484" s="828">
        <v>45876</v>
      </c>
      <c r="O484" s="707">
        <v>7352</v>
      </c>
      <c r="P484" s="674">
        <v>12</v>
      </c>
      <c r="Q484" s="674">
        <v>12</v>
      </c>
      <c r="R484" s="674">
        <f>Q484*J484</f>
        <v>24</v>
      </c>
      <c r="S484" s="796">
        <v>0</v>
      </c>
      <c r="T484" s="788">
        <v>0</v>
      </c>
      <c r="U484" s="728"/>
      <c r="V484" s="668">
        <v>120</v>
      </c>
      <c r="W484" s="790">
        <f t="shared" si="105"/>
        <v>1</v>
      </c>
      <c r="Y484" s="638">
        <f>X484*N484</f>
        <v>0</v>
      </c>
    </row>
    <row r="485" spans="1:25" s="709" customFormat="1" ht="15.75">
      <c r="A485" s="709">
        <v>991</v>
      </c>
      <c r="B485" s="710"/>
      <c r="C485" s="719" t="s">
        <v>2996</v>
      </c>
      <c r="D485" s="680"/>
      <c r="E485" s="859"/>
      <c r="F485" s="860"/>
      <c r="G485" s="682" t="s">
        <v>210</v>
      </c>
      <c r="H485" s="683" t="s">
        <v>2754</v>
      </c>
      <c r="I485" s="684"/>
      <c r="J485" s="685"/>
      <c r="K485" s="720">
        <v>495</v>
      </c>
      <c r="L485" s="720">
        <v>495</v>
      </c>
      <c r="M485" s="712"/>
      <c r="N485" s="858">
        <v>45876</v>
      </c>
      <c r="O485" s="713">
        <v>7352</v>
      </c>
      <c r="P485" s="687"/>
      <c r="Q485" s="720">
        <v>495</v>
      </c>
      <c r="R485" s="720">
        <v>495</v>
      </c>
      <c r="S485" s="754">
        <f>1820+47581</f>
        <v>49401</v>
      </c>
      <c r="T485" s="754">
        <v>49401</v>
      </c>
      <c r="U485" s="690"/>
      <c r="V485" s="668">
        <v>120</v>
      </c>
      <c r="W485" s="730">
        <f t="shared" si="105"/>
        <v>0.16833333333333333</v>
      </c>
      <c r="Y485" s="709">
        <f>X485*N485</f>
        <v>0</v>
      </c>
    </row>
    <row r="486" spans="1:25" s="638" customFormat="1" ht="17.25" customHeight="1">
      <c r="B486" s="639"/>
      <c r="C486" s="717" t="s">
        <v>2984</v>
      </c>
      <c r="D486" s="662"/>
      <c r="E486" s="14" t="s">
        <v>2795</v>
      </c>
      <c r="F486" s="739"/>
      <c r="G486" s="17"/>
      <c r="H486" s="100"/>
      <c r="I486" s="101"/>
      <c r="J486" s="6"/>
      <c r="K486" s="505" t="s">
        <v>4</v>
      </c>
      <c r="L486" s="643"/>
      <c r="M486" s="672"/>
      <c r="N486" s="828">
        <v>45896</v>
      </c>
      <c r="O486" s="707">
        <v>7401</v>
      </c>
      <c r="P486" s="673"/>
      <c r="Q486" s="674"/>
      <c r="R486" s="868"/>
      <c r="S486" s="870"/>
      <c r="T486" s="74"/>
      <c r="U486" s="869"/>
      <c r="V486" s="668"/>
    </row>
    <row r="487" spans="1:25" s="638" customFormat="1" ht="17.25" customHeight="1">
      <c r="B487" s="639" t="s">
        <v>236</v>
      </c>
      <c r="C487" s="717" t="s">
        <v>2984</v>
      </c>
      <c r="D487" s="662"/>
      <c r="E487" s="17">
        <v>3544</v>
      </c>
      <c r="F487" s="739" t="s">
        <v>2794</v>
      </c>
      <c r="G487" s="17" t="s">
        <v>2982</v>
      </c>
      <c r="H487" s="100">
        <v>30</v>
      </c>
      <c r="I487" s="101">
        <v>10</v>
      </c>
      <c r="J487" s="6">
        <f>H487*I487</f>
        <v>300</v>
      </c>
      <c r="K487" s="33">
        <v>11.42</v>
      </c>
      <c r="L487" s="643">
        <f>K487*I487</f>
        <v>114.2</v>
      </c>
      <c r="M487" s="672" t="s">
        <v>255</v>
      </c>
      <c r="N487" s="828">
        <v>45896</v>
      </c>
      <c r="O487" s="707">
        <v>7401</v>
      </c>
      <c r="P487" s="885">
        <f>ROUNDUP(S487/V487/VLOOKUP(B487,$C$2:$F$6,3,FALSE),2)</f>
        <v>9.7899999999999991</v>
      </c>
      <c r="Q487" s="886">
        <v>9.7899999999999991</v>
      </c>
      <c r="R487" s="886">
        <f>Q487*I487</f>
        <v>97.899999999999991</v>
      </c>
      <c r="S487" s="867">
        <v>822</v>
      </c>
      <c r="T487" s="74">
        <f>S487*I487</f>
        <v>8220</v>
      </c>
      <c r="U487" s="893"/>
      <c r="V487" s="668">
        <v>120</v>
      </c>
      <c r="W487" s="790">
        <f>(((K487*V487)-S487)/(K487*V487))</f>
        <v>0.4001751313485114</v>
      </c>
    </row>
    <row r="488" spans="1:25" ht="15.75">
      <c r="C488" s="717" t="s">
        <v>2984</v>
      </c>
      <c r="D488" s="662"/>
      <c r="E488" s="14" t="s">
        <v>2935</v>
      </c>
      <c r="F488" s="739"/>
      <c r="G488" s="17"/>
      <c r="H488" s="100"/>
      <c r="I488" s="101"/>
      <c r="J488" s="6"/>
      <c r="K488" s="505" t="s">
        <v>4</v>
      </c>
      <c r="L488" s="643"/>
      <c r="M488" s="672"/>
      <c r="N488" s="828">
        <v>45896</v>
      </c>
      <c r="O488" s="707">
        <v>7401</v>
      </c>
      <c r="P488" s="504"/>
      <c r="Q488" s="884"/>
      <c r="R488" s="884"/>
      <c r="S488" s="866"/>
      <c r="T488" s="866"/>
      <c r="U488" s="894"/>
      <c r="V488" s="668"/>
      <c r="W488" s="790"/>
    </row>
    <row r="489" spans="1:25" s="638" customFormat="1" ht="18" customHeight="1">
      <c r="B489" s="639" t="s">
        <v>236</v>
      </c>
      <c r="C489" s="717" t="s">
        <v>2984</v>
      </c>
      <c r="D489" s="662"/>
      <c r="E489" s="17">
        <v>1100</v>
      </c>
      <c r="F489" s="739">
        <v>20</v>
      </c>
      <c r="G489" s="17" t="s">
        <v>2789</v>
      </c>
      <c r="H489" s="100">
        <v>30</v>
      </c>
      <c r="I489" s="101">
        <v>10</v>
      </c>
      <c r="J489" s="6">
        <f>H489*I489</f>
        <v>300</v>
      </c>
      <c r="K489" s="33">
        <v>32.28</v>
      </c>
      <c r="L489" s="643">
        <f>K489*I489</f>
        <v>322.8</v>
      </c>
      <c r="M489" s="672" t="s">
        <v>2791</v>
      </c>
      <c r="N489" s="828">
        <v>45896</v>
      </c>
      <c r="O489" s="707">
        <v>7401</v>
      </c>
      <c r="P489" s="673">
        <f>ROUNDUP(S489/V489/VLOOKUP(B489,$C$2:$F$6,3,FALSE),2)</f>
        <v>25.360000000000003</v>
      </c>
      <c r="Q489" s="674">
        <v>25.36</v>
      </c>
      <c r="R489" s="674">
        <f>Q489*I489</f>
        <v>253.6</v>
      </c>
      <c r="S489" s="796">
        <v>2130</v>
      </c>
      <c r="T489" s="84">
        <f>S489*I489</f>
        <v>21300</v>
      </c>
      <c r="U489" s="789"/>
      <c r="V489" s="668">
        <v>120</v>
      </c>
      <c r="W489" s="790">
        <f>(((K489*V489)-S489)/(K489*V489))</f>
        <v>0.45012391573729871</v>
      </c>
    </row>
    <row r="490" spans="1:25" s="638" customFormat="1" ht="15.75">
      <c r="B490" s="639"/>
      <c r="C490" s="717" t="s">
        <v>2984</v>
      </c>
      <c r="D490" s="662"/>
      <c r="E490" s="158"/>
      <c r="F490" s="737"/>
      <c r="G490" s="158" t="s">
        <v>250</v>
      </c>
      <c r="H490" s="671"/>
      <c r="I490" s="676"/>
      <c r="J490" s="677">
        <v>2</v>
      </c>
      <c r="K490" s="643">
        <v>12</v>
      </c>
      <c r="L490" s="643">
        <f>K490*J490</f>
        <v>24</v>
      </c>
      <c r="M490" s="678"/>
      <c r="N490" s="828">
        <v>45896</v>
      </c>
      <c r="O490" s="707">
        <v>7401</v>
      </c>
      <c r="P490" s="674">
        <v>12</v>
      </c>
      <c r="Q490" s="674">
        <v>12</v>
      </c>
      <c r="R490" s="674">
        <f>Q490*J490</f>
        <v>24</v>
      </c>
      <c r="S490" s="796">
        <v>1000</v>
      </c>
      <c r="T490" s="788">
        <v>1000</v>
      </c>
      <c r="U490" s="728"/>
      <c r="V490" s="668">
        <v>120</v>
      </c>
      <c r="W490" s="790">
        <f>(((K490*V490)-S490)/(K490*V490))</f>
        <v>0.30555555555555558</v>
      </c>
      <c r="Y490" s="638">
        <f>X490*N490</f>
        <v>0</v>
      </c>
    </row>
    <row r="491" spans="1:25" s="709" customFormat="1" ht="15" customHeight="1">
      <c r="B491" s="710"/>
      <c r="C491" s="719" t="s">
        <v>2984</v>
      </c>
      <c r="D491" s="680"/>
      <c r="E491" s="859"/>
      <c r="F491" s="860"/>
      <c r="G491" s="682" t="s">
        <v>210</v>
      </c>
      <c r="H491" s="683" t="s">
        <v>2754</v>
      </c>
      <c r="I491" s="684"/>
      <c r="J491" s="685"/>
      <c r="K491" s="720">
        <v>110</v>
      </c>
      <c r="L491" s="720">
        <v>110</v>
      </c>
      <c r="M491" s="712"/>
      <c r="N491" s="858">
        <v>45896</v>
      </c>
      <c r="O491" s="713">
        <v>7401</v>
      </c>
      <c r="P491" s="687"/>
      <c r="Q491" s="720">
        <v>110</v>
      </c>
      <c r="R491" s="720">
        <v>110</v>
      </c>
      <c r="S491" s="754">
        <v>10885</v>
      </c>
      <c r="T491" s="754">
        <v>10885</v>
      </c>
      <c r="U491" s="690"/>
      <c r="V491" s="668">
        <v>120</v>
      </c>
      <c r="W491" s="730">
        <f>(((K491*V491)-S491)/(K491*V491))</f>
        <v>0.17537878787878788</v>
      </c>
      <c r="Y491" s="709">
        <f>X491*N491</f>
        <v>0</v>
      </c>
    </row>
    <row r="492" spans="1:25" s="638" customFormat="1" ht="17.25" customHeight="1">
      <c r="B492" s="639"/>
      <c r="C492" s="717" t="s">
        <v>2985</v>
      </c>
      <c r="D492" s="662"/>
      <c r="E492" s="14" t="s">
        <v>2795</v>
      </c>
      <c r="F492" s="739"/>
      <c r="G492" s="17"/>
      <c r="H492" s="100"/>
      <c r="I492" s="101"/>
      <c r="J492" s="6"/>
      <c r="K492" s="505" t="s">
        <v>4</v>
      </c>
      <c r="L492" s="643"/>
      <c r="M492" s="672"/>
      <c r="N492" s="828">
        <v>45898</v>
      </c>
      <c r="O492" s="707">
        <v>7410</v>
      </c>
      <c r="P492" s="673"/>
      <c r="Q492" s="674"/>
      <c r="R492" s="868"/>
      <c r="S492" s="870"/>
      <c r="T492" s="74"/>
      <c r="U492" s="869"/>
      <c r="V492" s="668"/>
    </row>
    <row r="493" spans="1:25" s="638" customFormat="1" ht="17.25" customHeight="1">
      <c r="B493" s="639" t="s">
        <v>236</v>
      </c>
      <c r="C493" s="717" t="s">
        <v>2985</v>
      </c>
      <c r="D493" s="662"/>
      <c r="E493" s="17" t="s">
        <v>2986</v>
      </c>
      <c r="F493" s="739" t="s">
        <v>2987</v>
      </c>
      <c r="G493" s="17" t="s">
        <v>2939</v>
      </c>
      <c r="H493" s="100">
        <v>30</v>
      </c>
      <c r="I493" s="101">
        <v>20</v>
      </c>
      <c r="J493" s="6">
        <f>H493*I493</f>
        <v>600</v>
      </c>
      <c r="K493" s="33">
        <v>31.69</v>
      </c>
      <c r="L493" s="643">
        <f>K493*I493</f>
        <v>633.80000000000007</v>
      </c>
      <c r="M493" s="672" t="s">
        <v>255</v>
      </c>
      <c r="N493" s="828">
        <v>45898</v>
      </c>
      <c r="O493" s="707">
        <v>7410</v>
      </c>
      <c r="P493" s="885">
        <f>ROUNDUP(S493/V493/VLOOKUP(B493,$C$2:$F$6,3,FALSE),2)</f>
        <v>27.16</v>
      </c>
      <c r="Q493" s="886">
        <v>27.16</v>
      </c>
      <c r="R493" s="886">
        <f>Q493*I493</f>
        <v>543.20000000000005</v>
      </c>
      <c r="S493" s="867">
        <v>2281</v>
      </c>
      <c r="T493" s="74">
        <f>S493*I493</f>
        <v>45620</v>
      </c>
      <c r="U493" s="893"/>
      <c r="V493" s="668">
        <v>120</v>
      </c>
      <c r="W493" s="790">
        <f>(((K493*V493)-S493)/(K493*V493))</f>
        <v>0.40017881560955088</v>
      </c>
    </row>
    <row r="494" spans="1:25" ht="15.75">
      <c r="C494" s="717" t="s">
        <v>2985</v>
      </c>
      <c r="D494" s="662"/>
      <c r="E494" s="14" t="s">
        <v>2780</v>
      </c>
      <c r="F494" s="739"/>
      <c r="G494" s="17"/>
      <c r="H494" s="100"/>
      <c r="I494" s="101"/>
      <c r="J494" s="6"/>
      <c r="K494" s="505" t="s">
        <v>4</v>
      </c>
      <c r="L494" s="643"/>
      <c r="M494" s="672"/>
      <c r="N494" s="828">
        <v>45898</v>
      </c>
      <c r="O494" s="707">
        <v>7410</v>
      </c>
      <c r="P494" s="673"/>
      <c r="Q494" s="674"/>
      <c r="R494" s="674"/>
      <c r="S494" s="728" t="s">
        <v>2785</v>
      </c>
      <c r="T494" s="84"/>
      <c r="U494" s="728"/>
      <c r="V494" s="668"/>
      <c r="W494" s="638"/>
      <c r="X494" s="638"/>
      <c r="Y494" s="638"/>
    </row>
    <row r="495" spans="1:25" s="638" customFormat="1" ht="17.25" customHeight="1">
      <c r="B495" s="639" t="s">
        <v>236</v>
      </c>
      <c r="C495" s="717" t="s">
        <v>2985</v>
      </c>
      <c r="D495" s="662"/>
      <c r="E495" s="17">
        <v>2200</v>
      </c>
      <c r="F495" s="739">
        <v>50</v>
      </c>
      <c r="G495" s="17" t="s">
        <v>2992</v>
      </c>
      <c r="H495" s="100">
        <v>15</v>
      </c>
      <c r="I495" s="101">
        <v>3</v>
      </c>
      <c r="J495" s="6">
        <f t="shared" ref="J495:J500" si="106">H495*I495</f>
        <v>45</v>
      </c>
      <c r="K495" s="33">
        <v>54.12</v>
      </c>
      <c r="L495" s="643">
        <f t="shared" ref="L495:L500" si="107">K495*I495</f>
        <v>162.35999999999999</v>
      </c>
      <c r="M495" s="672" t="s">
        <v>255</v>
      </c>
      <c r="N495" s="828">
        <v>45898</v>
      </c>
      <c r="O495" s="707">
        <v>7410</v>
      </c>
      <c r="P495" s="885">
        <f t="shared" ref="P495:P500" si="108">ROUNDUP(S495/V495/VLOOKUP(B495,$C$2:$F$6,3,FALSE),2)</f>
        <v>46.39</v>
      </c>
      <c r="Q495" s="886">
        <v>46.39</v>
      </c>
      <c r="R495" s="886">
        <f t="shared" ref="R495:R500" si="109">Q495*I495</f>
        <v>139.17000000000002</v>
      </c>
      <c r="S495" s="867">
        <v>3896</v>
      </c>
      <c r="T495" s="74">
        <f t="shared" ref="T495:T500" si="110">S495*I495</f>
        <v>11688</v>
      </c>
      <c r="U495" s="893"/>
      <c r="V495" s="668">
        <v>120</v>
      </c>
      <c r="W495" s="790">
        <f t="shared" ref="W495:W500" si="111">(((K495*V495)-S495)/(K495*V495))</f>
        <v>0.40009854644000981</v>
      </c>
    </row>
    <row r="496" spans="1:25" s="638" customFormat="1" ht="17.25" customHeight="1">
      <c r="B496" s="639" t="s">
        <v>236</v>
      </c>
      <c r="C496" s="717" t="s">
        <v>2985</v>
      </c>
      <c r="D496" s="662"/>
      <c r="E496" s="17">
        <v>2200</v>
      </c>
      <c r="F496" s="739">
        <v>36</v>
      </c>
      <c r="G496" s="17" t="s">
        <v>2988</v>
      </c>
      <c r="H496" s="100">
        <v>15</v>
      </c>
      <c r="I496" s="101">
        <v>3</v>
      </c>
      <c r="J496" s="6">
        <f t="shared" si="106"/>
        <v>45</v>
      </c>
      <c r="K496" s="33">
        <v>39.409999999999997</v>
      </c>
      <c r="L496" s="643">
        <f t="shared" si="107"/>
        <v>118.22999999999999</v>
      </c>
      <c r="M496" s="672" t="s">
        <v>255</v>
      </c>
      <c r="N496" s="828">
        <v>45898</v>
      </c>
      <c r="O496" s="707">
        <v>7410</v>
      </c>
      <c r="P496" s="885">
        <f t="shared" si="108"/>
        <v>33.78</v>
      </c>
      <c r="Q496" s="886">
        <v>33.78</v>
      </c>
      <c r="R496" s="886">
        <f t="shared" si="109"/>
        <v>101.34</v>
      </c>
      <c r="S496" s="796">
        <v>2837</v>
      </c>
      <c r="T496" s="74">
        <f t="shared" si="110"/>
        <v>8511</v>
      </c>
      <c r="U496" s="893"/>
      <c r="V496" s="668">
        <v>120</v>
      </c>
      <c r="W496" s="790">
        <f t="shared" si="111"/>
        <v>0.40010995517212211</v>
      </c>
    </row>
    <row r="497" spans="2:25" s="638" customFormat="1" ht="17.25" customHeight="1">
      <c r="B497" s="639" t="s">
        <v>236</v>
      </c>
      <c r="C497" s="717" t="s">
        <v>2985</v>
      </c>
      <c r="D497" s="662"/>
      <c r="E497" s="17">
        <v>2200</v>
      </c>
      <c r="F497" s="739">
        <v>50</v>
      </c>
      <c r="G497" s="17" t="s">
        <v>2988</v>
      </c>
      <c r="H497" s="100">
        <v>15</v>
      </c>
      <c r="I497" s="101">
        <v>3</v>
      </c>
      <c r="J497" s="6">
        <f t="shared" si="106"/>
        <v>45</v>
      </c>
      <c r="K497" s="33">
        <v>54.12</v>
      </c>
      <c r="L497" s="643">
        <f t="shared" si="107"/>
        <v>162.35999999999999</v>
      </c>
      <c r="M497" s="672" t="s">
        <v>255</v>
      </c>
      <c r="N497" s="828">
        <v>45898</v>
      </c>
      <c r="O497" s="707">
        <v>7410</v>
      </c>
      <c r="P497" s="885">
        <f t="shared" si="108"/>
        <v>46.39</v>
      </c>
      <c r="Q497" s="886">
        <v>46.39</v>
      </c>
      <c r="R497" s="886">
        <f t="shared" si="109"/>
        <v>139.17000000000002</v>
      </c>
      <c r="S497" s="796">
        <v>3896</v>
      </c>
      <c r="T497" s="74">
        <f t="shared" si="110"/>
        <v>11688</v>
      </c>
      <c r="U497" s="893"/>
      <c r="V497" s="668">
        <v>120</v>
      </c>
      <c r="W497" s="790">
        <f t="shared" si="111"/>
        <v>0.40009854644000981</v>
      </c>
    </row>
    <row r="498" spans="2:25" s="638" customFormat="1" ht="17.25" customHeight="1">
      <c r="B498" s="639" t="s">
        <v>236</v>
      </c>
      <c r="C498" s="717" t="s">
        <v>2985</v>
      </c>
      <c r="D498" s="662"/>
      <c r="E498" s="17">
        <v>2200</v>
      </c>
      <c r="F498" s="739">
        <v>12</v>
      </c>
      <c r="G498" s="17" t="s">
        <v>2989</v>
      </c>
      <c r="H498" s="100">
        <v>15</v>
      </c>
      <c r="I498" s="101">
        <v>5</v>
      </c>
      <c r="J498" s="6">
        <f t="shared" si="106"/>
        <v>75</v>
      </c>
      <c r="K498" s="33">
        <v>13.19</v>
      </c>
      <c r="L498" s="643">
        <f t="shared" si="107"/>
        <v>65.95</v>
      </c>
      <c r="M498" s="672" t="s">
        <v>255</v>
      </c>
      <c r="N498" s="828">
        <v>45898</v>
      </c>
      <c r="O498" s="707">
        <v>7410</v>
      </c>
      <c r="P498" s="885">
        <f t="shared" si="108"/>
        <v>11.299999999999999</v>
      </c>
      <c r="Q498" s="886">
        <v>11.3</v>
      </c>
      <c r="R498" s="886">
        <f t="shared" si="109"/>
        <v>56.5</v>
      </c>
      <c r="S498" s="796">
        <v>949</v>
      </c>
      <c r="T498" s="74">
        <f t="shared" si="110"/>
        <v>4745</v>
      </c>
      <c r="U498" s="893"/>
      <c r="V498" s="668">
        <v>120</v>
      </c>
      <c r="W498" s="790">
        <f t="shared" si="111"/>
        <v>0.40042961839777608</v>
      </c>
    </row>
    <row r="499" spans="2:25" s="638" customFormat="1" ht="17.25" customHeight="1">
      <c r="B499" s="639" t="s">
        <v>236</v>
      </c>
      <c r="C499" s="717" t="s">
        <v>2985</v>
      </c>
      <c r="D499" s="662"/>
      <c r="E499" s="17">
        <v>2200</v>
      </c>
      <c r="F499" s="739">
        <v>18</v>
      </c>
      <c r="G499" s="17" t="s">
        <v>2990</v>
      </c>
      <c r="H499" s="100">
        <v>15</v>
      </c>
      <c r="I499" s="101">
        <v>5</v>
      </c>
      <c r="J499" s="6">
        <f t="shared" si="106"/>
        <v>75</v>
      </c>
      <c r="K499" s="33">
        <v>19.559999999999999</v>
      </c>
      <c r="L499" s="643">
        <f t="shared" si="107"/>
        <v>97.8</v>
      </c>
      <c r="M499" s="672" t="s">
        <v>255</v>
      </c>
      <c r="N499" s="828">
        <v>45898</v>
      </c>
      <c r="O499" s="707">
        <v>7410</v>
      </c>
      <c r="P499" s="885">
        <f t="shared" si="108"/>
        <v>16.770000000000003</v>
      </c>
      <c r="Q499" s="886">
        <v>16.77</v>
      </c>
      <c r="R499" s="886">
        <f t="shared" si="109"/>
        <v>83.85</v>
      </c>
      <c r="S499" s="796">
        <v>1408</v>
      </c>
      <c r="T499" s="74">
        <f t="shared" si="110"/>
        <v>7040</v>
      </c>
      <c r="U499" s="893"/>
      <c r="V499" s="668">
        <v>120</v>
      </c>
      <c r="W499" s="790">
        <f t="shared" si="111"/>
        <v>0.40013633265167003</v>
      </c>
    </row>
    <row r="500" spans="2:25" s="638" customFormat="1" ht="17.25" customHeight="1">
      <c r="B500" s="639" t="s">
        <v>236</v>
      </c>
      <c r="C500" s="871" t="s">
        <v>2985</v>
      </c>
      <c r="D500" s="872"/>
      <c r="E500" s="874">
        <v>2200</v>
      </c>
      <c r="F500" s="873">
        <v>12</v>
      </c>
      <c r="G500" s="874" t="s">
        <v>2991</v>
      </c>
      <c r="H500" s="875">
        <v>15</v>
      </c>
      <c r="I500" s="876">
        <v>5</v>
      </c>
      <c r="J500" s="877">
        <f t="shared" si="106"/>
        <v>75</v>
      </c>
      <c r="K500" s="878">
        <v>13.19</v>
      </c>
      <c r="L500" s="879">
        <f t="shared" si="107"/>
        <v>65.95</v>
      </c>
      <c r="M500" s="880" t="s">
        <v>255</v>
      </c>
      <c r="N500" s="828">
        <v>45898</v>
      </c>
      <c r="O500" s="707">
        <v>7410</v>
      </c>
      <c r="P500" s="885">
        <f t="shared" si="108"/>
        <v>11.299999999999999</v>
      </c>
      <c r="Q500" s="886">
        <v>11.3</v>
      </c>
      <c r="R500" s="886">
        <f t="shared" si="109"/>
        <v>56.5</v>
      </c>
      <c r="S500" s="881">
        <v>949</v>
      </c>
      <c r="T500" s="895">
        <f t="shared" si="110"/>
        <v>4745</v>
      </c>
      <c r="U500" s="893"/>
      <c r="V500" s="668">
        <v>120</v>
      </c>
      <c r="W500" s="790">
        <f t="shared" si="111"/>
        <v>0.40042961839777608</v>
      </c>
    </row>
    <row r="501" spans="2:25" s="709" customFormat="1" ht="15.75">
      <c r="B501" s="710"/>
      <c r="C501" s="717" t="s">
        <v>2993</v>
      </c>
      <c r="D501" s="662"/>
      <c r="E501" s="158"/>
      <c r="F501" s="737"/>
      <c r="G501" s="158" t="s">
        <v>279</v>
      </c>
      <c r="H501" s="671"/>
      <c r="I501" s="676"/>
      <c r="J501" s="677">
        <v>1</v>
      </c>
      <c r="K501" s="643">
        <v>12</v>
      </c>
      <c r="L501" s="643">
        <v>12</v>
      </c>
      <c r="M501" s="678"/>
      <c r="N501" s="828">
        <v>45898</v>
      </c>
      <c r="O501" s="707">
        <v>7410</v>
      </c>
      <c r="P501" s="674">
        <v>12</v>
      </c>
      <c r="Q501" s="674">
        <v>12</v>
      </c>
      <c r="R501" s="674">
        <v>12</v>
      </c>
      <c r="S501" s="867">
        <v>0</v>
      </c>
      <c r="T501" s="74">
        <v>0</v>
      </c>
      <c r="U501" s="896"/>
      <c r="V501" s="668">
        <v>120</v>
      </c>
      <c r="W501" s="790">
        <v>1</v>
      </c>
      <c r="X501" s="638"/>
      <c r="Y501" s="84">
        <v>0</v>
      </c>
    </row>
    <row r="502" spans="2:25" s="709" customFormat="1" ht="15" customHeight="1">
      <c r="B502" s="710"/>
      <c r="C502" s="719" t="s">
        <v>2995</v>
      </c>
      <c r="D502" s="680"/>
      <c r="E502" s="859"/>
      <c r="F502" s="860"/>
      <c r="G502" s="682" t="s">
        <v>210</v>
      </c>
      <c r="H502" s="683" t="s">
        <v>2754</v>
      </c>
      <c r="I502" s="684"/>
      <c r="J502" s="685"/>
      <c r="K502" s="720">
        <v>123</v>
      </c>
      <c r="L502" s="720">
        <v>123</v>
      </c>
      <c r="M502" s="712"/>
      <c r="N502" s="858">
        <v>45898</v>
      </c>
      <c r="O502" s="713">
        <v>7410</v>
      </c>
      <c r="P502" s="687"/>
      <c r="Q502" s="720">
        <v>123</v>
      </c>
      <c r="R502" s="720">
        <v>123</v>
      </c>
      <c r="S502" s="754">
        <v>12272</v>
      </c>
      <c r="T502" s="754">
        <v>12272</v>
      </c>
      <c r="U502" s="690"/>
      <c r="V502" s="668">
        <v>120</v>
      </c>
      <c r="W502" s="730">
        <f>(((K502*V502)-S502)/(K502*V502))</f>
        <v>0.16856368563685636</v>
      </c>
      <c r="Y502" s="709">
        <f>X502*N502</f>
        <v>0</v>
      </c>
    </row>
    <row r="503" spans="2:25" s="638" customFormat="1" ht="17.25" customHeight="1">
      <c r="B503" s="639"/>
      <c r="C503" s="717" t="s">
        <v>2997</v>
      </c>
      <c r="D503" s="662"/>
      <c r="E503" s="14" t="s">
        <v>2795</v>
      </c>
      <c r="F503" s="739"/>
      <c r="G503" s="17"/>
      <c r="H503" s="100"/>
      <c r="I503" s="101"/>
      <c r="J503" s="6"/>
      <c r="K503" s="505" t="s">
        <v>4</v>
      </c>
      <c r="L503" s="643"/>
      <c r="M503" s="672"/>
      <c r="N503" s="828">
        <v>45911</v>
      </c>
      <c r="O503" s="707">
        <v>7445</v>
      </c>
      <c r="P503" s="673"/>
      <c r="Q503" s="674"/>
      <c r="R503" s="868"/>
      <c r="S503" s="870"/>
      <c r="T503" s="74"/>
      <c r="U503" s="869"/>
      <c r="V503" s="668"/>
    </row>
    <row r="504" spans="2:25" s="638" customFormat="1" ht="17.25" customHeight="1">
      <c r="B504" s="639" t="s">
        <v>236</v>
      </c>
      <c r="C504" s="717" t="s">
        <v>2997</v>
      </c>
      <c r="D504" s="662"/>
      <c r="E504" s="17">
        <v>3544</v>
      </c>
      <c r="F504" s="739">
        <v>12</v>
      </c>
      <c r="G504" s="17" t="s">
        <v>3000</v>
      </c>
      <c r="H504" s="100">
        <v>30</v>
      </c>
      <c r="I504" s="101">
        <v>10</v>
      </c>
      <c r="J504" s="6">
        <f>H504*I504</f>
        <v>300</v>
      </c>
      <c r="K504" s="33">
        <v>16.34</v>
      </c>
      <c r="L504" s="643">
        <f>K504*I504</f>
        <v>163.4</v>
      </c>
      <c r="M504" s="672" t="s">
        <v>255</v>
      </c>
      <c r="N504" s="828">
        <v>45911</v>
      </c>
      <c r="O504" s="707">
        <v>7445</v>
      </c>
      <c r="P504" s="666">
        <f>ROUNDUP(S504/V504/VLOOKUP(B504,$C$2:$F$6,3,FALSE),2)</f>
        <v>14</v>
      </c>
      <c r="Q504" s="674">
        <v>14</v>
      </c>
      <c r="R504" s="674">
        <f>Q504*I504</f>
        <v>140</v>
      </c>
      <c r="S504" s="867">
        <v>1176</v>
      </c>
      <c r="T504" s="74">
        <f>S504*I504</f>
        <v>11760</v>
      </c>
      <c r="U504" s="893"/>
      <c r="V504" s="668">
        <v>120</v>
      </c>
      <c r="W504" s="790">
        <f>(((K504*V504)-S504)/(K504*V504))</f>
        <v>0.40024479804161567</v>
      </c>
    </row>
    <row r="505" spans="2:25" s="638" customFormat="1" ht="17.25" customHeight="1">
      <c r="B505" s="639" t="s">
        <v>236</v>
      </c>
      <c r="C505" s="717" t="s">
        <v>2997</v>
      </c>
      <c r="D505" s="662"/>
      <c r="E505" s="17">
        <v>3544</v>
      </c>
      <c r="F505" s="739">
        <v>12</v>
      </c>
      <c r="G505" s="17" t="s">
        <v>3001</v>
      </c>
      <c r="H505" s="100">
        <v>30</v>
      </c>
      <c r="I505" s="101">
        <v>10</v>
      </c>
      <c r="J505" s="6">
        <f>H505*I505</f>
        <v>300</v>
      </c>
      <c r="K505" s="33">
        <v>16.34</v>
      </c>
      <c r="L505" s="643">
        <f>K505*I505</f>
        <v>163.4</v>
      </c>
      <c r="M505" s="672" t="s">
        <v>255</v>
      </c>
      <c r="N505" s="828">
        <v>45911</v>
      </c>
      <c r="O505" s="707">
        <v>7445</v>
      </c>
      <c r="P505" s="666">
        <f>ROUNDUP(S505/V505/VLOOKUP(B505,$C$2:$F$6,3,FALSE),2)</f>
        <v>14</v>
      </c>
      <c r="Q505" s="674">
        <v>14</v>
      </c>
      <c r="R505" s="674">
        <f>Q505*I505</f>
        <v>140</v>
      </c>
      <c r="S505" s="867">
        <v>1176</v>
      </c>
      <c r="T505" s="74">
        <f>S505*I505</f>
        <v>11760</v>
      </c>
      <c r="U505" s="893"/>
      <c r="V505" s="668">
        <v>120</v>
      </c>
      <c r="W505" s="790">
        <f>(((K505*V505)-S505)/(K505*V505))</f>
        <v>0.40024479804161567</v>
      </c>
    </row>
    <row r="506" spans="2:25" s="638" customFormat="1" ht="17.25" customHeight="1">
      <c r="B506" s="639" t="s">
        <v>236</v>
      </c>
      <c r="C506" s="717" t="s">
        <v>2997</v>
      </c>
      <c r="D506" s="662"/>
      <c r="E506" s="17">
        <v>3544</v>
      </c>
      <c r="F506" s="739">
        <v>12</v>
      </c>
      <c r="G506" s="17" t="s">
        <v>3002</v>
      </c>
      <c r="H506" s="100">
        <v>30</v>
      </c>
      <c r="I506" s="101">
        <v>5</v>
      </c>
      <c r="J506" s="6">
        <f>H506*I506</f>
        <v>150</v>
      </c>
      <c r="K506" s="33">
        <v>16.34</v>
      </c>
      <c r="L506" s="643">
        <f>K506*I506</f>
        <v>81.7</v>
      </c>
      <c r="M506" s="672" t="s">
        <v>255</v>
      </c>
      <c r="N506" s="828">
        <v>45911</v>
      </c>
      <c r="O506" s="707">
        <v>7445</v>
      </c>
      <c r="P506" s="666">
        <f>ROUNDUP(S506/V506/VLOOKUP(B506,$C$2:$F$6,3,FALSE),2)</f>
        <v>14</v>
      </c>
      <c r="Q506" s="674">
        <v>14</v>
      </c>
      <c r="R506" s="674">
        <f>Q506*I506</f>
        <v>70</v>
      </c>
      <c r="S506" s="867">
        <v>1176</v>
      </c>
      <c r="T506" s="74">
        <f>S506*I506</f>
        <v>5880</v>
      </c>
      <c r="U506" s="893"/>
      <c r="V506" s="668">
        <v>120</v>
      </c>
      <c r="W506" s="790">
        <f>(((K506*V506)-S506)/(K506*V506))</f>
        <v>0.40024479804161567</v>
      </c>
    </row>
    <row r="507" spans="2:25" s="638" customFormat="1" ht="17.25" customHeight="1">
      <c r="B507" s="639"/>
      <c r="C507" s="717" t="s">
        <v>2997</v>
      </c>
      <c r="D507" s="662"/>
      <c r="E507" s="14" t="s">
        <v>3003</v>
      </c>
      <c r="F507" s="739"/>
      <c r="G507" s="17"/>
      <c r="H507" s="100"/>
      <c r="I507" s="101"/>
      <c r="J507" s="6"/>
      <c r="K507" s="33"/>
      <c r="L507" s="643"/>
      <c r="M507" s="672"/>
      <c r="N507" s="828">
        <v>45911</v>
      </c>
      <c r="O507" s="707">
        <v>7445</v>
      </c>
      <c r="P507" s="666"/>
      <c r="Q507" s="674"/>
      <c r="R507" s="674"/>
      <c r="S507" s="867"/>
      <c r="T507" s="74"/>
      <c r="U507" s="893"/>
      <c r="V507" s="668"/>
      <c r="W507" s="790"/>
    </row>
    <row r="508" spans="2:25" s="638" customFormat="1" ht="17.25" customHeight="1">
      <c r="B508" s="639" t="s">
        <v>236</v>
      </c>
      <c r="C508" s="717" t="s">
        <v>2997</v>
      </c>
      <c r="D508" s="662"/>
      <c r="E508" s="17">
        <v>4141</v>
      </c>
      <c r="F508" s="739" t="s">
        <v>2998</v>
      </c>
      <c r="G508" s="17" t="s">
        <v>2999</v>
      </c>
      <c r="H508" s="100">
        <v>20</v>
      </c>
      <c r="I508" s="101">
        <v>10</v>
      </c>
      <c r="J508" s="6">
        <v>200</v>
      </c>
      <c r="K508" s="33">
        <v>38.619999999999997</v>
      </c>
      <c r="L508" s="643">
        <f>K508*I508</f>
        <v>386.2</v>
      </c>
      <c r="M508" s="672" t="s">
        <v>255</v>
      </c>
      <c r="N508" s="828">
        <v>45911</v>
      </c>
      <c r="O508" s="707">
        <v>7445</v>
      </c>
      <c r="P508" s="666">
        <f>ROUNDUP(S508/V508/VLOOKUP(B508,$C$2:$F$6,3,FALSE),2)</f>
        <v>33.1</v>
      </c>
      <c r="Q508" s="674">
        <v>33.1</v>
      </c>
      <c r="R508" s="674">
        <f>Q508*I508</f>
        <v>331</v>
      </c>
      <c r="S508" s="867">
        <v>2780</v>
      </c>
      <c r="T508" s="74">
        <f>S508*I508</f>
        <v>27800</v>
      </c>
      <c r="U508" s="893"/>
      <c r="V508" s="668">
        <v>120</v>
      </c>
      <c r="W508" s="790">
        <f>(((K508*V508)-S508)/(K508*V508))</f>
        <v>0.40013809770412562</v>
      </c>
    </row>
    <row r="509" spans="2:25" s="709" customFormat="1" ht="15.75">
      <c r="B509" s="710"/>
      <c r="C509" s="717" t="s">
        <v>2997</v>
      </c>
      <c r="D509" s="662"/>
      <c r="E509" s="158"/>
      <c r="F509" s="737"/>
      <c r="G509" s="158" t="s">
        <v>279</v>
      </c>
      <c r="H509" s="671"/>
      <c r="I509" s="676"/>
      <c r="J509" s="677">
        <v>2</v>
      </c>
      <c r="K509" s="643">
        <v>12</v>
      </c>
      <c r="L509" s="643">
        <v>24</v>
      </c>
      <c r="M509" s="678"/>
      <c r="N509" s="828">
        <v>45911</v>
      </c>
      <c r="O509" s="707">
        <v>7445</v>
      </c>
      <c r="P509" s="674">
        <v>12</v>
      </c>
      <c r="Q509" s="674">
        <v>12</v>
      </c>
      <c r="R509" s="674">
        <v>24</v>
      </c>
      <c r="S509" s="867">
        <v>0</v>
      </c>
      <c r="T509" s="74">
        <v>0</v>
      </c>
      <c r="U509" s="896"/>
      <c r="V509" s="668">
        <v>120</v>
      </c>
      <c r="W509" s="790">
        <v>1</v>
      </c>
      <c r="X509" s="638"/>
      <c r="Y509" s="84">
        <v>0</v>
      </c>
    </row>
    <row r="510" spans="2:25" s="709" customFormat="1" ht="15" customHeight="1">
      <c r="B510" s="710"/>
      <c r="C510" s="719" t="s">
        <v>2997</v>
      </c>
      <c r="D510" s="680"/>
      <c r="E510" s="859"/>
      <c r="F510" s="860"/>
      <c r="G510" s="682" t="s">
        <v>210</v>
      </c>
      <c r="H510" s="683" t="s">
        <v>2754</v>
      </c>
      <c r="I510" s="684"/>
      <c r="J510" s="685"/>
      <c r="K510" s="720">
        <v>122</v>
      </c>
      <c r="L510" s="720">
        <v>122</v>
      </c>
      <c r="M510" s="712"/>
      <c r="N510" s="858"/>
      <c r="O510" s="713">
        <v>7445</v>
      </c>
      <c r="P510" s="687"/>
      <c r="Q510" s="720">
        <v>122</v>
      </c>
      <c r="R510" s="720">
        <v>122</v>
      </c>
      <c r="S510" s="754">
        <v>12127</v>
      </c>
      <c r="T510" s="754">
        <v>12127</v>
      </c>
      <c r="U510" s="690"/>
      <c r="V510" s="668">
        <v>120</v>
      </c>
      <c r="W510" s="730">
        <f>(((K510*V510)-S510)/(K510*V510))</f>
        <v>0.17165300546448087</v>
      </c>
      <c r="Y510" s="709">
        <f>X510*N510</f>
        <v>0</v>
      </c>
    </row>
    <row r="511" spans="2:25" s="638" customFormat="1" ht="17.25" customHeight="1">
      <c r="B511" s="639"/>
      <c r="C511" s="717" t="s">
        <v>3004</v>
      </c>
      <c r="D511" s="662"/>
      <c r="E511" s="865" t="s">
        <v>2792</v>
      </c>
      <c r="F511" s="739"/>
      <c r="G511" s="17"/>
      <c r="H511" s="100"/>
      <c r="I511" s="101"/>
      <c r="J511" s="6"/>
      <c r="K511" s="505"/>
      <c r="L511" s="643"/>
      <c r="M511" s="672"/>
      <c r="N511" s="834">
        <v>45919</v>
      </c>
      <c r="O511" s="882">
        <v>7445</v>
      </c>
      <c r="P511" s="666"/>
      <c r="Q511" s="674"/>
      <c r="R511" s="674"/>
      <c r="S511" s="870"/>
      <c r="T511" s="74"/>
      <c r="U511" s="869"/>
      <c r="V511" s="668"/>
    </row>
    <row r="512" spans="2:25" s="638" customFormat="1" ht="17.25" customHeight="1">
      <c r="B512" s="639" t="s">
        <v>236</v>
      </c>
      <c r="C512" s="717" t="s">
        <v>3004</v>
      </c>
      <c r="D512" s="662"/>
      <c r="E512" s="787">
        <v>3534</v>
      </c>
      <c r="F512" s="739">
        <v>60</v>
      </c>
      <c r="G512" s="17" t="s">
        <v>2789</v>
      </c>
      <c r="H512" s="100">
        <v>30</v>
      </c>
      <c r="I512" s="101">
        <v>10</v>
      </c>
      <c r="J512" s="6">
        <f>H512*I512</f>
        <v>300</v>
      </c>
      <c r="K512" s="33">
        <v>61.22</v>
      </c>
      <c r="L512" s="643">
        <f>K512*I512</f>
        <v>612.20000000000005</v>
      </c>
      <c r="M512" s="672" t="s">
        <v>255</v>
      </c>
      <c r="N512" s="834">
        <v>45919</v>
      </c>
      <c r="O512" s="882">
        <v>7445</v>
      </c>
      <c r="P512" s="666">
        <f>ROUNDUP(S512/V512/VLOOKUP(B512,$C$2:$F$6,3,FALSE),2)</f>
        <v>48.1</v>
      </c>
      <c r="Q512" s="674">
        <v>48.1</v>
      </c>
      <c r="R512" s="674">
        <f>P512*I512</f>
        <v>481</v>
      </c>
      <c r="S512" s="867">
        <v>4040</v>
      </c>
      <c r="T512" s="74">
        <f>S512*I512</f>
        <v>40400</v>
      </c>
      <c r="U512" s="893"/>
      <c r="V512" s="668">
        <v>120</v>
      </c>
      <c r="W512" s="790">
        <f>(((K512*V512)-S512)/(K512*V512))</f>
        <v>0.45007078296852876</v>
      </c>
    </row>
    <row r="513" spans="1:25" s="638" customFormat="1" ht="17.25" customHeight="1">
      <c r="B513" s="639"/>
      <c r="C513" s="717" t="s">
        <v>3004</v>
      </c>
      <c r="D513" s="662"/>
      <c r="E513" s="14" t="s">
        <v>2795</v>
      </c>
      <c r="F513" s="739"/>
      <c r="G513" s="17"/>
      <c r="H513" s="100"/>
      <c r="I513" s="101"/>
      <c r="J513" s="6"/>
      <c r="K513" s="505" t="s">
        <v>4</v>
      </c>
      <c r="L513" s="643"/>
      <c r="M513" s="672"/>
      <c r="N513" s="834">
        <v>45919</v>
      </c>
      <c r="O513" s="882">
        <v>7445</v>
      </c>
      <c r="P513" s="666"/>
      <c r="Q513" s="674"/>
      <c r="R513" s="674"/>
      <c r="S513" s="870"/>
      <c r="T513" s="74"/>
      <c r="U513" s="869"/>
      <c r="V513" s="668"/>
    </row>
    <row r="514" spans="1:25" s="638" customFormat="1" ht="17.25" customHeight="1">
      <c r="B514" s="639" t="s">
        <v>236</v>
      </c>
      <c r="C514" s="717" t="s">
        <v>3004</v>
      </c>
      <c r="D514" s="662"/>
      <c r="E514" s="787" t="s">
        <v>2880</v>
      </c>
      <c r="F514" s="739">
        <v>12</v>
      </c>
      <c r="G514" s="17" t="s">
        <v>2939</v>
      </c>
      <c r="H514" s="100">
        <v>30</v>
      </c>
      <c r="I514" s="101">
        <v>10</v>
      </c>
      <c r="J514" s="6">
        <f>H514*I514</f>
        <v>300</v>
      </c>
      <c r="K514" s="33">
        <v>13.77</v>
      </c>
      <c r="L514" s="643">
        <f>K514*I514</f>
        <v>137.69999999999999</v>
      </c>
      <c r="M514" s="672" t="s">
        <v>255</v>
      </c>
      <c r="N514" s="834">
        <v>45919</v>
      </c>
      <c r="O514" s="882">
        <v>7445</v>
      </c>
      <c r="P514" s="666">
        <f>ROUNDUP(S514/V514/VLOOKUP(B514,$C$2:$F$6,3,FALSE),2)</f>
        <v>11.799999999999999</v>
      </c>
      <c r="Q514" s="674">
        <v>11.8</v>
      </c>
      <c r="R514" s="674">
        <f>Q514*I514</f>
        <v>118</v>
      </c>
      <c r="S514" s="867">
        <v>991</v>
      </c>
      <c r="T514" s="74">
        <f>S514*I514</f>
        <v>9910</v>
      </c>
      <c r="U514" s="893"/>
      <c r="V514" s="668">
        <v>120</v>
      </c>
      <c r="W514" s="790">
        <f>(((K514*V514)-S514)/(K514*V514))</f>
        <v>0.40026627935124665</v>
      </c>
    </row>
    <row r="515" spans="1:25" ht="15" customHeight="1">
      <c r="C515" s="717" t="s">
        <v>3004</v>
      </c>
      <c r="D515" s="662"/>
      <c r="E515" s="865" t="s">
        <v>2780</v>
      </c>
      <c r="F515" s="739"/>
      <c r="G515" s="17"/>
      <c r="H515" s="100"/>
      <c r="I515" s="101"/>
      <c r="J515" s="6"/>
      <c r="K515" s="505" t="s">
        <v>4</v>
      </c>
      <c r="L515" s="643"/>
      <c r="M515" s="672"/>
      <c r="N515" s="834">
        <v>45919</v>
      </c>
      <c r="O515" s="882">
        <v>7445</v>
      </c>
      <c r="P515" s="504"/>
      <c r="Q515" s="884"/>
      <c r="R515" s="884"/>
      <c r="S515" s="883"/>
      <c r="T515" s="883"/>
      <c r="U515" s="894"/>
      <c r="V515" s="668"/>
      <c r="W515" s="790"/>
    </row>
    <row r="516" spans="1:25" ht="15" customHeight="1">
      <c r="A516" s="638"/>
      <c r="B516" s="639" t="s">
        <v>236</v>
      </c>
      <c r="C516" s="717" t="s">
        <v>3004</v>
      </c>
      <c r="D516" s="662"/>
      <c r="E516" s="787">
        <v>2200</v>
      </c>
      <c r="F516" s="739">
        <v>50</v>
      </c>
      <c r="G516" s="17" t="s">
        <v>3005</v>
      </c>
      <c r="H516" s="100">
        <v>30</v>
      </c>
      <c r="I516" s="101">
        <v>10</v>
      </c>
      <c r="J516" s="6">
        <f>H516*I516</f>
        <v>300</v>
      </c>
      <c r="K516" s="33">
        <v>54.12</v>
      </c>
      <c r="L516" s="643">
        <f>K516*I516</f>
        <v>541.19999999999993</v>
      </c>
      <c r="M516" s="672" t="s">
        <v>255</v>
      </c>
      <c r="N516" s="834">
        <v>45919</v>
      </c>
      <c r="O516" s="882">
        <v>7445</v>
      </c>
      <c r="P516" s="666">
        <f>ROUNDUP(S516/V516/VLOOKUP(B516,$C$2:$F$6,3,FALSE),2)</f>
        <v>46.39</v>
      </c>
      <c r="Q516" s="674">
        <v>46.39</v>
      </c>
      <c r="R516" s="674">
        <f>Q516*I516</f>
        <v>463.9</v>
      </c>
      <c r="S516" s="867">
        <v>3896</v>
      </c>
      <c r="T516" s="74">
        <f>S516*I516</f>
        <v>38960</v>
      </c>
      <c r="U516" s="893"/>
      <c r="V516" s="668">
        <v>120</v>
      </c>
      <c r="W516" s="790">
        <f>(((K516*V516)-S516)/(K516*V516))</f>
        <v>0.40009854644000981</v>
      </c>
    </row>
    <row r="517" spans="1:25" ht="15" customHeight="1">
      <c r="A517" s="638"/>
      <c r="B517" s="639" t="s">
        <v>236</v>
      </c>
      <c r="C517" s="717" t="s">
        <v>3004</v>
      </c>
      <c r="D517" s="662"/>
      <c r="E517" s="787">
        <v>2200</v>
      </c>
      <c r="F517" s="739">
        <v>18</v>
      </c>
      <c r="G517" s="17" t="s">
        <v>3006</v>
      </c>
      <c r="H517" s="100">
        <v>15</v>
      </c>
      <c r="I517" s="101">
        <v>3</v>
      </c>
      <c r="J517" s="6">
        <f>H517*I517</f>
        <v>45</v>
      </c>
      <c r="K517" s="33">
        <v>19.559999999999999</v>
      </c>
      <c r="L517" s="643">
        <f>K517*I517</f>
        <v>58.679999999999993</v>
      </c>
      <c r="M517" s="672" t="s">
        <v>255</v>
      </c>
      <c r="N517" s="834">
        <v>45919</v>
      </c>
      <c r="O517" s="882">
        <v>7445</v>
      </c>
      <c r="P517" s="666">
        <f>ROUNDUP(S517/V517/VLOOKUP(B517,$C$2:$F$6,3,FALSE),2)</f>
        <v>16.770000000000003</v>
      </c>
      <c r="Q517" s="674">
        <v>16.77</v>
      </c>
      <c r="R517" s="674">
        <f>Q517*I517</f>
        <v>50.31</v>
      </c>
      <c r="S517" s="867">
        <v>1408</v>
      </c>
      <c r="T517" s="74">
        <f>S517*I517</f>
        <v>4224</v>
      </c>
      <c r="U517" s="893"/>
      <c r="V517" s="668">
        <v>120</v>
      </c>
      <c r="W517" s="790">
        <f>(((K517*V517)-S517)/(K517*V517))</f>
        <v>0.40013633265167003</v>
      </c>
    </row>
    <row r="518" spans="1:25" ht="15" customHeight="1">
      <c r="A518" s="638"/>
      <c r="B518" s="639" t="s">
        <v>236</v>
      </c>
      <c r="C518" s="717" t="s">
        <v>3004</v>
      </c>
      <c r="D518" s="662"/>
      <c r="E518" s="17">
        <v>2200</v>
      </c>
      <c r="F518" s="739">
        <v>18</v>
      </c>
      <c r="G518" s="17" t="s">
        <v>3007</v>
      </c>
      <c r="H518" s="100">
        <v>15</v>
      </c>
      <c r="I518" s="101">
        <v>3</v>
      </c>
      <c r="J518" s="6">
        <f>H518*I518</f>
        <v>45</v>
      </c>
      <c r="K518" s="33">
        <v>19.559999999999999</v>
      </c>
      <c r="L518" s="643">
        <f>K518*I518</f>
        <v>58.679999999999993</v>
      </c>
      <c r="M518" s="672" t="s">
        <v>255</v>
      </c>
      <c r="N518" s="828">
        <v>45940</v>
      </c>
      <c r="O518" s="882">
        <v>7526</v>
      </c>
      <c r="P518" s="666">
        <f>ROUNDUP(S518/V518/VLOOKUP(B518,$C$2:$F$6,3,FALSE),2)</f>
        <v>16.770000000000003</v>
      </c>
      <c r="Q518" s="674">
        <v>16.77</v>
      </c>
      <c r="R518" s="674">
        <f>Q518*I518</f>
        <v>50.31</v>
      </c>
      <c r="S518" s="867">
        <v>1408</v>
      </c>
      <c r="T518" s="74">
        <f>S518*I518</f>
        <v>4224</v>
      </c>
      <c r="U518" s="893"/>
      <c r="V518" s="668">
        <v>120</v>
      </c>
      <c r="W518" s="790">
        <f>(((K518*V518)-S518)/(K518*V518))</f>
        <v>0.40013633265167003</v>
      </c>
    </row>
    <row r="519" spans="1:25" s="709" customFormat="1" ht="15.75">
      <c r="B519" s="710"/>
      <c r="C519" s="717" t="s">
        <v>3004</v>
      </c>
      <c r="D519" s="662"/>
      <c r="E519" s="158"/>
      <c r="F519" s="737"/>
      <c r="G519" s="158" t="s">
        <v>279</v>
      </c>
      <c r="H519" s="671"/>
      <c r="I519" s="676"/>
      <c r="J519" s="677">
        <v>2</v>
      </c>
      <c r="K519" s="643">
        <v>12</v>
      </c>
      <c r="L519" s="643">
        <v>24</v>
      </c>
      <c r="M519" s="678"/>
      <c r="N519" s="828">
        <v>45919</v>
      </c>
      <c r="O519" s="707">
        <v>7445</v>
      </c>
      <c r="P519" s="674">
        <v>12</v>
      </c>
      <c r="Q519" s="674">
        <v>12</v>
      </c>
      <c r="R519" s="674">
        <v>24</v>
      </c>
      <c r="S519" s="867">
        <v>0</v>
      </c>
      <c r="T519" s="74">
        <v>0</v>
      </c>
      <c r="U519" s="896"/>
      <c r="V519" s="668">
        <v>120</v>
      </c>
      <c r="W519" s="790">
        <v>1</v>
      </c>
      <c r="X519" s="638"/>
      <c r="Y519" s="84">
        <v>0</v>
      </c>
    </row>
    <row r="520" spans="1:25" s="709" customFormat="1" ht="15" customHeight="1">
      <c r="B520" s="710"/>
      <c r="C520" s="719" t="s">
        <v>3004</v>
      </c>
      <c r="D520" s="680"/>
      <c r="E520" s="859"/>
      <c r="F520" s="860"/>
      <c r="G520" s="682" t="s">
        <v>210</v>
      </c>
      <c r="H520" s="683" t="s">
        <v>2754</v>
      </c>
      <c r="I520" s="684"/>
      <c r="J520" s="685"/>
      <c r="K520" s="720">
        <v>254</v>
      </c>
      <c r="L520" s="720">
        <v>254</v>
      </c>
      <c r="M520" s="712"/>
      <c r="N520" s="858">
        <v>45919</v>
      </c>
      <c r="O520" s="713">
        <v>7445</v>
      </c>
      <c r="P520" s="687"/>
      <c r="Q520" s="720">
        <v>254</v>
      </c>
      <c r="R520" s="720">
        <v>254</v>
      </c>
      <c r="S520" s="754">
        <v>25366</v>
      </c>
      <c r="T520" s="754">
        <v>25366</v>
      </c>
      <c r="U520" s="690"/>
      <c r="V520" s="668">
        <v>120</v>
      </c>
      <c r="W520" s="730">
        <f>(((K520*V520)-S520)/(K520*V520))</f>
        <v>0.16778215223097112</v>
      </c>
      <c r="Y520" s="709">
        <f>X520*N520</f>
        <v>0</v>
      </c>
    </row>
    <row r="521" spans="1:25" s="638" customFormat="1" ht="17.25" customHeight="1">
      <c r="B521" s="639"/>
      <c r="C521" s="717" t="s">
        <v>3008</v>
      </c>
      <c r="D521" s="662"/>
      <c r="E521" s="14" t="s">
        <v>2854</v>
      </c>
      <c r="F521" s="739"/>
      <c r="G521" s="17"/>
      <c r="H521" s="100"/>
      <c r="I521" s="101"/>
      <c r="J521" s="6"/>
      <c r="K521" s="33"/>
      <c r="L521" s="643"/>
      <c r="M521" s="672"/>
      <c r="N521" s="828">
        <v>45940</v>
      </c>
      <c r="O521" s="707">
        <v>7526</v>
      </c>
      <c r="P521" s="666"/>
      <c r="Q521" s="674"/>
      <c r="R521" s="674"/>
      <c r="S521" s="867"/>
      <c r="T521" s="74"/>
      <c r="U521" s="893"/>
      <c r="V521" s="668"/>
      <c r="W521" s="790"/>
    </row>
    <row r="522" spans="1:25" s="638" customFormat="1" ht="17.25" customHeight="1">
      <c r="B522" s="639" t="s">
        <v>236</v>
      </c>
      <c r="C522" s="717" t="s">
        <v>3008</v>
      </c>
      <c r="D522" s="662"/>
      <c r="E522" s="17">
        <v>4141</v>
      </c>
      <c r="F522" s="739" t="s">
        <v>2855</v>
      </c>
      <c r="G522" s="17" t="s">
        <v>2999</v>
      </c>
      <c r="H522" s="100">
        <v>20</v>
      </c>
      <c r="I522" s="101">
        <v>10</v>
      </c>
      <c r="J522" s="6">
        <v>200</v>
      </c>
      <c r="K522" s="33">
        <v>45.28</v>
      </c>
      <c r="L522" s="643">
        <f>K522*I522</f>
        <v>452.8</v>
      </c>
      <c r="M522" s="672" t="s">
        <v>255</v>
      </c>
      <c r="N522" s="828">
        <v>45940</v>
      </c>
      <c r="O522" s="707">
        <v>7526</v>
      </c>
      <c r="P522" s="666">
        <f>ROUNDUP(S522/V522/VLOOKUP(B522,$C$2:$F$6,3,FALSE),2)</f>
        <v>38.809999999999995</v>
      </c>
      <c r="Q522" s="674">
        <v>38.81</v>
      </c>
      <c r="R522" s="674">
        <f>Q522*I522</f>
        <v>388.1</v>
      </c>
      <c r="S522" s="867">
        <v>3260</v>
      </c>
      <c r="T522" s="74">
        <f>S522*I522</f>
        <v>32600</v>
      </c>
      <c r="U522" s="893"/>
      <c r="V522" s="668">
        <v>120</v>
      </c>
      <c r="W522" s="790">
        <f>(((K522*V522)-S522)/(K522*V522))</f>
        <v>0.40002944640753835</v>
      </c>
    </row>
    <row r="523" spans="1:25" s="638" customFormat="1" ht="18" customHeight="1">
      <c r="B523" s="639"/>
      <c r="C523" s="717" t="s">
        <v>3008</v>
      </c>
      <c r="D523" s="662"/>
      <c r="E523" s="663" t="s">
        <v>2847</v>
      </c>
      <c r="F523" s="736"/>
      <c r="G523" s="664"/>
      <c r="H523" s="665"/>
      <c r="I523" s="665"/>
      <c r="J523" s="665"/>
      <c r="K523" s="505" t="s">
        <v>4</v>
      </c>
      <c r="L523" s="706"/>
      <c r="M523" s="706"/>
      <c r="N523" s="828">
        <v>45940</v>
      </c>
      <c r="O523" s="707">
        <v>7526</v>
      </c>
      <c r="P523" s="504"/>
      <c r="Q523" s="666"/>
      <c r="U523" s="667"/>
      <c r="V523" s="668">
        <v>120</v>
      </c>
    </row>
    <row r="524" spans="1:25" s="638" customFormat="1" ht="17.25" customHeight="1">
      <c r="B524" s="639" t="s">
        <v>236</v>
      </c>
      <c r="C524" s="717" t="s">
        <v>3008</v>
      </c>
      <c r="D524" s="662"/>
      <c r="E524" s="17" t="s">
        <v>2848</v>
      </c>
      <c r="F524" s="739">
        <v>12</v>
      </c>
      <c r="G524" s="17" t="s">
        <v>2475</v>
      </c>
      <c r="H524" s="100">
        <v>30</v>
      </c>
      <c r="I524" s="101">
        <v>10</v>
      </c>
      <c r="J524" s="6">
        <f>H524*I524</f>
        <v>300</v>
      </c>
      <c r="K524" s="33">
        <v>6.52</v>
      </c>
      <c r="L524" s="744">
        <f>K524*I524</f>
        <v>65.199999999999989</v>
      </c>
      <c r="M524" s="672" t="s">
        <v>255</v>
      </c>
      <c r="N524" s="828">
        <v>45940</v>
      </c>
      <c r="O524" s="707">
        <v>7526</v>
      </c>
      <c r="P524" s="673">
        <f>ROUNDUP(S524/V524/VLOOKUP(B524,$C$2:$F$6,3,FALSE),2)</f>
        <v>5.59</v>
      </c>
      <c r="Q524" s="674">
        <v>5.59</v>
      </c>
      <c r="R524" s="674">
        <f>Q524*I524</f>
        <v>55.9</v>
      </c>
      <c r="S524" s="797">
        <v>469</v>
      </c>
      <c r="T524" s="84">
        <f>S524*I524</f>
        <v>4690</v>
      </c>
      <c r="U524" s="789"/>
      <c r="V524" s="668">
        <v>120</v>
      </c>
      <c r="W524" s="790">
        <f>(((K524*V524)-S524)/(K524*V524))</f>
        <v>0.40056237218813906</v>
      </c>
    </row>
    <row r="525" spans="1:25" ht="15.75">
      <c r="C525" s="717" t="s">
        <v>3008</v>
      </c>
      <c r="D525" s="662"/>
      <c r="E525" s="14" t="s">
        <v>2780</v>
      </c>
      <c r="F525" s="739"/>
      <c r="G525" s="17"/>
      <c r="H525" s="100"/>
      <c r="I525" s="101"/>
      <c r="J525" s="6"/>
      <c r="K525" s="505" t="s">
        <v>4</v>
      </c>
      <c r="L525" s="643"/>
      <c r="M525" s="672"/>
      <c r="N525" s="828">
        <v>45940</v>
      </c>
      <c r="O525" s="707">
        <v>7526</v>
      </c>
      <c r="P525" s="673"/>
      <c r="Q525" s="674"/>
      <c r="R525" s="674"/>
      <c r="S525" s="728"/>
      <c r="T525" s="84"/>
      <c r="U525" s="728"/>
      <c r="V525" s="668"/>
      <c r="W525" s="638"/>
      <c r="X525" s="638"/>
      <c r="Y525" s="638"/>
    </row>
    <row r="526" spans="1:25" s="638" customFormat="1" ht="17.25" customHeight="1">
      <c r="B526" s="639" t="s">
        <v>236</v>
      </c>
      <c r="C526" s="717" t="s">
        <v>3008</v>
      </c>
      <c r="D526" s="872"/>
      <c r="E526" s="874">
        <v>2200</v>
      </c>
      <c r="F526" s="873">
        <v>12</v>
      </c>
      <c r="G526" s="874" t="s">
        <v>3009</v>
      </c>
      <c r="H526" s="875">
        <v>15</v>
      </c>
      <c r="I526" s="876">
        <v>3</v>
      </c>
      <c r="J526" s="877">
        <f>H526*I526</f>
        <v>45</v>
      </c>
      <c r="K526" s="878">
        <v>13.19</v>
      </c>
      <c r="L526" s="879">
        <f>K526*I526</f>
        <v>39.57</v>
      </c>
      <c r="M526" s="880" t="s">
        <v>255</v>
      </c>
      <c r="N526" s="828">
        <v>45940</v>
      </c>
      <c r="O526" s="707">
        <v>7526</v>
      </c>
      <c r="P526" s="885">
        <f>ROUNDUP(S526/V526/VLOOKUP(B526,$C$2:$F$6,3,FALSE),2)</f>
        <v>11.299999999999999</v>
      </c>
      <c r="Q526" s="886">
        <v>11.3</v>
      </c>
      <c r="R526" s="886">
        <f>Q526*I526</f>
        <v>33.900000000000006</v>
      </c>
      <c r="S526" s="881">
        <v>949</v>
      </c>
      <c r="T526" s="895">
        <f>S526*I526</f>
        <v>2847</v>
      </c>
      <c r="U526" s="893"/>
      <c r="V526" s="668">
        <v>120</v>
      </c>
      <c r="W526" s="790">
        <f>(((K526*V526)-S526)/(K526*V526))</f>
        <v>0.40042961839777608</v>
      </c>
    </row>
    <row r="527" spans="1:25" ht="15" customHeight="1">
      <c r="A527" s="638"/>
      <c r="B527" s="639" t="s">
        <v>236</v>
      </c>
      <c r="C527" s="717" t="s">
        <v>3008</v>
      </c>
      <c r="D527" s="662"/>
      <c r="E527" s="17">
        <v>2200</v>
      </c>
      <c r="F527" s="739">
        <v>18</v>
      </c>
      <c r="G527" s="17" t="s">
        <v>3007</v>
      </c>
      <c r="H527" s="100">
        <v>15</v>
      </c>
      <c r="I527" s="101">
        <v>3</v>
      </c>
      <c r="J527" s="6">
        <f>H527*I527</f>
        <v>45</v>
      </c>
      <c r="K527" s="33">
        <v>19.559999999999999</v>
      </c>
      <c r="L527" s="643">
        <f>K527*I527</f>
        <v>58.679999999999993</v>
      </c>
      <c r="M527" s="672" t="s">
        <v>255</v>
      </c>
      <c r="N527" s="828">
        <v>45940</v>
      </c>
      <c r="O527" s="707">
        <v>7526</v>
      </c>
      <c r="P527" s="666">
        <f>ROUNDUP(S527/V527/VLOOKUP(B527,$C$2:$F$6,3,FALSE),2)</f>
        <v>16.770000000000003</v>
      </c>
      <c r="Q527" s="674">
        <v>16.77</v>
      </c>
      <c r="R527" s="674">
        <f>Q527*I527</f>
        <v>50.31</v>
      </c>
      <c r="S527" s="867">
        <v>1408</v>
      </c>
      <c r="T527" s="74">
        <f>S527*I527</f>
        <v>4224</v>
      </c>
      <c r="U527" s="893"/>
      <c r="V527" s="668">
        <v>120</v>
      </c>
      <c r="W527" s="790">
        <f>(((K527*V527)-S527)/(K527*V527))</f>
        <v>0.40013633265167003</v>
      </c>
    </row>
    <row r="528" spans="1:25" s="638" customFormat="1" ht="17.25" customHeight="1">
      <c r="B528" s="639"/>
      <c r="C528" s="717" t="s">
        <v>3008</v>
      </c>
      <c r="D528" s="662"/>
      <c r="E528" s="14" t="s">
        <v>2795</v>
      </c>
      <c r="F528" s="739"/>
      <c r="G528" s="17"/>
      <c r="H528" s="100"/>
      <c r="I528" s="101"/>
      <c r="J528" s="6"/>
      <c r="K528" s="505" t="s">
        <v>4</v>
      </c>
      <c r="L528" s="643"/>
      <c r="M528" s="672"/>
      <c r="N528" s="834">
        <v>45972</v>
      </c>
      <c r="O528" s="882">
        <v>7607</v>
      </c>
      <c r="P528" s="666"/>
      <c r="Q528" s="674"/>
      <c r="R528" s="674"/>
      <c r="S528" s="870"/>
      <c r="T528" s="74"/>
      <c r="U528" s="869"/>
      <c r="V528" s="668"/>
    </row>
    <row r="529" spans="1:25" s="638" customFormat="1" ht="17.25" customHeight="1">
      <c r="B529" s="639" t="s">
        <v>236</v>
      </c>
      <c r="C529" s="717" t="s">
        <v>3008</v>
      </c>
      <c r="D529" s="662"/>
      <c r="E529" s="787" t="s">
        <v>2880</v>
      </c>
      <c r="F529" s="739">
        <v>9</v>
      </c>
      <c r="G529" s="17" t="s">
        <v>2971</v>
      </c>
      <c r="H529" s="100">
        <v>30</v>
      </c>
      <c r="I529" s="101">
        <v>20</v>
      </c>
      <c r="J529" s="6">
        <f>H529*I529</f>
        <v>600</v>
      </c>
      <c r="K529" s="33">
        <v>12.09</v>
      </c>
      <c r="L529" s="643">
        <f>K529*I529</f>
        <v>241.8</v>
      </c>
      <c r="M529" s="672" t="s">
        <v>255</v>
      </c>
      <c r="N529" s="834">
        <v>45972</v>
      </c>
      <c r="O529" s="882">
        <v>7607</v>
      </c>
      <c r="P529" s="666">
        <f>ROUNDUP(S529/V529/VLOOKUP(B529,$C$2:$F$6,3,FALSE),2)</f>
        <v>10.36</v>
      </c>
      <c r="Q529" s="674">
        <v>10.36</v>
      </c>
      <c r="R529" s="674">
        <f>Q529*I529</f>
        <v>207.2</v>
      </c>
      <c r="S529" s="867">
        <v>870</v>
      </c>
      <c r="T529" s="74">
        <f>S529*I529</f>
        <v>17400</v>
      </c>
      <c r="U529" s="893"/>
      <c r="V529" s="668">
        <v>120</v>
      </c>
      <c r="W529" s="790">
        <f>(((K529*V529)-S529)/(K529*V529))</f>
        <v>0.40033085194375517</v>
      </c>
    </row>
    <row r="530" spans="1:25" s="709" customFormat="1" ht="15.75">
      <c r="A530" s="46"/>
      <c r="B530" s="714"/>
      <c r="C530" s="717" t="s">
        <v>3008</v>
      </c>
      <c r="D530" s="662"/>
      <c r="E530" s="158"/>
      <c r="F530" s="737"/>
      <c r="G530" s="158" t="s">
        <v>279</v>
      </c>
      <c r="H530" s="671"/>
      <c r="I530" s="676"/>
      <c r="J530" s="677">
        <v>2</v>
      </c>
      <c r="K530" s="643">
        <v>12</v>
      </c>
      <c r="L530" s="643">
        <v>24</v>
      </c>
      <c r="M530" s="678"/>
      <c r="N530" s="834">
        <v>45940</v>
      </c>
      <c r="O530" s="882">
        <v>7526</v>
      </c>
      <c r="P530" s="674">
        <v>12</v>
      </c>
      <c r="Q530" s="674">
        <v>12</v>
      </c>
      <c r="R530" s="674">
        <v>24</v>
      </c>
      <c r="S530" s="867">
        <v>0</v>
      </c>
      <c r="T530" s="74">
        <v>0</v>
      </c>
      <c r="U530" s="896"/>
      <c r="V530" s="668">
        <v>120</v>
      </c>
      <c r="W530" s="790">
        <v>1</v>
      </c>
      <c r="X530" s="638"/>
      <c r="Y530" s="84">
        <v>0</v>
      </c>
    </row>
    <row r="531" spans="1:25" s="709" customFormat="1" ht="15" customHeight="1">
      <c r="B531" s="710"/>
      <c r="C531" s="719" t="s">
        <v>3008</v>
      </c>
      <c r="D531" s="680"/>
      <c r="E531" s="859"/>
      <c r="F531" s="860"/>
      <c r="G531" s="682" t="s">
        <v>210</v>
      </c>
      <c r="H531" s="683" t="s">
        <v>2754</v>
      </c>
      <c r="I531" s="684"/>
      <c r="J531" s="685"/>
      <c r="K531" s="720">
        <v>114</v>
      </c>
      <c r="L531" s="720">
        <v>114</v>
      </c>
      <c r="M531" s="712"/>
      <c r="N531" s="897">
        <v>45940</v>
      </c>
      <c r="O531" s="713">
        <v>7526</v>
      </c>
      <c r="P531" s="687"/>
      <c r="Q531" s="720">
        <v>114</v>
      </c>
      <c r="R531" s="720">
        <v>114</v>
      </c>
      <c r="S531" s="754">
        <v>11360</v>
      </c>
      <c r="T531" s="754">
        <v>11360</v>
      </c>
      <c r="U531" s="690"/>
      <c r="V531" s="668">
        <v>120</v>
      </c>
      <c r="W531" s="730">
        <f>(((K531*V531)-S531)/(K531*V531))</f>
        <v>0.16959064327485379</v>
      </c>
      <c r="Y531" s="709">
        <f>X531*N531</f>
        <v>0</v>
      </c>
    </row>
    <row r="532" spans="1:25" s="638" customFormat="1" ht="18" customHeight="1">
      <c r="B532" s="639"/>
      <c r="C532" s="717" t="s">
        <v>3010</v>
      </c>
      <c r="D532" s="662"/>
      <c r="E532" s="663" t="s">
        <v>2751</v>
      </c>
      <c r="F532" s="736"/>
      <c r="G532" s="664"/>
      <c r="H532" s="665"/>
      <c r="I532" s="665"/>
      <c r="J532" s="665"/>
      <c r="K532" s="505" t="s">
        <v>4</v>
      </c>
      <c r="L532" s="705"/>
      <c r="M532" s="706"/>
      <c r="N532" s="834">
        <v>45972</v>
      </c>
      <c r="O532" s="707">
        <v>7607</v>
      </c>
      <c r="P532" s="504"/>
      <c r="Q532" s="666"/>
      <c r="U532" s="667"/>
      <c r="V532" s="668">
        <v>120</v>
      </c>
    </row>
    <row r="533" spans="1:25" s="638" customFormat="1" ht="17.25" customHeight="1">
      <c r="B533" s="639" t="s">
        <v>236</v>
      </c>
      <c r="C533" s="717" t="s">
        <v>3010</v>
      </c>
      <c r="D533" s="662"/>
      <c r="E533" s="787">
        <v>5313</v>
      </c>
      <c r="F533" s="739">
        <v>2.5</v>
      </c>
      <c r="G533" s="748" t="s">
        <v>3011</v>
      </c>
      <c r="H533" s="747">
        <v>150</v>
      </c>
      <c r="I533" s="101">
        <v>10</v>
      </c>
      <c r="J533" s="6">
        <f>H533*I533</f>
        <v>1500</v>
      </c>
      <c r="K533" s="745">
        <v>31.25</v>
      </c>
      <c r="L533" s="744">
        <f>K533*I533</f>
        <v>312.5</v>
      </c>
      <c r="M533" s="672" t="s">
        <v>255</v>
      </c>
      <c r="N533" s="834">
        <v>45972</v>
      </c>
      <c r="O533" s="707">
        <v>7607</v>
      </c>
      <c r="P533" s="673">
        <f>ROUNDUP(S533/V533/VLOOKUP(B533,$C$2:$F$6,3,FALSE),2)</f>
        <v>28.580000000000002</v>
      </c>
      <c r="Q533" s="674">
        <v>26.79</v>
      </c>
      <c r="R533" s="674">
        <f>Q533*I533</f>
        <v>267.89999999999998</v>
      </c>
      <c r="S533" s="746">
        <v>2400</v>
      </c>
      <c r="T533" s="84">
        <f>S533*I533</f>
        <v>24000</v>
      </c>
      <c r="U533" s="726"/>
      <c r="V533" s="668">
        <v>120</v>
      </c>
      <c r="W533" s="730">
        <f>(((K533*V533)-S533)/(K533*V533))</f>
        <v>0.36</v>
      </c>
    </row>
    <row r="534" spans="1:25" s="638" customFormat="1" ht="17.25" customHeight="1">
      <c r="B534" s="639" t="s">
        <v>236</v>
      </c>
      <c r="C534" s="717" t="s">
        <v>3010</v>
      </c>
      <c r="D534" s="662"/>
      <c r="E534" s="787">
        <v>5313</v>
      </c>
      <c r="F534" s="739">
        <v>2.5</v>
      </c>
      <c r="G534" s="748" t="s">
        <v>3012</v>
      </c>
      <c r="H534" s="747">
        <v>150</v>
      </c>
      <c r="I534" s="101">
        <v>10</v>
      </c>
      <c r="J534" s="6">
        <f>H534*I534</f>
        <v>1500</v>
      </c>
      <c r="K534" s="745">
        <v>31.25</v>
      </c>
      <c r="L534" s="744">
        <f>K534*I534</f>
        <v>312.5</v>
      </c>
      <c r="M534" s="672" t="s">
        <v>255</v>
      </c>
      <c r="N534" s="834">
        <v>45972</v>
      </c>
      <c r="O534" s="707">
        <v>7607</v>
      </c>
      <c r="P534" s="673">
        <f>ROUNDUP(S534/V534/VLOOKUP(B534,$C$2:$F$6,3,FALSE),2)</f>
        <v>28.580000000000002</v>
      </c>
      <c r="Q534" s="674">
        <v>26.79</v>
      </c>
      <c r="R534" s="674">
        <f>Q534*I534</f>
        <v>267.89999999999998</v>
      </c>
      <c r="S534" s="746">
        <v>2400</v>
      </c>
      <c r="T534" s="84">
        <f>S534*I534</f>
        <v>24000</v>
      </c>
      <c r="U534" s="726"/>
      <c r="V534" s="668">
        <v>120</v>
      </c>
      <c r="W534" s="730">
        <f>(((K534*V534)-S534)/(K534*V534))</f>
        <v>0.36</v>
      </c>
    </row>
    <row r="535" spans="1:25" s="638" customFormat="1" ht="17.25" customHeight="1">
      <c r="B535" s="639" t="s">
        <v>236</v>
      </c>
      <c r="C535" s="717" t="s">
        <v>3010</v>
      </c>
      <c r="D535" s="662"/>
      <c r="E535" s="787">
        <v>5313</v>
      </c>
      <c r="F535" s="739">
        <v>2.5</v>
      </c>
      <c r="G535" s="748" t="s">
        <v>3013</v>
      </c>
      <c r="H535" s="747">
        <v>150</v>
      </c>
      <c r="I535" s="101">
        <v>5</v>
      </c>
      <c r="J535" s="6">
        <f>H535*I535</f>
        <v>750</v>
      </c>
      <c r="K535" s="745">
        <v>31.25</v>
      </c>
      <c r="L535" s="744">
        <f>K535*I535</f>
        <v>156.25</v>
      </c>
      <c r="M535" s="672" t="s">
        <v>255</v>
      </c>
      <c r="N535" s="834">
        <v>45972</v>
      </c>
      <c r="O535" s="707">
        <v>7607</v>
      </c>
      <c r="P535" s="673">
        <f>ROUNDUP(S535/V535/VLOOKUP(B535,$C$2:$F$6,3,FALSE),2)</f>
        <v>28.580000000000002</v>
      </c>
      <c r="Q535" s="674">
        <v>26.79</v>
      </c>
      <c r="R535" s="674">
        <f>Q535*I535</f>
        <v>133.94999999999999</v>
      </c>
      <c r="S535" s="746">
        <v>2400</v>
      </c>
      <c r="T535" s="84">
        <f>S535*I535</f>
        <v>12000</v>
      </c>
      <c r="U535" s="726"/>
      <c r="V535" s="668">
        <v>120</v>
      </c>
      <c r="W535" s="730">
        <f>(((K535*V535)-S535)/(K535*V535))</f>
        <v>0.36</v>
      </c>
    </row>
    <row r="536" spans="1:25" s="709" customFormat="1" ht="15.75">
      <c r="A536" s="46"/>
      <c r="B536" s="714"/>
      <c r="C536" s="717" t="s">
        <v>3010</v>
      </c>
      <c r="D536" s="662"/>
      <c r="E536" s="158"/>
      <c r="F536" s="737"/>
      <c r="G536" s="158" t="s">
        <v>279</v>
      </c>
      <c r="H536" s="671"/>
      <c r="I536" s="676"/>
      <c r="J536" s="677">
        <v>1</v>
      </c>
      <c r="K536" s="643">
        <v>12</v>
      </c>
      <c r="L536" s="643">
        <v>12</v>
      </c>
      <c r="M536" s="678"/>
      <c r="N536" s="834">
        <v>45972</v>
      </c>
      <c r="O536" s="882">
        <v>7607</v>
      </c>
      <c r="P536" s="674">
        <v>12</v>
      </c>
      <c r="Q536" s="674">
        <v>12</v>
      </c>
      <c r="R536" s="674">
        <v>12</v>
      </c>
      <c r="S536" s="867">
        <v>0</v>
      </c>
      <c r="T536" s="74">
        <v>0</v>
      </c>
      <c r="U536" s="896"/>
      <c r="V536" s="668">
        <v>120</v>
      </c>
      <c r="W536" s="790">
        <v>1</v>
      </c>
      <c r="X536" s="638"/>
      <c r="Y536" s="84">
        <v>0</v>
      </c>
    </row>
    <row r="537" spans="1:25" s="638" customFormat="1" ht="18" customHeight="1">
      <c r="B537" s="639"/>
      <c r="C537" s="717" t="s">
        <v>3014</v>
      </c>
      <c r="D537" s="662"/>
      <c r="E537" s="663" t="s">
        <v>2847</v>
      </c>
      <c r="F537" s="736"/>
      <c r="G537" s="664"/>
      <c r="H537" s="665"/>
      <c r="I537" s="665"/>
      <c r="J537" s="665"/>
      <c r="K537" s="505" t="s">
        <v>4</v>
      </c>
      <c r="L537" s="706"/>
      <c r="M537" s="706"/>
      <c r="N537" s="834">
        <v>45972</v>
      </c>
      <c r="O537" s="707">
        <v>7607</v>
      </c>
      <c r="P537" s="504"/>
      <c r="Q537" s="666"/>
      <c r="U537" s="667"/>
      <c r="V537" s="668">
        <v>120</v>
      </c>
    </row>
    <row r="538" spans="1:25" s="638" customFormat="1" ht="17.25" customHeight="1">
      <c r="B538" s="639" t="s">
        <v>236</v>
      </c>
      <c r="C538" s="717" t="s">
        <v>3014</v>
      </c>
      <c r="D538" s="662"/>
      <c r="E538" s="787" t="s">
        <v>2848</v>
      </c>
      <c r="F538" s="739">
        <v>9</v>
      </c>
      <c r="G538" s="17" t="s">
        <v>3015</v>
      </c>
      <c r="H538" s="100">
        <v>30</v>
      </c>
      <c r="I538" s="101">
        <v>7</v>
      </c>
      <c r="J538" s="6">
        <f>H538*I538</f>
        <v>210</v>
      </c>
      <c r="K538" s="33">
        <v>5.6</v>
      </c>
      <c r="L538" s="744">
        <f>K538*I538</f>
        <v>39.199999999999996</v>
      </c>
      <c r="M538" s="672" t="s">
        <v>255</v>
      </c>
      <c r="N538" s="834">
        <v>45972</v>
      </c>
      <c r="O538" s="707">
        <v>7607</v>
      </c>
      <c r="P538" s="673">
        <f>ROUNDUP(S538/V538/VLOOKUP(B538,$C$2:$F$6,3,FALSE),2)</f>
        <v>4.8</v>
      </c>
      <c r="Q538" s="674">
        <v>4.8</v>
      </c>
      <c r="R538" s="674">
        <f>Q538*I538</f>
        <v>33.6</v>
      </c>
      <c r="S538" s="797">
        <v>403</v>
      </c>
      <c r="T538" s="84">
        <f>S538*I538</f>
        <v>2821</v>
      </c>
      <c r="U538" s="789"/>
      <c r="V538" s="668">
        <v>120</v>
      </c>
      <c r="W538" s="790">
        <f>(((K538*V538)-S538)/(K538*V538))</f>
        <v>0.40029761904761907</v>
      </c>
    </row>
    <row r="539" spans="1:25" s="638" customFormat="1" ht="17.25" customHeight="1">
      <c r="B539" s="639" t="s">
        <v>236</v>
      </c>
      <c r="C539" s="717" t="s">
        <v>3014</v>
      </c>
      <c r="D539" s="662"/>
      <c r="E539" s="787" t="s">
        <v>2848</v>
      </c>
      <c r="F539" s="739">
        <v>25</v>
      </c>
      <c r="G539" s="17" t="s">
        <v>3015</v>
      </c>
      <c r="H539" s="100">
        <v>30</v>
      </c>
      <c r="I539" s="101">
        <v>7</v>
      </c>
      <c r="J539" s="6">
        <f>H539*I539</f>
        <v>210</v>
      </c>
      <c r="K539" s="33">
        <v>11.6</v>
      </c>
      <c r="L539" s="744">
        <f>K539*I539</f>
        <v>81.2</v>
      </c>
      <c r="M539" s="672" t="s">
        <v>255</v>
      </c>
      <c r="N539" s="834">
        <v>45972</v>
      </c>
      <c r="O539" s="707">
        <v>7607</v>
      </c>
      <c r="P539" s="673">
        <f>ROUNDUP(S539/V539/VLOOKUP(B539,$C$2:$F$6,3,FALSE),2)</f>
        <v>9.9499999999999993</v>
      </c>
      <c r="Q539" s="674">
        <v>9.9499999999999993</v>
      </c>
      <c r="R539" s="674">
        <f>Q539*I539</f>
        <v>69.649999999999991</v>
      </c>
      <c r="S539" s="797">
        <v>835</v>
      </c>
      <c r="T539" s="84">
        <f>S539*I539</f>
        <v>5845</v>
      </c>
      <c r="U539" s="789"/>
      <c r="V539" s="668">
        <v>120</v>
      </c>
      <c r="W539" s="790">
        <f>(((K539*V539)-S539)/(K539*V539))</f>
        <v>0.40014367816091956</v>
      </c>
    </row>
    <row r="540" spans="1:25" s="709" customFormat="1" ht="15.75">
      <c r="A540" s="46"/>
      <c r="B540" s="714"/>
      <c r="C540" s="717" t="s">
        <v>3014</v>
      </c>
      <c r="D540" s="662"/>
      <c r="E540" s="158"/>
      <c r="F540" s="737"/>
      <c r="G540" s="158" t="s">
        <v>279</v>
      </c>
      <c r="H540" s="671"/>
      <c r="I540" s="676"/>
      <c r="J540" s="677">
        <v>1</v>
      </c>
      <c r="K540" s="643">
        <v>12</v>
      </c>
      <c r="L540" s="643">
        <v>12</v>
      </c>
      <c r="M540" s="678"/>
      <c r="N540" s="834">
        <v>45972</v>
      </c>
      <c r="O540" s="882">
        <v>7607</v>
      </c>
      <c r="P540" s="674">
        <v>12</v>
      </c>
      <c r="Q540" s="674">
        <v>12</v>
      </c>
      <c r="R540" s="674">
        <v>12</v>
      </c>
      <c r="S540" s="867">
        <v>0</v>
      </c>
      <c r="T540" s="74">
        <v>0</v>
      </c>
      <c r="U540" s="896"/>
      <c r="V540" s="668">
        <v>120</v>
      </c>
      <c r="W540" s="790">
        <v>1</v>
      </c>
      <c r="X540" s="638"/>
      <c r="Y540" s="84">
        <v>0</v>
      </c>
    </row>
    <row r="541" spans="1:25" s="709" customFormat="1" ht="15" customHeight="1">
      <c r="B541" s="710"/>
      <c r="C541" s="719" t="s">
        <v>3014</v>
      </c>
      <c r="D541" s="680"/>
      <c r="E541" s="859"/>
      <c r="F541" s="860"/>
      <c r="G541" s="682" t="s">
        <v>210</v>
      </c>
      <c r="H541" s="683" t="s">
        <v>2754</v>
      </c>
      <c r="I541" s="684"/>
      <c r="J541" s="685"/>
      <c r="K541" s="720">
        <v>333</v>
      </c>
      <c r="L541" s="720">
        <v>333</v>
      </c>
      <c r="M541" s="712"/>
      <c r="N541" s="897">
        <v>45972</v>
      </c>
      <c r="O541" s="713">
        <v>7607</v>
      </c>
      <c r="P541" s="687"/>
      <c r="Q541" s="720">
        <v>333</v>
      </c>
      <c r="R541" s="720">
        <v>333</v>
      </c>
      <c r="S541" s="754">
        <v>33354</v>
      </c>
      <c r="T541" s="754">
        <v>33354</v>
      </c>
      <c r="U541" s="690"/>
      <c r="V541" s="668">
        <v>120</v>
      </c>
      <c r="W541" s="730">
        <f>(((K541*V541)-S541)/(K541*V541))</f>
        <v>0.16531531531531532</v>
      </c>
      <c r="Y541" s="709">
        <f>X541*N541</f>
        <v>0</v>
      </c>
    </row>
    <row r="542" spans="1:25" ht="15" customHeight="1">
      <c r="C542" s="717" t="s">
        <v>3016</v>
      </c>
      <c r="D542" s="662"/>
      <c r="E542" s="865" t="s">
        <v>2780</v>
      </c>
      <c r="F542" s="739"/>
      <c r="G542" s="17"/>
      <c r="H542" s="100"/>
      <c r="I542" s="101"/>
      <c r="J542" s="6"/>
      <c r="K542" s="505" t="s">
        <v>4</v>
      </c>
      <c r="L542" s="643"/>
      <c r="M542" s="672"/>
      <c r="N542" s="834">
        <v>46015</v>
      </c>
      <c r="O542" s="882">
        <v>7744</v>
      </c>
      <c r="P542" s="504"/>
      <c r="Q542" s="884"/>
      <c r="R542" s="884"/>
      <c r="S542" s="883"/>
      <c r="T542" s="883"/>
      <c r="U542" s="894"/>
      <c r="V542" s="668"/>
      <c r="W542" s="790"/>
    </row>
    <row r="543" spans="1:25" ht="15" customHeight="1">
      <c r="A543" s="638"/>
      <c r="B543" s="639" t="s">
        <v>236</v>
      </c>
      <c r="C543" s="717" t="s">
        <v>3016</v>
      </c>
      <c r="D543" s="662"/>
      <c r="E543" s="17">
        <v>2200</v>
      </c>
      <c r="F543" s="739">
        <v>18</v>
      </c>
      <c r="G543" s="17" t="s">
        <v>3017</v>
      </c>
      <c r="H543" s="100">
        <v>15</v>
      </c>
      <c r="I543" s="101">
        <v>5</v>
      </c>
      <c r="J543" s="6">
        <f t="shared" ref="J543:J548" si="112">H543*I543</f>
        <v>75</v>
      </c>
      <c r="K543" s="33">
        <v>19.559999999999999</v>
      </c>
      <c r="L543" s="643">
        <f t="shared" ref="L543:L548" si="113">K543*I543</f>
        <v>97.8</v>
      </c>
      <c r="M543" s="672" t="s">
        <v>255</v>
      </c>
      <c r="N543" s="828">
        <v>46015</v>
      </c>
      <c r="O543" s="882">
        <v>7744</v>
      </c>
      <c r="P543" s="666">
        <f t="shared" ref="P543:P548" si="114">ROUNDUP(S543/V543/VLOOKUP(B543,$C$2:$F$6,3,FALSE),2)</f>
        <v>16.770000000000003</v>
      </c>
      <c r="Q543" s="674">
        <v>16.77</v>
      </c>
      <c r="R543" s="674">
        <f t="shared" ref="R543:R548" si="115">Q543*I543</f>
        <v>83.85</v>
      </c>
      <c r="S543" s="867">
        <v>1408</v>
      </c>
      <c r="T543" s="74">
        <f t="shared" ref="T543:T548" si="116">S543*I543</f>
        <v>7040</v>
      </c>
      <c r="U543" s="893"/>
      <c r="V543" s="668">
        <v>120</v>
      </c>
      <c r="W543" s="790">
        <f t="shared" ref="W543:W548" si="117">(((K543*V543)-S543)/(K543*V543))</f>
        <v>0.40013633265167003</v>
      </c>
    </row>
    <row r="544" spans="1:25" s="638" customFormat="1" ht="17.25" customHeight="1">
      <c r="B544" s="639" t="s">
        <v>236</v>
      </c>
      <c r="C544" s="717" t="s">
        <v>3016</v>
      </c>
      <c r="D544" s="662"/>
      <c r="E544" s="17">
        <v>2200</v>
      </c>
      <c r="F544" s="739">
        <v>12</v>
      </c>
      <c r="G544" s="17" t="s">
        <v>3018</v>
      </c>
      <c r="H544" s="100">
        <v>15</v>
      </c>
      <c r="I544" s="101">
        <v>5</v>
      </c>
      <c r="J544" s="6">
        <f t="shared" si="112"/>
        <v>75</v>
      </c>
      <c r="K544" s="33">
        <v>13.19</v>
      </c>
      <c r="L544" s="643">
        <f t="shared" si="113"/>
        <v>65.95</v>
      </c>
      <c r="M544" s="672" t="s">
        <v>255</v>
      </c>
      <c r="N544" s="828">
        <v>46015</v>
      </c>
      <c r="O544" s="707">
        <v>7744</v>
      </c>
      <c r="P544" s="885">
        <f t="shared" si="114"/>
        <v>11.299999999999999</v>
      </c>
      <c r="Q544" s="886">
        <v>11.3</v>
      </c>
      <c r="R544" s="886">
        <f t="shared" si="115"/>
        <v>56.5</v>
      </c>
      <c r="S544" s="881">
        <v>949</v>
      </c>
      <c r="T544" s="895">
        <f t="shared" si="116"/>
        <v>4745</v>
      </c>
      <c r="U544" s="893"/>
      <c r="V544" s="668">
        <v>120</v>
      </c>
      <c r="W544" s="790">
        <f t="shared" si="117"/>
        <v>0.40042961839777608</v>
      </c>
    </row>
    <row r="545" spans="2:25" s="638" customFormat="1" ht="17.25" customHeight="1">
      <c r="B545" s="639" t="s">
        <v>236</v>
      </c>
      <c r="C545" s="717" t="s">
        <v>3016</v>
      </c>
      <c r="D545" s="662"/>
      <c r="E545" s="17">
        <v>2200</v>
      </c>
      <c r="F545" s="739">
        <v>12</v>
      </c>
      <c r="G545" s="17" t="s">
        <v>3019</v>
      </c>
      <c r="H545" s="100">
        <v>15</v>
      </c>
      <c r="I545" s="101">
        <v>3</v>
      </c>
      <c r="J545" s="6">
        <f t="shared" si="112"/>
        <v>45</v>
      </c>
      <c r="K545" s="33">
        <v>13.19</v>
      </c>
      <c r="L545" s="643">
        <f t="shared" si="113"/>
        <v>39.57</v>
      </c>
      <c r="M545" s="672" t="s">
        <v>255</v>
      </c>
      <c r="N545" s="828">
        <v>46015</v>
      </c>
      <c r="O545" s="707">
        <v>7744</v>
      </c>
      <c r="P545" s="885">
        <f t="shared" si="114"/>
        <v>11.299999999999999</v>
      </c>
      <c r="Q545" s="886">
        <v>11.3</v>
      </c>
      <c r="R545" s="886">
        <f t="shared" si="115"/>
        <v>33.900000000000006</v>
      </c>
      <c r="S545" s="881">
        <v>949</v>
      </c>
      <c r="T545" s="74">
        <f t="shared" si="116"/>
        <v>2847</v>
      </c>
      <c r="U545" s="893"/>
      <c r="V545" s="668">
        <v>120</v>
      </c>
      <c r="W545" s="790">
        <f t="shared" si="117"/>
        <v>0.40042961839777608</v>
      </c>
    </row>
    <row r="546" spans="2:25" s="638" customFormat="1" ht="17.25" customHeight="1">
      <c r="B546" s="639" t="s">
        <v>236</v>
      </c>
      <c r="C546" s="717" t="s">
        <v>3016</v>
      </c>
      <c r="D546" s="662"/>
      <c r="E546" s="17">
        <v>2200</v>
      </c>
      <c r="F546" s="739">
        <v>24</v>
      </c>
      <c r="G546" s="17" t="s">
        <v>2977</v>
      </c>
      <c r="H546" s="100">
        <v>15</v>
      </c>
      <c r="I546" s="101">
        <v>3</v>
      </c>
      <c r="J546" s="6">
        <f t="shared" si="112"/>
        <v>45</v>
      </c>
      <c r="K546" s="33">
        <v>24.78</v>
      </c>
      <c r="L546" s="643">
        <f t="shared" si="113"/>
        <v>74.34</v>
      </c>
      <c r="M546" s="672" t="s">
        <v>255</v>
      </c>
      <c r="N546" s="828">
        <v>46015</v>
      </c>
      <c r="O546" s="707">
        <v>7744</v>
      </c>
      <c r="P546" s="673">
        <f t="shared" si="114"/>
        <v>21.240000000000002</v>
      </c>
      <c r="Q546" s="674">
        <v>21.24</v>
      </c>
      <c r="R546" s="674">
        <f t="shared" si="115"/>
        <v>63.72</v>
      </c>
      <c r="S546" s="796">
        <v>1784</v>
      </c>
      <c r="T546" s="898">
        <f t="shared" si="116"/>
        <v>5352</v>
      </c>
      <c r="U546" s="84"/>
      <c r="V546" s="668">
        <v>120</v>
      </c>
      <c r="W546" s="790">
        <f t="shared" si="117"/>
        <v>0.40005380683346792</v>
      </c>
      <c r="Y546" s="84">
        <f>X546*N546</f>
        <v>0</v>
      </c>
    </row>
    <row r="547" spans="2:25" s="638" customFormat="1" ht="17.25" customHeight="1">
      <c r="B547" s="639" t="s">
        <v>236</v>
      </c>
      <c r="C547" s="717" t="s">
        <v>3016</v>
      </c>
      <c r="D547" s="662"/>
      <c r="E547" s="17">
        <v>2200</v>
      </c>
      <c r="F547" s="739">
        <v>24</v>
      </c>
      <c r="G547" s="17" t="s">
        <v>3009</v>
      </c>
      <c r="H547" s="100">
        <v>15</v>
      </c>
      <c r="I547" s="101">
        <v>3</v>
      </c>
      <c r="J547" s="6">
        <f t="shared" si="112"/>
        <v>45</v>
      </c>
      <c r="K547" s="33">
        <v>24.78</v>
      </c>
      <c r="L547" s="643">
        <f t="shared" si="113"/>
        <v>74.34</v>
      </c>
      <c r="M547" s="672" t="s">
        <v>255</v>
      </c>
      <c r="N547" s="828">
        <v>46015</v>
      </c>
      <c r="O547" s="707">
        <v>7744</v>
      </c>
      <c r="P547" s="673">
        <f t="shared" si="114"/>
        <v>21.240000000000002</v>
      </c>
      <c r="Q547" s="674">
        <v>21.24</v>
      </c>
      <c r="R547" s="674">
        <f t="shared" si="115"/>
        <v>63.72</v>
      </c>
      <c r="S547" s="796">
        <v>1784</v>
      </c>
      <c r="T547" s="898">
        <f t="shared" si="116"/>
        <v>5352</v>
      </c>
      <c r="U547" s="84"/>
      <c r="V547" s="668">
        <v>120</v>
      </c>
      <c r="W547" s="790">
        <f t="shared" si="117"/>
        <v>0.40005380683346792</v>
      </c>
      <c r="Y547" s="84">
        <f>X547*N547</f>
        <v>0</v>
      </c>
    </row>
    <row r="548" spans="2:25" s="638" customFormat="1" ht="17.25" customHeight="1">
      <c r="B548" s="639" t="s">
        <v>236</v>
      </c>
      <c r="C548" s="717" t="s">
        <v>3016</v>
      </c>
      <c r="D548" s="662"/>
      <c r="E548" s="17">
        <v>2200</v>
      </c>
      <c r="F548" s="739">
        <v>24</v>
      </c>
      <c r="G548" s="17" t="s">
        <v>3020</v>
      </c>
      <c r="H548" s="100">
        <v>15</v>
      </c>
      <c r="I548" s="101">
        <v>3</v>
      </c>
      <c r="J548" s="6">
        <f t="shared" si="112"/>
        <v>45</v>
      </c>
      <c r="K548" s="33">
        <v>24.78</v>
      </c>
      <c r="L548" s="643">
        <f t="shared" si="113"/>
        <v>74.34</v>
      </c>
      <c r="M548" s="672" t="s">
        <v>255</v>
      </c>
      <c r="N548" s="828">
        <v>46052</v>
      </c>
      <c r="O548" s="707">
        <v>7810</v>
      </c>
      <c r="P548" s="673">
        <f t="shared" si="114"/>
        <v>21.240000000000002</v>
      </c>
      <c r="Q548" s="674">
        <v>21.24</v>
      </c>
      <c r="R548" s="674">
        <f t="shared" si="115"/>
        <v>63.72</v>
      </c>
      <c r="S548" s="796">
        <v>1784</v>
      </c>
      <c r="T548" s="898">
        <f t="shared" si="116"/>
        <v>5352</v>
      </c>
      <c r="U548" s="84"/>
      <c r="V548" s="668">
        <v>120</v>
      </c>
      <c r="W548" s="790">
        <f t="shared" si="117"/>
        <v>0.40005380683346792</v>
      </c>
      <c r="Y548" s="84">
        <f>X548*N548</f>
        <v>0</v>
      </c>
    </row>
    <row r="549" spans="2:25" s="638" customFormat="1" ht="17.25" customHeight="1">
      <c r="B549" s="639"/>
      <c r="C549" s="717" t="s">
        <v>3016</v>
      </c>
      <c r="D549" s="662"/>
      <c r="E549" s="14" t="s">
        <v>2882</v>
      </c>
      <c r="F549" s="739"/>
      <c r="G549" s="17"/>
      <c r="H549" s="100"/>
      <c r="I549" s="101"/>
      <c r="J549" s="6"/>
      <c r="K549" s="505" t="s">
        <v>4</v>
      </c>
      <c r="L549" s="643"/>
      <c r="M549" s="672"/>
      <c r="N549" s="828">
        <v>46015</v>
      </c>
      <c r="O549" s="707">
        <v>7744</v>
      </c>
      <c r="P549" s="673"/>
      <c r="Q549" s="674"/>
      <c r="R549" s="674"/>
      <c r="S549" s="792"/>
      <c r="T549" s="84"/>
      <c r="U549" s="728"/>
      <c r="V549" s="668"/>
      <c r="Y549" s="638">
        <f>X549*N549</f>
        <v>0</v>
      </c>
    </row>
    <row r="550" spans="2:25" s="638" customFormat="1" ht="17.25" customHeight="1">
      <c r="B550" s="639" t="s">
        <v>236</v>
      </c>
      <c r="C550" s="717" t="s">
        <v>3016</v>
      </c>
      <c r="D550" s="662"/>
      <c r="E550" s="17" t="s">
        <v>2880</v>
      </c>
      <c r="F550" s="739">
        <v>25</v>
      </c>
      <c r="G550" s="17" t="s">
        <v>70</v>
      </c>
      <c r="H550" s="6">
        <v>30</v>
      </c>
      <c r="I550" s="30">
        <v>10</v>
      </c>
      <c r="J550" s="6">
        <f>H550*I550</f>
        <v>300</v>
      </c>
      <c r="K550" s="33">
        <v>24.19</v>
      </c>
      <c r="L550" s="643">
        <f>K550*I550</f>
        <v>241.9</v>
      </c>
      <c r="M550" s="672" t="s">
        <v>255</v>
      </c>
      <c r="N550" s="828">
        <v>46015</v>
      </c>
      <c r="O550" s="707">
        <v>7744</v>
      </c>
      <c r="P550" s="919">
        <f>ROUNDUP(S550/V550/VLOOKUP(B550,$C$2:$F$6,3,FALSE),2)</f>
        <v>20.73</v>
      </c>
      <c r="Q550" s="920">
        <v>20.73</v>
      </c>
      <c r="R550" s="920">
        <f>Q550*I550</f>
        <v>207.3</v>
      </c>
      <c r="S550" s="921">
        <v>1741</v>
      </c>
      <c r="T550" s="922">
        <f>S550*I550</f>
        <v>17410</v>
      </c>
      <c r="U550" s="723"/>
      <c r="V550" s="668">
        <v>120</v>
      </c>
      <c r="W550" s="790">
        <f>(((K550*V550)-S550)/(K550*V550))</f>
        <v>0.40023425657985395</v>
      </c>
    </row>
    <row r="551" spans="2:25" s="638" customFormat="1" ht="18" customHeight="1">
      <c r="B551" s="639"/>
      <c r="C551" s="717" t="s">
        <v>3016</v>
      </c>
      <c r="D551" s="662"/>
      <c r="E551" s="663" t="s">
        <v>2847</v>
      </c>
      <c r="F551" s="736"/>
      <c r="G551" s="664"/>
      <c r="H551" s="665"/>
      <c r="I551" s="665"/>
      <c r="J551" s="665"/>
      <c r="K551" s="505" t="s">
        <v>4</v>
      </c>
      <c r="L551" s="706"/>
      <c r="M551" s="706"/>
      <c r="N551" s="828">
        <v>46015</v>
      </c>
      <c r="O551" s="707">
        <v>7744</v>
      </c>
      <c r="P551" s="504"/>
      <c r="Q551" s="666"/>
      <c r="U551" s="667"/>
      <c r="V551" s="668">
        <v>120</v>
      </c>
    </row>
    <row r="552" spans="2:25" s="638" customFormat="1" ht="17.25" customHeight="1">
      <c r="B552" s="639" t="s">
        <v>236</v>
      </c>
      <c r="C552" s="717" t="s">
        <v>3016</v>
      </c>
      <c r="D552" s="662"/>
      <c r="E552" s="17" t="s">
        <v>2848</v>
      </c>
      <c r="F552" s="739">
        <v>50</v>
      </c>
      <c r="G552" s="17" t="s">
        <v>2475</v>
      </c>
      <c r="H552" s="100">
        <v>30</v>
      </c>
      <c r="I552" s="101">
        <v>3</v>
      </c>
      <c r="J552" s="6">
        <f t="shared" ref="J552:J558" si="118">H552*I552</f>
        <v>90</v>
      </c>
      <c r="K552" s="33">
        <v>26.75</v>
      </c>
      <c r="L552" s="744">
        <f t="shared" ref="L552:L558" si="119">K552*I552</f>
        <v>80.25</v>
      </c>
      <c r="M552" s="672" t="s">
        <v>255</v>
      </c>
      <c r="N552" s="828">
        <v>46015</v>
      </c>
      <c r="O552" s="707">
        <v>7744</v>
      </c>
      <c r="P552" s="919">
        <f t="shared" ref="P552:P558" si="120">ROUNDUP(S552/V552/VLOOKUP(B552,$C$2:$F$6,3,FALSE),2)</f>
        <v>22.930000000000003</v>
      </c>
      <c r="Q552" s="920">
        <v>22.93</v>
      </c>
      <c r="R552" s="920">
        <f t="shared" ref="R552:R558" si="121">Q552*I552</f>
        <v>68.789999999999992</v>
      </c>
      <c r="S552" s="923">
        <v>1926</v>
      </c>
      <c r="T552" s="922">
        <f t="shared" ref="T552:T558" si="122">S552*I552</f>
        <v>5778</v>
      </c>
      <c r="U552" s="789"/>
      <c r="V552" s="668">
        <v>120</v>
      </c>
      <c r="W552" s="790">
        <f t="shared" ref="W552:W558" si="123">(((K552*V552)-S552)/(K552*V552))</f>
        <v>0.4</v>
      </c>
    </row>
    <row r="553" spans="2:25" s="638" customFormat="1" ht="17.25" customHeight="1">
      <c r="B553" s="639" t="s">
        <v>236</v>
      </c>
      <c r="C553" s="717" t="s">
        <v>3016</v>
      </c>
      <c r="D553" s="662"/>
      <c r="E553" s="17" t="s">
        <v>2848</v>
      </c>
      <c r="F553" s="739">
        <v>38</v>
      </c>
      <c r="G553" s="17" t="s">
        <v>24</v>
      </c>
      <c r="H553" s="100">
        <v>30</v>
      </c>
      <c r="I553" s="101">
        <v>3</v>
      </c>
      <c r="J553" s="6">
        <f t="shared" si="118"/>
        <v>90</v>
      </c>
      <c r="K553" s="33">
        <v>19.440000000000001</v>
      </c>
      <c r="L553" s="744">
        <f t="shared" si="119"/>
        <v>58.320000000000007</v>
      </c>
      <c r="M553" s="672" t="s">
        <v>255</v>
      </c>
      <c r="N553" s="828">
        <v>46015</v>
      </c>
      <c r="O553" s="707">
        <v>7744</v>
      </c>
      <c r="P553" s="673">
        <f t="shared" si="120"/>
        <v>16.66</v>
      </c>
      <c r="Q553" s="674">
        <v>16.66</v>
      </c>
      <c r="R553" s="674">
        <f t="shared" si="121"/>
        <v>49.980000000000004</v>
      </c>
      <c r="S553" s="797">
        <v>1399</v>
      </c>
      <c r="T553" s="84">
        <f t="shared" si="122"/>
        <v>4197</v>
      </c>
      <c r="U553" s="789"/>
      <c r="V553" s="668">
        <v>120</v>
      </c>
      <c r="W553" s="790">
        <f t="shared" si="123"/>
        <v>0.40029149519890267</v>
      </c>
    </row>
    <row r="554" spans="2:25" s="638" customFormat="1" ht="17.25" customHeight="1">
      <c r="B554" s="639" t="s">
        <v>236</v>
      </c>
      <c r="C554" s="717" t="s">
        <v>3016</v>
      </c>
      <c r="D554" s="662"/>
      <c r="E554" s="17" t="s">
        <v>2848</v>
      </c>
      <c r="F554" s="739">
        <v>38</v>
      </c>
      <c r="G554" s="17" t="s">
        <v>2358</v>
      </c>
      <c r="H554" s="100">
        <v>30</v>
      </c>
      <c r="I554" s="101">
        <v>3</v>
      </c>
      <c r="J554" s="6">
        <f t="shared" si="118"/>
        <v>90</v>
      </c>
      <c r="K554" s="33">
        <v>19.440000000000001</v>
      </c>
      <c r="L554" s="744">
        <f t="shared" si="119"/>
        <v>58.320000000000007</v>
      </c>
      <c r="M554" s="672" t="s">
        <v>255</v>
      </c>
      <c r="N554" s="828">
        <v>46015</v>
      </c>
      <c r="O554" s="707">
        <v>7744</v>
      </c>
      <c r="P554" s="673">
        <f t="shared" si="120"/>
        <v>16.66</v>
      </c>
      <c r="Q554" s="674">
        <v>16.66</v>
      </c>
      <c r="R554" s="674">
        <f t="shared" si="121"/>
        <v>49.980000000000004</v>
      </c>
      <c r="S554" s="797">
        <v>1399</v>
      </c>
      <c r="T554" s="84">
        <f t="shared" si="122"/>
        <v>4197</v>
      </c>
      <c r="U554" s="789"/>
      <c r="V554" s="668">
        <v>120</v>
      </c>
      <c r="W554" s="790">
        <f t="shared" si="123"/>
        <v>0.40029149519890267</v>
      </c>
    </row>
    <row r="555" spans="2:25" s="638" customFormat="1" ht="17.25" customHeight="1">
      <c r="B555" s="639" t="s">
        <v>236</v>
      </c>
      <c r="C555" s="717" t="s">
        <v>3016</v>
      </c>
      <c r="D555" s="662"/>
      <c r="E555" s="17" t="s">
        <v>2848</v>
      </c>
      <c r="F555" s="739">
        <v>38</v>
      </c>
      <c r="G555" s="17" t="s">
        <v>3022</v>
      </c>
      <c r="H555" s="100">
        <v>30</v>
      </c>
      <c r="I555" s="101">
        <v>3</v>
      </c>
      <c r="J555" s="6">
        <f t="shared" si="118"/>
        <v>90</v>
      </c>
      <c r="K555" s="33">
        <v>19.440000000000001</v>
      </c>
      <c r="L555" s="744">
        <f t="shared" si="119"/>
        <v>58.320000000000007</v>
      </c>
      <c r="M555" s="672" t="s">
        <v>255</v>
      </c>
      <c r="N555" s="828">
        <v>46015</v>
      </c>
      <c r="O555" s="707">
        <v>7744</v>
      </c>
      <c r="P555" s="673">
        <f t="shared" si="120"/>
        <v>16.66</v>
      </c>
      <c r="Q555" s="674">
        <v>16.66</v>
      </c>
      <c r="R555" s="674">
        <f t="shared" si="121"/>
        <v>49.980000000000004</v>
      </c>
      <c r="S555" s="797">
        <v>1399</v>
      </c>
      <c r="T555" s="84">
        <f t="shared" si="122"/>
        <v>4197</v>
      </c>
      <c r="U555" s="789"/>
      <c r="V555" s="668">
        <v>120</v>
      </c>
      <c r="W555" s="790">
        <f t="shared" si="123"/>
        <v>0.40029149519890267</v>
      </c>
    </row>
    <row r="556" spans="2:25" s="638" customFormat="1" ht="17.25" customHeight="1">
      <c r="B556" s="639" t="s">
        <v>236</v>
      </c>
      <c r="C556" s="717" t="s">
        <v>3016</v>
      </c>
      <c r="D556" s="662"/>
      <c r="E556" s="17" t="s">
        <v>2848</v>
      </c>
      <c r="F556" s="739">
        <v>38</v>
      </c>
      <c r="G556" s="17" t="s">
        <v>1977</v>
      </c>
      <c r="H556" s="100">
        <v>30</v>
      </c>
      <c r="I556" s="101">
        <v>3</v>
      </c>
      <c r="J556" s="6">
        <f t="shared" si="118"/>
        <v>90</v>
      </c>
      <c r="K556" s="33">
        <v>19.440000000000001</v>
      </c>
      <c r="L556" s="744">
        <f t="shared" si="119"/>
        <v>58.320000000000007</v>
      </c>
      <c r="M556" s="672" t="s">
        <v>255</v>
      </c>
      <c r="N556" s="828">
        <v>46015</v>
      </c>
      <c r="O556" s="707">
        <v>7744</v>
      </c>
      <c r="P556" s="673">
        <f t="shared" si="120"/>
        <v>16.66</v>
      </c>
      <c r="Q556" s="674">
        <v>16.66</v>
      </c>
      <c r="R556" s="674">
        <f t="shared" si="121"/>
        <v>49.980000000000004</v>
      </c>
      <c r="S556" s="797">
        <v>1399</v>
      </c>
      <c r="T556" s="84">
        <f t="shared" si="122"/>
        <v>4197</v>
      </c>
      <c r="U556" s="789"/>
      <c r="V556" s="668">
        <v>120</v>
      </c>
      <c r="W556" s="790">
        <f t="shared" si="123"/>
        <v>0.40029149519890267</v>
      </c>
    </row>
    <row r="557" spans="2:25" s="638" customFormat="1" ht="17.25" customHeight="1">
      <c r="B557" s="639" t="s">
        <v>236</v>
      </c>
      <c r="C557" s="717" t="s">
        <v>3016</v>
      </c>
      <c r="D557" s="662"/>
      <c r="E557" s="17" t="s">
        <v>2848</v>
      </c>
      <c r="F557" s="739">
        <v>38</v>
      </c>
      <c r="G557" s="17" t="s">
        <v>2342</v>
      </c>
      <c r="H557" s="100">
        <v>30</v>
      </c>
      <c r="I557" s="101">
        <v>3</v>
      </c>
      <c r="J557" s="6">
        <f t="shared" si="118"/>
        <v>90</v>
      </c>
      <c r="K557" s="33">
        <v>19.440000000000001</v>
      </c>
      <c r="L557" s="744">
        <f t="shared" si="119"/>
        <v>58.320000000000007</v>
      </c>
      <c r="M557" s="672" t="s">
        <v>255</v>
      </c>
      <c r="N557" s="828">
        <v>46015</v>
      </c>
      <c r="O557" s="707">
        <v>7744</v>
      </c>
      <c r="P557" s="673">
        <f t="shared" si="120"/>
        <v>16.66</v>
      </c>
      <c r="Q557" s="674">
        <v>16.66</v>
      </c>
      <c r="R557" s="674">
        <f t="shared" si="121"/>
        <v>49.980000000000004</v>
      </c>
      <c r="S557" s="797">
        <v>1399</v>
      </c>
      <c r="T557" s="84">
        <f t="shared" si="122"/>
        <v>4197</v>
      </c>
      <c r="U557" s="789"/>
      <c r="V557" s="668">
        <v>120</v>
      </c>
      <c r="W557" s="790">
        <f t="shared" si="123"/>
        <v>0.40029149519890267</v>
      </c>
    </row>
    <row r="558" spans="2:25" s="638" customFormat="1" ht="17.25" customHeight="1">
      <c r="B558" s="639" t="s">
        <v>236</v>
      </c>
      <c r="C558" s="717" t="s">
        <v>3016</v>
      </c>
      <c r="D558" s="662"/>
      <c r="E558" s="17" t="s">
        <v>2848</v>
      </c>
      <c r="F558" s="739">
        <v>32</v>
      </c>
      <c r="G558" s="17" t="s">
        <v>251</v>
      </c>
      <c r="H558" s="100">
        <v>30</v>
      </c>
      <c r="I558" s="101">
        <v>3</v>
      </c>
      <c r="J558" s="6">
        <f t="shared" si="118"/>
        <v>90</v>
      </c>
      <c r="K558" s="33">
        <v>15.87</v>
      </c>
      <c r="L558" s="744">
        <f t="shared" si="119"/>
        <v>47.61</v>
      </c>
      <c r="M558" s="672" t="s">
        <v>255</v>
      </c>
      <c r="N558" s="828">
        <v>46015</v>
      </c>
      <c r="O558" s="707">
        <v>7744</v>
      </c>
      <c r="P558" s="673">
        <f t="shared" si="120"/>
        <v>13.6</v>
      </c>
      <c r="Q558" s="674">
        <v>13.6</v>
      </c>
      <c r="R558" s="674">
        <f t="shared" si="121"/>
        <v>40.799999999999997</v>
      </c>
      <c r="S558" s="746">
        <v>1142</v>
      </c>
      <c r="T558" s="84">
        <f t="shared" si="122"/>
        <v>3426</v>
      </c>
      <c r="U558" s="789"/>
      <c r="V558" s="668">
        <v>120</v>
      </c>
      <c r="W558" s="790">
        <f t="shared" si="123"/>
        <v>0.40033606385213188</v>
      </c>
    </row>
    <row r="559" spans="2:25" s="638" customFormat="1" ht="17.25" customHeight="1">
      <c r="B559" s="639" t="s">
        <v>236</v>
      </c>
      <c r="C559" s="717" t="s">
        <v>3016</v>
      </c>
      <c r="D559" s="662"/>
      <c r="E559" s="17" t="s">
        <v>2848</v>
      </c>
      <c r="F559" s="739">
        <v>32</v>
      </c>
      <c r="G559" s="17" t="s">
        <v>2872</v>
      </c>
      <c r="H559" s="100">
        <v>30</v>
      </c>
      <c r="I559" s="101">
        <v>3</v>
      </c>
      <c r="J559" s="6">
        <f t="shared" ref="J559:J565" si="124">H559*I559</f>
        <v>90</v>
      </c>
      <c r="K559" s="33">
        <v>15.87</v>
      </c>
      <c r="L559" s="744">
        <f t="shared" ref="L559:L565" si="125">K559*I559</f>
        <v>47.61</v>
      </c>
      <c r="M559" s="672" t="s">
        <v>255</v>
      </c>
      <c r="N559" s="828">
        <v>46015</v>
      </c>
      <c r="O559" s="707">
        <v>7744</v>
      </c>
      <c r="P559" s="673">
        <f t="shared" ref="P559:P565" si="126">ROUNDUP(S559/V559/VLOOKUP(B559,$C$2:$F$6,3,FALSE),2)</f>
        <v>13.6</v>
      </c>
      <c r="Q559" s="674">
        <v>13.6</v>
      </c>
      <c r="R559" s="674">
        <f t="shared" ref="R559:R565" si="127">Q559*I559</f>
        <v>40.799999999999997</v>
      </c>
      <c r="S559" s="746">
        <v>1142</v>
      </c>
      <c r="T559" s="84">
        <f t="shared" ref="T559:T565" si="128">S559*I559</f>
        <v>3426</v>
      </c>
      <c r="U559" s="789"/>
      <c r="V559" s="668">
        <v>120</v>
      </c>
      <c r="W559" s="790">
        <f t="shared" ref="W559:W565" si="129">(((K559*V559)-S559)/(K559*V559))</f>
        <v>0.40033606385213188</v>
      </c>
    </row>
    <row r="560" spans="2:25" s="638" customFormat="1" ht="17.25" customHeight="1">
      <c r="B560" s="639" t="s">
        <v>236</v>
      </c>
      <c r="C560" s="717" t="s">
        <v>3016</v>
      </c>
      <c r="D560" s="662"/>
      <c r="E560" s="17" t="s">
        <v>2848</v>
      </c>
      <c r="F560" s="739">
        <v>32</v>
      </c>
      <c r="G560" s="17" t="s">
        <v>2869</v>
      </c>
      <c r="H560" s="100">
        <v>30</v>
      </c>
      <c r="I560" s="101">
        <v>3</v>
      </c>
      <c r="J560" s="6">
        <f t="shared" si="124"/>
        <v>90</v>
      </c>
      <c r="K560" s="33">
        <v>15.87</v>
      </c>
      <c r="L560" s="744">
        <f t="shared" si="125"/>
        <v>47.61</v>
      </c>
      <c r="M560" s="672" t="s">
        <v>255</v>
      </c>
      <c r="N560" s="828">
        <v>46015</v>
      </c>
      <c r="O560" s="707">
        <v>7744</v>
      </c>
      <c r="P560" s="673">
        <f t="shared" si="126"/>
        <v>13.6</v>
      </c>
      <c r="Q560" s="674">
        <v>13.6</v>
      </c>
      <c r="R560" s="674">
        <f t="shared" si="127"/>
        <v>40.799999999999997</v>
      </c>
      <c r="S560" s="746">
        <v>1142</v>
      </c>
      <c r="T560" s="84">
        <f t="shared" si="128"/>
        <v>3426</v>
      </c>
      <c r="U560" s="789"/>
      <c r="V560" s="668">
        <v>120</v>
      </c>
      <c r="W560" s="790">
        <f t="shared" si="129"/>
        <v>0.40033606385213188</v>
      </c>
    </row>
    <row r="561" spans="2:23" s="638" customFormat="1" ht="17.25" customHeight="1">
      <c r="B561" s="639" t="s">
        <v>236</v>
      </c>
      <c r="C561" s="717" t="s">
        <v>3016</v>
      </c>
      <c r="D561" s="662"/>
      <c r="E561" s="17" t="s">
        <v>2848</v>
      </c>
      <c r="F561" s="739">
        <v>32</v>
      </c>
      <c r="G561" s="17" t="s">
        <v>116</v>
      </c>
      <c r="H561" s="100">
        <v>30</v>
      </c>
      <c r="I561" s="101">
        <v>3</v>
      </c>
      <c r="J561" s="6">
        <f t="shared" si="124"/>
        <v>90</v>
      </c>
      <c r="K561" s="33">
        <v>15.87</v>
      </c>
      <c r="L561" s="744">
        <f t="shared" si="125"/>
        <v>47.61</v>
      </c>
      <c r="M561" s="672" t="s">
        <v>255</v>
      </c>
      <c r="N561" s="828">
        <v>46015</v>
      </c>
      <c r="O561" s="707">
        <v>7744</v>
      </c>
      <c r="P561" s="673">
        <f t="shared" si="126"/>
        <v>13.6</v>
      </c>
      <c r="Q561" s="674">
        <v>13.6</v>
      </c>
      <c r="R561" s="674">
        <f t="shared" si="127"/>
        <v>40.799999999999997</v>
      </c>
      <c r="S561" s="746">
        <v>1142</v>
      </c>
      <c r="T561" s="84">
        <f t="shared" si="128"/>
        <v>3426</v>
      </c>
      <c r="U561" s="789"/>
      <c r="V561" s="668">
        <v>120</v>
      </c>
      <c r="W561" s="790">
        <f t="shared" si="129"/>
        <v>0.40033606385213188</v>
      </c>
    </row>
    <row r="562" spans="2:23" s="638" customFormat="1" ht="17.25" customHeight="1">
      <c r="B562" s="639" t="s">
        <v>236</v>
      </c>
      <c r="C562" s="717" t="s">
        <v>3016</v>
      </c>
      <c r="D562" s="662"/>
      <c r="E562" s="17" t="s">
        <v>2848</v>
      </c>
      <c r="F562" s="739">
        <v>32</v>
      </c>
      <c r="G562" s="17" t="s">
        <v>3023</v>
      </c>
      <c r="H562" s="100">
        <v>30</v>
      </c>
      <c r="I562" s="101">
        <v>3</v>
      </c>
      <c r="J562" s="6">
        <f t="shared" si="124"/>
        <v>90</v>
      </c>
      <c r="K562" s="33">
        <v>15.87</v>
      </c>
      <c r="L562" s="744">
        <f t="shared" si="125"/>
        <v>47.61</v>
      </c>
      <c r="M562" s="672" t="s">
        <v>255</v>
      </c>
      <c r="N562" s="828">
        <v>46015</v>
      </c>
      <c r="O562" s="707">
        <v>7744</v>
      </c>
      <c r="P562" s="673">
        <f t="shared" si="126"/>
        <v>13.6</v>
      </c>
      <c r="Q562" s="674">
        <v>13.6</v>
      </c>
      <c r="R562" s="674">
        <f t="shared" si="127"/>
        <v>40.799999999999997</v>
      </c>
      <c r="S562" s="746">
        <v>1142</v>
      </c>
      <c r="T562" s="84">
        <f t="shared" si="128"/>
        <v>3426</v>
      </c>
      <c r="U562" s="789"/>
      <c r="V562" s="668">
        <v>120</v>
      </c>
      <c r="W562" s="790">
        <f t="shared" si="129"/>
        <v>0.40033606385213188</v>
      </c>
    </row>
    <row r="563" spans="2:23" s="638" customFormat="1" ht="17.25" customHeight="1">
      <c r="B563" s="639" t="s">
        <v>236</v>
      </c>
      <c r="C563" s="717" t="s">
        <v>3016</v>
      </c>
      <c r="D563" s="662"/>
      <c r="E563" s="17" t="s">
        <v>2848</v>
      </c>
      <c r="F563" s="739">
        <v>32</v>
      </c>
      <c r="G563" s="17" t="s">
        <v>2358</v>
      </c>
      <c r="H563" s="100">
        <v>30</v>
      </c>
      <c r="I563" s="101">
        <v>3</v>
      </c>
      <c r="J563" s="6">
        <f t="shared" si="124"/>
        <v>90</v>
      </c>
      <c r="K563" s="33">
        <v>15.87</v>
      </c>
      <c r="L563" s="744">
        <f t="shared" si="125"/>
        <v>47.61</v>
      </c>
      <c r="M563" s="672" t="s">
        <v>255</v>
      </c>
      <c r="N563" s="828">
        <v>46015</v>
      </c>
      <c r="O563" s="707">
        <v>7744</v>
      </c>
      <c r="P563" s="673">
        <f t="shared" si="126"/>
        <v>13.6</v>
      </c>
      <c r="Q563" s="674">
        <v>13.6</v>
      </c>
      <c r="R563" s="674">
        <f t="shared" si="127"/>
        <v>40.799999999999997</v>
      </c>
      <c r="S563" s="746">
        <v>1142</v>
      </c>
      <c r="T563" s="84">
        <f t="shared" si="128"/>
        <v>3426</v>
      </c>
      <c r="U563" s="789"/>
      <c r="V563" s="668">
        <v>120</v>
      </c>
      <c r="W563" s="790">
        <f t="shared" si="129"/>
        <v>0.40033606385213188</v>
      </c>
    </row>
    <row r="564" spans="2:23" s="638" customFormat="1" ht="17.25" customHeight="1">
      <c r="B564" s="639" t="s">
        <v>236</v>
      </c>
      <c r="C564" s="717" t="s">
        <v>3016</v>
      </c>
      <c r="D564" s="662"/>
      <c r="E564" s="17" t="s">
        <v>2848</v>
      </c>
      <c r="F564" s="739">
        <v>32</v>
      </c>
      <c r="G564" s="17" t="s">
        <v>3024</v>
      </c>
      <c r="H564" s="100">
        <v>30</v>
      </c>
      <c r="I564" s="101">
        <v>3</v>
      </c>
      <c r="J564" s="6">
        <f t="shared" si="124"/>
        <v>90</v>
      </c>
      <c r="K564" s="33">
        <v>15.87</v>
      </c>
      <c r="L564" s="744">
        <f t="shared" si="125"/>
        <v>47.61</v>
      </c>
      <c r="M564" s="672" t="s">
        <v>255</v>
      </c>
      <c r="N564" s="828">
        <v>46015</v>
      </c>
      <c r="O564" s="707">
        <v>7744</v>
      </c>
      <c r="P564" s="673">
        <f t="shared" si="126"/>
        <v>13.6</v>
      </c>
      <c r="Q564" s="674">
        <v>13.6</v>
      </c>
      <c r="R564" s="674">
        <f t="shared" si="127"/>
        <v>40.799999999999997</v>
      </c>
      <c r="S564" s="746">
        <v>1142</v>
      </c>
      <c r="T564" s="84">
        <f t="shared" si="128"/>
        <v>3426</v>
      </c>
      <c r="U564" s="789"/>
      <c r="V564" s="668">
        <v>120</v>
      </c>
      <c r="W564" s="790">
        <f t="shared" si="129"/>
        <v>0.40033606385213188</v>
      </c>
    </row>
    <row r="565" spans="2:23" s="638" customFormat="1" ht="17.25" customHeight="1">
      <c r="B565" s="639" t="s">
        <v>236</v>
      </c>
      <c r="C565" s="717" t="s">
        <v>3016</v>
      </c>
      <c r="D565" s="662"/>
      <c r="E565" s="17" t="s">
        <v>2848</v>
      </c>
      <c r="F565" s="739">
        <v>19</v>
      </c>
      <c r="G565" s="17" t="s">
        <v>24</v>
      </c>
      <c r="H565" s="100">
        <v>30</v>
      </c>
      <c r="I565" s="101">
        <v>5</v>
      </c>
      <c r="J565" s="6">
        <f t="shared" si="124"/>
        <v>150</v>
      </c>
      <c r="K565" s="33">
        <v>9.57</v>
      </c>
      <c r="L565" s="744">
        <f t="shared" si="125"/>
        <v>47.85</v>
      </c>
      <c r="M565" s="672" t="s">
        <v>255</v>
      </c>
      <c r="N565" s="828">
        <v>46015</v>
      </c>
      <c r="O565" s="707">
        <v>7744</v>
      </c>
      <c r="P565" s="919">
        <f t="shared" si="126"/>
        <v>8.2099999999999991</v>
      </c>
      <c r="Q565" s="674">
        <v>8.2100000000000009</v>
      </c>
      <c r="R565" s="674">
        <f t="shared" si="127"/>
        <v>41.050000000000004</v>
      </c>
      <c r="S565" s="797">
        <v>689</v>
      </c>
      <c r="T565" s="84">
        <f t="shared" si="128"/>
        <v>3445</v>
      </c>
      <c r="U565" s="789"/>
      <c r="V565" s="668">
        <v>120</v>
      </c>
      <c r="W565" s="790">
        <f t="shared" si="129"/>
        <v>0.40003483106931387</v>
      </c>
    </row>
    <row r="566" spans="2:23" s="638" customFormat="1" ht="17.25" customHeight="1">
      <c r="B566" s="639" t="s">
        <v>236</v>
      </c>
      <c r="C566" s="717" t="s">
        <v>3016</v>
      </c>
      <c r="D566" s="662"/>
      <c r="E566" s="17" t="s">
        <v>2848</v>
      </c>
      <c r="F566" s="739">
        <v>19</v>
      </c>
      <c r="G566" s="17" t="s">
        <v>2929</v>
      </c>
      <c r="H566" s="100">
        <v>30</v>
      </c>
      <c r="I566" s="101">
        <v>5</v>
      </c>
      <c r="J566" s="6">
        <f t="shared" ref="J566:J574" si="130">H566*I566</f>
        <v>150</v>
      </c>
      <c r="K566" s="33">
        <v>9.57</v>
      </c>
      <c r="L566" s="744">
        <f t="shared" ref="L566:L573" si="131">K566*I566</f>
        <v>47.85</v>
      </c>
      <c r="M566" s="672" t="s">
        <v>255</v>
      </c>
      <c r="N566" s="828">
        <v>46015</v>
      </c>
      <c r="O566" s="707">
        <v>7744</v>
      </c>
      <c r="P566" s="673">
        <f t="shared" ref="P566:P574" si="132">ROUNDUP(S566/V566/VLOOKUP(B566,$C$2:$F$6,3,FALSE),2)</f>
        <v>8.2099999999999991</v>
      </c>
      <c r="Q566" s="674">
        <v>8.2100000000000009</v>
      </c>
      <c r="R566" s="674">
        <f t="shared" ref="R566:R574" si="133">Q566*I566</f>
        <v>41.050000000000004</v>
      </c>
      <c r="S566" s="797">
        <v>689</v>
      </c>
      <c r="T566" s="84">
        <f t="shared" ref="T566:T573" si="134">S566*I566</f>
        <v>3445</v>
      </c>
      <c r="U566" s="789"/>
      <c r="V566" s="668">
        <v>120</v>
      </c>
      <c r="W566" s="790">
        <f t="shared" ref="W566:W574" si="135">(((K566*V566)-S566)/(K566*V566))</f>
        <v>0.40003483106931387</v>
      </c>
    </row>
    <row r="567" spans="2:23" s="638" customFormat="1" ht="17.25" customHeight="1">
      <c r="B567" s="639" t="s">
        <v>236</v>
      </c>
      <c r="C567" s="717" t="s">
        <v>3016</v>
      </c>
      <c r="D567" s="662"/>
      <c r="E567" s="17" t="s">
        <v>2848</v>
      </c>
      <c r="F567" s="739">
        <v>19</v>
      </c>
      <c r="G567" s="17" t="s">
        <v>1910</v>
      </c>
      <c r="H567" s="100">
        <v>30</v>
      </c>
      <c r="I567" s="101">
        <v>5</v>
      </c>
      <c r="J567" s="6">
        <f t="shared" si="130"/>
        <v>150</v>
      </c>
      <c r="K567" s="33">
        <v>9.57</v>
      </c>
      <c r="L567" s="744">
        <f t="shared" si="131"/>
        <v>47.85</v>
      </c>
      <c r="M567" s="672" t="s">
        <v>255</v>
      </c>
      <c r="N567" s="828">
        <v>46015</v>
      </c>
      <c r="O567" s="707">
        <v>7744</v>
      </c>
      <c r="P567" s="673">
        <f t="shared" si="132"/>
        <v>8.2099999999999991</v>
      </c>
      <c r="Q567" s="674">
        <v>8.2100000000000009</v>
      </c>
      <c r="R567" s="674">
        <f t="shared" si="133"/>
        <v>41.050000000000004</v>
      </c>
      <c r="S567" s="797">
        <v>689</v>
      </c>
      <c r="T567" s="84">
        <f t="shared" si="134"/>
        <v>3445</v>
      </c>
      <c r="U567" s="789"/>
      <c r="V567" s="668">
        <v>120</v>
      </c>
      <c r="W567" s="790">
        <f t="shared" si="135"/>
        <v>0.40003483106931387</v>
      </c>
    </row>
    <row r="568" spans="2:23" s="638" customFormat="1" ht="17.25" customHeight="1">
      <c r="B568" s="639" t="s">
        <v>236</v>
      </c>
      <c r="C568" s="717" t="s">
        <v>3016</v>
      </c>
      <c r="D568" s="662"/>
      <c r="E568" s="17" t="s">
        <v>2848</v>
      </c>
      <c r="F568" s="739">
        <v>19</v>
      </c>
      <c r="G568" s="17" t="s">
        <v>2922</v>
      </c>
      <c r="H568" s="100">
        <v>30</v>
      </c>
      <c r="I568" s="101">
        <v>5</v>
      </c>
      <c r="J568" s="6">
        <f t="shared" si="130"/>
        <v>150</v>
      </c>
      <c r="K568" s="33">
        <v>9.57</v>
      </c>
      <c r="L568" s="744">
        <f t="shared" si="131"/>
        <v>47.85</v>
      </c>
      <c r="M568" s="672" t="s">
        <v>255</v>
      </c>
      <c r="N568" s="828">
        <v>46015</v>
      </c>
      <c r="O568" s="707">
        <v>7744</v>
      </c>
      <c r="P568" s="673">
        <f t="shared" si="132"/>
        <v>8.2099999999999991</v>
      </c>
      <c r="Q568" s="674">
        <v>8.2100000000000009</v>
      </c>
      <c r="R568" s="674">
        <f t="shared" si="133"/>
        <v>41.050000000000004</v>
      </c>
      <c r="S568" s="797">
        <v>689</v>
      </c>
      <c r="T568" s="84">
        <f t="shared" si="134"/>
        <v>3445</v>
      </c>
      <c r="U568" s="789"/>
      <c r="V568" s="668">
        <v>120</v>
      </c>
      <c r="W568" s="790">
        <f t="shared" si="135"/>
        <v>0.40003483106931387</v>
      </c>
    </row>
    <row r="569" spans="2:23" s="638" customFormat="1" ht="17.25" customHeight="1">
      <c r="B569" s="639" t="s">
        <v>236</v>
      </c>
      <c r="C569" s="717" t="s">
        <v>3016</v>
      </c>
      <c r="D569" s="662"/>
      <c r="E569" s="17" t="s">
        <v>2848</v>
      </c>
      <c r="F569" s="739">
        <v>19</v>
      </c>
      <c r="G569" s="17" t="s">
        <v>25</v>
      </c>
      <c r="H569" s="100">
        <v>30</v>
      </c>
      <c r="I569" s="101">
        <v>5</v>
      </c>
      <c r="J569" s="6">
        <f t="shared" si="130"/>
        <v>150</v>
      </c>
      <c r="K569" s="33">
        <v>9.57</v>
      </c>
      <c r="L569" s="744">
        <f t="shared" si="131"/>
        <v>47.85</v>
      </c>
      <c r="M569" s="672" t="s">
        <v>255</v>
      </c>
      <c r="N569" s="828">
        <v>46015</v>
      </c>
      <c r="O569" s="707">
        <v>7744</v>
      </c>
      <c r="P569" s="673">
        <f t="shared" si="132"/>
        <v>8.2099999999999991</v>
      </c>
      <c r="Q569" s="674">
        <v>8.2100000000000009</v>
      </c>
      <c r="R569" s="674">
        <f t="shared" si="133"/>
        <v>41.050000000000004</v>
      </c>
      <c r="S569" s="797">
        <v>689</v>
      </c>
      <c r="T569" s="84">
        <f t="shared" si="134"/>
        <v>3445</v>
      </c>
      <c r="U569" s="789"/>
      <c r="V569" s="668">
        <v>120</v>
      </c>
      <c r="W569" s="790">
        <f t="shared" si="135"/>
        <v>0.40003483106931387</v>
      </c>
    </row>
    <row r="570" spans="2:23" s="638" customFormat="1" ht="17.25" customHeight="1">
      <c r="B570" s="639" t="s">
        <v>236</v>
      </c>
      <c r="C570" s="717" t="s">
        <v>3016</v>
      </c>
      <c r="D570" s="662"/>
      <c r="E570" s="17" t="s">
        <v>2848</v>
      </c>
      <c r="F570" s="739">
        <v>19</v>
      </c>
      <c r="G570" s="17" t="s">
        <v>1869</v>
      </c>
      <c r="H570" s="100">
        <v>30</v>
      </c>
      <c r="I570" s="101">
        <v>5</v>
      </c>
      <c r="J570" s="6">
        <f t="shared" si="130"/>
        <v>150</v>
      </c>
      <c r="K570" s="33">
        <v>9.57</v>
      </c>
      <c r="L570" s="744">
        <f t="shared" si="131"/>
        <v>47.85</v>
      </c>
      <c r="M570" s="672" t="s">
        <v>255</v>
      </c>
      <c r="N570" s="828">
        <v>46015</v>
      </c>
      <c r="O570" s="707">
        <v>7744</v>
      </c>
      <c r="P570" s="673">
        <f t="shared" si="132"/>
        <v>8.2099999999999991</v>
      </c>
      <c r="Q570" s="674">
        <v>8.2100000000000009</v>
      </c>
      <c r="R570" s="674">
        <f t="shared" si="133"/>
        <v>41.050000000000004</v>
      </c>
      <c r="S570" s="797">
        <v>689</v>
      </c>
      <c r="T570" s="84">
        <f t="shared" si="134"/>
        <v>3445</v>
      </c>
      <c r="U570" s="789"/>
      <c r="V570" s="668">
        <v>120</v>
      </c>
      <c r="W570" s="790">
        <f t="shared" si="135"/>
        <v>0.40003483106931387</v>
      </c>
    </row>
    <row r="571" spans="2:23" s="638" customFormat="1" ht="17.25" customHeight="1">
      <c r="B571" s="639" t="s">
        <v>236</v>
      </c>
      <c r="C571" s="717" t="s">
        <v>3016</v>
      </c>
      <c r="D571" s="662"/>
      <c r="E571" s="17" t="s">
        <v>2848</v>
      </c>
      <c r="F571" s="739">
        <v>19</v>
      </c>
      <c r="G571" s="17" t="s">
        <v>2358</v>
      </c>
      <c r="H571" s="100">
        <v>30</v>
      </c>
      <c r="I571" s="101">
        <v>5</v>
      </c>
      <c r="J571" s="6">
        <f t="shared" si="130"/>
        <v>150</v>
      </c>
      <c r="K571" s="33">
        <v>9.57</v>
      </c>
      <c r="L571" s="744">
        <f t="shared" si="131"/>
        <v>47.85</v>
      </c>
      <c r="M571" s="672" t="s">
        <v>255</v>
      </c>
      <c r="N571" s="828">
        <v>46015</v>
      </c>
      <c r="O571" s="707">
        <v>7744</v>
      </c>
      <c r="P571" s="673">
        <f t="shared" si="132"/>
        <v>8.2099999999999991</v>
      </c>
      <c r="Q571" s="674">
        <v>8.2100000000000009</v>
      </c>
      <c r="R571" s="674">
        <f t="shared" si="133"/>
        <v>41.050000000000004</v>
      </c>
      <c r="S571" s="797">
        <v>689</v>
      </c>
      <c r="T571" s="84">
        <f t="shared" si="134"/>
        <v>3445</v>
      </c>
      <c r="U571" s="789"/>
      <c r="V571" s="668">
        <v>120</v>
      </c>
      <c r="W571" s="790">
        <f t="shared" si="135"/>
        <v>0.40003483106931387</v>
      </c>
    </row>
    <row r="572" spans="2:23" s="638" customFormat="1" ht="17.25" customHeight="1">
      <c r="B572" s="639" t="s">
        <v>236</v>
      </c>
      <c r="C572" s="717" t="s">
        <v>3016</v>
      </c>
      <c r="D572" s="662"/>
      <c r="E572" s="17" t="s">
        <v>2848</v>
      </c>
      <c r="F572" s="739">
        <v>19</v>
      </c>
      <c r="G572" s="17" t="s">
        <v>3025</v>
      </c>
      <c r="H572" s="100">
        <v>30</v>
      </c>
      <c r="I572" s="101">
        <v>5</v>
      </c>
      <c r="J572" s="6">
        <f t="shared" si="130"/>
        <v>150</v>
      </c>
      <c r="K572" s="33">
        <v>9.57</v>
      </c>
      <c r="L572" s="744">
        <f t="shared" si="131"/>
        <v>47.85</v>
      </c>
      <c r="M572" s="672" t="s">
        <v>255</v>
      </c>
      <c r="N572" s="828">
        <v>46015</v>
      </c>
      <c r="O572" s="707">
        <v>7744</v>
      </c>
      <c r="P572" s="673">
        <f t="shared" si="132"/>
        <v>8.2099999999999991</v>
      </c>
      <c r="Q572" s="674">
        <v>8.2100000000000009</v>
      </c>
      <c r="R572" s="674">
        <f t="shared" si="133"/>
        <v>41.050000000000004</v>
      </c>
      <c r="S572" s="797">
        <v>689</v>
      </c>
      <c r="T572" s="84">
        <f t="shared" si="134"/>
        <v>3445</v>
      </c>
      <c r="U572" s="789"/>
      <c r="V572" s="668">
        <v>120</v>
      </c>
      <c r="W572" s="790">
        <f t="shared" si="135"/>
        <v>0.40003483106931387</v>
      </c>
    </row>
    <row r="573" spans="2:23" s="638" customFormat="1" ht="17.25" customHeight="1">
      <c r="B573" s="639" t="s">
        <v>236</v>
      </c>
      <c r="C573" s="717" t="s">
        <v>3016</v>
      </c>
      <c r="D573" s="662"/>
      <c r="E573" s="17" t="s">
        <v>2848</v>
      </c>
      <c r="F573" s="739">
        <v>19</v>
      </c>
      <c r="G573" s="17" t="s">
        <v>3023</v>
      </c>
      <c r="H573" s="100">
        <v>30</v>
      </c>
      <c r="I573" s="101">
        <v>5</v>
      </c>
      <c r="J573" s="6">
        <f t="shared" si="130"/>
        <v>150</v>
      </c>
      <c r="K573" s="33">
        <v>9.57</v>
      </c>
      <c r="L573" s="744">
        <f t="shared" si="131"/>
        <v>47.85</v>
      </c>
      <c r="M573" s="672" t="s">
        <v>255</v>
      </c>
      <c r="N573" s="828">
        <v>46015</v>
      </c>
      <c r="O573" s="707">
        <v>7744</v>
      </c>
      <c r="P573" s="673">
        <f t="shared" si="132"/>
        <v>8.2099999999999991</v>
      </c>
      <c r="Q573" s="674">
        <v>8.2100000000000009</v>
      </c>
      <c r="R573" s="674">
        <f t="shared" si="133"/>
        <v>41.050000000000004</v>
      </c>
      <c r="S573" s="797">
        <v>689</v>
      </c>
      <c r="T573" s="84">
        <f t="shared" si="134"/>
        <v>3445</v>
      </c>
      <c r="U573" s="789"/>
      <c r="V573" s="668">
        <v>120</v>
      </c>
      <c r="W573" s="790">
        <f t="shared" si="135"/>
        <v>0.40003483106931387</v>
      </c>
    </row>
    <row r="574" spans="2:23" s="638" customFormat="1" ht="17.25" customHeight="1">
      <c r="B574" s="639" t="s">
        <v>236</v>
      </c>
      <c r="C574" s="717" t="s">
        <v>3016</v>
      </c>
      <c r="D574" s="662"/>
      <c r="E574" s="17" t="s">
        <v>2848</v>
      </c>
      <c r="F574" s="739">
        <v>25</v>
      </c>
      <c r="G574" s="17" t="s">
        <v>2840</v>
      </c>
      <c r="H574" s="100">
        <v>30</v>
      </c>
      <c r="I574" s="101">
        <v>5</v>
      </c>
      <c r="J574" s="6">
        <f t="shared" si="130"/>
        <v>150</v>
      </c>
      <c r="K574" s="33">
        <v>11.6</v>
      </c>
      <c r="L574" s="744">
        <f t="shared" ref="L574:L585" si="136">K574*I574</f>
        <v>58</v>
      </c>
      <c r="M574" s="672" t="s">
        <v>255</v>
      </c>
      <c r="N574" s="828">
        <v>46015</v>
      </c>
      <c r="O574" s="707">
        <v>7744</v>
      </c>
      <c r="P574" s="673">
        <f t="shared" si="132"/>
        <v>9.9499999999999993</v>
      </c>
      <c r="Q574" s="674">
        <v>9.9499999999999993</v>
      </c>
      <c r="R574" s="674">
        <f t="shared" si="133"/>
        <v>49.75</v>
      </c>
      <c r="S574" s="797">
        <v>835</v>
      </c>
      <c r="T574" s="84">
        <f t="shared" ref="T574:T585" si="137">S574*I574</f>
        <v>4175</v>
      </c>
      <c r="U574" s="789"/>
      <c r="V574" s="668">
        <v>120</v>
      </c>
      <c r="W574" s="790">
        <f t="shared" si="135"/>
        <v>0.40014367816091956</v>
      </c>
    </row>
    <row r="575" spans="2:23" s="638" customFormat="1" ht="17.25" customHeight="1">
      <c r="B575" s="639" t="s">
        <v>236</v>
      </c>
      <c r="C575" s="717" t="s">
        <v>3016</v>
      </c>
      <c r="D575" s="662"/>
      <c r="E575" s="17" t="s">
        <v>2848</v>
      </c>
      <c r="F575" s="739">
        <v>25</v>
      </c>
      <c r="G575" s="17" t="s">
        <v>251</v>
      </c>
      <c r="H575" s="100">
        <v>30</v>
      </c>
      <c r="I575" s="101">
        <v>5</v>
      </c>
      <c r="J575" s="6">
        <f t="shared" ref="J575:J587" si="138">H575*I575</f>
        <v>150</v>
      </c>
      <c r="K575" s="33">
        <v>11.6</v>
      </c>
      <c r="L575" s="744">
        <f t="shared" si="136"/>
        <v>58</v>
      </c>
      <c r="M575" s="672" t="s">
        <v>255</v>
      </c>
      <c r="N575" s="828">
        <v>46015</v>
      </c>
      <c r="O575" s="707">
        <v>7744</v>
      </c>
      <c r="P575" s="673">
        <f t="shared" ref="P575:P585" si="139">ROUNDUP(S575/V575/VLOOKUP(B575,$C$2:$F$6,3,FALSE),2)</f>
        <v>9.9499999999999993</v>
      </c>
      <c r="Q575" s="674">
        <v>9.9499999999999993</v>
      </c>
      <c r="R575" s="674">
        <f t="shared" ref="R575:R585" si="140">Q575*I575</f>
        <v>49.75</v>
      </c>
      <c r="S575" s="797">
        <v>835</v>
      </c>
      <c r="T575" s="84">
        <f t="shared" si="137"/>
        <v>4175</v>
      </c>
      <c r="U575" s="789"/>
      <c r="V575" s="668">
        <v>120</v>
      </c>
      <c r="W575" s="790">
        <f t="shared" ref="W575:W585" si="141">(((K575*V575)-S575)/(K575*V575))</f>
        <v>0.40014367816091956</v>
      </c>
    </row>
    <row r="576" spans="2:23" s="638" customFormat="1" ht="17.25" customHeight="1">
      <c r="B576" s="639" t="s">
        <v>236</v>
      </c>
      <c r="C576" s="717" t="s">
        <v>3016</v>
      </c>
      <c r="D576" s="662"/>
      <c r="E576" s="17" t="s">
        <v>2848</v>
      </c>
      <c r="F576" s="739">
        <v>25</v>
      </c>
      <c r="G576" s="17" t="s">
        <v>2872</v>
      </c>
      <c r="H576" s="100">
        <v>30</v>
      </c>
      <c r="I576" s="101">
        <v>5</v>
      </c>
      <c r="J576" s="6">
        <f t="shared" si="138"/>
        <v>150</v>
      </c>
      <c r="K576" s="33">
        <v>11.6</v>
      </c>
      <c r="L576" s="744">
        <f t="shared" si="136"/>
        <v>58</v>
      </c>
      <c r="M576" s="672" t="s">
        <v>255</v>
      </c>
      <c r="N576" s="828">
        <v>46015</v>
      </c>
      <c r="O576" s="707">
        <v>7744</v>
      </c>
      <c r="P576" s="673">
        <f t="shared" si="139"/>
        <v>9.9499999999999993</v>
      </c>
      <c r="Q576" s="674">
        <v>9.9499999999999993</v>
      </c>
      <c r="R576" s="674">
        <f t="shared" si="140"/>
        <v>49.75</v>
      </c>
      <c r="S576" s="797">
        <v>835</v>
      </c>
      <c r="T576" s="84">
        <f t="shared" si="137"/>
        <v>4175</v>
      </c>
      <c r="U576" s="789"/>
      <c r="V576" s="668">
        <v>120</v>
      </c>
      <c r="W576" s="790">
        <f t="shared" si="141"/>
        <v>0.40014367816091956</v>
      </c>
    </row>
    <row r="577" spans="1:25" s="638" customFormat="1" ht="17.25" customHeight="1">
      <c r="B577" s="639" t="s">
        <v>236</v>
      </c>
      <c r="C577" s="717" t="s">
        <v>3016</v>
      </c>
      <c r="D577" s="662"/>
      <c r="E577" s="17" t="s">
        <v>2848</v>
      </c>
      <c r="F577" s="739">
        <v>25</v>
      </c>
      <c r="G577" s="17" t="s">
        <v>2929</v>
      </c>
      <c r="H577" s="100">
        <v>30</v>
      </c>
      <c r="I577" s="101">
        <v>5</v>
      </c>
      <c r="J577" s="6">
        <f t="shared" si="138"/>
        <v>150</v>
      </c>
      <c r="K577" s="33">
        <v>11.6</v>
      </c>
      <c r="L577" s="744">
        <f t="shared" si="136"/>
        <v>58</v>
      </c>
      <c r="M577" s="672" t="s">
        <v>255</v>
      </c>
      <c r="N577" s="828">
        <v>46015</v>
      </c>
      <c r="O577" s="707">
        <v>7744</v>
      </c>
      <c r="P577" s="673">
        <f t="shared" si="139"/>
        <v>9.9499999999999993</v>
      </c>
      <c r="Q577" s="674">
        <v>9.9499999999999993</v>
      </c>
      <c r="R577" s="674">
        <f t="shared" si="140"/>
        <v>49.75</v>
      </c>
      <c r="S577" s="797">
        <v>835</v>
      </c>
      <c r="T577" s="84">
        <f t="shared" si="137"/>
        <v>4175</v>
      </c>
      <c r="U577" s="789"/>
      <c r="V577" s="668">
        <v>120</v>
      </c>
      <c r="W577" s="790">
        <f t="shared" si="141"/>
        <v>0.40014367816091956</v>
      </c>
    </row>
    <row r="578" spans="1:25" s="638" customFormat="1" ht="17.25" customHeight="1">
      <c r="B578" s="639" t="s">
        <v>236</v>
      </c>
      <c r="C578" s="717" t="s">
        <v>3016</v>
      </c>
      <c r="D578" s="662"/>
      <c r="E578" s="17" t="s">
        <v>2848</v>
      </c>
      <c r="F578" s="739">
        <v>25</v>
      </c>
      <c r="G578" s="17" t="s">
        <v>3026</v>
      </c>
      <c r="H578" s="100">
        <v>30</v>
      </c>
      <c r="I578" s="101">
        <v>5</v>
      </c>
      <c r="J578" s="6">
        <f t="shared" si="138"/>
        <v>150</v>
      </c>
      <c r="K578" s="33">
        <v>11.6</v>
      </c>
      <c r="L578" s="744">
        <f t="shared" si="136"/>
        <v>58</v>
      </c>
      <c r="M578" s="672" t="s">
        <v>255</v>
      </c>
      <c r="N578" s="828">
        <v>46015</v>
      </c>
      <c r="O578" s="707">
        <v>7744</v>
      </c>
      <c r="P578" s="673">
        <f t="shared" si="139"/>
        <v>9.9499999999999993</v>
      </c>
      <c r="Q578" s="674">
        <v>9.9499999999999993</v>
      </c>
      <c r="R578" s="674">
        <f t="shared" si="140"/>
        <v>49.75</v>
      </c>
      <c r="S578" s="797">
        <v>835</v>
      </c>
      <c r="T578" s="84">
        <f t="shared" si="137"/>
        <v>4175</v>
      </c>
      <c r="U578" s="789"/>
      <c r="V578" s="668">
        <v>120</v>
      </c>
      <c r="W578" s="790">
        <f t="shared" si="141"/>
        <v>0.40014367816091956</v>
      </c>
    </row>
    <row r="579" spans="1:25" s="638" customFormat="1" ht="17.25" customHeight="1">
      <c r="B579" s="639" t="s">
        <v>236</v>
      </c>
      <c r="C579" s="717" t="s">
        <v>3016</v>
      </c>
      <c r="D579" s="662"/>
      <c r="E579" s="17" t="s">
        <v>2848</v>
      </c>
      <c r="F579" s="739">
        <v>25</v>
      </c>
      <c r="G579" s="17" t="s">
        <v>1910</v>
      </c>
      <c r="H579" s="100">
        <v>30</v>
      </c>
      <c r="I579" s="101">
        <v>5</v>
      </c>
      <c r="J579" s="6">
        <f t="shared" si="138"/>
        <v>150</v>
      </c>
      <c r="K579" s="33">
        <v>11.6</v>
      </c>
      <c r="L579" s="744">
        <f t="shared" si="136"/>
        <v>58</v>
      </c>
      <c r="M579" s="672" t="s">
        <v>255</v>
      </c>
      <c r="N579" s="828">
        <v>46015</v>
      </c>
      <c r="O579" s="707">
        <v>7744</v>
      </c>
      <c r="P579" s="673">
        <f t="shared" si="139"/>
        <v>9.9499999999999993</v>
      </c>
      <c r="Q579" s="674">
        <v>9.9499999999999993</v>
      </c>
      <c r="R579" s="674">
        <f t="shared" si="140"/>
        <v>49.75</v>
      </c>
      <c r="S579" s="797">
        <v>835</v>
      </c>
      <c r="T579" s="84">
        <f t="shared" si="137"/>
        <v>4175</v>
      </c>
      <c r="U579" s="789"/>
      <c r="V579" s="668">
        <v>120</v>
      </c>
      <c r="W579" s="790">
        <f t="shared" si="141"/>
        <v>0.40014367816091956</v>
      </c>
    </row>
    <row r="580" spans="1:25" s="638" customFormat="1" ht="17.25" customHeight="1">
      <c r="B580" s="639" t="s">
        <v>236</v>
      </c>
      <c r="C580" s="717" t="s">
        <v>3016</v>
      </c>
      <c r="D580" s="662"/>
      <c r="E580" s="17" t="s">
        <v>2848</v>
      </c>
      <c r="F580" s="739">
        <v>25</v>
      </c>
      <c r="G580" s="17" t="s">
        <v>2922</v>
      </c>
      <c r="H580" s="100">
        <v>30</v>
      </c>
      <c r="I580" s="101">
        <v>5</v>
      </c>
      <c r="J580" s="6">
        <f t="shared" si="138"/>
        <v>150</v>
      </c>
      <c r="K580" s="33">
        <v>11.6</v>
      </c>
      <c r="L580" s="744">
        <f t="shared" si="136"/>
        <v>58</v>
      </c>
      <c r="M580" s="672" t="s">
        <v>255</v>
      </c>
      <c r="N580" s="828">
        <v>46015</v>
      </c>
      <c r="O580" s="707">
        <v>7744</v>
      </c>
      <c r="P580" s="673">
        <f t="shared" si="139"/>
        <v>9.9499999999999993</v>
      </c>
      <c r="Q580" s="674">
        <v>9.9499999999999993</v>
      </c>
      <c r="R580" s="674">
        <f t="shared" si="140"/>
        <v>49.75</v>
      </c>
      <c r="S580" s="797">
        <v>835</v>
      </c>
      <c r="T580" s="84">
        <f t="shared" si="137"/>
        <v>4175</v>
      </c>
      <c r="U580" s="789"/>
      <c r="V580" s="668">
        <v>120</v>
      </c>
      <c r="W580" s="790">
        <f t="shared" si="141"/>
        <v>0.40014367816091956</v>
      </c>
    </row>
    <row r="581" spans="1:25" s="638" customFormat="1" ht="17.25" customHeight="1">
      <c r="B581" s="639" t="s">
        <v>236</v>
      </c>
      <c r="C581" s="717" t="s">
        <v>3016</v>
      </c>
      <c r="D581" s="662"/>
      <c r="E581" s="17" t="s">
        <v>2848</v>
      </c>
      <c r="F581" s="739">
        <v>25</v>
      </c>
      <c r="G581" s="17" t="s">
        <v>116</v>
      </c>
      <c r="H581" s="100">
        <v>30</v>
      </c>
      <c r="I581" s="101">
        <v>5</v>
      </c>
      <c r="J581" s="6">
        <f t="shared" si="138"/>
        <v>150</v>
      </c>
      <c r="K581" s="33">
        <v>11.6</v>
      </c>
      <c r="L581" s="744">
        <f t="shared" si="136"/>
        <v>58</v>
      </c>
      <c r="M581" s="672" t="s">
        <v>255</v>
      </c>
      <c r="N581" s="828">
        <v>46052</v>
      </c>
      <c r="O581" s="707">
        <v>7810</v>
      </c>
      <c r="P581" s="673">
        <f t="shared" si="139"/>
        <v>9.9499999999999993</v>
      </c>
      <c r="Q581" s="674">
        <v>9.9499999999999993</v>
      </c>
      <c r="R581" s="674">
        <f t="shared" si="140"/>
        <v>49.75</v>
      </c>
      <c r="S581" s="797">
        <v>835</v>
      </c>
      <c r="T581" s="84">
        <f t="shared" si="137"/>
        <v>4175</v>
      </c>
      <c r="U581" s="789"/>
      <c r="V581" s="668">
        <v>120</v>
      </c>
      <c r="W581" s="790">
        <f t="shared" si="141"/>
        <v>0.40014367816091956</v>
      </c>
    </row>
    <row r="582" spans="1:25" s="638" customFormat="1" ht="17.25" customHeight="1">
      <c r="B582" s="639" t="s">
        <v>236</v>
      </c>
      <c r="C582" s="717" t="s">
        <v>3016</v>
      </c>
      <c r="D582" s="662"/>
      <c r="E582" s="17" t="s">
        <v>2848</v>
      </c>
      <c r="F582" s="739">
        <v>25</v>
      </c>
      <c r="G582" s="17" t="s">
        <v>3023</v>
      </c>
      <c r="H582" s="100">
        <v>30</v>
      </c>
      <c r="I582" s="101">
        <v>5</v>
      </c>
      <c r="J582" s="6">
        <f t="shared" si="138"/>
        <v>150</v>
      </c>
      <c r="K582" s="33">
        <v>11.6</v>
      </c>
      <c r="L582" s="744">
        <f t="shared" si="136"/>
        <v>58</v>
      </c>
      <c r="M582" s="672" t="s">
        <v>255</v>
      </c>
      <c r="N582" s="828">
        <v>46015</v>
      </c>
      <c r="O582" s="707">
        <v>7744</v>
      </c>
      <c r="P582" s="673">
        <f t="shared" si="139"/>
        <v>9.9499999999999993</v>
      </c>
      <c r="Q582" s="674">
        <v>9.9499999999999993</v>
      </c>
      <c r="R582" s="674">
        <f t="shared" si="140"/>
        <v>49.75</v>
      </c>
      <c r="S582" s="797">
        <v>835</v>
      </c>
      <c r="T582" s="84">
        <f t="shared" si="137"/>
        <v>4175</v>
      </c>
      <c r="U582" s="789"/>
      <c r="V582" s="668">
        <v>120</v>
      </c>
      <c r="W582" s="790">
        <f t="shared" si="141"/>
        <v>0.40014367816091956</v>
      </c>
    </row>
    <row r="583" spans="1:25" s="638" customFormat="1" ht="17.25" customHeight="1">
      <c r="B583" s="639" t="s">
        <v>236</v>
      </c>
      <c r="C583" s="717" t="s">
        <v>3016</v>
      </c>
      <c r="D583" s="662"/>
      <c r="E583" s="17" t="s">
        <v>2848</v>
      </c>
      <c r="F583" s="739">
        <v>25</v>
      </c>
      <c r="G583" s="17" t="s">
        <v>3027</v>
      </c>
      <c r="H583" s="100">
        <v>30</v>
      </c>
      <c r="I583" s="101">
        <v>5</v>
      </c>
      <c r="J583" s="6">
        <f t="shared" si="138"/>
        <v>150</v>
      </c>
      <c r="K583" s="33">
        <v>11.6</v>
      </c>
      <c r="L583" s="744">
        <f t="shared" si="136"/>
        <v>58</v>
      </c>
      <c r="M583" s="672" t="s">
        <v>255</v>
      </c>
      <c r="N583" s="828">
        <v>46015</v>
      </c>
      <c r="O583" s="707">
        <v>7744</v>
      </c>
      <c r="P583" s="673">
        <f t="shared" si="139"/>
        <v>9.9499999999999993</v>
      </c>
      <c r="Q583" s="674">
        <v>9.9499999999999993</v>
      </c>
      <c r="R583" s="674">
        <f t="shared" si="140"/>
        <v>49.75</v>
      </c>
      <c r="S583" s="797">
        <v>835</v>
      </c>
      <c r="T583" s="84">
        <f t="shared" si="137"/>
        <v>4175</v>
      </c>
      <c r="U583" s="789"/>
      <c r="V583" s="668">
        <v>120</v>
      </c>
      <c r="W583" s="790">
        <f t="shared" si="141"/>
        <v>0.40014367816091956</v>
      </c>
    </row>
    <row r="584" spans="1:25" s="638" customFormat="1" ht="17.25" customHeight="1">
      <c r="B584" s="639" t="s">
        <v>236</v>
      </c>
      <c r="C584" s="717" t="s">
        <v>3016</v>
      </c>
      <c r="D584" s="662"/>
      <c r="E584" s="17" t="s">
        <v>2848</v>
      </c>
      <c r="F584" s="739">
        <v>25</v>
      </c>
      <c r="G584" s="17" t="s">
        <v>3028</v>
      </c>
      <c r="H584" s="100">
        <v>30</v>
      </c>
      <c r="I584" s="101">
        <v>5</v>
      </c>
      <c r="J584" s="6">
        <f t="shared" si="138"/>
        <v>150</v>
      </c>
      <c r="K584" s="33">
        <v>11.6</v>
      </c>
      <c r="L584" s="744">
        <f t="shared" si="136"/>
        <v>58</v>
      </c>
      <c r="M584" s="672" t="s">
        <v>255</v>
      </c>
      <c r="N584" s="828">
        <v>46015</v>
      </c>
      <c r="O584" s="707">
        <v>7744</v>
      </c>
      <c r="P584" s="673">
        <f t="shared" si="139"/>
        <v>9.9499999999999993</v>
      </c>
      <c r="Q584" s="674">
        <v>9.9499999999999993</v>
      </c>
      <c r="R584" s="674">
        <f t="shared" si="140"/>
        <v>49.75</v>
      </c>
      <c r="S584" s="797">
        <v>835</v>
      </c>
      <c r="T584" s="84">
        <f t="shared" si="137"/>
        <v>4175</v>
      </c>
      <c r="U584" s="789"/>
      <c r="V584" s="668">
        <v>120</v>
      </c>
      <c r="W584" s="790">
        <f t="shared" si="141"/>
        <v>0.40014367816091956</v>
      </c>
    </row>
    <row r="585" spans="1:25" s="638" customFormat="1" ht="17.25" customHeight="1">
      <c r="B585" s="639" t="s">
        <v>236</v>
      </c>
      <c r="C585" s="717" t="s">
        <v>3016</v>
      </c>
      <c r="D585" s="662"/>
      <c r="E585" s="17" t="s">
        <v>2848</v>
      </c>
      <c r="F585" s="739">
        <v>25</v>
      </c>
      <c r="G585" s="17" t="s">
        <v>163</v>
      </c>
      <c r="H585" s="100">
        <v>30</v>
      </c>
      <c r="I585" s="101">
        <v>5</v>
      </c>
      <c r="J585" s="6">
        <f t="shared" si="138"/>
        <v>150</v>
      </c>
      <c r="K585" s="33">
        <v>11.6</v>
      </c>
      <c r="L585" s="744">
        <f t="shared" si="136"/>
        <v>58</v>
      </c>
      <c r="M585" s="672" t="s">
        <v>255</v>
      </c>
      <c r="N585" s="828">
        <v>46015</v>
      </c>
      <c r="O585" s="707">
        <v>7744</v>
      </c>
      <c r="P585" s="673">
        <f t="shared" si="139"/>
        <v>9.9499999999999993</v>
      </c>
      <c r="Q585" s="674">
        <v>9.9499999999999993</v>
      </c>
      <c r="R585" s="674">
        <f t="shared" si="140"/>
        <v>49.75</v>
      </c>
      <c r="S585" s="797">
        <v>835</v>
      </c>
      <c r="T585" s="84">
        <f t="shared" si="137"/>
        <v>4175</v>
      </c>
      <c r="U585" s="789"/>
      <c r="V585" s="668">
        <v>120</v>
      </c>
      <c r="W585" s="790">
        <f t="shared" si="141"/>
        <v>0.40014367816091956</v>
      </c>
    </row>
    <row r="586" spans="1:25" s="638" customFormat="1" ht="17.25" customHeight="1">
      <c r="B586" s="639"/>
      <c r="C586" s="717" t="s">
        <v>3016</v>
      </c>
      <c r="D586" s="662"/>
      <c r="E586" s="14" t="s">
        <v>2795</v>
      </c>
      <c r="F586" s="739"/>
      <c r="G586" s="17"/>
      <c r="H586" s="100"/>
      <c r="I586" s="101"/>
      <c r="J586" s="6"/>
      <c r="K586" s="505" t="s">
        <v>4</v>
      </c>
      <c r="L586" s="643"/>
      <c r="M586" s="672"/>
      <c r="N586" s="828">
        <v>46015</v>
      </c>
      <c r="O586" s="707">
        <v>7744</v>
      </c>
      <c r="P586" s="673"/>
      <c r="Q586" s="674"/>
      <c r="R586" s="868"/>
      <c r="S586" s="870"/>
      <c r="T586" s="74"/>
      <c r="U586" s="869"/>
      <c r="V586" s="668"/>
    </row>
    <row r="587" spans="1:25" s="638" customFormat="1" ht="17.25" customHeight="1">
      <c r="B587" s="639" t="s">
        <v>236</v>
      </c>
      <c r="C587" s="717" t="s">
        <v>3016</v>
      </c>
      <c r="D587" s="662"/>
      <c r="E587" s="17">
        <v>3544</v>
      </c>
      <c r="F587" s="739" t="s">
        <v>3029</v>
      </c>
      <c r="G587" s="17" t="s">
        <v>74</v>
      </c>
      <c r="H587" s="100">
        <v>30</v>
      </c>
      <c r="I587" s="101">
        <v>10</v>
      </c>
      <c r="J587" s="6">
        <f t="shared" si="138"/>
        <v>300</v>
      </c>
      <c r="K587" s="33">
        <v>19</v>
      </c>
      <c r="L587" s="643">
        <f>K587*I587</f>
        <v>190</v>
      </c>
      <c r="M587" s="672" t="s">
        <v>255</v>
      </c>
      <c r="N587" s="828">
        <v>46015</v>
      </c>
      <c r="O587" s="707">
        <v>7744</v>
      </c>
      <c r="P587" s="666">
        <f>ROUNDUP(S587/V587/VLOOKUP(B587,$C$2:$F$6,3,FALSE),2)</f>
        <v>16.290000000000003</v>
      </c>
      <c r="Q587" s="674">
        <v>16.29</v>
      </c>
      <c r="R587" s="674">
        <f>Q587*I587</f>
        <v>162.89999999999998</v>
      </c>
      <c r="S587" s="867">
        <v>1368</v>
      </c>
      <c r="T587" s="74">
        <f>S587*I587</f>
        <v>13680</v>
      </c>
      <c r="U587" s="893"/>
      <c r="V587" s="668">
        <v>120</v>
      </c>
      <c r="W587" s="790">
        <f>(((K587*V587)-S587)/(K587*V587))</f>
        <v>0.4</v>
      </c>
    </row>
    <row r="588" spans="1:25" s="709" customFormat="1" ht="15.75">
      <c r="A588" s="46"/>
      <c r="B588" s="714"/>
      <c r="C588" s="717" t="s">
        <v>3016</v>
      </c>
      <c r="D588" s="662"/>
      <c r="E588" s="158"/>
      <c r="F588" s="737"/>
      <c r="G588" s="158" t="s">
        <v>279</v>
      </c>
      <c r="H588" s="671"/>
      <c r="I588" s="676"/>
      <c r="J588" s="677">
        <v>1</v>
      </c>
      <c r="K588" s="643">
        <v>12</v>
      </c>
      <c r="L588" s="643">
        <v>12</v>
      </c>
      <c r="M588" s="678"/>
      <c r="N588" s="828">
        <v>46015</v>
      </c>
      <c r="O588" s="707">
        <v>7744</v>
      </c>
      <c r="P588" s="674">
        <v>12</v>
      </c>
      <c r="Q588" s="674">
        <v>12</v>
      </c>
      <c r="R588" s="674">
        <v>12</v>
      </c>
      <c r="S588" s="867">
        <v>1000</v>
      </c>
      <c r="T588" s="74">
        <v>1000</v>
      </c>
      <c r="U588" s="896"/>
      <c r="V588" s="668">
        <v>120</v>
      </c>
      <c r="W588" s="790">
        <v>1</v>
      </c>
      <c r="X588" s="638"/>
      <c r="Y588" s="84">
        <v>0</v>
      </c>
    </row>
    <row r="589" spans="1:25" s="709" customFormat="1" ht="15" customHeight="1">
      <c r="B589" s="710"/>
      <c r="C589" s="719" t="s">
        <v>3016</v>
      </c>
      <c r="D589" s="680"/>
      <c r="E589" s="859"/>
      <c r="F589" s="860"/>
      <c r="G589" s="682" t="s">
        <v>210</v>
      </c>
      <c r="H589" s="683" t="s">
        <v>2754</v>
      </c>
      <c r="I589" s="684"/>
      <c r="J589" s="685"/>
      <c r="K589" s="720">
        <v>510</v>
      </c>
      <c r="L589" s="720">
        <v>510</v>
      </c>
      <c r="M589" s="712"/>
      <c r="N589" s="858">
        <v>46015</v>
      </c>
      <c r="O589" s="925">
        <v>7744</v>
      </c>
      <c r="P589" s="687"/>
      <c r="Q589" s="720">
        <v>510</v>
      </c>
      <c r="R589" s="720">
        <v>510</v>
      </c>
      <c r="S589" s="867">
        <f>2090+56796</f>
        <v>58886</v>
      </c>
      <c r="T589" s="867">
        <f>S589</f>
        <v>58886</v>
      </c>
      <c r="U589" s="690"/>
      <c r="V589" s="668">
        <v>120</v>
      </c>
      <c r="W589" s="730">
        <f>(((K589*V589)-S589)/(K589*V589))</f>
        <v>3.7810457516339872E-2</v>
      </c>
      <c r="Y589" s="709">
        <f>X589*N589</f>
        <v>0</v>
      </c>
    </row>
    <row r="590" spans="1:25" s="709" customFormat="1" ht="15" customHeight="1">
      <c r="B590" s="710"/>
      <c r="C590" s="719" t="s">
        <v>3016</v>
      </c>
      <c r="D590" s="680"/>
      <c r="E590" s="859"/>
      <c r="F590" s="860"/>
      <c r="G590" s="682" t="s">
        <v>210</v>
      </c>
      <c r="H590" s="683" t="s">
        <v>2754</v>
      </c>
      <c r="I590" s="684"/>
      <c r="J590" s="685"/>
      <c r="K590" s="720">
        <v>0</v>
      </c>
      <c r="L590" s="720">
        <v>0</v>
      </c>
      <c r="M590" s="712"/>
      <c r="N590" s="858">
        <v>46052</v>
      </c>
      <c r="O590" s="925">
        <v>7810</v>
      </c>
      <c r="P590" s="687"/>
      <c r="Q590" s="720">
        <v>0</v>
      </c>
      <c r="R590" s="720">
        <v>0</v>
      </c>
      <c r="S590" s="867">
        <v>0</v>
      </c>
      <c r="T590" s="867">
        <v>0</v>
      </c>
      <c r="U590" s="690"/>
      <c r="V590" s="668">
        <v>120</v>
      </c>
      <c r="W590" s="730" t="e">
        <f>(((K590*V590)-S590)/(K590*V590))</f>
        <v>#DIV/0!</v>
      </c>
      <c r="Y590" s="709">
        <f>X590*N590</f>
        <v>0</v>
      </c>
    </row>
    <row r="591" spans="1:25" s="709" customFormat="1" ht="15" customHeight="1">
      <c r="B591" s="710"/>
      <c r="C591" s="717" t="s">
        <v>3031</v>
      </c>
      <c r="D591" s="662"/>
      <c r="E591" s="663" t="s">
        <v>3036</v>
      </c>
      <c r="F591" s="736"/>
      <c r="G591" s="664"/>
      <c r="H591" s="677"/>
      <c r="I591" s="670"/>
      <c r="J591" s="665"/>
      <c r="K591" s="884" t="s">
        <v>2975</v>
      </c>
      <c r="L591" s="928"/>
      <c r="M591" s="706"/>
      <c r="N591" s="828">
        <v>46052</v>
      </c>
      <c r="O591" s="882" t="s">
        <v>3040</v>
      </c>
      <c r="P591" s="854"/>
      <c r="Q591" s="720"/>
      <c r="R591" s="720"/>
      <c r="S591" s="867"/>
      <c r="T591" s="926"/>
      <c r="U591" s="927"/>
      <c r="V591" s="668"/>
      <c r="W591" s="730"/>
    </row>
    <row r="592" spans="1:25" s="638" customFormat="1" ht="17.25" customHeight="1">
      <c r="B592" s="639" t="s">
        <v>236</v>
      </c>
      <c r="C592" s="717" t="s">
        <v>3032</v>
      </c>
      <c r="D592" s="662"/>
      <c r="E592" s="17" t="s">
        <v>2848</v>
      </c>
      <c r="F592" s="739">
        <v>38</v>
      </c>
      <c r="G592" s="17" t="s">
        <v>3022</v>
      </c>
      <c r="H592" s="100">
        <v>30</v>
      </c>
      <c r="I592" s="101">
        <v>3</v>
      </c>
      <c r="J592" s="6">
        <f>H592*I592</f>
        <v>90</v>
      </c>
      <c r="K592" s="33">
        <v>0</v>
      </c>
      <c r="L592" s="744">
        <f>K592*I592</f>
        <v>0</v>
      </c>
      <c r="M592" s="672" t="s">
        <v>255</v>
      </c>
      <c r="N592" s="828">
        <v>46052</v>
      </c>
      <c r="O592" s="882" t="s">
        <v>3040</v>
      </c>
      <c r="P592" s="673">
        <v>0</v>
      </c>
      <c r="Q592" s="674">
        <v>0</v>
      </c>
      <c r="R592" s="674">
        <f>Q592*I592</f>
        <v>0</v>
      </c>
      <c r="S592" s="797">
        <v>1399</v>
      </c>
      <c r="T592" s="84">
        <f>S592*I592</f>
        <v>4197</v>
      </c>
      <c r="U592" s="789"/>
      <c r="V592" s="668">
        <v>120</v>
      </c>
      <c r="W592" s="790" t="e">
        <f>(((K592*V592)-S592)/(K592*V592))</f>
        <v>#DIV/0!</v>
      </c>
    </row>
    <row r="593" spans="1:27" s="638" customFormat="1" ht="17.25" customHeight="1">
      <c r="B593" s="639" t="s">
        <v>236</v>
      </c>
      <c r="C593" s="717" t="s">
        <v>3032</v>
      </c>
      <c r="D593" s="662"/>
      <c r="E593" s="17" t="s">
        <v>2848</v>
      </c>
      <c r="F593" s="739">
        <v>38</v>
      </c>
      <c r="G593" s="17" t="s">
        <v>1977</v>
      </c>
      <c r="H593" s="100">
        <v>30</v>
      </c>
      <c r="I593" s="101">
        <v>3</v>
      </c>
      <c r="J593" s="6">
        <f>H593*I593</f>
        <v>90</v>
      </c>
      <c r="K593" s="33">
        <v>0</v>
      </c>
      <c r="L593" s="744">
        <f>K593*I593</f>
        <v>0</v>
      </c>
      <c r="M593" s="672" t="s">
        <v>255</v>
      </c>
      <c r="N593" s="828">
        <v>46052</v>
      </c>
      <c r="O593" s="882" t="s">
        <v>3040</v>
      </c>
      <c r="P593" s="673">
        <v>0</v>
      </c>
      <c r="Q593" s="674">
        <v>0</v>
      </c>
      <c r="R593" s="674">
        <f>Q593*I593</f>
        <v>0</v>
      </c>
      <c r="S593" s="797">
        <v>1399</v>
      </c>
      <c r="T593" s="84">
        <f>S593*I593</f>
        <v>4197</v>
      </c>
      <c r="U593" s="789"/>
      <c r="V593" s="668">
        <v>120</v>
      </c>
      <c r="W593" s="790" t="e">
        <f>(((K593*V593)-S593)/(K593*V593))</f>
        <v>#DIV/0!</v>
      </c>
    </row>
    <row r="594" spans="1:27" s="638" customFormat="1" ht="17.25" customHeight="1">
      <c r="B594" s="639" t="s">
        <v>236</v>
      </c>
      <c r="C594" s="717" t="s">
        <v>3032</v>
      </c>
      <c r="D594" s="662"/>
      <c r="E594" s="17" t="s">
        <v>2848</v>
      </c>
      <c r="F594" s="739">
        <v>25</v>
      </c>
      <c r="G594" s="17" t="s">
        <v>251</v>
      </c>
      <c r="H594" s="100">
        <v>30</v>
      </c>
      <c r="I594" s="101">
        <v>5</v>
      </c>
      <c r="J594" s="6">
        <f>H594*I594</f>
        <v>150</v>
      </c>
      <c r="K594" s="33">
        <v>0</v>
      </c>
      <c r="L594" s="744">
        <f>K594*I594</f>
        <v>0</v>
      </c>
      <c r="M594" s="672" t="s">
        <v>255</v>
      </c>
      <c r="N594" s="828">
        <v>46052</v>
      </c>
      <c r="O594" s="882" t="s">
        <v>3040</v>
      </c>
      <c r="P594" s="673">
        <v>0</v>
      </c>
      <c r="Q594" s="674">
        <v>0</v>
      </c>
      <c r="R594" s="674">
        <f>Q594*I594</f>
        <v>0</v>
      </c>
      <c r="S594" s="797">
        <v>835</v>
      </c>
      <c r="T594" s="84">
        <f>S594*I594</f>
        <v>4175</v>
      </c>
      <c r="U594" s="789"/>
      <c r="V594" s="668">
        <v>120</v>
      </c>
      <c r="W594" s="790" t="e">
        <f>(((K594*V594)-S594)/(K594*V594))</f>
        <v>#DIV/0!</v>
      </c>
    </row>
    <row r="595" spans="1:27" ht="15" customHeight="1">
      <c r="C595" s="717" t="s">
        <v>3033</v>
      </c>
      <c r="D595" s="662"/>
      <c r="E595" s="865" t="s">
        <v>2780</v>
      </c>
      <c r="F595" s="739"/>
      <c r="G595" s="17"/>
      <c r="H595" s="100"/>
      <c r="I595" s="101"/>
      <c r="J595" s="6"/>
      <c r="K595" s="505" t="s">
        <v>4</v>
      </c>
      <c r="L595" s="643"/>
      <c r="M595" s="672"/>
      <c r="N595" s="834">
        <v>46052</v>
      </c>
      <c r="O595" s="882">
        <v>7810</v>
      </c>
      <c r="P595" s="504"/>
      <c r="Q595" s="884"/>
      <c r="R595" s="884"/>
      <c r="S595" s="883"/>
      <c r="T595" s="883"/>
      <c r="U595" s="894"/>
      <c r="V595" s="668"/>
      <c r="W595" s="790"/>
    </row>
    <row r="596" spans="1:27" ht="15" customHeight="1">
      <c r="A596" s="638"/>
      <c r="B596" s="639" t="s">
        <v>236</v>
      </c>
      <c r="C596" s="717" t="s">
        <v>3033</v>
      </c>
      <c r="D596" s="662"/>
      <c r="E596" s="17">
        <v>2200</v>
      </c>
      <c r="F596" s="739">
        <v>18</v>
      </c>
      <c r="G596" s="17" t="s">
        <v>3019</v>
      </c>
      <c r="H596" s="100">
        <v>15</v>
      </c>
      <c r="I596" s="101">
        <v>3</v>
      </c>
      <c r="J596" s="6">
        <f>H596*I596</f>
        <v>45</v>
      </c>
      <c r="K596" s="33">
        <v>19.559999999999999</v>
      </c>
      <c r="L596" s="643">
        <f>K596*I596</f>
        <v>58.679999999999993</v>
      </c>
      <c r="M596" s="672" t="s">
        <v>255</v>
      </c>
      <c r="N596" s="828">
        <v>46052</v>
      </c>
      <c r="O596" s="882">
        <v>7810</v>
      </c>
      <c r="P596" s="666">
        <f>ROUNDUP(S596/V596/VLOOKUP(B596,$C$2:$F$6,3,FALSE),2)</f>
        <v>16.770000000000003</v>
      </c>
      <c r="Q596" s="674">
        <v>16.77</v>
      </c>
      <c r="R596" s="674">
        <f>Q596*I596</f>
        <v>50.31</v>
      </c>
      <c r="S596" s="867">
        <v>1408</v>
      </c>
      <c r="T596" s="74">
        <f>S596*I596</f>
        <v>4224</v>
      </c>
      <c r="U596" s="893"/>
      <c r="V596" s="668">
        <v>120</v>
      </c>
      <c r="W596" s="790">
        <f>(((K596*V596)-S596)/(K596*V596))</f>
        <v>0.40013633265167003</v>
      </c>
    </row>
    <row r="597" spans="1:27" s="638" customFormat="1" ht="17.25" customHeight="1">
      <c r="B597" s="639"/>
      <c r="C597" s="717" t="s">
        <v>3033</v>
      </c>
      <c r="D597" s="662"/>
      <c r="E597" s="14" t="s">
        <v>2790</v>
      </c>
      <c r="F597" s="739"/>
      <c r="G597" s="17"/>
      <c r="H597" s="100"/>
      <c r="I597" s="101"/>
      <c r="J597" s="6"/>
      <c r="K597" s="505" t="s">
        <v>4</v>
      </c>
      <c r="L597" s="643"/>
      <c r="M597" s="672"/>
      <c r="N597" s="828">
        <v>46052</v>
      </c>
      <c r="O597" s="707">
        <v>7810</v>
      </c>
      <c r="P597" s="673"/>
      <c r="Q597" s="674"/>
      <c r="R597" s="674"/>
      <c r="S597" s="728"/>
      <c r="T597" s="84"/>
      <c r="U597" s="728"/>
      <c r="V597" s="668"/>
    </row>
    <row r="598" spans="1:27" s="638" customFormat="1" ht="18" customHeight="1">
      <c r="B598" s="639" t="s">
        <v>236</v>
      </c>
      <c r="C598" s="717" t="s">
        <v>3033</v>
      </c>
      <c r="D598" s="662"/>
      <c r="E598" s="17">
        <v>1100</v>
      </c>
      <c r="F598" s="739">
        <v>30</v>
      </c>
      <c r="G598" s="17" t="s">
        <v>2789</v>
      </c>
      <c r="H598" s="100">
        <v>30</v>
      </c>
      <c r="I598" s="101">
        <v>10</v>
      </c>
      <c r="J598" s="6">
        <f>H598*I598</f>
        <v>300</v>
      </c>
      <c r="K598" s="33">
        <v>42.73</v>
      </c>
      <c r="L598" s="643">
        <f>K598*I598</f>
        <v>427.29999999999995</v>
      </c>
      <c r="M598" s="672" t="s">
        <v>2791</v>
      </c>
      <c r="N598" s="929">
        <v>46052</v>
      </c>
      <c r="O598" s="707">
        <v>7810</v>
      </c>
      <c r="P598" s="673">
        <f>ROUNDUP(S598/V598/VLOOKUP(B598,$C$2:$F$6,3,FALSE),2)</f>
        <v>33.58</v>
      </c>
      <c r="Q598" s="674">
        <v>33.58</v>
      </c>
      <c r="R598" s="674">
        <f>Q598*I598</f>
        <v>335.79999999999995</v>
      </c>
      <c r="S598" s="796">
        <v>2820</v>
      </c>
      <c r="T598" s="84">
        <f>S598*I598</f>
        <v>28200</v>
      </c>
      <c r="U598" s="789"/>
      <c r="V598" s="668">
        <v>120</v>
      </c>
      <c r="W598" s="790">
        <f>(((K598*V598)-S598)/(K598*V598))</f>
        <v>0.45003510414228876</v>
      </c>
    </row>
    <row r="599" spans="1:27" s="638" customFormat="1" ht="17.25" customHeight="1">
      <c r="B599" s="639"/>
      <c r="C599" s="717" t="s">
        <v>3033</v>
      </c>
      <c r="D599" s="662"/>
      <c r="E599" s="14" t="s">
        <v>2792</v>
      </c>
      <c r="F599" s="739"/>
      <c r="G599" s="17"/>
      <c r="H599" s="100"/>
      <c r="I599" s="101"/>
      <c r="J599" s="6"/>
      <c r="K599" s="505"/>
      <c r="L599" s="643"/>
      <c r="M599" s="672"/>
      <c r="N599" s="828">
        <v>46052</v>
      </c>
      <c r="O599" s="882">
        <v>7810</v>
      </c>
      <c r="P599" s="666"/>
      <c r="Q599" s="674"/>
      <c r="R599" s="674"/>
      <c r="S599" s="870"/>
      <c r="T599" s="74"/>
      <c r="U599" s="869"/>
      <c r="V599" s="668"/>
    </row>
    <row r="600" spans="1:27" s="638" customFormat="1" ht="17.25" customHeight="1">
      <c r="B600" s="639" t="s">
        <v>236</v>
      </c>
      <c r="C600" s="717" t="s">
        <v>3033</v>
      </c>
      <c r="D600" s="662"/>
      <c r="E600" s="17">
        <v>3534</v>
      </c>
      <c r="F600" s="739">
        <v>60</v>
      </c>
      <c r="G600" s="17" t="s">
        <v>2793</v>
      </c>
      <c r="H600" s="100">
        <v>30</v>
      </c>
      <c r="I600" s="101">
        <v>10</v>
      </c>
      <c r="J600" s="6">
        <f>H600*I600</f>
        <v>300</v>
      </c>
      <c r="K600" s="33">
        <v>49.25</v>
      </c>
      <c r="L600" s="643">
        <f>K600*I600</f>
        <v>492.5</v>
      </c>
      <c r="M600" s="672" t="s">
        <v>255</v>
      </c>
      <c r="N600" s="828">
        <v>46052</v>
      </c>
      <c r="O600" s="882">
        <v>7810</v>
      </c>
      <c r="P600" s="666">
        <f>ROUNDUP(S600/V600/VLOOKUP(B600,$C$2:$F$6,3,FALSE),2)</f>
        <v>38.699999999999996</v>
      </c>
      <c r="Q600" s="674">
        <v>38.700000000000003</v>
      </c>
      <c r="R600" s="674">
        <f>P600*I600</f>
        <v>386.99999999999994</v>
      </c>
      <c r="S600" s="867">
        <v>3250</v>
      </c>
      <c r="T600" s="74">
        <f>S600*I600</f>
        <v>32500</v>
      </c>
      <c r="U600" s="893"/>
      <c r="V600" s="668">
        <v>120</v>
      </c>
      <c r="W600" s="790">
        <f>(((K600*V600)-S600)/(K600*V600))</f>
        <v>0.45008460236886633</v>
      </c>
    </row>
    <row r="601" spans="1:27" s="638" customFormat="1" ht="17.25" customHeight="1">
      <c r="B601" s="639"/>
      <c r="C601" s="717" t="s">
        <v>3033</v>
      </c>
      <c r="D601" s="662"/>
      <c r="E601" s="14" t="s">
        <v>2795</v>
      </c>
      <c r="F601" s="739"/>
      <c r="G601" s="17"/>
      <c r="H601" s="100"/>
      <c r="I601" s="101"/>
      <c r="J601" s="6"/>
      <c r="K601" s="505" t="s">
        <v>4</v>
      </c>
      <c r="L601" s="643"/>
      <c r="M601" s="672"/>
      <c r="N601" s="828">
        <v>46052</v>
      </c>
      <c r="O601" s="707">
        <v>7810</v>
      </c>
      <c r="P601" s="673"/>
      <c r="Q601" s="674"/>
      <c r="R601" s="674"/>
      <c r="S601" s="728"/>
      <c r="T601" s="84"/>
      <c r="U601" s="728"/>
      <c r="V601" s="668"/>
    </row>
    <row r="602" spans="1:27" s="638" customFormat="1" ht="17.25" customHeight="1">
      <c r="B602" s="639" t="s">
        <v>236</v>
      </c>
      <c r="C602" s="717" t="s">
        <v>3033</v>
      </c>
      <c r="D602" s="662"/>
      <c r="E602" s="17">
        <v>3544</v>
      </c>
      <c r="F602" s="739" t="s">
        <v>2798</v>
      </c>
      <c r="G602" s="17" t="s">
        <v>3035</v>
      </c>
      <c r="H602" s="100">
        <v>30</v>
      </c>
      <c r="I602" s="101">
        <v>10</v>
      </c>
      <c r="J602" s="6">
        <f>H602*I602</f>
        <v>300</v>
      </c>
      <c r="K602" s="33">
        <v>16.5</v>
      </c>
      <c r="L602" s="643">
        <f>K602*I602</f>
        <v>165</v>
      </c>
      <c r="M602" s="672" t="s">
        <v>255</v>
      </c>
      <c r="N602" s="828">
        <v>46052</v>
      </c>
      <c r="O602" s="707">
        <v>7810</v>
      </c>
      <c r="P602" s="673">
        <f>ROUNDUP(S602/V602/VLOOKUP(B602,$C$2:$F$6,3,FALSE),2)</f>
        <v>14.15</v>
      </c>
      <c r="Q602" s="674">
        <v>14.15</v>
      </c>
      <c r="R602" s="674">
        <f>Q602*I602</f>
        <v>141.5</v>
      </c>
      <c r="S602" s="725">
        <v>1188</v>
      </c>
      <c r="T602" s="84">
        <f>S602*I602</f>
        <v>11880</v>
      </c>
      <c r="U602" s="891"/>
      <c r="V602" s="668">
        <v>120</v>
      </c>
      <c r="W602" s="790">
        <f>(((K602*V602)-S602)/(K602*V602))</f>
        <v>0.4</v>
      </c>
      <c r="Z602" s="725">
        <v>1188</v>
      </c>
      <c r="AA602" s="84">
        <f>Z602*P602</f>
        <v>16810.2</v>
      </c>
    </row>
    <row r="603" spans="1:27" s="709" customFormat="1" ht="15.75">
      <c r="A603" s="46"/>
      <c r="B603" s="714"/>
      <c r="C603" s="717" t="s">
        <v>3033</v>
      </c>
      <c r="D603" s="662"/>
      <c r="E603" s="158"/>
      <c r="F603" s="737"/>
      <c r="G603" s="158" t="s">
        <v>279</v>
      </c>
      <c r="H603" s="671"/>
      <c r="I603" s="676"/>
      <c r="J603" s="677">
        <v>4</v>
      </c>
      <c r="K603" s="643">
        <v>12</v>
      </c>
      <c r="L603" s="643">
        <f>J603*K603</f>
        <v>48</v>
      </c>
      <c r="M603" s="678"/>
      <c r="N603" s="828">
        <v>46052</v>
      </c>
      <c r="O603" s="707">
        <v>7810</v>
      </c>
      <c r="P603" s="674">
        <v>12</v>
      </c>
      <c r="Q603" s="674">
        <v>12</v>
      </c>
      <c r="R603" s="674">
        <f>Q603*J603</f>
        <v>48</v>
      </c>
      <c r="S603" s="867">
        <v>1000</v>
      </c>
      <c r="T603" s="74">
        <f>1000</f>
        <v>1000</v>
      </c>
      <c r="U603" s="896"/>
      <c r="V603" s="668">
        <v>120</v>
      </c>
      <c r="W603" s="790">
        <v>1</v>
      </c>
      <c r="X603" s="638"/>
      <c r="Y603" s="84">
        <v>0</v>
      </c>
    </row>
    <row r="604" spans="1:27" s="709" customFormat="1" ht="15" customHeight="1">
      <c r="B604" s="710"/>
      <c r="C604" s="719" t="s">
        <v>3034</v>
      </c>
      <c r="D604" s="680"/>
      <c r="E604" s="859"/>
      <c r="F604" s="860"/>
      <c r="G604" s="682" t="s">
        <v>210</v>
      </c>
      <c r="H604" s="683" t="s">
        <v>2754</v>
      </c>
      <c r="I604" s="684"/>
      <c r="J604" s="685"/>
      <c r="K604" s="720">
        <v>400</v>
      </c>
      <c r="L604" s="720">
        <v>400</v>
      </c>
      <c r="M604" s="712"/>
      <c r="N604" s="858">
        <v>46052</v>
      </c>
      <c r="O604" s="925">
        <v>7810</v>
      </c>
      <c r="P604" s="687"/>
      <c r="Q604" s="720">
        <v>400</v>
      </c>
      <c r="R604" s="720">
        <v>400</v>
      </c>
      <c r="S604" s="867">
        <v>43145</v>
      </c>
      <c r="T604" s="867">
        <v>43145</v>
      </c>
      <c r="U604" s="690"/>
      <c r="V604" s="668">
        <v>120</v>
      </c>
      <c r="W604" s="730">
        <f>(((K604*V604)-S604)/(K604*V604))</f>
        <v>0.10114583333333334</v>
      </c>
      <c r="Y604" s="709">
        <f>X604*N604</f>
        <v>0</v>
      </c>
    </row>
    <row r="605" spans="1:27" ht="15.75">
      <c r="C605" s="717" t="s">
        <v>3038</v>
      </c>
      <c r="D605" s="662"/>
      <c r="E605" s="14" t="s">
        <v>2816</v>
      </c>
      <c r="F605" s="739"/>
      <c r="G605" s="17"/>
      <c r="H605" s="100"/>
      <c r="I605" s="101"/>
      <c r="J605" s="6"/>
      <c r="K605" s="505" t="s">
        <v>4</v>
      </c>
      <c r="L605" s="643"/>
      <c r="M605" s="672"/>
      <c r="N605" s="828">
        <v>46057</v>
      </c>
      <c r="O605" s="707">
        <v>7838</v>
      </c>
      <c r="P605" s="504"/>
      <c r="Q605" s="884"/>
      <c r="R605" s="884"/>
      <c r="S605" s="866"/>
      <c r="T605" s="866"/>
      <c r="U605" s="894"/>
      <c r="V605" s="668"/>
      <c r="W605" s="790"/>
    </row>
    <row r="606" spans="1:27" s="638" customFormat="1" ht="18" customHeight="1">
      <c r="B606" s="639" t="s">
        <v>236</v>
      </c>
      <c r="C606" s="717" t="s">
        <v>3038</v>
      </c>
      <c r="D606" s="662"/>
      <c r="E606" s="17">
        <v>1100</v>
      </c>
      <c r="F606" s="739">
        <v>20</v>
      </c>
      <c r="G606" s="17" t="s">
        <v>2789</v>
      </c>
      <c r="H606" s="100">
        <v>30</v>
      </c>
      <c r="I606" s="101">
        <v>90</v>
      </c>
      <c r="J606" s="6">
        <f>H606*I606</f>
        <v>2700</v>
      </c>
      <c r="K606" s="33">
        <v>32.28</v>
      </c>
      <c r="L606" s="643">
        <f>K606*I606</f>
        <v>2905.2000000000003</v>
      </c>
      <c r="M606" s="672" t="s">
        <v>2791</v>
      </c>
      <c r="N606" s="834">
        <v>46057</v>
      </c>
      <c r="O606" s="707">
        <v>7838</v>
      </c>
      <c r="P606" s="673">
        <f>ROUNDUP(S606/V606/VLOOKUP(B606,$C$2:$F$6,3,FALSE),2)</f>
        <v>25.360000000000003</v>
      </c>
      <c r="Q606" s="674">
        <v>25.36</v>
      </c>
      <c r="R606" s="674">
        <f>Q606*I606</f>
        <v>2282.4</v>
      </c>
      <c r="S606" s="796">
        <v>2130</v>
      </c>
      <c r="T606" s="84">
        <f>S606*I606</f>
        <v>191700</v>
      </c>
      <c r="U606" s="789"/>
      <c r="V606" s="668">
        <v>120</v>
      </c>
      <c r="W606" s="790">
        <f>(((K606*V606)-S606)/(K606*V606))</f>
        <v>0.45012391573729871</v>
      </c>
    </row>
    <row r="607" spans="1:27" s="638" customFormat="1" ht="15.75">
      <c r="B607" s="639"/>
      <c r="C607" s="717" t="s">
        <v>3038</v>
      </c>
      <c r="D607" s="662"/>
      <c r="E607" s="158"/>
      <c r="F607" s="737"/>
      <c r="G607" s="158" t="s">
        <v>250</v>
      </c>
      <c r="H607" s="671"/>
      <c r="I607" s="676"/>
      <c r="J607" s="677">
        <v>1</v>
      </c>
      <c r="K607" s="643">
        <v>12</v>
      </c>
      <c r="L607" s="643">
        <v>12</v>
      </c>
      <c r="M607" s="678"/>
      <c r="N607" s="828">
        <v>46057</v>
      </c>
      <c r="O607" s="707">
        <v>7838</v>
      </c>
      <c r="P607" s="674">
        <v>12</v>
      </c>
      <c r="Q607" s="674">
        <v>12</v>
      </c>
      <c r="R607" s="674">
        <f>Q607*J607</f>
        <v>12</v>
      </c>
      <c r="S607" s="796">
        <v>0</v>
      </c>
      <c r="T607" s="788">
        <v>0</v>
      </c>
      <c r="U607" s="728"/>
      <c r="V607" s="668">
        <v>120</v>
      </c>
      <c r="W607" s="790">
        <f>(((K607*V607)-S607)/(K607*V607))</f>
        <v>1</v>
      </c>
      <c r="Y607" s="638">
        <f>X607*N607</f>
        <v>0</v>
      </c>
    </row>
    <row r="608" spans="1:27" s="709" customFormat="1" ht="15" customHeight="1">
      <c r="B608" s="710"/>
      <c r="C608" s="719" t="s">
        <v>3038</v>
      </c>
      <c r="D608" s="680"/>
      <c r="E608" s="859"/>
      <c r="F608" s="860"/>
      <c r="G608" s="682" t="s">
        <v>210</v>
      </c>
      <c r="H608" s="683" t="s">
        <v>2754</v>
      </c>
      <c r="I608" s="684"/>
      <c r="J608" s="685"/>
      <c r="K608" s="720">
        <v>170</v>
      </c>
      <c r="L608" s="720">
        <v>170</v>
      </c>
      <c r="M608" s="712"/>
      <c r="N608" s="858">
        <v>46057</v>
      </c>
      <c r="O608" s="713">
        <v>7838</v>
      </c>
      <c r="P608" s="687"/>
      <c r="Q608" s="720">
        <v>170</v>
      </c>
      <c r="R608" s="720">
        <v>170</v>
      </c>
      <c r="S608" s="861">
        <v>18316</v>
      </c>
      <c r="T608" s="861">
        <f>S608</f>
        <v>18316</v>
      </c>
      <c r="U608" s="690"/>
      <c r="V608" s="668">
        <v>120</v>
      </c>
      <c r="W608" s="730">
        <f>(((K608*V608)-S608)/(K608*V608))</f>
        <v>0.10215686274509804</v>
      </c>
      <c r="Y608" s="709">
        <f>X608*N608</f>
        <v>0</v>
      </c>
    </row>
    <row r="609" spans="1:27" s="638" customFormat="1" ht="17.25" customHeight="1">
      <c r="B609" s="639"/>
      <c r="C609" s="717" t="s">
        <v>3041</v>
      </c>
      <c r="D609" s="662"/>
      <c r="E609" s="14" t="s">
        <v>2795</v>
      </c>
      <c r="F609" s="739"/>
      <c r="G609" s="17"/>
      <c r="H609" s="100"/>
      <c r="I609" s="101"/>
      <c r="J609" s="6"/>
      <c r="K609" s="505" t="s">
        <v>4</v>
      </c>
      <c r="L609" s="643"/>
      <c r="M609" s="672"/>
      <c r="N609" s="828">
        <v>46073</v>
      </c>
      <c r="O609" s="707">
        <v>7893</v>
      </c>
      <c r="P609" s="673"/>
      <c r="Q609" s="674"/>
      <c r="R609" s="674"/>
      <c r="S609" s="728"/>
      <c r="T609" s="84"/>
      <c r="U609" s="728"/>
      <c r="V609" s="668"/>
    </row>
    <row r="610" spans="1:27" s="638" customFormat="1" ht="17.25" customHeight="1">
      <c r="B610" s="639" t="s">
        <v>236</v>
      </c>
      <c r="C610" s="717" t="s">
        <v>3041</v>
      </c>
      <c r="D610" s="662"/>
      <c r="E610" s="787">
        <v>3544</v>
      </c>
      <c r="F610" s="739" t="s">
        <v>2798</v>
      </c>
      <c r="G610" s="17" t="s">
        <v>3042</v>
      </c>
      <c r="H610" s="100">
        <v>30</v>
      </c>
      <c r="I610" s="101">
        <v>10</v>
      </c>
      <c r="J610" s="6">
        <f>H610*I610</f>
        <v>300</v>
      </c>
      <c r="K610" s="33">
        <v>16.5</v>
      </c>
      <c r="L610" s="643">
        <f>K610*I610</f>
        <v>165</v>
      </c>
      <c r="M610" s="672" t="s">
        <v>255</v>
      </c>
      <c r="N610" s="834">
        <v>46073</v>
      </c>
      <c r="O610" s="707">
        <v>7893</v>
      </c>
      <c r="P610" s="673">
        <f>ROUNDUP(S610/V610/VLOOKUP(B610,$C$2:$F$6,3,FALSE),2)</f>
        <v>14.15</v>
      </c>
      <c r="Q610" s="674">
        <v>14.15</v>
      </c>
      <c r="R610" s="674">
        <f>Q610*I610</f>
        <v>141.5</v>
      </c>
      <c r="S610" s="725">
        <v>1188</v>
      </c>
      <c r="T610" s="84">
        <f>S610*I610</f>
        <v>11880</v>
      </c>
      <c r="U610" s="891"/>
      <c r="V610" s="668">
        <v>120</v>
      </c>
      <c r="W610" s="790">
        <f>(((K610*V610)-S610)/(K610*V610))</f>
        <v>0.4</v>
      </c>
      <c r="Z610" s="725">
        <v>1188</v>
      </c>
      <c r="AA610" s="84">
        <f>Z610*P610</f>
        <v>16810.2</v>
      </c>
    </row>
    <row r="611" spans="1:27" ht="15" customHeight="1">
      <c r="C611" s="717" t="s">
        <v>3041</v>
      </c>
      <c r="D611" s="662"/>
      <c r="E611" s="865" t="s">
        <v>2780</v>
      </c>
      <c r="F611" s="739"/>
      <c r="G611" s="17"/>
      <c r="H611" s="100"/>
      <c r="I611" s="101"/>
      <c r="J611" s="6"/>
      <c r="K611" s="505" t="s">
        <v>4</v>
      </c>
      <c r="L611" s="643"/>
      <c r="M611" s="672"/>
      <c r="N611" s="834">
        <v>46073</v>
      </c>
      <c r="O611" s="882">
        <v>7893</v>
      </c>
      <c r="P611" s="504"/>
      <c r="Q611" s="884"/>
      <c r="R611" s="884"/>
      <c r="S611" s="883"/>
      <c r="T611" s="883"/>
      <c r="U611" s="894"/>
      <c r="V611" s="668"/>
      <c r="W611" s="790"/>
    </row>
    <row r="612" spans="1:27" ht="15" customHeight="1">
      <c r="A612" s="638"/>
      <c r="B612" s="639" t="s">
        <v>236</v>
      </c>
      <c r="C612" s="717" t="s">
        <v>3041</v>
      </c>
      <c r="D612" s="662"/>
      <c r="E612" s="787">
        <v>2200</v>
      </c>
      <c r="F612" s="739">
        <v>18</v>
      </c>
      <c r="G612" s="17" t="s">
        <v>3019</v>
      </c>
      <c r="H612" s="100">
        <v>15</v>
      </c>
      <c r="I612" s="101">
        <v>3</v>
      </c>
      <c r="J612" s="6">
        <f>H612*I612</f>
        <v>45</v>
      </c>
      <c r="K612" s="33">
        <v>19.559999999999999</v>
      </c>
      <c r="L612" s="643">
        <f>K612*I612</f>
        <v>58.679999999999993</v>
      </c>
      <c r="M612" s="672" t="s">
        <v>255</v>
      </c>
      <c r="N612" s="834">
        <v>46073</v>
      </c>
      <c r="O612" s="882">
        <v>7893</v>
      </c>
      <c r="P612" s="666">
        <f>ROUNDUP(S612/V612/VLOOKUP(B612,$C$2:$F$6,3,FALSE),2)</f>
        <v>16.770000000000003</v>
      </c>
      <c r="Q612" s="674">
        <v>16.77</v>
      </c>
      <c r="R612" s="674">
        <f>Q612*I612</f>
        <v>50.31</v>
      </c>
      <c r="S612" s="867">
        <v>1408</v>
      </c>
      <c r="T612" s="74">
        <f>S612*I612</f>
        <v>4224</v>
      </c>
      <c r="U612" s="893"/>
      <c r="V612" s="668">
        <v>120</v>
      </c>
      <c r="W612" s="790">
        <f>(((K612*V612)-S612)/(K612*V612))</f>
        <v>0.40013633265167003</v>
      </c>
    </row>
    <row r="613" spans="1:27" s="638" customFormat="1" ht="17.25" customHeight="1">
      <c r="B613" s="639" t="s">
        <v>236</v>
      </c>
      <c r="C613" s="717" t="s">
        <v>3041</v>
      </c>
      <c r="D613" s="662"/>
      <c r="E613" s="787">
        <v>2200</v>
      </c>
      <c r="F613" s="739">
        <v>24</v>
      </c>
      <c r="G613" s="17" t="s">
        <v>3005</v>
      </c>
      <c r="H613" s="100">
        <v>15</v>
      </c>
      <c r="I613" s="101">
        <v>10</v>
      </c>
      <c r="J613" s="6">
        <f>H613*I613</f>
        <v>150</v>
      </c>
      <c r="K613" s="33">
        <v>24.78</v>
      </c>
      <c r="L613" s="643">
        <f>K613*I613</f>
        <v>247.8</v>
      </c>
      <c r="M613" s="672" t="s">
        <v>255</v>
      </c>
      <c r="N613" s="834">
        <v>46073</v>
      </c>
      <c r="O613" s="707">
        <v>7893</v>
      </c>
      <c r="P613" s="673">
        <f>ROUNDUP(S613/V613/VLOOKUP(B613,$C$2:$F$6,3,FALSE),2)</f>
        <v>21.240000000000002</v>
      </c>
      <c r="Q613" s="674">
        <v>21.24</v>
      </c>
      <c r="R613" s="674">
        <f>Q613*I613</f>
        <v>212.39999999999998</v>
      </c>
      <c r="S613" s="796">
        <v>1784</v>
      </c>
      <c r="T613" s="898">
        <f>S613*I613</f>
        <v>17840</v>
      </c>
      <c r="U613" s="84"/>
      <c r="V613" s="668">
        <v>120</v>
      </c>
      <c r="W613" s="790">
        <f>(((K613*V613)-S613)/(K613*V613))</f>
        <v>0.40005380683346792</v>
      </c>
      <c r="Y613" s="84">
        <f>X613*N613</f>
        <v>0</v>
      </c>
    </row>
    <row r="614" spans="1:27" s="709" customFormat="1" ht="15.75">
      <c r="A614" s="46"/>
      <c r="B614" s="714"/>
      <c r="C614" s="717" t="s">
        <v>3041</v>
      </c>
      <c r="D614" s="662"/>
      <c r="E614" s="158"/>
      <c r="F614" s="737"/>
      <c r="G614" s="158" t="s">
        <v>279</v>
      </c>
      <c r="H614" s="671"/>
      <c r="I614" s="676"/>
      <c r="J614" s="677">
        <v>2</v>
      </c>
      <c r="K614" s="643">
        <v>12</v>
      </c>
      <c r="L614" s="643">
        <f>J614*K614</f>
        <v>24</v>
      </c>
      <c r="M614" s="678"/>
      <c r="N614" s="828">
        <v>46073</v>
      </c>
      <c r="O614" s="707">
        <v>7893</v>
      </c>
      <c r="P614" s="674">
        <v>12</v>
      </c>
      <c r="Q614" s="674">
        <v>12</v>
      </c>
      <c r="R614" s="674">
        <f>Q614*J614</f>
        <v>24</v>
      </c>
      <c r="S614" s="867">
        <v>800</v>
      </c>
      <c r="T614" s="74">
        <f>S614</f>
        <v>800</v>
      </c>
      <c r="U614" s="896"/>
      <c r="V614" s="668">
        <v>120</v>
      </c>
      <c r="W614" s="790">
        <v>1</v>
      </c>
      <c r="X614" s="638"/>
      <c r="Y614" s="84">
        <v>0</v>
      </c>
    </row>
    <row r="615" spans="1:27" s="709" customFormat="1" ht="15" customHeight="1">
      <c r="B615" s="710"/>
      <c r="C615" s="719" t="s">
        <v>3041</v>
      </c>
      <c r="D615" s="680"/>
      <c r="E615" s="859"/>
      <c r="F615" s="860"/>
      <c r="G615" s="682" t="s">
        <v>210</v>
      </c>
      <c r="H615" s="683" t="s">
        <v>2754</v>
      </c>
      <c r="I615" s="684"/>
      <c r="J615" s="685"/>
      <c r="K615" s="720">
        <v>98</v>
      </c>
      <c r="L615" s="720">
        <v>98</v>
      </c>
      <c r="M615" s="712"/>
      <c r="N615" s="858">
        <v>46073</v>
      </c>
      <c r="O615" s="713">
        <v>7893</v>
      </c>
      <c r="P615" s="687"/>
      <c r="Q615" s="720">
        <v>98</v>
      </c>
      <c r="R615" s="720">
        <v>98</v>
      </c>
      <c r="S615" s="861">
        <v>9765</v>
      </c>
      <c r="T615" s="861">
        <v>9765</v>
      </c>
      <c r="U615" s="690"/>
      <c r="V615" s="668">
        <v>120</v>
      </c>
      <c r="W615" s="730">
        <f>(((K615*V615)-S615)/(K615*V615))</f>
        <v>0.16964285714285715</v>
      </c>
      <c r="Y615" s="709">
        <f>X615*N615</f>
        <v>0</v>
      </c>
    </row>
    <row r="616" spans="1:27" s="638" customFormat="1" ht="17.25" customHeight="1">
      <c r="B616" s="639"/>
      <c r="C616" s="717" t="s">
        <v>3049</v>
      </c>
      <c r="D616" s="662"/>
      <c r="E616" s="14" t="s">
        <v>3047</v>
      </c>
      <c r="F616" s="739"/>
      <c r="G616" s="17"/>
      <c r="H616" s="100"/>
      <c r="I616" s="101"/>
      <c r="J616" s="6"/>
      <c r="K616" s="505" t="s">
        <v>2975</v>
      </c>
      <c r="L616" s="643"/>
      <c r="M616" s="672"/>
      <c r="N616" s="828">
        <v>46090</v>
      </c>
      <c r="O616" s="707">
        <v>7945</v>
      </c>
      <c r="P616" s="673"/>
      <c r="Q616" s="674"/>
      <c r="R616" s="674"/>
      <c r="S616" s="728"/>
      <c r="T616" s="84"/>
      <c r="U616" s="728"/>
      <c r="V616" s="668"/>
      <c r="Y616" s="830" t="s">
        <v>3043</v>
      </c>
    </row>
    <row r="617" spans="1:27" s="638" customFormat="1" ht="18" customHeight="1">
      <c r="B617" s="639" t="s">
        <v>3044</v>
      </c>
      <c r="C617" s="717" t="s">
        <v>3049</v>
      </c>
      <c r="D617" s="662"/>
      <c r="E617" s="787">
        <v>1100</v>
      </c>
      <c r="F617" s="739">
        <v>15</v>
      </c>
      <c r="G617" s="17" t="s">
        <v>3045</v>
      </c>
      <c r="H617" s="100">
        <v>30</v>
      </c>
      <c r="I617" s="101">
        <v>22</v>
      </c>
      <c r="J617" s="6">
        <f>H617*I617</f>
        <v>660</v>
      </c>
      <c r="K617" s="33">
        <v>26.37</v>
      </c>
      <c r="L617" s="643">
        <f>K617*I617</f>
        <v>580.14</v>
      </c>
      <c r="M617" s="672" t="s">
        <v>3046</v>
      </c>
      <c r="N617" s="828">
        <v>46090</v>
      </c>
      <c r="O617" s="707">
        <v>7945</v>
      </c>
      <c r="P617" s="673">
        <f>ROUNDUP(S617/V617/VLOOKUP(B617,$C$2:$F$6,3,FALSE),2)</f>
        <v>20.720000000000002</v>
      </c>
      <c r="Q617" s="674">
        <v>20.72</v>
      </c>
      <c r="R617" s="674">
        <f>Q617*I617</f>
        <v>455.84</v>
      </c>
      <c r="S617" s="796">
        <v>1740</v>
      </c>
      <c r="T617" s="84">
        <f>S617*I617</f>
        <v>38280</v>
      </c>
      <c r="U617" s="789"/>
      <c r="V617" s="668">
        <v>120</v>
      </c>
      <c r="W617" s="790">
        <f>(((K617*V617)-S617)/(K617*V617))</f>
        <v>0.45013272658323855</v>
      </c>
    </row>
    <row r="618" spans="1:27" s="709" customFormat="1" ht="15.75">
      <c r="A618" s="46"/>
      <c r="B618" s="714"/>
      <c r="C618" s="717" t="s">
        <v>3049</v>
      </c>
      <c r="D618" s="662"/>
      <c r="E618" s="158"/>
      <c r="F618" s="737"/>
      <c r="G618" s="158" t="s">
        <v>279</v>
      </c>
      <c r="H618" s="671"/>
      <c r="I618" s="676"/>
      <c r="J618" s="677">
        <v>1</v>
      </c>
      <c r="K618" s="643">
        <v>12</v>
      </c>
      <c r="L618" s="643">
        <f>J618*K618</f>
        <v>12</v>
      </c>
      <c r="M618" s="678"/>
      <c r="N618" s="828">
        <v>46090</v>
      </c>
      <c r="O618" s="707">
        <v>7945</v>
      </c>
      <c r="P618" s="674">
        <v>12</v>
      </c>
      <c r="Q618" s="674">
        <v>12</v>
      </c>
      <c r="R618" s="674">
        <f>Q618*J618</f>
        <v>12</v>
      </c>
      <c r="S618" s="867">
        <v>0</v>
      </c>
      <c r="T618" s="74">
        <f>S618</f>
        <v>0</v>
      </c>
      <c r="U618" s="896"/>
      <c r="V618" s="668">
        <v>120</v>
      </c>
      <c r="W618" s="790">
        <v>1</v>
      </c>
      <c r="X618" s="638"/>
      <c r="Y618" s="84">
        <v>0</v>
      </c>
    </row>
    <row r="619" spans="1:27" s="709" customFormat="1" ht="15" customHeight="1">
      <c r="B619" s="710"/>
      <c r="C619" s="719" t="s">
        <v>3048</v>
      </c>
      <c r="D619" s="680"/>
      <c r="E619" s="859"/>
      <c r="F619" s="860"/>
      <c r="G619" s="682" t="s">
        <v>210</v>
      </c>
      <c r="H619" s="683" t="s">
        <v>2754</v>
      </c>
      <c r="I619" s="684"/>
      <c r="J619" s="685"/>
      <c r="K619" s="720">
        <v>115</v>
      </c>
      <c r="L619" s="720">
        <v>115</v>
      </c>
      <c r="M619" s="712"/>
      <c r="N619" s="858">
        <v>46090</v>
      </c>
      <c r="O619" s="713">
        <v>7945</v>
      </c>
      <c r="P619" s="687"/>
      <c r="Q619" s="720">
        <v>115</v>
      </c>
      <c r="R619" s="720">
        <v>115</v>
      </c>
      <c r="S619" s="932">
        <v>12420</v>
      </c>
      <c r="T619" s="932">
        <v>12420</v>
      </c>
      <c r="U619" s="690"/>
      <c r="V619" s="668">
        <v>120</v>
      </c>
      <c r="W619" s="730">
        <f>(((K619*V619)-S619)/(K619*V619))</f>
        <v>0.1</v>
      </c>
      <c r="Y619" s="709">
        <f>X619*N619</f>
        <v>0</v>
      </c>
    </row>
    <row r="620" spans="1:27" ht="15.75">
      <c r="C620" s="717" t="s">
        <v>3056</v>
      </c>
      <c r="D620" s="662"/>
      <c r="E620" s="14" t="s">
        <v>2935</v>
      </c>
      <c r="F620" s="739"/>
      <c r="G620" s="17"/>
      <c r="H620" s="100"/>
      <c r="I620" s="101"/>
      <c r="J620" s="6"/>
      <c r="K620" s="505" t="s">
        <v>4</v>
      </c>
      <c r="L620" s="643"/>
      <c r="M620" s="672"/>
      <c r="N620" s="828">
        <v>46092</v>
      </c>
      <c r="O620" s="707">
        <v>7953</v>
      </c>
      <c r="P620" s="504"/>
      <c r="Q620" s="884"/>
      <c r="R620" s="884"/>
      <c r="S620" s="866"/>
      <c r="T620" s="866"/>
      <c r="U620" s="894"/>
      <c r="V620" s="668"/>
      <c r="W620" s="790"/>
    </row>
    <row r="621" spans="1:27" s="638" customFormat="1" ht="18" customHeight="1">
      <c r="B621" s="639" t="s">
        <v>236</v>
      </c>
      <c r="C621" s="717" t="s">
        <v>3056</v>
      </c>
      <c r="D621" s="662"/>
      <c r="E621" s="17">
        <v>1100</v>
      </c>
      <c r="F621" s="739">
        <v>20</v>
      </c>
      <c r="G621" s="17" t="s">
        <v>2793</v>
      </c>
      <c r="H621" s="100">
        <v>30</v>
      </c>
      <c r="I621" s="101">
        <v>20</v>
      </c>
      <c r="J621" s="6">
        <f>H621*I621</f>
        <v>600</v>
      </c>
      <c r="K621" s="33">
        <v>29.55</v>
      </c>
      <c r="L621" s="643">
        <f>K621*I621</f>
        <v>591</v>
      </c>
      <c r="M621" s="672" t="s">
        <v>2791</v>
      </c>
      <c r="N621" s="834">
        <v>46092</v>
      </c>
      <c r="O621" s="707">
        <v>7953</v>
      </c>
      <c r="P621" s="673">
        <f>ROUNDUP(S621/V621/VLOOKUP(B621,$C$2:$F$6,3,FALSE),2)</f>
        <v>23.220000000000002</v>
      </c>
      <c r="Q621" s="674">
        <v>23.22</v>
      </c>
      <c r="R621" s="674">
        <f>Q621*I621</f>
        <v>464.4</v>
      </c>
      <c r="S621" s="796">
        <v>1950</v>
      </c>
      <c r="T621" s="84">
        <f>S621*I621</f>
        <v>39000</v>
      </c>
      <c r="U621" s="789"/>
      <c r="V621" s="668">
        <v>120</v>
      </c>
      <c r="W621" s="790">
        <f>(((K621*V621)-S621)/(K621*V621))</f>
        <v>0.45008460236886633</v>
      </c>
    </row>
    <row r="622" spans="1:27" s="638" customFormat="1" ht="15.75">
      <c r="B622" s="639"/>
      <c r="C622" s="717" t="s">
        <v>3056</v>
      </c>
      <c r="D622" s="662"/>
      <c r="E622" s="158"/>
      <c r="F622" s="737"/>
      <c r="G622" s="158" t="s">
        <v>250</v>
      </c>
      <c r="H622" s="671"/>
      <c r="I622" s="676"/>
      <c r="J622" s="677">
        <v>1</v>
      </c>
      <c r="K622" s="643">
        <v>12</v>
      </c>
      <c r="L622" s="643">
        <v>12</v>
      </c>
      <c r="M622" s="678"/>
      <c r="N622" s="828">
        <v>46092</v>
      </c>
      <c r="O622" s="707">
        <v>7953</v>
      </c>
      <c r="P622" s="674">
        <v>12</v>
      </c>
      <c r="Q622" s="674">
        <v>12</v>
      </c>
      <c r="R622" s="674">
        <f>Q622*J622</f>
        <v>12</v>
      </c>
      <c r="S622" s="796">
        <v>0</v>
      </c>
      <c r="T622" s="788">
        <v>0</v>
      </c>
      <c r="U622" s="728"/>
      <c r="V622" s="668">
        <v>120</v>
      </c>
      <c r="W622" s="790">
        <f>(((K622*V622)-S622)/(K622*V622))</f>
        <v>1</v>
      </c>
      <c r="Y622" s="638">
        <f>X622*N622</f>
        <v>0</v>
      </c>
    </row>
    <row r="623" spans="1:27" s="709" customFormat="1" ht="15" customHeight="1">
      <c r="B623" s="710"/>
      <c r="C623" s="719" t="s">
        <v>3056</v>
      </c>
      <c r="D623" s="680"/>
      <c r="E623" s="859"/>
      <c r="F623" s="860"/>
      <c r="G623" s="682" t="s">
        <v>210</v>
      </c>
      <c r="H623" s="683" t="s">
        <v>2754</v>
      </c>
      <c r="I623" s="684"/>
      <c r="J623" s="685"/>
      <c r="K623" s="720"/>
      <c r="L623" s="720">
        <v>122</v>
      </c>
      <c r="M623" s="712"/>
      <c r="N623" s="858">
        <v>46092</v>
      </c>
      <c r="O623" s="713">
        <v>7953</v>
      </c>
      <c r="P623" s="687"/>
      <c r="Q623" s="720"/>
      <c r="R623" s="720">
        <v>122</v>
      </c>
      <c r="S623" s="932">
        <v>13123</v>
      </c>
      <c r="T623" s="932">
        <f>S623</f>
        <v>13123</v>
      </c>
      <c r="U623" s="690"/>
      <c r="V623" s="668">
        <v>120</v>
      </c>
      <c r="W623" s="730" t="e">
        <f>(((K623*V623)-S623)/(K623*V623))</f>
        <v>#DIV/0!</v>
      </c>
      <c r="Y623" s="709">
        <f>X623*N623</f>
        <v>0</v>
      </c>
    </row>
    <row r="624" spans="1:27" ht="18" customHeight="1">
      <c r="V624" s="668">
        <v>120</v>
      </c>
      <c r="W624" s="730" t="e">
        <f t="shared" ref="W624:W638" si="142">(((K624*V624)-S624)/(K624*V624))</f>
        <v>#DIV/0!</v>
      </c>
    </row>
    <row r="625" spans="22:23" ht="18" customHeight="1">
      <c r="V625" s="668">
        <v>120</v>
      </c>
      <c r="W625" s="730" t="e">
        <f t="shared" si="142"/>
        <v>#DIV/0!</v>
      </c>
    </row>
    <row r="626" spans="22:23" ht="18" customHeight="1">
      <c r="V626" s="668">
        <v>120</v>
      </c>
      <c r="W626" s="730" t="e">
        <f t="shared" si="142"/>
        <v>#DIV/0!</v>
      </c>
    </row>
    <row r="627" spans="22:23" ht="18" customHeight="1">
      <c r="V627" s="668">
        <v>120</v>
      </c>
      <c r="W627" s="730" t="e">
        <f t="shared" si="142"/>
        <v>#DIV/0!</v>
      </c>
    </row>
    <row r="628" spans="22:23" ht="18" customHeight="1">
      <c r="V628" s="668">
        <v>120</v>
      </c>
      <c r="W628" s="730" t="e">
        <f t="shared" si="142"/>
        <v>#DIV/0!</v>
      </c>
    </row>
    <row r="629" spans="22:23" ht="18" customHeight="1">
      <c r="V629" s="668">
        <v>120</v>
      </c>
      <c r="W629" s="730" t="e">
        <f t="shared" si="142"/>
        <v>#DIV/0!</v>
      </c>
    </row>
    <row r="630" spans="22:23" ht="18" customHeight="1">
      <c r="V630" s="668">
        <v>120</v>
      </c>
      <c r="W630" s="730" t="e">
        <f t="shared" si="142"/>
        <v>#DIV/0!</v>
      </c>
    </row>
    <row r="631" spans="22:23" ht="15">
      <c r="V631" s="668">
        <v>120</v>
      </c>
      <c r="W631" s="730" t="e">
        <f t="shared" si="142"/>
        <v>#DIV/0!</v>
      </c>
    </row>
    <row r="632" spans="22:23" ht="18" customHeight="1">
      <c r="V632" s="668">
        <v>120</v>
      </c>
      <c r="W632" s="730" t="e">
        <f t="shared" si="142"/>
        <v>#DIV/0!</v>
      </c>
    </row>
    <row r="633" spans="22:23" ht="18" customHeight="1">
      <c r="V633" s="668">
        <v>120</v>
      </c>
      <c r="W633" s="730" t="e">
        <f t="shared" si="142"/>
        <v>#DIV/0!</v>
      </c>
    </row>
    <row r="634" spans="22:23" ht="18" customHeight="1">
      <c r="V634" s="668">
        <v>120</v>
      </c>
      <c r="W634" s="730" t="e">
        <f t="shared" si="142"/>
        <v>#DIV/0!</v>
      </c>
    </row>
    <row r="635" spans="22:23" ht="18" customHeight="1">
      <c r="V635" s="668">
        <v>120</v>
      </c>
      <c r="W635" s="730" t="e">
        <f t="shared" si="142"/>
        <v>#DIV/0!</v>
      </c>
    </row>
    <row r="636" spans="22:23" ht="18" customHeight="1">
      <c r="V636" s="668">
        <v>120</v>
      </c>
      <c r="W636" s="730" t="e">
        <f t="shared" si="142"/>
        <v>#DIV/0!</v>
      </c>
    </row>
    <row r="637" spans="22:23" ht="18" customHeight="1">
      <c r="V637" s="668">
        <v>120</v>
      </c>
      <c r="W637" s="730" t="e">
        <f t="shared" si="142"/>
        <v>#DIV/0!</v>
      </c>
    </row>
    <row r="638" spans="22:23" ht="18" customHeight="1">
      <c r="V638" s="668">
        <v>120</v>
      </c>
      <c r="W638" s="730" t="e">
        <f t="shared" si="142"/>
        <v>#DIV/0!</v>
      </c>
    </row>
    <row r="639" spans="22:23" ht="18" customHeight="1">
      <c r="V639" s="668">
        <v>120</v>
      </c>
    </row>
    <row r="640" spans="22:23" ht="18" customHeight="1">
      <c r="V640" s="668">
        <v>120</v>
      </c>
    </row>
    <row r="641" spans="22:22" ht="18" customHeight="1">
      <c r="V641" s="668">
        <v>120</v>
      </c>
    </row>
    <row r="642" spans="22:22" ht="18" customHeight="1">
      <c r="V642" s="668">
        <v>120</v>
      </c>
    </row>
    <row r="643" spans="22:22" ht="18" customHeight="1">
      <c r="V643" s="668">
        <v>120</v>
      </c>
    </row>
    <row r="644" spans="22:22" ht="18" customHeight="1">
      <c r="V644" s="668">
        <v>120</v>
      </c>
    </row>
    <row r="742" ht="15"/>
    <row r="755" ht="15"/>
    <row r="846" ht="15"/>
    <row r="859" ht="15"/>
    <row r="968" ht="15"/>
    <row r="975" ht="15"/>
    <row r="980" ht="15"/>
    <row r="981" ht="15"/>
    <row r="984" ht="15"/>
    <row r="988" ht="15"/>
    <row r="993" ht="15"/>
    <row r="997" ht="15"/>
    <row r="1058" ht="15"/>
    <row r="1071" ht="15"/>
    <row r="1097" ht="15"/>
    <row r="1101" ht="15"/>
    <row r="1110" ht="15"/>
    <row r="1114" ht="15"/>
    <row r="1128" spans="8:10" ht="15"/>
    <row r="1132" spans="8:10" ht="18" customHeight="1">
      <c r="H1132" s="46" ph="1"/>
      <c r="I1132" s="46" ph="1"/>
      <c r="J1132" s="46" ph="1"/>
    </row>
    <row r="1133" spans="8:10" ht="18" customHeight="1">
      <c r="H1133" s="46" ph="1"/>
      <c r="I1133" s="46" ph="1"/>
      <c r="J1133" s="46" ph="1"/>
    </row>
    <row r="1134" spans="8:10" ht="18" customHeight="1">
      <c r="H1134" s="46" ph="1"/>
      <c r="I1134" s="46" ph="1"/>
      <c r="J1134" s="46" ph="1"/>
    </row>
    <row r="1135" spans="8:10" ht="18" customHeight="1">
      <c r="H1135" s="46" ph="1"/>
      <c r="I1135" s="46" ph="1"/>
      <c r="J1135" s="46" ph="1"/>
    </row>
    <row r="1141" spans="8:10" ht="15"/>
    <row r="1147" spans="8:10" ht="18" customHeight="1">
      <c r="H1147" s="46" ph="1"/>
      <c r="I1147" s="46" ph="1"/>
      <c r="J1147" s="46" ph="1"/>
    </row>
    <row r="1148" spans="8:10" ht="18" customHeight="1">
      <c r="H1148" s="46" ph="1"/>
      <c r="I1148" s="46" ph="1"/>
      <c r="J1148" s="46" ph="1"/>
    </row>
    <row r="1149" spans="8:10" ht="18" customHeight="1">
      <c r="H1149" s="46" ph="1"/>
      <c r="I1149" s="46" ph="1"/>
      <c r="J1149" s="46" ph="1"/>
    </row>
    <row r="1150" spans="8:10" ht="18" customHeight="1">
      <c r="H1150" s="46" ph="1"/>
      <c r="I1150" s="46" ph="1"/>
      <c r="J1150" s="46" ph="1"/>
    </row>
    <row r="1151" spans="8:10" ht="18" customHeight="1">
      <c r="H1151" s="46" ph="1"/>
      <c r="I1151" s="46" ph="1"/>
      <c r="J1151" s="46" ph="1"/>
    </row>
    <row r="1165" ht="15"/>
    <row r="1169" spans="9:10" ht="18" customHeight="1">
      <c r="I1169" s="46" ph="1"/>
      <c r="J1169" s="46" ph="1"/>
    </row>
    <row r="1173" spans="9:10" ht="15"/>
    <row r="1177" spans="9:10" ht="18" customHeight="1">
      <c r="I1177" s="46" ph="1"/>
      <c r="J1177" s="46" ph="1"/>
    </row>
    <row r="1178" spans="9:10" ht="15"/>
    <row r="1180" spans="9:10" ht="18" customHeight="1">
      <c r="I1180" s="46" ph="1"/>
      <c r="J1180" s="46" ph="1"/>
    </row>
    <row r="1181" spans="9:10" ht="18" customHeight="1">
      <c r="I1181" s="46" ph="1"/>
      <c r="J1181" s="46" ph="1"/>
    </row>
    <row r="1184" spans="9:10" ht="18" customHeight="1">
      <c r="I1184" s="46" ph="1"/>
      <c r="J1184" s="46" ph="1"/>
    </row>
    <row r="1186" spans="9:10" ht="15"/>
    <row r="1194" spans="9:10" ht="18" customHeight="1">
      <c r="I1194" s="46" ph="1"/>
      <c r="J1194" s="46" ph="1"/>
    </row>
    <row r="1362" ht="15"/>
    <row r="1375" ht="15"/>
    <row r="1641" ht="15"/>
    <row r="1654" ht="15"/>
    <row r="1715" spans="5:5" ht="18" customHeight="1">
      <c r="E1715" s="46" ph="1"/>
    </row>
    <row r="1716" spans="5:5" ht="18" customHeight="1">
      <c r="E1716" s="46" ph="1"/>
    </row>
    <row r="1717" spans="5:5" ht="18" customHeight="1">
      <c r="E1717" s="46" ph="1"/>
    </row>
    <row r="1761" spans="5:5" ht="18" customHeight="1">
      <c r="E1761" s="46" ph="1"/>
    </row>
    <row r="1763" spans="5:5" ht="15"/>
    <row r="1770" spans="5:5" ht="15"/>
    <row r="1775" spans="5:5" ht="15"/>
    <row r="1776" spans="5:5" ht="15"/>
    <row r="1779" ht="15"/>
    <row r="1783" ht="15"/>
    <row r="1788" ht="15"/>
    <row r="1792" ht="15"/>
    <row r="1853" ht="15"/>
    <row r="1866" ht="15"/>
    <row r="1892" ht="15"/>
    <row r="1896" ht="15"/>
    <row r="1905" ht="15"/>
    <row r="1909" ht="15"/>
    <row r="1923" ht="15"/>
    <row r="1936" ht="15"/>
    <row r="1960" ht="15"/>
    <row r="1968" ht="15"/>
    <row r="1973" ht="15"/>
    <row r="1981" ht="15"/>
    <row r="2157" ht="15"/>
    <row r="2165" ht="15"/>
    <row r="2168" ht="15"/>
    <row r="2170" ht="15"/>
    <row r="2173" ht="15"/>
    <row r="2177" ht="15"/>
    <row r="2178" ht="15"/>
    <row r="2180" ht="15"/>
    <row r="2181" ht="15"/>
    <row r="2183" ht="15"/>
    <row r="2184" ht="15"/>
    <row r="2186" ht="15"/>
    <row r="2188" ht="15"/>
    <row r="2190" ht="15"/>
    <row r="2191" ht="15"/>
    <row r="2192" ht="15"/>
    <row r="2193" ht="15"/>
    <row r="2194" ht="15"/>
    <row r="2196" ht="15"/>
    <row r="2197" ht="15"/>
    <row r="2200" ht="15"/>
    <row r="2201" ht="15"/>
    <row r="2202" ht="15"/>
    <row r="2203" ht="15"/>
    <row r="2204" ht="15"/>
    <row r="2205" ht="15"/>
    <row r="2206" ht="15"/>
    <row r="2207" ht="15"/>
    <row r="2208" ht="15"/>
    <row r="2209" ht="15"/>
    <row r="2210" ht="15"/>
    <row r="2211" ht="15"/>
    <row r="2213" ht="15"/>
    <row r="2214" ht="15"/>
    <row r="2215" ht="15"/>
    <row r="2216" ht="15"/>
    <row r="2217" ht="15"/>
    <row r="2218" ht="15"/>
    <row r="2219" ht="15"/>
    <row r="2220" ht="15"/>
    <row r="2221" ht="15"/>
    <row r="2222" ht="15"/>
    <row r="2223" ht="15"/>
    <row r="2224" ht="15"/>
    <row r="2225" spans="5:5" ht="15"/>
    <row r="2226" spans="5:5" ht="15"/>
    <row r="2227" spans="5:5" ht="15"/>
    <row r="2228" spans="5:5" ht="15"/>
    <row r="2229" spans="5:5" ht="15"/>
    <row r="2230" spans="5:5" ht="15"/>
    <row r="2231" spans="5:5" ht="15"/>
    <row r="2232" spans="5:5" ht="15"/>
    <row r="2233" spans="5:5" ht="15"/>
    <row r="2234" spans="5:5" ht="15"/>
    <row r="2235" spans="5:5" ht="15"/>
    <row r="2236" spans="5:5" ht="15"/>
    <row r="2237" spans="5:5" ht="15"/>
    <row r="2238" spans="5:5" ht="18" customHeight="1">
      <c r="E2238" s="46" ph="1"/>
    </row>
    <row r="2239" spans="5:5" ht="18" customHeight="1">
      <c r="E2239" s="46" ph="1"/>
    </row>
    <row r="2240" spans="5:5" ht="18" customHeight="1">
      <c r="E2240" s="46" ph="1"/>
    </row>
    <row r="2241" spans="5:5" ht="18" customHeight="1">
      <c r="E2241" s="46" ph="1"/>
    </row>
    <row r="2242" spans="5:5" ht="18" customHeight="1">
      <c r="E2242" s="46" ph="1"/>
    </row>
    <row r="2243" spans="5:5" ht="18" customHeight="1">
      <c r="E2243" s="46" ph="1"/>
    </row>
    <row r="2244" spans="5:5" ht="18" customHeight="1">
      <c r="E2244" s="46" ph="1"/>
    </row>
    <row r="2245" spans="5:5" ht="15"/>
    <row r="2246" spans="5:5" ht="15"/>
    <row r="2247" spans="5:5" ht="15"/>
    <row r="2248" spans="5:5" ht="15"/>
    <row r="2249" spans="5:5" ht="15"/>
    <row r="2250" spans="5:5" ht="15"/>
    <row r="2251" spans="5:5" ht="15"/>
    <row r="2252" spans="5:5" ht="15"/>
    <row r="2253" spans="5:5" ht="15"/>
    <row r="2254" spans="5:5" ht="15"/>
    <row r="2255" spans="5:5" ht="15"/>
    <row r="2256" spans="5:5" ht="15"/>
    <row r="2257" ht="15"/>
    <row r="2258" ht="15"/>
    <row r="2259" ht="15"/>
    <row r="2260" ht="15"/>
    <row r="2261" ht="15"/>
    <row r="2262" ht="15"/>
    <row r="2263" ht="15"/>
    <row r="2264" ht="15"/>
    <row r="2265" ht="15"/>
    <row r="2266" ht="15"/>
    <row r="2267" ht="15"/>
    <row r="2268" ht="15"/>
    <row r="2269" ht="15"/>
    <row r="2270" ht="15"/>
    <row r="2271" ht="15"/>
    <row r="2272" ht="15"/>
    <row r="2273" ht="15"/>
    <row r="2274" ht="15"/>
    <row r="2275" ht="15"/>
    <row r="2276" ht="15"/>
    <row r="2277" ht="15"/>
    <row r="2278" ht="15"/>
    <row r="2279" ht="15"/>
    <row r="2280" ht="15"/>
    <row r="2281" ht="15"/>
    <row r="2282" ht="15"/>
    <row r="2283" ht="15"/>
    <row r="2284" ht="15"/>
    <row r="2285" ht="15"/>
    <row r="2286" ht="15"/>
    <row r="2287" ht="15"/>
    <row r="2288" ht="15"/>
    <row r="2289" ht="15"/>
    <row r="2290" ht="15"/>
    <row r="2291" ht="15"/>
    <row r="2292" ht="15"/>
    <row r="2293" ht="15"/>
    <row r="2294" ht="15"/>
    <row r="2295" ht="15"/>
    <row r="2296" ht="15"/>
    <row r="2297" ht="15"/>
    <row r="2298" ht="15"/>
    <row r="2299" ht="15"/>
    <row r="2300" ht="15"/>
    <row r="2301" ht="15"/>
    <row r="2302" ht="15"/>
    <row r="2303" ht="15"/>
    <row r="2304" ht="15"/>
    <row r="2305" ht="15"/>
    <row r="2306" ht="15"/>
    <row r="2307" ht="15"/>
    <row r="2308" ht="15"/>
    <row r="2309" ht="15"/>
    <row r="2310" ht="15"/>
    <row r="2311" ht="15"/>
    <row r="2312" ht="15"/>
    <row r="2313" ht="15"/>
    <row r="2314" ht="15"/>
    <row r="2315" ht="15"/>
    <row r="2316" ht="15"/>
    <row r="2317" ht="15"/>
    <row r="2318" ht="15"/>
    <row r="2319" ht="15"/>
    <row r="2320" ht="15"/>
    <row r="2321" ht="15"/>
    <row r="2322" ht="15"/>
    <row r="2323" ht="15"/>
    <row r="2324" ht="15"/>
    <row r="2325" ht="15"/>
    <row r="2326" ht="15"/>
    <row r="2327" ht="15"/>
    <row r="2328" ht="15"/>
    <row r="2329" ht="15"/>
    <row r="2330" ht="15"/>
    <row r="2331" ht="15"/>
    <row r="2332" ht="15"/>
    <row r="2333" ht="15"/>
    <row r="2334" ht="15"/>
    <row r="2335" ht="15"/>
    <row r="2336" ht="15"/>
    <row r="2337" ht="15"/>
    <row r="2338" ht="15"/>
    <row r="2339" ht="15"/>
    <row r="2340" ht="15"/>
    <row r="2341" ht="15"/>
    <row r="2342" ht="15"/>
    <row r="2343" ht="15"/>
    <row r="2344" ht="15"/>
    <row r="2345" ht="15"/>
    <row r="2346" ht="15"/>
    <row r="2347" ht="15"/>
    <row r="2348" ht="15"/>
    <row r="2349" ht="15"/>
    <row r="2350" ht="15"/>
    <row r="2351" ht="15"/>
    <row r="2352" ht="15"/>
    <row r="2353" ht="15"/>
    <row r="2354" ht="15"/>
    <row r="2355" ht="15"/>
    <row r="2356" ht="15"/>
    <row r="2357" ht="15"/>
    <row r="2358" ht="15"/>
    <row r="2359" ht="15"/>
    <row r="2360" ht="15"/>
    <row r="2361" ht="15"/>
    <row r="2362" ht="15"/>
    <row r="2363" ht="15"/>
    <row r="2364" ht="15"/>
    <row r="2365" ht="15"/>
    <row r="2366" ht="15"/>
    <row r="2367" ht="15"/>
    <row r="2368" ht="15"/>
    <row r="2369" ht="15"/>
    <row r="2370" ht="15"/>
    <row r="2371" ht="15"/>
    <row r="2372" ht="15"/>
    <row r="2373" ht="15"/>
    <row r="2374" ht="15"/>
    <row r="2375" ht="15"/>
    <row r="2376" ht="15"/>
    <row r="2377" ht="15"/>
    <row r="2378" ht="15"/>
    <row r="2379" ht="15"/>
    <row r="2380" ht="15"/>
    <row r="2381" ht="15"/>
    <row r="2382" ht="15"/>
    <row r="2383" ht="15"/>
    <row r="2384" ht="15"/>
    <row r="2385" ht="15"/>
    <row r="2386" ht="15"/>
    <row r="2387" ht="15"/>
    <row r="2388" ht="15"/>
    <row r="2389" ht="15"/>
    <row r="2390" ht="15"/>
    <row r="2391" ht="15"/>
    <row r="2392" ht="15"/>
    <row r="2393" ht="15"/>
    <row r="2394" ht="15"/>
    <row r="2395" ht="15"/>
    <row r="2396" ht="15"/>
    <row r="2397" ht="15"/>
    <row r="2398" ht="15"/>
    <row r="2399" ht="15"/>
    <row r="2400" ht="15"/>
    <row r="2401" ht="15"/>
    <row r="2402" ht="15"/>
    <row r="2403" ht="15"/>
    <row r="2404" ht="15"/>
    <row r="2405" ht="15"/>
    <row r="2406" ht="15"/>
    <row r="2407" ht="15"/>
    <row r="2408" ht="15"/>
    <row r="2409" ht="15"/>
    <row r="2410" ht="15"/>
    <row r="2411" ht="15"/>
    <row r="2412" ht="15"/>
    <row r="2413" ht="15"/>
    <row r="2414" ht="15"/>
    <row r="2415" ht="15"/>
    <row r="2416" ht="15"/>
    <row r="2417" ht="15"/>
    <row r="2418" ht="15"/>
    <row r="2419" ht="15"/>
    <row r="2420" ht="15"/>
    <row r="2421" ht="15"/>
    <row r="2422" ht="15"/>
    <row r="2423" ht="15"/>
    <row r="2424" ht="15"/>
    <row r="2425" ht="15"/>
    <row r="2426" ht="15"/>
    <row r="2427" ht="15"/>
    <row r="2428" ht="15"/>
    <row r="2429" ht="15"/>
    <row r="2430" ht="15"/>
    <row r="2431" ht="15"/>
    <row r="2432" ht="15"/>
    <row r="2433" ht="15"/>
    <row r="2434" ht="15"/>
    <row r="2435" ht="15"/>
    <row r="2436" ht="15"/>
    <row r="2437" ht="15"/>
    <row r="2438" ht="15"/>
    <row r="2439" ht="15"/>
    <row r="3133" spans="5:5" ht="18" customHeight="1">
      <c r="E3133" s="46" ph="1"/>
    </row>
    <row r="3134" spans="5:5" ht="18" customHeight="1">
      <c r="E3134" s="46" ph="1"/>
    </row>
    <row r="3135" spans="5:5" ht="18" customHeight="1">
      <c r="E3135" s="46" ph="1"/>
    </row>
    <row r="3136" spans="5:5" ht="18" customHeight="1">
      <c r="E3136" s="46" ph="1"/>
    </row>
    <row r="3137" spans="5:5" ht="18" customHeight="1">
      <c r="E3137" s="46" ph="1"/>
    </row>
    <row r="3324" spans="9:10" ht="18" customHeight="1">
      <c r="I3324" s="46" ph="1"/>
      <c r="J3324" s="46" ph="1"/>
    </row>
    <row r="3325" spans="9:10" ht="18" customHeight="1">
      <c r="I3325" s="46" ph="1"/>
      <c r="J3325" s="46" ph="1"/>
    </row>
    <row r="3338" spans="9:10" ht="18" customHeight="1">
      <c r="I3338" s="46" ph="1"/>
      <c r="J3338" s="46" ph="1"/>
    </row>
    <row r="3352" spans="9:10" ht="18" customHeight="1">
      <c r="I3352" s="46" ph="1"/>
      <c r="J3352" s="46" ph="1"/>
    </row>
    <row r="3360" spans="9:10" ht="18" customHeight="1">
      <c r="I3360" s="46" ph="1"/>
      <c r="J3360" s="46" ph="1"/>
    </row>
    <row r="3398" spans="9:10" ht="18" customHeight="1">
      <c r="I3398" s="46" ph="1"/>
      <c r="J3398" s="46" ph="1"/>
    </row>
    <row r="3405" spans="9:10" ht="18" customHeight="1">
      <c r="I3405" s="46" ph="1"/>
      <c r="J3405" s="46" ph="1"/>
    </row>
    <row r="3441" spans="9:10" ht="18" customHeight="1">
      <c r="I3441" s="46" ph="1"/>
      <c r="J3441" s="46" ph="1"/>
    </row>
    <row r="3456" spans="9:10" ht="18" customHeight="1">
      <c r="I3456" s="46" ph="1"/>
      <c r="J3456" s="46" ph="1"/>
    </row>
    <row r="3580" spans="5:5" ht="18" customHeight="1">
      <c r="E3580" s="46" ph="1"/>
    </row>
    <row r="3665" spans="9:10" ht="18" customHeight="1">
      <c r="I3665" s="46" ph="1"/>
      <c r="J3665" s="46" ph="1"/>
    </row>
    <row r="3679" spans="9:10" ht="18" customHeight="1">
      <c r="I3679" s="46" ph="1"/>
      <c r="J3679" s="46" ph="1"/>
    </row>
    <row r="3685" spans="9:10" ht="18" customHeight="1">
      <c r="I3685" s="46" ph="1"/>
      <c r="J3685" s="46" ph="1"/>
    </row>
    <row r="3725" spans="9:10" ht="18" customHeight="1">
      <c r="I3725" s="46" ph="1"/>
      <c r="J3725" s="46" ph="1"/>
    </row>
    <row r="3732" spans="9:10" ht="18" customHeight="1">
      <c r="I3732" s="46" ph="1"/>
      <c r="J3732" s="46" ph="1"/>
    </row>
    <row r="3789" spans="9:10" ht="18" customHeight="1">
      <c r="I3789" s="46" ph="1"/>
      <c r="J3789" s="46" ph="1"/>
    </row>
    <row r="3800" spans="9:10" ht="18" customHeight="1">
      <c r="I3800" s="46" ph="1"/>
      <c r="J3800" s="46" ph="1"/>
    </row>
    <row r="3801" spans="9:10" ht="18" customHeight="1">
      <c r="I3801" s="46" ph="1"/>
      <c r="J3801" s="46" ph="1"/>
    </row>
    <row r="3804" spans="9:10" ht="18" customHeight="1">
      <c r="I3804" s="46" ph="1"/>
      <c r="J3804" s="46" ph="1"/>
    </row>
    <row r="3807" spans="9:10" ht="18" customHeight="1">
      <c r="I3807" s="46" ph="1"/>
      <c r="J3807" s="46" ph="1"/>
    </row>
    <row r="3810" spans="9:10" ht="18" customHeight="1">
      <c r="I3810" s="46" ph="1"/>
      <c r="J3810" s="46" ph="1"/>
    </row>
    <row r="3882" spans="9:10" ht="18" customHeight="1">
      <c r="I3882" s="46" ph="1"/>
      <c r="J3882" s="46" ph="1"/>
    </row>
    <row r="3883" spans="9:10" ht="18" customHeight="1">
      <c r="I3883" s="46" ph="1"/>
      <c r="J3883" s="46" ph="1"/>
    </row>
    <row r="3887" spans="9:10" ht="18" customHeight="1">
      <c r="I3887" s="46" ph="1"/>
      <c r="J3887" s="46" ph="1"/>
    </row>
    <row r="3894" spans="9:10" ht="18" customHeight="1">
      <c r="I3894" s="46" ph="1"/>
      <c r="J3894" s="46" ph="1"/>
    </row>
    <row r="3899" spans="9:10" ht="18" customHeight="1">
      <c r="I3899" s="46" ph="1"/>
      <c r="J3899" s="46" ph="1"/>
    </row>
    <row r="3906" spans="9:10" ht="18" customHeight="1">
      <c r="I3906" s="46" ph="1"/>
      <c r="J3906" s="46" ph="1"/>
    </row>
    <row r="3949" spans="9:10" ht="18" customHeight="1">
      <c r="I3949" s="46" ph="1"/>
      <c r="J3949" s="46" ph="1"/>
    </row>
    <row r="3950" spans="9:10" ht="18" customHeight="1">
      <c r="I3950" s="46" ph="1"/>
      <c r="J3950" s="46" ph="1"/>
    </row>
    <row r="3982" spans="9:10" ht="18" customHeight="1">
      <c r="I3982" s="46" ph="1"/>
      <c r="J3982" s="46" ph="1"/>
    </row>
    <row r="3992" spans="9:10" ht="18" customHeight="1">
      <c r="I3992" s="46" ph="1"/>
      <c r="J3992" s="46" ph="1"/>
    </row>
    <row r="3999" spans="9:10" ht="18" customHeight="1">
      <c r="I3999" s="46" ph="1"/>
      <c r="J3999" s="46" ph="1"/>
    </row>
    <row r="4003" spans="9:10" ht="18" customHeight="1">
      <c r="I4003" s="46" ph="1"/>
      <c r="J4003" s="46" ph="1"/>
    </row>
    <row r="4007" spans="9:10" ht="18" customHeight="1">
      <c r="I4007" s="46" ph="1"/>
      <c r="J4007" s="46" ph="1"/>
    </row>
    <row r="4017" spans="9:10" ht="18" customHeight="1">
      <c r="I4017" s="46" ph="1"/>
      <c r="J4017" s="46" ph="1"/>
    </row>
    <row r="4018" spans="9:10" ht="18" customHeight="1">
      <c r="I4018" s="46" ph="1"/>
      <c r="J4018" s="46" ph="1"/>
    </row>
    <row r="4027" spans="9:10" ht="18" customHeight="1">
      <c r="I4027" s="46" ph="1"/>
      <c r="J4027" s="46" ph="1"/>
    </row>
    <row r="4036" spans="9:10" ht="18" customHeight="1">
      <c r="I4036" s="46" ph="1"/>
      <c r="J4036" s="46" ph="1"/>
    </row>
    <row r="4037" spans="9:10" ht="18" customHeight="1">
      <c r="I4037" s="46" ph="1"/>
      <c r="J4037" s="46" ph="1"/>
    </row>
    <row r="4092" spans="9:10" ht="18" customHeight="1">
      <c r="I4092" s="46" ph="1"/>
      <c r="J4092" s="46" ph="1"/>
    </row>
    <row r="4093" spans="9:10" ht="18" customHeight="1">
      <c r="I4093" s="46" ph="1"/>
      <c r="J4093" s="46" ph="1"/>
    </row>
    <row r="4096" spans="9:10" ht="18" customHeight="1">
      <c r="I4096" s="46" ph="1"/>
      <c r="J4096" s="46" ph="1"/>
    </row>
    <row r="4099" spans="9:10" ht="18" customHeight="1">
      <c r="I4099" s="46" ph="1"/>
      <c r="J4099" s="46" ph="1"/>
    </row>
    <row r="4101" spans="9:10" ht="18" customHeight="1">
      <c r="I4101" s="46" ph="1"/>
      <c r="J4101" s="46" ph="1"/>
    </row>
    <row r="4147" spans="9:10" ht="18" customHeight="1">
      <c r="I4147" s="46" ph="1"/>
      <c r="J4147" s="46" ph="1"/>
    </row>
    <row r="4150" spans="9:10" ht="18" customHeight="1">
      <c r="I4150" s="46" ph="1"/>
      <c r="J4150" s="46" ph="1"/>
    </row>
    <row r="4163" spans="9:10" ht="18" customHeight="1">
      <c r="I4163" s="46" ph="1"/>
      <c r="J4163" s="46" ph="1"/>
    </row>
    <row r="4179" spans="9:10" ht="18" customHeight="1">
      <c r="I4179" s="46" ph="1"/>
      <c r="J4179" s="46" ph="1"/>
    </row>
    <row r="4182" spans="9:10" ht="18" customHeight="1">
      <c r="I4182" s="46" ph="1"/>
      <c r="J4182" s="46" ph="1"/>
    </row>
    <row r="4194" spans="9:10" ht="18" customHeight="1">
      <c r="I4194" s="46" ph="1"/>
      <c r="J4194" s="46" ph="1"/>
    </row>
    <row r="4195" spans="9:10" ht="18" customHeight="1">
      <c r="I4195" s="46" ph="1"/>
      <c r="J4195" s="46" ph="1"/>
    </row>
    <row r="4198" spans="9:10" ht="18" customHeight="1">
      <c r="I4198" s="46" ph="1"/>
      <c r="J4198" s="46" ph="1"/>
    </row>
    <row r="4218" spans="9:10" ht="18" customHeight="1">
      <c r="I4218" s="46" ph="1"/>
      <c r="J4218" s="46" ph="1"/>
    </row>
    <row r="4247" spans="9:10" ht="18" customHeight="1">
      <c r="I4247" s="46" ph="1"/>
      <c r="J4247" s="46" ph="1"/>
    </row>
    <row r="4252" spans="9:10" ht="18" customHeight="1">
      <c r="I4252" s="46" ph="1"/>
      <c r="J4252" s="46" ph="1"/>
    </row>
    <row r="4261" spans="9:10" ht="18" customHeight="1">
      <c r="I4261" s="46" ph="1"/>
      <c r="J4261" s="46" ph="1"/>
    </row>
    <row r="4278" spans="9:10" ht="18" customHeight="1">
      <c r="I4278" s="46" ph="1"/>
      <c r="J4278" s="46" ph="1"/>
    </row>
    <row r="4310" spans="9:10" ht="18" customHeight="1">
      <c r="I4310" s="46" ph="1"/>
      <c r="J4310" s="46" ph="1"/>
    </row>
    <row r="4314" spans="9:10" ht="18" customHeight="1">
      <c r="I4314" s="46" ph="1"/>
      <c r="J4314" s="46" ph="1"/>
    </row>
    <row r="4339" spans="9:10" ht="18" customHeight="1">
      <c r="I4339" s="46" ph="1"/>
      <c r="J4339" s="46" ph="1"/>
    </row>
    <row r="4372" spans="9:10" ht="18" customHeight="1">
      <c r="I4372" s="46" ph="1"/>
      <c r="J4372" s="46" ph="1"/>
    </row>
    <row r="4439" spans="9:10" ht="18" customHeight="1">
      <c r="I4439" s="46" ph="1"/>
      <c r="J4439" s="46" ph="1"/>
    </row>
    <row r="4440" spans="9:10" ht="18" customHeight="1">
      <c r="I4440" s="46" ph="1"/>
      <c r="J4440" s="46" ph="1"/>
    </row>
    <row r="4444" spans="9:10" ht="18" customHeight="1">
      <c r="I4444" s="46" ph="1"/>
      <c r="J4444" s="46" ph="1"/>
    </row>
    <row r="4511" spans="9:10" ht="18" customHeight="1">
      <c r="I4511" s="46" ph="1"/>
      <c r="J4511" s="46" ph="1"/>
    </row>
    <row r="4524" spans="9:10" ht="18" customHeight="1">
      <c r="I4524" s="46" ph="1"/>
      <c r="J4524" s="46" ph="1"/>
    </row>
    <row r="4531" spans="9:10" ht="18" customHeight="1">
      <c r="I4531" s="46" ph="1"/>
      <c r="J4531" s="46" ph="1"/>
    </row>
    <row r="4532" spans="9:10" ht="18" customHeight="1">
      <c r="I4532" s="46" ph="1"/>
      <c r="J4532" s="46" ph="1"/>
    </row>
    <row r="4533" spans="9:10" ht="18" customHeight="1">
      <c r="I4533" s="46" ph="1"/>
      <c r="J4533" s="46" ph="1"/>
    </row>
    <row r="4541" spans="9:10" ht="18" customHeight="1">
      <c r="I4541" s="46" ph="1"/>
      <c r="J4541" s="46" ph="1"/>
    </row>
    <row r="4551" spans="9:10" ht="18" customHeight="1">
      <c r="I4551" s="46" ph="1"/>
      <c r="J4551" s="46" ph="1"/>
    </row>
    <row r="4558" spans="9:10" ht="18" customHeight="1">
      <c r="I4558" s="46" ph="1"/>
      <c r="J4558" s="46" ph="1"/>
    </row>
    <row r="4561" spans="9:10" ht="18" customHeight="1">
      <c r="I4561" s="46" ph="1"/>
      <c r="J4561" s="46" ph="1"/>
    </row>
    <row r="4562" spans="9:10" ht="18" customHeight="1">
      <c r="I4562" s="46" ph="1"/>
      <c r="J4562" s="46" ph="1"/>
    </row>
    <row r="4566" spans="9:10" ht="18" customHeight="1">
      <c r="I4566" s="46" ph="1"/>
      <c r="J4566" s="46" ph="1"/>
    </row>
    <row r="4569" spans="9:10" ht="18" customHeight="1">
      <c r="I4569" s="46" ph="1"/>
      <c r="J4569" s="46" ph="1"/>
    </row>
    <row r="4572" spans="9:10" ht="18" customHeight="1">
      <c r="I4572" s="46" ph="1"/>
      <c r="J4572" s="46" ph="1"/>
    </row>
    <row r="4592" spans="9:10" ht="18" customHeight="1">
      <c r="I4592" s="46" ph="1"/>
      <c r="J4592" s="46" ph="1"/>
    </row>
    <row r="4595" spans="9:10" ht="18" customHeight="1">
      <c r="I4595" s="46" ph="1"/>
      <c r="J4595" s="46" ph="1"/>
    </row>
    <row r="4605" spans="9:10" ht="18" customHeight="1">
      <c r="I4605" s="46" ph="1"/>
      <c r="J4605" s="46" ph="1"/>
    </row>
    <row r="4629" spans="9:10" ht="18" customHeight="1">
      <c r="I4629" s="46" ph="1"/>
      <c r="J4629" s="46" ph="1"/>
    </row>
    <row r="4632" spans="9:10" ht="18" customHeight="1">
      <c r="I4632" s="46" ph="1"/>
      <c r="J4632" s="46" ph="1"/>
    </row>
    <row r="4652" spans="9:10" ht="18" customHeight="1">
      <c r="I4652" s="46" ph="1"/>
      <c r="J4652" s="46" ph="1"/>
    </row>
    <row r="4667" spans="9:10" ht="18" customHeight="1">
      <c r="I4667" s="46" ph="1"/>
      <c r="J4667" s="46" ph="1"/>
    </row>
    <row r="4720" spans="9:10" ht="18" customHeight="1">
      <c r="I4720" s="46" ph="1"/>
      <c r="J4720" s="46" ph="1"/>
    </row>
    <row r="4736" spans="9:10" ht="18" customHeight="1">
      <c r="I4736" s="46" ph="1"/>
      <c r="J4736" s="46" ph="1"/>
    </row>
    <row r="4739" spans="9:10" ht="18" customHeight="1">
      <c r="I4739" s="46" ph="1"/>
      <c r="J4739" s="46" ph="1"/>
    </row>
    <row r="4742" spans="9:10" ht="18" customHeight="1">
      <c r="I4742" s="46" ph="1"/>
      <c r="J4742" s="46" ph="1"/>
    </row>
    <row r="4754" spans="9:10" ht="18" customHeight="1">
      <c r="I4754" s="46" ph="1"/>
      <c r="J4754" s="46" ph="1"/>
    </row>
    <row r="4758" spans="9:10" ht="18" customHeight="1">
      <c r="I4758" s="46" ph="1"/>
      <c r="J4758" s="46" ph="1"/>
    </row>
    <row r="4998" spans="9:10" ht="18" customHeight="1">
      <c r="I4998" s="46" ph="1"/>
      <c r="J4998" s="46" ph="1"/>
    </row>
    <row r="5002" spans="9:10" ht="18" customHeight="1">
      <c r="I5002" s="46" ph="1"/>
      <c r="J5002" s="46" ph="1"/>
    </row>
    <row r="5005" spans="9:10" ht="18" customHeight="1">
      <c r="I5005" s="46" ph="1"/>
      <c r="J5005" s="46" ph="1"/>
    </row>
    <row r="5006" spans="9:10" ht="18" customHeight="1">
      <c r="I5006" s="46" ph="1"/>
      <c r="J5006" s="46" ph="1"/>
    </row>
    <row r="5018" spans="9:10" ht="18" customHeight="1">
      <c r="I5018" s="46" ph="1"/>
      <c r="J5018" s="46" ph="1"/>
    </row>
    <row r="5026" spans="9:10" ht="18" customHeight="1">
      <c r="I5026" s="46" ph="1"/>
      <c r="J5026" s="46" ph="1"/>
    </row>
    <row r="5033" spans="9:10" ht="18" customHeight="1">
      <c r="I5033" s="46" ph="1"/>
      <c r="J5033" s="46" ph="1"/>
    </row>
    <row r="5039" spans="9:10" ht="18" customHeight="1">
      <c r="I5039" s="46" ph="1"/>
      <c r="J5039" s="46" ph="1"/>
    </row>
    <row r="5040" spans="9:10" ht="18" customHeight="1">
      <c r="I5040" s="46" ph="1"/>
      <c r="J5040" s="46" ph="1"/>
    </row>
    <row r="5062" spans="9:10" ht="18" customHeight="1">
      <c r="I5062" s="46" ph="1"/>
      <c r="J5062" s="46" ph="1"/>
    </row>
    <row r="5066" spans="9:10" ht="18" customHeight="1">
      <c r="I5066" s="46" ph="1"/>
      <c r="J5066" s="46" ph="1"/>
    </row>
    <row r="5070" spans="9:10" ht="18" customHeight="1">
      <c r="I5070" s="46" ph="1"/>
      <c r="J5070" s="46" ph="1"/>
    </row>
    <row r="5199" spans="9:10" ht="18" customHeight="1">
      <c r="I5199" s="46" ph="1"/>
      <c r="J5199" s="46" ph="1"/>
    </row>
    <row r="5202" spans="9:10" ht="18" customHeight="1">
      <c r="I5202" s="46" ph="1"/>
      <c r="J5202" s="46" ph="1"/>
    </row>
    <row r="5205" spans="9:10" ht="18" customHeight="1">
      <c r="I5205" s="46" ph="1"/>
      <c r="J5205" s="46" ph="1"/>
    </row>
    <row r="5213" spans="9:10" ht="18" customHeight="1">
      <c r="I5213" s="46" ph="1"/>
      <c r="J5213" s="46" ph="1"/>
    </row>
    <row r="5214" spans="9:10" ht="18" customHeight="1">
      <c r="I5214" s="46" ph="1"/>
      <c r="J5214" s="46" ph="1"/>
    </row>
    <row r="5219" spans="9:10" ht="18" customHeight="1">
      <c r="I5219" s="46" ph="1"/>
      <c r="J5219" s="46" ph="1"/>
    </row>
    <row r="5222" spans="9:10" ht="18" customHeight="1">
      <c r="I5222" s="46" ph="1"/>
      <c r="J5222" s="46" ph="1"/>
    </row>
    <row r="5241" spans="9:10" ht="18" customHeight="1">
      <c r="I5241" s="46" ph="1"/>
      <c r="J5241" s="46" ph="1"/>
    </row>
    <row r="5244" spans="9:10" ht="18" customHeight="1">
      <c r="I5244" s="46" ph="1"/>
      <c r="J5244" s="46" ph="1"/>
    </row>
    <row r="5247" spans="9:10" ht="18" customHeight="1">
      <c r="I5247" s="46" ph="1"/>
      <c r="J5247" s="46" ph="1"/>
    </row>
    <row r="5248" spans="9:10" ht="18" customHeight="1">
      <c r="I5248" s="46" ph="1"/>
      <c r="J5248" s="46" ph="1"/>
    </row>
    <row r="5350" spans="9:10" ht="18" customHeight="1">
      <c r="I5350" s="46" ph="1"/>
      <c r="J5350" s="46" ph="1"/>
    </row>
    <row r="5353" spans="9:10" ht="18" customHeight="1">
      <c r="I5353" s="46" ph="1"/>
      <c r="J5353" s="46" ph="1"/>
    </row>
    <row r="5357" spans="9:10" ht="18" customHeight="1">
      <c r="I5357" s="46" ph="1"/>
      <c r="J5357" s="46" ph="1"/>
    </row>
    <row r="5374" spans="9:10" ht="18" customHeight="1">
      <c r="I5374" s="46" ph="1"/>
      <c r="J5374" s="46" ph="1"/>
    </row>
    <row r="5378" spans="9:10" ht="18" customHeight="1">
      <c r="I5378" s="46" ph="1"/>
      <c r="J5378" s="46" ph="1"/>
    </row>
    <row r="5382" spans="9:10" ht="18" customHeight="1">
      <c r="I5382" s="46" ph="1"/>
      <c r="J5382" s="46" ph="1"/>
    </row>
    <row r="5387" spans="9:10" ht="18" customHeight="1">
      <c r="I5387" s="46" ph="1"/>
      <c r="J5387" s="46" ph="1"/>
    </row>
    <row r="5573" spans="9:10" ht="18" customHeight="1">
      <c r="I5573" s="46" ph="1"/>
      <c r="J5573" s="46" ph="1"/>
    </row>
    <row r="5580" spans="9:10" ht="18" customHeight="1">
      <c r="I5580" s="46" ph="1"/>
      <c r="J5580" s="46" ph="1"/>
    </row>
    <row r="5584" spans="9:10" ht="18" customHeight="1">
      <c r="I5584" s="46" ph="1"/>
      <c r="J5584" s="46" ph="1"/>
    </row>
    <row r="5639" spans="9:10" ht="18" customHeight="1">
      <c r="I5639" s="46" ph="1"/>
      <c r="J5639" s="46" ph="1"/>
    </row>
    <row r="5640" spans="9:10" ht="18" customHeight="1">
      <c r="I5640" s="46" ph="1"/>
      <c r="J5640" s="46" ph="1"/>
    </row>
    <row r="5679" spans="9:10" ht="18" customHeight="1">
      <c r="I5679" s="46" ph="1"/>
      <c r="J5679" s="46" ph="1"/>
    </row>
    <row r="5684" spans="9:10" ht="18" customHeight="1">
      <c r="I5684" s="46" ph="1"/>
      <c r="J5684" s="46" ph="1"/>
    </row>
    <row r="5696" spans="9:10" ht="18" customHeight="1">
      <c r="I5696" s="46" ph="1"/>
      <c r="J5696" s="46" ph="1"/>
    </row>
    <row r="5697" spans="9:10" ht="18" customHeight="1">
      <c r="I5697" s="46" ph="1"/>
      <c r="J5697" s="46" ph="1"/>
    </row>
    <row r="5700" spans="9:10" ht="18" customHeight="1">
      <c r="I5700" s="46" ph="1"/>
      <c r="J5700" s="46" ph="1"/>
    </row>
    <row r="5703" spans="9:10" ht="18" customHeight="1">
      <c r="I5703" s="46" ph="1"/>
      <c r="J5703" s="46" ph="1"/>
    </row>
    <row r="5717" spans="9:10" ht="18" customHeight="1">
      <c r="I5717" s="46" ph="1"/>
      <c r="J5717" s="46" ph="1"/>
    </row>
    <row r="5718" spans="9:10" ht="18" customHeight="1">
      <c r="I5718" s="46" ph="1"/>
      <c r="J5718" s="46" ph="1"/>
    </row>
    <row r="5721" spans="9:10" ht="18" customHeight="1">
      <c r="I5721" s="46" ph="1"/>
      <c r="J5721" s="46" ph="1"/>
    </row>
    <row r="5726" spans="9:10" ht="18" customHeight="1">
      <c r="I5726" s="46" ph="1"/>
      <c r="J5726" s="46" ph="1"/>
    </row>
    <row r="5747" spans="9:10" ht="18" customHeight="1">
      <c r="I5747" s="46" ph="1"/>
      <c r="J5747" s="46" ph="1"/>
    </row>
    <row r="5750" spans="9:10" ht="18" customHeight="1">
      <c r="I5750" s="46" ph="1"/>
      <c r="J5750" s="46" ph="1"/>
    </row>
    <row r="5780" spans="9:10" ht="18" customHeight="1">
      <c r="I5780" s="46" ph="1"/>
      <c r="J5780" s="46" ph="1"/>
    </row>
    <row r="5885" spans="9:10" ht="18" customHeight="1">
      <c r="I5885" s="46" ph="1"/>
      <c r="J5885" s="46" ph="1"/>
    </row>
    <row r="5888" spans="9:10" ht="18" customHeight="1">
      <c r="I5888" s="46" ph="1"/>
      <c r="J5888" s="46" ph="1"/>
    </row>
    <row r="5962" spans="9:10" ht="18" customHeight="1">
      <c r="I5962" s="46" ph="1"/>
      <c r="J5962" s="46" ph="1"/>
    </row>
    <row r="6005" spans="9:10" ht="18" customHeight="1">
      <c r="I6005" s="46" ph="1"/>
      <c r="J6005" s="46" ph="1"/>
    </row>
    <row r="6069" spans="9:10" ht="18" customHeight="1">
      <c r="I6069" s="46" ph="1"/>
      <c r="J6069" s="46" ph="1"/>
    </row>
    <row r="6076" spans="9:10" ht="18" customHeight="1">
      <c r="I6076" s="46" ph="1"/>
      <c r="J6076" s="46" ph="1"/>
    </row>
    <row r="6091" spans="9:10" ht="18" customHeight="1">
      <c r="I6091" s="46" ph="1"/>
      <c r="J6091" s="46" ph="1"/>
    </row>
    <row r="6094" spans="9:10" ht="18" customHeight="1">
      <c r="I6094" s="46" ph="1"/>
      <c r="J6094" s="46" ph="1"/>
    </row>
    <row r="6102" spans="9:10" ht="18" customHeight="1">
      <c r="I6102" s="46" ph="1"/>
      <c r="J6102" s="46" ph="1"/>
    </row>
    <row r="6152" spans="9:10" ht="18" customHeight="1">
      <c r="I6152" s="46" ph="1"/>
      <c r="J6152" s="46" ph="1"/>
    </row>
    <row r="6219" spans="9:10" ht="18" customHeight="1">
      <c r="I6219" s="46" ph="1"/>
      <c r="J6219" s="46" ph="1"/>
    </row>
    <row r="6234" spans="9:10" ht="18" customHeight="1">
      <c r="I6234" s="46" ph="1"/>
      <c r="J6234" s="46" ph="1"/>
    </row>
    <row r="6245" spans="9:10" ht="18" customHeight="1">
      <c r="I6245" s="46" ph="1"/>
      <c r="J6245" s="46" ph="1"/>
    </row>
    <row r="6246" spans="9:10" ht="18" customHeight="1">
      <c r="I6246" s="46" ph="1"/>
      <c r="J6246" s="46" ph="1"/>
    </row>
    <row r="6249" spans="9:10" ht="18" customHeight="1">
      <c r="I6249" s="46" ph="1"/>
      <c r="J6249" s="46" ph="1"/>
    </row>
    <row r="6253" spans="9:10" ht="18" customHeight="1">
      <c r="I6253" s="46" ph="1"/>
      <c r="J6253" s="46" ph="1"/>
    </row>
    <row r="6291" spans="9:10" ht="18" customHeight="1">
      <c r="I6291" s="46" ph="1"/>
      <c r="J6291" s="46" ph="1"/>
    </row>
    <row r="6322" spans="9:10" ht="18" customHeight="1">
      <c r="I6322" s="46" ph="1"/>
      <c r="J6322" s="46" ph="1"/>
    </row>
    <row r="6388" spans="9:10" ht="18" customHeight="1">
      <c r="I6388" s="46" ph="1"/>
      <c r="J6388" s="46" ph="1"/>
    </row>
    <row r="6389" spans="9:10" ht="18" customHeight="1">
      <c r="I6389" s="46" ph="1"/>
      <c r="J6389" s="46" ph="1"/>
    </row>
    <row r="6408" spans="9:10" ht="18" customHeight="1">
      <c r="I6408" s="46" ph="1"/>
      <c r="J6408" s="46" ph="1"/>
    </row>
    <row r="6427" spans="9:10" ht="18" customHeight="1">
      <c r="I6427" s="46" ph="1"/>
      <c r="J6427" s="46" ph="1"/>
    </row>
    <row r="6434" spans="9:10" ht="18" customHeight="1">
      <c r="I6434" s="46" ph="1"/>
      <c r="J6434" s="46" ph="1"/>
    </row>
    <row r="6530" spans="9:9" ht="18" customHeight="1">
      <c r="I6530" s="46" ph="1"/>
    </row>
    <row r="6534" spans="9:9" ht="18" customHeight="1">
      <c r="I6534" s="46" ph="1"/>
    </row>
    <row r="6537" spans="9:9" ht="18" customHeight="1">
      <c r="I6537" s="46" ph="1"/>
    </row>
    <row r="6550" spans="9:9" ht="18" customHeight="1">
      <c r="I6550" s="46" ph="1"/>
    </row>
    <row r="6561" spans="9:9" ht="18" customHeight="1">
      <c r="I6561" s="46" ph="1"/>
    </row>
    <row r="6565" spans="9:9" ht="18" customHeight="1">
      <c r="I6565" s="46" ph="1"/>
    </row>
    <row r="6574" spans="9:9" ht="18" customHeight="1">
      <c r="I6574" s="46" ph="1"/>
    </row>
    <row r="6577" spans="9:9" ht="18" customHeight="1">
      <c r="I6577" s="46" ph="1"/>
    </row>
    <row r="6603" spans="9:9" ht="18" customHeight="1">
      <c r="I6603" s="46" ph="1"/>
    </row>
    <row r="6604" spans="9:9" ht="18" customHeight="1">
      <c r="I6604" s="46" ph="1"/>
    </row>
    <row r="6622" spans="9:9" ht="18" customHeight="1">
      <c r="I6622" s="46" ph="1"/>
    </row>
    <row r="6627" spans="9:9" ht="18" customHeight="1">
      <c r="I6627" s="46" ph="1"/>
    </row>
    <row r="6641" spans="9:9" ht="18" customHeight="1">
      <c r="I6641" s="46" ph="1"/>
    </row>
    <row r="6670" spans="9:9" ht="18" customHeight="1">
      <c r="I6670" s="46" ph="1"/>
    </row>
    <row r="6766" spans="9:9" ht="18" customHeight="1">
      <c r="I6766" s="46" ph="1"/>
    </row>
    <row r="6772" spans="9:9" ht="18" customHeight="1">
      <c r="I6772" s="46" ph="1"/>
    </row>
    <row r="6773" spans="9:9" ht="18" customHeight="1">
      <c r="I6773" s="46" ph="1"/>
    </row>
    <row r="6789" spans="9:9" ht="18" customHeight="1">
      <c r="I6789" s="46" ph="1"/>
    </row>
    <row r="6793" spans="9:9" ht="18" customHeight="1">
      <c r="I6793" s="46" ph="1"/>
    </row>
    <row r="6797" spans="9:9" ht="18" customHeight="1">
      <c r="I6797" s="46" ph="1"/>
    </row>
    <row r="6806" spans="9:9" ht="18" customHeight="1">
      <c r="I6806" s="46" ph="1"/>
    </row>
    <row r="6821" spans="9:9" ht="18" customHeight="1">
      <c r="I6821" s="46" ph="1"/>
    </row>
    <row r="6822" spans="9:9" ht="18" customHeight="1">
      <c r="I6822" s="46" ph="1"/>
    </row>
    <row r="6823" spans="9:9" ht="18" customHeight="1">
      <c r="I6823" s="46" ph="1"/>
    </row>
    <row r="6824" spans="9:9" ht="18" customHeight="1">
      <c r="I6824" s="46" ph="1"/>
    </row>
    <row r="6832" spans="9:9" ht="18" customHeight="1">
      <c r="I6832" s="46" ph="1"/>
    </row>
    <row r="6863" spans="9:9" ht="18" customHeight="1">
      <c r="I6863" s="46" ph="1"/>
    </row>
    <row r="6867" spans="9:9" ht="18" customHeight="1">
      <c r="I6867" s="46" ph="1"/>
    </row>
    <row r="6883" spans="9:9" ht="18" customHeight="1">
      <c r="I6883" s="46" ph="1"/>
    </row>
    <row r="6982" spans="9:9" ht="18" customHeight="1">
      <c r="I6982" s="46" ph="1"/>
    </row>
    <row r="7027" spans="9:9" ht="18" customHeight="1">
      <c r="I7027" s="46" ph="1"/>
    </row>
    <row r="7028" spans="9:9" ht="18" customHeight="1">
      <c r="I7028" s="46" ph="1"/>
    </row>
    <row r="7032" spans="9:9" ht="18" customHeight="1">
      <c r="I7032" s="46" ph="1"/>
    </row>
    <row r="7072" spans="9:9" ht="18" customHeight="1">
      <c r="I7072" s="46" ph="1"/>
    </row>
    <row r="7073" spans="9:9" ht="18" customHeight="1">
      <c r="I7073" s="46" ph="1"/>
    </row>
    <row r="7150" spans="9:9" ht="18" customHeight="1">
      <c r="I7150" s="46" ph="1"/>
    </row>
    <row r="7155" spans="9:9" ht="18" customHeight="1">
      <c r="I7155" s="46" ph="1"/>
    </row>
    <row r="7184" spans="9:9" ht="18" customHeight="1">
      <c r="I7184" s="46" ph="1"/>
    </row>
    <row r="7187" spans="9:9" ht="18" customHeight="1">
      <c r="I7187" s="46" ph="1"/>
    </row>
    <row r="7191" spans="9:9" ht="18" customHeight="1">
      <c r="I7191" s="46" ph="1"/>
    </row>
    <row r="7206" spans="9:9" ht="18" customHeight="1">
      <c r="I7206" s="46" ph="1"/>
    </row>
    <row r="7259" spans="9:9" ht="18" customHeight="1">
      <c r="I7259" s="46" ph="1"/>
    </row>
    <row r="7271" spans="9:9" ht="18" customHeight="1">
      <c r="I7271" s="46" ph="1"/>
    </row>
    <row r="7372" spans="9:9" ht="18" customHeight="1">
      <c r="I7372" s="46" ph="1"/>
    </row>
    <row r="7378" spans="9:9" ht="18" customHeight="1">
      <c r="I7378" s="46" ph="1"/>
    </row>
    <row r="7414" spans="9:9" ht="18" customHeight="1">
      <c r="I7414" s="46" ph="1"/>
    </row>
    <row r="7469" spans="9:9" ht="18" customHeight="1">
      <c r="I7469" s="46" ph="1"/>
    </row>
    <row r="7470" spans="9:9" ht="18" customHeight="1">
      <c r="I7470" s="46" ph="1"/>
    </row>
    <row r="7562" spans="9:9" ht="18" customHeight="1">
      <c r="I7562" s="46" ph="1"/>
    </row>
    <row r="7575" spans="9:9" ht="18" customHeight="1">
      <c r="I7575" s="46" ph="1"/>
    </row>
    <row r="7614" spans="9:9" ht="18" customHeight="1">
      <c r="I7614" s="46" ph="1"/>
    </row>
    <row r="7656" spans="9:9" ht="18" customHeight="1">
      <c r="I7656" s="46" ph="1"/>
    </row>
    <row r="7664" spans="9:9" ht="18" customHeight="1">
      <c r="I7664" s="46" ph="1"/>
    </row>
    <row r="7703" spans="9:9" ht="18" customHeight="1">
      <c r="I7703" s="46" ph="1"/>
    </row>
    <row r="7774" spans="9:9" ht="18" customHeight="1">
      <c r="I7774" s="46" ph="1"/>
    </row>
    <row r="7780" spans="9:9" ht="18" customHeight="1">
      <c r="I7780" s="46" ph="1"/>
    </row>
    <row r="7928" spans="9:9" ht="18" customHeight="1">
      <c r="I7928" s="46" ph="1"/>
    </row>
    <row r="7932" spans="9:9" ht="18" customHeight="1">
      <c r="I7932" s="46" ph="1"/>
    </row>
    <row r="7933" spans="9:9" ht="18" customHeight="1">
      <c r="I7933" s="46" ph="1"/>
    </row>
    <row r="7960" spans="9:9" ht="18" customHeight="1">
      <c r="I7960" s="46" ph="1"/>
    </row>
    <row r="8005" spans="9:9" ht="18" customHeight="1">
      <c r="I8005" s="46" ph="1"/>
    </row>
    <row r="8017" spans="9:9" ht="18" customHeight="1">
      <c r="I8017" s="46" ph="1"/>
    </row>
    <row r="8021" spans="9:9" ht="18" customHeight="1">
      <c r="I8021" s="46" ph="1"/>
    </row>
    <row r="8022" spans="9:9" ht="18" customHeight="1">
      <c r="I8022" s="46" ph="1"/>
    </row>
    <row r="8023" spans="9:9" ht="18" customHeight="1">
      <c r="I8023" s="46" ph="1"/>
    </row>
    <row r="8024" spans="9:9" ht="18" customHeight="1">
      <c r="I8024" s="46" ph="1"/>
    </row>
    <row r="8025" spans="9:9" ht="18" customHeight="1">
      <c r="I8025" s="46" ph="1"/>
    </row>
    <row r="8027" spans="9:9" ht="18" customHeight="1">
      <c r="I8027" s="46" ph="1"/>
    </row>
    <row r="8028" spans="9:9" ht="18" customHeight="1">
      <c r="I8028" s="46" ph="1"/>
    </row>
    <row r="8029" spans="9:9" ht="18" customHeight="1">
      <c r="I8029" s="46" ph="1"/>
    </row>
    <row r="8030" spans="9:9" ht="18" customHeight="1">
      <c r="I8030" s="46" ph="1"/>
    </row>
    <row r="8031" spans="9:9" ht="18" customHeight="1">
      <c r="I8031" s="46" ph="1"/>
    </row>
    <row r="8033" spans="9:9" ht="18" customHeight="1">
      <c r="I8033" s="46" ph="1"/>
    </row>
    <row r="8037" spans="9:9" ht="18" customHeight="1">
      <c r="I8037" s="46" ph="1"/>
    </row>
    <row r="8038" spans="9:9" ht="18" customHeight="1">
      <c r="I8038" s="46" ph="1"/>
    </row>
    <row r="8039" spans="9:9" ht="18" customHeight="1">
      <c r="I8039" s="46" ph="1"/>
    </row>
    <row r="8041" spans="9:9" ht="18" customHeight="1">
      <c r="I8041" s="46" ph="1"/>
    </row>
    <row r="8043" spans="9:9" ht="18" customHeight="1">
      <c r="I8043" s="46" ph="1"/>
    </row>
    <row r="8044" spans="9:9" ht="18" customHeight="1">
      <c r="I8044" s="46" ph="1"/>
    </row>
    <row r="8045" spans="9:9" ht="18" customHeight="1">
      <c r="I8045" s="46" ph="1"/>
    </row>
    <row r="8047" spans="9:9" ht="18" customHeight="1">
      <c r="I8047" s="46" ph="1"/>
    </row>
    <row r="8048" spans="9:9" ht="18" customHeight="1">
      <c r="I8048" s="46" ph="1"/>
    </row>
    <row r="8049" spans="9:9" ht="18" customHeight="1">
      <c r="I8049" s="46" ph="1"/>
    </row>
    <row r="8050" spans="9:9" ht="18" customHeight="1">
      <c r="I8050" s="46" ph="1"/>
    </row>
    <row r="8051" spans="9:9" ht="18" customHeight="1">
      <c r="I8051" s="46" ph="1"/>
    </row>
    <row r="8053" spans="9:9" ht="18" customHeight="1">
      <c r="I8053" s="46" ph="1"/>
    </row>
    <row r="8055" spans="9:9" ht="18" customHeight="1">
      <c r="I8055" s="46" ph="1"/>
    </row>
    <row r="8057" spans="9:9" ht="18" customHeight="1">
      <c r="I8057" s="46" ph="1"/>
    </row>
    <row r="8058" spans="9:9" ht="18" customHeight="1">
      <c r="I8058" s="46" ph="1"/>
    </row>
    <row r="8059" spans="9:9" ht="18" customHeight="1">
      <c r="I8059" s="46" ph="1"/>
    </row>
    <row r="8061" spans="9:9" ht="18" customHeight="1">
      <c r="I8061" s="46" ph="1"/>
    </row>
    <row r="8062" spans="9:9" ht="18" customHeight="1">
      <c r="I8062" s="46" ph="1"/>
    </row>
    <row r="8063" spans="9:9" ht="18" customHeight="1">
      <c r="I8063" s="46" ph="1"/>
    </row>
    <row r="8064" spans="9:9" ht="18" customHeight="1">
      <c r="I8064" s="46" ph="1"/>
    </row>
    <row r="8065" spans="9:9" ht="18" customHeight="1">
      <c r="I8065" s="46" ph="1"/>
    </row>
    <row r="8066" spans="9:9" ht="18" customHeight="1">
      <c r="I8066" s="46" ph="1"/>
    </row>
    <row r="8067" spans="9:9" ht="18" customHeight="1">
      <c r="I8067" s="46" ph="1"/>
    </row>
    <row r="8068" spans="9:9" ht="18" customHeight="1">
      <c r="I8068" s="46" ph="1"/>
    </row>
    <row r="8069" spans="9:9" ht="18" customHeight="1">
      <c r="I8069" s="46" ph="1"/>
    </row>
    <row r="8071" spans="9:9" ht="18" customHeight="1">
      <c r="I8071" s="46" ph="1"/>
    </row>
    <row r="8073" spans="9:9" ht="18" customHeight="1">
      <c r="I8073" s="46" ph="1"/>
    </row>
    <row r="8074" spans="9:9" ht="18" customHeight="1">
      <c r="I8074" s="46" ph="1"/>
    </row>
    <row r="8075" spans="9:9" ht="18" customHeight="1">
      <c r="I8075" s="46" ph="1"/>
    </row>
    <row r="8076" spans="9:9" ht="18" customHeight="1">
      <c r="I8076" s="46" ph="1"/>
    </row>
    <row r="8077" spans="9:9" ht="18" customHeight="1">
      <c r="I8077" s="46" ph="1"/>
    </row>
    <row r="8078" spans="9:9" ht="18" customHeight="1">
      <c r="I8078" s="46" ph="1"/>
    </row>
    <row r="8079" spans="9:9" ht="18" customHeight="1">
      <c r="I8079" s="46" ph="1"/>
    </row>
    <row r="8080" spans="9:9" ht="18" customHeight="1">
      <c r="I8080" s="46" ph="1"/>
    </row>
    <row r="8081" spans="9:9" ht="18" customHeight="1">
      <c r="I8081" s="46" ph="1"/>
    </row>
    <row r="8082" spans="9:9" ht="18" customHeight="1">
      <c r="I8082" s="46" ph="1"/>
    </row>
    <row r="8083" spans="9:9" ht="18" customHeight="1">
      <c r="I8083" s="46" ph="1"/>
    </row>
    <row r="8084" spans="9:9" ht="18" customHeight="1">
      <c r="I8084" s="46" ph="1"/>
    </row>
    <row r="8085" spans="9:9" ht="18" customHeight="1">
      <c r="I8085" s="46" ph="1"/>
    </row>
    <row r="8086" spans="9:9" ht="18" customHeight="1">
      <c r="I8086" s="46" ph="1"/>
    </row>
    <row r="8087" spans="9:9" ht="18" customHeight="1">
      <c r="I8087" s="46" ph="1"/>
    </row>
    <row r="8088" spans="9:9" ht="18" customHeight="1">
      <c r="I8088" s="46" ph="1"/>
    </row>
    <row r="8089" spans="9:9" ht="18" customHeight="1">
      <c r="I8089" s="46" ph="1"/>
    </row>
    <row r="8090" spans="9:9" ht="18" customHeight="1">
      <c r="I8090" s="46" ph="1"/>
    </row>
    <row r="8091" spans="9:9" ht="18" customHeight="1">
      <c r="I8091" s="46" ph="1"/>
    </row>
    <row r="8092" spans="9:9" ht="18" customHeight="1">
      <c r="I8092" s="46" ph="1"/>
    </row>
    <row r="8093" spans="9:9" ht="18" customHeight="1">
      <c r="I8093" s="46" ph="1"/>
    </row>
    <row r="8094" spans="9:9" ht="18" customHeight="1">
      <c r="I8094" s="46" ph="1"/>
    </row>
    <row r="8095" spans="9:9" ht="18" customHeight="1">
      <c r="I8095" s="46" ph="1"/>
    </row>
    <row r="8096" spans="9:9" ht="18" customHeight="1">
      <c r="I8096" s="46" ph="1"/>
    </row>
    <row r="8097" spans="9:9" ht="18" customHeight="1">
      <c r="I8097" s="46" ph="1"/>
    </row>
    <row r="8098" spans="9:9" ht="18" customHeight="1">
      <c r="I8098" s="46" ph="1"/>
    </row>
    <row r="8099" spans="9:9" ht="18" customHeight="1">
      <c r="I8099" s="46" ph="1"/>
    </row>
    <row r="8100" spans="9:9" ht="18" customHeight="1">
      <c r="I8100" s="46" ph="1"/>
    </row>
    <row r="8101" spans="9:9" ht="18" customHeight="1">
      <c r="I8101" s="46" ph="1"/>
    </row>
    <row r="8102" spans="9:9" ht="18" customHeight="1">
      <c r="I8102" s="46" ph="1"/>
    </row>
    <row r="8103" spans="9:9" ht="18" customHeight="1">
      <c r="I8103" s="46" ph="1"/>
    </row>
    <row r="8104" spans="9:9" ht="18" customHeight="1">
      <c r="I8104" s="46" ph="1"/>
    </row>
    <row r="8105" spans="9:9" ht="18" customHeight="1">
      <c r="I8105" s="46" ph="1"/>
    </row>
    <row r="8106" spans="9:9" ht="18" customHeight="1">
      <c r="I8106" s="46" ph="1"/>
    </row>
    <row r="8107" spans="9:9" ht="18" customHeight="1">
      <c r="I8107" s="46" ph="1"/>
    </row>
    <row r="8108" spans="9:9" ht="18" customHeight="1">
      <c r="I8108" s="46" ph="1"/>
    </row>
    <row r="8109" spans="9:9" ht="18" customHeight="1">
      <c r="I8109" s="46" ph="1"/>
    </row>
    <row r="8110" spans="9:9" ht="18" customHeight="1">
      <c r="I8110" s="46" ph="1"/>
    </row>
    <row r="8111" spans="9:9" ht="18" customHeight="1">
      <c r="I8111" s="46" ph="1"/>
    </row>
    <row r="8112" spans="9:9" ht="18" customHeight="1">
      <c r="I8112" s="46" ph="1"/>
    </row>
    <row r="8113" spans="9:9" ht="18" customHeight="1">
      <c r="I8113" s="46" ph="1"/>
    </row>
    <row r="8114" spans="9:9" ht="18" customHeight="1">
      <c r="I8114" s="46" ph="1"/>
    </row>
    <row r="8115" spans="9:9" ht="18" customHeight="1">
      <c r="I8115" s="46" ph="1"/>
    </row>
    <row r="8116" spans="9:9" ht="18" customHeight="1">
      <c r="I8116" s="46" ph="1"/>
    </row>
    <row r="8117" spans="9:9" ht="18" customHeight="1">
      <c r="I8117" s="46" ph="1"/>
    </row>
    <row r="8118" spans="9:9" ht="18" customHeight="1">
      <c r="I8118" s="46" ph="1"/>
    </row>
    <row r="8119" spans="9:9" ht="18" customHeight="1">
      <c r="I8119" s="46" ph="1"/>
    </row>
    <row r="8120" spans="9:9" ht="18" customHeight="1">
      <c r="I8120" s="46" ph="1"/>
    </row>
    <row r="8121" spans="9:9" ht="18" customHeight="1">
      <c r="I8121" s="46" ph="1"/>
    </row>
    <row r="8122" spans="9:9" ht="18" customHeight="1">
      <c r="I8122" s="46" ph="1"/>
    </row>
    <row r="8123" spans="9:9" ht="18" customHeight="1">
      <c r="I8123" s="46" ph="1"/>
    </row>
    <row r="8124" spans="9:9" ht="18" customHeight="1">
      <c r="I8124" s="46" ph="1"/>
    </row>
    <row r="8125" spans="9:9" ht="18" customHeight="1">
      <c r="I8125" s="46" ph="1"/>
    </row>
    <row r="8126" spans="9:9" ht="18" customHeight="1">
      <c r="I8126" s="46" ph="1"/>
    </row>
    <row r="8127" spans="9:9" ht="18" customHeight="1">
      <c r="I8127" s="46" ph="1"/>
    </row>
    <row r="8128" spans="9:9" ht="18" customHeight="1">
      <c r="I8128" s="46" ph="1"/>
    </row>
    <row r="8129" spans="9:9" ht="18" customHeight="1">
      <c r="I8129" s="46" ph="1"/>
    </row>
    <row r="8130" spans="9:9" ht="18" customHeight="1">
      <c r="I8130" s="46" ph="1"/>
    </row>
    <row r="8131" spans="9:9" ht="18" customHeight="1">
      <c r="I8131" s="46" ph="1"/>
    </row>
    <row r="8132" spans="9:9" ht="18" customHeight="1">
      <c r="I8132" s="46" ph="1"/>
    </row>
    <row r="8133" spans="9:9" ht="18" customHeight="1">
      <c r="I8133" s="46" ph="1"/>
    </row>
    <row r="8134" spans="9:9" ht="18" customHeight="1">
      <c r="I8134" s="46" ph="1"/>
    </row>
    <row r="8135" spans="9:9" ht="18" customHeight="1">
      <c r="I8135" s="46" ph="1"/>
    </row>
    <row r="8136" spans="9:9" ht="18" customHeight="1">
      <c r="I8136" s="46" ph="1"/>
    </row>
    <row r="8137" spans="9:9" ht="18" customHeight="1">
      <c r="I8137" s="46" ph="1"/>
    </row>
    <row r="8138" spans="9:9" ht="18" customHeight="1">
      <c r="I8138" s="46" ph="1"/>
    </row>
    <row r="8139" spans="9:9" ht="18" customHeight="1">
      <c r="I8139" s="46" ph="1"/>
    </row>
    <row r="8140" spans="9:9" ht="18" customHeight="1">
      <c r="I8140" s="46" ph="1"/>
    </row>
    <row r="8141" spans="9:9" ht="18" customHeight="1">
      <c r="I8141" s="46" ph="1"/>
    </row>
    <row r="8142" spans="9:9" ht="18" customHeight="1">
      <c r="I8142" s="46" ph="1"/>
    </row>
    <row r="8143" spans="9:9" ht="18" customHeight="1">
      <c r="I8143" s="46" ph="1"/>
    </row>
    <row r="8144" spans="9:9" ht="18" customHeight="1">
      <c r="I8144" s="46" ph="1"/>
    </row>
    <row r="8145" spans="9:9" ht="18" customHeight="1">
      <c r="I8145" s="46" ph="1"/>
    </row>
    <row r="8146" spans="9:9" ht="18" customHeight="1">
      <c r="I8146" s="46" ph="1"/>
    </row>
    <row r="8147" spans="9:9" ht="18" customHeight="1">
      <c r="I8147" s="46" ph="1"/>
    </row>
    <row r="8148" spans="9:9" ht="18" customHeight="1">
      <c r="I8148" s="46" ph="1"/>
    </row>
    <row r="8149" spans="9:9" ht="18" customHeight="1">
      <c r="I8149" s="46" ph="1"/>
    </row>
    <row r="8150" spans="9:9" ht="18" customHeight="1">
      <c r="I8150" s="46" ph="1"/>
    </row>
    <row r="8151" spans="9:9" ht="18" customHeight="1">
      <c r="I8151" s="46" ph="1"/>
    </row>
    <row r="8152" spans="9:9" ht="18" customHeight="1">
      <c r="I8152" s="46" ph="1"/>
    </row>
    <row r="8153" spans="9:9" ht="18" customHeight="1">
      <c r="I8153" s="46" ph="1"/>
    </row>
    <row r="8154" spans="9:9" ht="18" customHeight="1">
      <c r="I8154" s="46" ph="1"/>
    </row>
    <row r="8155" spans="9:9" ht="18" customHeight="1">
      <c r="I8155" s="46" ph="1"/>
    </row>
    <row r="8156" spans="9:9" ht="18" customHeight="1">
      <c r="I8156" s="46" ph="1"/>
    </row>
    <row r="8157" spans="9:9" ht="18" customHeight="1">
      <c r="I8157" s="46" ph="1"/>
    </row>
    <row r="8158" spans="9:9" ht="18" customHeight="1">
      <c r="I8158" s="46" ph="1"/>
    </row>
    <row r="8159" spans="9:9" ht="18" customHeight="1">
      <c r="I8159" s="46" ph="1"/>
    </row>
    <row r="8160" spans="9:9" ht="18" customHeight="1">
      <c r="I8160" s="46" ph="1"/>
    </row>
    <row r="8161" spans="9:9" ht="18" customHeight="1">
      <c r="I8161" s="46" ph="1"/>
    </row>
    <row r="8162" spans="9:9" ht="18" customHeight="1">
      <c r="I8162" s="46" ph="1"/>
    </row>
    <row r="8163" spans="9:9" ht="18" customHeight="1">
      <c r="I8163" s="46" ph="1"/>
    </row>
    <row r="8164" spans="9:9" ht="18" customHeight="1">
      <c r="I8164" s="46" ph="1"/>
    </row>
    <row r="8165" spans="9:9" ht="18" customHeight="1">
      <c r="I8165" s="46" ph="1"/>
    </row>
    <row r="8166" spans="9:9" ht="18" customHeight="1">
      <c r="I8166" s="46" ph="1"/>
    </row>
    <row r="8167" spans="9:9" ht="18" customHeight="1">
      <c r="I8167" s="46" ph="1"/>
    </row>
    <row r="8168" spans="9:9" ht="18" customHeight="1">
      <c r="I8168" s="46" ph="1"/>
    </row>
    <row r="8169" spans="9:9" ht="18" customHeight="1">
      <c r="I8169" s="46" ph="1"/>
    </row>
    <row r="8170" spans="9:9" ht="18" customHeight="1">
      <c r="I8170" s="46" ph="1"/>
    </row>
    <row r="8171" spans="9:9" ht="18" customHeight="1">
      <c r="I8171" s="46" ph="1"/>
    </row>
    <row r="8172" spans="9:9" ht="18" customHeight="1">
      <c r="I8172" s="46" ph="1"/>
    </row>
    <row r="8173" spans="9:9" ht="18" customHeight="1">
      <c r="I8173" s="46" ph="1"/>
    </row>
    <row r="8174" spans="9:9" ht="18" customHeight="1">
      <c r="I8174" s="46" ph="1"/>
    </row>
    <row r="8175" spans="9:9" ht="18" customHeight="1">
      <c r="I8175" s="46" ph="1"/>
    </row>
    <row r="8176" spans="9:9" ht="18" customHeight="1">
      <c r="I8176" s="46" ph="1"/>
    </row>
    <row r="8177" spans="9:9" ht="18" customHeight="1">
      <c r="I8177" s="46" ph="1"/>
    </row>
    <row r="8178" spans="9:9" ht="18" customHeight="1">
      <c r="I8178" s="46" ph="1"/>
    </row>
    <row r="8179" spans="9:9" ht="18" customHeight="1">
      <c r="I8179" s="46" ph="1"/>
    </row>
    <row r="8180" spans="9:9" ht="18" customHeight="1">
      <c r="I8180" s="46" ph="1"/>
    </row>
    <row r="8181" spans="9:9" ht="18" customHeight="1">
      <c r="I8181" s="46" ph="1"/>
    </row>
    <row r="8182" spans="9:9" ht="18" customHeight="1">
      <c r="I8182" s="46" ph="1"/>
    </row>
    <row r="8183" spans="9:9" ht="18" customHeight="1">
      <c r="I8183" s="46" ph="1"/>
    </row>
    <row r="8184" spans="9:9" ht="18" customHeight="1">
      <c r="I8184" s="46" ph="1"/>
    </row>
    <row r="8185" spans="9:9" ht="18" customHeight="1">
      <c r="I8185" s="46" ph="1"/>
    </row>
    <row r="8186" spans="9:9" ht="18" customHeight="1">
      <c r="I8186" s="46" ph="1"/>
    </row>
    <row r="8187" spans="9:9" ht="18" customHeight="1">
      <c r="I8187" s="46" ph="1"/>
    </row>
    <row r="8188" spans="9:9" ht="18" customHeight="1">
      <c r="I8188" s="46" ph="1"/>
    </row>
    <row r="8189" spans="9:9" ht="18" customHeight="1">
      <c r="I8189" s="46" ph="1"/>
    </row>
    <row r="8190" spans="9:9" ht="18" customHeight="1">
      <c r="I8190" s="46" ph="1"/>
    </row>
    <row r="8191" spans="9:9" ht="18" customHeight="1">
      <c r="I8191" s="46" ph="1"/>
    </row>
    <row r="8192" spans="9:9" ht="18" customHeight="1">
      <c r="I8192" s="46" ph="1"/>
    </row>
    <row r="8193" spans="9:9" ht="18" customHeight="1">
      <c r="I8193" s="46" ph="1"/>
    </row>
    <row r="8194" spans="9:9" ht="18" customHeight="1">
      <c r="I8194" s="46" ph="1"/>
    </row>
    <row r="8195" spans="9:9" ht="18" customHeight="1">
      <c r="I8195" s="46" ph="1"/>
    </row>
    <row r="8196" spans="9:9" ht="18" customHeight="1">
      <c r="I8196" s="46" ph="1"/>
    </row>
    <row r="8197" spans="9:9" ht="18" customHeight="1">
      <c r="I8197" s="46" ph="1"/>
    </row>
    <row r="8198" spans="9:9" ht="18" customHeight="1">
      <c r="I8198" s="46" ph="1"/>
    </row>
    <row r="8199" spans="9:9" ht="18" customHeight="1">
      <c r="I8199" s="46" ph="1"/>
    </row>
    <row r="8200" spans="9:9" ht="18" customHeight="1">
      <c r="I8200" s="46" ph="1"/>
    </row>
    <row r="8201" spans="9:9" ht="18" customHeight="1">
      <c r="I8201" s="46" ph="1"/>
    </row>
    <row r="8202" spans="9:9" ht="18" customHeight="1">
      <c r="I8202" s="46" ph="1"/>
    </row>
    <row r="8203" spans="9:9" ht="18" customHeight="1">
      <c r="I8203" s="46" ph="1"/>
    </row>
    <row r="8204" spans="9:9" ht="18" customHeight="1">
      <c r="I8204" s="46" ph="1"/>
    </row>
    <row r="8205" spans="9:9" ht="18" customHeight="1">
      <c r="I8205" s="46" ph="1"/>
    </row>
    <row r="8206" spans="9:9" ht="18" customHeight="1">
      <c r="I8206" s="46" ph="1"/>
    </row>
    <row r="8207" spans="9:9" ht="18" customHeight="1">
      <c r="I8207" s="46" ph="1"/>
    </row>
    <row r="8208" spans="9:9" ht="18" customHeight="1">
      <c r="I8208" s="46" ph="1"/>
    </row>
    <row r="8209" spans="9:9" ht="18" customHeight="1">
      <c r="I8209" s="46" ph="1"/>
    </row>
    <row r="8210" spans="9:9" ht="18" customHeight="1">
      <c r="I8210" s="46" ph="1"/>
    </row>
    <row r="8211" spans="9:9" ht="18" customHeight="1">
      <c r="I8211" s="46" ph="1"/>
    </row>
    <row r="8212" spans="9:9" ht="18" customHeight="1">
      <c r="I8212" s="46" ph="1"/>
    </row>
    <row r="8213" spans="9:9" ht="18" customHeight="1">
      <c r="I8213" s="46" ph="1"/>
    </row>
    <row r="8214" spans="9:9" ht="18" customHeight="1">
      <c r="I8214" s="46" ph="1"/>
    </row>
    <row r="8215" spans="9:9" ht="18" customHeight="1">
      <c r="I8215" s="46" ph="1"/>
    </row>
    <row r="8216" spans="9:9" ht="18" customHeight="1">
      <c r="I8216" s="46" ph="1"/>
    </row>
    <row r="8217" spans="9:9" ht="18" customHeight="1">
      <c r="I8217" s="46" ph="1"/>
    </row>
    <row r="8218" spans="9:9" ht="18" customHeight="1">
      <c r="I8218" s="46" ph="1"/>
    </row>
    <row r="8219" spans="9:9" ht="18" customHeight="1">
      <c r="I8219" s="46" ph="1"/>
    </row>
    <row r="8220" spans="9:9" ht="18" customHeight="1">
      <c r="I8220" s="46" ph="1"/>
    </row>
    <row r="8221" spans="9:9" ht="18" customHeight="1">
      <c r="I8221" s="46" ph="1"/>
    </row>
    <row r="8222" spans="9:9" ht="18" customHeight="1">
      <c r="I8222" s="46" ph="1"/>
    </row>
    <row r="8223" spans="9:9" ht="18" customHeight="1">
      <c r="I8223" s="46" ph="1"/>
    </row>
    <row r="8224" spans="9:9" ht="18" customHeight="1">
      <c r="I8224" s="46" ph="1"/>
    </row>
    <row r="8225" spans="9:9" ht="18" customHeight="1">
      <c r="I8225" s="46" ph="1"/>
    </row>
    <row r="8226" spans="9:9" ht="18" customHeight="1">
      <c r="I8226" s="46" ph="1"/>
    </row>
    <row r="8227" spans="9:9" ht="18" customHeight="1">
      <c r="I8227" s="46" ph="1"/>
    </row>
    <row r="8228" spans="9:9" ht="18" customHeight="1">
      <c r="I8228" s="46" ph="1"/>
    </row>
    <row r="8229" spans="9:9" ht="18" customHeight="1">
      <c r="I8229" s="46" ph="1"/>
    </row>
    <row r="8230" spans="9:9" ht="18" customHeight="1">
      <c r="I8230" s="46" ph="1"/>
    </row>
    <row r="8231" spans="9:9" ht="18" customHeight="1">
      <c r="I8231" s="46" ph="1"/>
    </row>
    <row r="8232" spans="9:9" ht="18" customHeight="1">
      <c r="I8232" s="46" ph="1"/>
    </row>
    <row r="8233" spans="9:9" ht="18" customHeight="1">
      <c r="I8233" s="46" ph="1"/>
    </row>
    <row r="8234" spans="9:9" ht="18" customHeight="1">
      <c r="I8234" s="46" ph="1"/>
    </row>
    <row r="8235" spans="9:9" ht="18" customHeight="1">
      <c r="I8235" s="46" ph="1"/>
    </row>
    <row r="8236" spans="9:9" ht="18" customHeight="1">
      <c r="I8236" s="46" ph="1"/>
    </row>
    <row r="8237" spans="9:9" ht="18" customHeight="1">
      <c r="I8237" s="46" ph="1"/>
    </row>
    <row r="8238" spans="9:9" ht="18" customHeight="1">
      <c r="I8238" s="46" ph="1"/>
    </row>
    <row r="8239" spans="9:9" ht="18" customHeight="1">
      <c r="I8239" s="46" ph="1"/>
    </row>
    <row r="8240" spans="9:9" ht="18" customHeight="1">
      <c r="I8240" s="46" ph="1"/>
    </row>
    <row r="8241" spans="9:9" ht="18" customHeight="1">
      <c r="I8241" s="46" ph="1"/>
    </row>
    <row r="8242" spans="9:9" ht="18" customHeight="1">
      <c r="I8242" s="46" ph="1"/>
    </row>
    <row r="8243" spans="9:9" ht="18" customHeight="1">
      <c r="I8243" s="46" ph="1"/>
    </row>
    <row r="8244" spans="9:9" ht="18" customHeight="1">
      <c r="I8244" s="46" ph="1"/>
    </row>
    <row r="8245" spans="9:9" ht="18" customHeight="1">
      <c r="I8245" s="46" ph="1"/>
    </row>
    <row r="8246" spans="9:9" ht="18" customHeight="1">
      <c r="I8246" s="46" ph="1"/>
    </row>
    <row r="8247" spans="9:9" ht="18" customHeight="1">
      <c r="I8247" s="46" ph="1"/>
    </row>
    <row r="8248" spans="9:9" ht="18" customHeight="1">
      <c r="I8248" s="46" ph="1"/>
    </row>
    <row r="8249" spans="9:9" ht="18" customHeight="1">
      <c r="I8249" s="46" ph="1"/>
    </row>
    <row r="8250" spans="9:9" ht="18" customHeight="1">
      <c r="I8250" s="46" ph="1"/>
    </row>
    <row r="8251" spans="9:9" ht="18" customHeight="1">
      <c r="I8251" s="46" ph="1"/>
    </row>
    <row r="8252" spans="9:9" ht="18" customHeight="1">
      <c r="I8252" s="46" ph="1"/>
    </row>
    <row r="8253" spans="9:9" ht="18" customHeight="1">
      <c r="I8253" s="46" ph="1"/>
    </row>
    <row r="8254" spans="9:9" ht="18" customHeight="1">
      <c r="I8254" s="46" ph="1"/>
    </row>
    <row r="8255" spans="9:9" ht="18" customHeight="1">
      <c r="I8255" s="46" ph="1"/>
    </row>
    <row r="8256" spans="9:9" ht="18" customHeight="1">
      <c r="I8256" s="46" ph="1"/>
    </row>
    <row r="8257" spans="9:9" ht="18" customHeight="1">
      <c r="I8257" s="46" ph="1"/>
    </row>
    <row r="8258" spans="9:9" ht="18" customHeight="1">
      <c r="I8258" s="46" ph="1"/>
    </row>
    <row r="8259" spans="9:9" ht="18" customHeight="1">
      <c r="I8259" s="46" ph="1"/>
    </row>
    <row r="8260" spans="9:9" ht="18" customHeight="1">
      <c r="I8260" s="46" ph="1"/>
    </row>
    <row r="8261" spans="9:9" ht="18" customHeight="1">
      <c r="I8261" s="46" ph="1"/>
    </row>
    <row r="8262" spans="9:9" ht="18" customHeight="1">
      <c r="I8262" s="46" ph="1"/>
    </row>
    <row r="8263" spans="9:9" ht="18" customHeight="1">
      <c r="I8263" s="46" ph="1"/>
    </row>
    <row r="8264" spans="9:9" ht="18" customHeight="1">
      <c r="I8264" s="46" ph="1"/>
    </row>
    <row r="8265" spans="9:9" ht="18" customHeight="1">
      <c r="I8265" s="46" ph="1"/>
    </row>
    <row r="8266" spans="9:9" ht="18" customHeight="1">
      <c r="I8266" s="46" ph="1"/>
    </row>
    <row r="8267" spans="9:9" ht="18" customHeight="1">
      <c r="I8267" s="46" ph="1"/>
    </row>
    <row r="8268" spans="9:9" ht="18" customHeight="1">
      <c r="I8268" s="46" ph="1"/>
    </row>
    <row r="8269" spans="9:9" ht="18" customHeight="1">
      <c r="I8269" s="46" ph="1"/>
    </row>
    <row r="8270" spans="9:9" ht="18" customHeight="1">
      <c r="I8270" s="46" ph="1"/>
    </row>
    <row r="8271" spans="9:9" ht="18" customHeight="1">
      <c r="I8271" s="46" ph="1"/>
    </row>
    <row r="8272" spans="9:9" ht="18" customHeight="1">
      <c r="I8272" s="46" ph="1"/>
    </row>
    <row r="8273" spans="9:9" ht="18" customHeight="1">
      <c r="I8273" s="46" ph="1"/>
    </row>
    <row r="8274" spans="9:9" ht="18" customHeight="1">
      <c r="I8274" s="46" ph="1"/>
    </row>
    <row r="8275" spans="9:9" ht="18" customHeight="1">
      <c r="I8275" s="46" ph="1"/>
    </row>
    <row r="8276" spans="9:9" ht="18" customHeight="1">
      <c r="I8276" s="46" ph="1"/>
    </row>
    <row r="8277" spans="9:9" ht="18" customHeight="1">
      <c r="I8277" s="46" ph="1"/>
    </row>
    <row r="8278" spans="9:9" ht="18" customHeight="1">
      <c r="I8278" s="46" ph="1"/>
    </row>
    <row r="8279" spans="9:9" ht="18" customHeight="1">
      <c r="I8279" s="46" ph="1"/>
    </row>
    <row r="8280" spans="9:9" ht="18" customHeight="1">
      <c r="I8280" s="46" ph="1"/>
    </row>
    <row r="8281" spans="9:9" ht="18" customHeight="1">
      <c r="I8281" s="46" ph="1"/>
    </row>
    <row r="8282" spans="9:9" ht="18" customHeight="1">
      <c r="I8282" s="46" ph="1"/>
    </row>
    <row r="8307" spans="9:10" ht="18" customHeight="1">
      <c r="I8307" s="46" ph="1"/>
      <c r="J8307" s="46" ph="1"/>
    </row>
    <row r="8308" spans="9:10" ht="18" customHeight="1">
      <c r="I8308" s="46" ph="1"/>
      <c r="J8308" s="46" ph="1"/>
    </row>
    <row r="8347" spans="9:10" ht="18" customHeight="1">
      <c r="I8347" s="46" ph="1"/>
      <c r="J8347" s="46" ph="1"/>
    </row>
    <row r="8352" spans="9:10" ht="18" customHeight="1">
      <c r="I8352" s="46" ph="1"/>
      <c r="J8352" s="46" ph="1"/>
    </row>
    <row r="8364" spans="9:10" ht="18" customHeight="1">
      <c r="I8364" s="46" ph="1"/>
      <c r="J8364" s="46" ph="1"/>
    </row>
    <row r="8365" spans="9:10" ht="18" customHeight="1">
      <c r="I8365" s="46" ph="1"/>
      <c r="J8365" s="46" ph="1"/>
    </row>
    <row r="8368" spans="9:10" ht="18" customHeight="1">
      <c r="I8368" s="46" ph="1"/>
      <c r="J8368" s="46" ph="1"/>
    </row>
    <row r="8371" spans="9:10" ht="18" customHeight="1">
      <c r="I8371" s="46" ph="1"/>
      <c r="J8371" s="46" ph="1"/>
    </row>
    <row r="8385" spans="9:10" ht="18" customHeight="1">
      <c r="I8385" s="46" ph="1"/>
      <c r="J8385" s="46" ph="1"/>
    </row>
    <row r="8386" spans="9:10" ht="18" customHeight="1">
      <c r="I8386" s="46" ph="1"/>
      <c r="J8386" s="46" ph="1"/>
    </row>
    <row r="8389" spans="9:10" ht="18" customHeight="1">
      <c r="I8389" s="46" ph="1"/>
      <c r="J8389" s="46" ph="1"/>
    </row>
    <row r="8394" spans="9:10" ht="18" customHeight="1">
      <c r="I8394" s="46" ph="1"/>
      <c r="J8394" s="46" ph="1"/>
    </row>
    <row r="8415" spans="9:10" ht="18" customHeight="1">
      <c r="I8415" s="46" ph="1"/>
      <c r="J8415" s="46" ph="1"/>
    </row>
    <row r="8418" spans="9:10" ht="18" customHeight="1">
      <c r="I8418" s="46" ph="1"/>
      <c r="J8418" s="46" ph="1"/>
    </row>
    <row r="8448" spans="9:10" ht="18" customHeight="1">
      <c r="I8448" s="46" ph="1"/>
      <c r="J8448" s="46" ph="1"/>
    </row>
    <row r="8553" spans="9:10" ht="18" customHeight="1">
      <c r="I8553" s="46" ph="1"/>
      <c r="J8553" s="46" ph="1"/>
    </row>
    <row r="8556" spans="9:10" ht="18" customHeight="1">
      <c r="I8556" s="46" ph="1"/>
      <c r="J8556" s="46" ph="1"/>
    </row>
    <row r="8630" spans="9:10" ht="18" customHeight="1">
      <c r="I8630" s="46" ph="1"/>
      <c r="J8630" s="46" ph="1"/>
    </row>
    <row r="8673" spans="9:10" ht="18" customHeight="1">
      <c r="I8673" s="46" ph="1"/>
      <c r="J8673" s="46" ph="1"/>
    </row>
    <row r="8737" spans="9:10" ht="18" customHeight="1">
      <c r="I8737" s="46" ph="1"/>
      <c r="J8737" s="46" ph="1"/>
    </row>
    <row r="8744" spans="9:10" ht="18" customHeight="1">
      <c r="I8744" s="46" ph="1"/>
      <c r="J8744" s="46" ph="1"/>
    </row>
    <row r="8759" spans="9:10" ht="18" customHeight="1">
      <c r="I8759" s="46" ph="1"/>
      <c r="J8759" s="46" ph="1"/>
    </row>
    <row r="8762" spans="9:10" ht="18" customHeight="1">
      <c r="I8762" s="46" ph="1"/>
      <c r="J8762" s="46" ph="1"/>
    </row>
    <row r="8770" spans="9:10" ht="18" customHeight="1">
      <c r="I8770" s="46" ph="1"/>
      <c r="J8770" s="46" ph="1"/>
    </row>
    <row r="8820" spans="9:10" ht="18" customHeight="1">
      <c r="I8820" s="46" ph="1"/>
      <c r="J8820" s="46" ph="1"/>
    </row>
    <row r="8887" spans="9:10" ht="18" customHeight="1">
      <c r="I8887" s="46" ph="1"/>
      <c r="J8887" s="46" ph="1"/>
    </row>
    <row r="8902" spans="9:10" ht="18" customHeight="1">
      <c r="I8902" s="46" ph="1"/>
      <c r="J8902" s="46" ph="1"/>
    </row>
    <row r="8913" spans="9:10" ht="18" customHeight="1">
      <c r="I8913" s="46" ph="1"/>
      <c r="J8913" s="46" ph="1"/>
    </row>
    <row r="8914" spans="9:10" ht="18" customHeight="1">
      <c r="I8914" s="46" ph="1"/>
      <c r="J8914" s="46" ph="1"/>
    </row>
    <row r="8917" spans="9:10" ht="18" customHeight="1">
      <c r="I8917" s="46" ph="1"/>
      <c r="J8917" s="46" ph="1"/>
    </row>
    <row r="8921" spans="9:10" ht="18" customHeight="1">
      <c r="I8921" s="46" ph="1"/>
      <c r="J8921" s="46" ph="1"/>
    </row>
    <row r="8959" spans="9:10" ht="18" customHeight="1">
      <c r="I8959" s="46" ph="1"/>
      <c r="J8959" s="46" ph="1"/>
    </row>
    <row r="8990" spans="9:10" ht="18" customHeight="1">
      <c r="I8990" s="46" ph="1"/>
      <c r="J8990" s="46" ph="1"/>
    </row>
    <row r="9056" spans="9:10" ht="18" customHeight="1">
      <c r="I9056" s="46" ph="1"/>
      <c r="J9056" s="46" ph="1"/>
    </row>
    <row r="9057" spans="9:10" ht="18" customHeight="1">
      <c r="I9057" s="46" ph="1"/>
      <c r="J9057" s="46" ph="1"/>
    </row>
    <row r="9076" spans="9:10" ht="18" customHeight="1">
      <c r="I9076" s="46" ph="1"/>
      <c r="J9076" s="46" ph="1"/>
    </row>
    <row r="9095" spans="9:10" ht="18" customHeight="1">
      <c r="I9095" s="46" ph="1"/>
      <c r="J9095" s="46" ph="1"/>
    </row>
    <row r="9102" spans="9:10" ht="18" customHeight="1">
      <c r="I9102" s="46" ph="1"/>
      <c r="J9102" s="46" ph="1"/>
    </row>
    <row r="9198" spans="9:9" ht="18" customHeight="1">
      <c r="I9198" s="46" ph="1"/>
    </row>
    <row r="9202" spans="9:9" ht="18" customHeight="1">
      <c r="I9202" s="46" ph="1"/>
    </row>
    <row r="9205" spans="9:9" ht="18" customHeight="1">
      <c r="I9205" s="46" ph="1"/>
    </row>
    <row r="9218" spans="9:9" ht="18" customHeight="1">
      <c r="I9218" s="46" ph="1"/>
    </row>
    <row r="9229" spans="9:9" ht="18" customHeight="1">
      <c r="I9229" s="46" ph="1"/>
    </row>
    <row r="9233" spans="9:9" ht="18" customHeight="1">
      <c r="I9233" s="46" ph="1"/>
    </row>
    <row r="9242" spans="9:9" ht="18" customHeight="1">
      <c r="I9242" s="46" ph="1"/>
    </row>
    <row r="9245" spans="9:9" ht="18" customHeight="1">
      <c r="I9245" s="46" ph="1"/>
    </row>
    <row r="9271" spans="9:9" ht="18" customHeight="1">
      <c r="I9271" s="46" ph="1"/>
    </row>
    <row r="9272" spans="9:9" ht="18" customHeight="1">
      <c r="I9272" s="46" ph="1"/>
    </row>
    <row r="9290" spans="9:9" ht="18" customHeight="1">
      <c r="I9290" s="46" ph="1"/>
    </row>
    <row r="9295" spans="9:9" ht="18" customHeight="1">
      <c r="I9295" s="46" ph="1"/>
    </row>
    <row r="9309" spans="9:9" ht="18" customHeight="1">
      <c r="I9309" s="46" ph="1"/>
    </row>
    <row r="9338" spans="9:9" ht="18" customHeight="1">
      <c r="I9338" s="46" ph="1"/>
    </row>
    <row r="9434" spans="9:9" ht="18" customHeight="1">
      <c r="I9434" s="46" ph="1"/>
    </row>
    <row r="9440" spans="9:9" ht="18" customHeight="1">
      <c r="I9440" s="46" ph="1"/>
    </row>
    <row r="9441" spans="9:9" ht="18" customHeight="1">
      <c r="I9441" s="46" ph="1"/>
    </row>
    <row r="9457" spans="9:9" ht="18" customHeight="1">
      <c r="I9457" s="46" ph="1"/>
    </row>
    <row r="9461" spans="9:9" ht="18" customHeight="1">
      <c r="I9461" s="46" ph="1"/>
    </row>
    <row r="9465" spans="9:9" ht="18" customHeight="1">
      <c r="I9465" s="46" ph="1"/>
    </row>
    <row r="9474" spans="9:9" ht="18" customHeight="1">
      <c r="I9474" s="46" ph="1"/>
    </row>
    <row r="9489" spans="9:9" ht="18" customHeight="1">
      <c r="I9489" s="46" ph="1"/>
    </row>
    <row r="9490" spans="9:9" ht="18" customHeight="1">
      <c r="I9490" s="46" ph="1"/>
    </row>
    <row r="9491" spans="9:9" ht="18" customHeight="1">
      <c r="I9491" s="46" ph="1"/>
    </row>
    <row r="9492" spans="9:9" ht="18" customHeight="1">
      <c r="I9492" s="46" ph="1"/>
    </row>
    <row r="9500" spans="9:9" ht="18" customHeight="1">
      <c r="I9500" s="46" ph="1"/>
    </row>
    <row r="9531" spans="9:9" ht="18" customHeight="1">
      <c r="I9531" s="46" ph="1"/>
    </row>
    <row r="9535" spans="9:9" ht="18" customHeight="1">
      <c r="I9535" s="46" ph="1"/>
    </row>
    <row r="9551" spans="9:9" ht="18" customHeight="1">
      <c r="I9551" s="46" ph="1"/>
    </row>
    <row r="9650" spans="9:9" ht="18" customHeight="1">
      <c r="I9650" s="46" ph="1"/>
    </row>
    <row r="9695" spans="9:9" ht="18" customHeight="1">
      <c r="I9695" s="46" ph="1"/>
    </row>
    <row r="9696" spans="9:9" ht="18" customHeight="1">
      <c r="I9696" s="46" ph="1"/>
    </row>
    <row r="9700" spans="9:9" ht="18" customHeight="1">
      <c r="I9700" s="46" ph="1"/>
    </row>
    <row r="9740" spans="9:9" ht="18" customHeight="1">
      <c r="I9740" s="46" ph="1"/>
    </row>
    <row r="9741" spans="9:9" ht="18" customHeight="1">
      <c r="I9741" s="46" ph="1"/>
    </row>
    <row r="9818" spans="9:9" ht="18" customHeight="1">
      <c r="I9818" s="46" ph="1"/>
    </row>
    <row r="9823" spans="9:9" ht="18" customHeight="1">
      <c r="I9823" s="46" ph="1"/>
    </row>
    <row r="9852" spans="9:9" ht="18" customHeight="1">
      <c r="I9852" s="46" ph="1"/>
    </row>
    <row r="9855" spans="9:9" ht="18" customHeight="1">
      <c r="I9855" s="46" ph="1"/>
    </row>
    <row r="9859" spans="9:9" ht="18" customHeight="1">
      <c r="I9859" s="46" ph="1"/>
    </row>
    <row r="9874" spans="9:9" ht="18" customHeight="1">
      <c r="I9874" s="46" ph="1"/>
    </row>
    <row r="9927" spans="9:9" ht="18" customHeight="1">
      <c r="I9927" s="46" ph="1"/>
    </row>
    <row r="9939" spans="9:9" ht="18" customHeight="1">
      <c r="I9939" s="46" ph="1"/>
    </row>
    <row r="10040" spans="9:9" ht="18" customHeight="1">
      <c r="I10040" s="46" ph="1"/>
    </row>
    <row r="10046" spans="9:9" ht="18" customHeight="1">
      <c r="I10046" s="46" ph="1"/>
    </row>
    <row r="10082" spans="9:9" ht="18" customHeight="1">
      <c r="I10082" s="46" ph="1"/>
    </row>
    <row r="10137" spans="9:9" ht="18" customHeight="1">
      <c r="I10137" s="46" ph="1"/>
    </row>
    <row r="10138" spans="9:9" ht="18" customHeight="1">
      <c r="I10138" s="46" ph="1"/>
    </row>
    <row r="10230" spans="9:9" ht="18" customHeight="1">
      <c r="I10230" s="46" ph="1"/>
    </row>
    <row r="10243" spans="9:9" ht="18" customHeight="1">
      <c r="I10243" s="46" ph="1"/>
    </row>
    <row r="10282" spans="9:9" ht="18" customHeight="1">
      <c r="I10282" s="46" ph="1"/>
    </row>
    <row r="10324" spans="9:9" ht="18" customHeight="1">
      <c r="I10324" s="46" ph="1"/>
    </row>
    <row r="10332" spans="9:9" ht="18" customHeight="1">
      <c r="I10332" s="46" ph="1"/>
    </row>
    <row r="10371" spans="9:9" ht="18" customHeight="1">
      <c r="I10371" s="46" ph="1"/>
    </row>
    <row r="10442" spans="9:9" ht="18" customHeight="1">
      <c r="I10442" s="46" ph="1"/>
    </row>
    <row r="10448" spans="9:9" ht="18" customHeight="1">
      <c r="I10448" s="46" ph="1"/>
    </row>
    <row r="10596" spans="9:9" ht="18" customHeight="1">
      <c r="I10596" s="46" ph="1"/>
    </row>
    <row r="10600" spans="9:9" ht="18" customHeight="1">
      <c r="I10600" s="46" ph="1"/>
    </row>
    <row r="10601" spans="9:9" ht="18" customHeight="1">
      <c r="I10601" s="46" ph="1"/>
    </row>
    <row r="10628" spans="9:9" ht="18" customHeight="1">
      <c r="I10628" s="46" ph="1"/>
    </row>
    <row r="10673" spans="9:9" ht="18" customHeight="1">
      <c r="I10673" s="46" ph="1"/>
    </row>
    <row r="10685" spans="9:9" ht="18" customHeight="1">
      <c r="I10685" s="46" ph="1"/>
    </row>
    <row r="10689" spans="9:9" ht="18" customHeight="1">
      <c r="I10689" s="46" ph="1"/>
    </row>
    <row r="10690" spans="9:9" ht="18" customHeight="1">
      <c r="I10690" s="46" ph="1"/>
    </row>
    <row r="10691" spans="9:9" ht="18" customHeight="1">
      <c r="I10691" s="46" ph="1"/>
    </row>
    <row r="10692" spans="9:9" ht="18" customHeight="1">
      <c r="I10692" s="46" ph="1"/>
    </row>
    <row r="10693" spans="9:9" ht="18" customHeight="1">
      <c r="I10693" s="46" ph="1"/>
    </row>
    <row r="10695" spans="9:9" ht="18" customHeight="1">
      <c r="I10695" s="46" ph="1"/>
    </row>
    <row r="10696" spans="9:9" ht="18" customHeight="1">
      <c r="I10696" s="46" ph="1"/>
    </row>
    <row r="10697" spans="9:9" ht="18" customHeight="1">
      <c r="I10697" s="46" ph="1"/>
    </row>
    <row r="10698" spans="9:9" ht="18" customHeight="1">
      <c r="I10698" s="46" ph="1"/>
    </row>
    <row r="10699" spans="9:9" ht="18" customHeight="1">
      <c r="I10699" s="46" ph="1"/>
    </row>
    <row r="10701" spans="9:9" ht="18" customHeight="1">
      <c r="I10701" s="46" ph="1"/>
    </row>
    <row r="10705" spans="9:9" ht="18" customHeight="1">
      <c r="I10705" s="46" ph="1"/>
    </row>
    <row r="10706" spans="9:9" ht="18" customHeight="1">
      <c r="I10706" s="46" ph="1"/>
    </row>
    <row r="10707" spans="9:9" ht="18" customHeight="1">
      <c r="I10707" s="46" ph="1"/>
    </row>
    <row r="10709" spans="9:9" ht="18" customHeight="1">
      <c r="I10709" s="46" ph="1"/>
    </row>
    <row r="10711" spans="9:9" ht="18" customHeight="1">
      <c r="I10711" s="46" ph="1"/>
    </row>
    <row r="10712" spans="9:9" ht="18" customHeight="1">
      <c r="I10712" s="46" ph="1"/>
    </row>
    <row r="10713" spans="9:9" ht="18" customHeight="1">
      <c r="I10713" s="46" ph="1"/>
    </row>
    <row r="10715" spans="9:9" ht="18" customHeight="1">
      <c r="I10715" s="46" ph="1"/>
    </row>
    <row r="10716" spans="9:9" ht="18" customHeight="1">
      <c r="I10716" s="46" ph="1"/>
    </row>
    <row r="10717" spans="9:9" ht="18" customHeight="1">
      <c r="I10717" s="46" ph="1"/>
    </row>
    <row r="10718" spans="9:9" ht="18" customHeight="1">
      <c r="I10718" s="46" ph="1"/>
    </row>
    <row r="10719" spans="9:9" ht="18" customHeight="1">
      <c r="I10719" s="46" ph="1"/>
    </row>
    <row r="10721" spans="9:9" ht="18" customHeight="1">
      <c r="I10721" s="46" ph="1"/>
    </row>
    <row r="10723" spans="9:9" ht="18" customHeight="1">
      <c r="I10723" s="46" ph="1"/>
    </row>
    <row r="10725" spans="9:9" ht="18" customHeight="1">
      <c r="I10725" s="46" ph="1"/>
    </row>
    <row r="10726" spans="9:9" ht="18" customHeight="1">
      <c r="I10726" s="46" ph="1"/>
    </row>
    <row r="10727" spans="9:9" ht="18" customHeight="1">
      <c r="I10727" s="46" ph="1"/>
    </row>
    <row r="10729" spans="9:9" ht="18" customHeight="1">
      <c r="I10729" s="46" ph="1"/>
    </row>
    <row r="10730" spans="9:9" ht="18" customHeight="1">
      <c r="I10730" s="46" ph="1"/>
    </row>
    <row r="10731" spans="9:9" ht="18" customHeight="1">
      <c r="I10731" s="46" ph="1"/>
    </row>
    <row r="10732" spans="9:9" ht="18" customHeight="1">
      <c r="I10732" s="46" ph="1"/>
    </row>
    <row r="10733" spans="9:9" ht="18" customHeight="1">
      <c r="I10733" s="46" ph="1"/>
    </row>
    <row r="10734" spans="9:9" ht="18" customHeight="1">
      <c r="I10734" s="46" ph="1"/>
    </row>
    <row r="10735" spans="9:9" ht="18" customHeight="1">
      <c r="I10735" s="46" ph="1"/>
    </row>
    <row r="10736" spans="9:9" ht="18" customHeight="1">
      <c r="I10736" s="46" ph="1"/>
    </row>
    <row r="10737" spans="9:9" ht="18" customHeight="1">
      <c r="I10737" s="46" ph="1"/>
    </row>
    <row r="10739" spans="9:9" ht="18" customHeight="1">
      <c r="I10739" s="46" ph="1"/>
    </row>
    <row r="10741" spans="9:9" ht="18" customHeight="1">
      <c r="I10741" s="46" ph="1"/>
    </row>
    <row r="10742" spans="9:9" ht="18" customHeight="1">
      <c r="I10742" s="46" ph="1"/>
    </row>
    <row r="10743" spans="9:9" ht="18" customHeight="1">
      <c r="I10743" s="46" ph="1"/>
    </row>
    <row r="10744" spans="9:9" ht="18" customHeight="1">
      <c r="I10744" s="46" ph="1"/>
    </row>
    <row r="10745" spans="9:9" ht="18" customHeight="1">
      <c r="I10745" s="46" ph="1"/>
    </row>
    <row r="10746" spans="9:9" ht="18" customHeight="1">
      <c r="I10746" s="46" ph="1"/>
    </row>
    <row r="10747" spans="9:9" ht="18" customHeight="1">
      <c r="I10747" s="46" ph="1"/>
    </row>
    <row r="10748" spans="9:9" ht="18" customHeight="1">
      <c r="I10748" s="46" ph="1"/>
    </row>
    <row r="10749" spans="9:9" ht="18" customHeight="1">
      <c r="I10749" s="46" ph="1"/>
    </row>
    <row r="10750" spans="9:9" ht="18" customHeight="1">
      <c r="I10750" s="46" ph="1"/>
    </row>
    <row r="10751" spans="9:9" ht="18" customHeight="1">
      <c r="I10751" s="46" ph="1"/>
    </row>
    <row r="10752" spans="9:9" ht="18" customHeight="1">
      <c r="I10752" s="46" ph="1"/>
    </row>
    <row r="10753" spans="9:9" ht="18" customHeight="1">
      <c r="I10753" s="46" ph="1"/>
    </row>
    <row r="10754" spans="9:9" ht="18" customHeight="1">
      <c r="I10754" s="46" ph="1"/>
    </row>
    <row r="10755" spans="9:9" ht="18" customHeight="1">
      <c r="I10755" s="46" ph="1"/>
    </row>
    <row r="10756" spans="9:9" ht="18" customHeight="1">
      <c r="I10756" s="46" ph="1"/>
    </row>
    <row r="10757" spans="9:9" ht="18" customHeight="1">
      <c r="I10757" s="46" ph="1"/>
    </row>
    <row r="10758" spans="9:9" ht="18" customHeight="1">
      <c r="I10758" s="46" ph="1"/>
    </row>
    <row r="10759" spans="9:9" ht="18" customHeight="1">
      <c r="I10759" s="46" ph="1"/>
    </row>
    <row r="10760" spans="9:9" ht="18" customHeight="1">
      <c r="I10760" s="46" ph="1"/>
    </row>
    <row r="10761" spans="9:9" ht="18" customHeight="1">
      <c r="I10761" s="46" ph="1"/>
    </row>
    <row r="10762" spans="9:9" ht="18" customHeight="1">
      <c r="I10762" s="46" ph="1"/>
    </row>
    <row r="10763" spans="9:9" ht="18" customHeight="1">
      <c r="I10763" s="46" ph="1"/>
    </row>
    <row r="10764" spans="9:9" ht="18" customHeight="1">
      <c r="I10764" s="46" ph="1"/>
    </row>
    <row r="10765" spans="9:9" ht="18" customHeight="1">
      <c r="I10765" s="46" ph="1"/>
    </row>
    <row r="10766" spans="9:9" ht="18" customHeight="1">
      <c r="I10766" s="46" ph="1"/>
    </row>
    <row r="10767" spans="9:9" ht="18" customHeight="1">
      <c r="I10767" s="46" ph="1"/>
    </row>
    <row r="10768" spans="9:9" ht="18" customHeight="1">
      <c r="I10768" s="46" ph="1"/>
    </row>
    <row r="10769" spans="9:9" ht="18" customHeight="1">
      <c r="I10769" s="46" ph="1"/>
    </row>
    <row r="10770" spans="9:9" ht="18" customHeight="1">
      <c r="I10770" s="46" ph="1"/>
    </row>
    <row r="10771" spans="9:9" ht="18" customHeight="1">
      <c r="I10771" s="46" ph="1"/>
    </row>
    <row r="10772" spans="9:9" ht="18" customHeight="1">
      <c r="I10772" s="46" ph="1"/>
    </row>
    <row r="10773" spans="9:9" ht="18" customHeight="1">
      <c r="I10773" s="46" ph="1"/>
    </row>
    <row r="10774" spans="9:9" ht="18" customHeight="1">
      <c r="I10774" s="46" ph="1"/>
    </row>
    <row r="10775" spans="9:9" ht="18" customHeight="1">
      <c r="I10775" s="46" ph="1"/>
    </row>
    <row r="10776" spans="9:9" ht="18" customHeight="1">
      <c r="I10776" s="46" ph="1"/>
    </row>
    <row r="10777" spans="9:9" ht="18" customHeight="1">
      <c r="I10777" s="46" ph="1"/>
    </row>
    <row r="10778" spans="9:9" ht="18" customHeight="1">
      <c r="I10778" s="46" ph="1"/>
    </row>
    <row r="10779" spans="9:9" ht="18" customHeight="1">
      <c r="I10779" s="46" ph="1"/>
    </row>
    <row r="10780" spans="9:9" ht="18" customHeight="1">
      <c r="I10780" s="46" ph="1"/>
    </row>
    <row r="10781" spans="9:9" ht="18" customHeight="1">
      <c r="I10781" s="46" ph="1"/>
    </row>
    <row r="10782" spans="9:9" ht="18" customHeight="1">
      <c r="I10782" s="46" ph="1"/>
    </row>
    <row r="10783" spans="9:9" ht="18" customHeight="1">
      <c r="I10783" s="46" ph="1"/>
    </row>
    <row r="10784" spans="9:9" ht="18" customHeight="1">
      <c r="I10784" s="46" ph="1"/>
    </row>
    <row r="10785" spans="9:9" ht="18" customHeight="1">
      <c r="I10785" s="46" ph="1"/>
    </row>
    <row r="10786" spans="9:9" ht="18" customHeight="1">
      <c r="I10786" s="46" ph="1"/>
    </row>
    <row r="10787" spans="9:9" ht="18" customHeight="1">
      <c r="I10787" s="46" ph="1"/>
    </row>
    <row r="10788" spans="9:9" ht="18" customHeight="1">
      <c r="I10788" s="46" ph="1"/>
    </row>
    <row r="10789" spans="9:9" ht="18" customHeight="1">
      <c r="I10789" s="46" ph="1"/>
    </row>
    <row r="10790" spans="9:9" ht="18" customHeight="1">
      <c r="I10790" s="46" ph="1"/>
    </row>
    <row r="10791" spans="9:9" ht="18" customHeight="1">
      <c r="I10791" s="46" ph="1"/>
    </row>
    <row r="10792" spans="9:9" ht="18" customHeight="1">
      <c r="I10792" s="46" ph="1"/>
    </row>
    <row r="10793" spans="9:9" ht="18" customHeight="1">
      <c r="I10793" s="46" ph="1"/>
    </row>
    <row r="10794" spans="9:9" ht="18" customHeight="1">
      <c r="I10794" s="46" ph="1"/>
    </row>
    <row r="10795" spans="9:9" ht="18" customHeight="1">
      <c r="I10795" s="46" ph="1"/>
    </row>
    <row r="10796" spans="9:9" ht="18" customHeight="1">
      <c r="I10796" s="46" ph="1"/>
    </row>
    <row r="10797" spans="9:9" ht="18" customHeight="1">
      <c r="I10797" s="46" ph="1"/>
    </row>
    <row r="10798" spans="9:9" ht="18" customHeight="1">
      <c r="I10798" s="46" ph="1"/>
    </row>
    <row r="10799" spans="9:9" ht="18" customHeight="1">
      <c r="I10799" s="46" ph="1"/>
    </row>
    <row r="10800" spans="9:9" ht="18" customHeight="1">
      <c r="I10800" s="46" ph="1"/>
    </row>
    <row r="10801" spans="9:9" ht="18" customHeight="1">
      <c r="I10801" s="46" ph="1"/>
    </row>
    <row r="10802" spans="9:9" ht="18" customHeight="1">
      <c r="I10802" s="46" ph="1"/>
    </row>
    <row r="10803" spans="9:9" ht="18" customHeight="1">
      <c r="I10803" s="46" ph="1"/>
    </row>
    <row r="10804" spans="9:9" ht="18" customHeight="1">
      <c r="I10804" s="46" ph="1"/>
    </row>
    <row r="10805" spans="9:9" ht="18" customHeight="1">
      <c r="I10805" s="46" ph="1"/>
    </row>
    <row r="10806" spans="9:9" ht="18" customHeight="1">
      <c r="I10806" s="46" ph="1"/>
    </row>
    <row r="10807" spans="9:9" ht="18" customHeight="1">
      <c r="I10807" s="46" ph="1"/>
    </row>
    <row r="10808" spans="9:9" ht="18" customHeight="1">
      <c r="I10808" s="46" ph="1"/>
    </row>
    <row r="10809" spans="9:9" ht="18" customHeight="1">
      <c r="I10809" s="46" ph="1"/>
    </row>
    <row r="10810" spans="9:9" ht="18" customHeight="1">
      <c r="I10810" s="46" ph="1"/>
    </row>
    <row r="10811" spans="9:9" ht="18" customHeight="1">
      <c r="I10811" s="46" ph="1"/>
    </row>
    <row r="10812" spans="9:9" ht="18" customHeight="1">
      <c r="I10812" s="46" ph="1"/>
    </row>
    <row r="10813" spans="9:9" ht="18" customHeight="1">
      <c r="I10813" s="46" ph="1"/>
    </row>
    <row r="10814" spans="9:9" ht="18" customHeight="1">
      <c r="I10814" s="46" ph="1"/>
    </row>
    <row r="10815" spans="9:9" ht="18" customHeight="1">
      <c r="I10815" s="46" ph="1"/>
    </row>
    <row r="10816" spans="9:9" ht="18" customHeight="1">
      <c r="I10816" s="46" ph="1"/>
    </row>
    <row r="10817" spans="9:9" ht="18" customHeight="1">
      <c r="I10817" s="46" ph="1"/>
    </row>
    <row r="10818" spans="9:9" ht="18" customHeight="1">
      <c r="I10818" s="46" ph="1"/>
    </row>
    <row r="10819" spans="9:9" ht="18" customHeight="1">
      <c r="I10819" s="46" ph="1"/>
    </row>
    <row r="10820" spans="9:9" ht="18" customHeight="1">
      <c r="I10820" s="46" ph="1"/>
    </row>
    <row r="10821" spans="9:9" ht="18" customHeight="1">
      <c r="I10821" s="46" ph="1"/>
    </row>
    <row r="10822" spans="9:9" ht="18" customHeight="1">
      <c r="I10822" s="46" ph="1"/>
    </row>
    <row r="10823" spans="9:9" ht="18" customHeight="1">
      <c r="I10823" s="46" ph="1"/>
    </row>
    <row r="10824" spans="9:9" ht="18" customHeight="1">
      <c r="I10824" s="46" ph="1"/>
    </row>
    <row r="10825" spans="9:9" ht="18" customHeight="1">
      <c r="I10825" s="46" ph="1"/>
    </row>
    <row r="10826" spans="9:9" ht="18" customHeight="1">
      <c r="I10826" s="46" ph="1"/>
    </row>
    <row r="10827" spans="9:9" ht="18" customHeight="1">
      <c r="I10827" s="46" ph="1"/>
    </row>
    <row r="10828" spans="9:9" ht="18" customHeight="1">
      <c r="I10828" s="46" ph="1"/>
    </row>
    <row r="10829" spans="9:9" ht="18" customHeight="1">
      <c r="I10829" s="46" ph="1"/>
    </row>
    <row r="10830" spans="9:9" ht="18" customHeight="1">
      <c r="I10830" s="46" ph="1"/>
    </row>
    <row r="10831" spans="9:9" ht="18" customHeight="1">
      <c r="I10831" s="46" ph="1"/>
    </row>
    <row r="10832" spans="9:9" ht="18" customHeight="1">
      <c r="I10832" s="46" ph="1"/>
    </row>
    <row r="10833" spans="9:9" ht="18" customHeight="1">
      <c r="I10833" s="46" ph="1"/>
    </row>
    <row r="10834" spans="9:9" ht="18" customHeight="1">
      <c r="I10834" s="46" ph="1"/>
    </row>
    <row r="10835" spans="9:9" ht="18" customHeight="1">
      <c r="I10835" s="46" ph="1"/>
    </row>
    <row r="10836" spans="9:9" ht="18" customHeight="1">
      <c r="I10836" s="46" ph="1"/>
    </row>
    <row r="10837" spans="9:9" ht="18" customHeight="1">
      <c r="I10837" s="46" ph="1"/>
    </row>
    <row r="10838" spans="9:9" ht="18" customHeight="1">
      <c r="I10838" s="46" ph="1"/>
    </row>
    <row r="10839" spans="9:9" ht="18" customHeight="1">
      <c r="I10839" s="46" ph="1"/>
    </row>
    <row r="10840" spans="9:9" ht="18" customHeight="1">
      <c r="I10840" s="46" ph="1"/>
    </row>
    <row r="10841" spans="9:9" ht="18" customHeight="1">
      <c r="I10841" s="46" ph="1"/>
    </row>
    <row r="10842" spans="9:9" ht="18" customHeight="1">
      <c r="I10842" s="46" ph="1"/>
    </row>
    <row r="10843" spans="9:9" ht="18" customHeight="1">
      <c r="I10843" s="46" ph="1"/>
    </row>
    <row r="10844" spans="9:9" ht="18" customHeight="1">
      <c r="I10844" s="46" ph="1"/>
    </row>
    <row r="10845" spans="9:9" ht="18" customHeight="1">
      <c r="I10845" s="46" ph="1"/>
    </row>
    <row r="10846" spans="9:9" ht="18" customHeight="1">
      <c r="I10846" s="46" ph="1"/>
    </row>
    <row r="10847" spans="9:9" ht="18" customHeight="1">
      <c r="I10847" s="46" ph="1"/>
    </row>
    <row r="10848" spans="9:9" ht="18" customHeight="1">
      <c r="I10848" s="46" ph="1"/>
    </row>
    <row r="10849" spans="9:9" ht="18" customHeight="1">
      <c r="I10849" s="46" ph="1"/>
    </row>
    <row r="10850" spans="9:9" ht="18" customHeight="1">
      <c r="I10850" s="46" ph="1"/>
    </row>
    <row r="10851" spans="9:9" ht="18" customHeight="1">
      <c r="I10851" s="46" ph="1"/>
    </row>
    <row r="10852" spans="9:9" ht="18" customHeight="1">
      <c r="I10852" s="46" ph="1"/>
    </row>
    <row r="10853" spans="9:9" ht="18" customHeight="1">
      <c r="I10853" s="46" ph="1"/>
    </row>
    <row r="10854" spans="9:9" ht="18" customHeight="1">
      <c r="I10854" s="46" ph="1"/>
    </row>
    <row r="10855" spans="9:9" ht="18" customHeight="1">
      <c r="I10855" s="46" ph="1"/>
    </row>
    <row r="10856" spans="9:9" ht="18" customHeight="1">
      <c r="I10856" s="46" ph="1"/>
    </row>
    <row r="10857" spans="9:9" ht="18" customHeight="1">
      <c r="I10857" s="46" ph="1"/>
    </row>
    <row r="10858" spans="9:9" ht="18" customHeight="1">
      <c r="I10858" s="46" ph="1"/>
    </row>
    <row r="10859" spans="9:9" ht="18" customHeight="1">
      <c r="I10859" s="46" ph="1"/>
    </row>
    <row r="10860" spans="9:9" ht="18" customHeight="1">
      <c r="I10860" s="46" ph="1"/>
    </row>
    <row r="10861" spans="9:9" ht="18" customHeight="1">
      <c r="I10861" s="46" ph="1"/>
    </row>
    <row r="10862" spans="9:9" ht="18" customHeight="1">
      <c r="I10862" s="46" ph="1"/>
    </row>
    <row r="10863" spans="9:9" ht="18" customHeight="1">
      <c r="I10863" s="46" ph="1"/>
    </row>
    <row r="10864" spans="9:9" ht="18" customHeight="1">
      <c r="I10864" s="46" ph="1"/>
    </row>
    <row r="10865" spans="9:9" ht="18" customHeight="1">
      <c r="I10865" s="46" ph="1"/>
    </row>
    <row r="10866" spans="9:9" ht="18" customHeight="1">
      <c r="I10866" s="46" ph="1"/>
    </row>
    <row r="10867" spans="9:9" ht="18" customHeight="1">
      <c r="I10867" s="46" ph="1"/>
    </row>
    <row r="10868" spans="9:9" ht="18" customHeight="1">
      <c r="I10868" s="46" ph="1"/>
    </row>
    <row r="10869" spans="9:9" ht="18" customHeight="1">
      <c r="I10869" s="46" ph="1"/>
    </row>
    <row r="10870" spans="9:9" ht="18" customHeight="1">
      <c r="I10870" s="46" ph="1"/>
    </row>
    <row r="10871" spans="9:9" ht="18" customHeight="1">
      <c r="I10871" s="46" ph="1"/>
    </row>
    <row r="10872" spans="9:9" ht="18" customHeight="1">
      <c r="I10872" s="46" ph="1"/>
    </row>
    <row r="10873" spans="9:9" ht="18" customHeight="1">
      <c r="I10873" s="46" ph="1"/>
    </row>
    <row r="10874" spans="9:9" ht="18" customHeight="1">
      <c r="I10874" s="46" ph="1"/>
    </row>
    <row r="10875" spans="9:9" ht="18" customHeight="1">
      <c r="I10875" s="46" ph="1"/>
    </row>
    <row r="10876" spans="9:9" ht="18" customHeight="1">
      <c r="I10876" s="46" ph="1"/>
    </row>
    <row r="10877" spans="9:9" ht="18" customHeight="1">
      <c r="I10877" s="46" ph="1"/>
    </row>
    <row r="10878" spans="9:9" ht="18" customHeight="1">
      <c r="I10878" s="46" ph="1"/>
    </row>
    <row r="10879" spans="9:9" ht="18" customHeight="1">
      <c r="I10879" s="46" ph="1"/>
    </row>
    <row r="10880" spans="9:9" ht="18" customHeight="1">
      <c r="I10880" s="46" ph="1"/>
    </row>
    <row r="10881" spans="9:9" ht="18" customHeight="1">
      <c r="I10881" s="46" ph="1"/>
    </row>
    <row r="10882" spans="9:9" ht="18" customHeight="1">
      <c r="I10882" s="46" ph="1"/>
    </row>
    <row r="10883" spans="9:9" ht="18" customHeight="1">
      <c r="I10883" s="46" ph="1"/>
    </row>
    <row r="10884" spans="9:9" ht="18" customHeight="1">
      <c r="I10884" s="46" ph="1"/>
    </row>
    <row r="10885" spans="9:9" ht="18" customHeight="1">
      <c r="I10885" s="46" ph="1"/>
    </row>
    <row r="10886" spans="9:9" ht="18" customHeight="1">
      <c r="I10886" s="46" ph="1"/>
    </row>
    <row r="10887" spans="9:9" ht="18" customHeight="1">
      <c r="I10887" s="46" ph="1"/>
    </row>
    <row r="10888" spans="9:9" ht="18" customHeight="1">
      <c r="I10888" s="46" ph="1"/>
    </row>
    <row r="10889" spans="9:9" ht="18" customHeight="1">
      <c r="I10889" s="46" ph="1"/>
    </row>
    <row r="10890" spans="9:9" ht="18" customHeight="1">
      <c r="I10890" s="46" ph="1"/>
    </row>
    <row r="10891" spans="9:9" ht="18" customHeight="1">
      <c r="I10891" s="46" ph="1"/>
    </row>
    <row r="10892" spans="9:9" ht="18" customHeight="1">
      <c r="I10892" s="46" ph="1"/>
    </row>
    <row r="10893" spans="9:9" ht="18" customHeight="1">
      <c r="I10893" s="46" ph="1"/>
    </row>
    <row r="10894" spans="9:9" ht="18" customHeight="1">
      <c r="I10894" s="46" ph="1"/>
    </row>
    <row r="10895" spans="9:9" ht="18" customHeight="1">
      <c r="I10895" s="46" ph="1"/>
    </row>
    <row r="10896" spans="9:9" ht="18" customHeight="1">
      <c r="I10896" s="46" ph="1"/>
    </row>
    <row r="10897" spans="9:9" ht="18" customHeight="1">
      <c r="I10897" s="46" ph="1"/>
    </row>
    <row r="10898" spans="9:9" ht="18" customHeight="1">
      <c r="I10898" s="46" ph="1"/>
    </row>
    <row r="10899" spans="9:9" ht="18" customHeight="1">
      <c r="I10899" s="46" ph="1"/>
    </row>
    <row r="10900" spans="9:9" ht="18" customHeight="1">
      <c r="I10900" s="46" ph="1"/>
    </row>
    <row r="10901" spans="9:9" ht="18" customHeight="1">
      <c r="I10901" s="46" ph="1"/>
    </row>
    <row r="10902" spans="9:9" ht="18" customHeight="1">
      <c r="I10902" s="46" ph="1"/>
    </row>
    <row r="10903" spans="9:9" ht="18" customHeight="1">
      <c r="I10903" s="46" ph="1"/>
    </row>
    <row r="10904" spans="9:9" ht="18" customHeight="1">
      <c r="I10904" s="46" ph="1"/>
    </row>
    <row r="10905" spans="9:9" ht="18" customHeight="1">
      <c r="I10905" s="46" ph="1"/>
    </row>
    <row r="10906" spans="9:9" ht="18" customHeight="1">
      <c r="I10906" s="46" ph="1"/>
    </row>
    <row r="10907" spans="9:9" ht="18" customHeight="1">
      <c r="I10907" s="46" ph="1"/>
    </row>
    <row r="10908" spans="9:9" ht="18" customHeight="1">
      <c r="I10908" s="46" ph="1"/>
    </row>
    <row r="10909" spans="9:9" ht="18" customHeight="1">
      <c r="I10909" s="46" ph="1"/>
    </row>
    <row r="10910" spans="9:9" ht="18" customHeight="1">
      <c r="I10910" s="46" ph="1"/>
    </row>
    <row r="10911" spans="9:9" ht="18" customHeight="1">
      <c r="I10911" s="46" ph="1"/>
    </row>
    <row r="10912" spans="9:9" ht="18" customHeight="1">
      <c r="I10912" s="46" ph="1"/>
    </row>
    <row r="10913" spans="9:9" ht="18" customHeight="1">
      <c r="I10913" s="46" ph="1"/>
    </row>
    <row r="10914" spans="9:9" ht="18" customHeight="1">
      <c r="I10914" s="46" ph="1"/>
    </row>
    <row r="10915" spans="9:9" ht="18" customHeight="1">
      <c r="I10915" s="46" ph="1"/>
    </row>
    <row r="10916" spans="9:9" ht="18" customHeight="1">
      <c r="I10916" s="46" ph="1"/>
    </row>
    <row r="10917" spans="9:9" ht="18" customHeight="1">
      <c r="I10917" s="46" ph="1"/>
    </row>
    <row r="10918" spans="9:9" ht="18" customHeight="1">
      <c r="I10918" s="46" ph="1"/>
    </row>
    <row r="10919" spans="9:9" ht="18" customHeight="1">
      <c r="I10919" s="46" ph="1"/>
    </row>
    <row r="10920" spans="9:9" ht="18" customHeight="1">
      <c r="I10920" s="46" ph="1"/>
    </row>
    <row r="10921" spans="9:9" ht="18" customHeight="1">
      <c r="I10921" s="46" ph="1"/>
    </row>
    <row r="10922" spans="9:9" ht="18" customHeight="1">
      <c r="I10922" s="46" ph="1"/>
    </row>
    <row r="10923" spans="9:9" ht="18" customHeight="1">
      <c r="I10923" s="46" ph="1"/>
    </row>
    <row r="10924" spans="9:9" ht="18" customHeight="1">
      <c r="I10924" s="46" ph="1"/>
    </row>
    <row r="10925" spans="9:9" ht="18" customHeight="1">
      <c r="I10925" s="46" ph="1"/>
    </row>
    <row r="10926" spans="9:9" ht="18" customHeight="1">
      <c r="I10926" s="46" ph="1"/>
    </row>
    <row r="10927" spans="9:9" ht="18" customHeight="1">
      <c r="I10927" s="46" ph="1"/>
    </row>
    <row r="10928" spans="9:9" ht="18" customHeight="1">
      <c r="I10928" s="46" ph="1"/>
    </row>
    <row r="10929" spans="9:9" ht="18" customHeight="1">
      <c r="I10929" s="46" ph="1"/>
    </row>
    <row r="10930" spans="9:9" ht="18" customHeight="1">
      <c r="I10930" s="46" ph="1"/>
    </row>
    <row r="10931" spans="9:9" ht="18" customHeight="1">
      <c r="I10931" s="46" ph="1"/>
    </row>
    <row r="10932" spans="9:9" ht="18" customHeight="1">
      <c r="I10932" s="46" ph="1"/>
    </row>
    <row r="10933" spans="9:9" ht="18" customHeight="1">
      <c r="I10933" s="46" ph="1"/>
    </row>
    <row r="10934" spans="9:9" ht="18" customHeight="1">
      <c r="I10934" s="46" ph="1"/>
    </row>
    <row r="10935" spans="9:9" ht="18" customHeight="1">
      <c r="I10935" s="46" ph="1"/>
    </row>
    <row r="10936" spans="9:9" ht="18" customHeight="1">
      <c r="I10936" s="46" ph="1"/>
    </row>
    <row r="10937" spans="9:9" ht="18" customHeight="1">
      <c r="I10937" s="46" ph="1"/>
    </row>
    <row r="10938" spans="9:9" ht="18" customHeight="1">
      <c r="I10938" s="46" ph="1"/>
    </row>
    <row r="10939" spans="9:9" ht="18" customHeight="1">
      <c r="I10939" s="46" ph="1"/>
    </row>
    <row r="10940" spans="9:9" ht="18" customHeight="1">
      <c r="I10940" s="46" ph="1"/>
    </row>
    <row r="10941" spans="9:9" ht="18" customHeight="1">
      <c r="I10941" s="46" ph="1"/>
    </row>
    <row r="10942" spans="9:9" ht="18" customHeight="1">
      <c r="I10942" s="46" ph="1"/>
    </row>
    <row r="10943" spans="9:9" ht="18" customHeight="1">
      <c r="I10943" s="46" ph="1"/>
    </row>
    <row r="10944" spans="9:9" ht="18" customHeight="1">
      <c r="I10944" s="46" ph="1"/>
    </row>
    <row r="10945" spans="9:9" ht="18" customHeight="1">
      <c r="I10945" s="46" ph="1"/>
    </row>
    <row r="10946" spans="9:9" ht="18" customHeight="1">
      <c r="I10946" s="46" ph="1"/>
    </row>
    <row r="10947" spans="9:9" ht="18" customHeight="1">
      <c r="I10947" s="46" ph="1"/>
    </row>
    <row r="10948" spans="9:9" ht="18" customHeight="1">
      <c r="I10948" s="46" ph="1"/>
    </row>
    <row r="10949" spans="9:9" ht="18" customHeight="1">
      <c r="I10949" s="46" ph="1"/>
    </row>
    <row r="10950" spans="9:9" ht="18" customHeight="1">
      <c r="I10950" s="46" ph="1"/>
    </row>
    <row r="10951" spans="9:9" ht="18" customHeight="1">
      <c r="I10951" s="46" ph="1"/>
    </row>
    <row r="10952" spans="9:9" ht="18" customHeight="1">
      <c r="I10952" s="46" ph="1"/>
    </row>
    <row r="10953" spans="9:9" ht="18" customHeight="1">
      <c r="I10953" s="46" ph="1"/>
    </row>
    <row r="10954" spans="9:9" ht="18" customHeight="1">
      <c r="I10954" s="46" ph="1"/>
    </row>
    <row r="10955" spans="9:9" ht="18" customHeight="1">
      <c r="I10955" s="46" ph="1"/>
    </row>
    <row r="10956" spans="9:9" ht="18" customHeight="1">
      <c r="I10956" s="46" ph="1"/>
    </row>
    <row r="10957" spans="9:9" ht="18" customHeight="1">
      <c r="I10957" s="46" ph="1"/>
    </row>
    <row r="10958" spans="9:9" ht="18" customHeight="1">
      <c r="I10958" s="46" ph="1"/>
    </row>
    <row r="10959" spans="9:9" ht="18" customHeight="1">
      <c r="I10959" s="46" ph="1"/>
    </row>
    <row r="10960" spans="9:9" ht="18" customHeight="1">
      <c r="I10960" s="46" ph="1"/>
    </row>
    <row r="10961" spans="9:9" ht="18" customHeight="1">
      <c r="I10961" s="46" ph="1"/>
    </row>
    <row r="10962" spans="9:9" ht="18" customHeight="1">
      <c r="I10962" s="46" ph="1"/>
    </row>
    <row r="10963" spans="9:9" ht="18" customHeight="1">
      <c r="I10963" s="46" ph="1"/>
    </row>
    <row r="10964" spans="9:9" ht="18" customHeight="1">
      <c r="I10964" s="46" ph="1"/>
    </row>
    <row r="10965" spans="9:9" ht="18" customHeight="1">
      <c r="I10965" s="46" ph="1"/>
    </row>
    <row r="10966" spans="9:9" ht="18" customHeight="1">
      <c r="I10966" s="46" ph="1"/>
    </row>
    <row r="10967" spans="9:9" ht="18" customHeight="1">
      <c r="I10967" s="46" ph="1"/>
    </row>
    <row r="10968" spans="9:9" ht="18" customHeight="1">
      <c r="I10968" s="46" ph="1"/>
    </row>
    <row r="10969" spans="9:9" ht="18" customHeight="1">
      <c r="I10969" s="46" ph="1"/>
    </row>
    <row r="10970" spans="9:9" ht="18" customHeight="1">
      <c r="I10970" s="46" ph="1"/>
    </row>
    <row r="10971" spans="9:9" ht="18" customHeight="1">
      <c r="I10971" s="46" ph="1"/>
    </row>
    <row r="10972" spans="9:9" ht="18" customHeight="1">
      <c r="I10972" s="46" ph="1"/>
    </row>
    <row r="10973" spans="9:9" ht="18" customHeight="1">
      <c r="I10973" s="46" ph="1"/>
    </row>
    <row r="10974" spans="9:9" ht="18" customHeight="1">
      <c r="I10974" s="46" ph="1"/>
    </row>
    <row r="10975" spans="9:9" ht="18" customHeight="1">
      <c r="I10975" s="46" ph="1"/>
    </row>
    <row r="10976" spans="9:9" ht="18" customHeight="1">
      <c r="I10976" s="46" ph="1"/>
    </row>
    <row r="10977" spans="9:9" ht="18" customHeight="1">
      <c r="I10977" s="46" ph="1"/>
    </row>
    <row r="10978" spans="9:9" ht="18" customHeight="1">
      <c r="I10978" s="46" ph="1"/>
    </row>
    <row r="10979" spans="9:9" ht="18" customHeight="1">
      <c r="I10979" s="46" ph="1"/>
    </row>
    <row r="10980" spans="9:9" ht="18" customHeight="1">
      <c r="I10980" s="46" ph="1"/>
    </row>
    <row r="10981" spans="9:9" ht="18" customHeight="1">
      <c r="I10981" s="46" ph="1"/>
    </row>
    <row r="10982" spans="9:9" ht="18" customHeight="1">
      <c r="I10982" s="46" ph="1"/>
    </row>
    <row r="10983" spans="9:9" ht="18" customHeight="1">
      <c r="I10983" s="46" ph="1"/>
    </row>
    <row r="10984" spans="9:9" ht="18" customHeight="1">
      <c r="I10984" s="46" ph="1"/>
    </row>
    <row r="10985" spans="9:9" ht="18" customHeight="1">
      <c r="I10985" s="46" ph="1"/>
    </row>
    <row r="10986" spans="9:9" ht="18" customHeight="1">
      <c r="I10986" s="46" ph="1"/>
    </row>
    <row r="10987" spans="9:9" ht="18" customHeight="1">
      <c r="I10987" s="46" ph="1"/>
    </row>
    <row r="10988" spans="9:9" ht="18" customHeight="1">
      <c r="I10988" s="46" ph="1"/>
    </row>
    <row r="10989" spans="9:9" ht="18" customHeight="1">
      <c r="I10989" s="46" ph="1"/>
    </row>
    <row r="10990" spans="9:9" ht="18" customHeight="1">
      <c r="I10990" s="46" ph="1"/>
    </row>
    <row r="10991" spans="9:9" ht="18" customHeight="1">
      <c r="I10991" s="46" ph="1"/>
    </row>
    <row r="10992" spans="9:9" ht="18" customHeight="1">
      <c r="I10992" s="46" ph="1"/>
    </row>
    <row r="10993" spans="9:9" ht="18" customHeight="1">
      <c r="I10993" s="46" ph="1"/>
    </row>
    <row r="10994" spans="9:9" ht="18" customHeight="1">
      <c r="I10994" s="46" ph="1"/>
    </row>
    <row r="10995" spans="9:9" ht="18" customHeight="1">
      <c r="I10995" s="46" ph="1"/>
    </row>
    <row r="10996" spans="9:9" ht="18" customHeight="1">
      <c r="I10996" s="46" ph="1"/>
    </row>
    <row r="10997" spans="9:9" ht="18" customHeight="1">
      <c r="I10997" s="46" ph="1"/>
    </row>
    <row r="10998" spans="9:9" ht="18" customHeight="1">
      <c r="I10998" s="46" ph="1"/>
    </row>
    <row r="10999" spans="9:9" ht="18" customHeight="1">
      <c r="I10999" s="46" ph="1"/>
    </row>
    <row r="11000" spans="9:9" ht="18" customHeight="1">
      <c r="I11000" s="46" ph="1"/>
    </row>
    <row r="11001" spans="9:9" ht="18" customHeight="1">
      <c r="I11001" s="46" ph="1"/>
    </row>
    <row r="11002" spans="9:9" ht="18" customHeight="1">
      <c r="I11002" s="46" ph="1"/>
    </row>
    <row r="11003" spans="9:9" ht="18" customHeight="1">
      <c r="I11003" s="46" ph="1"/>
    </row>
    <row r="11004" spans="9:9" ht="18" customHeight="1">
      <c r="I11004" s="46" ph="1"/>
    </row>
    <row r="11005" spans="9:9" ht="18" customHeight="1">
      <c r="I11005" s="46" ph="1"/>
    </row>
    <row r="11006" spans="9:9" ht="18" customHeight="1">
      <c r="I11006" s="46" ph="1"/>
    </row>
    <row r="11007" spans="9:9" ht="18" customHeight="1">
      <c r="I11007" s="46" ph="1"/>
    </row>
    <row r="11008" spans="9:9" ht="18" customHeight="1">
      <c r="I11008" s="46" ph="1"/>
    </row>
    <row r="11009" spans="9:9" ht="18" customHeight="1">
      <c r="I11009" s="46" ph="1"/>
    </row>
    <row r="11010" spans="9:9" ht="18" customHeight="1">
      <c r="I11010" s="46" ph="1"/>
    </row>
    <row r="11011" spans="9:9" ht="18" customHeight="1">
      <c r="I11011" s="46" ph="1"/>
    </row>
    <row r="11012" spans="9:9" ht="18" customHeight="1">
      <c r="I11012" s="46" ph="1"/>
    </row>
    <row r="11013" spans="9:9" ht="18" customHeight="1">
      <c r="I11013" s="46" ph="1"/>
    </row>
    <row r="11014" spans="9:9" ht="18" customHeight="1">
      <c r="I11014" s="46" ph="1"/>
    </row>
    <row r="11015" spans="9:9" ht="18" customHeight="1">
      <c r="I11015" s="46" ph="1"/>
    </row>
    <row r="11016" spans="9:9" ht="18" customHeight="1">
      <c r="I11016" s="46" ph="1"/>
    </row>
    <row r="11017" spans="9:9" ht="18" customHeight="1">
      <c r="I11017" s="46" ph="1"/>
    </row>
    <row r="11018" spans="9:9" ht="18" customHeight="1">
      <c r="I11018" s="46" ph="1"/>
    </row>
    <row r="11019" spans="9:9" ht="18" customHeight="1">
      <c r="I11019" s="46" ph="1"/>
    </row>
    <row r="11020" spans="9:9" ht="18" customHeight="1">
      <c r="I11020" s="46" ph="1"/>
    </row>
    <row r="11021" spans="9:9" ht="18" customHeight="1">
      <c r="I11021" s="46" ph="1"/>
    </row>
    <row r="11022" spans="9:9" ht="18" customHeight="1">
      <c r="I11022" s="46" ph="1"/>
    </row>
    <row r="11023" spans="9:9" ht="18" customHeight="1">
      <c r="I11023" s="46" ph="1"/>
    </row>
    <row r="11024" spans="9:9" ht="18" customHeight="1">
      <c r="I11024" s="46" ph="1"/>
    </row>
    <row r="11025" spans="9:9" ht="18" customHeight="1">
      <c r="I11025" s="46" ph="1"/>
    </row>
    <row r="11026" spans="9:9" ht="18" customHeight="1">
      <c r="I11026" s="46" ph="1"/>
    </row>
    <row r="11027" spans="9:9" ht="18" customHeight="1">
      <c r="I11027" s="46" ph="1"/>
    </row>
    <row r="11028" spans="9:9" ht="18" customHeight="1">
      <c r="I11028" s="46" ph="1"/>
    </row>
    <row r="11029" spans="9:9" ht="18" customHeight="1">
      <c r="I11029" s="46" ph="1"/>
    </row>
    <row r="11030" spans="9:9" ht="18" customHeight="1">
      <c r="I11030" s="46" ph="1"/>
    </row>
    <row r="11031" spans="9:9" ht="18" customHeight="1">
      <c r="I11031" s="46" ph="1"/>
    </row>
    <row r="11032" spans="9:9" ht="18" customHeight="1">
      <c r="I11032" s="46" ph="1"/>
    </row>
    <row r="11033" spans="9:9" ht="18" customHeight="1">
      <c r="I11033" s="46" ph="1"/>
    </row>
    <row r="11034" spans="9:9" ht="18" customHeight="1">
      <c r="I11034" s="46" ph="1"/>
    </row>
    <row r="11035" spans="9:9" ht="18" customHeight="1">
      <c r="I11035" s="46" ph="1"/>
    </row>
    <row r="11036" spans="9:9" ht="18" customHeight="1">
      <c r="I11036" s="46" ph="1"/>
    </row>
    <row r="11037" spans="9:9" ht="18" customHeight="1">
      <c r="I11037" s="46" ph="1"/>
    </row>
    <row r="11038" spans="9:9" ht="18" customHeight="1">
      <c r="I11038" s="46" ph="1"/>
    </row>
    <row r="11039" spans="9:9" ht="18" customHeight="1">
      <c r="I11039" s="46" ph="1"/>
    </row>
    <row r="11040" spans="9:9" ht="18" customHeight="1">
      <c r="I11040" s="46" ph="1"/>
    </row>
    <row r="11041" spans="9:9" ht="18" customHeight="1">
      <c r="I11041" s="46" ph="1"/>
    </row>
    <row r="11042" spans="9:9" ht="18" customHeight="1">
      <c r="I11042" s="46" ph="1"/>
    </row>
    <row r="11043" spans="9:9" ht="18" customHeight="1">
      <c r="I11043" s="46" ph="1"/>
    </row>
    <row r="11044" spans="9:9" ht="18" customHeight="1">
      <c r="I11044" s="46" ph="1"/>
    </row>
    <row r="11045" spans="9:9" ht="18" customHeight="1">
      <c r="I11045" s="46" ph="1"/>
    </row>
    <row r="11046" spans="9:9" ht="18" customHeight="1">
      <c r="I11046" s="46" ph="1"/>
    </row>
    <row r="11047" spans="9:9" ht="18" customHeight="1">
      <c r="I11047" s="46" ph="1"/>
    </row>
    <row r="11048" spans="9:9" ht="18" customHeight="1">
      <c r="I11048" s="46" ph="1"/>
    </row>
    <row r="11049" spans="9:9" ht="18" customHeight="1">
      <c r="I11049" s="46" ph="1"/>
    </row>
    <row r="11050" spans="9:9" ht="18" customHeight="1">
      <c r="I11050" s="46" ph="1"/>
    </row>
    <row r="11051" spans="9:9" ht="18" customHeight="1">
      <c r="I11051" s="46" ph="1"/>
    </row>
    <row r="11052" spans="9:9" ht="18" customHeight="1">
      <c r="I11052" s="46" ph="1"/>
    </row>
    <row r="11053" spans="9:9" ht="18" customHeight="1">
      <c r="I11053" s="46" ph="1"/>
    </row>
    <row r="11054" spans="9:9" ht="18" customHeight="1">
      <c r="I11054" s="46" ph="1"/>
    </row>
    <row r="11055" spans="9:9" ht="18" customHeight="1">
      <c r="I11055" s="46" ph="1"/>
    </row>
    <row r="11056" spans="9:9" ht="18" customHeight="1">
      <c r="I11056" s="46" ph="1"/>
    </row>
    <row r="11057" spans="9:9" ht="18" customHeight="1">
      <c r="I11057" s="46" ph="1"/>
    </row>
    <row r="11058" spans="9:9" ht="18" customHeight="1">
      <c r="I11058" s="46" ph="1"/>
    </row>
    <row r="11059" spans="9:9" ht="18" customHeight="1">
      <c r="I11059" s="46" ph="1"/>
    </row>
    <row r="11060" spans="9:9" ht="18" customHeight="1">
      <c r="I11060" s="46" ph="1"/>
    </row>
    <row r="11061" spans="9:9" ht="18" customHeight="1">
      <c r="I11061" s="46" ph="1"/>
    </row>
    <row r="11062" spans="9:9" ht="18" customHeight="1">
      <c r="I11062" s="46" ph="1"/>
    </row>
    <row r="11063" spans="9:9" ht="18" customHeight="1">
      <c r="I11063" s="46" ph="1"/>
    </row>
    <row r="11064" spans="9:9" ht="18" customHeight="1">
      <c r="I11064" s="46" ph="1"/>
    </row>
    <row r="11065" spans="9:9" ht="18" customHeight="1">
      <c r="I11065" s="46" ph="1"/>
    </row>
    <row r="11066" spans="9:9" ht="18" customHeight="1">
      <c r="I11066" s="46" ph="1"/>
    </row>
    <row r="11067" spans="9:9" ht="18" customHeight="1">
      <c r="I11067" s="46" ph="1"/>
    </row>
    <row r="11068" spans="9:9" ht="18" customHeight="1">
      <c r="I11068" s="46" ph="1"/>
    </row>
    <row r="11069" spans="9:9" ht="18" customHeight="1">
      <c r="I11069" s="46" ph="1"/>
    </row>
    <row r="11070" spans="9:9" ht="18" customHeight="1">
      <c r="I11070" s="46" ph="1"/>
    </row>
    <row r="11071" spans="9:9" ht="18" customHeight="1">
      <c r="I11071" s="46" ph="1"/>
    </row>
    <row r="11072" spans="9:9" ht="18" customHeight="1">
      <c r="I11072" s="46" ph="1"/>
    </row>
    <row r="11073" spans="9:9" ht="18" customHeight="1">
      <c r="I11073" s="46" ph="1"/>
    </row>
    <row r="11074" spans="9:9" ht="18" customHeight="1">
      <c r="I11074" s="46" ph="1"/>
    </row>
    <row r="11075" spans="9:9" ht="18" customHeight="1">
      <c r="I11075" s="46" ph="1"/>
    </row>
    <row r="11076" spans="9:9" ht="18" customHeight="1">
      <c r="I11076" s="46" ph="1"/>
    </row>
  </sheetData>
  <autoFilter ref="A1:W541" xr:uid="{00000000-0001-0000-0000-000000000000}"/>
  <phoneticPr fontId="3"/>
  <pageMargins left="0.39370078740157483" right="0" top="0.59055118110236227" bottom="0" header="0.51181102362204722" footer="0.51181102362204722"/>
  <pageSetup paperSize="9" scale="68" fitToHeight="0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80"/>
  <sheetViews>
    <sheetView topLeftCell="A125" zoomScale="85" zoomScaleNormal="85" workbookViewId="0">
      <selection activeCell="D145" sqref="D145"/>
    </sheetView>
  </sheetViews>
  <sheetFormatPr defaultColWidth="9" defaultRowHeight="15"/>
  <cols>
    <col min="1" max="1" width="13.125" style="245" bestFit="1" customWidth="1"/>
    <col min="2" max="2" width="9" style="245"/>
    <col min="3" max="3" width="58" style="245" bestFit="1" customWidth="1"/>
    <col min="4" max="4" width="10" style="245" bestFit="1" customWidth="1"/>
    <col min="5" max="5" width="45.5" style="245" bestFit="1" customWidth="1"/>
    <col min="6" max="6" width="57.75" style="245" bestFit="1" customWidth="1"/>
    <col min="7" max="7" width="44.75" style="245" bestFit="1" customWidth="1"/>
    <col min="8" max="8" width="29.5" style="245" bestFit="1" customWidth="1"/>
    <col min="9" max="9" width="24.5" style="245" bestFit="1" customWidth="1"/>
    <col min="10" max="10" width="20.125" style="245" bestFit="1" customWidth="1"/>
    <col min="11" max="16384" width="9" style="245"/>
  </cols>
  <sheetData>
    <row r="1" spans="1:10" ht="18.75">
      <c r="A1" s="248" t="s">
        <v>1023</v>
      </c>
      <c r="B1" s="248" t="s">
        <v>1024</v>
      </c>
      <c r="C1" s="249" t="s">
        <v>1028</v>
      </c>
      <c r="D1" s="245" t="s">
        <v>758</v>
      </c>
      <c r="E1" s="245" t="s">
        <v>759</v>
      </c>
      <c r="F1" s="245" t="s">
        <v>760</v>
      </c>
      <c r="G1" s="245" t="s">
        <v>761</v>
      </c>
      <c r="H1" s="245" t="s">
        <v>762</v>
      </c>
      <c r="I1" s="245" t="s">
        <v>766</v>
      </c>
      <c r="J1" s="245" t="s">
        <v>1799</v>
      </c>
    </row>
    <row r="2" spans="1:10">
      <c r="A2" s="245">
        <v>6001</v>
      </c>
      <c r="C2" s="245" t="s">
        <v>396</v>
      </c>
      <c r="D2" s="245">
        <v>10003</v>
      </c>
      <c r="E2" s="245" t="s">
        <v>2726</v>
      </c>
      <c r="F2" s="245" t="s">
        <v>767</v>
      </c>
      <c r="G2" s="245" t="s">
        <v>400</v>
      </c>
      <c r="J2" s="245" t="s">
        <v>2727</v>
      </c>
    </row>
    <row r="3" spans="1:10">
      <c r="A3" s="245">
        <v>6002</v>
      </c>
      <c r="C3" s="245" t="s">
        <v>2728</v>
      </c>
      <c r="E3" s="245" t="s">
        <v>397</v>
      </c>
      <c r="F3" s="245" t="s">
        <v>768</v>
      </c>
      <c r="G3" s="245" t="s">
        <v>254</v>
      </c>
      <c r="H3" s="245" t="s">
        <v>1031</v>
      </c>
    </row>
    <row r="4" spans="1:10">
      <c r="C4" s="245" t="s">
        <v>2729</v>
      </c>
      <c r="D4" s="245">
        <v>518120</v>
      </c>
      <c r="E4" s="245" t="s">
        <v>2730</v>
      </c>
      <c r="F4" s="245" t="s">
        <v>2731</v>
      </c>
      <c r="G4" s="245" t="s">
        <v>254</v>
      </c>
      <c r="H4" s="245" t="s">
        <v>2732</v>
      </c>
    </row>
    <row r="5" spans="1:10">
      <c r="A5" s="245" t="s">
        <v>885</v>
      </c>
      <c r="C5" s="245" t="s">
        <v>886</v>
      </c>
      <c r="D5" s="245">
        <v>400025</v>
      </c>
      <c r="E5" s="245" t="s">
        <v>887</v>
      </c>
      <c r="F5" s="245" t="s">
        <v>997</v>
      </c>
      <c r="G5" s="245" t="s">
        <v>996</v>
      </c>
      <c r="H5" s="245" t="s">
        <v>1080</v>
      </c>
    </row>
    <row r="6" spans="1:10">
      <c r="A6" s="245">
        <v>6005</v>
      </c>
      <c r="C6" s="245" t="s">
        <v>398</v>
      </c>
      <c r="D6" s="245">
        <v>90014</v>
      </c>
      <c r="E6" s="245" t="s">
        <v>399</v>
      </c>
      <c r="F6" s="245" t="s">
        <v>770</v>
      </c>
      <c r="G6" s="245" t="s">
        <v>400</v>
      </c>
      <c r="H6" s="245" t="s">
        <v>1081</v>
      </c>
      <c r="I6" s="245" t="s">
        <v>401</v>
      </c>
    </row>
    <row r="7" spans="1:10">
      <c r="A7" s="245">
        <v>6006</v>
      </c>
      <c r="C7" s="245" t="s">
        <v>402</v>
      </c>
      <c r="D7" s="245">
        <v>10013</v>
      </c>
      <c r="E7" s="245" t="s">
        <v>403</v>
      </c>
      <c r="F7" s="245" t="s">
        <v>772</v>
      </c>
      <c r="G7" s="245" t="s">
        <v>400</v>
      </c>
      <c r="H7" s="245" t="s">
        <v>404</v>
      </c>
    </row>
    <row r="8" spans="1:10">
      <c r="A8" s="245">
        <v>6007</v>
      </c>
      <c r="C8" s="245" t="s">
        <v>405</v>
      </c>
      <c r="D8" s="245">
        <v>10018</v>
      </c>
      <c r="E8" s="245" t="s">
        <v>406</v>
      </c>
      <c r="F8" s="245" t="s">
        <v>772</v>
      </c>
      <c r="G8" s="245" t="s">
        <v>400</v>
      </c>
      <c r="H8" s="245" t="s">
        <v>1032</v>
      </c>
      <c r="I8" s="245" t="s">
        <v>407</v>
      </c>
    </row>
    <row r="9" spans="1:10">
      <c r="A9" s="245">
        <v>7020</v>
      </c>
      <c r="C9" s="245" t="s">
        <v>628</v>
      </c>
      <c r="D9" s="245">
        <v>75011</v>
      </c>
      <c r="E9" s="245" t="s">
        <v>629</v>
      </c>
      <c r="F9" s="245" t="s">
        <v>630</v>
      </c>
      <c r="G9" s="245" t="s">
        <v>838</v>
      </c>
      <c r="H9" s="245" t="s">
        <v>1082</v>
      </c>
      <c r="I9" s="245" t="s">
        <v>631</v>
      </c>
    </row>
    <row r="10" spans="1:10">
      <c r="A10" s="245">
        <v>6008</v>
      </c>
      <c r="C10" s="245" t="s">
        <v>408</v>
      </c>
      <c r="D10" s="245">
        <v>90046</v>
      </c>
      <c r="E10" s="245" t="s">
        <v>409</v>
      </c>
      <c r="F10" s="245" t="s">
        <v>770</v>
      </c>
      <c r="G10" s="245" t="s">
        <v>400</v>
      </c>
      <c r="H10" s="245" t="s">
        <v>1033</v>
      </c>
      <c r="I10" s="245" t="s">
        <v>410</v>
      </c>
    </row>
    <row r="11" spans="1:10">
      <c r="A11" s="245">
        <v>6009</v>
      </c>
      <c r="C11" s="245" t="s">
        <v>411</v>
      </c>
      <c r="D11" s="245">
        <v>10018</v>
      </c>
      <c r="E11" s="245" t="s">
        <v>412</v>
      </c>
      <c r="F11" s="245" t="s">
        <v>772</v>
      </c>
      <c r="G11" s="245" t="s">
        <v>400</v>
      </c>
      <c r="H11" s="245" t="s">
        <v>1034</v>
      </c>
      <c r="I11" s="245" t="s">
        <v>413</v>
      </c>
    </row>
    <row r="12" spans="1:10">
      <c r="A12" s="245">
        <v>6011</v>
      </c>
      <c r="C12" s="245" t="s">
        <v>414</v>
      </c>
      <c r="D12" s="245">
        <v>75207</v>
      </c>
      <c r="E12" s="245" t="s">
        <v>415</v>
      </c>
      <c r="F12" s="245" t="s">
        <v>773</v>
      </c>
      <c r="G12" s="245" t="s">
        <v>400</v>
      </c>
      <c r="H12" s="245" t="s">
        <v>416</v>
      </c>
    </row>
    <row r="13" spans="1:10">
      <c r="A13" s="245">
        <v>6012</v>
      </c>
      <c r="C13" s="245" t="s">
        <v>417</v>
      </c>
      <c r="D13" s="245">
        <v>10018</v>
      </c>
      <c r="E13" s="245" t="s">
        <v>418</v>
      </c>
      <c r="F13" s="245" t="s">
        <v>772</v>
      </c>
      <c r="G13" s="245" t="s">
        <v>400</v>
      </c>
      <c r="H13" s="245" t="s">
        <v>1035</v>
      </c>
      <c r="I13" s="245" t="s">
        <v>419</v>
      </c>
    </row>
    <row r="14" spans="1:10">
      <c r="A14" s="245">
        <v>6014</v>
      </c>
      <c r="C14" s="245" t="s">
        <v>420</v>
      </c>
      <c r="D14" s="245">
        <v>90015</v>
      </c>
      <c r="E14" s="245" t="s">
        <v>421</v>
      </c>
      <c r="F14" s="245" t="s">
        <v>770</v>
      </c>
      <c r="G14" s="245" t="s">
        <v>400</v>
      </c>
      <c r="H14" s="245" t="s">
        <v>1036</v>
      </c>
      <c r="I14" s="245" t="s">
        <v>422</v>
      </c>
    </row>
    <row r="15" spans="1:10">
      <c r="A15" s="245">
        <v>7023</v>
      </c>
      <c r="C15" s="245" t="s">
        <v>632</v>
      </c>
      <c r="D15" s="245">
        <v>230088</v>
      </c>
      <c r="E15" s="245" t="s">
        <v>633</v>
      </c>
      <c r="F15" s="245" t="s">
        <v>839</v>
      </c>
      <c r="G15" s="245" t="s">
        <v>254</v>
      </c>
      <c r="H15" s="245" t="s">
        <v>1083</v>
      </c>
      <c r="I15" s="245" t="s">
        <v>634</v>
      </c>
    </row>
    <row r="16" spans="1:10">
      <c r="A16" s="245">
        <v>6015</v>
      </c>
      <c r="C16" s="245" t="s">
        <v>423</v>
      </c>
      <c r="D16" s="245">
        <v>10018</v>
      </c>
      <c r="E16" s="245" t="s">
        <v>424</v>
      </c>
      <c r="F16" s="245" t="s">
        <v>772</v>
      </c>
      <c r="G16" s="245" t="s">
        <v>400</v>
      </c>
      <c r="H16" s="245" t="s">
        <v>425</v>
      </c>
    </row>
    <row r="17" spans="1:10">
      <c r="A17" s="245">
        <v>6020</v>
      </c>
      <c r="C17" s="245" t="s">
        <v>426</v>
      </c>
      <c r="D17" s="245">
        <v>90015</v>
      </c>
      <c r="E17" s="245" t="s">
        <v>427</v>
      </c>
      <c r="F17" s="245" t="s">
        <v>770</v>
      </c>
      <c r="G17" s="245" t="s">
        <v>400</v>
      </c>
      <c r="H17" s="245" t="s">
        <v>428</v>
      </c>
    </row>
    <row r="18" spans="1:10">
      <c r="A18" s="245">
        <v>6021</v>
      </c>
      <c r="C18" s="245" t="s">
        <v>429</v>
      </c>
      <c r="E18" s="245" t="s">
        <v>430</v>
      </c>
      <c r="F18" s="245" t="s">
        <v>769</v>
      </c>
      <c r="G18" s="245" t="s">
        <v>254</v>
      </c>
      <c r="H18" s="245" t="s">
        <v>1037</v>
      </c>
      <c r="I18" s="245" t="s">
        <v>432</v>
      </c>
    </row>
    <row r="19" spans="1:10">
      <c r="A19" s="245">
        <v>7030</v>
      </c>
      <c r="C19" s="245" t="s">
        <v>635</v>
      </c>
      <c r="D19" s="245">
        <v>75002</v>
      </c>
      <c r="E19" s="245" t="s">
        <v>636</v>
      </c>
      <c r="F19" s="245" t="s">
        <v>630</v>
      </c>
      <c r="G19" s="245" t="s">
        <v>838</v>
      </c>
      <c r="H19" s="245" t="s">
        <v>1084</v>
      </c>
      <c r="I19" s="245" t="s">
        <v>637</v>
      </c>
    </row>
    <row r="20" spans="1:10">
      <c r="A20" s="245">
        <v>7042</v>
      </c>
      <c r="C20" s="245" t="s">
        <v>638</v>
      </c>
      <c r="D20" s="245">
        <v>75116</v>
      </c>
      <c r="E20" s="245" t="s">
        <v>639</v>
      </c>
      <c r="F20" s="245" t="s">
        <v>630</v>
      </c>
      <c r="G20" s="245" t="s">
        <v>838</v>
      </c>
      <c r="H20" s="245" t="s">
        <v>1085</v>
      </c>
      <c r="I20" s="245" t="s">
        <v>640</v>
      </c>
    </row>
    <row r="21" spans="1:10">
      <c r="A21" s="245">
        <v>6041</v>
      </c>
      <c r="C21" s="245" t="s">
        <v>433</v>
      </c>
      <c r="D21" s="245">
        <v>90058</v>
      </c>
      <c r="E21" s="245" t="s">
        <v>434</v>
      </c>
      <c r="F21" s="245" t="s">
        <v>774</v>
      </c>
      <c r="G21" s="245" t="s">
        <v>400</v>
      </c>
      <c r="H21" s="245" t="s">
        <v>1038</v>
      </c>
      <c r="I21" s="245" t="s">
        <v>435</v>
      </c>
    </row>
    <row r="22" spans="1:10">
      <c r="A22" s="245">
        <v>6045</v>
      </c>
      <c r="C22" s="245" t="s">
        <v>436</v>
      </c>
      <c r="D22" s="245">
        <v>92663</v>
      </c>
      <c r="E22" s="245" t="s">
        <v>437</v>
      </c>
      <c r="F22" s="245" t="s">
        <v>775</v>
      </c>
      <c r="G22" s="245" t="s">
        <v>400</v>
      </c>
      <c r="H22" s="245" t="s">
        <v>1039</v>
      </c>
      <c r="I22" s="245" t="s">
        <v>438</v>
      </c>
    </row>
    <row r="23" spans="1:10">
      <c r="A23" s="245">
        <v>6046</v>
      </c>
      <c r="C23" s="245" t="s">
        <v>439</v>
      </c>
      <c r="D23" s="245">
        <v>60647</v>
      </c>
      <c r="E23" s="245" t="s">
        <v>440</v>
      </c>
      <c r="F23" s="245" t="s">
        <v>776</v>
      </c>
      <c r="G23" s="245" t="s">
        <v>400</v>
      </c>
      <c r="H23" s="245" t="s">
        <v>1040</v>
      </c>
      <c r="I23" s="245" t="s">
        <v>441</v>
      </c>
    </row>
    <row r="24" spans="1:10">
      <c r="A24" s="245">
        <v>7047</v>
      </c>
      <c r="C24" s="245" t="s">
        <v>641</v>
      </c>
      <c r="D24" s="245">
        <v>75002</v>
      </c>
      <c r="E24" s="245" t="s">
        <v>642</v>
      </c>
      <c r="F24" s="245" t="s">
        <v>630</v>
      </c>
      <c r="G24" s="245" t="s">
        <v>838</v>
      </c>
      <c r="H24" s="245" t="s">
        <v>1086</v>
      </c>
      <c r="I24" s="245" t="s">
        <v>643</v>
      </c>
    </row>
    <row r="25" spans="1:10">
      <c r="A25" s="245">
        <v>6050</v>
      </c>
      <c r="C25" s="245" t="s">
        <v>442</v>
      </c>
      <c r="D25" s="245">
        <v>10013</v>
      </c>
      <c r="E25" s="245" t="s">
        <v>443</v>
      </c>
      <c r="F25" s="245" t="s">
        <v>772</v>
      </c>
      <c r="G25" s="245" t="s">
        <v>400</v>
      </c>
      <c r="H25" s="245" t="s">
        <v>1041</v>
      </c>
    </row>
    <row r="26" spans="1:10">
      <c r="A26" s="245">
        <v>7065</v>
      </c>
      <c r="C26" s="245" t="s">
        <v>644</v>
      </c>
      <c r="D26" s="245">
        <v>75116</v>
      </c>
      <c r="E26" s="245" t="s">
        <v>645</v>
      </c>
      <c r="F26" s="245" t="s">
        <v>630</v>
      </c>
      <c r="G26" s="245" t="s">
        <v>838</v>
      </c>
      <c r="H26" s="245" t="s">
        <v>1087</v>
      </c>
      <c r="I26" s="245" t="s">
        <v>646</v>
      </c>
    </row>
    <row r="27" spans="1:10">
      <c r="A27" s="245">
        <v>7068</v>
      </c>
      <c r="C27" s="245" t="s">
        <v>647</v>
      </c>
      <c r="D27" s="245">
        <v>4004</v>
      </c>
      <c r="E27" s="245" t="s">
        <v>648</v>
      </c>
      <c r="F27" s="245" t="s">
        <v>649</v>
      </c>
      <c r="G27" s="245" t="s">
        <v>840</v>
      </c>
      <c r="H27" s="245" t="s">
        <v>1088</v>
      </c>
      <c r="I27" s="245" t="s">
        <v>650</v>
      </c>
    </row>
    <row r="28" spans="1:10">
      <c r="A28" s="245" t="s">
        <v>894</v>
      </c>
      <c r="C28" s="245" t="s">
        <v>895</v>
      </c>
      <c r="D28" s="245">
        <v>10013</v>
      </c>
      <c r="E28" s="245" t="s">
        <v>896</v>
      </c>
      <c r="F28" s="245" t="s">
        <v>772</v>
      </c>
      <c r="G28" s="245" t="s">
        <v>400</v>
      </c>
      <c r="H28" s="245" t="s">
        <v>1089</v>
      </c>
    </row>
    <row r="29" spans="1:10">
      <c r="A29" s="245">
        <v>6060</v>
      </c>
      <c r="C29" s="245" t="s">
        <v>444</v>
      </c>
      <c r="D29" s="245">
        <v>90007</v>
      </c>
      <c r="E29" s="245" t="s">
        <v>445</v>
      </c>
      <c r="F29" s="245" t="s">
        <v>770</v>
      </c>
      <c r="G29" s="245" t="s">
        <v>400</v>
      </c>
      <c r="H29" s="245" t="s">
        <v>1042</v>
      </c>
      <c r="I29" s="245" t="s">
        <v>446</v>
      </c>
    </row>
    <row r="30" spans="1:10">
      <c r="A30" s="245" t="s">
        <v>914</v>
      </c>
      <c r="C30" s="245" t="s">
        <v>915</v>
      </c>
      <c r="D30" s="245">
        <v>4475309</v>
      </c>
      <c r="E30" s="245" t="s">
        <v>916</v>
      </c>
      <c r="F30" s="245" t="s">
        <v>1003</v>
      </c>
      <c r="G30" s="245" t="s">
        <v>1004</v>
      </c>
      <c r="H30" s="245" t="s">
        <v>1090</v>
      </c>
    </row>
    <row r="31" spans="1:10">
      <c r="A31" s="245" t="s">
        <v>975</v>
      </c>
      <c r="C31" s="245" t="s">
        <v>976</v>
      </c>
      <c r="D31" s="245">
        <v>10018</v>
      </c>
      <c r="E31" s="245" t="s">
        <v>977</v>
      </c>
      <c r="F31" s="245" t="s">
        <v>767</v>
      </c>
      <c r="G31" s="245" t="s">
        <v>400</v>
      </c>
      <c r="J31" s="245" t="s">
        <v>1832</v>
      </c>
    </row>
    <row r="32" spans="1:10">
      <c r="A32" s="245">
        <v>6080</v>
      </c>
      <c r="C32" s="245" t="s">
        <v>447</v>
      </c>
      <c r="D32" s="245">
        <v>10018</v>
      </c>
      <c r="E32" s="245" t="s">
        <v>448</v>
      </c>
      <c r="F32" s="245" t="s">
        <v>772</v>
      </c>
      <c r="G32" s="245" t="s">
        <v>400</v>
      </c>
      <c r="H32" s="245" t="s">
        <v>449</v>
      </c>
      <c r="I32" s="245" t="s">
        <v>450</v>
      </c>
    </row>
    <row r="33" spans="1:9">
      <c r="A33" s="245">
        <v>7085</v>
      </c>
      <c r="C33" s="245" t="s">
        <v>651</v>
      </c>
      <c r="D33" s="245" t="s">
        <v>652</v>
      </c>
      <c r="E33" s="245" t="s">
        <v>856</v>
      </c>
      <c r="F33" s="245" t="s">
        <v>855</v>
      </c>
      <c r="G33" s="245" t="s">
        <v>1001</v>
      </c>
      <c r="H33" s="245" t="s">
        <v>1091</v>
      </c>
      <c r="I33" s="245" t="s">
        <v>653</v>
      </c>
    </row>
    <row r="34" spans="1:9">
      <c r="A34" s="245">
        <v>6085</v>
      </c>
      <c r="C34" s="245" t="s">
        <v>451</v>
      </c>
      <c r="D34" s="245">
        <v>27406</v>
      </c>
      <c r="E34" s="245" t="s">
        <v>452</v>
      </c>
      <c r="F34" s="245" t="s">
        <v>777</v>
      </c>
      <c r="G34" s="245" t="s">
        <v>400</v>
      </c>
      <c r="I34" s="245" t="s">
        <v>453</v>
      </c>
    </row>
    <row r="35" spans="1:9">
      <c r="A35" s="245">
        <v>6088</v>
      </c>
      <c r="C35" s="245" t="s">
        <v>454</v>
      </c>
      <c r="D35" s="245">
        <v>213000</v>
      </c>
      <c r="E35" s="245" t="s">
        <v>455</v>
      </c>
      <c r="F35" s="245" t="s">
        <v>778</v>
      </c>
      <c r="G35" s="245" t="s">
        <v>456</v>
      </c>
      <c r="H35" s="245" t="s">
        <v>1043</v>
      </c>
      <c r="I35" s="245" t="s">
        <v>457</v>
      </c>
    </row>
    <row r="36" spans="1:9">
      <c r="A36" s="245" t="s">
        <v>935</v>
      </c>
      <c r="C36" s="245" t="s">
        <v>936</v>
      </c>
      <c r="D36" s="245">
        <v>521000</v>
      </c>
      <c r="E36" s="245" t="s">
        <v>937</v>
      </c>
      <c r="F36" s="245" t="s">
        <v>1010</v>
      </c>
      <c r="G36" s="245" t="s">
        <v>254</v>
      </c>
      <c r="H36" s="245" t="s">
        <v>1055</v>
      </c>
    </row>
    <row r="37" spans="1:9">
      <c r="A37" s="245">
        <v>6089</v>
      </c>
      <c r="C37" s="245" t="s">
        <v>458</v>
      </c>
      <c r="D37" s="245">
        <v>213200</v>
      </c>
      <c r="E37" s="245" t="s">
        <v>779</v>
      </c>
      <c r="F37" s="245" t="s">
        <v>778</v>
      </c>
      <c r="G37" s="245" t="s">
        <v>254</v>
      </c>
      <c r="H37" s="245" t="s">
        <v>1074</v>
      </c>
      <c r="I37" s="245" t="s">
        <v>459</v>
      </c>
    </row>
    <row r="38" spans="1:9">
      <c r="A38" s="245" t="s">
        <v>880</v>
      </c>
      <c r="C38" s="245" t="s">
        <v>881</v>
      </c>
      <c r="D38" s="245">
        <v>518000</v>
      </c>
      <c r="E38" s="245" t="s">
        <v>984</v>
      </c>
      <c r="F38" s="245" t="s">
        <v>993</v>
      </c>
      <c r="G38" s="245" t="s">
        <v>254</v>
      </c>
      <c r="H38" s="245" t="s">
        <v>1092</v>
      </c>
    </row>
    <row r="39" spans="1:9">
      <c r="A39" s="245">
        <v>6090</v>
      </c>
      <c r="C39" s="245" t="s">
        <v>460</v>
      </c>
      <c r="D39" s="245">
        <v>311100</v>
      </c>
      <c r="E39" s="245" t="s">
        <v>461</v>
      </c>
      <c r="F39" s="245" t="s">
        <v>780</v>
      </c>
      <c r="G39" s="245" t="s">
        <v>254</v>
      </c>
      <c r="H39" s="245" t="s">
        <v>1044</v>
      </c>
      <c r="I39" s="245" t="s">
        <v>462</v>
      </c>
    </row>
    <row r="40" spans="1:9">
      <c r="A40" s="245" t="s">
        <v>972</v>
      </c>
      <c r="C40" s="245" t="s">
        <v>973</v>
      </c>
      <c r="E40" s="245" t="s">
        <v>974</v>
      </c>
      <c r="F40" s="245" t="s">
        <v>1019</v>
      </c>
      <c r="G40" s="245" t="s">
        <v>254</v>
      </c>
    </row>
    <row r="41" spans="1:9">
      <c r="A41" s="245">
        <v>6091</v>
      </c>
      <c r="C41" s="245" t="s">
        <v>463</v>
      </c>
      <c r="E41" s="245" t="s">
        <v>464</v>
      </c>
      <c r="F41" s="245" t="s">
        <v>465</v>
      </c>
      <c r="G41" s="245" t="s">
        <v>254</v>
      </c>
      <c r="H41" s="245" t="s">
        <v>1045</v>
      </c>
      <c r="I41" s="245" t="s">
        <v>466</v>
      </c>
    </row>
    <row r="42" spans="1:9">
      <c r="A42" s="245">
        <v>6092</v>
      </c>
      <c r="C42" s="245" t="s">
        <v>467</v>
      </c>
      <c r="D42" s="245">
        <v>90011</v>
      </c>
      <c r="E42" s="245" t="s">
        <v>468</v>
      </c>
      <c r="F42" s="245" t="s">
        <v>770</v>
      </c>
      <c r="G42" s="245" t="s">
        <v>400</v>
      </c>
      <c r="H42" s="245" t="s">
        <v>1046</v>
      </c>
    </row>
    <row r="43" spans="1:9">
      <c r="A43" s="245" t="s">
        <v>946</v>
      </c>
      <c r="C43" s="245" t="s">
        <v>947</v>
      </c>
      <c r="D43" s="245">
        <v>90039</v>
      </c>
      <c r="E43" s="245" t="s">
        <v>806</v>
      </c>
      <c r="F43" s="245" t="s">
        <v>770</v>
      </c>
      <c r="G43" s="245" t="s">
        <v>400</v>
      </c>
      <c r="H43" s="245" t="s">
        <v>1093</v>
      </c>
    </row>
    <row r="44" spans="1:9">
      <c r="A44" s="245">
        <v>6098</v>
      </c>
      <c r="C44" s="245" t="s">
        <v>469</v>
      </c>
      <c r="D44" s="245">
        <v>36000</v>
      </c>
      <c r="E44" s="245" t="s">
        <v>470</v>
      </c>
      <c r="F44" s="245" t="s">
        <v>781</v>
      </c>
      <c r="G44" s="245" t="s">
        <v>782</v>
      </c>
      <c r="H44" s="245" t="s">
        <v>471</v>
      </c>
    </row>
    <row r="45" spans="1:9">
      <c r="A45" s="245">
        <v>7101</v>
      </c>
      <c r="C45" s="245" t="s">
        <v>654</v>
      </c>
      <c r="D45" s="245">
        <v>75001</v>
      </c>
      <c r="E45" s="245" t="s">
        <v>655</v>
      </c>
      <c r="F45" s="245" t="s">
        <v>630</v>
      </c>
      <c r="G45" s="245" t="s">
        <v>838</v>
      </c>
      <c r="H45" s="245" t="s">
        <v>1094</v>
      </c>
      <c r="I45" s="245" t="s">
        <v>656</v>
      </c>
    </row>
    <row r="46" spans="1:9">
      <c r="A46" s="245">
        <v>6102</v>
      </c>
      <c r="C46" s="245" t="s">
        <v>472</v>
      </c>
      <c r="D46" s="245">
        <v>10001</v>
      </c>
      <c r="E46" s="245" t="s">
        <v>473</v>
      </c>
      <c r="F46" s="245" t="s">
        <v>772</v>
      </c>
      <c r="G46" s="245" t="s">
        <v>400</v>
      </c>
      <c r="H46" s="245" t="s">
        <v>1047</v>
      </c>
      <c r="I46" s="245" t="s">
        <v>474</v>
      </c>
    </row>
    <row r="47" spans="1:9">
      <c r="A47" s="245">
        <v>7105</v>
      </c>
      <c r="C47" s="245" t="s">
        <v>657</v>
      </c>
      <c r="D47" s="245">
        <v>75008</v>
      </c>
      <c r="E47" s="245" t="s">
        <v>658</v>
      </c>
      <c r="F47" s="245" t="s">
        <v>630</v>
      </c>
      <c r="G47" s="245" t="s">
        <v>838</v>
      </c>
      <c r="H47" s="245" t="s">
        <v>1095</v>
      </c>
      <c r="I47" s="245" t="s">
        <v>659</v>
      </c>
    </row>
    <row r="48" spans="1:9">
      <c r="A48" s="245" t="s">
        <v>969</v>
      </c>
      <c r="C48" s="245" t="s">
        <v>970</v>
      </c>
      <c r="D48" s="245">
        <v>90277</v>
      </c>
      <c r="E48" s="245" t="s">
        <v>971</v>
      </c>
      <c r="F48" s="245" t="s">
        <v>1022</v>
      </c>
      <c r="G48" s="245" t="s">
        <v>400</v>
      </c>
    </row>
    <row r="49" spans="1:10">
      <c r="A49" s="245" t="s">
        <v>978</v>
      </c>
      <c r="C49" s="245" t="s">
        <v>979</v>
      </c>
      <c r="D49" s="245">
        <v>400001</v>
      </c>
      <c r="E49" s="245" t="s">
        <v>980</v>
      </c>
      <c r="F49" s="245" t="s">
        <v>1020</v>
      </c>
      <c r="G49" s="245" t="s">
        <v>996</v>
      </c>
    </row>
    <row r="50" spans="1:10">
      <c r="A50" s="245">
        <v>6105</v>
      </c>
      <c r="C50" s="245" t="s">
        <v>475</v>
      </c>
      <c r="D50" s="246" t="s">
        <v>784</v>
      </c>
      <c r="E50" s="245" t="s">
        <v>476</v>
      </c>
      <c r="F50" s="245" t="s">
        <v>785</v>
      </c>
      <c r="G50" s="245" t="s">
        <v>400</v>
      </c>
    </row>
    <row r="51" spans="1:10">
      <c r="A51" s="245">
        <v>7115</v>
      </c>
      <c r="C51" s="245" t="s">
        <v>660</v>
      </c>
      <c r="D51" s="245">
        <v>77210</v>
      </c>
      <c r="E51" s="245" t="s">
        <v>661</v>
      </c>
      <c r="F51" s="245" t="s">
        <v>662</v>
      </c>
      <c r="G51" s="245" t="s">
        <v>838</v>
      </c>
      <c r="H51" s="245" t="s">
        <v>1096</v>
      </c>
      <c r="I51" s="245" t="s">
        <v>663</v>
      </c>
    </row>
    <row r="52" spans="1:10">
      <c r="A52" s="245">
        <v>6120</v>
      </c>
      <c r="C52" s="245" t="s">
        <v>763</v>
      </c>
      <c r="D52" s="245">
        <v>10018</v>
      </c>
      <c r="E52" s="245" t="s">
        <v>477</v>
      </c>
      <c r="F52" s="245" t="s">
        <v>772</v>
      </c>
      <c r="G52" s="245" t="s">
        <v>400</v>
      </c>
      <c r="H52" s="245" t="s">
        <v>1048</v>
      </c>
      <c r="I52" s="245" t="s">
        <v>478</v>
      </c>
      <c r="J52" s="245" t="s">
        <v>1833</v>
      </c>
    </row>
    <row r="53" spans="1:10">
      <c r="A53" s="245">
        <v>6121</v>
      </c>
      <c r="C53" s="245" t="s">
        <v>479</v>
      </c>
      <c r="D53" s="245">
        <v>10018</v>
      </c>
      <c r="E53" s="245" t="s">
        <v>480</v>
      </c>
      <c r="F53" s="245" t="s">
        <v>772</v>
      </c>
      <c r="G53" s="245" t="s">
        <v>400</v>
      </c>
      <c r="H53" s="245" t="s">
        <v>481</v>
      </c>
    </row>
    <row r="54" spans="1:10">
      <c r="A54" s="245">
        <v>6125</v>
      </c>
      <c r="C54" s="245" t="s">
        <v>482</v>
      </c>
      <c r="D54" s="245">
        <v>90014</v>
      </c>
      <c r="E54" s="245" t="s">
        <v>783</v>
      </c>
      <c r="F54" s="245" t="s">
        <v>770</v>
      </c>
      <c r="G54" s="245" t="s">
        <v>764</v>
      </c>
      <c r="H54" s="245" t="s">
        <v>1049</v>
      </c>
      <c r="I54" s="245" t="s">
        <v>483</v>
      </c>
    </row>
    <row r="55" spans="1:10">
      <c r="A55" s="245">
        <v>7125</v>
      </c>
      <c r="C55" s="245" t="s">
        <v>664</v>
      </c>
      <c r="D55" s="245">
        <v>75002</v>
      </c>
      <c r="E55" s="245" t="s">
        <v>665</v>
      </c>
      <c r="F55" s="245" t="s">
        <v>630</v>
      </c>
      <c r="G55" s="245" t="s">
        <v>838</v>
      </c>
      <c r="H55" s="245" t="s">
        <v>1097</v>
      </c>
      <c r="I55" s="245" t="s">
        <v>666</v>
      </c>
    </row>
    <row r="56" spans="1:10">
      <c r="A56" s="245">
        <v>6127</v>
      </c>
      <c r="C56" s="245" t="s">
        <v>484</v>
      </c>
      <c r="D56" s="245">
        <v>850000</v>
      </c>
      <c r="E56" s="245" t="s">
        <v>485</v>
      </c>
      <c r="F56" s="245" t="s">
        <v>786</v>
      </c>
      <c r="G56" s="245" t="s">
        <v>787</v>
      </c>
      <c r="H56" s="245" t="s">
        <v>1098</v>
      </c>
      <c r="I56" s="245" t="s">
        <v>486</v>
      </c>
    </row>
    <row r="57" spans="1:10">
      <c r="A57" s="245">
        <v>7155</v>
      </c>
      <c r="C57" s="245" t="s">
        <v>667</v>
      </c>
      <c r="D57" s="245">
        <v>75017</v>
      </c>
      <c r="E57" s="245" t="s">
        <v>668</v>
      </c>
      <c r="F57" s="245" t="s">
        <v>630</v>
      </c>
      <c r="G57" s="245" t="s">
        <v>838</v>
      </c>
      <c r="H57" s="245" t="s">
        <v>1099</v>
      </c>
      <c r="I57" s="245" t="s">
        <v>669</v>
      </c>
    </row>
    <row r="58" spans="1:10">
      <c r="A58" s="245" t="s">
        <v>877</v>
      </c>
      <c r="C58" s="245" t="s">
        <v>878</v>
      </c>
      <c r="E58" s="245" t="s">
        <v>879</v>
      </c>
      <c r="F58" s="245" t="s">
        <v>992</v>
      </c>
      <c r="G58" s="245" t="s">
        <v>254</v>
      </c>
      <c r="H58" s="245" t="s">
        <v>1100</v>
      </c>
    </row>
    <row r="59" spans="1:10">
      <c r="A59" s="245" t="s">
        <v>966</v>
      </c>
      <c r="C59" s="245" t="s">
        <v>967</v>
      </c>
      <c r="E59" s="245" t="s">
        <v>968</v>
      </c>
      <c r="F59" s="245" t="s">
        <v>1018</v>
      </c>
      <c r="G59" s="245" t="s">
        <v>254</v>
      </c>
    </row>
    <row r="60" spans="1:10">
      <c r="A60" s="245">
        <v>6185</v>
      </c>
      <c r="C60" s="245" t="s">
        <v>487</v>
      </c>
      <c r="D60" s="245">
        <v>91745</v>
      </c>
      <c r="E60" s="245" t="s">
        <v>488</v>
      </c>
      <c r="F60" s="245" t="s">
        <v>789</v>
      </c>
      <c r="G60" s="245" t="s">
        <v>400</v>
      </c>
      <c r="H60" s="245" t="s">
        <v>1101</v>
      </c>
    </row>
    <row r="61" spans="1:10">
      <c r="A61" s="245">
        <v>7168</v>
      </c>
      <c r="C61" s="245" t="s">
        <v>670</v>
      </c>
      <c r="D61" s="245">
        <v>92614</v>
      </c>
      <c r="E61" s="245" t="s">
        <v>671</v>
      </c>
      <c r="F61" s="245" t="s">
        <v>841</v>
      </c>
      <c r="G61" s="245" t="s">
        <v>838</v>
      </c>
      <c r="H61" s="245" t="s">
        <v>1102</v>
      </c>
      <c r="I61" s="245" t="s">
        <v>672</v>
      </c>
    </row>
    <row r="62" spans="1:10">
      <c r="A62" s="245">
        <v>6190</v>
      </c>
      <c r="C62" s="245" t="s">
        <v>489</v>
      </c>
      <c r="D62" s="245">
        <v>90058</v>
      </c>
      <c r="E62" s="245" t="s">
        <v>490</v>
      </c>
      <c r="F62" s="245" t="s">
        <v>774</v>
      </c>
      <c r="G62" s="245" t="s">
        <v>491</v>
      </c>
      <c r="H62" s="245" t="s">
        <v>1103</v>
      </c>
      <c r="I62" s="245" t="s">
        <v>492</v>
      </c>
    </row>
    <row r="63" spans="1:10">
      <c r="A63" s="245" t="s">
        <v>911</v>
      </c>
      <c r="C63" s="245" t="s">
        <v>912</v>
      </c>
      <c r="E63" s="245" t="s">
        <v>913</v>
      </c>
      <c r="F63" s="245" t="s">
        <v>1002</v>
      </c>
      <c r="G63" s="245" t="s">
        <v>254</v>
      </c>
      <c r="H63" s="245" t="s">
        <v>1104</v>
      </c>
    </row>
    <row r="64" spans="1:10">
      <c r="A64" s="245">
        <v>7207</v>
      </c>
      <c r="C64" s="245" t="s">
        <v>673</v>
      </c>
      <c r="E64" s="245" t="s">
        <v>674</v>
      </c>
      <c r="F64" s="245" t="s">
        <v>431</v>
      </c>
      <c r="G64" s="245" t="s">
        <v>254</v>
      </c>
      <c r="H64" s="245" t="s">
        <v>1105</v>
      </c>
      <c r="I64" s="245" t="s">
        <v>675</v>
      </c>
    </row>
    <row r="65" spans="1:10">
      <c r="A65" s="245">
        <v>6210</v>
      </c>
      <c r="C65" s="245" t="s">
        <v>493</v>
      </c>
      <c r="E65" s="245" t="s">
        <v>494</v>
      </c>
      <c r="F65" s="245" t="s">
        <v>788</v>
      </c>
      <c r="G65" s="245" t="s">
        <v>254</v>
      </c>
      <c r="H65" s="245" t="s">
        <v>1106</v>
      </c>
      <c r="I65" s="245" t="s">
        <v>495</v>
      </c>
    </row>
    <row r="66" spans="1:10">
      <c r="A66" s="245" t="s">
        <v>908</v>
      </c>
      <c r="C66" s="245" t="s">
        <v>909</v>
      </c>
      <c r="D66" s="245">
        <v>90016</v>
      </c>
      <c r="E66" s="245" t="s">
        <v>910</v>
      </c>
      <c r="F66" s="245" t="s">
        <v>770</v>
      </c>
      <c r="G66" s="245" t="s">
        <v>400</v>
      </c>
      <c r="H66" s="245" t="s">
        <v>1107</v>
      </c>
    </row>
    <row r="67" spans="1:10">
      <c r="A67" s="245">
        <v>6215</v>
      </c>
      <c r="C67" s="245" t="s">
        <v>496</v>
      </c>
      <c r="D67" s="245">
        <v>90292</v>
      </c>
      <c r="E67" s="247" t="s">
        <v>765</v>
      </c>
      <c r="F67" s="247" t="s">
        <v>790</v>
      </c>
      <c r="G67" s="245" t="s">
        <v>400</v>
      </c>
    </row>
    <row r="68" spans="1:10">
      <c r="A68" s="245" t="s">
        <v>888</v>
      </c>
      <c r="C68" s="245" t="s">
        <v>889</v>
      </c>
      <c r="D68" s="245">
        <v>70000</v>
      </c>
      <c r="E68" s="245" t="s">
        <v>890</v>
      </c>
      <c r="F68" s="245" t="s">
        <v>998</v>
      </c>
      <c r="G68" s="245" t="s">
        <v>787</v>
      </c>
      <c r="H68" s="245" t="s">
        <v>1108</v>
      </c>
    </row>
    <row r="69" spans="1:10">
      <c r="A69" s="245" t="s">
        <v>928</v>
      </c>
      <c r="C69" s="245" t="s">
        <v>929</v>
      </c>
      <c r="D69" s="245">
        <v>39000</v>
      </c>
      <c r="E69" s="245" t="s">
        <v>930</v>
      </c>
      <c r="F69" s="245" t="s">
        <v>1009</v>
      </c>
      <c r="G69" s="245" t="s">
        <v>787</v>
      </c>
      <c r="H69" s="245" t="s">
        <v>1052</v>
      </c>
    </row>
    <row r="70" spans="1:10">
      <c r="A70" s="245" t="s">
        <v>900</v>
      </c>
      <c r="C70" s="245" t="s">
        <v>901</v>
      </c>
      <c r="E70" s="245" t="s">
        <v>902</v>
      </c>
      <c r="F70" s="245" t="s">
        <v>903</v>
      </c>
      <c r="G70" s="245" t="s">
        <v>254</v>
      </c>
      <c r="H70" s="245" t="s">
        <v>1109</v>
      </c>
    </row>
    <row r="71" spans="1:10">
      <c r="A71" s="245" t="s">
        <v>958</v>
      </c>
      <c r="C71" s="245" t="s">
        <v>959</v>
      </c>
      <c r="D71" s="245">
        <v>92704</v>
      </c>
      <c r="E71" s="245" t="s">
        <v>960</v>
      </c>
      <c r="F71" s="245" t="s">
        <v>1015</v>
      </c>
      <c r="G71" s="245" t="s">
        <v>400</v>
      </c>
      <c r="H71" s="245" t="s">
        <v>1110</v>
      </c>
    </row>
    <row r="72" spans="1:10">
      <c r="A72" s="245">
        <v>6255</v>
      </c>
      <c r="C72" s="245" t="s">
        <v>497</v>
      </c>
      <c r="D72" s="245">
        <v>10016</v>
      </c>
      <c r="E72" s="245" t="s">
        <v>498</v>
      </c>
      <c r="F72" s="245" t="s">
        <v>772</v>
      </c>
      <c r="G72" s="245" t="s">
        <v>400</v>
      </c>
      <c r="H72" s="245" t="s">
        <v>1111</v>
      </c>
      <c r="I72" s="245" t="s">
        <v>499</v>
      </c>
    </row>
    <row r="73" spans="1:10">
      <c r="A73" s="245">
        <v>6256</v>
      </c>
      <c r="C73" s="245" t="s">
        <v>500</v>
      </c>
      <c r="D73" s="245">
        <v>523108</v>
      </c>
      <c r="E73" s="245" t="s">
        <v>792</v>
      </c>
      <c r="F73" s="245" t="s">
        <v>791</v>
      </c>
      <c r="G73" s="245" t="s">
        <v>254</v>
      </c>
      <c r="H73" s="245" t="s">
        <v>1112</v>
      </c>
    </row>
    <row r="74" spans="1:10">
      <c r="A74" s="245" t="s">
        <v>917</v>
      </c>
      <c r="C74" s="245" t="s">
        <v>918</v>
      </c>
      <c r="E74" s="245" t="s">
        <v>1005</v>
      </c>
      <c r="F74" s="245" t="s">
        <v>1006</v>
      </c>
      <c r="G74" s="245" t="s">
        <v>254</v>
      </c>
      <c r="H74" s="245" t="s">
        <v>1113</v>
      </c>
    </row>
    <row r="75" spans="1:10">
      <c r="A75" s="245">
        <v>7281</v>
      </c>
      <c r="C75" s="245" t="s">
        <v>676</v>
      </c>
      <c r="D75" s="245">
        <v>311200</v>
      </c>
      <c r="E75" s="245" t="s">
        <v>677</v>
      </c>
      <c r="F75" s="245" t="s">
        <v>842</v>
      </c>
      <c r="G75" s="245" t="s">
        <v>254</v>
      </c>
      <c r="H75" s="245" t="s">
        <v>1114</v>
      </c>
      <c r="I75" s="245" t="s">
        <v>678</v>
      </c>
    </row>
    <row r="76" spans="1:10">
      <c r="C76" s="245" t="s">
        <v>1149</v>
      </c>
      <c r="E76" s="245" t="s">
        <v>1150</v>
      </c>
      <c r="F76" s="245" t="s">
        <v>1151</v>
      </c>
      <c r="G76" s="245" t="s">
        <v>254</v>
      </c>
      <c r="H76" s="245" t="s">
        <v>1152</v>
      </c>
      <c r="I76" s="245" t="s">
        <v>1153</v>
      </c>
    </row>
    <row r="77" spans="1:10">
      <c r="A77" s="245">
        <v>6280</v>
      </c>
      <c r="C77" s="245" t="s">
        <v>501</v>
      </c>
      <c r="D77" s="245">
        <v>11206</v>
      </c>
      <c r="E77" s="245" t="s">
        <v>502</v>
      </c>
      <c r="F77" s="245" t="s">
        <v>793</v>
      </c>
      <c r="G77" s="245" t="s">
        <v>400</v>
      </c>
      <c r="I77" s="245" t="s">
        <v>503</v>
      </c>
    </row>
    <row r="78" spans="1:10">
      <c r="A78" s="245">
        <v>6281</v>
      </c>
      <c r="C78" s="245" t="s">
        <v>504</v>
      </c>
      <c r="D78" s="245">
        <v>10950</v>
      </c>
      <c r="E78" s="245" t="s">
        <v>505</v>
      </c>
      <c r="F78" s="245" t="s">
        <v>794</v>
      </c>
      <c r="G78" s="245" t="s">
        <v>400</v>
      </c>
      <c r="H78" s="245" t="s">
        <v>1075</v>
      </c>
      <c r="I78" s="245" t="s">
        <v>506</v>
      </c>
    </row>
    <row r="79" spans="1:10">
      <c r="A79" s="245">
        <v>6290</v>
      </c>
      <c r="C79" s="245" t="s">
        <v>507</v>
      </c>
      <c r="D79" s="245">
        <v>10012</v>
      </c>
      <c r="E79" s="245" t="s">
        <v>795</v>
      </c>
      <c r="F79" s="245" t="s">
        <v>771</v>
      </c>
      <c r="G79" s="245" t="s">
        <v>400</v>
      </c>
      <c r="H79" s="245" t="s">
        <v>1076</v>
      </c>
      <c r="I79" s="245" t="s">
        <v>508</v>
      </c>
      <c r="J79" s="245" t="s">
        <v>1834</v>
      </c>
    </row>
    <row r="80" spans="1:10">
      <c r="A80" s="245" t="s">
        <v>919</v>
      </c>
      <c r="C80" s="245" t="s">
        <v>920</v>
      </c>
      <c r="E80" s="245" t="s">
        <v>921</v>
      </c>
      <c r="F80" s="245" t="s">
        <v>1007</v>
      </c>
      <c r="G80" s="245" t="s">
        <v>254</v>
      </c>
      <c r="H80" s="245" t="s">
        <v>1051</v>
      </c>
    </row>
    <row r="81" spans="1:9">
      <c r="A81" s="245" t="s">
        <v>922</v>
      </c>
      <c r="C81" s="245" t="s">
        <v>923</v>
      </c>
      <c r="D81" s="245">
        <v>515041</v>
      </c>
      <c r="E81" s="245" t="s">
        <v>924</v>
      </c>
      <c r="F81" s="245" t="s">
        <v>1008</v>
      </c>
      <c r="G81" s="245" t="s">
        <v>254</v>
      </c>
      <c r="H81" s="245" t="s">
        <v>534</v>
      </c>
    </row>
    <row r="82" spans="1:9">
      <c r="A82" s="245" t="s">
        <v>925</v>
      </c>
      <c r="C82" s="245" t="s">
        <v>926</v>
      </c>
      <c r="D82" s="245">
        <v>10014</v>
      </c>
      <c r="E82" s="245" t="s">
        <v>927</v>
      </c>
      <c r="F82" s="245" t="s">
        <v>772</v>
      </c>
      <c r="G82" s="245" t="s">
        <v>400</v>
      </c>
      <c r="H82" s="245" t="s">
        <v>1115</v>
      </c>
    </row>
    <row r="83" spans="1:9">
      <c r="A83" s="245">
        <v>6291</v>
      </c>
      <c r="C83" s="245" t="s">
        <v>509</v>
      </c>
      <c r="D83" s="246" t="s">
        <v>798</v>
      </c>
      <c r="E83" s="245" t="s">
        <v>799</v>
      </c>
      <c r="F83" s="245" t="s">
        <v>800</v>
      </c>
      <c r="G83" s="245" t="s">
        <v>400</v>
      </c>
      <c r="I83" s="245" t="s">
        <v>510</v>
      </c>
    </row>
    <row r="84" spans="1:9">
      <c r="A84" s="245">
        <v>6292</v>
      </c>
      <c r="C84" s="245" t="s">
        <v>511</v>
      </c>
      <c r="D84" s="246" t="s">
        <v>796</v>
      </c>
      <c r="E84" s="245" t="s">
        <v>512</v>
      </c>
      <c r="F84" s="245" t="s">
        <v>513</v>
      </c>
      <c r="G84" s="245" t="s">
        <v>797</v>
      </c>
      <c r="H84" s="245" t="s">
        <v>514</v>
      </c>
    </row>
    <row r="85" spans="1:9">
      <c r="A85" s="245">
        <v>7301</v>
      </c>
      <c r="C85" s="245" t="s">
        <v>679</v>
      </c>
      <c r="E85" s="245" t="s">
        <v>680</v>
      </c>
      <c r="F85" s="247" t="s">
        <v>843</v>
      </c>
      <c r="G85" s="245" t="s">
        <v>254</v>
      </c>
      <c r="H85" s="245" t="s">
        <v>1116</v>
      </c>
      <c r="I85" s="245" t="s">
        <v>681</v>
      </c>
    </row>
    <row r="86" spans="1:9">
      <c r="A86" s="245">
        <v>6300</v>
      </c>
      <c r="C86" s="245" t="s">
        <v>515</v>
      </c>
      <c r="D86" s="245">
        <v>10012</v>
      </c>
      <c r="E86" s="245" t="s">
        <v>516</v>
      </c>
      <c r="F86" s="245" t="s">
        <v>772</v>
      </c>
      <c r="G86" s="245" t="s">
        <v>400</v>
      </c>
      <c r="H86" s="245" t="s">
        <v>1050</v>
      </c>
      <c r="I86" s="245" t="s">
        <v>517</v>
      </c>
    </row>
    <row r="87" spans="1:9">
      <c r="A87" s="245">
        <v>7324</v>
      </c>
      <c r="C87" s="245" t="s">
        <v>682</v>
      </c>
      <c r="D87" s="245">
        <v>314003</v>
      </c>
      <c r="E87" s="245" t="s">
        <v>683</v>
      </c>
      <c r="F87" s="245" t="s">
        <v>844</v>
      </c>
      <c r="G87" s="245" t="s">
        <v>254</v>
      </c>
    </row>
    <row r="88" spans="1:9">
      <c r="A88" s="245">
        <v>7331</v>
      </c>
      <c r="C88" s="245" t="s">
        <v>684</v>
      </c>
      <c r="D88" s="245">
        <v>49455</v>
      </c>
      <c r="E88" s="245" t="s">
        <v>685</v>
      </c>
      <c r="F88" s="245" t="s">
        <v>686</v>
      </c>
      <c r="G88" s="245" t="s">
        <v>838</v>
      </c>
      <c r="H88" s="245" t="s">
        <v>1117</v>
      </c>
      <c r="I88" s="245" t="s">
        <v>646</v>
      </c>
    </row>
    <row r="89" spans="1:9">
      <c r="A89" s="245" t="s">
        <v>931</v>
      </c>
      <c r="C89" s="245" t="s">
        <v>932</v>
      </c>
      <c r="D89" s="245">
        <v>11362</v>
      </c>
      <c r="E89" s="245" t="s">
        <v>933</v>
      </c>
      <c r="F89" s="245" t="s">
        <v>934</v>
      </c>
      <c r="G89" s="245" t="s">
        <v>400</v>
      </c>
      <c r="H89" s="245" t="s">
        <v>1054</v>
      </c>
    </row>
    <row r="90" spans="1:9">
      <c r="A90" s="245">
        <v>6360</v>
      </c>
      <c r="C90" s="245" t="s">
        <v>518</v>
      </c>
      <c r="D90" s="245">
        <v>11021</v>
      </c>
      <c r="E90" s="245" t="s">
        <v>519</v>
      </c>
      <c r="F90" s="245" t="s">
        <v>801</v>
      </c>
      <c r="G90" s="245" t="s">
        <v>400</v>
      </c>
      <c r="H90" s="245" t="s">
        <v>520</v>
      </c>
    </row>
    <row r="91" spans="1:9">
      <c r="A91" s="245">
        <v>6361</v>
      </c>
      <c r="C91" s="245" t="s">
        <v>521</v>
      </c>
      <c r="D91" s="245">
        <v>201108</v>
      </c>
      <c r="E91" s="245" t="s">
        <v>522</v>
      </c>
      <c r="F91" s="245" t="s">
        <v>802</v>
      </c>
      <c r="G91" s="245" t="s">
        <v>254</v>
      </c>
      <c r="H91" s="245" t="s">
        <v>1077</v>
      </c>
      <c r="I91" s="245" t="s">
        <v>523</v>
      </c>
    </row>
    <row r="92" spans="1:9">
      <c r="C92" s="245" t="s">
        <v>1835</v>
      </c>
      <c r="D92" s="245">
        <v>10001</v>
      </c>
      <c r="E92" s="245" t="s">
        <v>1836</v>
      </c>
      <c r="F92" s="245" t="s">
        <v>772</v>
      </c>
      <c r="G92" s="245" t="s">
        <v>1800</v>
      </c>
      <c r="H92" s="245" t="s">
        <v>1837</v>
      </c>
      <c r="I92" s="245" t="s">
        <v>1838</v>
      </c>
    </row>
    <row r="93" spans="1:9">
      <c r="A93" s="245">
        <v>6365</v>
      </c>
      <c r="C93" s="245" t="s">
        <v>524</v>
      </c>
      <c r="D93" s="245">
        <v>10018</v>
      </c>
      <c r="E93" s="245" t="s">
        <v>525</v>
      </c>
      <c r="F93" s="245" t="s">
        <v>772</v>
      </c>
      <c r="G93" s="245" t="s">
        <v>400</v>
      </c>
      <c r="H93" s="245" t="s">
        <v>1078</v>
      </c>
    </row>
    <row r="94" spans="1:9">
      <c r="A94" s="245">
        <v>6390</v>
      </c>
      <c r="C94" s="245" t="s">
        <v>527</v>
      </c>
      <c r="D94" s="245">
        <v>90025</v>
      </c>
      <c r="E94" s="245" t="s">
        <v>528</v>
      </c>
      <c r="F94" s="245" t="s">
        <v>770</v>
      </c>
      <c r="G94" s="245" t="s">
        <v>400</v>
      </c>
      <c r="H94" s="245" t="s">
        <v>1113</v>
      </c>
      <c r="I94" s="245" t="s">
        <v>529</v>
      </c>
    </row>
    <row r="95" spans="1:9">
      <c r="A95" s="245" t="s">
        <v>897</v>
      </c>
      <c r="C95" s="245" t="s">
        <v>898</v>
      </c>
      <c r="D95" s="245">
        <v>90021</v>
      </c>
      <c r="E95" s="245" t="s">
        <v>899</v>
      </c>
      <c r="F95" s="245" t="s">
        <v>770</v>
      </c>
      <c r="G95" s="245" t="s">
        <v>400</v>
      </c>
      <c r="H95" s="245" t="s">
        <v>1045</v>
      </c>
    </row>
    <row r="96" spans="1:9">
      <c r="A96" s="245">
        <v>6380</v>
      </c>
      <c r="C96" s="245" t="s">
        <v>526</v>
      </c>
      <c r="D96" s="245">
        <v>90058</v>
      </c>
      <c r="E96" s="245" t="s">
        <v>1839</v>
      </c>
      <c r="F96" s="245" t="s">
        <v>770</v>
      </c>
      <c r="G96" s="245" t="s">
        <v>491</v>
      </c>
      <c r="H96" s="245" t="s">
        <v>1840</v>
      </c>
    </row>
    <row r="97" spans="1:9">
      <c r="C97" s="245" t="s">
        <v>1145</v>
      </c>
      <c r="D97" s="245">
        <v>90069</v>
      </c>
      <c r="E97" s="245" t="s">
        <v>1146</v>
      </c>
      <c r="F97" s="245" t="s">
        <v>1147</v>
      </c>
      <c r="G97" s="245" t="s">
        <v>400</v>
      </c>
      <c r="H97" s="245" t="s">
        <v>1148</v>
      </c>
    </row>
    <row r="98" spans="1:9">
      <c r="A98" s="245">
        <v>7381</v>
      </c>
      <c r="C98" s="245" t="s">
        <v>687</v>
      </c>
      <c r="D98" s="245">
        <v>310051</v>
      </c>
      <c r="E98" s="245" t="s">
        <v>688</v>
      </c>
      <c r="F98" s="245" t="s">
        <v>689</v>
      </c>
      <c r="G98" s="245" t="s">
        <v>254</v>
      </c>
      <c r="H98" s="245" t="s">
        <v>1118</v>
      </c>
      <c r="I98" s="245" t="s">
        <v>690</v>
      </c>
    </row>
    <row r="99" spans="1:9">
      <c r="A99" s="245">
        <v>6401</v>
      </c>
      <c r="C99" s="245" t="s">
        <v>530</v>
      </c>
      <c r="D99" s="245">
        <v>90023</v>
      </c>
      <c r="E99" s="245" t="s">
        <v>531</v>
      </c>
      <c r="F99" s="245" t="s">
        <v>770</v>
      </c>
      <c r="G99" s="245" t="s">
        <v>400</v>
      </c>
      <c r="H99" s="245" t="s">
        <v>1051</v>
      </c>
    </row>
    <row r="100" spans="1:9">
      <c r="A100" s="245" t="s">
        <v>938</v>
      </c>
      <c r="C100" s="245" t="s">
        <v>939</v>
      </c>
      <c r="D100" s="245">
        <v>90023</v>
      </c>
      <c r="E100" s="245" t="s">
        <v>1013</v>
      </c>
      <c r="F100" s="245" t="s">
        <v>770</v>
      </c>
      <c r="G100" s="245" t="s">
        <v>400</v>
      </c>
      <c r="H100" s="245" t="s">
        <v>1057</v>
      </c>
    </row>
    <row r="101" spans="1:9">
      <c r="A101" s="245">
        <v>6410</v>
      </c>
      <c r="C101" s="245" t="s">
        <v>532</v>
      </c>
      <c r="D101" s="245">
        <v>90048</v>
      </c>
      <c r="E101" s="245" t="s">
        <v>533</v>
      </c>
      <c r="F101" s="245" t="s">
        <v>770</v>
      </c>
      <c r="G101" s="245" t="s">
        <v>400</v>
      </c>
      <c r="H101" s="245" t="s">
        <v>534</v>
      </c>
    </row>
    <row r="102" spans="1:9">
      <c r="A102" s="245">
        <v>6425</v>
      </c>
      <c r="C102" s="245" t="s">
        <v>535</v>
      </c>
      <c r="D102" s="245">
        <v>91604</v>
      </c>
      <c r="E102" s="245" t="s">
        <v>536</v>
      </c>
      <c r="F102" s="245" t="s">
        <v>803</v>
      </c>
      <c r="G102" s="245" t="s">
        <v>400</v>
      </c>
      <c r="I102" s="245" t="s">
        <v>537</v>
      </c>
    </row>
    <row r="103" spans="1:9">
      <c r="A103" s="245" t="s">
        <v>870</v>
      </c>
      <c r="C103" s="245" t="s">
        <v>871</v>
      </c>
      <c r="D103" s="245">
        <v>26220</v>
      </c>
      <c r="E103" s="245" t="s">
        <v>872</v>
      </c>
      <c r="F103" s="245" t="s">
        <v>873</v>
      </c>
      <c r="G103" s="245" t="s">
        <v>989</v>
      </c>
    </row>
    <row r="104" spans="1:9">
      <c r="A104" s="245">
        <v>6440</v>
      </c>
      <c r="C104" s="245" t="s">
        <v>538</v>
      </c>
      <c r="D104" s="245">
        <v>90040</v>
      </c>
      <c r="E104" s="245" t="s">
        <v>804</v>
      </c>
      <c r="F104" s="245" t="s">
        <v>805</v>
      </c>
      <c r="G104" s="245" t="s">
        <v>400</v>
      </c>
      <c r="H104" s="245" t="s">
        <v>1052</v>
      </c>
      <c r="I104" s="245" t="s">
        <v>539</v>
      </c>
    </row>
    <row r="105" spans="1:9">
      <c r="A105" s="245">
        <v>6445</v>
      </c>
      <c r="C105" s="245" t="s">
        <v>540</v>
      </c>
      <c r="D105" s="245">
        <v>90014</v>
      </c>
      <c r="E105" s="245" t="s">
        <v>541</v>
      </c>
      <c r="F105" s="245" t="s">
        <v>770</v>
      </c>
      <c r="G105" s="245" t="s">
        <v>400</v>
      </c>
      <c r="H105" s="245" t="s">
        <v>1053</v>
      </c>
      <c r="I105" s="245" t="s">
        <v>542</v>
      </c>
    </row>
    <row r="106" spans="1:9">
      <c r="A106" s="245">
        <v>7461</v>
      </c>
      <c r="C106" s="245" t="s">
        <v>691</v>
      </c>
      <c r="D106" s="245">
        <v>85600</v>
      </c>
      <c r="E106" s="245" t="s">
        <v>692</v>
      </c>
      <c r="F106" s="245" t="s">
        <v>853</v>
      </c>
      <c r="G106" s="245" t="s">
        <v>838</v>
      </c>
      <c r="H106" s="245" t="s">
        <v>1117</v>
      </c>
      <c r="I106" s="245" t="s">
        <v>646</v>
      </c>
    </row>
    <row r="107" spans="1:9">
      <c r="A107" s="245">
        <v>6470</v>
      </c>
      <c r="C107" s="245" t="s">
        <v>543</v>
      </c>
      <c r="D107" s="245">
        <v>90039</v>
      </c>
      <c r="E107" s="245" t="s">
        <v>806</v>
      </c>
      <c r="F107" s="245" t="s">
        <v>770</v>
      </c>
      <c r="G107" s="245" t="s">
        <v>400</v>
      </c>
      <c r="H107" s="245" t="s">
        <v>1054</v>
      </c>
    </row>
    <row r="108" spans="1:9">
      <c r="A108" s="245">
        <v>6477</v>
      </c>
      <c r="C108" s="245" t="s">
        <v>544</v>
      </c>
      <c r="D108" s="245">
        <v>90015</v>
      </c>
      <c r="E108" s="245" t="s">
        <v>807</v>
      </c>
      <c r="F108" s="245" t="s">
        <v>770</v>
      </c>
      <c r="G108" s="245" t="s">
        <v>400</v>
      </c>
      <c r="H108" s="245" t="s">
        <v>545</v>
      </c>
    </row>
    <row r="109" spans="1:9">
      <c r="A109" s="245">
        <v>6490</v>
      </c>
      <c r="C109" s="245" t="s">
        <v>550</v>
      </c>
      <c r="D109" s="245">
        <v>90011</v>
      </c>
      <c r="E109" s="245" t="s">
        <v>551</v>
      </c>
      <c r="G109" s="245" t="s">
        <v>400</v>
      </c>
      <c r="H109" s="245" t="s">
        <v>1055</v>
      </c>
      <c r="I109" s="245" t="s">
        <v>552</v>
      </c>
    </row>
    <row r="110" spans="1:9">
      <c r="A110" s="245">
        <v>7481</v>
      </c>
      <c r="C110" s="245" t="s">
        <v>693</v>
      </c>
      <c r="D110" s="245">
        <v>92614</v>
      </c>
      <c r="E110" s="245" t="s">
        <v>694</v>
      </c>
      <c r="F110" s="245" t="s">
        <v>695</v>
      </c>
      <c r="G110" s="245" t="s">
        <v>838</v>
      </c>
      <c r="H110" s="245" t="s">
        <v>1119</v>
      </c>
      <c r="I110" s="245" t="s">
        <v>696</v>
      </c>
    </row>
    <row r="111" spans="1:9">
      <c r="A111" s="245">
        <v>7482</v>
      </c>
      <c r="C111" s="245" t="s">
        <v>697</v>
      </c>
      <c r="D111" s="245">
        <v>75009</v>
      </c>
      <c r="E111" s="245" t="s">
        <v>698</v>
      </c>
      <c r="F111" s="245" t="s">
        <v>630</v>
      </c>
      <c r="G111" s="245" t="s">
        <v>838</v>
      </c>
      <c r="H111" s="245" t="s">
        <v>1120</v>
      </c>
      <c r="I111" s="245" t="s">
        <v>699</v>
      </c>
    </row>
    <row r="112" spans="1:9">
      <c r="A112" s="245">
        <v>7483</v>
      </c>
      <c r="C112" s="245" t="s">
        <v>700</v>
      </c>
      <c r="D112" s="245">
        <v>75007</v>
      </c>
      <c r="E112" s="245" t="s">
        <v>701</v>
      </c>
      <c r="F112" s="245" t="s">
        <v>630</v>
      </c>
      <c r="G112" s="245" t="s">
        <v>838</v>
      </c>
      <c r="H112" s="245" t="s">
        <v>1121</v>
      </c>
      <c r="I112" s="245" t="s">
        <v>702</v>
      </c>
    </row>
    <row r="113" spans="1:9">
      <c r="A113" s="245">
        <v>7484</v>
      </c>
      <c r="C113" s="245" t="s">
        <v>703</v>
      </c>
      <c r="D113" s="245">
        <v>75001</v>
      </c>
      <c r="E113" s="245" t="s">
        <v>704</v>
      </c>
      <c r="F113" s="245" t="s">
        <v>630</v>
      </c>
      <c r="G113" s="245" t="s">
        <v>838</v>
      </c>
      <c r="H113" s="245" t="s">
        <v>1122</v>
      </c>
      <c r="I113" s="245" t="s">
        <v>705</v>
      </c>
    </row>
    <row r="114" spans="1:9">
      <c r="A114" s="245">
        <v>6481</v>
      </c>
      <c r="C114" s="245" t="s">
        <v>546</v>
      </c>
      <c r="D114" s="245">
        <v>10011</v>
      </c>
      <c r="E114" s="245" t="s">
        <v>808</v>
      </c>
      <c r="F114" s="245" t="s">
        <v>772</v>
      </c>
      <c r="G114" s="245" t="s">
        <v>400</v>
      </c>
      <c r="H114" s="245" t="s">
        <v>1056</v>
      </c>
    </row>
    <row r="115" spans="1:9">
      <c r="A115" s="245">
        <v>7485</v>
      </c>
      <c r="C115" s="245" t="s">
        <v>706</v>
      </c>
      <c r="D115" s="245">
        <v>200001</v>
      </c>
      <c r="E115" s="245" t="s">
        <v>707</v>
      </c>
      <c r="F115" s="245" t="s">
        <v>852</v>
      </c>
      <c r="G115" s="245" t="s">
        <v>254</v>
      </c>
      <c r="H115" s="245" t="s">
        <v>1123</v>
      </c>
      <c r="I115" s="245" t="s">
        <v>708</v>
      </c>
    </row>
    <row r="116" spans="1:9">
      <c r="A116" s="245">
        <v>7486</v>
      </c>
      <c r="C116" s="245" t="s">
        <v>709</v>
      </c>
      <c r="D116" s="245">
        <v>75017</v>
      </c>
      <c r="E116" s="245" t="s">
        <v>668</v>
      </c>
      <c r="F116" s="245" t="s">
        <v>630</v>
      </c>
      <c r="G116" s="245" t="s">
        <v>838</v>
      </c>
      <c r="H116" s="245" t="s">
        <v>1099</v>
      </c>
      <c r="I116" s="245" t="s">
        <v>669</v>
      </c>
    </row>
    <row r="117" spans="1:9">
      <c r="A117" s="245">
        <v>6482</v>
      </c>
      <c r="C117" s="245" t="s">
        <v>547</v>
      </c>
      <c r="D117" s="245">
        <v>90292</v>
      </c>
      <c r="E117" s="245" t="s">
        <v>810</v>
      </c>
      <c r="F117" s="245" t="s">
        <v>809</v>
      </c>
      <c r="G117" s="245" t="s">
        <v>400</v>
      </c>
      <c r="H117" s="245" t="s">
        <v>1057</v>
      </c>
      <c r="I117" s="245" t="s">
        <v>547</v>
      </c>
    </row>
    <row r="118" spans="1:9">
      <c r="A118" s="245">
        <v>7489</v>
      </c>
      <c r="C118" s="245" t="s">
        <v>710</v>
      </c>
      <c r="D118" s="245">
        <v>11000</v>
      </c>
      <c r="E118" s="245" t="s">
        <v>711</v>
      </c>
      <c r="F118" s="245" t="s">
        <v>851</v>
      </c>
      <c r="G118" s="245" t="s">
        <v>817</v>
      </c>
      <c r="H118" s="245" t="s">
        <v>1124</v>
      </c>
      <c r="I118" s="245" t="s">
        <v>712</v>
      </c>
    </row>
    <row r="119" spans="1:9">
      <c r="A119" s="245" t="s">
        <v>868</v>
      </c>
      <c r="C119" s="245" t="s">
        <v>710</v>
      </c>
      <c r="D119" s="245">
        <v>11000</v>
      </c>
      <c r="E119" s="245" t="s">
        <v>869</v>
      </c>
      <c r="F119" s="245" t="s">
        <v>988</v>
      </c>
      <c r="G119" s="245" t="s">
        <v>816</v>
      </c>
      <c r="H119" s="245" t="s">
        <v>1124</v>
      </c>
    </row>
    <row r="120" spans="1:9">
      <c r="A120" s="245" t="s">
        <v>954</v>
      </c>
      <c r="C120" s="245" t="s">
        <v>955</v>
      </c>
      <c r="D120" s="245">
        <v>523170</v>
      </c>
      <c r="E120" s="245" t="s">
        <v>956</v>
      </c>
      <c r="F120" s="245" t="s">
        <v>957</v>
      </c>
      <c r="G120" s="245" t="s">
        <v>254</v>
      </c>
      <c r="H120" s="245" t="s">
        <v>1125</v>
      </c>
    </row>
    <row r="121" spans="1:9">
      <c r="A121" s="245">
        <v>6489</v>
      </c>
      <c r="C121" s="245" t="s">
        <v>548</v>
      </c>
      <c r="D121" s="245">
        <v>92662</v>
      </c>
      <c r="E121" s="245" t="s">
        <v>549</v>
      </c>
      <c r="F121" s="245" t="s">
        <v>811</v>
      </c>
      <c r="G121" s="245" t="s">
        <v>400</v>
      </c>
    </row>
    <row r="122" spans="1:9">
      <c r="A122" s="245" t="s">
        <v>882</v>
      </c>
      <c r="C122" s="245" t="s">
        <v>883</v>
      </c>
      <c r="E122" s="245" t="s">
        <v>884</v>
      </c>
      <c r="F122" s="245" t="s">
        <v>995</v>
      </c>
      <c r="G122" s="245" t="s">
        <v>994</v>
      </c>
      <c r="H122" s="245" t="s">
        <v>1126</v>
      </c>
    </row>
    <row r="123" spans="1:9">
      <c r="A123" s="245">
        <v>6501</v>
      </c>
      <c r="C123" s="245" t="s">
        <v>553</v>
      </c>
      <c r="D123" s="246" t="s">
        <v>812</v>
      </c>
      <c r="E123" s="245" t="s">
        <v>554</v>
      </c>
      <c r="F123" s="245" t="s">
        <v>813</v>
      </c>
      <c r="G123" s="245" t="s">
        <v>400</v>
      </c>
    </row>
    <row r="124" spans="1:9">
      <c r="A124" s="245">
        <v>6502</v>
      </c>
      <c r="C124" s="245" t="s">
        <v>555</v>
      </c>
      <c r="D124" s="245">
        <v>90058</v>
      </c>
      <c r="E124" s="245" t="s">
        <v>556</v>
      </c>
      <c r="F124" s="245" t="s">
        <v>774</v>
      </c>
      <c r="G124" s="245" t="s">
        <v>400</v>
      </c>
      <c r="H124" s="245" t="s">
        <v>557</v>
      </c>
    </row>
    <row r="125" spans="1:9">
      <c r="A125" s="245">
        <v>6503</v>
      </c>
      <c r="C125" s="245" t="s">
        <v>558</v>
      </c>
      <c r="D125" s="245">
        <v>10012</v>
      </c>
      <c r="E125" s="245" t="s">
        <v>559</v>
      </c>
      <c r="F125" s="245" t="s">
        <v>772</v>
      </c>
      <c r="G125" s="245" t="s">
        <v>400</v>
      </c>
      <c r="H125" s="245" t="s">
        <v>1058</v>
      </c>
    </row>
    <row r="126" spans="1:9">
      <c r="A126" s="245">
        <v>6504</v>
      </c>
      <c r="C126" s="245" t="s">
        <v>561</v>
      </c>
      <c r="D126" s="245">
        <v>10012</v>
      </c>
      <c r="E126" s="245" t="s">
        <v>815</v>
      </c>
      <c r="F126" s="245" t="s">
        <v>772</v>
      </c>
      <c r="G126" s="245" t="s">
        <v>400</v>
      </c>
      <c r="H126" s="245" t="s">
        <v>562</v>
      </c>
      <c r="I126" s="245" t="s">
        <v>814</v>
      </c>
    </row>
    <row r="127" spans="1:9">
      <c r="A127" s="245">
        <v>6521</v>
      </c>
      <c r="C127" s="245" t="s">
        <v>563</v>
      </c>
      <c r="D127" s="245">
        <v>10200</v>
      </c>
      <c r="E127" s="245" t="s">
        <v>818</v>
      </c>
      <c r="F127" s="245" t="s">
        <v>819</v>
      </c>
      <c r="G127" s="245" t="s">
        <v>817</v>
      </c>
      <c r="H127" s="245" t="s">
        <v>564</v>
      </c>
    </row>
    <row r="128" spans="1:9">
      <c r="A128" s="245">
        <v>7568</v>
      </c>
      <c r="C128" s="245" t="s">
        <v>713</v>
      </c>
      <c r="D128" s="245">
        <v>75006</v>
      </c>
      <c r="E128" s="245" t="s">
        <v>714</v>
      </c>
      <c r="F128" s="245" t="s">
        <v>715</v>
      </c>
      <c r="G128" s="245" t="s">
        <v>838</v>
      </c>
      <c r="H128" s="245" t="s">
        <v>1127</v>
      </c>
      <c r="I128" s="245" t="s">
        <v>716</v>
      </c>
    </row>
    <row r="129" spans="1:9">
      <c r="A129" s="245" t="s">
        <v>863</v>
      </c>
      <c r="C129" s="245" t="s">
        <v>864</v>
      </c>
      <c r="E129" s="245" t="s">
        <v>865</v>
      </c>
      <c r="F129" s="245" t="s">
        <v>985</v>
      </c>
      <c r="G129" s="245" t="s">
        <v>254</v>
      </c>
      <c r="H129" s="245" t="s">
        <v>1128</v>
      </c>
    </row>
    <row r="130" spans="1:9">
      <c r="A130" s="245">
        <v>6522</v>
      </c>
      <c r="C130" s="245" t="s">
        <v>565</v>
      </c>
      <c r="D130" s="245">
        <v>10018</v>
      </c>
      <c r="E130" s="245" t="s">
        <v>566</v>
      </c>
      <c r="F130" s="245" t="s">
        <v>772</v>
      </c>
      <c r="G130" s="245" t="s">
        <v>400</v>
      </c>
      <c r="H130" s="245" t="s">
        <v>567</v>
      </c>
    </row>
    <row r="131" spans="1:9">
      <c r="A131" s="245">
        <v>7601</v>
      </c>
      <c r="C131" s="245" t="s">
        <v>717</v>
      </c>
      <c r="D131" s="245">
        <v>75008</v>
      </c>
      <c r="E131" s="245" t="s">
        <v>718</v>
      </c>
      <c r="F131" s="245" t="s">
        <v>630</v>
      </c>
      <c r="G131" s="245" t="s">
        <v>838</v>
      </c>
      <c r="H131" s="245" t="s">
        <v>1129</v>
      </c>
    </row>
    <row r="132" spans="1:9">
      <c r="A132" s="245">
        <v>6523</v>
      </c>
      <c r="C132" s="245" t="s">
        <v>568</v>
      </c>
      <c r="D132" s="245">
        <v>90015</v>
      </c>
      <c r="E132" s="245" t="s">
        <v>569</v>
      </c>
      <c r="F132" s="245" t="s">
        <v>770</v>
      </c>
      <c r="G132" s="245" t="s">
        <v>400</v>
      </c>
      <c r="H132" s="245" t="s">
        <v>1059</v>
      </c>
      <c r="I132" s="245" t="s">
        <v>570</v>
      </c>
    </row>
    <row r="133" spans="1:9">
      <c r="A133" s="245">
        <v>7602</v>
      </c>
      <c r="C133" s="245" t="s">
        <v>719</v>
      </c>
      <c r="D133" s="245">
        <v>43122</v>
      </c>
      <c r="E133" s="245" t="s">
        <v>720</v>
      </c>
      <c r="F133" s="245" t="s">
        <v>721</v>
      </c>
      <c r="G133" s="245" t="s">
        <v>850</v>
      </c>
      <c r="H133" s="245" t="s">
        <v>1130</v>
      </c>
      <c r="I133" s="245" t="s">
        <v>722</v>
      </c>
    </row>
    <row r="134" spans="1:9">
      <c r="A134" s="245">
        <v>6528</v>
      </c>
      <c r="C134" s="245" t="s">
        <v>820</v>
      </c>
      <c r="E134" s="245" t="s">
        <v>821</v>
      </c>
      <c r="F134" s="245" t="s">
        <v>822</v>
      </c>
      <c r="G134" s="245" t="s">
        <v>824</v>
      </c>
      <c r="H134" s="245" t="s">
        <v>1060</v>
      </c>
      <c r="I134" s="245" t="s">
        <v>571</v>
      </c>
    </row>
    <row r="135" spans="1:9">
      <c r="A135" s="245">
        <v>7613</v>
      </c>
      <c r="C135" s="245" t="s">
        <v>723</v>
      </c>
      <c r="D135" s="245">
        <v>10146</v>
      </c>
      <c r="E135" s="245" t="s">
        <v>724</v>
      </c>
      <c r="F135" s="245" t="s">
        <v>848</v>
      </c>
      <c r="G135" s="245" t="s">
        <v>849</v>
      </c>
      <c r="H135" s="245" t="s">
        <v>1131</v>
      </c>
      <c r="I135" s="245" t="s">
        <v>723</v>
      </c>
    </row>
    <row r="136" spans="1:9">
      <c r="A136" s="245" t="s">
        <v>940</v>
      </c>
      <c r="C136" s="245" t="s">
        <v>941</v>
      </c>
      <c r="D136" s="245">
        <v>90014</v>
      </c>
      <c r="E136" s="245" t="s">
        <v>942</v>
      </c>
      <c r="F136" s="245" t="s">
        <v>770</v>
      </c>
      <c r="G136" s="245" t="s">
        <v>400</v>
      </c>
      <c r="H136" s="245" t="s">
        <v>1132</v>
      </c>
    </row>
    <row r="137" spans="1:9">
      <c r="A137" s="245">
        <v>7621</v>
      </c>
      <c r="C137" s="245" t="s">
        <v>725</v>
      </c>
      <c r="D137" s="245">
        <v>59142</v>
      </c>
      <c r="E137" s="245" t="s">
        <v>726</v>
      </c>
      <c r="F137" s="245" t="s">
        <v>727</v>
      </c>
      <c r="G137" s="245" t="s">
        <v>838</v>
      </c>
      <c r="H137" s="245" t="s">
        <v>1133</v>
      </c>
      <c r="I137" s="245" t="s">
        <v>728</v>
      </c>
    </row>
    <row r="138" spans="1:9">
      <c r="A138" s="245">
        <v>6545</v>
      </c>
      <c r="C138" s="245" t="s">
        <v>572</v>
      </c>
      <c r="D138" s="245">
        <v>75800</v>
      </c>
      <c r="E138" s="245" t="s">
        <v>573</v>
      </c>
      <c r="F138" s="245" t="s">
        <v>823</v>
      </c>
      <c r="G138" s="245" t="s">
        <v>574</v>
      </c>
      <c r="H138" s="245" t="s">
        <v>1134</v>
      </c>
      <c r="I138" s="245" t="s">
        <v>575</v>
      </c>
    </row>
    <row r="139" spans="1:9">
      <c r="A139" s="245">
        <v>7625</v>
      </c>
      <c r="C139" s="245" t="s">
        <v>729</v>
      </c>
      <c r="D139" s="245">
        <v>49450</v>
      </c>
      <c r="E139" s="245" t="s">
        <v>730</v>
      </c>
      <c r="F139" s="245" t="s">
        <v>847</v>
      </c>
      <c r="G139" s="245" t="s">
        <v>838</v>
      </c>
      <c r="H139" s="245" t="s">
        <v>1135</v>
      </c>
      <c r="I139" s="245" t="s">
        <v>731</v>
      </c>
    </row>
    <row r="140" spans="1:9">
      <c r="A140" s="245">
        <v>6548</v>
      </c>
      <c r="C140" s="245" t="s">
        <v>576</v>
      </c>
      <c r="D140" s="245">
        <v>10001</v>
      </c>
      <c r="E140" s="245" t="s">
        <v>577</v>
      </c>
      <c r="F140" s="245" t="s">
        <v>772</v>
      </c>
      <c r="G140" s="245" t="s">
        <v>400</v>
      </c>
      <c r="H140" s="245" t="s">
        <v>1061</v>
      </c>
      <c r="I140" s="245" t="s">
        <v>578</v>
      </c>
    </row>
    <row r="141" spans="1:9">
      <c r="A141" s="245">
        <v>6561</v>
      </c>
      <c r="C141" s="245" t="s">
        <v>579</v>
      </c>
      <c r="D141" s="245">
        <v>92780</v>
      </c>
      <c r="E141" s="245" t="s">
        <v>825</v>
      </c>
      <c r="F141" s="245" t="s">
        <v>826</v>
      </c>
      <c r="G141" s="245" t="s">
        <v>400</v>
      </c>
      <c r="H141" s="245" t="s">
        <v>1110</v>
      </c>
      <c r="I141" s="245" t="s">
        <v>1170</v>
      </c>
    </row>
    <row r="142" spans="1:9">
      <c r="A142" s="245" t="s">
        <v>964</v>
      </c>
      <c r="C142" s="245" t="s">
        <v>965</v>
      </c>
      <c r="D142" s="245">
        <v>92780</v>
      </c>
      <c r="E142" s="245" t="s">
        <v>1017</v>
      </c>
      <c r="F142" s="245" t="s">
        <v>826</v>
      </c>
      <c r="G142" s="245" t="s">
        <v>400</v>
      </c>
      <c r="H142" s="245" t="s">
        <v>613</v>
      </c>
    </row>
    <row r="143" spans="1:9">
      <c r="A143" s="245" t="s">
        <v>866</v>
      </c>
      <c r="C143" s="245" t="s">
        <v>867</v>
      </c>
      <c r="D143" s="245">
        <v>35603</v>
      </c>
      <c r="E143" s="245" t="s">
        <v>986</v>
      </c>
      <c r="F143" s="245" t="s">
        <v>987</v>
      </c>
      <c r="G143" s="245" t="s">
        <v>837</v>
      </c>
      <c r="H143" s="245" t="s">
        <v>1136</v>
      </c>
    </row>
    <row r="144" spans="1:9">
      <c r="A144" s="245">
        <v>7728</v>
      </c>
      <c r="C144" s="245" t="s">
        <v>732</v>
      </c>
      <c r="D144" s="245">
        <v>75006</v>
      </c>
      <c r="E144" s="245" t="s">
        <v>733</v>
      </c>
      <c r="F144" s="245" t="s">
        <v>630</v>
      </c>
      <c r="G144" s="245" t="s">
        <v>838</v>
      </c>
      <c r="H144" s="245" t="s">
        <v>1137</v>
      </c>
      <c r="I144" s="245" t="s">
        <v>734</v>
      </c>
    </row>
    <row r="145" spans="1:9">
      <c r="A145" s="245">
        <v>6568</v>
      </c>
      <c r="C145" s="245" t="s">
        <v>580</v>
      </c>
      <c r="D145" s="245">
        <v>10017</v>
      </c>
      <c r="E145" s="245" t="s">
        <v>2734</v>
      </c>
      <c r="F145" s="245" t="s">
        <v>772</v>
      </c>
      <c r="G145" s="245" t="s">
        <v>400</v>
      </c>
      <c r="H145" s="245" t="s">
        <v>2733</v>
      </c>
      <c r="I145" s="245" t="s">
        <v>581</v>
      </c>
    </row>
    <row r="146" spans="1:9">
      <c r="A146" s="245">
        <v>7733</v>
      </c>
      <c r="C146" s="245" t="s">
        <v>735</v>
      </c>
      <c r="D146" s="245">
        <v>75002</v>
      </c>
      <c r="E146" s="245" t="s">
        <v>736</v>
      </c>
      <c r="F146" s="245" t="s">
        <v>630</v>
      </c>
      <c r="G146" s="245" t="s">
        <v>838</v>
      </c>
      <c r="H146" s="245" t="s">
        <v>1138</v>
      </c>
      <c r="I146" s="245" t="s">
        <v>735</v>
      </c>
    </row>
    <row r="147" spans="1:9">
      <c r="A147" s="245">
        <v>6581</v>
      </c>
      <c r="C147" s="245" t="s">
        <v>582</v>
      </c>
      <c r="D147" s="245">
        <v>91106</v>
      </c>
      <c r="E147" s="245" t="s">
        <v>583</v>
      </c>
      <c r="F147" s="245" t="s">
        <v>827</v>
      </c>
      <c r="G147" s="245" t="s">
        <v>400</v>
      </c>
    </row>
    <row r="148" spans="1:9">
      <c r="A148" s="245">
        <v>6582</v>
      </c>
      <c r="C148" s="245" t="s">
        <v>584</v>
      </c>
      <c r="E148" s="245" t="s">
        <v>585</v>
      </c>
      <c r="F148" s="245" t="s">
        <v>431</v>
      </c>
      <c r="G148" s="245" t="s">
        <v>254</v>
      </c>
      <c r="H148" s="245" t="s">
        <v>1062</v>
      </c>
      <c r="I148" s="245" t="s">
        <v>586</v>
      </c>
    </row>
    <row r="149" spans="1:9">
      <c r="A149" s="245">
        <v>6601</v>
      </c>
      <c r="C149" s="245" t="s">
        <v>587</v>
      </c>
      <c r="D149" s="245">
        <v>90502</v>
      </c>
      <c r="E149" s="245" t="s">
        <v>588</v>
      </c>
      <c r="F149" s="245" t="s">
        <v>829</v>
      </c>
      <c r="G149" s="245" t="s">
        <v>400</v>
      </c>
      <c r="H149" s="245" t="s">
        <v>1063</v>
      </c>
      <c r="I149" s="245" t="s">
        <v>589</v>
      </c>
    </row>
    <row r="150" spans="1:9">
      <c r="A150" s="245">
        <v>6602</v>
      </c>
      <c r="C150" s="245" t="s">
        <v>590</v>
      </c>
      <c r="D150" s="246" t="s">
        <v>828</v>
      </c>
      <c r="E150" s="245" t="s">
        <v>591</v>
      </c>
      <c r="F150" s="245" t="s">
        <v>830</v>
      </c>
      <c r="G150" s="245" t="s">
        <v>400</v>
      </c>
      <c r="H150" s="245" t="s">
        <v>1064</v>
      </c>
      <c r="I150" s="245" t="s">
        <v>592</v>
      </c>
    </row>
    <row r="151" spans="1:9">
      <c r="A151" s="245">
        <v>7764</v>
      </c>
      <c r="C151" s="245" t="s">
        <v>737</v>
      </c>
      <c r="D151" s="245">
        <v>62520</v>
      </c>
      <c r="E151" s="245" t="s">
        <v>738</v>
      </c>
      <c r="F151" s="245" t="s">
        <v>739</v>
      </c>
      <c r="G151" s="245" t="s">
        <v>846</v>
      </c>
    </row>
    <row r="152" spans="1:9">
      <c r="A152" s="245" t="s">
        <v>961</v>
      </c>
      <c r="C152" s="245" t="s">
        <v>962</v>
      </c>
      <c r="D152" s="245">
        <v>312400</v>
      </c>
      <c r="E152" s="245" t="s">
        <v>963</v>
      </c>
      <c r="F152" s="245" t="s">
        <v>1016</v>
      </c>
      <c r="G152" s="245" t="s">
        <v>254</v>
      </c>
      <c r="H152" s="245" t="s">
        <v>1062</v>
      </c>
    </row>
    <row r="153" spans="1:9">
      <c r="A153" s="245">
        <v>6610</v>
      </c>
      <c r="C153" s="245" t="s">
        <v>833</v>
      </c>
      <c r="D153" s="245">
        <v>518100</v>
      </c>
      <c r="E153" s="245" t="s">
        <v>832</v>
      </c>
      <c r="F153" s="245" t="s">
        <v>831</v>
      </c>
      <c r="G153" s="245" t="s">
        <v>254</v>
      </c>
      <c r="H153" s="245" t="s">
        <v>1065</v>
      </c>
    </row>
    <row r="154" spans="1:9">
      <c r="A154" s="245" t="s">
        <v>948</v>
      </c>
      <c r="C154" s="245" t="s">
        <v>949</v>
      </c>
      <c r="D154" s="245">
        <v>10018</v>
      </c>
      <c r="E154" s="245" t="s">
        <v>1012</v>
      </c>
      <c r="F154" s="245" t="s">
        <v>772</v>
      </c>
      <c r="G154" s="245" t="s">
        <v>400</v>
      </c>
      <c r="H154" s="245" t="s">
        <v>1139</v>
      </c>
    </row>
    <row r="155" spans="1:9">
      <c r="A155" s="245" t="s">
        <v>950</v>
      </c>
      <c r="C155" s="245" t="s">
        <v>951</v>
      </c>
      <c r="D155" s="245">
        <v>700046</v>
      </c>
      <c r="E155" s="245" t="s">
        <v>952</v>
      </c>
      <c r="F155" s="245" t="s">
        <v>1014</v>
      </c>
      <c r="G155" s="245" t="s">
        <v>953</v>
      </c>
      <c r="H155" s="245" t="s">
        <v>1125</v>
      </c>
    </row>
    <row r="156" spans="1:9">
      <c r="C156" s="245" t="s">
        <v>1167</v>
      </c>
      <c r="D156" s="245">
        <v>10018</v>
      </c>
      <c r="E156" s="245" t="s">
        <v>1168</v>
      </c>
      <c r="F156" s="245" t="s">
        <v>772</v>
      </c>
      <c r="G156" s="245" t="s">
        <v>400</v>
      </c>
      <c r="H156" s="245" t="s">
        <v>1169</v>
      </c>
      <c r="I156" s="245" t="s">
        <v>355</v>
      </c>
    </row>
    <row r="157" spans="1:9">
      <c r="A157" s="245">
        <v>6629</v>
      </c>
      <c r="C157" s="245" t="s">
        <v>593</v>
      </c>
      <c r="D157" s="245">
        <v>34406</v>
      </c>
      <c r="E157" s="245" t="s">
        <v>594</v>
      </c>
      <c r="F157" s="245" t="s">
        <v>834</v>
      </c>
      <c r="G157" s="245" t="s">
        <v>595</v>
      </c>
      <c r="H157" s="245" t="s">
        <v>1066</v>
      </c>
      <c r="I157" s="245" t="s">
        <v>596</v>
      </c>
    </row>
    <row r="158" spans="1:9">
      <c r="A158" s="245">
        <v>6631</v>
      </c>
      <c r="C158" s="245" t="s">
        <v>597</v>
      </c>
      <c r="D158" s="245">
        <v>90049</v>
      </c>
      <c r="E158" s="245" t="s">
        <v>598</v>
      </c>
      <c r="F158" s="245" t="s">
        <v>770</v>
      </c>
      <c r="G158" s="245" t="s">
        <v>400</v>
      </c>
      <c r="I158" s="245" t="s">
        <v>599</v>
      </c>
    </row>
    <row r="159" spans="1:9">
      <c r="A159" s="245">
        <v>7807</v>
      </c>
      <c r="C159" s="245" t="s">
        <v>862</v>
      </c>
      <c r="D159" s="245" t="s">
        <v>857</v>
      </c>
      <c r="E159" s="245" t="s">
        <v>854</v>
      </c>
      <c r="F159" s="245" t="s">
        <v>855</v>
      </c>
      <c r="G159" s="245" t="s">
        <v>1001</v>
      </c>
      <c r="H159" s="245" t="s">
        <v>1067</v>
      </c>
      <c r="I159" s="245" t="s">
        <v>858</v>
      </c>
    </row>
    <row r="160" spans="1:9">
      <c r="A160" s="245" t="s">
        <v>891</v>
      </c>
      <c r="C160" s="245" t="s">
        <v>892</v>
      </c>
      <c r="D160" s="245">
        <v>6560108</v>
      </c>
      <c r="E160" s="245" t="s">
        <v>893</v>
      </c>
      <c r="F160" s="245" t="s">
        <v>999</v>
      </c>
      <c r="G160" s="245" t="s">
        <v>1000</v>
      </c>
      <c r="H160" s="245" t="s">
        <v>1042</v>
      </c>
    </row>
    <row r="161" spans="1:10">
      <c r="A161" s="245">
        <v>7808</v>
      </c>
      <c r="C161" s="245" t="s">
        <v>740</v>
      </c>
      <c r="D161" s="245">
        <v>2010</v>
      </c>
      <c r="E161" s="245" t="s">
        <v>860</v>
      </c>
      <c r="F161" s="245" t="s">
        <v>861</v>
      </c>
      <c r="G161" s="245" t="s">
        <v>859</v>
      </c>
      <c r="H161" s="245" t="s">
        <v>1140</v>
      </c>
      <c r="I161" s="245" t="s">
        <v>741</v>
      </c>
    </row>
    <row r="162" spans="1:10">
      <c r="A162" s="245">
        <v>6651</v>
      </c>
      <c r="C162" s="245" t="s">
        <v>600</v>
      </c>
      <c r="D162" s="245">
        <v>90021</v>
      </c>
      <c r="E162" s="245" t="s">
        <v>601</v>
      </c>
      <c r="F162" s="245" t="s">
        <v>770</v>
      </c>
      <c r="G162" s="245" t="s">
        <v>400</v>
      </c>
      <c r="H162" s="245" t="s">
        <v>1068</v>
      </c>
    </row>
    <row r="163" spans="1:10">
      <c r="A163" s="245">
        <v>7811</v>
      </c>
      <c r="C163" s="245" t="s">
        <v>742</v>
      </c>
      <c r="D163" s="245">
        <v>75017</v>
      </c>
      <c r="E163" s="245" t="s">
        <v>743</v>
      </c>
      <c r="F163" s="245" t="s">
        <v>630</v>
      </c>
      <c r="G163" s="245" t="s">
        <v>838</v>
      </c>
      <c r="H163" s="245" t="s">
        <v>1141</v>
      </c>
      <c r="I163" s="245" t="s">
        <v>744</v>
      </c>
    </row>
    <row r="164" spans="1:10">
      <c r="A164" s="245">
        <v>6652</v>
      </c>
      <c r="C164" s="245" t="s">
        <v>602</v>
      </c>
      <c r="D164" s="245">
        <v>10014</v>
      </c>
      <c r="E164" s="245" t="s">
        <v>603</v>
      </c>
      <c r="F164" s="245" t="s">
        <v>772</v>
      </c>
      <c r="G164" s="245" t="s">
        <v>400</v>
      </c>
      <c r="H164" s="245" t="s">
        <v>1069</v>
      </c>
      <c r="I164" s="245" t="s">
        <v>605</v>
      </c>
    </row>
    <row r="165" spans="1:10">
      <c r="A165" s="245">
        <v>6661</v>
      </c>
      <c r="C165" s="245" t="s">
        <v>606</v>
      </c>
      <c r="D165" s="245">
        <v>11201</v>
      </c>
      <c r="E165" s="245" t="s">
        <v>607</v>
      </c>
      <c r="F165" s="245" t="s">
        <v>793</v>
      </c>
      <c r="G165" s="245" t="s">
        <v>400</v>
      </c>
      <c r="H165" s="245" t="s">
        <v>1070</v>
      </c>
      <c r="I165" s="245" t="s">
        <v>606</v>
      </c>
    </row>
    <row r="166" spans="1:10">
      <c r="A166" s="245">
        <v>6662</v>
      </c>
      <c r="C166" s="245" t="s">
        <v>608</v>
      </c>
      <c r="D166" s="245">
        <v>10011</v>
      </c>
      <c r="E166" s="245" t="s">
        <v>609</v>
      </c>
      <c r="F166" s="245" t="s">
        <v>772</v>
      </c>
      <c r="G166" s="245" t="s">
        <v>400</v>
      </c>
      <c r="H166" s="245" t="s">
        <v>1071</v>
      </c>
      <c r="I166" s="245" t="s">
        <v>610</v>
      </c>
    </row>
    <row r="167" spans="1:10">
      <c r="A167" s="245">
        <v>6665</v>
      </c>
      <c r="C167" s="245" t="s">
        <v>611</v>
      </c>
      <c r="E167" s="245" t="s">
        <v>612</v>
      </c>
      <c r="F167" s="245" t="s">
        <v>835</v>
      </c>
      <c r="G167" s="245" t="s">
        <v>254</v>
      </c>
      <c r="H167" s="245" t="s">
        <v>613</v>
      </c>
    </row>
    <row r="168" spans="1:10">
      <c r="A168" s="245">
        <v>6666</v>
      </c>
      <c r="C168" s="245" t="s">
        <v>614</v>
      </c>
      <c r="D168" s="245">
        <v>10013</v>
      </c>
      <c r="E168" s="245" t="s">
        <v>615</v>
      </c>
      <c r="F168" s="245" t="s">
        <v>772</v>
      </c>
      <c r="G168" s="245" t="s">
        <v>400</v>
      </c>
      <c r="J168" s="245" t="s">
        <v>1832</v>
      </c>
    </row>
    <row r="169" spans="1:10">
      <c r="A169" s="245">
        <v>6695</v>
      </c>
      <c r="C169" s="245" t="s">
        <v>616</v>
      </c>
      <c r="D169" s="245">
        <v>10012</v>
      </c>
      <c r="E169" s="245" t="s">
        <v>617</v>
      </c>
      <c r="F169" s="245" t="s">
        <v>560</v>
      </c>
      <c r="G169" s="245" t="s">
        <v>400</v>
      </c>
      <c r="H169" s="245" t="s">
        <v>1072</v>
      </c>
      <c r="I169" s="245" t="s">
        <v>618</v>
      </c>
    </row>
    <row r="170" spans="1:10">
      <c r="A170" s="245">
        <v>6705</v>
      </c>
      <c r="C170" s="245" t="s">
        <v>619</v>
      </c>
      <c r="D170" s="245">
        <v>10014</v>
      </c>
      <c r="E170" s="245" t="s">
        <v>620</v>
      </c>
      <c r="F170" s="245" t="s">
        <v>604</v>
      </c>
      <c r="G170" s="245" t="s">
        <v>400</v>
      </c>
      <c r="H170" s="245" t="s">
        <v>1079</v>
      </c>
      <c r="I170" s="245" t="s">
        <v>621</v>
      </c>
    </row>
    <row r="171" spans="1:10">
      <c r="A171" s="245">
        <v>7841</v>
      </c>
      <c r="C171" s="245" t="s">
        <v>745</v>
      </c>
      <c r="D171" s="245">
        <v>75002</v>
      </c>
      <c r="E171" s="245" t="s">
        <v>746</v>
      </c>
      <c r="F171" s="245" t="s">
        <v>630</v>
      </c>
      <c r="G171" s="245" t="s">
        <v>838</v>
      </c>
      <c r="H171" s="245" t="s">
        <v>1142</v>
      </c>
      <c r="I171" s="245" t="s">
        <v>747</v>
      </c>
    </row>
    <row r="172" spans="1:10">
      <c r="A172" s="245">
        <v>6727</v>
      </c>
      <c r="C172" s="245" t="s">
        <v>622</v>
      </c>
      <c r="D172" s="245">
        <v>10010</v>
      </c>
      <c r="E172" s="245" t="s">
        <v>623</v>
      </c>
      <c r="F172" s="245" t="s">
        <v>624</v>
      </c>
      <c r="G172" s="245" t="s">
        <v>400</v>
      </c>
    </row>
    <row r="173" spans="1:10">
      <c r="A173" s="245" t="s">
        <v>981</v>
      </c>
      <c r="C173" s="245" t="s">
        <v>982</v>
      </c>
      <c r="D173" s="245">
        <v>33414</v>
      </c>
      <c r="E173" s="245" t="s">
        <v>983</v>
      </c>
      <c r="F173" s="245" t="s">
        <v>1021</v>
      </c>
      <c r="G173" s="245" t="s">
        <v>400</v>
      </c>
    </row>
    <row r="174" spans="1:10">
      <c r="A174" s="245">
        <v>7847</v>
      </c>
      <c r="C174" s="245" t="s">
        <v>748</v>
      </c>
      <c r="D174" s="245">
        <v>75012</v>
      </c>
      <c r="E174" s="245" t="s">
        <v>749</v>
      </c>
      <c r="F174" s="245" t="s">
        <v>845</v>
      </c>
      <c r="G174" s="245" t="s">
        <v>838</v>
      </c>
      <c r="H174" s="245" t="s">
        <v>1143</v>
      </c>
      <c r="I174" s="245" t="s">
        <v>750</v>
      </c>
    </row>
    <row r="175" spans="1:10">
      <c r="A175" s="245">
        <v>6733</v>
      </c>
      <c r="C175" s="245" t="s">
        <v>625</v>
      </c>
      <c r="E175" s="245" t="s">
        <v>626</v>
      </c>
      <c r="F175" s="245" t="s">
        <v>836</v>
      </c>
      <c r="G175" s="245" t="s">
        <v>254</v>
      </c>
      <c r="H175" s="245" t="s">
        <v>1073</v>
      </c>
      <c r="I175" s="245" t="s">
        <v>627</v>
      </c>
    </row>
    <row r="176" spans="1:10">
      <c r="A176" s="245" t="s">
        <v>874</v>
      </c>
      <c r="C176" s="245" t="s">
        <v>875</v>
      </c>
      <c r="E176" s="245" t="s">
        <v>876</v>
      </c>
      <c r="F176" s="245" t="s">
        <v>990</v>
      </c>
      <c r="G176" s="245" t="s">
        <v>991</v>
      </c>
    </row>
    <row r="177" spans="1:9">
      <c r="A177" s="245" t="s">
        <v>904</v>
      </c>
      <c r="C177" s="245" t="s">
        <v>905</v>
      </c>
      <c r="D177" s="245">
        <v>52100</v>
      </c>
      <c r="E177" s="245" t="s">
        <v>906</v>
      </c>
      <c r="F177" s="245" t="s">
        <v>907</v>
      </c>
      <c r="G177" s="245" t="s">
        <v>254</v>
      </c>
      <c r="H177" s="245" t="s">
        <v>1076</v>
      </c>
    </row>
    <row r="178" spans="1:9">
      <c r="A178" s="245" t="s">
        <v>943</v>
      </c>
      <c r="C178" s="245" t="s">
        <v>944</v>
      </c>
      <c r="D178" s="245">
        <v>3111108</v>
      </c>
      <c r="E178" s="245" t="s">
        <v>945</v>
      </c>
      <c r="F178" s="245" t="s">
        <v>1011</v>
      </c>
      <c r="G178" s="245" t="s">
        <v>254</v>
      </c>
      <c r="H178" s="245" t="s">
        <v>557</v>
      </c>
    </row>
    <row r="179" spans="1:9">
      <c r="A179" s="245">
        <v>7921</v>
      </c>
      <c r="C179" s="245" t="s">
        <v>751</v>
      </c>
      <c r="D179" s="245">
        <v>75010</v>
      </c>
      <c r="E179" s="245" t="s">
        <v>752</v>
      </c>
      <c r="F179" s="245" t="s">
        <v>630</v>
      </c>
      <c r="G179" s="245" t="s">
        <v>838</v>
      </c>
      <c r="H179" s="245" t="s">
        <v>1144</v>
      </c>
      <c r="I179" s="245" t="s">
        <v>753</v>
      </c>
    </row>
    <row r="180" spans="1:9">
      <c r="A180" s="245">
        <v>7961</v>
      </c>
      <c r="C180" s="245" t="s">
        <v>754</v>
      </c>
      <c r="D180" s="245">
        <v>75010</v>
      </c>
      <c r="E180" s="245" t="s">
        <v>755</v>
      </c>
      <c r="F180" s="245" t="s">
        <v>756</v>
      </c>
      <c r="G180" s="245" t="s">
        <v>838</v>
      </c>
      <c r="H180" s="245" t="s">
        <v>1841</v>
      </c>
      <c r="I180" s="245" t="s">
        <v>757</v>
      </c>
    </row>
  </sheetData>
  <autoFilter ref="A1:J185" xr:uid="{00000000-0001-0000-0100-000000000000}">
    <sortState xmlns:xlrd2="http://schemas.microsoft.com/office/spreadsheetml/2017/richdata2" ref="A2:J185">
      <sortCondition ref="C1:C185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E719-EB6D-43A9-A2B3-8D661D02D0BE}">
  <sheetPr codeName="Sheet10"/>
  <dimension ref="A1:I138"/>
  <sheetViews>
    <sheetView topLeftCell="A19" workbookViewId="0">
      <selection activeCell="D32" sqref="D32"/>
    </sheetView>
  </sheetViews>
  <sheetFormatPr defaultColWidth="9" defaultRowHeight="15"/>
  <cols>
    <col min="1" max="1" width="13.125" style="243" customWidth="1"/>
    <col min="2" max="2" width="29" style="243" bestFit="1" customWidth="1"/>
    <col min="3" max="3" width="9" style="243"/>
    <col min="4" max="4" width="39.75" style="243" bestFit="1" customWidth="1"/>
    <col min="5" max="5" width="24.5" style="243" bestFit="1" customWidth="1"/>
    <col min="6" max="7" width="12.625" style="243" bestFit="1" customWidth="1"/>
    <col min="8" max="16384" width="9" style="243"/>
  </cols>
  <sheetData>
    <row r="1" spans="1:9" ht="18.75">
      <c r="A1" s="243" t="s">
        <v>1720</v>
      </c>
      <c r="B1" s="243" t="s">
        <v>1717</v>
      </c>
      <c r="C1" s="243" t="s">
        <v>1721</v>
      </c>
      <c r="D1" s="243" t="s">
        <v>1722</v>
      </c>
      <c r="E1" s="243" t="s">
        <v>1723</v>
      </c>
      <c r="F1" s="243" t="s">
        <v>1718</v>
      </c>
      <c r="G1" s="243" t="s">
        <v>1719</v>
      </c>
      <c r="H1" s="250" t="s">
        <v>1180</v>
      </c>
      <c r="I1" s="250" t="s">
        <v>1182</v>
      </c>
    </row>
    <row r="2" spans="1:9">
      <c r="A2" s="243">
        <v>13</v>
      </c>
      <c r="B2" s="243" t="s">
        <v>1478</v>
      </c>
      <c r="D2" s="243" t="s">
        <v>1479</v>
      </c>
    </row>
    <row r="3" spans="1:9">
      <c r="A3" s="243">
        <v>17</v>
      </c>
      <c r="B3" s="243" t="s">
        <v>1480</v>
      </c>
      <c r="C3" s="243" t="s">
        <v>1186</v>
      </c>
      <c r="D3" s="243" t="s">
        <v>1481</v>
      </c>
      <c r="F3" s="243" t="s">
        <v>1187</v>
      </c>
      <c r="G3" s="243" t="s">
        <v>1188</v>
      </c>
    </row>
    <row r="4" spans="1:9">
      <c r="A4" s="243">
        <v>18</v>
      </c>
      <c r="B4" s="243" t="s">
        <v>1482</v>
      </c>
      <c r="C4" s="243" t="s">
        <v>1189</v>
      </c>
      <c r="D4" s="243" t="s">
        <v>1483</v>
      </c>
      <c r="F4" s="243" t="s">
        <v>1190</v>
      </c>
      <c r="G4" s="243" t="s">
        <v>1191</v>
      </c>
    </row>
    <row r="5" spans="1:9">
      <c r="A5" s="243">
        <v>20</v>
      </c>
      <c r="B5" s="243" t="s">
        <v>1484</v>
      </c>
      <c r="C5" s="243" t="s">
        <v>1192</v>
      </c>
      <c r="D5" s="243" t="s">
        <v>1485</v>
      </c>
      <c r="F5" s="243" t="s">
        <v>1193</v>
      </c>
      <c r="G5" s="243" t="s">
        <v>1194</v>
      </c>
    </row>
    <row r="6" spans="1:9">
      <c r="A6" s="243">
        <v>30</v>
      </c>
      <c r="B6" s="243" t="s">
        <v>1486</v>
      </c>
      <c r="C6" s="243" t="s">
        <v>1195</v>
      </c>
      <c r="D6" s="243" t="s">
        <v>1487</v>
      </c>
      <c r="E6" s="243" t="s">
        <v>1196</v>
      </c>
      <c r="F6" s="243" t="s">
        <v>1197</v>
      </c>
      <c r="G6" s="243" t="s">
        <v>1198</v>
      </c>
    </row>
    <row r="7" spans="1:9">
      <c r="A7" s="243">
        <v>31</v>
      </c>
      <c r="B7" s="243" t="s">
        <v>1488</v>
      </c>
      <c r="C7" s="243" t="s">
        <v>1199</v>
      </c>
      <c r="D7" s="243" t="s">
        <v>1489</v>
      </c>
      <c r="F7" s="243" t="s">
        <v>1200</v>
      </c>
      <c r="G7" s="243" t="s">
        <v>1201</v>
      </c>
    </row>
    <row r="8" spans="1:9">
      <c r="A8" s="243">
        <v>35</v>
      </c>
      <c r="B8" s="243" t="s">
        <v>1490</v>
      </c>
      <c r="C8" s="243" t="s">
        <v>1202</v>
      </c>
      <c r="D8" s="243" t="s">
        <v>1491</v>
      </c>
      <c r="F8" s="243" t="s">
        <v>1203</v>
      </c>
      <c r="G8" s="243" t="s">
        <v>1204</v>
      </c>
    </row>
    <row r="9" spans="1:9">
      <c r="A9" s="243">
        <v>36</v>
      </c>
      <c r="B9" s="243" t="s">
        <v>1492</v>
      </c>
      <c r="C9" s="243" t="s">
        <v>1205</v>
      </c>
      <c r="D9" s="243" t="s">
        <v>1493</v>
      </c>
      <c r="F9" s="243" t="s">
        <v>1206</v>
      </c>
      <c r="G9" s="243" t="s">
        <v>1207</v>
      </c>
    </row>
    <row r="10" spans="1:9">
      <c r="A10" s="243">
        <v>37</v>
      </c>
      <c r="B10" s="243" t="s">
        <v>1494</v>
      </c>
      <c r="C10" s="243" t="s">
        <v>1205</v>
      </c>
      <c r="D10" s="243" t="s">
        <v>1495</v>
      </c>
      <c r="F10" s="243" t="s">
        <v>1208</v>
      </c>
      <c r="G10" s="243" t="s">
        <v>1209</v>
      </c>
    </row>
    <row r="11" spans="1:9">
      <c r="A11" s="243">
        <v>38</v>
      </c>
      <c r="B11" s="243" t="s">
        <v>1496</v>
      </c>
      <c r="C11" s="243" t="s">
        <v>1210</v>
      </c>
      <c r="D11" s="243" t="s">
        <v>1497</v>
      </c>
      <c r="F11" s="243" t="s">
        <v>1211</v>
      </c>
      <c r="G11" s="243" t="s">
        <v>1212</v>
      </c>
    </row>
    <row r="12" spans="1:9">
      <c r="A12" s="243">
        <v>40</v>
      </c>
      <c r="B12" s="243" t="s">
        <v>1213</v>
      </c>
      <c r="C12" s="243" t="s">
        <v>1214</v>
      </c>
      <c r="D12" s="243" t="s">
        <v>1498</v>
      </c>
      <c r="F12" s="243" t="s">
        <v>1215</v>
      </c>
      <c r="G12" s="243" t="s">
        <v>1216</v>
      </c>
    </row>
    <row r="13" spans="1:9">
      <c r="A13" s="243">
        <v>46</v>
      </c>
      <c r="B13" s="243" t="s">
        <v>1499</v>
      </c>
      <c r="C13" s="243" t="s">
        <v>1217</v>
      </c>
      <c r="D13" s="243" t="s">
        <v>1500</v>
      </c>
      <c r="F13" s="243" t="s">
        <v>1218</v>
      </c>
      <c r="G13" s="243" t="s">
        <v>1219</v>
      </c>
    </row>
    <row r="14" spans="1:9">
      <c r="A14" s="243">
        <v>47</v>
      </c>
      <c r="B14" s="243" t="s">
        <v>1501</v>
      </c>
      <c r="C14" s="243" t="s">
        <v>1220</v>
      </c>
      <c r="D14" s="742" t="s">
        <v>2817</v>
      </c>
      <c r="F14" s="243" t="s">
        <v>1221</v>
      </c>
      <c r="G14" s="243" t="s">
        <v>1222</v>
      </c>
    </row>
    <row r="15" spans="1:9">
      <c r="A15" s="243">
        <v>51</v>
      </c>
      <c r="B15" s="243" t="s">
        <v>1502</v>
      </c>
    </row>
    <row r="16" spans="1:9">
      <c r="A16" s="243">
        <v>62</v>
      </c>
      <c r="B16" s="243" t="s">
        <v>1503</v>
      </c>
      <c r="C16" s="243" t="s">
        <v>1223</v>
      </c>
      <c r="D16" s="243" t="s">
        <v>1504</v>
      </c>
      <c r="F16" s="243" t="s">
        <v>1224</v>
      </c>
      <c r="G16" s="243" t="s">
        <v>1225</v>
      </c>
    </row>
    <row r="17" spans="1:7">
      <c r="A17" s="243">
        <v>64</v>
      </c>
      <c r="B17" s="243" t="s">
        <v>1505</v>
      </c>
      <c r="C17" s="243" t="s">
        <v>1226</v>
      </c>
      <c r="D17" s="243" t="s">
        <v>1506</v>
      </c>
      <c r="E17" s="243" t="s">
        <v>1507</v>
      </c>
      <c r="F17" s="243" t="s">
        <v>1227</v>
      </c>
      <c r="G17" s="243" t="s">
        <v>1228</v>
      </c>
    </row>
    <row r="18" spans="1:7">
      <c r="A18" s="243">
        <v>65</v>
      </c>
      <c r="B18" s="243" t="s">
        <v>1508</v>
      </c>
      <c r="C18" s="243" t="s">
        <v>1229</v>
      </c>
      <c r="D18" s="243" t="s">
        <v>1509</v>
      </c>
      <c r="F18" s="243" t="s">
        <v>1230</v>
      </c>
      <c r="G18" s="243" t="s">
        <v>1231</v>
      </c>
    </row>
    <row r="19" spans="1:7">
      <c r="A19" s="243">
        <v>69</v>
      </c>
      <c r="B19" s="243" t="s">
        <v>1510</v>
      </c>
      <c r="C19" s="243" t="s">
        <v>1232</v>
      </c>
      <c r="D19" s="243" t="s">
        <v>1511</v>
      </c>
      <c r="E19" s="243" t="s">
        <v>1196</v>
      </c>
      <c r="F19" s="243" t="s">
        <v>1233</v>
      </c>
      <c r="G19" s="243" t="s">
        <v>1234</v>
      </c>
    </row>
    <row r="20" spans="1:7">
      <c r="A20" s="243">
        <v>79</v>
      </c>
      <c r="B20" s="243" t="s">
        <v>1512</v>
      </c>
    </row>
    <row r="21" spans="1:7">
      <c r="A21" s="243">
        <v>81</v>
      </c>
      <c r="B21" s="243" t="s">
        <v>1513</v>
      </c>
      <c r="C21" s="243" t="s">
        <v>1235</v>
      </c>
      <c r="D21" s="243" t="s">
        <v>1514</v>
      </c>
      <c r="F21" s="243" t="s">
        <v>1236</v>
      </c>
      <c r="G21" s="243" t="s">
        <v>1237</v>
      </c>
    </row>
    <row r="22" spans="1:7">
      <c r="A22" s="243">
        <v>83</v>
      </c>
      <c r="B22" s="243" t="s">
        <v>1515</v>
      </c>
      <c r="C22" s="243" t="s">
        <v>1238</v>
      </c>
      <c r="D22" s="243" t="s">
        <v>1516</v>
      </c>
      <c r="F22" s="243" t="s">
        <v>1239</v>
      </c>
      <c r="G22" s="243" t="s">
        <v>1240</v>
      </c>
    </row>
    <row r="23" spans="1:7">
      <c r="A23" s="243">
        <v>91</v>
      </c>
      <c r="B23" s="243" t="s">
        <v>1517</v>
      </c>
      <c r="C23" s="243" t="s">
        <v>1241</v>
      </c>
      <c r="D23" s="243" t="s">
        <v>1518</v>
      </c>
      <c r="F23" s="243" t="s">
        <v>1242</v>
      </c>
      <c r="G23" s="243" t="s">
        <v>1243</v>
      </c>
    </row>
    <row r="24" spans="1:7">
      <c r="A24" s="243">
        <v>95</v>
      </c>
      <c r="B24" s="243" t="s">
        <v>1519</v>
      </c>
      <c r="C24" s="243" t="s">
        <v>1244</v>
      </c>
      <c r="D24" s="243" t="s">
        <v>1520</v>
      </c>
      <c r="F24" s="243" t="s">
        <v>1245</v>
      </c>
      <c r="G24" s="243" t="s">
        <v>1246</v>
      </c>
    </row>
    <row r="25" spans="1:7">
      <c r="A25" s="243">
        <v>97</v>
      </c>
      <c r="B25" s="243" t="s">
        <v>1521</v>
      </c>
      <c r="D25" s="243" t="s">
        <v>1522</v>
      </c>
    </row>
    <row r="26" spans="1:7">
      <c r="A26" s="243">
        <v>104</v>
      </c>
      <c r="B26" s="243" t="s">
        <v>1523</v>
      </c>
      <c r="C26" s="243" t="s">
        <v>1247</v>
      </c>
      <c r="D26" s="243" t="s">
        <v>1524</v>
      </c>
      <c r="F26" s="243" t="s">
        <v>1248</v>
      </c>
      <c r="G26" s="243" t="s">
        <v>1249</v>
      </c>
    </row>
    <row r="27" spans="1:7">
      <c r="A27" s="243">
        <v>114</v>
      </c>
      <c r="B27" s="243" t="s">
        <v>1525</v>
      </c>
      <c r="C27" s="243" t="s">
        <v>1250</v>
      </c>
      <c r="D27" s="243" t="s">
        <v>1526</v>
      </c>
      <c r="F27" s="243" t="s">
        <v>1251</v>
      </c>
      <c r="G27" s="243" t="s">
        <v>1252</v>
      </c>
    </row>
    <row r="28" spans="1:7">
      <c r="A28" s="243">
        <v>115</v>
      </c>
      <c r="B28" s="243" t="s">
        <v>1527</v>
      </c>
      <c r="C28" s="243" t="s">
        <v>1253</v>
      </c>
      <c r="D28" s="243" t="s">
        <v>1528</v>
      </c>
      <c r="F28" s="243" t="s">
        <v>1254</v>
      </c>
      <c r="G28" s="243" t="s">
        <v>1255</v>
      </c>
    </row>
    <row r="29" spans="1:7">
      <c r="A29" s="243">
        <v>116</v>
      </c>
      <c r="B29" s="243" t="s">
        <v>1529</v>
      </c>
      <c r="C29" s="243" t="s">
        <v>1256</v>
      </c>
      <c r="D29" s="243" t="s">
        <v>1530</v>
      </c>
      <c r="F29" s="243" t="s">
        <v>1257</v>
      </c>
      <c r="G29" s="243" t="s">
        <v>1258</v>
      </c>
    </row>
    <row r="30" spans="1:7">
      <c r="A30" s="243">
        <v>120</v>
      </c>
      <c r="B30" s="243" t="s">
        <v>1531</v>
      </c>
      <c r="D30" s="243" t="s">
        <v>1532</v>
      </c>
    </row>
    <row r="31" spans="1:7">
      <c r="A31" s="243">
        <v>122</v>
      </c>
      <c r="B31" s="243" t="s">
        <v>1533</v>
      </c>
      <c r="D31" s="243" t="s">
        <v>1532</v>
      </c>
    </row>
    <row r="32" spans="1:7">
      <c r="A32" s="243">
        <v>127</v>
      </c>
      <c r="B32" s="243" t="s">
        <v>1534</v>
      </c>
      <c r="D32" s="243" t="s">
        <v>1535</v>
      </c>
      <c r="F32" s="243" t="s">
        <v>1259</v>
      </c>
      <c r="G32" s="243" t="s">
        <v>1260</v>
      </c>
    </row>
    <row r="33" spans="1:7">
      <c r="A33" s="243">
        <v>128</v>
      </c>
      <c r="B33" s="243" t="s">
        <v>1536</v>
      </c>
      <c r="C33" s="243" t="s">
        <v>1261</v>
      </c>
      <c r="D33" s="243" t="s">
        <v>1535</v>
      </c>
      <c r="F33" s="243" t="s">
        <v>1259</v>
      </c>
      <c r="G33" s="243" t="s">
        <v>1262</v>
      </c>
    </row>
    <row r="34" spans="1:7">
      <c r="A34" s="243">
        <v>129</v>
      </c>
      <c r="B34" s="243" t="s">
        <v>1537</v>
      </c>
      <c r="C34" s="243" t="s">
        <v>1263</v>
      </c>
      <c r="D34" s="243" t="s">
        <v>1538</v>
      </c>
      <c r="F34" s="243" t="s">
        <v>1264</v>
      </c>
      <c r="G34" s="243" t="s">
        <v>1265</v>
      </c>
    </row>
    <row r="35" spans="1:7">
      <c r="A35" s="243">
        <v>146</v>
      </c>
      <c r="B35" s="243" t="s">
        <v>1539</v>
      </c>
      <c r="C35" s="243" t="s">
        <v>1266</v>
      </c>
      <c r="D35" s="243" t="s">
        <v>1540</v>
      </c>
      <c r="F35" s="243" t="s">
        <v>1267</v>
      </c>
      <c r="G35" s="243" t="s">
        <v>1268</v>
      </c>
    </row>
    <row r="36" spans="1:7">
      <c r="A36" s="243">
        <v>148</v>
      </c>
      <c r="B36" s="243" t="s">
        <v>1541</v>
      </c>
      <c r="C36" s="243" t="s">
        <v>1269</v>
      </c>
      <c r="D36" s="243" t="s">
        <v>1542</v>
      </c>
      <c r="F36" s="243" t="s">
        <v>1270</v>
      </c>
      <c r="G36" s="243" t="s">
        <v>1271</v>
      </c>
    </row>
    <row r="37" spans="1:7">
      <c r="A37" s="243">
        <v>151</v>
      </c>
      <c r="B37" s="243" t="s">
        <v>1543</v>
      </c>
      <c r="C37" s="243" t="s">
        <v>1272</v>
      </c>
      <c r="D37" s="243" t="s">
        <v>1544</v>
      </c>
      <c r="F37" s="243" t="s">
        <v>1273</v>
      </c>
      <c r="G37" s="243" t="s">
        <v>1274</v>
      </c>
    </row>
    <row r="38" spans="1:7">
      <c r="A38" s="243">
        <v>152</v>
      </c>
      <c r="B38" s="243" t="s">
        <v>1545</v>
      </c>
      <c r="C38" s="243" t="s">
        <v>1275</v>
      </c>
      <c r="D38" s="243" t="s">
        <v>1546</v>
      </c>
      <c r="F38" s="243" t="s">
        <v>1276</v>
      </c>
      <c r="G38" s="243" t="s">
        <v>1277</v>
      </c>
    </row>
    <row r="39" spans="1:7">
      <c r="A39" s="243">
        <v>157</v>
      </c>
      <c r="B39" s="243" t="s">
        <v>1547</v>
      </c>
      <c r="C39" s="243" t="s">
        <v>1244</v>
      </c>
      <c r="D39" s="243" t="s">
        <v>1548</v>
      </c>
      <c r="F39" s="243" t="s">
        <v>1278</v>
      </c>
      <c r="G39" s="243" t="s">
        <v>1279</v>
      </c>
    </row>
    <row r="40" spans="1:7">
      <c r="A40" s="243">
        <v>179</v>
      </c>
      <c r="B40" s="243" t="s">
        <v>1549</v>
      </c>
      <c r="D40" s="243" t="s">
        <v>1532</v>
      </c>
    </row>
    <row r="41" spans="1:7">
      <c r="A41" s="243">
        <v>180</v>
      </c>
      <c r="B41" s="243" t="s">
        <v>1550</v>
      </c>
      <c r="D41" s="243" t="s">
        <v>1551</v>
      </c>
      <c r="E41" s="243" t="s">
        <v>1552</v>
      </c>
    </row>
    <row r="42" spans="1:7">
      <c r="A42" s="243">
        <v>183</v>
      </c>
      <c r="B42" s="243" t="s">
        <v>1553</v>
      </c>
      <c r="C42" s="243" t="s">
        <v>1280</v>
      </c>
      <c r="D42" s="243" t="s">
        <v>1554</v>
      </c>
      <c r="F42" s="243" t="s">
        <v>1281</v>
      </c>
      <c r="G42" s="243" t="s">
        <v>1282</v>
      </c>
    </row>
    <row r="43" spans="1:7">
      <c r="A43" s="243">
        <v>188</v>
      </c>
      <c r="B43" s="243" t="s">
        <v>1555</v>
      </c>
      <c r="C43" s="243" t="s">
        <v>1283</v>
      </c>
      <c r="D43" s="243" t="s">
        <v>1556</v>
      </c>
      <c r="E43" s="243" t="s">
        <v>1557</v>
      </c>
      <c r="F43" s="243" t="s">
        <v>1284</v>
      </c>
      <c r="G43" s="243" t="s">
        <v>1285</v>
      </c>
    </row>
    <row r="44" spans="1:7">
      <c r="A44" s="243">
        <v>189</v>
      </c>
      <c r="B44" s="243" t="s">
        <v>1558</v>
      </c>
      <c r="D44" s="243" t="s">
        <v>1532</v>
      </c>
    </row>
    <row r="45" spans="1:7">
      <c r="A45" s="243">
        <v>197</v>
      </c>
      <c r="B45" s="243" t="s">
        <v>1559</v>
      </c>
      <c r="C45" s="243" t="s">
        <v>1286</v>
      </c>
      <c r="D45" s="243" t="s">
        <v>1560</v>
      </c>
      <c r="F45" s="243" t="s">
        <v>1287</v>
      </c>
      <c r="G45" s="243" t="s">
        <v>1288</v>
      </c>
    </row>
    <row r="46" spans="1:7">
      <c r="A46" s="243">
        <v>201</v>
      </c>
      <c r="B46" s="243" t="s">
        <v>1561</v>
      </c>
      <c r="C46" s="243" t="s">
        <v>1289</v>
      </c>
      <c r="D46" s="243" t="s">
        <v>1562</v>
      </c>
      <c r="F46" s="243" t="s">
        <v>1290</v>
      </c>
      <c r="G46" s="243" t="s">
        <v>1291</v>
      </c>
    </row>
    <row r="47" spans="1:7">
      <c r="A47" s="243">
        <v>202</v>
      </c>
      <c r="B47" s="243" t="s">
        <v>1561</v>
      </c>
      <c r="C47" s="243" t="s">
        <v>1289</v>
      </c>
      <c r="D47" s="243" t="s">
        <v>1562</v>
      </c>
      <c r="F47" s="243" t="s">
        <v>1290</v>
      </c>
      <c r="G47" s="243" t="s">
        <v>1291</v>
      </c>
    </row>
    <row r="48" spans="1:7">
      <c r="A48" s="243">
        <v>204</v>
      </c>
      <c r="B48" s="250" t="s">
        <v>1842</v>
      </c>
      <c r="C48" s="243" t="s">
        <v>1189</v>
      </c>
      <c r="D48" s="243" t="s">
        <v>1563</v>
      </c>
      <c r="E48" s="243" t="s">
        <v>1564</v>
      </c>
      <c r="F48" s="243" t="s">
        <v>1292</v>
      </c>
      <c r="G48" s="243" t="s">
        <v>1293</v>
      </c>
    </row>
    <row r="49" spans="1:7">
      <c r="A49" s="243">
        <v>221</v>
      </c>
      <c r="B49" s="243" t="s">
        <v>1565</v>
      </c>
      <c r="C49" s="243" t="s">
        <v>1294</v>
      </c>
      <c r="D49" s="243" t="s">
        <v>1566</v>
      </c>
      <c r="F49" s="243" t="s">
        <v>1295</v>
      </c>
      <c r="G49" s="243" t="s">
        <v>1296</v>
      </c>
    </row>
    <row r="50" spans="1:7">
      <c r="A50" s="243">
        <v>234</v>
      </c>
      <c r="B50" s="243" t="s">
        <v>1567</v>
      </c>
      <c r="C50" s="243" t="s">
        <v>1297</v>
      </c>
      <c r="D50" s="243" t="s">
        <v>1568</v>
      </c>
      <c r="F50" s="243" t="s">
        <v>1298</v>
      </c>
      <c r="G50" s="243" t="s">
        <v>1299</v>
      </c>
    </row>
    <row r="51" spans="1:7">
      <c r="A51" s="243">
        <v>239</v>
      </c>
      <c r="B51" s="243" t="s">
        <v>1569</v>
      </c>
      <c r="C51" s="243" t="s">
        <v>1300</v>
      </c>
      <c r="D51" s="243" t="s">
        <v>1570</v>
      </c>
      <c r="F51" s="243" t="s">
        <v>1301</v>
      </c>
      <c r="G51" s="243" t="s">
        <v>1302</v>
      </c>
    </row>
    <row r="52" spans="1:7">
      <c r="A52" s="243">
        <v>241</v>
      </c>
      <c r="B52" s="742" t="s">
        <v>2907</v>
      </c>
      <c r="C52" s="243" t="s">
        <v>2908</v>
      </c>
      <c r="D52" s="742" t="s">
        <v>2909</v>
      </c>
      <c r="F52" s="243" t="s">
        <v>2910</v>
      </c>
      <c r="G52" s="243" t="s">
        <v>2911</v>
      </c>
    </row>
    <row r="53" spans="1:7">
      <c r="A53" s="243">
        <v>245</v>
      </c>
      <c r="B53" s="243" t="s">
        <v>1571</v>
      </c>
      <c r="C53" s="243" t="s">
        <v>1303</v>
      </c>
      <c r="D53" s="243" t="s">
        <v>1572</v>
      </c>
      <c r="F53" s="243" t="s">
        <v>1304</v>
      </c>
      <c r="G53" s="243" t="s">
        <v>1305</v>
      </c>
    </row>
    <row r="54" spans="1:7">
      <c r="A54" s="243">
        <v>259</v>
      </c>
      <c r="B54" s="243" t="s">
        <v>1573</v>
      </c>
      <c r="C54" s="243" t="s">
        <v>1306</v>
      </c>
      <c r="D54" s="243" t="s">
        <v>1574</v>
      </c>
      <c r="F54" s="243" t="s">
        <v>1307</v>
      </c>
      <c r="G54" s="243" t="s">
        <v>1308</v>
      </c>
    </row>
    <row r="55" spans="1:7">
      <c r="A55" s="243">
        <v>265</v>
      </c>
      <c r="B55" s="243" t="s">
        <v>1575</v>
      </c>
      <c r="C55" s="243" t="s">
        <v>1309</v>
      </c>
      <c r="D55" s="243" t="s">
        <v>1576</v>
      </c>
      <c r="F55" s="243" t="s">
        <v>1310</v>
      </c>
      <c r="G55" s="243" t="s">
        <v>1311</v>
      </c>
    </row>
    <row r="56" spans="1:7">
      <c r="A56" s="243">
        <v>291</v>
      </c>
      <c r="B56" s="243" t="s">
        <v>1577</v>
      </c>
      <c r="C56" s="243" t="s">
        <v>1312</v>
      </c>
      <c r="D56" s="243" t="s">
        <v>1578</v>
      </c>
      <c r="F56" s="243" t="s">
        <v>1313</v>
      </c>
      <c r="G56" s="243" t="s">
        <v>1314</v>
      </c>
    </row>
    <row r="57" spans="1:7">
      <c r="A57" s="243">
        <v>307</v>
      </c>
      <c r="B57" s="243" t="s">
        <v>1579</v>
      </c>
      <c r="C57" s="243" t="s">
        <v>1315</v>
      </c>
      <c r="D57" s="243" t="s">
        <v>1580</v>
      </c>
      <c r="F57" s="243" t="s">
        <v>1316</v>
      </c>
      <c r="G57" s="243" t="s">
        <v>1317</v>
      </c>
    </row>
    <row r="58" spans="1:7">
      <c r="A58" s="243">
        <v>308</v>
      </c>
      <c r="B58" s="243" t="s">
        <v>1581</v>
      </c>
      <c r="C58" s="243" t="s">
        <v>1315</v>
      </c>
      <c r="D58" s="243" t="s">
        <v>1580</v>
      </c>
      <c r="F58" s="243" t="s">
        <v>1316</v>
      </c>
      <c r="G58" s="243" t="s">
        <v>1317</v>
      </c>
    </row>
    <row r="59" spans="1:7">
      <c r="A59" s="243">
        <v>312</v>
      </c>
      <c r="B59" s="243" t="s">
        <v>1582</v>
      </c>
      <c r="C59" s="243" t="s">
        <v>1318</v>
      </c>
      <c r="D59" s="243" t="s">
        <v>1583</v>
      </c>
      <c r="F59" s="243" t="s">
        <v>1319</v>
      </c>
      <c r="G59" s="243" t="s">
        <v>1320</v>
      </c>
    </row>
    <row r="60" spans="1:7">
      <c r="A60" s="243">
        <v>321</v>
      </c>
      <c r="B60" s="243" t="s">
        <v>1584</v>
      </c>
      <c r="C60" s="243" t="s">
        <v>1321</v>
      </c>
      <c r="D60" s="243" t="s">
        <v>1585</v>
      </c>
      <c r="F60" s="243" t="s">
        <v>1322</v>
      </c>
      <c r="G60" s="243" t="s">
        <v>1323</v>
      </c>
    </row>
    <row r="61" spans="1:7">
      <c r="A61" s="243">
        <v>326</v>
      </c>
      <c r="B61" s="243" t="s">
        <v>1586</v>
      </c>
      <c r="C61" s="243" t="s">
        <v>1324</v>
      </c>
      <c r="D61" s="243" t="s">
        <v>1587</v>
      </c>
      <c r="F61" s="243" t="s">
        <v>1325</v>
      </c>
      <c r="G61" s="243" t="s">
        <v>1326</v>
      </c>
    </row>
    <row r="62" spans="1:7">
      <c r="A62" s="243">
        <v>329</v>
      </c>
      <c r="B62" s="243" t="s">
        <v>1588</v>
      </c>
      <c r="C62" s="243" t="s">
        <v>1327</v>
      </c>
      <c r="D62" s="243" t="s">
        <v>1589</v>
      </c>
      <c r="F62" s="243" t="s">
        <v>1328</v>
      </c>
      <c r="G62" s="243" t="s">
        <v>1329</v>
      </c>
    </row>
    <row r="63" spans="1:7">
      <c r="A63" s="243">
        <v>355</v>
      </c>
      <c r="B63" s="243" t="s">
        <v>1590</v>
      </c>
      <c r="D63" s="243" t="s">
        <v>1532</v>
      </c>
    </row>
    <row r="64" spans="1:7">
      <c r="A64" s="243">
        <v>357</v>
      </c>
      <c r="B64" s="243" t="s">
        <v>1591</v>
      </c>
      <c r="D64" s="243" t="s">
        <v>1532</v>
      </c>
    </row>
    <row r="65" spans="1:7">
      <c r="A65" s="243">
        <v>358</v>
      </c>
      <c r="B65" s="243" t="s">
        <v>1592</v>
      </c>
      <c r="D65" s="243" t="s">
        <v>1532</v>
      </c>
    </row>
    <row r="66" spans="1:7">
      <c r="A66" s="243">
        <v>361</v>
      </c>
      <c r="B66" s="243" t="s">
        <v>1593</v>
      </c>
      <c r="C66" s="243" t="s">
        <v>1330</v>
      </c>
      <c r="D66" s="243" t="s">
        <v>1594</v>
      </c>
      <c r="F66" s="243" t="s">
        <v>1331</v>
      </c>
      <c r="G66" s="243" t="s">
        <v>1332</v>
      </c>
    </row>
    <row r="67" spans="1:7">
      <c r="A67" s="243">
        <v>373</v>
      </c>
      <c r="B67" s="243" t="s">
        <v>1595</v>
      </c>
      <c r="D67" s="243" t="s">
        <v>1532</v>
      </c>
    </row>
    <row r="68" spans="1:7">
      <c r="A68" s="243">
        <v>379</v>
      </c>
      <c r="B68" s="243" t="s">
        <v>1596</v>
      </c>
      <c r="C68" s="243" t="s">
        <v>1189</v>
      </c>
      <c r="D68" s="243" t="s">
        <v>1597</v>
      </c>
      <c r="E68" s="243" t="s">
        <v>1598</v>
      </c>
      <c r="F68" s="243" t="s">
        <v>1333</v>
      </c>
      <c r="G68" s="243" t="s">
        <v>1334</v>
      </c>
    </row>
    <row r="69" spans="1:7">
      <c r="A69" s="243">
        <v>391</v>
      </c>
      <c r="B69" s="243" t="s">
        <v>1599</v>
      </c>
      <c r="C69" s="243" t="s">
        <v>1335</v>
      </c>
      <c r="D69" s="243" t="s">
        <v>1600</v>
      </c>
      <c r="F69" s="243" t="s">
        <v>1336</v>
      </c>
      <c r="G69" s="243" t="s">
        <v>1337</v>
      </c>
    </row>
    <row r="70" spans="1:7">
      <c r="A70" s="243">
        <v>392</v>
      </c>
      <c r="B70" s="243" t="s">
        <v>1601</v>
      </c>
      <c r="C70" s="243" t="s">
        <v>1338</v>
      </c>
      <c r="D70" s="243" t="s">
        <v>1602</v>
      </c>
      <c r="F70" s="243" t="s">
        <v>1339</v>
      </c>
      <c r="G70" s="243" t="s">
        <v>1340</v>
      </c>
    </row>
    <row r="71" spans="1:7">
      <c r="A71" s="243">
        <v>395</v>
      </c>
      <c r="B71" s="243" t="s">
        <v>1603</v>
      </c>
      <c r="C71" s="243" t="s">
        <v>1341</v>
      </c>
      <c r="D71" s="243" t="s">
        <v>1604</v>
      </c>
      <c r="F71" s="243" t="s">
        <v>1342</v>
      </c>
      <c r="G71" s="243" t="s">
        <v>1342</v>
      </c>
    </row>
    <row r="72" spans="1:7">
      <c r="A72" s="243">
        <v>397</v>
      </c>
      <c r="B72" s="243" t="s">
        <v>1605</v>
      </c>
      <c r="D72" s="243" t="s">
        <v>1532</v>
      </c>
    </row>
    <row r="73" spans="1:7">
      <c r="A73" s="243">
        <v>398</v>
      </c>
      <c r="B73" s="243" t="s">
        <v>1606</v>
      </c>
      <c r="C73" s="243" t="s">
        <v>1343</v>
      </c>
      <c r="D73" s="243" t="s">
        <v>1607</v>
      </c>
      <c r="F73" s="243" t="s">
        <v>1344</v>
      </c>
      <c r="G73" s="243" t="s">
        <v>1345</v>
      </c>
    </row>
    <row r="74" spans="1:7">
      <c r="A74" s="243">
        <v>401</v>
      </c>
      <c r="B74" s="243" t="s">
        <v>1608</v>
      </c>
      <c r="C74" s="243" t="s">
        <v>1346</v>
      </c>
      <c r="D74" s="243" t="s">
        <v>1609</v>
      </c>
      <c r="F74" s="243" t="s">
        <v>1347</v>
      </c>
      <c r="G74" s="243" t="s">
        <v>1348</v>
      </c>
    </row>
    <row r="75" spans="1:7">
      <c r="A75" s="243">
        <v>407</v>
      </c>
      <c r="B75" s="243" t="s">
        <v>1610</v>
      </c>
      <c r="C75" s="243" t="s">
        <v>1349</v>
      </c>
      <c r="D75" s="243" t="s">
        <v>1611</v>
      </c>
      <c r="F75" s="243" t="s">
        <v>1350</v>
      </c>
      <c r="G75" s="243" t="s">
        <v>1351</v>
      </c>
    </row>
    <row r="76" spans="1:7">
      <c r="A76" s="243">
        <v>408</v>
      </c>
      <c r="B76" s="243" t="s">
        <v>1612</v>
      </c>
      <c r="D76" s="243" t="s">
        <v>1532</v>
      </c>
    </row>
    <row r="77" spans="1:7">
      <c r="A77" s="243">
        <v>409</v>
      </c>
      <c r="B77" s="243" t="s">
        <v>1613</v>
      </c>
      <c r="C77" s="243" t="s">
        <v>1352</v>
      </c>
      <c r="D77" s="243" t="s">
        <v>1614</v>
      </c>
      <c r="F77" s="243" t="s">
        <v>1353</v>
      </c>
      <c r="G77" s="243" t="s">
        <v>1354</v>
      </c>
    </row>
    <row r="78" spans="1:7">
      <c r="A78" s="243">
        <v>410</v>
      </c>
      <c r="B78" s="243" t="s">
        <v>1615</v>
      </c>
      <c r="D78" s="243" t="s">
        <v>1532</v>
      </c>
    </row>
    <row r="79" spans="1:7">
      <c r="A79" s="243">
        <v>411</v>
      </c>
      <c r="B79" s="243" t="s">
        <v>1616</v>
      </c>
      <c r="C79" s="243" t="s">
        <v>1355</v>
      </c>
      <c r="D79" s="243" t="s">
        <v>1617</v>
      </c>
      <c r="F79" s="243" t="s">
        <v>1356</v>
      </c>
      <c r="G79" s="243" t="s">
        <v>1357</v>
      </c>
    </row>
    <row r="80" spans="1:7">
      <c r="A80" s="243">
        <v>419</v>
      </c>
      <c r="B80" s="243" t="s">
        <v>1618</v>
      </c>
      <c r="D80" s="243" t="s">
        <v>1532</v>
      </c>
    </row>
    <row r="81" spans="1:7">
      <c r="A81" s="243">
        <v>426</v>
      </c>
      <c r="B81" s="243" t="s">
        <v>1619</v>
      </c>
      <c r="C81" s="243" t="s">
        <v>1358</v>
      </c>
      <c r="D81" s="243" t="s">
        <v>1620</v>
      </c>
      <c r="F81" s="243" t="s">
        <v>1359</v>
      </c>
      <c r="G81" s="243" t="s">
        <v>1360</v>
      </c>
    </row>
    <row r="82" spans="1:7">
      <c r="A82" s="243">
        <v>427</v>
      </c>
      <c r="B82" s="243" t="s">
        <v>1621</v>
      </c>
      <c r="C82" s="243" t="s">
        <v>1361</v>
      </c>
      <c r="D82" s="243" t="s">
        <v>1622</v>
      </c>
      <c r="F82" s="243" t="s">
        <v>1362</v>
      </c>
      <c r="G82" s="243" t="s">
        <v>1363</v>
      </c>
    </row>
    <row r="83" spans="1:7">
      <c r="A83" s="243">
        <v>429</v>
      </c>
      <c r="B83" s="243" t="s">
        <v>1623</v>
      </c>
      <c r="C83" s="243" t="s">
        <v>1364</v>
      </c>
      <c r="D83" s="243" t="s">
        <v>1624</v>
      </c>
      <c r="F83" s="243" t="s">
        <v>1365</v>
      </c>
      <c r="G83" s="243" t="s">
        <v>1366</v>
      </c>
    </row>
    <row r="84" spans="1:7">
      <c r="A84" s="243">
        <v>431</v>
      </c>
      <c r="B84" s="243" t="s">
        <v>1625</v>
      </c>
      <c r="C84" s="243" t="s">
        <v>1367</v>
      </c>
      <c r="D84" s="243" t="s">
        <v>1626</v>
      </c>
      <c r="F84" s="243" t="s">
        <v>1368</v>
      </c>
      <c r="G84" s="243" t="s">
        <v>1369</v>
      </c>
    </row>
    <row r="85" spans="1:7">
      <c r="A85" s="243">
        <v>432</v>
      </c>
      <c r="B85" s="243" t="s">
        <v>1627</v>
      </c>
      <c r="D85" s="243" t="s">
        <v>1532</v>
      </c>
    </row>
    <row r="86" spans="1:7">
      <c r="A86" s="243">
        <v>433</v>
      </c>
      <c r="B86" s="243" t="s">
        <v>1627</v>
      </c>
      <c r="D86" s="243" t="s">
        <v>1532</v>
      </c>
    </row>
    <row r="87" spans="1:7">
      <c r="A87" s="243">
        <v>436</v>
      </c>
      <c r="B87" s="243" t="s">
        <v>1628</v>
      </c>
      <c r="C87" s="243" t="s">
        <v>1370</v>
      </c>
      <c r="D87" s="243" t="s">
        <v>1629</v>
      </c>
      <c r="F87" s="243" t="s">
        <v>1371</v>
      </c>
    </row>
    <row r="88" spans="1:7">
      <c r="A88" s="243">
        <v>504</v>
      </c>
      <c r="B88" s="243" t="s">
        <v>1630</v>
      </c>
      <c r="C88" s="243" t="s">
        <v>1372</v>
      </c>
      <c r="D88" s="243" t="s">
        <v>1631</v>
      </c>
      <c r="F88" s="243" t="s">
        <v>1373</v>
      </c>
      <c r="G88" s="243" t="s">
        <v>1374</v>
      </c>
    </row>
    <row r="89" spans="1:7">
      <c r="A89" s="243">
        <v>507</v>
      </c>
      <c r="B89" s="243" t="s">
        <v>1632</v>
      </c>
      <c r="C89" s="243" t="s">
        <v>1375</v>
      </c>
      <c r="D89" s="243" t="s">
        <v>1633</v>
      </c>
      <c r="F89" s="243" t="s">
        <v>1376</v>
      </c>
      <c r="G89" s="243" t="s">
        <v>1377</v>
      </c>
    </row>
    <row r="90" spans="1:7">
      <c r="A90" s="243">
        <v>513</v>
      </c>
      <c r="B90" s="243" t="s">
        <v>1634</v>
      </c>
      <c r="C90" s="243" t="s">
        <v>1378</v>
      </c>
      <c r="D90" s="243" t="s">
        <v>1635</v>
      </c>
      <c r="F90" s="243" t="s">
        <v>1379</v>
      </c>
      <c r="G90" s="243" t="s">
        <v>1380</v>
      </c>
    </row>
    <row r="91" spans="1:7">
      <c r="A91" s="243">
        <v>516</v>
      </c>
      <c r="B91" s="243" t="s">
        <v>1636</v>
      </c>
      <c r="D91" s="243" t="s">
        <v>1532</v>
      </c>
    </row>
    <row r="92" spans="1:7">
      <c r="A92" s="243">
        <v>517</v>
      </c>
      <c r="B92" s="243" t="s">
        <v>1637</v>
      </c>
      <c r="C92" s="243" t="s">
        <v>1381</v>
      </c>
      <c r="D92" s="243" t="s">
        <v>1638</v>
      </c>
      <c r="F92" s="243" t="s">
        <v>1382</v>
      </c>
      <c r="G92" s="243" t="s">
        <v>1383</v>
      </c>
    </row>
    <row r="93" spans="1:7">
      <c r="A93" s="243">
        <v>518</v>
      </c>
      <c r="B93" s="243" t="s">
        <v>1639</v>
      </c>
      <c r="D93" s="243" t="s">
        <v>1532</v>
      </c>
    </row>
    <row r="94" spans="1:7">
      <c r="A94" s="243">
        <v>525</v>
      </c>
      <c r="B94" s="243" t="s">
        <v>1640</v>
      </c>
      <c r="C94" s="243" t="s">
        <v>1384</v>
      </c>
      <c r="D94" s="243" t="s">
        <v>1641</v>
      </c>
      <c r="F94" s="243" t="s">
        <v>1385</v>
      </c>
      <c r="G94" s="243" t="s">
        <v>1386</v>
      </c>
    </row>
    <row r="95" spans="1:7">
      <c r="A95" s="243">
        <v>532</v>
      </c>
      <c r="B95" s="243" t="s">
        <v>1642</v>
      </c>
      <c r="C95" s="243" t="s">
        <v>1387</v>
      </c>
      <c r="D95" s="243" t="s">
        <v>1643</v>
      </c>
      <c r="F95" s="243" t="s">
        <v>1388</v>
      </c>
      <c r="G95" s="243" t="s">
        <v>1389</v>
      </c>
    </row>
    <row r="96" spans="1:7">
      <c r="A96" s="243">
        <v>536</v>
      </c>
      <c r="B96" s="243" t="s">
        <v>1644</v>
      </c>
      <c r="C96" s="243" t="s">
        <v>1390</v>
      </c>
      <c r="D96" s="243" t="s">
        <v>1645</v>
      </c>
      <c r="F96" s="243" t="s">
        <v>1391</v>
      </c>
      <c r="G96" s="243" t="s">
        <v>1392</v>
      </c>
    </row>
    <row r="97" spans="1:7">
      <c r="A97" s="243">
        <v>537</v>
      </c>
      <c r="B97" s="243" t="s">
        <v>1644</v>
      </c>
      <c r="D97" s="243" t="s">
        <v>1532</v>
      </c>
    </row>
    <row r="98" spans="1:7">
      <c r="A98" s="243">
        <v>538</v>
      </c>
      <c r="B98" s="243" t="s">
        <v>1646</v>
      </c>
      <c r="C98" s="243" t="s">
        <v>1393</v>
      </c>
      <c r="D98" s="243" t="s">
        <v>1647</v>
      </c>
      <c r="F98" s="243" t="s">
        <v>1394</v>
      </c>
      <c r="G98" s="243" t="s">
        <v>1395</v>
      </c>
    </row>
    <row r="99" spans="1:7">
      <c r="A99" s="243">
        <v>549</v>
      </c>
      <c r="B99" s="243" t="s">
        <v>1648</v>
      </c>
      <c r="D99" s="243" t="s">
        <v>1532</v>
      </c>
    </row>
    <row r="100" spans="1:7">
      <c r="A100" s="243">
        <v>551</v>
      </c>
      <c r="B100" s="243" t="s">
        <v>1649</v>
      </c>
      <c r="C100" s="243" t="s">
        <v>1396</v>
      </c>
      <c r="D100" s="243" t="s">
        <v>1650</v>
      </c>
      <c r="F100" s="243" t="s">
        <v>1397</v>
      </c>
      <c r="G100" s="243" t="s">
        <v>1398</v>
      </c>
    </row>
    <row r="101" spans="1:7">
      <c r="A101" s="243">
        <v>552</v>
      </c>
      <c r="B101" s="243" t="s">
        <v>1651</v>
      </c>
      <c r="D101" s="243" t="s">
        <v>1532</v>
      </c>
    </row>
    <row r="102" spans="1:7">
      <c r="A102" s="243">
        <v>553</v>
      </c>
      <c r="B102" s="243" t="s">
        <v>1652</v>
      </c>
      <c r="C102" s="243" t="s">
        <v>1327</v>
      </c>
      <c r="D102" s="243" t="s">
        <v>1653</v>
      </c>
      <c r="F102" s="243" t="s">
        <v>1399</v>
      </c>
      <c r="G102" s="243" t="s">
        <v>1400</v>
      </c>
    </row>
    <row r="103" spans="1:7">
      <c r="A103" s="243">
        <v>554</v>
      </c>
      <c r="B103" s="243" t="s">
        <v>1654</v>
      </c>
      <c r="C103" s="243" t="s">
        <v>1244</v>
      </c>
      <c r="D103" s="243" t="s">
        <v>1655</v>
      </c>
      <c r="F103" s="243" t="s">
        <v>1401</v>
      </c>
      <c r="G103" s="243" t="s">
        <v>1402</v>
      </c>
    </row>
    <row r="104" spans="1:7">
      <c r="A104" s="243">
        <v>555</v>
      </c>
      <c r="B104" s="243" t="s">
        <v>1656</v>
      </c>
      <c r="C104" s="243" t="s">
        <v>1352</v>
      </c>
      <c r="D104" s="243" t="s">
        <v>1657</v>
      </c>
      <c r="F104" s="243" t="s">
        <v>1403</v>
      </c>
      <c r="G104" s="243" t="s">
        <v>1404</v>
      </c>
    </row>
    <row r="105" spans="1:7">
      <c r="A105" s="243">
        <v>558</v>
      </c>
      <c r="B105" s="243" t="s">
        <v>1658</v>
      </c>
      <c r="C105" s="243" t="s">
        <v>1405</v>
      </c>
      <c r="D105" s="243" t="s">
        <v>1659</v>
      </c>
      <c r="E105" s="243" t="s">
        <v>1660</v>
      </c>
      <c r="F105" s="243" t="s">
        <v>1406</v>
      </c>
      <c r="G105" s="243" t="s">
        <v>1407</v>
      </c>
    </row>
    <row r="106" spans="1:7">
      <c r="A106" s="243">
        <v>593</v>
      </c>
      <c r="B106" s="243" t="s">
        <v>1661</v>
      </c>
      <c r="D106" s="243" t="s">
        <v>1532</v>
      </c>
    </row>
    <row r="107" spans="1:7">
      <c r="A107" s="243">
        <v>595</v>
      </c>
      <c r="B107" s="243" t="s">
        <v>1662</v>
      </c>
      <c r="C107" s="243" t="s">
        <v>1408</v>
      </c>
      <c r="D107" s="243" t="s">
        <v>1663</v>
      </c>
      <c r="F107" s="243" t="s">
        <v>1409</v>
      </c>
      <c r="G107" s="243" t="s">
        <v>1410</v>
      </c>
    </row>
    <row r="108" spans="1:7">
      <c r="A108" s="243">
        <v>603</v>
      </c>
      <c r="B108" s="243" t="s">
        <v>1213</v>
      </c>
      <c r="C108" s="243" t="s">
        <v>1214</v>
      </c>
      <c r="D108" s="243" t="s">
        <v>1498</v>
      </c>
      <c r="F108" s="243" t="s">
        <v>1215</v>
      </c>
      <c r="G108" s="243" t="s">
        <v>1216</v>
      </c>
    </row>
    <row r="109" spans="1:7">
      <c r="A109" s="243">
        <v>623</v>
      </c>
      <c r="B109" s="243" t="s">
        <v>1664</v>
      </c>
      <c r="C109" s="243" t="s">
        <v>1411</v>
      </c>
      <c r="D109" s="243" t="s">
        <v>1665</v>
      </c>
      <c r="F109" s="243" t="s">
        <v>1412</v>
      </c>
      <c r="G109" s="243" t="s">
        <v>1413</v>
      </c>
    </row>
    <row r="110" spans="1:7">
      <c r="A110" s="243">
        <v>625</v>
      </c>
      <c r="B110" s="243" t="s">
        <v>1666</v>
      </c>
      <c r="C110" s="243" t="s">
        <v>1414</v>
      </c>
      <c r="D110" s="243" t="s">
        <v>1667</v>
      </c>
      <c r="F110" s="243" t="s">
        <v>1415</v>
      </c>
      <c r="G110" s="243" t="s">
        <v>1416</v>
      </c>
    </row>
    <row r="111" spans="1:7">
      <c r="A111" s="243">
        <v>629</v>
      </c>
      <c r="B111" s="243" t="s">
        <v>1668</v>
      </c>
      <c r="C111" s="243" t="s">
        <v>1417</v>
      </c>
      <c r="D111" s="243" t="s">
        <v>1669</v>
      </c>
      <c r="F111" s="243" t="s">
        <v>1418</v>
      </c>
      <c r="G111" s="243" t="s">
        <v>1419</v>
      </c>
    </row>
    <row r="112" spans="1:7">
      <c r="A112" s="243">
        <v>643</v>
      </c>
      <c r="B112" s="243" t="s">
        <v>1670</v>
      </c>
      <c r="C112" s="243" t="s">
        <v>1420</v>
      </c>
      <c r="D112" s="243" t="s">
        <v>1671</v>
      </c>
      <c r="F112" s="243" t="s">
        <v>1421</v>
      </c>
      <c r="G112" s="243" t="s">
        <v>1422</v>
      </c>
    </row>
    <row r="113" spans="1:7">
      <c r="A113" s="243">
        <v>644</v>
      </c>
      <c r="B113" s="243" t="s">
        <v>1672</v>
      </c>
      <c r="C113" s="243" t="s">
        <v>1423</v>
      </c>
      <c r="D113" s="243" t="s">
        <v>1673</v>
      </c>
      <c r="F113" s="243" t="s">
        <v>1424</v>
      </c>
      <c r="G113" s="243" t="s">
        <v>1425</v>
      </c>
    </row>
    <row r="114" spans="1:7">
      <c r="A114" s="243">
        <v>645</v>
      </c>
      <c r="B114" s="243" t="s">
        <v>1674</v>
      </c>
      <c r="C114" s="243" t="s">
        <v>1426</v>
      </c>
      <c r="D114" s="243" t="s">
        <v>1675</v>
      </c>
      <c r="F114" s="243" t="s">
        <v>1427</v>
      </c>
      <c r="G114" s="243" t="s">
        <v>1428</v>
      </c>
    </row>
    <row r="115" spans="1:7">
      <c r="A115" s="243">
        <v>649</v>
      </c>
      <c r="B115" s="243" t="s">
        <v>1676</v>
      </c>
      <c r="C115" s="243" t="s">
        <v>1429</v>
      </c>
      <c r="D115" s="243" t="s">
        <v>1677</v>
      </c>
      <c r="F115" s="243" t="s">
        <v>1430</v>
      </c>
      <c r="G115" s="243" t="s">
        <v>1431</v>
      </c>
    </row>
    <row r="116" spans="1:7">
      <c r="A116" s="243">
        <v>672</v>
      </c>
      <c r="B116" s="243" t="s">
        <v>1678</v>
      </c>
      <c r="C116" s="243" t="s">
        <v>1432</v>
      </c>
      <c r="D116" s="243" t="s">
        <v>1679</v>
      </c>
      <c r="F116" s="243" t="s">
        <v>1433</v>
      </c>
      <c r="G116" s="243" t="s">
        <v>1434</v>
      </c>
    </row>
    <row r="117" spans="1:7">
      <c r="A117" s="243">
        <v>674</v>
      </c>
      <c r="B117" s="243" t="s">
        <v>1680</v>
      </c>
      <c r="C117" s="243" t="s">
        <v>1435</v>
      </c>
      <c r="D117" s="243" t="s">
        <v>1681</v>
      </c>
      <c r="F117" s="243" t="s">
        <v>1436</v>
      </c>
      <c r="G117" s="243" t="s">
        <v>1437</v>
      </c>
    </row>
    <row r="118" spans="1:7">
      <c r="A118" s="243">
        <v>681</v>
      </c>
      <c r="B118" s="243" t="s">
        <v>1682</v>
      </c>
      <c r="C118" s="243" t="s">
        <v>1438</v>
      </c>
      <c r="D118" s="243" t="s">
        <v>1683</v>
      </c>
      <c r="F118" s="243" t="s">
        <v>1439</v>
      </c>
      <c r="G118" s="243" t="s">
        <v>1440</v>
      </c>
    </row>
    <row r="119" spans="1:7">
      <c r="A119" s="243">
        <v>686</v>
      </c>
      <c r="B119" s="243" t="s">
        <v>1684</v>
      </c>
      <c r="C119" s="243" t="s">
        <v>1441</v>
      </c>
      <c r="D119" s="243" t="s">
        <v>1685</v>
      </c>
      <c r="F119" s="243" t="s">
        <v>1442</v>
      </c>
      <c r="G119" s="243" t="s">
        <v>1443</v>
      </c>
    </row>
    <row r="120" spans="1:7">
      <c r="A120" s="243">
        <v>703</v>
      </c>
      <c r="B120" s="243" t="s">
        <v>1686</v>
      </c>
      <c r="C120" s="243" t="s">
        <v>1444</v>
      </c>
      <c r="D120" s="243" t="s">
        <v>1687</v>
      </c>
    </row>
    <row r="121" spans="1:7">
      <c r="A121" s="243">
        <v>706</v>
      </c>
      <c r="B121" s="243" t="s">
        <v>1688</v>
      </c>
      <c r="C121" s="243" t="s">
        <v>1445</v>
      </c>
      <c r="D121" s="243" t="s">
        <v>1689</v>
      </c>
      <c r="F121" s="243" t="s">
        <v>1446</v>
      </c>
      <c r="G121" s="243" t="s">
        <v>1447</v>
      </c>
    </row>
    <row r="122" spans="1:7">
      <c r="A122" s="243">
        <v>707</v>
      </c>
      <c r="B122" s="243" t="s">
        <v>1690</v>
      </c>
      <c r="C122" s="243" t="s">
        <v>1448</v>
      </c>
      <c r="D122" s="243" t="s">
        <v>1691</v>
      </c>
      <c r="F122" s="243" t="s">
        <v>1449</v>
      </c>
      <c r="G122" s="243" t="s">
        <v>1450</v>
      </c>
    </row>
    <row r="123" spans="1:7">
      <c r="A123" s="243">
        <v>708</v>
      </c>
      <c r="B123" s="243" t="s">
        <v>1692</v>
      </c>
      <c r="D123" s="243" t="s">
        <v>1532</v>
      </c>
    </row>
    <row r="124" spans="1:7">
      <c r="A124" s="243">
        <v>709</v>
      </c>
      <c r="B124" s="243" t="s">
        <v>1693</v>
      </c>
      <c r="C124" s="243" t="s">
        <v>1451</v>
      </c>
      <c r="D124" s="243" t="s">
        <v>1694</v>
      </c>
      <c r="F124" s="243" t="s">
        <v>1452</v>
      </c>
      <c r="G124" s="243" t="s">
        <v>1453</v>
      </c>
    </row>
    <row r="125" spans="1:7">
      <c r="A125" s="243">
        <v>713</v>
      </c>
      <c r="B125" s="243" t="s">
        <v>1695</v>
      </c>
      <c r="D125" s="243" t="s">
        <v>1532</v>
      </c>
    </row>
    <row r="126" spans="1:7">
      <c r="A126" s="243">
        <v>715</v>
      </c>
      <c r="B126" s="243" t="s">
        <v>1696</v>
      </c>
      <c r="C126" s="243" t="s">
        <v>1454</v>
      </c>
      <c r="D126" s="243" t="s">
        <v>1697</v>
      </c>
      <c r="F126" s="243" t="s">
        <v>1455</v>
      </c>
      <c r="G126" s="243" t="s">
        <v>1456</v>
      </c>
    </row>
    <row r="127" spans="1:7">
      <c r="A127" s="243">
        <v>716</v>
      </c>
      <c r="B127" s="243" t="s">
        <v>1698</v>
      </c>
      <c r="C127" s="243" t="s">
        <v>1457</v>
      </c>
      <c r="D127" s="243" t="s">
        <v>1699</v>
      </c>
      <c r="F127" s="243" t="s">
        <v>1458</v>
      </c>
      <c r="G127" s="243" t="s">
        <v>1459</v>
      </c>
    </row>
    <row r="128" spans="1:7">
      <c r="A128" s="243">
        <v>719</v>
      </c>
      <c r="B128" s="243" t="s">
        <v>1700</v>
      </c>
      <c r="C128" s="243" t="s">
        <v>1460</v>
      </c>
      <c r="D128" s="243" t="s">
        <v>1701</v>
      </c>
      <c r="F128" s="243" t="s">
        <v>1461</v>
      </c>
      <c r="G128" s="243" t="s">
        <v>1462</v>
      </c>
    </row>
    <row r="129" spans="1:7">
      <c r="A129" s="243">
        <v>731</v>
      </c>
      <c r="B129" s="243" t="s">
        <v>1702</v>
      </c>
      <c r="D129" s="243" t="s">
        <v>1532</v>
      </c>
      <c r="G129" s="243" t="s">
        <v>1463</v>
      </c>
    </row>
    <row r="130" spans="1:7">
      <c r="A130" s="243">
        <v>745</v>
      </c>
      <c r="B130" s="243" t="s">
        <v>1703</v>
      </c>
      <c r="C130" s="243" t="s">
        <v>1464</v>
      </c>
      <c r="D130" s="243" t="s">
        <v>1704</v>
      </c>
      <c r="F130" s="243" t="s">
        <v>1465</v>
      </c>
      <c r="G130" s="243" t="s">
        <v>1466</v>
      </c>
    </row>
    <row r="131" spans="1:7">
      <c r="A131" s="243">
        <v>746</v>
      </c>
      <c r="B131" s="243" t="s">
        <v>1705</v>
      </c>
      <c r="C131" s="243" t="s">
        <v>1327</v>
      </c>
      <c r="D131" s="243" t="s">
        <v>1706</v>
      </c>
      <c r="F131" s="243" t="s">
        <v>1467</v>
      </c>
      <c r="G131" s="243" t="s">
        <v>1468</v>
      </c>
    </row>
    <row r="132" spans="1:7">
      <c r="A132" s="243">
        <v>802</v>
      </c>
      <c r="B132" s="243" t="s">
        <v>1707</v>
      </c>
      <c r="C132" s="243" t="s">
        <v>1469</v>
      </c>
      <c r="D132" s="243" t="s">
        <v>1708</v>
      </c>
      <c r="F132" s="243" t="s">
        <v>1470</v>
      </c>
      <c r="G132" s="243" t="s">
        <v>1471</v>
      </c>
    </row>
    <row r="133" spans="1:7">
      <c r="A133" s="243">
        <v>906</v>
      </c>
      <c r="B133" s="243" t="s">
        <v>1709</v>
      </c>
      <c r="C133" s="243" t="s">
        <v>1472</v>
      </c>
      <c r="D133" s="243" t="s">
        <v>1710</v>
      </c>
      <c r="F133" s="243" t="s">
        <v>1473</v>
      </c>
      <c r="G133" s="243" t="s">
        <v>1474</v>
      </c>
    </row>
    <row r="134" spans="1:7">
      <c r="A134" s="243">
        <v>908</v>
      </c>
      <c r="B134" s="243" t="s">
        <v>1711</v>
      </c>
      <c r="C134" s="243" t="s">
        <v>1475</v>
      </c>
      <c r="D134" s="243" t="s">
        <v>1712</v>
      </c>
      <c r="F134" s="243" t="s">
        <v>1476</v>
      </c>
      <c r="G134" s="243" t="s">
        <v>1477</v>
      </c>
    </row>
    <row r="135" spans="1:7">
      <c r="A135" s="243">
        <v>959</v>
      </c>
      <c r="B135" s="243" t="s">
        <v>1713</v>
      </c>
      <c r="D135" s="243" t="s">
        <v>1532</v>
      </c>
    </row>
    <row r="136" spans="1:7">
      <c r="A136" s="243">
        <v>990</v>
      </c>
      <c r="B136" s="243" t="s">
        <v>1714</v>
      </c>
      <c r="D136" s="243" t="s">
        <v>1532</v>
      </c>
    </row>
    <row r="137" spans="1:7">
      <c r="A137" s="243">
        <v>992</v>
      </c>
      <c r="B137" s="243" t="s">
        <v>1715</v>
      </c>
      <c r="D137" s="243" t="s">
        <v>1532</v>
      </c>
    </row>
    <row r="138" spans="1:7">
      <c r="A138" s="243">
        <v>993</v>
      </c>
      <c r="B138" s="243" t="s">
        <v>1716</v>
      </c>
      <c r="D138" s="243" t="s">
        <v>1532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5"/>
    <pageSetUpPr fitToPage="1"/>
  </sheetPr>
  <dimension ref="A1:Q80"/>
  <sheetViews>
    <sheetView showGridLines="0" zoomScale="85" zoomScaleNormal="85" zoomScaleSheetLayoutView="85" workbookViewId="0">
      <selection activeCell="C36" sqref="C36:K38"/>
    </sheetView>
  </sheetViews>
  <sheetFormatPr defaultColWidth="9" defaultRowHeight="18.75" customHeight="1" outlineLevelRow="1"/>
  <cols>
    <col min="1" max="1" width="16.75" style="372" bestFit="1" customWidth="1"/>
    <col min="2" max="2" width="15" style="323" customWidth="1"/>
    <col min="3" max="3" width="22.5" style="323" customWidth="1"/>
    <col min="4" max="4" width="17.375" style="323" customWidth="1"/>
    <col min="5" max="5" width="25" style="324" customWidth="1"/>
    <col min="6" max="8" width="12.375" style="323" customWidth="1"/>
    <col min="9" max="9" width="15.875" style="323" customWidth="1"/>
    <col min="10" max="10" width="12.375" style="323" customWidth="1"/>
    <col min="11" max="16" width="12.5" style="323" customWidth="1"/>
    <col min="17" max="16384" width="9" style="323"/>
  </cols>
  <sheetData>
    <row r="1" spans="1:17" ht="17.25" customHeight="1" thickBot="1">
      <c r="A1" s="307"/>
      <c r="D1" s="321"/>
      <c r="E1" s="322"/>
      <c r="F1" s="369"/>
      <c r="G1" s="321"/>
      <c r="H1" s="310">
        <v>1</v>
      </c>
      <c r="L1" s="321"/>
      <c r="M1" s="321"/>
      <c r="N1" s="321"/>
      <c r="O1" s="321"/>
      <c r="P1" s="321"/>
      <c r="Q1" s="321"/>
    </row>
    <row r="2" spans="1:17" ht="17.25" customHeight="1" thickBot="1">
      <c r="A2" s="414" t="s">
        <v>1805</v>
      </c>
      <c r="B2" s="415" t="s">
        <v>1025</v>
      </c>
      <c r="C2" s="416">
        <v>7953</v>
      </c>
      <c r="F2" s="370" t="s">
        <v>1806</v>
      </c>
      <c r="G2" s="321"/>
      <c r="J2" s="370" t="s">
        <v>1807</v>
      </c>
      <c r="L2" s="321"/>
      <c r="M2" s="321"/>
      <c r="N2" s="321"/>
      <c r="O2" s="321"/>
      <c r="P2" s="321"/>
      <c r="Q2" s="321"/>
    </row>
    <row r="3" spans="1:17" ht="17.25" customHeight="1">
      <c r="A3" s="414" t="s">
        <v>1808</v>
      </c>
      <c r="B3" s="417" t="s">
        <v>1026</v>
      </c>
      <c r="C3" s="418" t="s">
        <v>1028</v>
      </c>
      <c r="D3" s="933" t="s">
        <v>1809</v>
      </c>
      <c r="E3" s="934"/>
      <c r="G3" s="321"/>
      <c r="H3" s="321"/>
      <c r="J3" s="486" t="s">
        <v>1829</v>
      </c>
      <c r="K3" s="487"/>
      <c r="L3" s="486" t="s">
        <v>1830</v>
      </c>
      <c r="M3" s="487"/>
      <c r="N3" s="488" t="s">
        <v>1831</v>
      </c>
      <c r="O3" s="487"/>
      <c r="P3" s="321"/>
      <c r="Q3" s="321"/>
    </row>
    <row r="4" spans="1:17" ht="17.25" customHeight="1">
      <c r="A4" s="414" t="s">
        <v>1810</v>
      </c>
      <c r="B4" s="417" t="s">
        <v>1027</v>
      </c>
      <c r="C4" s="418" t="s">
        <v>1028</v>
      </c>
      <c r="D4" s="419" t="s">
        <v>1185</v>
      </c>
      <c r="E4" s="420" t="s">
        <v>1994</v>
      </c>
      <c r="G4" s="321"/>
      <c r="H4" s="321"/>
      <c r="J4" s="447"/>
      <c r="K4" s="448"/>
      <c r="L4" s="450"/>
      <c r="M4" s="448"/>
      <c r="N4" s="447"/>
      <c r="O4" s="448"/>
    </row>
    <row r="5" spans="1:17" ht="17.25" customHeight="1">
      <c r="A5" s="414" t="s">
        <v>1811</v>
      </c>
      <c r="B5" s="417" t="s">
        <v>1728</v>
      </c>
      <c r="C5" s="421">
        <v>620</v>
      </c>
      <c r="D5" s="422" t="s">
        <v>1185</v>
      </c>
      <c r="E5" s="423" t="e">
        <f>MATCH(TEXT(E4,"@"),'NY BackOrder'!C:C,0)</f>
        <v>#N/A</v>
      </c>
      <c r="G5" s="321"/>
      <c r="H5" s="321"/>
      <c r="J5" s="447"/>
      <c r="K5" s="449"/>
      <c r="L5" s="450"/>
      <c r="M5" s="449"/>
      <c r="N5" s="450"/>
      <c r="O5" s="449"/>
      <c r="P5" s="321"/>
      <c r="Q5" s="321"/>
    </row>
    <row r="6" spans="1:17" ht="17.25" customHeight="1" thickBot="1">
      <c r="A6" s="414" t="s">
        <v>1812</v>
      </c>
      <c r="B6" s="417" t="s">
        <v>1729</v>
      </c>
      <c r="C6" s="421">
        <v>622</v>
      </c>
      <c r="D6" s="424" t="s">
        <v>1165</v>
      </c>
      <c r="E6" s="425" t="e">
        <f>E5+COUNTIF('NY BackOrder'!C:C,TEXT(E4,"@"))-2</f>
        <v>#N/A</v>
      </c>
      <c r="F6" s="426"/>
      <c r="G6" s="371" t="s">
        <v>1813</v>
      </c>
      <c r="H6" s="321"/>
      <c r="J6" s="450"/>
      <c r="K6" s="449"/>
      <c r="L6" s="450"/>
      <c r="M6" s="449"/>
      <c r="N6" s="450"/>
      <c r="O6" s="449"/>
      <c r="P6" s="321"/>
      <c r="Q6" s="321"/>
    </row>
    <row r="7" spans="1:17" ht="17.25" customHeight="1" thickBot="1">
      <c r="A7" s="414" t="s">
        <v>1814</v>
      </c>
      <c r="B7" s="427" t="s">
        <v>1767</v>
      </c>
      <c r="C7" s="428">
        <v>36</v>
      </c>
      <c r="D7" s="429"/>
      <c r="E7" s="430"/>
      <c r="I7" s="321"/>
      <c r="J7" s="451"/>
      <c r="K7" s="452"/>
      <c r="L7" s="451"/>
      <c r="M7" s="452"/>
      <c r="N7" s="451"/>
      <c r="O7" s="452"/>
      <c r="P7" s="321"/>
      <c r="Q7" s="321"/>
    </row>
    <row r="8" spans="1:17" ht="17.25" hidden="1" customHeight="1" outlineLevel="1">
      <c r="A8" s="935" t="s">
        <v>1815</v>
      </c>
      <c r="B8" s="431" t="s">
        <v>1730</v>
      </c>
      <c r="C8" s="432">
        <f>C6-C5+C7</f>
        <v>38</v>
      </c>
      <c r="D8" s="433" t="s">
        <v>1154</v>
      </c>
      <c r="E8" s="434" t="str">
        <f>IF(H1=1,"Invoice "&amp;C2&amp;" (NY)","Invoice "&amp;C2&amp;" (LA)")</f>
        <v>Invoice 7953 (NY)</v>
      </c>
      <c r="F8" s="252"/>
    </row>
    <row r="9" spans="1:17" ht="17.25" hidden="1" customHeight="1" outlineLevel="1">
      <c r="A9" s="936"/>
      <c r="B9" s="435" t="s">
        <v>1768</v>
      </c>
      <c r="C9" s="436">
        <v>36</v>
      </c>
      <c r="D9" s="437" t="s">
        <v>1791</v>
      </c>
      <c r="E9" s="438" t="str" cm="1">
        <f t="array" aca="1" ref="E9" ca="1">RIGHT(CELL("filename",A1),LEN(CELL("filename",A1))-FIND("]",CELL("filename",A1)))</f>
        <v>Invoice(SF米国)</v>
      </c>
      <c r="F9" s="321"/>
      <c r="G9" s="321"/>
      <c r="H9" s="321"/>
    </row>
    <row r="10" spans="1:17" ht="17.25" hidden="1" customHeight="1" outlineLevel="1">
      <c r="A10" s="936"/>
      <c r="B10" s="435" t="s">
        <v>1769</v>
      </c>
      <c r="C10" s="436">
        <v>68</v>
      </c>
      <c r="D10" s="437" t="s">
        <v>1792</v>
      </c>
      <c r="E10" s="439" t="str" cm="1">
        <f t="array" aca="1" ref="E10" ca="1">RIGHT(CELL("filename",'Invoice(SF大阪)'!A1),LEN(CELL("filename",'Invoice(SF大阪)'!A1))-FIND("]",CELL("filename",'Invoice(SF大阪)'!A1)))</f>
        <v>Invoice(SF大阪)</v>
      </c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</row>
    <row r="11" spans="1:17" ht="17.25" hidden="1" customHeight="1" outlineLevel="1">
      <c r="A11" s="936"/>
      <c r="B11" s="440" t="s">
        <v>1816</v>
      </c>
      <c r="C11" s="441">
        <f>ROW(A69)</f>
        <v>69</v>
      </c>
      <c r="D11" s="442" t="s">
        <v>1793</v>
      </c>
      <c r="E11" s="439" t="str" cm="1">
        <f t="array" aca="1" ref="E11" ca="1">RIGHT(CELL("filename",'NY BackOrder'!A1),LEN(CELL("filename",'NY BackOrder'!A1))-FIND("]",CELL("filename",'NY BackOrder'!A1)))</f>
        <v>NY BackOrder</v>
      </c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</row>
    <row r="12" spans="1:17" ht="17.25" hidden="1" customHeight="1" outlineLevel="1" thickBot="1">
      <c r="A12" s="937"/>
      <c r="B12" s="443" t="s">
        <v>1817</v>
      </c>
      <c r="C12" s="444" t="str" cm="1">
        <f t="array" aca="1" ref="C12" ca="1">LEFT(MID(CELL("filename",A2),10,99),FIND("B",MID(CELL("filename",A2),10,99))-2)</f>
        <v>a.hamada</v>
      </c>
      <c r="D12" s="445" t="s">
        <v>1818</v>
      </c>
      <c r="E12" s="446" t="str">
        <f>IF(H1=1,"NY","LA")</f>
        <v>NY</v>
      </c>
      <c r="F12" s="369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</row>
    <row r="13" spans="1:17" ht="17.25" customHeight="1" collapsed="1">
      <c r="A13" s="368"/>
      <c r="B13" s="368"/>
      <c r="C13" s="371"/>
      <c r="D13" s="321"/>
      <c r="E13" s="322"/>
      <c r="F13" s="369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</row>
    <row r="14" spans="1:17" ht="18.75" customHeight="1">
      <c r="B14" s="940" t="s">
        <v>3037</v>
      </c>
      <c r="C14" s="941"/>
      <c r="D14" s="941"/>
      <c r="E14" s="941"/>
      <c r="F14" s="943" t="s">
        <v>386</v>
      </c>
      <c r="G14" s="943"/>
      <c r="H14" s="943"/>
      <c r="I14" s="943"/>
      <c r="J14" s="943"/>
      <c r="K14" s="943"/>
    </row>
    <row r="15" spans="1:17" ht="18.75" customHeight="1">
      <c r="B15" s="941"/>
      <c r="C15" s="941"/>
      <c r="D15" s="941"/>
      <c r="E15" s="941"/>
      <c r="F15" s="943"/>
      <c r="G15" s="943"/>
      <c r="H15" s="943"/>
      <c r="I15" s="943"/>
      <c r="J15" s="943"/>
      <c r="K15" s="943"/>
    </row>
    <row r="16" spans="1:17" ht="18.75" customHeight="1">
      <c r="B16" s="941"/>
      <c r="C16" s="941"/>
      <c r="D16" s="941"/>
      <c r="E16" s="941"/>
      <c r="F16" s="373" t="s">
        <v>383</v>
      </c>
      <c r="G16" s="944">
        <f>C2</f>
        <v>7953</v>
      </c>
      <c r="H16" s="944"/>
      <c r="I16" s="944"/>
      <c r="J16" s="944"/>
      <c r="K16" s="944"/>
    </row>
    <row r="17" spans="2:12" ht="18.75" customHeight="1">
      <c r="B17" s="942"/>
      <c r="C17" s="942"/>
      <c r="D17" s="942"/>
      <c r="E17" s="942"/>
      <c r="F17" s="374" t="s">
        <v>384</v>
      </c>
      <c r="G17" s="363" t="s">
        <v>1159</v>
      </c>
      <c r="H17" s="363" t="s">
        <v>1158</v>
      </c>
      <c r="I17" s="374" t="s">
        <v>385</v>
      </c>
      <c r="J17" s="945">
        <f ca="1">TODAY()</f>
        <v>46094</v>
      </c>
      <c r="K17" s="945"/>
      <c r="L17" s="375" t="s">
        <v>1163</v>
      </c>
    </row>
    <row r="18" spans="2:12" ht="18.75" customHeight="1">
      <c r="B18" s="376" t="s">
        <v>371</v>
      </c>
      <c r="C18" s="377" t="str">
        <f>C3</f>
        <v>(SELECT) - 顧客名</v>
      </c>
      <c r="D18" s="378"/>
      <c r="E18" s="379"/>
      <c r="F18" s="380" t="s">
        <v>377</v>
      </c>
      <c r="G18" s="381"/>
      <c r="H18" s="382"/>
      <c r="I18" s="380" t="s">
        <v>380</v>
      </c>
      <c r="J18" s="381"/>
      <c r="K18" s="382"/>
    </row>
    <row r="19" spans="2:12" ht="18.75" customHeight="1">
      <c r="B19" s="360"/>
      <c r="C19" s="383" t="str">
        <f>IFERROR(VLOOKUP(C3,取引先マスタ!C:E,3,FALSE),"")</f>
        <v>ADDRESS 1</v>
      </c>
      <c r="D19" s="329"/>
      <c r="E19" s="330"/>
      <c r="F19" s="325"/>
      <c r="G19" s="326"/>
      <c r="H19" s="327"/>
      <c r="I19" s="325"/>
      <c r="J19" s="326"/>
      <c r="K19" s="327"/>
    </row>
    <row r="20" spans="2:12" ht="18.75" customHeight="1">
      <c r="B20" s="360"/>
      <c r="C20" s="383" t="str">
        <f>IFERROR(VLOOKUP(C3,取引先マスタ!C:F,4,FALSE),"")</f>
        <v>ADDRESS 2</v>
      </c>
      <c r="D20" s="329"/>
      <c r="E20" s="330"/>
      <c r="F20" s="380" t="s">
        <v>378</v>
      </c>
      <c r="G20" s="381"/>
      <c r="H20" s="382"/>
      <c r="I20" s="380" t="s">
        <v>379</v>
      </c>
      <c r="J20" s="381"/>
      <c r="K20" s="382"/>
    </row>
    <row r="21" spans="2:12" ht="18.75" customHeight="1">
      <c r="B21" s="360"/>
      <c r="C21" s="384" t="str">
        <f>IFERROR(IF(VLOOKUP(C3,取引先マスタ!C:G,5,FALSE)=0,"Country: ","Country: "&amp;VLOOKUP(C3,取引先マスタ!C:G,5,FALSE)),"")</f>
        <v>Country: COUNTRY</v>
      </c>
      <c r="D21" s="329" t="str">
        <f>IFERROR(IF(VLOOKUP(C3,取引先マスタ!C:D,2,FALSE)=0,"Zip Code: ","Zip Code: "&amp;VLOOKUP(C3,取引先マスタ!C:D,2,FALSE)),"")</f>
        <v>Zip Code: ZIP CODE</v>
      </c>
      <c r="E21" s="330"/>
      <c r="F21" s="411"/>
      <c r="G21" s="326"/>
      <c r="H21" s="327"/>
      <c r="I21" s="325"/>
      <c r="J21" s="326"/>
      <c r="K21" s="327"/>
    </row>
    <row r="22" spans="2:12" ht="18.75" customHeight="1">
      <c r="B22" s="360"/>
      <c r="C22" s="384" t="str">
        <f>IFERROR(IF(VLOOKUP(C3,取引先マスタ!C:H,6,FALSE)=0,"Tel: ",VLOOKUP(C3,取引先マスタ!C:H,6,FALSE)),"")</f>
        <v>TEL</v>
      </c>
      <c r="D22" s="329" t="str">
        <f>IFERROR(IF(VLOOKUP(C3,取引先マスタ!C:I,7,FALSE)=0,"Attn: ","Attn: "&amp;VLOOKUP(C3,取引先マスタ!C:I,7,FALSE)),"")</f>
        <v>Attn: ATTENTION</v>
      </c>
      <c r="E22" s="330"/>
      <c r="F22" s="380" t="s">
        <v>373</v>
      </c>
      <c r="G22" s="381"/>
      <c r="H22" s="381"/>
      <c r="I22" s="381"/>
      <c r="J22" s="381"/>
      <c r="K22" s="382"/>
    </row>
    <row r="23" spans="2:12" ht="18.75" customHeight="1">
      <c r="B23" s="362"/>
      <c r="C23" s="366"/>
      <c r="D23" s="326"/>
      <c r="E23" s="327"/>
      <c r="F23" s="385" t="s">
        <v>374</v>
      </c>
      <c r="G23" s="328" t="s">
        <v>334</v>
      </c>
      <c r="H23" s="329"/>
      <c r="I23" s="329"/>
      <c r="J23" s="329"/>
      <c r="K23" s="330"/>
    </row>
    <row r="24" spans="2:12" ht="18.75" customHeight="1">
      <c r="B24" s="376" t="s">
        <v>370</v>
      </c>
      <c r="C24" s="377" t="str">
        <f>C4</f>
        <v>(SELECT) - 顧客名</v>
      </c>
      <c r="D24" s="378"/>
      <c r="E24" s="379"/>
      <c r="F24" s="385" t="s">
        <v>375</v>
      </c>
      <c r="G24" s="328" t="s">
        <v>387</v>
      </c>
      <c r="H24" s="329"/>
      <c r="I24" s="329"/>
      <c r="J24" s="329"/>
      <c r="K24" s="330"/>
    </row>
    <row r="25" spans="2:12" ht="18.75" customHeight="1">
      <c r="B25" s="360"/>
      <c r="C25" s="383" t="str">
        <f>IFERROR(VLOOKUP(C4,取引先マスタ!C:E,3,FALSE),"")</f>
        <v>ADDRESS 1</v>
      </c>
      <c r="D25" s="329"/>
      <c r="E25" s="330"/>
      <c r="F25" s="385" t="s">
        <v>332</v>
      </c>
      <c r="G25" s="328" t="s">
        <v>1167</v>
      </c>
      <c r="H25" s="329"/>
      <c r="I25" s="329"/>
      <c r="J25" s="329"/>
      <c r="K25" s="330"/>
    </row>
    <row r="26" spans="2:12" ht="18.75" customHeight="1">
      <c r="B26" s="360"/>
      <c r="C26" s="383" t="str">
        <f>IFERROR(VLOOKUP(C4,取引先マスタ!C:F,4,FALSE),"")</f>
        <v>ADDRESS 2</v>
      </c>
      <c r="D26" s="329"/>
      <c r="E26" s="330"/>
      <c r="F26" s="385" t="s">
        <v>376</v>
      </c>
      <c r="G26" s="328" t="s">
        <v>388</v>
      </c>
      <c r="H26" s="329"/>
      <c r="I26" s="329"/>
      <c r="J26" s="329"/>
      <c r="K26" s="330"/>
    </row>
    <row r="27" spans="2:12" ht="18.75" customHeight="1">
      <c r="B27" s="360"/>
      <c r="C27" s="384" t="str">
        <f>IFERROR(IF(VLOOKUP(C4,取引先マスタ!C:G,5,FALSE)=0,"Country: ","Country: "&amp;VLOOKUP(C4,取引先マスタ!C:G,5,FALSE)),"")</f>
        <v>Country: COUNTRY</v>
      </c>
      <c r="D27" s="329" t="str">
        <f>IFERROR(IF(VLOOKUP(C4,取引先マスタ!C:D,2,FALSE)=0,"Zip Code: ","Zip Code: "&amp;VLOOKUP(C4,取引先マスタ!C:D,2,FALSE)),"")</f>
        <v>Zip Code: ZIP CODE</v>
      </c>
      <c r="E27" s="330"/>
      <c r="F27" s="325" t="s">
        <v>382</v>
      </c>
      <c r="G27" s="331" t="s">
        <v>1804</v>
      </c>
      <c r="H27" s="326"/>
      <c r="I27" s="332" t="s">
        <v>381</v>
      </c>
      <c r="J27" s="332" t="s">
        <v>331</v>
      </c>
      <c r="K27" s="327"/>
    </row>
    <row r="28" spans="2:12" ht="18.75" customHeight="1">
      <c r="B28" s="360"/>
      <c r="C28" s="384" t="str">
        <f>IFERROR(IF(VLOOKUP(C4,取引先マスタ!C:H,6,FALSE)=0,"Tel: ",VLOOKUP(C4,取引先マスタ!C:H,6,FALSE)),"")</f>
        <v>TEL</v>
      </c>
      <c r="D28" s="329" t="str">
        <f>IFERROR(IF(VLOOKUP(C4,取引先マスタ!C:I,7,FALSE)=0,"Attn: ","Attn: "&amp;VLOOKUP(C4,取引先マスタ!C:I,7,FALSE)),"")</f>
        <v>Attn: ATTENTION</v>
      </c>
      <c r="E28" s="330"/>
      <c r="F28" s="380" t="s">
        <v>372</v>
      </c>
      <c r="G28" s="381"/>
      <c r="H28" s="381"/>
      <c r="I28" s="381"/>
      <c r="J28" s="380" t="s">
        <v>1798</v>
      </c>
      <c r="K28" s="382"/>
    </row>
    <row r="29" spans="2:12" ht="18.75" customHeight="1">
      <c r="B29" s="360"/>
      <c r="C29" s="366"/>
      <c r="D29" s="326"/>
      <c r="E29" s="327"/>
      <c r="F29" s="967" t="s">
        <v>2760</v>
      </c>
      <c r="G29" s="968"/>
      <c r="H29" s="930" t="s">
        <v>3039</v>
      </c>
      <c r="I29" s="931"/>
      <c r="J29" s="411">
        <f ca="1">J17+30</f>
        <v>46124</v>
      </c>
      <c r="K29" s="327"/>
    </row>
    <row r="30" spans="2:12" ht="18.75" customHeight="1">
      <c r="B30" s="380" t="s">
        <v>363</v>
      </c>
      <c r="C30" s="386"/>
      <c r="D30" s="380" t="s">
        <v>364</v>
      </c>
      <c r="E30" s="387"/>
      <c r="F30" s="380" t="s">
        <v>366</v>
      </c>
      <c r="G30" s="388"/>
      <c r="H30" s="386"/>
      <c r="I30" s="380" t="s">
        <v>368</v>
      </c>
      <c r="J30" s="389"/>
      <c r="K30" s="390"/>
    </row>
    <row r="31" spans="2:12" ht="18.75" customHeight="1">
      <c r="B31" s="407" t="s">
        <v>342</v>
      </c>
      <c r="C31" s="327"/>
      <c r="D31" s="960" t="s">
        <v>1795</v>
      </c>
      <c r="E31" s="961"/>
      <c r="F31" s="957">
        <f ca="1">J17</f>
        <v>46094</v>
      </c>
      <c r="G31" s="958"/>
      <c r="H31" s="959"/>
      <c r="I31" s="391" t="s">
        <v>389</v>
      </c>
      <c r="J31" s="392"/>
      <c r="K31" s="393"/>
      <c r="L31" s="375" t="s">
        <v>1164</v>
      </c>
    </row>
    <row r="32" spans="2:12" ht="18.75" customHeight="1">
      <c r="B32" s="380" t="s">
        <v>362</v>
      </c>
      <c r="C32" s="386"/>
      <c r="D32" s="380" t="s">
        <v>365</v>
      </c>
      <c r="E32" s="387"/>
      <c r="F32" s="380" t="s">
        <v>367</v>
      </c>
      <c r="G32" s="388"/>
      <c r="H32" s="386"/>
      <c r="I32" s="362" t="str">
        <f>IFERROR(IF(VLOOKUP(C18,[2]取引先マスタ!C:J,8,FALSE)=0,"",VLOOKUP(C18,[2]取引先マスタ!C:J,8,FALSE)),"")</f>
        <v>Courier Account#</v>
      </c>
      <c r="J32" s="724" t="s">
        <v>2761</v>
      </c>
      <c r="K32" s="365"/>
      <c r="L32" s="369" t="s">
        <v>1819</v>
      </c>
    </row>
    <row r="33" spans="2:16" ht="18.75" customHeight="1" thickBot="1">
      <c r="B33" s="938" t="s">
        <v>2762</v>
      </c>
      <c r="C33" s="939"/>
      <c r="D33" s="938" t="s">
        <v>2762</v>
      </c>
      <c r="E33" s="939"/>
      <c r="F33" s="948" t="s">
        <v>1801</v>
      </c>
      <c r="G33" s="949"/>
      <c r="H33" s="950"/>
      <c r="I33" s="394" t="s">
        <v>369</v>
      </c>
      <c r="J33" s="946" t="s">
        <v>207</v>
      </c>
      <c r="K33" s="947"/>
    </row>
    <row r="34" spans="2:16" ht="18.75" customHeight="1" thickTop="1">
      <c r="B34" s="965" t="s">
        <v>356</v>
      </c>
      <c r="C34" s="969" t="s">
        <v>390</v>
      </c>
      <c r="D34" s="969"/>
      <c r="E34" s="969"/>
      <c r="F34" s="970" t="s">
        <v>391</v>
      </c>
      <c r="G34" s="971"/>
      <c r="H34" s="972"/>
      <c r="I34" s="955" t="s">
        <v>360</v>
      </c>
      <c r="J34" s="953" t="s">
        <v>361</v>
      </c>
      <c r="K34" s="951" t="s">
        <v>253</v>
      </c>
    </row>
    <row r="35" spans="2:16" ht="18.75" customHeight="1" thickBot="1">
      <c r="B35" s="966"/>
      <c r="C35" s="395" t="s">
        <v>256</v>
      </c>
      <c r="D35" s="395" t="s">
        <v>32</v>
      </c>
      <c r="E35" s="396" t="s">
        <v>33</v>
      </c>
      <c r="F35" s="395" t="s">
        <v>357</v>
      </c>
      <c r="G35" s="395" t="s">
        <v>358</v>
      </c>
      <c r="H35" s="395" t="s">
        <v>359</v>
      </c>
      <c r="I35" s="956"/>
      <c r="J35" s="954"/>
      <c r="K35" s="952"/>
    </row>
    <row r="36" spans="2:16" ht="18.75" customHeight="1" thickTop="1">
      <c r="B36" s="333" t="s">
        <v>3055</v>
      </c>
      <c r="C36" s="334" t="s">
        <v>3052</v>
      </c>
      <c r="D36" s="783"/>
      <c r="E36" s="335"/>
      <c r="F36" s="784"/>
      <c r="G36" s="831"/>
      <c r="H36" s="832"/>
      <c r="I36" s="335" t="s">
        <v>2975</v>
      </c>
      <c r="J36" s="833"/>
      <c r="K36" s="833"/>
      <c r="L36" s="397"/>
      <c r="M36" s="398"/>
      <c r="N36" s="399"/>
      <c r="O36" s="400"/>
      <c r="P36" s="400"/>
    </row>
    <row r="37" spans="2:16" ht="18.75" customHeight="1">
      <c r="B37" s="336" t="s">
        <v>3055</v>
      </c>
      <c r="C37" s="337">
        <v>1100</v>
      </c>
      <c r="D37" s="785">
        <v>20</v>
      </c>
      <c r="E37" s="338" t="s">
        <v>3051</v>
      </c>
      <c r="F37" s="345">
        <v>30</v>
      </c>
      <c r="G37" s="344">
        <v>20</v>
      </c>
      <c r="H37" s="341">
        <v>600</v>
      </c>
      <c r="I37" s="340">
        <v>29.55</v>
      </c>
      <c r="J37" s="340">
        <v>591</v>
      </c>
      <c r="K37" s="340" t="s">
        <v>3046</v>
      </c>
      <c r="L37" s="397"/>
      <c r="M37" s="398"/>
      <c r="N37" s="401"/>
      <c r="O37" s="401"/>
      <c r="P37" s="401"/>
    </row>
    <row r="38" spans="2:16" ht="18.75" customHeight="1">
      <c r="B38" s="336" t="s">
        <v>3055</v>
      </c>
      <c r="C38" s="337"/>
      <c r="D38" s="785"/>
      <c r="E38" s="338" t="s">
        <v>279</v>
      </c>
      <c r="F38" s="341"/>
      <c r="G38" s="339"/>
      <c r="H38" s="342">
        <v>1</v>
      </c>
      <c r="I38" s="340">
        <v>12</v>
      </c>
      <c r="J38" s="340">
        <v>12</v>
      </c>
      <c r="K38" s="340"/>
      <c r="L38" s="397"/>
      <c r="M38" s="398"/>
      <c r="N38" s="401"/>
      <c r="O38" s="401"/>
      <c r="P38" s="401"/>
    </row>
    <row r="39" spans="2:16" ht="18.75" customHeight="1">
      <c r="B39" s="336"/>
      <c r="C39" s="337"/>
      <c r="D39" s="785"/>
      <c r="E39" s="338"/>
      <c r="F39" s="345"/>
      <c r="G39" s="344"/>
      <c r="H39" s="341"/>
      <c r="I39" s="340"/>
      <c r="J39" s="340"/>
      <c r="K39" s="340"/>
      <c r="L39" s="397"/>
      <c r="M39" s="398"/>
      <c r="N39" s="401"/>
      <c r="O39" s="401"/>
      <c r="P39" s="401"/>
    </row>
    <row r="40" spans="2:16" ht="18.75" customHeight="1">
      <c r="B40" s="336"/>
      <c r="C40" s="337"/>
      <c r="D40" s="785"/>
      <c r="E40" s="338"/>
      <c r="F40" s="345"/>
      <c r="G40" s="344"/>
      <c r="H40" s="341"/>
      <c r="I40" s="340"/>
      <c r="J40" s="340"/>
      <c r="K40" s="340"/>
      <c r="L40" s="397"/>
      <c r="M40" s="398"/>
      <c r="N40" s="401"/>
      <c r="O40" s="401"/>
      <c r="P40" s="401"/>
    </row>
    <row r="41" spans="2:16" ht="18.75" customHeight="1">
      <c r="B41" s="336"/>
      <c r="C41" s="337"/>
      <c r="D41" s="785"/>
      <c r="E41" s="338"/>
      <c r="F41" s="341"/>
      <c r="G41" s="339"/>
      <c r="H41" s="342"/>
      <c r="I41" s="340"/>
      <c r="J41" s="340"/>
      <c r="K41" s="340"/>
      <c r="L41" s="397"/>
      <c r="M41" s="398"/>
      <c r="N41" s="399"/>
      <c r="O41" s="401"/>
      <c r="P41" s="401"/>
    </row>
    <row r="42" spans="2:16" ht="18.75" customHeight="1">
      <c r="B42" s="336"/>
      <c r="C42" s="337"/>
      <c r="D42" s="785"/>
      <c r="E42" s="338"/>
      <c r="F42" s="345"/>
      <c r="G42" s="344"/>
      <c r="H42" s="341"/>
      <c r="I42" s="338"/>
      <c r="J42" s="340"/>
      <c r="K42" s="340"/>
    </row>
    <row r="43" spans="2:16" ht="18.75" customHeight="1">
      <c r="B43" s="336"/>
      <c r="C43" s="337"/>
      <c r="D43" s="785"/>
      <c r="E43" s="338"/>
      <c r="F43" s="345"/>
      <c r="G43" s="344"/>
      <c r="H43" s="341"/>
      <c r="I43" s="340"/>
      <c r="J43" s="340"/>
      <c r="K43" s="340"/>
    </row>
    <row r="44" spans="2:16" ht="18.75" customHeight="1">
      <c r="B44" s="336"/>
      <c r="C44" s="337"/>
      <c r="D44" s="785"/>
      <c r="E44" s="338"/>
      <c r="F44" s="345"/>
      <c r="G44" s="344"/>
      <c r="H44" s="341"/>
      <c r="I44" s="338"/>
      <c r="J44" s="340"/>
      <c r="K44" s="340"/>
    </row>
    <row r="45" spans="2:16" ht="18.75" customHeight="1">
      <c r="B45" s="336"/>
      <c r="C45" s="337"/>
      <c r="D45" s="785"/>
      <c r="E45" s="338"/>
      <c r="F45" s="345"/>
      <c r="G45" s="344"/>
      <c r="H45" s="341"/>
      <c r="I45" s="340"/>
      <c r="J45" s="340"/>
      <c r="K45" s="340"/>
    </row>
    <row r="46" spans="2:16" ht="18.75" customHeight="1">
      <c r="B46" s="336"/>
      <c r="C46" s="337"/>
      <c r="D46" s="785"/>
      <c r="E46" s="338"/>
      <c r="F46" s="345"/>
      <c r="G46" s="344"/>
      <c r="H46" s="341"/>
      <c r="I46" s="338"/>
      <c r="J46" s="340"/>
      <c r="K46" s="340"/>
    </row>
    <row r="47" spans="2:16" ht="18.75" customHeight="1">
      <c r="B47" s="336"/>
      <c r="C47" s="337"/>
      <c r="D47" s="785"/>
      <c r="E47" s="338"/>
      <c r="F47" s="345"/>
      <c r="G47" s="344"/>
      <c r="H47" s="341"/>
      <c r="I47" s="340"/>
      <c r="J47" s="340"/>
      <c r="K47" s="340"/>
    </row>
    <row r="48" spans="2:16" ht="18.75" customHeight="1">
      <c r="B48" s="336"/>
      <c r="C48" s="337"/>
      <c r="D48" s="785"/>
      <c r="E48" s="338"/>
      <c r="F48" s="341"/>
      <c r="G48" s="339"/>
      <c r="H48" s="342"/>
      <c r="I48" s="340"/>
      <c r="J48" s="340"/>
      <c r="K48" s="340"/>
    </row>
    <row r="49" spans="2:11" ht="18.75" customHeight="1">
      <c r="B49" s="336"/>
      <c r="C49" s="337"/>
      <c r="D49" s="785"/>
      <c r="E49" s="338"/>
      <c r="F49" s="345"/>
      <c r="G49" s="344"/>
      <c r="H49" s="341"/>
      <c r="I49" s="340"/>
      <c r="J49" s="340"/>
      <c r="K49" s="340"/>
    </row>
    <row r="50" spans="2:11" ht="18.75" customHeight="1">
      <c r="B50" s="336"/>
      <c r="C50" s="337"/>
      <c r="D50" s="785"/>
      <c r="E50" s="338"/>
      <c r="F50" s="345"/>
      <c r="G50" s="344"/>
      <c r="H50" s="341"/>
      <c r="I50" s="340"/>
      <c r="J50" s="340"/>
      <c r="K50" s="340"/>
    </row>
    <row r="51" spans="2:11" ht="18.75" customHeight="1">
      <c r="B51" s="336"/>
      <c r="C51" s="337"/>
      <c r="D51" s="785"/>
      <c r="E51" s="338"/>
      <c r="F51" s="345"/>
      <c r="G51" s="344"/>
      <c r="H51" s="341"/>
      <c r="I51" s="340"/>
      <c r="J51" s="340"/>
      <c r="K51" s="340"/>
    </row>
    <row r="52" spans="2:11" ht="18.75" customHeight="1">
      <c r="B52" s="336"/>
      <c r="C52" s="337"/>
      <c r="D52" s="785"/>
      <c r="E52" s="338"/>
      <c r="F52" s="345"/>
      <c r="G52" s="344"/>
      <c r="H52" s="341"/>
      <c r="I52" s="338"/>
      <c r="J52" s="340"/>
      <c r="K52" s="340"/>
    </row>
    <row r="53" spans="2:11" ht="18.75" customHeight="1">
      <c r="B53" s="336"/>
      <c r="C53" s="337"/>
      <c r="D53" s="785"/>
      <c r="E53" s="338"/>
      <c r="F53" s="345"/>
      <c r="G53" s="344"/>
      <c r="H53" s="341"/>
      <c r="I53" s="340"/>
      <c r="J53" s="340"/>
      <c r="K53" s="340"/>
    </row>
    <row r="54" spans="2:11" ht="18.75" customHeight="1">
      <c r="B54" s="336"/>
      <c r="C54" s="337"/>
      <c r="D54" s="785"/>
      <c r="E54" s="338"/>
      <c r="F54" s="341"/>
      <c r="G54" s="339"/>
      <c r="H54" s="342"/>
      <c r="I54" s="340"/>
      <c r="J54" s="340"/>
      <c r="K54" s="340"/>
    </row>
    <row r="55" spans="2:11" ht="18.75" customHeight="1">
      <c r="B55" s="336"/>
      <c r="C55" s="337"/>
      <c r="D55" s="785"/>
      <c r="E55" s="338"/>
      <c r="F55" s="345"/>
      <c r="G55" s="344"/>
      <c r="H55" s="341"/>
      <c r="I55" s="340"/>
      <c r="J55" s="340"/>
      <c r="K55" s="340"/>
    </row>
    <row r="56" spans="2:11" ht="18.75" customHeight="1">
      <c r="B56" s="336"/>
      <c r="C56" s="337"/>
      <c r="D56" s="785"/>
      <c r="E56" s="338"/>
      <c r="F56" s="345"/>
      <c r="G56" s="344"/>
      <c r="H56" s="341"/>
      <c r="I56" s="340"/>
      <c r="J56" s="340"/>
      <c r="K56" s="340"/>
    </row>
    <row r="57" spans="2:11" ht="18.75" customHeight="1">
      <c r="B57" s="336"/>
      <c r="C57" s="337"/>
      <c r="D57" s="785"/>
      <c r="E57" s="338"/>
      <c r="F57" s="345"/>
      <c r="G57" s="344"/>
      <c r="H57" s="341"/>
      <c r="I57" s="340"/>
      <c r="J57" s="340"/>
      <c r="K57" s="340"/>
    </row>
    <row r="58" spans="2:11" ht="18.75" customHeight="1">
      <c r="B58" s="336"/>
      <c r="C58" s="337"/>
      <c r="D58" s="785"/>
      <c r="E58" s="338"/>
      <c r="F58" s="345"/>
      <c r="G58" s="344"/>
      <c r="H58" s="341"/>
      <c r="I58" s="340"/>
      <c r="J58" s="340"/>
      <c r="K58" s="340"/>
    </row>
    <row r="59" spans="2:11" ht="18.75" customHeight="1">
      <c r="B59" s="336"/>
      <c r="C59" s="337"/>
      <c r="D59" s="785"/>
      <c r="E59" s="338"/>
      <c r="F59" s="345"/>
      <c r="G59" s="344"/>
      <c r="H59" s="341"/>
      <c r="I59" s="340"/>
      <c r="J59" s="340"/>
      <c r="K59" s="340"/>
    </row>
    <row r="60" spans="2:11" ht="18.75" customHeight="1">
      <c r="B60" s="336"/>
      <c r="C60" s="337"/>
      <c r="D60" s="785"/>
      <c r="E60" s="338"/>
      <c r="F60" s="345"/>
      <c r="G60" s="344"/>
      <c r="H60" s="341"/>
      <c r="I60" s="340"/>
      <c r="J60" s="340"/>
      <c r="K60" s="340"/>
    </row>
    <row r="61" spans="2:11" ht="18.75" customHeight="1">
      <c r="B61" s="336"/>
      <c r="C61" s="337"/>
      <c r="D61" s="785"/>
      <c r="E61" s="338"/>
      <c r="F61" s="345"/>
      <c r="G61" s="344"/>
      <c r="H61" s="341"/>
      <c r="I61" s="340"/>
      <c r="J61" s="340"/>
      <c r="K61" s="340"/>
    </row>
    <row r="62" spans="2:11" ht="18.75" customHeight="1">
      <c r="B62" s="336"/>
      <c r="C62" s="337"/>
      <c r="D62" s="785"/>
      <c r="E62" s="338"/>
      <c r="F62" s="345"/>
      <c r="G62" s="344"/>
      <c r="H62" s="341"/>
      <c r="I62" s="340"/>
      <c r="J62" s="340"/>
      <c r="K62" s="340"/>
    </row>
    <row r="63" spans="2:11" ht="18.75" customHeight="1">
      <c r="B63" s="336"/>
      <c r="C63" s="337"/>
      <c r="D63" s="785"/>
      <c r="E63" s="338"/>
      <c r="F63" s="345"/>
      <c r="G63" s="344"/>
      <c r="H63" s="341"/>
      <c r="I63" s="340"/>
      <c r="J63" s="340"/>
      <c r="K63" s="340"/>
    </row>
    <row r="64" spans="2:11" ht="18.75" customHeight="1">
      <c r="B64" s="336"/>
      <c r="C64" s="337"/>
      <c r="D64" s="785"/>
      <c r="E64" s="338"/>
      <c r="F64" s="345"/>
      <c r="G64" s="344"/>
      <c r="H64" s="341"/>
      <c r="I64" s="340"/>
      <c r="J64" s="340"/>
      <c r="K64" s="340"/>
    </row>
    <row r="65" spans="1:11" ht="18.75" customHeight="1">
      <c r="B65" s="336"/>
      <c r="C65" s="337"/>
      <c r="D65" s="785"/>
      <c r="E65" s="338"/>
      <c r="F65" s="345"/>
      <c r="G65" s="344"/>
      <c r="H65" s="341"/>
      <c r="I65" s="340"/>
      <c r="J65" s="340"/>
      <c r="K65" s="340"/>
    </row>
    <row r="66" spans="1:11" ht="18.75" customHeight="1">
      <c r="B66" s="336"/>
      <c r="C66" s="337"/>
      <c r="D66" s="785"/>
      <c r="E66" s="338"/>
      <c r="F66" s="345"/>
      <c r="G66" s="344"/>
      <c r="H66" s="341"/>
      <c r="I66" s="340"/>
      <c r="J66" s="340"/>
      <c r="K66" s="340"/>
    </row>
    <row r="67" spans="1:11" ht="18.75" customHeight="1">
      <c r="B67" s="336"/>
      <c r="C67" s="337"/>
      <c r="D67" s="785"/>
      <c r="E67" s="338"/>
      <c r="F67" s="345"/>
      <c r="G67" s="344"/>
      <c r="H67" s="341"/>
      <c r="I67" s="340"/>
      <c r="J67" s="340"/>
      <c r="K67" s="340"/>
    </row>
    <row r="68" spans="1:11" ht="18.75" customHeight="1">
      <c r="B68" s="799"/>
      <c r="C68" s="347"/>
      <c r="D68" s="801"/>
      <c r="E68" s="348"/>
      <c r="F68" s="802"/>
      <c r="G68" s="803"/>
      <c r="H68" s="804"/>
      <c r="I68" s="805"/>
      <c r="J68" s="805"/>
      <c r="K68" s="805"/>
    </row>
    <row r="69" spans="1:11" ht="18.75" customHeight="1">
      <c r="A69" s="453" t="s">
        <v>1820</v>
      </c>
      <c r="B69" s="399"/>
      <c r="D69" s="809"/>
      <c r="F69" s="806"/>
      <c r="G69" s="807"/>
      <c r="H69" s="973" t="s">
        <v>2957</v>
      </c>
      <c r="I69" s="974"/>
      <c r="J69" s="808"/>
      <c r="K69" s="401"/>
    </row>
    <row r="70" spans="1:11" ht="18.75" customHeight="1">
      <c r="B70" s="800" t="s">
        <v>2958</v>
      </c>
      <c r="D70" s="857" t="s">
        <v>2959</v>
      </c>
      <c r="F70" s="806"/>
      <c r="G70" s="807"/>
      <c r="H70" s="975"/>
      <c r="I70" s="976"/>
      <c r="J70" s="340"/>
      <c r="K70" s="401"/>
    </row>
    <row r="71" spans="1:11" ht="18.75" customHeight="1">
      <c r="B71" s="800" t="s">
        <v>347</v>
      </c>
      <c r="D71" s="810" t="s">
        <v>2960</v>
      </c>
      <c r="E71" s="324" t="s">
        <v>2961</v>
      </c>
      <c r="F71" s="811"/>
      <c r="G71" s="812"/>
      <c r="H71" s="813"/>
      <c r="I71" s="814"/>
      <c r="J71" s="805"/>
      <c r="K71" s="401"/>
    </row>
    <row r="72" spans="1:11" ht="18.75" customHeight="1" thickBot="1">
      <c r="B72" s="404" t="s">
        <v>348</v>
      </c>
      <c r="D72" s="810" t="s">
        <v>2962</v>
      </c>
      <c r="H72" s="964" t="s">
        <v>1155</v>
      </c>
      <c r="I72" s="964"/>
      <c r="J72" s="355"/>
    </row>
    <row r="73" spans="1:11" ht="18.75" customHeight="1" thickBot="1">
      <c r="B73" s="404" t="s">
        <v>349</v>
      </c>
      <c r="D73" s="402" t="s">
        <v>394</v>
      </c>
      <c r="E73" s="324" t="s">
        <v>1797</v>
      </c>
      <c r="H73" s="962" t="s">
        <v>392</v>
      </c>
      <c r="I73" s="963"/>
      <c r="J73" s="412"/>
    </row>
    <row r="74" spans="1:11" ht="18.75" customHeight="1">
      <c r="B74" s="404" t="s">
        <v>350</v>
      </c>
      <c r="D74" s="402" t="s">
        <v>1029</v>
      </c>
      <c r="E74" s="324" t="s">
        <v>1796</v>
      </c>
    </row>
    <row r="76" spans="1:11" ht="18.75" customHeight="1">
      <c r="B76" s="404" t="s">
        <v>1030</v>
      </c>
      <c r="H76" s="403" t="s">
        <v>354</v>
      </c>
    </row>
    <row r="77" spans="1:11" ht="18.75" customHeight="1">
      <c r="B77" s="356"/>
      <c r="C77" s="357"/>
      <c r="D77" s="357"/>
      <c r="E77" s="358"/>
      <c r="F77" s="359"/>
    </row>
    <row r="78" spans="1:11" ht="18.75" customHeight="1">
      <c r="B78" s="360"/>
      <c r="F78" s="361"/>
    </row>
    <row r="79" spans="1:11" ht="18.75" customHeight="1">
      <c r="B79" s="360"/>
      <c r="F79" s="361"/>
    </row>
    <row r="80" spans="1:11" ht="18.75" customHeight="1">
      <c r="B80" s="362"/>
      <c r="C80" s="363"/>
      <c r="D80" s="363"/>
      <c r="E80" s="364"/>
      <c r="F80" s="365"/>
      <c r="H80" s="363"/>
      <c r="I80" s="363"/>
      <c r="J80" s="363"/>
      <c r="K80" s="363"/>
    </row>
  </sheetData>
  <mergeCells count="23">
    <mergeCell ref="H73:I73"/>
    <mergeCell ref="H72:I72"/>
    <mergeCell ref="B34:B35"/>
    <mergeCell ref="F29:G29"/>
    <mergeCell ref="C34:E34"/>
    <mergeCell ref="F34:H34"/>
    <mergeCell ref="H69:I69"/>
    <mergeCell ref="H70:I70"/>
    <mergeCell ref="K34:K35"/>
    <mergeCell ref="J34:J35"/>
    <mergeCell ref="I34:I35"/>
    <mergeCell ref="F31:H31"/>
    <mergeCell ref="D31:E31"/>
    <mergeCell ref="D33:E33"/>
    <mergeCell ref="D3:E3"/>
    <mergeCell ref="A8:A12"/>
    <mergeCell ref="B33:C33"/>
    <mergeCell ref="B14:E17"/>
    <mergeCell ref="F14:K15"/>
    <mergeCell ref="G16:K16"/>
    <mergeCell ref="J17:K17"/>
    <mergeCell ref="J33:K33"/>
    <mergeCell ref="F33:H33"/>
  </mergeCells>
  <phoneticPr fontId="3"/>
  <conditionalFormatting sqref="C34 F34">
    <cfRule type="containsBlanks" dxfId="31" priority="22" stopIfTrue="1">
      <formula>LEN(TRIM(C34))=0</formula>
    </cfRule>
  </conditionalFormatting>
  <conditionalFormatting sqref="C18:C20 C24:C26 C21:D22 C27:D28">
    <cfRule type="containsBlanks" dxfId="30" priority="20" stopIfTrue="1">
      <formula>LEN(TRIM(C18))=0</formula>
    </cfRule>
  </conditionalFormatting>
  <conditionalFormatting sqref="J17:K17">
    <cfRule type="containsBlanks" dxfId="29" priority="13" stopIfTrue="1">
      <formula>LEN(TRIM(J17))=0</formula>
    </cfRule>
  </conditionalFormatting>
  <conditionalFormatting sqref="C36:K68">
    <cfRule type="expression" dxfId="28" priority="12" stopIfTrue="1">
      <formula>COUNTIF($I36,"*per*")</formula>
    </cfRule>
  </conditionalFormatting>
  <dataValidations count="2">
    <dataValidation type="list" allowBlank="1" showInputMessage="1" showErrorMessage="1" sqref="B31" xr:uid="{1329C831-7C94-4903-936B-240828FE07F1}">
      <formula1>"(SELECT),FedEx,UPS,DHL,Other,Vessel,AIR"</formula1>
    </dataValidation>
    <dataValidation type="list" allowBlank="1" showInputMessage="1" showErrorMessage="1" sqref="F29:G29" xr:uid="{D5FB45A0-ABE6-4F80-849E-7D46FF07A5BB}">
      <formula1>"(SELECT),　,Advanced Payment,NET 30days,NET 60days"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Option Button 1">
              <controlPr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228600</xdr:rowOff>
                  </from>
                  <to>
                    <xdr:col>6</xdr:col>
                    <xdr:colOff>333375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228600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改行設定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取引先マスタ!$C:$C</xm:f>
          </x14:formula1>
          <xm:sqref>E5:E6 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  <pageSetUpPr fitToPage="1"/>
  </sheetPr>
  <dimension ref="A1:K80"/>
  <sheetViews>
    <sheetView showGridLines="0" topLeftCell="A31" zoomScale="85" zoomScaleNormal="85" zoomScaleSheetLayoutView="85" workbookViewId="0">
      <selection activeCell="K36" sqref="K36:K38"/>
    </sheetView>
  </sheetViews>
  <sheetFormatPr defaultColWidth="9" defaultRowHeight="18.75" customHeight="1" outlineLevelRow="1"/>
  <cols>
    <col min="1" max="1" width="16.75" style="372" bestFit="1" customWidth="1"/>
    <col min="2" max="2" width="15" style="323" customWidth="1"/>
    <col min="3" max="3" width="22.5" style="323" customWidth="1"/>
    <col min="4" max="4" width="12.375" style="323" customWidth="1"/>
    <col min="5" max="5" width="25" style="324" customWidth="1"/>
    <col min="6" max="10" width="12.375" style="323" customWidth="1"/>
    <col min="11" max="11" width="12.5" style="323" customWidth="1"/>
    <col min="12" max="16384" width="9" style="323"/>
  </cols>
  <sheetData>
    <row r="1" spans="1:11" s="321" customFormat="1" ht="17.25" customHeight="1" thickBot="1">
      <c r="A1" s="307"/>
      <c r="D1" s="252"/>
      <c r="E1" s="254"/>
      <c r="F1" s="253"/>
      <c r="G1" s="252"/>
      <c r="H1" s="252"/>
    </row>
    <row r="2" spans="1:11" s="321" customFormat="1" ht="17.25" customHeight="1" thickBot="1">
      <c r="A2" s="414" t="s">
        <v>1776</v>
      </c>
      <c r="B2" s="415" t="s">
        <v>1025</v>
      </c>
      <c r="C2" s="416">
        <f>'Invoice(SF米国)'!C2</f>
        <v>7953</v>
      </c>
      <c r="D2" s="323"/>
      <c r="E2" s="324"/>
      <c r="F2" s="368"/>
      <c r="H2" s="310" t="str">
        <f>'Invoice(SF米国)'!E12</f>
        <v>NY</v>
      </c>
    </row>
    <row r="3" spans="1:11" s="321" customFormat="1" ht="17.25" customHeight="1">
      <c r="A3" s="414" t="s">
        <v>1776</v>
      </c>
      <c r="B3" s="417" t="s">
        <v>1026</v>
      </c>
      <c r="C3" s="418" t="str">
        <f>'Invoice(SF米国)'!C3</f>
        <v>(SELECT) - 顧客名</v>
      </c>
      <c r="D3" s="933" t="s">
        <v>1809</v>
      </c>
      <c r="E3" s="934"/>
      <c r="H3" s="252"/>
    </row>
    <row r="4" spans="1:11" s="321" customFormat="1" ht="17.25" customHeight="1">
      <c r="A4" s="414" t="s">
        <v>1171</v>
      </c>
      <c r="B4" s="417" t="s">
        <v>1027</v>
      </c>
      <c r="C4" s="418" t="s">
        <v>1166</v>
      </c>
      <c r="D4" s="419" t="s">
        <v>1185</v>
      </c>
      <c r="E4" s="420" t="str">
        <f>'Invoice(SF米国)'!E4</f>
        <v>PO-02618 Punto Group</v>
      </c>
      <c r="H4" s="252"/>
    </row>
    <row r="5" spans="1:11" s="321" customFormat="1" ht="17.25" customHeight="1">
      <c r="A5" s="414" t="s">
        <v>1776</v>
      </c>
      <c r="B5" s="417" t="s">
        <v>1728</v>
      </c>
      <c r="C5" s="421">
        <f>'Invoice(SF米国)'!C5</f>
        <v>620</v>
      </c>
      <c r="D5" s="422" t="s">
        <v>1185</v>
      </c>
      <c r="E5" s="423" t="e">
        <f>MATCH(TEXT(E4,"@"),'NY BackOrder'!C:C,0)</f>
        <v>#N/A</v>
      </c>
      <c r="H5" s="252"/>
      <c r="I5" s="252"/>
      <c r="J5" s="252"/>
      <c r="K5" s="252"/>
    </row>
    <row r="6" spans="1:11" s="321" customFormat="1" ht="17.25" customHeight="1" thickBot="1">
      <c r="A6" s="414" t="s">
        <v>1776</v>
      </c>
      <c r="B6" s="417" t="s">
        <v>1729</v>
      </c>
      <c r="C6" s="421">
        <f>'Invoice(SF米国)'!C6</f>
        <v>622</v>
      </c>
      <c r="D6" s="424" t="s">
        <v>1165</v>
      </c>
      <c r="E6" s="425" t="e">
        <f>E5+COUNTIF('NY BackOrder'!C:C,TEXT(E4,"@"))-2</f>
        <v>#N/A</v>
      </c>
      <c r="H6" s="252"/>
      <c r="I6" s="252"/>
      <c r="J6" s="252"/>
      <c r="K6" s="252"/>
    </row>
    <row r="7" spans="1:11" s="321" customFormat="1" ht="17.25" customHeight="1" thickBot="1">
      <c r="A7" s="414" t="s">
        <v>1776</v>
      </c>
      <c r="B7" s="427" t="s">
        <v>1767</v>
      </c>
      <c r="C7" s="428">
        <f>'Invoice(SF米国)'!C7</f>
        <v>36</v>
      </c>
      <c r="D7" s="429"/>
      <c r="E7" s="430"/>
      <c r="F7" s="253"/>
      <c r="G7" s="252"/>
      <c r="H7" s="252"/>
      <c r="I7" s="252"/>
      <c r="J7" s="252"/>
      <c r="K7" s="252"/>
    </row>
    <row r="8" spans="1:11" s="321" customFormat="1" ht="17.25" hidden="1" customHeight="1" outlineLevel="1">
      <c r="A8" s="935" t="s">
        <v>1815</v>
      </c>
      <c r="B8" s="431" t="s">
        <v>1730</v>
      </c>
      <c r="C8" s="432">
        <f>C6-C5+C7</f>
        <v>38</v>
      </c>
      <c r="D8" s="433" t="s">
        <v>1154</v>
      </c>
      <c r="E8" s="434" t="str">
        <f>"Invoice "&amp;C2&amp;" (OSAKA)"</f>
        <v>Invoice 7953 (OSAKA)</v>
      </c>
      <c r="F8" s="252"/>
      <c r="G8" s="252"/>
      <c r="H8" s="252"/>
      <c r="I8" s="252"/>
      <c r="J8" s="252"/>
      <c r="K8" s="252"/>
    </row>
    <row r="9" spans="1:11" s="321" customFormat="1" ht="17.25" hidden="1" customHeight="1" outlineLevel="1">
      <c r="A9" s="936"/>
      <c r="B9" s="435" t="s">
        <v>1768</v>
      </c>
      <c r="C9" s="436">
        <f>'Invoice(SF米国)'!C9</f>
        <v>36</v>
      </c>
      <c r="D9" s="437" t="s">
        <v>1791</v>
      </c>
      <c r="E9" s="438" t="str">
        <f ca="1">'Invoice(SF米国)'!E9</f>
        <v>Invoice(SF米国)</v>
      </c>
      <c r="G9" s="252"/>
      <c r="H9" s="252"/>
      <c r="I9" s="252"/>
      <c r="J9" s="252"/>
      <c r="K9" s="252"/>
    </row>
    <row r="10" spans="1:11" s="321" customFormat="1" ht="17.25" hidden="1" customHeight="1" outlineLevel="1">
      <c r="A10" s="936"/>
      <c r="B10" s="435" t="s">
        <v>1769</v>
      </c>
      <c r="C10" s="436">
        <f>'Invoice(SF米国)'!C10</f>
        <v>68</v>
      </c>
      <c r="D10" s="437" t="s">
        <v>1792</v>
      </c>
      <c r="E10" s="439" t="str">
        <f ca="1">'Invoice(SF米国)'!E10</f>
        <v>Invoice(SF大阪)</v>
      </c>
      <c r="G10" s="252"/>
      <c r="H10" s="252"/>
      <c r="I10" s="252"/>
      <c r="J10" s="252"/>
      <c r="K10" s="252"/>
    </row>
    <row r="11" spans="1:11" s="321" customFormat="1" ht="17.25" hidden="1" customHeight="1" outlineLevel="1">
      <c r="A11" s="936"/>
      <c r="B11" s="440" t="s">
        <v>1816</v>
      </c>
      <c r="C11" s="441">
        <f>ROW(A69)</f>
        <v>69</v>
      </c>
      <c r="D11" s="442" t="s">
        <v>1793</v>
      </c>
      <c r="E11" s="439" t="str">
        <f ca="1">'Invoice(SF米国)'!E11</f>
        <v>NY BackOrder</v>
      </c>
    </row>
    <row r="12" spans="1:11" s="321" customFormat="1" ht="17.25" hidden="1" customHeight="1" outlineLevel="1" thickBot="1">
      <c r="A12" s="937"/>
      <c r="B12" s="443" t="s">
        <v>1817</v>
      </c>
      <c r="C12" s="444" t="str" cm="1">
        <f t="array" aca="1" ref="C12" ca="1">LEFT(MID(CELL("filename",A2),10,99),FIND("B",MID(CELL("filename",A2),10,99))-2)</f>
        <v>a.hamada</v>
      </c>
      <c r="D12" s="445" t="s">
        <v>1818</v>
      </c>
      <c r="E12" s="446" t="str">
        <f>'Invoice(SF米国)'!E12</f>
        <v>NY</v>
      </c>
      <c r="F12" s="369"/>
    </row>
    <row r="13" spans="1:11" s="321" customFormat="1" ht="17.25" customHeight="1" collapsed="1">
      <c r="A13" s="368"/>
      <c r="B13" s="368"/>
      <c r="C13" s="371"/>
      <c r="E13" s="322"/>
      <c r="F13" s="369"/>
    </row>
    <row r="14" spans="1:11" ht="18.75" customHeight="1">
      <c r="B14" s="940" t="s">
        <v>1156</v>
      </c>
      <c r="C14" s="941"/>
      <c r="D14" s="941"/>
      <c r="E14" s="941"/>
      <c r="F14" s="943" t="s">
        <v>1157</v>
      </c>
      <c r="G14" s="943"/>
      <c r="H14" s="943"/>
      <c r="I14" s="943"/>
      <c r="J14" s="943"/>
      <c r="K14" s="943"/>
    </row>
    <row r="15" spans="1:11" ht="18.75" customHeight="1">
      <c r="B15" s="941"/>
      <c r="C15" s="941"/>
      <c r="D15" s="941"/>
      <c r="E15" s="941"/>
      <c r="F15" s="943"/>
      <c r="G15" s="943"/>
      <c r="H15" s="943"/>
      <c r="I15" s="943"/>
      <c r="J15" s="943"/>
      <c r="K15" s="943"/>
    </row>
    <row r="16" spans="1:11" ht="18.75" customHeight="1">
      <c r="B16" s="941"/>
      <c r="C16" s="941"/>
      <c r="D16" s="941"/>
      <c r="E16" s="941"/>
      <c r="F16" s="373" t="s">
        <v>383</v>
      </c>
      <c r="G16" s="944">
        <f>C2</f>
        <v>7953</v>
      </c>
      <c r="H16" s="944"/>
      <c r="I16" s="944"/>
      <c r="J16" s="944"/>
      <c r="K16" s="944"/>
    </row>
    <row r="17" spans="2:11" ht="18.75" customHeight="1">
      <c r="B17" s="942"/>
      <c r="C17" s="942"/>
      <c r="D17" s="942"/>
      <c r="E17" s="942"/>
      <c r="F17" s="374" t="s">
        <v>384</v>
      </c>
      <c r="G17" s="363" t="s">
        <v>395</v>
      </c>
      <c r="H17" s="363" t="s">
        <v>1160</v>
      </c>
      <c r="I17" s="374" t="s">
        <v>385</v>
      </c>
      <c r="J17" s="945">
        <f ca="1">IF('Invoice(SF米国)'!J17="","",'Invoice(SF米国)'!J17)</f>
        <v>46094</v>
      </c>
      <c r="K17" s="945"/>
    </row>
    <row r="18" spans="2:11" ht="18.75" customHeight="1">
      <c r="B18" s="376" t="s">
        <v>371</v>
      </c>
      <c r="C18" s="377" t="str">
        <f>C3</f>
        <v>(SELECT) - 顧客名</v>
      </c>
      <c r="D18" s="378"/>
      <c r="E18" s="379"/>
      <c r="F18" s="380" t="s">
        <v>377</v>
      </c>
      <c r="G18" s="381"/>
      <c r="H18" s="382"/>
      <c r="I18" s="380" t="s">
        <v>380</v>
      </c>
      <c r="J18" s="381"/>
      <c r="K18" s="382"/>
    </row>
    <row r="19" spans="2:11" ht="18.75" customHeight="1">
      <c r="B19" s="360"/>
      <c r="C19" s="383" t="str">
        <f>IFERROR(VLOOKUP(C3,取引先マスタ!C:E,3,FALSE),"")</f>
        <v>ADDRESS 1</v>
      </c>
      <c r="D19" s="329"/>
      <c r="E19" s="330"/>
      <c r="F19" s="325"/>
      <c r="G19" s="326"/>
      <c r="H19" s="327"/>
      <c r="I19" s="325"/>
      <c r="J19" s="326"/>
      <c r="K19" s="327"/>
    </row>
    <row r="20" spans="2:11" ht="18.75" customHeight="1">
      <c r="B20" s="360"/>
      <c r="C20" s="383" t="str">
        <f>IFERROR(VLOOKUP(C3,取引先マスタ!C:F,4,FALSE),"")</f>
        <v>ADDRESS 2</v>
      </c>
      <c r="D20" s="329"/>
      <c r="E20" s="330"/>
      <c r="F20" s="380" t="s">
        <v>378</v>
      </c>
      <c r="G20" s="381"/>
      <c r="H20" s="382"/>
      <c r="I20" s="380" t="s">
        <v>379</v>
      </c>
      <c r="J20" s="381"/>
      <c r="K20" s="382"/>
    </row>
    <row r="21" spans="2:11" ht="18.75" customHeight="1">
      <c r="B21" s="360"/>
      <c r="C21" s="384" t="str">
        <f>IFERROR(IF(VLOOKUP(C3,取引先マスタ!C:G,5,FALSE)=0,"Country: ","Country: "&amp;VLOOKUP(C3,取引先マスタ!C:G,5,FALSE)),"")</f>
        <v>Country: COUNTRY</v>
      </c>
      <c r="D21" s="329" t="str">
        <f>IFERROR(IF(VLOOKUP(C3,取引先マスタ!C:D,2,FALSE)=0,"Zip Code: ","Zip Code: "&amp;VLOOKUP(C3,取引先マスタ!C:D,2,FALSE)),"")</f>
        <v>Zip Code: ZIP CODE</v>
      </c>
      <c r="E21" s="330"/>
      <c r="F21" s="325"/>
      <c r="G21" s="326"/>
      <c r="H21" s="327"/>
      <c r="I21" s="325"/>
      <c r="J21" s="326"/>
      <c r="K21" s="327"/>
    </row>
    <row r="22" spans="2:11" ht="18.75" customHeight="1">
      <c r="B22" s="360"/>
      <c r="C22" s="384" t="str">
        <f>IFERROR(IF(VLOOKUP(C3,取引先マスタ!C:H,6,FALSE)=0,"Tel: ",VLOOKUP(C3,取引先マスタ!C:H,6,FALSE)),"")</f>
        <v>TEL</v>
      </c>
      <c r="D22" s="329" t="str">
        <f>IFERROR(IF(VLOOKUP(C3,取引先マスタ!C:I,7,FALSE)=0,"Attn: ","Attn: "&amp;VLOOKUP(C3,取引先マスタ!C:I,7,FALSE)),"")</f>
        <v>Attn: ATTENTION</v>
      </c>
      <c r="E22" s="330"/>
      <c r="F22" s="380" t="s">
        <v>373</v>
      </c>
      <c r="G22" s="381"/>
      <c r="H22" s="381"/>
      <c r="I22" s="381"/>
      <c r="J22" s="381"/>
      <c r="K22" s="382"/>
    </row>
    <row r="23" spans="2:11" ht="18.75" customHeight="1">
      <c r="B23" s="362"/>
      <c r="C23" s="366"/>
      <c r="D23" s="326"/>
      <c r="E23" s="327"/>
      <c r="F23" s="385" t="s">
        <v>374</v>
      </c>
      <c r="G23" s="328" t="s">
        <v>1172</v>
      </c>
      <c r="H23" s="329"/>
      <c r="I23" s="329"/>
      <c r="J23" s="329"/>
      <c r="K23" s="330"/>
    </row>
    <row r="24" spans="2:11" ht="18.75" customHeight="1">
      <c r="B24" s="376" t="s">
        <v>370</v>
      </c>
      <c r="C24" s="377" t="str">
        <f>C4</f>
        <v>SUN FASHION AMERICA, INC.</v>
      </c>
      <c r="D24" s="378"/>
      <c r="E24" s="379"/>
      <c r="F24" s="385" t="s">
        <v>375</v>
      </c>
      <c r="G24" s="328" t="s">
        <v>1173</v>
      </c>
      <c r="H24" s="329"/>
      <c r="I24" s="329"/>
      <c r="J24" s="329"/>
      <c r="K24" s="330"/>
    </row>
    <row r="25" spans="2:11" ht="18.75" customHeight="1">
      <c r="B25" s="360"/>
      <c r="C25" s="383" t="str">
        <f>IFERROR(VLOOKUP(C4,取引先マスタ!C:E,3,FALSE),"")</f>
        <v>265 West 37th Street 7th Floor</v>
      </c>
      <c r="D25" s="329"/>
      <c r="E25" s="330"/>
      <c r="F25" s="385" t="s">
        <v>332</v>
      </c>
      <c r="G25" s="328" t="s">
        <v>1174</v>
      </c>
      <c r="H25" s="329"/>
      <c r="I25" s="329"/>
      <c r="J25" s="329"/>
      <c r="K25" s="330"/>
    </row>
    <row r="26" spans="2:11" ht="18.75" customHeight="1">
      <c r="B26" s="360"/>
      <c r="C26" s="383" t="str">
        <f>IFERROR(VLOOKUP(C4,取引先マスタ!C:F,4,FALSE),"")</f>
        <v>New York, NY</v>
      </c>
      <c r="D26" s="329"/>
      <c r="E26" s="330"/>
      <c r="F26" s="385" t="s">
        <v>376</v>
      </c>
      <c r="G26" s="328" t="s">
        <v>1175</v>
      </c>
      <c r="H26" s="329"/>
      <c r="I26" s="329"/>
      <c r="J26" s="329"/>
      <c r="K26" s="330"/>
    </row>
    <row r="27" spans="2:11" ht="18.75" customHeight="1">
      <c r="B27" s="360"/>
      <c r="C27" s="384" t="str">
        <f>IFERROR(IF(VLOOKUP(C4,取引先マスタ!C:G,5,FALSE)=0,"Country: ","Country: "&amp;VLOOKUP(C4,取引先マスタ!C:G,5,FALSE)),"")</f>
        <v>Country: U.S.A.</v>
      </c>
      <c r="D27" s="329" t="str">
        <f>IFERROR(IF(VLOOKUP(C4,取引先マスタ!C:D,2,FALSE)=0,"Zip Code: ","Zip Code: "&amp;VLOOKUP(C4,取引先マスタ!C:D,2,FALSE)),"")</f>
        <v>Zip Code: 10018</v>
      </c>
      <c r="E27" s="330"/>
      <c r="F27" s="325" t="s">
        <v>382</v>
      </c>
      <c r="G27" s="331" t="s">
        <v>1176</v>
      </c>
      <c r="H27" s="326"/>
      <c r="I27" s="332" t="s">
        <v>381</v>
      </c>
      <c r="J27" s="332" t="s">
        <v>1177</v>
      </c>
      <c r="K27" s="327"/>
    </row>
    <row r="28" spans="2:11" ht="18.75" customHeight="1">
      <c r="B28" s="360"/>
      <c r="C28" s="384" t="str">
        <f>IFERROR(IF(VLOOKUP(C4,取引先マスタ!C:H,6,FALSE)=0,"Tel: ",VLOOKUP(C4,取引先マスタ!C:H,6,FALSE)),"")</f>
        <v>Tel: 1-845-633-2131</v>
      </c>
      <c r="D28" s="329" t="str">
        <f>IFERROR(IF(VLOOKUP(C4,取引先マスタ!C:I,7,FALSE)=0,"Attn: ","Attn: "&amp;VLOOKUP(C4,取引先マスタ!C:I,7,FALSE)),"")</f>
        <v>Attn: Mie Kobayashi</v>
      </c>
      <c r="E28" s="330"/>
      <c r="F28" s="380" t="s">
        <v>372</v>
      </c>
      <c r="G28" s="381"/>
      <c r="H28" s="381"/>
      <c r="I28" s="381"/>
      <c r="J28" s="381"/>
      <c r="K28" s="382"/>
    </row>
    <row r="29" spans="2:11" ht="18.75" customHeight="1">
      <c r="B29" s="360"/>
      <c r="C29" s="366"/>
      <c r="D29" s="326"/>
      <c r="E29" s="327"/>
      <c r="F29" s="979" t="s">
        <v>1178</v>
      </c>
      <c r="G29" s="980"/>
      <c r="H29" s="406"/>
      <c r="I29" s="406"/>
      <c r="J29" s="406"/>
      <c r="K29" s="393"/>
    </row>
    <row r="30" spans="2:11" ht="18.75" customHeight="1">
      <c r="B30" s="380" t="s">
        <v>363</v>
      </c>
      <c r="C30" s="386"/>
      <c r="D30" s="380" t="s">
        <v>364</v>
      </c>
      <c r="E30" s="387"/>
      <c r="F30" s="380" t="s">
        <v>366</v>
      </c>
      <c r="G30" s="388"/>
      <c r="H30" s="386"/>
      <c r="I30" s="380" t="s">
        <v>368</v>
      </c>
      <c r="J30" s="389"/>
      <c r="K30" s="390"/>
    </row>
    <row r="31" spans="2:11" ht="18.75" customHeight="1">
      <c r="B31" s="407" t="str">
        <f>'Invoice(SF米国)'!B31</f>
        <v>(SELECT)</v>
      </c>
      <c r="C31" s="327"/>
      <c r="D31" s="960" t="str">
        <f>IF('Invoice(SF米国)'!D31="","",'Invoice(SF米国)'!D31)</f>
        <v>Osaka, Japan</v>
      </c>
      <c r="E31" s="961"/>
      <c r="F31" s="982">
        <f ca="1">J17</f>
        <v>46094</v>
      </c>
      <c r="G31" s="983"/>
      <c r="H31" s="961"/>
      <c r="I31" s="391" t="s">
        <v>389</v>
      </c>
      <c r="J31" s="392" t="str">
        <f>IF('Invoice(SF米国)'!J31="","",'Invoice(SF米国)'!J31)</f>
        <v/>
      </c>
      <c r="K31" s="393"/>
    </row>
    <row r="32" spans="2:11" ht="18.75" customHeight="1">
      <c r="B32" s="380" t="s">
        <v>362</v>
      </c>
      <c r="C32" s="386"/>
      <c r="D32" s="380" t="s">
        <v>365</v>
      </c>
      <c r="E32" s="387"/>
      <c r="F32" s="380" t="s">
        <v>367</v>
      </c>
      <c r="G32" s="388"/>
      <c r="H32" s="386"/>
      <c r="I32" s="408"/>
      <c r="J32" s="409"/>
      <c r="K32" s="410"/>
    </row>
    <row r="33" spans="2:11" ht="18.75" customHeight="1" thickBot="1">
      <c r="B33" s="938" t="str">
        <f>IF('Invoice(SF米国)'!B33="","",'Invoice(SF米国)'!B33)</f>
        <v>New York, U.S.A</v>
      </c>
      <c r="C33" s="939"/>
      <c r="D33" s="938" t="str">
        <f>IF('Invoice(SF米国)'!D33="","",'Invoice(SF米国)'!D33)</f>
        <v>New York, U.S.A</v>
      </c>
      <c r="E33" s="939"/>
      <c r="F33" s="948" t="str">
        <f>IF('Invoice(SF米国)'!F33="","",'Invoice(SF米国)'!F33)</f>
        <v>-</v>
      </c>
      <c r="G33" s="949"/>
      <c r="H33" s="950"/>
      <c r="I33" s="394" t="s">
        <v>369</v>
      </c>
      <c r="J33" s="984" t="s">
        <v>1179</v>
      </c>
      <c r="K33" s="985"/>
    </row>
    <row r="34" spans="2:11" ht="18.75" customHeight="1" thickTop="1">
      <c r="B34" s="986" t="s">
        <v>356</v>
      </c>
      <c r="C34" s="969" t="s">
        <v>390</v>
      </c>
      <c r="D34" s="969"/>
      <c r="E34" s="969"/>
      <c r="F34" s="970" t="s">
        <v>391</v>
      </c>
      <c r="G34" s="971"/>
      <c r="H34" s="972"/>
      <c r="I34" s="987" t="s">
        <v>360</v>
      </c>
      <c r="J34" s="988" t="s">
        <v>361</v>
      </c>
      <c r="K34" s="981" t="s">
        <v>253</v>
      </c>
    </row>
    <row r="35" spans="2:11" ht="18.75" customHeight="1" thickBot="1">
      <c r="B35" s="966"/>
      <c r="C35" s="395" t="s">
        <v>256</v>
      </c>
      <c r="D35" s="395" t="s">
        <v>32</v>
      </c>
      <c r="E35" s="396" t="s">
        <v>33</v>
      </c>
      <c r="F35" s="395" t="s">
        <v>357</v>
      </c>
      <c r="G35" s="395" t="s">
        <v>358</v>
      </c>
      <c r="H35" s="395" t="s">
        <v>359</v>
      </c>
      <c r="I35" s="956"/>
      <c r="J35" s="954"/>
      <c r="K35" s="952"/>
    </row>
    <row r="36" spans="2:11" ht="18.75" customHeight="1" thickTop="1">
      <c r="B36" s="333" t="s">
        <v>3055</v>
      </c>
      <c r="C36" s="334" t="s">
        <v>3052</v>
      </c>
      <c r="D36" s="783"/>
      <c r="E36" s="335"/>
      <c r="F36" s="784"/>
      <c r="G36" s="831"/>
      <c r="H36" s="832"/>
      <c r="I36" s="833"/>
      <c r="J36" s="833"/>
      <c r="K36" s="833"/>
    </row>
    <row r="37" spans="2:11" ht="18.75" customHeight="1">
      <c r="B37" s="336" t="s">
        <v>3055</v>
      </c>
      <c r="C37" s="337">
        <v>1100</v>
      </c>
      <c r="D37" s="785">
        <v>20</v>
      </c>
      <c r="E37" s="338" t="s">
        <v>3051</v>
      </c>
      <c r="F37" s="345">
        <v>30</v>
      </c>
      <c r="G37" s="344">
        <v>20</v>
      </c>
      <c r="H37" s="341">
        <v>600</v>
      </c>
      <c r="I37" s="343">
        <v>23.22</v>
      </c>
      <c r="J37" s="343">
        <v>464.4</v>
      </c>
      <c r="K37" s="340" t="s">
        <v>3046</v>
      </c>
    </row>
    <row r="38" spans="2:11" ht="18.75" customHeight="1">
      <c r="B38" s="336" t="s">
        <v>3055</v>
      </c>
      <c r="C38" s="337"/>
      <c r="D38" s="785"/>
      <c r="E38" s="338" t="s">
        <v>279</v>
      </c>
      <c r="F38" s="341"/>
      <c r="G38" s="339"/>
      <c r="H38" s="342">
        <v>1</v>
      </c>
      <c r="I38" s="343">
        <v>12</v>
      </c>
      <c r="J38" s="343">
        <v>12</v>
      </c>
      <c r="K38" s="340"/>
    </row>
    <row r="39" spans="2:11" ht="18.75" customHeight="1">
      <c r="B39" s="336"/>
      <c r="C39" s="337"/>
      <c r="D39" s="785"/>
      <c r="E39" s="338"/>
      <c r="F39" s="345"/>
      <c r="G39" s="344"/>
      <c r="H39" s="341"/>
      <c r="I39" s="343"/>
      <c r="J39" s="343"/>
      <c r="K39" s="340"/>
    </row>
    <row r="40" spans="2:11" ht="18.75" customHeight="1">
      <c r="B40" s="336"/>
      <c r="C40" s="337"/>
      <c r="D40" s="785"/>
      <c r="E40" s="338"/>
      <c r="F40" s="345"/>
      <c r="G40" s="344"/>
      <c r="H40" s="341"/>
      <c r="I40" s="343"/>
      <c r="J40" s="343"/>
      <c r="K40" s="340"/>
    </row>
    <row r="41" spans="2:11" ht="18.75" customHeight="1">
      <c r="B41" s="336"/>
      <c r="C41" s="337"/>
      <c r="D41" s="785"/>
      <c r="E41" s="338"/>
      <c r="F41" s="341"/>
      <c r="G41" s="339"/>
      <c r="H41" s="342"/>
      <c r="I41" s="343"/>
      <c r="J41" s="343"/>
      <c r="K41" s="340"/>
    </row>
    <row r="42" spans="2:11" ht="18.75" customHeight="1">
      <c r="B42" s="336"/>
      <c r="C42" s="337"/>
      <c r="D42" s="785"/>
      <c r="E42" s="338"/>
      <c r="F42" s="345"/>
      <c r="G42" s="344"/>
      <c r="H42" s="341"/>
      <c r="I42" s="343"/>
      <c r="J42" s="343"/>
      <c r="K42" s="340"/>
    </row>
    <row r="43" spans="2:11" ht="18.75" customHeight="1">
      <c r="B43" s="336"/>
      <c r="C43" s="337"/>
      <c r="D43" s="785"/>
      <c r="E43" s="338"/>
      <c r="F43" s="345"/>
      <c r="G43" s="344"/>
      <c r="H43" s="341"/>
      <c r="I43" s="343"/>
      <c r="J43" s="343"/>
      <c r="K43" s="340"/>
    </row>
    <row r="44" spans="2:11" ht="18.75" customHeight="1">
      <c r="B44" s="336"/>
      <c r="C44" s="337"/>
      <c r="D44" s="785"/>
      <c r="E44" s="338"/>
      <c r="F44" s="345"/>
      <c r="G44" s="344"/>
      <c r="H44" s="341"/>
      <c r="I44" s="343"/>
      <c r="J44" s="343"/>
      <c r="K44" s="340"/>
    </row>
    <row r="45" spans="2:11" ht="18.75" customHeight="1">
      <c r="B45" s="336"/>
      <c r="C45" s="337"/>
      <c r="D45" s="785"/>
      <c r="E45" s="338"/>
      <c r="F45" s="345"/>
      <c r="G45" s="344"/>
      <c r="H45" s="341"/>
      <c r="I45" s="343"/>
      <c r="J45" s="343"/>
      <c r="K45" s="340"/>
    </row>
    <row r="46" spans="2:11" ht="18.75" customHeight="1">
      <c r="B46" s="336"/>
      <c r="C46" s="337"/>
      <c r="D46" s="785"/>
      <c r="E46" s="338"/>
      <c r="F46" s="345"/>
      <c r="G46" s="344"/>
      <c r="H46" s="341"/>
      <c r="I46" s="343"/>
      <c r="J46" s="343"/>
      <c r="K46" s="340"/>
    </row>
    <row r="47" spans="2:11" ht="18.75" customHeight="1">
      <c r="B47" s="336"/>
      <c r="C47" s="337"/>
      <c r="D47" s="785"/>
      <c r="E47" s="338"/>
      <c r="F47" s="345"/>
      <c r="G47" s="344"/>
      <c r="H47" s="341"/>
      <c r="I47" s="343"/>
      <c r="J47" s="343"/>
      <c r="K47" s="340"/>
    </row>
    <row r="48" spans="2:11" ht="18.75" customHeight="1">
      <c r="B48" s="336"/>
      <c r="C48" s="337"/>
      <c r="D48" s="785"/>
      <c r="E48" s="338"/>
      <c r="F48" s="341"/>
      <c r="G48" s="339"/>
      <c r="H48" s="342"/>
      <c r="I48" s="343"/>
      <c r="J48" s="343"/>
      <c r="K48" s="340"/>
    </row>
    <row r="49" spans="2:11" ht="18.75" customHeight="1">
      <c r="B49" s="336"/>
      <c r="C49" s="337"/>
      <c r="D49" s="785"/>
      <c r="E49" s="338"/>
      <c r="F49" s="345"/>
      <c r="G49" s="344"/>
      <c r="H49" s="341"/>
      <c r="I49" s="343"/>
      <c r="J49" s="343"/>
      <c r="K49" s="340"/>
    </row>
    <row r="50" spans="2:11" ht="18.75" customHeight="1">
      <c r="B50" s="336"/>
      <c r="C50" s="337"/>
      <c r="D50" s="785"/>
      <c r="E50" s="338"/>
      <c r="F50" s="345"/>
      <c r="G50" s="344"/>
      <c r="H50" s="341"/>
      <c r="I50" s="343"/>
      <c r="J50" s="343"/>
      <c r="K50" s="340"/>
    </row>
    <row r="51" spans="2:11" ht="18.75" customHeight="1">
      <c r="B51" s="336"/>
      <c r="C51" s="337"/>
      <c r="D51" s="785"/>
      <c r="E51" s="338"/>
      <c r="F51" s="345"/>
      <c r="G51" s="344"/>
      <c r="H51" s="341"/>
      <c r="I51" s="343"/>
      <c r="J51" s="343"/>
      <c r="K51" s="340"/>
    </row>
    <row r="52" spans="2:11" ht="18.75" customHeight="1">
      <c r="B52" s="336"/>
      <c r="C52" s="337"/>
      <c r="D52" s="785"/>
      <c r="E52" s="338"/>
      <c r="F52" s="345"/>
      <c r="G52" s="344"/>
      <c r="H52" s="341"/>
      <c r="I52" s="343"/>
      <c r="J52" s="343"/>
      <c r="K52" s="340"/>
    </row>
    <row r="53" spans="2:11" ht="18.75" customHeight="1">
      <c r="B53" s="336"/>
      <c r="C53" s="337"/>
      <c r="D53" s="785"/>
      <c r="E53" s="338"/>
      <c r="F53" s="345"/>
      <c r="G53" s="344"/>
      <c r="H53" s="341"/>
      <c r="I53" s="343"/>
      <c r="J53" s="343"/>
      <c r="K53" s="340"/>
    </row>
    <row r="54" spans="2:11" ht="18.75" customHeight="1">
      <c r="B54" s="336"/>
      <c r="C54" s="337"/>
      <c r="D54" s="785"/>
      <c r="E54" s="338"/>
      <c r="F54" s="345"/>
      <c r="G54" s="344"/>
      <c r="H54" s="341"/>
      <c r="I54" s="343"/>
      <c r="J54" s="343"/>
      <c r="K54" s="340"/>
    </row>
    <row r="55" spans="2:11" ht="18.75" customHeight="1">
      <c r="B55" s="336"/>
      <c r="C55" s="337"/>
      <c r="D55" s="785"/>
      <c r="E55" s="338"/>
      <c r="F55" s="345"/>
      <c r="G55" s="344"/>
      <c r="H55" s="341"/>
      <c r="I55" s="343"/>
      <c r="J55" s="343"/>
      <c r="K55" s="340"/>
    </row>
    <row r="56" spans="2:11" ht="18.75" customHeight="1">
      <c r="B56" s="336"/>
      <c r="C56" s="337"/>
      <c r="D56" s="785"/>
      <c r="E56" s="338"/>
      <c r="F56" s="345"/>
      <c r="G56" s="344"/>
      <c r="H56" s="341"/>
      <c r="I56" s="343"/>
      <c r="J56" s="343"/>
      <c r="K56" s="340"/>
    </row>
    <row r="57" spans="2:11" ht="18.75" customHeight="1">
      <c r="B57" s="336"/>
      <c r="C57" s="337"/>
      <c r="D57" s="785"/>
      <c r="E57" s="338"/>
      <c r="F57" s="345"/>
      <c r="G57" s="344"/>
      <c r="H57" s="341"/>
      <c r="I57" s="343"/>
      <c r="J57" s="343"/>
      <c r="K57" s="340"/>
    </row>
    <row r="58" spans="2:11" ht="18.75" customHeight="1">
      <c r="B58" s="336"/>
      <c r="C58" s="337"/>
      <c r="D58" s="785"/>
      <c r="E58" s="338"/>
      <c r="F58" s="345"/>
      <c r="G58" s="344"/>
      <c r="H58" s="341"/>
      <c r="I58" s="343"/>
      <c r="J58" s="343"/>
      <c r="K58" s="340"/>
    </row>
    <row r="59" spans="2:11" ht="18.75" customHeight="1">
      <c r="B59" s="336"/>
      <c r="C59" s="337"/>
      <c r="D59" s="785"/>
      <c r="E59" s="338"/>
      <c r="F59" s="345"/>
      <c r="G59" s="344"/>
      <c r="H59" s="341"/>
      <c r="I59" s="343"/>
      <c r="J59" s="343"/>
      <c r="K59" s="340"/>
    </row>
    <row r="60" spans="2:11" ht="18.75" customHeight="1">
      <c r="B60" s="336"/>
      <c r="C60" s="337"/>
      <c r="D60" s="785"/>
      <c r="E60" s="338"/>
      <c r="F60" s="345"/>
      <c r="G60" s="344"/>
      <c r="H60" s="341"/>
      <c r="I60" s="343"/>
      <c r="J60" s="343"/>
      <c r="K60" s="340"/>
    </row>
    <row r="61" spans="2:11" ht="18.75" customHeight="1">
      <c r="B61" s="336"/>
      <c r="C61" s="337"/>
      <c r="D61" s="785"/>
      <c r="E61" s="338"/>
      <c r="F61" s="345"/>
      <c r="G61" s="344"/>
      <c r="H61" s="341"/>
      <c r="I61" s="343"/>
      <c r="J61" s="343"/>
      <c r="K61" s="340"/>
    </row>
    <row r="62" spans="2:11" ht="18.75" customHeight="1">
      <c r="B62" s="336"/>
      <c r="C62" s="337"/>
      <c r="D62" s="785"/>
      <c r="E62" s="338"/>
      <c r="F62" s="345"/>
      <c r="G62" s="344"/>
      <c r="H62" s="341"/>
      <c r="I62" s="343"/>
      <c r="J62" s="343"/>
      <c r="K62" s="340"/>
    </row>
    <row r="63" spans="2:11" ht="18.75" customHeight="1">
      <c r="B63" s="336"/>
      <c r="C63" s="337"/>
      <c r="D63" s="785"/>
      <c r="E63" s="338"/>
      <c r="F63" s="345"/>
      <c r="G63" s="344"/>
      <c r="H63" s="341"/>
      <c r="I63" s="343"/>
      <c r="J63" s="343"/>
      <c r="K63" s="340"/>
    </row>
    <row r="64" spans="2:11" ht="18.75" customHeight="1">
      <c r="B64" s="336"/>
      <c r="C64" s="337"/>
      <c r="D64" s="785"/>
      <c r="E64" s="338"/>
      <c r="F64" s="345"/>
      <c r="G64" s="344"/>
      <c r="H64" s="341"/>
      <c r="I64" s="343"/>
      <c r="J64" s="343"/>
      <c r="K64" s="340"/>
    </row>
    <row r="65" spans="1:11" ht="18.75" customHeight="1">
      <c r="B65" s="336"/>
      <c r="C65" s="337"/>
      <c r="D65" s="785"/>
      <c r="E65" s="338"/>
      <c r="F65" s="345"/>
      <c r="G65" s="344"/>
      <c r="H65" s="341"/>
      <c r="I65" s="343"/>
      <c r="J65" s="343"/>
      <c r="K65" s="340"/>
    </row>
    <row r="66" spans="1:11" ht="18.75" customHeight="1">
      <c r="B66" s="336"/>
      <c r="C66" s="337"/>
      <c r="D66" s="785"/>
      <c r="E66" s="338"/>
      <c r="F66" s="345"/>
      <c r="G66" s="344"/>
      <c r="H66" s="341"/>
      <c r="I66" s="343"/>
      <c r="J66" s="343"/>
      <c r="K66" s="340"/>
    </row>
    <row r="67" spans="1:11" ht="18.75" customHeight="1">
      <c r="B67" s="336"/>
      <c r="C67" s="337"/>
      <c r="D67" s="785"/>
      <c r="E67" s="338"/>
      <c r="F67" s="345"/>
      <c r="G67" s="344"/>
      <c r="H67" s="341"/>
      <c r="I67" s="343"/>
      <c r="J67" s="343"/>
      <c r="K67" s="340"/>
    </row>
    <row r="68" spans="1:11" ht="18.75" customHeight="1">
      <c r="B68" s="799"/>
      <c r="C68" s="347"/>
      <c r="D68" s="801"/>
      <c r="E68" s="348"/>
      <c r="F68" s="802"/>
      <c r="G68" s="803"/>
      <c r="H68" s="804"/>
      <c r="I68" s="924"/>
      <c r="J68" s="924"/>
      <c r="K68" s="805"/>
    </row>
    <row r="69" spans="1:11" ht="18.75" customHeight="1">
      <c r="A69" s="453" t="s">
        <v>1820</v>
      </c>
      <c r="G69" s="402"/>
      <c r="H69" s="350" t="s">
        <v>1162</v>
      </c>
      <c r="I69" s="351" t="s">
        <v>1993</v>
      </c>
      <c r="J69" s="352">
        <f>SUM(J37:J59)</f>
        <v>476.4</v>
      </c>
    </row>
    <row r="70" spans="1:11" ht="18.75" customHeight="1">
      <c r="B70" s="403" t="s">
        <v>346</v>
      </c>
      <c r="D70" s="374" t="s">
        <v>393</v>
      </c>
      <c r="G70" s="402"/>
      <c r="H70" s="353" t="str" cm="1">
        <f t="array" ref="H70">IF(OR(SUMPRODUCT((K36:K68&lt;&gt;"")/COUNTIF(K36:K68,K36:K68&amp;""))=1,SUMPRODUCT((K36:K68&lt;&gt;"")/COUNTIF(K36:K68,K36:K68&amp;""))=0),"","Made In")</f>
        <v/>
      </c>
      <c r="I70" s="330"/>
      <c r="J70" s="346" t="str">
        <f>IFERROR(IF(I70="","",SUMIF(K36:K68,I70,J36:J68)),"")</f>
        <v/>
      </c>
    </row>
    <row r="71" spans="1:11" ht="18.75" customHeight="1">
      <c r="B71" s="404" t="s">
        <v>347</v>
      </c>
      <c r="D71" s="405" t="s">
        <v>2963</v>
      </c>
      <c r="E71" s="324" t="s">
        <v>2966</v>
      </c>
      <c r="G71" s="402"/>
      <c r="H71" s="354" t="str" cm="1">
        <f t="array" ref="H71">IF(SUMPRODUCT((K36:K68&lt;&gt;"")/COUNTIF(K36:K68,K36:K68&amp;""))&lt;&gt;3,"","Made In")</f>
        <v/>
      </c>
      <c r="I71" s="327"/>
      <c r="J71" s="349" t="str">
        <f>IFERROR(IF(I71="","",SUMIF(K37:K69,I71,J37:J69)),"")</f>
        <v/>
      </c>
    </row>
    <row r="72" spans="1:11" ht="18.75" customHeight="1" thickBot="1">
      <c r="B72" s="404" t="s">
        <v>348</v>
      </c>
      <c r="D72" s="402" t="s">
        <v>2964</v>
      </c>
      <c r="H72" s="964" t="s">
        <v>1155</v>
      </c>
      <c r="I72" s="964"/>
      <c r="J72" s="355">
        <f>'Invoice(SF米国)'!J72</f>
        <v>0</v>
      </c>
    </row>
    <row r="73" spans="1:11" ht="18.75" customHeight="1" thickBot="1">
      <c r="B73" s="404" t="s">
        <v>349</v>
      </c>
      <c r="D73" s="402" t="s">
        <v>394</v>
      </c>
      <c r="E73" s="324" t="s">
        <v>2967</v>
      </c>
      <c r="H73" s="977" t="s">
        <v>392</v>
      </c>
      <c r="I73" s="978"/>
      <c r="J73" s="412">
        <f>J69+J60</f>
        <v>476.4</v>
      </c>
    </row>
    <row r="74" spans="1:11" ht="18.75" customHeight="1">
      <c r="B74" s="404" t="s">
        <v>350</v>
      </c>
      <c r="D74" s="402" t="s">
        <v>2965</v>
      </c>
      <c r="E74" s="324" t="s">
        <v>2968</v>
      </c>
    </row>
    <row r="76" spans="1:11" ht="18.75" customHeight="1">
      <c r="B76" s="404" t="s">
        <v>1030</v>
      </c>
      <c r="H76" s="403" t="s">
        <v>1161</v>
      </c>
    </row>
    <row r="77" spans="1:11" ht="18.75" customHeight="1">
      <c r="B77" s="356"/>
      <c r="C77" s="357"/>
      <c r="D77" s="357"/>
      <c r="E77" s="358"/>
      <c r="F77" s="359"/>
    </row>
    <row r="78" spans="1:11" ht="18.75" customHeight="1">
      <c r="B78" s="360"/>
      <c r="F78" s="361"/>
    </row>
    <row r="79" spans="1:11" ht="18.75" customHeight="1">
      <c r="B79" s="360"/>
      <c r="F79" s="361"/>
    </row>
    <row r="80" spans="1:11" ht="18.75" customHeight="1">
      <c r="B80" s="362"/>
      <c r="C80" s="363"/>
      <c r="D80" s="363"/>
      <c r="E80" s="364"/>
      <c r="F80" s="365"/>
      <c r="H80" s="363"/>
      <c r="I80" s="363"/>
      <c r="J80" s="363"/>
      <c r="K80" s="363"/>
    </row>
  </sheetData>
  <mergeCells count="21">
    <mergeCell ref="B14:E17"/>
    <mergeCell ref="F14:K15"/>
    <mergeCell ref="G16:K16"/>
    <mergeCell ref="J17:K17"/>
    <mergeCell ref="D3:E3"/>
    <mergeCell ref="A8:A12"/>
    <mergeCell ref="H72:I72"/>
    <mergeCell ref="H73:I73"/>
    <mergeCell ref="F29:G29"/>
    <mergeCell ref="K34:K35"/>
    <mergeCell ref="D31:E31"/>
    <mergeCell ref="F31:H31"/>
    <mergeCell ref="B33:C33"/>
    <mergeCell ref="D33:E33"/>
    <mergeCell ref="F33:H33"/>
    <mergeCell ref="J33:K33"/>
    <mergeCell ref="B34:B35"/>
    <mergeCell ref="C34:E34"/>
    <mergeCell ref="F34:H34"/>
    <mergeCell ref="I34:I35"/>
    <mergeCell ref="J34:J35"/>
  </mergeCells>
  <phoneticPr fontId="3"/>
  <conditionalFormatting sqref="B31">
    <cfRule type="expression" dxfId="27" priority="11" stopIfTrue="1">
      <formula>$B$31="(SELECT)"</formula>
    </cfRule>
  </conditionalFormatting>
  <conditionalFormatting sqref="J33:K33 B33:H33 D31:E31 C34 F34">
    <cfRule type="containsBlanks" dxfId="26" priority="14" stopIfTrue="1">
      <formula>LEN(TRIM(B31))=0</formula>
    </cfRule>
  </conditionalFormatting>
  <conditionalFormatting sqref="C31">
    <cfRule type="expression" dxfId="25" priority="7" stopIfTrue="1">
      <formula>$B$31="Vessel"</formula>
    </cfRule>
    <cfRule type="expression" dxfId="24" priority="8" stopIfTrue="1">
      <formula>$B$31="AIR"</formula>
    </cfRule>
    <cfRule type="expression" dxfId="23" priority="9" stopIfTrue="1">
      <formula>$B$31="Other"</formula>
    </cfRule>
  </conditionalFormatting>
  <conditionalFormatting sqref="J17:K17">
    <cfRule type="containsBlanks" dxfId="22" priority="4" stopIfTrue="1">
      <formula>LEN(TRIM(J17))=0</formula>
    </cfRule>
  </conditionalFormatting>
  <conditionalFormatting sqref="C18:C20 C24:C26 C21:D22 C27:D28">
    <cfRule type="containsBlanks" dxfId="21" priority="3" stopIfTrue="1">
      <formula>LEN(TRIM(C18))=0</formula>
    </cfRule>
  </conditionalFormatting>
  <conditionalFormatting sqref="F29">
    <cfRule type="expression" dxfId="20" priority="2" stopIfTrue="1">
      <formula>$F$29="(SELECT)"</formula>
    </cfRule>
  </conditionalFormatting>
  <conditionalFormatting sqref="F31:H31">
    <cfRule type="containsBlanks" dxfId="19" priority="1" stopIfTrue="1">
      <formula>LEN(TRIM(F31))=0</formula>
    </cfRule>
  </conditionalFormatting>
  <dataValidations count="1">
    <dataValidation type="list" allowBlank="1" showInputMessage="1" showErrorMessage="1" sqref="B31" xr:uid="{00000000-0002-0000-0300-000001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Option Button 3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228600</xdr:rowOff>
                  </from>
                  <to>
                    <xdr:col>6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Option Button 4">
              <controlPr defaultSize="0" autoFill="0" autoLine="0" autoPict="0">
                <anchor moveWithCells="1">
                  <from>
                    <xdr:col>6</xdr:col>
                    <xdr:colOff>914400</xdr:colOff>
                    <xdr:row>15</xdr:row>
                    <xdr:rowOff>228600</xdr:rowOff>
                  </from>
                  <to>
                    <xdr:col>7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Button 11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Button 12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Button 13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Button 14">
              <controlPr defaultSize="0" print="0" autoFill="0" autoPict="0" macro="[0]!改行設定大阪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stopIfTrue="1" id="{00000000-000E-0000-0400-000005000000}">
            <xm:f>COUNTIF('Invoice(SF米国)'!$I47,"*per*")</xm:f>
            <x14:dxf>
              <font>
                <b/>
                <i val="0"/>
              </font>
            </x14:dxf>
          </x14:cfRule>
          <xm:sqref>C42:K52</xm:sqref>
        </x14:conditionalFormatting>
        <x14:conditionalFormatting xmlns:xm="http://schemas.microsoft.com/office/excel/2006/main">
          <x14:cfRule type="expression" priority="21" stopIfTrue="1" id="{00000000-000E-0000-0400-000005000000}">
            <xm:f>COUNTIF('Invoice(SF米国)'!$I36,"*per*")</xm:f>
            <x14:dxf>
              <font>
                <b/>
                <i val="0"/>
              </font>
            </x14:dxf>
          </x14:cfRule>
          <xm:sqref>C68:K68 C40:K41 C36:K38 C53:K64</xm:sqref>
        </x14:conditionalFormatting>
        <x14:conditionalFormatting xmlns:xm="http://schemas.microsoft.com/office/excel/2006/main">
          <x14:cfRule type="expression" priority="22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C67:K67</xm:sqref>
        </x14:conditionalFormatting>
        <x14:conditionalFormatting xmlns:xm="http://schemas.microsoft.com/office/excel/2006/main">
          <x14:cfRule type="expression" priority="31" stopIfTrue="1" id="{00000000-000E-0000-0400-000005000000}">
            <xm:f>COUNTIF('Invoice(SF米国)'!$I66,"*per*")</xm:f>
            <x14:dxf>
              <font>
                <b/>
                <i val="0"/>
              </font>
            </x14:dxf>
          </x14:cfRule>
          <xm:sqref>C65:K66</xm:sqref>
        </x14:conditionalFormatting>
        <x14:conditionalFormatting xmlns:xm="http://schemas.microsoft.com/office/excel/2006/main">
          <x14:cfRule type="expression" priority="34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C39:K39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579FC8-0D16-496A-A644-5AE2F2DD5362}">
          <x14:formula1>
            <xm:f>取引先マスタ!$C:$C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50"/>
    <pageSetUpPr fitToPage="1"/>
  </sheetPr>
  <dimension ref="A1:N70"/>
  <sheetViews>
    <sheetView showGridLines="0" zoomScale="85" zoomScaleNormal="85" workbookViewId="0">
      <selection activeCell="M39" sqref="M39"/>
    </sheetView>
  </sheetViews>
  <sheetFormatPr defaultColWidth="9" defaultRowHeight="13.5" outlineLevelRow="1"/>
  <cols>
    <col min="1" max="1" width="16.75" style="253" customWidth="1"/>
    <col min="2" max="2" width="12.5" style="252" customWidth="1"/>
    <col min="3" max="3" width="17.25" style="252" customWidth="1"/>
    <col min="4" max="4" width="12.5" style="252" customWidth="1"/>
    <col min="5" max="5" width="25" style="252" customWidth="1"/>
    <col min="6" max="10" width="12.5" style="252" customWidth="1"/>
    <col min="11" max="11" width="28.875" style="252" customWidth="1"/>
    <col min="12" max="13" width="22.5" style="252" customWidth="1"/>
    <col min="14" max="16384" width="9" style="252"/>
  </cols>
  <sheetData>
    <row r="1" spans="1:13" ht="14.25" thickBot="1"/>
    <row r="2" spans="1:13">
      <c r="A2" s="367" t="s">
        <v>1805</v>
      </c>
      <c r="B2" s="458" t="s">
        <v>1726</v>
      </c>
      <c r="C2" s="459" t="s">
        <v>3050</v>
      </c>
      <c r="D2" s="933" t="s">
        <v>1809</v>
      </c>
      <c r="E2" s="934"/>
      <c r="F2" s="367" t="s">
        <v>1825</v>
      </c>
      <c r="J2" s="367" t="s">
        <v>1826</v>
      </c>
    </row>
    <row r="3" spans="1:13">
      <c r="A3" s="367" t="s">
        <v>1828</v>
      </c>
      <c r="B3" s="460" t="s">
        <v>1775</v>
      </c>
      <c r="C3" s="461">
        <v>339</v>
      </c>
      <c r="D3" s="460" t="s">
        <v>1185</v>
      </c>
      <c r="E3" s="462" t="s">
        <v>1803</v>
      </c>
    </row>
    <row r="4" spans="1:13">
      <c r="A4" s="367" t="s">
        <v>1824</v>
      </c>
      <c r="B4" s="460" t="s">
        <v>1728</v>
      </c>
      <c r="C4" s="461">
        <v>621</v>
      </c>
      <c r="D4" s="463" t="s">
        <v>1185</v>
      </c>
      <c r="E4" s="464" t="e">
        <f>MATCH(TEXT(E3,"@"),'NY BackOrder'!C:C,0)</f>
        <v>#N/A</v>
      </c>
    </row>
    <row r="5" spans="1:13" ht="14.25" thickBot="1">
      <c r="A5" s="367" t="s">
        <v>1811</v>
      </c>
      <c r="B5" s="460" t="s">
        <v>1729</v>
      </c>
      <c r="C5" s="461">
        <v>621</v>
      </c>
      <c r="D5" s="465" t="s">
        <v>1727</v>
      </c>
      <c r="E5" s="466" t="e">
        <f>E4+COUNTIF('NY BackOrder'!C:C,E3)-2</f>
        <v>#N/A</v>
      </c>
    </row>
    <row r="6" spans="1:13" ht="14.25" thickBot="1">
      <c r="A6" s="367" t="s">
        <v>1812</v>
      </c>
      <c r="B6" s="467" t="s">
        <v>1770</v>
      </c>
      <c r="C6" s="468">
        <v>38</v>
      </c>
      <c r="D6" s="253"/>
    </row>
    <row r="7" spans="1:13" hidden="1" outlineLevel="1">
      <c r="A7" s="935" t="s">
        <v>1815</v>
      </c>
      <c r="B7" s="469" t="s">
        <v>1730</v>
      </c>
      <c r="C7" s="470">
        <f>C5-C4+C6</f>
        <v>38</v>
      </c>
      <c r="D7" s="471" t="s">
        <v>1725</v>
      </c>
      <c r="E7" s="472" t="str">
        <f>"(発注書) "&amp;C3&amp;" ("&amp;C2&amp;")"</f>
        <v>(発注書) 339 (井上リボン工業株式会社)</v>
      </c>
    </row>
    <row r="8" spans="1:13" hidden="1" outlineLevel="1">
      <c r="A8" s="936"/>
      <c r="B8" s="473" t="s">
        <v>1768</v>
      </c>
      <c r="C8" s="474">
        <v>38</v>
      </c>
      <c r="D8" s="454" t="s">
        <v>1794</v>
      </c>
      <c r="E8" s="475" t="str" cm="1">
        <f t="array" aca="1" ref="E8" ca="1">RIGHT(CELL("filename",A1),LEN(CELL("filename",A1))-FIND("]",CELL("filename",A1)))</f>
        <v>発注書</v>
      </c>
    </row>
    <row r="9" spans="1:13" hidden="1" outlineLevel="1">
      <c r="A9" s="936"/>
      <c r="B9" s="473" t="s">
        <v>1769</v>
      </c>
      <c r="C9" s="474">
        <v>62</v>
      </c>
      <c r="D9" s="454" t="s">
        <v>1793</v>
      </c>
      <c r="E9" s="475" t="str">
        <f ca="1">'Invoice(SF米国)'!E11</f>
        <v>NY BackOrder</v>
      </c>
    </row>
    <row r="10" spans="1:13" hidden="1" outlineLevel="1">
      <c r="A10" s="936"/>
      <c r="B10" s="473" t="s">
        <v>1771</v>
      </c>
      <c r="C10" s="476">
        <f>C9+3</f>
        <v>65</v>
      </c>
      <c r="D10" s="454" t="s">
        <v>1817</v>
      </c>
      <c r="E10" s="475" t="str" cm="1">
        <f t="array" aca="1" ref="E10" ca="1">LEFT(MID(CELL("filename",A1),10,99),FIND("B",MID(CELL("filename",A1),10,99))-2)</f>
        <v>a.hamada</v>
      </c>
    </row>
    <row r="11" spans="1:13" hidden="1" outlineLevel="1">
      <c r="A11" s="936"/>
      <c r="B11" s="473" t="s">
        <v>1772</v>
      </c>
      <c r="C11" s="476">
        <f>C10+4</f>
        <v>69</v>
      </c>
      <c r="D11" s="454" t="s">
        <v>1821</v>
      </c>
      <c r="E11" s="455">
        <f>ROW(N63)</f>
        <v>63</v>
      </c>
    </row>
    <row r="12" spans="1:13" hidden="1" outlineLevel="1">
      <c r="A12" s="936"/>
      <c r="B12" s="473" t="s">
        <v>1773</v>
      </c>
      <c r="C12" s="476">
        <f>C10</f>
        <v>65</v>
      </c>
      <c r="D12" s="454" t="s">
        <v>1822</v>
      </c>
      <c r="E12" s="456"/>
    </row>
    <row r="13" spans="1:13" ht="14.25" hidden="1" outlineLevel="1" thickBot="1">
      <c r="A13" s="937"/>
      <c r="B13" s="477" t="s">
        <v>1774</v>
      </c>
      <c r="C13" s="478">
        <f>C11</f>
        <v>69</v>
      </c>
      <c r="D13" s="457" t="s">
        <v>1823</v>
      </c>
      <c r="E13" s="446"/>
    </row>
    <row r="14" spans="1:13" collapsed="1">
      <c r="A14" s="263"/>
      <c r="B14" s="263"/>
      <c r="C14" s="263"/>
      <c r="D14" s="308"/>
      <c r="E14" s="309"/>
      <c r="F14" s="263"/>
      <c r="G14" s="263"/>
      <c r="H14" s="263"/>
      <c r="I14" s="263"/>
      <c r="J14" s="263"/>
      <c r="K14" s="263"/>
      <c r="L14" s="263"/>
      <c r="M14" s="263"/>
    </row>
    <row r="15" spans="1:13">
      <c r="A15" s="252"/>
      <c r="E15" s="254"/>
    </row>
    <row r="16" spans="1:13">
      <c r="A16" s="255" t="s">
        <v>1731</v>
      </c>
      <c r="B16" s="256" t="s">
        <v>1732</v>
      </c>
      <c r="C16" s="257"/>
      <c r="E16" s="254"/>
    </row>
    <row r="17" spans="1:13">
      <c r="A17" s="253" t="s">
        <v>1733</v>
      </c>
      <c r="B17" s="252" t="s">
        <v>1734</v>
      </c>
    </row>
    <row r="18" spans="1:13">
      <c r="A18" s="253" t="s">
        <v>1735</v>
      </c>
      <c r="B18" s="252" t="str">
        <f ca="1">IF(J18="","上記商品、"&amp;TEXT(F18,"mm/dd")&amp;"出荷、"&amp;TEXT(H18,"mm/dd")&amp;"必着でお手配お願い致します。","上記商品、"&amp;TEXT(F18,"mm/dd")&amp;"出荷、"&amp;TEXT(H18,"mm/dd")&amp;J18&amp;"必着でお手配お願い致します。")</f>
        <v>上記商品、03/13出荷、03/14AM必着でお手配お願い致します。</v>
      </c>
      <c r="E18" s="258" t="s">
        <v>1736</v>
      </c>
      <c r="F18" s="259">
        <f ca="1">TODAY()</f>
        <v>46094</v>
      </c>
      <c r="G18" s="258" t="s">
        <v>1737</v>
      </c>
      <c r="H18" s="259">
        <f ca="1">F18+1</f>
        <v>46095</v>
      </c>
      <c r="I18" s="258" t="s">
        <v>1738</v>
      </c>
      <c r="J18" s="260" t="s">
        <v>1184</v>
      </c>
    </row>
    <row r="19" spans="1:13">
      <c r="A19" s="253" t="s">
        <v>1739</v>
      </c>
      <c r="B19" s="252" t="str">
        <f>IF(F19="","上記商品、最短納期でお手配お願い致します。","上記商品、最短納期でお手配お願い致します。 ("&amp;F19&amp;")")</f>
        <v>上記商品、最短納期でお手配お願い致します。 (2月中)</v>
      </c>
      <c r="E19" s="258" t="s">
        <v>1740</v>
      </c>
      <c r="F19" s="261" t="s">
        <v>1802</v>
      </c>
    </row>
    <row r="20" spans="1:13">
      <c r="A20" s="253" t="s">
        <v>1741</v>
      </c>
      <c r="B20" s="252" t="str">
        <f>"上記商品、"&amp;F20&amp;"にて出荷をお願い致します。"</f>
        <v>上記商品、ヤマト便にて出荷をお願い致します。</v>
      </c>
      <c r="E20" s="258" t="s">
        <v>1742</v>
      </c>
      <c r="F20" s="260" t="s">
        <v>1743</v>
      </c>
    </row>
    <row r="21" spans="1:13">
      <c r="A21" s="253" t="s">
        <v>1744</v>
      </c>
      <c r="B21" s="252" t="s">
        <v>1745</v>
      </c>
    </row>
    <row r="22" spans="1:13">
      <c r="A22" s="253" t="s">
        <v>1746</v>
      </c>
      <c r="B22" s="252" t="s">
        <v>1747</v>
      </c>
    </row>
    <row r="23" spans="1:13">
      <c r="A23" s="253" t="s">
        <v>1748</v>
      </c>
      <c r="B23" s="252" t="s">
        <v>1749</v>
      </c>
    </row>
    <row r="24" spans="1:13">
      <c r="A24" s="253" t="s">
        <v>1750</v>
      </c>
      <c r="B24" s="252" t="s">
        <v>1751</v>
      </c>
    </row>
    <row r="25" spans="1:13">
      <c r="A25" s="253" t="s">
        <v>1752</v>
      </c>
      <c r="B25" s="252" t="str">
        <f>"上記商品、"&amp;F25&amp;"でお手配お願い致します。"</f>
        <v>上記商品、あいうえおでお手配お願い致します。</v>
      </c>
      <c r="E25" s="258" t="s">
        <v>1753</v>
      </c>
      <c r="F25" s="260" t="s">
        <v>1754</v>
      </c>
      <c r="G25" s="260"/>
      <c r="H25" s="260"/>
      <c r="I25" s="260"/>
      <c r="J25" s="260"/>
    </row>
    <row r="26" spans="1:13">
      <c r="A26" s="262"/>
      <c r="B26" s="263"/>
      <c r="C26" s="263"/>
      <c r="D26" s="263"/>
      <c r="E26" s="263"/>
      <c r="F26" s="263"/>
      <c r="G26" s="263"/>
      <c r="H26" s="263"/>
      <c r="I26" s="263"/>
      <c r="J26" s="263"/>
      <c r="K26" s="263"/>
      <c r="L26" s="263"/>
      <c r="M26" s="263"/>
    </row>
    <row r="27" spans="1:13" ht="14.25" thickBot="1"/>
    <row r="28" spans="1:13" ht="17.25">
      <c r="G28" s="994" t="s">
        <v>1755</v>
      </c>
      <c r="H28" s="994"/>
      <c r="I28" s="994"/>
      <c r="L28" s="264" t="s">
        <v>1183</v>
      </c>
      <c r="M28" s="484">
        <f>C3</f>
        <v>339</v>
      </c>
    </row>
    <row r="29" spans="1:13" ht="18" thickBot="1">
      <c r="G29" s="994"/>
      <c r="H29" s="994"/>
      <c r="I29" s="994"/>
      <c r="L29" s="265" t="s">
        <v>1756</v>
      </c>
      <c r="M29" s="483">
        <f ca="1">TODAY()</f>
        <v>46094</v>
      </c>
    </row>
    <row r="30" spans="1:13" ht="5.25" customHeight="1">
      <c r="L30" s="258"/>
      <c r="M30" s="266"/>
    </row>
    <row r="31" spans="1:13" ht="18.75">
      <c r="B31" s="258" t="s">
        <v>1757</v>
      </c>
      <c r="C31" s="251" t="str">
        <f>C2</f>
        <v>井上リボン工業株式会社</v>
      </c>
      <c r="L31" s="993" t="s">
        <v>1758</v>
      </c>
      <c r="M31" s="993"/>
    </row>
    <row r="32" spans="1:13">
      <c r="B32" s="258" t="s">
        <v>1759</v>
      </c>
      <c r="C32" s="252" t="str">
        <f>IFERROR(IF(VLOOKUP(C2,仕入先マスタ!B:C,2,FALSE)="",VLOOKUP(C2,仕入先マスタ!B:D,3,FALSE)&amp;" "&amp;VLOOKUP(C2,仕入先マスタ!B:E,4,FALSE),"〒"&amp;VLOOKUP(C2,仕入先マスタ!B:C,2,FALSE)&amp;" "&amp;VLOOKUP(C2,仕入先マスタ!B:D,3,FALSE)&amp;" "&amp;VLOOKUP(C2,仕入先マスタ!B:E,4,FALSE)),"")</f>
        <v xml:space="preserve">〒915-0234 福井県越前市千原町2-6 </v>
      </c>
      <c r="L32" s="992" t="s">
        <v>1760</v>
      </c>
      <c r="M32" s="992"/>
    </row>
    <row r="33" spans="1:13">
      <c r="B33" s="258" t="s">
        <v>1766</v>
      </c>
      <c r="C33" s="252" t="str">
        <f>IFERROR(IF(VLOOKUP(C2,仕入先マスタ!B:F,5,FALSE)="","",VLOOKUP(C2,仕入先マスタ!B:F,5,FALSE)),"")</f>
        <v>0778-43-0810</v>
      </c>
      <c r="L33" s="257" t="s">
        <v>1761</v>
      </c>
      <c r="M33" s="257" t="s">
        <v>1181</v>
      </c>
    </row>
    <row r="34" spans="1:13">
      <c r="B34" s="258" t="s">
        <v>1762</v>
      </c>
      <c r="L34" s="258" t="s">
        <v>1762</v>
      </c>
      <c r="M34" s="257" t="s">
        <v>1763</v>
      </c>
    </row>
    <row r="35" spans="1:13">
      <c r="B35" s="258" t="s">
        <v>1764</v>
      </c>
      <c r="D35" s="311"/>
      <c r="F35" s="312"/>
      <c r="G35" s="313"/>
      <c r="H35" s="312"/>
      <c r="L35" s="258"/>
      <c r="M35" s="257" t="s">
        <v>2883</v>
      </c>
    </row>
    <row r="36" spans="1:13" ht="5.25" customHeight="1" thickBot="1">
      <c r="D36" s="311"/>
      <c r="F36" s="314"/>
      <c r="G36" s="315"/>
      <c r="H36" s="314"/>
    </row>
    <row r="37" spans="1:13" ht="15" thickBot="1">
      <c r="B37" s="267" t="s">
        <v>1777</v>
      </c>
      <c r="C37" s="268" t="s">
        <v>1778</v>
      </c>
      <c r="D37" s="316" t="s">
        <v>1779</v>
      </c>
      <c r="E37" s="268" t="s">
        <v>1780</v>
      </c>
      <c r="F37" s="317" t="s">
        <v>1781</v>
      </c>
      <c r="G37" s="318" t="s">
        <v>1782</v>
      </c>
      <c r="H37" s="317" t="s">
        <v>1783</v>
      </c>
      <c r="I37" s="268" t="s">
        <v>1784</v>
      </c>
      <c r="J37" s="268" t="s">
        <v>1785</v>
      </c>
      <c r="K37" s="268" t="s">
        <v>1786</v>
      </c>
      <c r="L37" s="268" t="s">
        <v>1787</v>
      </c>
      <c r="M37" s="269" t="s">
        <v>1788</v>
      </c>
    </row>
    <row r="38" spans="1:13" ht="21" customHeight="1" thickTop="1">
      <c r="A38" s="479">
        <f t="shared" ref="A38:A62" si="0">IF(C38="",0,1)</f>
        <v>1</v>
      </c>
      <c r="B38" s="270">
        <f>IF(C38&lt;&gt;"",1,0)</f>
        <v>1</v>
      </c>
      <c r="C38" s="271">
        <v>1100</v>
      </c>
      <c r="D38" s="756">
        <v>20</v>
      </c>
      <c r="E38" s="272" t="s">
        <v>3051</v>
      </c>
      <c r="F38" s="862">
        <v>30</v>
      </c>
      <c r="G38" s="863">
        <v>20</v>
      </c>
      <c r="H38" s="757">
        <v>600</v>
      </c>
      <c r="I38" s="273">
        <v>1950</v>
      </c>
      <c r="J38" s="273">
        <v>39000</v>
      </c>
      <c r="K38" s="272"/>
      <c r="L38" s="274"/>
      <c r="M38" s="275" t="s">
        <v>3054</v>
      </c>
    </row>
    <row r="39" spans="1:13" ht="21" customHeight="1">
      <c r="A39" s="479">
        <f t="shared" si="0"/>
        <v>0</v>
      </c>
      <c r="B39" s="276" t="str">
        <f>IF(C39="","",COUNTIF($A$38:$A39,1))</f>
        <v/>
      </c>
      <c r="C39" s="277"/>
      <c r="D39" s="758"/>
      <c r="E39" s="278"/>
      <c r="F39" s="283"/>
      <c r="G39" s="284"/>
      <c r="H39" s="279"/>
      <c r="I39" s="280"/>
      <c r="J39" s="280"/>
      <c r="K39" s="272"/>
      <c r="L39" s="281"/>
      <c r="M39" s="864"/>
    </row>
    <row r="40" spans="1:13" ht="21" customHeight="1">
      <c r="A40" s="479">
        <f t="shared" si="0"/>
        <v>0</v>
      </c>
      <c r="B40" s="276" t="str">
        <f>IF(C40="","",COUNTIF($A$38:$A40,1))</f>
        <v/>
      </c>
      <c r="C40" s="277"/>
      <c r="D40" s="758"/>
      <c r="E40" s="278"/>
      <c r="F40" s="283"/>
      <c r="G40" s="284"/>
      <c r="H40" s="279"/>
      <c r="I40" s="280"/>
      <c r="J40" s="280"/>
      <c r="K40" s="272"/>
      <c r="L40" s="281"/>
      <c r="M40" s="864"/>
    </row>
    <row r="41" spans="1:13" ht="21" customHeight="1">
      <c r="A41" s="479">
        <f t="shared" si="0"/>
        <v>0</v>
      </c>
      <c r="B41" s="276" t="str">
        <f>IF(C41="","",COUNTIF($A$38:$A41,1))</f>
        <v/>
      </c>
      <c r="C41" s="277"/>
      <c r="D41" s="758"/>
      <c r="E41" s="278"/>
      <c r="F41" s="283"/>
      <c r="G41" s="284"/>
      <c r="H41" s="279"/>
      <c r="I41" s="280"/>
      <c r="J41" s="280"/>
      <c r="K41" s="272"/>
      <c r="L41" s="281"/>
      <c r="M41" s="282"/>
    </row>
    <row r="42" spans="1:13" ht="21" customHeight="1">
      <c r="A42" s="479">
        <f t="shared" si="0"/>
        <v>0</v>
      </c>
      <c r="B42" s="276" t="str">
        <f>IF(C42="","",COUNTIF($A$38:$A42,1))</f>
        <v/>
      </c>
      <c r="C42" s="277"/>
      <c r="D42" s="758"/>
      <c r="E42" s="278"/>
      <c r="F42" s="283"/>
      <c r="G42" s="284"/>
      <c r="H42" s="279"/>
      <c r="I42" s="280"/>
      <c r="J42" s="280"/>
      <c r="K42" s="272"/>
      <c r="L42" s="281"/>
      <c r="M42" s="282"/>
    </row>
    <row r="43" spans="1:13" ht="21" customHeight="1">
      <c r="A43" s="479">
        <f t="shared" si="0"/>
        <v>0</v>
      </c>
      <c r="B43" s="276" t="str">
        <f>IF(C43="","",COUNTIF($A$38:$A43,1))</f>
        <v/>
      </c>
      <c r="C43" s="277"/>
      <c r="D43" s="758"/>
      <c r="E43" s="278"/>
      <c r="F43" s="283"/>
      <c r="G43" s="284"/>
      <c r="H43" s="279"/>
      <c r="I43" s="280"/>
      <c r="J43" s="280"/>
      <c r="K43" s="272"/>
      <c r="L43" s="281"/>
      <c r="M43" s="282"/>
    </row>
    <row r="44" spans="1:13" ht="21" customHeight="1">
      <c r="A44" s="479">
        <f t="shared" si="0"/>
        <v>0</v>
      </c>
      <c r="B44" s="276" t="str">
        <f>IF(C44="","",COUNTIF($A$38:$A44,1))</f>
        <v/>
      </c>
      <c r="C44" s="277"/>
      <c r="D44" s="758"/>
      <c r="E44" s="278"/>
      <c r="F44" s="283"/>
      <c r="G44" s="284"/>
      <c r="H44" s="279"/>
      <c r="I44" s="280"/>
      <c r="J44" s="280"/>
      <c r="K44" s="272"/>
      <c r="L44" s="281"/>
      <c r="M44" s="282"/>
    </row>
    <row r="45" spans="1:13" ht="21" customHeight="1">
      <c r="A45" s="479">
        <f t="shared" si="0"/>
        <v>0</v>
      </c>
      <c r="B45" s="276" t="str">
        <f>IF(C45="","",COUNTIF($A$38:$A45,1))</f>
        <v/>
      </c>
      <c r="C45" s="277"/>
      <c r="D45" s="758"/>
      <c r="E45" s="278"/>
      <c r="F45" s="283"/>
      <c r="G45" s="284"/>
      <c r="H45" s="279"/>
      <c r="I45" s="280"/>
      <c r="J45" s="280"/>
      <c r="K45" s="272"/>
      <c r="L45" s="281"/>
      <c r="M45" s="282"/>
    </row>
    <row r="46" spans="1:13" ht="21" customHeight="1">
      <c r="A46" s="479">
        <f t="shared" si="0"/>
        <v>0</v>
      </c>
      <c r="B46" s="276" t="str">
        <f>IF(C46="","",COUNTIF($A$38:$A46,1))</f>
        <v/>
      </c>
      <c r="C46" s="277"/>
      <c r="D46" s="758"/>
      <c r="E46" s="278"/>
      <c r="F46" s="283"/>
      <c r="G46" s="284"/>
      <c r="H46" s="279"/>
      <c r="I46" s="280"/>
      <c r="J46" s="280"/>
      <c r="K46" s="281"/>
      <c r="L46" s="281"/>
      <c r="M46" s="282"/>
    </row>
    <row r="47" spans="1:13" ht="21" customHeight="1">
      <c r="A47" s="479">
        <f t="shared" si="0"/>
        <v>0</v>
      </c>
      <c r="B47" s="276" t="str">
        <f>IF(C47="","",COUNTIF($A$38:$A47,1))</f>
        <v/>
      </c>
      <c r="C47" s="277"/>
      <c r="D47" s="758"/>
      <c r="E47" s="278"/>
      <c r="F47" s="283"/>
      <c r="G47" s="284"/>
      <c r="H47" s="279"/>
      <c r="I47" s="280"/>
      <c r="J47" s="280"/>
      <c r="K47" s="281"/>
      <c r="L47" s="281"/>
      <c r="M47" s="282"/>
    </row>
    <row r="48" spans="1:13" ht="21" customHeight="1">
      <c r="A48" s="479">
        <f t="shared" si="0"/>
        <v>0</v>
      </c>
      <c r="B48" s="276" t="str">
        <f>IF(C48="","",COUNTIF($A$38:$A48,1))</f>
        <v/>
      </c>
      <c r="C48" s="277"/>
      <c r="D48" s="758"/>
      <c r="E48" s="278"/>
      <c r="F48" s="283"/>
      <c r="G48" s="284"/>
      <c r="H48" s="279"/>
      <c r="I48" s="280"/>
      <c r="J48" s="280"/>
      <c r="K48" s="281"/>
      <c r="L48" s="281"/>
      <c r="M48" s="282"/>
    </row>
    <row r="49" spans="1:14" ht="21" customHeight="1">
      <c r="A49" s="479">
        <f t="shared" si="0"/>
        <v>0</v>
      </c>
      <c r="B49" s="276" t="str">
        <f>IF(C49="","",COUNTIF($A$38:$A49,1))</f>
        <v/>
      </c>
      <c r="C49" s="277"/>
      <c r="D49" s="758"/>
      <c r="E49" s="278"/>
      <c r="F49" s="283"/>
      <c r="G49" s="284"/>
      <c r="H49" s="279"/>
      <c r="I49" s="280"/>
      <c r="J49" s="280"/>
      <c r="K49" s="281"/>
      <c r="L49" s="281"/>
      <c r="M49" s="282"/>
    </row>
    <row r="50" spans="1:14" ht="21" customHeight="1">
      <c r="A50" s="479">
        <f t="shared" si="0"/>
        <v>0</v>
      </c>
      <c r="B50" s="276" t="str">
        <f>IF(C50="","",COUNTIF($A$38:$A50,1))</f>
        <v/>
      </c>
      <c r="C50" s="277"/>
      <c r="D50" s="758"/>
      <c r="E50" s="278"/>
      <c r="F50" s="283"/>
      <c r="G50" s="284"/>
      <c r="H50" s="279"/>
      <c r="I50" s="280"/>
      <c r="J50" s="280"/>
      <c r="K50" s="281"/>
      <c r="L50" s="281"/>
      <c r="M50" s="282"/>
    </row>
    <row r="51" spans="1:14" ht="21" customHeight="1">
      <c r="A51" s="479">
        <f t="shared" si="0"/>
        <v>0</v>
      </c>
      <c r="B51" s="276" t="str">
        <f>IF(C51="","",COUNTIF($A$38:$A51,1))</f>
        <v/>
      </c>
      <c r="C51" s="277"/>
      <c r="D51" s="758"/>
      <c r="E51" s="278"/>
      <c r="F51" s="283"/>
      <c r="G51" s="284"/>
      <c r="H51" s="279"/>
      <c r="I51" s="280"/>
      <c r="J51" s="280"/>
      <c r="K51" s="281"/>
      <c r="L51" s="281"/>
      <c r="M51" s="282"/>
    </row>
    <row r="52" spans="1:14" ht="21" customHeight="1">
      <c r="A52" s="479">
        <f t="shared" si="0"/>
        <v>0</v>
      </c>
      <c r="B52" s="276" t="str">
        <f>IF(C52="","",COUNTIF($A$38:$A52,1))</f>
        <v/>
      </c>
      <c r="C52" s="277"/>
      <c r="D52" s="758"/>
      <c r="E52" s="278"/>
      <c r="F52" s="283"/>
      <c r="G52" s="284"/>
      <c r="H52" s="279"/>
      <c r="I52" s="280"/>
      <c r="J52" s="280"/>
      <c r="K52" s="281"/>
      <c r="L52" s="281"/>
      <c r="M52" s="282"/>
    </row>
    <row r="53" spans="1:14" ht="21" customHeight="1">
      <c r="A53" s="479">
        <f t="shared" si="0"/>
        <v>0</v>
      </c>
      <c r="B53" s="276" t="str">
        <f>IF(C53="","",COUNTIF($A$38:$A53,1))</f>
        <v/>
      </c>
      <c r="C53" s="277"/>
      <c r="D53" s="758"/>
      <c r="E53" s="278"/>
      <c r="F53" s="283"/>
      <c r="G53" s="284"/>
      <c r="H53" s="279"/>
      <c r="I53" s="280"/>
      <c r="J53" s="280"/>
      <c r="K53" s="281"/>
      <c r="L53" s="281"/>
      <c r="M53" s="282"/>
    </row>
    <row r="54" spans="1:14" ht="21" customHeight="1">
      <c r="A54" s="479">
        <f t="shared" si="0"/>
        <v>0</v>
      </c>
      <c r="B54" s="276" t="str">
        <f>IF(C54="","",COUNTIF($A$38:$A54,1))</f>
        <v/>
      </c>
      <c r="C54" s="277"/>
      <c r="D54" s="758"/>
      <c r="E54" s="278"/>
      <c r="F54" s="283"/>
      <c r="G54" s="284"/>
      <c r="H54" s="279"/>
      <c r="I54" s="280"/>
      <c r="J54" s="280"/>
      <c r="K54" s="281"/>
      <c r="L54" s="281"/>
      <c r="M54" s="282"/>
    </row>
    <row r="55" spans="1:14" ht="21" customHeight="1">
      <c r="A55" s="479">
        <f t="shared" si="0"/>
        <v>0</v>
      </c>
      <c r="B55" s="276" t="str">
        <f>IF(C55="","",COUNTIF($A$38:$A55,1))</f>
        <v/>
      </c>
      <c r="C55" s="277"/>
      <c r="D55" s="758"/>
      <c r="E55" s="278"/>
      <c r="F55" s="283"/>
      <c r="G55" s="284"/>
      <c r="H55" s="279"/>
      <c r="I55" s="280"/>
      <c r="J55" s="280"/>
      <c r="K55" s="281"/>
      <c r="L55" s="281"/>
      <c r="M55" s="282"/>
    </row>
    <row r="56" spans="1:14" ht="21" customHeight="1">
      <c r="A56" s="479">
        <f t="shared" si="0"/>
        <v>0</v>
      </c>
      <c r="B56" s="276" t="str">
        <f>IF(C56="","",COUNTIF($A$38:$A56,1))</f>
        <v/>
      </c>
      <c r="C56" s="277"/>
      <c r="D56" s="758"/>
      <c r="E56" s="278"/>
      <c r="F56" s="283"/>
      <c r="G56" s="284"/>
      <c r="H56" s="279"/>
      <c r="I56" s="280"/>
      <c r="J56" s="280"/>
      <c r="K56" s="281"/>
      <c r="L56" s="281"/>
      <c r="M56" s="282"/>
    </row>
    <row r="57" spans="1:14" ht="21" customHeight="1">
      <c r="A57" s="479">
        <f t="shared" si="0"/>
        <v>0</v>
      </c>
      <c r="B57" s="276" t="str">
        <f>IF(C57="","",COUNTIF($A$38:$A57,1))</f>
        <v/>
      </c>
      <c r="C57" s="302"/>
      <c r="D57" s="793"/>
      <c r="E57" s="303"/>
      <c r="F57" s="794"/>
      <c r="G57" s="795"/>
      <c r="H57" s="319"/>
      <c r="I57" s="304"/>
      <c r="J57" s="304"/>
      <c r="K57" s="305"/>
      <c r="L57" s="305"/>
      <c r="M57" s="306"/>
    </row>
    <row r="58" spans="1:14" ht="21" customHeight="1">
      <c r="A58" s="479">
        <f t="shared" si="0"/>
        <v>0</v>
      </c>
      <c r="B58" s="276" t="str">
        <f>IF(C58="","",COUNTIF($A$38:$A58,1))</f>
        <v/>
      </c>
      <c r="C58" s="302"/>
      <c r="D58" s="793"/>
      <c r="E58" s="303"/>
      <c r="F58" s="794"/>
      <c r="G58" s="795"/>
      <c r="H58" s="319"/>
      <c r="I58" s="304"/>
      <c r="J58" s="304"/>
      <c r="K58" s="305"/>
      <c r="L58" s="305"/>
      <c r="M58" s="306"/>
    </row>
    <row r="59" spans="1:14" ht="21" customHeight="1">
      <c r="A59" s="479">
        <f t="shared" si="0"/>
        <v>0</v>
      </c>
      <c r="B59" s="276" t="str">
        <f>IF(C59="","",COUNTIF($A$38:$A59,1))</f>
        <v/>
      </c>
      <c r="C59" s="302"/>
      <c r="D59" s="793"/>
      <c r="E59" s="303"/>
      <c r="F59" s="794"/>
      <c r="G59" s="795"/>
      <c r="H59" s="319"/>
      <c r="I59" s="304"/>
      <c r="J59" s="304"/>
      <c r="K59" s="305"/>
      <c r="L59" s="305"/>
      <c r="M59" s="306"/>
    </row>
    <row r="60" spans="1:14" ht="21" customHeight="1">
      <c r="A60" s="479">
        <f t="shared" si="0"/>
        <v>0</v>
      </c>
      <c r="B60" s="276" t="str">
        <f>IF(C60="","",COUNTIF($A$38:$A60,1))</f>
        <v/>
      </c>
      <c r="C60" s="302"/>
      <c r="D60" s="793"/>
      <c r="E60" s="303"/>
      <c r="F60" s="794"/>
      <c r="G60" s="795"/>
      <c r="H60" s="319"/>
      <c r="I60" s="304"/>
      <c r="J60" s="304"/>
      <c r="K60" s="305"/>
      <c r="L60" s="305"/>
      <c r="M60" s="306"/>
    </row>
    <row r="61" spans="1:14" ht="21" customHeight="1">
      <c r="A61" s="479">
        <f t="shared" si="0"/>
        <v>0</v>
      </c>
      <c r="B61" s="276" t="str">
        <f>IF(C61="","",COUNTIF($A$38:$A61,1))</f>
        <v/>
      </c>
      <c r="C61" s="302"/>
      <c r="D61" s="303"/>
      <c r="E61" s="303"/>
      <c r="F61" s="303"/>
      <c r="G61" s="303"/>
      <c r="H61" s="303"/>
      <c r="I61" s="304"/>
      <c r="J61" s="304"/>
      <c r="K61" s="305"/>
      <c r="L61" s="305"/>
      <c r="M61" s="306"/>
    </row>
    <row r="62" spans="1:14" ht="21" customHeight="1" thickBot="1">
      <c r="A62" s="479">
        <f t="shared" si="0"/>
        <v>0</v>
      </c>
      <c r="B62" s="285" t="str">
        <f>IF(C62="","",COUNTIF($A$38:$A62,1))</f>
        <v/>
      </c>
      <c r="C62" s="286"/>
      <c r="D62" s="287"/>
      <c r="E62" s="287"/>
      <c r="F62" s="287"/>
      <c r="G62" s="287"/>
      <c r="H62" s="287"/>
      <c r="I62" s="288"/>
      <c r="J62" s="288"/>
      <c r="K62" s="289"/>
      <c r="L62" s="289"/>
      <c r="M62" s="290"/>
    </row>
    <row r="63" spans="1:14" ht="21" customHeight="1" thickBot="1">
      <c r="I63" s="291" t="s">
        <v>1724</v>
      </c>
      <c r="J63" s="292">
        <f>SUM(J38:J61)</f>
        <v>39000</v>
      </c>
      <c r="N63" s="485" t="s">
        <v>1827</v>
      </c>
    </row>
    <row r="64" spans="1:14" ht="6" customHeight="1" thickBot="1"/>
    <row r="65" spans="1:11" ht="21" customHeight="1">
      <c r="A65" s="320" t="s">
        <v>1733</v>
      </c>
      <c r="B65" s="293" t="str">
        <f>IF(A65="","","注記(1)")</f>
        <v>注記(1)</v>
      </c>
      <c r="C65" s="995" t="str">
        <f>IFERROR(IF(OR(A65="",A65="0"),"",VLOOKUP(A65,A17:B29,2,FALSE)),"")</f>
        <v>上記商品、同一ロットでお手配お願い致します。</v>
      </c>
      <c r="D65" s="996"/>
      <c r="E65" s="996"/>
      <c r="F65" s="997"/>
      <c r="G65" s="480" t="s">
        <v>1765</v>
      </c>
      <c r="H65" s="759" t="s">
        <v>3053</v>
      </c>
      <c r="I65" s="296"/>
      <c r="J65" s="296"/>
      <c r="K65" s="297"/>
    </row>
    <row r="66" spans="1:11" ht="21" customHeight="1">
      <c r="A66" s="320" t="s">
        <v>1735</v>
      </c>
      <c r="B66" s="294" t="str">
        <f>IF(A66="","","注記(2)")</f>
        <v>注記(2)</v>
      </c>
      <c r="C66" s="998" t="str">
        <f ca="1">IFERROR(IF(OR(A66="",A66="0"),"",VLOOKUP(A66,A17:B29,2,FALSE)),"")</f>
        <v>上記商品、03/13出荷、03/14AM必着でお手配お願い致します。</v>
      </c>
      <c r="D66" s="999"/>
      <c r="E66" s="999"/>
      <c r="F66" s="1000"/>
      <c r="G66" s="481"/>
      <c r="H66" s="298"/>
      <c r="I66" s="298"/>
      <c r="J66" s="298"/>
      <c r="K66" s="299"/>
    </row>
    <row r="67" spans="1:11" ht="21" customHeight="1">
      <c r="A67" s="320" t="s">
        <v>1744</v>
      </c>
      <c r="B67" s="294" t="str">
        <f>IF(A67="","","注記(3)")</f>
        <v>注記(3)</v>
      </c>
      <c r="C67" s="998" t="str">
        <f>IFERROR(IF(OR(A67="",A67="0"),"",VLOOKUP(A67,A17:B29,2,FALSE)),"")</f>
        <v>在庫有無、納期のご回答をお願い致します。</v>
      </c>
      <c r="D67" s="999"/>
      <c r="E67" s="999"/>
      <c r="F67" s="1000"/>
      <c r="G67" s="481"/>
      <c r="H67" s="298"/>
      <c r="I67" s="298"/>
      <c r="J67" s="298"/>
      <c r="K67" s="299"/>
    </row>
    <row r="68" spans="1:11" ht="21" customHeight="1">
      <c r="A68" s="320"/>
      <c r="B68" s="294" t="str">
        <f>IF(A68="","","注記(4)")</f>
        <v/>
      </c>
      <c r="C68" s="998" t="str">
        <f>IFERROR(IF(OR(A68="",A68="0"),"",VLOOKUP(A68,A17:B29,2,FALSE)),"")</f>
        <v/>
      </c>
      <c r="D68" s="999"/>
      <c r="E68" s="999"/>
      <c r="F68" s="1000"/>
      <c r="G68" s="481"/>
      <c r="H68" s="298"/>
      <c r="I68" s="298"/>
      <c r="J68" s="298"/>
      <c r="K68" s="299"/>
    </row>
    <row r="69" spans="1:11" ht="21" customHeight="1" thickBot="1">
      <c r="A69" s="320"/>
      <c r="B69" s="295" t="str">
        <f>IF(A69="","","注記(5)")</f>
        <v/>
      </c>
      <c r="C69" s="989" t="str">
        <f>IFERROR(IF(OR(A69="",A69="0"),"",VLOOKUP(A69,A21:B33,2,FALSE)),"")</f>
        <v/>
      </c>
      <c r="D69" s="990"/>
      <c r="E69" s="990"/>
      <c r="F69" s="991"/>
      <c r="G69" s="482"/>
      <c r="H69" s="300"/>
      <c r="I69" s="300"/>
      <c r="J69" s="300"/>
      <c r="K69" s="301"/>
    </row>
    <row r="70" spans="1:11" ht="5.25" customHeight="1"/>
  </sheetData>
  <mergeCells count="10">
    <mergeCell ref="D2:E2"/>
    <mergeCell ref="A7:A13"/>
    <mergeCell ref="C69:F69"/>
    <mergeCell ref="L32:M32"/>
    <mergeCell ref="L31:M31"/>
    <mergeCell ref="G28:I29"/>
    <mergeCell ref="C65:F65"/>
    <mergeCell ref="C66:F66"/>
    <mergeCell ref="C67:F67"/>
    <mergeCell ref="C68:F68"/>
  </mergeCells>
  <phoneticPr fontId="3"/>
  <conditionalFormatting sqref="B38:B62">
    <cfRule type="cellIs" dxfId="13" priority="1" operator="equal">
      <formula>0</formula>
    </cfRule>
  </conditionalFormatting>
  <dataValidations count="1">
    <dataValidation type="list" allowBlank="1" showInputMessage="1" showErrorMessage="1" sqref="A65:A69" xr:uid="{C7D50E80-AF4D-47FD-9397-5ED721E9F6F0}">
      <formula1>$A$17:$A$28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7" r:id="rId4" name="Button 11">
              <controlPr defaultSize="0" print="0" autoFill="0" autoPict="0" macro="[0]!発注書明細クリア">
                <anchor moveWithCells="1" sizeWithCells="1">
                  <from>
                    <xdr:col>5</xdr:col>
                    <xdr:colOff>95250</xdr:colOff>
                    <xdr:row>4</xdr:row>
                    <xdr:rowOff>38100</xdr:rowOff>
                  </from>
                  <to>
                    <xdr:col>5</xdr:col>
                    <xdr:colOff>942975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DataCopy_発注書">
                <anchor moveWithCells="1" sizeWithCells="1">
                  <from>
                    <xdr:col>5</xdr:col>
                    <xdr:colOff>104775</xdr:colOff>
                    <xdr:row>2</xdr:row>
                    <xdr:rowOff>19050</xdr:rowOff>
                  </from>
                  <to>
                    <xdr:col>8</xdr:col>
                    <xdr:colOff>876300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6" name="Button 13">
              <controlPr defaultSize="0" print="0" autoFill="0" autoPict="0" macro="[0]!発注書注記クリア">
                <anchor moveWithCells="1" sizeWithCells="1">
                  <from>
                    <xdr:col>6</xdr:col>
                    <xdr:colOff>76200</xdr:colOff>
                    <xdr:row>4</xdr:row>
                    <xdr:rowOff>38100</xdr:rowOff>
                  </from>
                  <to>
                    <xdr:col>6</xdr:col>
                    <xdr:colOff>914400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" name="Button 14">
              <controlPr defaultSize="0" print="0" autoFill="0" autoPict="0" macro="[0]!発注書メモクリア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7</xdr:col>
                    <xdr:colOff>885825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8" name="Button 15">
              <controlPr defaultSize="0" print="0" autoFill="0" autoPict="0" macro="[0]!改行設定発注書">
                <anchor moveWithCells="1" sizeWithCells="1">
                  <from>
                    <xdr:col>8</xdr:col>
                    <xdr:colOff>28575</xdr:colOff>
                    <xdr:row>4</xdr:row>
                    <xdr:rowOff>38100</xdr:rowOff>
                  </from>
                  <to>
                    <xdr:col>8</xdr:col>
                    <xdr:colOff>876300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BD8EF6-45ED-4A10-B5FB-8BCF265B1609}">
          <x14:formula1>
            <xm:f>仕入先マスタ!$B:$B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14CE-EFFC-4290-A0B6-D877F7B6F3AF}">
  <sheetPr codeName="Sheet7"/>
  <dimension ref="A13:DP1797"/>
  <sheetViews>
    <sheetView topLeftCell="B1752" zoomScaleNormal="100" workbookViewId="0">
      <selection activeCell="F1782" sqref="F1782"/>
    </sheetView>
  </sheetViews>
  <sheetFormatPr defaultRowHeight="13.5"/>
  <cols>
    <col min="1" max="1" width="19.5" customWidth="1"/>
    <col min="2" max="2" width="13.625" customWidth="1"/>
    <col min="3" max="3" width="20" customWidth="1"/>
    <col min="4" max="4" width="38.5" customWidth="1"/>
    <col min="5" max="5" width="26" customWidth="1"/>
    <col min="6" max="6" width="39.375" customWidth="1"/>
    <col min="7" max="7" width="32.625" customWidth="1"/>
    <col min="8" max="8" width="24.5" customWidth="1"/>
    <col min="9" max="9" width="20.75" customWidth="1"/>
    <col min="10" max="11" width="12.625" bestFit="1" customWidth="1"/>
    <col min="257" max="257" width="30.75" customWidth="1"/>
    <col min="258" max="258" width="49.25" customWidth="1"/>
    <col min="259" max="259" width="46.125" customWidth="1"/>
    <col min="260" max="260" width="38.5" customWidth="1"/>
    <col min="261" max="261" width="26" customWidth="1"/>
    <col min="262" max="262" width="39.375" customWidth="1"/>
    <col min="263" max="263" width="32.625" customWidth="1"/>
    <col min="264" max="264" width="24.5" customWidth="1"/>
    <col min="265" max="265" width="20.75" customWidth="1"/>
    <col min="266" max="267" width="12.625" bestFit="1" customWidth="1"/>
    <col min="513" max="513" width="30.75" customWidth="1"/>
    <col min="514" max="514" width="49.25" customWidth="1"/>
    <col min="515" max="515" width="46.125" customWidth="1"/>
    <col min="516" max="516" width="38.5" customWidth="1"/>
    <col min="517" max="517" width="26" customWidth="1"/>
    <col min="518" max="518" width="39.375" customWidth="1"/>
    <col min="519" max="519" width="32.625" customWidth="1"/>
    <col min="520" max="520" width="24.5" customWidth="1"/>
    <col min="521" max="521" width="20.75" customWidth="1"/>
    <col min="522" max="523" width="12.625" bestFit="1" customWidth="1"/>
    <col min="769" max="769" width="30.75" customWidth="1"/>
    <col min="770" max="770" width="49.25" customWidth="1"/>
    <col min="771" max="771" width="46.125" customWidth="1"/>
    <col min="772" max="772" width="38.5" customWidth="1"/>
    <col min="773" max="773" width="26" customWidth="1"/>
    <col min="774" max="774" width="39.375" customWidth="1"/>
    <col min="775" max="775" width="32.625" customWidth="1"/>
    <col min="776" max="776" width="24.5" customWidth="1"/>
    <col min="777" max="777" width="20.75" customWidth="1"/>
    <col min="778" max="779" width="12.625" bestFit="1" customWidth="1"/>
    <col min="1025" max="1025" width="30.75" customWidth="1"/>
    <col min="1026" max="1026" width="49.25" customWidth="1"/>
    <col min="1027" max="1027" width="46.125" customWidth="1"/>
    <col min="1028" max="1028" width="38.5" customWidth="1"/>
    <col min="1029" max="1029" width="26" customWidth="1"/>
    <col min="1030" max="1030" width="39.375" customWidth="1"/>
    <col min="1031" max="1031" width="32.625" customWidth="1"/>
    <col min="1032" max="1032" width="24.5" customWidth="1"/>
    <col min="1033" max="1033" width="20.75" customWidth="1"/>
    <col min="1034" max="1035" width="12.625" bestFit="1" customWidth="1"/>
    <col min="1281" max="1281" width="30.75" customWidth="1"/>
    <col min="1282" max="1282" width="49.25" customWidth="1"/>
    <col min="1283" max="1283" width="46.125" customWidth="1"/>
    <col min="1284" max="1284" width="38.5" customWidth="1"/>
    <col min="1285" max="1285" width="26" customWidth="1"/>
    <col min="1286" max="1286" width="39.375" customWidth="1"/>
    <col min="1287" max="1287" width="32.625" customWidth="1"/>
    <col min="1288" max="1288" width="24.5" customWidth="1"/>
    <col min="1289" max="1289" width="20.75" customWidth="1"/>
    <col min="1290" max="1291" width="12.625" bestFit="1" customWidth="1"/>
    <col min="1537" max="1537" width="30.75" customWidth="1"/>
    <col min="1538" max="1538" width="49.25" customWidth="1"/>
    <col min="1539" max="1539" width="46.125" customWidth="1"/>
    <col min="1540" max="1540" width="38.5" customWidth="1"/>
    <col min="1541" max="1541" width="26" customWidth="1"/>
    <col min="1542" max="1542" width="39.375" customWidth="1"/>
    <col min="1543" max="1543" width="32.625" customWidth="1"/>
    <col min="1544" max="1544" width="24.5" customWidth="1"/>
    <col min="1545" max="1545" width="20.75" customWidth="1"/>
    <col min="1546" max="1547" width="12.625" bestFit="1" customWidth="1"/>
    <col min="1793" max="1793" width="30.75" customWidth="1"/>
    <col min="1794" max="1794" width="49.25" customWidth="1"/>
    <col min="1795" max="1795" width="46.125" customWidth="1"/>
    <col min="1796" max="1796" width="38.5" customWidth="1"/>
    <col min="1797" max="1797" width="26" customWidth="1"/>
    <col min="1798" max="1798" width="39.375" customWidth="1"/>
    <col min="1799" max="1799" width="32.625" customWidth="1"/>
    <col min="1800" max="1800" width="24.5" customWidth="1"/>
    <col min="1801" max="1801" width="20.75" customWidth="1"/>
    <col min="1802" max="1803" width="12.625" bestFit="1" customWidth="1"/>
    <col min="2049" max="2049" width="30.75" customWidth="1"/>
    <col min="2050" max="2050" width="49.25" customWidth="1"/>
    <col min="2051" max="2051" width="46.125" customWidth="1"/>
    <col min="2052" max="2052" width="38.5" customWidth="1"/>
    <col min="2053" max="2053" width="26" customWidth="1"/>
    <col min="2054" max="2054" width="39.375" customWidth="1"/>
    <col min="2055" max="2055" width="32.625" customWidth="1"/>
    <col min="2056" max="2056" width="24.5" customWidth="1"/>
    <col min="2057" max="2057" width="20.75" customWidth="1"/>
    <col min="2058" max="2059" width="12.625" bestFit="1" customWidth="1"/>
    <col min="2305" max="2305" width="30.75" customWidth="1"/>
    <col min="2306" max="2306" width="49.25" customWidth="1"/>
    <col min="2307" max="2307" width="46.125" customWidth="1"/>
    <col min="2308" max="2308" width="38.5" customWidth="1"/>
    <col min="2309" max="2309" width="26" customWidth="1"/>
    <col min="2310" max="2310" width="39.375" customWidth="1"/>
    <col min="2311" max="2311" width="32.625" customWidth="1"/>
    <col min="2312" max="2312" width="24.5" customWidth="1"/>
    <col min="2313" max="2313" width="20.75" customWidth="1"/>
    <col min="2314" max="2315" width="12.625" bestFit="1" customWidth="1"/>
    <col min="2561" max="2561" width="30.75" customWidth="1"/>
    <col min="2562" max="2562" width="49.25" customWidth="1"/>
    <col min="2563" max="2563" width="46.125" customWidth="1"/>
    <col min="2564" max="2564" width="38.5" customWidth="1"/>
    <col min="2565" max="2565" width="26" customWidth="1"/>
    <col min="2566" max="2566" width="39.375" customWidth="1"/>
    <col min="2567" max="2567" width="32.625" customWidth="1"/>
    <col min="2568" max="2568" width="24.5" customWidth="1"/>
    <col min="2569" max="2569" width="20.75" customWidth="1"/>
    <col min="2570" max="2571" width="12.625" bestFit="1" customWidth="1"/>
    <col min="2817" max="2817" width="30.75" customWidth="1"/>
    <col min="2818" max="2818" width="49.25" customWidth="1"/>
    <col min="2819" max="2819" width="46.125" customWidth="1"/>
    <col min="2820" max="2820" width="38.5" customWidth="1"/>
    <col min="2821" max="2821" width="26" customWidth="1"/>
    <col min="2822" max="2822" width="39.375" customWidth="1"/>
    <col min="2823" max="2823" width="32.625" customWidth="1"/>
    <col min="2824" max="2824" width="24.5" customWidth="1"/>
    <col min="2825" max="2825" width="20.75" customWidth="1"/>
    <col min="2826" max="2827" width="12.625" bestFit="1" customWidth="1"/>
    <col min="3073" max="3073" width="30.75" customWidth="1"/>
    <col min="3074" max="3074" width="49.25" customWidth="1"/>
    <col min="3075" max="3075" width="46.125" customWidth="1"/>
    <col min="3076" max="3076" width="38.5" customWidth="1"/>
    <col min="3077" max="3077" width="26" customWidth="1"/>
    <col min="3078" max="3078" width="39.375" customWidth="1"/>
    <col min="3079" max="3079" width="32.625" customWidth="1"/>
    <col min="3080" max="3080" width="24.5" customWidth="1"/>
    <col min="3081" max="3081" width="20.75" customWidth="1"/>
    <col min="3082" max="3083" width="12.625" bestFit="1" customWidth="1"/>
    <col min="3329" max="3329" width="30.75" customWidth="1"/>
    <col min="3330" max="3330" width="49.25" customWidth="1"/>
    <col min="3331" max="3331" width="46.125" customWidth="1"/>
    <col min="3332" max="3332" width="38.5" customWidth="1"/>
    <col min="3333" max="3333" width="26" customWidth="1"/>
    <col min="3334" max="3334" width="39.375" customWidth="1"/>
    <col min="3335" max="3335" width="32.625" customWidth="1"/>
    <col min="3336" max="3336" width="24.5" customWidth="1"/>
    <col min="3337" max="3337" width="20.75" customWidth="1"/>
    <col min="3338" max="3339" width="12.625" bestFit="1" customWidth="1"/>
    <col min="3585" max="3585" width="30.75" customWidth="1"/>
    <col min="3586" max="3586" width="49.25" customWidth="1"/>
    <col min="3587" max="3587" width="46.125" customWidth="1"/>
    <col min="3588" max="3588" width="38.5" customWidth="1"/>
    <col min="3589" max="3589" width="26" customWidth="1"/>
    <col min="3590" max="3590" width="39.375" customWidth="1"/>
    <col min="3591" max="3591" width="32.625" customWidth="1"/>
    <col min="3592" max="3592" width="24.5" customWidth="1"/>
    <col min="3593" max="3593" width="20.75" customWidth="1"/>
    <col min="3594" max="3595" width="12.625" bestFit="1" customWidth="1"/>
    <col min="3841" max="3841" width="30.75" customWidth="1"/>
    <col min="3842" max="3842" width="49.25" customWidth="1"/>
    <col min="3843" max="3843" width="46.125" customWidth="1"/>
    <col min="3844" max="3844" width="38.5" customWidth="1"/>
    <col min="3845" max="3845" width="26" customWidth="1"/>
    <col min="3846" max="3846" width="39.375" customWidth="1"/>
    <col min="3847" max="3847" width="32.625" customWidth="1"/>
    <col min="3848" max="3848" width="24.5" customWidth="1"/>
    <col min="3849" max="3849" width="20.75" customWidth="1"/>
    <col min="3850" max="3851" width="12.625" bestFit="1" customWidth="1"/>
    <col min="4097" max="4097" width="30.75" customWidth="1"/>
    <col min="4098" max="4098" width="49.25" customWidth="1"/>
    <col min="4099" max="4099" width="46.125" customWidth="1"/>
    <col min="4100" max="4100" width="38.5" customWidth="1"/>
    <col min="4101" max="4101" width="26" customWidth="1"/>
    <col min="4102" max="4102" width="39.375" customWidth="1"/>
    <col min="4103" max="4103" width="32.625" customWidth="1"/>
    <col min="4104" max="4104" width="24.5" customWidth="1"/>
    <col min="4105" max="4105" width="20.75" customWidth="1"/>
    <col min="4106" max="4107" width="12.625" bestFit="1" customWidth="1"/>
    <col min="4353" max="4353" width="30.75" customWidth="1"/>
    <col min="4354" max="4354" width="49.25" customWidth="1"/>
    <col min="4355" max="4355" width="46.125" customWidth="1"/>
    <col min="4356" max="4356" width="38.5" customWidth="1"/>
    <col min="4357" max="4357" width="26" customWidth="1"/>
    <col min="4358" max="4358" width="39.375" customWidth="1"/>
    <col min="4359" max="4359" width="32.625" customWidth="1"/>
    <col min="4360" max="4360" width="24.5" customWidth="1"/>
    <col min="4361" max="4361" width="20.75" customWidth="1"/>
    <col min="4362" max="4363" width="12.625" bestFit="1" customWidth="1"/>
    <col min="4609" max="4609" width="30.75" customWidth="1"/>
    <col min="4610" max="4610" width="49.25" customWidth="1"/>
    <col min="4611" max="4611" width="46.125" customWidth="1"/>
    <col min="4612" max="4612" width="38.5" customWidth="1"/>
    <col min="4613" max="4613" width="26" customWidth="1"/>
    <col min="4614" max="4614" width="39.375" customWidth="1"/>
    <col min="4615" max="4615" width="32.625" customWidth="1"/>
    <col min="4616" max="4616" width="24.5" customWidth="1"/>
    <col min="4617" max="4617" width="20.75" customWidth="1"/>
    <col min="4618" max="4619" width="12.625" bestFit="1" customWidth="1"/>
    <col min="4865" max="4865" width="30.75" customWidth="1"/>
    <col min="4866" max="4866" width="49.25" customWidth="1"/>
    <col min="4867" max="4867" width="46.125" customWidth="1"/>
    <col min="4868" max="4868" width="38.5" customWidth="1"/>
    <col min="4869" max="4869" width="26" customWidth="1"/>
    <col min="4870" max="4870" width="39.375" customWidth="1"/>
    <col min="4871" max="4871" width="32.625" customWidth="1"/>
    <col min="4872" max="4872" width="24.5" customWidth="1"/>
    <col min="4873" max="4873" width="20.75" customWidth="1"/>
    <col min="4874" max="4875" width="12.625" bestFit="1" customWidth="1"/>
    <col min="5121" max="5121" width="30.75" customWidth="1"/>
    <col min="5122" max="5122" width="49.25" customWidth="1"/>
    <col min="5123" max="5123" width="46.125" customWidth="1"/>
    <col min="5124" max="5124" width="38.5" customWidth="1"/>
    <col min="5125" max="5125" width="26" customWidth="1"/>
    <col min="5126" max="5126" width="39.375" customWidth="1"/>
    <col min="5127" max="5127" width="32.625" customWidth="1"/>
    <col min="5128" max="5128" width="24.5" customWidth="1"/>
    <col min="5129" max="5129" width="20.75" customWidth="1"/>
    <col min="5130" max="5131" width="12.625" bestFit="1" customWidth="1"/>
    <col min="5377" max="5377" width="30.75" customWidth="1"/>
    <col min="5378" max="5378" width="49.25" customWidth="1"/>
    <col min="5379" max="5379" width="46.125" customWidth="1"/>
    <col min="5380" max="5380" width="38.5" customWidth="1"/>
    <col min="5381" max="5381" width="26" customWidth="1"/>
    <col min="5382" max="5382" width="39.375" customWidth="1"/>
    <col min="5383" max="5383" width="32.625" customWidth="1"/>
    <col min="5384" max="5384" width="24.5" customWidth="1"/>
    <col min="5385" max="5385" width="20.75" customWidth="1"/>
    <col min="5386" max="5387" width="12.625" bestFit="1" customWidth="1"/>
    <col min="5633" max="5633" width="30.75" customWidth="1"/>
    <col min="5634" max="5634" width="49.25" customWidth="1"/>
    <col min="5635" max="5635" width="46.125" customWidth="1"/>
    <col min="5636" max="5636" width="38.5" customWidth="1"/>
    <col min="5637" max="5637" width="26" customWidth="1"/>
    <col min="5638" max="5638" width="39.375" customWidth="1"/>
    <col min="5639" max="5639" width="32.625" customWidth="1"/>
    <col min="5640" max="5640" width="24.5" customWidth="1"/>
    <col min="5641" max="5641" width="20.75" customWidth="1"/>
    <col min="5642" max="5643" width="12.625" bestFit="1" customWidth="1"/>
    <col min="5889" max="5889" width="30.75" customWidth="1"/>
    <col min="5890" max="5890" width="49.25" customWidth="1"/>
    <col min="5891" max="5891" width="46.125" customWidth="1"/>
    <col min="5892" max="5892" width="38.5" customWidth="1"/>
    <col min="5893" max="5893" width="26" customWidth="1"/>
    <col min="5894" max="5894" width="39.375" customWidth="1"/>
    <col min="5895" max="5895" width="32.625" customWidth="1"/>
    <col min="5896" max="5896" width="24.5" customWidth="1"/>
    <col min="5897" max="5897" width="20.75" customWidth="1"/>
    <col min="5898" max="5899" width="12.625" bestFit="1" customWidth="1"/>
    <col min="6145" max="6145" width="30.75" customWidth="1"/>
    <col min="6146" max="6146" width="49.25" customWidth="1"/>
    <col min="6147" max="6147" width="46.125" customWidth="1"/>
    <col min="6148" max="6148" width="38.5" customWidth="1"/>
    <col min="6149" max="6149" width="26" customWidth="1"/>
    <col min="6150" max="6150" width="39.375" customWidth="1"/>
    <col min="6151" max="6151" width="32.625" customWidth="1"/>
    <col min="6152" max="6152" width="24.5" customWidth="1"/>
    <col min="6153" max="6153" width="20.75" customWidth="1"/>
    <col min="6154" max="6155" width="12.625" bestFit="1" customWidth="1"/>
    <col min="6401" max="6401" width="30.75" customWidth="1"/>
    <col min="6402" max="6402" width="49.25" customWidth="1"/>
    <col min="6403" max="6403" width="46.125" customWidth="1"/>
    <col min="6404" max="6404" width="38.5" customWidth="1"/>
    <col min="6405" max="6405" width="26" customWidth="1"/>
    <col min="6406" max="6406" width="39.375" customWidth="1"/>
    <col min="6407" max="6407" width="32.625" customWidth="1"/>
    <col min="6408" max="6408" width="24.5" customWidth="1"/>
    <col min="6409" max="6409" width="20.75" customWidth="1"/>
    <col min="6410" max="6411" width="12.625" bestFit="1" customWidth="1"/>
    <col min="6657" max="6657" width="30.75" customWidth="1"/>
    <col min="6658" max="6658" width="49.25" customWidth="1"/>
    <col min="6659" max="6659" width="46.125" customWidth="1"/>
    <col min="6660" max="6660" width="38.5" customWidth="1"/>
    <col min="6661" max="6661" width="26" customWidth="1"/>
    <col min="6662" max="6662" width="39.375" customWidth="1"/>
    <col min="6663" max="6663" width="32.625" customWidth="1"/>
    <col min="6664" max="6664" width="24.5" customWidth="1"/>
    <col min="6665" max="6665" width="20.75" customWidth="1"/>
    <col min="6666" max="6667" width="12.625" bestFit="1" customWidth="1"/>
    <col min="6913" max="6913" width="30.75" customWidth="1"/>
    <col min="6914" max="6914" width="49.25" customWidth="1"/>
    <col min="6915" max="6915" width="46.125" customWidth="1"/>
    <col min="6916" max="6916" width="38.5" customWidth="1"/>
    <col min="6917" max="6917" width="26" customWidth="1"/>
    <col min="6918" max="6918" width="39.375" customWidth="1"/>
    <col min="6919" max="6919" width="32.625" customWidth="1"/>
    <col min="6920" max="6920" width="24.5" customWidth="1"/>
    <col min="6921" max="6921" width="20.75" customWidth="1"/>
    <col min="6922" max="6923" width="12.625" bestFit="1" customWidth="1"/>
    <col min="7169" max="7169" width="30.75" customWidth="1"/>
    <col min="7170" max="7170" width="49.25" customWidth="1"/>
    <col min="7171" max="7171" width="46.125" customWidth="1"/>
    <col min="7172" max="7172" width="38.5" customWidth="1"/>
    <col min="7173" max="7173" width="26" customWidth="1"/>
    <col min="7174" max="7174" width="39.375" customWidth="1"/>
    <col min="7175" max="7175" width="32.625" customWidth="1"/>
    <col min="7176" max="7176" width="24.5" customWidth="1"/>
    <col min="7177" max="7177" width="20.75" customWidth="1"/>
    <col min="7178" max="7179" width="12.625" bestFit="1" customWidth="1"/>
    <col min="7425" max="7425" width="30.75" customWidth="1"/>
    <col min="7426" max="7426" width="49.25" customWidth="1"/>
    <col min="7427" max="7427" width="46.125" customWidth="1"/>
    <col min="7428" max="7428" width="38.5" customWidth="1"/>
    <col min="7429" max="7429" width="26" customWidth="1"/>
    <col min="7430" max="7430" width="39.375" customWidth="1"/>
    <col min="7431" max="7431" width="32.625" customWidth="1"/>
    <col min="7432" max="7432" width="24.5" customWidth="1"/>
    <col min="7433" max="7433" width="20.75" customWidth="1"/>
    <col min="7434" max="7435" width="12.625" bestFit="1" customWidth="1"/>
    <col min="7681" max="7681" width="30.75" customWidth="1"/>
    <col min="7682" max="7682" width="49.25" customWidth="1"/>
    <col min="7683" max="7683" width="46.125" customWidth="1"/>
    <col min="7684" max="7684" width="38.5" customWidth="1"/>
    <col min="7685" max="7685" width="26" customWidth="1"/>
    <col min="7686" max="7686" width="39.375" customWidth="1"/>
    <col min="7687" max="7687" width="32.625" customWidth="1"/>
    <col min="7688" max="7688" width="24.5" customWidth="1"/>
    <col min="7689" max="7689" width="20.75" customWidth="1"/>
    <col min="7690" max="7691" width="12.625" bestFit="1" customWidth="1"/>
    <col min="7937" max="7937" width="30.75" customWidth="1"/>
    <col min="7938" max="7938" width="49.25" customWidth="1"/>
    <col min="7939" max="7939" width="46.125" customWidth="1"/>
    <col min="7940" max="7940" width="38.5" customWidth="1"/>
    <col min="7941" max="7941" width="26" customWidth="1"/>
    <col min="7942" max="7942" width="39.375" customWidth="1"/>
    <col min="7943" max="7943" width="32.625" customWidth="1"/>
    <col min="7944" max="7944" width="24.5" customWidth="1"/>
    <col min="7945" max="7945" width="20.75" customWidth="1"/>
    <col min="7946" max="7947" width="12.625" bestFit="1" customWidth="1"/>
    <col min="8193" max="8193" width="30.75" customWidth="1"/>
    <col min="8194" max="8194" width="49.25" customWidth="1"/>
    <col min="8195" max="8195" width="46.125" customWidth="1"/>
    <col min="8196" max="8196" width="38.5" customWidth="1"/>
    <col min="8197" max="8197" width="26" customWidth="1"/>
    <col min="8198" max="8198" width="39.375" customWidth="1"/>
    <col min="8199" max="8199" width="32.625" customWidth="1"/>
    <col min="8200" max="8200" width="24.5" customWidth="1"/>
    <col min="8201" max="8201" width="20.75" customWidth="1"/>
    <col min="8202" max="8203" width="12.625" bestFit="1" customWidth="1"/>
    <col min="8449" max="8449" width="30.75" customWidth="1"/>
    <col min="8450" max="8450" width="49.25" customWidth="1"/>
    <col min="8451" max="8451" width="46.125" customWidth="1"/>
    <col min="8452" max="8452" width="38.5" customWidth="1"/>
    <col min="8453" max="8453" width="26" customWidth="1"/>
    <col min="8454" max="8454" width="39.375" customWidth="1"/>
    <col min="8455" max="8455" width="32.625" customWidth="1"/>
    <col min="8456" max="8456" width="24.5" customWidth="1"/>
    <col min="8457" max="8457" width="20.75" customWidth="1"/>
    <col min="8458" max="8459" width="12.625" bestFit="1" customWidth="1"/>
    <col min="8705" max="8705" width="30.75" customWidth="1"/>
    <col min="8706" max="8706" width="49.25" customWidth="1"/>
    <col min="8707" max="8707" width="46.125" customWidth="1"/>
    <col min="8708" max="8708" width="38.5" customWidth="1"/>
    <col min="8709" max="8709" width="26" customWidth="1"/>
    <col min="8710" max="8710" width="39.375" customWidth="1"/>
    <col min="8711" max="8711" width="32.625" customWidth="1"/>
    <col min="8712" max="8712" width="24.5" customWidth="1"/>
    <col min="8713" max="8713" width="20.75" customWidth="1"/>
    <col min="8714" max="8715" width="12.625" bestFit="1" customWidth="1"/>
    <col min="8961" max="8961" width="30.75" customWidth="1"/>
    <col min="8962" max="8962" width="49.25" customWidth="1"/>
    <col min="8963" max="8963" width="46.125" customWidth="1"/>
    <col min="8964" max="8964" width="38.5" customWidth="1"/>
    <col min="8965" max="8965" width="26" customWidth="1"/>
    <col min="8966" max="8966" width="39.375" customWidth="1"/>
    <col min="8967" max="8967" width="32.625" customWidth="1"/>
    <col min="8968" max="8968" width="24.5" customWidth="1"/>
    <col min="8969" max="8969" width="20.75" customWidth="1"/>
    <col min="8970" max="8971" width="12.625" bestFit="1" customWidth="1"/>
    <col min="9217" max="9217" width="30.75" customWidth="1"/>
    <col min="9218" max="9218" width="49.25" customWidth="1"/>
    <col min="9219" max="9219" width="46.125" customWidth="1"/>
    <col min="9220" max="9220" width="38.5" customWidth="1"/>
    <col min="9221" max="9221" width="26" customWidth="1"/>
    <col min="9222" max="9222" width="39.375" customWidth="1"/>
    <col min="9223" max="9223" width="32.625" customWidth="1"/>
    <col min="9224" max="9224" width="24.5" customWidth="1"/>
    <col min="9225" max="9225" width="20.75" customWidth="1"/>
    <col min="9226" max="9227" width="12.625" bestFit="1" customWidth="1"/>
    <col min="9473" max="9473" width="30.75" customWidth="1"/>
    <col min="9474" max="9474" width="49.25" customWidth="1"/>
    <col min="9475" max="9475" width="46.125" customWidth="1"/>
    <col min="9476" max="9476" width="38.5" customWidth="1"/>
    <col min="9477" max="9477" width="26" customWidth="1"/>
    <col min="9478" max="9478" width="39.375" customWidth="1"/>
    <col min="9479" max="9479" width="32.625" customWidth="1"/>
    <col min="9480" max="9480" width="24.5" customWidth="1"/>
    <col min="9481" max="9481" width="20.75" customWidth="1"/>
    <col min="9482" max="9483" width="12.625" bestFit="1" customWidth="1"/>
    <col min="9729" max="9729" width="30.75" customWidth="1"/>
    <col min="9730" max="9730" width="49.25" customWidth="1"/>
    <col min="9731" max="9731" width="46.125" customWidth="1"/>
    <col min="9732" max="9732" width="38.5" customWidth="1"/>
    <col min="9733" max="9733" width="26" customWidth="1"/>
    <col min="9734" max="9734" width="39.375" customWidth="1"/>
    <col min="9735" max="9735" width="32.625" customWidth="1"/>
    <col min="9736" max="9736" width="24.5" customWidth="1"/>
    <col min="9737" max="9737" width="20.75" customWidth="1"/>
    <col min="9738" max="9739" width="12.625" bestFit="1" customWidth="1"/>
    <col min="9985" max="9985" width="30.75" customWidth="1"/>
    <col min="9986" max="9986" width="49.25" customWidth="1"/>
    <col min="9987" max="9987" width="46.125" customWidth="1"/>
    <col min="9988" max="9988" width="38.5" customWidth="1"/>
    <col min="9989" max="9989" width="26" customWidth="1"/>
    <col min="9990" max="9990" width="39.375" customWidth="1"/>
    <col min="9991" max="9991" width="32.625" customWidth="1"/>
    <col min="9992" max="9992" width="24.5" customWidth="1"/>
    <col min="9993" max="9993" width="20.75" customWidth="1"/>
    <col min="9994" max="9995" width="12.625" bestFit="1" customWidth="1"/>
    <col min="10241" max="10241" width="30.75" customWidth="1"/>
    <col min="10242" max="10242" width="49.25" customWidth="1"/>
    <col min="10243" max="10243" width="46.125" customWidth="1"/>
    <col min="10244" max="10244" width="38.5" customWidth="1"/>
    <col min="10245" max="10245" width="26" customWidth="1"/>
    <col min="10246" max="10246" width="39.375" customWidth="1"/>
    <col min="10247" max="10247" width="32.625" customWidth="1"/>
    <col min="10248" max="10248" width="24.5" customWidth="1"/>
    <col min="10249" max="10249" width="20.75" customWidth="1"/>
    <col min="10250" max="10251" width="12.625" bestFit="1" customWidth="1"/>
    <col min="10497" max="10497" width="30.75" customWidth="1"/>
    <col min="10498" max="10498" width="49.25" customWidth="1"/>
    <col min="10499" max="10499" width="46.125" customWidth="1"/>
    <col min="10500" max="10500" width="38.5" customWidth="1"/>
    <col min="10501" max="10501" width="26" customWidth="1"/>
    <col min="10502" max="10502" width="39.375" customWidth="1"/>
    <col min="10503" max="10503" width="32.625" customWidth="1"/>
    <col min="10504" max="10504" width="24.5" customWidth="1"/>
    <col min="10505" max="10505" width="20.75" customWidth="1"/>
    <col min="10506" max="10507" width="12.625" bestFit="1" customWidth="1"/>
    <col min="10753" max="10753" width="30.75" customWidth="1"/>
    <col min="10754" max="10754" width="49.25" customWidth="1"/>
    <col min="10755" max="10755" width="46.125" customWidth="1"/>
    <col min="10756" max="10756" width="38.5" customWidth="1"/>
    <col min="10757" max="10757" width="26" customWidth="1"/>
    <col min="10758" max="10758" width="39.375" customWidth="1"/>
    <col min="10759" max="10759" width="32.625" customWidth="1"/>
    <col min="10760" max="10760" width="24.5" customWidth="1"/>
    <col min="10761" max="10761" width="20.75" customWidth="1"/>
    <col min="10762" max="10763" width="12.625" bestFit="1" customWidth="1"/>
    <col min="11009" max="11009" width="30.75" customWidth="1"/>
    <col min="11010" max="11010" width="49.25" customWidth="1"/>
    <col min="11011" max="11011" width="46.125" customWidth="1"/>
    <col min="11012" max="11012" width="38.5" customWidth="1"/>
    <col min="11013" max="11013" width="26" customWidth="1"/>
    <col min="11014" max="11014" width="39.375" customWidth="1"/>
    <col min="11015" max="11015" width="32.625" customWidth="1"/>
    <col min="11016" max="11016" width="24.5" customWidth="1"/>
    <col min="11017" max="11017" width="20.75" customWidth="1"/>
    <col min="11018" max="11019" width="12.625" bestFit="1" customWidth="1"/>
    <col min="11265" max="11265" width="30.75" customWidth="1"/>
    <col min="11266" max="11266" width="49.25" customWidth="1"/>
    <col min="11267" max="11267" width="46.125" customWidth="1"/>
    <col min="11268" max="11268" width="38.5" customWidth="1"/>
    <col min="11269" max="11269" width="26" customWidth="1"/>
    <col min="11270" max="11270" width="39.375" customWidth="1"/>
    <col min="11271" max="11271" width="32.625" customWidth="1"/>
    <col min="11272" max="11272" width="24.5" customWidth="1"/>
    <col min="11273" max="11273" width="20.75" customWidth="1"/>
    <col min="11274" max="11275" width="12.625" bestFit="1" customWidth="1"/>
    <col min="11521" max="11521" width="30.75" customWidth="1"/>
    <col min="11522" max="11522" width="49.25" customWidth="1"/>
    <col min="11523" max="11523" width="46.125" customWidth="1"/>
    <col min="11524" max="11524" width="38.5" customWidth="1"/>
    <col min="11525" max="11525" width="26" customWidth="1"/>
    <col min="11526" max="11526" width="39.375" customWidth="1"/>
    <col min="11527" max="11527" width="32.625" customWidth="1"/>
    <col min="11528" max="11528" width="24.5" customWidth="1"/>
    <col min="11529" max="11529" width="20.75" customWidth="1"/>
    <col min="11530" max="11531" width="12.625" bestFit="1" customWidth="1"/>
    <col min="11777" max="11777" width="30.75" customWidth="1"/>
    <col min="11778" max="11778" width="49.25" customWidth="1"/>
    <col min="11779" max="11779" width="46.125" customWidth="1"/>
    <col min="11780" max="11780" width="38.5" customWidth="1"/>
    <col min="11781" max="11781" width="26" customWidth="1"/>
    <col min="11782" max="11782" width="39.375" customWidth="1"/>
    <col min="11783" max="11783" width="32.625" customWidth="1"/>
    <col min="11784" max="11784" width="24.5" customWidth="1"/>
    <col min="11785" max="11785" width="20.75" customWidth="1"/>
    <col min="11786" max="11787" width="12.625" bestFit="1" customWidth="1"/>
    <col min="12033" max="12033" width="30.75" customWidth="1"/>
    <col min="12034" max="12034" width="49.25" customWidth="1"/>
    <col min="12035" max="12035" width="46.125" customWidth="1"/>
    <col min="12036" max="12036" width="38.5" customWidth="1"/>
    <col min="12037" max="12037" width="26" customWidth="1"/>
    <col min="12038" max="12038" width="39.375" customWidth="1"/>
    <col min="12039" max="12039" width="32.625" customWidth="1"/>
    <col min="12040" max="12040" width="24.5" customWidth="1"/>
    <col min="12041" max="12041" width="20.75" customWidth="1"/>
    <col min="12042" max="12043" width="12.625" bestFit="1" customWidth="1"/>
    <col min="12289" max="12289" width="30.75" customWidth="1"/>
    <col min="12290" max="12290" width="49.25" customWidth="1"/>
    <col min="12291" max="12291" width="46.125" customWidth="1"/>
    <col min="12292" max="12292" width="38.5" customWidth="1"/>
    <col min="12293" max="12293" width="26" customWidth="1"/>
    <col min="12294" max="12294" width="39.375" customWidth="1"/>
    <col min="12295" max="12295" width="32.625" customWidth="1"/>
    <col min="12296" max="12296" width="24.5" customWidth="1"/>
    <col min="12297" max="12297" width="20.75" customWidth="1"/>
    <col min="12298" max="12299" width="12.625" bestFit="1" customWidth="1"/>
    <col min="12545" max="12545" width="30.75" customWidth="1"/>
    <col min="12546" max="12546" width="49.25" customWidth="1"/>
    <col min="12547" max="12547" width="46.125" customWidth="1"/>
    <col min="12548" max="12548" width="38.5" customWidth="1"/>
    <col min="12549" max="12549" width="26" customWidth="1"/>
    <col min="12550" max="12550" width="39.375" customWidth="1"/>
    <col min="12551" max="12551" width="32.625" customWidth="1"/>
    <col min="12552" max="12552" width="24.5" customWidth="1"/>
    <col min="12553" max="12553" width="20.75" customWidth="1"/>
    <col min="12554" max="12555" width="12.625" bestFit="1" customWidth="1"/>
    <col min="12801" max="12801" width="30.75" customWidth="1"/>
    <col min="12802" max="12802" width="49.25" customWidth="1"/>
    <col min="12803" max="12803" width="46.125" customWidth="1"/>
    <col min="12804" max="12804" width="38.5" customWidth="1"/>
    <col min="12805" max="12805" width="26" customWidth="1"/>
    <col min="12806" max="12806" width="39.375" customWidth="1"/>
    <col min="12807" max="12807" width="32.625" customWidth="1"/>
    <col min="12808" max="12808" width="24.5" customWidth="1"/>
    <col min="12809" max="12809" width="20.75" customWidth="1"/>
    <col min="12810" max="12811" width="12.625" bestFit="1" customWidth="1"/>
    <col min="13057" max="13057" width="30.75" customWidth="1"/>
    <col min="13058" max="13058" width="49.25" customWidth="1"/>
    <col min="13059" max="13059" width="46.125" customWidth="1"/>
    <col min="13060" max="13060" width="38.5" customWidth="1"/>
    <col min="13061" max="13061" width="26" customWidth="1"/>
    <col min="13062" max="13062" width="39.375" customWidth="1"/>
    <col min="13063" max="13063" width="32.625" customWidth="1"/>
    <col min="13064" max="13064" width="24.5" customWidth="1"/>
    <col min="13065" max="13065" width="20.75" customWidth="1"/>
    <col min="13066" max="13067" width="12.625" bestFit="1" customWidth="1"/>
    <col min="13313" max="13313" width="30.75" customWidth="1"/>
    <col min="13314" max="13314" width="49.25" customWidth="1"/>
    <col min="13315" max="13315" width="46.125" customWidth="1"/>
    <col min="13316" max="13316" width="38.5" customWidth="1"/>
    <col min="13317" max="13317" width="26" customWidth="1"/>
    <col min="13318" max="13318" width="39.375" customWidth="1"/>
    <col min="13319" max="13319" width="32.625" customWidth="1"/>
    <col min="13320" max="13320" width="24.5" customWidth="1"/>
    <col min="13321" max="13321" width="20.75" customWidth="1"/>
    <col min="13322" max="13323" width="12.625" bestFit="1" customWidth="1"/>
    <col min="13569" max="13569" width="30.75" customWidth="1"/>
    <col min="13570" max="13570" width="49.25" customWidth="1"/>
    <col min="13571" max="13571" width="46.125" customWidth="1"/>
    <col min="13572" max="13572" width="38.5" customWidth="1"/>
    <col min="13573" max="13573" width="26" customWidth="1"/>
    <col min="13574" max="13574" width="39.375" customWidth="1"/>
    <col min="13575" max="13575" width="32.625" customWidth="1"/>
    <col min="13576" max="13576" width="24.5" customWidth="1"/>
    <col min="13577" max="13577" width="20.75" customWidth="1"/>
    <col min="13578" max="13579" width="12.625" bestFit="1" customWidth="1"/>
    <col min="13825" max="13825" width="30.75" customWidth="1"/>
    <col min="13826" max="13826" width="49.25" customWidth="1"/>
    <col min="13827" max="13827" width="46.125" customWidth="1"/>
    <col min="13828" max="13828" width="38.5" customWidth="1"/>
    <col min="13829" max="13829" width="26" customWidth="1"/>
    <col min="13830" max="13830" width="39.375" customWidth="1"/>
    <col min="13831" max="13831" width="32.625" customWidth="1"/>
    <col min="13832" max="13832" width="24.5" customWidth="1"/>
    <col min="13833" max="13833" width="20.75" customWidth="1"/>
    <col min="13834" max="13835" width="12.625" bestFit="1" customWidth="1"/>
    <col min="14081" max="14081" width="30.75" customWidth="1"/>
    <col min="14082" max="14082" width="49.25" customWidth="1"/>
    <col min="14083" max="14083" width="46.125" customWidth="1"/>
    <col min="14084" max="14084" width="38.5" customWidth="1"/>
    <col min="14085" max="14085" width="26" customWidth="1"/>
    <col min="14086" max="14086" width="39.375" customWidth="1"/>
    <col min="14087" max="14087" width="32.625" customWidth="1"/>
    <col min="14088" max="14088" width="24.5" customWidth="1"/>
    <col min="14089" max="14089" width="20.75" customWidth="1"/>
    <col min="14090" max="14091" width="12.625" bestFit="1" customWidth="1"/>
    <col min="14337" max="14337" width="30.75" customWidth="1"/>
    <col min="14338" max="14338" width="49.25" customWidth="1"/>
    <col min="14339" max="14339" width="46.125" customWidth="1"/>
    <col min="14340" max="14340" width="38.5" customWidth="1"/>
    <col min="14341" max="14341" width="26" customWidth="1"/>
    <col min="14342" max="14342" width="39.375" customWidth="1"/>
    <col min="14343" max="14343" width="32.625" customWidth="1"/>
    <col min="14344" max="14344" width="24.5" customWidth="1"/>
    <col min="14345" max="14345" width="20.75" customWidth="1"/>
    <col min="14346" max="14347" width="12.625" bestFit="1" customWidth="1"/>
    <col min="14593" max="14593" width="30.75" customWidth="1"/>
    <col min="14594" max="14594" width="49.25" customWidth="1"/>
    <col min="14595" max="14595" width="46.125" customWidth="1"/>
    <col min="14596" max="14596" width="38.5" customWidth="1"/>
    <col min="14597" max="14597" width="26" customWidth="1"/>
    <col min="14598" max="14598" width="39.375" customWidth="1"/>
    <col min="14599" max="14599" width="32.625" customWidth="1"/>
    <col min="14600" max="14600" width="24.5" customWidth="1"/>
    <col min="14601" max="14601" width="20.75" customWidth="1"/>
    <col min="14602" max="14603" width="12.625" bestFit="1" customWidth="1"/>
    <col min="14849" max="14849" width="30.75" customWidth="1"/>
    <col min="14850" max="14850" width="49.25" customWidth="1"/>
    <col min="14851" max="14851" width="46.125" customWidth="1"/>
    <col min="14852" max="14852" width="38.5" customWidth="1"/>
    <col min="14853" max="14853" width="26" customWidth="1"/>
    <col min="14854" max="14854" width="39.375" customWidth="1"/>
    <col min="14855" max="14855" width="32.625" customWidth="1"/>
    <col min="14856" max="14856" width="24.5" customWidth="1"/>
    <col min="14857" max="14857" width="20.75" customWidth="1"/>
    <col min="14858" max="14859" width="12.625" bestFit="1" customWidth="1"/>
    <col min="15105" max="15105" width="30.75" customWidth="1"/>
    <col min="15106" max="15106" width="49.25" customWidth="1"/>
    <col min="15107" max="15107" width="46.125" customWidth="1"/>
    <col min="15108" max="15108" width="38.5" customWidth="1"/>
    <col min="15109" max="15109" width="26" customWidth="1"/>
    <col min="15110" max="15110" width="39.375" customWidth="1"/>
    <col min="15111" max="15111" width="32.625" customWidth="1"/>
    <col min="15112" max="15112" width="24.5" customWidth="1"/>
    <col min="15113" max="15113" width="20.75" customWidth="1"/>
    <col min="15114" max="15115" width="12.625" bestFit="1" customWidth="1"/>
    <col min="15361" max="15361" width="30.75" customWidth="1"/>
    <col min="15362" max="15362" width="49.25" customWidth="1"/>
    <col min="15363" max="15363" width="46.125" customWidth="1"/>
    <col min="15364" max="15364" width="38.5" customWidth="1"/>
    <col min="15365" max="15365" width="26" customWidth="1"/>
    <col min="15366" max="15366" width="39.375" customWidth="1"/>
    <col min="15367" max="15367" width="32.625" customWidth="1"/>
    <col min="15368" max="15368" width="24.5" customWidth="1"/>
    <col min="15369" max="15369" width="20.75" customWidth="1"/>
    <col min="15370" max="15371" width="12.625" bestFit="1" customWidth="1"/>
    <col min="15617" max="15617" width="30.75" customWidth="1"/>
    <col min="15618" max="15618" width="49.25" customWidth="1"/>
    <col min="15619" max="15619" width="46.125" customWidth="1"/>
    <col min="15620" max="15620" width="38.5" customWidth="1"/>
    <col min="15621" max="15621" width="26" customWidth="1"/>
    <col min="15622" max="15622" width="39.375" customWidth="1"/>
    <col min="15623" max="15623" width="32.625" customWidth="1"/>
    <col min="15624" max="15624" width="24.5" customWidth="1"/>
    <col min="15625" max="15625" width="20.75" customWidth="1"/>
    <col min="15626" max="15627" width="12.625" bestFit="1" customWidth="1"/>
    <col min="15873" max="15873" width="30.75" customWidth="1"/>
    <col min="15874" max="15874" width="49.25" customWidth="1"/>
    <col min="15875" max="15875" width="46.125" customWidth="1"/>
    <col min="15876" max="15876" width="38.5" customWidth="1"/>
    <col min="15877" max="15877" width="26" customWidth="1"/>
    <col min="15878" max="15878" width="39.375" customWidth="1"/>
    <col min="15879" max="15879" width="32.625" customWidth="1"/>
    <col min="15880" max="15880" width="24.5" customWidth="1"/>
    <col min="15881" max="15881" width="20.75" customWidth="1"/>
    <col min="15882" max="15883" width="12.625" bestFit="1" customWidth="1"/>
    <col min="16129" max="16129" width="30.75" customWidth="1"/>
    <col min="16130" max="16130" width="49.25" customWidth="1"/>
    <col min="16131" max="16131" width="46.125" customWidth="1"/>
    <col min="16132" max="16132" width="38.5" customWidth="1"/>
    <col min="16133" max="16133" width="26" customWidth="1"/>
    <col min="16134" max="16134" width="39.375" customWidth="1"/>
    <col min="16135" max="16135" width="32.625" customWidth="1"/>
    <col min="16136" max="16136" width="24.5" customWidth="1"/>
    <col min="16137" max="16137" width="20.75" customWidth="1"/>
    <col min="16138" max="16139" width="12.625" bestFit="1" customWidth="1"/>
  </cols>
  <sheetData>
    <row r="13" spans="1:5" ht="15">
      <c r="A13" s="76" t="s">
        <v>1995</v>
      </c>
      <c r="B13" s="77" t="s">
        <v>158</v>
      </c>
      <c r="C13" s="77" t="s">
        <v>33</v>
      </c>
      <c r="D13" s="507" t="s">
        <v>34</v>
      </c>
      <c r="E13" s="78" t="s">
        <v>1996</v>
      </c>
    </row>
    <row r="14" spans="1:5" ht="14.25">
      <c r="A14" s="496" t="s">
        <v>1997</v>
      </c>
      <c r="B14" s="58">
        <v>8</v>
      </c>
      <c r="C14" s="58" t="s">
        <v>1989</v>
      </c>
      <c r="D14" s="41">
        <v>2800</v>
      </c>
      <c r="E14" s="29">
        <v>0.78</v>
      </c>
    </row>
    <row r="15" spans="1:5" ht="14.25">
      <c r="A15" s="496" t="s">
        <v>1997</v>
      </c>
      <c r="B15" s="58">
        <v>8</v>
      </c>
      <c r="C15" s="58" t="s">
        <v>182</v>
      </c>
      <c r="D15" s="41">
        <v>600</v>
      </c>
      <c r="E15" s="29">
        <v>0.78</v>
      </c>
    </row>
    <row r="16" spans="1:5" ht="14.25">
      <c r="A16" s="496" t="s">
        <v>1997</v>
      </c>
      <c r="B16" s="58">
        <v>8</v>
      </c>
      <c r="C16" s="58" t="s">
        <v>1998</v>
      </c>
      <c r="D16" s="41">
        <v>100</v>
      </c>
      <c r="E16" s="29">
        <v>0.78</v>
      </c>
    </row>
    <row r="17" spans="1:7" ht="14.25">
      <c r="A17" s="496" t="s">
        <v>1997</v>
      </c>
      <c r="B17" s="58">
        <v>8</v>
      </c>
      <c r="C17" s="58" t="s">
        <v>1999</v>
      </c>
      <c r="D17" s="41">
        <v>700</v>
      </c>
      <c r="E17" s="29">
        <v>0.78</v>
      </c>
    </row>
    <row r="18" spans="1:7" ht="14.25">
      <c r="A18" s="496"/>
      <c r="B18" s="58"/>
      <c r="C18" s="58" t="s">
        <v>123</v>
      </c>
      <c r="D18" s="79" t="s">
        <v>118</v>
      </c>
      <c r="E18" s="29">
        <v>450</v>
      </c>
    </row>
    <row r="24" spans="1:7" ht="15">
      <c r="A24" s="76" t="s">
        <v>1995</v>
      </c>
      <c r="B24" s="77" t="s">
        <v>33</v>
      </c>
      <c r="C24" s="78" t="s">
        <v>2000</v>
      </c>
      <c r="D24" s="78" t="s">
        <v>2001</v>
      </c>
      <c r="E24" s="507" t="s">
        <v>110</v>
      </c>
      <c r="F24" s="507" t="s">
        <v>2002</v>
      </c>
      <c r="G24" s="78" t="s">
        <v>2003</v>
      </c>
    </row>
    <row r="25" spans="1:7" ht="14.25">
      <c r="A25" s="496">
        <v>23398</v>
      </c>
      <c r="B25" s="58" t="s">
        <v>113</v>
      </c>
      <c r="C25" s="41">
        <v>14</v>
      </c>
      <c r="D25" s="51">
        <v>97</v>
      </c>
      <c r="E25" s="25">
        <v>1358</v>
      </c>
      <c r="F25" s="508">
        <v>1485</v>
      </c>
      <c r="G25" s="29">
        <v>7.29</v>
      </c>
    </row>
    <row r="26" spans="1:7" ht="14.25">
      <c r="A26" s="496">
        <v>23398</v>
      </c>
      <c r="B26" s="58" t="s">
        <v>2004</v>
      </c>
      <c r="C26" s="41">
        <v>14</v>
      </c>
      <c r="D26" s="51">
        <v>258</v>
      </c>
      <c r="E26" s="25">
        <v>3612</v>
      </c>
      <c r="F26" s="508">
        <v>3950</v>
      </c>
      <c r="G26" s="29">
        <v>7.29</v>
      </c>
    </row>
    <row r="27" spans="1:7" ht="14.25">
      <c r="A27" s="496" t="s">
        <v>2005</v>
      </c>
      <c r="B27" s="58" t="s">
        <v>36</v>
      </c>
      <c r="C27" s="41">
        <v>14</v>
      </c>
      <c r="D27" s="51">
        <v>290</v>
      </c>
      <c r="E27" s="41">
        <v>4060</v>
      </c>
      <c r="F27" s="508">
        <v>4440</v>
      </c>
      <c r="G27" s="29">
        <v>2.2999999999999998</v>
      </c>
    </row>
    <row r="28" spans="1:7" ht="14.25">
      <c r="A28" s="496" t="s">
        <v>178</v>
      </c>
      <c r="B28" s="58" t="s">
        <v>55</v>
      </c>
      <c r="C28" s="41">
        <v>14</v>
      </c>
      <c r="D28" s="51">
        <v>340</v>
      </c>
      <c r="E28" s="41">
        <v>4760</v>
      </c>
      <c r="F28" s="508">
        <v>5206</v>
      </c>
      <c r="G28" s="29">
        <v>2.2999999999999998</v>
      </c>
    </row>
    <row r="29" spans="1:7" ht="14.25">
      <c r="A29" s="496">
        <v>23350</v>
      </c>
      <c r="B29" s="58" t="s">
        <v>113</v>
      </c>
      <c r="C29" s="41">
        <v>14</v>
      </c>
      <c r="D29" s="51">
        <v>212</v>
      </c>
      <c r="E29" s="25">
        <v>2968</v>
      </c>
      <c r="F29" s="508">
        <v>3246</v>
      </c>
      <c r="G29" s="29">
        <v>3.11</v>
      </c>
    </row>
    <row r="30" spans="1:7" ht="14.25">
      <c r="A30" s="496">
        <v>23350</v>
      </c>
      <c r="B30" s="58" t="s">
        <v>55</v>
      </c>
      <c r="C30" s="41">
        <v>14</v>
      </c>
      <c r="D30" s="51">
        <v>238</v>
      </c>
      <c r="E30" s="25">
        <v>3332</v>
      </c>
      <c r="F30" s="508">
        <v>3644</v>
      </c>
      <c r="G30" s="29">
        <v>3.11</v>
      </c>
    </row>
    <row r="31" spans="1:7" ht="14.25">
      <c r="A31" s="496">
        <v>23423</v>
      </c>
      <c r="B31" s="58" t="s">
        <v>113</v>
      </c>
      <c r="C31" s="41">
        <v>14</v>
      </c>
      <c r="D31" s="51">
        <v>150</v>
      </c>
      <c r="E31" s="25">
        <v>2100</v>
      </c>
      <c r="F31" s="508">
        <v>2297</v>
      </c>
      <c r="G31" s="29">
        <v>1.84</v>
      </c>
    </row>
    <row r="32" spans="1:7" ht="14.25">
      <c r="A32" s="496">
        <v>23423</v>
      </c>
      <c r="B32" s="58" t="s">
        <v>55</v>
      </c>
      <c r="C32" s="41">
        <v>14</v>
      </c>
      <c r="D32" s="51">
        <v>77</v>
      </c>
      <c r="E32" s="25">
        <v>1078</v>
      </c>
      <c r="F32" s="508">
        <v>1179</v>
      </c>
      <c r="G32" s="29">
        <v>1.84</v>
      </c>
    </row>
    <row r="35" spans="1:9" ht="14.25">
      <c r="A35" s="509">
        <v>23398</v>
      </c>
      <c r="B35" s="510"/>
      <c r="C35" s="510" t="s">
        <v>2006</v>
      </c>
      <c r="D35" s="511">
        <v>1358</v>
      </c>
      <c r="E35" s="512">
        <v>14</v>
      </c>
      <c r="F35" s="513">
        <v>97</v>
      </c>
    </row>
    <row r="36" spans="1:9" ht="14.25">
      <c r="A36" s="509">
        <v>23398</v>
      </c>
      <c r="B36" s="510"/>
      <c r="C36" s="510" t="s">
        <v>2007</v>
      </c>
      <c r="D36" s="511">
        <v>3612</v>
      </c>
      <c r="E36" s="512">
        <v>14</v>
      </c>
      <c r="F36" s="513">
        <v>258</v>
      </c>
    </row>
    <row r="37" spans="1:9" ht="14.25">
      <c r="A37" s="509" t="s">
        <v>2008</v>
      </c>
      <c r="B37" s="510"/>
      <c r="C37" s="510" t="s">
        <v>2009</v>
      </c>
      <c r="D37" s="512">
        <v>4060</v>
      </c>
      <c r="E37" s="512">
        <v>14</v>
      </c>
      <c r="F37" s="513">
        <v>290</v>
      </c>
    </row>
    <row r="38" spans="1:9" ht="14.25">
      <c r="A38" s="509" t="s">
        <v>2010</v>
      </c>
      <c r="B38" s="510"/>
      <c r="C38" s="510" t="s">
        <v>167</v>
      </c>
      <c r="D38" s="512">
        <v>4760</v>
      </c>
      <c r="E38" s="512">
        <v>14</v>
      </c>
      <c r="F38" s="513">
        <v>340</v>
      </c>
    </row>
    <row r="39" spans="1:9" ht="14.25">
      <c r="A39" s="509">
        <v>23350</v>
      </c>
      <c r="B39" s="510"/>
      <c r="C39" s="510" t="s">
        <v>2006</v>
      </c>
      <c r="D39" s="511">
        <v>2968</v>
      </c>
      <c r="E39" s="512">
        <v>14</v>
      </c>
      <c r="F39" s="513">
        <v>212</v>
      </c>
    </row>
    <row r="40" spans="1:9" ht="14.25">
      <c r="A40" s="509">
        <v>23350</v>
      </c>
      <c r="B40" s="510"/>
      <c r="C40" s="510" t="s">
        <v>167</v>
      </c>
      <c r="D40" s="511">
        <v>3332</v>
      </c>
      <c r="E40" s="512">
        <v>14</v>
      </c>
      <c r="F40" s="513">
        <v>238</v>
      </c>
    </row>
    <row r="41" spans="1:9" ht="14.25">
      <c r="A41" s="509">
        <v>23423</v>
      </c>
      <c r="B41" s="510"/>
      <c r="C41" s="510" t="s">
        <v>2006</v>
      </c>
      <c r="D41" s="511">
        <v>2100</v>
      </c>
      <c r="E41" s="512">
        <v>14</v>
      </c>
      <c r="F41" s="513">
        <v>150</v>
      </c>
    </row>
    <row r="42" spans="1:9" ht="14.25">
      <c r="A42" s="509">
        <v>23423</v>
      </c>
      <c r="B42" s="510"/>
      <c r="C42" s="510" t="s">
        <v>167</v>
      </c>
      <c r="D42" s="511">
        <v>1078</v>
      </c>
      <c r="E42" s="512">
        <v>14</v>
      </c>
      <c r="F42" s="513">
        <v>77</v>
      </c>
    </row>
    <row r="43" spans="1:9" ht="14.25">
      <c r="A43" s="116"/>
      <c r="B43" s="116"/>
      <c r="C43" s="116"/>
      <c r="D43" s="116"/>
      <c r="E43" s="116"/>
      <c r="F43" s="116"/>
    </row>
    <row r="46" spans="1:9" ht="14.25">
      <c r="I46" s="116"/>
    </row>
    <row r="47" spans="1:9" ht="15">
      <c r="A47" s="76" t="s">
        <v>1995</v>
      </c>
      <c r="B47" s="76" t="s">
        <v>32</v>
      </c>
      <c r="C47" s="77" t="s">
        <v>33</v>
      </c>
      <c r="D47" s="78" t="s">
        <v>2000</v>
      </c>
      <c r="E47" s="507" t="s">
        <v>2001</v>
      </c>
      <c r="F47" s="507" t="s">
        <v>110</v>
      </c>
      <c r="G47" s="507" t="s">
        <v>2002</v>
      </c>
      <c r="H47" s="78" t="s">
        <v>2003</v>
      </c>
      <c r="I47" s="93" t="s">
        <v>2011</v>
      </c>
    </row>
    <row r="48" spans="1:9" ht="14.25">
      <c r="A48" s="80" t="s">
        <v>2012</v>
      </c>
      <c r="B48" s="131">
        <v>9</v>
      </c>
      <c r="C48" s="131" t="s">
        <v>2013</v>
      </c>
      <c r="D48" s="168">
        <v>30</v>
      </c>
      <c r="E48" s="169">
        <v>19</v>
      </c>
      <c r="F48" s="170">
        <v>570</v>
      </c>
      <c r="G48" s="508">
        <v>623</v>
      </c>
      <c r="H48" s="171">
        <v>0.74</v>
      </c>
      <c r="I48" s="80" t="s">
        <v>2014</v>
      </c>
    </row>
    <row r="49" spans="1:9" ht="14.25">
      <c r="A49" s="80" t="s">
        <v>2012</v>
      </c>
      <c r="B49" s="131">
        <v>9</v>
      </c>
      <c r="C49" s="131" t="s">
        <v>2015</v>
      </c>
      <c r="D49" s="168">
        <v>30</v>
      </c>
      <c r="E49" s="169">
        <v>17</v>
      </c>
      <c r="F49" s="170">
        <v>510</v>
      </c>
      <c r="G49" s="508">
        <v>557</v>
      </c>
      <c r="H49" s="171">
        <v>0.74</v>
      </c>
      <c r="I49" s="80" t="s">
        <v>2014</v>
      </c>
    </row>
    <row r="50" spans="1:9" ht="14.25">
      <c r="A50" s="80"/>
      <c r="B50" s="131"/>
      <c r="C50" s="131"/>
      <c r="D50" s="168"/>
      <c r="E50" s="168"/>
      <c r="F50" s="168"/>
      <c r="G50" s="508"/>
      <c r="H50" s="80"/>
      <c r="I50" s="80"/>
    </row>
    <row r="51" spans="1:9" ht="14.25">
      <c r="A51" s="80" t="s">
        <v>2016</v>
      </c>
      <c r="B51" s="131"/>
      <c r="C51" s="131" t="s">
        <v>148</v>
      </c>
      <c r="D51" s="168">
        <v>30</v>
      </c>
      <c r="E51" s="169">
        <v>97</v>
      </c>
      <c r="F51" s="170">
        <v>2910</v>
      </c>
      <c r="G51" s="508">
        <v>3182</v>
      </c>
      <c r="H51" s="171">
        <v>0.51</v>
      </c>
      <c r="I51" s="80" t="s">
        <v>2017</v>
      </c>
    </row>
    <row r="52" spans="1:9" ht="14.25">
      <c r="A52" s="80" t="s">
        <v>2016</v>
      </c>
      <c r="B52" s="131"/>
      <c r="C52" s="131" t="s">
        <v>147</v>
      </c>
      <c r="D52" s="168">
        <v>30</v>
      </c>
      <c r="E52" s="169">
        <v>56</v>
      </c>
      <c r="F52" s="170">
        <v>1680</v>
      </c>
      <c r="G52" s="508">
        <v>1837</v>
      </c>
      <c r="H52" s="171">
        <v>0.51</v>
      </c>
      <c r="I52" s="80" t="s">
        <v>2017</v>
      </c>
    </row>
    <row r="53" spans="1:9" ht="14.25">
      <c r="A53" s="80" t="s">
        <v>2016</v>
      </c>
      <c r="B53" s="131"/>
      <c r="C53" s="131" t="s">
        <v>2018</v>
      </c>
      <c r="D53" s="168">
        <v>30</v>
      </c>
      <c r="E53" s="169">
        <v>42</v>
      </c>
      <c r="F53" s="170">
        <v>1260</v>
      </c>
      <c r="G53" s="508">
        <v>1377</v>
      </c>
      <c r="H53" s="171">
        <v>0.51</v>
      </c>
      <c r="I53" s="80" t="s">
        <v>2017</v>
      </c>
    </row>
    <row r="54" spans="1:9" ht="14.25">
      <c r="A54" s="80" t="s">
        <v>2016</v>
      </c>
      <c r="B54" s="131"/>
      <c r="C54" s="131" t="s">
        <v>2019</v>
      </c>
      <c r="D54" s="168">
        <v>30</v>
      </c>
      <c r="E54" s="169">
        <v>20</v>
      </c>
      <c r="F54" s="170">
        <v>600</v>
      </c>
      <c r="G54" s="508">
        <v>656</v>
      </c>
      <c r="H54" s="171">
        <v>0.51</v>
      </c>
      <c r="I54" s="80" t="s">
        <v>2017</v>
      </c>
    </row>
    <row r="55" spans="1:9" ht="14.25">
      <c r="A55" s="80" t="s">
        <v>2016</v>
      </c>
      <c r="B55" s="131"/>
      <c r="C55" s="131" t="s">
        <v>2020</v>
      </c>
      <c r="D55" s="168">
        <v>30</v>
      </c>
      <c r="E55" s="169">
        <v>161</v>
      </c>
      <c r="F55" s="170">
        <v>4830</v>
      </c>
      <c r="G55" s="508">
        <v>5282</v>
      </c>
      <c r="H55" s="171">
        <v>0.51</v>
      </c>
      <c r="I55" s="80" t="s">
        <v>2017</v>
      </c>
    </row>
    <row r="56" spans="1:9" ht="14.25">
      <c r="I56" s="116"/>
    </row>
    <row r="60" spans="1:9" ht="15">
      <c r="A60" s="76" t="s">
        <v>1995</v>
      </c>
      <c r="B60" s="77" t="s">
        <v>33</v>
      </c>
      <c r="C60" s="507" t="s">
        <v>34</v>
      </c>
      <c r="D60" s="78" t="s">
        <v>1996</v>
      </c>
    </row>
    <row r="61" spans="1:9" ht="14.25">
      <c r="A61" s="42">
        <v>5604</v>
      </c>
      <c r="B61" s="58" t="s">
        <v>202</v>
      </c>
      <c r="C61" s="25">
        <v>10</v>
      </c>
      <c r="D61" s="29">
        <v>0.35</v>
      </c>
    </row>
    <row r="62" spans="1:9" ht="14.25">
      <c r="A62" s="42">
        <v>5604</v>
      </c>
      <c r="B62" s="58" t="s">
        <v>1849</v>
      </c>
      <c r="C62" s="25">
        <v>10</v>
      </c>
      <c r="D62" s="29">
        <v>0.35</v>
      </c>
    </row>
    <row r="63" spans="1:9" ht="14.25">
      <c r="A63" s="42">
        <v>5604</v>
      </c>
      <c r="B63" s="58" t="s">
        <v>2021</v>
      </c>
      <c r="C63" s="25">
        <v>10</v>
      </c>
      <c r="D63" s="29">
        <v>0.35</v>
      </c>
    </row>
    <row r="64" spans="1:9" ht="14.25">
      <c r="A64" s="42"/>
      <c r="B64" s="58" t="s">
        <v>54</v>
      </c>
      <c r="C64" s="25" t="s">
        <v>2022</v>
      </c>
      <c r="D64" s="29">
        <v>15</v>
      </c>
    </row>
    <row r="65" spans="1:5" ht="14.25">
      <c r="A65" s="42"/>
      <c r="B65" s="42" t="s">
        <v>11</v>
      </c>
      <c r="C65" s="25" t="s">
        <v>60</v>
      </c>
      <c r="D65" s="29">
        <v>12</v>
      </c>
    </row>
    <row r="66" spans="1:5" ht="15">
      <c r="B66" s="76" t="s">
        <v>1995</v>
      </c>
      <c r="C66" s="76" t="s">
        <v>32</v>
      </c>
      <c r="D66" s="77" t="s">
        <v>33</v>
      </c>
      <c r="E66" s="507" t="s">
        <v>34</v>
      </c>
    </row>
    <row r="67" spans="1:5" ht="14.25">
      <c r="A67" s="52" t="s">
        <v>2023</v>
      </c>
      <c r="B67" s="42">
        <v>5311</v>
      </c>
      <c r="C67" s="58" t="s">
        <v>8</v>
      </c>
      <c r="D67" s="58" t="s">
        <v>2024</v>
      </c>
      <c r="E67" s="25">
        <v>250</v>
      </c>
    </row>
    <row r="68" spans="1:5" ht="14.25">
      <c r="A68" s="52" t="s">
        <v>2023</v>
      </c>
      <c r="B68" s="42">
        <v>5311</v>
      </c>
      <c r="C68" s="58" t="s">
        <v>8</v>
      </c>
      <c r="D68" s="58" t="s">
        <v>2025</v>
      </c>
      <c r="E68" s="25">
        <v>150</v>
      </c>
    </row>
    <row r="69" spans="1:5" ht="14.25">
      <c r="A69" s="52" t="s">
        <v>2023</v>
      </c>
      <c r="B69" s="42">
        <v>5311</v>
      </c>
      <c r="C69" s="58" t="s">
        <v>8</v>
      </c>
      <c r="D69" s="58" t="s">
        <v>2026</v>
      </c>
      <c r="E69" s="25">
        <v>700</v>
      </c>
    </row>
    <row r="71" spans="1:5" ht="15">
      <c r="A71" s="76" t="s">
        <v>1995</v>
      </c>
      <c r="B71" s="76" t="s">
        <v>32</v>
      </c>
      <c r="C71" s="77" t="s">
        <v>33</v>
      </c>
      <c r="D71" s="507" t="s">
        <v>34</v>
      </c>
    </row>
    <row r="72" spans="1:5" ht="14.25">
      <c r="A72" s="42">
        <v>5311</v>
      </c>
      <c r="B72" s="58" t="s">
        <v>8</v>
      </c>
      <c r="C72" s="58" t="s">
        <v>2024</v>
      </c>
      <c r="D72" s="25">
        <v>600</v>
      </c>
    </row>
    <row r="73" spans="1:5" ht="14.25">
      <c r="A73" s="42">
        <v>5311</v>
      </c>
      <c r="B73" s="58" t="s">
        <v>8</v>
      </c>
      <c r="C73" s="58" t="s">
        <v>2027</v>
      </c>
      <c r="D73" s="25">
        <v>1400</v>
      </c>
    </row>
    <row r="74" spans="1:5" ht="14.25">
      <c r="A74" s="42">
        <v>5311</v>
      </c>
      <c r="B74" s="58" t="s">
        <v>8</v>
      </c>
      <c r="C74" s="58" t="s">
        <v>2025</v>
      </c>
      <c r="D74" s="25">
        <v>2100</v>
      </c>
    </row>
    <row r="75" spans="1:5" ht="14.25">
      <c r="A75" s="42">
        <v>5311</v>
      </c>
      <c r="B75" s="58" t="s">
        <v>8</v>
      </c>
      <c r="C75" s="58" t="s">
        <v>2026</v>
      </c>
      <c r="D75" s="25">
        <v>700</v>
      </c>
    </row>
    <row r="78" spans="1:5" ht="15">
      <c r="A78" s="77" t="s">
        <v>33</v>
      </c>
      <c r="B78" s="78" t="s">
        <v>2000</v>
      </c>
      <c r="C78" s="507" t="s">
        <v>2001</v>
      </c>
      <c r="D78" s="507" t="s">
        <v>110</v>
      </c>
    </row>
    <row r="79" spans="1:5" ht="14.25">
      <c r="A79" s="42" t="s">
        <v>2028</v>
      </c>
      <c r="B79" s="66">
        <v>58</v>
      </c>
      <c r="C79" s="514">
        <v>14</v>
      </c>
      <c r="D79" s="61">
        <v>812</v>
      </c>
    </row>
    <row r="80" spans="1:5" ht="14.25">
      <c r="A80" s="42" t="s">
        <v>2029</v>
      </c>
      <c r="B80" s="66">
        <v>58</v>
      </c>
      <c r="C80" s="514">
        <v>10</v>
      </c>
      <c r="D80" s="61">
        <v>580</v>
      </c>
    </row>
    <row r="83" spans="1:7" ht="15">
      <c r="A83" s="515" t="s">
        <v>76</v>
      </c>
      <c r="B83" s="76" t="s">
        <v>114</v>
      </c>
      <c r="C83" s="76" t="s">
        <v>1995</v>
      </c>
      <c r="D83" s="77" t="s">
        <v>33</v>
      </c>
      <c r="E83" s="78" t="s">
        <v>2000</v>
      </c>
      <c r="F83" s="507" t="s">
        <v>2001</v>
      </c>
      <c r="G83" s="507" t="s">
        <v>110</v>
      </c>
    </row>
    <row r="84" spans="1:7" ht="14.25">
      <c r="A84" s="72" t="s">
        <v>2030</v>
      </c>
      <c r="B84" s="42" t="s">
        <v>2031</v>
      </c>
      <c r="C84" s="42" t="s">
        <v>92</v>
      </c>
      <c r="D84" s="58" t="s">
        <v>174</v>
      </c>
      <c r="E84" s="41">
        <v>13.7</v>
      </c>
      <c r="F84" s="51">
        <v>42</v>
      </c>
      <c r="G84" s="41">
        <v>575.4</v>
      </c>
    </row>
    <row r="85" spans="1:7" ht="14.25">
      <c r="A85" s="72" t="s">
        <v>2030</v>
      </c>
      <c r="B85" s="42" t="s">
        <v>2031</v>
      </c>
      <c r="C85" s="42" t="s">
        <v>92</v>
      </c>
      <c r="D85" s="58" t="s">
        <v>2032</v>
      </c>
      <c r="E85" s="41">
        <v>13.7</v>
      </c>
      <c r="F85" s="51">
        <v>75</v>
      </c>
      <c r="G85" s="41">
        <v>1027.5</v>
      </c>
    </row>
    <row r="86" spans="1:7" ht="14.25">
      <c r="A86" s="72" t="s">
        <v>2030</v>
      </c>
      <c r="B86" s="42" t="s">
        <v>2031</v>
      </c>
      <c r="C86" s="42" t="s">
        <v>92</v>
      </c>
      <c r="D86" s="58" t="s">
        <v>55</v>
      </c>
      <c r="E86" s="41">
        <v>13.7</v>
      </c>
      <c r="F86" s="51">
        <v>216</v>
      </c>
      <c r="G86" s="41">
        <v>2959.2</v>
      </c>
    </row>
    <row r="91" spans="1:7" ht="15">
      <c r="A91" s="76" t="s">
        <v>1995</v>
      </c>
      <c r="B91" s="77" t="s">
        <v>33</v>
      </c>
      <c r="C91" s="78" t="s">
        <v>2000</v>
      </c>
      <c r="D91" s="507" t="s">
        <v>2001</v>
      </c>
      <c r="E91" s="507" t="s">
        <v>110</v>
      </c>
      <c r="F91" s="78" t="s">
        <v>1996</v>
      </c>
    </row>
    <row r="92" spans="1:7" ht="14.25">
      <c r="A92" s="496" t="s">
        <v>2033</v>
      </c>
      <c r="B92" s="58" t="s">
        <v>113</v>
      </c>
      <c r="C92" s="66">
        <v>14</v>
      </c>
      <c r="D92" s="514">
        <v>2</v>
      </c>
      <c r="E92" s="64">
        <f>C92*D92</f>
        <v>28</v>
      </c>
      <c r="F92" s="516">
        <v>1.72</v>
      </c>
    </row>
    <row r="93" spans="1:7" ht="14.25">
      <c r="A93" s="496"/>
      <c r="B93" s="58" t="s">
        <v>11</v>
      </c>
      <c r="C93" s="66"/>
      <c r="D93" s="514" t="s">
        <v>60</v>
      </c>
      <c r="E93" s="64"/>
      <c r="F93" s="516">
        <v>12</v>
      </c>
    </row>
    <row r="96" spans="1:7" ht="15">
      <c r="A96" s="76" t="s">
        <v>1995</v>
      </c>
      <c r="B96" s="77" t="s">
        <v>33</v>
      </c>
      <c r="C96" s="77" t="s">
        <v>34</v>
      </c>
    </row>
    <row r="97" spans="1:7" ht="14.25">
      <c r="A97" s="42" t="s">
        <v>2034</v>
      </c>
      <c r="B97" s="58" t="s">
        <v>55</v>
      </c>
      <c r="C97" s="41">
        <v>5</v>
      </c>
    </row>
    <row r="98" spans="1:7" ht="14.25">
      <c r="A98" s="42" t="s">
        <v>2035</v>
      </c>
      <c r="B98" s="58" t="s">
        <v>55</v>
      </c>
      <c r="C98" s="41">
        <v>5</v>
      </c>
    </row>
    <row r="99" spans="1:7" ht="14.25">
      <c r="A99" s="42"/>
      <c r="B99" s="58"/>
      <c r="C99" s="41"/>
    </row>
    <row r="100" spans="1:7" ht="14.25">
      <c r="A100" s="42"/>
      <c r="B100" s="58"/>
      <c r="C100" s="41"/>
    </row>
    <row r="101" spans="1:7" ht="15.75">
      <c r="A101" s="76" t="s">
        <v>1995</v>
      </c>
      <c r="B101" s="77" t="s">
        <v>33</v>
      </c>
      <c r="C101" s="78" t="s">
        <v>2000</v>
      </c>
      <c r="D101" s="507" t="s">
        <v>2001</v>
      </c>
      <c r="E101" s="507" t="s">
        <v>110</v>
      </c>
      <c r="F101" s="78" t="s">
        <v>141</v>
      </c>
      <c r="G101" s="517" t="s">
        <v>2036</v>
      </c>
    </row>
    <row r="102" spans="1:7" ht="15.75">
      <c r="A102" s="42" t="s">
        <v>143</v>
      </c>
      <c r="B102" s="58" t="s">
        <v>55</v>
      </c>
      <c r="C102" s="41"/>
      <c r="D102" s="51"/>
      <c r="E102" s="41">
        <v>250</v>
      </c>
      <c r="F102" s="518" t="s">
        <v>2037</v>
      </c>
      <c r="G102" s="519" t="s">
        <v>2038</v>
      </c>
    </row>
    <row r="103" spans="1:7" ht="15.75">
      <c r="A103" s="42" t="s">
        <v>2039</v>
      </c>
      <c r="B103" s="58" t="s">
        <v>113</v>
      </c>
      <c r="C103" s="41">
        <v>13.7</v>
      </c>
      <c r="D103" s="51">
        <v>2</v>
      </c>
      <c r="E103" s="41">
        <v>27.4</v>
      </c>
      <c r="F103" s="518" t="s">
        <v>2037</v>
      </c>
      <c r="G103" s="517" t="s">
        <v>2040</v>
      </c>
    </row>
    <row r="104" spans="1:7" ht="14.25">
      <c r="A104" s="42" t="s">
        <v>197</v>
      </c>
      <c r="B104" s="58" t="s">
        <v>113</v>
      </c>
      <c r="C104" s="41">
        <v>14</v>
      </c>
      <c r="D104" s="51">
        <v>57</v>
      </c>
      <c r="E104" s="41">
        <v>798</v>
      </c>
      <c r="F104" s="518" t="s">
        <v>2037</v>
      </c>
      <c r="G104" s="519" t="s">
        <v>2041</v>
      </c>
    </row>
    <row r="105" spans="1:7" ht="15.75">
      <c r="A105" s="42" t="s">
        <v>259</v>
      </c>
      <c r="B105" s="58" t="s">
        <v>2004</v>
      </c>
      <c r="C105" s="41">
        <v>14</v>
      </c>
      <c r="D105" s="51">
        <v>100</v>
      </c>
      <c r="E105" s="41">
        <f>D105*C105</f>
        <v>1400</v>
      </c>
      <c r="F105" s="518" t="s">
        <v>2037</v>
      </c>
      <c r="G105" s="517"/>
    </row>
    <row r="106" spans="1:7" ht="15.75">
      <c r="A106" s="42" t="s">
        <v>259</v>
      </c>
      <c r="B106" s="58" t="s">
        <v>2004</v>
      </c>
      <c r="C106" s="41">
        <v>14</v>
      </c>
      <c r="D106" s="51">
        <v>165</v>
      </c>
      <c r="E106" s="41">
        <f>D106*C106</f>
        <v>2310</v>
      </c>
      <c r="F106" s="518" t="s">
        <v>2042</v>
      </c>
      <c r="G106" s="517"/>
    </row>
    <row r="107" spans="1:7" ht="15.75">
      <c r="G107" s="517" t="s">
        <v>2043</v>
      </c>
    </row>
    <row r="108" spans="1:7" ht="15">
      <c r="A108" s="76" t="s">
        <v>1995</v>
      </c>
      <c r="B108" s="77" t="s">
        <v>33</v>
      </c>
      <c r="C108" s="78" t="s">
        <v>2000</v>
      </c>
      <c r="D108" s="507" t="s">
        <v>2001</v>
      </c>
      <c r="E108" s="507" t="s">
        <v>110</v>
      </c>
    </row>
    <row r="109" spans="1:7" ht="14.25">
      <c r="A109" s="42" t="s">
        <v>92</v>
      </c>
      <c r="B109" s="58" t="s">
        <v>2044</v>
      </c>
      <c r="C109" s="41">
        <v>13.7</v>
      </c>
      <c r="D109" s="51">
        <v>3</v>
      </c>
      <c r="E109" s="41">
        <v>41.099999999999994</v>
      </c>
    </row>
    <row r="110" spans="1:7" ht="14.25">
      <c r="A110" s="42" t="s">
        <v>92</v>
      </c>
      <c r="B110" s="58" t="s">
        <v>2045</v>
      </c>
      <c r="C110" s="41">
        <v>13.7</v>
      </c>
      <c r="D110" s="51">
        <v>13</v>
      </c>
      <c r="E110" s="41">
        <v>178.1</v>
      </c>
    </row>
    <row r="113" spans="1:8" ht="15">
      <c r="A113" s="515" t="s">
        <v>76</v>
      </c>
      <c r="B113" s="76" t="s">
        <v>1995</v>
      </c>
      <c r="C113" s="76" t="s">
        <v>32</v>
      </c>
      <c r="D113" s="77" t="s">
        <v>33</v>
      </c>
      <c r="E113" s="78" t="s">
        <v>2000</v>
      </c>
      <c r="F113" s="507" t="s">
        <v>2001</v>
      </c>
      <c r="G113" s="507" t="s">
        <v>110</v>
      </c>
      <c r="H113" s="78" t="s">
        <v>1996</v>
      </c>
    </row>
    <row r="114" spans="1:8" ht="14.25">
      <c r="A114" s="52" t="s">
        <v>2046</v>
      </c>
      <c r="B114" s="42" t="s">
        <v>6</v>
      </c>
      <c r="C114" s="50">
        <v>160</v>
      </c>
      <c r="D114" s="42" t="s">
        <v>2047</v>
      </c>
      <c r="E114" s="41">
        <v>50</v>
      </c>
      <c r="F114" s="51">
        <v>3</v>
      </c>
      <c r="G114" s="41">
        <v>150</v>
      </c>
      <c r="H114" s="29">
        <v>3.88</v>
      </c>
    </row>
    <row r="115" spans="1:8" ht="14.25">
      <c r="A115" s="52" t="s">
        <v>2046</v>
      </c>
      <c r="B115" s="42" t="s">
        <v>6</v>
      </c>
      <c r="C115" s="50">
        <v>160</v>
      </c>
      <c r="D115" s="42" t="s">
        <v>2047</v>
      </c>
      <c r="E115" s="41">
        <v>46</v>
      </c>
      <c r="F115" s="51">
        <v>1</v>
      </c>
      <c r="G115" s="41">
        <v>46</v>
      </c>
      <c r="H115" s="29">
        <v>3.88</v>
      </c>
    </row>
    <row r="116" spans="1:8" ht="14.25">
      <c r="A116" s="52" t="s">
        <v>2046</v>
      </c>
      <c r="B116" s="42" t="s">
        <v>6</v>
      </c>
      <c r="C116" s="50">
        <v>160</v>
      </c>
      <c r="D116" s="42" t="s">
        <v>2048</v>
      </c>
      <c r="E116" s="41">
        <v>50</v>
      </c>
      <c r="F116" s="51">
        <v>6</v>
      </c>
      <c r="G116" s="41">
        <v>300</v>
      </c>
      <c r="H116" s="29">
        <v>3.88</v>
      </c>
    </row>
    <row r="117" spans="1:8" ht="14.25">
      <c r="A117" s="52" t="s">
        <v>2046</v>
      </c>
      <c r="B117" s="42" t="s">
        <v>6</v>
      </c>
      <c r="C117" s="50">
        <v>160</v>
      </c>
      <c r="D117" s="42" t="s">
        <v>2049</v>
      </c>
      <c r="E117" s="41">
        <v>50</v>
      </c>
      <c r="F117" s="51">
        <v>5</v>
      </c>
      <c r="G117" s="41">
        <v>250</v>
      </c>
      <c r="H117" s="29">
        <v>3.88</v>
      </c>
    </row>
    <row r="118" spans="1:8" ht="15.75">
      <c r="F118" s="517"/>
    </row>
    <row r="119" spans="1:8" ht="14.25">
      <c r="F119" s="520"/>
    </row>
    <row r="120" spans="1:8" ht="15">
      <c r="A120" s="76" t="s">
        <v>1995</v>
      </c>
      <c r="B120" s="76" t="s">
        <v>32</v>
      </c>
      <c r="C120" s="77" t="s">
        <v>33</v>
      </c>
      <c r="D120" s="78" t="s">
        <v>2000</v>
      </c>
      <c r="E120" s="507" t="s">
        <v>2001</v>
      </c>
      <c r="F120" s="507" t="s">
        <v>110</v>
      </c>
    </row>
    <row r="121" spans="1:8" ht="14.25">
      <c r="A121" s="42" t="s">
        <v>6</v>
      </c>
      <c r="B121" s="50">
        <v>160</v>
      </c>
      <c r="C121" s="42" t="s">
        <v>2050</v>
      </c>
      <c r="D121" s="41">
        <v>50</v>
      </c>
      <c r="E121" s="51">
        <v>1</v>
      </c>
      <c r="F121" s="41">
        <v>50</v>
      </c>
    </row>
    <row r="122" spans="1:8" ht="14.25">
      <c r="A122" s="42" t="s">
        <v>56</v>
      </c>
      <c r="B122" s="50">
        <v>160</v>
      </c>
      <c r="C122" s="42" t="s">
        <v>146</v>
      </c>
      <c r="D122" s="41">
        <v>35</v>
      </c>
      <c r="E122" s="41">
        <v>35</v>
      </c>
      <c r="F122" s="41">
        <v>35</v>
      </c>
    </row>
    <row r="125" spans="1:8" ht="15">
      <c r="A125" s="515" t="s">
        <v>76</v>
      </c>
      <c r="B125" s="76" t="s">
        <v>1995</v>
      </c>
      <c r="C125" s="77" t="s">
        <v>33</v>
      </c>
      <c r="D125" s="78" t="s">
        <v>2000</v>
      </c>
      <c r="E125" s="507" t="s">
        <v>2001</v>
      </c>
      <c r="F125" s="507" t="s">
        <v>110</v>
      </c>
    </row>
    <row r="126" spans="1:8" ht="14.25">
      <c r="A126" s="52" t="s">
        <v>2051</v>
      </c>
      <c r="B126" s="42" t="s">
        <v>2052</v>
      </c>
      <c r="C126" s="58" t="s">
        <v>36</v>
      </c>
      <c r="D126" s="41">
        <v>13.7</v>
      </c>
      <c r="E126" s="51">
        <v>5</v>
      </c>
      <c r="F126" s="41">
        <v>68.5</v>
      </c>
    </row>
    <row r="127" spans="1:8" ht="14.25">
      <c r="A127" s="52" t="s">
        <v>2051</v>
      </c>
      <c r="B127" s="42" t="s">
        <v>2052</v>
      </c>
      <c r="C127" s="58" t="s">
        <v>2053</v>
      </c>
      <c r="D127" s="41">
        <v>13.7</v>
      </c>
      <c r="E127" s="51">
        <v>13</v>
      </c>
      <c r="F127" s="41">
        <v>178.1</v>
      </c>
    </row>
    <row r="131" spans="1:7" ht="15">
      <c r="A131" s="76" t="s">
        <v>1995</v>
      </c>
      <c r="B131" s="77" t="s">
        <v>33</v>
      </c>
      <c r="C131" s="78" t="s">
        <v>2000</v>
      </c>
      <c r="D131" s="507" t="s">
        <v>2001</v>
      </c>
      <c r="E131" s="507" t="s">
        <v>110</v>
      </c>
    </row>
    <row r="132" spans="1:7" ht="14.25">
      <c r="A132" s="42" t="s">
        <v>2054</v>
      </c>
      <c r="B132" s="58" t="s">
        <v>119</v>
      </c>
      <c r="C132" s="41">
        <v>13.7</v>
      </c>
      <c r="D132" s="51">
        <v>1</v>
      </c>
      <c r="E132" s="41">
        <v>13.7</v>
      </c>
    </row>
    <row r="133" spans="1:7" ht="14.25">
      <c r="A133" s="42" t="s">
        <v>1981</v>
      </c>
      <c r="B133" s="58" t="s">
        <v>1972</v>
      </c>
      <c r="C133" s="41">
        <v>13.7</v>
      </c>
      <c r="D133" s="51">
        <v>2</v>
      </c>
      <c r="E133" s="41">
        <v>27.4</v>
      </c>
    </row>
    <row r="136" spans="1:7" ht="14.25">
      <c r="A136" s="42">
        <v>3920</v>
      </c>
      <c r="B136" s="58">
        <v>15</v>
      </c>
      <c r="C136" s="58" t="s">
        <v>2055</v>
      </c>
      <c r="D136" s="25">
        <v>30</v>
      </c>
    </row>
    <row r="137" spans="1:7" ht="14.25">
      <c r="A137" s="42">
        <v>3920</v>
      </c>
      <c r="B137" s="58">
        <v>15</v>
      </c>
      <c r="C137" s="58" t="s">
        <v>2056</v>
      </c>
      <c r="D137" s="25">
        <v>30</v>
      </c>
    </row>
    <row r="138" spans="1:7" ht="14.25">
      <c r="A138" s="42">
        <v>3920</v>
      </c>
      <c r="B138" s="58">
        <v>15</v>
      </c>
      <c r="C138" s="58" t="s">
        <v>1983</v>
      </c>
      <c r="D138" s="25">
        <v>30</v>
      </c>
    </row>
    <row r="139" spans="1:7" ht="14.25">
      <c r="A139" s="42">
        <v>3920</v>
      </c>
      <c r="B139" s="58">
        <v>15</v>
      </c>
      <c r="C139" s="58" t="s">
        <v>2057</v>
      </c>
      <c r="D139" s="25">
        <v>30</v>
      </c>
    </row>
    <row r="143" spans="1:7" ht="15">
      <c r="A143" s="76" t="s">
        <v>1995</v>
      </c>
      <c r="B143" s="76" t="s">
        <v>32</v>
      </c>
      <c r="C143" s="77" t="s">
        <v>33</v>
      </c>
      <c r="D143" s="78" t="s">
        <v>2000</v>
      </c>
      <c r="E143" s="507" t="s">
        <v>2001</v>
      </c>
      <c r="F143" s="507" t="s">
        <v>110</v>
      </c>
      <c r="G143" s="78" t="s">
        <v>2058</v>
      </c>
    </row>
    <row r="144" spans="1:7" ht="14.25">
      <c r="A144" s="42">
        <v>12701</v>
      </c>
      <c r="B144" s="58">
        <v>6</v>
      </c>
      <c r="C144" s="42" t="s">
        <v>2059</v>
      </c>
      <c r="D144" s="25">
        <v>10</v>
      </c>
      <c r="E144" s="26">
        <v>1</v>
      </c>
      <c r="F144" s="25">
        <v>10</v>
      </c>
      <c r="G144" s="29">
        <v>3.91</v>
      </c>
    </row>
    <row r="145" spans="1:7" ht="14.25">
      <c r="A145" s="42">
        <v>12701</v>
      </c>
      <c r="B145" s="58">
        <v>9</v>
      </c>
      <c r="C145" s="42" t="s">
        <v>1852</v>
      </c>
      <c r="D145" s="25">
        <v>10</v>
      </c>
      <c r="E145" s="26">
        <v>1</v>
      </c>
      <c r="F145" s="25">
        <v>10</v>
      </c>
      <c r="G145" s="29">
        <v>4.4000000000000004</v>
      </c>
    </row>
    <row r="146" spans="1:7" ht="14.25">
      <c r="A146" s="42">
        <v>12701</v>
      </c>
      <c r="B146" s="58">
        <v>9</v>
      </c>
      <c r="C146" s="42" t="s">
        <v>193</v>
      </c>
      <c r="D146" s="25">
        <v>10</v>
      </c>
      <c r="E146" s="26">
        <v>1</v>
      </c>
      <c r="F146" s="25">
        <v>10</v>
      </c>
      <c r="G146" s="29">
        <v>4.4000000000000004</v>
      </c>
    </row>
    <row r="147" spans="1:7" ht="14.25">
      <c r="A147" s="42">
        <v>12701</v>
      </c>
      <c r="B147" s="58">
        <v>9</v>
      </c>
      <c r="C147" s="42" t="s">
        <v>1987</v>
      </c>
      <c r="D147" s="25">
        <v>10</v>
      </c>
      <c r="E147" s="26">
        <v>1</v>
      </c>
      <c r="F147" s="25">
        <v>10</v>
      </c>
      <c r="G147" s="29">
        <v>4.4000000000000004</v>
      </c>
    </row>
    <row r="148" spans="1:7" ht="14.25">
      <c r="A148" s="42">
        <v>12701</v>
      </c>
      <c r="B148" s="58">
        <v>38</v>
      </c>
      <c r="C148" s="42" t="s">
        <v>1987</v>
      </c>
      <c r="D148" s="25">
        <v>10</v>
      </c>
      <c r="E148" s="26">
        <v>1</v>
      </c>
      <c r="F148" s="25">
        <v>10</v>
      </c>
      <c r="G148" s="29">
        <v>13.5</v>
      </c>
    </row>
    <row r="149" spans="1:7" ht="14.25">
      <c r="A149" s="68">
        <v>12701</v>
      </c>
      <c r="B149" s="521">
        <v>50</v>
      </c>
      <c r="C149" s="42" t="s">
        <v>2059</v>
      </c>
      <c r="D149" s="25">
        <v>10</v>
      </c>
      <c r="E149" s="26">
        <v>1</v>
      </c>
      <c r="F149" s="25">
        <v>10</v>
      </c>
      <c r="G149" s="29">
        <v>17.8</v>
      </c>
    </row>
    <row r="150" spans="1:7" ht="14.25">
      <c r="A150" s="49" t="s">
        <v>1850</v>
      </c>
      <c r="B150" s="58"/>
      <c r="C150" s="42"/>
      <c r="D150" s="25"/>
      <c r="E150" s="26"/>
      <c r="F150" s="25"/>
      <c r="G150" s="57"/>
    </row>
    <row r="151" spans="1:7" ht="14.25">
      <c r="A151" s="42">
        <v>11700</v>
      </c>
      <c r="B151" s="58">
        <v>48</v>
      </c>
      <c r="C151" s="42" t="s">
        <v>112</v>
      </c>
      <c r="D151" s="25">
        <v>10</v>
      </c>
      <c r="E151" s="26">
        <v>1</v>
      </c>
      <c r="F151" s="25">
        <v>10</v>
      </c>
      <c r="G151" s="29">
        <v>49.32</v>
      </c>
    </row>
    <row r="154" spans="1:7" ht="15">
      <c r="A154" s="76" t="s">
        <v>1995</v>
      </c>
      <c r="B154" s="77" t="s">
        <v>33</v>
      </c>
      <c r="C154" s="78" t="s">
        <v>2000</v>
      </c>
      <c r="D154" s="507" t="s">
        <v>2001</v>
      </c>
      <c r="E154" s="507" t="s">
        <v>110</v>
      </c>
      <c r="F154" s="85" t="s">
        <v>160</v>
      </c>
    </row>
    <row r="155" spans="1:7" ht="14.25">
      <c r="A155" s="42" t="s">
        <v>1906</v>
      </c>
      <c r="B155" s="58" t="s">
        <v>55</v>
      </c>
      <c r="C155" s="41">
        <v>13.7</v>
      </c>
      <c r="D155" s="51">
        <v>3</v>
      </c>
      <c r="E155" s="41">
        <f t="shared" ref="E155:E161" si="0">C155*D155</f>
        <v>41.099999999999994</v>
      </c>
      <c r="F155" s="522">
        <v>295</v>
      </c>
    </row>
    <row r="156" spans="1:7" ht="14.25">
      <c r="A156" s="42" t="s">
        <v>2060</v>
      </c>
      <c r="B156" s="58" t="s">
        <v>55</v>
      </c>
      <c r="C156" s="41">
        <v>13.7</v>
      </c>
      <c r="D156" s="51">
        <v>3</v>
      </c>
      <c r="E156" s="41">
        <f t="shared" si="0"/>
        <v>41.099999999999994</v>
      </c>
      <c r="F156" s="522">
        <v>210</v>
      </c>
    </row>
    <row r="157" spans="1:7" ht="14.25">
      <c r="A157" s="42" t="s">
        <v>2061</v>
      </c>
      <c r="B157" s="58" t="s">
        <v>55</v>
      </c>
      <c r="C157" s="41">
        <v>13.7</v>
      </c>
      <c r="D157" s="51">
        <v>2</v>
      </c>
      <c r="E157" s="41">
        <f t="shared" si="0"/>
        <v>27.4</v>
      </c>
      <c r="F157" s="522">
        <v>510</v>
      </c>
    </row>
    <row r="158" spans="1:7" ht="14.25">
      <c r="A158" s="42" t="s">
        <v>2062</v>
      </c>
      <c r="B158" s="58" t="s">
        <v>55</v>
      </c>
      <c r="C158" s="41">
        <v>13.7</v>
      </c>
      <c r="D158" s="51">
        <v>2</v>
      </c>
      <c r="E158" s="41">
        <f t="shared" si="0"/>
        <v>27.4</v>
      </c>
      <c r="F158" s="522">
        <v>441</v>
      </c>
    </row>
    <row r="159" spans="1:7" ht="14.25">
      <c r="A159" s="42" t="s">
        <v>2063</v>
      </c>
      <c r="B159" s="58" t="s">
        <v>55</v>
      </c>
      <c r="C159" s="41">
        <v>13.7</v>
      </c>
      <c r="D159" s="51">
        <v>2</v>
      </c>
      <c r="E159" s="41">
        <f t="shared" si="0"/>
        <v>27.4</v>
      </c>
      <c r="F159" s="522">
        <v>164</v>
      </c>
    </row>
    <row r="160" spans="1:7" ht="14.25">
      <c r="A160" s="42" t="s">
        <v>2064</v>
      </c>
      <c r="B160" s="58" t="s">
        <v>55</v>
      </c>
      <c r="C160" s="41">
        <v>13.7</v>
      </c>
      <c r="D160" s="51">
        <v>2</v>
      </c>
      <c r="E160" s="41">
        <f t="shared" si="0"/>
        <v>27.4</v>
      </c>
      <c r="F160" s="522">
        <v>101</v>
      </c>
    </row>
    <row r="161" spans="1:8" ht="14.25">
      <c r="A161" s="42" t="s">
        <v>157</v>
      </c>
      <c r="B161" s="58" t="s">
        <v>55</v>
      </c>
      <c r="C161" s="41">
        <v>13.7</v>
      </c>
      <c r="D161" s="51">
        <v>2</v>
      </c>
      <c r="E161" s="41">
        <f t="shared" si="0"/>
        <v>27.4</v>
      </c>
      <c r="F161" s="522">
        <v>242</v>
      </c>
    </row>
    <row r="164" spans="1:8" ht="15">
      <c r="A164" s="76" t="s">
        <v>1995</v>
      </c>
      <c r="B164" s="77" t="s">
        <v>33</v>
      </c>
      <c r="C164" s="78" t="s">
        <v>2000</v>
      </c>
      <c r="D164" s="507" t="s">
        <v>2001</v>
      </c>
      <c r="E164" s="507" t="s">
        <v>110</v>
      </c>
      <c r="F164" s="85" t="s">
        <v>160</v>
      </c>
    </row>
    <row r="165" spans="1:8" ht="14.25">
      <c r="A165" s="42" t="s">
        <v>2062</v>
      </c>
      <c r="B165" s="58" t="s">
        <v>55</v>
      </c>
      <c r="C165" s="41">
        <v>13.7</v>
      </c>
      <c r="D165" s="51">
        <v>2</v>
      </c>
      <c r="E165" s="41">
        <v>27.4</v>
      </c>
      <c r="F165" s="522">
        <v>441</v>
      </c>
    </row>
    <row r="166" spans="1:8" ht="14.25">
      <c r="A166" s="42" t="s">
        <v>2063</v>
      </c>
      <c r="B166" s="58" t="s">
        <v>55</v>
      </c>
      <c r="C166" s="41">
        <v>13.7</v>
      </c>
      <c r="D166" s="51">
        <v>2</v>
      </c>
      <c r="E166" s="41">
        <v>27.4</v>
      </c>
      <c r="F166" s="522">
        <v>164</v>
      </c>
    </row>
    <row r="167" spans="1:8" ht="14.25">
      <c r="A167" s="42" t="s">
        <v>2064</v>
      </c>
      <c r="B167" s="58" t="s">
        <v>55</v>
      </c>
      <c r="C167" s="41">
        <v>13.7</v>
      </c>
      <c r="D167" s="51">
        <v>2</v>
      </c>
      <c r="E167" s="41">
        <v>27.4</v>
      </c>
      <c r="F167" s="522">
        <v>101</v>
      </c>
    </row>
    <row r="168" spans="1:8" ht="14.25">
      <c r="A168" s="42" t="s">
        <v>157</v>
      </c>
      <c r="B168" s="58" t="s">
        <v>55</v>
      </c>
      <c r="C168" s="41">
        <v>13.7</v>
      </c>
      <c r="D168" s="51">
        <v>2</v>
      </c>
      <c r="E168" s="41">
        <v>27.4</v>
      </c>
      <c r="F168" s="522">
        <v>242</v>
      </c>
    </row>
    <row r="171" spans="1:8" ht="14.25">
      <c r="A171" s="42" t="s">
        <v>1911</v>
      </c>
      <c r="B171" s="25">
        <v>42</v>
      </c>
    </row>
    <row r="172" spans="1:8" ht="14.25">
      <c r="A172" s="42" t="s">
        <v>2065</v>
      </c>
      <c r="B172" s="25">
        <v>46</v>
      </c>
    </row>
    <row r="175" spans="1:8" ht="15">
      <c r="A175" s="515" t="s">
        <v>76</v>
      </c>
      <c r="B175" s="76" t="s">
        <v>1995</v>
      </c>
      <c r="C175" s="76" t="s">
        <v>32</v>
      </c>
      <c r="D175" s="77" t="s">
        <v>33</v>
      </c>
      <c r="E175" s="78" t="s">
        <v>2000</v>
      </c>
      <c r="F175" s="507" t="s">
        <v>2001</v>
      </c>
      <c r="G175" s="507" t="s">
        <v>110</v>
      </c>
      <c r="H175" s="78" t="s">
        <v>2058</v>
      </c>
    </row>
    <row r="176" spans="1:8" ht="14.25">
      <c r="A176" s="72" t="s">
        <v>2066</v>
      </c>
      <c r="B176" s="42" t="s">
        <v>2067</v>
      </c>
      <c r="C176" s="58">
        <v>25</v>
      </c>
      <c r="D176" s="58" t="s">
        <v>2068</v>
      </c>
      <c r="E176" s="25">
        <v>30</v>
      </c>
      <c r="F176" s="51">
        <v>8</v>
      </c>
      <c r="G176" s="25">
        <v>240</v>
      </c>
      <c r="H176" s="29">
        <v>0.85</v>
      </c>
    </row>
    <row r="177" spans="1:8" ht="14.25">
      <c r="A177" s="72" t="s">
        <v>2069</v>
      </c>
      <c r="B177" s="42" t="s">
        <v>2067</v>
      </c>
      <c r="C177" s="58">
        <v>25</v>
      </c>
      <c r="D177" s="58" t="s">
        <v>2068</v>
      </c>
      <c r="E177" s="25">
        <v>30</v>
      </c>
      <c r="F177" s="51">
        <v>2</v>
      </c>
      <c r="G177" s="25">
        <v>60</v>
      </c>
      <c r="H177" s="29">
        <v>0.85</v>
      </c>
    </row>
    <row r="178" spans="1:8" ht="14.25">
      <c r="A178" s="72" t="s">
        <v>2070</v>
      </c>
      <c r="B178" s="42" t="s">
        <v>2067</v>
      </c>
      <c r="C178" s="58">
        <v>25</v>
      </c>
      <c r="D178" s="58" t="s">
        <v>2068</v>
      </c>
      <c r="E178" s="25">
        <v>30</v>
      </c>
      <c r="F178" s="51">
        <v>1</v>
      </c>
      <c r="G178" s="25">
        <v>30</v>
      </c>
      <c r="H178" s="29">
        <v>0.85</v>
      </c>
    </row>
    <row r="182" spans="1:8" ht="15">
      <c r="A182" s="515" t="s">
        <v>76</v>
      </c>
      <c r="B182" s="76" t="s">
        <v>1995</v>
      </c>
      <c r="C182" s="77" t="s">
        <v>33</v>
      </c>
      <c r="D182" s="507" t="s">
        <v>110</v>
      </c>
      <c r="E182" s="78" t="s">
        <v>1996</v>
      </c>
    </row>
    <row r="183" spans="1:8" ht="14.25">
      <c r="A183" s="72" t="s">
        <v>2071</v>
      </c>
      <c r="B183" s="42" t="s">
        <v>2072</v>
      </c>
      <c r="C183" s="58" t="s">
        <v>2073</v>
      </c>
      <c r="D183" s="41">
        <v>20</v>
      </c>
      <c r="E183" s="29">
        <v>4.17</v>
      </c>
    </row>
    <row r="184" spans="1:8" ht="14.25">
      <c r="A184" s="72" t="s">
        <v>2071</v>
      </c>
      <c r="B184" s="42" t="s">
        <v>2072</v>
      </c>
      <c r="C184" s="58" t="s">
        <v>2074</v>
      </c>
      <c r="D184" s="41">
        <v>20</v>
      </c>
      <c r="E184" s="29">
        <v>4.17</v>
      </c>
    </row>
    <row r="185" spans="1:8" ht="14.25">
      <c r="A185" s="72" t="s">
        <v>2071</v>
      </c>
      <c r="B185" s="42"/>
      <c r="C185" s="42" t="s">
        <v>2075</v>
      </c>
      <c r="D185" s="25" t="s">
        <v>102</v>
      </c>
      <c r="E185" s="29">
        <v>150</v>
      </c>
    </row>
    <row r="186" spans="1:8" ht="14.25">
      <c r="A186" s="72" t="s">
        <v>2071</v>
      </c>
      <c r="B186" s="42" t="s">
        <v>2076</v>
      </c>
      <c r="C186" s="58" t="s">
        <v>55</v>
      </c>
      <c r="D186" s="41">
        <v>25</v>
      </c>
      <c r="E186" s="29">
        <v>2.7</v>
      </c>
    </row>
    <row r="187" spans="1:8" ht="14.25">
      <c r="A187" s="72" t="s">
        <v>2071</v>
      </c>
      <c r="B187" s="42" t="s">
        <v>2076</v>
      </c>
      <c r="C187" s="58" t="s">
        <v>2077</v>
      </c>
      <c r="D187" s="41">
        <v>25</v>
      </c>
      <c r="E187" s="29">
        <v>2.7</v>
      </c>
    </row>
    <row r="188" spans="1:8" ht="14.25">
      <c r="A188" s="72" t="s">
        <v>2071</v>
      </c>
      <c r="B188" s="42"/>
      <c r="C188" s="42" t="s">
        <v>2078</v>
      </c>
      <c r="D188" s="25" t="s">
        <v>102</v>
      </c>
      <c r="E188" s="29">
        <v>75</v>
      </c>
    </row>
    <row r="189" spans="1:8" ht="14.25">
      <c r="A189" s="72" t="s">
        <v>2071</v>
      </c>
      <c r="B189" s="42" t="s">
        <v>2079</v>
      </c>
      <c r="C189" s="58" t="s">
        <v>55</v>
      </c>
      <c r="D189" s="41">
        <v>25</v>
      </c>
      <c r="E189" s="29">
        <v>2.95</v>
      </c>
    </row>
    <row r="190" spans="1:8" ht="14.25">
      <c r="A190" s="72" t="s">
        <v>2071</v>
      </c>
      <c r="B190" s="42" t="s">
        <v>2079</v>
      </c>
      <c r="C190" s="58" t="s">
        <v>2077</v>
      </c>
      <c r="D190" s="41">
        <v>25</v>
      </c>
      <c r="E190" s="29">
        <v>2.95</v>
      </c>
    </row>
    <row r="191" spans="1:8" ht="14.25">
      <c r="A191" s="72" t="s">
        <v>2071</v>
      </c>
      <c r="B191" s="42" t="s">
        <v>2080</v>
      </c>
      <c r="C191" s="58" t="s">
        <v>55</v>
      </c>
      <c r="D191" s="41">
        <v>25</v>
      </c>
      <c r="E191" s="29">
        <v>3.47</v>
      </c>
    </row>
    <row r="192" spans="1:8" ht="14.25">
      <c r="A192" s="72" t="s">
        <v>2071</v>
      </c>
      <c r="B192" s="42" t="s">
        <v>2080</v>
      </c>
      <c r="C192" s="58" t="s">
        <v>2074</v>
      </c>
      <c r="D192" s="41">
        <v>25</v>
      </c>
      <c r="E192" s="29">
        <v>3.47</v>
      </c>
    </row>
    <row r="193" spans="1:6" ht="14.25">
      <c r="A193" s="72" t="s">
        <v>2071</v>
      </c>
      <c r="B193" s="42"/>
      <c r="C193" s="42" t="s">
        <v>2081</v>
      </c>
      <c r="D193" s="25" t="s">
        <v>60</v>
      </c>
      <c r="E193" s="29">
        <v>115</v>
      </c>
    </row>
    <row r="194" spans="1:6" ht="14.25">
      <c r="A194" s="72" t="s">
        <v>2071</v>
      </c>
      <c r="B194" s="42" t="s">
        <v>2082</v>
      </c>
      <c r="C194" s="58" t="s">
        <v>55</v>
      </c>
      <c r="D194" s="41">
        <v>27.4</v>
      </c>
      <c r="E194" s="29">
        <v>5.5</v>
      </c>
    </row>
    <row r="195" spans="1:6" ht="14.25">
      <c r="A195" s="72" t="s">
        <v>2071</v>
      </c>
      <c r="B195" s="42" t="s">
        <v>2082</v>
      </c>
      <c r="C195" s="58" t="s">
        <v>113</v>
      </c>
      <c r="D195" s="41">
        <v>27.4</v>
      </c>
      <c r="E195" s="29">
        <v>5.5</v>
      </c>
    </row>
    <row r="196" spans="1:6" ht="14.25">
      <c r="A196" s="72" t="s">
        <v>2071</v>
      </c>
      <c r="B196" s="42"/>
      <c r="C196" s="42" t="s">
        <v>2083</v>
      </c>
      <c r="D196" s="25" t="s">
        <v>60</v>
      </c>
      <c r="E196" s="29">
        <v>100</v>
      </c>
    </row>
    <row r="197" spans="1:6" ht="14.25">
      <c r="A197" s="72" t="s">
        <v>2071</v>
      </c>
      <c r="B197" s="42" t="s">
        <v>2084</v>
      </c>
      <c r="C197" s="58" t="s">
        <v>55</v>
      </c>
      <c r="D197" s="41">
        <v>28</v>
      </c>
      <c r="E197" s="29">
        <v>2.19</v>
      </c>
    </row>
    <row r="198" spans="1:6" ht="14.25">
      <c r="A198" s="72" t="s">
        <v>2071</v>
      </c>
      <c r="B198" s="42" t="s">
        <v>2084</v>
      </c>
      <c r="C198" s="58" t="s">
        <v>113</v>
      </c>
      <c r="D198" s="41">
        <v>28</v>
      </c>
      <c r="E198" s="29">
        <v>2.19</v>
      </c>
    </row>
    <row r="199" spans="1:6" ht="14.25">
      <c r="A199" s="72" t="s">
        <v>2071</v>
      </c>
      <c r="B199" s="42"/>
      <c r="C199" s="42" t="s">
        <v>2085</v>
      </c>
      <c r="D199" s="25" t="s">
        <v>60</v>
      </c>
      <c r="E199" s="29">
        <v>100</v>
      </c>
    </row>
    <row r="200" spans="1:6" ht="14.25">
      <c r="A200" s="72" t="s">
        <v>2071</v>
      </c>
      <c r="B200" s="42" t="s">
        <v>244</v>
      </c>
      <c r="C200" s="58" t="s">
        <v>55</v>
      </c>
      <c r="D200" s="41">
        <v>28</v>
      </c>
      <c r="E200" s="29">
        <v>2.4500000000000002</v>
      </c>
    </row>
    <row r="201" spans="1:6" ht="14.25">
      <c r="A201" s="72" t="s">
        <v>2071</v>
      </c>
      <c r="B201" s="42" t="s">
        <v>244</v>
      </c>
      <c r="C201" s="58" t="s">
        <v>113</v>
      </c>
      <c r="D201" s="41">
        <v>28</v>
      </c>
      <c r="E201" s="29">
        <v>2.4500000000000002</v>
      </c>
    </row>
    <row r="202" spans="1:6" ht="14.25">
      <c r="A202" s="72" t="s">
        <v>2071</v>
      </c>
      <c r="B202" s="42"/>
      <c r="C202" s="42" t="s">
        <v>2086</v>
      </c>
      <c r="D202" s="25" t="s">
        <v>60</v>
      </c>
      <c r="E202" s="29">
        <v>100</v>
      </c>
    </row>
    <row r="204" spans="1:6" ht="15">
      <c r="A204" s="76" t="s">
        <v>1995</v>
      </c>
      <c r="B204" s="76" t="s">
        <v>32</v>
      </c>
      <c r="C204" s="77" t="s">
        <v>33</v>
      </c>
      <c r="D204" s="78" t="s">
        <v>2000</v>
      </c>
      <c r="E204" s="507" t="s">
        <v>2001</v>
      </c>
      <c r="F204" s="507" t="s">
        <v>110</v>
      </c>
    </row>
    <row r="205" spans="1:6" ht="14.25">
      <c r="A205" s="42" t="s">
        <v>2087</v>
      </c>
      <c r="B205" s="58">
        <v>30</v>
      </c>
      <c r="C205" s="58" t="s">
        <v>2088</v>
      </c>
      <c r="D205" s="25">
        <v>30</v>
      </c>
      <c r="E205" s="26">
        <v>126</v>
      </c>
      <c r="F205" s="41">
        <v>3780</v>
      </c>
    </row>
    <row r="206" spans="1:6" ht="14.25">
      <c r="A206" s="42" t="s">
        <v>2087</v>
      </c>
      <c r="B206" s="58">
        <v>9</v>
      </c>
      <c r="C206" s="58" t="s">
        <v>2088</v>
      </c>
      <c r="D206" s="25">
        <v>30</v>
      </c>
      <c r="E206" s="26">
        <v>7</v>
      </c>
      <c r="F206" s="41">
        <v>210</v>
      </c>
    </row>
    <row r="207" spans="1:6" ht="14.25">
      <c r="A207" s="42" t="s">
        <v>2087</v>
      </c>
      <c r="B207" s="58">
        <v>24</v>
      </c>
      <c r="C207" s="58" t="s">
        <v>2088</v>
      </c>
      <c r="D207" s="25">
        <v>30</v>
      </c>
      <c r="E207" s="26">
        <v>5</v>
      </c>
      <c r="F207" s="41">
        <v>150</v>
      </c>
    </row>
    <row r="208" spans="1:6" ht="14.25">
      <c r="A208" s="42" t="s">
        <v>2087</v>
      </c>
      <c r="B208" s="58">
        <v>30</v>
      </c>
      <c r="C208" s="58" t="s">
        <v>2089</v>
      </c>
      <c r="D208" s="25">
        <v>30</v>
      </c>
      <c r="E208" s="26">
        <v>83</v>
      </c>
      <c r="F208" s="41">
        <v>2490</v>
      </c>
    </row>
    <row r="209" spans="1:7" ht="14.25">
      <c r="A209" s="42" t="s">
        <v>2087</v>
      </c>
      <c r="B209" s="58">
        <v>9</v>
      </c>
      <c r="C209" s="58" t="s">
        <v>2089</v>
      </c>
      <c r="D209" s="25">
        <v>30</v>
      </c>
      <c r="E209" s="26">
        <v>5</v>
      </c>
      <c r="F209" s="41">
        <v>150</v>
      </c>
    </row>
    <row r="210" spans="1:7" ht="14.25">
      <c r="A210" s="42" t="s">
        <v>2087</v>
      </c>
      <c r="B210" s="58">
        <v>24</v>
      </c>
      <c r="C210" s="58" t="s">
        <v>2089</v>
      </c>
      <c r="D210" s="25">
        <v>30</v>
      </c>
      <c r="E210" s="26">
        <v>4</v>
      </c>
      <c r="F210" s="41">
        <v>120</v>
      </c>
    </row>
    <row r="213" spans="1:7" ht="15">
      <c r="A213" s="76" t="s">
        <v>1995</v>
      </c>
      <c r="B213" s="77" t="s">
        <v>33</v>
      </c>
      <c r="C213" s="77" t="s">
        <v>34</v>
      </c>
      <c r="D213" s="78" t="s">
        <v>1996</v>
      </c>
    </row>
    <row r="214" spans="1:7" ht="14.25">
      <c r="A214" s="42" t="s">
        <v>2090</v>
      </c>
      <c r="B214" s="58" t="s">
        <v>2091</v>
      </c>
      <c r="C214" s="41">
        <v>5</v>
      </c>
      <c r="D214" s="29"/>
    </row>
    <row r="215" spans="1:7" ht="14.25">
      <c r="A215" s="42" t="s">
        <v>2092</v>
      </c>
      <c r="B215" s="58" t="s">
        <v>2091</v>
      </c>
      <c r="C215" s="41">
        <v>5</v>
      </c>
      <c r="D215" s="29"/>
    </row>
    <row r="216" spans="1:7" ht="14.25">
      <c r="A216" s="42" t="s">
        <v>2093</v>
      </c>
      <c r="B216" s="58" t="s">
        <v>2091</v>
      </c>
      <c r="C216" s="41">
        <v>5</v>
      </c>
      <c r="D216" s="29">
        <v>3.32</v>
      </c>
    </row>
    <row r="217" spans="1:7" ht="14.25">
      <c r="A217" s="42" t="s">
        <v>2094</v>
      </c>
      <c r="B217" s="58" t="s">
        <v>2091</v>
      </c>
      <c r="C217" s="41">
        <v>5</v>
      </c>
      <c r="D217" s="29">
        <v>4.32</v>
      </c>
    </row>
    <row r="218" spans="1:7" ht="14.25">
      <c r="A218" s="48"/>
      <c r="B218" s="523" t="s">
        <v>2095</v>
      </c>
      <c r="C218" s="79" t="s">
        <v>60</v>
      </c>
      <c r="D218" s="29">
        <v>75</v>
      </c>
    </row>
    <row r="220" spans="1:7" ht="15">
      <c r="A220" s="515" t="s">
        <v>76</v>
      </c>
      <c r="B220" s="76" t="s">
        <v>1995</v>
      </c>
      <c r="C220" s="77" t="s">
        <v>33</v>
      </c>
      <c r="D220" s="77" t="s">
        <v>34</v>
      </c>
      <c r="E220" s="82" t="s">
        <v>122</v>
      </c>
    </row>
    <row r="221" spans="1:7" ht="14.25">
      <c r="A221" s="72" t="s">
        <v>2096</v>
      </c>
      <c r="B221" s="42" t="s">
        <v>2090</v>
      </c>
      <c r="C221" s="58" t="s">
        <v>2097</v>
      </c>
      <c r="D221" s="41">
        <v>150</v>
      </c>
      <c r="E221" s="522">
        <v>207</v>
      </c>
      <c r="F221" s="1">
        <v>127</v>
      </c>
      <c r="G221" s="21" t="s">
        <v>2098</v>
      </c>
    </row>
    <row r="222" spans="1:7" ht="14.25">
      <c r="A222" s="72" t="s">
        <v>2096</v>
      </c>
      <c r="B222" s="42" t="s">
        <v>2090</v>
      </c>
      <c r="C222" s="58" t="s">
        <v>2099</v>
      </c>
      <c r="D222" s="41">
        <v>150</v>
      </c>
      <c r="E222" s="522">
        <v>207</v>
      </c>
      <c r="F222" s="1">
        <v>127</v>
      </c>
      <c r="G222" s="21" t="s">
        <v>2098</v>
      </c>
    </row>
    <row r="223" spans="1:7" ht="14.25">
      <c r="A223" s="72" t="s">
        <v>2096</v>
      </c>
      <c r="B223" s="42" t="s">
        <v>2090</v>
      </c>
      <c r="C223" s="58" t="s">
        <v>2100</v>
      </c>
      <c r="D223" s="41">
        <v>50</v>
      </c>
      <c r="E223" s="522">
        <v>127</v>
      </c>
      <c r="F223" s="1">
        <v>127</v>
      </c>
      <c r="G223" s="21" t="s">
        <v>2098</v>
      </c>
    </row>
    <row r="224" spans="1:7" ht="14.25">
      <c r="A224" s="72" t="s">
        <v>2096</v>
      </c>
      <c r="B224" s="42" t="s">
        <v>2090</v>
      </c>
      <c r="C224" s="58" t="s">
        <v>2101</v>
      </c>
      <c r="D224" s="41">
        <v>50</v>
      </c>
      <c r="E224" s="522">
        <v>127</v>
      </c>
      <c r="F224" s="1">
        <v>127</v>
      </c>
      <c r="G224" s="21" t="s">
        <v>2098</v>
      </c>
    </row>
    <row r="225" spans="1:7" ht="14.25">
      <c r="A225" s="72" t="s">
        <v>2096</v>
      </c>
      <c r="B225" s="42" t="s">
        <v>2090</v>
      </c>
      <c r="C225" s="58" t="s">
        <v>2102</v>
      </c>
      <c r="D225" s="41">
        <v>150</v>
      </c>
      <c r="E225" s="522">
        <v>207</v>
      </c>
      <c r="F225" s="1">
        <v>127</v>
      </c>
      <c r="G225" s="21" t="s">
        <v>2098</v>
      </c>
    </row>
    <row r="226" spans="1:7" ht="14.25">
      <c r="A226" s="72" t="s">
        <v>2096</v>
      </c>
      <c r="B226" s="42" t="s">
        <v>2090</v>
      </c>
      <c r="C226" s="58" t="s">
        <v>2091</v>
      </c>
      <c r="D226" s="41">
        <v>100</v>
      </c>
      <c r="E226" s="522">
        <v>127</v>
      </c>
      <c r="F226" s="1">
        <v>127</v>
      </c>
      <c r="G226" s="21" t="s">
        <v>2098</v>
      </c>
    </row>
    <row r="227" spans="1:7" ht="14.25">
      <c r="A227" s="72" t="s">
        <v>2096</v>
      </c>
      <c r="B227" s="48"/>
      <c r="C227" s="524" t="s">
        <v>2103</v>
      </c>
      <c r="D227" s="79" t="s">
        <v>102</v>
      </c>
      <c r="E227" s="522">
        <v>8000</v>
      </c>
      <c r="F227" s="1">
        <v>8000</v>
      </c>
      <c r="G227" s="1"/>
    </row>
    <row r="228" spans="1:7" ht="14.25">
      <c r="A228" s="72" t="s">
        <v>2096</v>
      </c>
      <c r="B228" s="42" t="s">
        <v>2104</v>
      </c>
      <c r="C228" s="58" t="s">
        <v>2105</v>
      </c>
      <c r="D228" s="41">
        <v>150</v>
      </c>
      <c r="E228" s="522">
        <v>207</v>
      </c>
      <c r="F228" s="1">
        <v>127</v>
      </c>
      <c r="G228" s="21" t="s">
        <v>2098</v>
      </c>
    </row>
    <row r="229" spans="1:7" ht="14.25">
      <c r="A229" s="72" t="s">
        <v>2096</v>
      </c>
      <c r="B229" s="42" t="s">
        <v>2104</v>
      </c>
      <c r="C229" s="58" t="s">
        <v>2102</v>
      </c>
      <c r="D229" s="41">
        <v>150</v>
      </c>
      <c r="E229" s="522">
        <v>207</v>
      </c>
      <c r="F229" s="1">
        <v>127</v>
      </c>
      <c r="G229" s="21" t="s">
        <v>2098</v>
      </c>
    </row>
    <row r="230" spans="1:7" ht="14.25">
      <c r="A230" s="72" t="s">
        <v>2096</v>
      </c>
      <c r="B230" s="42" t="s">
        <v>2104</v>
      </c>
      <c r="C230" s="58" t="s">
        <v>2099</v>
      </c>
      <c r="D230" s="41">
        <v>150</v>
      </c>
      <c r="E230" s="522">
        <v>207</v>
      </c>
      <c r="F230" s="1">
        <v>127</v>
      </c>
      <c r="G230" s="21" t="s">
        <v>2098</v>
      </c>
    </row>
    <row r="231" spans="1:7" ht="14.25">
      <c r="A231" s="72" t="s">
        <v>2096</v>
      </c>
      <c r="B231" s="42" t="s">
        <v>2104</v>
      </c>
      <c r="C231" s="58" t="s">
        <v>2106</v>
      </c>
      <c r="D231" s="41">
        <v>50</v>
      </c>
      <c r="E231" s="522">
        <v>127</v>
      </c>
      <c r="F231" s="1">
        <v>127</v>
      </c>
      <c r="G231" s="21" t="s">
        <v>2098</v>
      </c>
    </row>
    <row r="232" spans="1:7" ht="14.25">
      <c r="A232" s="72" t="s">
        <v>2096</v>
      </c>
      <c r="B232" s="42" t="s">
        <v>2104</v>
      </c>
      <c r="C232" s="58" t="s">
        <v>2091</v>
      </c>
      <c r="D232" s="41">
        <v>100</v>
      </c>
      <c r="E232" s="522">
        <v>127</v>
      </c>
      <c r="F232" s="1">
        <v>127</v>
      </c>
      <c r="G232" s="21" t="s">
        <v>2098</v>
      </c>
    </row>
    <row r="233" spans="1:7" ht="14.25">
      <c r="A233" s="72" t="s">
        <v>2096</v>
      </c>
      <c r="B233" s="48"/>
      <c r="C233" s="524" t="s">
        <v>2107</v>
      </c>
      <c r="D233" s="79" t="s">
        <v>60</v>
      </c>
      <c r="E233" s="522">
        <v>8000</v>
      </c>
      <c r="F233" s="1">
        <v>8000</v>
      </c>
      <c r="G233" s="1"/>
    </row>
    <row r="234" spans="1:7" ht="14.25">
      <c r="A234" s="72" t="s">
        <v>2096</v>
      </c>
      <c r="B234" s="42" t="s">
        <v>2093</v>
      </c>
      <c r="C234" s="58" t="s">
        <v>2102</v>
      </c>
      <c r="D234" s="41">
        <v>150</v>
      </c>
      <c r="E234" s="522">
        <v>199</v>
      </c>
      <c r="F234" s="1">
        <v>119</v>
      </c>
      <c r="G234" s="21" t="s">
        <v>2098</v>
      </c>
    </row>
    <row r="235" spans="1:7" ht="14.25">
      <c r="A235" s="72" t="s">
        <v>2096</v>
      </c>
      <c r="B235" s="42" t="s">
        <v>2093</v>
      </c>
      <c r="C235" s="58" t="s">
        <v>2105</v>
      </c>
      <c r="D235" s="41">
        <v>150</v>
      </c>
      <c r="E235" s="522">
        <v>199</v>
      </c>
      <c r="F235" s="1">
        <v>119</v>
      </c>
      <c r="G235" s="21" t="s">
        <v>2098</v>
      </c>
    </row>
    <row r="236" spans="1:7" ht="14.25">
      <c r="A236" s="72" t="s">
        <v>2096</v>
      </c>
      <c r="B236" s="42" t="s">
        <v>2093</v>
      </c>
      <c r="C236" s="58" t="s">
        <v>2099</v>
      </c>
      <c r="D236" s="41">
        <v>150</v>
      </c>
      <c r="E236" s="522">
        <v>199</v>
      </c>
      <c r="F236" s="1">
        <v>119</v>
      </c>
      <c r="G236" s="21" t="s">
        <v>2098</v>
      </c>
    </row>
    <row r="237" spans="1:7" ht="14.25">
      <c r="A237" s="72" t="s">
        <v>2096</v>
      </c>
      <c r="B237" s="42" t="s">
        <v>2093</v>
      </c>
      <c r="C237" s="58" t="s">
        <v>2106</v>
      </c>
      <c r="D237" s="41">
        <v>50</v>
      </c>
      <c r="E237" s="522">
        <v>119</v>
      </c>
      <c r="F237" s="1">
        <v>119</v>
      </c>
      <c r="G237" s="21" t="s">
        <v>2098</v>
      </c>
    </row>
    <row r="238" spans="1:7" ht="14.25">
      <c r="A238" s="72" t="s">
        <v>2096</v>
      </c>
      <c r="B238" s="42" t="s">
        <v>2093</v>
      </c>
      <c r="C238" s="58" t="s">
        <v>2091</v>
      </c>
      <c r="D238" s="41">
        <v>100</v>
      </c>
      <c r="E238" s="522">
        <v>119</v>
      </c>
      <c r="F238" s="1">
        <v>119</v>
      </c>
      <c r="G238" s="21" t="s">
        <v>2098</v>
      </c>
    </row>
    <row r="239" spans="1:7" ht="14.25">
      <c r="A239" s="72" t="s">
        <v>2096</v>
      </c>
      <c r="B239" s="48"/>
      <c r="C239" s="524" t="s">
        <v>2107</v>
      </c>
      <c r="D239" s="79" t="s">
        <v>60</v>
      </c>
      <c r="E239" s="522">
        <v>8000</v>
      </c>
      <c r="F239" s="1">
        <v>8000</v>
      </c>
      <c r="G239" s="1"/>
    </row>
    <row r="240" spans="1:7" ht="14.25">
      <c r="A240" s="72" t="s">
        <v>2096</v>
      </c>
      <c r="B240" s="42" t="s">
        <v>2094</v>
      </c>
      <c r="C240" s="58" t="s">
        <v>2102</v>
      </c>
      <c r="D240" s="41">
        <v>150</v>
      </c>
      <c r="E240" s="522">
        <v>259</v>
      </c>
      <c r="F240" s="1">
        <v>189</v>
      </c>
      <c r="G240" s="21" t="s">
        <v>2108</v>
      </c>
    </row>
    <row r="241" spans="1:7" ht="14.25">
      <c r="A241" s="72" t="s">
        <v>2096</v>
      </c>
      <c r="B241" s="42" t="s">
        <v>2094</v>
      </c>
      <c r="C241" s="58" t="s">
        <v>2105</v>
      </c>
      <c r="D241" s="41">
        <v>150</v>
      </c>
      <c r="E241" s="522">
        <v>259</v>
      </c>
      <c r="F241" s="1">
        <v>189</v>
      </c>
      <c r="G241" s="21" t="s">
        <v>2108</v>
      </c>
    </row>
    <row r="242" spans="1:7" ht="14.25">
      <c r="A242" s="72" t="s">
        <v>2096</v>
      </c>
      <c r="B242" s="42" t="s">
        <v>2094</v>
      </c>
      <c r="C242" s="58" t="s">
        <v>2099</v>
      </c>
      <c r="D242" s="41">
        <v>150</v>
      </c>
      <c r="E242" s="522">
        <v>259</v>
      </c>
      <c r="F242" s="1">
        <v>189</v>
      </c>
      <c r="G242" s="21" t="s">
        <v>2108</v>
      </c>
    </row>
    <row r="243" spans="1:7" ht="14.25">
      <c r="A243" s="72" t="s">
        <v>2096</v>
      </c>
      <c r="B243" s="42" t="s">
        <v>2094</v>
      </c>
      <c r="C243" s="58" t="s">
        <v>2106</v>
      </c>
      <c r="D243" s="41">
        <v>50</v>
      </c>
      <c r="E243" s="522">
        <v>189</v>
      </c>
      <c r="F243" s="1">
        <v>189</v>
      </c>
      <c r="G243" s="21" t="s">
        <v>2108</v>
      </c>
    </row>
    <row r="244" spans="1:7" ht="14.25">
      <c r="A244" s="72" t="s">
        <v>2096</v>
      </c>
      <c r="B244" s="42" t="s">
        <v>2094</v>
      </c>
      <c r="C244" s="58" t="s">
        <v>2091</v>
      </c>
      <c r="D244" s="41">
        <v>100</v>
      </c>
      <c r="E244" s="522">
        <v>189</v>
      </c>
      <c r="F244" s="1">
        <v>189</v>
      </c>
      <c r="G244" s="21" t="s">
        <v>2108</v>
      </c>
    </row>
    <row r="245" spans="1:7" ht="14.25">
      <c r="A245" s="72" t="s">
        <v>2096</v>
      </c>
      <c r="B245" s="48"/>
      <c r="C245" s="524" t="s">
        <v>2107</v>
      </c>
      <c r="D245" s="79" t="s">
        <v>60</v>
      </c>
      <c r="E245" s="522">
        <v>7000</v>
      </c>
      <c r="F245" s="1">
        <v>8000</v>
      </c>
      <c r="G245" s="1"/>
    </row>
    <row r="247" spans="1:7" ht="15">
      <c r="A247" s="76" t="s">
        <v>1995</v>
      </c>
      <c r="B247" s="77" t="s">
        <v>33</v>
      </c>
      <c r="C247" s="77" t="s">
        <v>34</v>
      </c>
      <c r="D247" s="78" t="s">
        <v>1996</v>
      </c>
    </row>
    <row r="248" spans="1:7" ht="14.25">
      <c r="A248" s="42" t="s">
        <v>2090</v>
      </c>
      <c r="B248" s="58" t="s">
        <v>2097</v>
      </c>
      <c r="C248" s="41">
        <v>150</v>
      </c>
      <c r="D248" s="29">
        <v>3.45</v>
      </c>
    </row>
    <row r="249" spans="1:7" ht="14.25">
      <c r="A249" s="42" t="s">
        <v>2090</v>
      </c>
      <c r="B249" s="58" t="s">
        <v>2099</v>
      </c>
      <c r="C249" s="41">
        <v>150</v>
      </c>
      <c r="D249" s="29">
        <v>3.45</v>
      </c>
    </row>
    <row r="250" spans="1:7" ht="14.25">
      <c r="A250" s="42" t="s">
        <v>2090</v>
      </c>
      <c r="B250" s="58" t="s">
        <v>2100</v>
      </c>
      <c r="C250" s="41">
        <v>50</v>
      </c>
      <c r="D250" s="29">
        <v>3.45</v>
      </c>
    </row>
    <row r="251" spans="1:7" ht="14.25">
      <c r="A251" s="42" t="s">
        <v>2090</v>
      </c>
      <c r="B251" s="58" t="s">
        <v>2101</v>
      </c>
      <c r="C251" s="41">
        <v>50</v>
      </c>
      <c r="D251" s="29">
        <v>3.45</v>
      </c>
    </row>
    <row r="252" spans="1:7" ht="14.25">
      <c r="A252" s="42" t="s">
        <v>2090</v>
      </c>
      <c r="B252" s="58" t="s">
        <v>2102</v>
      </c>
      <c r="C252" s="41">
        <v>150</v>
      </c>
      <c r="D252" s="29">
        <v>3.45</v>
      </c>
    </row>
    <row r="253" spans="1:7" ht="14.25">
      <c r="A253" s="42" t="s">
        <v>2090</v>
      </c>
      <c r="B253" s="58" t="s">
        <v>2091</v>
      </c>
      <c r="C253" s="41">
        <v>100</v>
      </c>
      <c r="D253" s="29">
        <v>3.45</v>
      </c>
    </row>
    <row r="254" spans="1:7" ht="14.25">
      <c r="A254" s="48"/>
      <c r="B254" s="525" t="s">
        <v>2103</v>
      </c>
      <c r="C254" s="79" t="s">
        <v>102</v>
      </c>
      <c r="D254" s="29">
        <v>200</v>
      </c>
    </row>
    <row r="255" spans="1:7" ht="14.25">
      <c r="A255" s="42" t="s">
        <v>2104</v>
      </c>
      <c r="B255" s="58" t="s">
        <v>2105</v>
      </c>
      <c r="C255" s="41">
        <v>150</v>
      </c>
      <c r="D255" s="29">
        <v>3.45</v>
      </c>
    </row>
    <row r="256" spans="1:7" ht="14.25">
      <c r="A256" s="42" t="s">
        <v>2104</v>
      </c>
      <c r="B256" s="58" t="s">
        <v>2102</v>
      </c>
      <c r="C256" s="41">
        <v>150</v>
      </c>
      <c r="D256" s="29">
        <v>3.45</v>
      </c>
    </row>
    <row r="257" spans="1:4" ht="14.25">
      <c r="A257" s="42" t="s">
        <v>2104</v>
      </c>
      <c r="B257" s="58" t="s">
        <v>2099</v>
      </c>
      <c r="C257" s="41">
        <v>150</v>
      </c>
      <c r="D257" s="29">
        <v>3.45</v>
      </c>
    </row>
    <row r="258" spans="1:4" ht="14.25">
      <c r="A258" s="42" t="s">
        <v>2104</v>
      </c>
      <c r="B258" s="58" t="s">
        <v>2101</v>
      </c>
      <c r="C258" s="41">
        <v>50</v>
      </c>
      <c r="D258" s="29">
        <v>3.45</v>
      </c>
    </row>
    <row r="259" spans="1:4" ht="14.25">
      <c r="A259" s="42" t="s">
        <v>2104</v>
      </c>
      <c r="B259" s="58" t="s">
        <v>2091</v>
      </c>
      <c r="C259" s="41">
        <v>100</v>
      </c>
      <c r="D259" s="29">
        <v>3.45</v>
      </c>
    </row>
    <row r="260" spans="1:4" ht="14.25">
      <c r="A260" s="48"/>
      <c r="B260" s="525" t="s">
        <v>2109</v>
      </c>
      <c r="C260" s="79" t="s">
        <v>60</v>
      </c>
      <c r="D260" s="29">
        <v>100</v>
      </c>
    </row>
    <row r="261" spans="1:4" ht="14.25">
      <c r="A261" s="42" t="s">
        <v>2093</v>
      </c>
      <c r="B261" s="58" t="s">
        <v>2102</v>
      </c>
      <c r="C261" s="41">
        <v>150</v>
      </c>
      <c r="D261" s="29">
        <v>3.32</v>
      </c>
    </row>
    <row r="262" spans="1:4" ht="14.25">
      <c r="A262" s="42" t="s">
        <v>2093</v>
      </c>
      <c r="B262" s="58" t="s">
        <v>2105</v>
      </c>
      <c r="C262" s="41">
        <v>150</v>
      </c>
      <c r="D262" s="29">
        <v>3.32</v>
      </c>
    </row>
    <row r="263" spans="1:4" ht="14.25">
      <c r="A263" s="42" t="s">
        <v>2093</v>
      </c>
      <c r="B263" s="58" t="s">
        <v>2099</v>
      </c>
      <c r="C263" s="41">
        <v>150</v>
      </c>
      <c r="D263" s="29">
        <v>3.32</v>
      </c>
    </row>
    <row r="264" spans="1:4" ht="14.25">
      <c r="A264" s="42" t="s">
        <v>2093</v>
      </c>
      <c r="B264" s="58" t="s">
        <v>2101</v>
      </c>
      <c r="C264" s="41">
        <v>50</v>
      </c>
      <c r="D264" s="29">
        <v>3.32</v>
      </c>
    </row>
    <row r="265" spans="1:4" ht="14.25">
      <c r="A265" s="42" t="s">
        <v>2093</v>
      </c>
      <c r="B265" s="58" t="s">
        <v>2091</v>
      </c>
      <c r="C265" s="41">
        <v>100</v>
      </c>
      <c r="D265" s="29">
        <v>3.32</v>
      </c>
    </row>
    <row r="266" spans="1:4" ht="14.25">
      <c r="A266" s="48"/>
      <c r="B266" s="525" t="s">
        <v>2109</v>
      </c>
      <c r="C266" s="79" t="s">
        <v>60</v>
      </c>
      <c r="D266" s="29">
        <v>100</v>
      </c>
    </row>
    <row r="267" spans="1:4" ht="14.25">
      <c r="A267" s="42" t="s">
        <v>2094</v>
      </c>
      <c r="B267" s="58" t="s">
        <v>2102</v>
      </c>
      <c r="C267" s="41">
        <v>150</v>
      </c>
      <c r="D267" s="29">
        <v>4.32</v>
      </c>
    </row>
    <row r="268" spans="1:4" ht="14.25">
      <c r="A268" s="42" t="s">
        <v>2094</v>
      </c>
      <c r="B268" s="58" t="s">
        <v>2105</v>
      </c>
      <c r="C268" s="41">
        <v>150</v>
      </c>
      <c r="D268" s="29">
        <v>4.32</v>
      </c>
    </row>
    <row r="269" spans="1:4" ht="14.25">
      <c r="A269" s="42" t="s">
        <v>2094</v>
      </c>
      <c r="B269" s="58" t="s">
        <v>2099</v>
      </c>
      <c r="C269" s="41">
        <v>150</v>
      </c>
      <c r="D269" s="29">
        <v>4.32</v>
      </c>
    </row>
    <row r="270" spans="1:4" ht="14.25">
      <c r="A270" s="42" t="s">
        <v>2094</v>
      </c>
      <c r="B270" s="58" t="s">
        <v>2101</v>
      </c>
      <c r="C270" s="41">
        <v>50</v>
      </c>
      <c r="D270" s="29">
        <v>4.32</v>
      </c>
    </row>
    <row r="271" spans="1:4" ht="14.25">
      <c r="A271" s="42" t="s">
        <v>2094</v>
      </c>
      <c r="B271" s="58" t="s">
        <v>2091</v>
      </c>
      <c r="C271" s="41">
        <v>100</v>
      </c>
      <c r="D271" s="29">
        <v>4.32</v>
      </c>
    </row>
    <row r="272" spans="1:4" ht="14.25">
      <c r="A272" s="48"/>
      <c r="B272" s="525" t="s">
        <v>2109</v>
      </c>
      <c r="C272" s="79" t="s">
        <v>60</v>
      </c>
      <c r="D272" s="29">
        <v>100</v>
      </c>
    </row>
    <row r="275" spans="1:6" ht="15">
      <c r="A275" s="76" t="s">
        <v>1995</v>
      </c>
      <c r="B275" s="77" t="s">
        <v>33</v>
      </c>
      <c r="C275" s="78" t="s">
        <v>2000</v>
      </c>
      <c r="D275" s="507" t="s">
        <v>2001</v>
      </c>
      <c r="E275" s="507" t="s">
        <v>110</v>
      </c>
      <c r="F275" s="78" t="s">
        <v>1996</v>
      </c>
    </row>
    <row r="276" spans="1:6" ht="14.25">
      <c r="A276" s="42" t="s">
        <v>2052</v>
      </c>
      <c r="B276" s="58" t="s">
        <v>36</v>
      </c>
      <c r="C276" s="41">
        <v>13.7</v>
      </c>
      <c r="D276" s="51">
        <v>1</v>
      </c>
      <c r="E276" s="41">
        <v>13.7</v>
      </c>
      <c r="F276" s="29">
        <v>2.0699999999999998</v>
      </c>
    </row>
    <row r="277" spans="1:6" ht="14.25">
      <c r="A277" s="42" t="s">
        <v>2052</v>
      </c>
      <c r="B277" s="58" t="s">
        <v>2053</v>
      </c>
      <c r="C277" s="41">
        <v>13.7</v>
      </c>
      <c r="D277" s="51">
        <v>3</v>
      </c>
      <c r="E277" s="41">
        <v>41.099999999999994</v>
      </c>
      <c r="F277" s="29">
        <v>2.0699999999999998</v>
      </c>
    </row>
    <row r="278" spans="1:6" ht="14.25">
      <c r="A278" s="42"/>
      <c r="B278" s="58" t="s">
        <v>123</v>
      </c>
      <c r="C278" s="79" t="s">
        <v>102</v>
      </c>
      <c r="D278" s="51"/>
      <c r="E278" s="41"/>
      <c r="F278" s="29">
        <v>200</v>
      </c>
    </row>
    <row r="282" spans="1:6" ht="14.25">
      <c r="A282" s="68" t="s">
        <v>56</v>
      </c>
      <c r="B282" s="42" t="s">
        <v>2110</v>
      </c>
      <c r="C282" s="41">
        <v>10</v>
      </c>
    </row>
    <row r="283" spans="1:6" ht="14.25">
      <c r="A283" s="68" t="s">
        <v>56</v>
      </c>
      <c r="B283" s="42" t="s">
        <v>2111</v>
      </c>
      <c r="C283" s="41">
        <v>10</v>
      </c>
    </row>
    <row r="284" spans="1:6" ht="14.25">
      <c r="A284" s="68" t="s">
        <v>56</v>
      </c>
      <c r="B284" s="42" t="s">
        <v>2111</v>
      </c>
      <c r="C284" s="41">
        <v>10</v>
      </c>
    </row>
    <row r="285" spans="1:6" ht="14.25">
      <c r="A285" s="68" t="s">
        <v>56</v>
      </c>
      <c r="B285" s="42" t="s">
        <v>2112</v>
      </c>
      <c r="C285" s="41">
        <v>23</v>
      </c>
    </row>
    <row r="286" spans="1:6" ht="14.25">
      <c r="A286" s="68" t="s">
        <v>56</v>
      </c>
      <c r="B286" s="42" t="s">
        <v>2113</v>
      </c>
      <c r="C286" s="41">
        <v>50</v>
      </c>
    </row>
    <row r="287" spans="1:6" ht="14.25">
      <c r="A287" s="68"/>
      <c r="B287" s="42" t="s">
        <v>2114</v>
      </c>
      <c r="C287" s="25" t="s">
        <v>118</v>
      </c>
    </row>
    <row r="288" spans="1:6" ht="14.25">
      <c r="A288" s="42"/>
      <c r="B288" s="42" t="s">
        <v>11</v>
      </c>
      <c r="C288" s="25" t="s">
        <v>60</v>
      </c>
    </row>
    <row r="290" spans="1:8" ht="15">
      <c r="A290" s="76" t="s">
        <v>76</v>
      </c>
      <c r="B290" s="76" t="s">
        <v>1995</v>
      </c>
      <c r="C290" s="77" t="s">
        <v>33</v>
      </c>
      <c r="D290" s="77" t="s">
        <v>34</v>
      </c>
      <c r="E290" s="11" t="s">
        <v>2115</v>
      </c>
      <c r="F290" s="112"/>
      <c r="G290" s="5"/>
      <c r="H290" s="5"/>
    </row>
    <row r="291" spans="1:8" ht="15">
      <c r="A291" s="504" t="s">
        <v>2116</v>
      </c>
      <c r="B291" s="17" t="s">
        <v>2117</v>
      </c>
      <c r="C291" s="31" t="s">
        <v>55</v>
      </c>
      <c r="D291" s="54">
        <v>30</v>
      </c>
      <c r="E291" s="526">
        <v>43</v>
      </c>
      <c r="F291" s="5">
        <v>125</v>
      </c>
      <c r="G291" s="8" t="s">
        <v>2118</v>
      </c>
      <c r="H291" s="8" t="s">
        <v>2119</v>
      </c>
    </row>
    <row r="292" spans="1:8" ht="15">
      <c r="A292" s="504" t="s">
        <v>2116</v>
      </c>
      <c r="B292" s="17" t="s">
        <v>2117</v>
      </c>
      <c r="C292" s="120" t="s">
        <v>2120</v>
      </c>
      <c r="D292" s="54">
        <v>20</v>
      </c>
      <c r="E292" s="526">
        <v>43</v>
      </c>
      <c r="F292" s="5">
        <v>125</v>
      </c>
      <c r="G292" s="8" t="s">
        <v>2118</v>
      </c>
      <c r="H292" s="8" t="s">
        <v>2119</v>
      </c>
    </row>
    <row r="293" spans="1:8" ht="15">
      <c r="A293" s="504" t="s">
        <v>2116</v>
      </c>
      <c r="B293" s="17" t="s">
        <v>2117</v>
      </c>
      <c r="C293" s="152" t="s">
        <v>2121</v>
      </c>
      <c r="D293" s="54">
        <v>20</v>
      </c>
      <c r="E293" s="526">
        <v>43</v>
      </c>
      <c r="F293" s="5">
        <v>125</v>
      </c>
      <c r="G293" s="8" t="s">
        <v>2118</v>
      </c>
      <c r="H293" s="8" t="s">
        <v>2119</v>
      </c>
    </row>
    <row r="294" spans="1:8" ht="15">
      <c r="A294" s="504" t="s">
        <v>2116</v>
      </c>
      <c r="B294" s="17" t="s">
        <v>2122</v>
      </c>
      <c r="C294" s="31" t="s">
        <v>55</v>
      </c>
      <c r="D294" s="54">
        <v>30</v>
      </c>
      <c r="E294" s="526">
        <v>73</v>
      </c>
      <c r="F294" s="5">
        <v>165</v>
      </c>
      <c r="G294" s="8" t="s">
        <v>2123</v>
      </c>
      <c r="H294" s="8" t="s">
        <v>2124</v>
      </c>
    </row>
    <row r="295" spans="1:8" ht="15">
      <c r="A295" s="504" t="s">
        <v>2116</v>
      </c>
      <c r="B295" s="17" t="s">
        <v>2122</v>
      </c>
      <c r="C295" s="120" t="s">
        <v>2120</v>
      </c>
      <c r="D295" s="54">
        <v>20</v>
      </c>
      <c r="E295" s="526">
        <v>73</v>
      </c>
      <c r="F295" s="5">
        <v>165</v>
      </c>
      <c r="G295" s="8" t="s">
        <v>2123</v>
      </c>
      <c r="H295" s="8" t="s">
        <v>2124</v>
      </c>
    </row>
    <row r="296" spans="1:8" ht="15">
      <c r="A296" s="504" t="s">
        <v>2116</v>
      </c>
      <c r="B296" s="17" t="s">
        <v>2122</v>
      </c>
      <c r="C296" s="152" t="s">
        <v>2121</v>
      </c>
      <c r="D296" s="54">
        <v>20</v>
      </c>
      <c r="E296" s="526">
        <v>73</v>
      </c>
      <c r="F296" s="5">
        <v>165</v>
      </c>
      <c r="G296" s="8" t="s">
        <v>2123</v>
      </c>
      <c r="H296" s="8" t="s">
        <v>2124</v>
      </c>
    </row>
    <row r="297" spans="1:8" ht="15">
      <c r="A297" s="504" t="s">
        <v>2116</v>
      </c>
      <c r="B297" s="17" t="s">
        <v>2125</v>
      </c>
      <c r="C297" s="31" t="s">
        <v>55</v>
      </c>
      <c r="D297" s="54">
        <v>30</v>
      </c>
      <c r="E297" s="526">
        <v>132</v>
      </c>
      <c r="F297" s="5">
        <v>212</v>
      </c>
      <c r="G297" s="8" t="s">
        <v>2126</v>
      </c>
      <c r="H297" s="8" t="s">
        <v>67</v>
      </c>
    </row>
    <row r="298" spans="1:8" ht="15">
      <c r="A298" s="504" t="s">
        <v>2116</v>
      </c>
      <c r="B298" s="17" t="s">
        <v>2125</v>
      </c>
      <c r="C298" s="120" t="s">
        <v>2120</v>
      </c>
      <c r="D298" s="54">
        <v>20</v>
      </c>
      <c r="E298" s="526">
        <v>132</v>
      </c>
      <c r="F298" s="5">
        <v>212</v>
      </c>
      <c r="G298" s="8" t="s">
        <v>2126</v>
      </c>
      <c r="H298" s="8" t="s">
        <v>67</v>
      </c>
    </row>
    <row r="299" spans="1:8" ht="15">
      <c r="A299" s="504" t="s">
        <v>2116</v>
      </c>
      <c r="B299" s="17" t="s">
        <v>2125</v>
      </c>
      <c r="C299" s="152" t="s">
        <v>2121</v>
      </c>
      <c r="D299" s="54">
        <v>20</v>
      </c>
      <c r="E299" s="526">
        <v>132</v>
      </c>
      <c r="F299" s="5">
        <v>212</v>
      </c>
      <c r="G299" s="8" t="s">
        <v>2126</v>
      </c>
      <c r="H299" s="8" t="s">
        <v>67</v>
      </c>
    </row>
    <row r="300" spans="1:8" ht="15">
      <c r="A300" s="504" t="s">
        <v>2116</v>
      </c>
      <c r="B300" s="17" t="s">
        <v>2127</v>
      </c>
      <c r="C300" s="31" t="s">
        <v>55</v>
      </c>
      <c r="D300" s="54">
        <v>30</v>
      </c>
      <c r="E300" s="526">
        <v>32</v>
      </c>
      <c r="F300" s="5">
        <v>112</v>
      </c>
      <c r="G300" s="8" t="s">
        <v>2128</v>
      </c>
      <c r="H300" s="8" t="s">
        <v>2129</v>
      </c>
    </row>
    <row r="301" spans="1:8" ht="15">
      <c r="A301" s="504" t="s">
        <v>2116</v>
      </c>
      <c r="B301" s="17" t="s">
        <v>2127</v>
      </c>
      <c r="C301" s="115" t="s">
        <v>173</v>
      </c>
      <c r="D301" s="54">
        <v>30</v>
      </c>
      <c r="E301" s="526">
        <v>32</v>
      </c>
      <c r="F301" s="5">
        <v>112</v>
      </c>
      <c r="G301" s="8" t="s">
        <v>2128</v>
      </c>
      <c r="H301" s="8" t="s">
        <v>2129</v>
      </c>
    </row>
    <row r="302" spans="1:8" ht="15">
      <c r="A302" s="504" t="s">
        <v>2116</v>
      </c>
      <c r="B302" s="17" t="s">
        <v>2127</v>
      </c>
      <c r="C302" s="152" t="s">
        <v>2121</v>
      </c>
      <c r="D302" s="54">
        <v>30</v>
      </c>
      <c r="E302" s="526">
        <v>32</v>
      </c>
      <c r="F302" s="5">
        <v>112</v>
      </c>
      <c r="G302" s="8" t="s">
        <v>2128</v>
      </c>
      <c r="H302" s="8" t="s">
        <v>2129</v>
      </c>
    </row>
    <row r="303" spans="1:8" ht="15">
      <c r="A303" s="504" t="s">
        <v>2116</v>
      </c>
      <c r="B303" s="17" t="s">
        <v>2127</v>
      </c>
      <c r="C303" s="527" t="s">
        <v>2130</v>
      </c>
      <c r="D303" s="54">
        <v>15</v>
      </c>
      <c r="E303" s="526">
        <v>32</v>
      </c>
      <c r="F303" s="5">
        <v>112</v>
      </c>
      <c r="G303" s="8" t="s">
        <v>2128</v>
      </c>
      <c r="H303" s="8" t="s">
        <v>2129</v>
      </c>
    </row>
    <row r="304" spans="1:8" ht="15">
      <c r="A304" s="504" t="s">
        <v>2116</v>
      </c>
      <c r="B304" s="17" t="s">
        <v>2131</v>
      </c>
      <c r="C304" s="31" t="s">
        <v>55</v>
      </c>
      <c r="D304" s="54">
        <v>30</v>
      </c>
      <c r="E304" s="526">
        <v>87</v>
      </c>
      <c r="F304" s="5">
        <v>167</v>
      </c>
      <c r="G304" s="8" t="s">
        <v>2132</v>
      </c>
      <c r="H304" s="8" t="s">
        <v>67</v>
      </c>
    </row>
    <row r="305" spans="1:8" ht="15">
      <c r="A305" s="504" t="s">
        <v>2116</v>
      </c>
      <c r="B305" s="17" t="s">
        <v>2131</v>
      </c>
      <c r="C305" s="115" t="s">
        <v>173</v>
      </c>
      <c r="D305" s="54">
        <v>30</v>
      </c>
      <c r="E305" s="526">
        <v>87</v>
      </c>
      <c r="F305" s="5">
        <v>167</v>
      </c>
      <c r="G305" s="8" t="s">
        <v>2132</v>
      </c>
      <c r="H305" s="8" t="s">
        <v>67</v>
      </c>
    </row>
    <row r="306" spans="1:8" ht="15">
      <c r="A306" s="504" t="s">
        <v>2116</v>
      </c>
      <c r="B306" s="17" t="s">
        <v>2131</v>
      </c>
      <c r="C306" s="152" t="s">
        <v>2121</v>
      </c>
      <c r="D306" s="54">
        <v>30</v>
      </c>
      <c r="E306" s="526">
        <v>87</v>
      </c>
      <c r="F306" s="5">
        <v>167</v>
      </c>
      <c r="G306" s="8" t="s">
        <v>2132</v>
      </c>
      <c r="H306" s="8" t="s">
        <v>67</v>
      </c>
    </row>
    <row r="307" spans="1:8" ht="15">
      <c r="A307" s="504" t="s">
        <v>2116</v>
      </c>
      <c r="B307" s="17" t="s">
        <v>2131</v>
      </c>
      <c r="C307" s="527" t="s">
        <v>2130</v>
      </c>
      <c r="D307" s="54">
        <v>15</v>
      </c>
      <c r="E307" s="526">
        <v>87</v>
      </c>
      <c r="F307" s="5">
        <v>167</v>
      </c>
      <c r="G307" s="8" t="s">
        <v>2132</v>
      </c>
      <c r="H307" s="8" t="s">
        <v>67</v>
      </c>
    </row>
    <row r="308" spans="1:8" ht="15">
      <c r="A308" s="504" t="s">
        <v>2116</v>
      </c>
      <c r="B308" s="17" t="s">
        <v>2133</v>
      </c>
      <c r="C308" s="31" t="s">
        <v>55</v>
      </c>
      <c r="D308" s="54">
        <v>30</v>
      </c>
      <c r="E308" s="526">
        <v>36</v>
      </c>
      <c r="F308" s="5">
        <v>116</v>
      </c>
      <c r="G308" s="8" t="s">
        <v>2134</v>
      </c>
      <c r="H308" s="8" t="s">
        <v>67</v>
      </c>
    </row>
    <row r="309" spans="1:8" ht="15">
      <c r="A309" s="504" t="s">
        <v>2116</v>
      </c>
      <c r="B309" s="17" t="s">
        <v>2133</v>
      </c>
      <c r="C309" s="115" t="s">
        <v>173</v>
      </c>
      <c r="D309" s="54">
        <v>30</v>
      </c>
      <c r="E309" s="526">
        <v>36</v>
      </c>
      <c r="F309" s="5">
        <v>116</v>
      </c>
      <c r="G309" s="8" t="s">
        <v>2134</v>
      </c>
      <c r="H309" s="8" t="s">
        <v>67</v>
      </c>
    </row>
    <row r="310" spans="1:8" ht="15">
      <c r="A310" s="504" t="s">
        <v>2116</v>
      </c>
      <c r="B310" s="17" t="s">
        <v>2133</v>
      </c>
      <c r="C310" s="152" t="s">
        <v>2121</v>
      </c>
      <c r="D310" s="54">
        <v>30</v>
      </c>
      <c r="E310" s="526">
        <v>36</v>
      </c>
      <c r="F310" s="5">
        <v>116</v>
      </c>
      <c r="G310" s="8" t="s">
        <v>2134</v>
      </c>
      <c r="H310" s="8" t="s">
        <v>67</v>
      </c>
    </row>
    <row r="311" spans="1:8" ht="15">
      <c r="A311" s="504" t="s">
        <v>2116</v>
      </c>
      <c r="B311" s="17" t="s">
        <v>2133</v>
      </c>
      <c r="C311" s="527" t="s">
        <v>2130</v>
      </c>
      <c r="D311" s="54">
        <v>15</v>
      </c>
      <c r="E311" s="526">
        <v>36</v>
      </c>
      <c r="F311" s="5">
        <v>116</v>
      </c>
      <c r="G311" s="8" t="s">
        <v>2134</v>
      </c>
      <c r="H311" s="8" t="s">
        <v>67</v>
      </c>
    </row>
    <row r="312" spans="1:8" ht="15">
      <c r="A312" s="504" t="s">
        <v>2116</v>
      </c>
      <c r="B312" s="17" t="s">
        <v>2135</v>
      </c>
      <c r="C312" s="31" t="s">
        <v>55</v>
      </c>
      <c r="D312" s="54">
        <v>30</v>
      </c>
      <c r="E312" s="526">
        <v>42</v>
      </c>
      <c r="F312" s="5">
        <v>112</v>
      </c>
      <c r="G312" s="8" t="s">
        <v>2136</v>
      </c>
      <c r="H312" s="8" t="s">
        <v>172</v>
      </c>
    </row>
    <row r="313" spans="1:8" ht="15">
      <c r="A313" s="504" t="s">
        <v>2116</v>
      </c>
      <c r="B313" s="17" t="s">
        <v>2135</v>
      </c>
      <c r="C313" s="120" t="s">
        <v>2120</v>
      </c>
      <c r="D313" s="54">
        <v>30</v>
      </c>
      <c r="E313" s="526">
        <v>42</v>
      </c>
      <c r="F313" s="5">
        <v>112</v>
      </c>
      <c r="G313" s="8" t="s">
        <v>2136</v>
      </c>
      <c r="H313" s="8" t="s">
        <v>172</v>
      </c>
    </row>
    <row r="314" spans="1:8" ht="15">
      <c r="A314" s="504" t="s">
        <v>2116</v>
      </c>
      <c r="B314" s="17" t="s">
        <v>2135</v>
      </c>
      <c r="C314" s="528" t="s">
        <v>2137</v>
      </c>
      <c r="D314" s="54">
        <v>30</v>
      </c>
      <c r="E314" s="526">
        <v>42</v>
      </c>
      <c r="F314" s="5">
        <v>112</v>
      </c>
      <c r="G314" s="8" t="s">
        <v>2136</v>
      </c>
      <c r="H314" s="8" t="s">
        <v>172</v>
      </c>
    </row>
    <row r="315" spans="1:8" ht="15">
      <c r="A315" s="504" t="s">
        <v>2116</v>
      </c>
      <c r="B315" s="17" t="s">
        <v>2135</v>
      </c>
      <c r="C315" s="172" t="s">
        <v>2138</v>
      </c>
      <c r="D315" s="54">
        <v>20</v>
      </c>
      <c r="E315" s="526">
        <v>42</v>
      </c>
      <c r="F315" s="5">
        <v>112</v>
      </c>
      <c r="G315" s="8" t="s">
        <v>2136</v>
      </c>
      <c r="H315" s="8" t="s">
        <v>172</v>
      </c>
    </row>
    <row r="316" spans="1:8" ht="15">
      <c r="A316" s="504" t="s">
        <v>2116</v>
      </c>
      <c r="B316" s="17" t="s">
        <v>2135</v>
      </c>
      <c r="C316" s="529" t="s">
        <v>2139</v>
      </c>
      <c r="D316" s="54">
        <v>20</v>
      </c>
      <c r="E316" s="526">
        <v>42</v>
      </c>
      <c r="F316" s="5">
        <v>112</v>
      </c>
      <c r="G316" s="8" t="s">
        <v>2136</v>
      </c>
      <c r="H316" s="8" t="s">
        <v>172</v>
      </c>
    </row>
    <row r="317" spans="1:8" ht="15">
      <c r="A317" s="504" t="s">
        <v>2116</v>
      </c>
      <c r="B317" s="17" t="s">
        <v>2140</v>
      </c>
      <c r="C317" s="31" t="s">
        <v>55</v>
      </c>
      <c r="D317" s="54">
        <v>20</v>
      </c>
      <c r="E317" s="526">
        <v>135</v>
      </c>
      <c r="F317" s="5">
        <v>215</v>
      </c>
      <c r="G317" s="8" t="s">
        <v>2141</v>
      </c>
      <c r="H317" s="8" t="s">
        <v>67</v>
      </c>
    </row>
    <row r="318" spans="1:8" ht="15">
      <c r="A318" s="504" t="s">
        <v>2116</v>
      </c>
      <c r="B318" s="17" t="s">
        <v>2140</v>
      </c>
      <c r="C318" s="120" t="s">
        <v>2120</v>
      </c>
      <c r="D318" s="54">
        <v>20</v>
      </c>
      <c r="E318" s="526">
        <v>135</v>
      </c>
      <c r="F318" s="5">
        <v>215</v>
      </c>
      <c r="G318" s="8" t="s">
        <v>2141</v>
      </c>
      <c r="H318" s="8" t="s">
        <v>67</v>
      </c>
    </row>
    <row r="319" spans="1:8" ht="15">
      <c r="A319" s="504" t="s">
        <v>2116</v>
      </c>
      <c r="B319" s="17" t="s">
        <v>2140</v>
      </c>
      <c r="C319" s="528" t="s">
        <v>2137</v>
      </c>
      <c r="D319" s="54">
        <v>20</v>
      </c>
      <c r="E319" s="526">
        <v>135</v>
      </c>
      <c r="F319" s="5">
        <v>215</v>
      </c>
      <c r="G319" s="8" t="s">
        <v>2141</v>
      </c>
      <c r="H319" s="8" t="s">
        <v>67</v>
      </c>
    </row>
    <row r="320" spans="1:8" ht="15">
      <c r="A320" s="504" t="s">
        <v>2116</v>
      </c>
      <c r="B320" s="17" t="s">
        <v>2140</v>
      </c>
      <c r="C320" s="172" t="s">
        <v>2138</v>
      </c>
      <c r="D320" s="54">
        <v>20</v>
      </c>
      <c r="E320" s="526">
        <v>135</v>
      </c>
      <c r="F320" s="5">
        <v>215</v>
      </c>
      <c r="G320" s="8" t="s">
        <v>2141</v>
      </c>
      <c r="H320" s="8" t="s">
        <v>67</v>
      </c>
    </row>
    <row r="321" spans="1:8" ht="15">
      <c r="A321" s="504" t="s">
        <v>2116</v>
      </c>
      <c r="B321" s="17" t="s">
        <v>2140</v>
      </c>
      <c r="C321" s="529" t="s">
        <v>2139</v>
      </c>
      <c r="D321" s="54">
        <v>20</v>
      </c>
      <c r="E321" s="526">
        <v>135</v>
      </c>
      <c r="F321" s="5">
        <v>215</v>
      </c>
      <c r="G321" s="8" t="s">
        <v>2141</v>
      </c>
      <c r="H321" s="8" t="s">
        <v>67</v>
      </c>
    </row>
    <row r="322" spans="1:8" ht="15">
      <c r="A322" s="504" t="s">
        <v>2116</v>
      </c>
      <c r="B322" s="17" t="s">
        <v>2140</v>
      </c>
      <c r="C322" s="17" t="s">
        <v>2142</v>
      </c>
      <c r="D322" s="6" t="s">
        <v>60</v>
      </c>
      <c r="E322" s="526">
        <v>6000</v>
      </c>
      <c r="F322" s="16"/>
      <c r="G322" s="5">
        <v>6000</v>
      </c>
      <c r="H322" s="5"/>
    </row>
    <row r="323" spans="1:8" ht="15">
      <c r="A323" s="504" t="s">
        <v>2116</v>
      </c>
      <c r="B323" s="75"/>
      <c r="C323" s="17" t="s">
        <v>183</v>
      </c>
      <c r="D323" s="6" t="s">
        <v>2143</v>
      </c>
      <c r="E323" s="526" t="s">
        <v>2144</v>
      </c>
      <c r="F323" s="16"/>
      <c r="G323" s="5" t="s">
        <v>2145</v>
      </c>
      <c r="H323" s="5"/>
    </row>
    <row r="326" spans="1:8" ht="15.75">
      <c r="C326" s="1016" t="s">
        <v>159</v>
      </c>
      <c r="D326" s="1017"/>
    </row>
    <row r="327" spans="1:8" ht="15">
      <c r="C327" s="31" t="s">
        <v>55</v>
      </c>
      <c r="D327" s="54">
        <v>230</v>
      </c>
    </row>
    <row r="328" spans="1:8" ht="15">
      <c r="C328" s="120" t="s">
        <v>2120</v>
      </c>
      <c r="D328" s="54">
        <v>110</v>
      </c>
    </row>
    <row r="329" spans="1:8" ht="15">
      <c r="C329" s="152" t="s">
        <v>2121</v>
      </c>
      <c r="D329" s="54">
        <v>150</v>
      </c>
    </row>
    <row r="330" spans="1:8" ht="15">
      <c r="C330" s="115" t="s">
        <v>173</v>
      </c>
      <c r="D330" s="54">
        <v>90</v>
      </c>
    </row>
    <row r="331" spans="1:8" ht="15">
      <c r="C331" s="527" t="s">
        <v>2130</v>
      </c>
      <c r="D331" s="54">
        <v>45</v>
      </c>
    </row>
    <row r="332" spans="1:8" ht="15">
      <c r="C332" s="528" t="s">
        <v>2137</v>
      </c>
      <c r="D332" s="54">
        <v>50</v>
      </c>
    </row>
    <row r="333" spans="1:8" ht="15">
      <c r="C333" s="172" t="s">
        <v>2138</v>
      </c>
      <c r="D333" s="54">
        <v>40</v>
      </c>
    </row>
    <row r="334" spans="1:8" ht="15">
      <c r="C334" s="529" t="s">
        <v>2139</v>
      </c>
      <c r="D334" s="54">
        <v>40</v>
      </c>
    </row>
    <row r="337" spans="1:5" ht="15">
      <c r="A337" s="76" t="s">
        <v>1995</v>
      </c>
      <c r="B337" s="76" t="s">
        <v>32</v>
      </c>
      <c r="C337" s="77" t="s">
        <v>33</v>
      </c>
      <c r="D337" s="77" t="s">
        <v>34</v>
      </c>
      <c r="E337" s="77" t="s">
        <v>153</v>
      </c>
    </row>
    <row r="338" spans="1:5" ht="15">
      <c r="A338" s="17" t="s">
        <v>6</v>
      </c>
      <c r="B338" s="99">
        <v>160</v>
      </c>
      <c r="C338" s="17" t="s">
        <v>191</v>
      </c>
      <c r="D338" s="6">
        <v>50</v>
      </c>
      <c r="E338" s="6" t="s">
        <v>2146</v>
      </c>
    </row>
    <row r="339" spans="1:5" ht="15">
      <c r="A339" s="17" t="s">
        <v>6</v>
      </c>
      <c r="B339" s="99">
        <v>160</v>
      </c>
      <c r="C339" s="17" t="s">
        <v>2050</v>
      </c>
      <c r="D339" s="6">
        <v>50</v>
      </c>
      <c r="E339" s="6" t="s">
        <v>2146</v>
      </c>
    </row>
    <row r="340" spans="1:5" ht="15">
      <c r="A340" s="17" t="s">
        <v>6</v>
      </c>
      <c r="B340" s="99">
        <v>160</v>
      </c>
      <c r="C340" s="17" t="s">
        <v>2147</v>
      </c>
      <c r="D340" s="6">
        <v>50</v>
      </c>
      <c r="E340" s="6" t="s">
        <v>2148</v>
      </c>
    </row>
    <row r="341" spans="1:5" ht="15">
      <c r="A341" s="76" t="s">
        <v>1995</v>
      </c>
      <c r="B341" s="76" t="s">
        <v>32</v>
      </c>
      <c r="C341" s="77" t="s">
        <v>33</v>
      </c>
      <c r="D341" s="77" t="s">
        <v>34</v>
      </c>
      <c r="E341" s="77" t="s">
        <v>153</v>
      </c>
    </row>
    <row r="342" spans="1:5" ht="15">
      <c r="A342" s="17" t="s">
        <v>184</v>
      </c>
      <c r="B342" s="99">
        <v>152</v>
      </c>
      <c r="C342" s="17" t="s">
        <v>2149</v>
      </c>
      <c r="D342" s="100">
        <v>30</v>
      </c>
      <c r="E342" s="6" t="s">
        <v>2146</v>
      </c>
    </row>
    <row r="343" spans="1:5" ht="15">
      <c r="A343" s="17" t="s">
        <v>184</v>
      </c>
      <c r="B343" s="99">
        <v>152</v>
      </c>
      <c r="C343" s="17" t="s">
        <v>2150</v>
      </c>
      <c r="D343" s="100">
        <v>38</v>
      </c>
      <c r="E343" s="6" t="s">
        <v>2146</v>
      </c>
    </row>
    <row r="344" spans="1:5" ht="15">
      <c r="A344" s="17" t="s">
        <v>184</v>
      </c>
      <c r="B344" s="99">
        <v>152</v>
      </c>
      <c r="C344" s="17" t="s">
        <v>2151</v>
      </c>
      <c r="D344" s="100">
        <v>50</v>
      </c>
      <c r="E344" s="6" t="s">
        <v>2146</v>
      </c>
    </row>
    <row r="345" spans="1:5" ht="15">
      <c r="A345" s="17" t="s">
        <v>184</v>
      </c>
      <c r="B345" s="99">
        <v>152</v>
      </c>
      <c r="C345" s="17" t="s">
        <v>2152</v>
      </c>
      <c r="D345" s="100">
        <v>23</v>
      </c>
      <c r="E345" s="6" t="s">
        <v>2146</v>
      </c>
    </row>
    <row r="346" spans="1:5" ht="15">
      <c r="A346" s="17" t="s">
        <v>184</v>
      </c>
      <c r="B346" s="99">
        <v>152</v>
      </c>
      <c r="C346" s="17" t="s">
        <v>2152</v>
      </c>
      <c r="D346" s="100">
        <v>28</v>
      </c>
      <c r="E346" s="6" t="s">
        <v>2146</v>
      </c>
    </row>
    <row r="347" spans="1:5" ht="15">
      <c r="A347" s="17" t="s">
        <v>184</v>
      </c>
      <c r="B347" s="99">
        <v>152</v>
      </c>
      <c r="C347" s="17" t="s">
        <v>2152</v>
      </c>
      <c r="D347" s="100">
        <v>54</v>
      </c>
      <c r="E347" s="6" t="s">
        <v>2146</v>
      </c>
    </row>
    <row r="348" spans="1:5" ht="15">
      <c r="A348" s="17" t="s">
        <v>184</v>
      </c>
      <c r="B348" s="99">
        <v>152</v>
      </c>
      <c r="C348" s="17" t="s">
        <v>85</v>
      </c>
      <c r="D348" s="100">
        <v>50</v>
      </c>
      <c r="E348" s="6" t="s">
        <v>2146</v>
      </c>
    </row>
    <row r="349" spans="1:5" ht="15">
      <c r="A349" s="17" t="s">
        <v>184</v>
      </c>
      <c r="B349" s="99">
        <v>152</v>
      </c>
      <c r="C349" s="17" t="s">
        <v>2153</v>
      </c>
      <c r="D349" s="100">
        <v>50</v>
      </c>
      <c r="E349" s="6" t="s">
        <v>2146</v>
      </c>
    </row>
    <row r="353" spans="1:6" ht="15">
      <c r="A353" s="76" t="s">
        <v>189</v>
      </c>
      <c r="B353" s="76" t="s">
        <v>1995</v>
      </c>
      <c r="C353" s="77" t="s">
        <v>33</v>
      </c>
      <c r="D353" s="77" t="s">
        <v>34</v>
      </c>
      <c r="E353" s="101"/>
      <c r="F353" s="102" t="s">
        <v>5</v>
      </c>
    </row>
    <row r="354" spans="1:6" ht="15">
      <c r="A354" s="4" t="s">
        <v>2154</v>
      </c>
      <c r="B354" s="17" t="s">
        <v>6</v>
      </c>
      <c r="C354" s="17" t="s">
        <v>2155</v>
      </c>
      <c r="D354" s="100">
        <v>10</v>
      </c>
      <c r="E354" s="101"/>
      <c r="F354" s="33">
        <v>3.88</v>
      </c>
    </row>
    <row r="355" spans="1:6" ht="15">
      <c r="A355" s="4" t="s">
        <v>2154</v>
      </c>
      <c r="B355" s="17" t="s">
        <v>6</v>
      </c>
      <c r="C355" s="17" t="s">
        <v>2155</v>
      </c>
      <c r="D355" s="100">
        <v>10</v>
      </c>
      <c r="E355" s="101"/>
      <c r="F355" s="33">
        <v>3.88</v>
      </c>
    </row>
    <row r="356" spans="1:6" ht="15">
      <c r="A356" s="4" t="s">
        <v>2154</v>
      </c>
      <c r="B356" s="17" t="s">
        <v>6</v>
      </c>
      <c r="C356" s="17" t="s">
        <v>2155</v>
      </c>
      <c r="D356" s="100">
        <v>5</v>
      </c>
      <c r="E356" s="101"/>
      <c r="F356" s="33">
        <v>3.88</v>
      </c>
    </row>
    <row r="357" spans="1:6" ht="15">
      <c r="A357" s="4" t="s">
        <v>2154</v>
      </c>
      <c r="B357" s="17" t="s">
        <v>6</v>
      </c>
      <c r="C357" s="17" t="s">
        <v>2048</v>
      </c>
      <c r="D357" s="100">
        <v>29.4</v>
      </c>
      <c r="E357" s="530" t="s">
        <v>2156</v>
      </c>
      <c r="F357" s="33">
        <v>3.88</v>
      </c>
    </row>
    <row r="358" spans="1:6" ht="15">
      <c r="A358" s="4" t="s">
        <v>2154</v>
      </c>
      <c r="B358" s="17" t="s">
        <v>6</v>
      </c>
      <c r="C358" s="17" t="s">
        <v>2157</v>
      </c>
      <c r="D358" s="100">
        <v>10</v>
      </c>
      <c r="E358" s="101"/>
      <c r="F358" s="33">
        <v>3.88</v>
      </c>
    </row>
    <row r="359" spans="1:6" ht="15">
      <c r="A359" s="4" t="s">
        <v>2154</v>
      </c>
      <c r="B359" s="17" t="s">
        <v>6</v>
      </c>
      <c r="C359" s="17" t="s">
        <v>2157</v>
      </c>
      <c r="D359" s="100">
        <v>10</v>
      </c>
      <c r="E359" s="101"/>
      <c r="F359" s="33">
        <v>3.88</v>
      </c>
    </row>
    <row r="360" spans="1:6" ht="15">
      <c r="A360" s="4" t="s">
        <v>2158</v>
      </c>
      <c r="B360" s="17" t="s">
        <v>6</v>
      </c>
      <c r="C360" s="17" t="s">
        <v>2157</v>
      </c>
      <c r="D360" s="100">
        <v>5</v>
      </c>
      <c r="E360" s="101" t="s">
        <v>2159</v>
      </c>
      <c r="F360" s="33">
        <v>3.88</v>
      </c>
    </row>
    <row r="361" spans="1:6" ht="15">
      <c r="A361" s="4" t="s">
        <v>2154</v>
      </c>
      <c r="B361" s="17" t="s">
        <v>6</v>
      </c>
      <c r="C361" s="17" t="s">
        <v>2160</v>
      </c>
      <c r="D361" s="100">
        <v>10</v>
      </c>
      <c r="E361" s="101"/>
      <c r="F361" s="33">
        <v>3.88</v>
      </c>
    </row>
    <row r="362" spans="1:6" ht="15">
      <c r="A362" s="4" t="s">
        <v>2154</v>
      </c>
      <c r="B362" s="17" t="s">
        <v>6</v>
      </c>
      <c r="C362" s="17" t="s">
        <v>2160</v>
      </c>
      <c r="D362" s="100">
        <v>10</v>
      </c>
      <c r="E362" s="101"/>
      <c r="F362" s="33">
        <v>3.88</v>
      </c>
    </row>
    <row r="363" spans="1:6" ht="15">
      <c r="A363" s="4" t="s">
        <v>2154</v>
      </c>
      <c r="B363" s="17" t="s">
        <v>6</v>
      </c>
      <c r="C363" s="17" t="s">
        <v>2160</v>
      </c>
      <c r="D363" s="100">
        <v>5</v>
      </c>
      <c r="E363" s="101"/>
      <c r="F363" s="33">
        <v>3.88</v>
      </c>
    </row>
    <row r="364" spans="1:6" ht="15">
      <c r="A364" s="4" t="s">
        <v>2154</v>
      </c>
      <c r="B364" s="17" t="s">
        <v>6</v>
      </c>
      <c r="C364" s="17" t="s">
        <v>2161</v>
      </c>
      <c r="D364" s="100">
        <v>10</v>
      </c>
      <c r="E364" s="101"/>
      <c r="F364" s="33">
        <v>3.88</v>
      </c>
    </row>
    <row r="365" spans="1:6" ht="15">
      <c r="A365" s="4" t="s">
        <v>2154</v>
      </c>
      <c r="B365" s="17" t="s">
        <v>6</v>
      </c>
      <c r="C365" s="17" t="s">
        <v>2161</v>
      </c>
      <c r="D365" s="100">
        <v>10</v>
      </c>
      <c r="E365" s="101"/>
      <c r="F365" s="33">
        <v>3.88</v>
      </c>
    </row>
    <row r="366" spans="1:6" ht="15">
      <c r="A366" s="4" t="s">
        <v>2154</v>
      </c>
      <c r="B366" s="17" t="s">
        <v>6</v>
      </c>
      <c r="C366" s="17" t="s">
        <v>2161</v>
      </c>
      <c r="D366" s="100">
        <v>5</v>
      </c>
      <c r="E366" s="101"/>
      <c r="F366" s="33">
        <v>3.88</v>
      </c>
    </row>
    <row r="367" spans="1:6" ht="15">
      <c r="A367" s="4" t="s">
        <v>2154</v>
      </c>
      <c r="B367" s="17" t="s">
        <v>6</v>
      </c>
      <c r="C367" s="17" t="s">
        <v>2162</v>
      </c>
      <c r="D367" s="100">
        <v>25</v>
      </c>
      <c r="E367" s="530" t="s">
        <v>2156</v>
      </c>
      <c r="F367" s="33">
        <v>3.88</v>
      </c>
    </row>
    <row r="368" spans="1:6" ht="15">
      <c r="A368" s="4" t="s">
        <v>2154</v>
      </c>
      <c r="B368" s="17"/>
      <c r="C368" s="17" t="s">
        <v>54</v>
      </c>
      <c r="D368" s="6" t="s">
        <v>2163</v>
      </c>
      <c r="E368" s="30"/>
      <c r="F368" s="33">
        <v>12</v>
      </c>
    </row>
    <row r="371" spans="1:7" ht="15">
      <c r="A371" s="76" t="s">
        <v>189</v>
      </c>
      <c r="B371" s="76" t="s">
        <v>1995</v>
      </c>
      <c r="C371" s="77" t="s">
        <v>33</v>
      </c>
      <c r="D371" s="77" t="s">
        <v>34</v>
      </c>
      <c r="E371" s="185"/>
      <c r="F371" s="102" t="s">
        <v>5</v>
      </c>
    </row>
    <row r="372" spans="1:7" ht="15">
      <c r="A372" s="4" t="s">
        <v>2164</v>
      </c>
      <c r="B372" s="17" t="s">
        <v>7</v>
      </c>
      <c r="C372" s="17" t="s">
        <v>2165</v>
      </c>
      <c r="D372" s="100">
        <v>25</v>
      </c>
      <c r="E372" s="101"/>
      <c r="F372" s="33">
        <v>3.57</v>
      </c>
    </row>
    <row r="373" spans="1:7" ht="15">
      <c r="A373" s="4" t="s">
        <v>2164</v>
      </c>
      <c r="B373" s="17" t="s">
        <v>7</v>
      </c>
      <c r="C373" s="17" t="s">
        <v>2166</v>
      </c>
      <c r="D373" s="100">
        <v>50</v>
      </c>
      <c r="E373" s="101"/>
      <c r="F373" s="33">
        <v>3.57</v>
      </c>
    </row>
    <row r="374" spans="1:7" ht="15">
      <c r="A374" s="4" t="s">
        <v>2164</v>
      </c>
      <c r="B374" s="17" t="s">
        <v>7</v>
      </c>
      <c r="C374" s="17" t="s">
        <v>1991</v>
      </c>
      <c r="D374" s="100">
        <v>25</v>
      </c>
      <c r="E374" s="101"/>
      <c r="F374" s="33">
        <v>3.57</v>
      </c>
    </row>
    <row r="375" spans="1:7" ht="15">
      <c r="A375" s="4" t="s">
        <v>2164</v>
      </c>
      <c r="B375" s="17" t="s">
        <v>7</v>
      </c>
      <c r="C375" s="17" t="s">
        <v>2167</v>
      </c>
      <c r="D375" s="100">
        <v>25</v>
      </c>
      <c r="E375" s="101"/>
      <c r="F375" s="33">
        <v>3.57</v>
      </c>
    </row>
    <row r="376" spans="1:7" ht="15">
      <c r="A376" s="4" t="s">
        <v>2164</v>
      </c>
      <c r="B376" s="17" t="s">
        <v>7</v>
      </c>
      <c r="C376" s="17" t="s">
        <v>2168</v>
      </c>
      <c r="D376" s="100">
        <v>25</v>
      </c>
      <c r="E376" s="101"/>
      <c r="F376" s="33">
        <v>3.57</v>
      </c>
    </row>
    <row r="377" spans="1:7" ht="15">
      <c r="A377" s="4" t="s">
        <v>2164</v>
      </c>
      <c r="B377" s="17" t="s">
        <v>7</v>
      </c>
      <c r="C377" s="17" t="s">
        <v>2169</v>
      </c>
      <c r="D377" s="100">
        <v>10</v>
      </c>
      <c r="E377" s="101"/>
      <c r="F377" s="33">
        <v>3.57</v>
      </c>
    </row>
    <row r="378" spans="1:7" ht="15">
      <c r="A378" s="4" t="s">
        <v>2164</v>
      </c>
      <c r="B378" s="17" t="s">
        <v>7</v>
      </c>
      <c r="C378" s="17" t="s">
        <v>2170</v>
      </c>
      <c r="D378" s="100">
        <v>10</v>
      </c>
      <c r="E378" s="101"/>
      <c r="F378" s="33">
        <v>3.57</v>
      </c>
    </row>
    <row r="379" spans="1:7" ht="15">
      <c r="A379" s="4" t="s">
        <v>2164</v>
      </c>
      <c r="B379" s="17"/>
      <c r="C379" s="17" t="s">
        <v>54</v>
      </c>
      <c r="D379" s="113" t="s">
        <v>176</v>
      </c>
      <c r="E379" s="100"/>
      <c r="F379" s="33">
        <v>12</v>
      </c>
    </row>
    <row r="384" spans="1:7" ht="15">
      <c r="A384" s="76" t="s">
        <v>1995</v>
      </c>
      <c r="B384" s="76" t="s">
        <v>32</v>
      </c>
      <c r="C384" s="77" t="s">
        <v>33</v>
      </c>
      <c r="D384" s="78" t="s">
        <v>2000</v>
      </c>
      <c r="E384" s="507" t="s">
        <v>2001</v>
      </c>
      <c r="F384" s="78" t="s">
        <v>110</v>
      </c>
      <c r="G384" s="78" t="s">
        <v>2171</v>
      </c>
    </row>
    <row r="385" spans="1:8" ht="15">
      <c r="A385" s="17">
        <v>14552</v>
      </c>
      <c r="B385" s="31">
        <v>25</v>
      </c>
      <c r="C385" s="31" t="s">
        <v>161</v>
      </c>
      <c r="D385" s="100">
        <v>30</v>
      </c>
      <c r="E385" s="101">
        <v>5</v>
      </c>
      <c r="F385" s="6">
        <v>150</v>
      </c>
      <c r="G385" s="526">
        <v>48</v>
      </c>
    </row>
    <row r="386" spans="1:8" ht="15">
      <c r="A386" s="17">
        <v>14552</v>
      </c>
      <c r="B386" s="31">
        <v>25</v>
      </c>
      <c r="C386" s="31" t="s">
        <v>2172</v>
      </c>
      <c r="D386" s="100">
        <v>30</v>
      </c>
      <c r="E386" s="101">
        <v>4</v>
      </c>
      <c r="F386" s="6">
        <v>120</v>
      </c>
      <c r="G386" s="526">
        <v>48</v>
      </c>
    </row>
    <row r="387" spans="1:8" ht="15">
      <c r="A387" s="17">
        <v>14552</v>
      </c>
      <c r="B387" s="31">
        <v>10</v>
      </c>
      <c r="C387" s="31" t="s">
        <v>2173</v>
      </c>
      <c r="D387" s="100">
        <v>30</v>
      </c>
      <c r="E387" s="101">
        <v>107</v>
      </c>
      <c r="F387" s="6">
        <v>3210</v>
      </c>
      <c r="G387" s="526">
        <v>27</v>
      </c>
    </row>
    <row r="388" spans="1:8" ht="15">
      <c r="A388" s="17">
        <v>14552</v>
      </c>
      <c r="B388" s="31">
        <v>10</v>
      </c>
      <c r="C388" s="31" t="s">
        <v>10</v>
      </c>
      <c r="D388" s="100">
        <v>30</v>
      </c>
      <c r="E388" s="101">
        <v>191</v>
      </c>
      <c r="F388" s="6">
        <v>5730</v>
      </c>
      <c r="G388" s="526">
        <v>27</v>
      </c>
    </row>
    <row r="389" spans="1:8" ht="15">
      <c r="A389" s="17">
        <v>14552</v>
      </c>
      <c r="B389" s="31">
        <v>50</v>
      </c>
      <c r="C389" s="31" t="s">
        <v>2173</v>
      </c>
      <c r="D389" s="100">
        <v>30</v>
      </c>
      <c r="E389" s="101">
        <v>7</v>
      </c>
      <c r="F389" s="6">
        <v>210</v>
      </c>
      <c r="G389" s="526">
        <v>101</v>
      </c>
    </row>
    <row r="390" spans="1:8" ht="15">
      <c r="A390" s="17" t="s">
        <v>1907</v>
      </c>
      <c r="B390" s="31">
        <v>9</v>
      </c>
      <c r="C390" s="31" t="s">
        <v>2174</v>
      </c>
      <c r="D390" s="100">
        <v>30</v>
      </c>
      <c r="E390" s="101">
        <v>8</v>
      </c>
      <c r="F390" s="6">
        <v>240</v>
      </c>
      <c r="G390" s="526">
        <v>28</v>
      </c>
    </row>
    <row r="391" spans="1:8" ht="15">
      <c r="A391" s="17" t="s">
        <v>1907</v>
      </c>
      <c r="B391" s="31">
        <v>9</v>
      </c>
      <c r="C391" s="31" t="s">
        <v>1984</v>
      </c>
      <c r="D391" s="100">
        <v>30</v>
      </c>
      <c r="E391" s="101">
        <v>27</v>
      </c>
      <c r="F391" s="6">
        <v>810</v>
      </c>
      <c r="G391" s="526">
        <v>28</v>
      </c>
    </row>
    <row r="394" spans="1:8" ht="15.75">
      <c r="A394" s="76" t="s">
        <v>1995</v>
      </c>
      <c r="B394" s="76" t="s">
        <v>32</v>
      </c>
      <c r="C394" s="77" t="s">
        <v>33</v>
      </c>
      <c r="D394" s="78" t="s">
        <v>2000</v>
      </c>
      <c r="E394" s="507" t="s">
        <v>2001</v>
      </c>
      <c r="F394" s="78" t="s">
        <v>110</v>
      </c>
      <c r="G394" s="24" t="s">
        <v>5</v>
      </c>
    </row>
    <row r="395" spans="1:8" ht="15">
      <c r="A395" s="17">
        <v>3808</v>
      </c>
      <c r="B395" s="31">
        <v>9</v>
      </c>
      <c r="C395" s="17" t="s">
        <v>1844</v>
      </c>
      <c r="D395" s="6">
        <v>50</v>
      </c>
      <c r="E395" s="30">
        <v>2</v>
      </c>
      <c r="F395" s="100">
        <v>100</v>
      </c>
      <c r="G395" s="531">
        <v>15.6</v>
      </c>
    </row>
    <row r="396" spans="1:8" ht="15">
      <c r="A396" s="17">
        <v>3808</v>
      </c>
      <c r="B396" s="31">
        <v>9</v>
      </c>
      <c r="C396" s="17" t="s">
        <v>1846</v>
      </c>
      <c r="D396" s="6">
        <v>50</v>
      </c>
      <c r="E396" s="30">
        <v>1</v>
      </c>
      <c r="F396" s="100">
        <v>50</v>
      </c>
      <c r="G396" s="531">
        <v>15.6</v>
      </c>
    </row>
    <row r="400" spans="1:8" ht="15">
      <c r="A400" s="76" t="s">
        <v>1995</v>
      </c>
      <c r="B400" s="76" t="s">
        <v>32</v>
      </c>
      <c r="C400" s="77" t="s">
        <v>33</v>
      </c>
      <c r="D400" s="78" t="s">
        <v>2000</v>
      </c>
      <c r="E400" s="507" t="s">
        <v>2001</v>
      </c>
      <c r="F400" s="78" t="s">
        <v>110</v>
      </c>
      <c r="G400" s="78" t="s">
        <v>2171</v>
      </c>
      <c r="H400" s="77" t="s">
        <v>141</v>
      </c>
    </row>
    <row r="401" spans="1:8" ht="15.75">
      <c r="A401" s="17">
        <v>14552</v>
      </c>
      <c r="B401" s="31">
        <v>25</v>
      </c>
      <c r="C401" s="31" t="s">
        <v>161</v>
      </c>
      <c r="D401" s="100">
        <v>30</v>
      </c>
      <c r="E401" s="101">
        <v>5</v>
      </c>
      <c r="F401" s="6">
        <v>150</v>
      </c>
      <c r="G401" s="33">
        <v>1.03</v>
      </c>
      <c r="H401" s="532" t="s">
        <v>195</v>
      </c>
    </row>
    <row r="402" spans="1:8" ht="15.75">
      <c r="A402" s="17">
        <v>14552</v>
      </c>
      <c r="B402" s="31">
        <v>25</v>
      </c>
      <c r="C402" s="31" t="s">
        <v>2172</v>
      </c>
      <c r="D402" s="100">
        <v>30</v>
      </c>
      <c r="E402" s="101">
        <v>4</v>
      </c>
      <c r="F402" s="6">
        <v>120</v>
      </c>
      <c r="G402" s="33">
        <v>1.03</v>
      </c>
      <c r="H402" s="532" t="s">
        <v>2175</v>
      </c>
    </row>
    <row r="403" spans="1:8" ht="15.75">
      <c r="A403" s="17">
        <v>14552</v>
      </c>
      <c r="B403" s="31">
        <v>10</v>
      </c>
      <c r="C403" s="31" t="s">
        <v>2173</v>
      </c>
      <c r="D403" s="100">
        <v>30</v>
      </c>
      <c r="E403" s="101">
        <v>107</v>
      </c>
      <c r="F403" s="6">
        <v>3210</v>
      </c>
      <c r="G403" s="33">
        <v>0.68</v>
      </c>
      <c r="H403" s="532" t="s">
        <v>195</v>
      </c>
    </row>
    <row r="404" spans="1:8" ht="15.75">
      <c r="A404" s="17">
        <v>14552</v>
      </c>
      <c r="B404" s="31">
        <v>10</v>
      </c>
      <c r="C404" s="31" t="s">
        <v>10</v>
      </c>
      <c r="D404" s="100">
        <v>30</v>
      </c>
      <c r="E404" s="101">
        <v>191</v>
      </c>
      <c r="F404" s="6">
        <v>5730</v>
      </c>
      <c r="G404" s="33">
        <v>0.68</v>
      </c>
      <c r="H404" s="532" t="s">
        <v>2176</v>
      </c>
    </row>
    <row r="405" spans="1:8" ht="15.75">
      <c r="A405" s="17">
        <v>14552</v>
      </c>
      <c r="B405" s="31">
        <v>50</v>
      </c>
      <c r="C405" s="31" t="s">
        <v>2173</v>
      </c>
      <c r="D405" s="100">
        <v>30</v>
      </c>
      <c r="E405" s="101">
        <v>7</v>
      </c>
      <c r="F405" s="6">
        <v>210</v>
      </c>
      <c r="G405" s="33">
        <v>1.91</v>
      </c>
      <c r="H405" s="532" t="s">
        <v>195</v>
      </c>
    </row>
    <row r="406" spans="1:8" ht="15.75">
      <c r="A406" s="17" t="s">
        <v>1907</v>
      </c>
      <c r="B406" s="31">
        <v>9</v>
      </c>
      <c r="C406" s="31" t="s">
        <v>2174</v>
      </c>
      <c r="D406" s="100">
        <v>30</v>
      </c>
      <c r="E406" s="101">
        <v>8</v>
      </c>
      <c r="F406" s="6">
        <v>240</v>
      </c>
      <c r="G406" s="33">
        <v>0.74</v>
      </c>
      <c r="H406" s="532" t="s">
        <v>195</v>
      </c>
    </row>
    <row r="407" spans="1:8" ht="15.75">
      <c r="A407" s="17" t="s">
        <v>1907</v>
      </c>
      <c r="B407" s="31">
        <v>9</v>
      </c>
      <c r="C407" s="31" t="s">
        <v>1984</v>
      </c>
      <c r="D407" s="100">
        <v>30</v>
      </c>
      <c r="E407" s="101">
        <v>27</v>
      </c>
      <c r="F407" s="6">
        <v>810</v>
      </c>
      <c r="G407" s="33">
        <v>0.74</v>
      </c>
      <c r="H407" s="532" t="s">
        <v>195</v>
      </c>
    </row>
    <row r="408" spans="1:8" ht="15.75">
      <c r="A408" s="17">
        <v>3808</v>
      </c>
      <c r="B408" s="31">
        <v>9</v>
      </c>
      <c r="C408" s="17" t="s">
        <v>1844</v>
      </c>
      <c r="D408" s="6">
        <v>50</v>
      </c>
      <c r="E408" s="30">
        <v>2</v>
      </c>
      <c r="F408" s="100">
        <v>100</v>
      </c>
      <c r="G408" s="33">
        <v>0.46</v>
      </c>
      <c r="H408" s="532" t="s">
        <v>195</v>
      </c>
    </row>
    <row r="409" spans="1:8" ht="15.75">
      <c r="A409" s="17">
        <v>3808</v>
      </c>
      <c r="B409" s="31">
        <v>9</v>
      </c>
      <c r="C409" s="17" t="s">
        <v>1846</v>
      </c>
      <c r="D409" s="6">
        <v>50</v>
      </c>
      <c r="E409" s="30">
        <v>1</v>
      </c>
      <c r="F409" s="100">
        <v>50</v>
      </c>
      <c r="G409" s="33">
        <v>0.46</v>
      </c>
      <c r="H409" s="532" t="s">
        <v>195</v>
      </c>
    </row>
    <row r="412" spans="1:8" ht="15">
      <c r="A412" s="43" t="s">
        <v>2177</v>
      </c>
      <c r="B412" s="31" t="s">
        <v>55</v>
      </c>
      <c r="C412" s="100">
        <v>5</v>
      </c>
      <c r="D412" s="33">
        <v>2.09</v>
      </c>
    </row>
    <row r="413" spans="1:8" ht="15">
      <c r="A413" s="43" t="s">
        <v>179</v>
      </c>
      <c r="B413" s="31" t="s">
        <v>55</v>
      </c>
      <c r="C413" s="100">
        <v>5</v>
      </c>
      <c r="D413" s="33">
        <v>4.1399999999999997</v>
      </c>
    </row>
    <row r="414" spans="1:8" ht="15">
      <c r="A414" s="43" t="s">
        <v>2178</v>
      </c>
      <c r="B414" s="31" t="s">
        <v>55</v>
      </c>
      <c r="C414" s="100">
        <v>5</v>
      </c>
      <c r="D414" s="33">
        <v>3.44</v>
      </c>
    </row>
    <row r="416" spans="1:8" ht="15">
      <c r="A416" s="76" t="s">
        <v>1995</v>
      </c>
      <c r="B416" s="77" t="s">
        <v>33</v>
      </c>
      <c r="C416" s="507" t="s">
        <v>2001</v>
      </c>
      <c r="D416" s="78" t="s">
        <v>110</v>
      </c>
      <c r="E416" s="85" t="s">
        <v>180</v>
      </c>
    </row>
    <row r="417" spans="1:12" ht="15">
      <c r="A417" s="17" t="s">
        <v>1923</v>
      </c>
      <c r="B417" s="31" t="s">
        <v>55</v>
      </c>
      <c r="C417" s="101">
        <v>1</v>
      </c>
      <c r="D417" s="100">
        <v>13.7</v>
      </c>
      <c r="E417" s="526">
        <v>69</v>
      </c>
    </row>
    <row r="418" spans="1:12" ht="15">
      <c r="A418" s="17" t="s">
        <v>2039</v>
      </c>
      <c r="B418" s="31" t="s">
        <v>113</v>
      </c>
      <c r="C418" s="101">
        <v>1</v>
      </c>
      <c r="D418" s="100">
        <v>13.7</v>
      </c>
      <c r="E418" s="526">
        <v>106</v>
      </c>
    </row>
    <row r="419" spans="1:12" ht="15">
      <c r="A419" s="17" t="s">
        <v>2054</v>
      </c>
      <c r="B419" s="31" t="s">
        <v>119</v>
      </c>
      <c r="C419" s="101">
        <v>1</v>
      </c>
      <c r="D419" s="100">
        <v>13.7</v>
      </c>
      <c r="E419" s="526">
        <v>123</v>
      </c>
    </row>
    <row r="420" spans="1:12" ht="15">
      <c r="A420" s="17" t="s">
        <v>1981</v>
      </c>
      <c r="B420" s="31" t="s">
        <v>1972</v>
      </c>
      <c r="C420" s="101">
        <v>2</v>
      </c>
      <c r="D420" s="100">
        <v>27.4</v>
      </c>
      <c r="E420" s="526">
        <v>123</v>
      </c>
    </row>
    <row r="422" spans="1:12" ht="15.75">
      <c r="A422" s="76" t="s">
        <v>189</v>
      </c>
      <c r="B422" s="76" t="s">
        <v>1995</v>
      </c>
      <c r="C422" s="76" t="s">
        <v>32</v>
      </c>
      <c r="D422" s="77" t="s">
        <v>33</v>
      </c>
      <c r="E422" s="78" t="s">
        <v>2000</v>
      </c>
      <c r="F422" s="507" t="s">
        <v>2001</v>
      </c>
      <c r="G422" s="78" t="s">
        <v>110</v>
      </c>
      <c r="H422" s="78" t="s">
        <v>1996</v>
      </c>
      <c r="I422" s="102" t="s">
        <v>5</v>
      </c>
    </row>
    <row r="423" spans="1:12" ht="15">
      <c r="A423" s="4" t="s">
        <v>2179</v>
      </c>
      <c r="B423" s="17" t="s">
        <v>2180</v>
      </c>
      <c r="C423" s="31">
        <v>10</v>
      </c>
      <c r="D423" s="17" t="s">
        <v>113</v>
      </c>
      <c r="E423" s="100">
        <v>100</v>
      </c>
      <c r="F423" s="101">
        <v>3</v>
      </c>
      <c r="G423" s="54">
        <f>E423*F423</f>
        <v>300</v>
      </c>
      <c r="H423" s="33">
        <v>0.7</v>
      </c>
    </row>
    <row r="424" spans="1:12" ht="15">
      <c r="A424" s="4" t="s">
        <v>2179</v>
      </c>
      <c r="B424" s="75"/>
      <c r="C424" s="31"/>
      <c r="D424" s="17" t="s">
        <v>123</v>
      </c>
      <c r="E424" s="32" t="s">
        <v>60</v>
      </c>
      <c r="F424" s="30"/>
      <c r="G424" s="100"/>
      <c r="H424" s="33">
        <v>150</v>
      </c>
    </row>
    <row r="426" spans="1:12" ht="15">
      <c r="A426" s="76" t="s">
        <v>1995</v>
      </c>
      <c r="B426" s="77" t="s">
        <v>33</v>
      </c>
      <c r="C426" s="78" t="s">
        <v>110</v>
      </c>
      <c r="D426" s="85" t="s">
        <v>180</v>
      </c>
      <c r="E426" s="85" t="s">
        <v>2181</v>
      </c>
      <c r="F426" s="28"/>
      <c r="G426" s="121"/>
      <c r="H426" s="206"/>
      <c r="I426" s="29"/>
      <c r="J426" s="42"/>
      <c r="K426" s="1" t="s">
        <v>2182</v>
      </c>
      <c r="L426" s="1" t="s">
        <v>285</v>
      </c>
    </row>
    <row r="427" spans="1:12" ht="15">
      <c r="A427" s="42" t="s">
        <v>2183</v>
      </c>
      <c r="B427" s="42" t="s">
        <v>2184</v>
      </c>
      <c r="C427" s="41">
        <v>1180</v>
      </c>
      <c r="D427" s="526">
        <v>97</v>
      </c>
      <c r="E427" s="526"/>
      <c r="F427" s="28"/>
      <c r="G427" s="121"/>
      <c r="H427" s="2"/>
      <c r="I427" s="29">
        <v>2.36</v>
      </c>
      <c r="J427" s="533">
        <v>177</v>
      </c>
      <c r="K427" s="1">
        <v>97</v>
      </c>
      <c r="L427" t="s">
        <v>2185</v>
      </c>
    </row>
    <row r="428" spans="1:12" ht="15">
      <c r="A428" s="42" t="s">
        <v>2090</v>
      </c>
      <c r="B428" s="58" t="s">
        <v>2102</v>
      </c>
      <c r="C428" s="41">
        <v>100</v>
      </c>
      <c r="D428" s="526">
        <v>127</v>
      </c>
      <c r="E428" s="526">
        <v>80</v>
      </c>
      <c r="F428" s="28"/>
      <c r="G428" s="121"/>
      <c r="H428" s="187"/>
      <c r="I428" s="29">
        <v>2.76</v>
      </c>
      <c r="J428" s="1">
        <v>207</v>
      </c>
      <c r="K428" s="1">
        <v>127</v>
      </c>
      <c r="L428" s="21" t="s">
        <v>2098</v>
      </c>
    </row>
    <row r="429" spans="1:12" ht="15">
      <c r="A429" s="42" t="s">
        <v>2090</v>
      </c>
      <c r="B429" s="42" t="s">
        <v>2184</v>
      </c>
      <c r="C429" s="41">
        <v>2150</v>
      </c>
      <c r="D429" s="526">
        <v>127</v>
      </c>
      <c r="E429" s="526"/>
      <c r="F429" s="28"/>
      <c r="G429" s="121"/>
      <c r="H429" s="187"/>
      <c r="I429" s="29">
        <v>2.76</v>
      </c>
      <c r="J429" s="1">
        <v>207</v>
      </c>
      <c r="K429" s="1">
        <v>127</v>
      </c>
      <c r="L429" s="21" t="s">
        <v>2098</v>
      </c>
    </row>
    <row r="430" spans="1:12" ht="15">
      <c r="A430" s="42" t="s">
        <v>2094</v>
      </c>
      <c r="B430" s="58" t="s">
        <v>2102</v>
      </c>
      <c r="C430" s="41">
        <v>330</v>
      </c>
      <c r="D430" s="526">
        <v>189</v>
      </c>
      <c r="E430" s="526">
        <v>70</v>
      </c>
      <c r="F430" s="28"/>
      <c r="G430" s="121"/>
      <c r="H430" s="187"/>
      <c r="I430" s="29">
        <v>3.46</v>
      </c>
      <c r="J430" s="1">
        <v>259</v>
      </c>
      <c r="K430" s="1">
        <v>189</v>
      </c>
      <c r="L430" s="21" t="s">
        <v>2108</v>
      </c>
    </row>
    <row r="431" spans="1:12" ht="15">
      <c r="A431" s="42" t="s">
        <v>2093</v>
      </c>
      <c r="B431" s="42" t="s">
        <v>2184</v>
      </c>
      <c r="C431" s="41">
        <v>2460</v>
      </c>
      <c r="D431" s="526">
        <v>119</v>
      </c>
      <c r="E431" s="526"/>
      <c r="F431" s="28"/>
      <c r="G431" s="121"/>
      <c r="H431" s="187"/>
      <c r="I431" s="29">
        <v>2.66</v>
      </c>
      <c r="J431" s="1">
        <v>199</v>
      </c>
      <c r="K431" s="1">
        <v>119</v>
      </c>
      <c r="L431" s="21" t="s">
        <v>2098</v>
      </c>
    </row>
    <row r="432" spans="1:12" ht="15">
      <c r="A432" s="42" t="s">
        <v>2093</v>
      </c>
      <c r="B432" s="42" t="s">
        <v>2099</v>
      </c>
      <c r="C432" s="41">
        <v>350</v>
      </c>
      <c r="D432" s="526">
        <v>119</v>
      </c>
      <c r="E432" s="526">
        <v>80</v>
      </c>
      <c r="F432" s="28"/>
      <c r="G432" s="121"/>
      <c r="H432" s="187"/>
      <c r="I432" s="29">
        <v>2.66</v>
      </c>
      <c r="J432" s="1">
        <v>199</v>
      </c>
      <c r="K432" s="1">
        <v>119</v>
      </c>
      <c r="L432" s="21" t="s">
        <v>2098</v>
      </c>
    </row>
    <row r="435" spans="1:12" ht="15.75">
      <c r="A435" s="76" t="s">
        <v>1995</v>
      </c>
      <c r="B435" s="77" t="s">
        <v>33</v>
      </c>
      <c r="C435" s="78" t="s">
        <v>110</v>
      </c>
      <c r="D435" s="85" t="s">
        <v>180</v>
      </c>
      <c r="E435" s="103"/>
      <c r="F435" s="7"/>
      <c r="G435" s="122"/>
      <c r="H435" s="9"/>
      <c r="I435" s="33"/>
      <c r="J435" s="17"/>
      <c r="K435" s="5" t="s">
        <v>2182</v>
      </c>
      <c r="L435" s="5"/>
    </row>
    <row r="436" spans="1:12" ht="15.75">
      <c r="A436" s="17" t="s">
        <v>2186</v>
      </c>
      <c r="B436" s="17" t="s">
        <v>36</v>
      </c>
      <c r="C436" s="100">
        <v>5</v>
      </c>
      <c r="D436" s="526">
        <v>69</v>
      </c>
      <c r="E436" s="103"/>
      <c r="F436" s="7"/>
      <c r="G436" s="122"/>
      <c r="H436" s="33">
        <f>J436/0.75/100</f>
        <v>1.8533333333333335</v>
      </c>
      <c r="I436" s="33">
        <v>1.86</v>
      </c>
      <c r="J436" s="534">
        <v>139</v>
      </c>
      <c r="K436" s="5">
        <v>69</v>
      </c>
      <c r="L436" s="21" t="s">
        <v>2108</v>
      </c>
    </row>
    <row r="437" spans="1:12" ht="15.75">
      <c r="A437" s="17" t="s">
        <v>2187</v>
      </c>
      <c r="B437" s="17" t="s">
        <v>36</v>
      </c>
      <c r="C437" s="100">
        <v>5</v>
      </c>
      <c r="D437" s="526">
        <v>72</v>
      </c>
      <c r="E437" s="103"/>
      <c r="F437" s="7"/>
      <c r="G437" s="122"/>
      <c r="H437" s="33">
        <f>J437/0.75/100</f>
        <v>1.8933333333333335</v>
      </c>
      <c r="I437" s="33">
        <v>1.9</v>
      </c>
      <c r="J437" s="534">
        <v>142</v>
      </c>
      <c r="K437" s="5">
        <v>72</v>
      </c>
      <c r="L437" s="21" t="s">
        <v>2108</v>
      </c>
    </row>
    <row r="438" spans="1:12" ht="15.75">
      <c r="A438" s="17" t="s">
        <v>2188</v>
      </c>
      <c r="B438" s="17" t="s">
        <v>36</v>
      </c>
      <c r="C438" s="100">
        <v>5</v>
      </c>
      <c r="D438" s="526">
        <v>78</v>
      </c>
      <c r="E438" s="103"/>
      <c r="F438" s="7"/>
      <c r="G438" s="122"/>
      <c r="H438" s="33">
        <f>J438/0.75/100</f>
        <v>1.9733333333333334</v>
      </c>
      <c r="I438" s="33">
        <v>1.98</v>
      </c>
      <c r="J438" s="534">
        <v>148</v>
      </c>
      <c r="K438" s="5">
        <v>78</v>
      </c>
      <c r="L438" s="21" t="s">
        <v>2108</v>
      </c>
    </row>
    <row r="439" spans="1:12" ht="15.75">
      <c r="A439" s="17" t="s">
        <v>2189</v>
      </c>
      <c r="B439" s="17" t="s">
        <v>36</v>
      </c>
      <c r="C439" s="100">
        <v>5</v>
      </c>
      <c r="D439" s="526">
        <v>60</v>
      </c>
      <c r="E439" s="103"/>
      <c r="F439" s="7"/>
      <c r="G439" s="122"/>
      <c r="H439" s="33">
        <f>J439/0.75/100</f>
        <v>1.7333333333333334</v>
      </c>
      <c r="I439" s="33">
        <v>1.74</v>
      </c>
      <c r="J439" s="534">
        <v>130</v>
      </c>
      <c r="K439" s="5">
        <v>60</v>
      </c>
      <c r="L439" s="21" t="s">
        <v>2108</v>
      </c>
    </row>
    <row r="440" spans="1:12" ht="15.75">
      <c r="A440" s="17" t="s">
        <v>2190</v>
      </c>
      <c r="B440" s="17" t="s">
        <v>36</v>
      </c>
      <c r="C440" s="100">
        <v>5</v>
      </c>
      <c r="D440" s="526">
        <v>19</v>
      </c>
      <c r="E440" s="103"/>
      <c r="F440" s="7"/>
      <c r="G440" s="122"/>
      <c r="H440" s="33">
        <f>J440/0.75/100</f>
        <v>1.1866666666666668</v>
      </c>
      <c r="I440" s="33">
        <v>1.19</v>
      </c>
      <c r="J440" s="534">
        <v>89</v>
      </c>
      <c r="K440" s="5">
        <v>19</v>
      </c>
      <c r="L440" s="21" t="s">
        <v>2108</v>
      </c>
    </row>
    <row r="441" spans="1:12" ht="15.75">
      <c r="A441" s="17"/>
      <c r="B441" s="17" t="s">
        <v>2191</v>
      </c>
      <c r="C441" s="32" t="s">
        <v>2192</v>
      </c>
      <c r="D441" s="526">
        <v>3000</v>
      </c>
      <c r="E441" s="103"/>
      <c r="F441" s="7"/>
      <c r="G441" s="122"/>
      <c r="H441" s="4"/>
      <c r="I441" s="33"/>
      <c r="J441" s="5"/>
      <c r="K441" s="5">
        <v>3000</v>
      </c>
      <c r="L441" s="5"/>
    </row>
    <row r="442" spans="1:12" ht="15.75">
      <c r="A442" s="17" t="s">
        <v>2193</v>
      </c>
      <c r="B442" s="17" t="s">
        <v>55</v>
      </c>
      <c r="C442" s="100">
        <v>5</v>
      </c>
      <c r="D442" s="526">
        <v>44</v>
      </c>
      <c r="E442" s="27"/>
      <c r="F442" s="28"/>
      <c r="G442" s="121"/>
      <c r="H442" s="4"/>
      <c r="I442" s="33">
        <v>1.52</v>
      </c>
      <c r="J442" s="535">
        <v>114</v>
      </c>
      <c r="K442" s="5">
        <v>44</v>
      </c>
      <c r="L442" s="5">
        <v>70</v>
      </c>
    </row>
    <row r="443" spans="1:12" ht="15.75">
      <c r="A443" s="17" t="s">
        <v>2194</v>
      </c>
      <c r="B443" s="17" t="s">
        <v>119</v>
      </c>
      <c r="C443" s="100">
        <v>5</v>
      </c>
      <c r="D443" s="526">
        <v>268</v>
      </c>
      <c r="E443" s="27"/>
      <c r="F443" s="28"/>
      <c r="G443" s="121"/>
      <c r="H443" s="4"/>
      <c r="I443" s="33">
        <v>3.58</v>
      </c>
      <c r="J443" s="535"/>
      <c r="K443" s="5">
        <v>268</v>
      </c>
      <c r="L443" s="5"/>
    </row>
    <row r="444" spans="1:12" ht="15.75">
      <c r="A444" s="17" t="s">
        <v>2195</v>
      </c>
      <c r="B444" s="17" t="s">
        <v>119</v>
      </c>
      <c r="C444" s="100">
        <v>5</v>
      </c>
      <c r="D444" s="526">
        <v>120</v>
      </c>
      <c r="E444" s="27"/>
      <c r="F444" s="28"/>
      <c r="G444" s="121"/>
      <c r="H444" s="4"/>
      <c r="I444" s="33">
        <v>1.6</v>
      </c>
      <c r="J444" s="535"/>
      <c r="K444" s="5">
        <v>120</v>
      </c>
      <c r="L444" s="5"/>
    </row>
    <row r="445" spans="1:12" ht="15.75">
      <c r="A445" s="76" t="s">
        <v>1995</v>
      </c>
      <c r="B445" s="77" t="s">
        <v>33</v>
      </c>
      <c r="C445" s="78" t="s">
        <v>110</v>
      </c>
      <c r="D445" s="85" t="s">
        <v>180</v>
      </c>
      <c r="E445" s="103"/>
      <c r="F445" s="7"/>
      <c r="G445" s="122"/>
      <c r="H445" s="9"/>
      <c r="I445" s="33"/>
      <c r="J445" s="17"/>
      <c r="K445" s="5" t="s">
        <v>2182</v>
      </c>
      <c r="L445" s="5"/>
    </row>
    <row r="446" spans="1:12" ht="15.75">
      <c r="A446" s="17" t="s">
        <v>2194</v>
      </c>
      <c r="B446" s="17" t="s">
        <v>1982</v>
      </c>
      <c r="C446" s="100">
        <v>5</v>
      </c>
      <c r="D446" s="526">
        <v>268</v>
      </c>
      <c r="E446" s="27"/>
      <c r="F446" s="28"/>
      <c r="G446" s="121"/>
      <c r="H446" s="4"/>
      <c r="I446" s="33">
        <v>3.58</v>
      </c>
      <c r="J446" s="535"/>
      <c r="K446" s="5">
        <v>268</v>
      </c>
      <c r="L446" s="5"/>
    </row>
    <row r="447" spans="1:12" ht="15.75">
      <c r="A447" s="17" t="s">
        <v>2195</v>
      </c>
      <c r="B447" s="17" t="s">
        <v>1982</v>
      </c>
      <c r="C447" s="100">
        <v>5</v>
      </c>
      <c r="D447" s="526">
        <v>120</v>
      </c>
      <c r="E447" s="27"/>
      <c r="F447" s="28"/>
      <c r="G447" s="121"/>
      <c r="H447" s="4"/>
      <c r="I447" s="33">
        <v>1.6</v>
      </c>
      <c r="J447" s="535"/>
      <c r="K447" s="5">
        <v>120</v>
      </c>
      <c r="L447" s="5"/>
    </row>
    <row r="451" spans="1:8" ht="15">
      <c r="A451" s="76" t="s">
        <v>1995</v>
      </c>
      <c r="B451" s="77" t="s">
        <v>33</v>
      </c>
      <c r="C451" s="78" t="s">
        <v>110</v>
      </c>
      <c r="D451" s="85" t="s">
        <v>180</v>
      </c>
      <c r="E451" s="85" t="s">
        <v>2181</v>
      </c>
      <c r="F451" s="17"/>
      <c r="G451" s="5" t="s">
        <v>2182</v>
      </c>
      <c r="H451" s="5" t="s">
        <v>285</v>
      </c>
    </row>
    <row r="452" spans="1:8" ht="15.75">
      <c r="A452" s="17" t="s">
        <v>2193</v>
      </c>
      <c r="B452" s="17" t="s">
        <v>2099</v>
      </c>
      <c r="C452" s="100">
        <v>175</v>
      </c>
      <c r="D452" s="526">
        <v>44</v>
      </c>
      <c r="E452" s="526">
        <v>70</v>
      </c>
      <c r="F452" s="535">
        <v>114</v>
      </c>
      <c r="G452" s="5">
        <v>44</v>
      </c>
      <c r="H452" s="5">
        <v>70</v>
      </c>
    </row>
    <row r="453" spans="1:8" ht="15">
      <c r="A453" s="17" t="s">
        <v>2196</v>
      </c>
      <c r="B453" s="31" t="s">
        <v>2102</v>
      </c>
      <c r="C453" s="100">
        <v>100</v>
      </c>
      <c r="D453" s="526">
        <v>127</v>
      </c>
      <c r="E453" s="526">
        <v>80</v>
      </c>
      <c r="F453" s="5">
        <v>207</v>
      </c>
      <c r="G453" s="5">
        <v>127</v>
      </c>
      <c r="H453" s="8" t="s">
        <v>2098</v>
      </c>
    </row>
    <row r="454" spans="1:8" ht="15">
      <c r="A454" s="17" t="s">
        <v>2196</v>
      </c>
      <c r="B454" s="17" t="s">
        <v>2184</v>
      </c>
      <c r="C454" s="100">
        <v>1430</v>
      </c>
      <c r="D454" s="526">
        <v>127</v>
      </c>
      <c r="E454" s="526"/>
      <c r="F454" s="5">
        <v>207</v>
      </c>
      <c r="G454" s="5">
        <v>127</v>
      </c>
      <c r="H454" s="8" t="s">
        <v>2098</v>
      </c>
    </row>
    <row r="455" spans="1:8" ht="15">
      <c r="A455" s="17" t="s">
        <v>2196</v>
      </c>
      <c r="B455" s="17" t="s">
        <v>2099</v>
      </c>
      <c r="C455" s="100">
        <v>245</v>
      </c>
      <c r="D455" s="526">
        <v>127</v>
      </c>
      <c r="E455" s="526">
        <v>80</v>
      </c>
      <c r="F455" s="5">
        <v>207</v>
      </c>
      <c r="G455" s="5">
        <v>127</v>
      </c>
      <c r="H455" s="8" t="s">
        <v>2098</v>
      </c>
    </row>
    <row r="456" spans="1:8" ht="15">
      <c r="A456" s="17" t="s">
        <v>2094</v>
      </c>
      <c r="B456" s="31" t="s">
        <v>2102</v>
      </c>
      <c r="C456" s="100">
        <v>1890</v>
      </c>
      <c r="D456" s="526">
        <v>189</v>
      </c>
      <c r="E456" s="526">
        <v>70</v>
      </c>
      <c r="F456" s="5">
        <v>259</v>
      </c>
      <c r="G456" s="5">
        <v>189</v>
      </c>
      <c r="H456" s="8" t="s">
        <v>2108</v>
      </c>
    </row>
    <row r="457" spans="1:8" ht="15">
      <c r="A457" s="17" t="s">
        <v>2094</v>
      </c>
      <c r="B457" s="17" t="s">
        <v>2099</v>
      </c>
      <c r="C457" s="100">
        <v>245</v>
      </c>
      <c r="D457" s="526">
        <v>189</v>
      </c>
      <c r="E457" s="526">
        <v>70</v>
      </c>
      <c r="F457" s="5">
        <v>259</v>
      </c>
      <c r="G457" s="5">
        <v>189</v>
      </c>
      <c r="H457" s="8" t="s">
        <v>2108</v>
      </c>
    </row>
    <row r="458" spans="1:8" ht="15">
      <c r="A458" s="17" t="s">
        <v>2094</v>
      </c>
      <c r="B458" s="17" t="s">
        <v>2184</v>
      </c>
      <c r="C458" s="100">
        <v>1345</v>
      </c>
      <c r="D458" s="526">
        <v>189</v>
      </c>
      <c r="E458" s="526"/>
      <c r="F458" s="5">
        <v>259</v>
      </c>
      <c r="G458" s="5">
        <v>189</v>
      </c>
      <c r="H458" s="8" t="s">
        <v>2108</v>
      </c>
    </row>
    <row r="459" spans="1:8" ht="15">
      <c r="A459" s="17" t="s">
        <v>2093</v>
      </c>
      <c r="B459" s="17" t="s">
        <v>2184</v>
      </c>
      <c r="C459" s="100">
        <v>1430</v>
      </c>
      <c r="D459" s="526">
        <v>119</v>
      </c>
      <c r="E459" s="526"/>
      <c r="F459" s="5">
        <v>199</v>
      </c>
      <c r="G459" s="5">
        <v>119</v>
      </c>
      <c r="H459" s="8" t="s">
        <v>2098</v>
      </c>
    </row>
    <row r="460" spans="1:8" ht="15">
      <c r="A460" s="17" t="s">
        <v>2093</v>
      </c>
      <c r="B460" s="17" t="s">
        <v>2099</v>
      </c>
      <c r="C460" s="100">
        <v>350</v>
      </c>
      <c r="D460" s="526">
        <v>119</v>
      </c>
      <c r="E460" s="526">
        <v>80</v>
      </c>
      <c r="F460" s="5">
        <v>199</v>
      </c>
      <c r="G460" s="5">
        <v>119</v>
      </c>
      <c r="H460" s="8" t="s">
        <v>2098</v>
      </c>
    </row>
    <row r="461" spans="1:8" ht="15">
      <c r="A461" s="76" t="s">
        <v>1995</v>
      </c>
      <c r="B461" s="77" t="s">
        <v>33</v>
      </c>
      <c r="C461" s="78" t="s">
        <v>110</v>
      </c>
      <c r="D461" s="85" t="s">
        <v>180</v>
      </c>
      <c r="E461" s="85" t="s">
        <v>2181</v>
      </c>
    </row>
    <row r="462" spans="1:8" ht="15">
      <c r="A462" s="17" t="s">
        <v>2193</v>
      </c>
      <c r="B462" s="17" t="s">
        <v>2099</v>
      </c>
      <c r="C462" s="100">
        <v>5</v>
      </c>
      <c r="D462" s="526">
        <v>44</v>
      </c>
      <c r="E462" s="526">
        <v>70</v>
      </c>
    </row>
    <row r="463" spans="1:8" ht="15">
      <c r="A463" s="17" t="s">
        <v>2196</v>
      </c>
      <c r="B463" s="31" t="s">
        <v>2102</v>
      </c>
      <c r="C463" s="100">
        <v>5</v>
      </c>
      <c r="D463" s="526">
        <v>127</v>
      </c>
      <c r="E463" s="526">
        <v>80</v>
      </c>
    </row>
    <row r="464" spans="1:8" ht="15">
      <c r="A464" s="17" t="s">
        <v>2196</v>
      </c>
      <c r="B464" s="17" t="s">
        <v>2184</v>
      </c>
      <c r="C464" s="100">
        <v>5</v>
      </c>
      <c r="D464" s="526">
        <v>127</v>
      </c>
      <c r="E464" s="526"/>
    </row>
    <row r="465" spans="1:6" ht="15">
      <c r="A465" s="17" t="s">
        <v>2196</v>
      </c>
      <c r="B465" s="17" t="s">
        <v>2099</v>
      </c>
      <c r="C465" s="100">
        <v>5</v>
      </c>
      <c r="D465" s="526">
        <v>127</v>
      </c>
      <c r="E465" s="526">
        <v>80</v>
      </c>
    </row>
    <row r="466" spans="1:6" ht="15">
      <c r="A466" s="17" t="s">
        <v>2094</v>
      </c>
      <c r="B466" s="31" t="s">
        <v>2102</v>
      </c>
      <c r="C466" s="100">
        <v>5</v>
      </c>
      <c r="D466" s="526">
        <v>189</v>
      </c>
      <c r="E466" s="526">
        <v>70</v>
      </c>
    </row>
    <row r="467" spans="1:6" ht="15">
      <c r="A467" s="17" t="s">
        <v>2094</v>
      </c>
      <c r="B467" s="17" t="s">
        <v>2099</v>
      </c>
      <c r="C467" s="100">
        <v>5</v>
      </c>
      <c r="D467" s="526">
        <v>189</v>
      </c>
      <c r="E467" s="526">
        <v>70</v>
      </c>
    </row>
    <row r="468" spans="1:6" ht="15">
      <c r="A468" s="17" t="s">
        <v>2094</v>
      </c>
      <c r="B468" s="17" t="s">
        <v>2184</v>
      </c>
      <c r="C468" s="100">
        <v>5</v>
      </c>
      <c r="D468" s="526">
        <v>189</v>
      </c>
      <c r="E468" s="526"/>
    </row>
    <row r="469" spans="1:6" ht="15">
      <c r="A469" s="17" t="s">
        <v>2093</v>
      </c>
      <c r="B469" s="17" t="s">
        <v>2184</v>
      </c>
      <c r="C469" s="100">
        <v>5</v>
      </c>
      <c r="D469" s="526">
        <v>119</v>
      </c>
      <c r="E469" s="526"/>
    </row>
    <row r="470" spans="1:6" ht="15">
      <c r="A470" s="17" t="s">
        <v>2093</v>
      </c>
      <c r="B470" s="17" t="s">
        <v>2099</v>
      </c>
      <c r="C470" s="100">
        <v>5</v>
      </c>
      <c r="D470" s="526">
        <v>119</v>
      </c>
      <c r="E470" s="526">
        <v>80</v>
      </c>
    </row>
    <row r="473" spans="1:6" ht="15">
      <c r="A473" s="76" t="s">
        <v>1995</v>
      </c>
      <c r="B473" s="76" t="s">
        <v>32</v>
      </c>
      <c r="C473" s="77" t="s">
        <v>33</v>
      </c>
      <c r="D473" s="78" t="s">
        <v>110</v>
      </c>
      <c r="E473" s="85" t="s">
        <v>180</v>
      </c>
      <c r="F473" s="85" t="s">
        <v>2197</v>
      </c>
    </row>
    <row r="474" spans="1:6" ht="15">
      <c r="A474" s="17" t="s">
        <v>2198</v>
      </c>
      <c r="B474" s="10">
        <v>10</v>
      </c>
      <c r="C474" s="17" t="s">
        <v>2199</v>
      </c>
      <c r="D474" s="100">
        <v>200</v>
      </c>
      <c r="E474" s="526">
        <v>52</v>
      </c>
      <c r="F474" s="526">
        <v>22000</v>
      </c>
    </row>
    <row r="475" spans="1:6" ht="15">
      <c r="A475" s="17" t="s">
        <v>2198</v>
      </c>
      <c r="B475" s="10">
        <v>10</v>
      </c>
      <c r="C475" s="17" t="s">
        <v>2200</v>
      </c>
      <c r="D475" s="100">
        <v>200</v>
      </c>
      <c r="E475" s="526">
        <v>52</v>
      </c>
      <c r="F475" s="526">
        <v>22000</v>
      </c>
    </row>
    <row r="476" spans="1:6" ht="15">
      <c r="A476" s="17" t="s">
        <v>1997</v>
      </c>
      <c r="B476" s="10">
        <v>8</v>
      </c>
      <c r="C476" s="17" t="s">
        <v>2200</v>
      </c>
      <c r="D476" s="100">
        <v>200</v>
      </c>
      <c r="E476" s="531">
        <v>46.5</v>
      </c>
      <c r="F476" s="526">
        <v>11000</v>
      </c>
    </row>
    <row r="477" spans="1:6" ht="15">
      <c r="A477" s="17" t="s">
        <v>1997</v>
      </c>
      <c r="B477" s="10">
        <v>8</v>
      </c>
      <c r="C477" s="17" t="s">
        <v>2199</v>
      </c>
      <c r="D477" s="100">
        <v>200</v>
      </c>
      <c r="E477" s="531">
        <v>46.5</v>
      </c>
      <c r="F477" s="526">
        <v>11000</v>
      </c>
    </row>
    <row r="480" spans="1:6" ht="15">
      <c r="A480" s="76" t="s">
        <v>1995</v>
      </c>
      <c r="B480" s="77" t="s">
        <v>33</v>
      </c>
      <c r="C480" s="78" t="s">
        <v>2000</v>
      </c>
      <c r="D480" s="507" t="s">
        <v>2001</v>
      </c>
      <c r="E480" s="78" t="s">
        <v>110</v>
      </c>
    </row>
    <row r="481" spans="1:16" ht="15">
      <c r="A481" s="17" t="s">
        <v>1931</v>
      </c>
      <c r="B481" s="31" t="s">
        <v>55</v>
      </c>
      <c r="C481" s="100">
        <v>13.7</v>
      </c>
      <c r="D481" s="101">
        <v>7</v>
      </c>
      <c r="E481" s="100">
        <v>95.899999999999991</v>
      </c>
    </row>
    <row r="482" spans="1:16" ht="15">
      <c r="A482" s="17" t="s">
        <v>2201</v>
      </c>
      <c r="B482" s="31" t="s">
        <v>55</v>
      </c>
      <c r="C482" s="100">
        <v>13.7</v>
      </c>
      <c r="D482" s="101">
        <v>7</v>
      </c>
      <c r="E482" s="100">
        <v>95.899999999999991</v>
      </c>
    </row>
    <row r="483" spans="1:16" ht="15">
      <c r="A483" s="17" t="s">
        <v>2064</v>
      </c>
      <c r="B483" s="31" t="s">
        <v>55</v>
      </c>
      <c r="C483" s="100">
        <v>13.7</v>
      </c>
      <c r="D483" s="101">
        <v>2</v>
      </c>
      <c r="E483" s="100">
        <v>27.4</v>
      </c>
    </row>
    <row r="484" spans="1:16" ht="15">
      <c r="A484" s="17" t="s">
        <v>157</v>
      </c>
      <c r="B484" s="31" t="s">
        <v>55</v>
      </c>
      <c r="C484" s="100">
        <v>13.7</v>
      </c>
      <c r="D484" s="101">
        <v>2</v>
      </c>
      <c r="E484" s="100">
        <v>27.4</v>
      </c>
    </row>
    <row r="485" spans="1:16" ht="15">
      <c r="A485" s="17" t="s">
        <v>2063</v>
      </c>
      <c r="B485" s="31" t="s">
        <v>55</v>
      </c>
      <c r="C485" s="100">
        <v>13.7</v>
      </c>
      <c r="D485" s="101">
        <v>2</v>
      </c>
      <c r="E485" s="100">
        <v>27.4</v>
      </c>
    </row>
    <row r="486" spans="1:16" ht="15">
      <c r="A486" s="17" t="s">
        <v>2202</v>
      </c>
      <c r="B486" s="31" t="s">
        <v>55</v>
      </c>
      <c r="C486" s="100">
        <v>13.7</v>
      </c>
      <c r="D486" s="101">
        <v>2</v>
      </c>
      <c r="E486" s="100">
        <v>27.4</v>
      </c>
    </row>
    <row r="487" spans="1:16" ht="15">
      <c r="A487" s="17" t="s">
        <v>2203</v>
      </c>
      <c r="B487" s="31" t="s">
        <v>55</v>
      </c>
      <c r="C487" s="100">
        <v>13.7</v>
      </c>
      <c r="D487" s="101">
        <v>2</v>
      </c>
      <c r="E487" s="100">
        <v>27.4</v>
      </c>
    </row>
    <row r="488" spans="1:16" ht="15">
      <c r="A488" s="76" t="s">
        <v>1995</v>
      </c>
      <c r="B488" s="77" t="s">
        <v>33</v>
      </c>
      <c r="C488" s="78" t="s">
        <v>2000</v>
      </c>
      <c r="D488" s="507" t="s">
        <v>2001</v>
      </c>
      <c r="E488" s="78" t="s">
        <v>110</v>
      </c>
      <c r="F488" s="85" t="s">
        <v>180</v>
      </c>
    </row>
    <row r="489" spans="1:16" ht="15">
      <c r="A489" s="17" t="s">
        <v>2061</v>
      </c>
      <c r="B489" s="31" t="s">
        <v>55</v>
      </c>
      <c r="C489" s="100">
        <v>13.7</v>
      </c>
      <c r="D489" s="101">
        <v>2</v>
      </c>
      <c r="E489" s="100">
        <v>27.4</v>
      </c>
      <c r="F489" s="526">
        <v>510</v>
      </c>
    </row>
    <row r="490" spans="1:16" ht="15">
      <c r="A490" s="17" t="s">
        <v>2204</v>
      </c>
      <c r="B490" s="31" t="s">
        <v>55</v>
      </c>
      <c r="C490" s="100">
        <v>13.7</v>
      </c>
      <c r="D490" s="101">
        <v>2</v>
      </c>
      <c r="E490" s="100">
        <v>27.4</v>
      </c>
      <c r="F490" s="526">
        <v>195</v>
      </c>
    </row>
    <row r="491" spans="1:16" ht="18" customHeight="1"/>
    <row r="492" spans="1:16" ht="15">
      <c r="A492" s="42" t="s">
        <v>59</v>
      </c>
      <c r="B492" s="77" t="s">
        <v>33</v>
      </c>
      <c r="C492" s="78" t="s">
        <v>2000</v>
      </c>
      <c r="D492" s="507" t="s">
        <v>2001</v>
      </c>
      <c r="E492" s="78" t="s">
        <v>110</v>
      </c>
      <c r="F492" s="57" t="s">
        <v>5</v>
      </c>
      <c r="G492" s="27"/>
      <c r="H492" s="28"/>
      <c r="I492" s="28"/>
      <c r="J492" s="2"/>
      <c r="K492" s="516"/>
      <c r="L492" s="536"/>
      <c r="M492" s="1"/>
      <c r="N492" s="1"/>
      <c r="O492" s="1"/>
      <c r="P492" s="1"/>
    </row>
    <row r="493" spans="1:16" ht="15">
      <c r="A493" s="17" t="s">
        <v>1931</v>
      </c>
      <c r="B493" s="31" t="s">
        <v>55</v>
      </c>
      <c r="C493" s="100">
        <v>13.7</v>
      </c>
      <c r="D493" s="101">
        <v>7</v>
      </c>
      <c r="E493" s="100">
        <v>95.899999999999991</v>
      </c>
      <c r="F493" s="33">
        <v>6.7</v>
      </c>
      <c r="G493" s="27"/>
      <c r="H493" s="28"/>
      <c r="I493" s="121"/>
      <c r="J493" s="33"/>
      <c r="K493" s="33">
        <v>5.36</v>
      </c>
      <c r="L493" s="5"/>
      <c r="M493" s="5">
        <v>402</v>
      </c>
      <c r="N493" s="8"/>
      <c r="O493" s="5"/>
      <c r="P493" s="5"/>
    </row>
    <row r="494" spans="1:16" ht="15">
      <c r="A494" s="17" t="s">
        <v>2201</v>
      </c>
      <c r="B494" s="31" t="s">
        <v>55</v>
      </c>
      <c r="C494" s="100">
        <v>13.7</v>
      </c>
      <c r="D494" s="101">
        <v>7</v>
      </c>
      <c r="E494" s="100">
        <v>95.899999999999991</v>
      </c>
      <c r="F494" s="33">
        <v>3.52</v>
      </c>
      <c r="G494" s="27"/>
      <c r="H494" s="28"/>
      <c r="I494" s="121"/>
      <c r="J494" s="33"/>
      <c r="K494" s="33">
        <v>2.82</v>
      </c>
      <c r="L494" s="5"/>
      <c r="M494" s="5">
        <v>211</v>
      </c>
      <c r="N494" s="8"/>
      <c r="O494" s="5"/>
      <c r="P494" s="5"/>
    </row>
    <row r="495" spans="1:16" ht="15">
      <c r="A495" s="17" t="s">
        <v>2064</v>
      </c>
      <c r="B495" s="31" t="s">
        <v>55</v>
      </c>
      <c r="C495" s="100">
        <v>13.7</v>
      </c>
      <c r="D495" s="101">
        <v>2</v>
      </c>
      <c r="E495" s="100">
        <v>27.4</v>
      </c>
      <c r="F495" s="33">
        <v>1.69</v>
      </c>
      <c r="G495" s="27"/>
      <c r="H495" s="28"/>
      <c r="I495" s="121"/>
      <c r="J495" s="33"/>
      <c r="K495" s="33">
        <v>1.35</v>
      </c>
      <c r="L495" s="5"/>
      <c r="M495" s="5">
        <v>101</v>
      </c>
      <c r="N495" s="8"/>
      <c r="O495" s="5"/>
      <c r="P495" s="5"/>
    </row>
    <row r="496" spans="1:16" ht="15">
      <c r="A496" s="17" t="s">
        <v>157</v>
      </c>
      <c r="B496" s="31" t="s">
        <v>55</v>
      </c>
      <c r="C496" s="100">
        <v>13.7</v>
      </c>
      <c r="D496" s="101">
        <v>2</v>
      </c>
      <c r="E496" s="100">
        <v>27.4</v>
      </c>
      <c r="F496" s="33">
        <v>4.04</v>
      </c>
      <c r="G496" s="27"/>
      <c r="H496" s="28"/>
      <c r="I496" s="121"/>
      <c r="J496" s="33"/>
      <c r="K496" s="33">
        <v>3.23</v>
      </c>
      <c r="L496" s="5"/>
      <c r="M496" s="5">
        <v>242</v>
      </c>
      <c r="N496" s="8"/>
      <c r="O496" s="5"/>
      <c r="P496" s="5"/>
    </row>
    <row r="497" spans="1:17" ht="15">
      <c r="A497" s="17" t="s">
        <v>2063</v>
      </c>
      <c r="B497" s="31" t="s">
        <v>55</v>
      </c>
      <c r="C497" s="100">
        <v>13.7</v>
      </c>
      <c r="D497" s="101">
        <v>2</v>
      </c>
      <c r="E497" s="100">
        <v>27.4</v>
      </c>
      <c r="F497" s="33">
        <v>2.74</v>
      </c>
      <c r="G497" s="27"/>
      <c r="H497" s="28"/>
      <c r="I497" s="121"/>
      <c r="J497" s="33"/>
      <c r="K497" s="33">
        <v>2.19</v>
      </c>
      <c r="L497" s="5"/>
      <c r="M497" s="5">
        <v>164</v>
      </c>
      <c r="N497" s="8"/>
      <c r="O497" s="5"/>
      <c r="P497" s="5"/>
    </row>
    <row r="498" spans="1:17" ht="15">
      <c r="A498" s="17" t="s">
        <v>2202</v>
      </c>
      <c r="B498" s="31" t="s">
        <v>55</v>
      </c>
      <c r="C498" s="100">
        <v>13.7</v>
      </c>
      <c r="D498" s="101">
        <v>2</v>
      </c>
      <c r="E498" s="100">
        <v>27.4</v>
      </c>
      <c r="F498" s="33">
        <v>2.37</v>
      </c>
      <c r="G498" s="27"/>
      <c r="H498" s="28"/>
      <c r="I498" s="121"/>
      <c r="J498" s="33"/>
      <c r="K498" s="33">
        <v>1.9</v>
      </c>
      <c r="L498" s="5"/>
      <c r="M498" s="5">
        <v>142</v>
      </c>
      <c r="N498" s="8"/>
      <c r="O498" s="5"/>
      <c r="P498" s="5"/>
    </row>
    <row r="499" spans="1:17" ht="15">
      <c r="A499" s="17" t="s">
        <v>2203</v>
      </c>
      <c r="B499" s="31" t="s">
        <v>55</v>
      </c>
      <c r="C499" s="100">
        <v>13.7</v>
      </c>
      <c r="D499" s="101">
        <v>2</v>
      </c>
      <c r="E499" s="100">
        <v>27.4</v>
      </c>
      <c r="F499" s="33">
        <v>3.49</v>
      </c>
      <c r="G499" s="27"/>
      <c r="H499" s="28"/>
      <c r="I499" s="121"/>
      <c r="J499" s="33"/>
      <c r="K499" s="33">
        <v>2.79</v>
      </c>
      <c r="L499" s="5"/>
      <c r="M499" s="5">
        <v>209</v>
      </c>
      <c r="N499" s="8"/>
      <c r="O499" s="5"/>
      <c r="P499" s="5"/>
    </row>
    <row r="501" spans="1:17" s="5" customFormat="1" ht="18" customHeight="1">
      <c r="A501" s="4" t="s">
        <v>2205</v>
      </c>
      <c r="B501" s="9" t="s">
        <v>1865</v>
      </c>
      <c r="C501" s="75" t="s">
        <v>2206</v>
      </c>
      <c r="D501" s="31"/>
      <c r="E501" s="31" t="s">
        <v>55</v>
      </c>
      <c r="F501" s="100">
        <f>G501*H501</f>
        <v>27.4</v>
      </c>
      <c r="G501" s="100">
        <v>13.7</v>
      </c>
      <c r="H501" s="101">
        <v>2</v>
      </c>
      <c r="I501" s="33">
        <v>9</v>
      </c>
      <c r="J501" s="27"/>
      <c r="K501" s="28"/>
      <c r="L501" s="121"/>
      <c r="M501" s="33"/>
      <c r="N501" s="33">
        <v>7.2</v>
      </c>
      <c r="P501" s="5">
        <v>540</v>
      </c>
      <c r="Q501" s="8"/>
    </row>
    <row r="503" spans="1:17" ht="15">
      <c r="A503" s="76" t="s">
        <v>1995</v>
      </c>
      <c r="B503" s="77" t="s">
        <v>33</v>
      </c>
      <c r="C503" s="78" t="s">
        <v>2000</v>
      </c>
      <c r="D503" s="507" t="s">
        <v>2001</v>
      </c>
      <c r="E503" s="78" t="s">
        <v>110</v>
      </c>
      <c r="F503" s="85" t="s">
        <v>180</v>
      </c>
    </row>
    <row r="504" spans="1:17" ht="15">
      <c r="A504" s="17" t="s">
        <v>2206</v>
      </c>
      <c r="B504" s="31" t="s">
        <v>55</v>
      </c>
      <c r="C504" s="100">
        <v>13.7</v>
      </c>
      <c r="D504" s="101">
        <v>2</v>
      </c>
      <c r="E504" s="100">
        <v>27.4</v>
      </c>
      <c r="F504" s="526">
        <v>540</v>
      </c>
    </row>
    <row r="508" spans="1:17" ht="15">
      <c r="A508" s="76" t="s">
        <v>1995</v>
      </c>
      <c r="B508" s="77" t="s">
        <v>33</v>
      </c>
      <c r="C508" s="78" t="s">
        <v>110</v>
      </c>
      <c r="D508" s="78" t="s">
        <v>1996</v>
      </c>
      <c r="E508" s="78" t="s">
        <v>2207</v>
      </c>
    </row>
    <row r="509" spans="1:17" ht="15">
      <c r="A509" s="17" t="s">
        <v>2193</v>
      </c>
      <c r="B509" s="17" t="s">
        <v>2099</v>
      </c>
      <c r="C509" s="100">
        <v>175</v>
      </c>
      <c r="D509" s="33">
        <v>1.9</v>
      </c>
      <c r="E509" s="31" t="s">
        <v>2208</v>
      </c>
    </row>
    <row r="510" spans="1:17" ht="15">
      <c r="A510" s="17" t="s">
        <v>2090</v>
      </c>
      <c r="B510" s="31" t="s">
        <v>2102</v>
      </c>
      <c r="C510" s="100">
        <v>100</v>
      </c>
      <c r="D510" s="33">
        <v>3.45</v>
      </c>
      <c r="E510" s="31" t="s">
        <v>2209</v>
      </c>
    </row>
    <row r="511" spans="1:17" ht="15">
      <c r="A511" s="17" t="s">
        <v>2090</v>
      </c>
      <c r="B511" s="17" t="s">
        <v>2184</v>
      </c>
      <c r="C511" s="100">
        <v>1430</v>
      </c>
      <c r="D511" s="33">
        <v>3.45</v>
      </c>
      <c r="E511" s="31" t="s">
        <v>2210</v>
      </c>
    </row>
    <row r="512" spans="1:17" ht="15">
      <c r="A512" s="17" t="s">
        <v>2090</v>
      </c>
      <c r="B512" s="17" t="s">
        <v>2099</v>
      </c>
      <c r="C512" s="100">
        <v>245</v>
      </c>
      <c r="D512" s="33">
        <v>3.45</v>
      </c>
      <c r="E512" s="123"/>
    </row>
    <row r="513" spans="1:6" ht="15">
      <c r="A513" s="17" t="s">
        <v>2094</v>
      </c>
      <c r="B513" s="31" t="s">
        <v>2102</v>
      </c>
      <c r="C513" s="100">
        <v>1890</v>
      </c>
      <c r="D513" s="33">
        <v>4.32</v>
      </c>
      <c r="E513" s="123"/>
    </row>
    <row r="514" spans="1:6" ht="15">
      <c r="A514" s="17" t="s">
        <v>2094</v>
      </c>
      <c r="B514" s="17" t="s">
        <v>2099</v>
      </c>
      <c r="C514" s="100">
        <v>245</v>
      </c>
      <c r="D514" s="33">
        <v>4.32</v>
      </c>
      <c r="E514" s="123"/>
    </row>
    <row r="515" spans="1:6" ht="15">
      <c r="A515" s="17" t="s">
        <v>2094</v>
      </c>
      <c r="B515" s="17" t="s">
        <v>2184</v>
      </c>
      <c r="C515" s="100">
        <v>1345</v>
      </c>
      <c r="D515" s="33">
        <v>4.32</v>
      </c>
      <c r="E515" s="31" t="s">
        <v>2211</v>
      </c>
    </row>
    <row r="516" spans="1:6" ht="15">
      <c r="A516" s="17" t="s">
        <v>2093</v>
      </c>
      <c r="B516" s="17" t="s">
        <v>2184</v>
      </c>
      <c r="C516" s="100">
        <v>1430</v>
      </c>
      <c r="D516" s="33">
        <v>3.32</v>
      </c>
      <c r="E516" s="123"/>
    </row>
    <row r="517" spans="1:6" ht="15">
      <c r="A517" s="17" t="s">
        <v>2093</v>
      </c>
      <c r="B517" s="17" t="s">
        <v>2099</v>
      </c>
      <c r="C517" s="100">
        <v>350</v>
      </c>
      <c r="D517" s="33">
        <v>3.32</v>
      </c>
      <c r="E517" s="123"/>
    </row>
    <row r="518" spans="1:6" ht="15">
      <c r="A518" s="75" t="s">
        <v>2177</v>
      </c>
      <c r="B518" s="31" t="s">
        <v>2102</v>
      </c>
      <c r="C518" s="100"/>
      <c r="D518" s="33">
        <v>2.09</v>
      </c>
      <c r="E518" s="31" t="s">
        <v>2212</v>
      </c>
    </row>
    <row r="519" spans="1:6" ht="15">
      <c r="A519" s="75" t="s">
        <v>2193</v>
      </c>
      <c r="B519" s="17" t="s">
        <v>2184</v>
      </c>
      <c r="C519" s="100"/>
      <c r="D519" s="33">
        <v>1.9</v>
      </c>
      <c r="E519" s="31" t="s">
        <v>2213</v>
      </c>
    </row>
    <row r="521" spans="1:6" ht="15">
      <c r="A521" s="76" t="s">
        <v>1995</v>
      </c>
      <c r="B521" s="77" t="s">
        <v>33</v>
      </c>
      <c r="C521" s="78" t="s">
        <v>2000</v>
      </c>
      <c r="D521" s="507" t="s">
        <v>2001</v>
      </c>
      <c r="E521" s="78" t="s">
        <v>110</v>
      </c>
      <c r="F521" s="78" t="s">
        <v>1996</v>
      </c>
    </row>
    <row r="522" spans="1:6" ht="15">
      <c r="A522" s="17" t="s">
        <v>2214</v>
      </c>
      <c r="B522" s="31" t="s">
        <v>2215</v>
      </c>
      <c r="C522" s="100">
        <v>13.7</v>
      </c>
      <c r="D522" s="101">
        <v>2</v>
      </c>
      <c r="E522" s="100">
        <v>27.4</v>
      </c>
      <c r="F522" s="33">
        <v>3.25</v>
      </c>
    </row>
    <row r="523" spans="1:6" ht="15">
      <c r="A523" s="17" t="s">
        <v>2214</v>
      </c>
      <c r="B523" s="31" t="s">
        <v>2216</v>
      </c>
      <c r="C523" s="100">
        <v>13.7</v>
      </c>
      <c r="D523" s="101">
        <v>2</v>
      </c>
      <c r="E523" s="100">
        <v>27.4</v>
      </c>
      <c r="F523" s="33">
        <v>3.25</v>
      </c>
    </row>
    <row r="524" spans="1:6" ht="15">
      <c r="A524" s="17" t="s">
        <v>2214</v>
      </c>
      <c r="B524" s="31" t="s">
        <v>2217</v>
      </c>
      <c r="C524" s="100">
        <v>13.7</v>
      </c>
      <c r="D524" s="101">
        <v>2</v>
      </c>
      <c r="E524" s="100">
        <v>27.4</v>
      </c>
      <c r="F524" s="33">
        <v>3.25</v>
      </c>
    </row>
    <row r="525" spans="1:6" ht="15">
      <c r="A525" s="17" t="s">
        <v>2214</v>
      </c>
      <c r="B525" s="31" t="s">
        <v>2218</v>
      </c>
      <c r="C525" s="100">
        <v>13.7</v>
      </c>
      <c r="D525" s="101">
        <v>2</v>
      </c>
      <c r="E525" s="100">
        <v>27.4</v>
      </c>
      <c r="F525" s="33">
        <v>3.25</v>
      </c>
    </row>
    <row r="526" spans="1:6" ht="15">
      <c r="A526" s="17" t="s">
        <v>2214</v>
      </c>
      <c r="B526" s="31" t="s">
        <v>174</v>
      </c>
      <c r="C526" s="100">
        <v>13.7</v>
      </c>
      <c r="D526" s="101">
        <v>2</v>
      </c>
      <c r="E526" s="100">
        <v>27.4</v>
      </c>
      <c r="F526" s="33">
        <v>3.25</v>
      </c>
    </row>
    <row r="527" spans="1:6" ht="15">
      <c r="A527" s="17" t="s">
        <v>2214</v>
      </c>
      <c r="B527" s="31" t="s">
        <v>2219</v>
      </c>
      <c r="C527" s="100">
        <v>13.7</v>
      </c>
      <c r="D527" s="101">
        <v>2</v>
      </c>
      <c r="E527" s="100">
        <v>27.4</v>
      </c>
      <c r="F527" s="33">
        <v>3.25</v>
      </c>
    </row>
    <row r="528" spans="1:6" ht="15">
      <c r="A528" s="17" t="s">
        <v>2214</v>
      </c>
      <c r="B528" s="31" t="s">
        <v>173</v>
      </c>
      <c r="C528" s="100">
        <v>13.7</v>
      </c>
      <c r="D528" s="101">
        <v>2</v>
      </c>
      <c r="E528" s="100">
        <v>27.4</v>
      </c>
      <c r="F528" s="33">
        <v>3.25</v>
      </c>
    </row>
    <row r="529" spans="1:6" ht="15">
      <c r="A529" s="17" t="s">
        <v>2220</v>
      </c>
      <c r="B529" s="31" t="s">
        <v>2215</v>
      </c>
      <c r="C529" s="100">
        <v>13.7</v>
      </c>
      <c r="D529" s="101">
        <v>2</v>
      </c>
      <c r="E529" s="100">
        <v>27.4</v>
      </c>
      <c r="F529" s="33">
        <v>3.59</v>
      </c>
    </row>
    <row r="530" spans="1:6" ht="15">
      <c r="A530" s="17" t="s">
        <v>2220</v>
      </c>
      <c r="B530" s="31" t="s">
        <v>2216</v>
      </c>
      <c r="C530" s="100">
        <v>13.7</v>
      </c>
      <c r="D530" s="101">
        <v>2</v>
      </c>
      <c r="E530" s="100">
        <v>27.4</v>
      </c>
      <c r="F530" s="33">
        <v>3.59</v>
      </c>
    </row>
    <row r="531" spans="1:6" ht="15">
      <c r="A531" s="17" t="s">
        <v>2220</v>
      </c>
      <c r="B531" s="31" t="s">
        <v>2217</v>
      </c>
      <c r="C531" s="100">
        <v>13.7</v>
      </c>
      <c r="D531" s="101">
        <v>2</v>
      </c>
      <c r="E531" s="100">
        <v>27.4</v>
      </c>
      <c r="F531" s="33">
        <v>3.59</v>
      </c>
    </row>
    <row r="532" spans="1:6" ht="15">
      <c r="A532" s="17" t="s">
        <v>2220</v>
      </c>
      <c r="B532" s="31" t="s">
        <v>2218</v>
      </c>
      <c r="C532" s="100">
        <v>13.7</v>
      </c>
      <c r="D532" s="101">
        <v>2</v>
      </c>
      <c r="E532" s="100">
        <v>27.4</v>
      </c>
      <c r="F532" s="33">
        <v>3.59</v>
      </c>
    </row>
    <row r="533" spans="1:6" ht="15">
      <c r="A533" s="17" t="s">
        <v>2220</v>
      </c>
      <c r="B533" s="31" t="s">
        <v>174</v>
      </c>
      <c r="C533" s="100">
        <v>13.7</v>
      </c>
      <c r="D533" s="101">
        <v>2</v>
      </c>
      <c r="E533" s="100">
        <v>27.4</v>
      </c>
      <c r="F533" s="33">
        <v>3.59</v>
      </c>
    </row>
    <row r="534" spans="1:6" ht="15">
      <c r="A534" s="17" t="s">
        <v>2220</v>
      </c>
      <c r="B534" s="31" t="s">
        <v>2219</v>
      </c>
      <c r="C534" s="100">
        <v>13.7</v>
      </c>
      <c r="D534" s="101">
        <v>2</v>
      </c>
      <c r="E534" s="100">
        <v>27.4</v>
      </c>
      <c r="F534" s="33">
        <v>3.59</v>
      </c>
    </row>
    <row r="535" spans="1:6" ht="15">
      <c r="A535" s="17" t="s">
        <v>2220</v>
      </c>
      <c r="B535" s="31" t="s">
        <v>173</v>
      </c>
      <c r="C535" s="100">
        <v>13.7</v>
      </c>
      <c r="D535" s="101">
        <v>2</v>
      </c>
      <c r="E535" s="100">
        <v>27.4</v>
      </c>
      <c r="F535" s="33">
        <v>3.59</v>
      </c>
    </row>
    <row r="536" spans="1:6" ht="15">
      <c r="A536" s="17" t="s">
        <v>2221</v>
      </c>
      <c r="B536" s="31" t="s">
        <v>2215</v>
      </c>
      <c r="C536" s="100">
        <v>13.7</v>
      </c>
      <c r="D536" s="101">
        <v>2</v>
      </c>
      <c r="E536" s="100">
        <v>27.4</v>
      </c>
      <c r="F536" s="33">
        <v>4.17</v>
      </c>
    </row>
    <row r="537" spans="1:6" ht="15">
      <c r="A537" s="17" t="s">
        <v>2221</v>
      </c>
      <c r="B537" s="31" t="s">
        <v>2216</v>
      </c>
      <c r="C537" s="100">
        <v>13.7</v>
      </c>
      <c r="D537" s="101">
        <v>2</v>
      </c>
      <c r="E537" s="100">
        <v>27.4</v>
      </c>
      <c r="F537" s="33">
        <v>4.17</v>
      </c>
    </row>
    <row r="538" spans="1:6" ht="15">
      <c r="A538" s="17" t="s">
        <v>2221</v>
      </c>
      <c r="B538" s="31" t="s">
        <v>2217</v>
      </c>
      <c r="C538" s="100">
        <v>13.7</v>
      </c>
      <c r="D538" s="101">
        <v>2</v>
      </c>
      <c r="E538" s="100">
        <v>27.4</v>
      </c>
      <c r="F538" s="33">
        <v>4.17</v>
      </c>
    </row>
    <row r="539" spans="1:6" ht="15">
      <c r="A539" s="17" t="s">
        <v>2221</v>
      </c>
      <c r="B539" s="31" t="s">
        <v>2218</v>
      </c>
      <c r="C539" s="100">
        <v>13.7</v>
      </c>
      <c r="D539" s="101">
        <v>2</v>
      </c>
      <c r="E539" s="100">
        <v>27.4</v>
      </c>
      <c r="F539" s="33">
        <v>4.17</v>
      </c>
    </row>
    <row r="540" spans="1:6" ht="15">
      <c r="A540" s="17" t="s">
        <v>2221</v>
      </c>
      <c r="B540" s="31" t="s">
        <v>174</v>
      </c>
      <c r="C540" s="100">
        <v>13.7</v>
      </c>
      <c r="D540" s="101">
        <v>2</v>
      </c>
      <c r="E540" s="100">
        <v>27.4</v>
      </c>
      <c r="F540" s="33">
        <v>4.17</v>
      </c>
    </row>
    <row r="541" spans="1:6" ht="15">
      <c r="A541" s="17" t="s">
        <v>2221</v>
      </c>
      <c r="B541" s="31" t="s">
        <v>2219</v>
      </c>
      <c r="C541" s="100">
        <v>13.7</v>
      </c>
      <c r="D541" s="101">
        <v>2</v>
      </c>
      <c r="E541" s="100">
        <v>27.4</v>
      </c>
      <c r="F541" s="33">
        <v>4.17</v>
      </c>
    </row>
    <row r="542" spans="1:6" ht="15">
      <c r="A542" s="17" t="s">
        <v>2221</v>
      </c>
      <c r="B542" s="31" t="s">
        <v>173</v>
      </c>
      <c r="C542" s="100">
        <v>13.7</v>
      </c>
      <c r="D542" s="101">
        <v>2</v>
      </c>
      <c r="E542" s="100">
        <v>27.4</v>
      </c>
      <c r="F542" s="33">
        <v>4.17</v>
      </c>
    </row>
    <row r="543" spans="1:6" ht="15">
      <c r="A543" s="17"/>
      <c r="B543" s="17" t="s">
        <v>123</v>
      </c>
      <c r="C543" s="6" t="s">
        <v>249</v>
      </c>
      <c r="D543" s="30"/>
      <c r="E543" s="6"/>
      <c r="F543" s="33"/>
    </row>
    <row r="544" spans="1:6" ht="15">
      <c r="A544" s="17"/>
      <c r="B544" s="17"/>
      <c r="C544" s="6"/>
      <c r="D544" s="30"/>
      <c r="E544" s="6"/>
      <c r="F544" s="537"/>
    </row>
    <row r="545" spans="1:7" ht="15">
      <c r="A545" s="17"/>
      <c r="B545" s="17"/>
      <c r="C545" s="6"/>
      <c r="D545" s="30"/>
      <c r="E545" s="6"/>
      <c r="F545" s="537"/>
    </row>
    <row r="546" spans="1:7" ht="15">
      <c r="A546" s="76" t="s">
        <v>1995</v>
      </c>
      <c r="B546" s="77" t="s">
        <v>33</v>
      </c>
      <c r="C546" s="78" t="s">
        <v>2000</v>
      </c>
      <c r="D546" s="507" t="s">
        <v>2001</v>
      </c>
      <c r="E546" s="78" t="s">
        <v>110</v>
      </c>
      <c r="F546" s="78" t="s">
        <v>1996</v>
      </c>
      <c r="G546" s="78" t="s">
        <v>2222</v>
      </c>
    </row>
    <row r="547" spans="1:7" ht="15">
      <c r="A547" s="17" t="s">
        <v>2220</v>
      </c>
      <c r="B547" s="31" t="s">
        <v>173</v>
      </c>
      <c r="C547" s="100">
        <v>13.7</v>
      </c>
      <c r="D547" s="101">
        <v>2</v>
      </c>
      <c r="E547" s="100">
        <v>27.4</v>
      </c>
      <c r="F547" s="33">
        <v>3.59</v>
      </c>
      <c r="G547" s="33">
        <f t="shared" ref="G547:G560" si="1">F547*E547</f>
        <v>98.365999999999985</v>
      </c>
    </row>
    <row r="548" spans="1:7" ht="15">
      <c r="A548" s="17" t="s">
        <v>2220</v>
      </c>
      <c r="B548" s="31" t="s">
        <v>2216</v>
      </c>
      <c r="C548" s="100">
        <v>13.7</v>
      </c>
      <c r="D548" s="101">
        <v>2</v>
      </c>
      <c r="E548" s="100">
        <v>27.4</v>
      </c>
      <c r="F548" s="33">
        <v>3.59</v>
      </c>
      <c r="G548" s="33">
        <f t="shared" si="1"/>
        <v>98.365999999999985</v>
      </c>
    </row>
    <row r="549" spans="1:7" ht="15">
      <c r="A549" s="17" t="s">
        <v>2220</v>
      </c>
      <c r="B549" s="31" t="s">
        <v>174</v>
      </c>
      <c r="C549" s="100">
        <v>13.7</v>
      </c>
      <c r="D549" s="101">
        <v>2</v>
      </c>
      <c r="E549" s="100">
        <v>27.4</v>
      </c>
      <c r="F549" s="33">
        <v>3.59</v>
      </c>
      <c r="G549" s="33">
        <f t="shared" si="1"/>
        <v>98.365999999999985</v>
      </c>
    </row>
    <row r="550" spans="1:7" ht="15">
      <c r="A550" s="17" t="s">
        <v>2220</v>
      </c>
      <c r="B550" s="31" t="s">
        <v>2217</v>
      </c>
      <c r="C550" s="100">
        <v>13.7</v>
      </c>
      <c r="D550" s="101">
        <v>2</v>
      </c>
      <c r="E550" s="100">
        <v>27.4</v>
      </c>
      <c r="F550" s="33">
        <v>3.59</v>
      </c>
      <c r="G550" s="33">
        <f t="shared" si="1"/>
        <v>98.365999999999985</v>
      </c>
    </row>
    <row r="551" spans="1:7" ht="15">
      <c r="A551" s="17" t="s">
        <v>2220</v>
      </c>
      <c r="B551" s="31" t="s">
        <v>2218</v>
      </c>
      <c r="C551" s="100">
        <v>13.7</v>
      </c>
      <c r="D551" s="101">
        <v>2</v>
      </c>
      <c r="E551" s="100">
        <v>27.4</v>
      </c>
      <c r="F551" s="33">
        <v>3.59</v>
      </c>
      <c r="G551" s="33">
        <f t="shared" si="1"/>
        <v>98.365999999999985</v>
      </c>
    </row>
    <row r="552" spans="1:7" ht="15">
      <c r="A552" s="17" t="s">
        <v>2220</v>
      </c>
      <c r="B552" s="31" t="s">
        <v>169</v>
      </c>
      <c r="C552" s="100">
        <v>13.7</v>
      </c>
      <c r="D552" s="101">
        <v>2</v>
      </c>
      <c r="E552" s="100">
        <v>27.4</v>
      </c>
      <c r="F552" s="33">
        <v>3.59</v>
      </c>
      <c r="G552" s="33">
        <f t="shared" si="1"/>
        <v>98.365999999999985</v>
      </c>
    </row>
    <row r="553" spans="1:7" ht="15">
      <c r="A553" s="17" t="s">
        <v>2220</v>
      </c>
      <c r="B553" s="31" t="s">
        <v>2215</v>
      </c>
      <c r="C553" s="100">
        <v>13.7</v>
      </c>
      <c r="D553" s="101">
        <v>2</v>
      </c>
      <c r="E553" s="100">
        <v>27.4</v>
      </c>
      <c r="F553" s="33">
        <v>3.59</v>
      </c>
      <c r="G553" s="33">
        <f t="shared" si="1"/>
        <v>98.365999999999985</v>
      </c>
    </row>
    <row r="554" spans="1:7" ht="15">
      <c r="A554" s="17" t="s">
        <v>2221</v>
      </c>
      <c r="B554" s="31" t="s">
        <v>173</v>
      </c>
      <c r="C554" s="100">
        <v>13.7</v>
      </c>
      <c r="D554" s="101">
        <v>2</v>
      </c>
      <c r="E554" s="100">
        <v>27.4</v>
      </c>
      <c r="F554" s="33">
        <v>4.17</v>
      </c>
      <c r="G554" s="33">
        <f t="shared" si="1"/>
        <v>114.258</v>
      </c>
    </row>
    <row r="555" spans="1:7" ht="15">
      <c r="A555" s="17" t="s">
        <v>2221</v>
      </c>
      <c r="B555" s="31" t="s">
        <v>2216</v>
      </c>
      <c r="C555" s="100">
        <v>13.7</v>
      </c>
      <c r="D555" s="101">
        <v>2</v>
      </c>
      <c r="E555" s="100">
        <v>27.4</v>
      </c>
      <c r="F555" s="33">
        <v>4.17</v>
      </c>
      <c r="G555" s="33">
        <f t="shared" si="1"/>
        <v>114.258</v>
      </c>
    </row>
    <row r="556" spans="1:7" ht="15">
      <c r="A556" s="17" t="s">
        <v>2221</v>
      </c>
      <c r="B556" s="31" t="s">
        <v>174</v>
      </c>
      <c r="C556" s="100">
        <v>13.7</v>
      </c>
      <c r="D556" s="101">
        <v>2</v>
      </c>
      <c r="E556" s="100">
        <v>27.4</v>
      </c>
      <c r="F556" s="33">
        <v>4.17</v>
      </c>
      <c r="G556" s="33">
        <f t="shared" si="1"/>
        <v>114.258</v>
      </c>
    </row>
    <row r="557" spans="1:7" ht="15">
      <c r="A557" s="17" t="s">
        <v>2221</v>
      </c>
      <c r="B557" s="31" t="s">
        <v>2217</v>
      </c>
      <c r="C557" s="100">
        <v>13.7</v>
      </c>
      <c r="D557" s="101">
        <v>2</v>
      </c>
      <c r="E557" s="100">
        <v>27.4</v>
      </c>
      <c r="F557" s="33">
        <v>4.17</v>
      </c>
      <c r="G557" s="33">
        <f t="shared" si="1"/>
        <v>114.258</v>
      </c>
    </row>
    <row r="558" spans="1:7" ht="15">
      <c r="A558" s="17" t="s">
        <v>2221</v>
      </c>
      <c r="B558" s="31" t="s">
        <v>2218</v>
      </c>
      <c r="C558" s="100">
        <v>13.7</v>
      </c>
      <c r="D558" s="101">
        <v>2</v>
      </c>
      <c r="E558" s="100">
        <v>27.4</v>
      </c>
      <c r="F558" s="33">
        <v>4.17</v>
      </c>
      <c r="G558" s="33">
        <f t="shared" si="1"/>
        <v>114.258</v>
      </c>
    </row>
    <row r="559" spans="1:7" ht="15">
      <c r="A559" s="17" t="s">
        <v>2221</v>
      </c>
      <c r="B559" s="31" t="s">
        <v>169</v>
      </c>
      <c r="C559" s="100">
        <v>13.7</v>
      </c>
      <c r="D559" s="101">
        <v>2</v>
      </c>
      <c r="E559" s="100">
        <v>27.4</v>
      </c>
      <c r="F559" s="33">
        <v>4.17</v>
      </c>
      <c r="G559" s="33">
        <f t="shared" si="1"/>
        <v>114.258</v>
      </c>
    </row>
    <row r="560" spans="1:7" ht="15">
      <c r="A560" s="17" t="s">
        <v>2221</v>
      </c>
      <c r="B560" s="31" t="s">
        <v>2215</v>
      </c>
      <c r="C560" s="100">
        <v>13.7</v>
      </c>
      <c r="D560" s="101">
        <v>2</v>
      </c>
      <c r="E560" s="100">
        <v>27.4</v>
      </c>
      <c r="F560" s="33">
        <v>4.17</v>
      </c>
      <c r="G560" s="33">
        <f t="shared" si="1"/>
        <v>114.258</v>
      </c>
    </row>
    <row r="561" spans="1:7" ht="15">
      <c r="A561" s="75"/>
      <c r="B561" s="17" t="s">
        <v>183</v>
      </c>
      <c r="C561" s="6" t="s">
        <v>176</v>
      </c>
      <c r="D561" s="30"/>
      <c r="E561" s="6"/>
      <c r="F561" s="33">
        <v>115</v>
      </c>
      <c r="G561" s="33">
        <v>690</v>
      </c>
    </row>
    <row r="562" spans="1:7" ht="15.75">
      <c r="A562" s="75"/>
      <c r="B562" s="17"/>
      <c r="C562" s="6"/>
      <c r="D562" s="30"/>
      <c r="E562" s="6"/>
      <c r="F562" s="109" t="s">
        <v>159</v>
      </c>
      <c r="G562" s="110">
        <f>SUM(G547:G561)</f>
        <v>2178.3680000000004</v>
      </c>
    </row>
    <row r="565" spans="1:7">
      <c r="A565" t="s">
        <v>269</v>
      </c>
      <c r="B565" s="538">
        <v>134</v>
      </c>
      <c r="C565" t="s">
        <v>2223</v>
      </c>
      <c r="D565" s="539">
        <v>50</v>
      </c>
    </row>
    <row r="566" spans="1:7">
      <c r="A566" t="s">
        <v>269</v>
      </c>
      <c r="B566" s="538">
        <v>134</v>
      </c>
      <c r="C566" t="s">
        <v>2224</v>
      </c>
      <c r="D566" s="539">
        <v>16</v>
      </c>
    </row>
    <row r="570" spans="1:7" ht="15">
      <c r="A570" s="76" t="s">
        <v>1995</v>
      </c>
      <c r="B570" s="76" t="s">
        <v>158</v>
      </c>
      <c r="C570" s="77" t="s">
        <v>33</v>
      </c>
      <c r="D570" s="78" t="s">
        <v>2000</v>
      </c>
      <c r="E570" s="507" t="s">
        <v>2001</v>
      </c>
      <c r="F570" s="78" t="s">
        <v>110</v>
      </c>
      <c r="G570" s="78" t="s">
        <v>1996</v>
      </c>
    </row>
    <row r="571" spans="1:7" ht="15">
      <c r="A571" s="17">
        <v>3819</v>
      </c>
      <c r="B571" s="10">
        <v>38</v>
      </c>
      <c r="C571" s="17" t="s">
        <v>36</v>
      </c>
      <c r="D571" s="100">
        <v>50</v>
      </c>
      <c r="E571" s="30">
        <v>1</v>
      </c>
      <c r="F571" s="100">
        <v>50</v>
      </c>
      <c r="G571" s="33">
        <v>0.97</v>
      </c>
    </row>
    <row r="572" spans="1:7" ht="15">
      <c r="A572" s="17">
        <v>3819</v>
      </c>
      <c r="B572" s="10">
        <v>30</v>
      </c>
      <c r="C572" s="17" t="s">
        <v>36</v>
      </c>
      <c r="D572" s="100">
        <v>50</v>
      </c>
      <c r="E572" s="30">
        <v>1</v>
      </c>
      <c r="F572" s="100">
        <v>50</v>
      </c>
      <c r="G572" s="33">
        <v>0.75</v>
      </c>
    </row>
    <row r="573" spans="1:7" ht="15">
      <c r="A573" s="43"/>
      <c r="B573" s="94"/>
      <c r="C573" s="17" t="s">
        <v>11</v>
      </c>
      <c r="D573" s="6" t="s">
        <v>60</v>
      </c>
      <c r="E573" s="30"/>
      <c r="F573" s="6"/>
      <c r="G573" s="33">
        <v>12</v>
      </c>
    </row>
    <row r="576" spans="1:7" ht="15.75">
      <c r="A576" s="76" t="s">
        <v>1995</v>
      </c>
      <c r="B576" s="77" t="s">
        <v>33</v>
      </c>
      <c r="C576" s="78" t="s">
        <v>2225</v>
      </c>
      <c r="D576" s="100"/>
      <c r="E576" s="101"/>
      <c r="F576" s="102" t="s">
        <v>5</v>
      </c>
    </row>
    <row r="577" spans="1:12" ht="15">
      <c r="A577" s="17" t="s">
        <v>2090</v>
      </c>
      <c r="B577" s="17" t="s">
        <v>2184</v>
      </c>
      <c r="C577" s="100">
        <v>1213</v>
      </c>
      <c r="D577" s="100">
        <v>1213</v>
      </c>
      <c r="E577" s="100">
        <v>1213</v>
      </c>
      <c r="F577" s="33">
        <v>3.45</v>
      </c>
      <c r="G577" s="33">
        <f t="shared" ref="G577:G583" si="2">F577*C577</f>
        <v>4184.8500000000004</v>
      </c>
    </row>
    <row r="578" spans="1:12" ht="15">
      <c r="A578" s="17" t="s">
        <v>2090</v>
      </c>
      <c r="B578" s="17" t="s">
        <v>2099</v>
      </c>
      <c r="C578" s="100">
        <v>245</v>
      </c>
      <c r="D578" s="100">
        <v>245</v>
      </c>
      <c r="E578" s="100">
        <v>245</v>
      </c>
      <c r="F578" s="33">
        <v>3.45</v>
      </c>
      <c r="G578" s="33">
        <f t="shared" si="2"/>
        <v>845.25</v>
      </c>
    </row>
    <row r="579" spans="1:12" ht="15">
      <c r="A579" s="17" t="s">
        <v>2094</v>
      </c>
      <c r="B579" s="31" t="s">
        <v>2102</v>
      </c>
      <c r="C579" s="100">
        <v>1890</v>
      </c>
      <c r="D579" s="100">
        <v>1890</v>
      </c>
      <c r="E579" s="100">
        <v>1890</v>
      </c>
      <c r="F579" s="33">
        <v>4.32</v>
      </c>
      <c r="G579" s="33">
        <f t="shared" si="2"/>
        <v>8164.8</v>
      </c>
    </row>
    <row r="580" spans="1:12" ht="15">
      <c r="A580" s="17" t="s">
        <v>2094</v>
      </c>
      <c r="B580" s="17" t="s">
        <v>2099</v>
      </c>
      <c r="C580" s="100">
        <v>245</v>
      </c>
      <c r="D580" s="100">
        <v>245</v>
      </c>
      <c r="E580" s="100">
        <v>245</v>
      </c>
      <c r="F580" s="33">
        <v>4.32</v>
      </c>
      <c r="G580" s="33">
        <f t="shared" si="2"/>
        <v>1058.4000000000001</v>
      </c>
    </row>
    <row r="581" spans="1:12" ht="15">
      <c r="A581" s="17" t="s">
        <v>2094</v>
      </c>
      <c r="B581" s="17" t="s">
        <v>2184</v>
      </c>
      <c r="C581" s="100">
        <v>1140</v>
      </c>
      <c r="D581" s="100">
        <v>1140</v>
      </c>
      <c r="E581" s="100">
        <v>1140</v>
      </c>
      <c r="F581" s="33">
        <v>4.32</v>
      </c>
      <c r="G581" s="33">
        <f t="shared" si="2"/>
        <v>4924.8</v>
      </c>
    </row>
    <row r="582" spans="1:12" ht="15">
      <c r="A582" s="17" t="s">
        <v>2093</v>
      </c>
      <c r="B582" s="17" t="s">
        <v>2184</v>
      </c>
      <c r="C582" s="100">
        <v>1430</v>
      </c>
      <c r="D582" s="100">
        <v>1430</v>
      </c>
      <c r="E582" s="100">
        <v>1430</v>
      </c>
      <c r="F582" s="33">
        <v>3.32</v>
      </c>
      <c r="G582" s="33">
        <f t="shared" si="2"/>
        <v>4747.5999999999995</v>
      </c>
    </row>
    <row r="583" spans="1:12" ht="15">
      <c r="A583" s="17" t="s">
        <v>2093</v>
      </c>
      <c r="B583" s="17" t="s">
        <v>2099</v>
      </c>
      <c r="C583" s="100">
        <v>350</v>
      </c>
      <c r="D583" s="100">
        <v>350</v>
      </c>
      <c r="E583" s="100">
        <v>350</v>
      </c>
      <c r="F583" s="33">
        <v>3.32</v>
      </c>
      <c r="G583" s="33">
        <f t="shared" si="2"/>
        <v>1162</v>
      </c>
    </row>
    <row r="587" spans="1:12" ht="15">
      <c r="A587" s="76" t="s">
        <v>1995</v>
      </c>
      <c r="B587" s="77" t="s">
        <v>158</v>
      </c>
      <c r="C587" s="78" t="s">
        <v>94</v>
      </c>
      <c r="D587" s="78" t="s">
        <v>2000</v>
      </c>
      <c r="E587" s="507" t="s">
        <v>2001</v>
      </c>
      <c r="F587" s="78" t="s">
        <v>110</v>
      </c>
      <c r="G587" s="78" t="s">
        <v>2226</v>
      </c>
    </row>
    <row r="588" spans="1:12" ht="14.25">
      <c r="A588" s="42">
        <v>11700</v>
      </c>
      <c r="B588" s="58">
        <v>24</v>
      </c>
      <c r="C588" s="42" t="s">
        <v>26</v>
      </c>
      <c r="D588" s="25">
        <v>10</v>
      </c>
      <c r="E588" s="26">
        <v>1</v>
      </c>
      <c r="F588" s="25">
        <v>10</v>
      </c>
      <c r="G588" s="29">
        <v>20.2</v>
      </c>
    </row>
    <row r="589" spans="1:12" ht="14.25">
      <c r="A589" s="42">
        <v>11700</v>
      </c>
      <c r="B589" s="58">
        <v>24</v>
      </c>
      <c r="C589" s="42" t="s">
        <v>1977</v>
      </c>
      <c r="D589" s="25">
        <v>10</v>
      </c>
      <c r="E589" s="26">
        <v>1</v>
      </c>
      <c r="F589" s="25">
        <v>10</v>
      </c>
      <c r="G589" s="29">
        <v>20.2</v>
      </c>
    </row>
    <row r="592" spans="1:12" s="1" customFormat="1" ht="18" customHeight="1">
      <c r="A592" s="76" t="s">
        <v>1995</v>
      </c>
      <c r="B592" s="78" t="s">
        <v>94</v>
      </c>
      <c r="C592" s="78" t="s">
        <v>2000</v>
      </c>
      <c r="D592" s="507" t="s">
        <v>2001</v>
      </c>
      <c r="E592" s="78" t="s">
        <v>110</v>
      </c>
      <c r="F592" s="78" t="s">
        <v>2227</v>
      </c>
      <c r="G592" s="78" t="s">
        <v>2228</v>
      </c>
      <c r="H592" s="28"/>
      <c r="I592" s="28"/>
      <c r="J592" s="2"/>
      <c r="K592" s="516"/>
      <c r="L592" s="536"/>
    </row>
    <row r="593" spans="1:14" s="1" customFormat="1" ht="18" customHeight="1">
      <c r="A593" s="42" t="s">
        <v>92</v>
      </c>
      <c r="B593" s="58" t="s">
        <v>55</v>
      </c>
      <c r="C593" s="41">
        <v>13.7</v>
      </c>
      <c r="D593" s="51">
        <v>2</v>
      </c>
      <c r="E593" s="41">
        <v>27.4</v>
      </c>
      <c r="F593" s="29">
        <v>1.84</v>
      </c>
      <c r="G593" s="27" t="s">
        <v>2229</v>
      </c>
      <c r="H593" s="28"/>
      <c r="I593" s="121"/>
      <c r="J593" s="2"/>
      <c r="K593" s="29">
        <v>1.45</v>
      </c>
      <c r="M593" s="1">
        <v>98</v>
      </c>
      <c r="N593" s="21"/>
    </row>
    <row r="594" spans="1:14" s="1" customFormat="1" ht="18" customHeight="1">
      <c r="A594" s="42"/>
      <c r="B594" s="58"/>
      <c r="C594" s="41"/>
      <c r="D594" s="51"/>
      <c r="E594" s="41"/>
      <c r="F594" s="29"/>
      <c r="G594" s="27"/>
      <c r="H594" s="28"/>
      <c r="I594" s="121"/>
      <c r="J594" s="2"/>
      <c r="K594" s="29"/>
      <c r="N594" s="21"/>
    </row>
    <row r="595" spans="1:14" s="1" customFormat="1" ht="18" customHeight="1">
      <c r="A595" s="76" t="s">
        <v>1995</v>
      </c>
      <c r="B595" s="78" t="s">
        <v>94</v>
      </c>
      <c r="C595" s="78" t="s">
        <v>2000</v>
      </c>
      <c r="D595" s="507" t="s">
        <v>2001</v>
      </c>
      <c r="E595" s="78" t="s">
        <v>110</v>
      </c>
      <c r="F595" s="78" t="s">
        <v>2227</v>
      </c>
      <c r="G595" s="27"/>
      <c r="H595" s="28"/>
      <c r="I595" s="28"/>
      <c r="J595" s="2"/>
      <c r="K595" s="516"/>
      <c r="L595" s="536"/>
    </row>
    <row r="596" spans="1:14" s="1" customFormat="1" ht="18" customHeight="1">
      <c r="A596" s="42" t="s">
        <v>92</v>
      </c>
      <c r="B596" s="58" t="s">
        <v>55</v>
      </c>
      <c r="C596" s="41">
        <v>13.7</v>
      </c>
      <c r="D596" s="51">
        <v>36</v>
      </c>
      <c r="E596" s="41">
        <v>493.2</v>
      </c>
      <c r="F596" s="29">
        <v>1.84</v>
      </c>
      <c r="G596" s="1018" t="s">
        <v>2230</v>
      </c>
      <c r="H596" s="28"/>
      <c r="I596" s="121"/>
      <c r="J596" s="2"/>
      <c r="K596" s="29">
        <v>1.45</v>
      </c>
      <c r="M596" s="1">
        <v>98</v>
      </c>
      <c r="N596" s="21"/>
    </row>
    <row r="597" spans="1:14" s="1" customFormat="1" ht="18" customHeight="1">
      <c r="A597" s="42" t="s">
        <v>92</v>
      </c>
      <c r="B597" s="58" t="s">
        <v>120</v>
      </c>
      <c r="C597" s="41">
        <v>13.7</v>
      </c>
      <c r="D597" s="51">
        <v>112</v>
      </c>
      <c r="E597" s="41">
        <v>1534.3999999999999</v>
      </c>
      <c r="F597" s="29">
        <v>2.14</v>
      </c>
      <c r="G597" s="1019"/>
      <c r="H597" s="28"/>
      <c r="I597" s="121"/>
      <c r="J597" s="2"/>
      <c r="K597" s="29">
        <v>1.71</v>
      </c>
      <c r="L597" s="1">
        <v>128</v>
      </c>
      <c r="M597" s="1">
        <v>98</v>
      </c>
      <c r="N597" s="21" t="s">
        <v>93</v>
      </c>
    </row>
    <row r="598" spans="1:14" s="1" customFormat="1" ht="18" customHeight="1">
      <c r="A598" s="42" t="s">
        <v>92</v>
      </c>
      <c r="B598" s="58" t="s">
        <v>113</v>
      </c>
      <c r="C598" s="41">
        <v>13.7</v>
      </c>
      <c r="D598" s="51">
        <v>21</v>
      </c>
      <c r="E598" s="41">
        <v>287.7</v>
      </c>
      <c r="F598" s="29">
        <v>2.2400000000000002</v>
      </c>
      <c r="G598" s="1020"/>
      <c r="H598" s="28"/>
      <c r="I598" s="121"/>
      <c r="J598" s="2"/>
      <c r="K598" s="29">
        <v>1.79</v>
      </c>
      <c r="M598" s="1">
        <v>134</v>
      </c>
      <c r="N598" s="21"/>
    </row>
    <row r="602" spans="1:14" ht="15">
      <c r="A602" s="76" t="s">
        <v>1995</v>
      </c>
      <c r="B602" s="77" t="s">
        <v>158</v>
      </c>
      <c r="C602" s="78" t="s">
        <v>94</v>
      </c>
      <c r="D602" s="78" t="s">
        <v>2000</v>
      </c>
      <c r="E602" s="507" t="s">
        <v>2001</v>
      </c>
      <c r="F602" s="78" t="s">
        <v>110</v>
      </c>
      <c r="G602" s="78" t="s">
        <v>2226</v>
      </c>
      <c r="H602" s="78" t="s">
        <v>104</v>
      </c>
    </row>
    <row r="603" spans="1:14" ht="15.75">
      <c r="A603" s="42">
        <v>11700</v>
      </c>
      <c r="B603" s="58">
        <v>24</v>
      </c>
      <c r="C603" s="42" t="s">
        <v>26</v>
      </c>
      <c r="D603" s="25">
        <v>10</v>
      </c>
      <c r="E603" s="26">
        <v>1</v>
      </c>
      <c r="F603" s="25">
        <v>10</v>
      </c>
      <c r="G603" s="29">
        <v>20.2</v>
      </c>
      <c r="H603" s="540" t="s">
        <v>2231</v>
      </c>
    </row>
    <row r="604" spans="1:14" ht="15.75">
      <c r="A604" s="42">
        <v>11700</v>
      </c>
      <c r="B604" s="58">
        <v>24</v>
      </c>
      <c r="C604" s="42" t="s">
        <v>1977</v>
      </c>
      <c r="D604" s="25">
        <v>10</v>
      </c>
      <c r="E604" s="26">
        <v>1</v>
      </c>
      <c r="F604" s="25">
        <v>10</v>
      </c>
      <c r="G604" s="29">
        <v>20.2</v>
      </c>
      <c r="H604" s="532" t="s">
        <v>2232</v>
      </c>
    </row>
    <row r="608" spans="1:14" ht="15">
      <c r="A608" s="76" t="s">
        <v>1995</v>
      </c>
      <c r="B608" s="77" t="s">
        <v>158</v>
      </c>
      <c r="C608" s="78" t="s">
        <v>94</v>
      </c>
      <c r="D608" s="78" t="s">
        <v>2000</v>
      </c>
      <c r="E608" s="507" t="s">
        <v>2001</v>
      </c>
      <c r="F608" s="78" t="s">
        <v>110</v>
      </c>
      <c r="G608" s="78" t="s">
        <v>2226</v>
      </c>
      <c r="H608" s="78" t="s">
        <v>104</v>
      </c>
    </row>
    <row r="609" spans="1:8" ht="15.75">
      <c r="A609" s="42">
        <v>12701</v>
      </c>
      <c r="B609" s="58">
        <v>4</v>
      </c>
      <c r="C609" s="42" t="s">
        <v>1987</v>
      </c>
      <c r="D609" s="25">
        <v>40</v>
      </c>
      <c r="E609" s="26">
        <v>1</v>
      </c>
      <c r="F609" s="25">
        <v>40</v>
      </c>
      <c r="G609" s="29">
        <v>15.16</v>
      </c>
      <c r="H609" s="532" t="s">
        <v>2232</v>
      </c>
    </row>
    <row r="610" spans="1:8" ht="15.75">
      <c r="A610" s="42">
        <v>12701</v>
      </c>
      <c r="B610" s="58">
        <v>9</v>
      </c>
      <c r="C610" s="42" t="s">
        <v>193</v>
      </c>
      <c r="D610" s="25">
        <v>10</v>
      </c>
      <c r="E610" s="26">
        <v>1</v>
      </c>
      <c r="F610" s="25">
        <v>10</v>
      </c>
      <c r="G610" s="29">
        <v>4.4000000000000004</v>
      </c>
      <c r="H610" s="532" t="s">
        <v>2232</v>
      </c>
    </row>
    <row r="611" spans="1:8" ht="15.75">
      <c r="A611" s="42">
        <v>12701</v>
      </c>
      <c r="B611" s="58">
        <v>9</v>
      </c>
      <c r="C611" s="42" t="s">
        <v>1892</v>
      </c>
      <c r="D611" s="25">
        <v>10</v>
      </c>
      <c r="E611" s="26">
        <v>1</v>
      </c>
      <c r="F611" s="25">
        <v>10</v>
      </c>
      <c r="G611" s="29">
        <v>4.4000000000000004</v>
      </c>
      <c r="H611" s="532" t="s">
        <v>2232</v>
      </c>
    </row>
    <row r="612" spans="1:8" ht="15.75">
      <c r="A612" s="42">
        <v>12701</v>
      </c>
      <c r="B612" s="58">
        <v>9</v>
      </c>
      <c r="C612" s="42" t="s">
        <v>1852</v>
      </c>
      <c r="D612" s="25">
        <v>10</v>
      </c>
      <c r="E612" s="26">
        <v>1</v>
      </c>
      <c r="F612" s="25">
        <v>10</v>
      </c>
      <c r="G612" s="29">
        <v>4.4000000000000004</v>
      </c>
      <c r="H612" s="540" t="s">
        <v>2233</v>
      </c>
    </row>
    <row r="613" spans="1:8" ht="15.75">
      <c r="A613" s="42">
        <v>12701</v>
      </c>
      <c r="B613" s="58">
        <v>9</v>
      </c>
      <c r="C613" s="42" t="s">
        <v>1882</v>
      </c>
      <c r="D613" s="25">
        <v>10</v>
      </c>
      <c r="E613" s="26">
        <v>1</v>
      </c>
      <c r="F613" s="25">
        <v>10</v>
      </c>
      <c r="G613" s="29">
        <v>4.4000000000000004</v>
      </c>
      <c r="H613" s="532" t="s">
        <v>2232</v>
      </c>
    </row>
    <row r="614" spans="1:8" ht="15.75">
      <c r="A614" s="42">
        <v>12701</v>
      </c>
      <c r="B614" s="58">
        <v>12</v>
      </c>
      <c r="C614" s="42" t="s">
        <v>193</v>
      </c>
      <c r="D614" s="25">
        <v>10</v>
      </c>
      <c r="E614" s="26">
        <v>1</v>
      </c>
      <c r="F614" s="25">
        <v>10</v>
      </c>
      <c r="G614" s="29">
        <v>4.93</v>
      </c>
      <c r="H614" s="532" t="s">
        <v>2232</v>
      </c>
    </row>
    <row r="615" spans="1:8" ht="15.75">
      <c r="A615" s="42">
        <v>12701</v>
      </c>
      <c r="B615" s="58">
        <v>18</v>
      </c>
      <c r="C615" s="42" t="s">
        <v>193</v>
      </c>
      <c r="D615" s="25">
        <v>10</v>
      </c>
      <c r="E615" s="26">
        <v>1</v>
      </c>
      <c r="F615" s="25">
        <v>10</v>
      </c>
      <c r="G615" s="29">
        <v>6.4</v>
      </c>
      <c r="H615" s="532" t="s">
        <v>2232</v>
      </c>
    </row>
    <row r="616" spans="1:8" ht="15.75">
      <c r="A616" s="42">
        <v>12701</v>
      </c>
      <c r="B616" s="58">
        <v>24</v>
      </c>
      <c r="C616" s="42" t="s">
        <v>193</v>
      </c>
      <c r="D616" s="25">
        <v>10</v>
      </c>
      <c r="E616" s="26">
        <v>1</v>
      </c>
      <c r="F616" s="25">
        <v>10</v>
      </c>
      <c r="G616" s="29">
        <v>7.82</v>
      </c>
      <c r="H616" s="532" t="s">
        <v>2232</v>
      </c>
    </row>
    <row r="617" spans="1:8" ht="15.75">
      <c r="A617" s="42">
        <v>12701</v>
      </c>
      <c r="B617" s="58">
        <v>24</v>
      </c>
      <c r="C617" s="42" t="s">
        <v>2234</v>
      </c>
      <c r="D617" s="25">
        <v>10</v>
      </c>
      <c r="E617" s="26">
        <v>1</v>
      </c>
      <c r="F617" s="25">
        <v>10</v>
      </c>
      <c r="G617" s="29">
        <v>7.82</v>
      </c>
      <c r="H617" s="532" t="s">
        <v>2232</v>
      </c>
    </row>
    <row r="618" spans="1:8" ht="15.75">
      <c r="A618" s="42">
        <v>12701</v>
      </c>
      <c r="B618" s="58">
        <v>24</v>
      </c>
      <c r="C618" s="42" t="s">
        <v>284</v>
      </c>
      <c r="D618" s="25">
        <v>10</v>
      </c>
      <c r="E618" s="26">
        <v>1</v>
      </c>
      <c r="F618" s="25">
        <v>10</v>
      </c>
      <c r="G618" s="29">
        <v>7.82</v>
      </c>
      <c r="H618" s="532" t="s">
        <v>2232</v>
      </c>
    </row>
    <row r="619" spans="1:8" ht="15.75">
      <c r="A619" s="42">
        <v>12701</v>
      </c>
      <c r="B619" s="58">
        <v>24</v>
      </c>
      <c r="C619" s="42" t="s">
        <v>1882</v>
      </c>
      <c r="D619" s="25">
        <v>10</v>
      </c>
      <c r="E619" s="26">
        <v>1</v>
      </c>
      <c r="F619" s="25">
        <v>10</v>
      </c>
      <c r="G619" s="29">
        <v>7.82</v>
      </c>
      <c r="H619" s="532" t="s">
        <v>2232</v>
      </c>
    </row>
    <row r="621" spans="1:8" s="5" customFormat="1" ht="18" customHeight="1">
      <c r="A621" s="76" t="s">
        <v>1995</v>
      </c>
      <c r="B621" s="77" t="s">
        <v>158</v>
      </c>
      <c r="C621" s="78" t="s">
        <v>94</v>
      </c>
      <c r="D621" s="78" t="s">
        <v>34</v>
      </c>
      <c r="E621" s="78" t="s">
        <v>2227</v>
      </c>
    </row>
    <row r="622" spans="1:8" s="5" customFormat="1" ht="18" customHeight="1">
      <c r="A622" s="17">
        <v>3827</v>
      </c>
      <c r="B622" s="19">
        <v>50</v>
      </c>
      <c r="C622" s="17" t="s">
        <v>2235</v>
      </c>
      <c r="D622" s="54">
        <v>5</v>
      </c>
      <c r="E622" s="18">
        <v>1.92</v>
      </c>
    </row>
    <row r="623" spans="1:8" s="5" customFormat="1" ht="18" customHeight="1">
      <c r="A623" s="43"/>
      <c r="B623" s="31"/>
      <c r="C623" s="31" t="s">
        <v>11</v>
      </c>
      <c r="D623" s="6" t="s">
        <v>60</v>
      </c>
      <c r="E623" s="33">
        <v>12</v>
      </c>
    </row>
    <row r="625" spans="1:8" ht="15">
      <c r="A625" s="76" t="s">
        <v>1995</v>
      </c>
      <c r="B625" s="77" t="s">
        <v>158</v>
      </c>
      <c r="C625" s="78" t="s">
        <v>94</v>
      </c>
      <c r="D625" s="78" t="s">
        <v>2000</v>
      </c>
      <c r="E625" s="507" t="s">
        <v>2001</v>
      </c>
      <c r="F625" s="78" t="s">
        <v>110</v>
      </c>
      <c r="G625" s="78" t="s">
        <v>2226</v>
      </c>
      <c r="H625" s="78" t="s">
        <v>104</v>
      </c>
    </row>
    <row r="626" spans="1:8" ht="15.75">
      <c r="A626" s="42">
        <v>11700</v>
      </c>
      <c r="B626" s="58">
        <v>24</v>
      </c>
      <c r="C626" s="42" t="s">
        <v>74</v>
      </c>
      <c r="D626" s="25">
        <v>10</v>
      </c>
      <c r="E626" s="26">
        <v>1</v>
      </c>
      <c r="F626" s="25">
        <v>10</v>
      </c>
      <c r="G626" s="29">
        <v>20.2</v>
      </c>
      <c r="H626" s="532" t="s">
        <v>2236</v>
      </c>
    </row>
    <row r="627" spans="1:8" ht="15.75">
      <c r="A627" s="42">
        <v>11700</v>
      </c>
      <c r="B627" s="58">
        <v>24</v>
      </c>
      <c r="C627" s="42" t="s">
        <v>163</v>
      </c>
      <c r="D627" s="25">
        <v>10</v>
      </c>
      <c r="E627" s="26">
        <v>1</v>
      </c>
      <c r="F627" s="25">
        <v>10</v>
      </c>
      <c r="G627" s="29">
        <v>20.2</v>
      </c>
      <c r="H627" s="540" t="s">
        <v>2237</v>
      </c>
    </row>
    <row r="628" spans="1:8" ht="15.75">
      <c r="A628" s="42">
        <v>11700</v>
      </c>
      <c r="B628" s="58">
        <v>24</v>
      </c>
      <c r="C628" s="42" t="s">
        <v>117</v>
      </c>
      <c r="D628" s="25">
        <v>10</v>
      </c>
      <c r="E628" s="26">
        <v>1</v>
      </c>
      <c r="F628" s="25">
        <v>10</v>
      </c>
      <c r="G628" s="29">
        <v>20.2</v>
      </c>
      <c r="H628" s="532" t="s">
        <v>2236</v>
      </c>
    </row>
    <row r="629" spans="1:8" ht="15.75">
      <c r="A629" s="42">
        <v>11700</v>
      </c>
      <c r="B629" s="58">
        <v>24</v>
      </c>
      <c r="C629" s="42" t="s">
        <v>144</v>
      </c>
      <c r="D629" s="25">
        <v>10</v>
      </c>
      <c r="E629" s="26">
        <v>1</v>
      </c>
      <c r="F629" s="25">
        <v>10</v>
      </c>
      <c r="G629" s="29">
        <v>20.2</v>
      </c>
      <c r="H629" s="532" t="s">
        <v>2236</v>
      </c>
    </row>
    <row r="630" spans="1:8" ht="15.75">
      <c r="A630" s="42">
        <v>12701</v>
      </c>
      <c r="B630" s="58">
        <v>18</v>
      </c>
      <c r="C630" s="42" t="s">
        <v>2238</v>
      </c>
      <c r="D630" s="25">
        <v>10</v>
      </c>
      <c r="E630" s="26">
        <v>1</v>
      </c>
      <c r="F630" s="25">
        <v>10</v>
      </c>
      <c r="G630" s="29">
        <v>6.4</v>
      </c>
      <c r="H630" s="532" t="s">
        <v>2236</v>
      </c>
    </row>
    <row r="632" spans="1:8" ht="15">
      <c r="A632" s="76" t="s">
        <v>1995</v>
      </c>
      <c r="B632" s="77" t="s">
        <v>158</v>
      </c>
      <c r="C632" s="78" t="s">
        <v>94</v>
      </c>
      <c r="D632" s="78" t="s">
        <v>2000</v>
      </c>
      <c r="E632" s="507" t="s">
        <v>2001</v>
      </c>
      <c r="F632" s="78" t="s">
        <v>110</v>
      </c>
      <c r="G632" s="78" t="s">
        <v>2226</v>
      </c>
      <c r="H632" s="78" t="s">
        <v>104</v>
      </c>
    </row>
    <row r="633" spans="1:8" ht="15.75">
      <c r="A633" s="42">
        <v>11700</v>
      </c>
      <c r="B633" s="58">
        <v>24</v>
      </c>
      <c r="C633" s="42" t="s">
        <v>26</v>
      </c>
      <c r="D633" s="25">
        <v>10</v>
      </c>
      <c r="E633" s="26">
        <v>1</v>
      </c>
      <c r="F633" s="25">
        <v>10</v>
      </c>
      <c r="G633" s="29">
        <v>20.2</v>
      </c>
      <c r="H633" s="540" t="s">
        <v>2231</v>
      </c>
    </row>
    <row r="634" spans="1:8" ht="15.75">
      <c r="A634" s="42">
        <v>12701</v>
      </c>
      <c r="B634" s="58">
        <v>9</v>
      </c>
      <c r="C634" s="42" t="s">
        <v>1852</v>
      </c>
      <c r="D634" s="25">
        <v>10</v>
      </c>
      <c r="E634" s="26">
        <v>1</v>
      </c>
      <c r="F634" s="25">
        <v>10</v>
      </c>
      <c r="G634" s="29">
        <v>4.4000000000000004</v>
      </c>
      <c r="H634" s="540" t="s">
        <v>2233</v>
      </c>
    </row>
    <row r="638" spans="1:8" ht="15">
      <c r="A638" s="76" t="s">
        <v>1995</v>
      </c>
      <c r="B638" s="77" t="s">
        <v>158</v>
      </c>
      <c r="C638" s="78" t="s">
        <v>94</v>
      </c>
      <c r="D638" s="78" t="s">
        <v>110</v>
      </c>
    </row>
    <row r="639" spans="1:8" ht="15">
      <c r="A639" s="17">
        <v>5311</v>
      </c>
      <c r="B639" s="19" t="s">
        <v>151</v>
      </c>
      <c r="C639" s="17" t="s">
        <v>2239</v>
      </c>
      <c r="D639" s="54">
        <v>12</v>
      </c>
    </row>
    <row r="641" spans="1:7" ht="15.75">
      <c r="A641" s="76" t="s">
        <v>1995</v>
      </c>
      <c r="B641" s="77" t="s">
        <v>158</v>
      </c>
      <c r="C641" s="78" t="s">
        <v>94</v>
      </c>
      <c r="D641" s="78" t="s">
        <v>2000</v>
      </c>
      <c r="E641" s="507" t="s">
        <v>2001</v>
      </c>
      <c r="F641" s="78" t="s">
        <v>110</v>
      </c>
      <c r="G641" s="150" t="s">
        <v>2240</v>
      </c>
    </row>
    <row r="642" spans="1:7" ht="15">
      <c r="A642" s="17">
        <v>2250</v>
      </c>
      <c r="B642" s="31">
        <v>12</v>
      </c>
      <c r="C642" s="31" t="s">
        <v>2241</v>
      </c>
      <c r="D642" s="100">
        <v>30</v>
      </c>
      <c r="E642" s="101">
        <v>244</v>
      </c>
      <c r="F642" s="100">
        <v>7320</v>
      </c>
      <c r="G642" s="119" t="s">
        <v>2242</v>
      </c>
    </row>
    <row r="643" spans="1:7" ht="15">
      <c r="A643" s="17">
        <v>2250</v>
      </c>
      <c r="B643" s="31">
        <v>12</v>
      </c>
      <c r="C643" s="31" t="s">
        <v>2243</v>
      </c>
      <c r="D643" s="100">
        <v>30</v>
      </c>
      <c r="E643" s="101">
        <v>70</v>
      </c>
      <c r="F643" s="100">
        <v>2100</v>
      </c>
      <c r="G643" s="119" t="s">
        <v>2242</v>
      </c>
    </row>
    <row r="644" spans="1:7" ht="15">
      <c r="A644" s="17">
        <v>2250</v>
      </c>
      <c r="B644" s="31">
        <v>9</v>
      </c>
      <c r="C644" s="31" t="s">
        <v>2241</v>
      </c>
      <c r="D644" s="100">
        <v>30</v>
      </c>
      <c r="E644" s="101">
        <v>76</v>
      </c>
      <c r="F644" s="100">
        <v>2280</v>
      </c>
      <c r="G644" s="119" t="s">
        <v>2244</v>
      </c>
    </row>
    <row r="645" spans="1:7" ht="15">
      <c r="A645" s="17">
        <v>2250</v>
      </c>
      <c r="B645" s="31">
        <v>9</v>
      </c>
      <c r="C645" s="31" t="s">
        <v>2243</v>
      </c>
      <c r="D645" s="100">
        <v>30</v>
      </c>
      <c r="E645" s="101">
        <v>36</v>
      </c>
      <c r="F645" s="100">
        <v>1080</v>
      </c>
      <c r="G645" s="119" t="s">
        <v>2244</v>
      </c>
    </row>
    <row r="647" spans="1:7" ht="15.75">
      <c r="A647" s="76" t="s">
        <v>1995</v>
      </c>
      <c r="B647" s="78" t="s">
        <v>94</v>
      </c>
      <c r="C647" s="78" t="s">
        <v>2000</v>
      </c>
      <c r="D647" s="507" t="s">
        <v>2001</v>
      </c>
      <c r="E647" s="78" t="s">
        <v>110</v>
      </c>
      <c r="F647" s="150" t="s">
        <v>180</v>
      </c>
    </row>
    <row r="648" spans="1:7" ht="15">
      <c r="A648" s="17" t="s">
        <v>1924</v>
      </c>
      <c r="B648" s="31" t="s">
        <v>1925</v>
      </c>
      <c r="C648" s="100">
        <v>13.7</v>
      </c>
      <c r="D648" s="101">
        <v>2</v>
      </c>
      <c r="E648" s="100">
        <v>27.4</v>
      </c>
      <c r="F648" s="119" t="s">
        <v>2245</v>
      </c>
    </row>
    <row r="653" spans="1:7" ht="15">
      <c r="A653" s="76" t="s">
        <v>1995</v>
      </c>
      <c r="B653" s="77" t="s">
        <v>158</v>
      </c>
      <c r="C653" s="78" t="s">
        <v>94</v>
      </c>
      <c r="D653" s="78" t="s">
        <v>2000</v>
      </c>
      <c r="E653" s="507" t="s">
        <v>2001</v>
      </c>
      <c r="F653" s="78" t="s">
        <v>110</v>
      </c>
      <c r="G653" s="78" t="s">
        <v>2226</v>
      </c>
    </row>
    <row r="654" spans="1:7" ht="14.25">
      <c r="A654" s="42">
        <v>12701</v>
      </c>
      <c r="B654" s="58">
        <v>6</v>
      </c>
      <c r="C654" s="42" t="s">
        <v>2246</v>
      </c>
      <c r="D654" s="25">
        <v>10</v>
      </c>
      <c r="E654" s="26">
        <v>60</v>
      </c>
      <c r="F654" s="25">
        <v>600</v>
      </c>
      <c r="G654" s="29">
        <v>0.63</v>
      </c>
    </row>
    <row r="655" spans="1:7" ht="14.25">
      <c r="A655" s="42">
        <v>12701</v>
      </c>
      <c r="B655" s="58">
        <v>6</v>
      </c>
      <c r="C655" s="42" t="s">
        <v>2247</v>
      </c>
      <c r="D655" s="25">
        <v>10</v>
      </c>
      <c r="E655" s="26">
        <v>141</v>
      </c>
      <c r="F655" s="25">
        <v>1410</v>
      </c>
      <c r="G655" s="29">
        <v>0.63</v>
      </c>
    </row>
    <row r="656" spans="1:7" ht="15">
      <c r="A656" s="42"/>
      <c r="B656" s="58"/>
      <c r="C656" s="42" t="s">
        <v>2248</v>
      </c>
      <c r="D656" s="113" t="s">
        <v>60</v>
      </c>
      <c r="E656" s="101"/>
      <c r="F656" s="100"/>
      <c r="G656" s="29">
        <v>210</v>
      </c>
    </row>
    <row r="657" spans="1:9" ht="14.25">
      <c r="A657" s="42">
        <v>12701</v>
      </c>
      <c r="B657" s="58">
        <v>6</v>
      </c>
      <c r="C657" s="42" t="s">
        <v>2249</v>
      </c>
      <c r="D657" s="25">
        <v>10</v>
      </c>
      <c r="E657" s="26">
        <v>77</v>
      </c>
      <c r="F657" s="25">
        <v>770</v>
      </c>
      <c r="G657" s="29">
        <v>0.63</v>
      </c>
    </row>
    <row r="658" spans="1:9" ht="14.25">
      <c r="A658" s="42">
        <v>12701</v>
      </c>
      <c r="B658" s="58">
        <v>6</v>
      </c>
      <c r="C658" s="42" t="s">
        <v>2250</v>
      </c>
      <c r="D658" s="25">
        <v>10</v>
      </c>
      <c r="E658" s="26">
        <v>85</v>
      </c>
      <c r="F658" s="25">
        <v>850</v>
      </c>
      <c r="G658" s="29">
        <v>0.63</v>
      </c>
    </row>
    <row r="659" spans="1:9" ht="14.25">
      <c r="A659" s="42">
        <v>5004</v>
      </c>
      <c r="B659" s="58">
        <v>18</v>
      </c>
      <c r="C659" s="42" t="s">
        <v>2251</v>
      </c>
      <c r="D659" s="25">
        <v>50</v>
      </c>
      <c r="E659" s="26">
        <v>12</v>
      </c>
      <c r="F659" s="25">
        <v>600</v>
      </c>
      <c r="G659" s="29">
        <v>0.79</v>
      </c>
    </row>
    <row r="660" spans="1:9" ht="14.25">
      <c r="A660" s="42">
        <v>5004</v>
      </c>
      <c r="B660" s="58">
        <v>18</v>
      </c>
      <c r="C660" s="42" t="s">
        <v>1968</v>
      </c>
      <c r="D660" s="25">
        <v>50</v>
      </c>
      <c r="E660" s="26">
        <v>28</v>
      </c>
      <c r="F660" s="25">
        <v>1400</v>
      </c>
      <c r="G660" s="29">
        <v>0.79</v>
      </c>
    </row>
    <row r="661" spans="1:9" ht="14.25">
      <c r="A661" s="42">
        <v>5004</v>
      </c>
      <c r="B661" s="58">
        <v>18</v>
      </c>
      <c r="C661" s="42" t="s">
        <v>2252</v>
      </c>
      <c r="D661" s="25">
        <v>50</v>
      </c>
      <c r="E661" s="26">
        <v>16</v>
      </c>
      <c r="F661" s="25">
        <v>800</v>
      </c>
      <c r="G661" s="29">
        <v>0.79</v>
      </c>
    </row>
    <row r="662" spans="1:9" ht="14.25">
      <c r="A662" s="42">
        <v>5004</v>
      </c>
      <c r="B662" s="58">
        <v>18</v>
      </c>
      <c r="C662" s="42" t="s">
        <v>2253</v>
      </c>
      <c r="D662" s="25">
        <v>50</v>
      </c>
      <c r="E662" s="26">
        <v>17</v>
      </c>
      <c r="F662" s="25">
        <v>850</v>
      </c>
      <c r="G662" s="29">
        <v>0.79</v>
      </c>
    </row>
    <row r="667" spans="1:9" ht="15">
      <c r="A667" s="76" t="s">
        <v>1995</v>
      </c>
      <c r="B667" s="77" t="s">
        <v>158</v>
      </c>
      <c r="C667" s="78" t="s">
        <v>94</v>
      </c>
      <c r="D667" s="78" t="s">
        <v>2000</v>
      </c>
      <c r="E667" s="507" t="s">
        <v>2001</v>
      </c>
      <c r="F667" s="78" t="s">
        <v>110</v>
      </c>
      <c r="G667" s="78" t="s">
        <v>2226</v>
      </c>
      <c r="H667" s="78"/>
      <c r="I667" s="78" t="s">
        <v>104</v>
      </c>
    </row>
    <row r="668" spans="1:9" ht="14.25">
      <c r="A668" s="42">
        <v>12701</v>
      </c>
      <c r="B668" s="58">
        <v>9</v>
      </c>
      <c r="C668" s="42" t="s">
        <v>2254</v>
      </c>
      <c r="D668" s="25">
        <v>10</v>
      </c>
      <c r="E668" s="26">
        <v>1</v>
      </c>
      <c r="F668" s="25">
        <v>10</v>
      </c>
      <c r="G668" s="29">
        <v>5.04</v>
      </c>
      <c r="H668" s="29">
        <f t="shared" ref="H668:H677" si="3">G668*E668</f>
        <v>5.04</v>
      </c>
      <c r="I668" s="28" t="s">
        <v>2255</v>
      </c>
    </row>
    <row r="669" spans="1:9" ht="14.25">
      <c r="A669" s="42">
        <v>12701</v>
      </c>
      <c r="B669" s="58">
        <v>9</v>
      </c>
      <c r="C669" s="42" t="s">
        <v>87</v>
      </c>
      <c r="D669" s="25">
        <v>10</v>
      </c>
      <c r="E669" s="26">
        <v>1</v>
      </c>
      <c r="F669" s="25">
        <v>10</v>
      </c>
      <c r="G669" s="29">
        <v>5.04</v>
      </c>
      <c r="H669" s="29">
        <f t="shared" si="3"/>
        <v>5.04</v>
      </c>
      <c r="I669" s="28" t="s">
        <v>2255</v>
      </c>
    </row>
    <row r="670" spans="1:9" ht="14.25">
      <c r="A670" s="42">
        <v>12701</v>
      </c>
      <c r="B670" s="58">
        <v>9</v>
      </c>
      <c r="C670" s="42" t="s">
        <v>2256</v>
      </c>
      <c r="D670" s="25">
        <v>10</v>
      </c>
      <c r="E670" s="26">
        <v>10</v>
      </c>
      <c r="F670" s="25">
        <v>100</v>
      </c>
      <c r="G670" s="29">
        <v>5.04</v>
      </c>
      <c r="H670" s="29">
        <f t="shared" si="3"/>
        <v>50.4</v>
      </c>
      <c r="I670" s="28" t="s">
        <v>2255</v>
      </c>
    </row>
    <row r="671" spans="1:9" ht="14.25">
      <c r="A671" s="42">
        <v>12701</v>
      </c>
      <c r="B671" s="58">
        <v>12</v>
      </c>
      <c r="C671" s="42" t="s">
        <v>1852</v>
      </c>
      <c r="D671" s="25">
        <v>10</v>
      </c>
      <c r="E671" s="26">
        <v>1</v>
      </c>
      <c r="F671" s="25">
        <v>10</v>
      </c>
      <c r="G671" s="29">
        <v>5.68</v>
      </c>
      <c r="H671" s="29">
        <f t="shared" si="3"/>
        <v>5.68</v>
      </c>
      <c r="I671" s="28" t="s">
        <v>2255</v>
      </c>
    </row>
    <row r="672" spans="1:9" ht="14.25">
      <c r="A672" s="42">
        <v>12701</v>
      </c>
      <c r="B672" s="58">
        <v>18</v>
      </c>
      <c r="C672" s="42" t="s">
        <v>1883</v>
      </c>
      <c r="D672" s="25">
        <v>10</v>
      </c>
      <c r="E672" s="26">
        <v>1</v>
      </c>
      <c r="F672" s="25">
        <v>10</v>
      </c>
      <c r="G672" s="29">
        <v>7.34</v>
      </c>
      <c r="H672" s="29">
        <f t="shared" si="3"/>
        <v>7.34</v>
      </c>
      <c r="I672" s="28" t="s">
        <v>2255</v>
      </c>
    </row>
    <row r="673" spans="1:9" ht="14.25">
      <c r="A673" s="42">
        <v>12701</v>
      </c>
      <c r="B673" s="58">
        <v>18</v>
      </c>
      <c r="C673" s="42" t="s">
        <v>1893</v>
      </c>
      <c r="D673" s="25">
        <v>10</v>
      </c>
      <c r="E673" s="26">
        <v>1</v>
      </c>
      <c r="F673" s="25">
        <v>10</v>
      </c>
      <c r="G673" s="29">
        <v>7.34</v>
      </c>
      <c r="H673" s="29">
        <f t="shared" si="3"/>
        <v>7.34</v>
      </c>
      <c r="I673" s="28" t="s">
        <v>2255</v>
      </c>
    </row>
    <row r="674" spans="1:9" ht="14.25">
      <c r="A674" s="42">
        <v>12701</v>
      </c>
      <c r="B674" s="58">
        <v>24</v>
      </c>
      <c r="C674" s="42" t="s">
        <v>2238</v>
      </c>
      <c r="D674" s="25">
        <v>10</v>
      </c>
      <c r="E674" s="26">
        <v>1</v>
      </c>
      <c r="F674" s="25">
        <v>10</v>
      </c>
      <c r="G674" s="29">
        <v>8.99</v>
      </c>
      <c r="H674" s="29">
        <f t="shared" si="3"/>
        <v>8.99</v>
      </c>
      <c r="I674" s="28" t="s">
        <v>2255</v>
      </c>
    </row>
    <row r="675" spans="1:9" ht="14.25">
      <c r="A675" s="42">
        <v>12701</v>
      </c>
      <c r="B675" s="58">
        <v>50</v>
      </c>
      <c r="C675" s="42" t="s">
        <v>1987</v>
      </c>
      <c r="D675" s="25">
        <v>10</v>
      </c>
      <c r="E675" s="26">
        <v>1</v>
      </c>
      <c r="F675" s="25">
        <v>10</v>
      </c>
      <c r="G675" s="29">
        <v>20.399999999999999</v>
      </c>
      <c r="H675" s="29">
        <f t="shared" si="3"/>
        <v>20.399999999999999</v>
      </c>
      <c r="I675" s="28" t="s">
        <v>2255</v>
      </c>
    </row>
    <row r="676" spans="1:9" ht="14.25">
      <c r="A676" s="42">
        <v>11700</v>
      </c>
      <c r="B676" s="58">
        <v>24</v>
      </c>
      <c r="C676" s="42" t="s">
        <v>2257</v>
      </c>
      <c r="D676" s="25">
        <v>10</v>
      </c>
      <c r="E676" s="26">
        <v>1</v>
      </c>
      <c r="F676" s="25">
        <v>10</v>
      </c>
      <c r="G676" s="29">
        <v>21.12</v>
      </c>
      <c r="H676" s="29">
        <f t="shared" si="3"/>
        <v>21.12</v>
      </c>
      <c r="I676" s="28" t="s">
        <v>2255</v>
      </c>
    </row>
    <row r="677" spans="1:9" ht="14.25">
      <c r="A677" s="42">
        <v>11700</v>
      </c>
      <c r="B677" s="58">
        <v>24</v>
      </c>
      <c r="C677" s="42" t="s">
        <v>117</v>
      </c>
      <c r="D677" s="25">
        <v>10</v>
      </c>
      <c r="E677" s="26">
        <v>1</v>
      </c>
      <c r="F677" s="25">
        <v>10</v>
      </c>
      <c r="G677" s="29">
        <v>21.12</v>
      </c>
      <c r="H677" s="29">
        <f t="shared" si="3"/>
        <v>21.12</v>
      </c>
      <c r="I677" s="28" t="s">
        <v>2255</v>
      </c>
    </row>
    <row r="678" spans="1:9" ht="14.25">
      <c r="A678" s="42">
        <v>11700</v>
      </c>
      <c r="B678" s="58">
        <v>36</v>
      </c>
      <c r="C678" s="42" t="s">
        <v>149</v>
      </c>
      <c r="D678" s="25">
        <v>10</v>
      </c>
      <c r="E678" s="26">
        <v>1</v>
      </c>
      <c r="F678" s="25">
        <v>10</v>
      </c>
      <c r="G678" s="29">
        <v>35.14</v>
      </c>
      <c r="H678" s="29"/>
      <c r="I678" s="214" t="s">
        <v>2258</v>
      </c>
    </row>
    <row r="679" spans="1:9" ht="14.25">
      <c r="A679" s="42">
        <v>11700</v>
      </c>
      <c r="B679" s="58">
        <v>36</v>
      </c>
      <c r="C679" s="42" t="s">
        <v>117</v>
      </c>
      <c r="D679" s="25">
        <v>10</v>
      </c>
      <c r="E679" s="26">
        <v>1</v>
      </c>
      <c r="F679" s="25">
        <v>10</v>
      </c>
      <c r="G679" s="29">
        <v>35.14</v>
      </c>
      <c r="H679" s="29">
        <f>G679*E679</f>
        <v>35.14</v>
      </c>
      <c r="I679" s="28" t="s">
        <v>2255</v>
      </c>
    </row>
    <row r="680" spans="1:9" ht="14.25">
      <c r="A680" s="42">
        <v>12701</v>
      </c>
      <c r="B680" s="58">
        <v>9</v>
      </c>
      <c r="C680" s="42" t="s">
        <v>1852</v>
      </c>
      <c r="D680" s="25">
        <v>10</v>
      </c>
      <c r="E680" s="26">
        <v>1</v>
      </c>
      <c r="F680" s="25">
        <v>10</v>
      </c>
      <c r="G680" s="29">
        <v>4.4000000000000004</v>
      </c>
      <c r="H680" s="29">
        <f>G680*E680</f>
        <v>4.4000000000000004</v>
      </c>
      <c r="I680" s="28" t="s">
        <v>2255</v>
      </c>
    </row>
    <row r="681" spans="1:9" ht="14.25">
      <c r="A681" s="42">
        <v>11700</v>
      </c>
      <c r="B681" s="58">
        <v>24</v>
      </c>
      <c r="C681" s="42" t="s">
        <v>163</v>
      </c>
      <c r="D681" s="25">
        <v>10</v>
      </c>
      <c r="E681" s="26">
        <v>1</v>
      </c>
      <c r="F681" s="25">
        <v>10</v>
      </c>
      <c r="G681" s="29">
        <v>20.2</v>
      </c>
      <c r="H681" s="29"/>
      <c r="I681" s="214" t="s">
        <v>2259</v>
      </c>
    </row>
    <row r="684" spans="1:9">
      <c r="A684" s="123" t="s">
        <v>1930</v>
      </c>
      <c r="B684" s="123" t="s">
        <v>2260</v>
      </c>
      <c r="C684" s="541">
        <v>50</v>
      </c>
    </row>
    <row r="685" spans="1:9">
      <c r="A685" s="123" t="s">
        <v>1930</v>
      </c>
      <c r="B685" s="123" t="s">
        <v>2261</v>
      </c>
      <c r="C685" s="541">
        <v>300</v>
      </c>
    </row>
    <row r="686" spans="1:9">
      <c r="A686" s="123" t="s">
        <v>1930</v>
      </c>
      <c r="B686" s="123" t="s">
        <v>2261</v>
      </c>
      <c r="C686" s="541">
        <v>72</v>
      </c>
    </row>
    <row r="688" spans="1:9" ht="15">
      <c r="A688" s="76" t="s">
        <v>1995</v>
      </c>
      <c r="B688" s="77" t="s">
        <v>158</v>
      </c>
      <c r="C688" s="78" t="s">
        <v>94</v>
      </c>
      <c r="D688" s="78" t="s">
        <v>2000</v>
      </c>
      <c r="E688" s="507" t="s">
        <v>2001</v>
      </c>
      <c r="F688" s="78" t="s">
        <v>110</v>
      </c>
      <c r="G688" s="78" t="s">
        <v>2226</v>
      </c>
      <c r="H688" s="78"/>
      <c r="I688" s="78" t="s">
        <v>104</v>
      </c>
    </row>
    <row r="689" spans="1:9" ht="14.25">
      <c r="A689" s="42">
        <v>11700</v>
      </c>
      <c r="B689" s="58">
        <v>36</v>
      </c>
      <c r="C689" s="42" t="s">
        <v>149</v>
      </c>
      <c r="D689" s="25">
        <v>10</v>
      </c>
      <c r="E689" s="26">
        <v>1</v>
      </c>
      <c r="F689" s="25">
        <v>10</v>
      </c>
      <c r="G689" s="29">
        <v>35.14</v>
      </c>
      <c r="H689" s="29"/>
      <c r="I689" s="214" t="s">
        <v>2258</v>
      </c>
    </row>
    <row r="690" spans="1:9" ht="14.25">
      <c r="A690" s="42">
        <v>11700</v>
      </c>
      <c r="B690" s="58">
        <v>24</v>
      </c>
      <c r="C690" s="42" t="s">
        <v>163</v>
      </c>
      <c r="D690" s="25">
        <v>10</v>
      </c>
      <c r="E690" s="26">
        <v>1</v>
      </c>
      <c r="F690" s="25">
        <v>10</v>
      </c>
      <c r="G690" s="29">
        <v>20.2</v>
      </c>
      <c r="H690" s="29"/>
      <c r="I690" s="214" t="s">
        <v>2259</v>
      </c>
    </row>
    <row r="693" spans="1:9" ht="15.75">
      <c r="A693" s="69" t="s">
        <v>76</v>
      </c>
      <c r="B693" s="39" t="s">
        <v>1912</v>
      </c>
      <c r="C693" s="77" t="s">
        <v>158</v>
      </c>
      <c r="D693" s="58" t="s">
        <v>2262</v>
      </c>
      <c r="E693" s="78" t="s">
        <v>2000</v>
      </c>
      <c r="F693" s="507" t="s">
        <v>2001</v>
      </c>
      <c r="G693" s="78" t="s">
        <v>110</v>
      </c>
      <c r="H693" s="78" t="s">
        <v>2227</v>
      </c>
    </row>
    <row r="694" spans="1:9" ht="15">
      <c r="A694" s="4" t="s">
        <v>2263</v>
      </c>
      <c r="B694" s="17" t="s">
        <v>2264</v>
      </c>
      <c r="C694" s="31" t="s">
        <v>287</v>
      </c>
      <c r="D694" s="129" t="s">
        <v>2265</v>
      </c>
      <c r="E694" s="100">
        <v>50</v>
      </c>
      <c r="F694" s="101">
        <v>10</v>
      </c>
      <c r="G694" s="6">
        <v>500</v>
      </c>
      <c r="H694" s="33">
        <v>0.44</v>
      </c>
    </row>
    <row r="695" spans="1:9" ht="15">
      <c r="A695" s="4" t="s">
        <v>2263</v>
      </c>
      <c r="B695" s="17" t="s">
        <v>2264</v>
      </c>
      <c r="C695" s="31">
        <v>36</v>
      </c>
      <c r="D695" s="129" t="s">
        <v>2266</v>
      </c>
      <c r="E695" s="100">
        <v>50</v>
      </c>
      <c r="F695" s="101">
        <v>10</v>
      </c>
      <c r="G695" s="6">
        <v>500</v>
      </c>
      <c r="H695" s="33">
        <v>0.9</v>
      </c>
    </row>
    <row r="696" spans="1:9" ht="15">
      <c r="A696" s="4" t="s">
        <v>2263</v>
      </c>
      <c r="B696" s="17" t="s">
        <v>2264</v>
      </c>
      <c r="C696" s="31">
        <v>48</v>
      </c>
      <c r="D696" s="129" t="s">
        <v>2267</v>
      </c>
      <c r="E696" s="100">
        <v>50</v>
      </c>
      <c r="F696" s="101">
        <v>10</v>
      </c>
      <c r="G696" s="6">
        <v>500</v>
      </c>
      <c r="H696" s="33">
        <v>1.19</v>
      </c>
    </row>
    <row r="701" spans="1:9" ht="15">
      <c r="A701" s="14" t="s">
        <v>59</v>
      </c>
      <c r="B701" s="17"/>
      <c r="C701" s="54"/>
      <c r="D701" s="10"/>
      <c r="E701" s="55"/>
      <c r="F701" s="11" t="s">
        <v>5</v>
      </c>
    </row>
    <row r="702" spans="1:9" ht="15">
      <c r="A702" s="75" t="s">
        <v>2187</v>
      </c>
      <c r="B702" s="17" t="s">
        <v>36</v>
      </c>
      <c r="C702" s="100">
        <v>8380</v>
      </c>
      <c r="D702" s="100">
        <v>8380</v>
      </c>
      <c r="E702" s="100">
        <v>8380</v>
      </c>
      <c r="F702" s="33">
        <v>2.37</v>
      </c>
    </row>
    <row r="703" spans="1:9" ht="15">
      <c r="A703" s="75" t="s">
        <v>2187</v>
      </c>
      <c r="B703" s="17" t="s">
        <v>36</v>
      </c>
      <c r="C703" s="100">
        <v>7</v>
      </c>
      <c r="D703" s="100">
        <v>7</v>
      </c>
      <c r="E703" s="100">
        <v>7</v>
      </c>
      <c r="F703" s="33">
        <v>2.37</v>
      </c>
    </row>
    <row r="706" spans="1:8" ht="15.75">
      <c r="A706" s="69" t="s">
        <v>76</v>
      </c>
      <c r="B706" s="76" t="s">
        <v>1995</v>
      </c>
      <c r="C706" s="77" t="s">
        <v>158</v>
      </c>
      <c r="D706" s="78" t="s">
        <v>94</v>
      </c>
      <c r="E706" s="78" t="s">
        <v>2000</v>
      </c>
      <c r="F706" s="507" t="s">
        <v>2001</v>
      </c>
      <c r="G706" s="78" t="s">
        <v>110</v>
      </c>
      <c r="H706" s="78" t="s">
        <v>2268</v>
      </c>
    </row>
    <row r="707" spans="1:8" ht="15">
      <c r="A707" s="23" t="s">
        <v>2269</v>
      </c>
      <c r="B707" s="17">
        <v>2250</v>
      </c>
      <c r="C707" s="31">
        <v>12</v>
      </c>
      <c r="D707" s="31" t="s">
        <v>2270</v>
      </c>
      <c r="E707" s="100">
        <v>30</v>
      </c>
      <c r="F707" s="101">
        <v>6</v>
      </c>
      <c r="G707" s="6">
        <v>180</v>
      </c>
      <c r="H707" s="33">
        <v>0.3</v>
      </c>
    </row>
    <row r="708" spans="1:8" ht="15">
      <c r="A708" s="23" t="s">
        <v>2269</v>
      </c>
      <c r="B708" s="17">
        <v>2250</v>
      </c>
      <c r="C708" s="31">
        <v>24</v>
      </c>
      <c r="D708" s="31" t="s">
        <v>2270</v>
      </c>
      <c r="E708" s="100">
        <v>30</v>
      </c>
      <c r="F708" s="101">
        <v>7</v>
      </c>
      <c r="G708" s="6">
        <v>210</v>
      </c>
      <c r="H708" s="537">
        <v>0.53</v>
      </c>
    </row>
    <row r="709" spans="1:8" ht="15">
      <c r="A709" s="23" t="s">
        <v>2269</v>
      </c>
      <c r="B709" s="17">
        <v>2250</v>
      </c>
      <c r="C709" s="31">
        <v>24</v>
      </c>
      <c r="D709" s="31" t="s">
        <v>2271</v>
      </c>
      <c r="E709" s="100">
        <v>30</v>
      </c>
      <c r="F709" s="101">
        <v>35</v>
      </c>
      <c r="G709" s="6">
        <v>1050</v>
      </c>
      <c r="H709" s="33">
        <v>0.53</v>
      </c>
    </row>
    <row r="710" spans="1:8" ht="15">
      <c r="A710" s="23" t="s">
        <v>2269</v>
      </c>
      <c r="B710" s="17">
        <v>2250</v>
      </c>
      <c r="C710" s="31">
        <v>15</v>
      </c>
      <c r="D710" s="31" t="s">
        <v>1891</v>
      </c>
      <c r="E710" s="100">
        <v>30</v>
      </c>
      <c r="F710" s="101">
        <v>9</v>
      </c>
      <c r="G710" s="100">
        <v>270</v>
      </c>
      <c r="H710" s="33">
        <v>0.35</v>
      </c>
    </row>
    <row r="711" spans="1:8" ht="15">
      <c r="A711" s="23" t="s">
        <v>2269</v>
      </c>
      <c r="B711" s="17">
        <v>2250</v>
      </c>
      <c r="C711" s="31">
        <v>12</v>
      </c>
      <c r="D711" s="31" t="s">
        <v>2271</v>
      </c>
      <c r="E711" s="100">
        <v>30</v>
      </c>
      <c r="F711" s="101">
        <v>2</v>
      </c>
      <c r="G711" s="6">
        <v>60</v>
      </c>
      <c r="H711" s="33">
        <v>0.3</v>
      </c>
    </row>
    <row r="714" spans="1:8" ht="15">
      <c r="A714" s="76" t="s">
        <v>1995</v>
      </c>
      <c r="B714" s="77" t="s">
        <v>158</v>
      </c>
      <c r="C714" s="493" t="s">
        <v>2272</v>
      </c>
    </row>
    <row r="715" spans="1:8" ht="15">
      <c r="A715" s="17" t="s">
        <v>2273</v>
      </c>
      <c r="B715" s="31">
        <v>9</v>
      </c>
      <c r="C715" s="129" t="s">
        <v>2274</v>
      </c>
    </row>
    <row r="716" spans="1:8" ht="15">
      <c r="A716" s="17" t="s">
        <v>2275</v>
      </c>
      <c r="B716" s="31">
        <v>15</v>
      </c>
      <c r="C716" s="129" t="s">
        <v>2276</v>
      </c>
    </row>
    <row r="717" spans="1:8" ht="15">
      <c r="A717" s="17" t="s">
        <v>2277</v>
      </c>
      <c r="B717" s="31">
        <v>36</v>
      </c>
      <c r="C717" s="129" t="s">
        <v>2278</v>
      </c>
    </row>
    <row r="718" spans="1:8" ht="15">
      <c r="A718" s="17" t="s">
        <v>2279</v>
      </c>
      <c r="B718" s="31">
        <v>51</v>
      </c>
      <c r="C718" s="129" t="s">
        <v>2280</v>
      </c>
    </row>
    <row r="719" spans="1:8" ht="15">
      <c r="A719" s="76" t="s">
        <v>1995</v>
      </c>
      <c r="B719" s="78" t="s">
        <v>94</v>
      </c>
      <c r="C719" s="78" t="s">
        <v>110</v>
      </c>
      <c r="D719" s="78" t="s">
        <v>104</v>
      </c>
    </row>
    <row r="720" spans="1:8" ht="15">
      <c r="A720" s="17" t="s">
        <v>7</v>
      </c>
      <c r="B720" s="17" t="s">
        <v>2281</v>
      </c>
      <c r="C720" s="6">
        <v>150</v>
      </c>
      <c r="D720" s="28" t="s">
        <v>2282</v>
      </c>
    </row>
    <row r="721" spans="1:5" ht="15">
      <c r="A721" s="17" t="s">
        <v>7</v>
      </c>
      <c r="B721" s="17" t="s">
        <v>2283</v>
      </c>
      <c r="C721" s="6">
        <v>650</v>
      </c>
      <c r="D721" s="28" t="s">
        <v>2284</v>
      </c>
    </row>
    <row r="722" spans="1:5" ht="15">
      <c r="A722" s="17" t="s">
        <v>7</v>
      </c>
      <c r="B722" s="17" t="s">
        <v>2285</v>
      </c>
      <c r="C722" s="6">
        <v>94</v>
      </c>
      <c r="D722" s="214" t="s">
        <v>105</v>
      </c>
    </row>
    <row r="723" spans="1:5" ht="15">
      <c r="A723" s="17" t="s">
        <v>7</v>
      </c>
      <c r="B723" s="17" t="s">
        <v>2286</v>
      </c>
      <c r="C723" s="6">
        <v>100</v>
      </c>
      <c r="D723" s="214" t="s">
        <v>105</v>
      </c>
    </row>
    <row r="724" spans="1:5" ht="15">
      <c r="A724" s="17" t="s">
        <v>7</v>
      </c>
      <c r="B724" s="17" t="s">
        <v>2287</v>
      </c>
      <c r="C724" s="6">
        <v>100</v>
      </c>
      <c r="D724" s="28" t="s">
        <v>2282</v>
      </c>
    </row>
    <row r="725" spans="1:5" ht="15">
      <c r="A725" s="17" t="s">
        <v>7</v>
      </c>
      <c r="B725" s="17" t="s">
        <v>2288</v>
      </c>
      <c r="C725" s="6">
        <v>150</v>
      </c>
      <c r="D725" s="28">
        <v>43563</v>
      </c>
    </row>
    <row r="726" spans="1:5" ht="15">
      <c r="A726" s="17" t="s">
        <v>7</v>
      </c>
      <c r="B726" s="17" t="s">
        <v>1911</v>
      </c>
      <c r="C726" s="6">
        <v>100</v>
      </c>
      <c r="D726" s="214" t="s">
        <v>105</v>
      </c>
    </row>
    <row r="729" spans="1:5" ht="15">
      <c r="A729" s="76" t="s">
        <v>1995</v>
      </c>
      <c r="B729" s="77" t="s">
        <v>158</v>
      </c>
      <c r="C729" s="493" t="s">
        <v>2289</v>
      </c>
      <c r="D729" s="77" t="s">
        <v>247</v>
      </c>
      <c r="E729" s="78" t="s">
        <v>2290</v>
      </c>
    </row>
    <row r="730" spans="1:5" ht="15">
      <c r="A730" s="17" t="s">
        <v>2291</v>
      </c>
      <c r="B730" s="31">
        <v>15</v>
      </c>
      <c r="C730" s="154" t="s">
        <v>2292</v>
      </c>
      <c r="D730" s="6">
        <v>100</v>
      </c>
      <c r="E730" s="1021">
        <v>1800</v>
      </c>
    </row>
    <row r="731" spans="1:5" ht="15">
      <c r="A731" s="17" t="s">
        <v>2293</v>
      </c>
      <c r="B731" s="31">
        <v>36</v>
      </c>
      <c r="C731" s="154" t="s">
        <v>2294</v>
      </c>
      <c r="D731" s="6">
        <v>100</v>
      </c>
      <c r="E731" s="1022"/>
    </row>
    <row r="732" spans="1:5" ht="15">
      <c r="A732" s="17" t="s">
        <v>2295</v>
      </c>
      <c r="B732" s="31">
        <v>48</v>
      </c>
      <c r="C732" s="154" t="s">
        <v>2296</v>
      </c>
      <c r="D732" s="6">
        <v>100</v>
      </c>
      <c r="E732" s="1022"/>
    </row>
    <row r="733" spans="1:5" ht="15">
      <c r="A733" s="17" t="s">
        <v>2297</v>
      </c>
      <c r="B733" s="31">
        <v>9</v>
      </c>
      <c r="C733" s="154" t="s">
        <v>2298</v>
      </c>
      <c r="D733" s="6">
        <v>100</v>
      </c>
      <c r="E733" s="1023"/>
    </row>
    <row r="734" spans="1:5" ht="15">
      <c r="A734" s="17"/>
      <c r="B734" s="108"/>
      <c r="C734" s="17" t="s">
        <v>2299</v>
      </c>
      <c r="D734" s="6" t="s">
        <v>60</v>
      </c>
      <c r="E734" s="33">
        <v>700</v>
      </c>
    </row>
    <row r="738" spans="1:8" ht="15">
      <c r="A738" s="76" t="s">
        <v>1995</v>
      </c>
      <c r="B738" s="78" t="s">
        <v>94</v>
      </c>
      <c r="C738" s="77" t="s">
        <v>247</v>
      </c>
      <c r="D738" s="78" t="s">
        <v>175</v>
      </c>
      <c r="E738" s="5"/>
    </row>
    <row r="739" spans="1:8" ht="15">
      <c r="A739" s="17">
        <v>53022</v>
      </c>
      <c r="B739" s="17" t="s">
        <v>95</v>
      </c>
      <c r="C739" s="542">
        <v>27.4</v>
      </c>
      <c r="D739" s="83" t="s">
        <v>2300</v>
      </c>
      <c r="E739" s="5">
        <v>319</v>
      </c>
    </row>
    <row r="740" spans="1:8" ht="15">
      <c r="A740" s="17">
        <v>55436</v>
      </c>
      <c r="B740" s="17" t="s">
        <v>95</v>
      </c>
      <c r="C740" s="542">
        <v>27.4</v>
      </c>
      <c r="D740" s="83" t="s">
        <v>2301</v>
      </c>
      <c r="E740" s="5">
        <v>1100</v>
      </c>
    </row>
    <row r="741" spans="1:8" ht="15">
      <c r="A741" s="17">
        <v>55426</v>
      </c>
      <c r="B741" s="17" t="s">
        <v>95</v>
      </c>
      <c r="C741" s="542">
        <v>27.4</v>
      </c>
      <c r="D741" s="83" t="s">
        <v>2302</v>
      </c>
      <c r="E741" s="5">
        <v>482</v>
      </c>
    </row>
    <row r="742" spans="1:8" ht="15">
      <c r="A742" s="17">
        <v>52333</v>
      </c>
      <c r="B742" s="17" t="s">
        <v>95</v>
      </c>
      <c r="C742" s="542">
        <v>27.4</v>
      </c>
      <c r="D742" s="83" t="s">
        <v>2303</v>
      </c>
      <c r="E742" s="5">
        <v>172</v>
      </c>
    </row>
    <row r="746" spans="1:8" ht="15.75">
      <c r="A746" s="69" t="s">
        <v>76</v>
      </c>
      <c r="B746" s="76" t="s">
        <v>1995</v>
      </c>
      <c r="C746" s="77" t="s">
        <v>158</v>
      </c>
      <c r="D746" s="78" t="s">
        <v>94</v>
      </c>
      <c r="E746" s="78" t="s">
        <v>2000</v>
      </c>
      <c r="F746" s="507" t="s">
        <v>2001</v>
      </c>
      <c r="G746" s="78" t="s">
        <v>110</v>
      </c>
      <c r="H746" s="78" t="s">
        <v>2268</v>
      </c>
    </row>
    <row r="747" spans="1:8" ht="15">
      <c r="A747" s="4" t="s">
        <v>2304</v>
      </c>
      <c r="B747" s="75" t="s">
        <v>1997</v>
      </c>
      <c r="C747" s="10">
        <v>8</v>
      </c>
      <c r="D747" s="17" t="s">
        <v>1897</v>
      </c>
      <c r="E747" s="100">
        <v>100</v>
      </c>
      <c r="F747" s="101">
        <v>2</v>
      </c>
      <c r="G747" s="6">
        <v>200</v>
      </c>
      <c r="H747" s="33">
        <v>0.78</v>
      </c>
    </row>
    <row r="748" spans="1:8" ht="15">
      <c r="A748" s="4" t="s">
        <v>2304</v>
      </c>
      <c r="B748" s="17"/>
      <c r="C748" s="10"/>
      <c r="D748" s="31" t="s">
        <v>183</v>
      </c>
      <c r="E748" s="113" t="s">
        <v>60</v>
      </c>
      <c r="F748" s="101"/>
      <c r="G748" s="100"/>
      <c r="H748" s="33">
        <v>225</v>
      </c>
    </row>
    <row r="749" spans="1:8" ht="15">
      <c r="A749" s="4" t="s">
        <v>2304</v>
      </c>
      <c r="B749" s="75" t="s">
        <v>2305</v>
      </c>
      <c r="C749" s="10">
        <v>10</v>
      </c>
      <c r="D749" s="17" t="s">
        <v>1897</v>
      </c>
      <c r="E749" s="100">
        <v>100</v>
      </c>
      <c r="F749" s="101">
        <v>3</v>
      </c>
      <c r="G749" s="6">
        <v>300</v>
      </c>
      <c r="H749" s="33">
        <v>0.85</v>
      </c>
    </row>
    <row r="750" spans="1:8" ht="15">
      <c r="A750" s="4" t="s">
        <v>2304</v>
      </c>
      <c r="B750" s="17"/>
      <c r="C750" s="10"/>
      <c r="D750" s="31" t="s">
        <v>183</v>
      </c>
      <c r="E750" s="113" t="s">
        <v>60</v>
      </c>
      <c r="F750" s="101"/>
      <c r="G750" s="100"/>
      <c r="H750" s="33">
        <v>437.5</v>
      </c>
    </row>
    <row r="753" spans="1:7" ht="15">
      <c r="A753" s="76" t="s">
        <v>1995</v>
      </c>
      <c r="B753" s="77" t="s">
        <v>158</v>
      </c>
      <c r="C753" s="78" t="s">
        <v>94</v>
      </c>
      <c r="D753" s="78" t="s">
        <v>2000</v>
      </c>
    </row>
    <row r="754" spans="1:7" ht="15">
      <c r="A754" s="17">
        <v>12701</v>
      </c>
      <c r="B754" s="31">
        <v>18</v>
      </c>
      <c r="C754" s="17" t="s">
        <v>1985</v>
      </c>
      <c r="D754" s="30">
        <v>1</v>
      </c>
      <c r="E754" s="6">
        <v>10</v>
      </c>
      <c r="F754" s="30">
        <v>1</v>
      </c>
      <c r="G754" s="33">
        <v>7.34</v>
      </c>
    </row>
    <row r="755" spans="1:7" ht="15">
      <c r="A755" s="17">
        <v>11700</v>
      </c>
      <c r="B755" s="31">
        <v>24</v>
      </c>
      <c r="C755" s="17" t="s">
        <v>273</v>
      </c>
      <c r="D755" s="30">
        <v>1</v>
      </c>
      <c r="E755" s="6">
        <v>10</v>
      </c>
      <c r="F755" s="30">
        <v>1</v>
      </c>
      <c r="G755" s="33">
        <v>21.12</v>
      </c>
    </row>
    <row r="758" spans="1:7" ht="15">
      <c r="A758" s="76" t="s">
        <v>1995</v>
      </c>
      <c r="B758" s="78" t="s">
        <v>94</v>
      </c>
      <c r="C758" s="77" t="s">
        <v>247</v>
      </c>
      <c r="D758" s="78" t="s">
        <v>175</v>
      </c>
    </row>
    <row r="759" spans="1:7" ht="15">
      <c r="A759" s="17" t="s">
        <v>2306</v>
      </c>
      <c r="B759" s="17" t="s">
        <v>55</v>
      </c>
      <c r="C759" s="147">
        <v>28</v>
      </c>
      <c r="D759" s="543" t="s">
        <v>2307</v>
      </c>
    </row>
    <row r="760" spans="1:7" ht="15">
      <c r="A760" s="17"/>
      <c r="B760" s="17" t="s">
        <v>11</v>
      </c>
      <c r="C760" s="6"/>
      <c r="D760" s="33">
        <v>12</v>
      </c>
    </row>
    <row r="763" spans="1:7" ht="15.75">
      <c r="A763" s="150" t="s">
        <v>2308</v>
      </c>
      <c r="B763" s="544" t="s">
        <v>106</v>
      </c>
      <c r="C763" s="58" t="s">
        <v>2309</v>
      </c>
      <c r="D763" s="78" t="s">
        <v>175</v>
      </c>
    </row>
    <row r="764" spans="1:7" ht="15">
      <c r="A764" s="106" t="s">
        <v>2310</v>
      </c>
      <c r="B764" s="31">
        <v>9</v>
      </c>
      <c r="C764" s="154" t="s">
        <v>2311</v>
      </c>
      <c r="D764" s="543" t="s">
        <v>2312</v>
      </c>
    </row>
    <row r="765" spans="1:7" ht="15">
      <c r="A765" s="106" t="s">
        <v>2310</v>
      </c>
      <c r="B765" s="31">
        <v>15</v>
      </c>
      <c r="C765" s="154" t="s">
        <v>2311</v>
      </c>
      <c r="D765" s="543" t="s">
        <v>2313</v>
      </c>
    </row>
    <row r="766" spans="1:7" ht="15">
      <c r="A766" s="106" t="s">
        <v>2310</v>
      </c>
      <c r="B766" s="31">
        <v>36</v>
      </c>
      <c r="C766" s="154" t="s">
        <v>2314</v>
      </c>
      <c r="D766" s="543" t="s">
        <v>2315</v>
      </c>
    </row>
    <row r="767" spans="1:7" ht="15">
      <c r="A767" s="106" t="s">
        <v>2310</v>
      </c>
      <c r="B767" s="31">
        <v>48</v>
      </c>
      <c r="C767" s="154" t="s">
        <v>2311</v>
      </c>
      <c r="D767" s="543" t="s">
        <v>2316</v>
      </c>
    </row>
    <row r="768" spans="1:7" ht="15">
      <c r="A768" s="545"/>
      <c r="B768" s="173"/>
      <c r="C768" s="546"/>
    </row>
    <row r="771" spans="1:8" ht="15">
      <c r="A771" s="76" t="s">
        <v>1995</v>
      </c>
      <c r="B771" s="77" t="s">
        <v>158</v>
      </c>
      <c r="C771" s="493" t="s">
        <v>2317</v>
      </c>
      <c r="D771" s="77" t="s">
        <v>258</v>
      </c>
      <c r="E771" s="77" t="s">
        <v>2318</v>
      </c>
      <c r="F771" s="78" t="s">
        <v>2268</v>
      </c>
    </row>
    <row r="772" spans="1:8" ht="15">
      <c r="A772" s="17" t="s">
        <v>2291</v>
      </c>
      <c r="B772" s="31" t="s">
        <v>287</v>
      </c>
      <c r="C772" s="547" t="s">
        <v>2319</v>
      </c>
      <c r="D772" s="548">
        <v>50</v>
      </c>
      <c r="E772" s="100">
        <v>300</v>
      </c>
      <c r="F772" s="33">
        <v>0.72</v>
      </c>
    </row>
    <row r="773" spans="1:8" ht="15">
      <c r="A773" s="17" t="s">
        <v>2293</v>
      </c>
      <c r="B773" s="31">
        <v>36</v>
      </c>
      <c r="C773" s="547" t="s">
        <v>2320</v>
      </c>
      <c r="D773" s="548">
        <v>50</v>
      </c>
      <c r="E773" s="100">
        <v>300</v>
      </c>
      <c r="F773" s="33">
        <v>1.74</v>
      </c>
    </row>
    <row r="776" spans="1:8" ht="31.5">
      <c r="A776" s="163" t="s">
        <v>216</v>
      </c>
      <c r="B776" s="166" t="s">
        <v>156</v>
      </c>
      <c r="C776" s="167" t="s">
        <v>2</v>
      </c>
      <c r="D776" s="160" t="s">
        <v>229</v>
      </c>
      <c r="E776" s="160" t="s">
        <v>2321</v>
      </c>
      <c r="F776" s="549" t="s">
        <v>256</v>
      </c>
      <c r="G776" s="549" t="s">
        <v>205</v>
      </c>
      <c r="H776" s="550" t="s">
        <v>2322</v>
      </c>
    </row>
    <row r="781" spans="1:8" ht="15.75">
      <c r="A781" s="76" t="s">
        <v>76</v>
      </c>
      <c r="B781" s="76" t="s">
        <v>1995</v>
      </c>
      <c r="C781" s="77" t="s">
        <v>158</v>
      </c>
      <c r="D781" s="78" t="s">
        <v>94</v>
      </c>
      <c r="E781" s="77" t="s">
        <v>247</v>
      </c>
      <c r="F781" s="24" t="s">
        <v>5</v>
      </c>
      <c r="G781" s="77" t="s">
        <v>141</v>
      </c>
      <c r="H781" s="551"/>
    </row>
    <row r="782" spans="1:8" ht="15">
      <c r="A782" s="23" t="s">
        <v>2323</v>
      </c>
      <c r="B782" s="17" t="s">
        <v>7</v>
      </c>
      <c r="C782" s="94">
        <v>134</v>
      </c>
      <c r="D782" s="17" t="s">
        <v>2283</v>
      </c>
      <c r="E782" s="6">
        <v>452</v>
      </c>
      <c r="F782" s="33">
        <v>3.57</v>
      </c>
      <c r="G782" s="1024" t="s">
        <v>2324</v>
      </c>
      <c r="H782" s="33"/>
    </row>
    <row r="783" spans="1:8" ht="15">
      <c r="A783" s="23" t="s">
        <v>2323</v>
      </c>
      <c r="B783" s="17" t="s">
        <v>7</v>
      </c>
      <c r="C783" s="94">
        <v>134</v>
      </c>
      <c r="D783" s="17" t="s">
        <v>2285</v>
      </c>
      <c r="E783" s="6">
        <v>94</v>
      </c>
      <c r="F783" s="33">
        <v>3.57</v>
      </c>
      <c r="G783" s="1025"/>
      <c r="H783" s="27"/>
    </row>
    <row r="784" spans="1:8" ht="15">
      <c r="A784" s="23" t="s">
        <v>2323</v>
      </c>
      <c r="B784" s="17" t="s">
        <v>7</v>
      </c>
      <c r="C784" s="94">
        <v>134</v>
      </c>
      <c r="D784" s="17" t="s">
        <v>2286</v>
      </c>
      <c r="E784" s="6">
        <v>100</v>
      </c>
      <c r="F784" s="33">
        <v>3.57</v>
      </c>
      <c r="G784" s="1025"/>
      <c r="H784" s="27"/>
    </row>
    <row r="785" spans="1:8" ht="15">
      <c r="A785" s="23" t="s">
        <v>2323</v>
      </c>
      <c r="B785" s="17" t="s">
        <v>7</v>
      </c>
      <c r="C785" s="94">
        <v>134</v>
      </c>
      <c r="D785" s="17" t="s">
        <v>2288</v>
      </c>
      <c r="E785" s="6">
        <v>150</v>
      </c>
      <c r="F785" s="33">
        <v>3.57</v>
      </c>
      <c r="G785" s="1025"/>
      <c r="H785" s="27"/>
    </row>
    <row r="786" spans="1:8" ht="15">
      <c r="A786" s="23" t="s">
        <v>2323</v>
      </c>
      <c r="B786" s="17" t="s">
        <v>7</v>
      </c>
      <c r="C786" s="94">
        <v>134</v>
      </c>
      <c r="D786" s="17" t="s">
        <v>1911</v>
      </c>
      <c r="E786" s="6">
        <v>100</v>
      </c>
      <c r="F786" s="33">
        <v>3.57</v>
      </c>
      <c r="G786" s="1026"/>
      <c r="H786" s="27"/>
    </row>
    <row r="787" spans="1:8" ht="15">
      <c r="A787" s="23" t="s">
        <v>2323</v>
      </c>
      <c r="B787" s="17" t="s">
        <v>7</v>
      </c>
      <c r="C787" s="94">
        <v>134</v>
      </c>
      <c r="D787" s="17" t="s">
        <v>2281</v>
      </c>
      <c r="E787" s="6">
        <v>150</v>
      </c>
      <c r="F787" s="33">
        <v>3.57</v>
      </c>
      <c r="G787" s="1027" t="s">
        <v>2325</v>
      </c>
      <c r="H787" s="33">
        <f>F787*E787</f>
        <v>535.5</v>
      </c>
    </row>
    <row r="788" spans="1:8" ht="15">
      <c r="A788" s="23" t="s">
        <v>2323</v>
      </c>
      <c r="B788" s="17" t="s">
        <v>7</v>
      </c>
      <c r="C788" s="94">
        <v>134</v>
      </c>
      <c r="D788" s="17" t="s">
        <v>2283</v>
      </c>
      <c r="E788" s="6">
        <v>198</v>
      </c>
      <c r="F788" s="33">
        <v>3.57</v>
      </c>
      <c r="G788" s="1028"/>
      <c r="H788" s="33">
        <f>F788*E788</f>
        <v>706.86</v>
      </c>
    </row>
    <row r="789" spans="1:8" ht="15">
      <c r="A789" s="23" t="s">
        <v>2323</v>
      </c>
      <c r="B789" s="17" t="s">
        <v>7</v>
      </c>
      <c r="C789" s="94">
        <v>134</v>
      </c>
      <c r="D789" s="17" t="s">
        <v>2287</v>
      </c>
      <c r="E789" s="6">
        <v>100</v>
      </c>
      <c r="F789" s="33">
        <v>3.57</v>
      </c>
      <c r="G789" s="1029"/>
      <c r="H789" s="33">
        <f>F789*E789</f>
        <v>357</v>
      </c>
    </row>
    <row r="790" spans="1:8">
      <c r="A790" s="145"/>
    </row>
    <row r="791" spans="1:8">
      <c r="A791" s="145"/>
    </row>
    <row r="792" spans="1:8" ht="15.75">
      <c r="A792" s="76" t="s">
        <v>76</v>
      </c>
      <c r="B792" s="76" t="s">
        <v>1995</v>
      </c>
      <c r="C792" s="77" t="s">
        <v>158</v>
      </c>
      <c r="D792" s="78" t="s">
        <v>94</v>
      </c>
      <c r="E792" s="77" t="s">
        <v>247</v>
      </c>
      <c r="F792" s="24" t="s">
        <v>5</v>
      </c>
      <c r="G792" s="77" t="s">
        <v>141</v>
      </c>
    </row>
    <row r="793" spans="1:8" ht="15">
      <c r="A793" s="23" t="s">
        <v>2326</v>
      </c>
      <c r="B793" s="17" t="s">
        <v>7</v>
      </c>
      <c r="C793" s="94">
        <v>134</v>
      </c>
      <c r="D793" s="17" t="s">
        <v>2281</v>
      </c>
      <c r="E793" s="6">
        <v>50</v>
      </c>
      <c r="F793" s="33">
        <v>3.57</v>
      </c>
      <c r="G793" s="1027" t="s">
        <v>2325</v>
      </c>
      <c r="H793" s="33">
        <f>F793*E793</f>
        <v>178.5</v>
      </c>
    </row>
    <row r="794" spans="1:8" ht="15">
      <c r="A794" s="23" t="s">
        <v>2326</v>
      </c>
      <c r="B794" s="17" t="s">
        <v>7</v>
      </c>
      <c r="C794" s="94">
        <v>134</v>
      </c>
      <c r="D794" s="17" t="s">
        <v>2283</v>
      </c>
      <c r="E794" s="6">
        <v>214</v>
      </c>
      <c r="F794" s="33">
        <v>3.57</v>
      </c>
      <c r="G794" s="1028"/>
      <c r="H794" s="33">
        <f>F794*E794</f>
        <v>763.98</v>
      </c>
    </row>
    <row r="795" spans="1:8" ht="15">
      <c r="A795" s="23" t="s">
        <v>2326</v>
      </c>
      <c r="B795" s="17" t="s">
        <v>7</v>
      </c>
      <c r="C795" s="94">
        <v>134</v>
      </c>
      <c r="D795" s="17" t="s">
        <v>2286</v>
      </c>
      <c r="E795" s="6">
        <v>49</v>
      </c>
      <c r="F795" s="33">
        <v>3.57</v>
      </c>
      <c r="G795" s="1028"/>
      <c r="H795" s="33">
        <f>F795*E795</f>
        <v>174.92999999999998</v>
      </c>
    </row>
    <row r="796" spans="1:8" ht="15">
      <c r="A796" s="23" t="s">
        <v>2326</v>
      </c>
      <c r="B796" s="17" t="s">
        <v>7</v>
      </c>
      <c r="C796" s="94">
        <v>134</v>
      </c>
      <c r="D796" s="17" t="s">
        <v>2288</v>
      </c>
      <c r="E796" s="6">
        <v>50</v>
      </c>
      <c r="F796" s="33">
        <v>3.57</v>
      </c>
      <c r="G796" s="1028"/>
      <c r="H796" s="33">
        <f>F796*E796</f>
        <v>178.5</v>
      </c>
    </row>
    <row r="797" spans="1:8" ht="15">
      <c r="A797" s="23" t="s">
        <v>2326</v>
      </c>
      <c r="B797" s="17" t="s">
        <v>7</v>
      </c>
      <c r="C797" s="94">
        <v>134</v>
      </c>
      <c r="D797" s="17" t="s">
        <v>1911</v>
      </c>
      <c r="E797" s="6">
        <v>50</v>
      </c>
      <c r="F797" s="33">
        <v>3.57</v>
      </c>
      <c r="G797" s="1029"/>
      <c r="H797" s="33">
        <f>F797*E797</f>
        <v>178.5</v>
      </c>
    </row>
    <row r="799" spans="1:8" ht="15">
      <c r="A799" s="76" t="s">
        <v>1995</v>
      </c>
      <c r="B799" s="78" t="s">
        <v>94</v>
      </c>
      <c r="C799" s="77" t="s">
        <v>247</v>
      </c>
    </row>
    <row r="800" spans="1:8" ht="15">
      <c r="A800" s="17" t="s">
        <v>7</v>
      </c>
      <c r="B800" s="17" t="s">
        <v>2281</v>
      </c>
      <c r="C800" s="6">
        <v>50</v>
      </c>
    </row>
    <row r="801" spans="1:17" ht="15">
      <c r="A801" s="17" t="s">
        <v>7</v>
      </c>
      <c r="B801" s="17" t="s">
        <v>2283</v>
      </c>
      <c r="C801" s="6">
        <v>214</v>
      </c>
    </row>
    <row r="802" spans="1:17" ht="15">
      <c r="A802" s="17" t="s">
        <v>7</v>
      </c>
      <c r="B802" s="17" t="s">
        <v>2286</v>
      </c>
      <c r="C802" s="6">
        <v>49</v>
      </c>
    </row>
    <row r="803" spans="1:17" ht="15">
      <c r="A803" s="17" t="s">
        <v>7</v>
      </c>
      <c r="B803" s="17" t="s">
        <v>2288</v>
      </c>
      <c r="C803" s="6">
        <v>50</v>
      </c>
    </row>
    <row r="804" spans="1:17" ht="15">
      <c r="A804" s="17" t="s">
        <v>7</v>
      </c>
      <c r="B804" s="17" t="s">
        <v>1911</v>
      </c>
      <c r="C804" s="6">
        <v>50</v>
      </c>
    </row>
    <row r="807" spans="1:17" ht="15.75">
      <c r="A807" s="76" t="s">
        <v>1995</v>
      </c>
      <c r="B807" s="77" t="s">
        <v>158</v>
      </c>
      <c r="C807" s="78" t="s">
        <v>94</v>
      </c>
      <c r="D807" s="77" t="s">
        <v>247</v>
      </c>
      <c r="E807" s="552" t="s">
        <v>2327</v>
      </c>
      <c r="F807" s="30"/>
      <c r="G807" s="102" t="s">
        <v>5</v>
      </c>
      <c r="H807" s="551"/>
      <c r="I807" s="7"/>
      <c r="J807" s="122"/>
      <c r="K807" s="4"/>
      <c r="L807" s="33"/>
      <c r="M807" s="33"/>
      <c r="N807" s="5"/>
    </row>
    <row r="808" spans="1:17" ht="15">
      <c r="A808" s="75" t="s">
        <v>2293</v>
      </c>
      <c r="B808" s="31">
        <v>36</v>
      </c>
      <c r="C808" s="154" t="s">
        <v>2294</v>
      </c>
      <c r="D808" s="6">
        <v>2500</v>
      </c>
      <c r="E808" s="74" t="s">
        <v>2328</v>
      </c>
      <c r="F808" s="6">
        <v>2500</v>
      </c>
      <c r="G808" s="33">
        <v>1.67</v>
      </c>
      <c r="H808" s="27"/>
      <c r="I808" s="28"/>
      <c r="J808" s="121"/>
      <c r="K808" s="490"/>
      <c r="L808" s="18">
        <v>1.34</v>
      </c>
      <c r="M808" s="112"/>
      <c r="N808" s="5">
        <v>100</v>
      </c>
    </row>
    <row r="809" spans="1:17" ht="15">
      <c r="A809" s="75" t="s">
        <v>2291</v>
      </c>
      <c r="B809" s="31">
        <v>15</v>
      </c>
      <c r="C809" s="154" t="s">
        <v>2292</v>
      </c>
      <c r="D809" s="6">
        <v>3500</v>
      </c>
      <c r="E809" s="74" t="s">
        <v>2329</v>
      </c>
      <c r="F809" s="6">
        <v>3500</v>
      </c>
      <c r="G809" s="33">
        <v>0.7</v>
      </c>
      <c r="H809" s="27"/>
      <c r="I809" s="28"/>
      <c r="J809" s="121"/>
      <c r="K809" s="490"/>
      <c r="L809" s="18">
        <v>0.56000000000000005</v>
      </c>
      <c r="M809" s="112"/>
      <c r="N809" s="5">
        <v>42</v>
      </c>
    </row>
    <row r="812" spans="1:17" s="5" customFormat="1" ht="17.25" customHeight="1">
      <c r="A812" s="4" t="s">
        <v>2330</v>
      </c>
      <c r="B812" s="9" t="s">
        <v>2331</v>
      </c>
      <c r="C812" s="17">
        <v>5636</v>
      </c>
      <c r="D812" s="31" t="s">
        <v>198</v>
      </c>
      <c r="E812" s="31" t="s">
        <v>1905</v>
      </c>
      <c r="F812" s="6">
        <v>50</v>
      </c>
      <c r="G812" s="100">
        <v>50</v>
      </c>
      <c r="H812" s="101">
        <v>1</v>
      </c>
      <c r="I812" s="33">
        <v>0.22</v>
      </c>
      <c r="J812" s="27" t="s">
        <v>2332</v>
      </c>
      <c r="K812" s="28">
        <v>43532</v>
      </c>
      <c r="L812" s="121">
        <v>43532</v>
      </c>
      <c r="M812" s="490"/>
      <c r="N812" s="33">
        <v>0.17</v>
      </c>
      <c r="O812" s="497" t="s">
        <v>2333</v>
      </c>
      <c r="P812" s="5">
        <v>10.4</v>
      </c>
      <c r="Q812" s="495" t="s">
        <v>2334</v>
      </c>
    </row>
    <row r="813" spans="1:17" s="5" customFormat="1" ht="17.25" customHeight="1">
      <c r="A813" s="4" t="s">
        <v>2330</v>
      </c>
      <c r="B813" s="9" t="s">
        <v>2331</v>
      </c>
      <c r="C813" s="17">
        <v>5636</v>
      </c>
      <c r="D813" s="31" t="s">
        <v>198</v>
      </c>
      <c r="E813" s="31" t="s">
        <v>2335</v>
      </c>
      <c r="F813" s="6">
        <v>50</v>
      </c>
      <c r="G813" s="100">
        <v>50</v>
      </c>
      <c r="H813" s="101">
        <v>1</v>
      </c>
      <c r="I813" s="33">
        <v>0.22</v>
      </c>
      <c r="J813" s="27" t="s">
        <v>2332</v>
      </c>
      <c r="K813" s="28">
        <v>43532</v>
      </c>
      <c r="L813" s="121">
        <v>43532</v>
      </c>
      <c r="M813" s="490"/>
      <c r="N813" s="33">
        <v>0.17</v>
      </c>
      <c r="O813" s="497"/>
      <c r="Q813" s="495" t="s">
        <v>2334</v>
      </c>
    </row>
    <row r="814" spans="1:17" s="5" customFormat="1" ht="17.25" customHeight="1">
      <c r="A814" s="4" t="s">
        <v>2330</v>
      </c>
      <c r="B814" s="9" t="s">
        <v>2331</v>
      </c>
      <c r="C814" s="17">
        <v>5636</v>
      </c>
      <c r="D814" s="31" t="s">
        <v>198</v>
      </c>
      <c r="E814" s="31" t="s">
        <v>2336</v>
      </c>
      <c r="F814" s="6">
        <v>50</v>
      </c>
      <c r="G814" s="100">
        <v>50</v>
      </c>
      <c r="H814" s="101">
        <v>1</v>
      </c>
      <c r="I814" s="33">
        <v>0.22</v>
      </c>
      <c r="J814" s="27" t="s">
        <v>2332</v>
      </c>
      <c r="K814" s="28">
        <v>43532</v>
      </c>
      <c r="L814" s="121">
        <v>43532</v>
      </c>
      <c r="M814" s="490"/>
      <c r="N814" s="33">
        <v>0.17</v>
      </c>
      <c r="O814" s="497"/>
      <c r="Q814" s="495" t="s">
        <v>2334</v>
      </c>
    </row>
    <row r="815" spans="1:17" s="5" customFormat="1" ht="17.25" customHeight="1">
      <c r="A815" s="4" t="s">
        <v>2330</v>
      </c>
      <c r="B815" s="9" t="s">
        <v>2331</v>
      </c>
      <c r="C815" s="17">
        <v>5636</v>
      </c>
      <c r="D815" s="31" t="s">
        <v>198</v>
      </c>
      <c r="E815" s="31" t="s">
        <v>2337</v>
      </c>
      <c r="F815" s="6">
        <v>50</v>
      </c>
      <c r="G815" s="100">
        <v>50</v>
      </c>
      <c r="H815" s="101">
        <v>1</v>
      </c>
      <c r="I815" s="33">
        <v>0.22</v>
      </c>
      <c r="J815" s="27" t="s">
        <v>2332</v>
      </c>
      <c r="K815" s="28">
        <v>43532</v>
      </c>
      <c r="L815" s="121">
        <v>43532</v>
      </c>
      <c r="M815" s="490"/>
      <c r="N815" s="33">
        <v>0.17</v>
      </c>
      <c r="O815" s="497"/>
      <c r="Q815" s="495" t="s">
        <v>2334</v>
      </c>
    </row>
    <row r="816" spans="1:17" s="5" customFormat="1" ht="17.25" customHeight="1">
      <c r="A816" s="4" t="s">
        <v>2330</v>
      </c>
      <c r="B816" s="9" t="s">
        <v>2331</v>
      </c>
      <c r="C816" s="17">
        <v>5636</v>
      </c>
      <c r="D816" s="31" t="s">
        <v>198</v>
      </c>
      <c r="E816" s="31" t="s">
        <v>2338</v>
      </c>
      <c r="F816" s="6">
        <v>50</v>
      </c>
      <c r="G816" s="100">
        <v>50</v>
      </c>
      <c r="H816" s="101">
        <v>1</v>
      </c>
      <c r="I816" s="33">
        <v>0.22</v>
      </c>
      <c r="J816" s="27" t="s">
        <v>2332</v>
      </c>
      <c r="K816" s="28">
        <v>43532</v>
      </c>
      <c r="L816" s="121">
        <v>43532</v>
      </c>
      <c r="M816" s="490"/>
      <c r="N816" s="33">
        <v>0.17</v>
      </c>
      <c r="O816" s="497"/>
      <c r="Q816" s="495" t="s">
        <v>2334</v>
      </c>
    </row>
    <row r="817" spans="1:17" s="5" customFormat="1" ht="17.25" customHeight="1">
      <c r="A817" s="4" t="s">
        <v>2330</v>
      </c>
      <c r="B817" s="9" t="s">
        <v>2331</v>
      </c>
      <c r="C817" s="17">
        <v>5636</v>
      </c>
      <c r="D817" s="31" t="s">
        <v>198</v>
      </c>
      <c r="E817" s="31" t="s">
        <v>2339</v>
      </c>
      <c r="F817" s="6">
        <v>50</v>
      </c>
      <c r="G817" s="100">
        <v>50</v>
      </c>
      <c r="H817" s="101">
        <v>1</v>
      </c>
      <c r="I817" s="33">
        <v>0.22</v>
      </c>
      <c r="J817" s="27" t="s">
        <v>2332</v>
      </c>
      <c r="K817" s="28">
        <v>43532</v>
      </c>
      <c r="L817" s="121">
        <v>43532</v>
      </c>
      <c r="M817" s="490"/>
      <c r="N817" s="33">
        <v>0.17</v>
      </c>
      <c r="O817" s="497"/>
      <c r="Q817" s="495" t="s">
        <v>2334</v>
      </c>
    </row>
    <row r="818" spans="1:17" s="5" customFormat="1" ht="17.25" customHeight="1">
      <c r="A818" s="4" t="s">
        <v>2330</v>
      </c>
      <c r="B818" s="9" t="s">
        <v>2331</v>
      </c>
      <c r="C818" s="17">
        <v>5636</v>
      </c>
      <c r="D818" s="31" t="s">
        <v>198</v>
      </c>
      <c r="E818" s="31" t="s">
        <v>2340</v>
      </c>
      <c r="F818" s="6">
        <v>50</v>
      </c>
      <c r="G818" s="100">
        <v>50</v>
      </c>
      <c r="H818" s="101">
        <v>1</v>
      </c>
      <c r="I818" s="33">
        <v>0.22</v>
      </c>
      <c r="J818" s="27" t="s">
        <v>2332</v>
      </c>
      <c r="K818" s="28">
        <v>43532</v>
      </c>
      <c r="L818" s="121">
        <v>43532</v>
      </c>
      <c r="M818" s="490"/>
      <c r="N818" s="33">
        <v>0.17</v>
      </c>
      <c r="O818" s="497"/>
      <c r="Q818" s="495" t="s">
        <v>2334</v>
      </c>
    </row>
    <row r="819" spans="1:17" s="5" customFormat="1" ht="17.25" customHeight="1">
      <c r="A819" s="4" t="s">
        <v>2341</v>
      </c>
      <c r="B819" s="9" t="s">
        <v>2331</v>
      </c>
      <c r="C819" s="17">
        <v>5636</v>
      </c>
      <c r="D819" s="31" t="s">
        <v>198</v>
      </c>
      <c r="E819" s="31" t="s">
        <v>2342</v>
      </c>
      <c r="F819" s="6">
        <v>50</v>
      </c>
      <c r="G819" s="100">
        <v>50</v>
      </c>
      <c r="H819" s="101">
        <v>1</v>
      </c>
      <c r="I819" s="33">
        <v>0.22</v>
      </c>
      <c r="J819" s="27" t="s">
        <v>2343</v>
      </c>
      <c r="K819" s="28">
        <v>43549</v>
      </c>
      <c r="L819" s="121">
        <v>43549</v>
      </c>
      <c r="M819" s="490"/>
      <c r="N819" s="33">
        <v>0.17</v>
      </c>
      <c r="O819" s="497"/>
      <c r="Q819" s="495" t="s">
        <v>2334</v>
      </c>
    </row>
    <row r="820" spans="1:17" s="5" customFormat="1" ht="17.25" customHeight="1">
      <c r="A820" s="4" t="s">
        <v>2341</v>
      </c>
      <c r="B820" s="9" t="s">
        <v>2331</v>
      </c>
      <c r="C820" s="17">
        <v>5636</v>
      </c>
      <c r="D820" s="31" t="s">
        <v>198</v>
      </c>
      <c r="E820" s="31" t="s">
        <v>2344</v>
      </c>
      <c r="F820" s="6">
        <v>50</v>
      </c>
      <c r="G820" s="100">
        <v>50</v>
      </c>
      <c r="H820" s="101">
        <v>1</v>
      </c>
      <c r="I820" s="33">
        <v>0.22</v>
      </c>
      <c r="J820" s="27" t="s">
        <v>2343</v>
      </c>
      <c r="K820" s="28">
        <v>43549</v>
      </c>
      <c r="L820" s="121">
        <v>43549</v>
      </c>
      <c r="M820" s="490"/>
      <c r="N820" s="33">
        <v>0.17</v>
      </c>
      <c r="O820" s="497"/>
      <c r="Q820" s="495" t="s">
        <v>2334</v>
      </c>
    </row>
    <row r="821" spans="1:17" s="5" customFormat="1" ht="17.25" customHeight="1">
      <c r="A821" s="4" t="s">
        <v>2345</v>
      </c>
      <c r="B821" s="9" t="s">
        <v>2331</v>
      </c>
      <c r="C821" s="17">
        <v>5636</v>
      </c>
      <c r="D821" s="31" t="s">
        <v>198</v>
      </c>
      <c r="E821" s="31" t="s">
        <v>2346</v>
      </c>
      <c r="F821" s="6">
        <v>50</v>
      </c>
      <c r="G821" s="100">
        <v>50</v>
      </c>
      <c r="H821" s="101">
        <v>1</v>
      </c>
      <c r="I821" s="33">
        <v>0.22</v>
      </c>
      <c r="J821" s="27" t="s">
        <v>2347</v>
      </c>
      <c r="K821" s="28">
        <v>43579</v>
      </c>
      <c r="L821" s="121">
        <v>43579</v>
      </c>
      <c r="M821" s="490"/>
      <c r="N821" s="33">
        <v>0.17</v>
      </c>
      <c r="O821" s="497"/>
      <c r="Q821" s="495" t="s">
        <v>2334</v>
      </c>
    </row>
    <row r="822" spans="1:17" s="5" customFormat="1" ht="17.25" customHeight="1">
      <c r="A822" s="4" t="s">
        <v>2348</v>
      </c>
      <c r="B822" s="9" t="s">
        <v>2331</v>
      </c>
      <c r="C822" s="17">
        <v>5636</v>
      </c>
      <c r="D822" s="31" t="s">
        <v>198</v>
      </c>
      <c r="E822" s="31" t="s">
        <v>2349</v>
      </c>
      <c r="F822" s="6">
        <v>50</v>
      </c>
      <c r="G822" s="100">
        <v>50</v>
      </c>
      <c r="H822" s="101">
        <v>1</v>
      </c>
      <c r="I822" s="33">
        <v>0.22</v>
      </c>
      <c r="J822" s="27" t="s">
        <v>2350</v>
      </c>
      <c r="K822" s="28">
        <v>43607</v>
      </c>
      <c r="L822" s="121">
        <v>43607</v>
      </c>
      <c r="M822" s="490"/>
      <c r="N822" s="33">
        <v>0.17</v>
      </c>
      <c r="O822" s="497"/>
      <c r="Q822" s="495" t="s">
        <v>2334</v>
      </c>
    </row>
    <row r="823" spans="1:17" s="5" customFormat="1" ht="17.25" customHeight="1">
      <c r="A823" s="4" t="s">
        <v>2348</v>
      </c>
      <c r="B823" s="9" t="s">
        <v>2331</v>
      </c>
      <c r="C823" s="17">
        <v>5636</v>
      </c>
      <c r="D823" s="31" t="s">
        <v>198</v>
      </c>
      <c r="E823" s="31" t="s">
        <v>170</v>
      </c>
      <c r="F823" s="6">
        <v>50</v>
      </c>
      <c r="G823" s="100">
        <v>50</v>
      </c>
      <c r="H823" s="101">
        <v>1</v>
      </c>
      <c r="I823" s="33">
        <v>0.22</v>
      </c>
      <c r="J823" s="27" t="s">
        <v>2350</v>
      </c>
      <c r="K823" s="28">
        <v>43607</v>
      </c>
      <c r="L823" s="121">
        <v>43607</v>
      </c>
      <c r="M823" s="490"/>
      <c r="N823" s="33">
        <v>0.17</v>
      </c>
      <c r="O823" s="497"/>
      <c r="Q823" s="495" t="s">
        <v>2334</v>
      </c>
    </row>
    <row r="824" spans="1:17" s="5" customFormat="1" ht="17.25" customHeight="1">
      <c r="A824" s="4" t="s">
        <v>2348</v>
      </c>
      <c r="B824" s="9" t="s">
        <v>2331</v>
      </c>
      <c r="C824" s="17">
        <v>5636</v>
      </c>
      <c r="D824" s="31" t="s">
        <v>198</v>
      </c>
      <c r="E824" s="31" t="s">
        <v>232</v>
      </c>
      <c r="F824" s="6">
        <v>50</v>
      </c>
      <c r="G824" s="100">
        <v>50</v>
      </c>
      <c r="H824" s="101">
        <v>1</v>
      </c>
      <c r="I824" s="33">
        <v>0.22</v>
      </c>
      <c r="J824" s="27" t="s">
        <v>2350</v>
      </c>
      <c r="K824" s="28">
        <v>43607</v>
      </c>
      <c r="L824" s="121">
        <v>43607</v>
      </c>
      <c r="M824" s="490"/>
      <c r="N824" s="33">
        <v>0.17</v>
      </c>
      <c r="O824" s="497"/>
      <c r="Q824" s="495" t="s">
        <v>2334</v>
      </c>
    </row>
    <row r="825" spans="1:17" s="5" customFormat="1" ht="17.25" customHeight="1">
      <c r="A825" s="4" t="s">
        <v>2351</v>
      </c>
      <c r="B825" s="9" t="s">
        <v>1904</v>
      </c>
      <c r="C825" s="17">
        <v>5636</v>
      </c>
      <c r="D825" s="31" t="s">
        <v>198</v>
      </c>
      <c r="E825" s="31" t="s">
        <v>1905</v>
      </c>
      <c r="F825" s="6">
        <v>650</v>
      </c>
      <c r="G825" s="100">
        <v>50</v>
      </c>
      <c r="H825" s="101">
        <v>13</v>
      </c>
      <c r="I825" s="33">
        <v>0.23</v>
      </c>
      <c r="J825" s="27" t="s">
        <v>2352</v>
      </c>
      <c r="K825" s="28">
        <v>43612</v>
      </c>
      <c r="L825" s="121">
        <v>43612</v>
      </c>
      <c r="M825" s="490"/>
      <c r="N825" s="33">
        <v>0.18</v>
      </c>
      <c r="O825" s="497" t="s">
        <v>2333</v>
      </c>
      <c r="P825" s="5">
        <v>10.4</v>
      </c>
      <c r="Q825" s="495" t="s">
        <v>2334</v>
      </c>
    </row>
    <row r="826" spans="1:17" s="5" customFormat="1" ht="17.25" customHeight="1">
      <c r="A826" s="4" t="s">
        <v>2351</v>
      </c>
      <c r="B826" s="9" t="s">
        <v>1904</v>
      </c>
      <c r="C826" s="17">
        <v>5636</v>
      </c>
      <c r="D826" s="31" t="s">
        <v>198</v>
      </c>
      <c r="E826" s="31" t="s">
        <v>2353</v>
      </c>
      <c r="F826" s="6">
        <v>450</v>
      </c>
      <c r="G826" s="100">
        <v>50</v>
      </c>
      <c r="H826" s="101">
        <v>9</v>
      </c>
      <c r="I826" s="33">
        <v>0.23</v>
      </c>
      <c r="J826" s="27" t="s">
        <v>2352</v>
      </c>
      <c r="K826" s="28">
        <v>43612</v>
      </c>
      <c r="L826" s="121">
        <v>43612</v>
      </c>
      <c r="M826" s="490"/>
      <c r="N826" s="33">
        <v>0.18</v>
      </c>
      <c r="O826" s="497"/>
      <c r="Q826" s="495" t="s">
        <v>2334</v>
      </c>
    </row>
    <row r="827" spans="1:17" s="5" customFormat="1" ht="17.25" customHeight="1">
      <c r="A827" s="4" t="s">
        <v>2351</v>
      </c>
      <c r="B827" s="9" t="s">
        <v>1904</v>
      </c>
      <c r="C827" s="17">
        <v>5636</v>
      </c>
      <c r="D827" s="31" t="s">
        <v>198</v>
      </c>
      <c r="E827" s="31" t="s">
        <v>2354</v>
      </c>
      <c r="F827" s="6">
        <v>200</v>
      </c>
      <c r="G827" s="100">
        <v>50</v>
      </c>
      <c r="H827" s="101">
        <v>4</v>
      </c>
      <c r="I827" s="33">
        <v>0.23</v>
      </c>
      <c r="J827" s="27" t="s">
        <v>2352</v>
      </c>
      <c r="K827" s="28">
        <v>43612</v>
      </c>
      <c r="L827" s="121">
        <v>43612</v>
      </c>
      <c r="M827" s="490"/>
      <c r="N827" s="33">
        <v>0.18</v>
      </c>
      <c r="O827" s="497"/>
      <c r="Q827" s="495" t="s">
        <v>2334</v>
      </c>
    </row>
    <row r="828" spans="1:17" s="5" customFormat="1" ht="17.25" customHeight="1">
      <c r="A828" s="4" t="s">
        <v>2355</v>
      </c>
      <c r="B828" s="9" t="s">
        <v>1904</v>
      </c>
      <c r="C828" s="17">
        <v>5636</v>
      </c>
      <c r="D828" s="31" t="s">
        <v>198</v>
      </c>
      <c r="E828" s="31" t="s">
        <v>1905</v>
      </c>
      <c r="F828" s="6">
        <v>50</v>
      </c>
      <c r="G828" s="100">
        <v>50</v>
      </c>
      <c r="H828" s="101">
        <v>1</v>
      </c>
      <c r="I828" s="33">
        <v>0.23</v>
      </c>
      <c r="J828" s="27" t="s">
        <v>2356</v>
      </c>
      <c r="K828" s="28">
        <v>43626</v>
      </c>
      <c r="L828" s="121">
        <v>43626</v>
      </c>
      <c r="M828" s="490"/>
      <c r="N828" s="33">
        <v>0.18</v>
      </c>
      <c r="O828" s="497" t="s">
        <v>2333</v>
      </c>
      <c r="P828" s="5">
        <v>10.4</v>
      </c>
      <c r="Q828" s="495" t="s">
        <v>2334</v>
      </c>
    </row>
    <row r="829" spans="1:17" s="5" customFormat="1" ht="17.25" customHeight="1">
      <c r="A829" s="4" t="s">
        <v>2357</v>
      </c>
      <c r="B829" s="9" t="s">
        <v>2331</v>
      </c>
      <c r="C829" s="17">
        <v>5636</v>
      </c>
      <c r="D829" s="31" t="s">
        <v>198</v>
      </c>
      <c r="E829" s="31" t="s">
        <v>2358</v>
      </c>
      <c r="F829" s="6">
        <v>50</v>
      </c>
      <c r="G829" s="100">
        <v>50</v>
      </c>
      <c r="H829" s="101">
        <v>1</v>
      </c>
      <c r="I829" s="33">
        <v>0.22</v>
      </c>
      <c r="J829" s="27" t="s">
        <v>2359</v>
      </c>
      <c r="K829" s="28">
        <v>43623</v>
      </c>
      <c r="L829" s="121">
        <v>43623</v>
      </c>
      <c r="M829" s="490"/>
      <c r="N829" s="33">
        <v>0.17</v>
      </c>
      <c r="O829" s="497"/>
      <c r="Q829" s="495" t="s">
        <v>2334</v>
      </c>
    </row>
    <row r="830" spans="1:17" s="5" customFormat="1" ht="17.25" customHeight="1">
      <c r="A830" s="4" t="s">
        <v>2360</v>
      </c>
      <c r="B830" s="9" t="s">
        <v>2331</v>
      </c>
      <c r="C830" s="17">
        <v>5636</v>
      </c>
      <c r="D830" s="31" t="s">
        <v>198</v>
      </c>
      <c r="E830" s="31" t="s">
        <v>1915</v>
      </c>
      <c r="F830" s="6">
        <v>50</v>
      </c>
      <c r="G830" s="100">
        <v>50</v>
      </c>
      <c r="H830" s="101">
        <v>1</v>
      </c>
      <c r="I830" s="33">
        <v>0.22</v>
      </c>
      <c r="J830" s="27"/>
      <c r="K830" s="28"/>
      <c r="L830" s="121"/>
      <c r="M830" s="490"/>
      <c r="N830" s="33">
        <v>0.17</v>
      </c>
      <c r="O830" s="497"/>
      <c r="Q830" s="495" t="s">
        <v>2334</v>
      </c>
    </row>
    <row r="831" spans="1:17" s="5" customFormat="1" ht="17.25" customHeight="1">
      <c r="A831" s="4" t="s">
        <v>2360</v>
      </c>
      <c r="B831" s="9" t="s">
        <v>2331</v>
      </c>
      <c r="C831" s="17">
        <v>5636</v>
      </c>
      <c r="D831" s="31" t="s">
        <v>198</v>
      </c>
      <c r="E831" s="31" t="s">
        <v>1914</v>
      </c>
      <c r="F831" s="6">
        <v>50</v>
      </c>
      <c r="G831" s="100">
        <v>50</v>
      </c>
      <c r="H831" s="101">
        <v>1</v>
      </c>
      <c r="I831" s="33">
        <v>0.22</v>
      </c>
      <c r="J831" s="27"/>
      <c r="K831" s="28"/>
      <c r="L831" s="121"/>
      <c r="M831" s="490"/>
      <c r="N831" s="33">
        <v>0.17</v>
      </c>
      <c r="O831" s="497"/>
      <c r="Q831" s="495" t="s">
        <v>2334</v>
      </c>
    </row>
    <row r="832" spans="1:17" s="5" customFormat="1" ht="17.25" customHeight="1">
      <c r="A832" s="4" t="s">
        <v>2360</v>
      </c>
      <c r="B832" s="9" t="s">
        <v>2331</v>
      </c>
      <c r="C832" s="17">
        <v>5636</v>
      </c>
      <c r="D832" s="31" t="s">
        <v>198</v>
      </c>
      <c r="E832" s="31" t="s">
        <v>2353</v>
      </c>
      <c r="F832" s="6">
        <v>50</v>
      </c>
      <c r="G832" s="100">
        <v>50</v>
      </c>
      <c r="H832" s="101">
        <v>1</v>
      </c>
      <c r="I832" s="33">
        <v>0.22</v>
      </c>
      <c r="J832" s="27"/>
      <c r="K832" s="28"/>
      <c r="L832" s="121"/>
      <c r="M832" s="490"/>
      <c r="N832" s="33">
        <v>0.17</v>
      </c>
      <c r="O832" s="497"/>
      <c r="Q832" s="495" t="s">
        <v>2334</v>
      </c>
    </row>
    <row r="833" spans="1:17" s="5" customFormat="1" ht="17.25" customHeight="1">
      <c r="A833" s="4" t="s">
        <v>2360</v>
      </c>
      <c r="B833" s="9" t="s">
        <v>2331</v>
      </c>
      <c r="C833" s="17">
        <v>5636</v>
      </c>
      <c r="D833" s="31" t="s">
        <v>198</v>
      </c>
      <c r="E833" s="31" t="s">
        <v>2361</v>
      </c>
      <c r="F833" s="6">
        <v>50</v>
      </c>
      <c r="G833" s="100">
        <v>50</v>
      </c>
      <c r="H833" s="101">
        <v>1</v>
      </c>
      <c r="I833" s="33">
        <v>0.22</v>
      </c>
      <c r="J833" s="27"/>
      <c r="K833" s="28"/>
      <c r="L833" s="121"/>
      <c r="M833" s="490"/>
      <c r="N833" s="33">
        <v>0.17</v>
      </c>
      <c r="O833" s="497"/>
      <c r="Q833" s="495" t="s">
        <v>2334</v>
      </c>
    </row>
    <row r="834" spans="1:17" s="5" customFormat="1" ht="17.25" customHeight="1">
      <c r="A834" s="4" t="s">
        <v>2360</v>
      </c>
      <c r="B834" s="9" t="s">
        <v>2331</v>
      </c>
      <c r="C834" s="17">
        <v>5636</v>
      </c>
      <c r="D834" s="31" t="s">
        <v>198</v>
      </c>
      <c r="E834" s="31" t="s">
        <v>2339</v>
      </c>
      <c r="F834" s="6">
        <v>50</v>
      </c>
      <c r="G834" s="100">
        <v>50</v>
      </c>
      <c r="H834" s="101">
        <v>1</v>
      </c>
      <c r="I834" s="33">
        <v>0.22</v>
      </c>
      <c r="J834" s="27"/>
      <c r="K834" s="28"/>
      <c r="L834" s="121"/>
      <c r="M834" s="490"/>
      <c r="N834" s="33">
        <v>0.17</v>
      </c>
      <c r="O834" s="497"/>
      <c r="Q834" s="495" t="s">
        <v>2334</v>
      </c>
    </row>
    <row r="838" spans="1:17" ht="15">
      <c r="A838" s="76" t="s">
        <v>1995</v>
      </c>
      <c r="B838" s="78" t="s">
        <v>94</v>
      </c>
      <c r="C838" s="78" t="s">
        <v>2000</v>
      </c>
      <c r="D838" s="507" t="s">
        <v>2001</v>
      </c>
      <c r="E838" s="78" t="s">
        <v>110</v>
      </c>
      <c r="F838" s="100"/>
    </row>
    <row r="839" spans="1:17" ht="15">
      <c r="A839" s="17" t="s">
        <v>1924</v>
      </c>
      <c r="B839" s="31" t="s">
        <v>1925</v>
      </c>
      <c r="C839" s="100">
        <v>13.7</v>
      </c>
      <c r="D839" s="101">
        <v>2</v>
      </c>
      <c r="E839" s="100">
        <v>27.4</v>
      </c>
    </row>
    <row r="840" spans="1:17" ht="15">
      <c r="A840" s="17"/>
      <c r="B840" s="17" t="s">
        <v>165</v>
      </c>
      <c r="C840" s="6" t="s">
        <v>166</v>
      </c>
      <c r="D840" s="30"/>
      <c r="E840" s="6"/>
    </row>
    <row r="842" spans="1:17" ht="14.25">
      <c r="A842" s="105" t="s">
        <v>43</v>
      </c>
      <c r="B842" s="105" t="s">
        <v>106</v>
      </c>
      <c r="C842" s="105" t="s">
        <v>2362</v>
      </c>
      <c r="D842" s="105" t="s">
        <v>47</v>
      </c>
    </row>
    <row r="843" spans="1:17" ht="15">
      <c r="A843" s="17">
        <v>1038</v>
      </c>
      <c r="B843" s="31">
        <v>30</v>
      </c>
      <c r="C843" s="31" t="s">
        <v>2363</v>
      </c>
      <c r="D843" s="128" t="s">
        <v>2364</v>
      </c>
    </row>
    <row r="844" spans="1:17" ht="15">
      <c r="A844" s="17">
        <v>1038</v>
      </c>
      <c r="B844" s="31">
        <v>30</v>
      </c>
      <c r="C844" s="31" t="s">
        <v>2365</v>
      </c>
      <c r="D844" s="128" t="s">
        <v>1790</v>
      </c>
    </row>
    <row r="847" spans="1:17" ht="15.75">
      <c r="A847" s="76" t="s">
        <v>1995</v>
      </c>
      <c r="B847" s="78" t="s">
        <v>94</v>
      </c>
      <c r="C847" s="78" t="s">
        <v>2000</v>
      </c>
      <c r="D847" s="507" t="s">
        <v>2001</v>
      </c>
      <c r="E847" s="78" t="s">
        <v>110</v>
      </c>
      <c r="F847" s="96" t="s">
        <v>2366</v>
      </c>
      <c r="G847" s="103"/>
      <c r="H847" s="7"/>
      <c r="I847" s="7"/>
      <c r="J847" s="4"/>
      <c r="K847" s="83"/>
      <c r="L847" s="16"/>
      <c r="M847" s="5"/>
    </row>
    <row r="848" spans="1:17" ht="15">
      <c r="A848" s="17" t="s">
        <v>2202</v>
      </c>
      <c r="B848" s="31" t="s">
        <v>95</v>
      </c>
      <c r="C848" s="100">
        <v>13.7</v>
      </c>
      <c r="D848" s="101">
        <v>4</v>
      </c>
      <c r="E848" s="100">
        <v>54.8</v>
      </c>
      <c r="F848" s="17" t="s">
        <v>2367</v>
      </c>
      <c r="G848" s="33"/>
      <c r="H848" s="553" t="s">
        <v>2368</v>
      </c>
      <c r="I848" s="121"/>
      <c r="J848" s="4"/>
      <c r="K848" s="33">
        <v>1.9</v>
      </c>
      <c r="L848" s="5"/>
      <c r="M848" s="5">
        <v>142</v>
      </c>
    </row>
    <row r="849" spans="1:13" ht="15">
      <c r="A849" s="17" t="s">
        <v>2369</v>
      </c>
      <c r="B849" s="31" t="s">
        <v>95</v>
      </c>
      <c r="C849" s="100">
        <v>13.7</v>
      </c>
      <c r="D849" s="101">
        <v>2</v>
      </c>
      <c r="E849" s="100">
        <v>27.4</v>
      </c>
      <c r="F849" s="17" t="s">
        <v>2370</v>
      </c>
      <c r="G849" s="33"/>
      <c r="H849" s="553" t="s">
        <v>2368</v>
      </c>
      <c r="I849" s="121"/>
      <c r="J849" s="4"/>
      <c r="K849" s="33">
        <v>2.87</v>
      </c>
      <c r="L849" s="5"/>
      <c r="M849" s="5">
        <v>215</v>
      </c>
    </row>
    <row r="850" spans="1:13" ht="15">
      <c r="A850" s="17" t="s">
        <v>2371</v>
      </c>
      <c r="B850" s="31" t="s">
        <v>95</v>
      </c>
      <c r="C850" s="100">
        <v>13.7</v>
      </c>
      <c r="D850" s="101">
        <v>7</v>
      </c>
      <c r="E850" s="100">
        <v>95.899999999999991</v>
      </c>
      <c r="F850" s="17" t="s">
        <v>2372</v>
      </c>
      <c r="G850" s="33"/>
      <c r="H850" s="28"/>
      <c r="I850" s="121"/>
      <c r="J850" s="4"/>
      <c r="K850" s="33">
        <v>4.26</v>
      </c>
      <c r="L850" s="5"/>
      <c r="M850" s="5">
        <v>319</v>
      </c>
    </row>
    <row r="851" spans="1:13" ht="15">
      <c r="A851" s="17" t="s">
        <v>2373</v>
      </c>
      <c r="B851" s="31" t="s">
        <v>95</v>
      </c>
      <c r="C851" s="100">
        <v>13.7</v>
      </c>
      <c r="D851" s="101">
        <v>2</v>
      </c>
      <c r="E851" s="100">
        <v>27.4</v>
      </c>
      <c r="F851" s="17" t="s">
        <v>2374</v>
      </c>
      <c r="G851" s="33"/>
      <c r="H851" s="124">
        <v>43671</v>
      </c>
      <c r="I851" s="121"/>
      <c r="J851" s="4"/>
      <c r="K851" s="33">
        <v>6</v>
      </c>
      <c r="L851" s="5"/>
      <c r="M851" s="5">
        <v>450</v>
      </c>
    </row>
    <row r="852" spans="1:13" ht="15">
      <c r="A852" s="17" t="s">
        <v>2375</v>
      </c>
      <c r="B852" s="31" t="s">
        <v>95</v>
      </c>
      <c r="C852" s="100">
        <v>30</v>
      </c>
      <c r="D852" s="100">
        <v>30</v>
      </c>
      <c r="E852" s="100">
        <v>30</v>
      </c>
      <c r="F852" s="17" t="s">
        <v>2376</v>
      </c>
      <c r="G852" s="33"/>
      <c r="H852" s="28"/>
      <c r="I852" s="121"/>
      <c r="J852" s="4"/>
      <c r="K852" s="33">
        <v>3.38</v>
      </c>
      <c r="L852" s="5"/>
      <c r="M852" s="5">
        <v>253</v>
      </c>
    </row>
    <row r="853" spans="1:13" ht="15">
      <c r="A853" s="17" t="s">
        <v>2377</v>
      </c>
      <c r="B853" s="31" t="s">
        <v>95</v>
      </c>
      <c r="C853" s="100">
        <v>20</v>
      </c>
      <c r="D853" s="100">
        <v>20</v>
      </c>
      <c r="E853" s="100">
        <v>20</v>
      </c>
      <c r="F853" s="17" t="s">
        <v>2378</v>
      </c>
      <c r="G853" s="33"/>
      <c r="H853" s="28"/>
      <c r="I853" s="121"/>
      <c r="J853" s="4"/>
      <c r="K853" s="33">
        <v>5.44</v>
      </c>
      <c r="L853" s="5"/>
      <c r="M853" s="5">
        <v>408</v>
      </c>
    </row>
    <row r="857" spans="1:13" ht="15.75">
      <c r="A857" s="76" t="s">
        <v>1995</v>
      </c>
      <c r="B857" s="78" t="s">
        <v>94</v>
      </c>
      <c r="C857" s="78" t="s">
        <v>2000</v>
      </c>
      <c r="D857" s="507" t="s">
        <v>2001</v>
      </c>
      <c r="E857" s="78" t="s">
        <v>110</v>
      </c>
      <c r="F857" s="96" t="s">
        <v>2366</v>
      </c>
    </row>
    <row r="858" spans="1:13" ht="15">
      <c r="A858" s="17" t="s">
        <v>2371</v>
      </c>
      <c r="B858" s="31" t="s">
        <v>95</v>
      </c>
      <c r="C858" s="100">
        <v>13.7</v>
      </c>
      <c r="D858" s="101">
        <v>7</v>
      </c>
      <c r="E858" s="100">
        <v>95.899999999999991</v>
      </c>
      <c r="F858" s="17" t="s">
        <v>2372</v>
      </c>
    </row>
    <row r="859" spans="1:13" ht="15">
      <c r="A859" s="17" t="s">
        <v>2373</v>
      </c>
      <c r="B859" s="31" t="s">
        <v>95</v>
      </c>
      <c r="C859" s="100">
        <v>13.7</v>
      </c>
      <c r="D859" s="101">
        <v>2</v>
      </c>
      <c r="E859" s="100">
        <v>27.4</v>
      </c>
      <c r="F859" s="17" t="s">
        <v>2374</v>
      </c>
    </row>
    <row r="861" spans="1:13" ht="15.75">
      <c r="A861" s="76" t="s">
        <v>1995</v>
      </c>
      <c r="B861" s="78" t="s">
        <v>94</v>
      </c>
      <c r="C861" s="78" t="s">
        <v>2000</v>
      </c>
      <c r="D861" s="507" t="s">
        <v>2001</v>
      </c>
      <c r="E861" s="78" t="s">
        <v>110</v>
      </c>
      <c r="F861" s="96" t="s">
        <v>2366</v>
      </c>
    </row>
    <row r="862" spans="1:13" ht="15">
      <c r="A862" s="17" t="s">
        <v>2375</v>
      </c>
      <c r="B862" s="31" t="s">
        <v>95</v>
      </c>
      <c r="C862" s="100">
        <v>30</v>
      </c>
      <c r="D862" s="100">
        <v>30</v>
      </c>
      <c r="E862" s="100">
        <v>30</v>
      </c>
      <c r="F862" s="17" t="s">
        <v>2376</v>
      </c>
    </row>
    <row r="863" spans="1:13" ht="15">
      <c r="A863" s="17" t="s">
        <v>2377</v>
      </c>
      <c r="B863" s="31" t="s">
        <v>95</v>
      </c>
      <c r="C863" s="100">
        <v>20</v>
      </c>
      <c r="D863" s="100">
        <v>20</v>
      </c>
      <c r="E863" s="100">
        <v>20</v>
      </c>
      <c r="F863" s="17" t="s">
        <v>2378</v>
      </c>
    </row>
    <row r="865" spans="1:11" ht="15.75">
      <c r="A865" s="105" t="s">
        <v>43</v>
      </c>
      <c r="B865" s="105" t="s">
        <v>106</v>
      </c>
      <c r="C865" s="105" t="s">
        <v>2362</v>
      </c>
      <c r="D865" s="105" t="s">
        <v>47</v>
      </c>
      <c r="E865" s="96" t="s">
        <v>2366</v>
      </c>
    </row>
    <row r="866" spans="1:11" ht="15">
      <c r="A866" s="158" t="s">
        <v>2379</v>
      </c>
      <c r="B866" s="31" t="s">
        <v>1789</v>
      </c>
      <c r="C866" s="31" t="s">
        <v>168</v>
      </c>
      <c r="D866" s="100">
        <v>50</v>
      </c>
      <c r="E866" s="17" t="s">
        <v>2380</v>
      </c>
    </row>
    <row r="867" spans="1:11" ht="15">
      <c r="A867" s="158" t="s">
        <v>2379</v>
      </c>
      <c r="B867" s="31" t="s">
        <v>1789</v>
      </c>
      <c r="C867" s="31" t="s">
        <v>2381</v>
      </c>
      <c r="D867" s="100">
        <v>50</v>
      </c>
      <c r="E867" s="17" t="s">
        <v>2380</v>
      </c>
    </row>
    <row r="868" spans="1:11" ht="15">
      <c r="A868" s="17"/>
      <c r="B868" s="94"/>
      <c r="C868" s="17" t="s">
        <v>165</v>
      </c>
      <c r="D868" s="6"/>
      <c r="E868" s="33">
        <v>12</v>
      </c>
    </row>
    <row r="871" spans="1:11" ht="15.75">
      <c r="A871" s="105" t="s">
        <v>43</v>
      </c>
      <c r="B871" s="105" t="s">
        <v>2362</v>
      </c>
      <c r="C871" s="105" t="s">
        <v>47</v>
      </c>
      <c r="D871" s="96" t="s">
        <v>2366</v>
      </c>
      <c r="E871" s="103"/>
      <c r="F871" s="7"/>
      <c r="G871" s="7"/>
      <c r="H871" s="4"/>
      <c r="I871" s="83"/>
      <c r="J871" s="16"/>
      <c r="K871" s="5"/>
    </row>
    <row r="872" spans="1:11" ht="15">
      <c r="A872" s="17" t="s">
        <v>66</v>
      </c>
      <c r="B872" s="31" t="s">
        <v>95</v>
      </c>
      <c r="C872" s="100">
        <v>14</v>
      </c>
      <c r="D872" s="17" t="s">
        <v>2382</v>
      </c>
      <c r="E872" s="27"/>
      <c r="F872" s="28"/>
      <c r="G872" s="121"/>
      <c r="H872" s="4"/>
      <c r="I872" s="33">
        <v>1.04</v>
      </c>
      <c r="J872" s="5"/>
      <c r="K872" s="5">
        <v>36</v>
      </c>
    </row>
    <row r="873" spans="1:11" ht="15">
      <c r="A873" s="17" t="s">
        <v>177</v>
      </c>
      <c r="B873" s="31" t="s">
        <v>95</v>
      </c>
      <c r="C873" s="100">
        <v>14</v>
      </c>
      <c r="D873" s="17" t="s">
        <v>2383</v>
      </c>
      <c r="E873" s="27"/>
      <c r="F873" s="28"/>
      <c r="G873" s="121"/>
      <c r="H873" s="4"/>
      <c r="I873" s="33">
        <v>1.63</v>
      </c>
      <c r="J873" s="5">
        <v>122</v>
      </c>
      <c r="K873" s="5">
        <v>92</v>
      </c>
    </row>
    <row r="874" spans="1:11" ht="15">
      <c r="A874" s="17"/>
      <c r="B874" s="17" t="s">
        <v>165</v>
      </c>
      <c r="C874" s="6"/>
      <c r="D874" s="33">
        <v>12</v>
      </c>
      <c r="E874" s="27"/>
      <c r="F874" s="28"/>
      <c r="G874" s="121"/>
      <c r="H874" s="4"/>
      <c r="I874" s="33">
        <v>12</v>
      </c>
      <c r="J874" s="16"/>
      <c r="K874" s="5">
        <v>1000</v>
      </c>
    </row>
    <row r="878" spans="1:11" ht="15">
      <c r="A878" s="76" t="s">
        <v>1995</v>
      </c>
      <c r="B878" s="77" t="s">
        <v>158</v>
      </c>
      <c r="C878" s="78" t="s">
        <v>94</v>
      </c>
      <c r="D878" s="78" t="s">
        <v>2000</v>
      </c>
      <c r="E878" s="507" t="s">
        <v>2001</v>
      </c>
      <c r="F878" s="78" t="s">
        <v>110</v>
      </c>
      <c r="G878" s="78" t="s">
        <v>2384</v>
      </c>
      <c r="H878" s="78" t="s">
        <v>104</v>
      </c>
    </row>
    <row r="879" spans="1:11" ht="15">
      <c r="A879" s="17">
        <v>12701</v>
      </c>
      <c r="B879" s="31">
        <v>9</v>
      </c>
      <c r="C879" s="17" t="s">
        <v>1893</v>
      </c>
      <c r="D879" s="6">
        <v>10</v>
      </c>
      <c r="E879" s="30">
        <v>1</v>
      </c>
      <c r="F879" s="6">
        <v>10</v>
      </c>
      <c r="G879" s="33">
        <v>5.04</v>
      </c>
      <c r="H879" s="554" t="s">
        <v>195</v>
      </c>
    </row>
    <row r="880" spans="1:11" ht="15">
      <c r="A880" s="17">
        <v>12701</v>
      </c>
      <c r="B880" s="31">
        <v>9</v>
      </c>
      <c r="C880" s="17" t="s">
        <v>2385</v>
      </c>
      <c r="D880" s="6">
        <v>10</v>
      </c>
      <c r="E880" s="30">
        <v>1</v>
      </c>
      <c r="F880" s="6">
        <v>10</v>
      </c>
      <c r="G880" s="33">
        <v>5.04</v>
      </c>
      <c r="H880" s="554" t="s">
        <v>195</v>
      </c>
    </row>
    <row r="881" spans="1:8" ht="15">
      <c r="A881" s="17">
        <v>12701</v>
      </c>
      <c r="B881" s="31">
        <v>9</v>
      </c>
      <c r="C881" s="17" t="s">
        <v>193</v>
      </c>
      <c r="D881" s="6">
        <v>10</v>
      </c>
      <c r="E881" s="30">
        <v>1</v>
      </c>
      <c r="F881" s="6">
        <v>10</v>
      </c>
      <c r="G881" s="33">
        <v>5.04</v>
      </c>
      <c r="H881" s="554" t="s">
        <v>195</v>
      </c>
    </row>
    <row r="882" spans="1:8" ht="15">
      <c r="A882" s="17">
        <v>12701</v>
      </c>
      <c r="B882" s="31">
        <v>9</v>
      </c>
      <c r="C882" s="17" t="s">
        <v>1892</v>
      </c>
      <c r="D882" s="6">
        <v>10</v>
      </c>
      <c r="E882" s="30">
        <v>1</v>
      </c>
      <c r="F882" s="6">
        <v>10</v>
      </c>
      <c r="G882" s="33">
        <v>5.04</v>
      </c>
      <c r="H882" s="554" t="s">
        <v>195</v>
      </c>
    </row>
    <row r="883" spans="1:8" ht="15">
      <c r="A883" s="17">
        <v>12701</v>
      </c>
      <c r="B883" s="31">
        <v>9</v>
      </c>
      <c r="C883" s="17" t="s">
        <v>2386</v>
      </c>
      <c r="D883" s="6">
        <v>10</v>
      </c>
      <c r="E883" s="30">
        <v>1</v>
      </c>
      <c r="F883" s="6">
        <v>10</v>
      </c>
      <c r="G883" s="33">
        <v>5.04</v>
      </c>
      <c r="H883" s="554" t="s">
        <v>195</v>
      </c>
    </row>
    <row r="884" spans="1:8" ht="15">
      <c r="A884" s="17">
        <v>12701</v>
      </c>
      <c r="B884" s="31">
        <v>9</v>
      </c>
      <c r="C884" s="17" t="s">
        <v>87</v>
      </c>
      <c r="D884" s="6">
        <v>10</v>
      </c>
      <c r="E884" s="30">
        <v>1</v>
      </c>
      <c r="F884" s="6">
        <v>10</v>
      </c>
      <c r="G884" s="33">
        <v>5.04</v>
      </c>
      <c r="H884" s="554" t="s">
        <v>195</v>
      </c>
    </row>
    <row r="885" spans="1:8" ht="15">
      <c r="A885" s="17">
        <v>12701</v>
      </c>
      <c r="B885" s="31">
        <v>9</v>
      </c>
      <c r="C885" s="17" t="s">
        <v>2387</v>
      </c>
      <c r="D885" s="6">
        <v>10</v>
      </c>
      <c r="E885" s="30">
        <v>1</v>
      </c>
      <c r="F885" s="6">
        <v>10</v>
      </c>
      <c r="G885" s="33">
        <v>5.04</v>
      </c>
      <c r="H885" s="554" t="s">
        <v>195</v>
      </c>
    </row>
    <row r="886" spans="1:8" ht="15">
      <c r="A886" s="17">
        <v>12701</v>
      </c>
      <c r="B886" s="31">
        <v>9</v>
      </c>
      <c r="C886" s="17" t="s">
        <v>2388</v>
      </c>
      <c r="D886" s="6">
        <v>10</v>
      </c>
      <c r="E886" s="30">
        <v>1</v>
      </c>
      <c r="F886" s="6">
        <v>10</v>
      </c>
      <c r="G886" s="33">
        <v>5.04</v>
      </c>
      <c r="H886" s="554" t="s">
        <v>195</v>
      </c>
    </row>
    <row r="887" spans="1:8" ht="15">
      <c r="A887" s="17">
        <v>12701</v>
      </c>
      <c r="B887" s="31">
        <v>9</v>
      </c>
      <c r="C887" s="17" t="s">
        <v>2238</v>
      </c>
      <c r="D887" s="6">
        <v>10</v>
      </c>
      <c r="E887" s="30">
        <v>1</v>
      </c>
      <c r="F887" s="6">
        <v>10</v>
      </c>
      <c r="G887" s="33">
        <v>5.04</v>
      </c>
      <c r="H887" s="554" t="s">
        <v>195</v>
      </c>
    </row>
    <row r="888" spans="1:8" ht="15">
      <c r="A888" s="17">
        <v>12701</v>
      </c>
      <c r="B888" s="31">
        <v>9</v>
      </c>
      <c r="C888" s="17" t="s">
        <v>1851</v>
      </c>
      <c r="D888" s="6">
        <v>10</v>
      </c>
      <c r="E888" s="30">
        <v>1</v>
      </c>
      <c r="F888" s="6">
        <v>10</v>
      </c>
      <c r="G888" s="33">
        <v>5.04</v>
      </c>
      <c r="H888" s="554" t="s">
        <v>195</v>
      </c>
    </row>
    <row r="889" spans="1:8" ht="15">
      <c r="A889" s="17">
        <v>12701</v>
      </c>
      <c r="B889" s="31">
        <v>9</v>
      </c>
      <c r="C889" s="17" t="s">
        <v>1852</v>
      </c>
      <c r="D889" s="6">
        <v>10</v>
      </c>
      <c r="E889" s="30">
        <v>1</v>
      </c>
      <c r="F889" s="6">
        <v>10</v>
      </c>
      <c r="G889" s="33">
        <v>5.04</v>
      </c>
      <c r="H889" s="554" t="s">
        <v>195</v>
      </c>
    </row>
    <row r="890" spans="1:8" ht="15">
      <c r="A890" s="17">
        <v>12701</v>
      </c>
      <c r="B890" s="31">
        <v>9</v>
      </c>
      <c r="C890" s="17" t="s">
        <v>194</v>
      </c>
      <c r="D890" s="6">
        <v>10</v>
      </c>
      <c r="E890" s="30">
        <v>1</v>
      </c>
      <c r="F890" s="6">
        <v>10</v>
      </c>
      <c r="G890" s="33">
        <v>5.04</v>
      </c>
      <c r="H890" s="554" t="s">
        <v>195</v>
      </c>
    </row>
    <row r="891" spans="1:8" ht="15">
      <c r="A891" s="17">
        <v>12701</v>
      </c>
      <c r="B891" s="31">
        <v>9</v>
      </c>
      <c r="C891" s="17" t="s">
        <v>2389</v>
      </c>
      <c r="D891" s="6">
        <v>10</v>
      </c>
      <c r="E891" s="30">
        <v>1</v>
      </c>
      <c r="F891" s="6">
        <v>10</v>
      </c>
      <c r="G891" s="33">
        <v>5.04</v>
      </c>
      <c r="H891" s="554" t="s">
        <v>195</v>
      </c>
    </row>
    <row r="892" spans="1:8" ht="15">
      <c r="A892" s="17">
        <v>12701</v>
      </c>
      <c r="B892" s="31">
        <v>9</v>
      </c>
      <c r="C892" s="17" t="s">
        <v>1987</v>
      </c>
      <c r="D892" s="6">
        <v>10</v>
      </c>
      <c r="E892" s="30">
        <v>1</v>
      </c>
      <c r="F892" s="6">
        <v>10</v>
      </c>
      <c r="G892" s="33">
        <v>5.04</v>
      </c>
      <c r="H892" s="554" t="s">
        <v>195</v>
      </c>
    </row>
    <row r="893" spans="1:8" ht="15">
      <c r="A893" s="17">
        <v>12701</v>
      </c>
      <c r="B893" s="31">
        <v>9</v>
      </c>
      <c r="C893" s="17" t="s">
        <v>2254</v>
      </c>
      <c r="D893" s="6">
        <v>10</v>
      </c>
      <c r="E893" s="30">
        <v>2</v>
      </c>
      <c r="F893" s="6">
        <v>20</v>
      </c>
      <c r="G893" s="33">
        <v>5.04</v>
      </c>
      <c r="H893" s="554" t="s">
        <v>195</v>
      </c>
    </row>
    <row r="894" spans="1:8" ht="15">
      <c r="A894" s="17">
        <v>12701</v>
      </c>
      <c r="B894" s="31">
        <v>24</v>
      </c>
      <c r="C894" s="17" t="s">
        <v>2254</v>
      </c>
      <c r="D894" s="6">
        <v>10</v>
      </c>
      <c r="E894" s="30">
        <v>1</v>
      </c>
      <c r="F894" s="6">
        <v>10</v>
      </c>
      <c r="G894" s="33">
        <v>8.99</v>
      </c>
      <c r="H894" s="554" t="s">
        <v>195</v>
      </c>
    </row>
    <row r="895" spans="1:8" ht="15">
      <c r="A895" s="14"/>
      <c r="B895" s="19"/>
      <c r="C895" s="17"/>
      <c r="D895" s="54"/>
      <c r="E895" s="55"/>
      <c r="F895" s="54"/>
      <c r="G895" s="102"/>
      <c r="H895" s="555"/>
    </row>
    <row r="896" spans="1:8" ht="15">
      <c r="A896" s="17">
        <v>11700</v>
      </c>
      <c r="B896" s="19">
        <v>9</v>
      </c>
      <c r="C896" s="17" t="s">
        <v>117</v>
      </c>
      <c r="D896" s="54">
        <v>10</v>
      </c>
      <c r="E896" s="55">
        <v>1</v>
      </c>
      <c r="F896" s="54">
        <v>10</v>
      </c>
      <c r="G896" s="33">
        <v>12.17</v>
      </c>
      <c r="H896" s="554" t="s">
        <v>195</v>
      </c>
    </row>
    <row r="897" spans="1:8" ht="15">
      <c r="A897" s="17">
        <v>11700</v>
      </c>
      <c r="B897" s="19">
        <v>18</v>
      </c>
      <c r="C897" s="17" t="s">
        <v>2390</v>
      </c>
      <c r="D897" s="54">
        <v>10</v>
      </c>
      <c r="E897" s="55">
        <v>1</v>
      </c>
      <c r="F897" s="54">
        <v>10</v>
      </c>
      <c r="G897" s="33">
        <v>17.04</v>
      </c>
      <c r="H897" s="554" t="s">
        <v>195</v>
      </c>
    </row>
    <row r="898" spans="1:8" ht="15">
      <c r="A898" s="17">
        <v>11700</v>
      </c>
      <c r="B898" s="19">
        <v>18</v>
      </c>
      <c r="C898" s="17" t="s">
        <v>163</v>
      </c>
      <c r="D898" s="54">
        <v>10</v>
      </c>
      <c r="E898" s="55">
        <v>1</v>
      </c>
      <c r="F898" s="54">
        <v>10</v>
      </c>
      <c r="G898" s="33">
        <v>17.04</v>
      </c>
      <c r="H898" s="554" t="s">
        <v>195</v>
      </c>
    </row>
    <row r="899" spans="1:8" ht="15">
      <c r="A899" s="17">
        <v>11700</v>
      </c>
      <c r="B899" s="19">
        <v>18</v>
      </c>
      <c r="C899" s="17" t="s">
        <v>150</v>
      </c>
      <c r="D899" s="54">
        <v>10</v>
      </c>
      <c r="E899" s="55">
        <v>1</v>
      </c>
      <c r="F899" s="54">
        <v>10</v>
      </c>
      <c r="G899" s="33">
        <v>17.04</v>
      </c>
      <c r="H899" s="554" t="s">
        <v>195</v>
      </c>
    </row>
    <row r="900" spans="1:8" ht="15">
      <c r="A900" s="17">
        <v>11700</v>
      </c>
      <c r="B900" s="19">
        <v>18</v>
      </c>
      <c r="C900" s="17" t="s">
        <v>1977</v>
      </c>
      <c r="D900" s="54">
        <v>10</v>
      </c>
      <c r="E900" s="55">
        <v>1</v>
      </c>
      <c r="F900" s="54">
        <v>10</v>
      </c>
      <c r="G900" s="33">
        <v>17.04</v>
      </c>
      <c r="H900" s="556" t="s">
        <v>2391</v>
      </c>
    </row>
    <row r="901" spans="1:8" ht="15">
      <c r="A901" s="17">
        <v>11700</v>
      </c>
      <c r="B901" s="19">
        <v>18</v>
      </c>
      <c r="C901" s="17" t="s">
        <v>2257</v>
      </c>
      <c r="D901" s="54">
        <v>10</v>
      </c>
      <c r="E901" s="55">
        <v>1</v>
      </c>
      <c r="F901" s="54">
        <v>10</v>
      </c>
      <c r="G901" s="33">
        <v>17.04</v>
      </c>
      <c r="H901" s="554" t="s">
        <v>195</v>
      </c>
    </row>
    <row r="902" spans="1:8" ht="15">
      <c r="A902" s="17">
        <v>11700</v>
      </c>
      <c r="B902" s="19">
        <v>18</v>
      </c>
      <c r="C902" s="17" t="s">
        <v>152</v>
      </c>
      <c r="D902" s="54">
        <v>10</v>
      </c>
      <c r="E902" s="55">
        <v>1</v>
      </c>
      <c r="F902" s="54">
        <v>10</v>
      </c>
      <c r="G902" s="33">
        <v>17.04</v>
      </c>
      <c r="H902" s="554" t="s">
        <v>195</v>
      </c>
    </row>
    <row r="903" spans="1:8" ht="15">
      <c r="A903" s="17">
        <v>11700</v>
      </c>
      <c r="B903" s="19">
        <v>18</v>
      </c>
      <c r="C903" s="17" t="s">
        <v>26</v>
      </c>
      <c r="D903" s="54">
        <v>10</v>
      </c>
      <c r="E903" s="55">
        <v>1</v>
      </c>
      <c r="F903" s="54">
        <v>10</v>
      </c>
      <c r="G903" s="33">
        <v>17.04</v>
      </c>
      <c r="H903" s="554" t="s">
        <v>195</v>
      </c>
    </row>
    <row r="904" spans="1:8" ht="15">
      <c r="A904" s="17">
        <v>11700</v>
      </c>
      <c r="B904" s="19">
        <v>18</v>
      </c>
      <c r="C904" s="17" t="s">
        <v>1881</v>
      </c>
      <c r="D904" s="54">
        <v>10</v>
      </c>
      <c r="E904" s="55">
        <v>1</v>
      </c>
      <c r="F904" s="54">
        <v>10</v>
      </c>
      <c r="G904" s="33">
        <v>17.04</v>
      </c>
      <c r="H904" s="554" t="s">
        <v>195</v>
      </c>
    </row>
    <row r="905" spans="1:8" ht="15">
      <c r="A905" s="17">
        <v>11700</v>
      </c>
      <c r="B905" s="19">
        <v>18</v>
      </c>
      <c r="C905" s="17" t="s">
        <v>149</v>
      </c>
      <c r="D905" s="54">
        <v>10</v>
      </c>
      <c r="E905" s="55">
        <v>1</v>
      </c>
      <c r="F905" s="54">
        <v>10</v>
      </c>
      <c r="G905" s="33">
        <v>17.04</v>
      </c>
      <c r="H905" s="554" t="s">
        <v>195</v>
      </c>
    </row>
    <row r="906" spans="1:8" ht="15">
      <c r="A906" s="17">
        <v>11700</v>
      </c>
      <c r="B906" s="19">
        <v>18</v>
      </c>
      <c r="C906" s="17" t="s">
        <v>144</v>
      </c>
      <c r="D906" s="54">
        <v>10</v>
      </c>
      <c r="E906" s="55">
        <v>1</v>
      </c>
      <c r="F906" s="54">
        <v>10</v>
      </c>
      <c r="G906" s="33">
        <v>17.04</v>
      </c>
      <c r="H906" s="554" t="s">
        <v>195</v>
      </c>
    </row>
    <row r="907" spans="1:8" ht="15">
      <c r="A907" s="17">
        <v>11700</v>
      </c>
      <c r="B907" s="19">
        <v>18</v>
      </c>
      <c r="C907" s="17" t="s">
        <v>251</v>
      </c>
      <c r="D907" s="54">
        <v>10</v>
      </c>
      <c r="E907" s="55">
        <v>1</v>
      </c>
      <c r="F907" s="54">
        <v>10</v>
      </c>
      <c r="G907" s="33">
        <v>17.04</v>
      </c>
      <c r="H907" s="554" t="s">
        <v>195</v>
      </c>
    </row>
    <row r="908" spans="1:8" ht="15">
      <c r="A908" s="17">
        <v>11700</v>
      </c>
      <c r="B908" s="19">
        <v>18</v>
      </c>
      <c r="C908" s="17" t="s">
        <v>2392</v>
      </c>
      <c r="D908" s="54">
        <v>10</v>
      </c>
      <c r="E908" s="55">
        <v>1</v>
      </c>
      <c r="F908" s="54">
        <v>10</v>
      </c>
      <c r="G908" s="33">
        <v>17.04</v>
      </c>
      <c r="H908" s="554" t="s">
        <v>195</v>
      </c>
    </row>
    <row r="909" spans="1:8" ht="15">
      <c r="A909" s="17">
        <v>11700</v>
      </c>
      <c r="B909" s="19">
        <v>18</v>
      </c>
      <c r="C909" s="17" t="s">
        <v>1910</v>
      </c>
      <c r="D909" s="54">
        <v>10</v>
      </c>
      <c r="E909" s="55">
        <v>1</v>
      </c>
      <c r="F909" s="54">
        <v>10</v>
      </c>
      <c r="G909" s="33">
        <v>17.04</v>
      </c>
      <c r="H909" s="554" t="s">
        <v>195</v>
      </c>
    </row>
    <row r="910" spans="1:8" ht="15">
      <c r="A910" s="17">
        <v>11700</v>
      </c>
      <c r="B910" s="19">
        <v>18</v>
      </c>
      <c r="C910" s="17" t="s">
        <v>2393</v>
      </c>
      <c r="D910" s="54">
        <v>10</v>
      </c>
      <c r="E910" s="55">
        <v>1</v>
      </c>
      <c r="F910" s="54">
        <v>10</v>
      </c>
      <c r="G910" s="33">
        <v>17.04</v>
      </c>
      <c r="H910" s="554" t="s">
        <v>195</v>
      </c>
    </row>
    <row r="911" spans="1:8" ht="15">
      <c r="A911" s="17">
        <v>11700</v>
      </c>
      <c r="B911" s="19">
        <v>18</v>
      </c>
      <c r="C911" s="17" t="s">
        <v>117</v>
      </c>
      <c r="D911" s="54">
        <v>10</v>
      </c>
      <c r="E911" s="55">
        <v>1</v>
      </c>
      <c r="F911" s="54">
        <v>10</v>
      </c>
      <c r="G911" s="33">
        <v>17.04</v>
      </c>
      <c r="H911" s="554" t="s">
        <v>195</v>
      </c>
    </row>
    <row r="912" spans="1:8" ht="15">
      <c r="A912" s="17">
        <v>11700</v>
      </c>
      <c r="B912" s="19">
        <v>36</v>
      </c>
      <c r="C912" s="17" t="s">
        <v>2390</v>
      </c>
      <c r="D912" s="54">
        <v>10</v>
      </c>
      <c r="E912" s="55">
        <v>1</v>
      </c>
      <c r="F912" s="54">
        <v>10</v>
      </c>
      <c r="G912" s="33">
        <v>35.14</v>
      </c>
      <c r="H912" s="554" t="s">
        <v>195</v>
      </c>
    </row>
    <row r="913" spans="1:8" ht="15">
      <c r="A913" s="17">
        <v>11700</v>
      </c>
      <c r="B913" s="19">
        <v>36</v>
      </c>
      <c r="C913" s="17" t="s">
        <v>163</v>
      </c>
      <c r="D913" s="54">
        <v>10</v>
      </c>
      <c r="E913" s="55">
        <v>1</v>
      </c>
      <c r="F913" s="54">
        <v>10</v>
      </c>
      <c r="G913" s="33">
        <v>35.14</v>
      </c>
      <c r="H913" s="554" t="s">
        <v>195</v>
      </c>
    </row>
    <row r="914" spans="1:8" ht="15">
      <c r="A914" s="17">
        <v>11700</v>
      </c>
      <c r="B914" s="19">
        <v>36</v>
      </c>
      <c r="C914" s="17" t="s">
        <v>150</v>
      </c>
      <c r="D914" s="54">
        <v>10</v>
      </c>
      <c r="E914" s="55">
        <v>1</v>
      </c>
      <c r="F914" s="54">
        <v>10</v>
      </c>
      <c r="G914" s="33">
        <v>35.14</v>
      </c>
      <c r="H914" s="554" t="s">
        <v>195</v>
      </c>
    </row>
    <row r="915" spans="1:8" ht="15">
      <c r="A915" s="17">
        <v>11700</v>
      </c>
      <c r="B915" s="19">
        <v>36</v>
      </c>
      <c r="C915" s="17" t="s">
        <v>1977</v>
      </c>
      <c r="D915" s="54">
        <v>10</v>
      </c>
      <c r="E915" s="55">
        <v>1</v>
      </c>
      <c r="F915" s="54">
        <v>10</v>
      </c>
      <c r="G915" s="33">
        <v>35.14</v>
      </c>
      <c r="H915" s="554" t="s">
        <v>195</v>
      </c>
    </row>
    <row r="916" spans="1:8" ht="15">
      <c r="A916" s="17">
        <v>11700</v>
      </c>
      <c r="B916" s="19">
        <v>36</v>
      </c>
      <c r="C916" s="17" t="s">
        <v>2257</v>
      </c>
      <c r="D916" s="54">
        <v>10</v>
      </c>
      <c r="E916" s="55">
        <v>1</v>
      </c>
      <c r="F916" s="54">
        <v>10</v>
      </c>
      <c r="G916" s="33">
        <v>35.14</v>
      </c>
      <c r="H916" s="554" t="s">
        <v>195</v>
      </c>
    </row>
    <row r="917" spans="1:8" ht="15">
      <c r="A917" s="17">
        <v>11700</v>
      </c>
      <c r="B917" s="19">
        <v>36</v>
      </c>
      <c r="C917" s="17" t="s">
        <v>152</v>
      </c>
      <c r="D917" s="54">
        <v>10</v>
      </c>
      <c r="E917" s="55">
        <v>1</v>
      </c>
      <c r="F917" s="54">
        <v>10</v>
      </c>
      <c r="G917" s="33">
        <v>35.14</v>
      </c>
      <c r="H917" s="554" t="s">
        <v>195</v>
      </c>
    </row>
    <row r="918" spans="1:8" ht="15">
      <c r="A918" s="17">
        <v>11700</v>
      </c>
      <c r="B918" s="19">
        <v>36</v>
      </c>
      <c r="C918" s="17" t="s">
        <v>26</v>
      </c>
      <c r="D918" s="54">
        <v>10</v>
      </c>
      <c r="E918" s="55">
        <v>1</v>
      </c>
      <c r="F918" s="54">
        <v>10</v>
      </c>
      <c r="G918" s="33">
        <v>35.14</v>
      </c>
      <c r="H918" s="556" t="s">
        <v>2394</v>
      </c>
    </row>
    <row r="919" spans="1:8" ht="15">
      <c r="A919" s="17">
        <v>11700</v>
      </c>
      <c r="B919" s="19">
        <v>36</v>
      </c>
      <c r="C919" s="17" t="s">
        <v>1881</v>
      </c>
      <c r="D919" s="54">
        <v>10</v>
      </c>
      <c r="E919" s="55">
        <v>1</v>
      </c>
      <c r="F919" s="54">
        <v>10</v>
      </c>
      <c r="G919" s="33">
        <v>35.14</v>
      </c>
      <c r="H919" s="554" t="s">
        <v>195</v>
      </c>
    </row>
    <row r="920" spans="1:8" ht="15">
      <c r="A920" s="17">
        <v>11700</v>
      </c>
      <c r="B920" s="19">
        <v>36</v>
      </c>
      <c r="C920" s="17" t="s">
        <v>149</v>
      </c>
      <c r="D920" s="54">
        <v>10</v>
      </c>
      <c r="E920" s="55">
        <v>1</v>
      </c>
      <c r="F920" s="54">
        <v>10</v>
      </c>
      <c r="G920" s="33">
        <v>35.14</v>
      </c>
      <c r="H920" s="554" t="s">
        <v>195</v>
      </c>
    </row>
    <row r="921" spans="1:8" ht="15">
      <c r="A921" s="17">
        <v>11700</v>
      </c>
      <c r="B921" s="19">
        <v>36</v>
      </c>
      <c r="C921" s="17" t="s">
        <v>144</v>
      </c>
      <c r="D921" s="54">
        <v>10</v>
      </c>
      <c r="E921" s="55">
        <v>1</v>
      </c>
      <c r="F921" s="54">
        <v>10</v>
      </c>
      <c r="G921" s="33">
        <v>35.14</v>
      </c>
      <c r="H921" s="554" t="s">
        <v>195</v>
      </c>
    </row>
    <row r="922" spans="1:8" ht="15">
      <c r="A922" s="17">
        <v>11700</v>
      </c>
      <c r="B922" s="19">
        <v>36</v>
      </c>
      <c r="C922" s="17" t="s">
        <v>251</v>
      </c>
      <c r="D922" s="54">
        <v>10</v>
      </c>
      <c r="E922" s="55">
        <v>1</v>
      </c>
      <c r="F922" s="54">
        <v>10</v>
      </c>
      <c r="G922" s="33">
        <v>35.14</v>
      </c>
      <c r="H922" s="554" t="s">
        <v>195</v>
      </c>
    </row>
    <row r="923" spans="1:8" ht="15">
      <c r="A923" s="17">
        <v>11700</v>
      </c>
      <c r="B923" s="19">
        <v>36</v>
      </c>
      <c r="C923" s="17" t="s">
        <v>2392</v>
      </c>
      <c r="D923" s="54">
        <v>10</v>
      </c>
      <c r="E923" s="55">
        <v>1</v>
      </c>
      <c r="F923" s="54">
        <v>10</v>
      </c>
      <c r="G923" s="33">
        <v>35.14</v>
      </c>
      <c r="H923" s="556" t="s">
        <v>2395</v>
      </c>
    </row>
    <row r="924" spans="1:8" ht="15">
      <c r="A924" s="17">
        <v>11700</v>
      </c>
      <c r="B924" s="19">
        <v>36</v>
      </c>
      <c r="C924" s="17" t="s">
        <v>1910</v>
      </c>
      <c r="D924" s="54">
        <v>10</v>
      </c>
      <c r="E924" s="55">
        <v>1</v>
      </c>
      <c r="F924" s="54">
        <v>10</v>
      </c>
      <c r="G924" s="33">
        <v>35.14</v>
      </c>
      <c r="H924" s="554" t="s">
        <v>195</v>
      </c>
    </row>
    <row r="925" spans="1:8" ht="15">
      <c r="A925" s="17">
        <v>11700</v>
      </c>
      <c r="B925" s="19">
        <v>36</v>
      </c>
      <c r="C925" s="17" t="s">
        <v>2393</v>
      </c>
      <c r="D925" s="54">
        <v>10</v>
      </c>
      <c r="E925" s="55">
        <v>1</v>
      </c>
      <c r="F925" s="54">
        <v>10</v>
      </c>
      <c r="G925" s="33">
        <v>35.14</v>
      </c>
      <c r="H925" s="554" t="s">
        <v>195</v>
      </c>
    </row>
    <row r="926" spans="1:8" ht="15">
      <c r="A926" s="17">
        <v>11700</v>
      </c>
      <c r="B926" s="19">
        <v>36</v>
      </c>
      <c r="C926" s="17" t="s">
        <v>117</v>
      </c>
      <c r="D926" s="54">
        <v>10</v>
      </c>
      <c r="E926" s="55">
        <v>1</v>
      </c>
      <c r="F926" s="54">
        <v>10</v>
      </c>
      <c r="G926" s="33">
        <v>35.14</v>
      </c>
      <c r="H926" s="554" t="s">
        <v>195</v>
      </c>
    </row>
    <row r="930" spans="1:17" ht="15.75">
      <c r="A930" s="76" t="s">
        <v>1995</v>
      </c>
      <c r="B930" s="78" t="s">
        <v>94</v>
      </c>
      <c r="C930" s="78" t="s">
        <v>110</v>
      </c>
      <c r="D930" s="96" t="s">
        <v>2366</v>
      </c>
      <c r="E930" s="5"/>
      <c r="F930" s="5"/>
    </row>
    <row r="931" spans="1:17" ht="15">
      <c r="A931" s="17" t="s">
        <v>2396</v>
      </c>
      <c r="B931" s="31" t="s">
        <v>95</v>
      </c>
      <c r="C931" s="100">
        <v>54.8</v>
      </c>
      <c r="D931" s="505" t="s">
        <v>2397</v>
      </c>
      <c r="E931" s="5">
        <v>319</v>
      </c>
      <c r="F931" s="8" t="s">
        <v>2398</v>
      </c>
    </row>
    <row r="932" spans="1:17" ht="15.75">
      <c r="A932" s="76" t="s">
        <v>1995</v>
      </c>
      <c r="B932" s="78" t="s">
        <v>94</v>
      </c>
      <c r="C932" s="78" t="s">
        <v>110</v>
      </c>
      <c r="D932" s="96" t="s">
        <v>2366</v>
      </c>
      <c r="E932" s="5"/>
      <c r="F932" s="8"/>
    </row>
    <row r="933" spans="1:17" ht="15">
      <c r="A933" s="17" t="s">
        <v>2399</v>
      </c>
      <c r="B933" s="31" t="s">
        <v>95</v>
      </c>
      <c r="C933" s="100">
        <v>54.8</v>
      </c>
      <c r="D933" s="505" t="s">
        <v>2400</v>
      </c>
      <c r="E933" s="5">
        <v>253</v>
      </c>
      <c r="F933" s="8" t="s">
        <v>2401</v>
      </c>
    </row>
    <row r="934" spans="1:17" ht="15.75">
      <c r="A934" s="76" t="s">
        <v>1995</v>
      </c>
      <c r="B934" s="78" t="s">
        <v>94</v>
      </c>
      <c r="C934" s="78" t="s">
        <v>110</v>
      </c>
      <c r="D934" s="96" t="s">
        <v>2366</v>
      </c>
      <c r="E934" s="5"/>
      <c r="F934" s="8"/>
    </row>
    <row r="935" spans="1:17" ht="15">
      <c r="A935" s="17" t="s">
        <v>2402</v>
      </c>
      <c r="B935" s="31" t="s">
        <v>95</v>
      </c>
      <c r="C935" s="100">
        <v>54.8</v>
      </c>
      <c r="D935" s="505" t="s">
        <v>2403</v>
      </c>
    </row>
    <row r="937" spans="1:17" s="5" customFormat="1" ht="15">
      <c r="A937" s="76" t="s">
        <v>189</v>
      </c>
      <c r="B937" s="76" t="s">
        <v>1995</v>
      </c>
      <c r="C937" s="78" t="s">
        <v>32</v>
      </c>
      <c r="D937" s="78" t="s">
        <v>94</v>
      </c>
      <c r="E937" s="78" t="s">
        <v>110</v>
      </c>
      <c r="F937" s="78" t="s">
        <v>2000</v>
      </c>
      <c r="G937" s="507" t="s">
        <v>2001</v>
      </c>
      <c r="H937" s="78" t="s">
        <v>2268</v>
      </c>
      <c r="I937" s="9"/>
      <c r="J937" s="7"/>
      <c r="K937" s="9"/>
      <c r="L937" s="4" t="s">
        <v>3</v>
      </c>
      <c r="M937" s="112"/>
      <c r="N937" s="112"/>
    </row>
    <row r="938" spans="1:17" s="5" customFormat="1" ht="15.75" customHeight="1">
      <c r="A938" s="4" t="s">
        <v>2404</v>
      </c>
      <c r="B938" s="17" t="s">
        <v>2005</v>
      </c>
      <c r="C938" s="19"/>
      <c r="D938" s="17" t="s">
        <v>113</v>
      </c>
      <c r="E938" s="6">
        <f>F938*G938</f>
        <v>210</v>
      </c>
      <c r="F938" s="41">
        <v>14</v>
      </c>
      <c r="G938" s="26">
        <v>15</v>
      </c>
      <c r="H938" s="33">
        <v>1.99</v>
      </c>
      <c r="I938" s="27"/>
      <c r="J938" s="28"/>
      <c r="K938" s="121"/>
      <c r="L938" s="4"/>
      <c r="M938" s="33">
        <v>1.59</v>
      </c>
      <c r="N938" s="9"/>
      <c r="O938" s="5" t="s">
        <v>2405</v>
      </c>
      <c r="P938" s="8"/>
    </row>
    <row r="939" spans="1:17" s="5" customFormat="1" ht="15.75" customHeight="1">
      <c r="A939" s="4" t="s">
        <v>2404</v>
      </c>
      <c r="B939" s="17" t="s">
        <v>178</v>
      </c>
      <c r="C939" s="19"/>
      <c r="D939" s="17" t="s">
        <v>55</v>
      </c>
      <c r="E939" s="6">
        <f>F939*G939</f>
        <v>98</v>
      </c>
      <c r="F939" s="41">
        <v>14</v>
      </c>
      <c r="G939" s="26">
        <v>7</v>
      </c>
      <c r="H939" s="33">
        <v>1.99</v>
      </c>
      <c r="I939" s="27"/>
      <c r="J939" s="28"/>
      <c r="K939" s="121"/>
      <c r="L939" s="4"/>
      <c r="M939" s="33">
        <v>1.59</v>
      </c>
      <c r="N939" s="9"/>
      <c r="O939" s="5">
        <v>71</v>
      </c>
      <c r="P939" s="8" t="s">
        <v>93</v>
      </c>
      <c r="Q939" s="5" t="s">
        <v>2405</v>
      </c>
    </row>
    <row r="940" spans="1:17" s="5" customFormat="1" ht="15.95" customHeight="1">
      <c r="A940" s="4" t="s">
        <v>2404</v>
      </c>
      <c r="B940" s="17" t="s">
        <v>2406</v>
      </c>
      <c r="C940" s="31"/>
      <c r="D940" s="31" t="s">
        <v>113</v>
      </c>
      <c r="E940" s="117">
        <f>F940*G940</f>
        <v>68.5</v>
      </c>
      <c r="F940" s="100">
        <v>13.7</v>
      </c>
      <c r="G940" s="101">
        <v>5</v>
      </c>
      <c r="H940" s="33">
        <v>1.99</v>
      </c>
      <c r="I940" s="27"/>
      <c r="J940" s="28"/>
      <c r="K940" s="121"/>
      <c r="L940" s="4"/>
      <c r="M940" s="33">
        <v>1.59</v>
      </c>
      <c r="N940" s="9"/>
      <c r="O940" s="5" t="s">
        <v>2405</v>
      </c>
      <c r="P940" s="8"/>
    </row>
    <row r="941" spans="1:17" s="5" customFormat="1" ht="18" customHeight="1">
      <c r="A941" s="4" t="s">
        <v>2404</v>
      </c>
      <c r="B941" s="17" t="s">
        <v>61</v>
      </c>
      <c r="C941" s="31"/>
      <c r="D941" s="31" t="s">
        <v>2407</v>
      </c>
      <c r="E941" s="13">
        <f>F941*G941</f>
        <v>95.899999999999991</v>
      </c>
      <c r="F941" s="100">
        <v>13.7</v>
      </c>
      <c r="G941" s="101">
        <v>7</v>
      </c>
      <c r="H941" s="33">
        <v>2.4</v>
      </c>
      <c r="I941" s="27"/>
      <c r="J941" s="28"/>
      <c r="K941" s="121"/>
      <c r="L941" s="4"/>
      <c r="M941" s="33">
        <v>1.92</v>
      </c>
      <c r="N941" s="557"/>
      <c r="O941" s="5" t="s">
        <v>2408</v>
      </c>
      <c r="P941" s="5" t="s">
        <v>2409</v>
      </c>
    </row>
    <row r="942" spans="1:17" s="1" customFormat="1" ht="18" customHeight="1">
      <c r="A942" s="4" t="s">
        <v>2404</v>
      </c>
      <c r="B942" s="17">
        <v>2250</v>
      </c>
      <c r="C942" s="31">
        <v>18</v>
      </c>
      <c r="D942" s="31" t="s">
        <v>2410</v>
      </c>
      <c r="E942" s="6">
        <f>F942*G942</f>
        <v>180</v>
      </c>
      <c r="F942" s="100">
        <v>30</v>
      </c>
      <c r="G942" s="101">
        <v>6</v>
      </c>
      <c r="H942" s="33">
        <v>0.41</v>
      </c>
      <c r="I942" s="27"/>
      <c r="J942" s="28"/>
      <c r="K942" s="121"/>
      <c r="L942" s="4"/>
      <c r="M942" s="33">
        <v>0.33</v>
      </c>
      <c r="N942" s="33"/>
      <c r="O942" s="5">
        <v>24.5</v>
      </c>
      <c r="P942" s="495">
        <f>O942*F942</f>
        <v>735</v>
      </c>
      <c r="Q942" s="8"/>
    </row>
    <row r="943" spans="1:17" s="5" customFormat="1" ht="15">
      <c r="A943" s="4" t="s">
        <v>2404</v>
      </c>
      <c r="B943" s="17"/>
      <c r="C943" s="94"/>
      <c r="D943" s="17" t="s">
        <v>11</v>
      </c>
      <c r="E943" s="6"/>
      <c r="F943" s="6" t="s">
        <v>60</v>
      </c>
      <c r="G943" s="30"/>
      <c r="H943" s="33">
        <v>12</v>
      </c>
      <c r="I943" s="27"/>
      <c r="J943" s="28"/>
      <c r="K943" s="121"/>
      <c r="L943" s="4" t="s">
        <v>3</v>
      </c>
      <c r="M943" s="33">
        <v>12</v>
      </c>
      <c r="N943" s="16"/>
    </row>
    <row r="945" spans="1:8" ht="15">
      <c r="A945" s="76" t="s">
        <v>1995</v>
      </c>
      <c r="B945" s="78" t="s">
        <v>32</v>
      </c>
      <c r="C945" s="493" t="s">
        <v>2262</v>
      </c>
      <c r="D945" s="100"/>
      <c r="E945" s="6"/>
      <c r="F945" s="30"/>
    </row>
    <row r="946" spans="1:8" ht="15">
      <c r="A946" s="17" t="s">
        <v>2293</v>
      </c>
      <c r="B946" s="31">
        <v>36</v>
      </c>
      <c r="C946" s="154" t="s">
        <v>2294</v>
      </c>
      <c r="D946" s="6">
        <v>705</v>
      </c>
      <c r="E946" s="6">
        <v>700</v>
      </c>
      <c r="F946" s="6">
        <v>700</v>
      </c>
    </row>
    <row r="947" spans="1:8" ht="15">
      <c r="A947" s="76" t="s">
        <v>1995</v>
      </c>
      <c r="B947" s="78" t="s">
        <v>32</v>
      </c>
      <c r="C947" s="78" t="s">
        <v>94</v>
      </c>
      <c r="D947" s="78" t="s">
        <v>34</v>
      </c>
    </row>
    <row r="948" spans="1:8" ht="15">
      <c r="A948" s="17" t="s">
        <v>2411</v>
      </c>
      <c r="B948" s="19" t="s">
        <v>2412</v>
      </c>
      <c r="C948" s="17" t="s">
        <v>2413</v>
      </c>
      <c r="D948" s="6">
        <v>5</v>
      </c>
    </row>
    <row r="949" spans="1:8" ht="15">
      <c r="A949" s="17" t="s">
        <v>2411</v>
      </c>
      <c r="B949" s="19" t="s">
        <v>2412</v>
      </c>
      <c r="C949" s="17" t="s">
        <v>19</v>
      </c>
      <c r="D949" s="6">
        <v>5</v>
      </c>
    </row>
    <row r="952" spans="1:8" ht="15">
      <c r="A952" s="76" t="s">
        <v>189</v>
      </c>
      <c r="B952" s="76" t="s">
        <v>1995</v>
      </c>
      <c r="C952" s="78" t="s">
        <v>32</v>
      </c>
      <c r="D952" s="78" t="s">
        <v>94</v>
      </c>
      <c r="E952" s="78" t="s">
        <v>110</v>
      </c>
      <c r="F952" s="78" t="s">
        <v>2000</v>
      </c>
      <c r="G952" s="507" t="s">
        <v>2001</v>
      </c>
      <c r="H952" s="78" t="s">
        <v>2268</v>
      </c>
    </row>
    <row r="953" spans="1:8" ht="15">
      <c r="A953" s="4" t="s">
        <v>2414</v>
      </c>
      <c r="B953" s="17" t="s">
        <v>1997</v>
      </c>
      <c r="C953" s="10">
        <v>8</v>
      </c>
      <c r="D953" s="17" t="s">
        <v>113</v>
      </c>
      <c r="E953" s="100">
        <v>100</v>
      </c>
      <c r="F953" s="101">
        <v>2</v>
      </c>
      <c r="G953" s="6">
        <v>200</v>
      </c>
      <c r="H953" s="33">
        <v>0.78</v>
      </c>
    </row>
    <row r="954" spans="1:8" ht="15">
      <c r="A954" s="4" t="s">
        <v>2414</v>
      </c>
      <c r="B954" s="17"/>
      <c r="C954" s="10"/>
      <c r="D954" s="31" t="s">
        <v>2415</v>
      </c>
      <c r="E954" s="113"/>
      <c r="F954" s="113" t="s">
        <v>60</v>
      </c>
      <c r="G954" s="100"/>
      <c r="H954" s="33">
        <v>225</v>
      </c>
    </row>
    <row r="955" spans="1:8" ht="15">
      <c r="A955" s="4" t="s">
        <v>2414</v>
      </c>
      <c r="B955" s="17"/>
      <c r="C955" s="94"/>
      <c r="D955" s="17" t="s">
        <v>11</v>
      </c>
      <c r="E955" s="6"/>
      <c r="F955" s="6" t="s">
        <v>60</v>
      </c>
      <c r="G955" s="6"/>
      <c r="H955" s="33">
        <v>12</v>
      </c>
    </row>
    <row r="957" spans="1:8" ht="15">
      <c r="A957" s="76" t="s">
        <v>1995</v>
      </c>
      <c r="B957" s="78" t="s">
        <v>32</v>
      </c>
      <c r="C957" s="78" t="s">
        <v>94</v>
      </c>
      <c r="D957" s="78" t="s">
        <v>2000</v>
      </c>
      <c r="E957" s="507" t="s">
        <v>2001</v>
      </c>
      <c r="F957" s="78" t="s">
        <v>110</v>
      </c>
      <c r="G957" s="78" t="s">
        <v>2268</v>
      </c>
    </row>
    <row r="958" spans="1:8" ht="15">
      <c r="A958" s="17" t="s">
        <v>2305</v>
      </c>
      <c r="B958" s="19">
        <v>10</v>
      </c>
      <c r="C958" s="17" t="s">
        <v>1897</v>
      </c>
      <c r="D958" s="100">
        <v>100</v>
      </c>
      <c r="E958" s="101">
        <v>3</v>
      </c>
      <c r="F958" s="6">
        <f>D958*E958</f>
        <v>300</v>
      </c>
      <c r="G958" s="33">
        <v>0.87</v>
      </c>
    </row>
    <row r="959" spans="1:8" ht="15">
      <c r="A959" s="17"/>
      <c r="B959" s="10"/>
      <c r="C959" s="31" t="s">
        <v>2416</v>
      </c>
      <c r="D959" s="113"/>
      <c r="E959" s="113" t="s">
        <v>60</v>
      </c>
      <c r="F959" s="100"/>
      <c r="G959" s="33">
        <v>437.5</v>
      </c>
    </row>
    <row r="961" spans="1:7" ht="15.75">
      <c r="A961" s="76" t="s">
        <v>1995</v>
      </c>
      <c r="B961" s="78" t="s">
        <v>94</v>
      </c>
      <c r="C961" s="78" t="s">
        <v>2000</v>
      </c>
      <c r="D961" s="507" t="s">
        <v>2001</v>
      </c>
      <c r="E961" s="78" t="s">
        <v>110</v>
      </c>
      <c r="F961" s="96" t="s">
        <v>2366</v>
      </c>
      <c r="G961" s="102" t="s">
        <v>96</v>
      </c>
    </row>
    <row r="962" spans="1:7" ht="15">
      <c r="A962" s="17" t="s">
        <v>2054</v>
      </c>
      <c r="B962" s="31" t="s">
        <v>119</v>
      </c>
      <c r="C962" s="100">
        <v>13.7</v>
      </c>
      <c r="D962" s="101">
        <v>2</v>
      </c>
      <c r="E962" s="100">
        <f>C962*D962</f>
        <v>27.4</v>
      </c>
      <c r="F962" s="505" t="s">
        <v>2417</v>
      </c>
    </row>
    <row r="963" spans="1:7" ht="15">
      <c r="A963" s="17" t="s">
        <v>1924</v>
      </c>
      <c r="B963" s="31" t="s">
        <v>1925</v>
      </c>
      <c r="C963" s="100">
        <v>13.7</v>
      </c>
      <c r="D963" s="101">
        <v>2</v>
      </c>
      <c r="E963" s="100">
        <f>C963*D963</f>
        <v>27.4</v>
      </c>
      <c r="F963" s="505" t="s">
        <v>2417</v>
      </c>
    </row>
    <row r="966" spans="1:7" ht="15.75">
      <c r="A966" s="76" t="s">
        <v>1995</v>
      </c>
      <c r="B966" s="78" t="s">
        <v>94</v>
      </c>
      <c r="C966" s="78" t="s">
        <v>34</v>
      </c>
      <c r="D966" s="96" t="s">
        <v>2366</v>
      </c>
    </row>
    <row r="967" spans="1:7" ht="15">
      <c r="A967" s="17" t="s">
        <v>1923</v>
      </c>
      <c r="B967" s="31" t="s">
        <v>55</v>
      </c>
      <c r="C967" s="117">
        <v>27.4</v>
      </c>
      <c r="D967" s="505" t="s">
        <v>2418</v>
      </c>
    </row>
    <row r="968" spans="1:7" ht="15">
      <c r="A968" s="17"/>
      <c r="B968" s="17" t="s">
        <v>11</v>
      </c>
      <c r="C968" s="6"/>
      <c r="D968" s="33">
        <v>12</v>
      </c>
    </row>
    <row r="971" spans="1:7" ht="15">
      <c r="A971" s="76" t="s">
        <v>1995</v>
      </c>
      <c r="B971" s="76" t="s">
        <v>158</v>
      </c>
      <c r="C971" s="76" t="s">
        <v>94</v>
      </c>
      <c r="D971" s="76" t="s">
        <v>34</v>
      </c>
      <c r="E971" s="81" t="s">
        <v>2419</v>
      </c>
      <c r="F971" s="174"/>
      <c r="G971" s="185"/>
    </row>
    <row r="972" spans="1:7" ht="15">
      <c r="A972" s="17">
        <v>14552</v>
      </c>
      <c r="B972" s="19">
        <v>10</v>
      </c>
      <c r="C972" s="17" t="s">
        <v>224</v>
      </c>
      <c r="D972" s="6">
        <v>180</v>
      </c>
      <c r="E972" s="558" t="s">
        <v>2420</v>
      </c>
      <c r="F972" s="100">
        <v>30</v>
      </c>
      <c r="G972" s="101">
        <v>6</v>
      </c>
    </row>
    <row r="973" spans="1:7" ht="15">
      <c r="A973" s="17">
        <v>14552</v>
      </c>
      <c r="B973" s="19">
        <v>10</v>
      </c>
      <c r="C973" s="17" t="s">
        <v>2421</v>
      </c>
      <c r="D973" s="6">
        <v>90</v>
      </c>
      <c r="E973" s="558" t="s">
        <v>2422</v>
      </c>
      <c r="F973" s="100">
        <v>30</v>
      </c>
      <c r="G973" s="101">
        <v>3</v>
      </c>
    </row>
    <row r="976" spans="1:7" ht="15">
      <c r="A976" s="76" t="s">
        <v>1995</v>
      </c>
      <c r="B976" s="76" t="s">
        <v>158</v>
      </c>
      <c r="C976" s="76" t="s">
        <v>94</v>
      </c>
      <c r="D976" s="78" t="s">
        <v>2000</v>
      </c>
      <c r="E976" s="507" t="s">
        <v>2001</v>
      </c>
      <c r="F976" s="78" t="s">
        <v>110</v>
      </c>
      <c r="G976" s="78" t="s">
        <v>2268</v>
      </c>
    </row>
    <row r="977" spans="1:7" ht="15">
      <c r="A977" s="17" t="s">
        <v>2423</v>
      </c>
      <c r="B977" s="31">
        <v>20</v>
      </c>
      <c r="C977" s="17" t="s">
        <v>2424</v>
      </c>
      <c r="D977" s="6">
        <v>30</v>
      </c>
      <c r="E977" s="30">
        <v>2</v>
      </c>
      <c r="F977" s="100">
        <f>D977*E977</f>
        <v>60</v>
      </c>
      <c r="G977" s="33">
        <v>1.2</v>
      </c>
    </row>
    <row r="978" spans="1:7" ht="15">
      <c r="A978" s="17" t="s">
        <v>2423</v>
      </c>
      <c r="B978" s="31">
        <v>20</v>
      </c>
      <c r="C978" s="17" t="s">
        <v>2425</v>
      </c>
      <c r="D978" s="6">
        <v>30</v>
      </c>
      <c r="E978" s="30">
        <v>3</v>
      </c>
      <c r="F978" s="100">
        <f>D978*E978</f>
        <v>90</v>
      </c>
      <c r="G978" s="33">
        <v>1.2</v>
      </c>
    </row>
    <row r="979" spans="1:7" ht="15">
      <c r="A979" s="17"/>
      <c r="B979" s="94"/>
      <c r="C979" s="17" t="s">
        <v>2426</v>
      </c>
      <c r="D979" s="6"/>
      <c r="E979" s="6" t="s">
        <v>102</v>
      </c>
      <c r="F979" s="6"/>
      <c r="G979" s="33">
        <v>315</v>
      </c>
    </row>
    <row r="980" spans="1:7" ht="15">
      <c r="A980" s="17" t="s">
        <v>2427</v>
      </c>
      <c r="B980" s="31">
        <v>25</v>
      </c>
      <c r="C980" s="17" t="s">
        <v>2428</v>
      </c>
      <c r="D980" s="6">
        <v>30</v>
      </c>
      <c r="E980" s="30">
        <v>2</v>
      </c>
      <c r="F980" s="100">
        <f>D980*E980</f>
        <v>60</v>
      </c>
      <c r="G980" s="33">
        <v>1.92</v>
      </c>
    </row>
    <row r="981" spans="1:7" ht="15">
      <c r="A981" s="17" t="s">
        <v>2427</v>
      </c>
      <c r="B981" s="31">
        <v>25</v>
      </c>
      <c r="C981" s="17" t="s">
        <v>2429</v>
      </c>
      <c r="D981" s="6">
        <v>30</v>
      </c>
      <c r="E981" s="30">
        <v>3</v>
      </c>
      <c r="F981" s="100">
        <f>D981*E981</f>
        <v>90</v>
      </c>
      <c r="G981" s="33">
        <v>1.92</v>
      </c>
    </row>
    <row r="984" spans="1:7" ht="15">
      <c r="A984" s="76" t="s">
        <v>1995</v>
      </c>
      <c r="B984" s="76" t="s">
        <v>158</v>
      </c>
      <c r="C984" s="76" t="s">
        <v>94</v>
      </c>
      <c r="D984" s="78" t="s">
        <v>34</v>
      </c>
      <c r="E984" s="78" t="s">
        <v>2268</v>
      </c>
      <c r="F984" s="78" t="s">
        <v>2268</v>
      </c>
    </row>
    <row r="985" spans="1:7" ht="15.75">
      <c r="A985" s="17" t="s">
        <v>2198</v>
      </c>
      <c r="B985" s="10">
        <v>10</v>
      </c>
      <c r="C985" s="17" t="s">
        <v>2430</v>
      </c>
      <c r="D985" s="100">
        <v>100</v>
      </c>
      <c r="E985" s="33">
        <v>0.97</v>
      </c>
      <c r="F985" s="125" t="s">
        <v>2431</v>
      </c>
    </row>
    <row r="986" spans="1:7" ht="15.75">
      <c r="A986" s="43"/>
      <c r="B986" s="10"/>
      <c r="C986" s="17" t="s">
        <v>2432</v>
      </c>
      <c r="D986" s="113" t="s">
        <v>60</v>
      </c>
      <c r="E986" s="33">
        <v>437.5</v>
      </c>
      <c r="F986" s="125" t="s">
        <v>2431</v>
      </c>
    </row>
    <row r="990" spans="1:7" ht="15.75">
      <c r="A990" s="76" t="s">
        <v>1995</v>
      </c>
      <c r="B990" s="76" t="s">
        <v>94</v>
      </c>
      <c r="C990" s="78" t="s">
        <v>2000</v>
      </c>
      <c r="D990" s="507" t="s">
        <v>2001</v>
      </c>
      <c r="E990" s="78" t="s">
        <v>110</v>
      </c>
      <c r="F990" s="102" t="s">
        <v>96</v>
      </c>
    </row>
    <row r="991" spans="1:7" ht="15">
      <c r="A991" s="17" t="s">
        <v>2399</v>
      </c>
      <c r="B991" s="31" t="s">
        <v>95</v>
      </c>
      <c r="C991" s="100">
        <v>13.7</v>
      </c>
      <c r="D991" s="101">
        <v>17</v>
      </c>
      <c r="E991" s="117">
        <v>232.89999999999998</v>
      </c>
      <c r="F991" s="33">
        <v>5.14</v>
      </c>
    </row>
    <row r="992" spans="1:7" ht="15">
      <c r="A992" s="17" t="s">
        <v>2399</v>
      </c>
      <c r="B992" s="31" t="s">
        <v>95</v>
      </c>
      <c r="C992" s="100">
        <v>13.7</v>
      </c>
      <c r="D992" s="101">
        <v>34</v>
      </c>
      <c r="E992" s="117">
        <v>465.79999999999995</v>
      </c>
      <c r="F992" s="33">
        <v>5.14</v>
      </c>
    </row>
    <row r="993" spans="1:6" ht="15">
      <c r="A993" s="17" t="s">
        <v>2396</v>
      </c>
      <c r="B993" s="31" t="s">
        <v>95</v>
      </c>
      <c r="C993" s="100">
        <v>13.7</v>
      </c>
      <c r="D993" s="101">
        <v>43</v>
      </c>
      <c r="E993" s="100">
        <v>589.1</v>
      </c>
      <c r="F993" s="33">
        <v>5.84</v>
      </c>
    </row>
    <row r="995" spans="1:6" ht="15">
      <c r="A995" s="76" t="s">
        <v>1995</v>
      </c>
      <c r="B995" s="76" t="s">
        <v>94</v>
      </c>
      <c r="C995" s="78" t="s">
        <v>110</v>
      </c>
    </row>
    <row r="996" spans="1:6" ht="15">
      <c r="A996" s="17" t="s">
        <v>227</v>
      </c>
      <c r="B996" s="31" t="s">
        <v>95</v>
      </c>
      <c r="C996" s="6">
        <v>5</v>
      </c>
    </row>
    <row r="997" spans="1:6" ht="15">
      <c r="A997" s="17" t="s">
        <v>2433</v>
      </c>
      <c r="B997" s="31" t="s">
        <v>95</v>
      </c>
      <c r="C997" s="6">
        <v>5</v>
      </c>
    </row>
    <row r="998" spans="1:6" ht="15">
      <c r="A998" s="17" t="s">
        <v>145</v>
      </c>
      <c r="B998" s="31" t="s">
        <v>95</v>
      </c>
      <c r="C998" s="6">
        <v>5</v>
      </c>
    </row>
    <row r="999" spans="1:6" ht="15">
      <c r="A999" s="17" t="s">
        <v>259</v>
      </c>
      <c r="B999" s="31" t="s">
        <v>95</v>
      </c>
      <c r="C999" s="6">
        <v>5</v>
      </c>
    </row>
    <row r="1000" spans="1:6" ht="15">
      <c r="A1000" s="17" t="s">
        <v>215</v>
      </c>
      <c r="B1000" s="31" t="s">
        <v>95</v>
      </c>
      <c r="C1000" s="6">
        <v>5</v>
      </c>
    </row>
    <row r="1001" spans="1:6" ht="15">
      <c r="A1001" s="17" t="s">
        <v>2434</v>
      </c>
      <c r="B1001" s="31" t="s">
        <v>95</v>
      </c>
      <c r="C1001" s="6">
        <v>5</v>
      </c>
    </row>
    <row r="1002" spans="1:6" ht="15">
      <c r="A1002" s="17" t="s">
        <v>2435</v>
      </c>
      <c r="B1002" s="31" t="s">
        <v>95</v>
      </c>
      <c r="C1002" s="6">
        <v>5</v>
      </c>
    </row>
    <row r="1003" spans="1:6" ht="15">
      <c r="A1003" s="17" t="s">
        <v>228</v>
      </c>
      <c r="B1003" s="31" t="s">
        <v>95</v>
      </c>
      <c r="C1003" s="117">
        <v>13.7</v>
      </c>
    </row>
    <row r="1006" spans="1:6" ht="15">
      <c r="A1006" s="76" t="s">
        <v>1995</v>
      </c>
      <c r="B1006" s="76" t="s">
        <v>94</v>
      </c>
      <c r="C1006" s="78" t="s">
        <v>110</v>
      </c>
      <c r="D1006" s="78" t="s">
        <v>141</v>
      </c>
    </row>
    <row r="1007" spans="1:6" ht="15">
      <c r="A1007" s="17" t="s">
        <v>2436</v>
      </c>
      <c r="B1007" s="31" t="s">
        <v>2437</v>
      </c>
      <c r="C1007" s="6">
        <v>1592</v>
      </c>
      <c r="D1007" s="81" t="s">
        <v>2438</v>
      </c>
    </row>
    <row r="1008" spans="1:6" ht="15">
      <c r="A1008" s="75" t="s">
        <v>2436</v>
      </c>
      <c r="B1008" s="31" t="s">
        <v>2439</v>
      </c>
      <c r="C1008" s="6">
        <v>1958</v>
      </c>
      <c r="D1008" s="559" t="s">
        <v>2440</v>
      </c>
    </row>
    <row r="1009" spans="1:4" ht="15">
      <c r="A1009" s="17" t="s">
        <v>2436</v>
      </c>
      <c r="B1009" s="31" t="s">
        <v>95</v>
      </c>
      <c r="C1009" s="6">
        <v>7965</v>
      </c>
      <c r="D1009" s="81" t="s">
        <v>2441</v>
      </c>
    </row>
    <row r="1010" spans="1:4" ht="15">
      <c r="A1010" s="75" t="s">
        <v>2436</v>
      </c>
      <c r="B1010" s="31" t="s">
        <v>95</v>
      </c>
      <c r="C1010" s="6">
        <v>3110</v>
      </c>
      <c r="D1010" s="559" t="s">
        <v>2440</v>
      </c>
    </row>
    <row r="1011" spans="1:4" ht="15.75" customHeight="1">
      <c r="A1011" s="17" t="s">
        <v>2442</v>
      </c>
      <c r="B1011" s="31" t="s">
        <v>2437</v>
      </c>
      <c r="C1011" s="6">
        <v>807</v>
      </c>
      <c r="D1011" s="81" t="s">
        <v>2438</v>
      </c>
    </row>
    <row r="1012" spans="1:4" ht="15">
      <c r="A1012" s="75" t="s">
        <v>2442</v>
      </c>
      <c r="B1012" s="31" t="s">
        <v>2439</v>
      </c>
      <c r="C1012" s="6">
        <v>753</v>
      </c>
      <c r="D1012" s="559" t="s">
        <v>2440</v>
      </c>
    </row>
    <row r="1013" spans="1:4" ht="15">
      <c r="A1013" s="17" t="s">
        <v>2442</v>
      </c>
      <c r="B1013" s="31" t="s">
        <v>95</v>
      </c>
      <c r="C1013" s="6">
        <v>3453</v>
      </c>
      <c r="D1013" s="81" t="s">
        <v>2441</v>
      </c>
    </row>
    <row r="1014" spans="1:4" ht="15">
      <c r="A1014" s="75" t="s">
        <v>2442</v>
      </c>
      <c r="B1014" s="31" t="s">
        <v>95</v>
      </c>
      <c r="C1014" s="6">
        <v>1347</v>
      </c>
      <c r="D1014" s="559" t="s">
        <v>2440</v>
      </c>
    </row>
    <row r="1015" spans="1:4" ht="15">
      <c r="A1015" s="17" t="s">
        <v>2183</v>
      </c>
      <c r="B1015" s="31" t="s">
        <v>113</v>
      </c>
      <c r="C1015" s="100">
        <v>502</v>
      </c>
      <c r="D1015" s="81" t="s">
        <v>2441</v>
      </c>
    </row>
    <row r="1016" spans="1:4" ht="15.75">
      <c r="A1016" s="75" t="s">
        <v>2183</v>
      </c>
      <c r="B1016" s="31" t="s">
        <v>2443</v>
      </c>
      <c r="C1016" s="560" t="s">
        <v>2444</v>
      </c>
      <c r="D1016" s="559" t="s">
        <v>2445</v>
      </c>
    </row>
    <row r="1018" spans="1:4" ht="15">
      <c r="A1018" s="76" t="s">
        <v>1995</v>
      </c>
      <c r="B1018" s="76" t="s">
        <v>94</v>
      </c>
      <c r="C1018" s="78" t="s">
        <v>110</v>
      </c>
      <c r="D1018" s="78" t="s">
        <v>2268</v>
      </c>
    </row>
    <row r="1019" spans="1:4" ht="15">
      <c r="A1019" s="17" t="s">
        <v>2446</v>
      </c>
      <c r="B1019" s="31" t="s">
        <v>95</v>
      </c>
      <c r="C1019" s="6">
        <v>3</v>
      </c>
      <c r="D1019" s="33">
        <v>4</v>
      </c>
    </row>
    <row r="1020" spans="1:4" ht="15">
      <c r="A1020" s="17" t="s">
        <v>2447</v>
      </c>
      <c r="B1020" s="31" t="s">
        <v>95</v>
      </c>
      <c r="C1020" s="6">
        <v>5</v>
      </c>
      <c r="D1020" s="33">
        <v>1.34</v>
      </c>
    </row>
    <row r="1021" spans="1:4" ht="15">
      <c r="A1021" s="17" t="s">
        <v>227</v>
      </c>
      <c r="B1021" s="31" t="s">
        <v>95</v>
      </c>
      <c r="C1021" s="6">
        <v>5</v>
      </c>
      <c r="D1021" s="33">
        <v>1.64</v>
      </c>
    </row>
    <row r="1022" spans="1:4" ht="15">
      <c r="A1022" s="17" t="s">
        <v>2433</v>
      </c>
      <c r="B1022" s="31" t="s">
        <v>95</v>
      </c>
      <c r="C1022" s="6">
        <v>5</v>
      </c>
      <c r="D1022" s="33">
        <v>1.42</v>
      </c>
    </row>
    <row r="1023" spans="1:4" ht="15">
      <c r="A1023" s="17" t="s">
        <v>145</v>
      </c>
      <c r="B1023" s="31" t="s">
        <v>95</v>
      </c>
      <c r="C1023" s="6">
        <v>5</v>
      </c>
      <c r="D1023" s="33">
        <v>1.59</v>
      </c>
    </row>
    <row r="1024" spans="1:4" ht="15">
      <c r="A1024" s="17" t="s">
        <v>259</v>
      </c>
      <c r="B1024" s="31" t="s">
        <v>95</v>
      </c>
      <c r="C1024" s="6">
        <v>5</v>
      </c>
      <c r="D1024" s="33">
        <v>2.17</v>
      </c>
    </row>
    <row r="1025" spans="1:7" ht="15">
      <c r="A1025" s="17" t="s">
        <v>215</v>
      </c>
      <c r="B1025" s="31" t="s">
        <v>95</v>
      </c>
      <c r="C1025" s="6">
        <v>5</v>
      </c>
      <c r="D1025" s="33">
        <v>2.44</v>
      </c>
    </row>
    <row r="1026" spans="1:7" ht="15">
      <c r="A1026" s="17" t="s">
        <v>2434</v>
      </c>
      <c r="B1026" s="31" t="s">
        <v>95</v>
      </c>
      <c r="C1026" s="6">
        <v>5</v>
      </c>
      <c r="D1026" s="33">
        <v>1.25</v>
      </c>
    </row>
    <row r="1027" spans="1:7" ht="15">
      <c r="A1027" s="17" t="s">
        <v>2435</v>
      </c>
      <c r="B1027" s="31" t="s">
        <v>95</v>
      </c>
      <c r="C1027" s="6">
        <v>5</v>
      </c>
      <c r="D1027" s="33">
        <v>1.1499999999999999</v>
      </c>
    </row>
    <row r="1028" spans="1:7" ht="15">
      <c r="A1028" s="17" t="s">
        <v>228</v>
      </c>
      <c r="B1028" s="31" t="s">
        <v>95</v>
      </c>
      <c r="C1028" s="117">
        <v>13.7</v>
      </c>
      <c r="D1028" s="33">
        <v>1.44</v>
      </c>
    </row>
    <row r="1029" spans="1:7" ht="15">
      <c r="A1029" s="17" t="s">
        <v>11</v>
      </c>
      <c r="B1029" s="6"/>
      <c r="C1029" s="6" t="s">
        <v>60</v>
      </c>
      <c r="D1029" s="33">
        <v>15</v>
      </c>
    </row>
    <row r="1031" spans="1:7" ht="15">
      <c r="A1031" s="9"/>
      <c r="B1031" s="76" t="s">
        <v>1995</v>
      </c>
      <c r="C1031" s="76" t="s">
        <v>158</v>
      </c>
      <c r="D1031" s="76" t="s">
        <v>94</v>
      </c>
      <c r="E1031" s="78" t="s">
        <v>2000</v>
      </c>
      <c r="F1031" s="507" t="s">
        <v>2001</v>
      </c>
      <c r="G1031" s="78" t="s">
        <v>110</v>
      </c>
    </row>
    <row r="1032" spans="1:7" ht="15">
      <c r="A1032" s="9" t="s">
        <v>2448</v>
      </c>
      <c r="B1032" s="17" t="s">
        <v>2449</v>
      </c>
      <c r="C1032" s="31">
        <v>9</v>
      </c>
      <c r="D1032" s="31" t="s">
        <v>113</v>
      </c>
      <c r="E1032" s="100">
        <v>100</v>
      </c>
      <c r="F1032" s="101">
        <v>1</v>
      </c>
      <c r="G1032" s="6">
        <v>100</v>
      </c>
    </row>
    <row r="1033" spans="1:7" ht="15">
      <c r="A1033" s="9" t="s">
        <v>2448</v>
      </c>
      <c r="B1033" s="17" t="s">
        <v>2450</v>
      </c>
      <c r="C1033" s="31">
        <v>16</v>
      </c>
      <c r="D1033" s="31" t="s">
        <v>113</v>
      </c>
      <c r="E1033" s="100">
        <v>50</v>
      </c>
      <c r="F1033" s="101">
        <v>2</v>
      </c>
      <c r="G1033" s="54">
        <v>100</v>
      </c>
    </row>
    <row r="1037" spans="1:7" ht="15">
      <c r="A1037" s="76" t="s">
        <v>1995</v>
      </c>
      <c r="B1037" s="76" t="s">
        <v>158</v>
      </c>
      <c r="C1037" s="76" t="s">
        <v>94</v>
      </c>
      <c r="D1037" s="76" t="s">
        <v>34</v>
      </c>
    </row>
    <row r="1038" spans="1:7" ht="15">
      <c r="A1038" s="17">
        <v>4111</v>
      </c>
      <c r="B1038" s="10">
        <v>8</v>
      </c>
      <c r="C1038" s="17" t="s">
        <v>2451</v>
      </c>
      <c r="D1038" s="6">
        <v>5</v>
      </c>
    </row>
    <row r="1039" spans="1:7" ht="15">
      <c r="A1039" s="17">
        <v>4111</v>
      </c>
      <c r="B1039" s="10">
        <v>8</v>
      </c>
      <c r="C1039" s="17" t="s">
        <v>2452</v>
      </c>
      <c r="D1039" s="6">
        <v>5</v>
      </c>
    </row>
    <row r="1040" spans="1:7" ht="15">
      <c r="A1040" s="17">
        <v>4111</v>
      </c>
      <c r="B1040" s="10">
        <v>8</v>
      </c>
      <c r="C1040" s="17" t="s">
        <v>168</v>
      </c>
      <c r="D1040" s="6">
        <v>5</v>
      </c>
    </row>
    <row r="1041" spans="1:6" ht="15">
      <c r="A1041" s="17">
        <v>4111</v>
      </c>
      <c r="B1041" s="10">
        <v>8</v>
      </c>
      <c r="C1041" s="17" t="s">
        <v>1978</v>
      </c>
      <c r="D1041" s="6">
        <v>5</v>
      </c>
    </row>
    <row r="1043" spans="1:6" ht="15">
      <c r="A1043" s="76" t="s">
        <v>1995</v>
      </c>
      <c r="B1043" s="76" t="s">
        <v>158</v>
      </c>
      <c r="C1043" s="76" t="s">
        <v>94</v>
      </c>
      <c r="D1043" s="78" t="s">
        <v>2000</v>
      </c>
      <c r="E1043" s="507" t="s">
        <v>2001</v>
      </c>
      <c r="F1043" s="78" t="s">
        <v>110</v>
      </c>
    </row>
    <row r="1044" spans="1:6" ht="15">
      <c r="A1044" s="17">
        <v>3721</v>
      </c>
      <c r="B1044" s="31">
        <v>25</v>
      </c>
      <c r="C1044" s="31" t="s">
        <v>2453</v>
      </c>
      <c r="D1044" s="100">
        <v>30</v>
      </c>
      <c r="E1044" s="101">
        <v>4</v>
      </c>
      <c r="F1044" s="6">
        <v>120</v>
      </c>
    </row>
    <row r="1045" spans="1:6" ht="15">
      <c r="A1045" s="17">
        <v>3721</v>
      </c>
      <c r="B1045" s="31">
        <v>25</v>
      </c>
      <c r="C1045" s="31" t="s">
        <v>2454</v>
      </c>
      <c r="D1045" s="100">
        <v>30</v>
      </c>
      <c r="E1045" s="101">
        <v>4</v>
      </c>
      <c r="F1045" s="6">
        <v>120</v>
      </c>
    </row>
    <row r="1046" spans="1:6" ht="15">
      <c r="A1046" s="17">
        <v>3722</v>
      </c>
      <c r="B1046" s="31" t="s">
        <v>2455</v>
      </c>
      <c r="C1046" s="31" t="s">
        <v>2456</v>
      </c>
      <c r="D1046" s="100">
        <v>30</v>
      </c>
      <c r="E1046" s="101">
        <v>33</v>
      </c>
      <c r="F1046" s="6">
        <v>990</v>
      </c>
    </row>
    <row r="1047" spans="1:6" ht="15">
      <c r="A1047" s="17">
        <v>3705</v>
      </c>
      <c r="B1047" s="19">
        <v>19</v>
      </c>
      <c r="C1047" s="17" t="s">
        <v>2457</v>
      </c>
      <c r="D1047" s="6">
        <v>30</v>
      </c>
      <c r="E1047" s="30">
        <v>18</v>
      </c>
      <c r="F1047" s="6">
        <v>540</v>
      </c>
    </row>
    <row r="1050" spans="1:6" ht="15">
      <c r="A1050" s="76" t="s">
        <v>1995</v>
      </c>
      <c r="B1050" s="76" t="s">
        <v>94</v>
      </c>
      <c r="C1050" s="78" t="s">
        <v>110</v>
      </c>
    </row>
    <row r="1051" spans="1:6" ht="15">
      <c r="A1051" s="17" t="s">
        <v>2436</v>
      </c>
      <c r="B1051" s="31" t="s">
        <v>95</v>
      </c>
      <c r="C1051" s="6">
        <v>7965</v>
      </c>
    </row>
    <row r="1052" spans="1:6" ht="15">
      <c r="A1052" s="17" t="s">
        <v>2436</v>
      </c>
      <c r="B1052" s="31" t="s">
        <v>2458</v>
      </c>
      <c r="C1052" s="6">
        <v>3110</v>
      </c>
    </row>
    <row r="1053" spans="1:6" ht="15">
      <c r="A1053" s="111" t="s">
        <v>2436</v>
      </c>
      <c r="B1053" s="120" t="s">
        <v>2459</v>
      </c>
      <c r="C1053" s="132">
        <v>8285</v>
      </c>
    </row>
    <row r="1054" spans="1:6" ht="15">
      <c r="A1054" s="17" t="s">
        <v>2436</v>
      </c>
      <c r="B1054" s="31" t="s">
        <v>2437</v>
      </c>
      <c r="C1054" s="6">
        <v>1592</v>
      </c>
    </row>
    <row r="1055" spans="1:6" ht="15">
      <c r="A1055" s="17" t="s">
        <v>2436</v>
      </c>
      <c r="B1055" s="31" t="s">
        <v>2460</v>
      </c>
      <c r="C1055" s="6">
        <v>1958</v>
      </c>
    </row>
    <row r="1056" spans="1:6" ht="15">
      <c r="A1056" s="111" t="s">
        <v>2436</v>
      </c>
      <c r="B1056" s="120" t="s">
        <v>2461</v>
      </c>
      <c r="C1056" s="132">
        <v>2150</v>
      </c>
    </row>
    <row r="1057" spans="1:4" ht="15">
      <c r="A1057" s="17" t="s">
        <v>2442</v>
      </c>
      <c r="B1057" s="31" t="s">
        <v>95</v>
      </c>
      <c r="C1057" s="6">
        <v>3453</v>
      </c>
    </row>
    <row r="1058" spans="1:4" ht="15">
      <c r="A1058" s="17" t="s">
        <v>2442</v>
      </c>
      <c r="B1058" s="31" t="s">
        <v>2458</v>
      </c>
      <c r="C1058" s="6">
        <v>1347</v>
      </c>
    </row>
    <row r="1059" spans="1:4" ht="15">
      <c r="A1059" s="111" t="s">
        <v>2442</v>
      </c>
      <c r="B1059" s="120" t="s">
        <v>2459</v>
      </c>
      <c r="C1059" s="132">
        <v>4260</v>
      </c>
    </row>
    <row r="1060" spans="1:4" ht="15">
      <c r="A1060" s="17" t="s">
        <v>2442</v>
      </c>
      <c r="B1060" s="31" t="s">
        <v>2437</v>
      </c>
      <c r="C1060" s="6">
        <v>807</v>
      </c>
    </row>
    <row r="1061" spans="1:4" ht="15">
      <c r="A1061" s="17" t="s">
        <v>2442</v>
      </c>
      <c r="B1061" s="31" t="s">
        <v>2462</v>
      </c>
      <c r="C1061" s="6">
        <v>753</v>
      </c>
    </row>
    <row r="1062" spans="1:4" ht="15">
      <c r="A1062" s="111" t="s">
        <v>2442</v>
      </c>
      <c r="B1062" s="120" t="s">
        <v>2463</v>
      </c>
      <c r="C1062" s="132">
        <v>1480</v>
      </c>
    </row>
    <row r="1063" spans="1:4" ht="15">
      <c r="A1063" s="17" t="s">
        <v>2183</v>
      </c>
      <c r="B1063" s="31" t="s">
        <v>2443</v>
      </c>
      <c r="C1063" s="100">
        <v>650</v>
      </c>
    </row>
    <row r="1064" spans="1:4" ht="15">
      <c r="A1064" s="17" t="s">
        <v>2183</v>
      </c>
      <c r="B1064" s="31" t="s">
        <v>2464</v>
      </c>
      <c r="C1064" s="100">
        <v>80</v>
      </c>
    </row>
    <row r="1065" spans="1:4" ht="15">
      <c r="A1065" s="111" t="s">
        <v>2183</v>
      </c>
      <c r="B1065" s="561" t="s">
        <v>2465</v>
      </c>
      <c r="C1065" s="132">
        <v>730</v>
      </c>
    </row>
    <row r="1066" spans="1:4" ht="15">
      <c r="A1066" s="17" t="s">
        <v>2183</v>
      </c>
      <c r="B1066" s="31" t="s">
        <v>113</v>
      </c>
      <c r="C1066" s="100">
        <v>502</v>
      </c>
    </row>
    <row r="1067" spans="1:4" ht="15">
      <c r="A1067" s="111" t="s">
        <v>2183</v>
      </c>
      <c r="B1067" s="120" t="s">
        <v>2466</v>
      </c>
      <c r="C1067" s="562">
        <v>370</v>
      </c>
    </row>
    <row r="1072" spans="1:4" ht="15.75">
      <c r="A1072" s="76" t="s">
        <v>1995</v>
      </c>
      <c r="B1072" s="76" t="s">
        <v>94</v>
      </c>
      <c r="C1072" s="76" t="s">
        <v>34</v>
      </c>
      <c r="D1072" s="96" t="s">
        <v>2366</v>
      </c>
    </row>
    <row r="1073" spans="1:4" ht="15">
      <c r="A1073" s="17" t="s">
        <v>2467</v>
      </c>
      <c r="B1073" s="31" t="s">
        <v>95</v>
      </c>
      <c r="C1073" s="100">
        <v>10</v>
      </c>
      <c r="D1073" s="505" t="s">
        <v>2468</v>
      </c>
    </row>
    <row r="1074" spans="1:4" ht="15">
      <c r="A1074" s="17" t="s">
        <v>2469</v>
      </c>
      <c r="B1074" s="31" t="s">
        <v>95</v>
      </c>
      <c r="C1074" s="100">
        <v>10</v>
      </c>
      <c r="D1074" s="505" t="s">
        <v>2470</v>
      </c>
    </row>
    <row r="1077" spans="1:4" ht="15">
      <c r="A1077" s="76" t="s">
        <v>1995</v>
      </c>
      <c r="B1077" s="76" t="s">
        <v>94</v>
      </c>
      <c r="C1077" s="76" t="s">
        <v>34</v>
      </c>
    </row>
    <row r="1078" spans="1:4" ht="15">
      <c r="A1078" s="17" t="s">
        <v>2436</v>
      </c>
      <c r="B1078" s="31" t="s">
        <v>95</v>
      </c>
      <c r="C1078" s="6">
        <v>8235</v>
      </c>
    </row>
    <row r="1079" spans="1:4" ht="15">
      <c r="A1079" s="17" t="s">
        <v>2436</v>
      </c>
      <c r="B1079" s="31" t="s">
        <v>2471</v>
      </c>
      <c r="C1079" s="6">
        <v>2125</v>
      </c>
    </row>
    <row r="1080" spans="1:4" ht="15">
      <c r="A1080" s="17" t="s">
        <v>2442</v>
      </c>
      <c r="B1080" s="31" t="s">
        <v>95</v>
      </c>
      <c r="C1080" s="6">
        <v>4230</v>
      </c>
    </row>
    <row r="1081" spans="1:4" ht="15">
      <c r="A1081" s="17" t="s">
        <v>2442</v>
      </c>
      <c r="B1081" s="31" t="s">
        <v>2472</v>
      </c>
      <c r="C1081" s="6">
        <v>1460</v>
      </c>
    </row>
    <row r="1082" spans="1:4" ht="15">
      <c r="A1082" s="17" t="s">
        <v>2183</v>
      </c>
      <c r="B1082" s="31" t="s">
        <v>2473</v>
      </c>
      <c r="C1082" s="100">
        <v>725</v>
      </c>
    </row>
    <row r="1083" spans="1:4" ht="15">
      <c r="A1083" s="17" t="s">
        <v>2183</v>
      </c>
      <c r="B1083" s="31" t="s">
        <v>113</v>
      </c>
      <c r="C1083" s="100">
        <v>365</v>
      </c>
    </row>
    <row r="1085" spans="1:4" ht="15">
      <c r="A1085" s="14" t="s">
        <v>2474</v>
      </c>
      <c r="B1085" s="17"/>
      <c r="C1085" s="54"/>
    </row>
    <row r="1086" spans="1:4" ht="15">
      <c r="A1086" s="17" t="s">
        <v>2436</v>
      </c>
      <c r="B1086" s="31" t="s">
        <v>95</v>
      </c>
      <c r="C1086" s="6">
        <v>2790</v>
      </c>
    </row>
    <row r="1087" spans="1:4" ht="15">
      <c r="A1087" s="17" t="s">
        <v>2436</v>
      </c>
      <c r="B1087" s="31" t="s">
        <v>2439</v>
      </c>
      <c r="C1087" s="6">
        <v>1400</v>
      </c>
    </row>
    <row r="1088" spans="1:4" ht="15">
      <c r="A1088" s="17" t="s">
        <v>2442</v>
      </c>
      <c r="B1088" s="31" t="s">
        <v>95</v>
      </c>
      <c r="C1088" s="6">
        <v>540</v>
      </c>
    </row>
    <row r="1089" spans="1:7" ht="15">
      <c r="A1089" s="17" t="s">
        <v>2442</v>
      </c>
      <c r="B1089" s="31" t="s">
        <v>2439</v>
      </c>
      <c r="C1089" s="6">
        <v>80</v>
      </c>
    </row>
    <row r="1090" spans="1:7" ht="15">
      <c r="A1090" s="17" t="s">
        <v>2183</v>
      </c>
      <c r="B1090" s="31" t="s">
        <v>113</v>
      </c>
      <c r="C1090" s="100">
        <v>132</v>
      </c>
    </row>
    <row r="1093" spans="1:7" ht="15">
      <c r="A1093" s="76" t="s">
        <v>1995</v>
      </c>
      <c r="B1093" s="76" t="s">
        <v>158</v>
      </c>
      <c r="C1093" s="76" t="s">
        <v>94</v>
      </c>
      <c r="D1093" s="76" t="s">
        <v>34</v>
      </c>
    </row>
    <row r="1094" spans="1:7" ht="15">
      <c r="A1094" s="17">
        <v>4111</v>
      </c>
      <c r="B1094" s="10">
        <v>12</v>
      </c>
      <c r="C1094" s="17" t="s">
        <v>168</v>
      </c>
      <c r="D1094" s="6">
        <v>5</v>
      </c>
    </row>
    <row r="1097" spans="1:7" ht="15">
      <c r="A1097" s="76" t="s">
        <v>1995</v>
      </c>
      <c r="B1097" s="76" t="s">
        <v>158</v>
      </c>
      <c r="C1097" s="76" t="s">
        <v>94</v>
      </c>
      <c r="D1097" s="78" t="s">
        <v>2000</v>
      </c>
      <c r="E1097" s="507" t="s">
        <v>2001</v>
      </c>
      <c r="F1097" s="78" t="s">
        <v>110</v>
      </c>
      <c r="G1097" s="78" t="s">
        <v>2268</v>
      </c>
    </row>
    <row r="1098" spans="1:7" ht="15">
      <c r="A1098" s="17">
        <v>2250</v>
      </c>
      <c r="B1098" s="31">
        <v>18</v>
      </c>
      <c r="C1098" s="17" t="s">
        <v>2475</v>
      </c>
      <c r="D1098" s="100">
        <v>30</v>
      </c>
      <c r="E1098" s="101">
        <v>15</v>
      </c>
      <c r="F1098" s="54">
        <v>450</v>
      </c>
      <c r="G1098" s="33">
        <v>0.41</v>
      </c>
    </row>
    <row r="1099" spans="1:7" ht="15">
      <c r="A1099" s="17">
        <v>2250</v>
      </c>
      <c r="B1099" s="31">
        <v>18</v>
      </c>
      <c r="C1099" s="17" t="s">
        <v>1891</v>
      </c>
      <c r="D1099" s="100">
        <v>30</v>
      </c>
      <c r="E1099" s="101">
        <v>2</v>
      </c>
      <c r="F1099" s="54">
        <v>60</v>
      </c>
      <c r="G1099" s="33">
        <v>0.41</v>
      </c>
    </row>
    <row r="1100" spans="1:7" ht="15">
      <c r="A1100" s="17">
        <v>2250</v>
      </c>
      <c r="B1100" s="31">
        <v>24</v>
      </c>
      <c r="C1100" s="17" t="s">
        <v>2475</v>
      </c>
      <c r="D1100" s="100">
        <v>30</v>
      </c>
      <c r="E1100" s="101">
        <v>22</v>
      </c>
      <c r="F1100" s="54">
        <v>660</v>
      </c>
      <c r="G1100" s="33">
        <v>0.53</v>
      </c>
    </row>
    <row r="1101" spans="1:7" ht="15">
      <c r="A1101" s="14"/>
      <c r="B1101" s="99"/>
      <c r="C1101" s="17"/>
      <c r="D1101" s="100"/>
      <c r="E1101" s="101"/>
      <c r="F1101" s="100"/>
      <c r="G1101" s="24"/>
    </row>
    <row r="1102" spans="1:7" ht="15">
      <c r="A1102" s="17" t="s">
        <v>6</v>
      </c>
      <c r="B1102" s="99">
        <v>160</v>
      </c>
      <c r="C1102" s="17" t="s">
        <v>2049</v>
      </c>
      <c r="D1102" s="6"/>
      <c r="E1102" s="6">
        <v>189</v>
      </c>
      <c r="F1102" s="6"/>
      <c r="G1102" s="33">
        <v>4</v>
      </c>
    </row>
    <row r="1103" spans="1:7" ht="15">
      <c r="A1103" s="17"/>
      <c r="B1103" s="94"/>
      <c r="C1103" s="17" t="s">
        <v>11</v>
      </c>
      <c r="D1103" s="6"/>
      <c r="E1103" s="6" t="s">
        <v>60</v>
      </c>
      <c r="F1103" s="6"/>
      <c r="G1103" s="33">
        <v>20</v>
      </c>
    </row>
    <row r="1107" spans="1:5" ht="15">
      <c r="A1107" s="76" t="s">
        <v>1995</v>
      </c>
      <c r="B1107" s="76" t="s">
        <v>158</v>
      </c>
      <c r="C1107" s="76" t="s">
        <v>94</v>
      </c>
      <c r="D1107" s="78" t="s">
        <v>34</v>
      </c>
      <c r="E1107" s="78" t="s">
        <v>141</v>
      </c>
    </row>
    <row r="1108" spans="1:5" ht="15">
      <c r="A1108" s="17" t="s">
        <v>1858</v>
      </c>
      <c r="B1108" s="10">
        <v>12</v>
      </c>
      <c r="C1108" s="17" t="s">
        <v>1860</v>
      </c>
      <c r="D1108" s="6" t="s">
        <v>2476</v>
      </c>
      <c r="E1108" s="80" t="s">
        <v>2477</v>
      </c>
    </row>
    <row r="1109" spans="1:5" ht="15">
      <c r="A1109" s="17" t="s">
        <v>1858</v>
      </c>
      <c r="B1109" s="10">
        <v>12</v>
      </c>
      <c r="C1109" s="17" t="s">
        <v>2478</v>
      </c>
      <c r="D1109" s="6" t="s">
        <v>2479</v>
      </c>
      <c r="E1109" s="80" t="s">
        <v>2480</v>
      </c>
    </row>
    <row r="1110" spans="1:5" ht="15">
      <c r="A1110" s="17" t="s">
        <v>1858</v>
      </c>
      <c r="B1110" s="10">
        <v>12</v>
      </c>
      <c r="C1110" s="17" t="s">
        <v>2481</v>
      </c>
      <c r="D1110" s="6">
        <v>300</v>
      </c>
      <c r="E1110" s="80" t="s">
        <v>2482</v>
      </c>
    </row>
    <row r="1111" spans="1:5" ht="15">
      <c r="A1111" s="20" t="s">
        <v>1858</v>
      </c>
      <c r="B1111" s="563">
        <v>12</v>
      </c>
      <c r="C1111" s="20" t="s">
        <v>2483</v>
      </c>
      <c r="D1111" s="164" t="s">
        <v>2484</v>
      </c>
      <c r="E1111" s="564" t="s">
        <v>2485</v>
      </c>
    </row>
    <row r="1112" spans="1:5" ht="15">
      <c r="A1112" s="17" t="s">
        <v>1858</v>
      </c>
      <c r="B1112" s="10">
        <v>15</v>
      </c>
      <c r="C1112" s="17" t="s">
        <v>1860</v>
      </c>
      <c r="D1112" s="6" t="s">
        <v>2486</v>
      </c>
      <c r="E1112" s="80" t="s">
        <v>2487</v>
      </c>
    </row>
    <row r="1113" spans="1:5" ht="15">
      <c r="A1113" s="17" t="s">
        <v>1858</v>
      </c>
      <c r="B1113" s="10">
        <v>15</v>
      </c>
      <c r="C1113" s="17" t="s">
        <v>2478</v>
      </c>
      <c r="D1113" s="6">
        <v>1020</v>
      </c>
      <c r="E1113" s="565" t="s">
        <v>2441</v>
      </c>
    </row>
    <row r="1114" spans="1:5" ht="15">
      <c r="A1114" s="17" t="s">
        <v>1858</v>
      </c>
      <c r="B1114" s="10">
        <v>15</v>
      </c>
      <c r="C1114" s="17" t="s">
        <v>2481</v>
      </c>
      <c r="D1114" s="6">
        <v>210</v>
      </c>
      <c r="E1114" s="565" t="s">
        <v>2441</v>
      </c>
    </row>
    <row r="1115" spans="1:5" s="126" customFormat="1" ht="15">
      <c r="A1115" s="20" t="s">
        <v>1858</v>
      </c>
      <c r="B1115" s="563">
        <v>15</v>
      </c>
      <c r="C1115" s="20" t="s">
        <v>2483</v>
      </c>
      <c r="D1115" s="164">
        <v>300</v>
      </c>
      <c r="E1115" s="564" t="s">
        <v>2485</v>
      </c>
    </row>
    <row r="1116" spans="1:5" s="126" customFormat="1" ht="15">
      <c r="A1116" s="20" t="s">
        <v>1858</v>
      </c>
      <c r="B1116" s="563">
        <v>6</v>
      </c>
      <c r="C1116" s="20" t="s">
        <v>1860</v>
      </c>
      <c r="D1116" s="164">
        <v>120</v>
      </c>
      <c r="E1116" s="564" t="s">
        <v>2485</v>
      </c>
    </row>
    <row r="1117" spans="1:5" s="126" customFormat="1" ht="15">
      <c r="A1117" s="20" t="s">
        <v>1858</v>
      </c>
      <c r="B1117" s="566" t="s">
        <v>2488</v>
      </c>
      <c r="C1117" s="20" t="s">
        <v>1860</v>
      </c>
      <c r="D1117" s="164">
        <v>420</v>
      </c>
      <c r="E1117" s="564" t="s">
        <v>2485</v>
      </c>
    </row>
    <row r="1118" spans="1:5" ht="15">
      <c r="A1118" s="9"/>
      <c r="B1118" s="10"/>
      <c r="C1118" s="9"/>
      <c r="D1118" s="54"/>
      <c r="E1118" s="123"/>
    </row>
    <row r="1119" spans="1:5" ht="15">
      <c r="A1119" s="567" t="s">
        <v>2489</v>
      </c>
      <c r="B1119" s="114">
        <v>10</v>
      </c>
      <c r="C1119" s="17" t="s">
        <v>113</v>
      </c>
      <c r="D1119" s="6" t="s">
        <v>2490</v>
      </c>
      <c r="E1119" s="80" t="s">
        <v>2491</v>
      </c>
    </row>
    <row r="1120" spans="1:5" ht="15">
      <c r="A1120" s="567" t="s">
        <v>2489</v>
      </c>
      <c r="B1120" s="114">
        <v>10</v>
      </c>
      <c r="C1120" s="17" t="s">
        <v>2492</v>
      </c>
      <c r="D1120" s="6" t="s">
        <v>2493</v>
      </c>
      <c r="E1120" s="564" t="s">
        <v>2494</v>
      </c>
    </row>
    <row r="1121" spans="1:6" ht="15">
      <c r="A1121" s="567" t="s">
        <v>2489</v>
      </c>
      <c r="B1121" s="114">
        <v>10</v>
      </c>
      <c r="C1121" s="17" t="s">
        <v>2495</v>
      </c>
      <c r="D1121" s="6">
        <v>200</v>
      </c>
      <c r="E1121" s="564" t="s">
        <v>2494</v>
      </c>
    </row>
    <row r="1122" spans="1:6" ht="15">
      <c r="A1122" s="567"/>
      <c r="B1122" s="114"/>
      <c r="C1122" s="17"/>
      <c r="D1122" s="6"/>
      <c r="E1122" s="564"/>
    </row>
    <row r="1123" spans="1:6" s="126" customFormat="1" ht="15">
      <c r="A1123" s="20" t="s">
        <v>1896</v>
      </c>
      <c r="B1123" s="566">
        <v>10</v>
      </c>
      <c r="C1123" s="20" t="s">
        <v>1949</v>
      </c>
      <c r="D1123" s="568">
        <v>400</v>
      </c>
      <c r="E1123" s="564" t="s">
        <v>2496</v>
      </c>
    </row>
    <row r="1124" spans="1:6" s="126" customFormat="1" ht="15">
      <c r="A1124" s="20" t="s">
        <v>1896</v>
      </c>
      <c r="B1124" s="566">
        <v>10</v>
      </c>
      <c r="C1124" s="20" t="s">
        <v>2497</v>
      </c>
      <c r="D1124" s="568">
        <v>200</v>
      </c>
      <c r="E1124" s="564" t="s">
        <v>2496</v>
      </c>
    </row>
    <row r="1127" spans="1:6" ht="15">
      <c r="A1127" s="76" t="s">
        <v>1995</v>
      </c>
      <c r="B1127" s="76" t="s">
        <v>158</v>
      </c>
      <c r="C1127" s="76" t="s">
        <v>94</v>
      </c>
      <c r="D1127" s="78" t="s">
        <v>34</v>
      </c>
      <c r="E1127" s="78" t="s">
        <v>111</v>
      </c>
      <c r="F1127" s="85" t="s">
        <v>186</v>
      </c>
    </row>
    <row r="1128" spans="1:6" ht="15">
      <c r="A1128" s="567" t="s">
        <v>2489</v>
      </c>
      <c r="B1128" s="114">
        <v>10</v>
      </c>
      <c r="C1128" s="75" t="s">
        <v>2498</v>
      </c>
      <c r="D1128" s="6">
        <v>900</v>
      </c>
      <c r="E1128" s="101">
        <v>9</v>
      </c>
      <c r="F1128" s="101"/>
    </row>
    <row r="1129" spans="1:6" ht="15">
      <c r="A1129" s="17" t="s">
        <v>1858</v>
      </c>
      <c r="B1129" s="10">
        <v>15</v>
      </c>
      <c r="C1129" s="17" t="s">
        <v>1859</v>
      </c>
      <c r="D1129" s="6">
        <v>5820</v>
      </c>
      <c r="E1129" s="101">
        <v>194</v>
      </c>
      <c r="F1129" s="101"/>
    </row>
    <row r="1130" spans="1:6" ht="15">
      <c r="A1130" s="17" t="s">
        <v>1858</v>
      </c>
      <c r="B1130" s="10">
        <v>12</v>
      </c>
      <c r="C1130" s="17" t="s">
        <v>1859</v>
      </c>
      <c r="D1130" s="6">
        <v>900</v>
      </c>
      <c r="E1130" s="101">
        <v>30</v>
      </c>
      <c r="F1130" s="101"/>
    </row>
    <row r="1134" spans="1:6" ht="15">
      <c r="A1134" s="76" t="s">
        <v>1995</v>
      </c>
      <c r="B1134" s="76" t="s">
        <v>94</v>
      </c>
      <c r="C1134" s="78" t="s">
        <v>34</v>
      </c>
      <c r="D1134" s="78" t="s">
        <v>2268</v>
      </c>
    </row>
    <row r="1135" spans="1:6" ht="15">
      <c r="A1135" s="75">
        <v>5348</v>
      </c>
      <c r="B1135" s="31" t="s">
        <v>220</v>
      </c>
      <c r="C1135" s="6">
        <v>5</v>
      </c>
      <c r="D1135" s="33">
        <v>1.04</v>
      </c>
    </row>
    <row r="1136" spans="1:6" ht="15">
      <c r="A1136" s="75">
        <v>5348</v>
      </c>
      <c r="B1136" s="31" t="s">
        <v>2499</v>
      </c>
      <c r="C1136" s="6">
        <v>5</v>
      </c>
      <c r="D1136" s="33">
        <v>1.04</v>
      </c>
    </row>
    <row r="1137" spans="1:6" ht="15">
      <c r="A1137" s="43"/>
      <c r="B1137" s="17" t="s">
        <v>11</v>
      </c>
      <c r="C1137" s="6" t="s">
        <v>60</v>
      </c>
      <c r="D1137" s="33">
        <v>12</v>
      </c>
    </row>
    <row r="1141" spans="1:6" ht="15">
      <c r="A1141" s="76" t="s">
        <v>2500</v>
      </c>
      <c r="B1141" s="76" t="s">
        <v>201</v>
      </c>
      <c r="C1141" s="76" t="s">
        <v>158</v>
      </c>
      <c r="D1141" s="76" t="s">
        <v>94</v>
      </c>
      <c r="E1141" s="76" t="s">
        <v>2501</v>
      </c>
      <c r="F1141" s="76" t="s">
        <v>2502</v>
      </c>
    </row>
    <row r="1142" spans="1:6" ht="15">
      <c r="A1142" s="4" t="s">
        <v>2503</v>
      </c>
      <c r="B1142" s="567" t="s">
        <v>2504</v>
      </c>
      <c r="C1142" s="114">
        <v>10</v>
      </c>
      <c r="D1142" s="17" t="s">
        <v>1897</v>
      </c>
      <c r="E1142" s="6">
        <v>900</v>
      </c>
      <c r="F1142" s="6">
        <v>900</v>
      </c>
    </row>
    <row r="1143" spans="1:6" ht="15">
      <c r="A1143" s="4" t="s">
        <v>2503</v>
      </c>
      <c r="B1143" s="17" t="s">
        <v>1858</v>
      </c>
      <c r="C1143" s="10">
        <v>15</v>
      </c>
      <c r="D1143" s="17" t="s">
        <v>1859</v>
      </c>
      <c r="E1143" s="6">
        <v>1800</v>
      </c>
      <c r="F1143" s="6">
        <v>1800</v>
      </c>
    </row>
    <row r="1144" spans="1:6" ht="15">
      <c r="A1144" s="4"/>
      <c r="B1144" s="17"/>
      <c r="C1144" s="10"/>
      <c r="D1144" s="17"/>
      <c r="E1144" s="6"/>
      <c r="F1144" s="569"/>
    </row>
    <row r="1145" spans="1:6" ht="15">
      <c r="A1145" s="4" t="s">
        <v>2505</v>
      </c>
      <c r="B1145" s="17" t="s">
        <v>1858</v>
      </c>
      <c r="C1145" s="10">
        <v>15</v>
      </c>
      <c r="D1145" s="17" t="s">
        <v>1859</v>
      </c>
      <c r="E1145" s="6" t="s">
        <v>2506</v>
      </c>
      <c r="F1145" s="570" t="s">
        <v>2507</v>
      </c>
    </row>
    <row r="1146" spans="1:6" ht="15">
      <c r="A1146" s="4" t="s">
        <v>2505</v>
      </c>
      <c r="B1146" s="17" t="s">
        <v>1858</v>
      </c>
      <c r="C1146" s="10">
        <v>12</v>
      </c>
      <c r="D1146" s="17" t="s">
        <v>1859</v>
      </c>
      <c r="E1146" s="6" t="s">
        <v>2508</v>
      </c>
      <c r="F1146" s="570" t="s">
        <v>2509</v>
      </c>
    </row>
    <row r="1147" spans="1:6" ht="15">
      <c r="A1147" s="4"/>
      <c r="B1147" s="17"/>
      <c r="C1147" s="10"/>
      <c r="D1147" s="17"/>
      <c r="E1147" s="6"/>
      <c r="F1147" s="570"/>
    </row>
    <row r="1148" spans="1:6" ht="15">
      <c r="A1148" s="4" t="s">
        <v>2510</v>
      </c>
      <c r="B1148" s="17" t="s">
        <v>1858</v>
      </c>
      <c r="C1148" s="10">
        <v>15</v>
      </c>
      <c r="D1148" s="17" t="s">
        <v>1859</v>
      </c>
      <c r="E1148" s="6">
        <v>900</v>
      </c>
      <c r="F1148" s="6">
        <v>900</v>
      </c>
    </row>
    <row r="1149" spans="1:6" ht="15">
      <c r="A1149" s="4"/>
      <c r="B1149" s="17"/>
      <c r="C1149" s="10"/>
      <c r="D1149" s="17"/>
      <c r="E1149" s="6"/>
      <c r="F1149" s="569"/>
    </row>
    <row r="1150" spans="1:6" ht="15">
      <c r="A1150" s="4" t="s">
        <v>2511</v>
      </c>
      <c r="B1150" s="17" t="s">
        <v>1858</v>
      </c>
      <c r="C1150" s="10">
        <v>15</v>
      </c>
      <c r="D1150" s="17" t="s">
        <v>1859</v>
      </c>
      <c r="E1150" s="6" t="s">
        <v>2512</v>
      </c>
      <c r="F1150" s="6" t="s">
        <v>2513</v>
      </c>
    </row>
    <row r="1151" spans="1:6" ht="15">
      <c r="A1151" s="4" t="s">
        <v>2511</v>
      </c>
      <c r="B1151" s="17" t="s">
        <v>1858</v>
      </c>
      <c r="C1151" s="10">
        <v>12</v>
      </c>
      <c r="D1151" s="17" t="s">
        <v>1859</v>
      </c>
      <c r="E1151" s="6" t="s">
        <v>2514</v>
      </c>
      <c r="F1151" s="6" t="s">
        <v>2515</v>
      </c>
    </row>
    <row r="1155" spans="1:7" ht="19.5" thickBot="1">
      <c r="A1155" s="571"/>
    </row>
    <row r="1156" spans="1:7" ht="14.25" thickBot="1">
      <c r="A1156" s="572" t="s">
        <v>2516</v>
      </c>
      <c r="B1156" s="573" t="s">
        <v>164</v>
      </c>
      <c r="C1156" s="573" t="s">
        <v>2517</v>
      </c>
      <c r="D1156" s="573" t="s">
        <v>226</v>
      </c>
      <c r="E1156" s="573" t="s">
        <v>2518</v>
      </c>
      <c r="F1156" s="573" t="s">
        <v>2519</v>
      </c>
      <c r="G1156" s="574" t="s">
        <v>2520</v>
      </c>
    </row>
    <row r="1157" spans="1:7" ht="14.25" thickTop="1">
      <c r="A1157" s="1013" t="s">
        <v>2521</v>
      </c>
      <c r="B1157" s="1013" t="s">
        <v>2522</v>
      </c>
      <c r="C1157" s="1013" t="s">
        <v>225</v>
      </c>
      <c r="D1157" s="212" t="s">
        <v>2523</v>
      </c>
      <c r="E1157" s="1013" t="s">
        <v>2524</v>
      </c>
      <c r="F1157" s="1013" t="s">
        <v>2524</v>
      </c>
      <c r="G1157" s="1014" t="s">
        <v>2525</v>
      </c>
    </row>
    <row r="1158" spans="1:7" ht="14.25" thickBot="1">
      <c r="A1158" s="1012"/>
      <c r="B1158" s="1012"/>
      <c r="C1158" s="1012"/>
      <c r="D1158" s="208" t="s">
        <v>2526</v>
      </c>
      <c r="E1158" s="1012"/>
      <c r="F1158" s="1012"/>
      <c r="G1158" s="1015"/>
    </row>
    <row r="1159" spans="1:7" ht="14.25" thickBot="1">
      <c r="A1159" s="207" t="s">
        <v>2521</v>
      </c>
      <c r="B1159" s="208" t="s">
        <v>2527</v>
      </c>
      <c r="C1159" s="208" t="s">
        <v>2528</v>
      </c>
      <c r="D1159" s="208" t="s">
        <v>2529</v>
      </c>
      <c r="E1159" s="208" t="s">
        <v>2530</v>
      </c>
      <c r="F1159" s="208" t="s">
        <v>2530</v>
      </c>
      <c r="G1159" s="575" t="s">
        <v>2525</v>
      </c>
    </row>
    <row r="1160" spans="1:7" ht="14.25" thickBot="1">
      <c r="A1160" s="576"/>
      <c r="B1160" s="577"/>
      <c r="C1160" s="577"/>
      <c r="D1160" s="577"/>
      <c r="E1160" s="577"/>
      <c r="F1160" s="577"/>
      <c r="G1160" s="578"/>
    </row>
    <row r="1161" spans="1:7">
      <c r="A1161" s="1011" t="s">
        <v>2531</v>
      </c>
      <c r="B1161" s="1011" t="s">
        <v>2527</v>
      </c>
      <c r="C1161" s="1011" t="s">
        <v>2528</v>
      </c>
      <c r="D1161" s="1011" t="s">
        <v>2529</v>
      </c>
      <c r="E1161" s="579" t="s">
        <v>2532</v>
      </c>
      <c r="F1161" s="1011" t="s">
        <v>2533</v>
      </c>
      <c r="G1161" s="580" t="s">
        <v>2534</v>
      </c>
    </row>
    <row r="1162" spans="1:7" ht="14.25" thickBot="1">
      <c r="A1162" s="1012"/>
      <c r="B1162" s="1012"/>
      <c r="C1162" s="1012"/>
      <c r="D1162" s="1012"/>
      <c r="E1162" s="208" t="s">
        <v>2535</v>
      </c>
      <c r="F1162" s="1012"/>
      <c r="G1162" s="581" t="s">
        <v>2536</v>
      </c>
    </row>
    <row r="1163" spans="1:7">
      <c r="A1163" s="1011" t="s">
        <v>2531</v>
      </c>
      <c r="B1163" s="1011" t="s">
        <v>2527</v>
      </c>
      <c r="C1163" s="1011" t="s">
        <v>2537</v>
      </c>
      <c r="D1163" s="1011" t="s">
        <v>2529</v>
      </c>
      <c r="E1163" s="579" t="s">
        <v>2532</v>
      </c>
      <c r="F1163" s="1011" t="s">
        <v>265</v>
      </c>
      <c r="G1163" s="1009" t="s">
        <v>2538</v>
      </c>
    </row>
    <row r="1164" spans="1:7" ht="14.25" thickBot="1">
      <c r="A1164" s="1012"/>
      <c r="B1164" s="1012"/>
      <c r="C1164" s="1012"/>
      <c r="D1164" s="1012"/>
      <c r="E1164" s="208" t="s">
        <v>2539</v>
      </c>
      <c r="F1164" s="1012"/>
      <c r="G1164" s="1010"/>
    </row>
    <row r="1165" spans="1:7" ht="14.25" thickBot="1">
      <c r="A1165" s="576"/>
      <c r="B1165" s="577"/>
      <c r="C1165" s="577"/>
      <c r="D1165" s="577"/>
      <c r="E1165" s="577"/>
      <c r="F1165" s="577"/>
      <c r="G1165" s="582"/>
    </row>
    <row r="1166" spans="1:7" ht="14.25" thickBot="1">
      <c r="A1166" s="207" t="s">
        <v>2540</v>
      </c>
      <c r="B1166" s="208" t="s">
        <v>2527</v>
      </c>
      <c r="C1166" s="208" t="s">
        <v>2528</v>
      </c>
      <c r="D1166" s="208" t="s">
        <v>2529</v>
      </c>
      <c r="E1166" s="208" t="s">
        <v>2524</v>
      </c>
      <c r="F1166" s="208" t="s">
        <v>2541</v>
      </c>
      <c r="G1166" s="575" t="s">
        <v>2525</v>
      </c>
    </row>
    <row r="1167" spans="1:7" ht="14.25" thickBot="1">
      <c r="A1167" s="576"/>
      <c r="B1167" s="577"/>
      <c r="C1167" s="577"/>
      <c r="D1167" s="577"/>
      <c r="E1167" s="577"/>
      <c r="F1167" s="577"/>
      <c r="G1167" s="578"/>
    </row>
    <row r="1168" spans="1:7" ht="14.25" thickBot="1">
      <c r="A1168" s="207" t="s">
        <v>2542</v>
      </c>
      <c r="B1168" s="208" t="s">
        <v>2527</v>
      </c>
      <c r="C1168" s="208" t="s">
        <v>2528</v>
      </c>
      <c r="D1168" s="208" t="s">
        <v>2529</v>
      </c>
      <c r="E1168" s="208" t="s">
        <v>2543</v>
      </c>
      <c r="F1168" s="208" t="s">
        <v>2544</v>
      </c>
      <c r="G1168" s="581" t="s">
        <v>2545</v>
      </c>
    </row>
    <row r="1169" spans="1:7" ht="14.25" thickBot="1">
      <c r="A1169" s="207" t="s">
        <v>2542</v>
      </c>
      <c r="B1169" s="208" t="s">
        <v>2527</v>
      </c>
      <c r="C1169" s="208" t="s">
        <v>2537</v>
      </c>
      <c r="D1169" s="208" t="s">
        <v>2529</v>
      </c>
      <c r="E1169" s="208" t="s">
        <v>2546</v>
      </c>
      <c r="F1169" s="208" t="s">
        <v>2547</v>
      </c>
      <c r="G1169" s="581" t="s">
        <v>2538</v>
      </c>
    </row>
    <row r="1170" spans="1:7" ht="18.75">
      <c r="A1170" s="571"/>
    </row>
    <row r="1172" spans="1:7" ht="15">
      <c r="A1172" s="76" t="s">
        <v>201</v>
      </c>
      <c r="B1172" s="76" t="s">
        <v>158</v>
      </c>
      <c r="C1172" s="76" t="s">
        <v>94</v>
      </c>
      <c r="D1172" s="76" t="s">
        <v>34</v>
      </c>
    </row>
    <row r="1173" spans="1:7" ht="15">
      <c r="A1173" s="567" t="s">
        <v>2504</v>
      </c>
      <c r="B1173" s="114">
        <v>10</v>
      </c>
      <c r="C1173" s="17" t="s">
        <v>1897</v>
      </c>
      <c r="D1173" s="6">
        <v>1000</v>
      </c>
    </row>
    <row r="1174" spans="1:7" ht="15">
      <c r="A1174" s="17" t="s">
        <v>1858</v>
      </c>
      <c r="B1174" s="10">
        <v>15</v>
      </c>
      <c r="C1174" s="17" t="s">
        <v>1859</v>
      </c>
      <c r="D1174" s="6">
        <v>3750</v>
      </c>
    </row>
    <row r="1175" spans="1:7" ht="15">
      <c r="A1175" s="17" t="s">
        <v>1858</v>
      </c>
      <c r="B1175" s="10">
        <v>12</v>
      </c>
      <c r="C1175" s="17" t="s">
        <v>1859</v>
      </c>
      <c r="D1175" s="6">
        <v>900</v>
      </c>
    </row>
    <row r="1179" spans="1:7" ht="15">
      <c r="A1179" s="76" t="s">
        <v>201</v>
      </c>
      <c r="B1179" s="76" t="s">
        <v>158</v>
      </c>
      <c r="C1179" s="76" t="s">
        <v>94</v>
      </c>
      <c r="D1179" s="76" t="s">
        <v>34</v>
      </c>
    </row>
    <row r="1180" spans="1:7" ht="15">
      <c r="A1180" s="17" t="s">
        <v>1858</v>
      </c>
      <c r="B1180" s="10">
        <v>12</v>
      </c>
      <c r="C1180" s="17" t="s">
        <v>2478</v>
      </c>
      <c r="D1180" s="6">
        <v>30</v>
      </c>
    </row>
    <row r="1181" spans="1:7" ht="15">
      <c r="A1181" s="567" t="s">
        <v>2504</v>
      </c>
      <c r="B1181" s="114">
        <v>10</v>
      </c>
      <c r="C1181" s="17" t="s">
        <v>113</v>
      </c>
      <c r="D1181" s="6">
        <v>700</v>
      </c>
    </row>
    <row r="1182" spans="1:7" ht="15">
      <c r="A1182" s="567" t="s">
        <v>2489</v>
      </c>
      <c r="B1182" s="114">
        <v>10</v>
      </c>
      <c r="C1182" s="17" t="s">
        <v>2548</v>
      </c>
      <c r="D1182" s="6">
        <v>800</v>
      </c>
    </row>
    <row r="1183" spans="1:7" ht="15">
      <c r="A1183" s="567" t="s">
        <v>2489</v>
      </c>
      <c r="B1183" s="114">
        <v>10</v>
      </c>
      <c r="C1183" s="17" t="s">
        <v>2549</v>
      </c>
      <c r="D1183" s="6">
        <v>200</v>
      </c>
    </row>
    <row r="1186" spans="1:6" ht="15">
      <c r="A1186" s="76" t="s">
        <v>201</v>
      </c>
      <c r="B1186" s="76" t="s">
        <v>158</v>
      </c>
      <c r="C1186" s="76" t="s">
        <v>94</v>
      </c>
      <c r="D1186" s="6"/>
    </row>
    <row r="1187" spans="1:6" ht="15">
      <c r="A1187" s="17" t="s">
        <v>2550</v>
      </c>
      <c r="B1187" s="31">
        <v>13</v>
      </c>
      <c r="C1187" s="31" t="s">
        <v>2551</v>
      </c>
      <c r="D1187" s="6">
        <v>12</v>
      </c>
    </row>
    <row r="1188" spans="1:6" ht="15">
      <c r="A1188" s="17" t="s">
        <v>2550</v>
      </c>
      <c r="B1188" s="31">
        <v>13</v>
      </c>
      <c r="C1188" s="31" t="s">
        <v>2551</v>
      </c>
      <c r="D1188" s="6">
        <v>1</v>
      </c>
    </row>
    <row r="1191" spans="1:6" ht="15">
      <c r="A1191" s="76" t="s">
        <v>201</v>
      </c>
      <c r="B1191" s="76" t="s">
        <v>94</v>
      </c>
      <c r="C1191" s="78" t="s">
        <v>2000</v>
      </c>
      <c r="D1191" s="507" t="s">
        <v>2001</v>
      </c>
      <c r="E1191" s="78" t="s">
        <v>110</v>
      </c>
    </row>
    <row r="1192" spans="1:6" ht="15">
      <c r="A1192" s="17" t="s">
        <v>2552</v>
      </c>
      <c r="B1192" s="31" t="s">
        <v>1861</v>
      </c>
      <c r="C1192" s="100">
        <v>100</v>
      </c>
      <c r="D1192" s="101">
        <v>5</v>
      </c>
      <c r="E1192" s="6">
        <v>500</v>
      </c>
    </row>
    <row r="1193" spans="1:6" ht="15">
      <c r="A1193" s="17" t="s">
        <v>2552</v>
      </c>
      <c r="B1193" s="31" t="s">
        <v>2553</v>
      </c>
      <c r="C1193" s="100">
        <v>100</v>
      </c>
      <c r="D1193" s="101">
        <v>4</v>
      </c>
      <c r="E1193" s="6">
        <v>400</v>
      </c>
    </row>
    <row r="1196" spans="1:6">
      <c r="A1196" s="81" t="s">
        <v>43</v>
      </c>
      <c r="B1196" s="81" t="s">
        <v>106</v>
      </c>
      <c r="C1196" s="498" t="s">
        <v>2554</v>
      </c>
      <c r="D1196" s="583" t="s">
        <v>47</v>
      </c>
    </row>
    <row r="1197" spans="1:6" ht="15">
      <c r="A1197" s="17" t="s">
        <v>2555</v>
      </c>
      <c r="B1197" s="31">
        <v>36</v>
      </c>
      <c r="C1197" s="499" t="s">
        <v>2556</v>
      </c>
      <c r="D1197" s="6">
        <v>65</v>
      </c>
    </row>
    <row r="1198" spans="1:6" ht="15">
      <c r="A1198" s="8"/>
      <c r="B1198" s="173"/>
      <c r="C1198" s="584"/>
      <c r="D1198" s="165"/>
    </row>
    <row r="1199" spans="1:6">
      <c r="A1199" s="81" t="s">
        <v>43</v>
      </c>
      <c r="B1199" s="81" t="s">
        <v>106</v>
      </c>
      <c r="C1199" s="585" t="s">
        <v>200</v>
      </c>
      <c r="D1199" s="583" t="s">
        <v>47</v>
      </c>
    </row>
    <row r="1200" spans="1:6" ht="15">
      <c r="A1200" s="17">
        <v>1050</v>
      </c>
      <c r="B1200" s="10">
        <v>12</v>
      </c>
      <c r="C1200" s="17" t="s">
        <v>2478</v>
      </c>
      <c r="D1200" s="6">
        <v>30</v>
      </c>
      <c r="E1200" s="100">
        <v>30</v>
      </c>
      <c r="F1200" s="101">
        <v>1</v>
      </c>
    </row>
    <row r="1201" spans="1:7" ht="15">
      <c r="A1201" s="567" t="s">
        <v>2557</v>
      </c>
      <c r="B1201" s="114">
        <v>10</v>
      </c>
      <c r="C1201" s="17" t="s">
        <v>113</v>
      </c>
      <c r="D1201" s="6">
        <v>700</v>
      </c>
      <c r="E1201" s="100">
        <v>100</v>
      </c>
      <c r="F1201" s="101">
        <v>7</v>
      </c>
    </row>
    <row r="1202" spans="1:7" ht="15">
      <c r="A1202" s="567" t="s">
        <v>2558</v>
      </c>
      <c r="B1202" s="114">
        <v>10</v>
      </c>
      <c r="C1202" s="17" t="s">
        <v>2548</v>
      </c>
      <c r="D1202" s="6">
        <v>800</v>
      </c>
      <c r="E1202" s="100">
        <v>100</v>
      </c>
      <c r="F1202" s="101">
        <v>8</v>
      </c>
    </row>
    <row r="1203" spans="1:7" ht="15">
      <c r="A1203" s="567" t="s">
        <v>2558</v>
      </c>
      <c r="B1203" s="114">
        <v>10</v>
      </c>
      <c r="C1203" s="17" t="s">
        <v>2549</v>
      </c>
      <c r="D1203" s="6">
        <v>200</v>
      </c>
      <c r="E1203" s="100">
        <v>100</v>
      </c>
      <c r="F1203" s="101">
        <v>2</v>
      </c>
    </row>
    <row r="1204" spans="1:7" ht="15">
      <c r="A1204" s="17" t="s">
        <v>2305</v>
      </c>
      <c r="B1204" s="127">
        <v>10</v>
      </c>
      <c r="C1204" s="17" t="s">
        <v>1949</v>
      </c>
      <c r="D1204" s="6">
        <v>300</v>
      </c>
      <c r="E1204" s="100">
        <v>100</v>
      </c>
      <c r="F1204" s="101">
        <v>3</v>
      </c>
    </row>
    <row r="1207" spans="1:7">
      <c r="A1207" s="81" t="s">
        <v>43</v>
      </c>
      <c r="B1207" s="81" t="s">
        <v>106</v>
      </c>
      <c r="C1207" s="585" t="s">
        <v>200</v>
      </c>
      <c r="D1207" s="585" t="s">
        <v>47</v>
      </c>
      <c r="E1207" s="586" t="s">
        <v>2559</v>
      </c>
      <c r="F1207" s="587" t="s">
        <v>2560</v>
      </c>
      <c r="G1207" s="588" t="s">
        <v>2561</v>
      </c>
    </row>
    <row r="1208" spans="1:7" ht="15">
      <c r="A1208" s="17">
        <v>5636</v>
      </c>
      <c r="B1208" s="19" t="s">
        <v>198</v>
      </c>
      <c r="C1208" s="17" t="s">
        <v>2562</v>
      </c>
      <c r="D1208" s="6" t="s">
        <v>60</v>
      </c>
      <c r="E1208" s="33">
        <v>40</v>
      </c>
      <c r="F1208" s="33">
        <v>36</v>
      </c>
      <c r="G1208" s="74" t="s">
        <v>2563</v>
      </c>
    </row>
    <row r="1209" spans="1:7" ht="15">
      <c r="A1209" s="17"/>
      <c r="B1209" s="94"/>
      <c r="C1209" s="17" t="s">
        <v>11</v>
      </c>
      <c r="D1209" s="6" t="s">
        <v>60</v>
      </c>
      <c r="E1209" s="33">
        <v>12</v>
      </c>
      <c r="F1209" s="33">
        <v>12</v>
      </c>
      <c r="G1209" s="491" t="s">
        <v>181</v>
      </c>
    </row>
    <row r="1210" spans="1:7" ht="15">
      <c r="A1210" s="17">
        <v>5636</v>
      </c>
      <c r="B1210" s="31" t="s">
        <v>198</v>
      </c>
      <c r="C1210" s="31" t="s">
        <v>2564</v>
      </c>
      <c r="D1210" s="100">
        <v>2050</v>
      </c>
      <c r="E1210" s="33">
        <v>0.41</v>
      </c>
      <c r="F1210" s="33">
        <v>0.33</v>
      </c>
      <c r="G1210" s="589" t="s">
        <v>2565</v>
      </c>
    </row>
    <row r="1211" spans="1:7" ht="15">
      <c r="A1211" s="17"/>
      <c r="B1211" s="94"/>
      <c r="C1211" s="17" t="s">
        <v>2566</v>
      </c>
      <c r="D1211" s="6" t="s">
        <v>60</v>
      </c>
      <c r="E1211" s="33">
        <v>300</v>
      </c>
      <c r="F1211" s="33">
        <v>270</v>
      </c>
      <c r="G1211" s="590" t="s">
        <v>2567</v>
      </c>
    </row>
    <row r="1212" spans="1:7" ht="15">
      <c r="A1212" s="17"/>
      <c r="B1212" s="94"/>
      <c r="C1212" s="17" t="s">
        <v>11</v>
      </c>
      <c r="D1212" s="6" t="s">
        <v>60</v>
      </c>
      <c r="E1212" s="33">
        <v>12</v>
      </c>
      <c r="F1212" s="33">
        <v>12</v>
      </c>
      <c r="G1212" s="590" t="s">
        <v>2568</v>
      </c>
    </row>
    <row r="1213" spans="1:7" ht="15">
      <c r="A1213" s="17">
        <v>5636</v>
      </c>
      <c r="B1213" s="31" t="s">
        <v>198</v>
      </c>
      <c r="C1213" s="31" t="s">
        <v>2564</v>
      </c>
      <c r="D1213" s="100">
        <v>450</v>
      </c>
      <c r="E1213" s="33">
        <v>0.41</v>
      </c>
      <c r="F1213" s="33">
        <v>0.33</v>
      </c>
      <c r="G1213" s="589" t="s">
        <v>2565</v>
      </c>
    </row>
    <row r="1215" spans="1:7">
      <c r="A1215" s="81" t="s">
        <v>43</v>
      </c>
      <c r="B1215" s="81" t="s">
        <v>106</v>
      </c>
      <c r="C1215" s="585" t="s">
        <v>200</v>
      </c>
      <c r="D1215" s="585" t="s">
        <v>107</v>
      </c>
      <c r="E1215" s="585" t="s">
        <v>271</v>
      </c>
      <c r="F1215" s="585" t="s">
        <v>272</v>
      </c>
      <c r="G1215" s="585" t="s">
        <v>180</v>
      </c>
    </row>
    <row r="1216" spans="1:7" ht="15">
      <c r="A1216" s="17">
        <v>1100</v>
      </c>
      <c r="B1216" s="31">
        <v>40</v>
      </c>
      <c r="C1216" s="17" t="s">
        <v>121</v>
      </c>
      <c r="D1216" s="6">
        <v>30</v>
      </c>
      <c r="E1216" s="30">
        <v>10</v>
      </c>
      <c r="F1216" s="6">
        <v>300</v>
      </c>
      <c r="G1216" s="119" t="s">
        <v>2569</v>
      </c>
    </row>
    <row r="1217" spans="1:6" ht="21">
      <c r="D1217" ph="1"/>
      <c r="F1217" ph="1"/>
    </row>
    <row r="1220" spans="1:6" ht="15">
      <c r="A1220" s="76" t="s">
        <v>201</v>
      </c>
      <c r="B1220" s="76" t="s">
        <v>158</v>
      </c>
      <c r="C1220" s="76" t="s">
        <v>94</v>
      </c>
      <c r="D1220" s="76" t="s">
        <v>34</v>
      </c>
    </row>
    <row r="1221" spans="1:6" ht="15">
      <c r="A1221" s="17" t="s">
        <v>2570</v>
      </c>
      <c r="B1221" s="19" t="s">
        <v>198</v>
      </c>
      <c r="C1221" s="17" t="s">
        <v>1856</v>
      </c>
      <c r="D1221" s="6">
        <v>5</v>
      </c>
    </row>
    <row r="1222" spans="1:6" ht="15">
      <c r="A1222" s="17" t="s">
        <v>2570</v>
      </c>
      <c r="B1222" s="19" t="s">
        <v>198</v>
      </c>
      <c r="C1222" s="17" t="s">
        <v>149</v>
      </c>
      <c r="D1222" s="6">
        <v>5</v>
      </c>
    </row>
    <row r="1223" spans="1:6" ht="15">
      <c r="A1223" s="76" t="s">
        <v>201</v>
      </c>
      <c r="B1223" s="76" t="s">
        <v>158</v>
      </c>
      <c r="C1223" s="76" t="s">
        <v>94</v>
      </c>
      <c r="D1223" s="76" t="s">
        <v>34</v>
      </c>
    </row>
    <row r="1224" spans="1:6" ht="15">
      <c r="A1224" s="17">
        <v>9527</v>
      </c>
      <c r="B1224" s="19"/>
      <c r="C1224" s="17" t="s">
        <v>2571</v>
      </c>
      <c r="D1224" s="6">
        <v>5</v>
      </c>
    </row>
    <row r="1225" spans="1:6" ht="15">
      <c r="A1225" s="17">
        <v>9527</v>
      </c>
      <c r="B1225" s="19"/>
      <c r="C1225" s="17" t="s">
        <v>1853</v>
      </c>
      <c r="D1225" s="6">
        <v>5</v>
      </c>
    </row>
    <row r="1226" spans="1:6" ht="15">
      <c r="A1226" s="17">
        <v>9527</v>
      </c>
      <c r="B1226" s="19"/>
      <c r="C1226" s="17" t="s">
        <v>87</v>
      </c>
      <c r="D1226" s="6">
        <v>5</v>
      </c>
    </row>
    <row r="1227" spans="1:6" ht="15">
      <c r="A1227" s="17">
        <v>9527</v>
      </c>
      <c r="B1227" s="19"/>
      <c r="C1227" s="17" t="s">
        <v>1855</v>
      </c>
      <c r="D1227" s="6">
        <v>5</v>
      </c>
    </row>
    <row r="1228" spans="1:6" ht="15">
      <c r="A1228" s="17">
        <v>9527</v>
      </c>
      <c r="B1228" s="19"/>
      <c r="C1228" s="17" t="s">
        <v>1854</v>
      </c>
      <c r="D1228" s="6">
        <v>5</v>
      </c>
    </row>
    <row r="1229" spans="1:6" ht="15">
      <c r="A1229" s="15"/>
      <c r="B1229" s="10"/>
      <c r="C1229" s="17"/>
      <c r="D1229" s="100"/>
    </row>
    <row r="1230" spans="1:6" ht="15">
      <c r="A1230" s="17">
        <v>4255</v>
      </c>
      <c r="B1230" s="19">
        <v>50</v>
      </c>
      <c r="C1230" s="17" t="s">
        <v>116</v>
      </c>
      <c r="D1230" s="6">
        <v>5</v>
      </c>
    </row>
    <row r="1231" spans="1:6" ht="15">
      <c r="A1231" s="17">
        <v>4255</v>
      </c>
      <c r="B1231" s="19">
        <v>50</v>
      </c>
      <c r="C1231" s="17" t="s">
        <v>1857</v>
      </c>
      <c r="D1231" s="6">
        <v>5</v>
      </c>
    </row>
    <row r="1234" spans="1:4" ht="15">
      <c r="A1234" s="76" t="s">
        <v>2572</v>
      </c>
      <c r="B1234" s="76" t="s">
        <v>158</v>
      </c>
      <c r="C1234" s="107" t="s">
        <v>2573</v>
      </c>
      <c r="D1234" s="76" t="s">
        <v>34</v>
      </c>
    </row>
    <row r="1235" spans="1:4" ht="15">
      <c r="A1235" s="17" t="s">
        <v>2574</v>
      </c>
      <c r="B1235" s="591">
        <v>1.5</v>
      </c>
      <c r="C1235" s="129" t="s">
        <v>2575</v>
      </c>
      <c r="D1235" s="6">
        <v>35</v>
      </c>
    </row>
    <row r="1236" spans="1:4" ht="15">
      <c r="A1236" s="17" t="s">
        <v>2574</v>
      </c>
      <c r="B1236" s="591">
        <v>2.5</v>
      </c>
      <c r="C1236" s="129" t="s">
        <v>2575</v>
      </c>
      <c r="D1236" s="6">
        <v>35</v>
      </c>
    </row>
    <row r="1237" spans="1:4" ht="15">
      <c r="A1237" s="17" t="s">
        <v>2574</v>
      </c>
      <c r="B1237" s="591">
        <v>3.75</v>
      </c>
      <c r="C1237" s="129" t="s">
        <v>2575</v>
      </c>
      <c r="D1237" s="6">
        <v>35</v>
      </c>
    </row>
    <row r="1238" spans="1:4" ht="15">
      <c r="A1238" s="17" t="s">
        <v>2576</v>
      </c>
      <c r="B1238" s="591">
        <v>1.5</v>
      </c>
      <c r="C1238" s="129" t="s">
        <v>2577</v>
      </c>
      <c r="D1238" s="6">
        <v>35</v>
      </c>
    </row>
    <row r="1239" spans="1:4" ht="15">
      <c r="A1239" s="17" t="s">
        <v>2576</v>
      </c>
      <c r="B1239" s="591">
        <v>2.5</v>
      </c>
      <c r="C1239" s="129" t="s">
        <v>2577</v>
      </c>
      <c r="D1239" s="6">
        <v>35</v>
      </c>
    </row>
    <row r="1240" spans="1:4" ht="15">
      <c r="A1240" s="17" t="s">
        <v>2576</v>
      </c>
      <c r="B1240" s="591">
        <v>3.75</v>
      </c>
      <c r="C1240" s="129" t="s">
        <v>2577</v>
      </c>
      <c r="D1240" s="6">
        <v>35</v>
      </c>
    </row>
    <row r="1241" spans="1:4" ht="15">
      <c r="A1241" s="17" t="s">
        <v>2578</v>
      </c>
      <c r="B1241" s="591">
        <v>1.5</v>
      </c>
      <c r="C1241" s="129" t="s">
        <v>2579</v>
      </c>
      <c r="D1241" s="6">
        <v>35</v>
      </c>
    </row>
    <row r="1242" spans="1:4" ht="15">
      <c r="A1242" s="17" t="s">
        <v>2578</v>
      </c>
      <c r="B1242" s="591">
        <v>2.5</v>
      </c>
      <c r="C1242" s="129" t="s">
        <v>2579</v>
      </c>
      <c r="D1242" s="6">
        <v>35</v>
      </c>
    </row>
    <row r="1243" spans="1:4" ht="15">
      <c r="A1243" s="17" t="s">
        <v>2578</v>
      </c>
      <c r="B1243" s="591">
        <v>3.75</v>
      </c>
      <c r="C1243" s="129" t="s">
        <v>2579</v>
      </c>
      <c r="D1243" s="6">
        <v>35</v>
      </c>
    </row>
    <row r="1244" spans="1:4" ht="15">
      <c r="A1244" s="17" t="s">
        <v>2580</v>
      </c>
      <c r="B1244" s="591">
        <v>1.5</v>
      </c>
      <c r="C1244" s="129" t="s">
        <v>2581</v>
      </c>
      <c r="D1244" s="6">
        <v>35</v>
      </c>
    </row>
    <row r="1245" spans="1:4" ht="15">
      <c r="A1245" s="17" t="s">
        <v>2580</v>
      </c>
      <c r="B1245" s="591">
        <v>2.5</v>
      </c>
      <c r="C1245" s="129" t="s">
        <v>2581</v>
      </c>
      <c r="D1245" s="6">
        <v>35</v>
      </c>
    </row>
    <row r="1246" spans="1:4" ht="15">
      <c r="A1246" s="17" t="s">
        <v>2580</v>
      </c>
      <c r="B1246" s="591">
        <v>3.75</v>
      </c>
      <c r="C1246" s="129" t="s">
        <v>2581</v>
      </c>
      <c r="D1246" s="6">
        <v>35</v>
      </c>
    </row>
    <row r="1247" spans="1:4" ht="15">
      <c r="A1247" s="17" t="s">
        <v>2582</v>
      </c>
      <c r="B1247" s="591">
        <v>1.5</v>
      </c>
      <c r="C1247" s="129" t="s">
        <v>2583</v>
      </c>
      <c r="D1247" s="6">
        <v>35</v>
      </c>
    </row>
    <row r="1248" spans="1:4" ht="15">
      <c r="A1248" s="17" t="s">
        <v>2582</v>
      </c>
      <c r="B1248" s="591">
        <v>2.5</v>
      </c>
      <c r="C1248" s="129" t="s">
        <v>2583</v>
      </c>
      <c r="D1248" s="6">
        <v>35</v>
      </c>
    </row>
    <row r="1249" spans="1:4" ht="15">
      <c r="A1249" s="17" t="s">
        <v>2582</v>
      </c>
      <c r="B1249" s="591">
        <v>3.75</v>
      </c>
      <c r="C1249" s="129" t="s">
        <v>2583</v>
      </c>
      <c r="D1249" s="6">
        <v>35</v>
      </c>
    </row>
    <row r="1250" spans="1:4" ht="15">
      <c r="A1250" s="17" t="s">
        <v>2584</v>
      </c>
      <c r="B1250" s="591">
        <v>1.5</v>
      </c>
      <c r="C1250" s="129" t="s">
        <v>2585</v>
      </c>
      <c r="D1250" s="6">
        <v>35</v>
      </c>
    </row>
    <row r="1251" spans="1:4" ht="15">
      <c r="A1251" s="17" t="s">
        <v>2584</v>
      </c>
      <c r="B1251" s="591">
        <v>2.5</v>
      </c>
      <c r="C1251" s="129" t="s">
        <v>2585</v>
      </c>
      <c r="D1251" s="6">
        <v>35</v>
      </c>
    </row>
    <row r="1252" spans="1:4" ht="15">
      <c r="A1252" s="17" t="s">
        <v>2584</v>
      </c>
      <c r="B1252" s="591">
        <v>3.75</v>
      </c>
      <c r="C1252" s="129" t="s">
        <v>2585</v>
      </c>
      <c r="D1252" s="6">
        <v>35</v>
      </c>
    </row>
    <row r="1256" spans="1:4" ht="15">
      <c r="A1256" s="17" t="s">
        <v>2574</v>
      </c>
      <c r="B1256" s="591">
        <v>2.5</v>
      </c>
      <c r="C1256" s="129" t="s">
        <v>2586</v>
      </c>
      <c r="D1256" s="6">
        <v>30</v>
      </c>
    </row>
    <row r="1257" spans="1:4" ht="15">
      <c r="A1257" s="17" t="s">
        <v>2576</v>
      </c>
      <c r="B1257" s="591">
        <v>2.5</v>
      </c>
      <c r="C1257" s="129" t="s">
        <v>2587</v>
      </c>
      <c r="D1257" s="6">
        <v>30</v>
      </c>
    </row>
    <row r="1258" spans="1:4" ht="15">
      <c r="A1258" s="17" t="s">
        <v>2578</v>
      </c>
      <c r="B1258" s="591">
        <v>2.5</v>
      </c>
      <c r="C1258" s="129" t="s">
        <v>2588</v>
      </c>
      <c r="D1258" s="6">
        <v>30</v>
      </c>
    </row>
    <row r="1259" spans="1:4" ht="15">
      <c r="A1259" s="17" t="s">
        <v>2580</v>
      </c>
      <c r="B1259" s="591">
        <v>2.5</v>
      </c>
      <c r="C1259" s="129" t="s">
        <v>2589</v>
      </c>
      <c r="D1259" s="6">
        <v>30</v>
      </c>
    </row>
    <row r="1260" spans="1:4" ht="15">
      <c r="A1260" s="17" t="s">
        <v>2582</v>
      </c>
      <c r="B1260" s="591">
        <v>2.5</v>
      </c>
      <c r="C1260" s="129" t="s">
        <v>2590</v>
      </c>
      <c r="D1260" s="6">
        <v>30</v>
      </c>
    </row>
    <row r="1261" spans="1:4" ht="15">
      <c r="A1261" s="17" t="s">
        <v>2584</v>
      </c>
      <c r="B1261" s="591">
        <v>2.5</v>
      </c>
      <c r="C1261" s="129" t="s">
        <v>2591</v>
      </c>
      <c r="D1261" s="6">
        <v>30</v>
      </c>
    </row>
    <row r="1262" spans="1:4" ht="15">
      <c r="A1262" s="17" t="s">
        <v>2574</v>
      </c>
      <c r="B1262" s="591">
        <v>3.75</v>
      </c>
      <c r="C1262" s="129" t="s">
        <v>2586</v>
      </c>
      <c r="D1262" s="6">
        <v>30</v>
      </c>
    </row>
    <row r="1263" spans="1:4" ht="15">
      <c r="A1263" s="17" t="s">
        <v>2576</v>
      </c>
      <c r="B1263" s="591">
        <v>3.75</v>
      </c>
      <c r="C1263" s="129" t="s">
        <v>2587</v>
      </c>
      <c r="D1263" s="6">
        <v>30</v>
      </c>
    </row>
    <row r="1264" spans="1:4" ht="15">
      <c r="A1264" s="17" t="s">
        <v>2578</v>
      </c>
      <c r="B1264" s="591">
        <v>3.75</v>
      </c>
      <c r="C1264" s="129" t="s">
        <v>2588</v>
      </c>
      <c r="D1264" s="6">
        <v>30</v>
      </c>
    </row>
    <row r="1265" spans="1:5" ht="15">
      <c r="A1265" s="17" t="s">
        <v>2580</v>
      </c>
      <c r="B1265" s="591">
        <v>3.75</v>
      </c>
      <c r="C1265" s="129" t="s">
        <v>2589</v>
      </c>
      <c r="D1265" s="6">
        <v>30</v>
      </c>
    </row>
    <row r="1266" spans="1:5" ht="15">
      <c r="A1266" s="17" t="s">
        <v>2582</v>
      </c>
      <c r="B1266" s="591">
        <v>3.75</v>
      </c>
      <c r="C1266" s="129" t="s">
        <v>2590</v>
      </c>
      <c r="D1266" s="6">
        <v>30</v>
      </c>
    </row>
    <row r="1267" spans="1:5" ht="15">
      <c r="A1267" s="17" t="s">
        <v>2584</v>
      </c>
      <c r="B1267" s="591">
        <v>3.75</v>
      </c>
      <c r="C1267" s="129" t="s">
        <v>2591</v>
      </c>
      <c r="D1267" s="6">
        <v>30</v>
      </c>
    </row>
    <row r="1270" spans="1:5" ht="15">
      <c r="A1270" s="76" t="s">
        <v>2572</v>
      </c>
      <c r="B1270" s="76" t="s">
        <v>158</v>
      </c>
      <c r="C1270" s="77" t="s">
        <v>33</v>
      </c>
      <c r="D1270" s="77" t="s">
        <v>34</v>
      </c>
      <c r="E1270" s="78" t="s">
        <v>2268</v>
      </c>
    </row>
    <row r="1271" spans="1:5" ht="15">
      <c r="A1271" s="17" t="s">
        <v>257</v>
      </c>
      <c r="B1271" s="19">
        <v>6</v>
      </c>
      <c r="C1271" s="17" t="s">
        <v>2592</v>
      </c>
      <c r="D1271" s="6">
        <v>120</v>
      </c>
      <c r="E1271" s="33">
        <v>2.1800000000000002</v>
      </c>
    </row>
    <row r="1272" spans="1:5" ht="15">
      <c r="A1272" s="43"/>
      <c r="B1272" s="17" t="s">
        <v>11</v>
      </c>
      <c r="C1272" s="17"/>
      <c r="D1272" s="6" t="s">
        <v>60</v>
      </c>
      <c r="E1272" s="33">
        <v>12</v>
      </c>
    </row>
    <row r="1276" spans="1:5" ht="15">
      <c r="A1276" s="76" t="s">
        <v>2572</v>
      </c>
      <c r="B1276" s="77" t="s">
        <v>33</v>
      </c>
      <c r="C1276" s="77" t="s">
        <v>34</v>
      </c>
      <c r="D1276" s="78" t="s">
        <v>2268</v>
      </c>
    </row>
    <row r="1277" spans="1:5" ht="15">
      <c r="A1277" s="17" t="s">
        <v>2593</v>
      </c>
      <c r="B1277" s="31" t="s">
        <v>95</v>
      </c>
      <c r="C1277" s="54">
        <v>15</v>
      </c>
      <c r="D1277" s="33">
        <v>3.74</v>
      </c>
    </row>
    <row r="1278" spans="1:5" ht="15">
      <c r="A1278" s="17" t="s">
        <v>2594</v>
      </c>
      <c r="B1278" s="31" t="s">
        <v>95</v>
      </c>
      <c r="C1278" s="54">
        <v>5</v>
      </c>
      <c r="D1278" s="33">
        <v>3.84</v>
      </c>
    </row>
    <row r="1279" spans="1:5" ht="15">
      <c r="A1279" s="17" t="s">
        <v>2595</v>
      </c>
      <c r="B1279" s="31" t="s">
        <v>95</v>
      </c>
      <c r="C1279" s="54">
        <v>5</v>
      </c>
      <c r="D1279" s="33">
        <v>5.34</v>
      </c>
    </row>
    <row r="1280" spans="1:5" ht="15">
      <c r="A1280" s="17" t="s">
        <v>2596</v>
      </c>
      <c r="B1280" s="31" t="s">
        <v>95</v>
      </c>
      <c r="C1280" s="54">
        <v>10</v>
      </c>
      <c r="D1280" s="33">
        <v>5.93</v>
      </c>
    </row>
    <row r="1281" spans="1:8" ht="15">
      <c r="A1281" s="17" t="s">
        <v>2597</v>
      </c>
      <c r="B1281" s="31" t="s">
        <v>95</v>
      </c>
      <c r="C1281" s="54">
        <v>5</v>
      </c>
      <c r="D1281" s="33">
        <v>6.65</v>
      </c>
    </row>
    <row r="1282" spans="1:8" ht="15">
      <c r="A1282" s="43"/>
      <c r="B1282" s="31" t="s">
        <v>11</v>
      </c>
      <c r="C1282" s="6" t="s">
        <v>60</v>
      </c>
      <c r="D1282" s="33">
        <v>12</v>
      </c>
    </row>
    <row r="1285" spans="1:8" ht="15">
      <c r="A1285" s="76" t="s">
        <v>2572</v>
      </c>
      <c r="B1285" s="77" t="s">
        <v>33</v>
      </c>
      <c r="C1285" s="77" t="s">
        <v>34</v>
      </c>
    </row>
    <row r="1286" spans="1:8" ht="15">
      <c r="A1286" s="17" t="s">
        <v>1847</v>
      </c>
      <c r="B1286" s="31" t="s">
        <v>192</v>
      </c>
      <c r="C1286" s="100">
        <v>12</v>
      </c>
    </row>
    <row r="1287" spans="1:8" ht="15">
      <c r="A1287" s="17" t="s">
        <v>1847</v>
      </c>
      <c r="B1287" s="31" t="s">
        <v>1848</v>
      </c>
      <c r="C1287" s="100">
        <v>24.5</v>
      </c>
    </row>
    <row r="1291" spans="1:8" ht="15">
      <c r="A1291" s="76" t="s">
        <v>2572</v>
      </c>
    </row>
    <row r="1292" spans="1:8" ht="15">
      <c r="A1292" s="81" t="s">
        <v>2598</v>
      </c>
      <c r="B1292" s="76" t="s">
        <v>2572</v>
      </c>
      <c r="C1292" s="76" t="s">
        <v>158</v>
      </c>
      <c r="D1292" s="77" t="s">
        <v>33</v>
      </c>
      <c r="E1292" s="77" t="s">
        <v>2</v>
      </c>
      <c r="F1292" s="77" t="s">
        <v>111</v>
      </c>
      <c r="G1292" s="77" t="s">
        <v>110</v>
      </c>
      <c r="H1292" s="82" t="s">
        <v>278</v>
      </c>
    </row>
    <row r="1293" spans="1:8" ht="15">
      <c r="A1293" s="17" t="s">
        <v>2599</v>
      </c>
      <c r="B1293" s="17" t="s">
        <v>1858</v>
      </c>
      <c r="C1293" s="127" t="s">
        <v>13</v>
      </c>
      <c r="D1293" s="17" t="s">
        <v>1860</v>
      </c>
      <c r="E1293" s="100">
        <v>30</v>
      </c>
      <c r="F1293" s="101">
        <v>8</v>
      </c>
      <c r="G1293" s="6">
        <v>240</v>
      </c>
      <c r="H1293" s="592" t="s">
        <v>2600</v>
      </c>
    </row>
    <row r="1294" spans="1:8" ht="15">
      <c r="A1294" s="17" t="s">
        <v>2599</v>
      </c>
      <c r="B1294" s="17" t="s">
        <v>1858</v>
      </c>
      <c r="C1294" s="10">
        <v>15</v>
      </c>
      <c r="D1294" s="17" t="s">
        <v>1860</v>
      </c>
      <c r="E1294" s="100">
        <v>30</v>
      </c>
      <c r="F1294" s="101">
        <v>20</v>
      </c>
      <c r="G1294" s="6">
        <v>600</v>
      </c>
      <c r="H1294" s="592" t="s">
        <v>2600</v>
      </c>
    </row>
    <row r="1295" spans="1:8" ht="15">
      <c r="A1295" s="17" t="s">
        <v>2599</v>
      </c>
      <c r="B1295" s="17" t="s">
        <v>1858</v>
      </c>
      <c r="C1295" s="10">
        <v>15</v>
      </c>
      <c r="D1295" s="17" t="s">
        <v>1859</v>
      </c>
      <c r="E1295" s="100">
        <v>30</v>
      </c>
      <c r="F1295" s="101">
        <v>43</v>
      </c>
      <c r="G1295" s="6">
        <v>1290</v>
      </c>
      <c r="H1295" s="592" t="s">
        <v>2600</v>
      </c>
    </row>
    <row r="1296" spans="1:8" ht="15">
      <c r="A1296" s="135"/>
      <c r="B1296" s="155"/>
      <c r="C1296" s="137"/>
      <c r="D1296" s="137"/>
      <c r="E1296" s="139"/>
      <c r="F1296" s="140"/>
      <c r="G1296" s="138"/>
      <c r="H1296" s="138"/>
    </row>
    <row r="1297" spans="1:8" ht="15">
      <c r="A1297" s="17" t="s">
        <v>2601</v>
      </c>
      <c r="B1297" s="17" t="s">
        <v>1858</v>
      </c>
      <c r="C1297" s="127" t="s">
        <v>13</v>
      </c>
      <c r="D1297" s="17" t="s">
        <v>1859</v>
      </c>
      <c r="E1297" s="100">
        <v>30</v>
      </c>
      <c r="F1297" s="101">
        <v>57</v>
      </c>
      <c r="G1297" s="6">
        <v>1710</v>
      </c>
      <c r="H1297" s="592" t="s">
        <v>2602</v>
      </c>
    </row>
    <row r="1298" spans="1:8" ht="15">
      <c r="A1298" s="17" t="s">
        <v>2601</v>
      </c>
      <c r="B1298" s="17" t="s">
        <v>1858</v>
      </c>
      <c r="C1298" s="10">
        <v>15</v>
      </c>
      <c r="D1298" s="17" t="s">
        <v>1859</v>
      </c>
      <c r="E1298" s="100">
        <v>30</v>
      </c>
      <c r="F1298" s="101">
        <v>67</v>
      </c>
      <c r="G1298" s="6">
        <v>2010</v>
      </c>
      <c r="H1298" s="592" t="s">
        <v>2603</v>
      </c>
    </row>
    <row r="1299" spans="1:8" ht="15">
      <c r="A1299" s="17" t="s">
        <v>2601</v>
      </c>
      <c r="B1299" s="17" t="s">
        <v>1858</v>
      </c>
      <c r="C1299" s="10">
        <v>18</v>
      </c>
      <c r="D1299" s="17" t="s">
        <v>1859</v>
      </c>
      <c r="E1299" s="100">
        <v>30</v>
      </c>
      <c r="F1299" s="101">
        <v>9</v>
      </c>
      <c r="G1299" s="6">
        <v>270</v>
      </c>
      <c r="H1299" s="592" t="s">
        <v>2600</v>
      </c>
    </row>
    <row r="1302" spans="1:8" ht="15">
      <c r="A1302" s="76" t="s">
        <v>2572</v>
      </c>
      <c r="B1302" s="76" t="s">
        <v>158</v>
      </c>
      <c r="C1302" s="77" t="s">
        <v>33</v>
      </c>
      <c r="D1302" s="77" t="s">
        <v>34</v>
      </c>
      <c r="E1302" s="77" t="s">
        <v>104</v>
      </c>
    </row>
    <row r="1303" spans="1:8" ht="15">
      <c r="A1303" s="17">
        <v>9527</v>
      </c>
      <c r="B1303" s="19"/>
      <c r="C1303" s="17" t="s">
        <v>163</v>
      </c>
      <c r="D1303" s="6">
        <v>5</v>
      </c>
      <c r="E1303" s="593" t="s">
        <v>2604</v>
      </c>
    </row>
    <row r="1304" spans="1:8" ht="15">
      <c r="A1304" s="17">
        <v>9527</v>
      </c>
      <c r="B1304" s="19"/>
      <c r="C1304" s="17" t="s">
        <v>1866</v>
      </c>
      <c r="D1304" s="6">
        <v>5</v>
      </c>
      <c r="E1304" s="593" t="s">
        <v>2604</v>
      </c>
    </row>
    <row r="1305" spans="1:8" ht="15">
      <c r="A1305" s="17">
        <v>9527</v>
      </c>
      <c r="B1305" s="19"/>
      <c r="C1305" s="17" t="s">
        <v>1867</v>
      </c>
      <c r="D1305" s="6">
        <v>5</v>
      </c>
      <c r="E1305" s="593" t="s">
        <v>2604</v>
      </c>
    </row>
    <row r="1306" spans="1:8" ht="15">
      <c r="A1306" s="76" t="s">
        <v>2572</v>
      </c>
      <c r="B1306" s="76" t="s">
        <v>158</v>
      </c>
      <c r="C1306" s="77" t="s">
        <v>33</v>
      </c>
      <c r="D1306" s="77" t="s">
        <v>34</v>
      </c>
      <c r="E1306" s="593"/>
    </row>
    <row r="1307" spans="1:8" ht="15">
      <c r="A1307" s="17">
        <v>5637</v>
      </c>
      <c r="B1307" s="19" t="s">
        <v>198</v>
      </c>
      <c r="C1307" s="17" t="s">
        <v>171</v>
      </c>
      <c r="D1307" s="6">
        <v>5</v>
      </c>
      <c r="E1307" s="593" t="s">
        <v>2605</v>
      </c>
    </row>
    <row r="1308" spans="1:8" ht="15">
      <c r="A1308" s="17">
        <v>5637</v>
      </c>
      <c r="B1308" s="19" t="s">
        <v>198</v>
      </c>
      <c r="C1308" s="17" t="s">
        <v>212</v>
      </c>
      <c r="D1308" s="6">
        <v>5</v>
      </c>
      <c r="E1308" s="593" t="s">
        <v>2605</v>
      </c>
    </row>
    <row r="1309" spans="1:8" ht="15">
      <c r="A1309" s="17">
        <v>5637</v>
      </c>
      <c r="B1309" s="19" t="s">
        <v>198</v>
      </c>
      <c r="C1309" s="17" t="s">
        <v>1868</v>
      </c>
      <c r="D1309" s="6">
        <v>5</v>
      </c>
      <c r="E1309" s="593" t="s">
        <v>2605</v>
      </c>
    </row>
    <row r="1310" spans="1:8" ht="15">
      <c r="A1310" s="17">
        <v>5637</v>
      </c>
      <c r="B1310" s="19" t="s">
        <v>198</v>
      </c>
      <c r="C1310" s="17" t="s">
        <v>1869</v>
      </c>
      <c r="D1310" s="6">
        <v>5</v>
      </c>
      <c r="E1310" s="593" t="s">
        <v>2605</v>
      </c>
    </row>
    <row r="1315" spans="1:4" ht="15">
      <c r="A1315" s="594" t="s">
        <v>2606</v>
      </c>
      <c r="B1315" s="77"/>
      <c r="C1315" s="77"/>
      <c r="D1315" s="78"/>
    </row>
    <row r="1316" spans="1:4" ht="15">
      <c r="A1316" s="76" t="s">
        <v>2572</v>
      </c>
      <c r="B1316" s="77" t="s">
        <v>33</v>
      </c>
      <c r="C1316" s="77" t="s">
        <v>34</v>
      </c>
      <c r="D1316" s="78" t="s">
        <v>2607</v>
      </c>
    </row>
    <row r="1317" spans="1:4" ht="15">
      <c r="A1317" s="42" t="s">
        <v>1874</v>
      </c>
      <c r="B1317" s="31" t="s">
        <v>2608</v>
      </c>
      <c r="C1317" s="100">
        <v>30</v>
      </c>
      <c r="D1317" s="33">
        <v>4.5999999999999996</v>
      </c>
    </row>
    <row r="1318" spans="1:4" ht="15">
      <c r="A1318" s="42" t="s">
        <v>1874</v>
      </c>
      <c r="B1318" s="31" t="s">
        <v>2609</v>
      </c>
      <c r="C1318" s="100">
        <v>30</v>
      </c>
      <c r="D1318" s="33">
        <v>4.5999999999999996</v>
      </c>
    </row>
    <row r="1319" spans="1:4" ht="15">
      <c r="A1319" s="42" t="s">
        <v>1877</v>
      </c>
      <c r="B1319" s="31" t="s">
        <v>2608</v>
      </c>
      <c r="C1319" s="100">
        <v>30</v>
      </c>
      <c r="D1319" s="33">
        <v>5.65</v>
      </c>
    </row>
    <row r="1320" spans="1:4" ht="15">
      <c r="A1320" s="42" t="s">
        <v>1877</v>
      </c>
      <c r="B1320" s="31" t="s">
        <v>2609</v>
      </c>
      <c r="C1320" s="100">
        <v>30</v>
      </c>
      <c r="D1320" s="33">
        <v>5.65</v>
      </c>
    </row>
    <row r="1321" spans="1:4" ht="15">
      <c r="A1321" s="42" t="s">
        <v>1879</v>
      </c>
      <c r="B1321" s="31" t="s">
        <v>2608</v>
      </c>
      <c r="C1321" s="100">
        <v>30</v>
      </c>
      <c r="D1321" s="33">
        <v>6.03</v>
      </c>
    </row>
    <row r="1322" spans="1:4" ht="15">
      <c r="A1322" s="42" t="s">
        <v>1879</v>
      </c>
      <c r="B1322" s="31" t="s">
        <v>2609</v>
      </c>
      <c r="C1322" s="100">
        <v>30</v>
      </c>
      <c r="D1322" s="33">
        <v>6.03</v>
      </c>
    </row>
    <row r="1323" spans="1:4" ht="15">
      <c r="A1323" s="42" t="s">
        <v>1880</v>
      </c>
      <c r="B1323" s="31" t="s">
        <v>2608</v>
      </c>
      <c r="C1323" s="100">
        <v>30</v>
      </c>
      <c r="D1323" s="33">
        <v>4.59</v>
      </c>
    </row>
    <row r="1324" spans="1:4" ht="15">
      <c r="A1324" s="42" t="s">
        <v>1880</v>
      </c>
      <c r="B1324" s="31" t="s">
        <v>2609</v>
      </c>
      <c r="C1324" s="100">
        <v>30</v>
      </c>
      <c r="D1324" s="33">
        <v>4.59</v>
      </c>
    </row>
    <row r="1325" spans="1:4" ht="15">
      <c r="A1325" s="17"/>
      <c r="B1325" s="31" t="s">
        <v>183</v>
      </c>
      <c r="C1325" s="146" t="s">
        <v>2610</v>
      </c>
      <c r="D1325" s="33">
        <v>80</v>
      </c>
    </row>
    <row r="1326" spans="1:4" ht="15">
      <c r="A1326" s="594" t="s">
        <v>2611</v>
      </c>
      <c r="B1326" s="31"/>
      <c r="C1326" s="146"/>
      <c r="D1326" s="33"/>
    </row>
    <row r="1327" spans="1:4" ht="15">
      <c r="A1327" s="76" t="s">
        <v>2572</v>
      </c>
      <c r="B1327" s="77" t="s">
        <v>33</v>
      </c>
      <c r="C1327" s="77" t="s">
        <v>34</v>
      </c>
      <c r="D1327" s="78" t="s">
        <v>2268</v>
      </c>
    </row>
    <row r="1328" spans="1:4" ht="15">
      <c r="A1328" s="17" t="s">
        <v>1870</v>
      </c>
      <c r="B1328" s="31" t="s">
        <v>2608</v>
      </c>
      <c r="C1328" s="100">
        <v>50</v>
      </c>
      <c r="D1328" s="33">
        <v>2.04</v>
      </c>
    </row>
    <row r="1329" spans="1:8" ht="15">
      <c r="A1329" s="17" t="s">
        <v>1870</v>
      </c>
      <c r="B1329" s="31" t="s">
        <v>2609</v>
      </c>
      <c r="C1329" s="100">
        <v>50</v>
      </c>
      <c r="D1329" s="33">
        <v>2.04</v>
      </c>
    </row>
    <row r="1330" spans="1:8" ht="15">
      <c r="A1330" s="17"/>
      <c r="B1330" s="31" t="s">
        <v>183</v>
      </c>
      <c r="C1330" s="146" t="s">
        <v>2612</v>
      </c>
      <c r="D1330" s="33">
        <v>250</v>
      </c>
    </row>
    <row r="1331" spans="1:8" ht="15">
      <c r="A1331" s="17"/>
      <c r="B1331" s="31" t="s">
        <v>11</v>
      </c>
      <c r="C1331" s="32">
        <v>1</v>
      </c>
      <c r="D1331" s="33">
        <v>12</v>
      </c>
    </row>
    <row r="1333" spans="1:8" ht="14.25" thickBot="1"/>
    <row r="1334" spans="1:8" ht="15.75" thickBot="1">
      <c r="A1334" s="1001" t="s">
        <v>2613</v>
      </c>
      <c r="B1334" s="1003" t="s">
        <v>2614</v>
      </c>
      <c r="C1334" s="1004"/>
      <c r="D1334" s="1004"/>
      <c r="E1334" s="1005"/>
      <c r="F1334" s="595" t="s">
        <v>2615</v>
      </c>
      <c r="G1334" s="596" t="s">
        <v>286</v>
      </c>
      <c r="H1334" s="1001" t="s">
        <v>2616</v>
      </c>
    </row>
    <row r="1335" spans="1:8" ht="15.75" thickBot="1">
      <c r="A1335" s="1002"/>
      <c r="B1335" s="597" t="s">
        <v>2617</v>
      </c>
      <c r="C1335" s="597" t="s">
        <v>2618</v>
      </c>
      <c r="D1335" s="597" t="s">
        <v>2619</v>
      </c>
      <c r="E1335" s="597" t="s">
        <v>2620</v>
      </c>
      <c r="F1335" s="598" t="s">
        <v>2621</v>
      </c>
      <c r="G1335" s="599" t="s">
        <v>2622</v>
      </c>
      <c r="H1335" s="1002"/>
    </row>
    <row r="1336" spans="1:8" ht="15.75" thickBot="1">
      <c r="A1336" s="600" t="s">
        <v>1874</v>
      </c>
      <c r="B1336" s="601">
        <v>4.5999999999999996</v>
      </c>
      <c r="C1336" s="601">
        <v>4.3</v>
      </c>
      <c r="D1336" s="601">
        <v>4.1500000000000004</v>
      </c>
      <c r="E1336" s="601">
        <v>3.99</v>
      </c>
      <c r="F1336" s="602">
        <v>343.2</v>
      </c>
      <c r="G1336" s="602">
        <v>8.5</v>
      </c>
      <c r="H1336" s="603" t="s">
        <v>2623</v>
      </c>
    </row>
    <row r="1337" spans="1:8" ht="15.75" thickBot="1">
      <c r="A1337" s="600" t="s">
        <v>1877</v>
      </c>
      <c r="B1337" s="601">
        <v>5.65</v>
      </c>
      <c r="C1337" s="601">
        <v>5.28</v>
      </c>
      <c r="D1337" s="601">
        <v>5.09</v>
      </c>
      <c r="E1337" s="601">
        <v>4.9000000000000004</v>
      </c>
      <c r="F1337" s="602">
        <v>300</v>
      </c>
      <c r="G1337" s="602">
        <v>9.3000000000000007</v>
      </c>
      <c r="H1337" s="603" t="s">
        <v>2624</v>
      </c>
    </row>
    <row r="1338" spans="1:8" ht="15.75" thickBot="1">
      <c r="A1338" s="600" t="s">
        <v>1879</v>
      </c>
      <c r="B1338" s="601">
        <v>6.03</v>
      </c>
      <c r="C1338" s="601">
        <v>5.4</v>
      </c>
      <c r="D1338" s="601">
        <v>4.79</v>
      </c>
      <c r="E1338" s="601">
        <v>4.53</v>
      </c>
      <c r="F1338" s="602">
        <v>633</v>
      </c>
      <c r="G1338" s="602">
        <v>8.6999999999999993</v>
      </c>
      <c r="H1338" s="603" t="s">
        <v>2625</v>
      </c>
    </row>
    <row r="1339" spans="1:8" ht="15.75" thickBot="1">
      <c r="A1339" s="600" t="s">
        <v>1880</v>
      </c>
      <c r="B1339" s="601">
        <v>4.59</v>
      </c>
      <c r="C1339" s="601">
        <v>4.29</v>
      </c>
      <c r="D1339" s="601">
        <v>4.1399999999999997</v>
      </c>
      <c r="E1339" s="601">
        <v>3.98</v>
      </c>
      <c r="F1339" s="602">
        <v>292.8</v>
      </c>
      <c r="G1339" s="602">
        <v>12.5</v>
      </c>
      <c r="H1339" s="603" t="s">
        <v>2626</v>
      </c>
    </row>
    <row r="1340" spans="1:8" ht="15.75">
      <c r="A1340" s="604"/>
    </row>
    <row r="1345" spans="1:6" ht="15">
      <c r="A1345" s="17" t="s">
        <v>1870</v>
      </c>
      <c r="B1345" s="31" t="s">
        <v>1875</v>
      </c>
      <c r="C1345" s="100">
        <v>42</v>
      </c>
    </row>
    <row r="1346" spans="1:6" ht="15">
      <c r="A1346" s="17" t="s">
        <v>1870</v>
      </c>
      <c r="B1346" s="31" t="s">
        <v>1876</v>
      </c>
      <c r="C1346" s="100">
        <v>42</v>
      </c>
    </row>
    <row r="1351" spans="1:6" ht="15">
      <c r="A1351" s="76" t="s">
        <v>2572</v>
      </c>
      <c r="B1351" s="76" t="s">
        <v>204</v>
      </c>
      <c r="C1351" s="76" t="s">
        <v>2627</v>
      </c>
      <c r="D1351" s="76" t="s">
        <v>247</v>
      </c>
      <c r="E1351" s="78" t="s">
        <v>2628</v>
      </c>
      <c r="F1351" s="78" t="s">
        <v>252</v>
      </c>
    </row>
    <row r="1352" spans="1:6" ht="15">
      <c r="A1352" s="17" t="s">
        <v>213</v>
      </c>
      <c r="B1352" s="104">
        <v>158</v>
      </c>
      <c r="C1352" s="129" t="s">
        <v>1871</v>
      </c>
      <c r="D1352" s="130">
        <v>120</v>
      </c>
      <c r="E1352" s="33">
        <v>0.88</v>
      </c>
      <c r="F1352" s="214" t="s">
        <v>2629</v>
      </c>
    </row>
    <row r="1353" spans="1:6" ht="15">
      <c r="A1353" s="17" t="s">
        <v>213</v>
      </c>
      <c r="B1353" s="104">
        <v>158</v>
      </c>
      <c r="C1353" s="129" t="s">
        <v>1872</v>
      </c>
      <c r="D1353" s="130">
        <v>120</v>
      </c>
      <c r="E1353" s="33">
        <v>0.88</v>
      </c>
      <c r="F1353" s="214" t="s">
        <v>2629</v>
      </c>
    </row>
    <row r="1354" spans="1:6" ht="15">
      <c r="A1354" s="17"/>
      <c r="B1354" s="31"/>
      <c r="C1354" s="31" t="s">
        <v>11</v>
      </c>
      <c r="D1354" s="32">
        <v>1</v>
      </c>
      <c r="E1354" s="33">
        <v>12</v>
      </c>
      <c r="F1354" s="214" t="s">
        <v>2629</v>
      </c>
    </row>
    <row r="1355" spans="1:6" ht="15">
      <c r="A1355" s="17" t="s">
        <v>213</v>
      </c>
      <c r="B1355" s="104">
        <v>180</v>
      </c>
      <c r="C1355" s="129" t="s">
        <v>1873</v>
      </c>
      <c r="D1355" s="130">
        <v>250</v>
      </c>
      <c r="E1355" s="33">
        <v>0.95</v>
      </c>
      <c r="F1355" s="214" t="s">
        <v>2630</v>
      </c>
    </row>
    <row r="1356" spans="1:6" ht="15">
      <c r="A1356" s="17" t="s">
        <v>213</v>
      </c>
      <c r="B1356" s="104">
        <v>158</v>
      </c>
      <c r="C1356" s="129" t="s">
        <v>1871</v>
      </c>
      <c r="D1356" s="130">
        <v>100</v>
      </c>
      <c r="E1356" s="33">
        <v>0.88</v>
      </c>
      <c r="F1356" s="214" t="s">
        <v>2630</v>
      </c>
    </row>
    <row r="1357" spans="1:6" ht="15">
      <c r="A1357" s="43"/>
      <c r="B1357" s="31"/>
      <c r="C1357" s="31" t="s">
        <v>11</v>
      </c>
      <c r="D1357" s="32">
        <v>1</v>
      </c>
      <c r="E1357" s="33">
        <v>12</v>
      </c>
      <c r="F1357" s="214" t="s">
        <v>2630</v>
      </c>
    </row>
    <row r="1359" spans="1:6" ht="15">
      <c r="A1359" s="76" t="s">
        <v>2572</v>
      </c>
      <c r="B1359" s="77" t="s">
        <v>33</v>
      </c>
      <c r="C1359" s="77" t="s">
        <v>34</v>
      </c>
      <c r="D1359" s="78" t="s">
        <v>2268</v>
      </c>
    </row>
    <row r="1360" spans="1:6" ht="15">
      <c r="A1360" s="17" t="s">
        <v>1884</v>
      </c>
      <c r="B1360" s="17" t="s">
        <v>1885</v>
      </c>
      <c r="C1360" s="100">
        <v>6</v>
      </c>
      <c r="D1360" s="506"/>
    </row>
    <row r="1361" spans="1:7" ht="15">
      <c r="A1361" s="17" t="s">
        <v>1886</v>
      </c>
      <c r="B1361" s="17" t="s">
        <v>1887</v>
      </c>
      <c r="C1361" s="100">
        <v>6</v>
      </c>
      <c r="D1361" s="506"/>
    </row>
    <row r="1362" spans="1:7" ht="15">
      <c r="A1362" s="17" t="s">
        <v>1888</v>
      </c>
      <c r="B1362" s="17" t="s">
        <v>1885</v>
      </c>
      <c r="C1362" s="100">
        <v>6</v>
      </c>
      <c r="D1362" s="506"/>
    </row>
    <row r="1363" spans="1:7" ht="15">
      <c r="A1363" s="17" t="s">
        <v>1889</v>
      </c>
      <c r="B1363" s="17" t="s">
        <v>1885</v>
      </c>
      <c r="C1363" s="100">
        <v>6</v>
      </c>
      <c r="D1363" s="506"/>
    </row>
    <row r="1364" spans="1:7" ht="15">
      <c r="A1364" s="17" t="s">
        <v>188</v>
      </c>
      <c r="B1364" s="17" t="s">
        <v>1885</v>
      </c>
      <c r="C1364" s="100">
        <v>6</v>
      </c>
      <c r="D1364" s="506"/>
    </row>
    <row r="1365" spans="1:7" ht="15">
      <c r="A1365" s="17"/>
      <c r="B1365" s="31" t="s">
        <v>11</v>
      </c>
      <c r="C1365" s="32">
        <v>1</v>
      </c>
      <c r="D1365" s="33">
        <v>12</v>
      </c>
    </row>
    <row r="1369" spans="1:7" ht="15.75">
      <c r="A1369" s="76" t="s">
        <v>2572</v>
      </c>
      <c r="B1369" s="76" t="s">
        <v>158</v>
      </c>
      <c r="C1369" s="76" t="s">
        <v>94</v>
      </c>
      <c r="D1369" s="95" t="s">
        <v>2</v>
      </c>
      <c r="E1369" s="95" t="s">
        <v>111</v>
      </c>
      <c r="F1369" s="95" t="s">
        <v>110</v>
      </c>
      <c r="G1369" s="95" t="s">
        <v>2631</v>
      </c>
    </row>
    <row r="1370" spans="1:7" ht="15">
      <c r="A1370" s="17">
        <v>2250</v>
      </c>
      <c r="B1370" s="31">
        <v>9</v>
      </c>
      <c r="C1370" s="17" t="s">
        <v>1890</v>
      </c>
      <c r="D1370" s="100">
        <v>30</v>
      </c>
      <c r="E1370" s="101">
        <v>10</v>
      </c>
      <c r="F1370" s="6">
        <v>300</v>
      </c>
      <c r="G1370" s="214" t="s">
        <v>2632</v>
      </c>
    </row>
    <row r="1371" spans="1:7" ht="15">
      <c r="A1371" s="17">
        <v>2250</v>
      </c>
      <c r="B1371" s="31">
        <v>12</v>
      </c>
      <c r="C1371" s="17" t="s">
        <v>1891</v>
      </c>
      <c r="D1371" s="100">
        <v>30</v>
      </c>
      <c r="E1371" s="101">
        <v>4</v>
      </c>
      <c r="F1371" s="6">
        <v>120</v>
      </c>
      <c r="G1371" s="214" t="s">
        <v>187</v>
      </c>
    </row>
    <row r="1372" spans="1:7" ht="15">
      <c r="A1372" s="17">
        <v>2250</v>
      </c>
      <c r="B1372" s="31">
        <v>9</v>
      </c>
      <c r="C1372" s="17" t="s">
        <v>1891</v>
      </c>
      <c r="D1372" s="100">
        <v>30</v>
      </c>
      <c r="E1372" s="101">
        <v>11</v>
      </c>
      <c r="F1372" s="6">
        <v>330</v>
      </c>
      <c r="G1372" s="214" t="s">
        <v>187</v>
      </c>
    </row>
    <row r="1375" spans="1:7" ht="15">
      <c r="A1375" s="17" t="s">
        <v>1863</v>
      </c>
      <c r="B1375" s="17" t="s">
        <v>95</v>
      </c>
    </row>
    <row r="1376" spans="1:7" ht="15">
      <c r="A1376" s="17" t="s">
        <v>1863</v>
      </c>
      <c r="B1376" s="17" t="s">
        <v>173</v>
      </c>
    </row>
    <row r="1377" spans="1:8" ht="15">
      <c r="A1377" s="17" t="s">
        <v>1862</v>
      </c>
      <c r="B1377" s="17" t="s">
        <v>95</v>
      </c>
    </row>
    <row r="1378" spans="1:8" ht="15">
      <c r="A1378" s="17" t="s">
        <v>1862</v>
      </c>
      <c r="B1378" s="17" t="s">
        <v>173</v>
      </c>
    </row>
    <row r="1380" spans="1:8" ht="15.75">
      <c r="A1380" s="76" t="s">
        <v>2572</v>
      </c>
      <c r="B1380" s="76" t="s">
        <v>158</v>
      </c>
      <c r="C1380" s="76" t="s">
        <v>94</v>
      </c>
      <c r="D1380" s="95" t="s">
        <v>2</v>
      </c>
      <c r="E1380" s="95" t="s">
        <v>111</v>
      </c>
      <c r="F1380" s="95" t="s">
        <v>110</v>
      </c>
      <c r="G1380" s="11" t="s">
        <v>5</v>
      </c>
    </row>
    <row r="1381" spans="1:8" ht="15">
      <c r="A1381" s="17" t="s">
        <v>1858</v>
      </c>
      <c r="B1381" s="127" t="s">
        <v>196</v>
      </c>
      <c r="C1381" s="17" t="s">
        <v>1895</v>
      </c>
      <c r="D1381" s="100">
        <v>30</v>
      </c>
      <c r="E1381" s="101">
        <v>10</v>
      </c>
      <c r="F1381" s="6">
        <v>300</v>
      </c>
      <c r="G1381" s="33">
        <v>1.57</v>
      </c>
    </row>
    <row r="1382" spans="1:8" ht="15">
      <c r="A1382" s="17" t="s">
        <v>1896</v>
      </c>
      <c r="B1382" s="127">
        <v>10</v>
      </c>
      <c r="C1382" s="17" t="s">
        <v>1897</v>
      </c>
      <c r="D1382" s="100">
        <v>100</v>
      </c>
      <c r="E1382" s="101">
        <v>3</v>
      </c>
      <c r="F1382" s="6">
        <v>300</v>
      </c>
      <c r="G1382" s="33">
        <v>1.06</v>
      </c>
    </row>
    <row r="1383" spans="1:8" ht="15">
      <c r="A1383" s="17"/>
      <c r="B1383" s="10"/>
      <c r="C1383" s="31" t="s">
        <v>1898</v>
      </c>
      <c r="D1383" s="113"/>
      <c r="E1383" s="101"/>
      <c r="F1383" s="32">
        <v>1</v>
      </c>
      <c r="G1383" s="33">
        <v>485</v>
      </c>
    </row>
    <row r="1384" spans="1:8" ht="14.25" thickBot="1"/>
    <row r="1385" spans="1:8" ht="15.75" thickBot="1">
      <c r="A1385" s="1001" t="s">
        <v>2613</v>
      </c>
      <c r="B1385" s="1003" t="s">
        <v>2614</v>
      </c>
      <c r="C1385" s="1004"/>
      <c r="D1385" s="1004"/>
      <c r="E1385" s="1005"/>
      <c r="F1385" s="595" t="s">
        <v>2615</v>
      </c>
      <c r="G1385" s="596" t="s">
        <v>286</v>
      </c>
      <c r="H1385" s="1001" t="s">
        <v>2616</v>
      </c>
    </row>
    <row r="1386" spans="1:8" ht="15.75" thickBot="1">
      <c r="A1386" s="1002"/>
      <c r="B1386" s="597" t="s">
        <v>2617</v>
      </c>
      <c r="C1386" s="597" t="s">
        <v>2618</v>
      </c>
      <c r="D1386" s="597" t="s">
        <v>2619</v>
      </c>
      <c r="E1386" s="597" t="s">
        <v>2620</v>
      </c>
      <c r="F1386" s="598" t="s">
        <v>2621</v>
      </c>
      <c r="G1386" s="599" t="s">
        <v>2622</v>
      </c>
      <c r="H1386" s="1002"/>
    </row>
    <row r="1387" spans="1:8" ht="15.75" thickBot="1">
      <c r="A1387" s="600" t="s">
        <v>1877</v>
      </c>
      <c r="B1387" s="601">
        <v>5.65</v>
      </c>
      <c r="C1387" s="601">
        <v>5.28</v>
      </c>
      <c r="D1387" s="601">
        <v>5.09</v>
      </c>
      <c r="E1387" s="601">
        <v>4.9000000000000004</v>
      </c>
      <c r="F1387" s="602">
        <v>300</v>
      </c>
      <c r="G1387" s="602">
        <v>9.3000000000000007</v>
      </c>
      <c r="H1387" s="603" t="s">
        <v>2624</v>
      </c>
    </row>
    <row r="1388" spans="1:8" ht="15.75" thickBot="1">
      <c r="A1388" s="600" t="s">
        <v>1879</v>
      </c>
      <c r="B1388" s="601">
        <v>6.03</v>
      </c>
      <c r="C1388" s="601">
        <v>5.4</v>
      </c>
      <c r="D1388" s="601">
        <v>4.79</v>
      </c>
      <c r="E1388" s="601">
        <v>4.53</v>
      </c>
      <c r="F1388" s="602">
        <v>633</v>
      </c>
      <c r="G1388" s="602">
        <v>8.6999999999999993</v>
      </c>
      <c r="H1388" s="603" t="s">
        <v>2625</v>
      </c>
    </row>
    <row r="1390" spans="1:8" ht="14.25" thickBot="1">
      <c r="A1390" t="s">
        <v>2633</v>
      </c>
    </row>
    <row r="1391" spans="1:8" ht="15.75" thickBot="1">
      <c r="A1391" s="1001" t="s">
        <v>2613</v>
      </c>
      <c r="B1391" s="1003" t="s">
        <v>2614</v>
      </c>
      <c r="C1391" s="1004"/>
      <c r="D1391" s="1004"/>
      <c r="E1391" s="1005"/>
      <c r="F1391" s="595" t="s">
        <v>2615</v>
      </c>
      <c r="G1391" s="596" t="s">
        <v>286</v>
      </c>
      <c r="H1391" s="1001" t="s">
        <v>2616</v>
      </c>
    </row>
    <row r="1392" spans="1:8" ht="15.75" thickBot="1">
      <c r="A1392" s="1002"/>
      <c r="B1392" s="597" t="s">
        <v>2617</v>
      </c>
      <c r="C1392" s="597" t="s">
        <v>2618</v>
      </c>
      <c r="D1392" s="597" t="s">
        <v>2619</v>
      </c>
      <c r="E1392" s="597" t="s">
        <v>2620</v>
      </c>
      <c r="F1392" s="598" t="s">
        <v>2621</v>
      </c>
      <c r="G1392" s="599" t="s">
        <v>2622</v>
      </c>
      <c r="H1392" s="1002"/>
    </row>
    <row r="1393" spans="1:8" ht="15.75" thickBot="1">
      <c r="A1393" s="600" t="s">
        <v>2634</v>
      </c>
      <c r="B1393" s="601">
        <v>5.09</v>
      </c>
      <c r="C1393" s="601">
        <v>4.5</v>
      </c>
      <c r="D1393" s="601">
        <v>3.95</v>
      </c>
      <c r="E1393" s="601">
        <v>3.75</v>
      </c>
      <c r="F1393" s="602">
        <v>300</v>
      </c>
      <c r="G1393" s="602">
        <v>9.3000000000000007</v>
      </c>
      <c r="H1393" s="603" t="s">
        <v>2635</v>
      </c>
    </row>
    <row r="1394" spans="1:8" ht="15.75" thickBot="1">
      <c r="A1394" s="600" t="s">
        <v>2636</v>
      </c>
      <c r="B1394" s="601">
        <v>4.79</v>
      </c>
      <c r="C1394" s="601">
        <v>4.13</v>
      </c>
      <c r="D1394" s="601">
        <v>3.75</v>
      </c>
      <c r="E1394" s="601">
        <v>3.65</v>
      </c>
      <c r="F1394" s="602">
        <v>633</v>
      </c>
      <c r="G1394" s="602">
        <v>8.6999999999999993</v>
      </c>
      <c r="H1394" s="603" t="s">
        <v>2637</v>
      </c>
    </row>
    <row r="1395" spans="1:8" ht="15">
      <c r="A1395" s="211"/>
    </row>
    <row r="1396" spans="1:8" ht="15">
      <c r="A1396" s="594" t="s">
        <v>2606</v>
      </c>
      <c r="B1396" s="77"/>
      <c r="C1396" s="77"/>
      <c r="D1396" s="78"/>
    </row>
    <row r="1397" spans="1:8" ht="15">
      <c r="A1397" s="76" t="s">
        <v>2572</v>
      </c>
      <c r="B1397" s="77" t="s">
        <v>33</v>
      </c>
      <c r="C1397" s="77" t="s">
        <v>34</v>
      </c>
      <c r="D1397" s="78" t="s">
        <v>2607</v>
      </c>
    </row>
    <row r="1398" spans="1:8" ht="15">
      <c r="A1398" s="42" t="s">
        <v>1877</v>
      </c>
      <c r="B1398" s="31" t="s">
        <v>121</v>
      </c>
      <c r="C1398" s="100">
        <v>50</v>
      </c>
      <c r="D1398" s="33">
        <v>5.09</v>
      </c>
    </row>
    <row r="1399" spans="1:8" ht="15">
      <c r="A1399" s="42" t="s">
        <v>1877</v>
      </c>
      <c r="B1399" s="31" t="s">
        <v>2609</v>
      </c>
      <c r="C1399" s="100">
        <v>30</v>
      </c>
      <c r="D1399" s="33">
        <v>5.09</v>
      </c>
    </row>
    <row r="1400" spans="1:8" ht="15">
      <c r="A1400" s="42" t="s">
        <v>1879</v>
      </c>
      <c r="B1400" s="31" t="s">
        <v>121</v>
      </c>
      <c r="C1400" s="100">
        <v>50</v>
      </c>
      <c r="D1400" s="33">
        <v>4.79</v>
      </c>
    </row>
    <row r="1401" spans="1:8" ht="15">
      <c r="A1401" s="42" t="s">
        <v>1879</v>
      </c>
      <c r="B1401" s="31" t="s">
        <v>2609</v>
      </c>
      <c r="C1401" s="100">
        <v>30</v>
      </c>
      <c r="D1401" s="33">
        <v>4.79</v>
      </c>
    </row>
    <row r="1402" spans="1:8" ht="15">
      <c r="A1402" s="17"/>
      <c r="B1402" s="31" t="s">
        <v>183</v>
      </c>
      <c r="C1402" s="146" t="s">
        <v>2638</v>
      </c>
      <c r="D1402" s="33">
        <v>80</v>
      </c>
    </row>
    <row r="1405" spans="1:8" ht="15">
      <c r="A1405" s="594" t="s">
        <v>2606</v>
      </c>
      <c r="B1405" s="123"/>
      <c r="C1405" s="123"/>
      <c r="D1405" s="123"/>
    </row>
    <row r="1406" spans="1:8" ht="15">
      <c r="A1406" s="76" t="s">
        <v>2572</v>
      </c>
      <c r="B1406" s="77" t="s">
        <v>33</v>
      </c>
      <c r="C1406" s="77" t="s">
        <v>34</v>
      </c>
      <c r="D1406" s="78" t="s">
        <v>2607</v>
      </c>
    </row>
    <row r="1407" spans="1:8" ht="15">
      <c r="A1407" s="42" t="s">
        <v>1877</v>
      </c>
      <c r="B1407" s="31" t="s">
        <v>1899</v>
      </c>
      <c r="C1407" s="6">
        <v>50</v>
      </c>
      <c r="D1407" s="33">
        <v>5.09</v>
      </c>
    </row>
    <row r="1408" spans="1:8" ht="15">
      <c r="A1408" s="42" t="s">
        <v>1877</v>
      </c>
      <c r="B1408" s="31" t="s">
        <v>1876</v>
      </c>
      <c r="C1408" s="6">
        <v>30</v>
      </c>
      <c r="D1408" s="33">
        <v>5.09</v>
      </c>
    </row>
    <row r="1409" spans="1:7" ht="15">
      <c r="A1409" s="42" t="s">
        <v>1879</v>
      </c>
      <c r="B1409" s="31" t="s">
        <v>1899</v>
      </c>
      <c r="C1409" s="6">
        <v>50</v>
      </c>
      <c r="D1409" s="33">
        <v>4.79</v>
      </c>
    </row>
    <row r="1410" spans="1:7" ht="15">
      <c r="A1410" s="42" t="s">
        <v>1879</v>
      </c>
      <c r="B1410" s="31" t="s">
        <v>1876</v>
      </c>
      <c r="C1410" s="6">
        <v>30</v>
      </c>
      <c r="D1410" s="33">
        <v>4.79</v>
      </c>
    </row>
    <row r="1411" spans="1:7" ht="15">
      <c r="A1411" s="17"/>
      <c r="B1411" s="31" t="s">
        <v>1902</v>
      </c>
      <c r="C1411" s="146" t="s">
        <v>60</v>
      </c>
      <c r="D1411" s="33">
        <v>40</v>
      </c>
    </row>
    <row r="1412" spans="1:7" ht="15">
      <c r="A1412" s="594" t="s">
        <v>2611</v>
      </c>
      <c r="B1412" s="17"/>
      <c r="C1412" s="54"/>
      <c r="D1412" s="11"/>
    </row>
    <row r="1413" spans="1:7" ht="15">
      <c r="A1413" s="76" t="s">
        <v>2572</v>
      </c>
      <c r="B1413" s="77" t="s">
        <v>33</v>
      </c>
      <c r="C1413" s="77" t="s">
        <v>34</v>
      </c>
      <c r="D1413" s="78" t="s">
        <v>2268</v>
      </c>
    </row>
    <row r="1414" spans="1:7" ht="15">
      <c r="A1414" s="17" t="s">
        <v>1870</v>
      </c>
      <c r="B1414" s="31" t="s">
        <v>173</v>
      </c>
      <c r="C1414" s="6">
        <v>50</v>
      </c>
      <c r="D1414" s="33">
        <v>2.04</v>
      </c>
    </row>
    <row r="1415" spans="1:7" ht="15">
      <c r="A1415" s="17" t="s">
        <v>1870</v>
      </c>
      <c r="B1415" s="31" t="s">
        <v>1876</v>
      </c>
      <c r="C1415" s="6">
        <v>30</v>
      </c>
      <c r="D1415" s="33">
        <v>2.04</v>
      </c>
    </row>
    <row r="1416" spans="1:7" ht="15">
      <c r="A1416" s="17"/>
      <c r="B1416" s="31" t="s">
        <v>1902</v>
      </c>
      <c r="C1416" s="146" t="s">
        <v>60</v>
      </c>
      <c r="D1416" s="33">
        <v>125</v>
      </c>
    </row>
    <row r="1417" spans="1:7" ht="15">
      <c r="A1417" s="17"/>
      <c r="B1417" s="31" t="s">
        <v>11</v>
      </c>
      <c r="C1417" s="32">
        <v>1</v>
      </c>
      <c r="D1417" s="33">
        <v>12</v>
      </c>
    </row>
    <row r="1423" spans="1:7" ht="15">
      <c r="A1423" s="9" t="s">
        <v>289</v>
      </c>
      <c r="B1423" s="118"/>
      <c r="C1423" s="31"/>
      <c r="D1423" s="100"/>
      <c r="E1423" s="32"/>
      <c r="F1423" s="101"/>
      <c r="G1423" s="11" t="s">
        <v>5</v>
      </c>
    </row>
    <row r="1424" spans="1:7" ht="15">
      <c r="A1424" s="59" t="s">
        <v>1877</v>
      </c>
      <c r="B1424" s="31"/>
      <c r="C1424" s="31" t="s">
        <v>1899</v>
      </c>
      <c r="D1424" s="6">
        <v>50</v>
      </c>
      <c r="E1424" s="6">
        <v>50</v>
      </c>
      <c r="F1424" s="6">
        <v>50</v>
      </c>
      <c r="G1424" s="33">
        <v>5.09</v>
      </c>
    </row>
    <row r="1425" spans="1:7" ht="15">
      <c r="A1425" s="59" t="s">
        <v>1877</v>
      </c>
      <c r="B1425" s="31"/>
      <c r="C1425" s="31" t="s">
        <v>1876</v>
      </c>
      <c r="D1425" s="6">
        <v>30</v>
      </c>
      <c r="E1425" s="6">
        <v>30</v>
      </c>
      <c r="F1425" s="6">
        <v>30</v>
      </c>
      <c r="G1425" s="33">
        <v>5.09</v>
      </c>
    </row>
    <row r="1426" spans="1:7" ht="15">
      <c r="A1426" s="49" t="s">
        <v>1878</v>
      </c>
      <c r="B1426" s="31"/>
      <c r="C1426" s="31"/>
      <c r="D1426" s="100"/>
      <c r="E1426" s="32"/>
      <c r="F1426" s="101"/>
      <c r="G1426" s="33"/>
    </row>
    <row r="1427" spans="1:7" ht="15">
      <c r="A1427" s="59" t="s">
        <v>1879</v>
      </c>
      <c r="B1427" s="31"/>
      <c r="C1427" s="31" t="s">
        <v>1899</v>
      </c>
      <c r="D1427" s="6">
        <v>50</v>
      </c>
      <c r="E1427" s="6">
        <v>50</v>
      </c>
      <c r="F1427" s="6">
        <v>50</v>
      </c>
      <c r="G1427" s="33">
        <v>4.79</v>
      </c>
    </row>
    <row r="1428" spans="1:7" ht="15">
      <c r="A1428" s="59" t="s">
        <v>1879</v>
      </c>
      <c r="B1428" s="31"/>
      <c r="C1428" s="31" t="s">
        <v>1876</v>
      </c>
      <c r="D1428" s="6">
        <v>30</v>
      </c>
      <c r="E1428" s="6">
        <v>30</v>
      </c>
      <c r="F1428" s="6">
        <v>30</v>
      </c>
      <c r="G1428" s="33">
        <v>4.79</v>
      </c>
    </row>
    <row r="1429" spans="1:7" ht="15">
      <c r="A1429" s="43"/>
      <c r="B1429" s="118"/>
      <c r="C1429" s="31" t="s">
        <v>1900</v>
      </c>
      <c r="D1429" s="32">
        <v>1</v>
      </c>
      <c r="E1429" s="33"/>
      <c r="F1429" s="101"/>
      <c r="G1429" s="33">
        <v>40</v>
      </c>
    </row>
    <row r="1430" spans="1:7" ht="15">
      <c r="A1430" s="43"/>
      <c r="B1430" s="118"/>
      <c r="C1430" s="31" t="s">
        <v>1900</v>
      </c>
      <c r="D1430" s="32">
        <v>1</v>
      </c>
      <c r="E1430" s="33"/>
      <c r="F1430" s="101"/>
      <c r="G1430" s="33">
        <v>40</v>
      </c>
    </row>
    <row r="1431" spans="1:7" ht="15">
      <c r="A1431" s="14" t="s">
        <v>289</v>
      </c>
      <c r="B1431" s="19"/>
      <c r="C1431" s="17"/>
      <c r="D1431" s="54"/>
      <c r="E1431" s="54"/>
      <c r="F1431" s="55"/>
      <c r="G1431" s="11" t="s">
        <v>5</v>
      </c>
    </row>
    <row r="1432" spans="1:7" ht="15">
      <c r="A1432" s="43" t="s">
        <v>1870</v>
      </c>
      <c r="B1432" s="31"/>
      <c r="C1432" s="31" t="s">
        <v>1901</v>
      </c>
      <c r="D1432" s="6">
        <v>50</v>
      </c>
      <c r="E1432" s="6">
        <v>50</v>
      </c>
      <c r="F1432" s="6">
        <v>50</v>
      </c>
      <c r="G1432" s="33">
        <v>2.04</v>
      </c>
    </row>
    <row r="1433" spans="1:7" ht="15">
      <c r="A1433" s="43" t="s">
        <v>1870</v>
      </c>
      <c r="B1433" s="31"/>
      <c r="C1433" s="31" t="s">
        <v>1876</v>
      </c>
      <c r="D1433" s="6">
        <v>30</v>
      </c>
      <c r="E1433" s="6">
        <v>30</v>
      </c>
      <c r="F1433" s="6">
        <v>30</v>
      </c>
      <c r="G1433" s="33">
        <v>2.04</v>
      </c>
    </row>
    <row r="1434" spans="1:7" ht="22.5">
      <c r="A1434" s="17"/>
      <c r="B1434" s="191"/>
      <c r="C1434" s="31" t="s">
        <v>1902</v>
      </c>
      <c r="D1434" s="146">
        <v>1</v>
      </c>
      <c r="E1434" s="494"/>
      <c r="F1434" s="101" ph="1"/>
      <c r="G1434" s="33">
        <v>125</v>
      </c>
    </row>
    <row r="1435" spans="1:7" ht="22.5">
      <c r="A1435" s="17"/>
      <c r="B1435" s="191"/>
      <c r="C1435" s="31" t="s">
        <v>1903</v>
      </c>
      <c r="D1435" s="146">
        <v>1</v>
      </c>
      <c r="E1435" s="494"/>
      <c r="F1435" s="101" ph="1"/>
      <c r="G1435" s="33">
        <v>125</v>
      </c>
    </row>
    <row r="1436" spans="1:7" ht="22.5">
      <c r="A1436" s="17"/>
      <c r="B1436" s="191"/>
      <c r="C1436" s="31" t="s">
        <v>11</v>
      </c>
      <c r="D1436" s="32">
        <v>1</v>
      </c>
      <c r="E1436" s="6"/>
      <c r="F1436" s="101" ph="1"/>
      <c r="G1436" s="33">
        <v>12</v>
      </c>
    </row>
    <row r="1440" spans="1:7" ht="15">
      <c r="A1440" s="17" t="s">
        <v>235</v>
      </c>
      <c r="B1440" s="17" t="s">
        <v>2639</v>
      </c>
    </row>
    <row r="1441" spans="1:8" ht="15">
      <c r="A1441" s="17">
        <v>3047</v>
      </c>
      <c r="B1441" s="33">
        <v>418.31</v>
      </c>
    </row>
    <row r="1442" spans="1:8" ht="15">
      <c r="A1442" s="17">
        <v>3048</v>
      </c>
      <c r="B1442" s="33">
        <v>503.58</v>
      </c>
    </row>
    <row r="1443" spans="1:8" ht="15">
      <c r="A1443" s="17">
        <v>3054</v>
      </c>
      <c r="B1443" s="33">
        <v>308.36</v>
      </c>
    </row>
    <row r="1444" spans="1:8" ht="15.75">
      <c r="A1444" s="70" t="s">
        <v>155</v>
      </c>
      <c r="B1444" s="110">
        <f>SUM(B1441:B1443)</f>
        <v>1230.25</v>
      </c>
    </row>
    <row r="1447" spans="1:8" ht="15">
      <c r="A1447" s="76" t="s">
        <v>2572</v>
      </c>
      <c r="B1447" s="77" t="s">
        <v>33</v>
      </c>
      <c r="C1447" s="77" t="s">
        <v>34</v>
      </c>
      <c r="D1447" s="78" t="s">
        <v>2640</v>
      </c>
    </row>
    <row r="1448" spans="1:8" ht="15">
      <c r="A1448" s="17">
        <v>5540</v>
      </c>
      <c r="B1448" s="17" t="s">
        <v>192</v>
      </c>
      <c r="C1448" s="100">
        <v>17.5</v>
      </c>
      <c r="D1448" s="83" t="s">
        <v>2641</v>
      </c>
    </row>
    <row r="1449" spans="1:8" ht="15">
      <c r="A1449" s="76" t="s">
        <v>2572</v>
      </c>
      <c r="B1449" s="77" t="s">
        <v>33</v>
      </c>
      <c r="C1449" s="77" t="s">
        <v>34</v>
      </c>
      <c r="D1449" s="78" t="s">
        <v>2640</v>
      </c>
    </row>
    <row r="1450" spans="1:8" ht="15">
      <c r="A1450" s="17" t="s">
        <v>1909</v>
      </c>
      <c r="B1450" s="31" t="s">
        <v>95</v>
      </c>
      <c r="C1450" s="6">
        <v>9</v>
      </c>
      <c r="D1450" s="83" t="s">
        <v>2642</v>
      </c>
    </row>
    <row r="1451" spans="1:8" ht="22.5">
      <c r="A1451" s="76" t="s">
        <v>2572</v>
      </c>
      <c r="B1451" s="77" t="s">
        <v>33</v>
      </c>
      <c r="C1451" s="77" t="s">
        <v>34</v>
      </c>
      <c r="D1451" s="78" t="s">
        <v>2640</v>
      </c>
      <c r="F1451" ph="1"/>
    </row>
    <row r="1452" spans="1:8" ht="15">
      <c r="A1452" s="17" t="s">
        <v>2643</v>
      </c>
      <c r="B1452" s="31" t="s">
        <v>95</v>
      </c>
      <c r="C1452" s="54">
        <v>14</v>
      </c>
      <c r="D1452" s="83" t="s">
        <v>2644</v>
      </c>
    </row>
    <row r="1453" spans="1:8" ht="21">
      <c r="F1453" ph="1"/>
    </row>
    <row r="1455" spans="1:8" ht="15.75">
      <c r="A1455" s="76" t="s">
        <v>2572</v>
      </c>
      <c r="B1455" s="77" t="s">
        <v>33</v>
      </c>
      <c r="C1455" s="95" t="s">
        <v>2</v>
      </c>
      <c r="D1455" s="95" t="s">
        <v>111</v>
      </c>
      <c r="E1455" s="95" t="s">
        <v>110</v>
      </c>
      <c r="F1455" s="78" t="s">
        <v>2640</v>
      </c>
      <c r="G1455" s="5"/>
      <c r="H1455" s="5"/>
    </row>
    <row r="1456" spans="1:8" ht="15">
      <c r="A1456" s="17" t="s">
        <v>1908</v>
      </c>
      <c r="B1456" s="31" t="s">
        <v>2645</v>
      </c>
      <c r="C1456" s="100">
        <v>13.7</v>
      </c>
      <c r="D1456" s="101">
        <v>1</v>
      </c>
      <c r="E1456" s="117">
        <v>13.7</v>
      </c>
      <c r="F1456" s="83" t="s">
        <v>2646</v>
      </c>
      <c r="G1456" s="5">
        <v>2800</v>
      </c>
      <c r="H1456" s="5">
        <f>G1456*E1456</f>
        <v>38360</v>
      </c>
    </row>
    <row r="1457" spans="1:8" ht="15">
      <c r="A1457" s="17" t="s">
        <v>1908</v>
      </c>
      <c r="B1457" s="31" t="s">
        <v>2647</v>
      </c>
      <c r="C1457" s="100">
        <v>13.7</v>
      </c>
      <c r="D1457" s="101">
        <v>2</v>
      </c>
      <c r="E1457" s="117">
        <v>27.4</v>
      </c>
      <c r="F1457" s="83" t="s">
        <v>2646</v>
      </c>
      <c r="G1457" s="5">
        <v>2800</v>
      </c>
      <c r="H1457" s="5">
        <f>G1457*E1457</f>
        <v>76720</v>
      </c>
    </row>
    <row r="1458" spans="1:8" ht="15">
      <c r="A1458" s="17" t="s">
        <v>1908</v>
      </c>
      <c r="B1458" s="31" t="s">
        <v>246</v>
      </c>
      <c r="C1458" s="100">
        <v>13.7</v>
      </c>
      <c r="D1458" s="101">
        <v>1</v>
      </c>
      <c r="E1458" s="117">
        <v>13.7</v>
      </c>
      <c r="F1458" s="83" t="s">
        <v>2646</v>
      </c>
      <c r="G1458" s="5">
        <v>2800</v>
      </c>
      <c r="H1458" s="5">
        <f>G1458*E1458</f>
        <v>38360</v>
      </c>
    </row>
    <row r="1459" spans="1:8" ht="15">
      <c r="A1459" s="43"/>
      <c r="B1459" s="31"/>
      <c r="C1459" s="31" t="s">
        <v>183</v>
      </c>
      <c r="D1459" s="101"/>
      <c r="E1459" s="117"/>
      <c r="F1459" s="83" t="s">
        <v>2648</v>
      </c>
      <c r="G1459" s="5">
        <f>19600+26000+19600</f>
        <v>65200</v>
      </c>
      <c r="H1459" s="5">
        <f>19600+26000+19600</f>
        <v>65200</v>
      </c>
    </row>
    <row r="1462" spans="1:8" ht="15">
      <c r="A1462" s="76" t="s">
        <v>2572</v>
      </c>
      <c r="B1462" s="77" t="s">
        <v>33</v>
      </c>
      <c r="C1462" s="77" t="s">
        <v>110</v>
      </c>
    </row>
    <row r="1463" spans="1:8" ht="15">
      <c r="A1463" s="17" t="s">
        <v>1870</v>
      </c>
      <c r="B1463" s="31" t="s">
        <v>173</v>
      </c>
      <c r="C1463" s="6">
        <v>1320</v>
      </c>
    </row>
    <row r="1464" spans="1:8" ht="15">
      <c r="A1464" s="17" t="s">
        <v>1870</v>
      </c>
      <c r="B1464" s="31" t="s">
        <v>1876</v>
      </c>
      <c r="C1464" s="6">
        <v>1770</v>
      </c>
    </row>
    <row r="1465" spans="1:8" ht="15">
      <c r="A1465" s="17" t="s">
        <v>1870</v>
      </c>
      <c r="B1465" s="31" t="s">
        <v>173</v>
      </c>
      <c r="C1465" s="6">
        <v>5</v>
      </c>
    </row>
    <row r="1466" spans="1:8" ht="15">
      <c r="A1466" s="17" t="s">
        <v>1870</v>
      </c>
      <c r="B1466" s="31" t="s">
        <v>1876</v>
      </c>
      <c r="C1466" s="6">
        <v>5</v>
      </c>
    </row>
    <row r="1468" spans="1:8" ht="15">
      <c r="A1468" s="76" t="s">
        <v>76</v>
      </c>
      <c r="B1468" s="76" t="s">
        <v>2572</v>
      </c>
      <c r="C1468" s="77" t="s">
        <v>33</v>
      </c>
      <c r="D1468" s="77" t="s">
        <v>110</v>
      </c>
      <c r="E1468" s="77" t="s">
        <v>2649</v>
      </c>
    </row>
    <row r="1469" spans="1:8" ht="15">
      <c r="A1469" s="4" t="s">
        <v>1916</v>
      </c>
      <c r="B1469" s="42" t="s">
        <v>2650</v>
      </c>
      <c r="C1469" s="31" t="s">
        <v>1899</v>
      </c>
      <c r="D1469" s="6">
        <v>1195</v>
      </c>
      <c r="E1469" s="33">
        <v>5.09</v>
      </c>
    </row>
    <row r="1470" spans="1:8" ht="15">
      <c r="A1470" s="4" t="s">
        <v>1916</v>
      </c>
      <c r="B1470" s="42" t="s">
        <v>2651</v>
      </c>
      <c r="C1470" s="31" t="s">
        <v>1899</v>
      </c>
      <c r="D1470" s="6">
        <v>380</v>
      </c>
      <c r="E1470" s="33">
        <v>4.79</v>
      </c>
    </row>
    <row r="1474" spans="1:6" ht="15.75">
      <c r="A1474" s="76" t="s">
        <v>76</v>
      </c>
      <c r="B1474" s="76" t="s">
        <v>2572</v>
      </c>
      <c r="C1474" s="77" t="s">
        <v>33</v>
      </c>
      <c r="D1474" s="77" t="s">
        <v>110</v>
      </c>
      <c r="E1474" s="77" t="s">
        <v>2652</v>
      </c>
      <c r="F1474" s="95" t="s">
        <v>223</v>
      </c>
    </row>
    <row r="1475" spans="1:6" ht="15.75">
      <c r="A1475" s="23" t="s">
        <v>1916</v>
      </c>
      <c r="B1475" s="17" t="s">
        <v>1877</v>
      </c>
      <c r="C1475" s="31" t="s">
        <v>1899</v>
      </c>
      <c r="D1475" s="6">
        <v>1195</v>
      </c>
      <c r="E1475" s="33">
        <v>4.9000000000000004</v>
      </c>
      <c r="F1475" s="532" t="s">
        <v>2653</v>
      </c>
    </row>
    <row r="1476" spans="1:6" ht="15.75">
      <c r="A1476" s="23" t="s">
        <v>1916</v>
      </c>
      <c r="B1476" s="17" t="s">
        <v>1879</v>
      </c>
      <c r="C1476" s="31" t="s">
        <v>1899</v>
      </c>
      <c r="D1476" s="6">
        <v>380</v>
      </c>
      <c r="E1476" s="33">
        <v>4.79</v>
      </c>
      <c r="F1476" s="532" t="s">
        <v>187</v>
      </c>
    </row>
    <row r="1477" spans="1:6" ht="15">
      <c r="A1477" s="23"/>
      <c r="B1477" s="17"/>
      <c r="C1477" s="31"/>
      <c r="D1477" s="6"/>
      <c r="E1477" s="33"/>
    </row>
    <row r="1478" spans="1:6" ht="15.75">
      <c r="A1478" s="76" t="s">
        <v>76</v>
      </c>
      <c r="B1478" s="70" t="s">
        <v>2572</v>
      </c>
      <c r="C1478" s="77" t="s">
        <v>33</v>
      </c>
      <c r="D1478" s="77" t="s">
        <v>110</v>
      </c>
      <c r="E1478" s="78" t="s">
        <v>2268</v>
      </c>
      <c r="F1478" s="95" t="s">
        <v>223</v>
      </c>
    </row>
    <row r="1479" spans="1:6" ht="15.75">
      <c r="A1479" s="23" t="s">
        <v>1917</v>
      </c>
      <c r="B1479" s="17" t="s">
        <v>1870</v>
      </c>
      <c r="C1479" s="31" t="s">
        <v>1901</v>
      </c>
      <c r="D1479" s="6">
        <v>1320</v>
      </c>
      <c r="E1479" s="33">
        <v>2.04</v>
      </c>
      <c r="F1479" s="532" t="s">
        <v>2654</v>
      </c>
    </row>
    <row r="1480" spans="1:6" ht="15.75">
      <c r="A1480" s="23" t="s">
        <v>1917</v>
      </c>
      <c r="B1480" s="17" t="s">
        <v>1870</v>
      </c>
      <c r="C1480" s="31" t="s">
        <v>1876</v>
      </c>
      <c r="D1480" s="6">
        <v>1770</v>
      </c>
      <c r="E1480" s="33">
        <v>2.04</v>
      </c>
      <c r="F1480" s="532" t="s">
        <v>2654</v>
      </c>
    </row>
    <row r="1483" spans="1:6" ht="15.75">
      <c r="A1483" s="70" t="s">
        <v>2572</v>
      </c>
      <c r="B1483" s="77" t="s">
        <v>33</v>
      </c>
      <c r="C1483" s="77" t="s">
        <v>110</v>
      </c>
    </row>
    <row r="1484" spans="1:6" ht="15">
      <c r="A1484" s="17" t="s">
        <v>6</v>
      </c>
      <c r="B1484" s="17" t="s">
        <v>1918</v>
      </c>
      <c r="C1484" s="100">
        <v>15</v>
      </c>
    </row>
    <row r="1485" spans="1:6" ht="15">
      <c r="A1485" s="17" t="s">
        <v>6</v>
      </c>
      <c r="B1485" s="17" t="s">
        <v>1919</v>
      </c>
      <c r="C1485" s="100">
        <v>15</v>
      </c>
    </row>
    <row r="1488" spans="1:6" ht="15.75">
      <c r="A1488" s="70" t="s">
        <v>2572</v>
      </c>
      <c r="B1488" s="77" t="s">
        <v>33</v>
      </c>
      <c r="C1488" s="77" t="s">
        <v>34</v>
      </c>
      <c r="D1488" s="82" t="s">
        <v>2655</v>
      </c>
      <c r="E1488" s="55"/>
      <c r="F1488" s="11" t="s">
        <v>5</v>
      </c>
    </row>
    <row r="1489" spans="1:6" ht="15">
      <c r="A1489" s="17" t="s">
        <v>1870</v>
      </c>
      <c r="B1489" s="31" t="s">
        <v>1901</v>
      </c>
      <c r="C1489" s="6">
        <v>130</v>
      </c>
      <c r="D1489" s="6" t="s">
        <v>2656</v>
      </c>
      <c r="E1489" s="6">
        <v>130</v>
      </c>
      <c r="F1489" s="33">
        <v>2.04</v>
      </c>
    </row>
    <row r="1490" spans="1:6" ht="15">
      <c r="A1490" s="17" t="s">
        <v>1870</v>
      </c>
      <c r="B1490" s="31" t="s">
        <v>1876</v>
      </c>
      <c r="C1490" s="6">
        <v>130</v>
      </c>
      <c r="D1490" s="6" t="s">
        <v>2656</v>
      </c>
      <c r="E1490" s="6">
        <v>130</v>
      </c>
      <c r="F1490" s="33">
        <v>2.04</v>
      </c>
    </row>
    <row r="1491" spans="1:6" ht="15">
      <c r="A1491" s="17" t="s">
        <v>1870</v>
      </c>
      <c r="B1491" s="31" t="s">
        <v>1901</v>
      </c>
      <c r="C1491" s="6" t="s">
        <v>2657</v>
      </c>
      <c r="D1491" s="6" t="s">
        <v>2656</v>
      </c>
      <c r="E1491" s="6">
        <v>10</v>
      </c>
      <c r="F1491" s="33">
        <v>2.04</v>
      </c>
    </row>
    <row r="1492" spans="1:6" ht="15">
      <c r="A1492" s="17" t="s">
        <v>1870</v>
      </c>
      <c r="B1492" s="31" t="s">
        <v>1876</v>
      </c>
      <c r="C1492" s="6" t="s">
        <v>2657</v>
      </c>
      <c r="D1492" s="6" t="s">
        <v>2656</v>
      </c>
      <c r="E1492" s="6">
        <v>10</v>
      </c>
      <c r="F1492" s="33">
        <v>2.04</v>
      </c>
    </row>
    <row r="1493" spans="1:6" ht="15">
      <c r="A1493" s="17" t="s">
        <v>1870</v>
      </c>
      <c r="B1493" s="31" t="s">
        <v>1901</v>
      </c>
      <c r="C1493" s="6">
        <v>1270</v>
      </c>
      <c r="D1493" s="6" t="s">
        <v>2658</v>
      </c>
      <c r="E1493" s="6">
        <v>1270</v>
      </c>
      <c r="F1493" s="33">
        <v>2.04</v>
      </c>
    </row>
    <row r="1494" spans="1:6" ht="15">
      <c r="A1494" s="17" t="s">
        <v>1870</v>
      </c>
      <c r="B1494" s="31" t="s">
        <v>1876</v>
      </c>
      <c r="C1494" s="6">
        <v>1710</v>
      </c>
      <c r="D1494" s="6" t="s">
        <v>2658</v>
      </c>
      <c r="E1494" s="6">
        <v>1710</v>
      </c>
      <c r="F1494" s="33">
        <v>2.04</v>
      </c>
    </row>
    <row r="1497" spans="1:6" ht="15">
      <c r="A1497" s="159" t="s">
        <v>2659</v>
      </c>
      <c r="B1497" s="159" t="s">
        <v>2639</v>
      </c>
    </row>
    <row r="1498" spans="1:6" ht="15">
      <c r="A1498" s="17" t="s">
        <v>2660</v>
      </c>
      <c r="B1498" s="605">
        <v>685.44</v>
      </c>
    </row>
    <row r="1499" spans="1:6" ht="15">
      <c r="A1499" s="17" t="s">
        <v>2661</v>
      </c>
      <c r="B1499" s="605">
        <v>1079.8800000000001</v>
      </c>
    </row>
    <row r="1500" spans="1:6" ht="15">
      <c r="A1500" s="17" t="s">
        <v>2662</v>
      </c>
      <c r="B1500" s="605">
        <v>7254.6</v>
      </c>
    </row>
    <row r="1501" spans="1:6" ht="15">
      <c r="A1501" s="17" t="s">
        <v>2663</v>
      </c>
      <c r="B1501" s="605">
        <v>5956.8</v>
      </c>
    </row>
    <row r="1502" spans="1:6" ht="15.75">
      <c r="A1502" s="70" t="s">
        <v>2664</v>
      </c>
      <c r="B1502" s="606">
        <f>SUM(B1498:B1501)</f>
        <v>14976.720000000001</v>
      </c>
    </row>
    <row r="1504" spans="1:6" ht="15.75">
      <c r="A1504" s="70" t="s">
        <v>2572</v>
      </c>
      <c r="B1504" s="77" t="s">
        <v>33</v>
      </c>
      <c r="C1504" s="77" t="s">
        <v>34</v>
      </c>
      <c r="D1504" s="78" t="s">
        <v>2640</v>
      </c>
      <c r="E1504" s="5"/>
    </row>
    <row r="1505" spans="1:6" ht="15">
      <c r="A1505" s="17" t="s">
        <v>1923</v>
      </c>
      <c r="B1505" s="31" t="s">
        <v>55</v>
      </c>
      <c r="C1505" s="117">
        <v>27.4</v>
      </c>
      <c r="D1505" s="9">
        <v>69</v>
      </c>
      <c r="E1505" s="5"/>
    </row>
    <row r="1506" spans="1:6" ht="15">
      <c r="A1506" s="17" t="s">
        <v>1924</v>
      </c>
      <c r="B1506" s="31" t="s">
        <v>1925</v>
      </c>
      <c r="C1506" s="100">
        <v>27.4</v>
      </c>
      <c r="D1506" s="9">
        <v>123</v>
      </c>
      <c r="E1506" s="5"/>
    </row>
    <row r="1511" spans="1:6" ht="15.75">
      <c r="A1511" s="70" t="s">
        <v>2572</v>
      </c>
      <c r="B1511" s="70" t="s">
        <v>32</v>
      </c>
      <c r="C1511" s="77" t="s">
        <v>33</v>
      </c>
      <c r="D1511" s="95" t="s">
        <v>2</v>
      </c>
      <c r="E1511" s="95" t="s">
        <v>111</v>
      </c>
      <c r="F1511" s="95" t="s">
        <v>110</v>
      </c>
    </row>
    <row r="1512" spans="1:6" ht="15">
      <c r="A1512" s="17">
        <v>5636</v>
      </c>
      <c r="B1512" s="31" t="s">
        <v>198</v>
      </c>
      <c r="C1512" s="31" t="s">
        <v>230</v>
      </c>
      <c r="D1512" s="100">
        <v>50</v>
      </c>
      <c r="E1512" s="101">
        <v>24</v>
      </c>
      <c r="F1512" s="6">
        <v>1200</v>
      </c>
    </row>
    <row r="1513" spans="1:6" ht="15">
      <c r="A1513" s="17">
        <v>5636</v>
      </c>
      <c r="B1513" s="31" t="s">
        <v>198</v>
      </c>
      <c r="C1513" s="31" t="s">
        <v>1920</v>
      </c>
      <c r="D1513" s="100">
        <v>50</v>
      </c>
      <c r="E1513" s="101">
        <v>35</v>
      </c>
      <c r="F1513" s="6">
        <v>1750</v>
      </c>
    </row>
    <row r="1514" spans="1:6" ht="15">
      <c r="A1514" s="17">
        <v>5636</v>
      </c>
      <c r="B1514" s="31" t="s">
        <v>198</v>
      </c>
      <c r="C1514" s="31" t="s">
        <v>1921</v>
      </c>
      <c r="D1514" s="100">
        <v>50</v>
      </c>
      <c r="E1514" s="101">
        <v>28</v>
      </c>
      <c r="F1514" s="6">
        <v>1400</v>
      </c>
    </row>
    <row r="1517" spans="1:6" ht="15.75">
      <c r="A1517" s="70" t="s">
        <v>2572</v>
      </c>
      <c r="B1517" s="77" t="s">
        <v>33</v>
      </c>
      <c r="C1517" s="77" t="s">
        <v>34</v>
      </c>
      <c r="D1517" s="77" t="s">
        <v>218</v>
      </c>
    </row>
    <row r="1518" spans="1:6" ht="15">
      <c r="A1518" s="17">
        <v>5600</v>
      </c>
      <c r="B1518" s="17" t="s">
        <v>1926</v>
      </c>
      <c r="C1518" s="100">
        <v>54</v>
      </c>
      <c r="D1518" s="607" t="s">
        <v>2665</v>
      </c>
    </row>
    <row r="1519" spans="1:6" ht="15">
      <c r="A1519" s="17" t="s">
        <v>1927</v>
      </c>
      <c r="B1519" s="17" t="s">
        <v>1928</v>
      </c>
      <c r="C1519" s="100">
        <v>52</v>
      </c>
      <c r="D1519" s="607" t="s">
        <v>2665</v>
      </c>
    </row>
    <row r="1520" spans="1:6" ht="15">
      <c r="A1520" s="17" t="s">
        <v>6</v>
      </c>
      <c r="B1520" s="17" t="s">
        <v>85</v>
      </c>
      <c r="C1520" s="100">
        <v>40</v>
      </c>
      <c r="D1520" s="607" t="s">
        <v>2666</v>
      </c>
    </row>
    <row r="1521" spans="1:14" ht="15">
      <c r="A1521" s="17" t="s">
        <v>2667</v>
      </c>
      <c r="B1521" s="17" t="s">
        <v>1929</v>
      </c>
      <c r="C1521" s="100">
        <v>50</v>
      </c>
      <c r="D1521" s="607" t="s">
        <v>2668</v>
      </c>
    </row>
    <row r="1523" spans="1:14" ht="15.75">
      <c r="A1523" s="70"/>
    </row>
    <row r="1524" spans="1:14" ht="15.75">
      <c r="A1524" s="70" t="s">
        <v>76</v>
      </c>
      <c r="B1524" s="70" t="s">
        <v>2572</v>
      </c>
      <c r="C1524" s="70" t="s">
        <v>32</v>
      </c>
      <c r="D1524" s="77" t="s">
        <v>33</v>
      </c>
      <c r="E1524" s="95" t="s">
        <v>34</v>
      </c>
      <c r="F1524" s="78" t="s">
        <v>2268</v>
      </c>
      <c r="G1524" s="608" t="s">
        <v>2669</v>
      </c>
      <c r="H1524" s="7"/>
      <c r="I1524" s="122"/>
      <c r="J1524" s="9"/>
      <c r="K1524" s="33"/>
      <c r="L1524" s="9"/>
      <c r="M1524" s="182"/>
      <c r="N1524" s="5"/>
    </row>
    <row r="1525" spans="1:14" ht="15">
      <c r="A1525" s="23" t="s">
        <v>2670</v>
      </c>
      <c r="B1525" s="17">
        <v>1100</v>
      </c>
      <c r="C1525" s="31">
        <v>40</v>
      </c>
      <c r="D1525" s="31" t="s">
        <v>1933</v>
      </c>
      <c r="E1525" s="6">
        <v>210</v>
      </c>
      <c r="F1525" s="33">
        <v>2.15</v>
      </c>
      <c r="G1525" s="9">
        <v>116</v>
      </c>
      <c r="H1525" s="124">
        <v>44418</v>
      </c>
      <c r="I1525" s="121"/>
      <c r="J1525" s="33">
        <f>(M1525/0.7/90)</f>
        <v>1.8412698412698414</v>
      </c>
      <c r="K1525" s="33">
        <v>1.84</v>
      </c>
      <c r="L1525" s="33"/>
      <c r="M1525" s="5">
        <v>116</v>
      </c>
      <c r="N1525" s="84">
        <f>M1525*E1525</f>
        <v>24360</v>
      </c>
    </row>
    <row r="1526" spans="1:14" ht="15">
      <c r="A1526" s="23" t="s">
        <v>2670</v>
      </c>
      <c r="B1526" s="17"/>
      <c r="C1526" s="94"/>
      <c r="D1526" s="17" t="s">
        <v>183</v>
      </c>
      <c r="E1526" s="32">
        <v>1</v>
      </c>
      <c r="F1526" s="33">
        <v>310</v>
      </c>
      <c r="G1526" s="9">
        <v>22000</v>
      </c>
      <c r="H1526" s="124"/>
      <c r="I1526" s="121"/>
      <c r="J1526" s="33">
        <f>M1526/0.88/90</f>
        <v>277.77777777777777</v>
      </c>
      <c r="K1526" s="33">
        <v>277.77999999999997</v>
      </c>
      <c r="L1526" s="16"/>
      <c r="M1526" s="5">
        <v>22000</v>
      </c>
      <c r="N1526" s="84">
        <f>M1526*E1526</f>
        <v>22000</v>
      </c>
    </row>
    <row r="1527" spans="1:14" ht="15">
      <c r="A1527" s="190"/>
      <c r="B1527" s="155"/>
      <c r="C1527" s="137"/>
      <c r="D1527" s="137"/>
      <c r="E1527" s="138"/>
      <c r="F1527" s="144"/>
      <c r="G1527" s="141"/>
      <c r="H1527" s="142"/>
      <c r="I1527" s="143"/>
      <c r="J1527" s="134"/>
      <c r="K1527" s="188"/>
      <c r="L1527" s="188"/>
      <c r="M1527" s="148"/>
      <c r="N1527" s="149"/>
    </row>
    <row r="1528" spans="1:14" ht="15.75">
      <c r="A1528" s="70" t="s">
        <v>76</v>
      </c>
      <c r="B1528" s="70" t="s">
        <v>2572</v>
      </c>
      <c r="C1528" s="70" t="s">
        <v>204</v>
      </c>
      <c r="D1528" s="76" t="s">
        <v>214</v>
      </c>
      <c r="E1528" s="76" t="s">
        <v>34</v>
      </c>
      <c r="F1528" s="78" t="s">
        <v>2628</v>
      </c>
      <c r="G1528" s="608" t="s">
        <v>2669</v>
      </c>
      <c r="H1528" s="28"/>
      <c r="I1528" s="121"/>
      <c r="J1528" s="4"/>
      <c r="K1528" s="492"/>
      <c r="L1528" s="16"/>
      <c r="M1528" s="5"/>
      <c r="N1528" s="5"/>
    </row>
    <row r="1529" spans="1:14" ht="15">
      <c r="A1529" s="23" t="s">
        <v>2671</v>
      </c>
      <c r="B1529" s="14" t="s">
        <v>1935</v>
      </c>
      <c r="C1529" s="104">
        <v>140</v>
      </c>
      <c r="D1529" s="129" t="s">
        <v>1936</v>
      </c>
      <c r="E1529" s="130">
        <v>345</v>
      </c>
      <c r="F1529" s="33"/>
      <c r="G1529" s="609">
        <v>131.6</v>
      </c>
      <c r="H1529" s="28"/>
      <c r="I1529" s="121"/>
      <c r="J1529" s="33">
        <f>ROUNDUP(M1529/0.7/90,2)</f>
        <v>2.09</v>
      </c>
      <c r="K1529" s="33">
        <v>2.09</v>
      </c>
      <c r="L1529" s="119"/>
      <c r="M1529" s="5">
        <v>131.6</v>
      </c>
      <c r="N1529" s="5">
        <f t="shared" ref="N1529:N1535" si="4">M1529*E1529</f>
        <v>45402</v>
      </c>
    </row>
    <row r="1530" spans="1:14" ht="15">
      <c r="A1530" s="23" t="s">
        <v>2671</v>
      </c>
      <c r="B1530" s="14" t="s">
        <v>1935</v>
      </c>
      <c r="C1530" s="104">
        <v>140</v>
      </c>
      <c r="D1530" s="129" t="s">
        <v>1937</v>
      </c>
      <c r="E1530" s="130">
        <v>105</v>
      </c>
      <c r="F1530" s="33"/>
      <c r="G1530" s="609">
        <v>129.80000000000001</v>
      </c>
      <c r="H1530" s="28"/>
      <c r="I1530" s="121"/>
      <c r="J1530" s="33">
        <f>ROUNDUP(M1530/0.7/90,2)</f>
        <v>2.0699999999999998</v>
      </c>
      <c r="K1530" s="33">
        <v>2.0699999999999998</v>
      </c>
      <c r="L1530" s="119"/>
      <c r="M1530" s="5">
        <v>129.80000000000001</v>
      </c>
      <c r="N1530" s="5">
        <f t="shared" si="4"/>
        <v>13629.000000000002</v>
      </c>
    </row>
    <row r="1531" spans="1:14" ht="15">
      <c r="A1531" s="23" t="s">
        <v>2671</v>
      </c>
      <c r="B1531" s="14" t="s">
        <v>1935</v>
      </c>
      <c r="C1531" s="104">
        <v>140</v>
      </c>
      <c r="D1531" s="129" t="s">
        <v>1938</v>
      </c>
      <c r="E1531" s="130">
        <v>610</v>
      </c>
      <c r="F1531" s="33"/>
      <c r="G1531" s="609">
        <v>120.8</v>
      </c>
      <c r="H1531" s="28"/>
      <c r="I1531" s="121"/>
      <c r="J1531" s="33">
        <f>ROUNDUP(M1531/0.7/90,2)</f>
        <v>1.92</v>
      </c>
      <c r="K1531" s="33">
        <v>1.92</v>
      </c>
      <c r="L1531" s="119"/>
      <c r="M1531" s="5">
        <v>120.8</v>
      </c>
      <c r="N1531" s="5">
        <f t="shared" si="4"/>
        <v>73688</v>
      </c>
    </row>
    <row r="1532" spans="1:14" ht="15">
      <c r="A1532" s="23" t="s">
        <v>2671</v>
      </c>
      <c r="B1532" s="14" t="s">
        <v>1935</v>
      </c>
      <c r="C1532" s="104">
        <v>140</v>
      </c>
      <c r="D1532" s="129" t="s">
        <v>1939</v>
      </c>
      <c r="E1532" s="130">
        <v>170</v>
      </c>
      <c r="F1532" s="33"/>
      <c r="G1532" s="609">
        <v>140.6</v>
      </c>
      <c r="H1532" s="28"/>
      <c r="I1532" s="121"/>
      <c r="J1532" s="33">
        <f>M1532/0.7/90</f>
        <v>2.2317460317460318</v>
      </c>
      <c r="K1532" s="33">
        <v>2.23</v>
      </c>
      <c r="L1532" s="119"/>
      <c r="M1532" s="5">
        <v>140.6</v>
      </c>
      <c r="N1532" s="5">
        <f t="shared" si="4"/>
        <v>23902</v>
      </c>
    </row>
    <row r="1533" spans="1:14" ht="15">
      <c r="A1533" s="23" t="s">
        <v>2671</v>
      </c>
      <c r="B1533" s="17"/>
      <c r="C1533" s="94"/>
      <c r="D1533" s="17" t="s">
        <v>1940</v>
      </c>
      <c r="E1533" s="32">
        <v>2</v>
      </c>
      <c r="F1533" s="33">
        <v>180</v>
      </c>
      <c r="G1533" s="74" t="s">
        <v>2672</v>
      </c>
      <c r="H1533" s="28"/>
      <c r="I1533" s="121"/>
      <c r="J1533" s="33">
        <f>M1533/0.88/90</f>
        <v>101.010101010101</v>
      </c>
      <c r="K1533" s="33">
        <v>101.01</v>
      </c>
      <c r="L1533" s="16"/>
      <c r="M1533" s="5">
        <v>8000</v>
      </c>
      <c r="N1533" s="5">
        <f t="shared" si="4"/>
        <v>16000</v>
      </c>
    </row>
    <row r="1534" spans="1:14" ht="15">
      <c r="A1534" s="23" t="s">
        <v>2671</v>
      </c>
      <c r="B1534" s="17"/>
      <c r="C1534" s="94"/>
      <c r="D1534" s="17" t="s">
        <v>1941</v>
      </c>
      <c r="E1534" s="32">
        <v>2</v>
      </c>
      <c r="F1534" s="33">
        <v>0</v>
      </c>
      <c r="G1534" s="74" t="s">
        <v>2673</v>
      </c>
      <c r="H1534" s="28"/>
      <c r="I1534" s="121"/>
      <c r="J1534" s="33">
        <f>ROUNDUP(M1534/0.88/90,2)</f>
        <v>50.51</v>
      </c>
      <c r="K1534" s="33">
        <v>50.51</v>
      </c>
      <c r="L1534" s="16"/>
      <c r="M1534" s="5">
        <v>4000</v>
      </c>
      <c r="N1534" s="5">
        <f t="shared" si="4"/>
        <v>8000</v>
      </c>
    </row>
    <row r="1535" spans="1:14" ht="15">
      <c r="A1535" s="23" t="s">
        <v>2671</v>
      </c>
      <c r="B1535" s="17"/>
      <c r="C1535" s="31"/>
      <c r="D1535" s="31" t="s">
        <v>11</v>
      </c>
      <c r="E1535" s="32">
        <v>1</v>
      </c>
      <c r="F1535" s="33">
        <v>12</v>
      </c>
      <c r="G1535" s="74">
        <v>1100</v>
      </c>
      <c r="H1535" s="28"/>
      <c r="I1535" s="121"/>
      <c r="J1535" s="4"/>
      <c r="K1535" s="33">
        <v>12</v>
      </c>
      <c r="L1535" s="16"/>
      <c r="M1535" s="5">
        <v>1100</v>
      </c>
      <c r="N1535" s="5">
        <f t="shared" si="4"/>
        <v>1100</v>
      </c>
    </row>
    <row r="1536" spans="1:14" ht="15">
      <c r="A1536" s="190"/>
      <c r="B1536" s="155"/>
      <c r="C1536" s="413"/>
      <c r="D1536" s="137"/>
      <c r="E1536" s="138"/>
      <c r="F1536" s="144"/>
      <c r="G1536" s="141"/>
      <c r="H1536" s="142"/>
      <c r="I1536" s="143"/>
      <c r="J1536" s="134"/>
      <c r="K1536" s="188"/>
      <c r="L1536" s="188"/>
      <c r="M1536" s="148"/>
      <c r="N1536" s="149"/>
    </row>
    <row r="1537" spans="1:14" ht="15.75">
      <c r="A1537" s="70" t="s">
        <v>76</v>
      </c>
      <c r="B1537" s="70" t="s">
        <v>2572</v>
      </c>
      <c r="C1537" s="70" t="s">
        <v>204</v>
      </c>
      <c r="D1537" s="76" t="s">
        <v>214</v>
      </c>
      <c r="E1537" s="76" t="s">
        <v>34</v>
      </c>
      <c r="F1537" s="78" t="s">
        <v>2628</v>
      </c>
      <c r="G1537" s="608" t="s">
        <v>2669</v>
      </c>
      <c r="H1537" s="28"/>
      <c r="I1537" s="121"/>
      <c r="J1537" s="4"/>
      <c r="K1537" s="492"/>
      <c r="L1537" s="16"/>
      <c r="M1537" s="5"/>
      <c r="N1537" s="5"/>
    </row>
    <row r="1538" spans="1:14" ht="15">
      <c r="A1538" s="23" t="s">
        <v>2674</v>
      </c>
      <c r="B1538" s="14" t="s">
        <v>1935</v>
      </c>
      <c r="C1538" s="104">
        <v>170</v>
      </c>
      <c r="D1538" s="498" t="s">
        <v>1943</v>
      </c>
      <c r="E1538" s="130">
        <v>110</v>
      </c>
      <c r="F1538" s="33">
        <v>2.74</v>
      </c>
      <c r="G1538" s="9">
        <v>139.6</v>
      </c>
      <c r="H1538" s="28"/>
      <c r="I1538" s="121"/>
      <c r="J1538" s="33">
        <f t="shared" ref="J1538:J1543" si="5">M1538/0.7/90</f>
        <v>2.215873015873016</v>
      </c>
      <c r="K1538" s="33">
        <v>2.2200000000000002</v>
      </c>
      <c r="L1538" s="119"/>
      <c r="M1538" s="5">
        <v>139.6</v>
      </c>
      <c r="N1538" s="5">
        <f t="shared" ref="N1538:N1546" si="6">M1538*E1538</f>
        <v>15356</v>
      </c>
    </row>
    <row r="1539" spans="1:14" ht="15">
      <c r="A1539" s="23" t="s">
        <v>2674</v>
      </c>
      <c r="B1539" s="14" t="s">
        <v>1935</v>
      </c>
      <c r="C1539" s="104">
        <v>170</v>
      </c>
      <c r="D1539" s="129" t="s">
        <v>1938</v>
      </c>
      <c r="E1539" s="130">
        <v>120</v>
      </c>
      <c r="F1539" s="33">
        <v>2.48</v>
      </c>
      <c r="G1539" s="9">
        <v>126.5</v>
      </c>
      <c r="H1539" s="28"/>
      <c r="I1539" s="121"/>
      <c r="J1539" s="33">
        <f t="shared" si="5"/>
        <v>2.0079365079365079</v>
      </c>
      <c r="K1539" s="33">
        <v>2.0099999999999998</v>
      </c>
      <c r="L1539" s="119"/>
      <c r="M1539" s="5">
        <v>126.5</v>
      </c>
      <c r="N1539" s="5">
        <f t="shared" si="6"/>
        <v>15180</v>
      </c>
    </row>
    <row r="1540" spans="1:14" ht="15">
      <c r="A1540" s="23" t="s">
        <v>2674</v>
      </c>
      <c r="B1540" s="14" t="s">
        <v>1935</v>
      </c>
      <c r="C1540" s="104">
        <v>120</v>
      </c>
      <c r="D1540" s="498" t="s">
        <v>1943</v>
      </c>
      <c r="E1540" s="130">
        <v>140</v>
      </c>
      <c r="F1540" s="33">
        <v>2.48</v>
      </c>
      <c r="G1540" s="9">
        <v>126.2</v>
      </c>
      <c r="H1540" s="28"/>
      <c r="I1540" s="121"/>
      <c r="J1540" s="33">
        <f t="shared" si="5"/>
        <v>2.0031746031746036</v>
      </c>
      <c r="K1540" s="33">
        <v>2</v>
      </c>
      <c r="L1540" s="119"/>
      <c r="M1540" s="5">
        <v>126.2</v>
      </c>
      <c r="N1540" s="5">
        <f t="shared" si="6"/>
        <v>17668</v>
      </c>
    </row>
    <row r="1541" spans="1:14" ht="15">
      <c r="A1541" s="23" t="s">
        <v>2674</v>
      </c>
      <c r="B1541" s="14" t="s">
        <v>1935</v>
      </c>
      <c r="C1541" s="104">
        <v>120</v>
      </c>
      <c r="D1541" s="129" t="s">
        <v>1938</v>
      </c>
      <c r="E1541" s="130">
        <v>290</v>
      </c>
      <c r="F1541" s="33">
        <v>2.2999999999999998</v>
      </c>
      <c r="G1541" s="9">
        <v>117</v>
      </c>
      <c r="H1541" s="28"/>
      <c r="I1541" s="121"/>
      <c r="J1541" s="33">
        <f t="shared" si="5"/>
        <v>1.8571428571428574</v>
      </c>
      <c r="K1541" s="33">
        <v>1.86</v>
      </c>
      <c r="L1541" s="119"/>
      <c r="M1541" s="5">
        <v>117</v>
      </c>
      <c r="N1541" s="5">
        <f t="shared" si="6"/>
        <v>33930</v>
      </c>
    </row>
    <row r="1542" spans="1:14" ht="15">
      <c r="A1542" s="23" t="s">
        <v>2674</v>
      </c>
      <c r="B1542" s="14" t="s">
        <v>1935</v>
      </c>
      <c r="C1542" s="104">
        <v>200</v>
      </c>
      <c r="D1542" s="498" t="s">
        <v>1943</v>
      </c>
      <c r="E1542" s="130">
        <v>190</v>
      </c>
      <c r="F1542" s="33">
        <v>2.9</v>
      </c>
      <c r="G1542" s="9">
        <v>147.6</v>
      </c>
      <c r="H1542" s="28"/>
      <c r="I1542" s="121"/>
      <c r="J1542" s="33">
        <f t="shared" si="5"/>
        <v>2.342857142857143</v>
      </c>
      <c r="K1542" s="33">
        <v>2.34</v>
      </c>
      <c r="L1542" s="119"/>
      <c r="M1542" s="5">
        <v>147.6</v>
      </c>
      <c r="N1542" s="5">
        <f t="shared" si="6"/>
        <v>28044</v>
      </c>
    </row>
    <row r="1543" spans="1:14" ht="15">
      <c r="A1543" s="23" t="s">
        <v>2674</v>
      </c>
      <c r="B1543" s="14" t="s">
        <v>1935</v>
      </c>
      <c r="C1543" s="104">
        <v>200</v>
      </c>
      <c r="D1543" s="129" t="s">
        <v>1938</v>
      </c>
      <c r="E1543" s="130">
        <v>240</v>
      </c>
      <c r="F1543" s="33">
        <v>2.6</v>
      </c>
      <c r="G1543" s="9">
        <v>132.19999999999999</v>
      </c>
      <c r="H1543" s="28"/>
      <c r="I1543" s="121"/>
      <c r="J1543" s="33">
        <f t="shared" si="5"/>
        <v>2.0984126984126985</v>
      </c>
      <c r="K1543" s="33">
        <v>2.1</v>
      </c>
      <c r="L1543" s="119"/>
      <c r="M1543" s="5">
        <v>132.19999999999999</v>
      </c>
      <c r="N1543" s="5">
        <f t="shared" si="6"/>
        <v>31727.999999999996</v>
      </c>
    </row>
    <row r="1544" spans="1:14" ht="15">
      <c r="A1544" s="23" t="s">
        <v>2674</v>
      </c>
      <c r="B1544" s="17"/>
      <c r="C1544" s="94"/>
      <c r="D1544" s="17" t="s">
        <v>1944</v>
      </c>
      <c r="E1544" s="610">
        <v>1</v>
      </c>
      <c r="F1544" s="506">
        <v>180</v>
      </c>
      <c r="G1544" s="611" t="s">
        <v>2675</v>
      </c>
      <c r="H1544" s="28"/>
      <c r="I1544" s="121"/>
      <c r="J1544" s="33">
        <f>M1544/0.88/90</f>
        <v>101.010101010101</v>
      </c>
      <c r="K1544" s="33">
        <v>101.01</v>
      </c>
      <c r="L1544" s="16"/>
      <c r="M1544" s="5">
        <v>8000</v>
      </c>
      <c r="N1544" s="5">
        <f t="shared" si="6"/>
        <v>8000</v>
      </c>
    </row>
    <row r="1545" spans="1:14" ht="15">
      <c r="A1545" s="23" t="s">
        <v>2674</v>
      </c>
      <c r="B1545" s="17"/>
      <c r="C1545" s="94"/>
      <c r="D1545" s="17" t="s">
        <v>1945</v>
      </c>
      <c r="E1545" s="610">
        <v>1</v>
      </c>
      <c r="F1545" s="506">
        <v>0</v>
      </c>
      <c r="G1545" s="611" t="s">
        <v>2676</v>
      </c>
      <c r="H1545" s="28"/>
      <c r="I1545" s="121"/>
      <c r="J1545" s="33">
        <f>ROUNDUP(M1545/0.88/90,2)</f>
        <v>50.51</v>
      </c>
      <c r="K1545" s="33">
        <v>50.51</v>
      </c>
      <c r="L1545" s="16"/>
      <c r="M1545" s="5">
        <v>4000</v>
      </c>
      <c r="N1545" s="5">
        <f t="shared" si="6"/>
        <v>4000</v>
      </c>
    </row>
    <row r="1546" spans="1:14" ht="15">
      <c r="A1546" s="23" t="s">
        <v>2674</v>
      </c>
      <c r="B1546" s="43"/>
      <c r="C1546" s="31"/>
      <c r="D1546" s="31" t="s">
        <v>11</v>
      </c>
      <c r="E1546" s="32">
        <v>1</v>
      </c>
      <c r="F1546" s="33">
        <v>12</v>
      </c>
      <c r="G1546" s="9">
        <v>1100</v>
      </c>
      <c r="H1546" s="28"/>
      <c r="I1546" s="121"/>
      <c r="J1546" s="4"/>
      <c r="K1546" s="33">
        <v>12</v>
      </c>
      <c r="L1546" s="16"/>
      <c r="M1546" s="5">
        <v>1100</v>
      </c>
      <c r="N1546" s="5">
        <f t="shared" si="6"/>
        <v>1100</v>
      </c>
    </row>
    <row r="1551" spans="1:14" ht="15">
      <c r="A1551" s="105" t="s">
        <v>43</v>
      </c>
      <c r="B1551" s="105" t="s">
        <v>106</v>
      </c>
      <c r="C1551" s="105" t="s">
        <v>2677</v>
      </c>
      <c r="D1551" s="105" t="s">
        <v>47</v>
      </c>
      <c r="E1551" s="76" t="s">
        <v>34</v>
      </c>
    </row>
    <row r="1552" spans="1:14" ht="15">
      <c r="A1552" s="17">
        <v>3808</v>
      </c>
      <c r="B1552" s="31">
        <v>9</v>
      </c>
      <c r="C1552" s="31" t="s">
        <v>1846</v>
      </c>
      <c r="D1552" s="6">
        <v>150</v>
      </c>
    </row>
    <row r="1553" spans="1:9" ht="15">
      <c r="A1553" s="17">
        <v>3808</v>
      </c>
      <c r="B1553" s="31">
        <v>9</v>
      </c>
      <c r="C1553" s="31" t="s">
        <v>1844</v>
      </c>
      <c r="D1553" s="6">
        <v>50</v>
      </c>
    </row>
    <row r="1554" spans="1:9" ht="15">
      <c r="A1554" s="17">
        <v>3808</v>
      </c>
      <c r="B1554" s="31">
        <v>9</v>
      </c>
      <c r="C1554" s="31" t="s">
        <v>1932</v>
      </c>
      <c r="D1554" s="6">
        <v>100</v>
      </c>
    </row>
    <row r="1555" spans="1:9" ht="15">
      <c r="A1555" s="17">
        <v>3808</v>
      </c>
      <c r="B1555" s="31">
        <v>9</v>
      </c>
      <c r="C1555" s="31" t="s">
        <v>1845</v>
      </c>
      <c r="D1555" s="6">
        <v>50</v>
      </c>
    </row>
    <row r="1558" spans="1:9" ht="15.75">
      <c r="A1558" s="70" t="s">
        <v>76</v>
      </c>
      <c r="B1558" s="70" t="s">
        <v>2572</v>
      </c>
      <c r="C1558" s="70" t="s">
        <v>204</v>
      </c>
      <c r="D1558" s="76" t="s">
        <v>214</v>
      </c>
      <c r="E1558" s="76" t="s">
        <v>34</v>
      </c>
      <c r="F1558" s="78" t="s">
        <v>2628</v>
      </c>
      <c r="G1558" s="78" t="s">
        <v>2678</v>
      </c>
      <c r="H1558" s="608" t="s">
        <v>2669</v>
      </c>
    </row>
    <row r="1559" spans="1:9" ht="15">
      <c r="A1559" s="23" t="s">
        <v>1934</v>
      </c>
      <c r="B1559" s="14" t="s">
        <v>1935</v>
      </c>
      <c r="C1559" s="104">
        <v>140</v>
      </c>
      <c r="D1559" s="129" t="s">
        <v>1936</v>
      </c>
      <c r="E1559" s="130">
        <v>345</v>
      </c>
      <c r="F1559" s="33">
        <v>2.58</v>
      </c>
      <c r="G1559" s="124" t="s">
        <v>2679</v>
      </c>
      <c r="H1559" s="9">
        <v>131.6</v>
      </c>
      <c r="I1559" s="5">
        <f t="shared" ref="I1559:I1565" si="7">H1559*E1559</f>
        <v>45402</v>
      </c>
    </row>
    <row r="1560" spans="1:9" ht="15">
      <c r="A1560" s="23" t="s">
        <v>1934</v>
      </c>
      <c r="B1560" s="14" t="s">
        <v>1935</v>
      </c>
      <c r="C1560" s="104">
        <v>140</v>
      </c>
      <c r="D1560" s="129" t="s">
        <v>1937</v>
      </c>
      <c r="E1560" s="130">
        <v>105</v>
      </c>
      <c r="F1560" s="33">
        <v>2.5499999999999998</v>
      </c>
      <c r="G1560" s="124" t="s">
        <v>2679</v>
      </c>
      <c r="H1560" s="9">
        <v>129.80000000000001</v>
      </c>
      <c r="I1560" s="5">
        <f t="shared" si="7"/>
        <v>13629.000000000002</v>
      </c>
    </row>
    <row r="1561" spans="1:9" ht="15">
      <c r="A1561" s="23" t="s">
        <v>1934</v>
      </c>
      <c r="B1561" s="14" t="s">
        <v>1935</v>
      </c>
      <c r="C1561" s="104">
        <v>140</v>
      </c>
      <c r="D1561" s="129" t="s">
        <v>1938</v>
      </c>
      <c r="E1561" s="130">
        <v>610</v>
      </c>
      <c r="F1561" s="33">
        <v>2.37</v>
      </c>
      <c r="G1561" s="124" t="s">
        <v>2679</v>
      </c>
      <c r="H1561" s="9">
        <v>120.8</v>
      </c>
      <c r="I1561" s="5">
        <f t="shared" si="7"/>
        <v>73688</v>
      </c>
    </row>
    <row r="1562" spans="1:9" ht="15">
      <c r="A1562" s="23" t="s">
        <v>1934</v>
      </c>
      <c r="B1562" s="14" t="s">
        <v>1935</v>
      </c>
      <c r="C1562" s="104">
        <v>140</v>
      </c>
      <c r="D1562" s="129" t="s">
        <v>1939</v>
      </c>
      <c r="E1562" s="130">
        <v>170</v>
      </c>
      <c r="F1562" s="33">
        <v>2.76</v>
      </c>
      <c r="G1562" s="124" t="s">
        <v>2679</v>
      </c>
      <c r="H1562" s="9">
        <v>140.6</v>
      </c>
      <c r="I1562" s="5">
        <f t="shared" si="7"/>
        <v>23902</v>
      </c>
    </row>
    <row r="1563" spans="1:9" ht="15">
      <c r="A1563" s="23" t="s">
        <v>1934</v>
      </c>
      <c r="B1563" s="17"/>
      <c r="C1563" s="94"/>
      <c r="D1563" s="17" t="s">
        <v>1940</v>
      </c>
      <c r="E1563" s="32">
        <v>2</v>
      </c>
      <c r="F1563" s="33">
        <v>180</v>
      </c>
      <c r="G1563" s="124" t="s">
        <v>2679</v>
      </c>
      <c r="H1563" s="9">
        <v>8000</v>
      </c>
      <c r="I1563" s="5">
        <f t="shared" si="7"/>
        <v>16000</v>
      </c>
    </row>
    <row r="1564" spans="1:9" ht="15.75">
      <c r="A1564" s="23" t="s">
        <v>1934</v>
      </c>
      <c r="B1564" s="17"/>
      <c r="C1564" s="94"/>
      <c r="D1564" s="17" t="s">
        <v>1941</v>
      </c>
      <c r="E1564" s="32">
        <v>2</v>
      </c>
      <c r="F1564" s="612" t="s">
        <v>2680</v>
      </c>
      <c r="G1564" s="124" t="s">
        <v>2679</v>
      </c>
      <c r="H1564" s="9">
        <v>4000</v>
      </c>
      <c r="I1564" s="5">
        <f t="shared" si="7"/>
        <v>8000</v>
      </c>
    </row>
    <row r="1565" spans="1:9" ht="15">
      <c r="A1565" s="23" t="s">
        <v>1934</v>
      </c>
      <c r="B1565" s="17"/>
      <c r="C1565" s="31"/>
      <c r="D1565" s="31" t="s">
        <v>11</v>
      </c>
      <c r="E1565" s="32">
        <v>1</v>
      </c>
      <c r="F1565" s="33">
        <v>12</v>
      </c>
      <c r="G1565" s="124" t="s">
        <v>2679</v>
      </c>
      <c r="H1565" s="9">
        <v>1100</v>
      </c>
      <c r="I1565" s="5">
        <f t="shared" si="7"/>
        <v>1100</v>
      </c>
    </row>
    <row r="1566" spans="1:9" ht="15">
      <c r="A1566" s="190" t="s">
        <v>1934</v>
      </c>
      <c r="B1566" s="155"/>
      <c r="C1566" s="413"/>
      <c r="D1566" s="137" t="s">
        <v>210</v>
      </c>
      <c r="E1566" s="138"/>
      <c r="F1566" s="144">
        <v>0</v>
      </c>
      <c r="G1566" s="142"/>
      <c r="H1566" s="500">
        <v>0</v>
      </c>
      <c r="I1566" s="149">
        <v>0</v>
      </c>
    </row>
    <row r="1567" spans="1:9" ht="15.75">
      <c r="A1567" s="70" t="s">
        <v>76</v>
      </c>
      <c r="B1567" s="70" t="s">
        <v>2572</v>
      </c>
      <c r="C1567" s="70" t="s">
        <v>204</v>
      </c>
      <c r="D1567" s="76" t="s">
        <v>214</v>
      </c>
      <c r="E1567" s="76" t="s">
        <v>34</v>
      </c>
      <c r="F1567" s="78" t="s">
        <v>2628</v>
      </c>
      <c r="G1567" s="78" t="s">
        <v>2678</v>
      </c>
      <c r="H1567" s="608" t="s">
        <v>2669</v>
      </c>
    </row>
    <row r="1568" spans="1:9" ht="15">
      <c r="A1568" s="23" t="s">
        <v>1942</v>
      </c>
      <c r="B1568" s="14" t="s">
        <v>1935</v>
      </c>
      <c r="C1568" s="104">
        <v>170</v>
      </c>
      <c r="D1568" s="498" t="s">
        <v>1943</v>
      </c>
      <c r="E1568" s="130">
        <v>110</v>
      </c>
      <c r="F1568" s="33">
        <v>2.74</v>
      </c>
      <c r="G1568" s="124" t="s">
        <v>2679</v>
      </c>
      <c r="H1568" s="9">
        <v>139.6</v>
      </c>
      <c r="I1568" s="5">
        <f t="shared" ref="I1568:I1577" si="8">H1568*E1568</f>
        <v>15356</v>
      </c>
    </row>
    <row r="1569" spans="1:9" ht="15">
      <c r="A1569" s="23" t="s">
        <v>1942</v>
      </c>
      <c r="B1569" s="14" t="s">
        <v>1935</v>
      </c>
      <c r="C1569" s="104">
        <v>170</v>
      </c>
      <c r="D1569" s="129" t="s">
        <v>1938</v>
      </c>
      <c r="E1569" s="130">
        <v>120</v>
      </c>
      <c r="F1569" s="33">
        <v>2.48</v>
      </c>
      <c r="G1569" s="124" t="s">
        <v>2679</v>
      </c>
      <c r="H1569" s="9">
        <v>126.5</v>
      </c>
      <c r="I1569" s="5">
        <f t="shared" si="8"/>
        <v>15180</v>
      </c>
    </row>
    <row r="1570" spans="1:9" ht="15">
      <c r="A1570" s="23" t="s">
        <v>1942</v>
      </c>
      <c r="B1570" s="14" t="s">
        <v>1935</v>
      </c>
      <c r="C1570" s="104">
        <v>120</v>
      </c>
      <c r="D1570" s="498" t="s">
        <v>1943</v>
      </c>
      <c r="E1570" s="130">
        <v>140</v>
      </c>
      <c r="F1570" s="33">
        <v>2.48</v>
      </c>
      <c r="G1570" s="124" t="s">
        <v>2679</v>
      </c>
      <c r="H1570" s="9">
        <v>126.2</v>
      </c>
      <c r="I1570" s="5">
        <f t="shared" si="8"/>
        <v>17668</v>
      </c>
    </row>
    <row r="1571" spans="1:9" ht="15">
      <c r="A1571" s="23" t="s">
        <v>1942</v>
      </c>
      <c r="B1571" s="14" t="s">
        <v>1935</v>
      </c>
      <c r="C1571" s="104">
        <v>120</v>
      </c>
      <c r="D1571" s="129" t="s">
        <v>1938</v>
      </c>
      <c r="E1571" s="130">
        <v>290</v>
      </c>
      <c r="F1571" s="33">
        <v>2.2999999999999998</v>
      </c>
      <c r="G1571" s="124" t="s">
        <v>2679</v>
      </c>
      <c r="H1571" s="9">
        <v>117</v>
      </c>
      <c r="I1571" s="5">
        <f t="shared" si="8"/>
        <v>33930</v>
      </c>
    </row>
    <row r="1572" spans="1:9" ht="15">
      <c r="A1572" s="23" t="s">
        <v>1942</v>
      </c>
      <c r="B1572" s="14" t="s">
        <v>1935</v>
      </c>
      <c r="C1572" s="104">
        <v>200</v>
      </c>
      <c r="D1572" s="498" t="s">
        <v>1943</v>
      </c>
      <c r="E1572" s="130">
        <v>190</v>
      </c>
      <c r="F1572" s="33">
        <v>2.9</v>
      </c>
      <c r="G1572" s="124" t="s">
        <v>2679</v>
      </c>
      <c r="H1572" s="9">
        <v>147.6</v>
      </c>
      <c r="I1572" s="5">
        <f t="shared" si="8"/>
        <v>28044</v>
      </c>
    </row>
    <row r="1573" spans="1:9" ht="15">
      <c r="A1573" s="23" t="s">
        <v>1942</v>
      </c>
      <c r="B1573" s="14" t="s">
        <v>1935</v>
      </c>
      <c r="C1573" s="104">
        <v>200</v>
      </c>
      <c r="D1573" s="129" t="s">
        <v>1938</v>
      </c>
      <c r="E1573" s="130">
        <v>240</v>
      </c>
      <c r="F1573" s="33">
        <v>2.6</v>
      </c>
      <c r="G1573" s="124" t="s">
        <v>2679</v>
      </c>
      <c r="H1573" s="9">
        <v>132.19999999999999</v>
      </c>
      <c r="I1573" s="5">
        <f t="shared" si="8"/>
        <v>31727.999999999996</v>
      </c>
    </row>
    <row r="1574" spans="1:9" ht="15">
      <c r="A1574" s="23" t="s">
        <v>1942</v>
      </c>
      <c r="B1574" s="17"/>
      <c r="C1574" s="94"/>
      <c r="D1574" s="17" t="s">
        <v>1944</v>
      </c>
      <c r="E1574" s="32">
        <v>1</v>
      </c>
      <c r="F1574" s="33">
        <v>180</v>
      </c>
      <c r="G1574" s="124" t="s">
        <v>2679</v>
      </c>
      <c r="H1574" s="9">
        <v>8000</v>
      </c>
      <c r="I1574" s="5">
        <f t="shared" si="8"/>
        <v>8000</v>
      </c>
    </row>
    <row r="1575" spans="1:9" ht="15.75">
      <c r="A1575" s="23" t="s">
        <v>1942</v>
      </c>
      <c r="B1575" s="17"/>
      <c r="C1575" s="94"/>
      <c r="D1575" s="17" t="s">
        <v>1945</v>
      </c>
      <c r="E1575" s="32">
        <v>1</v>
      </c>
      <c r="F1575" s="612" t="s">
        <v>2681</v>
      </c>
      <c r="G1575" s="124" t="s">
        <v>2679</v>
      </c>
      <c r="H1575" s="9">
        <v>4000</v>
      </c>
      <c r="I1575" s="5">
        <f t="shared" si="8"/>
        <v>4000</v>
      </c>
    </row>
    <row r="1576" spans="1:9" ht="15">
      <c r="A1576" s="23" t="s">
        <v>1942</v>
      </c>
      <c r="B1576" s="17"/>
      <c r="C1576" s="94"/>
      <c r="D1576" s="17" t="s">
        <v>1945</v>
      </c>
      <c r="E1576" s="32">
        <v>2</v>
      </c>
      <c r="F1576" s="33">
        <v>80</v>
      </c>
      <c r="G1576" s="124" t="s">
        <v>2679</v>
      </c>
      <c r="H1576" s="9">
        <v>0</v>
      </c>
      <c r="I1576" s="5">
        <f>H1576*E1576</f>
        <v>0</v>
      </c>
    </row>
    <row r="1577" spans="1:9" ht="15">
      <c r="A1577" s="23" t="s">
        <v>1942</v>
      </c>
      <c r="B1577" s="17"/>
      <c r="C1577" s="31"/>
      <c r="D1577" s="31" t="s">
        <v>11</v>
      </c>
      <c r="E1577" s="32">
        <v>1</v>
      </c>
      <c r="F1577" s="33">
        <v>12</v>
      </c>
      <c r="G1577" s="124" t="s">
        <v>2679</v>
      </c>
      <c r="H1577" s="9">
        <v>1100</v>
      </c>
      <c r="I1577" s="5">
        <f t="shared" si="8"/>
        <v>1100</v>
      </c>
    </row>
    <row r="1580" spans="1:9" ht="15.75">
      <c r="A1580" s="70" t="s">
        <v>2572</v>
      </c>
      <c r="B1580" s="77" t="s">
        <v>33</v>
      </c>
      <c r="C1580" s="77" t="s">
        <v>34</v>
      </c>
      <c r="D1580" s="100"/>
      <c r="E1580" s="101"/>
    </row>
    <row r="1581" spans="1:9" ht="15">
      <c r="A1581" s="17" t="s">
        <v>184</v>
      </c>
      <c r="B1581" s="17" t="s">
        <v>1946</v>
      </c>
      <c r="C1581" s="6">
        <v>50</v>
      </c>
      <c r="D1581" s="100">
        <v>50</v>
      </c>
      <c r="E1581" s="101">
        <v>1</v>
      </c>
    </row>
    <row r="1582" spans="1:9" ht="15">
      <c r="A1582" s="17" t="s">
        <v>184</v>
      </c>
      <c r="B1582" s="17" t="s">
        <v>115</v>
      </c>
      <c r="C1582" s="6">
        <v>50</v>
      </c>
      <c r="D1582" s="100">
        <v>50</v>
      </c>
      <c r="E1582" s="101">
        <v>1</v>
      </c>
    </row>
    <row r="1586" spans="1:11" ht="15.75">
      <c r="A1586" s="70" t="s">
        <v>2572</v>
      </c>
      <c r="B1586" s="77" t="s">
        <v>33</v>
      </c>
      <c r="C1586" s="77" t="s">
        <v>34</v>
      </c>
      <c r="D1586" s="77" t="s">
        <v>2640</v>
      </c>
      <c r="E1586" s="27"/>
      <c r="F1586" s="28"/>
      <c r="G1586" s="121"/>
      <c r="H1586" s="9"/>
      <c r="I1586" s="33"/>
      <c r="J1586" s="9"/>
      <c r="K1586" s="5"/>
    </row>
    <row r="1587" spans="1:11" ht="15">
      <c r="A1587" s="17" t="s">
        <v>1947</v>
      </c>
      <c r="B1587" s="17" t="s">
        <v>95</v>
      </c>
      <c r="C1587" s="117">
        <v>27.4</v>
      </c>
      <c r="D1587" s="9">
        <v>98</v>
      </c>
      <c r="E1587" s="27"/>
      <c r="F1587" s="28"/>
      <c r="G1587" s="121"/>
      <c r="H1587" s="33">
        <f>ROUNDUP(K1587/0.7/90,2)</f>
        <v>1.56</v>
      </c>
      <c r="I1587" s="33">
        <v>1.56</v>
      </c>
      <c r="J1587" s="16"/>
      <c r="K1587" s="5">
        <v>98</v>
      </c>
    </row>
    <row r="1588" spans="1:11" ht="15">
      <c r="A1588" s="17" t="s">
        <v>1948</v>
      </c>
      <c r="B1588" s="17" t="s">
        <v>95</v>
      </c>
      <c r="C1588" s="117">
        <v>27.4</v>
      </c>
      <c r="D1588" s="9">
        <v>64</v>
      </c>
      <c r="E1588" s="27"/>
      <c r="F1588" s="28"/>
      <c r="G1588" s="121"/>
      <c r="H1588" s="33">
        <f>ROUNDUP(K1588/0.7/90,2)</f>
        <v>1.02</v>
      </c>
      <c r="I1588" s="33">
        <v>1.02</v>
      </c>
      <c r="J1588" s="16"/>
      <c r="K1588" s="5">
        <v>64</v>
      </c>
    </row>
    <row r="1591" spans="1:11" ht="15.75">
      <c r="A1591" s="105" t="s">
        <v>43</v>
      </c>
      <c r="B1591" s="105" t="s">
        <v>106</v>
      </c>
      <c r="C1591" s="95" t="s">
        <v>2682</v>
      </c>
      <c r="D1591" s="105" t="s">
        <v>107</v>
      </c>
      <c r="E1591" s="105" t="s">
        <v>271</v>
      </c>
      <c r="F1591" s="105" t="s">
        <v>272</v>
      </c>
    </row>
    <row r="1592" spans="1:11" ht="15">
      <c r="A1592" s="17" t="s">
        <v>2683</v>
      </c>
      <c r="B1592" s="31">
        <v>39</v>
      </c>
      <c r="C1592" s="499" t="s">
        <v>1913</v>
      </c>
      <c r="D1592" s="100">
        <v>50</v>
      </c>
      <c r="E1592" s="101">
        <v>44</v>
      </c>
      <c r="F1592" s="6">
        <f>D1592*E1592</f>
        <v>2200</v>
      </c>
    </row>
    <row r="1595" spans="1:11" ht="15">
      <c r="B1595" s="100">
        <v>50</v>
      </c>
      <c r="C1595" s="101">
        <v>44</v>
      </c>
      <c r="D1595" s="6">
        <f>B1595*C1595</f>
        <v>2200</v>
      </c>
    </row>
    <row r="1598" spans="1:11" ht="14.25">
      <c r="A1598" s="105" t="s">
        <v>43</v>
      </c>
      <c r="B1598" s="613" t="s">
        <v>200</v>
      </c>
      <c r="C1598" s="613" t="s">
        <v>47</v>
      </c>
    </row>
    <row r="1599" spans="1:11" ht="15">
      <c r="A1599" s="17" t="s">
        <v>203</v>
      </c>
      <c r="B1599" s="17" t="s">
        <v>1926</v>
      </c>
      <c r="C1599" s="100">
        <v>3</v>
      </c>
    </row>
    <row r="1602" spans="1:6" ht="14.25">
      <c r="A1602" s="105" t="s">
        <v>43</v>
      </c>
      <c r="B1602" s="613" t="s">
        <v>200</v>
      </c>
      <c r="C1602" s="613" t="s">
        <v>47</v>
      </c>
      <c r="D1602" s="613" t="s">
        <v>180</v>
      </c>
    </row>
    <row r="1603" spans="1:6" ht="15">
      <c r="A1603" s="17" t="s">
        <v>1950</v>
      </c>
      <c r="B1603" s="31" t="s">
        <v>113</v>
      </c>
      <c r="C1603" s="100">
        <v>6</v>
      </c>
      <c r="D1603" s="501" t="s">
        <v>2684</v>
      </c>
    </row>
    <row r="1604" spans="1:6" ht="15">
      <c r="A1604" s="17" t="s">
        <v>1951</v>
      </c>
      <c r="B1604" s="31" t="s">
        <v>55</v>
      </c>
      <c r="C1604" s="100">
        <v>15</v>
      </c>
      <c r="D1604" s="501" t="s">
        <v>2685</v>
      </c>
    </row>
    <row r="1607" spans="1:6" ht="14.25">
      <c r="A1607" s="105" t="s">
        <v>43</v>
      </c>
      <c r="B1607" s="613" t="s">
        <v>200</v>
      </c>
      <c r="C1607" s="613" t="s">
        <v>47</v>
      </c>
      <c r="D1607" s="613" t="s">
        <v>180</v>
      </c>
    </row>
    <row r="1608" spans="1:6" ht="15">
      <c r="A1608" s="17" t="s">
        <v>1922</v>
      </c>
      <c r="B1608" s="31" t="s">
        <v>113</v>
      </c>
      <c r="C1608" s="117">
        <v>27.4</v>
      </c>
      <c r="D1608" s="501" t="s">
        <v>2686</v>
      </c>
    </row>
    <row r="1612" spans="1:6" ht="15">
      <c r="A1612" s="105" t="s">
        <v>43</v>
      </c>
      <c r="B1612" s="105" t="s">
        <v>199</v>
      </c>
      <c r="C1612" s="105" t="s">
        <v>200</v>
      </c>
      <c r="D1612" s="613" t="s">
        <v>47</v>
      </c>
      <c r="E1612" s="613" t="s">
        <v>2687</v>
      </c>
      <c r="F1612" s="5"/>
    </row>
    <row r="1613" spans="1:6" ht="15">
      <c r="A1613" s="14" t="s">
        <v>1935</v>
      </c>
      <c r="B1613" s="104">
        <v>235</v>
      </c>
      <c r="C1613" s="498" t="s">
        <v>1943</v>
      </c>
      <c r="D1613" s="130">
        <v>40</v>
      </c>
      <c r="E1613" s="9">
        <v>167</v>
      </c>
      <c r="F1613" s="5">
        <f>E1613*D1613</f>
        <v>6680</v>
      </c>
    </row>
    <row r="1614" spans="1:6" ht="15">
      <c r="A1614" s="14" t="s">
        <v>1935</v>
      </c>
      <c r="B1614" s="104">
        <v>235</v>
      </c>
      <c r="C1614" s="129" t="s">
        <v>1938</v>
      </c>
      <c r="D1614" s="130">
        <v>70</v>
      </c>
      <c r="E1614" s="9">
        <v>148.9</v>
      </c>
      <c r="F1614" s="5">
        <f>E1614*D1614</f>
        <v>10423</v>
      </c>
    </row>
    <row r="1615" spans="1:6" ht="15">
      <c r="A1615" s="17"/>
      <c r="B1615" s="94"/>
      <c r="C1615" s="17" t="s">
        <v>2688</v>
      </c>
      <c r="D1615" s="32">
        <v>1</v>
      </c>
      <c r="E1615" s="9">
        <v>8000</v>
      </c>
      <c r="F1615" s="5">
        <f>E1615*D1615</f>
        <v>8000</v>
      </c>
    </row>
    <row r="1616" spans="1:6" ht="15">
      <c r="A1616" s="17"/>
      <c r="B1616" s="94"/>
      <c r="C1616" s="17" t="s">
        <v>2689</v>
      </c>
      <c r="D1616" s="32">
        <v>1</v>
      </c>
      <c r="E1616" s="9">
        <v>4000</v>
      </c>
      <c r="F1616" s="5">
        <f>E1616*D1616</f>
        <v>4000</v>
      </c>
    </row>
    <row r="1617" spans="1:9" ht="15">
      <c r="A1617" s="17"/>
      <c r="B1617" s="94"/>
      <c r="C1617" s="106" t="s">
        <v>2690</v>
      </c>
      <c r="D1617" s="32">
        <v>2</v>
      </c>
      <c r="E1617" s="9">
        <v>500</v>
      </c>
      <c r="F1617" s="5">
        <f>E1617*D1617</f>
        <v>1000</v>
      </c>
    </row>
    <row r="1620" spans="1:9" ht="15.75">
      <c r="A1620" s="614" t="s">
        <v>2691</v>
      </c>
      <c r="B1620" s="77" t="s">
        <v>33</v>
      </c>
      <c r="C1620" s="95" t="s">
        <v>2</v>
      </c>
      <c r="D1620" s="95" t="s">
        <v>111</v>
      </c>
      <c r="E1620" s="95" t="s">
        <v>110</v>
      </c>
      <c r="F1620" s="70" t="s">
        <v>234</v>
      </c>
      <c r="G1620" s="70" t="s">
        <v>190</v>
      </c>
      <c r="H1620" s="105" t="s">
        <v>208</v>
      </c>
      <c r="I1620" s="105" t="s">
        <v>2692</v>
      </c>
    </row>
    <row r="1621" spans="1:9" ht="15">
      <c r="A1621" s="17" t="s">
        <v>1908</v>
      </c>
      <c r="B1621" s="31" t="s">
        <v>1956</v>
      </c>
      <c r="C1621" s="100">
        <v>13.7</v>
      </c>
      <c r="D1621" s="101">
        <v>6</v>
      </c>
      <c r="E1621" s="117">
        <f>C1621*D1621</f>
        <v>82.199999999999989</v>
      </c>
      <c r="F1621" s="33">
        <v>45.98</v>
      </c>
      <c r="G1621" s="33">
        <f>F1621*E1621</f>
        <v>3779.5559999999991</v>
      </c>
      <c r="H1621" s="9">
        <f>2800+510</f>
        <v>3310</v>
      </c>
      <c r="I1621" s="9">
        <f>H1621*E1621</f>
        <v>272081.99999999994</v>
      </c>
    </row>
    <row r="1622" spans="1:9" ht="15">
      <c r="A1622" s="136"/>
      <c r="B1622" s="137"/>
      <c r="C1622" s="139"/>
      <c r="D1622" s="140"/>
      <c r="E1622" s="138"/>
      <c r="F1622" s="144"/>
      <c r="G1622" s="143"/>
      <c r="H1622" s="615"/>
      <c r="I1622" s="615"/>
    </row>
    <row r="1623" spans="1:9" ht="15.75">
      <c r="A1623" s="614" t="s">
        <v>2693</v>
      </c>
      <c r="B1623" s="77" t="s">
        <v>33</v>
      </c>
      <c r="C1623" s="95" t="s">
        <v>2</v>
      </c>
      <c r="D1623" s="95" t="s">
        <v>111</v>
      </c>
      <c r="E1623" s="95" t="s">
        <v>110</v>
      </c>
      <c r="F1623" s="70" t="s">
        <v>234</v>
      </c>
      <c r="G1623" s="70" t="s">
        <v>190</v>
      </c>
      <c r="H1623" s="105" t="s">
        <v>208</v>
      </c>
      <c r="I1623" s="105" t="s">
        <v>2692</v>
      </c>
    </row>
    <row r="1624" spans="1:9" ht="15">
      <c r="A1624" s="17" t="s">
        <v>1908</v>
      </c>
      <c r="B1624" s="31" t="s">
        <v>1956</v>
      </c>
      <c r="C1624" s="100">
        <v>13.7</v>
      </c>
      <c r="D1624" s="101">
        <v>1</v>
      </c>
      <c r="E1624" s="117">
        <f>C1624*D1624</f>
        <v>13.7</v>
      </c>
      <c r="F1624" s="33">
        <v>67.78</v>
      </c>
      <c r="G1624" s="33">
        <f>F1624*E1624</f>
        <v>928.58600000000001</v>
      </c>
      <c r="H1624" s="9">
        <f>4200+680</f>
        <v>4880</v>
      </c>
      <c r="I1624" s="9">
        <f>H1624*E1624</f>
        <v>66856</v>
      </c>
    </row>
    <row r="1625" spans="1:9" ht="15">
      <c r="A1625" s="17" t="s">
        <v>1908</v>
      </c>
      <c r="B1625" s="31" t="s">
        <v>1956</v>
      </c>
      <c r="C1625" s="100">
        <v>13.7</v>
      </c>
      <c r="D1625" s="101">
        <v>4</v>
      </c>
      <c r="E1625" s="117">
        <f>C1625*D1625</f>
        <v>54.8</v>
      </c>
      <c r="F1625" s="33">
        <v>48.34</v>
      </c>
      <c r="G1625" s="33">
        <f>F1625*E1625</f>
        <v>2649.0320000000002</v>
      </c>
      <c r="H1625" s="9">
        <f>2800+680</f>
        <v>3480</v>
      </c>
      <c r="I1625" s="9">
        <f>H1625*E1625</f>
        <v>190704</v>
      </c>
    </row>
    <row r="1629" spans="1:9" ht="15">
      <c r="A1629" s="17" t="s">
        <v>248</v>
      </c>
      <c r="B1629" s="17" t="s">
        <v>1957</v>
      </c>
      <c r="C1629" s="6">
        <v>3</v>
      </c>
    </row>
    <row r="1630" spans="1:9" ht="15">
      <c r="A1630" s="17" t="s">
        <v>248</v>
      </c>
      <c r="B1630" s="17" t="s">
        <v>1952</v>
      </c>
      <c r="C1630" s="6">
        <v>3</v>
      </c>
    </row>
    <row r="1631" spans="1:9" ht="15">
      <c r="A1631" s="17" t="s">
        <v>248</v>
      </c>
      <c r="B1631" s="17" t="s">
        <v>1958</v>
      </c>
      <c r="C1631" s="6">
        <v>3</v>
      </c>
    </row>
    <row r="1632" spans="1:9" ht="15">
      <c r="A1632" s="17" t="s">
        <v>248</v>
      </c>
      <c r="B1632" s="17" t="s">
        <v>1959</v>
      </c>
      <c r="C1632" s="6">
        <v>5</v>
      </c>
    </row>
    <row r="1633" spans="1:6" ht="15">
      <c r="A1633" s="17">
        <v>5600</v>
      </c>
      <c r="B1633" s="17" t="s">
        <v>1957</v>
      </c>
      <c r="C1633" s="6">
        <v>3</v>
      </c>
    </row>
    <row r="1634" spans="1:6" ht="15">
      <c r="A1634" s="17">
        <v>5600</v>
      </c>
      <c r="B1634" s="17" t="s">
        <v>1960</v>
      </c>
      <c r="C1634" s="6">
        <v>3</v>
      </c>
    </row>
    <row r="1635" spans="1:6" ht="15">
      <c r="A1635" s="17">
        <v>5600</v>
      </c>
      <c r="B1635" s="17" t="s">
        <v>1961</v>
      </c>
      <c r="C1635" s="6">
        <v>3</v>
      </c>
    </row>
    <row r="1636" spans="1:6" ht="15">
      <c r="A1636" s="17">
        <v>5600</v>
      </c>
      <c r="B1636" s="17" t="s">
        <v>1962</v>
      </c>
      <c r="C1636" s="6">
        <v>5</v>
      </c>
    </row>
    <row r="1638" spans="1:6" ht="15">
      <c r="A1638" s="75">
        <v>3808</v>
      </c>
      <c r="B1638" s="31">
        <v>9</v>
      </c>
      <c r="C1638" s="502" t="s">
        <v>1954</v>
      </c>
      <c r="D1638" s="100">
        <v>50</v>
      </c>
      <c r="E1638" s="503">
        <v>3</v>
      </c>
      <c r="F1638" s="54">
        <f>D1638*E1638</f>
        <v>150</v>
      </c>
    </row>
    <row r="1639" spans="1:6" ht="15">
      <c r="A1639" s="75">
        <v>3808</v>
      </c>
      <c r="B1639" s="31">
        <v>9</v>
      </c>
      <c r="C1639" s="502" t="s">
        <v>1953</v>
      </c>
      <c r="D1639" s="100">
        <v>50</v>
      </c>
      <c r="E1639" s="503">
        <v>4</v>
      </c>
      <c r="F1639" s="54">
        <f>D1639*E1639</f>
        <v>200</v>
      </c>
    </row>
    <row r="1640" spans="1:6" ht="15">
      <c r="A1640" s="75">
        <v>3808</v>
      </c>
      <c r="B1640" s="31">
        <v>9</v>
      </c>
      <c r="C1640" s="31" t="s">
        <v>1963</v>
      </c>
      <c r="D1640" s="100">
        <v>50</v>
      </c>
      <c r="E1640" s="503">
        <v>2</v>
      </c>
      <c r="F1640" s="54">
        <f>D1640*E1640</f>
        <v>100</v>
      </c>
    </row>
    <row r="1641" spans="1:6" ht="15">
      <c r="A1641" s="75">
        <v>3808</v>
      </c>
      <c r="B1641" s="31">
        <v>9</v>
      </c>
      <c r="C1641" s="502" t="s">
        <v>168</v>
      </c>
      <c r="D1641" s="100">
        <v>50</v>
      </c>
      <c r="E1641" s="503">
        <v>1</v>
      </c>
      <c r="F1641" s="54">
        <f>D1641*E1641</f>
        <v>50</v>
      </c>
    </row>
    <row r="1644" spans="1:6">
      <c r="A1644" s="156"/>
    </row>
    <row r="1645" spans="1:6" ht="15.75" thickBot="1">
      <c r="A1645" s="616">
        <v>20211206</v>
      </c>
    </row>
    <row r="1646" spans="1:6" ht="16.5" thickBot="1">
      <c r="A1646" s="617" t="s">
        <v>2572</v>
      </c>
      <c r="B1646" s="618" t="s">
        <v>288</v>
      </c>
      <c r="C1646" s="619" t="s">
        <v>2694</v>
      </c>
      <c r="D1646" s="620" t="s">
        <v>2695</v>
      </c>
      <c r="E1646" s="621" t="s">
        <v>2696</v>
      </c>
      <c r="F1646" s="618" t="s">
        <v>2697</v>
      </c>
    </row>
    <row r="1647" spans="1:6" ht="15.75" thickBot="1">
      <c r="A1647" s="489" t="s">
        <v>1969</v>
      </c>
      <c r="B1647" s="133" t="s">
        <v>2698</v>
      </c>
      <c r="C1647" s="133" t="s">
        <v>55</v>
      </c>
      <c r="D1647" s="622" t="s">
        <v>2699</v>
      </c>
      <c r="E1647" s="133" t="s">
        <v>2700</v>
      </c>
      <c r="F1647" s="623">
        <v>1.34</v>
      </c>
    </row>
    <row r="1648" spans="1:6">
      <c r="A1648" s="187"/>
    </row>
    <row r="1651" spans="1:6" ht="14.25" thickBot="1"/>
    <row r="1652" spans="1:6" ht="15.75" thickBot="1">
      <c r="A1652" s="617" t="s">
        <v>2572</v>
      </c>
      <c r="B1652" s="617" t="s">
        <v>94</v>
      </c>
      <c r="C1652" s="617" t="s">
        <v>34</v>
      </c>
      <c r="D1652" s="618" t="s">
        <v>2697</v>
      </c>
    </row>
    <row r="1653" spans="1:6" ht="15">
      <c r="A1653" s="17" t="s">
        <v>1969</v>
      </c>
      <c r="B1653" s="31" t="s">
        <v>113</v>
      </c>
      <c r="C1653" s="6">
        <v>50</v>
      </c>
      <c r="D1653" s="33">
        <v>1.34</v>
      </c>
    </row>
    <row r="1654" spans="1:6" ht="15">
      <c r="A1654" s="17" t="s">
        <v>1969</v>
      </c>
      <c r="B1654" s="31" t="s">
        <v>1970</v>
      </c>
      <c r="C1654" s="6">
        <v>50</v>
      </c>
      <c r="D1654" s="33">
        <v>1.34</v>
      </c>
    </row>
    <row r="1655" spans="1:6" ht="15">
      <c r="A1655" s="17" t="s">
        <v>1969</v>
      </c>
      <c r="B1655" s="31" t="s">
        <v>1971</v>
      </c>
      <c r="C1655" s="6">
        <v>50</v>
      </c>
      <c r="D1655" s="33">
        <v>1.34</v>
      </c>
    </row>
    <row r="1656" spans="1:6" ht="15">
      <c r="A1656" s="17"/>
      <c r="B1656" s="17" t="s">
        <v>183</v>
      </c>
      <c r="C1656" s="32" t="s">
        <v>2701</v>
      </c>
      <c r="D1656" s="33">
        <v>375</v>
      </c>
    </row>
    <row r="1657" spans="1:6" ht="15">
      <c r="A1657" s="17"/>
      <c r="B1657" s="17" t="s">
        <v>279</v>
      </c>
      <c r="C1657" s="32">
        <v>1</v>
      </c>
      <c r="D1657" s="33">
        <v>12</v>
      </c>
    </row>
    <row r="1660" spans="1:6" ht="14.25" thickBot="1"/>
    <row r="1661" spans="1:6" ht="15.75" thickBot="1">
      <c r="A1661" s="617" t="s">
        <v>76</v>
      </c>
      <c r="B1661" s="617" t="s">
        <v>2572</v>
      </c>
      <c r="C1661" s="617" t="s">
        <v>94</v>
      </c>
      <c r="D1661" s="617" t="s">
        <v>34</v>
      </c>
      <c r="E1661" s="617" t="s">
        <v>277</v>
      </c>
      <c r="F1661" s="617" t="s">
        <v>2702</v>
      </c>
    </row>
    <row r="1662" spans="1:6" ht="15">
      <c r="A1662" s="4" t="s">
        <v>2703</v>
      </c>
      <c r="B1662" s="17" t="s">
        <v>248</v>
      </c>
      <c r="C1662" s="17" t="s">
        <v>274</v>
      </c>
      <c r="D1662" s="6">
        <v>20</v>
      </c>
      <c r="E1662" s="17" t="s">
        <v>2704</v>
      </c>
      <c r="F1662" s="1006" t="s">
        <v>2705</v>
      </c>
    </row>
    <row r="1663" spans="1:6" ht="15">
      <c r="A1663" s="4" t="s">
        <v>2706</v>
      </c>
      <c r="B1663" s="17" t="s">
        <v>248</v>
      </c>
      <c r="C1663" s="17" t="s">
        <v>185</v>
      </c>
      <c r="D1663" s="6">
        <v>25</v>
      </c>
      <c r="E1663" s="17" t="s">
        <v>2707</v>
      </c>
      <c r="F1663" s="1007"/>
    </row>
    <row r="1664" spans="1:6" ht="15">
      <c r="A1664" s="4" t="s">
        <v>2708</v>
      </c>
      <c r="B1664" s="17" t="s">
        <v>7</v>
      </c>
      <c r="C1664" s="17" t="s">
        <v>1976</v>
      </c>
      <c r="D1664" s="6">
        <v>30</v>
      </c>
      <c r="E1664" s="17" t="s">
        <v>2709</v>
      </c>
      <c r="F1664" s="1008"/>
    </row>
    <row r="1665" spans="1:120" ht="14.25" thickBot="1"/>
    <row r="1666" spans="1:120" ht="15.75" thickBot="1">
      <c r="A1666" s="617" t="s">
        <v>2572</v>
      </c>
      <c r="B1666" s="617" t="s">
        <v>94</v>
      </c>
      <c r="C1666" s="617" t="s">
        <v>34</v>
      </c>
      <c r="D1666" s="624" t="s">
        <v>278</v>
      </c>
    </row>
    <row r="1667" spans="1:120" ht="15">
      <c r="A1667" s="17" t="s">
        <v>248</v>
      </c>
      <c r="B1667" s="17" t="s">
        <v>1967</v>
      </c>
      <c r="C1667" s="6">
        <v>185</v>
      </c>
      <c r="D1667" s="86" t="s">
        <v>2710</v>
      </c>
    </row>
    <row r="1668" spans="1:120" ht="15">
      <c r="A1668" s="17" t="s">
        <v>248</v>
      </c>
      <c r="B1668" s="17" t="s">
        <v>1975</v>
      </c>
      <c r="C1668" s="6">
        <v>195</v>
      </c>
      <c r="D1668" s="86" t="s">
        <v>2711</v>
      </c>
    </row>
    <row r="1669" spans="1:120" ht="15">
      <c r="A1669" s="17" t="s">
        <v>7</v>
      </c>
      <c r="B1669" s="17" t="s">
        <v>1864</v>
      </c>
      <c r="C1669" s="6">
        <v>135</v>
      </c>
      <c r="D1669" s="86" t="s">
        <v>2712</v>
      </c>
    </row>
    <row r="1671" spans="1:120" s="184" customFormat="1" ht="31.5">
      <c r="A1671" s="181" t="s">
        <v>216</v>
      </c>
      <c r="B1671" s="175" t="s">
        <v>156</v>
      </c>
      <c r="C1671" s="176" t="s">
        <v>2</v>
      </c>
      <c r="D1671" s="177" t="s">
        <v>229</v>
      </c>
      <c r="E1671" s="178" t="s">
        <v>280</v>
      </c>
      <c r="F1671" s="178" t="s">
        <v>2713</v>
      </c>
      <c r="G1671" s="178" t="s">
        <v>2714</v>
      </c>
    </row>
    <row r="1672" spans="1:120" s="186" customFormat="1" ht="15" customHeight="1">
      <c r="A1672" s="97" t="s">
        <v>263</v>
      </c>
      <c r="B1672" s="19">
        <v>36</v>
      </c>
      <c r="C1672" s="98">
        <v>10</v>
      </c>
      <c r="D1672" s="24" t="s">
        <v>233</v>
      </c>
      <c r="E1672" s="161">
        <v>3.92</v>
      </c>
      <c r="F1672" s="179">
        <f>E1672*C1672</f>
        <v>39.200000000000003</v>
      </c>
      <c r="G1672" s="179">
        <f>F1672*2</f>
        <v>78.400000000000006</v>
      </c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  <c r="AE1672" s="12"/>
      <c r="AF1672" s="12"/>
      <c r="AG1672" s="12"/>
      <c r="AH1672" s="12"/>
      <c r="AI1672" s="12"/>
      <c r="AJ1672" s="12"/>
      <c r="AK1672" s="12"/>
      <c r="AL1672" s="12"/>
      <c r="AM1672" s="12"/>
      <c r="AN1672" s="12"/>
      <c r="AO1672" s="12"/>
      <c r="AP1672" s="12"/>
      <c r="AQ1672" s="12"/>
      <c r="AR1672" s="12"/>
      <c r="AS1672" s="12"/>
      <c r="AT1672" s="12"/>
      <c r="AU1672" s="12"/>
      <c r="AV1672" s="12"/>
      <c r="AW1672" s="12"/>
      <c r="AX1672" s="12"/>
      <c r="AY1672" s="12"/>
      <c r="AZ1672" s="12"/>
      <c r="BA1672" s="12"/>
      <c r="BB1672" s="12"/>
      <c r="BC1672" s="12"/>
      <c r="BD1672" s="12"/>
      <c r="BE1672" s="12"/>
      <c r="BF1672" s="12"/>
      <c r="BG1672" s="12"/>
      <c r="BH1672" s="12"/>
      <c r="BI1672" s="12"/>
      <c r="BJ1672" s="12"/>
      <c r="BK1672" s="12"/>
      <c r="BL1672" s="12"/>
      <c r="BM1672" s="12"/>
      <c r="BN1672" s="12"/>
      <c r="BO1672" s="12"/>
      <c r="BP1672" s="12"/>
      <c r="BQ1672" s="12"/>
      <c r="BR1672" s="12"/>
      <c r="BS1672" s="12"/>
      <c r="BT1672" s="12"/>
      <c r="BU1672" s="12"/>
      <c r="BV1672" s="12"/>
      <c r="BW1672" s="12"/>
      <c r="BX1672" s="12"/>
      <c r="BY1672" s="12"/>
      <c r="BZ1672" s="12"/>
      <c r="CA1672" s="12"/>
      <c r="CB1672" s="12"/>
      <c r="CC1672" s="12"/>
      <c r="CD1672" s="12"/>
      <c r="CE1672" s="12"/>
      <c r="CF1672" s="12"/>
      <c r="CG1672" s="12"/>
      <c r="CH1672" s="12"/>
      <c r="CI1672" s="12"/>
      <c r="CJ1672" s="12"/>
      <c r="CK1672" s="12"/>
      <c r="CL1672" s="12"/>
      <c r="CM1672" s="12"/>
      <c r="CN1672" s="12"/>
      <c r="CO1672" s="12"/>
      <c r="CP1672" s="12"/>
      <c r="CQ1672" s="12"/>
      <c r="CR1672" s="12"/>
      <c r="CS1672" s="12"/>
      <c r="CT1672" s="12"/>
      <c r="CU1672" s="12"/>
      <c r="CV1672" s="12"/>
      <c r="CW1672" s="12"/>
      <c r="CX1672" s="12"/>
      <c r="CY1672" s="12"/>
      <c r="CZ1672" s="12"/>
      <c r="DA1672" s="12"/>
      <c r="DB1672" s="12"/>
      <c r="DC1672" s="12"/>
      <c r="DD1672" s="12"/>
      <c r="DE1672" s="12"/>
      <c r="DF1672" s="12"/>
      <c r="DG1672" s="12"/>
      <c r="DH1672" s="12"/>
      <c r="DI1672" s="12"/>
      <c r="DJ1672" s="12"/>
      <c r="DK1672" s="12"/>
      <c r="DL1672" s="12"/>
      <c r="DM1672" s="12"/>
      <c r="DN1672" s="12"/>
    </row>
    <row r="1673" spans="1:120" s="186" customFormat="1" ht="15" customHeight="1">
      <c r="A1673" s="97" t="s">
        <v>260</v>
      </c>
      <c r="B1673" s="19">
        <v>9</v>
      </c>
      <c r="C1673" s="98">
        <v>10</v>
      </c>
      <c r="D1673" s="24" t="s">
        <v>233</v>
      </c>
      <c r="E1673" s="161">
        <v>0.79</v>
      </c>
      <c r="F1673" s="179">
        <f>E1673*C1673</f>
        <v>7.9</v>
      </c>
      <c r="G1673" s="179">
        <f>F1673*3</f>
        <v>23.700000000000003</v>
      </c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  <c r="AE1673" s="12"/>
      <c r="AF1673" s="12"/>
      <c r="AG1673" s="12"/>
      <c r="AH1673" s="12"/>
      <c r="AI1673" s="12"/>
      <c r="AJ1673" s="12"/>
      <c r="AK1673" s="12"/>
      <c r="AL1673" s="12"/>
      <c r="AM1673" s="12"/>
      <c r="AN1673" s="12"/>
      <c r="AO1673" s="12"/>
      <c r="AP1673" s="12"/>
      <c r="AQ1673" s="12"/>
      <c r="AR1673" s="12"/>
      <c r="AS1673" s="12"/>
      <c r="AT1673" s="12"/>
      <c r="AU1673" s="12"/>
      <c r="AV1673" s="12"/>
      <c r="AW1673" s="12"/>
      <c r="AX1673" s="12"/>
      <c r="AY1673" s="12"/>
      <c r="AZ1673" s="12"/>
      <c r="BA1673" s="12"/>
      <c r="BB1673" s="12"/>
      <c r="BC1673" s="12"/>
      <c r="BD1673" s="12"/>
      <c r="BE1673" s="12"/>
      <c r="BF1673" s="12"/>
      <c r="BG1673" s="12"/>
      <c r="BH1673" s="12"/>
      <c r="BI1673" s="12"/>
      <c r="BJ1673" s="12"/>
      <c r="BK1673" s="12"/>
      <c r="BL1673" s="12"/>
      <c r="BM1673" s="12"/>
      <c r="BN1673" s="12"/>
      <c r="BO1673" s="12"/>
      <c r="BP1673" s="12"/>
      <c r="BQ1673" s="12"/>
      <c r="BR1673" s="12"/>
      <c r="BS1673" s="12"/>
      <c r="BT1673" s="12"/>
      <c r="BU1673" s="12"/>
      <c r="BV1673" s="12"/>
      <c r="BW1673" s="12"/>
      <c r="BX1673" s="12"/>
      <c r="BY1673" s="12"/>
      <c r="BZ1673" s="12"/>
      <c r="CA1673" s="12"/>
      <c r="CB1673" s="12"/>
      <c r="CC1673" s="12"/>
      <c r="CD1673" s="12"/>
      <c r="CE1673" s="12"/>
      <c r="CF1673" s="12"/>
      <c r="CG1673" s="12"/>
      <c r="CH1673" s="12"/>
      <c r="CI1673" s="12"/>
      <c r="CJ1673" s="12"/>
      <c r="CK1673" s="12"/>
      <c r="CL1673" s="12"/>
      <c r="CM1673" s="12"/>
      <c r="CN1673" s="12"/>
      <c r="CO1673" s="12"/>
      <c r="CP1673" s="12"/>
      <c r="CQ1673" s="12"/>
      <c r="CR1673" s="12"/>
      <c r="CS1673" s="12"/>
      <c r="CT1673" s="12"/>
      <c r="CU1673" s="12"/>
      <c r="CV1673" s="12"/>
      <c r="CW1673" s="12"/>
      <c r="CX1673" s="12"/>
      <c r="CY1673" s="12"/>
      <c r="CZ1673" s="12"/>
      <c r="DA1673" s="12"/>
      <c r="DB1673" s="12"/>
      <c r="DC1673" s="12"/>
      <c r="DD1673" s="12"/>
      <c r="DE1673" s="12"/>
      <c r="DF1673" s="12"/>
      <c r="DG1673" s="12"/>
      <c r="DH1673" s="12"/>
      <c r="DI1673" s="12"/>
      <c r="DJ1673" s="12"/>
      <c r="DK1673" s="12"/>
      <c r="DL1673" s="12"/>
      <c r="DM1673" s="12"/>
      <c r="DN1673" s="12"/>
    </row>
    <row r="1674" spans="1:120" s="186" customFormat="1" ht="15" customHeight="1">
      <c r="A1674" s="97" t="s">
        <v>260</v>
      </c>
      <c r="B1674" s="19">
        <v>12</v>
      </c>
      <c r="C1674" s="98">
        <v>10</v>
      </c>
      <c r="D1674" s="24" t="s">
        <v>233</v>
      </c>
      <c r="E1674" s="161">
        <v>0.88</v>
      </c>
      <c r="F1674" s="179">
        <f>E1674*C1674</f>
        <v>8.8000000000000007</v>
      </c>
      <c r="G1674" s="179">
        <v>8.8000000000000007</v>
      </c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  <c r="AE1674" s="12"/>
      <c r="AF1674" s="12"/>
      <c r="AG1674" s="12"/>
      <c r="AH1674" s="12"/>
      <c r="AI1674" s="12"/>
      <c r="AJ1674" s="12"/>
      <c r="AK1674" s="12"/>
      <c r="AL1674" s="12"/>
      <c r="AM1674" s="12"/>
      <c r="AN1674" s="12"/>
      <c r="AO1674" s="12"/>
      <c r="AP1674" s="12"/>
      <c r="AQ1674" s="12"/>
      <c r="AR1674" s="12"/>
      <c r="AS1674" s="12"/>
      <c r="AT1674" s="12"/>
      <c r="AU1674" s="12"/>
      <c r="AV1674" s="12"/>
      <c r="AW1674" s="12"/>
      <c r="AX1674" s="12"/>
      <c r="AY1674" s="12"/>
      <c r="AZ1674" s="12"/>
      <c r="BA1674" s="12"/>
      <c r="BB1674" s="12"/>
      <c r="BC1674" s="12"/>
      <c r="BD1674" s="12"/>
      <c r="BE1674" s="12"/>
      <c r="BF1674" s="12"/>
      <c r="BG1674" s="12"/>
      <c r="BH1674" s="12"/>
      <c r="BI1674" s="12"/>
      <c r="BJ1674" s="12"/>
      <c r="BK1674" s="12"/>
      <c r="BL1674" s="12"/>
      <c r="BM1674" s="12"/>
      <c r="BN1674" s="12"/>
      <c r="BO1674" s="12"/>
      <c r="BP1674" s="12"/>
      <c r="BQ1674" s="12"/>
      <c r="BR1674" s="12"/>
      <c r="BS1674" s="12"/>
      <c r="BT1674" s="12"/>
      <c r="BU1674" s="12"/>
      <c r="BV1674" s="12"/>
      <c r="BW1674" s="12"/>
      <c r="BX1674" s="12"/>
      <c r="BY1674" s="12"/>
      <c r="BZ1674" s="12"/>
      <c r="CA1674" s="12"/>
      <c r="CB1674" s="12"/>
      <c r="CC1674" s="12"/>
      <c r="CD1674" s="12"/>
      <c r="CE1674" s="12"/>
      <c r="CF1674" s="12"/>
      <c r="CG1674" s="12"/>
      <c r="CH1674" s="12"/>
      <c r="CI1674" s="12"/>
      <c r="CJ1674" s="12"/>
      <c r="CK1674" s="12"/>
      <c r="CL1674" s="12"/>
      <c r="CM1674" s="12"/>
      <c r="CN1674" s="12"/>
      <c r="CO1674" s="12"/>
      <c r="CP1674" s="12"/>
      <c r="CQ1674" s="12"/>
      <c r="CR1674" s="12"/>
      <c r="CS1674" s="12"/>
      <c r="CT1674" s="12"/>
      <c r="CU1674" s="12"/>
      <c r="CV1674" s="12"/>
      <c r="CW1674" s="12"/>
      <c r="CX1674" s="12"/>
      <c r="CY1674" s="12"/>
      <c r="CZ1674" s="12"/>
      <c r="DA1674" s="12"/>
      <c r="DB1674" s="12"/>
      <c r="DC1674" s="12"/>
      <c r="DD1674" s="12"/>
      <c r="DE1674" s="12"/>
      <c r="DF1674" s="12"/>
      <c r="DG1674" s="12"/>
      <c r="DH1674" s="12"/>
      <c r="DI1674" s="12"/>
      <c r="DJ1674" s="12"/>
      <c r="DK1674" s="12"/>
      <c r="DL1674" s="12"/>
      <c r="DM1674" s="12"/>
      <c r="DN1674" s="12"/>
    </row>
    <row r="1675" spans="1:120" s="186" customFormat="1" ht="15" customHeight="1">
      <c r="A1675" s="97" t="s">
        <v>260</v>
      </c>
      <c r="B1675" s="19">
        <v>18</v>
      </c>
      <c r="C1675" s="98">
        <v>10</v>
      </c>
      <c r="D1675" s="24" t="s">
        <v>233</v>
      </c>
      <c r="E1675" s="161">
        <v>1.1399999999999999</v>
      </c>
      <c r="F1675" s="179">
        <f>E1675*C1675</f>
        <v>11.399999999999999</v>
      </c>
      <c r="G1675" s="179">
        <f>F1675*2</f>
        <v>22.799999999999997</v>
      </c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  <c r="AE1675" s="12"/>
      <c r="AF1675" s="12"/>
      <c r="AG1675" s="12"/>
      <c r="AH1675" s="12"/>
      <c r="AI1675" s="12"/>
      <c r="AJ1675" s="12"/>
      <c r="AK1675" s="12"/>
      <c r="AL1675" s="12"/>
      <c r="AM1675" s="12"/>
      <c r="AN1675" s="12"/>
      <c r="AO1675" s="12"/>
      <c r="AP1675" s="12"/>
      <c r="AQ1675" s="12"/>
      <c r="AR1675" s="12"/>
      <c r="AS1675" s="12"/>
      <c r="AT1675" s="12"/>
      <c r="AU1675" s="12"/>
      <c r="AV1675" s="12"/>
      <c r="AW1675" s="12"/>
      <c r="AX1675" s="12"/>
      <c r="AY1675" s="12"/>
      <c r="AZ1675" s="12"/>
      <c r="BA1675" s="12"/>
      <c r="BB1675" s="12"/>
      <c r="BC1675" s="12"/>
      <c r="BD1675" s="12"/>
      <c r="BE1675" s="12"/>
      <c r="BF1675" s="12"/>
      <c r="BG1675" s="12"/>
      <c r="BH1675" s="12"/>
      <c r="BI1675" s="12"/>
      <c r="BJ1675" s="12"/>
      <c r="BK1675" s="12"/>
      <c r="BL1675" s="12"/>
      <c r="BM1675" s="12"/>
      <c r="BN1675" s="12"/>
      <c r="BO1675" s="12"/>
      <c r="BP1675" s="12"/>
      <c r="BQ1675" s="12"/>
      <c r="BR1675" s="12"/>
      <c r="BS1675" s="12"/>
      <c r="BT1675" s="12"/>
      <c r="BU1675" s="12"/>
      <c r="BV1675" s="12"/>
      <c r="BW1675" s="12"/>
      <c r="BX1675" s="12"/>
      <c r="BY1675" s="12"/>
      <c r="BZ1675" s="12"/>
      <c r="CA1675" s="12"/>
      <c r="CB1675" s="12"/>
      <c r="CC1675" s="12"/>
      <c r="CD1675" s="12"/>
      <c r="CE1675" s="12"/>
      <c r="CF1675" s="12"/>
      <c r="CG1675" s="12"/>
      <c r="CH1675" s="12"/>
      <c r="CI1675" s="12"/>
      <c r="CJ1675" s="12"/>
      <c r="CK1675" s="12"/>
      <c r="CL1675" s="12"/>
      <c r="CM1675" s="12"/>
      <c r="CN1675" s="12"/>
      <c r="CO1675" s="12"/>
      <c r="CP1675" s="12"/>
      <c r="CQ1675" s="12"/>
      <c r="CR1675" s="12"/>
      <c r="CS1675" s="12"/>
      <c r="CT1675" s="12"/>
      <c r="CU1675" s="12"/>
      <c r="CV1675" s="12"/>
      <c r="CW1675" s="12"/>
      <c r="CX1675" s="12"/>
      <c r="CY1675" s="12"/>
      <c r="CZ1675" s="12"/>
      <c r="DA1675" s="12"/>
      <c r="DB1675" s="12"/>
      <c r="DC1675" s="12"/>
      <c r="DD1675" s="12"/>
      <c r="DE1675" s="12"/>
      <c r="DF1675" s="12"/>
      <c r="DG1675" s="12"/>
      <c r="DH1675" s="12"/>
      <c r="DI1675" s="12"/>
      <c r="DJ1675" s="12"/>
      <c r="DK1675" s="12"/>
      <c r="DL1675" s="12"/>
      <c r="DM1675" s="12"/>
      <c r="DN1675" s="12"/>
    </row>
    <row r="1676" spans="1:120" s="186" customFormat="1" ht="15" customHeight="1">
      <c r="A1676" s="97"/>
      <c r="B1676" s="19"/>
      <c r="C1676" s="98"/>
      <c r="D1676" s="24"/>
      <c r="E1676" s="161"/>
      <c r="F1676" s="625" t="s">
        <v>155</v>
      </c>
      <c r="G1676" s="626">
        <f>SUM(G1672:G1675)</f>
        <v>133.69999999999999</v>
      </c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  <c r="AE1676" s="12"/>
      <c r="AF1676" s="12"/>
      <c r="AG1676" s="12"/>
      <c r="AH1676" s="12"/>
      <c r="AI1676" s="12"/>
      <c r="AJ1676" s="12"/>
      <c r="AK1676" s="12"/>
      <c r="AL1676" s="12"/>
      <c r="AM1676" s="12"/>
      <c r="AN1676" s="12"/>
      <c r="AO1676" s="12"/>
      <c r="AP1676" s="12"/>
      <c r="AQ1676" s="12"/>
      <c r="AR1676" s="12"/>
      <c r="AS1676" s="12"/>
      <c r="AT1676" s="12"/>
      <c r="AU1676" s="12"/>
      <c r="AV1676" s="12"/>
      <c r="AW1676" s="12"/>
      <c r="AX1676" s="12"/>
      <c r="AY1676" s="12"/>
      <c r="AZ1676" s="12"/>
      <c r="BA1676" s="12"/>
      <c r="BB1676" s="12"/>
      <c r="BC1676" s="12"/>
      <c r="BD1676" s="12"/>
      <c r="BE1676" s="12"/>
      <c r="BF1676" s="12"/>
      <c r="BG1676" s="12"/>
      <c r="BH1676" s="12"/>
      <c r="BI1676" s="12"/>
      <c r="BJ1676" s="12"/>
      <c r="BK1676" s="12"/>
      <c r="BL1676" s="12"/>
      <c r="BM1676" s="12"/>
      <c r="BN1676" s="12"/>
      <c r="BO1676" s="12"/>
      <c r="BP1676" s="12"/>
      <c r="BQ1676" s="12"/>
      <c r="BR1676" s="12"/>
      <c r="BS1676" s="12"/>
      <c r="BT1676" s="12"/>
      <c r="BU1676" s="12"/>
      <c r="BV1676" s="12"/>
      <c r="BW1676" s="12"/>
      <c r="BX1676" s="12"/>
      <c r="BY1676" s="12"/>
      <c r="BZ1676" s="12"/>
      <c r="CA1676" s="12"/>
      <c r="CB1676" s="12"/>
      <c r="CC1676" s="12"/>
      <c r="CD1676" s="12"/>
      <c r="CE1676" s="12"/>
      <c r="CF1676" s="12"/>
      <c r="CG1676" s="12"/>
      <c r="CH1676" s="12"/>
      <c r="CI1676" s="12"/>
      <c r="CJ1676" s="12"/>
      <c r="CK1676" s="12"/>
      <c r="CL1676" s="12"/>
      <c r="CM1676" s="12"/>
      <c r="CN1676" s="12"/>
      <c r="CO1676" s="12"/>
      <c r="CP1676" s="12"/>
      <c r="CQ1676" s="12"/>
      <c r="CR1676" s="12"/>
      <c r="CS1676" s="12"/>
      <c r="CT1676" s="12"/>
      <c r="CU1676" s="12"/>
      <c r="CV1676" s="12"/>
      <c r="CW1676" s="12"/>
      <c r="CX1676" s="12"/>
      <c r="CY1676" s="12"/>
      <c r="CZ1676" s="12"/>
      <c r="DA1676" s="12"/>
      <c r="DB1676" s="12"/>
      <c r="DC1676" s="12"/>
      <c r="DD1676" s="12"/>
      <c r="DE1676" s="12"/>
      <c r="DF1676" s="12"/>
      <c r="DG1676" s="12"/>
      <c r="DH1676" s="12"/>
      <c r="DI1676" s="12"/>
      <c r="DJ1676" s="12"/>
      <c r="DK1676" s="12"/>
      <c r="DL1676" s="12"/>
      <c r="DM1676" s="12"/>
      <c r="DN1676" s="12"/>
    </row>
    <row r="1679" spans="1:120" s="184" customFormat="1" ht="31.5">
      <c r="A1679" s="181" t="s">
        <v>216</v>
      </c>
      <c r="B1679" s="175" t="s">
        <v>156</v>
      </c>
      <c r="C1679" s="176" t="s">
        <v>2</v>
      </c>
      <c r="D1679" s="177" t="s">
        <v>229</v>
      </c>
      <c r="E1679" s="183" t="s">
        <v>256</v>
      </c>
      <c r="F1679" s="183" t="s">
        <v>205</v>
      </c>
      <c r="G1679" s="178" t="s">
        <v>280</v>
      </c>
      <c r="H1679" s="178" t="s">
        <v>2715</v>
      </c>
    </row>
    <row r="1680" spans="1:120" s="186" customFormat="1" ht="15" customHeight="1">
      <c r="A1680" s="97" t="s">
        <v>263</v>
      </c>
      <c r="B1680" s="19">
        <v>3</v>
      </c>
      <c r="C1680" s="98">
        <v>40</v>
      </c>
      <c r="D1680" s="24" t="s">
        <v>233</v>
      </c>
      <c r="E1680" s="15" t="s">
        <v>142</v>
      </c>
      <c r="F1680" s="15" t="s">
        <v>264</v>
      </c>
      <c r="G1680" s="179">
        <v>1.17</v>
      </c>
      <c r="H1680" s="179">
        <f t="shared" ref="H1680:H1695" si="9">G1680*C1680</f>
        <v>46.8</v>
      </c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  <c r="AE1680" s="12"/>
      <c r="AF1680" s="12"/>
      <c r="AG1680" s="12"/>
      <c r="AH1680" s="12"/>
      <c r="AI1680" s="12"/>
      <c r="AJ1680" s="12"/>
      <c r="AK1680" s="12"/>
      <c r="AL1680" s="12"/>
      <c r="AM1680" s="12"/>
      <c r="AN1680" s="12"/>
      <c r="AO1680" s="12"/>
      <c r="AP1680" s="12"/>
      <c r="AQ1680" s="12"/>
      <c r="AR1680" s="12"/>
      <c r="AS1680" s="12"/>
      <c r="AT1680" s="12"/>
      <c r="AU1680" s="12"/>
      <c r="AV1680" s="12"/>
      <c r="AW1680" s="12"/>
      <c r="AX1680" s="12"/>
      <c r="AY1680" s="12"/>
      <c r="AZ1680" s="12"/>
      <c r="BA1680" s="12"/>
      <c r="BB1680" s="12"/>
      <c r="BC1680" s="12"/>
      <c r="BD1680" s="12"/>
      <c r="BE1680" s="12"/>
      <c r="BF1680" s="12"/>
      <c r="BG1680" s="12"/>
      <c r="BH1680" s="12"/>
      <c r="BI1680" s="12"/>
      <c r="BJ1680" s="12"/>
      <c r="BK1680" s="12"/>
      <c r="BL1680" s="12"/>
      <c r="BM1680" s="12"/>
      <c r="BN1680" s="12"/>
      <c r="BO1680" s="12"/>
      <c r="BP1680" s="12"/>
      <c r="BQ1680" s="12"/>
      <c r="BR1680" s="12"/>
      <c r="BS1680" s="12"/>
      <c r="BT1680" s="12"/>
      <c r="BU1680" s="12"/>
      <c r="BV1680" s="12"/>
      <c r="BW1680" s="12"/>
      <c r="BX1680" s="12"/>
      <c r="BY1680" s="12"/>
      <c r="BZ1680" s="12"/>
      <c r="CA1680" s="12"/>
      <c r="CB1680" s="12"/>
      <c r="CC1680" s="12"/>
      <c r="CD1680" s="12"/>
      <c r="CE1680" s="12"/>
      <c r="CF1680" s="12"/>
      <c r="CG1680" s="12"/>
      <c r="CH1680" s="12"/>
      <c r="CI1680" s="12"/>
      <c r="CJ1680" s="12"/>
      <c r="CK1680" s="12"/>
      <c r="CL1680" s="12"/>
      <c r="CM1680" s="12"/>
      <c r="CN1680" s="12"/>
      <c r="CO1680" s="12"/>
      <c r="CP1680" s="12"/>
      <c r="CQ1680" s="12"/>
      <c r="CR1680" s="12"/>
      <c r="CS1680" s="12"/>
      <c r="CT1680" s="12"/>
      <c r="CU1680" s="12"/>
      <c r="CV1680" s="12"/>
      <c r="CW1680" s="12"/>
      <c r="CX1680" s="12"/>
      <c r="CY1680" s="12"/>
      <c r="CZ1680" s="12"/>
      <c r="DA1680" s="12"/>
      <c r="DB1680" s="12"/>
      <c r="DC1680" s="12"/>
      <c r="DD1680" s="12"/>
      <c r="DE1680" s="12"/>
      <c r="DF1680" s="12"/>
      <c r="DG1680" s="12"/>
      <c r="DH1680" s="12"/>
      <c r="DI1680" s="12"/>
      <c r="DJ1680" s="12"/>
      <c r="DK1680" s="12"/>
      <c r="DL1680" s="12"/>
      <c r="DM1680" s="12"/>
      <c r="DN1680" s="12"/>
      <c r="DO1680" s="12"/>
      <c r="DP1680" s="12"/>
    </row>
    <row r="1681" spans="1:120" s="186" customFormat="1" ht="15" customHeight="1">
      <c r="A1681" s="97" t="s">
        <v>263</v>
      </c>
      <c r="B1681" s="19">
        <v>6</v>
      </c>
      <c r="C1681" s="98">
        <v>10</v>
      </c>
      <c r="D1681" s="24" t="s">
        <v>233</v>
      </c>
      <c r="E1681" s="15" t="s">
        <v>142</v>
      </c>
      <c r="F1681" s="15" t="s">
        <v>264</v>
      </c>
      <c r="G1681" s="179">
        <v>1.23</v>
      </c>
      <c r="H1681" s="179">
        <f t="shared" si="9"/>
        <v>12.3</v>
      </c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  <c r="AE1681" s="12"/>
      <c r="AF1681" s="12"/>
      <c r="AG1681" s="12"/>
      <c r="AH1681" s="12"/>
      <c r="AI1681" s="12"/>
      <c r="AJ1681" s="12"/>
      <c r="AK1681" s="12"/>
      <c r="AL1681" s="12"/>
      <c r="AM1681" s="12"/>
      <c r="AN1681" s="12"/>
      <c r="AO1681" s="12"/>
      <c r="AP1681" s="12"/>
      <c r="AQ1681" s="12"/>
      <c r="AR1681" s="12"/>
      <c r="AS1681" s="12"/>
      <c r="AT1681" s="12"/>
      <c r="AU1681" s="12"/>
      <c r="AV1681" s="12"/>
      <c r="AW1681" s="12"/>
      <c r="AX1681" s="12"/>
      <c r="AY1681" s="12"/>
      <c r="AZ1681" s="12"/>
      <c r="BA1681" s="12"/>
      <c r="BB1681" s="12"/>
      <c r="BC1681" s="12"/>
      <c r="BD1681" s="12"/>
      <c r="BE1681" s="12"/>
      <c r="BF1681" s="12"/>
      <c r="BG1681" s="12"/>
      <c r="BH1681" s="12"/>
      <c r="BI1681" s="12"/>
      <c r="BJ1681" s="12"/>
      <c r="BK1681" s="12"/>
      <c r="BL1681" s="12"/>
      <c r="BM1681" s="12"/>
      <c r="BN1681" s="12"/>
      <c r="BO1681" s="12"/>
      <c r="BP1681" s="12"/>
      <c r="BQ1681" s="12"/>
      <c r="BR1681" s="12"/>
      <c r="BS1681" s="12"/>
      <c r="BT1681" s="12"/>
      <c r="BU1681" s="12"/>
      <c r="BV1681" s="12"/>
      <c r="BW1681" s="12"/>
      <c r="BX1681" s="12"/>
      <c r="BY1681" s="12"/>
      <c r="BZ1681" s="12"/>
      <c r="CA1681" s="12"/>
      <c r="CB1681" s="12"/>
      <c r="CC1681" s="12"/>
      <c r="CD1681" s="12"/>
      <c r="CE1681" s="12"/>
      <c r="CF1681" s="12"/>
      <c r="CG1681" s="12"/>
      <c r="CH1681" s="12"/>
      <c r="CI1681" s="12"/>
      <c r="CJ1681" s="12"/>
      <c r="CK1681" s="12"/>
      <c r="CL1681" s="12"/>
      <c r="CM1681" s="12"/>
      <c r="CN1681" s="12"/>
      <c r="CO1681" s="12"/>
      <c r="CP1681" s="12"/>
      <c r="CQ1681" s="12"/>
      <c r="CR1681" s="12"/>
      <c r="CS1681" s="12"/>
      <c r="CT1681" s="12"/>
      <c r="CU1681" s="12"/>
      <c r="CV1681" s="12"/>
      <c r="CW1681" s="12"/>
      <c r="CX1681" s="12"/>
      <c r="CY1681" s="12"/>
      <c r="CZ1681" s="12"/>
      <c r="DA1681" s="12"/>
      <c r="DB1681" s="12"/>
      <c r="DC1681" s="12"/>
      <c r="DD1681" s="12"/>
      <c r="DE1681" s="12"/>
      <c r="DF1681" s="12"/>
      <c r="DG1681" s="12"/>
      <c r="DH1681" s="12"/>
      <c r="DI1681" s="12"/>
      <c r="DJ1681" s="12"/>
      <c r="DK1681" s="12"/>
      <c r="DL1681" s="12"/>
      <c r="DM1681" s="12"/>
      <c r="DN1681" s="12"/>
      <c r="DO1681" s="12"/>
      <c r="DP1681" s="12"/>
    </row>
    <row r="1682" spans="1:120" s="186" customFormat="1" ht="15" customHeight="1">
      <c r="A1682" s="97" t="s">
        <v>263</v>
      </c>
      <c r="B1682" s="19">
        <v>9</v>
      </c>
      <c r="C1682" s="98">
        <v>10</v>
      </c>
      <c r="D1682" s="24" t="s">
        <v>233</v>
      </c>
      <c r="E1682" s="15" t="s">
        <v>142</v>
      </c>
      <c r="F1682" s="15" t="s">
        <v>264</v>
      </c>
      <c r="G1682" s="179">
        <v>1.36</v>
      </c>
      <c r="H1682" s="179">
        <f t="shared" si="9"/>
        <v>13.600000000000001</v>
      </c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  <c r="AE1682" s="12"/>
      <c r="AF1682" s="12"/>
      <c r="AG1682" s="12"/>
      <c r="AH1682" s="12"/>
      <c r="AI1682" s="12"/>
      <c r="AJ1682" s="12"/>
      <c r="AK1682" s="12"/>
      <c r="AL1682" s="12"/>
      <c r="AM1682" s="12"/>
      <c r="AN1682" s="12"/>
      <c r="AO1682" s="12"/>
      <c r="AP1682" s="12"/>
      <c r="AQ1682" s="12"/>
      <c r="AR1682" s="12"/>
      <c r="AS1682" s="12"/>
      <c r="AT1682" s="12"/>
      <c r="AU1682" s="12"/>
      <c r="AV1682" s="12"/>
      <c r="AW1682" s="12"/>
      <c r="AX1682" s="12"/>
      <c r="AY1682" s="12"/>
      <c r="AZ1682" s="12"/>
      <c r="BA1682" s="12"/>
      <c r="BB1682" s="12"/>
      <c r="BC1682" s="12"/>
      <c r="BD1682" s="12"/>
      <c r="BE1682" s="12"/>
      <c r="BF1682" s="12"/>
      <c r="BG1682" s="12"/>
      <c r="BH1682" s="12"/>
      <c r="BI1682" s="12"/>
      <c r="BJ1682" s="12"/>
      <c r="BK1682" s="12"/>
      <c r="BL1682" s="12"/>
      <c r="BM1682" s="12"/>
      <c r="BN1682" s="12"/>
      <c r="BO1682" s="12"/>
      <c r="BP1682" s="12"/>
      <c r="BQ1682" s="12"/>
      <c r="BR1682" s="12"/>
      <c r="BS1682" s="12"/>
      <c r="BT1682" s="12"/>
      <c r="BU1682" s="12"/>
      <c r="BV1682" s="12"/>
      <c r="BW1682" s="12"/>
      <c r="BX1682" s="12"/>
      <c r="BY1682" s="12"/>
      <c r="BZ1682" s="12"/>
      <c r="CA1682" s="12"/>
      <c r="CB1682" s="12"/>
      <c r="CC1682" s="12"/>
      <c r="CD1682" s="12"/>
      <c r="CE1682" s="12"/>
      <c r="CF1682" s="12"/>
      <c r="CG1682" s="12"/>
      <c r="CH1682" s="12"/>
      <c r="CI1682" s="12"/>
      <c r="CJ1682" s="12"/>
      <c r="CK1682" s="12"/>
      <c r="CL1682" s="12"/>
      <c r="CM1682" s="12"/>
      <c r="CN1682" s="12"/>
      <c r="CO1682" s="12"/>
      <c r="CP1682" s="12"/>
      <c r="CQ1682" s="12"/>
      <c r="CR1682" s="12"/>
      <c r="CS1682" s="12"/>
      <c r="CT1682" s="12"/>
      <c r="CU1682" s="12"/>
      <c r="CV1682" s="12"/>
      <c r="CW1682" s="12"/>
      <c r="CX1682" s="12"/>
      <c r="CY1682" s="12"/>
      <c r="CZ1682" s="12"/>
      <c r="DA1682" s="12"/>
      <c r="DB1682" s="12"/>
      <c r="DC1682" s="12"/>
      <c r="DD1682" s="12"/>
      <c r="DE1682" s="12"/>
      <c r="DF1682" s="12"/>
      <c r="DG1682" s="12"/>
      <c r="DH1682" s="12"/>
      <c r="DI1682" s="12"/>
      <c r="DJ1682" s="12"/>
      <c r="DK1682" s="12"/>
      <c r="DL1682" s="12"/>
      <c r="DM1682" s="12"/>
      <c r="DN1682" s="12"/>
      <c r="DO1682" s="12"/>
      <c r="DP1682" s="12"/>
    </row>
    <row r="1683" spans="1:120" s="186" customFormat="1" ht="15" customHeight="1">
      <c r="A1683" s="97" t="s">
        <v>263</v>
      </c>
      <c r="B1683" s="19">
        <v>12</v>
      </c>
      <c r="C1683" s="98">
        <v>10</v>
      </c>
      <c r="D1683" s="24" t="s">
        <v>233</v>
      </c>
      <c r="E1683" s="15" t="s">
        <v>142</v>
      </c>
      <c r="F1683" s="15" t="s">
        <v>264</v>
      </c>
      <c r="G1683" s="179">
        <v>1.47</v>
      </c>
      <c r="H1683" s="179">
        <f t="shared" si="9"/>
        <v>14.7</v>
      </c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  <c r="AE1683" s="12"/>
      <c r="AF1683" s="12"/>
      <c r="AG1683" s="12"/>
      <c r="AH1683" s="12"/>
      <c r="AI1683" s="12"/>
      <c r="AJ1683" s="12"/>
      <c r="AK1683" s="12"/>
      <c r="AL1683" s="12"/>
      <c r="AM1683" s="12"/>
      <c r="AN1683" s="12"/>
      <c r="AO1683" s="12"/>
      <c r="AP1683" s="12"/>
      <c r="AQ1683" s="12"/>
      <c r="AR1683" s="12"/>
      <c r="AS1683" s="12"/>
      <c r="AT1683" s="12"/>
      <c r="AU1683" s="12"/>
      <c r="AV1683" s="12"/>
      <c r="AW1683" s="12"/>
      <c r="AX1683" s="12"/>
      <c r="AY1683" s="12"/>
      <c r="AZ1683" s="12"/>
      <c r="BA1683" s="12"/>
      <c r="BB1683" s="12"/>
      <c r="BC1683" s="12"/>
      <c r="BD1683" s="12"/>
      <c r="BE1683" s="12"/>
      <c r="BF1683" s="12"/>
      <c r="BG1683" s="12"/>
      <c r="BH1683" s="12"/>
      <c r="BI1683" s="12"/>
      <c r="BJ1683" s="12"/>
      <c r="BK1683" s="12"/>
      <c r="BL1683" s="12"/>
      <c r="BM1683" s="12"/>
      <c r="BN1683" s="12"/>
      <c r="BO1683" s="12"/>
      <c r="BP1683" s="12"/>
      <c r="BQ1683" s="12"/>
      <c r="BR1683" s="12"/>
      <c r="BS1683" s="12"/>
      <c r="BT1683" s="12"/>
      <c r="BU1683" s="12"/>
      <c r="BV1683" s="12"/>
      <c r="BW1683" s="12"/>
      <c r="BX1683" s="12"/>
      <c r="BY1683" s="12"/>
      <c r="BZ1683" s="12"/>
      <c r="CA1683" s="12"/>
      <c r="CB1683" s="12"/>
      <c r="CC1683" s="12"/>
      <c r="CD1683" s="12"/>
      <c r="CE1683" s="12"/>
      <c r="CF1683" s="12"/>
      <c r="CG1683" s="12"/>
      <c r="CH1683" s="12"/>
      <c r="CI1683" s="12"/>
      <c r="CJ1683" s="12"/>
      <c r="CK1683" s="12"/>
      <c r="CL1683" s="12"/>
      <c r="CM1683" s="12"/>
      <c r="CN1683" s="12"/>
      <c r="CO1683" s="12"/>
      <c r="CP1683" s="12"/>
      <c r="CQ1683" s="12"/>
      <c r="CR1683" s="12"/>
      <c r="CS1683" s="12"/>
      <c r="CT1683" s="12"/>
      <c r="CU1683" s="12"/>
      <c r="CV1683" s="12"/>
      <c r="CW1683" s="12"/>
      <c r="CX1683" s="12"/>
      <c r="CY1683" s="12"/>
      <c r="CZ1683" s="12"/>
      <c r="DA1683" s="12"/>
      <c r="DB1683" s="12"/>
      <c r="DC1683" s="12"/>
      <c r="DD1683" s="12"/>
      <c r="DE1683" s="12"/>
      <c r="DF1683" s="12"/>
      <c r="DG1683" s="12"/>
      <c r="DH1683" s="12"/>
      <c r="DI1683" s="12"/>
      <c r="DJ1683" s="12"/>
      <c r="DK1683" s="12"/>
      <c r="DL1683" s="12"/>
      <c r="DM1683" s="12"/>
      <c r="DN1683" s="12"/>
      <c r="DO1683" s="12"/>
      <c r="DP1683" s="12"/>
    </row>
    <row r="1684" spans="1:120" s="186" customFormat="1" ht="15" customHeight="1">
      <c r="A1684" s="97" t="s">
        <v>263</v>
      </c>
      <c r="B1684" s="19">
        <v>18</v>
      </c>
      <c r="C1684" s="98">
        <v>10</v>
      </c>
      <c r="D1684" s="24" t="s">
        <v>233</v>
      </c>
      <c r="E1684" s="15" t="s">
        <v>142</v>
      </c>
      <c r="F1684" s="15" t="s">
        <v>264</v>
      </c>
      <c r="G1684" s="179">
        <v>1.9</v>
      </c>
      <c r="H1684" s="179">
        <f t="shared" si="9"/>
        <v>19</v>
      </c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  <c r="AE1684" s="12"/>
      <c r="AF1684" s="12"/>
      <c r="AG1684" s="12"/>
      <c r="AH1684" s="12"/>
      <c r="AI1684" s="12"/>
      <c r="AJ1684" s="12"/>
      <c r="AK1684" s="12"/>
      <c r="AL1684" s="12"/>
      <c r="AM1684" s="12"/>
      <c r="AN1684" s="12"/>
      <c r="AO1684" s="12"/>
      <c r="AP1684" s="12"/>
      <c r="AQ1684" s="12"/>
      <c r="AR1684" s="12"/>
      <c r="AS1684" s="12"/>
      <c r="AT1684" s="12"/>
      <c r="AU1684" s="12"/>
      <c r="AV1684" s="12"/>
      <c r="AW1684" s="12"/>
      <c r="AX1684" s="12"/>
      <c r="AY1684" s="12"/>
      <c r="AZ1684" s="12"/>
      <c r="BA1684" s="12"/>
      <c r="BB1684" s="12"/>
      <c r="BC1684" s="12"/>
      <c r="BD1684" s="12"/>
      <c r="BE1684" s="12"/>
      <c r="BF1684" s="12"/>
      <c r="BG1684" s="12"/>
      <c r="BH1684" s="12"/>
      <c r="BI1684" s="12"/>
      <c r="BJ1684" s="12"/>
      <c r="BK1684" s="12"/>
      <c r="BL1684" s="12"/>
      <c r="BM1684" s="12"/>
      <c r="BN1684" s="12"/>
      <c r="BO1684" s="12"/>
      <c r="BP1684" s="12"/>
      <c r="BQ1684" s="12"/>
      <c r="BR1684" s="12"/>
      <c r="BS1684" s="12"/>
      <c r="BT1684" s="12"/>
      <c r="BU1684" s="12"/>
      <c r="BV1684" s="12"/>
      <c r="BW1684" s="12"/>
      <c r="BX1684" s="12"/>
      <c r="BY1684" s="12"/>
      <c r="BZ1684" s="12"/>
      <c r="CA1684" s="12"/>
      <c r="CB1684" s="12"/>
      <c r="CC1684" s="12"/>
      <c r="CD1684" s="12"/>
      <c r="CE1684" s="12"/>
      <c r="CF1684" s="12"/>
      <c r="CG1684" s="12"/>
      <c r="CH1684" s="12"/>
      <c r="CI1684" s="12"/>
      <c r="CJ1684" s="12"/>
      <c r="CK1684" s="12"/>
      <c r="CL1684" s="12"/>
      <c r="CM1684" s="12"/>
      <c r="CN1684" s="12"/>
      <c r="CO1684" s="12"/>
      <c r="CP1684" s="12"/>
      <c r="CQ1684" s="12"/>
      <c r="CR1684" s="12"/>
      <c r="CS1684" s="12"/>
      <c r="CT1684" s="12"/>
      <c r="CU1684" s="12"/>
      <c r="CV1684" s="12"/>
      <c r="CW1684" s="12"/>
      <c r="CX1684" s="12"/>
      <c r="CY1684" s="12"/>
      <c r="CZ1684" s="12"/>
      <c r="DA1684" s="12"/>
      <c r="DB1684" s="12"/>
      <c r="DC1684" s="12"/>
      <c r="DD1684" s="12"/>
      <c r="DE1684" s="12"/>
      <c r="DF1684" s="12"/>
      <c r="DG1684" s="12"/>
      <c r="DH1684" s="12"/>
      <c r="DI1684" s="12"/>
      <c r="DJ1684" s="12"/>
      <c r="DK1684" s="12"/>
      <c r="DL1684" s="12"/>
      <c r="DM1684" s="12"/>
      <c r="DN1684" s="12"/>
      <c r="DO1684" s="12"/>
      <c r="DP1684" s="12"/>
    </row>
    <row r="1685" spans="1:120" s="186" customFormat="1" ht="15" customHeight="1">
      <c r="A1685" s="97" t="s">
        <v>263</v>
      </c>
      <c r="B1685" s="19">
        <v>24</v>
      </c>
      <c r="C1685" s="98">
        <v>10</v>
      </c>
      <c r="D1685" s="24" t="s">
        <v>233</v>
      </c>
      <c r="E1685" s="15" t="s">
        <v>142</v>
      </c>
      <c r="F1685" s="15" t="s">
        <v>264</v>
      </c>
      <c r="G1685" s="179">
        <v>2.36</v>
      </c>
      <c r="H1685" s="179">
        <f t="shared" si="9"/>
        <v>23.599999999999998</v>
      </c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  <c r="AE1685" s="12"/>
      <c r="AF1685" s="12"/>
      <c r="AG1685" s="12"/>
      <c r="AH1685" s="12"/>
      <c r="AI1685" s="12"/>
      <c r="AJ1685" s="12"/>
      <c r="AK1685" s="12"/>
      <c r="AL1685" s="12"/>
      <c r="AM1685" s="12"/>
      <c r="AN1685" s="12"/>
      <c r="AO1685" s="12"/>
      <c r="AP1685" s="12"/>
      <c r="AQ1685" s="12"/>
      <c r="AR1685" s="12"/>
      <c r="AS1685" s="12"/>
      <c r="AT1685" s="12"/>
      <c r="AU1685" s="12"/>
      <c r="AV1685" s="12"/>
      <c r="AW1685" s="12"/>
      <c r="AX1685" s="12"/>
      <c r="AY1685" s="12"/>
      <c r="AZ1685" s="12"/>
      <c r="BA1685" s="12"/>
      <c r="BB1685" s="12"/>
      <c r="BC1685" s="12"/>
      <c r="BD1685" s="12"/>
      <c r="BE1685" s="12"/>
      <c r="BF1685" s="12"/>
      <c r="BG1685" s="12"/>
      <c r="BH1685" s="12"/>
      <c r="BI1685" s="12"/>
      <c r="BJ1685" s="12"/>
      <c r="BK1685" s="12"/>
      <c r="BL1685" s="12"/>
      <c r="BM1685" s="12"/>
      <c r="BN1685" s="12"/>
      <c r="BO1685" s="12"/>
      <c r="BP1685" s="12"/>
      <c r="BQ1685" s="12"/>
      <c r="BR1685" s="12"/>
      <c r="BS1685" s="12"/>
      <c r="BT1685" s="12"/>
      <c r="BU1685" s="12"/>
      <c r="BV1685" s="12"/>
      <c r="BW1685" s="12"/>
      <c r="BX1685" s="12"/>
      <c r="BY1685" s="12"/>
      <c r="BZ1685" s="12"/>
      <c r="CA1685" s="12"/>
      <c r="CB1685" s="12"/>
      <c r="CC1685" s="12"/>
      <c r="CD1685" s="12"/>
      <c r="CE1685" s="12"/>
      <c r="CF1685" s="12"/>
      <c r="CG1685" s="12"/>
      <c r="CH1685" s="12"/>
      <c r="CI1685" s="12"/>
      <c r="CJ1685" s="12"/>
      <c r="CK1685" s="12"/>
      <c r="CL1685" s="12"/>
      <c r="CM1685" s="12"/>
      <c r="CN1685" s="12"/>
      <c r="CO1685" s="12"/>
      <c r="CP1685" s="12"/>
      <c r="CQ1685" s="12"/>
      <c r="CR1685" s="12"/>
      <c r="CS1685" s="12"/>
      <c r="CT1685" s="12"/>
      <c r="CU1685" s="12"/>
      <c r="CV1685" s="12"/>
      <c r="CW1685" s="12"/>
      <c r="CX1685" s="12"/>
      <c r="CY1685" s="12"/>
      <c r="CZ1685" s="12"/>
      <c r="DA1685" s="12"/>
      <c r="DB1685" s="12"/>
      <c r="DC1685" s="12"/>
      <c r="DD1685" s="12"/>
      <c r="DE1685" s="12"/>
      <c r="DF1685" s="12"/>
      <c r="DG1685" s="12"/>
      <c r="DH1685" s="12"/>
      <c r="DI1685" s="12"/>
      <c r="DJ1685" s="12"/>
      <c r="DK1685" s="12"/>
      <c r="DL1685" s="12"/>
      <c r="DM1685" s="12"/>
      <c r="DN1685" s="12"/>
      <c r="DO1685" s="12"/>
      <c r="DP1685" s="12"/>
    </row>
    <row r="1686" spans="1:120" s="186" customFormat="1" ht="15" customHeight="1">
      <c r="A1686" s="97" t="s">
        <v>263</v>
      </c>
      <c r="B1686" s="19">
        <v>36</v>
      </c>
      <c r="C1686" s="98">
        <v>10</v>
      </c>
      <c r="D1686" s="24" t="s">
        <v>233</v>
      </c>
      <c r="E1686" s="15" t="s">
        <v>142</v>
      </c>
      <c r="F1686" s="15" t="s">
        <v>264</v>
      </c>
      <c r="G1686" s="179">
        <v>3.92</v>
      </c>
      <c r="H1686" s="179">
        <f t="shared" si="9"/>
        <v>39.200000000000003</v>
      </c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  <c r="AE1686" s="12"/>
      <c r="AF1686" s="12"/>
      <c r="AG1686" s="12"/>
      <c r="AH1686" s="12"/>
      <c r="AI1686" s="12"/>
      <c r="AJ1686" s="12"/>
      <c r="AK1686" s="12"/>
      <c r="AL1686" s="12"/>
      <c r="AM1686" s="12"/>
      <c r="AN1686" s="12"/>
      <c r="AO1686" s="12"/>
      <c r="AP1686" s="12"/>
      <c r="AQ1686" s="12"/>
      <c r="AR1686" s="12"/>
      <c r="AS1686" s="12"/>
      <c r="AT1686" s="12"/>
      <c r="AU1686" s="12"/>
      <c r="AV1686" s="12"/>
      <c r="AW1686" s="12"/>
      <c r="AX1686" s="12"/>
      <c r="AY1686" s="12"/>
      <c r="AZ1686" s="12"/>
      <c r="BA1686" s="12"/>
      <c r="BB1686" s="12"/>
      <c r="BC1686" s="12"/>
      <c r="BD1686" s="12"/>
      <c r="BE1686" s="12"/>
      <c r="BF1686" s="12"/>
      <c r="BG1686" s="12"/>
      <c r="BH1686" s="12"/>
      <c r="BI1686" s="12"/>
      <c r="BJ1686" s="12"/>
      <c r="BK1686" s="12"/>
      <c r="BL1686" s="12"/>
      <c r="BM1686" s="12"/>
      <c r="BN1686" s="12"/>
      <c r="BO1686" s="12"/>
      <c r="BP1686" s="12"/>
      <c r="BQ1686" s="12"/>
      <c r="BR1686" s="12"/>
      <c r="BS1686" s="12"/>
      <c r="BT1686" s="12"/>
      <c r="BU1686" s="12"/>
      <c r="BV1686" s="12"/>
      <c r="BW1686" s="12"/>
      <c r="BX1686" s="12"/>
      <c r="BY1686" s="12"/>
      <c r="BZ1686" s="12"/>
      <c r="CA1686" s="12"/>
      <c r="CB1686" s="12"/>
      <c r="CC1686" s="12"/>
      <c r="CD1686" s="12"/>
      <c r="CE1686" s="12"/>
      <c r="CF1686" s="12"/>
      <c r="CG1686" s="12"/>
      <c r="CH1686" s="12"/>
      <c r="CI1686" s="12"/>
      <c r="CJ1686" s="12"/>
      <c r="CK1686" s="12"/>
      <c r="CL1686" s="12"/>
      <c r="CM1686" s="12"/>
      <c r="CN1686" s="12"/>
      <c r="CO1686" s="12"/>
      <c r="CP1686" s="12"/>
      <c r="CQ1686" s="12"/>
      <c r="CR1686" s="12"/>
      <c r="CS1686" s="12"/>
      <c r="CT1686" s="12"/>
      <c r="CU1686" s="12"/>
      <c r="CV1686" s="12"/>
      <c r="CW1686" s="12"/>
      <c r="CX1686" s="12"/>
      <c r="CY1686" s="12"/>
      <c r="CZ1686" s="12"/>
      <c r="DA1686" s="12"/>
      <c r="DB1686" s="12"/>
      <c r="DC1686" s="12"/>
      <c r="DD1686" s="12"/>
      <c r="DE1686" s="12"/>
      <c r="DF1686" s="12"/>
      <c r="DG1686" s="12"/>
      <c r="DH1686" s="12"/>
      <c r="DI1686" s="12"/>
      <c r="DJ1686" s="12"/>
      <c r="DK1686" s="12"/>
      <c r="DL1686" s="12"/>
      <c r="DM1686" s="12"/>
      <c r="DN1686" s="12"/>
      <c r="DO1686" s="12"/>
      <c r="DP1686" s="12"/>
    </row>
    <row r="1687" spans="1:120" s="186" customFormat="1" ht="15" customHeight="1">
      <c r="A1687" s="97" t="s">
        <v>263</v>
      </c>
      <c r="B1687" s="19">
        <v>48</v>
      </c>
      <c r="C1687" s="98">
        <v>10</v>
      </c>
      <c r="D1687" s="24" t="s">
        <v>233</v>
      </c>
      <c r="E1687" s="15" t="s">
        <v>142</v>
      </c>
      <c r="F1687" s="15" t="s">
        <v>264</v>
      </c>
      <c r="G1687" s="179">
        <v>5.76</v>
      </c>
      <c r="H1687" s="179">
        <f t="shared" si="9"/>
        <v>57.599999999999994</v>
      </c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  <c r="AE1687" s="12"/>
      <c r="AF1687" s="12"/>
      <c r="AG1687" s="12"/>
      <c r="AH1687" s="12"/>
      <c r="AI1687" s="12"/>
      <c r="AJ1687" s="12"/>
      <c r="AK1687" s="12"/>
      <c r="AL1687" s="12"/>
      <c r="AM1687" s="12"/>
      <c r="AN1687" s="12"/>
      <c r="AO1687" s="12"/>
      <c r="AP1687" s="12"/>
      <c r="AQ1687" s="12"/>
      <c r="AR1687" s="12"/>
      <c r="AS1687" s="12"/>
      <c r="AT1687" s="12"/>
      <c r="AU1687" s="12"/>
      <c r="AV1687" s="12"/>
      <c r="AW1687" s="12"/>
      <c r="AX1687" s="12"/>
      <c r="AY1687" s="12"/>
      <c r="AZ1687" s="12"/>
      <c r="BA1687" s="12"/>
      <c r="BB1687" s="12"/>
      <c r="BC1687" s="12"/>
      <c r="BD1687" s="12"/>
      <c r="BE1687" s="12"/>
      <c r="BF1687" s="12"/>
      <c r="BG1687" s="12"/>
      <c r="BH1687" s="12"/>
      <c r="BI1687" s="12"/>
      <c r="BJ1687" s="12"/>
      <c r="BK1687" s="12"/>
      <c r="BL1687" s="12"/>
      <c r="BM1687" s="12"/>
      <c r="BN1687" s="12"/>
      <c r="BO1687" s="12"/>
      <c r="BP1687" s="12"/>
      <c r="BQ1687" s="12"/>
      <c r="BR1687" s="12"/>
      <c r="BS1687" s="12"/>
      <c r="BT1687" s="12"/>
      <c r="BU1687" s="12"/>
      <c r="BV1687" s="12"/>
      <c r="BW1687" s="12"/>
      <c r="BX1687" s="12"/>
      <c r="BY1687" s="12"/>
      <c r="BZ1687" s="12"/>
      <c r="CA1687" s="12"/>
      <c r="CB1687" s="12"/>
      <c r="CC1687" s="12"/>
      <c r="CD1687" s="12"/>
      <c r="CE1687" s="12"/>
      <c r="CF1687" s="12"/>
      <c r="CG1687" s="12"/>
      <c r="CH1687" s="12"/>
      <c r="CI1687" s="12"/>
      <c r="CJ1687" s="12"/>
      <c r="CK1687" s="12"/>
      <c r="CL1687" s="12"/>
      <c r="CM1687" s="12"/>
      <c r="CN1687" s="12"/>
      <c r="CO1687" s="12"/>
      <c r="CP1687" s="12"/>
      <c r="CQ1687" s="12"/>
      <c r="CR1687" s="12"/>
      <c r="CS1687" s="12"/>
      <c r="CT1687" s="12"/>
      <c r="CU1687" s="12"/>
      <c r="CV1687" s="12"/>
      <c r="CW1687" s="12"/>
      <c r="CX1687" s="12"/>
      <c r="CY1687" s="12"/>
      <c r="CZ1687" s="12"/>
      <c r="DA1687" s="12"/>
      <c r="DB1687" s="12"/>
      <c r="DC1687" s="12"/>
      <c r="DD1687" s="12"/>
      <c r="DE1687" s="12"/>
      <c r="DF1687" s="12"/>
      <c r="DG1687" s="12"/>
      <c r="DH1687" s="12"/>
      <c r="DI1687" s="12"/>
      <c r="DJ1687" s="12"/>
      <c r="DK1687" s="12"/>
      <c r="DL1687" s="12"/>
      <c r="DM1687" s="12"/>
      <c r="DN1687" s="12"/>
      <c r="DO1687" s="12"/>
      <c r="DP1687" s="12"/>
    </row>
    <row r="1688" spans="1:120" s="186" customFormat="1" ht="15" customHeight="1">
      <c r="A1688" s="97" t="s">
        <v>260</v>
      </c>
      <c r="B1688" s="19">
        <v>4</v>
      </c>
      <c r="C1688" s="162">
        <v>40</v>
      </c>
      <c r="D1688" s="24" t="s">
        <v>233</v>
      </c>
      <c r="E1688" s="15" t="s">
        <v>261</v>
      </c>
      <c r="F1688" s="15" t="s">
        <v>262</v>
      </c>
      <c r="G1688" s="179">
        <v>0.68</v>
      </c>
      <c r="H1688" s="179">
        <f t="shared" si="9"/>
        <v>27.200000000000003</v>
      </c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  <c r="AE1688" s="12"/>
      <c r="AF1688" s="12"/>
      <c r="AG1688" s="12"/>
      <c r="AH1688" s="12"/>
      <c r="AI1688" s="12"/>
      <c r="AJ1688" s="12"/>
      <c r="AK1688" s="12"/>
      <c r="AL1688" s="12"/>
      <c r="AM1688" s="12"/>
      <c r="AN1688" s="12"/>
      <c r="AO1688" s="12"/>
      <c r="AP1688" s="12"/>
      <c r="AQ1688" s="12"/>
      <c r="AR1688" s="12"/>
      <c r="AS1688" s="12"/>
      <c r="AT1688" s="12"/>
      <c r="AU1688" s="12"/>
      <c r="AV1688" s="12"/>
      <c r="AW1688" s="12"/>
      <c r="AX1688" s="12"/>
      <c r="AY1688" s="12"/>
      <c r="AZ1688" s="12"/>
      <c r="BA1688" s="12"/>
      <c r="BB1688" s="12"/>
      <c r="BC1688" s="12"/>
      <c r="BD1688" s="12"/>
      <c r="BE1688" s="12"/>
      <c r="BF1688" s="12"/>
      <c r="BG1688" s="12"/>
      <c r="BH1688" s="12"/>
      <c r="BI1688" s="12"/>
      <c r="BJ1688" s="12"/>
      <c r="BK1688" s="12"/>
      <c r="BL1688" s="12"/>
      <c r="BM1688" s="12"/>
      <c r="BN1688" s="12"/>
      <c r="BO1688" s="12"/>
      <c r="BP1688" s="12"/>
      <c r="BQ1688" s="12"/>
      <c r="BR1688" s="12"/>
      <c r="BS1688" s="12"/>
      <c r="BT1688" s="12"/>
      <c r="BU1688" s="12"/>
      <c r="BV1688" s="12"/>
      <c r="BW1688" s="12"/>
      <c r="BX1688" s="12"/>
      <c r="BY1688" s="12"/>
      <c r="BZ1688" s="12"/>
      <c r="CA1688" s="12"/>
      <c r="CB1688" s="12"/>
      <c r="CC1688" s="12"/>
      <c r="CD1688" s="12"/>
      <c r="CE1688" s="12"/>
      <c r="CF1688" s="12"/>
      <c r="CG1688" s="12"/>
      <c r="CH1688" s="12"/>
      <c r="CI1688" s="12"/>
      <c r="CJ1688" s="12"/>
      <c r="CK1688" s="12"/>
      <c r="CL1688" s="12"/>
      <c r="CM1688" s="12"/>
      <c r="CN1688" s="12"/>
      <c r="CO1688" s="12"/>
      <c r="CP1688" s="12"/>
      <c r="CQ1688" s="12"/>
      <c r="CR1688" s="12"/>
      <c r="CS1688" s="12"/>
      <c r="CT1688" s="12"/>
      <c r="CU1688" s="12"/>
      <c r="CV1688" s="12"/>
      <c r="CW1688" s="12"/>
      <c r="CX1688" s="12"/>
      <c r="CY1688" s="12"/>
      <c r="CZ1688" s="12"/>
      <c r="DA1688" s="12"/>
      <c r="DB1688" s="12"/>
      <c r="DC1688" s="12"/>
      <c r="DD1688" s="12"/>
      <c r="DE1688" s="12"/>
      <c r="DF1688" s="12"/>
      <c r="DG1688" s="12"/>
      <c r="DH1688" s="12"/>
      <c r="DI1688" s="12"/>
      <c r="DJ1688" s="12"/>
      <c r="DK1688" s="12"/>
      <c r="DL1688" s="12"/>
      <c r="DM1688" s="12"/>
      <c r="DN1688" s="12"/>
      <c r="DO1688" s="12"/>
      <c r="DP1688" s="12"/>
    </row>
    <row r="1689" spans="1:120" s="186" customFormat="1" ht="15" customHeight="1">
      <c r="A1689" s="97" t="s">
        <v>260</v>
      </c>
      <c r="B1689" s="19">
        <v>6</v>
      </c>
      <c r="C1689" s="98">
        <v>10</v>
      </c>
      <c r="D1689" s="24" t="s">
        <v>233</v>
      </c>
      <c r="E1689" s="15" t="s">
        <v>261</v>
      </c>
      <c r="F1689" s="15" t="s">
        <v>262</v>
      </c>
      <c r="G1689" s="179">
        <v>0.7</v>
      </c>
      <c r="H1689" s="179">
        <f t="shared" si="9"/>
        <v>7</v>
      </c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  <c r="AE1689" s="12"/>
      <c r="AF1689" s="12"/>
      <c r="AG1689" s="12"/>
      <c r="AH1689" s="12"/>
      <c r="AI1689" s="12"/>
      <c r="AJ1689" s="12"/>
      <c r="AK1689" s="12"/>
      <c r="AL1689" s="12"/>
      <c r="AM1689" s="12"/>
      <c r="AN1689" s="12"/>
      <c r="AO1689" s="12"/>
      <c r="AP1689" s="12"/>
      <c r="AQ1689" s="12"/>
      <c r="AR1689" s="12"/>
      <c r="AS1689" s="12"/>
      <c r="AT1689" s="12"/>
      <c r="AU1689" s="12"/>
      <c r="AV1689" s="12"/>
      <c r="AW1689" s="12"/>
      <c r="AX1689" s="12"/>
      <c r="AY1689" s="12"/>
      <c r="AZ1689" s="12"/>
      <c r="BA1689" s="12"/>
      <c r="BB1689" s="12"/>
      <c r="BC1689" s="12"/>
      <c r="BD1689" s="12"/>
      <c r="BE1689" s="12"/>
      <c r="BF1689" s="12"/>
      <c r="BG1689" s="12"/>
      <c r="BH1689" s="12"/>
      <c r="BI1689" s="12"/>
      <c r="BJ1689" s="12"/>
      <c r="BK1689" s="12"/>
      <c r="BL1689" s="12"/>
      <c r="BM1689" s="12"/>
      <c r="BN1689" s="12"/>
      <c r="BO1689" s="12"/>
      <c r="BP1689" s="12"/>
      <c r="BQ1689" s="12"/>
      <c r="BR1689" s="12"/>
      <c r="BS1689" s="12"/>
      <c r="BT1689" s="12"/>
      <c r="BU1689" s="12"/>
      <c r="BV1689" s="12"/>
      <c r="BW1689" s="12"/>
      <c r="BX1689" s="12"/>
      <c r="BY1689" s="12"/>
      <c r="BZ1689" s="12"/>
      <c r="CA1689" s="12"/>
      <c r="CB1689" s="12"/>
      <c r="CC1689" s="12"/>
      <c r="CD1689" s="12"/>
      <c r="CE1689" s="12"/>
      <c r="CF1689" s="12"/>
      <c r="CG1689" s="12"/>
      <c r="CH1689" s="12"/>
      <c r="CI1689" s="12"/>
      <c r="CJ1689" s="12"/>
      <c r="CK1689" s="12"/>
      <c r="CL1689" s="12"/>
      <c r="CM1689" s="12"/>
      <c r="CN1689" s="12"/>
      <c r="CO1689" s="12"/>
      <c r="CP1689" s="12"/>
      <c r="CQ1689" s="12"/>
      <c r="CR1689" s="12"/>
      <c r="CS1689" s="12"/>
      <c r="CT1689" s="12"/>
      <c r="CU1689" s="12"/>
      <c r="CV1689" s="12"/>
      <c r="CW1689" s="12"/>
      <c r="CX1689" s="12"/>
      <c r="CY1689" s="12"/>
      <c r="CZ1689" s="12"/>
      <c r="DA1689" s="12"/>
      <c r="DB1689" s="12"/>
      <c r="DC1689" s="12"/>
      <c r="DD1689" s="12"/>
      <c r="DE1689" s="12"/>
      <c r="DF1689" s="12"/>
      <c r="DG1689" s="12"/>
      <c r="DH1689" s="12"/>
      <c r="DI1689" s="12"/>
      <c r="DJ1689" s="12"/>
      <c r="DK1689" s="12"/>
      <c r="DL1689" s="12"/>
      <c r="DM1689" s="12"/>
      <c r="DN1689" s="12"/>
      <c r="DO1689" s="12"/>
      <c r="DP1689" s="12"/>
    </row>
    <row r="1690" spans="1:120" s="186" customFormat="1" ht="15" customHeight="1">
      <c r="A1690" s="97" t="s">
        <v>260</v>
      </c>
      <c r="B1690" s="19">
        <v>9</v>
      </c>
      <c r="C1690" s="98">
        <v>10</v>
      </c>
      <c r="D1690" s="24" t="s">
        <v>233</v>
      </c>
      <c r="E1690" s="15" t="s">
        <v>261</v>
      </c>
      <c r="F1690" s="15" t="s">
        <v>262</v>
      </c>
      <c r="G1690" s="179">
        <v>0.79</v>
      </c>
      <c r="H1690" s="179">
        <f t="shared" si="9"/>
        <v>7.9</v>
      </c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  <c r="AE1690" s="12"/>
      <c r="AF1690" s="12"/>
      <c r="AG1690" s="12"/>
      <c r="AH1690" s="12"/>
      <c r="AI1690" s="12"/>
      <c r="AJ1690" s="12"/>
      <c r="AK1690" s="12"/>
      <c r="AL1690" s="12"/>
      <c r="AM1690" s="12"/>
      <c r="AN1690" s="12"/>
      <c r="AO1690" s="12"/>
      <c r="AP1690" s="12"/>
      <c r="AQ1690" s="12"/>
      <c r="AR1690" s="12"/>
      <c r="AS1690" s="12"/>
      <c r="AT1690" s="12"/>
      <c r="AU1690" s="12"/>
      <c r="AV1690" s="12"/>
      <c r="AW1690" s="12"/>
      <c r="AX1690" s="12"/>
      <c r="AY1690" s="12"/>
      <c r="AZ1690" s="12"/>
      <c r="BA1690" s="12"/>
      <c r="BB1690" s="12"/>
      <c r="BC1690" s="12"/>
      <c r="BD1690" s="12"/>
      <c r="BE1690" s="12"/>
      <c r="BF1690" s="12"/>
      <c r="BG1690" s="12"/>
      <c r="BH1690" s="12"/>
      <c r="BI1690" s="12"/>
      <c r="BJ1690" s="12"/>
      <c r="BK1690" s="12"/>
      <c r="BL1690" s="12"/>
      <c r="BM1690" s="12"/>
      <c r="BN1690" s="12"/>
      <c r="BO1690" s="12"/>
      <c r="BP1690" s="12"/>
      <c r="BQ1690" s="12"/>
      <c r="BR1690" s="12"/>
      <c r="BS1690" s="12"/>
      <c r="BT1690" s="12"/>
      <c r="BU1690" s="12"/>
      <c r="BV1690" s="12"/>
      <c r="BW1690" s="12"/>
      <c r="BX1690" s="12"/>
      <c r="BY1690" s="12"/>
      <c r="BZ1690" s="12"/>
      <c r="CA1690" s="12"/>
      <c r="CB1690" s="12"/>
      <c r="CC1690" s="12"/>
      <c r="CD1690" s="12"/>
      <c r="CE1690" s="12"/>
      <c r="CF1690" s="12"/>
      <c r="CG1690" s="12"/>
      <c r="CH1690" s="12"/>
      <c r="CI1690" s="12"/>
      <c r="CJ1690" s="12"/>
      <c r="CK1690" s="12"/>
      <c r="CL1690" s="12"/>
      <c r="CM1690" s="12"/>
      <c r="CN1690" s="12"/>
      <c r="CO1690" s="12"/>
      <c r="CP1690" s="12"/>
      <c r="CQ1690" s="12"/>
      <c r="CR1690" s="12"/>
      <c r="CS1690" s="12"/>
      <c r="CT1690" s="12"/>
      <c r="CU1690" s="12"/>
      <c r="CV1690" s="12"/>
      <c r="CW1690" s="12"/>
      <c r="CX1690" s="12"/>
      <c r="CY1690" s="12"/>
      <c r="CZ1690" s="12"/>
      <c r="DA1690" s="12"/>
      <c r="DB1690" s="12"/>
      <c r="DC1690" s="12"/>
      <c r="DD1690" s="12"/>
      <c r="DE1690" s="12"/>
      <c r="DF1690" s="12"/>
      <c r="DG1690" s="12"/>
      <c r="DH1690" s="12"/>
      <c r="DI1690" s="12"/>
      <c r="DJ1690" s="12"/>
      <c r="DK1690" s="12"/>
      <c r="DL1690" s="12"/>
      <c r="DM1690" s="12"/>
      <c r="DN1690" s="12"/>
      <c r="DO1690" s="12"/>
      <c r="DP1690" s="12"/>
    </row>
    <row r="1691" spans="1:120" s="186" customFormat="1" ht="15" customHeight="1">
      <c r="A1691" s="97" t="s">
        <v>260</v>
      </c>
      <c r="B1691" s="19">
        <v>12</v>
      </c>
      <c r="C1691" s="98">
        <v>10</v>
      </c>
      <c r="D1691" s="24" t="s">
        <v>233</v>
      </c>
      <c r="E1691" s="15" t="s">
        <v>261</v>
      </c>
      <c r="F1691" s="15" t="s">
        <v>262</v>
      </c>
      <c r="G1691" s="179">
        <v>0.88</v>
      </c>
      <c r="H1691" s="179">
        <f t="shared" si="9"/>
        <v>8.8000000000000007</v>
      </c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  <c r="AE1691" s="12"/>
      <c r="AF1691" s="12"/>
      <c r="AG1691" s="12"/>
      <c r="AH1691" s="12"/>
      <c r="AI1691" s="12"/>
      <c r="AJ1691" s="12"/>
      <c r="AK1691" s="12"/>
      <c r="AL1691" s="12"/>
      <c r="AM1691" s="12"/>
      <c r="AN1691" s="12"/>
      <c r="AO1691" s="12"/>
      <c r="AP1691" s="12"/>
      <c r="AQ1691" s="12"/>
      <c r="AR1691" s="12"/>
      <c r="AS1691" s="12"/>
      <c r="AT1691" s="12"/>
      <c r="AU1691" s="12"/>
      <c r="AV1691" s="12"/>
      <c r="AW1691" s="12"/>
      <c r="AX1691" s="12"/>
      <c r="AY1691" s="12"/>
      <c r="AZ1691" s="12"/>
      <c r="BA1691" s="12"/>
      <c r="BB1691" s="12"/>
      <c r="BC1691" s="12"/>
      <c r="BD1691" s="12"/>
      <c r="BE1691" s="12"/>
      <c r="BF1691" s="12"/>
      <c r="BG1691" s="12"/>
      <c r="BH1691" s="12"/>
      <c r="BI1691" s="12"/>
      <c r="BJ1691" s="12"/>
      <c r="BK1691" s="12"/>
      <c r="BL1691" s="12"/>
      <c r="BM1691" s="12"/>
      <c r="BN1691" s="12"/>
      <c r="BO1691" s="12"/>
      <c r="BP1691" s="12"/>
      <c r="BQ1691" s="12"/>
      <c r="BR1691" s="12"/>
      <c r="BS1691" s="12"/>
      <c r="BT1691" s="12"/>
      <c r="BU1691" s="12"/>
      <c r="BV1691" s="12"/>
      <c r="BW1691" s="12"/>
      <c r="BX1691" s="12"/>
      <c r="BY1691" s="12"/>
      <c r="BZ1691" s="12"/>
      <c r="CA1691" s="12"/>
      <c r="CB1691" s="12"/>
      <c r="CC1691" s="12"/>
      <c r="CD1691" s="12"/>
      <c r="CE1691" s="12"/>
      <c r="CF1691" s="12"/>
      <c r="CG1691" s="12"/>
      <c r="CH1691" s="12"/>
      <c r="CI1691" s="12"/>
      <c r="CJ1691" s="12"/>
      <c r="CK1691" s="12"/>
      <c r="CL1691" s="12"/>
      <c r="CM1691" s="12"/>
      <c r="CN1691" s="12"/>
      <c r="CO1691" s="12"/>
      <c r="CP1691" s="12"/>
      <c r="CQ1691" s="12"/>
      <c r="CR1691" s="12"/>
      <c r="CS1691" s="12"/>
      <c r="CT1691" s="12"/>
      <c r="CU1691" s="12"/>
      <c r="CV1691" s="12"/>
      <c r="CW1691" s="12"/>
      <c r="CX1691" s="12"/>
      <c r="CY1691" s="12"/>
      <c r="CZ1691" s="12"/>
      <c r="DA1691" s="12"/>
      <c r="DB1691" s="12"/>
      <c r="DC1691" s="12"/>
      <c r="DD1691" s="12"/>
      <c r="DE1691" s="12"/>
      <c r="DF1691" s="12"/>
      <c r="DG1691" s="12"/>
      <c r="DH1691" s="12"/>
      <c r="DI1691" s="12"/>
      <c r="DJ1691" s="12"/>
      <c r="DK1691" s="12"/>
      <c r="DL1691" s="12"/>
      <c r="DM1691" s="12"/>
      <c r="DN1691" s="12"/>
      <c r="DO1691" s="12"/>
      <c r="DP1691" s="12"/>
    </row>
    <row r="1692" spans="1:120" s="186" customFormat="1" ht="15" customHeight="1">
      <c r="A1692" s="97" t="s">
        <v>260</v>
      </c>
      <c r="B1692" s="19">
        <v>18</v>
      </c>
      <c r="C1692" s="98">
        <v>10</v>
      </c>
      <c r="D1692" s="24" t="s">
        <v>233</v>
      </c>
      <c r="E1692" s="15" t="s">
        <v>261</v>
      </c>
      <c r="F1692" s="15" t="s">
        <v>262</v>
      </c>
      <c r="G1692" s="179">
        <v>1.1399999999999999</v>
      </c>
      <c r="H1692" s="179">
        <f t="shared" si="9"/>
        <v>11.399999999999999</v>
      </c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  <c r="AE1692" s="12"/>
      <c r="AF1692" s="12"/>
      <c r="AG1692" s="12"/>
      <c r="AH1692" s="12"/>
      <c r="AI1692" s="12"/>
      <c r="AJ1692" s="12"/>
      <c r="AK1692" s="12"/>
      <c r="AL1692" s="12"/>
      <c r="AM1692" s="12"/>
      <c r="AN1692" s="12"/>
      <c r="AO1692" s="12"/>
      <c r="AP1692" s="12"/>
      <c r="AQ1692" s="12"/>
      <c r="AR1692" s="12"/>
      <c r="AS1692" s="12"/>
      <c r="AT1692" s="12"/>
      <c r="AU1692" s="12"/>
      <c r="AV1692" s="12"/>
      <c r="AW1692" s="12"/>
      <c r="AX1692" s="12"/>
      <c r="AY1692" s="12"/>
      <c r="AZ1692" s="12"/>
      <c r="BA1692" s="12"/>
      <c r="BB1692" s="12"/>
      <c r="BC1692" s="12"/>
      <c r="BD1692" s="12"/>
      <c r="BE1692" s="12"/>
      <c r="BF1692" s="12"/>
      <c r="BG1692" s="12"/>
      <c r="BH1692" s="12"/>
      <c r="BI1692" s="12"/>
      <c r="BJ1692" s="12"/>
      <c r="BK1692" s="12"/>
      <c r="BL1692" s="12"/>
      <c r="BM1692" s="12"/>
      <c r="BN1692" s="12"/>
      <c r="BO1692" s="12"/>
      <c r="BP1692" s="12"/>
      <c r="BQ1692" s="12"/>
      <c r="BR1692" s="12"/>
      <c r="BS1692" s="12"/>
      <c r="BT1692" s="12"/>
      <c r="BU1692" s="12"/>
      <c r="BV1692" s="12"/>
      <c r="BW1692" s="12"/>
      <c r="BX1692" s="12"/>
      <c r="BY1692" s="12"/>
      <c r="BZ1692" s="12"/>
      <c r="CA1692" s="12"/>
      <c r="CB1692" s="12"/>
      <c r="CC1692" s="12"/>
      <c r="CD1692" s="12"/>
      <c r="CE1692" s="12"/>
      <c r="CF1692" s="12"/>
      <c r="CG1692" s="12"/>
      <c r="CH1692" s="12"/>
      <c r="CI1692" s="12"/>
      <c r="CJ1692" s="12"/>
      <c r="CK1692" s="12"/>
      <c r="CL1692" s="12"/>
      <c r="CM1692" s="12"/>
      <c r="CN1692" s="12"/>
      <c r="CO1692" s="12"/>
      <c r="CP1692" s="12"/>
      <c r="CQ1692" s="12"/>
      <c r="CR1692" s="12"/>
      <c r="CS1692" s="12"/>
      <c r="CT1692" s="12"/>
      <c r="CU1692" s="12"/>
      <c r="CV1692" s="12"/>
      <c r="CW1692" s="12"/>
      <c r="CX1692" s="12"/>
      <c r="CY1692" s="12"/>
      <c r="CZ1692" s="12"/>
      <c r="DA1692" s="12"/>
      <c r="DB1692" s="12"/>
      <c r="DC1692" s="12"/>
      <c r="DD1692" s="12"/>
      <c r="DE1692" s="12"/>
      <c r="DF1692" s="12"/>
      <c r="DG1692" s="12"/>
      <c r="DH1692" s="12"/>
      <c r="DI1692" s="12"/>
      <c r="DJ1692" s="12"/>
      <c r="DK1692" s="12"/>
      <c r="DL1692" s="12"/>
      <c r="DM1692" s="12"/>
      <c r="DN1692" s="12"/>
      <c r="DO1692" s="12"/>
      <c r="DP1692" s="12"/>
    </row>
    <row r="1693" spans="1:120" s="186" customFormat="1" ht="15" customHeight="1">
      <c r="A1693" s="97" t="s">
        <v>260</v>
      </c>
      <c r="B1693" s="19">
        <v>24</v>
      </c>
      <c r="C1693" s="98">
        <v>10</v>
      </c>
      <c r="D1693" s="24" t="s">
        <v>233</v>
      </c>
      <c r="E1693" s="15" t="s">
        <v>261</v>
      </c>
      <c r="F1693" s="15" t="s">
        <v>262</v>
      </c>
      <c r="G1693" s="179">
        <v>1.4</v>
      </c>
      <c r="H1693" s="179">
        <f t="shared" si="9"/>
        <v>14</v>
      </c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  <c r="AE1693" s="12"/>
      <c r="AF1693" s="12"/>
      <c r="AG1693" s="12"/>
      <c r="AH1693" s="12"/>
      <c r="AI1693" s="12"/>
      <c r="AJ1693" s="12"/>
      <c r="AK1693" s="12"/>
      <c r="AL1693" s="12"/>
      <c r="AM1693" s="12"/>
      <c r="AN1693" s="12"/>
      <c r="AO1693" s="12"/>
      <c r="AP1693" s="12"/>
      <c r="AQ1693" s="12"/>
      <c r="AR1693" s="12"/>
      <c r="AS1693" s="12"/>
      <c r="AT1693" s="12"/>
      <c r="AU1693" s="12"/>
      <c r="AV1693" s="12"/>
      <c r="AW1693" s="12"/>
      <c r="AX1693" s="12"/>
      <c r="AY1693" s="12"/>
      <c r="AZ1693" s="12"/>
      <c r="BA1693" s="12"/>
      <c r="BB1693" s="12"/>
      <c r="BC1693" s="12"/>
      <c r="BD1693" s="12"/>
      <c r="BE1693" s="12"/>
      <c r="BF1693" s="12"/>
      <c r="BG1693" s="12"/>
      <c r="BH1693" s="12"/>
      <c r="BI1693" s="12"/>
      <c r="BJ1693" s="12"/>
      <c r="BK1693" s="12"/>
      <c r="BL1693" s="12"/>
      <c r="BM1693" s="12"/>
      <c r="BN1693" s="12"/>
      <c r="BO1693" s="12"/>
      <c r="BP1693" s="12"/>
      <c r="BQ1693" s="12"/>
      <c r="BR1693" s="12"/>
      <c r="BS1693" s="12"/>
      <c r="BT1693" s="12"/>
      <c r="BU1693" s="12"/>
      <c r="BV1693" s="12"/>
      <c r="BW1693" s="12"/>
      <c r="BX1693" s="12"/>
      <c r="BY1693" s="12"/>
      <c r="BZ1693" s="12"/>
      <c r="CA1693" s="12"/>
      <c r="CB1693" s="12"/>
      <c r="CC1693" s="12"/>
      <c r="CD1693" s="12"/>
      <c r="CE1693" s="12"/>
      <c r="CF1693" s="12"/>
      <c r="CG1693" s="12"/>
      <c r="CH1693" s="12"/>
      <c r="CI1693" s="12"/>
      <c r="CJ1693" s="12"/>
      <c r="CK1693" s="12"/>
      <c r="CL1693" s="12"/>
      <c r="CM1693" s="12"/>
      <c r="CN1693" s="12"/>
      <c r="CO1693" s="12"/>
      <c r="CP1693" s="12"/>
      <c r="CQ1693" s="12"/>
      <c r="CR1693" s="12"/>
      <c r="CS1693" s="12"/>
      <c r="CT1693" s="12"/>
      <c r="CU1693" s="12"/>
      <c r="CV1693" s="12"/>
      <c r="CW1693" s="12"/>
      <c r="CX1693" s="12"/>
      <c r="CY1693" s="12"/>
      <c r="CZ1693" s="12"/>
      <c r="DA1693" s="12"/>
      <c r="DB1693" s="12"/>
      <c r="DC1693" s="12"/>
      <c r="DD1693" s="12"/>
      <c r="DE1693" s="12"/>
      <c r="DF1693" s="12"/>
      <c r="DG1693" s="12"/>
      <c r="DH1693" s="12"/>
      <c r="DI1693" s="12"/>
      <c r="DJ1693" s="12"/>
      <c r="DK1693" s="12"/>
      <c r="DL1693" s="12"/>
      <c r="DM1693" s="12"/>
      <c r="DN1693" s="12"/>
      <c r="DO1693" s="12"/>
      <c r="DP1693" s="12"/>
    </row>
    <row r="1694" spans="1:120" s="186" customFormat="1" ht="15" customHeight="1">
      <c r="A1694" s="97" t="s">
        <v>260</v>
      </c>
      <c r="B1694" s="19">
        <v>38</v>
      </c>
      <c r="C1694" s="98">
        <v>10</v>
      </c>
      <c r="D1694" s="24" t="s">
        <v>233</v>
      </c>
      <c r="E1694" s="15" t="s">
        <v>261</v>
      </c>
      <c r="F1694" s="15" t="s">
        <v>262</v>
      </c>
      <c r="G1694" s="179">
        <v>2.4</v>
      </c>
      <c r="H1694" s="179">
        <f t="shared" si="9"/>
        <v>24</v>
      </c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  <c r="AE1694" s="12"/>
      <c r="AF1694" s="12"/>
      <c r="AG1694" s="12"/>
      <c r="AH1694" s="12"/>
      <c r="AI1694" s="12"/>
      <c r="AJ1694" s="12"/>
      <c r="AK1694" s="12"/>
      <c r="AL1694" s="12"/>
      <c r="AM1694" s="12"/>
      <c r="AN1694" s="12"/>
      <c r="AO1694" s="12"/>
      <c r="AP1694" s="12"/>
      <c r="AQ1694" s="12"/>
      <c r="AR1694" s="12"/>
      <c r="AS1694" s="12"/>
      <c r="AT1694" s="12"/>
      <c r="AU1694" s="12"/>
      <c r="AV1694" s="12"/>
      <c r="AW1694" s="12"/>
      <c r="AX1694" s="12"/>
      <c r="AY1694" s="12"/>
      <c r="AZ1694" s="12"/>
      <c r="BA1694" s="12"/>
      <c r="BB1694" s="12"/>
      <c r="BC1694" s="12"/>
      <c r="BD1694" s="12"/>
      <c r="BE1694" s="12"/>
      <c r="BF1694" s="12"/>
      <c r="BG1694" s="12"/>
      <c r="BH1694" s="12"/>
      <c r="BI1694" s="12"/>
      <c r="BJ1694" s="12"/>
      <c r="BK1694" s="12"/>
      <c r="BL1694" s="12"/>
      <c r="BM1694" s="12"/>
      <c r="BN1694" s="12"/>
      <c r="BO1694" s="12"/>
      <c r="BP1694" s="12"/>
      <c r="BQ1694" s="12"/>
      <c r="BR1694" s="12"/>
      <c r="BS1694" s="12"/>
      <c r="BT1694" s="12"/>
      <c r="BU1694" s="12"/>
      <c r="BV1694" s="12"/>
      <c r="BW1694" s="12"/>
      <c r="BX1694" s="12"/>
      <c r="BY1694" s="12"/>
      <c r="BZ1694" s="12"/>
      <c r="CA1694" s="12"/>
      <c r="CB1694" s="12"/>
      <c r="CC1694" s="12"/>
      <c r="CD1694" s="12"/>
      <c r="CE1694" s="12"/>
      <c r="CF1694" s="12"/>
      <c r="CG1694" s="12"/>
      <c r="CH1694" s="12"/>
      <c r="CI1694" s="12"/>
      <c r="CJ1694" s="12"/>
      <c r="CK1694" s="12"/>
      <c r="CL1694" s="12"/>
      <c r="CM1694" s="12"/>
      <c r="CN1694" s="12"/>
      <c r="CO1694" s="12"/>
      <c r="CP1694" s="12"/>
      <c r="CQ1694" s="12"/>
      <c r="CR1694" s="12"/>
      <c r="CS1694" s="12"/>
      <c r="CT1694" s="12"/>
      <c r="CU1694" s="12"/>
      <c r="CV1694" s="12"/>
      <c r="CW1694" s="12"/>
      <c r="CX1694" s="12"/>
      <c r="CY1694" s="12"/>
      <c r="CZ1694" s="12"/>
      <c r="DA1694" s="12"/>
      <c r="DB1694" s="12"/>
      <c r="DC1694" s="12"/>
      <c r="DD1694" s="12"/>
      <c r="DE1694" s="12"/>
      <c r="DF1694" s="12"/>
      <c r="DG1694" s="12"/>
      <c r="DH1694" s="12"/>
      <c r="DI1694" s="12"/>
      <c r="DJ1694" s="12"/>
      <c r="DK1694" s="12"/>
      <c r="DL1694" s="12"/>
      <c r="DM1694" s="12"/>
      <c r="DN1694" s="12"/>
      <c r="DO1694" s="12"/>
      <c r="DP1694" s="12"/>
    </row>
    <row r="1695" spans="1:120" s="186" customFormat="1" ht="15" customHeight="1">
      <c r="A1695" s="97" t="s">
        <v>260</v>
      </c>
      <c r="B1695" s="19">
        <v>50</v>
      </c>
      <c r="C1695" s="98">
        <v>10</v>
      </c>
      <c r="D1695" s="24" t="s">
        <v>233</v>
      </c>
      <c r="E1695" s="15" t="s">
        <v>261</v>
      </c>
      <c r="F1695" s="15" t="s">
        <v>262</v>
      </c>
      <c r="G1695" s="179">
        <v>3.1599999999999997</v>
      </c>
      <c r="H1695" s="179">
        <f t="shared" si="9"/>
        <v>31.599999999999998</v>
      </c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  <c r="AE1695" s="12"/>
      <c r="AF1695" s="12"/>
      <c r="AG1695" s="12"/>
      <c r="AH1695" s="12"/>
      <c r="AI1695" s="12"/>
      <c r="AJ1695" s="12"/>
      <c r="AK1695" s="12"/>
      <c r="AL1695" s="12"/>
      <c r="AM1695" s="12"/>
      <c r="AN1695" s="12"/>
      <c r="AO1695" s="12"/>
      <c r="AP1695" s="12"/>
      <c r="AQ1695" s="12"/>
      <c r="AR1695" s="12"/>
      <c r="AS1695" s="12"/>
      <c r="AT1695" s="12"/>
      <c r="AU1695" s="12"/>
      <c r="AV1695" s="12"/>
      <c r="AW1695" s="12"/>
      <c r="AX1695" s="12"/>
      <c r="AY1695" s="12"/>
      <c r="AZ1695" s="12"/>
      <c r="BA1695" s="12"/>
      <c r="BB1695" s="12"/>
      <c r="BC1695" s="12"/>
      <c r="BD1695" s="12"/>
      <c r="BE1695" s="12"/>
      <c r="BF1695" s="12"/>
      <c r="BG1695" s="12"/>
      <c r="BH1695" s="12"/>
      <c r="BI1695" s="12"/>
      <c r="BJ1695" s="12"/>
      <c r="BK1695" s="12"/>
      <c r="BL1695" s="12"/>
      <c r="BM1695" s="12"/>
      <c r="BN1695" s="12"/>
      <c r="BO1695" s="12"/>
      <c r="BP1695" s="12"/>
      <c r="BQ1695" s="12"/>
      <c r="BR1695" s="12"/>
      <c r="BS1695" s="12"/>
      <c r="BT1695" s="12"/>
      <c r="BU1695" s="12"/>
      <c r="BV1695" s="12"/>
      <c r="BW1695" s="12"/>
      <c r="BX1695" s="12"/>
      <c r="BY1695" s="12"/>
      <c r="BZ1695" s="12"/>
      <c r="CA1695" s="12"/>
      <c r="CB1695" s="12"/>
      <c r="CC1695" s="12"/>
      <c r="CD1695" s="12"/>
      <c r="CE1695" s="12"/>
      <c r="CF1695" s="12"/>
      <c r="CG1695" s="12"/>
      <c r="CH1695" s="12"/>
      <c r="CI1695" s="12"/>
      <c r="CJ1695" s="12"/>
      <c r="CK1695" s="12"/>
      <c r="CL1695" s="12"/>
      <c r="CM1695" s="12"/>
      <c r="CN1695" s="12"/>
      <c r="CO1695" s="12"/>
      <c r="CP1695" s="12"/>
      <c r="CQ1695" s="12"/>
      <c r="CR1695" s="12"/>
      <c r="CS1695" s="12"/>
      <c r="CT1695" s="12"/>
      <c r="CU1695" s="12"/>
      <c r="CV1695" s="12"/>
      <c r="CW1695" s="12"/>
      <c r="CX1695" s="12"/>
      <c r="CY1695" s="12"/>
      <c r="CZ1695" s="12"/>
      <c r="DA1695" s="12"/>
      <c r="DB1695" s="12"/>
      <c r="DC1695" s="12"/>
      <c r="DD1695" s="12"/>
      <c r="DE1695" s="12"/>
      <c r="DF1695" s="12"/>
      <c r="DG1695" s="12"/>
      <c r="DH1695" s="12"/>
      <c r="DI1695" s="12"/>
      <c r="DJ1695" s="12"/>
      <c r="DK1695" s="12"/>
      <c r="DL1695" s="12"/>
      <c r="DM1695" s="12"/>
      <c r="DN1695" s="12"/>
      <c r="DO1695" s="12"/>
      <c r="DP1695" s="12"/>
    </row>
    <row r="1698" spans="1:7" ht="15.75">
      <c r="A1698" s="157" t="s">
        <v>77</v>
      </c>
      <c r="B1698" s="157" t="s">
        <v>32</v>
      </c>
      <c r="C1698" s="157" t="s">
        <v>226</v>
      </c>
      <c r="D1698" s="70" t="s">
        <v>206</v>
      </c>
      <c r="E1698" s="70" t="s">
        <v>221</v>
      </c>
      <c r="F1698" s="70" t="s">
        <v>222</v>
      </c>
      <c r="G1698" s="70" t="s">
        <v>2716</v>
      </c>
    </row>
    <row r="1699" spans="1:7" ht="15">
      <c r="A1699" s="75">
        <v>11700</v>
      </c>
      <c r="B1699" s="19">
        <v>24</v>
      </c>
      <c r="C1699" s="17" t="s">
        <v>1977</v>
      </c>
      <c r="D1699" s="100">
        <v>10</v>
      </c>
      <c r="E1699" s="101">
        <v>1</v>
      </c>
      <c r="F1699" s="6">
        <f t="shared" ref="F1699:F1706" si="10">D1699*E1699</f>
        <v>10</v>
      </c>
      <c r="G1699" s="33">
        <v>23.6</v>
      </c>
    </row>
    <row r="1700" spans="1:7" ht="15">
      <c r="A1700" s="75">
        <v>11700</v>
      </c>
      <c r="B1700" s="19">
        <v>36</v>
      </c>
      <c r="C1700" s="17" t="s">
        <v>1977</v>
      </c>
      <c r="D1700" s="100">
        <v>10</v>
      </c>
      <c r="E1700" s="101">
        <v>1</v>
      </c>
      <c r="F1700" s="6">
        <f t="shared" si="10"/>
        <v>10</v>
      </c>
      <c r="G1700" s="33">
        <v>39.200000000000003</v>
      </c>
    </row>
    <row r="1701" spans="1:7" ht="15">
      <c r="A1701" s="75">
        <v>12701</v>
      </c>
      <c r="B1701" s="19">
        <v>9</v>
      </c>
      <c r="C1701" s="17" t="s">
        <v>1852</v>
      </c>
      <c r="D1701" s="100">
        <v>10</v>
      </c>
      <c r="E1701" s="101">
        <v>1</v>
      </c>
      <c r="F1701" s="6">
        <f t="shared" si="10"/>
        <v>10</v>
      </c>
      <c r="G1701" s="33">
        <v>7.9</v>
      </c>
    </row>
    <row r="1702" spans="1:7" ht="15">
      <c r="A1702" s="75">
        <v>12701</v>
      </c>
      <c r="B1702" s="19">
        <v>9</v>
      </c>
      <c r="C1702" s="17" t="s">
        <v>1851</v>
      </c>
      <c r="D1702" s="100">
        <v>10</v>
      </c>
      <c r="E1702" s="101">
        <v>1</v>
      </c>
      <c r="F1702" s="6">
        <f t="shared" si="10"/>
        <v>10</v>
      </c>
      <c r="G1702" s="33">
        <v>7.9</v>
      </c>
    </row>
    <row r="1703" spans="1:7" ht="15">
      <c r="A1703" s="75">
        <v>12701</v>
      </c>
      <c r="B1703" s="19">
        <v>9</v>
      </c>
      <c r="C1703" s="17" t="s">
        <v>87</v>
      </c>
      <c r="D1703" s="100">
        <v>10</v>
      </c>
      <c r="E1703" s="101">
        <v>1</v>
      </c>
      <c r="F1703" s="6">
        <f t="shared" si="10"/>
        <v>10</v>
      </c>
      <c r="G1703" s="33">
        <v>7.9</v>
      </c>
    </row>
    <row r="1704" spans="1:7" ht="15">
      <c r="A1704" s="75">
        <v>12701</v>
      </c>
      <c r="B1704" s="19">
        <v>12</v>
      </c>
      <c r="C1704" s="17" t="s">
        <v>1851</v>
      </c>
      <c r="D1704" s="100">
        <v>10</v>
      </c>
      <c r="E1704" s="101">
        <v>1</v>
      </c>
      <c r="F1704" s="6">
        <f t="shared" si="10"/>
        <v>10</v>
      </c>
      <c r="G1704" s="33">
        <v>8.8000000000000007</v>
      </c>
    </row>
    <row r="1705" spans="1:7" ht="15">
      <c r="A1705" s="75">
        <v>12701</v>
      </c>
      <c r="B1705" s="19">
        <v>18</v>
      </c>
      <c r="C1705" s="17" t="s">
        <v>193</v>
      </c>
      <c r="D1705" s="100">
        <v>10</v>
      </c>
      <c r="E1705" s="101">
        <v>1</v>
      </c>
      <c r="F1705" s="6">
        <f t="shared" si="10"/>
        <v>10</v>
      </c>
      <c r="G1705" s="33">
        <v>11.4</v>
      </c>
    </row>
    <row r="1706" spans="1:7" ht="15">
      <c r="A1706" s="75">
        <v>12701</v>
      </c>
      <c r="B1706" s="19">
        <v>18</v>
      </c>
      <c r="C1706" s="17" t="s">
        <v>162</v>
      </c>
      <c r="D1706" s="100">
        <v>10</v>
      </c>
      <c r="E1706" s="101">
        <v>1</v>
      </c>
      <c r="F1706" s="6">
        <f t="shared" si="10"/>
        <v>10</v>
      </c>
      <c r="G1706" s="33">
        <v>11.4</v>
      </c>
    </row>
    <row r="1707" spans="1:7" ht="15">
      <c r="A1707" s="17"/>
      <c r="B1707" s="94"/>
      <c r="C1707" s="17" t="s">
        <v>250</v>
      </c>
      <c r="D1707" s="6"/>
      <c r="E1707" s="30"/>
      <c r="F1707" s="32">
        <v>1</v>
      </c>
      <c r="G1707" s="33">
        <v>12</v>
      </c>
    </row>
    <row r="1710" spans="1:7" ht="15">
      <c r="A1710" s="17" t="s">
        <v>203</v>
      </c>
      <c r="B1710" s="17" t="s">
        <v>1955</v>
      </c>
      <c r="C1710" s="6">
        <v>283</v>
      </c>
      <c r="D1710" s="33">
        <v>6.53</v>
      </c>
      <c r="E1710" s="33">
        <f t="shared" ref="E1710:E1719" si="11">D1710*C1710</f>
        <v>1847.99</v>
      </c>
    </row>
    <row r="1711" spans="1:7" ht="15">
      <c r="A1711" s="17" t="s">
        <v>203</v>
      </c>
      <c r="B1711" s="17" t="s">
        <v>1973</v>
      </c>
      <c r="C1711" s="117">
        <v>2</v>
      </c>
      <c r="D1711" s="33">
        <v>6.53</v>
      </c>
      <c r="E1711" s="33">
        <f t="shared" si="11"/>
        <v>13.06</v>
      </c>
    </row>
    <row r="1712" spans="1:7" ht="15">
      <c r="A1712" s="17"/>
      <c r="B1712" s="17" t="s">
        <v>1965</v>
      </c>
      <c r="C1712" s="32">
        <v>1</v>
      </c>
      <c r="D1712" s="33">
        <v>15</v>
      </c>
      <c r="E1712" s="33">
        <f t="shared" si="11"/>
        <v>15</v>
      </c>
    </row>
    <row r="1713" spans="1:5" ht="15">
      <c r="A1713" s="17"/>
      <c r="B1713" s="17" t="s">
        <v>1966</v>
      </c>
      <c r="C1713" s="32">
        <v>1</v>
      </c>
      <c r="D1713" s="33">
        <v>20</v>
      </c>
      <c r="E1713" s="33">
        <f t="shared" si="11"/>
        <v>20</v>
      </c>
    </row>
    <row r="1714" spans="1:5" ht="15">
      <c r="A1714" s="17"/>
      <c r="B1714" s="17" t="s">
        <v>1974</v>
      </c>
      <c r="C1714" s="32">
        <v>1</v>
      </c>
      <c r="D1714" s="33">
        <v>162.93</v>
      </c>
      <c r="E1714" s="33">
        <f t="shared" si="11"/>
        <v>162.93</v>
      </c>
    </row>
    <row r="1715" spans="1:5" ht="15">
      <c r="A1715" s="17" t="s">
        <v>203</v>
      </c>
      <c r="B1715" s="17" t="s">
        <v>1964</v>
      </c>
      <c r="C1715" s="6">
        <v>1369</v>
      </c>
      <c r="D1715" s="33">
        <v>5.42</v>
      </c>
      <c r="E1715" s="33">
        <f t="shared" si="11"/>
        <v>7419.98</v>
      </c>
    </row>
    <row r="1716" spans="1:5" ht="15">
      <c r="A1716" s="17"/>
      <c r="B1716" s="17" t="s">
        <v>250</v>
      </c>
      <c r="C1716" s="32">
        <v>1</v>
      </c>
      <c r="D1716" s="33">
        <v>20</v>
      </c>
      <c r="E1716" s="33">
        <f t="shared" si="11"/>
        <v>20</v>
      </c>
    </row>
    <row r="1717" spans="1:5" ht="15">
      <c r="A1717" s="111" t="s">
        <v>203</v>
      </c>
      <c r="B1717" s="111" t="s">
        <v>2717</v>
      </c>
      <c r="C1717" s="627">
        <v>0.5</v>
      </c>
      <c r="D1717" s="151">
        <v>5.42</v>
      </c>
      <c r="E1717" s="151">
        <f t="shared" si="11"/>
        <v>2.71</v>
      </c>
    </row>
    <row r="1718" spans="1:5" ht="15">
      <c r="A1718" s="111"/>
      <c r="B1718" s="111" t="s">
        <v>2718</v>
      </c>
      <c r="C1718" s="153">
        <v>1</v>
      </c>
      <c r="D1718" s="151">
        <v>15</v>
      </c>
      <c r="E1718" s="151">
        <f t="shared" si="11"/>
        <v>15</v>
      </c>
    </row>
    <row r="1719" spans="1:5" ht="15">
      <c r="A1719" s="628"/>
      <c r="B1719" s="111" t="s">
        <v>2719</v>
      </c>
      <c r="C1719" s="153">
        <v>1</v>
      </c>
      <c r="D1719" s="151">
        <v>20</v>
      </c>
      <c r="E1719" s="151">
        <f t="shared" si="11"/>
        <v>20</v>
      </c>
    </row>
    <row r="1722" spans="1:5">
      <c r="A1722" s="195" t="s">
        <v>77</v>
      </c>
      <c r="B1722" s="195" t="s">
        <v>226</v>
      </c>
      <c r="C1722" s="195" t="s">
        <v>34</v>
      </c>
      <c r="D1722" s="204" t="s">
        <v>122</v>
      </c>
    </row>
    <row r="1723" spans="1:5">
      <c r="A1723" s="34" t="s">
        <v>1986</v>
      </c>
      <c r="B1723" s="34" t="s">
        <v>55</v>
      </c>
      <c r="C1723" s="196">
        <v>13.7</v>
      </c>
      <c r="D1723" s="205" t="s">
        <v>2720</v>
      </c>
    </row>
    <row r="1726" spans="1:5" s="193" customFormat="1" ht="12.75">
      <c r="A1726" s="195" t="s">
        <v>77</v>
      </c>
      <c r="B1726" s="195" t="s">
        <v>226</v>
      </c>
      <c r="C1726" s="195" t="s">
        <v>34</v>
      </c>
      <c r="D1726" s="204" t="s">
        <v>122</v>
      </c>
    </row>
    <row r="1727" spans="1:5" s="193" customFormat="1" ht="12.75">
      <c r="A1727" s="34" t="s">
        <v>1988</v>
      </c>
      <c r="B1727" s="34" t="s">
        <v>1989</v>
      </c>
      <c r="C1727" s="198">
        <v>25</v>
      </c>
      <c r="D1727" s="199" t="s">
        <v>2721</v>
      </c>
    </row>
    <row r="1728" spans="1:5" s="193" customFormat="1" ht="12.75">
      <c r="A1728" s="34" t="s">
        <v>1988</v>
      </c>
      <c r="B1728" s="34" t="s">
        <v>1990</v>
      </c>
      <c r="C1728" s="198">
        <v>25</v>
      </c>
      <c r="D1728" s="199" t="s">
        <v>2721</v>
      </c>
    </row>
    <row r="1729" spans="1:9" s="193" customFormat="1" ht="12.75">
      <c r="A1729" s="34" t="s">
        <v>1988</v>
      </c>
      <c r="B1729" s="180" t="s">
        <v>2722</v>
      </c>
      <c r="C1729" s="198">
        <v>25</v>
      </c>
      <c r="D1729" s="199" t="s">
        <v>2721</v>
      </c>
    </row>
    <row r="1730" spans="1:9" s="193" customFormat="1" ht="12.75">
      <c r="A1730" s="34"/>
      <c r="B1730" s="34" t="s">
        <v>154</v>
      </c>
      <c r="C1730" s="194"/>
      <c r="D1730" s="199" t="s">
        <v>2723</v>
      </c>
    </row>
    <row r="1733" spans="1:9">
      <c r="A1733" s="187" t="s">
        <v>2724</v>
      </c>
    </row>
    <row r="1734" spans="1:9" s="189" customFormat="1" ht="25.5">
      <c r="A1734" s="192" t="s">
        <v>217</v>
      </c>
      <c r="B1734" s="201" t="s">
        <v>275</v>
      </c>
      <c r="C1734" s="200" t="s">
        <v>205</v>
      </c>
      <c r="D1734" s="629" t="s">
        <v>266</v>
      </c>
      <c r="E1734" s="200" t="s">
        <v>231</v>
      </c>
    </row>
    <row r="1735" spans="1:9" s="213" customFormat="1" ht="12.75">
      <c r="A1735" s="202" t="s">
        <v>270</v>
      </c>
      <c r="B1735" s="202" t="s">
        <v>267</v>
      </c>
      <c r="C1735" s="202" t="s">
        <v>276</v>
      </c>
      <c r="D1735" s="203">
        <f>ROUNDUP(F1735/0.8/120,2)</f>
        <v>47.919999999999995</v>
      </c>
      <c r="E1735" s="209" t="s">
        <v>268</v>
      </c>
      <c r="F1735" s="202">
        <v>4600</v>
      </c>
      <c r="G1735" s="209" t="s">
        <v>268</v>
      </c>
      <c r="H1735" s="209"/>
      <c r="I1735" s="209"/>
    </row>
    <row r="1736" spans="1:9" s="210" customFormat="1" ht="12.75">
      <c r="A1736" s="202" t="s">
        <v>283</v>
      </c>
      <c r="B1736" s="202" t="s">
        <v>267</v>
      </c>
      <c r="C1736" s="202" t="s">
        <v>276</v>
      </c>
      <c r="D1736" s="203">
        <f>ROUNDUP(F1736/0.8/120,2)</f>
        <v>28.130000000000003</v>
      </c>
      <c r="E1736" s="209" t="s">
        <v>268</v>
      </c>
      <c r="F1736" s="202">
        <v>2700</v>
      </c>
      <c r="G1736" s="209" t="s">
        <v>268</v>
      </c>
    </row>
    <row r="1737" spans="1:9" s="189" customFormat="1" ht="14.25">
      <c r="A1737" s="202" t="s">
        <v>281</v>
      </c>
      <c r="B1737" s="202" t="s">
        <v>282</v>
      </c>
      <c r="C1737" s="202" t="s">
        <v>276</v>
      </c>
      <c r="D1737" s="203">
        <f>ROUNDUP(F1737/0.8/120,2)</f>
        <v>37.5</v>
      </c>
      <c r="E1737" s="209" t="s">
        <v>268</v>
      </c>
      <c r="F1737" s="630">
        <v>3600</v>
      </c>
    </row>
    <row r="1742" spans="1:9">
      <c r="A1742" s="204" t="s">
        <v>43</v>
      </c>
      <c r="B1742" s="204" t="s">
        <v>48</v>
      </c>
      <c r="C1742" s="204" t="s">
        <v>48</v>
      </c>
      <c r="D1742" s="204" t="s">
        <v>107</v>
      </c>
      <c r="E1742" s="204" t="s">
        <v>2725</v>
      </c>
      <c r="F1742" s="204" t="s">
        <v>272</v>
      </c>
    </row>
    <row r="1743" spans="1:9">
      <c r="A1743" s="34" t="s">
        <v>1980</v>
      </c>
      <c r="B1743" s="34">
        <v>8400</v>
      </c>
      <c r="C1743" s="631" t="s">
        <v>1992</v>
      </c>
      <c r="D1743" s="196">
        <v>30</v>
      </c>
      <c r="E1743" s="197">
        <v>34</v>
      </c>
      <c r="F1743" s="198">
        <f>D1743*E1743</f>
        <v>1020</v>
      </c>
    </row>
    <row r="1746" spans="1:9">
      <c r="A1746" s="34">
        <v>4141</v>
      </c>
      <c r="B1746" s="752" t="s">
        <v>2855</v>
      </c>
      <c r="C1746" s="34" t="s">
        <v>2856</v>
      </c>
      <c r="D1746" s="196">
        <v>20</v>
      </c>
      <c r="E1746" s="197">
        <v>5</v>
      </c>
      <c r="F1746" s="198">
        <f>D1746*E1746</f>
        <v>100</v>
      </c>
      <c r="G1746" s="753">
        <v>41.12</v>
      </c>
    </row>
    <row r="1750" spans="1:9" s="193" customFormat="1" ht="12.75">
      <c r="A1750" s="195" t="s">
        <v>76</v>
      </c>
      <c r="B1750" s="195" t="s">
        <v>77</v>
      </c>
      <c r="C1750" s="195" t="s">
        <v>32</v>
      </c>
      <c r="D1750" s="195" t="s">
        <v>226</v>
      </c>
      <c r="E1750" s="906" t="s">
        <v>206</v>
      </c>
      <c r="F1750" s="906" t="s">
        <v>221</v>
      </c>
      <c r="G1750" s="906" t="s">
        <v>222</v>
      </c>
      <c r="H1750" s="906" t="s">
        <v>2716</v>
      </c>
      <c r="I1750" s="918"/>
    </row>
    <row r="1751" spans="1:9">
      <c r="A1751" s="899" t="s">
        <v>3016</v>
      </c>
      <c r="B1751" s="907"/>
      <c r="C1751" s="752"/>
      <c r="D1751" s="34"/>
      <c r="E1751" s="196"/>
      <c r="F1751" s="197"/>
      <c r="G1751" s="198"/>
      <c r="H1751" s="908" t="s">
        <v>4</v>
      </c>
      <c r="I1751" s="910"/>
    </row>
    <row r="1752" spans="1:9">
      <c r="A1752" s="899" t="s">
        <v>3016</v>
      </c>
      <c r="B1752" s="34">
        <v>2200</v>
      </c>
      <c r="C1752" s="752">
        <v>18</v>
      </c>
      <c r="D1752" s="34" t="s">
        <v>2988</v>
      </c>
      <c r="E1752" s="196">
        <v>15</v>
      </c>
      <c r="F1752" s="197">
        <v>5</v>
      </c>
      <c r="G1752" s="198">
        <f t="shared" ref="G1752:G1757" si="12">E1752*F1752</f>
        <v>75</v>
      </c>
      <c r="H1752" s="753">
        <v>19.559999999999999</v>
      </c>
      <c r="I1752" s="912" t="s">
        <v>3021</v>
      </c>
    </row>
    <row r="1753" spans="1:9">
      <c r="A1753" s="899" t="s">
        <v>3016</v>
      </c>
      <c r="B1753" s="34">
        <v>2200</v>
      </c>
      <c r="C1753" s="752">
        <v>12</v>
      </c>
      <c r="D1753" s="34" t="s">
        <v>3018</v>
      </c>
      <c r="E1753" s="196">
        <v>15</v>
      </c>
      <c r="F1753" s="197">
        <v>5</v>
      </c>
      <c r="G1753" s="198">
        <f t="shared" si="12"/>
        <v>75</v>
      </c>
      <c r="H1753" s="753">
        <v>13.19</v>
      </c>
      <c r="I1753" s="912" t="s">
        <v>3021</v>
      </c>
    </row>
    <row r="1754" spans="1:9">
      <c r="A1754" s="899" t="s">
        <v>3016</v>
      </c>
      <c r="B1754" s="34">
        <v>2200</v>
      </c>
      <c r="C1754" s="752">
        <v>12</v>
      </c>
      <c r="D1754" s="34" t="s">
        <v>3019</v>
      </c>
      <c r="E1754" s="196">
        <v>15</v>
      </c>
      <c r="F1754" s="197">
        <v>3</v>
      </c>
      <c r="G1754" s="198">
        <f t="shared" si="12"/>
        <v>45</v>
      </c>
      <c r="H1754" s="753">
        <v>13.19</v>
      </c>
      <c r="I1754" s="912" t="s">
        <v>3021</v>
      </c>
    </row>
    <row r="1755" spans="1:9">
      <c r="A1755" s="899" t="s">
        <v>3016</v>
      </c>
      <c r="B1755" s="34">
        <v>2200</v>
      </c>
      <c r="C1755" s="752">
        <v>24</v>
      </c>
      <c r="D1755" s="34" t="s">
        <v>2977</v>
      </c>
      <c r="E1755" s="196">
        <v>15</v>
      </c>
      <c r="F1755" s="197">
        <v>3</v>
      </c>
      <c r="G1755" s="198">
        <f t="shared" si="12"/>
        <v>45</v>
      </c>
      <c r="H1755" s="753">
        <v>24.78</v>
      </c>
      <c r="I1755" s="912" t="s">
        <v>3021</v>
      </c>
    </row>
    <row r="1756" spans="1:9">
      <c r="A1756" s="899" t="s">
        <v>3016</v>
      </c>
      <c r="B1756" s="34">
        <v>2200</v>
      </c>
      <c r="C1756" s="752">
        <v>24</v>
      </c>
      <c r="D1756" s="34" t="s">
        <v>3009</v>
      </c>
      <c r="E1756" s="196">
        <v>15</v>
      </c>
      <c r="F1756" s="197">
        <v>3</v>
      </c>
      <c r="G1756" s="198">
        <f t="shared" si="12"/>
        <v>45</v>
      </c>
      <c r="H1756" s="753">
        <v>24.78</v>
      </c>
      <c r="I1756" s="912" t="s">
        <v>3021</v>
      </c>
    </row>
    <row r="1757" spans="1:9">
      <c r="A1757" s="899" t="s">
        <v>3016</v>
      </c>
      <c r="B1757" s="34">
        <v>2200</v>
      </c>
      <c r="C1757" s="752">
        <v>24</v>
      </c>
      <c r="D1757" s="34" t="s">
        <v>3020</v>
      </c>
      <c r="E1757" s="196">
        <v>15</v>
      </c>
      <c r="F1757" s="197">
        <v>3</v>
      </c>
      <c r="G1757" s="198">
        <f t="shared" si="12"/>
        <v>45</v>
      </c>
      <c r="H1757" s="753">
        <v>24.78</v>
      </c>
      <c r="I1757" s="911">
        <v>45672</v>
      </c>
    </row>
    <row r="1758" spans="1:9">
      <c r="A1758" s="899" t="s">
        <v>3016</v>
      </c>
      <c r="B1758" s="900"/>
      <c r="C1758" s="752"/>
      <c r="D1758" s="34"/>
      <c r="E1758" s="196"/>
      <c r="F1758" s="197"/>
      <c r="G1758" s="198"/>
      <c r="H1758" s="908"/>
      <c r="I1758" s="912"/>
    </row>
    <row r="1759" spans="1:9">
      <c r="A1759" s="899" t="s">
        <v>3016</v>
      </c>
      <c r="B1759" s="34" t="s">
        <v>2880</v>
      </c>
      <c r="C1759" s="752">
        <v>25</v>
      </c>
      <c r="D1759" s="34" t="s">
        <v>70</v>
      </c>
      <c r="E1759" s="198">
        <v>30</v>
      </c>
      <c r="F1759" s="901">
        <v>10</v>
      </c>
      <c r="G1759" s="198">
        <f>E1759*F1759</f>
        <v>300</v>
      </c>
      <c r="H1759" s="753">
        <v>24.19</v>
      </c>
      <c r="I1759" s="912" t="s">
        <v>3030</v>
      </c>
    </row>
    <row r="1760" spans="1:9">
      <c r="A1760" s="899" t="s">
        <v>3016</v>
      </c>
      <c r="B1760" s="902"/>
      <c r="C1760" s="903"/>
      <c r="D1760" s="904"/>
      <c r="E1760" s="905"/>
      <c r="F1760" s="905"/>
      <c r="G1760" s="905"/>
      <c r="H1760" s="908"/>
      <c r="I1760" s="912"/>
    </row>
    <row r="1761" spans="1:9">
      <c r="A1761" s="899" t="s">
        <v>3016</v>
      </c>
      <c r="B1761" s="34" t="s">
        <v>2848</v>
      </c>
      <c r="C1761" s="752">
        <v>50</v>
      </c>
      <c r="D1761" s="34" t="s">
        <v>2475</v>
      </c>
      <c r="E1761" s="196">
        <v>30</v>
      </c>
      <c r="F1761" s="197">
        <v>3</v>
      </c>
      <c r="G1761" s="198">
        <f t="shared" ref="G1761:G1796" si="13">E1761*F1761</f>
        <v>90</v>
      </c>
      <c r="H1761" s="753">
        <v>26.75</v>
      </c>
      <c r="I1761" s="912" t="s">
        <v>3030</v>
      </c>
    </row>
    <row r="1762" spans="1:9">
      <c r="A1762" s="899" t="s">
        <v>3016</v>
      </c>
      <c r="B1762" s="34" t="s">
        <v>2848</v>
      </c>
      <c r="C1762" s="752">
        <v>38</v>
      </c>
      <c r="D1762" s="34" t="s">
        <v>24</v>
      </c>
      <c r="E1762" s="196">
        <v>30</v>
      </c>
      <c r="F1762" s="197">
        <v>3</v>
      </c>
      <c r="G1762" s="198">
        <f t="shared" si="13"/>
        <v>90</v>
      </c>
      <c r="H1762" s="753">
        <v>19.440000000000001</v>
      </c>
      <c r="I1762" s="912" t="s">
        <v>3030</v>
      </c>
    </row>
    <row r="1763" spans="1:9">
      <c r="A1763" s="899" t="s">
        <v>3016</v>
      </c>
      <c r="B1763" s="34" t="s">
        <v>2848</v>
      </c>
      <c r="C1763" s="752">
        <v>38</v>
      </c>
      <c r="D1763" s="34" t="s">
        <v>2358</v>
      </c>
      <c r="E1763" s="196">
        <v>30</v>
      </c>
      <c r="F1763" s="197">
        <v>3</v>
      </c>
      <c r="G1763" s="198">
        <f t="shared" si="13"/>
        <v>90</v>
      </c>
      <c r="H1763" s="753">
        <v>19.440000000000001</v>
      </c>
      <c r="I1763" s="912" t="s">
        <v>3030</v>
      </c>
    </row>
    <row r="1764" spans="1:9">
      <c r="A1764" s="899" t="s">
        <v>3016</v>
      </c>
      <c r="B1764" s="34" t="s">
        <v>2848</v>
      </c>
      <c r="C1764" s="752">
        <v>38</v>
      </c>
      <c r="D1764" s="34" t="s">
        <v>3022</v>
      </c>
      <c r="E1764" s="196">
        <v>30</v>
      </c>
      <c r="F1764" s="197">
        <v>3</v>
      </c>
      <c r="G1764" s="198">
        <f t="shared" si="13"/>
        <v>90</v>
      </c>
      <c r="H1764" s="753">
        <v>19.440000000000001</v>
      </c>
      <c r="I1764" s="912" t="s">
        <v>3030</v>
      </c>
    </row>
    <row r="1765" spans="1:9">
      <c r="A1765" s="899" t="s">
        <v>3016</v>
      </c>
      <c r="B1765" s="34" t="s">
        <v>2848</v>
      </c>
      <c r="C1765" s="752">
        <v>38</v>
      </c>
      <c r="D1765" s="34" t="s">
        <v>1977</v>
      </c>
      <c r="E1765" s="196">
        <v>30</v>
      </c>
      <c r="F1765" s="197">
        <v>3</v>
      </c>
      <c r="G1765" s="198">
        <f t="shared" si="13"/>
        <v>90</v>
      </c>
      <c r="H1765" s="753">
        <v>19.440000000000001</v>
      </c>
      <c r="I1765" s="912" t="s">
        <v>3030</v>
      </c>
    </row>
    <row r="1766" spans="1:9">
      <c r="A1766" s="899" t="s">
        <v>3016</v>
      </c>
      <c r="B1766" s="34" t="s">
        <v>2848</v>
      </c>
      <c r="C1766" s="752">
        <v>38</v>
      </c>
      <c r="D1766" s="34" t="s">
        <v>2342</v>
      </c>
      <c r="E1766" s="196">
        <v>30</v>
      </c>
      <c r="F1766" s="197">
        <v>3</v>
      </c>
      <c r="G1766" s="198">
        <f t="shared" si="13"/>
        <v>90</v>
      </c>
      <c r="H1766" s="753">
        <v>19.440000000000001</v>
      </c>
      <c r="I1766" s="912" t="s">
        <v>3030</v>
      </c>
    </row>
    <row r="1767" spans="1:9">
      <c r="A1767" s="899" t="s">
        <v>3016</v>
      </c>
      <c r="B1767" s="34" t="s">
        <v>2848</v>
      </c>
      <c r="C1767" s="752">
        <v>32</v>
      </c>
      <c r="D1767" s="34" t="s">
        <v>251</v>
      </c>
      <c r="E1767" s="196">
        <v>30</v>
      </c>
      <c r="F1767" s="197">
        <v>3</v>
      </c>
      <c r="G1767" s="198">
        <f t="shared" si="13"/>
        <v>90</v>
      </c>
      <c r="H1767" s="753">
        <v>15.87</v>
      </c>
      <c r="I1767" s="912" t="s">
        <v>3030</v>
      </c>
    </row>
    <row r="1768" spans="1:9">
      <c r="A1768" s="899" t="s">
        <v>3016</v>
      </c>
      <c r="B1768" s="34" t="s">
        <v>2848</v>
      </c>
      <c r="C1768" s="752">
        <v>32</v>
      </c>
      <c r="D1768" s="34" t="s">
        <v>2872</v>
      </c>
      <c r="E1768" s="196">
        <v>30</v>
      </c>
      <c r="F1768" s="197">
        <v>3</v>
      </c>
      <c r="G1768" s="198">
        <f t="shared" si="13"/>
        <v>90</v>
      </c>
      <c r="H1768" s="753">
        <v>15.87</v>
      </c>
      <c r="I1768" s="912" t="s">
        <v>3030</v>
      </c>
    </row>
    <row r="1769" spans="1:9">
      <c r="A1769" s="899" t="s">
        <v>3016</v>
      </c>
      <c r="B1769" s="34" t="s">
        <v>2848</v>
      </c>
      <c r="C1769" s="752">
        <v>32</v>
      </c>
      <c r="D1769" s="34" t="s">
        <v>2869</v>
      </c>
      <c r="E1769" s="196">
        <v>30</v>
      </c>
      <c r="F1769" s="197">
        <v>3</v>
      </c>
      <c r="G1769" s="198">
        <f t="shared" si="13"/>
        <v>90</v>
      </c>
      <c r="H1769" s="753">
        <v>15.87</v>
      </c>
      <c r="I1769" s="912" t="s">
        <v>3030</v>
      </c>
    </row>
    <row r="1770" spans="1:9">
      <c r="A1770" s="899" t="s">
        <v>3016</v>
      </c>
      <c r="B1770" s="34" t="s">
        <v>2848</v>
      </c>
      <c r="C1770" s="752">
        <v>32</v>
      </c>
      <c r="D1770" s="34" t="s">
        <v>116</v>
      </c>
      <c r="E1770" s="196">
        <v>30</v>
      </c>
      <c r="F1770" s="197">
        <v>3</v>
      </c>
      <c r="G1770" s="198">
        <f t="shared" si="13"/>
        <v>90</v>
      </c>
      <c r="H1770" s="753">
        <v>15.87</v>
      </c>
      <c r="I1770" s="912" t="s">
        <v>3030</v>
      </c>
    </row>
    <row r="1771" spans="1:9">
      <c r="A1771" s="899" t="s">
        <v>3016</v>
      </c>
      <c r="B1771" s="34" t="s">
        <v>2848</v>
      </c>
      <c r="C1771" s="752">
        <v>32</v>
      </c>
      <c r="D1771" s="34" t="s">
        <v>3023</v>
      </c>
      <c r="E1771" s="196">
        <v>30</v>
      </c>
      <c r="F1771" s="197">
        <v>3</v>
      </c>
      <c r="G1771" s="198">
        <f t="shared" si="13"/>
        <v>90</v>
      </c>
      <c r="H1771" s="753">
        <v>15.87</v>
      </c>
      <c r="I1771" s="912" t="s">
        <v>3030</v>
      </c>
    </row>
    <row r="1772" spans="1:9">
      <c r="A1772" s="899" t="s">
        <v>3016</v>
      </c>
      <c r="B1772" s="34" t="s">
        <v>2848</v>
      </c>
      <c r="C1772" s="752">
        <v>32</v>
      </c>
      <c r="D1772" s="34" t="s">
        <v>2358</v>
      </c>
      <c r="E1772" s="196">
        <v>30</v>
      </c>
      <c r="F1772" s="197">
        <v>3</v>
      </c>
      <c r="G1772" s="198">
        <f t="shared" si="13"/>
        <v>90</v>
      </c>
      <c r="H1772" s="753">
        <v>15.87</v>
      </c>
      <c r="I1772" s="912" t="s">
        <v>3030</v>
      </c>
    </row>
    <row r="1773" spans="1:9">
      <c r="A1773" s="899" t="s">
        <v>3016</v>
      </c>
      <c r="B1773" s="34" t="s">
        <v>2848</v>
      </c>
      <c r="C1773" s="752">
        <v>32</v>
      </c>
      <c r="D1773" s="34" t="s">
        <v>3024</v>
      </c>
      <c r="E1773" s="196">
        <v>30</v>
      </c>
      <c r="F1773" s="197">
        <v>3</v>
      </c>
      <c r="G1773" s="198">
        <f t="shared" si="13"/>
        <v>90</v>
      </c>
      <c r="H1773" s="753">
        <v>15.87</v>
      </c>
      <c r="I1773" s="912" t="s">
        <v>3030</v>
      </c>
    </row>
    <row r="1774" spans="1:9">
      <c r="A1774" s="899" t="s">
        <v>3016</v>
      </c>
      <c r="B1774" s="34" t="s">
        <v>2848</v>
      </c>
      <c r="C1774" s="752">
        <v>19</v>
      </c>
      <c r="D1774" s="34" t="s">
        <v>24</v>
      </c>
      <c r="E1774" s="196">
        <v>30</v>
      </c>
      <c r="F1774" s="197">
        <v>5</v>
      </c>
      <c r="G1774" s="198">
        <f t="shared" si="13"/>
        <v>150</v>
      </c>
      <c r="H1774" s="753">
        <v>9.57</v>
      </c>
      <c r="I1774" s="912" t="s">
        <v>3030</v>
      </c>
    </row>
    <row r="1775" spans="1:9">
      <c r="A1775" s="899" t="s">
        <v>3016</v>
      </c>
      <c r="B1775" s="34" t="s">
        <v>2848</v>
      </c>
      <c r="C1775" s="752">
        <v>19</v>
      </c>
      <c r="D1775" s="34" t="s">
        <v>2929</v>
      </c>
      <c r="E1775" s="196">
        <v>30</v>
      </c>
      <c r="F1775" s="197">
        <v>5</v>
      </c>
      <c r="G1775" s="198">
        <f t="shared" si="13"/>
        <v>150</v>
      </c>
      <c r="H1775" s="753">
        <v>9.57</v>
      </c>
      <c r="I1775" s="912" t="s">
        <v>3030</v>
      </c>
    </row>
    <row r="1776" spans="1:9">
      <c r="A1776" s="899" t="s">
        <v>3016</v>
      </c>
      <c r="B1776" s="34" t="s">
        <v>2848</v>
      </c>
      <c r="C1776" s="752">
        <v>19</v>
      </c>
      <c r="D1776" s="34" t="s">
        <v>1910</v>
      </c>
      <c r="E1776" s="196">
        <v>30</v>
      </c>
      <c r="F1776" s="197">
        <v>5</v>
      </c>
      <c r="G1776" s="198">
        <f t="shared" si="13"/>
        <v>150</v>
      </c>
      <c r="H1776" s="753">
        <v>9.57</v>
      </c>
      <c r="I1776" s="912" t="s">
        <v>3030</v>
      </c>
    </row>
    <row r="1777" spans="1:9">
      <c r="A1777" s="899" t="s">
        <v>3016</v>
      </c>
      <c r="B1777" s="34" t="s">
        <v>2848</v>
      </c>
      <c r="C1777" s="752">
        <v>19</v>
      </c>
      <c r="D1777" s="34" t="s">
        <v>2922</v>
      </c>
      <c r="E1777" s="196">
        <v>30</v>
      </c>
      <c r="F1777" s="197">
        <v>5</v>
      </c>
      <c r="G1777" s="198">
        <f t="shared" si="13"/>
        <v>150</v>
      </c>
      <c r="H1777" s="753">
        <v>9.57</v>
      </c>
      <c r="I1777" s="912" t="s">
        <v>3030</v>
      </c>
    </row>
    <row r="1778" spans="1:9">
      <c r="A1778" s="899" t="s">
        <v>3016</v>
      </c>
      <c r="B1778" s="34" t="s">
        <v>2848</v>
      </c>
      <c r="C1778" s="752">
        <v>19</v>
      </c>
      <c r="D1778" s="34" t="s">
        <v>25</v>
      </c>
      <c r="E1778" s="196">
        <v>30</v>
      </c>
      <c r="F1778" s="197">
        <v>5</v>
      </c>
      <c r="G1778" s="198">
        <f t="shared" si="13"/>
        <v>150</v>
      </c>
      <c r="H1778" s="753">
        <v>9.57</v>
      </c>
      <c r="I1778" s="912" t="s">
        <v>3030</v>
      </c>
    </row>
    <row r="1779" spans="1:9">
      <c r="A1779" s="899" t="s">
        <v>3016</v>
      </c>
      <c r="B1779" s="34" t="s">
        <v>2848</v>
      </c>
      <c r="C1779" s="752">
        <v>19</v>
      </c>
      <c r="D1779" s="34" t="s">
        <v>1869</v>
      </c>
      <c r="E1779" s="196">
        <v>30</v>
      </c>
      <c r="F1779" s="197">
        <v>5</v>
      </c>
      <c r="G1779" s="198">
        <f t="shared" si="13"/>
        <v>150</v>
      </c>
      <c r="H1779" s="753">
        <v>9.57</v>
      </c>
      <c r="I1779" s="912" t="s">
        <v>3030</v>
      </c>
    </row>
    <row r="1780" spans="1:9">
      <c r="A1780" s="899" t="s">
        <v>3016</v>
      </c>
      <c r="B1780" s="34" t="s">
        <v>2848</v>
      </c>
      <c r="C1780" s="752">
        <v>19</v>
      </c>
      <c r="D1780" s="34" t="s">
        <v>2358</v>
      </c>
      <c r="E1780" s="196">
        <v>30</v>
      </c>
      <c r="F1780" s="197">
        <v>5</v>
      </c>
      <c r="G1780" s="198">
        <f t="shared" si="13"/>
        <v>150</v>
      </c>
      <c r="H1780" s="753">
        <v>9.57</v>
      </c>
      <c r="I1780" s="912" t="s">
        <v>3030</v>
      </c>
    </row>
    <row r="1781" spans="1:9">
      <c r="A1781" s="899" t="s">
        <v>3016</v>
      </c>
      <c r="B1781" s="34" t="s">
        <v>2848</v>
      </c>
      <c r="C1781" s="752">
        <v>19</v>
      </c>
      <c r="D1781" s="34" t="s">
        <v>3025</v>
      </c>
      <c r="E1781" s="196">
        <v>30</v>
      </c>
      <c r="F1781" s="197">
        <v>5</v>
      </c>
      <c r="G1781" s="198">
        <f t="shared" si="13"/>
        <v>150</v>
      </c>
      <c r="H1781" s="753">
        <v>9.57</v>
      </c>
      <c r="I1781" s="912" t="s">
        <v>3030</v>
      </c>
    </row>
    <row r="1782" spans="1:9">
      <c r="A1782" s="899" t="s">
        <v>3016</v>
      </c>
      <c r="B1782" s="34" t="s">
        <v>2848</v>
      </c>
      <c r="C1782" s="752">
        <v>19</v>
      </c>
      <c r="D1782" s="34" t="s">
        <v>3023</v>
      </c>
      <c r="E1782" s="196">
        <v>30</v>
      </c>
      <c r="F1782" s="197">
        <v>5</v>
      </c>
      <c r="G1782" s="198">
        <f t="shared" si="13"/>
        <v>150</v>
      </c>
      <c r="H1782" s="753">
        <v>9.57</v>
      </c>
      <c r="I1782" s="912" t="s">
        <v>3030</v>
      </c>
    </row>
    <row r="1783" spans="1:9">
      <c r="A1783" s="899" t="s">
        <v>3016</v>
      </c>
      <c r="B1783" s="34" t="s">
        <v>2848</v>
      </c>
      <c r="C1783" s="752">
        <v>25</v>
      </c>
      <c r="D1783" s="34" t="s">
        <v>2840</v>
      </c>
      <c r="E1783" s="196">
        <v>30</v>
      </c>
      <c r="F1783" s="197">
        <v>5</v>
      </c>
      <c r="G1783" s="198">
        <f t="shared" si="13"/>
        <v>150</v>
      </c>
      <c r="H1783" s="753">
        <v>11.6</v>
      </c>
      <c r="I1783" s="912" t="s">
        <v>3030</v>
      </c>
    </row>
    <row r="1784" spans="1:9">
      <c r="A1784" s="899" t="s">
        <v>3016</v>
      </c>
      <c r="B1784" s="34" t="s">
        <v>2848</v>
      </c>
      <c r="C1784" s="752">
        <v>25</v>
      </c>
      <c r="D1784" s="34" t="s">
        <v>251</v>
      </c>
      <c r="E1784" s="196">
        <v>30</v>
      </c>
      <c r="F1784" s="197">
        <v>5</v>
      </c>
      <c r="G1784" s="198">
        <f t="shared" si="13"/>
        <v>150</v>
      </c>
      <c r="H1784" s="753">
        <v>11.6</v>
      </c>
      <c r="I1784" s="912" t="s">
        <v>3030</v>
      </c>
    </row>
    <row r="1785" spans="1:9">
      <c r="A1785" s="899" t="s">
        <v>3016</v>
      </c>
      <c r="B1785" s="34" t="s">
        <v>2848</v>
      </c>
      <c r="C1785" s="752">
        <v>25</v>
      </c>
      <c r="D1785" s="34" t="s">
        <v>2872</v>
      </c>
      <c r="E1785" s="196">
        <v>30</v>
      </c>
      <c r="F1785" s="197">
        <v>5</v>
      </c>
      <c r="G1785" s="198">
        <f t="shared" si="13"/>
        <v>150</v>
      </c>
      <c r="H1785" s="753">
        <v>11.6</v>
      </c>
      <c r="I1785" s="912" t="s">
        <v>3030</v>
      </c>
    </row>
    <row r="1786" spans="1:9">
      <c r="A1786" s="899" t="s">
        <v>3016</v>
      </c>
      <c r="B1786" s="34" t="s">
        <v>2848</v>
      </c>
      <c r="C1786" s="752">
        <v>25</v>
      </c>
      <c r="D1786" s="34" t="s">
        <v>2929</v>
      </c>
      <c r="E1786" s="196">
        <v>30</v>
      </c>
      <c r="F1786" s="197">
        <v>5</v>
      </c>
      <c r="G1786" s="198">
        <f t="shared" si="13"/>
        <v>150</v>
      </c>
      <c r="H1786" s="753">
        <v>11.6</v>
      </c>
      <c r="I1786" s="912" t="s">
        <v>3030</v>
      </c>
    </row>
    <row r="1787" spans="1:9">
      <c r="A1787" s="899" t="s">
        <v>3016</v>
      </c>
      <c r="B1787" s="34" t="s">
        <v>2848</v>
      </c>
      <c r="C1787" s="752">
        <v>25</v>
      </c>
      <c r="D1787" s="34" t="s">
        <v>3026</v>
      </c>
      <c r="E1787" s="196">
        <v>30</v>
      </c>
      <c r="F1787" s="197">
        <v>5</v>
      </c>
      <c r="G1787" s="198">
        <f t="shared" si="13"/>
        <v>150</v>
      </c>
      <c r="H1787" s="753">
        <v>11.6</v>
      </c>
      <c r="I1787" s="912" t="s">
        <v>3030</v>
      </c>
    </row>
    <row r="1788" spans="1:9">
      <c r="A1788" s="899" t="s">
        <v>3016</v>
      </c>
      <c r="B1788" s="34" t="s">
        <v>2848</v>
      </c>
      <c r="C1788" s="752">
        <v>25</v>
      </c>
      <c r="D1788" s="34" t="s">
        <v>1910</v>
      </c>
      <c r="E1788" s="196">
        <v>30</v>
      </c>
      <c r="F1788" s="197">
        <v>5</v>
      </c>
      <c r="G1788" s="198">
        <f t="shared" si="13"/>
        <v>150</v>
      </c>
      <c r="H1788" s="753">
        <v>11.6</v>
      </c>
      <c r="I1788" s="912" t="s">
        <v>3030</v>
      </c>
    </row>
    <row r="1789" spans="1:9">
      <c r="A1789" s="899" t="s">
        <v>3016</v>
      </c>
      <c r="B1789" s="34" t="s">
        <v>2848</v>
      </c>
      <c r="C1789" s="752">
        <v>25</v>
      </c>
      <c r="D1789" s="34" t="s">
        <v>2922</v>
      </c>
      <c r="E1789" s="196">
        <v>30</v>
      </c>
      <c r="F1789" s="197">
        <v>5</v>
      </c>
      <c r="G1789" s="198">
        <f t="shared" si="13"/>
        <v>150</v>
      </c>
      <c r="H1789" s="753">
        <v>11.6</v>
      </c>
      <c r="I1789" s="912" t="s">
        <v>3030</v>
      </c>
    </row>
    <row r="1790" spans="1:9">
      <c r="A1790" s="899" t="s">
        <v>3016</v>
      </c>
      <c r="B1790" s="34" t="s">
        <v>2848</v>
      </c>
      <c r="C1790" s="752">
        <v>25</v>
      </c>
      <c r="D1790" s="34" t="s">
        <v>116</v>
      </c>
      <c r="E1790" s="196">
        <v>30</v>
      </c>
      <c r="F1790" s="197">
        <v>5</v>
      </c>
      <c r="G1790" s="198">
        <f t="shared" si="13"/>
        <v>150</v>
      </c>
      <c r="H1790" s="753">
        <v>11.6</v>
      </c>
      <c r="I1790" s="911">
        <v>45680</v>
      </c>
    </row>
    <row r="1791" spans="1:9">
      <c r="A1791" s="899" t="s">
        <v>3016</v>
      </c>
      <c r="B1791" s="34" t="s">
        <v>2848</v>
      </c>
      <c r="C1791" s="752">
        <v>25</v>
      </c>
      <c r="D1791" s="34" t="s">
        <v>3023</v>
      </c>
      <c r="E1791" s="196">
        <v>30</v>
      </c>
      <c r="F1791" s="197">
        <v>5</v>
      </c>
      <c r="G1791" s="198">
        <f t="shared" si="13"/>
        <v>150</v>
      </c>
      <c r="H1791" s="753">
        <v>11.6</v>
      </c>
      <c r="I1791" s="912" t="s">
        <v>3030</v>
      </c>
    </row>
    <row r="1792" spans="1:9">
      <c r="A1792" s="899" t="s">
        <v>3016</v>
      </c>
      <c r="B1792" s="34" t="s">
        <v>2848</v>
      </c>
      <c r="C1792" s="752">
        <v>25</v>
      </c>
      <c r="D1792" s="34" t="s">
        <v>3027</v>
      </c>
      <c r="E1792" s="196">
        <v>30</v>
      </c>
      <c r="F1792" s="197">
        <v>5</v>
      </c>
      <c r="G1792" s="198">
        <f t="shared" si="13"/>
        <v>150</v>
      </c>
      <c r="H1792" s="753">
        <v>11.6</v>
      </c>
      <c r="I1792" s="912" t="s">
        <v>3030</v>
      </c>
    </row>
    <row r="1793" spans="1:9">
      <c r="A1793" s="899" t="s">
        <v>3016</v>
      </c>
      <c r="B1793" s="34" t="s">
        <v>2848</v>
      </c>
      <c r="C1793" s="752">
        <v>25</v>
      </c>
      <c r="D1793" s="34" t="s">
        <v>3028</v>
      </c>
      <c r="E1793" s="196">
        <v>30</v>
      </c>
      <c r="F1793" s="197">
        <v>5</v>
      </c>
      <c r="G1793" s="198">
        <f t="shared" si="13"/>
        <v>150</v>
      </c>
      <c r="H1793" s="753">
        <v>11.6</v>
      </c>
      <c r="I1793" s="912" t="s">
        <v>3030</v>
      </c>
    </row>
    <row r="1794" spans="1:9">
      <c r="A1794" s="899" t="s">
        <v>3016</v>
      </c>
      <c r="B1794" s="34" t="s">
        <v>2848</v>
      </c>
      <c r="C1794" s="752">
        <v>25</v>
      </c>
      <c r="D1794" s="34" t="s">
        <v>163</v>
      </c>
      <c r="E1794" s="196">
        <v>30</v>
      </c>
      <c r="F1794" s="197">
        <v>5</v>
      </c>
      <c r="G1794" s="198">
        <f t="shared" si="13"/>
        <v>150</v>
      </c>
      <c r="H1794" s="753">
        <v>11.6</v>
      </c>
      <c r="I1794" s="912" t="s">
        <v>3030</v>
      </c>
    </row>
    <row r="1795" spans="1:9">
      <c r="A1795" s="899" t="s">
        <v>3016</v>
      </c>
      <c r="B1795" s="752"/>
      <c r="C1795" s="34"/>
      <c r="D1795" s="196"/>
      <c r="E1795" s="197"/>
      <c r="F1795" s="198"/>
      <c r="G1795" s="908"/>
      <c r="H1795" s="909"/>
      <c r="I1795" s="918"/>
    </row>
    <row r="1796" spans="1:9">
      <c r="A1796" s="899" t="s">
        <v>3016</v>
      </c>
      <c r="B1796" s="34">
        <v>3544</v>
      </c>
      <c r="C1796" s="752" t="s">
        <v>3029</v>
      </c>
      <c r="D1796" s="34" t="s">
        <v>74</v>
      </c>
      <c r="E1796" s="196">
        <v>30</v>
      </c>
      <c r="F1796" s="197">
        <v>10</v>
      </c>
      <c r="G1796" s="198">
        <f t="shared" si="13"/>
        <v>300</v>
      </c>
      <c r="H1796" s="753">
        <v>19</v>
      </c>
      <c r="I1796" s="912" t="s">
        <v>3021</v>
      </c>
    </row>
    <row r="1797" spans="1:9">
      <c r="A1797" s="899" t="s">
        <v>3016</v>
      </c>
      <c r="B1797" s="913"/>
      <c r="C1797" s="914"/>
      <c r="D1797" s="913" t="s">
        <v>279</v>
      </c>
      <c r="E1797" s="915"/>
      <c r="F1797" s="916"/>
      <c r="G1797" s="917">
        <v>1</v>
      </c>
      <c r="H1797" s="909">
        <v>12</v>
      </c>
      <c r="I1797" s="910"/>
    </row>
  </sheetData>
  <mergeCells count="33">
    <mergeCell ref="G1157:G1158"/>
    <mergeCell ref="C326:D326"/>
    <mergeCell ref="G596:G598"/>
    <mergeCell ref="E730:E733"/>
    <mergeCell ref="G782:G786"/>
    <mergeCell ref="G787:G789"/>
    <mergeCell ref="G793:G797"/>
    <mergeCell ref="A1157:A1158"/>
    <mergeCell ref="B1157:B1158"/>
    <mergeCell ref="C1157:C1158"/>
    <mergeCell ref="E1157:E1158"/>
    <mergeCell ref="F1157:F1158"/>
    <mergeCell ref="A1161:A1162"/>
    <mergeCell ref="B1161:B1162"/>
    <mergeCell ref="C1161:C1162"/>
    <mergeCell ref="D1161:D1162"/>
    <mergeCell ref="F1161:F1162"/>
    <mergeCell ref="A1391:A1392"/>
    <mergeCell ref="B1391:E1391"/>
    <mergeCell ref="H1391:H1392"/>
    <mergeCell ref="F1662:F1664"/>
    <mergeCell ref="G1163:G1164"/>
    <mergeCell ref="A1334:A1335"/>
    <mergeCell ref="B1334:E1334"/>
    <mergeCell ref="H1334:H1335"/>
    <mergeCell ref="A1385:A1386"/>
    <mergeCell ref="B1385:E1385"/>
    <mergeCell ref="H1385:H1386"/>
    <mergeCell ref="A1163:A1164"/>
    <mergeCell ref="B1163:B1164"/>
    <mergeCell ref="C1163:C1164"/>
    <mergeCell ref="D1163:D1164"/>
    <mergeCell ref="F1163:F1164"/>
  </mergeCells>
  <phoneticPr fontId="3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4BDCB-CD0B-44F3-8FCC-04CA887A4570}">
  <sheetPr codeName="Sheet2"/>
  <dimension ref="A10:J130"/>
  <sheetViews>
    <sheetView workbookViewId="0"/>
  </sheetViews>
  <sheetFormatPr defaultRowHeight="13.5"/>
  <cols>
    <col min="1" max="1" width="16.75" customWidth="1"/>
    <col min="2" max="2" width="20.875" customWidth="1"/>
    <col min="3" max="3" width="14.875" customWidth="1"/>
    <col min="4" max="4" width="22.625" bestFit="1" customWidth="1"/>
    <col min="5" max="5" width="21.75" bestFit="1" customWidth="1"/>
    <col min="6" max="6" width="11.875" bestFit="1" customWidth="1"/>
    <col min="7" max="7" width="10.625" bestFit="1" customWidth="1"/>
    <col min="8" max="8" width="11.875" bestFit="1" customWidth="1"/>
  </cols>
  <sheetData>
    <row r="10" spans="1:5">
      <c r="A10" s="34" t="s">
        <v>22</v>
      </c>
      <c r="B10" s="35" t="s">
        <v>32</v>
      </c>
      <c r="C10" s="34" t="s">
        <v>33</v>
      </c>
      <c r="D10" s="36" t="s">
        <v>34</v>
      </c>
      <c r="E10" s="39" t="s">
        <v>5</v>
      </c>
    </row>
    <row r="11" spans="1:5">
      <c r="A11" s="34" t="s">
        <v>12</v>
      </c>
      <c r="B11" s="35" t="s">
        <v>13</v>
      </c>
      <c r="C11" s="34" t="s">
        <v>14</v>
      </c>
      <c r="D11" s="37">
        <v>5</v>
      </c>
      <c r="E11" s="38">
        <v>3.34</v>
      </c>
    </row>
    <row r="12" spans="1:5">
      <c r="A12" s="34" t="s">
        <v>12</v>
      </c>
      <c r="B12" s="35" t="s">
        <v>13</v>
      </c>
      <c r="C12" s="34" t="s">
        <v>15</v>
      </c>
      <c r="D12" s="37">
        <v>5</v>
      </c>
      <c r="E12" s="38">
        <v>3.34</v>
      </c>
    </row>
    <row r="13" spans="1:5">
      <c r="A13" s="34" t="s">
        <v>16</v>
      </c>
      <c r="B13" s="35"/>
      <c r="C13" s="34"/>
      <c r="D13" s="37"/>
      <c r="E13" s="40" t="s">
        <v>5</v>
      </c>
    </row>
    <row r="14" spans="1:5">
      <c r="A14" s="34" t="s">
        <v>18</v>
      </c>
      <c r="B14" s="35" t="s">
        <v>17</v>
      </c>
      <c r="C14" s="34" t="s">
        <v>19</v>
      </c>
      <c r="D14" s="37">
        <v>5</v>
      </c>
      <c r="E14" s="38">
        <v>4.74</v>
      </c>
    </row>
    <row r="15" spans="1:5">
      <c r="A15" s="34" t="s">
        <v>18</v>
      </c>
      <c r="B15" s="35" t="s">
        <v>17</v>
      </c>
      <c r="C15" s="34" t="s">
        <v>20</v>
      </c>
      <c r="D15" s="37">
        <v>5</v>
      </c>
      <c r="E15" s="38">
        <v>4.74</v>
      </c>
    </row>
    <row r="16" spans="1:5">
      <c r="A16" s="34" t="s">
        <v>18</v>
      </c>
      <c r="B16" s="35" t="s">
        <v>21</v>
      </c>
      <c r="C16" s="34" t="s">
        <v>19</v>
      </c>
      <c r="D16" s="37">
        <v>5</v>
      </c>
      <c r="E16" s="38">
        <v>6.2</v>
      </c>
    </row>
    <row r="17" spans="1:10">
      <c r="A17" s="34" t="s">
        <v>18</v>
      </c>
      <c r="B17" s="35" t="s">
        <v>21</v>
      </c>
      <c r="C17" s="34" t="s">
        <v>20</v>
      </c>
      <c r="D17" s="37">
        <v>5</v>
      </c>
      <c r="E17" s="38">
        <v>6.2</v>
      </c>
    </row>
    <row r="18" spans="1:10">
      <c r="A18" s="34" t="s">
        <v>23</v>
      </c>
      <c r="B18" s="35"/>
      <c r="C18" s="34"/>
      <c r="D18" s="37"/>
      <c r="E18" s="40" t="s">
        <v>5</v>
      </c>
    </row>
    <row r="19" spans="1:10">
      <c r="A19" s="34">
        <v>4182</v>
      </c>
      <c r="B19" s="35">
        <v>22</v>
      </c>
      <c r="C19" s="34" t="s">
        <v>24</v>
      </c>
      <c r="D19" s="37">
        <v>5</v>
      </c>
      <c r="E19" s="38">
        <v>2.08</v>
      </c>
    </row>
    <row r="20" spans="1:10">
      <c r="A20" s="34">
        <v>4182</v>
      </c>
      <c r="B20" s="35">
        <v>22</v>
      </c>
      <c r="C20" s="34" t="s">
        <v>25</v>
      </c>
      <c r="D20" s="37">
        <v>5</v>
      </c>
      <c r="E20" s="38">
        <v>2.08</v>
      </c>
    </row>
    <row r="21" spans="1:10">
      <c r="A21" s="34">
        <v>4182</v>
      </c>
      <c r="B21" s="35">
        <v>22</v>
      </c>
      <c r="C21" s="34" t="s">
        <v>26</v>
      </c>
      <c r="D21" s="37">
        <v>5</v>
      </c>
      <c r="E21" s="38">
        <v>2.08</v>
      </c>
    </row>
    <row r="22" spans="1:10">
      <c r="A22" s="34" t="s">
        <v>27</v>
      </c>
      <c r="B22" s="35"/>
      <c r="C22" s="34"/>
      <c r="D22" s="37"/>
      <c r="E22" s="40" t="s">
        <v>5</v>
      </c>
    </row>
    <row r="23" spans="1:10">
      <c r="A23" s="34">
        <v>3336</v>
      </c>
      <c r="B23" s="35">
        <v>30</v>
      </c>
      <c r="C23" s="34" t="s">
        <v>28</v>
      </c>
      <c r="D23" s="37">
        <v>5</v>
      </c>
      <c r="E23" s="38">
        <v>2.36</v>
      </c>
    </row>
    <row r="24" spans="1:10">
      <c r="A24" s="34" t="s">
        <v>29</v>
      </c>
      <c r="B24" s="35"/>
      <c r="C24" s="34"/>
      <c r="D24" s="37"/>
      <c r="E24" s="40" t="s">
        <v>5</v>
      </c>
    </row>
    <row r="25" spans="1:10">
      <c r="A25" s="34" t="s">
        <v>30</v>
      </c>
      <c r="B25" s="35">
        <v>30</v>
      </c>
      <c r="C25" s="34" t="s">
        <v>31</v>
      </c>
      <c r="D25" s="37">
        <v>5</v>
      </c>
      <c r="E25" s="38">
        <v>4.54</v>
      </c>
    </row>
    <row r="28" spans="1:10" ht="14.25" thickBot="1"/>
    <row r="29" spans="1:10" ht="14.25">
      <c r="A29" s="44" t="s">
        <v>43</v>
      </c>
      <c r="B29" s="44" t="s">
        <v>44</v>
      </c>
      <c r="C29" s="44" t="s">
        <v>45</v>
      </c>
      <c r="D29" s="44" t="s">
        <v>46</v>
      </c>
      <c r="E29" s="44" t="s">
        <v>47</v>
      </c>
      <c r="F29" s="44" t="s">
        <v>48</v>
      </c>
      <c r="G29" s="44" t="s">
        <v>49</v>
      </c>
      <c r="H29" s="44" t="s">
        <v>50</v>
      </c>
      <c r="I29" s="44" t="s">
        <v>51</v>
      </c>
      <c r="J29" s="45" t="s">
        <v>52</v>
      </c>
    </row>
    <row r="30" spans="1:10" ht="14.25" thickBot="1"/>
    <row r="31" spans="1:10" ht="14.25">
      <c r="A31" s="3" t="s">
        <v>0</v>
      </c>
      <c r="B31" s="3"/>
      <c r="C31" s="3" t="s">
        <v>33</v>
      </c>
      <c r="D31" s="1030" t="s">
        <v>1</v>
      </c>
      <c r="E31" s="1031"/>
      <c r="F31" s="1032"/>
      <c r="G31" s="3" t="s">
        <v>42</v>
      </c>
    </row>
    <row r="32" spans="1:10" ht="15">
      <c r="A32" s="17" t="s">
        <v>37</v>
      </c>
      <c r="B32" s="17"/>
      <c r="C32" s="17" t="s">
        <v>38</v>
      </c>
      <c r="D32" s="41">
        <v>13.7</v>
      </c>
      <c r="E32" s="26">
        <v>2</v>
      </c>
      <c r="F32" s="46">
        <v>24376</v>
      </c>
      <c r="G32" s="47">
        <v>74</v>
      </c>
    </row>
    <row r="33" spans="1:7" ht="15">
      <c r="A33" s="17" t="s">
        <v>37</v>
      </c>
      <c r="B33" s="17"/>
      <c r="C33" s="17" t="s">
        <v>39</v>
      </c>
      <c r="D33" s="41">
        <v>13.7</v>
      </c>
      <c r="E33" s="26">
        <v>2</v>
      </c>
      <c r="F33" s="46">
        <v>24376</v>
      </c>
      <c r="G33" s="47">
        <v>74</v>
      </c>
    </row>
    <row r="34" spans="1:7" ht="15">
      <c r="A34" s="17" t="s">
        <v>40</v>
      </c>
      <c r="B34" s="17"/>
      <c r="C34" s="17" t="s">
        <v>38</v>
      </c>
      <c r="D34" s="41">
        <v>13.7</v>
      </c>
      <c r="E34" s="26">
        <v>2</v>
      </c>
      <c r="F34" s="46">
        <v>24198</v>
      </c>
      <c r="G34" s="47">
        <v>128</v>
      </c>
    </row>
    <row r="35" spans="1:7" ht="15">
      <c r="A35" s="17" t="s">
        <v>40</v>
      </c>
      <c r="B35" s="17"/>
      <c r="C35" s="17" t="s">
        <v>39</v>
      </c>
      <c r="D35" s="41">
        <v>13.7</v>
      </c>
      <c r="E35" s="26">
        <v>2</v>
      </c>
      <c r="F35" s="46">
        <v>24198</v>
      </c>
      <c r="G35" s="47">
        <v>128</v>
      </c>
    </row>
    <row r="36" spans="1:7" ht="15">
      <c r="A36" s="43"/>
      <c r="B36" s="43"/>
      <c r="C36" s="17" t="s">
        <v>41</v>
      </c>
      <c r="D36" s="1033" t="s">
        <v>53</v>
      </c>
      <c r="E36" s="1034"/>
      <c r="F36" s="1035"/>
      <c r="G36" s="18"/>
    </row>
    <row r="38" spans="1:7" ht="15">
      <c r="A38" s="65" t="s">
        <v>57</v>
      </c>
    </row>
    <row r="39" spans="1:7" s="5" customFormat="1" ht="15">
      <c r="A39" s="23" t="s">
        <v>76</v>
      </c>
      <c r="B39" s="17" t="s">
        <v>77</v>
      </c>
      <c r="C39" s="19" t="s">
        <v>78</v>
      </c>
      <c r="D39" s="17" t="s">
        <v>79</v>
      </c>
      <c r="E39" s="22" t="s">
        <v>34</v>
      </c>
      <c r="F39" s="11" t="s">
        <v>80</v>
      </c>
    </row>
    <row r="40" spans="1:7" s="5" customFormat="1" ht="18" customHeight="1">
      <c r="A40" s="23" t="s">
        <v>69</v>
      </c>
      <c r="B40" s="17">
        <v>4063</v>
      </c>
      <c r="C40" s="19">
        <v>15</v>
      </c>
      <c r="D40" s="17" t="s">
        <v>70</v>
      </c>
      <c r="E40" s="61">
        <v>30</v>
      </c>
      <c r="F40" s="62">
        <v>0.9</v>
      </c>
    </row>
    <row r="41" spans="1:7" s="5" customFormat="1" ht="18" customHeight="1">
      <c r="A41" s="23" t="s">
        <v>69</v>
      </c>
      <c r="B41" s="17">
        <v>4063</v>
      </c>
      <c r="C41" s="19">
        <v>15</v>
      </c>
      <c r="D41" s="17" t="s">
        <v>71</v>
      </c>
      <c r="E41" s="61">
        <v>30</v>
      </c>
      <c r="F41" s="62">
        <v>0.9</v>
      </c>
    </row>
    <row r="42" spans="1:7" s="5" customFormat="1" ht="18" customHeight="1">
      <c r="A42" s="23" t="s">
        <v>69</v>
      </c>
      <c r="B42" s="17">
        <v>4063</v>
      </c>
      <c r="C42" s="19">
        <v>15</v>
      </c>
      <c r="D42" s="17" t="s">
        <v>72</v>
      </c>
      <c r="E42" s="61">
        <v>30</v>
      </c>
      <c r="F42" s="62">
        <v>0.9</v>
      </c>
    </row>
    <row r="43" spans="1:7" s="5" customFormat="1" ht="18" customHeight="1">
      <c r="A43" s="23" t="s">
        <v>69</v>
      </c>
      <c r="B43" s="17">
        <v>4063</v>
      </c>
      <c r="C43" s="19">
        <v>15</v>
      </c>
      <c r="D43" s="17" t="s">
        <v>73</v>
      </c>
      <c r="E43" s="61">
        <v>30</v>
      </c>
      <c r="F43" s="62">
        <v>0.9</v>
      </c>
    </row>
    <row r="44" spans="1:7" s="5" customFormat="1" ht="18" customHeight="1">
      <c r="A44" s="23" t="s">
        <v>69</v>
      </c>
      <c r="B44" s="17">
        <v>4067</v>
      </c>
      <c r="C44" s="19">
        <v>15</v>
      </c>
      <c r="D44" s="17" t="s">
        <v>74</v>
      </c>
      <c r="E44" s="61">
        <v>30</v>
      </c>
      <c r="F44" s="62">
        <v>0.9</v>
      </c>
    </row>
    <row r="45" spans="1:7" s="5" customFormat="1" ht="18" customHeight="1">
      <c r="A45" s="23" t="s">
        <v>69</v>
      </c>
      <c r="B45" s="17">
        <v>4067</v>
      </c>
      <c r="C45" s="19">
        <v>15</v>
      </c>
      <c r="D45" s="17" t="s">
        <v>75</v>
      </c>
      <c r="E45" s="61">
        <v>30</v>
      </c>
      <c r="F45" s="62">
        <v>0.9</v>
      </c>
    </row>
    <row r="46" spans="1:7" s="1" customFormat="1" ht="15">
      <c r="A46" s="23" t="s">
        <v>69</v>
      </c>
      <c r="B46" s="59"/>
      <c r="C46" s="63"/>
      <c r="D46" s="42" t="s">
        <v>11</v>
      </c>
      <c r="E46" s="64"/>
      <c r="F46" s="62">
        <v>12</v>
      </c>
    </row>
    <row r="50" spans="1:5" s="5" customFormat="1" ht="15">
      <c r="A50" s="23" t="s">
        <v>76</v>
      </c>
      <c r="B50" s="17" t="s">
        <v>77</v>
      </c>
      <c r="C50" s="17" t="s">
        <v>82</v>
      </c>
      <c r="D50" s="22" t="s">
        <v>34</v>
      </c>
      <c r="E50" s="11" t="s">
        <v>83</v>
      </c>
    </row>
    <row r="51" spans="1:5" s="5" customFormat="1" ht="15">
      <c r="A51" s="23" t="s">
        <v>68</v>
      </c>
      <c r="B51" s="17" t="s">
        <v>37</v>
      </c>
      <c r="C51" s="17" t="s">
        <v>39</v>
      </c>
      <c r="D51" s="66" t="s">
        <v>81</v>
      </c>
      <c r="E51" s="62">
        <v>1.24</v>
      </c>
    </row>
    <row r="52" spans="1:5" s="5" customFormat="1" ht="15">
      <c r="A52" s="23" t="s">
        <v>68</v>
      </c>
      <c r="B52" s="43"/>
      <c r="C52" s="17" t="s">
        <v>41</v>
      </c>
      <c r="D52" s="67">
        <v>1</v>
      </c>
      <c r="E52" s="62">
        <v>100</v>
      </c>
    </row>
    <row r="54" spans="1:5" ht="15.75">
      <c r="A54" s="69" t="s">
        <v>76</v>
      </c>
      <c r="B54" s="69" t="s">
        <v>90</v>
      </c>
      <c r="C54" s="70" t="s">
        <v>77</v>
      </c>
      <c r="D54" s="70" t="s">
        <v>82</v>
      </c>
      <c r="E54" s="71" t="s">
        <v>34</v>
      </c>
    </row>
    <row r="55" spans="1:5" ht="14.25">
      <c r="A55" s="72" t="s">
        <v>84</v>
      </c>
      <c r="B55" s="42" t="s">
        <v>62</v>
      </c>
      <c r="C55" s="42">
        <v>2440</v>
      </c>
      <c r="D55" s="42" t="s">
        <v>85</v>
      </c>
      <c r="E55" s="61">
        <v>15</v>
      </c>
    </row>
    <row r="56" spans="1:5" ht="14.25">
      <c r="A56" s="72" t="s">
        <v>84</v>
      </c>
      <c r="B56" s="42" t="s">
        <v>62</v>
      </c>
      <c r="C56" s="42">
        <v>2440</v>
      </c>
      <c r="D56" s="42" t="s">
        <v>86</v>
      </c>
      <c r="E56" s="61">
        <v>10</v>
      </c>
    </row>
    <row r="57" spans="1:5" ht="14.25">
      <c r="A57" s="72" t="s">
        <v>84</v>
      </c>
      <c r="B57" s="42" t="s">
        <v>62</v>
      </c>
      <c r="C57" s="42">
        <v>2440</v>
      </c>
      <c r="D57" s="42" t="s">
        <v>87</v>
      </c>
      <c r="E57" s="61">
        <v>15</v>
      </c>
    </row>
    <row r="58" spans="1:5" ht="14.25">
      <c r="A58" s="72" t="s">
        <v>84</v>
      </c>
      <c r="B58" s="42" t="s">
        <v>62</v>
      </c>
      <c r="C58" s="42">
        <v>2440</v>
      </c>
      <c r="D58" s="42" t="s">
        <v>88</v>
      </c>
      <c r="E58" s="61">
        <v>10</v>
      </c>
    </row>
    <row r="59" spans="1:5" ht="14.25">
      <c r="A59" s="72" t="s">
        <v>84</v>
      </c>
      <c r="B59" s="42" t="s">
        <v>62</v>
      </c>
      <c r="C59" s="42">
        <v>2440</v>
      </c>
      <c r="D59" s="42" t="s">
        <v>89</v>
      </c>
      <c r="E59" s="61">
        <v>15</v>
      </c>
    </row>
    <row r="62" spans="1:5" s="1" customFormat="1" ht="18" customHeight="1">
      <c r="A62" s="69" t="s">
        <v>76</v>
      </c>
      <c r="B62" s="70" t="s">
        <v>77</v>
      </c>
      <c r="C62" s="70" t="s">
        <v>82</v>
      </c>
      <c r="D62" s="71" t="s">
        <v>34</v>
      </c>
      <c r="E62" s="73" t="s">
        <v>83</v>
      </c>
    </row>
    <row r="63" spans="1:5" s="1" customFormat="1" ht="18" customHeight="1">
      <c r="A63" s="52" t="s">
        <v>84</v>
      </c>
      <c r="B63" s="68">
        <v>2440</v>
      </c>
      <c r="C63" s="42" t="s">
        <v>85</v>
      </c>
      <c r="D63" s="53">
        <v>15</v>
      </c>
      <c r="E63" s="29">
        <v>3.1</v>
      </c>
    </row>
    <row r="64" spans="1:5" s="1" customFormat="1" ht="18" customHeight="1">
      <c r="A64" s="52" t="s">
        <v>84</v>
      </c>
      <c r="B64" s="68">
        <v>2440</v>
      </c>
      <c r="C64" s="42" t="s">
        <v>86</v>
      </c>
      <c r="D64" s="53">
        <v>10</v>
      </c>
      <c r="E64" s="29">
        <v>3.1</v>
      </c>
    </row>
    <row r="65" spans="1:5" s="1" customFormat="1" ht="18" customHeight="1">
      <c r="A65" s="52" t="s">
        <v>84</v>
      </c>
      <c r="B65" s="68">
        <v>2440</v>
      </c>
      <c r="C65" s="42" t="s">
        <v>87</v>
      </c>
      <c r="D65" s="53">
        <v>15</v>
      </c>
      <c r="E65" s="29">
        <v>3.1</v>
      </c>
    </row>
    <row r="66" spans="1:5" s="1" customFormat="1" ht="18" customHeight="1">
      <c r="A66" s="52" t="s">
        <v>84</v>
      </c>
      <c r="B66" s="68">
        <v>2440</v>
      </c>
      <c r="C66" s="42" t="s">
        <v>88</v>
      </c>
      <c r="D66" s="53">
        <v>10</v>
      </c>
      <c r="E66" s="29">
        <v>3.1</v>
      </c>
    </row>
    <row r="67" spans="1:5" s="1" customFormat="1" ht="18" customHeight="1">
      <c r="A67" s="52" t="s">
        <v>84</v>
      </c>
      <c r="B67" s="68">
        <v>2440</v>
      </c>
      <c r="C67" s="42" t="s">
        <v>89</v>
      </c>
      <c r="D67" s="53">
        <v>15</v>
      </c>
      <c r="E67" s="29">
        <v>3.1</v>
      </c>
    </row>
    <row r="68" spans="1:5" s="1" customFormat="1" ht="14.25">
      <c r="A68" s="52" t="s">
        <v>84</v>
      </c>
      <c r="B68" s="59"/>
      <c r="C68" s="42" t="s">
        <v>54</v>
      </c>
      <c r="D68" s="25" t="s">
        <v>91</v>
      </c>
      <c r="E68" s="29">
        <v>60</v>
      </c>
    </row>
    <row r="69" spans="1:5" s="1" customFormat="1" ht="14.25">
      <c r="A69" s="52" t="s">
        <v>84</v>
      </c>
      <c r="B69" s="59"/>
      <c r="C69" s="42" t="s">
        <v>11</v>
      </c>
      <c r="D69" s="25" t="s">
        <v>60</v>
      </c>
      <c r="E69" s="29">
        <v>12</v>
      </c>
    </row>
    <row r="74" spans="1:5" ht="15.75">
      <c r="A74" s="70" t="s">
        <v>77</v>
      </c>
      <c r="B74" s="70" t="s">
        <v>82</v>
      </c>
      <c r="C74" s="71" t="s">
        <v>34</v>
      </c>
      <c r="D74" s="73" t="s">
        <v>83</v>
      </c>
    </row>
    <row r="75" spans="1:5" ht="15">
      <c r="A75" s="17" t="s">
        <v>108</v>
      </c>
      <c r="B75" s="17" t="s">
        <v>55</v>
      </c>
      <c r="C75" s="41">
        <v>54.8</v>
      </c>
      <c r="D75" s="29">
        <v>2.4</v>
      </c>
    </row>
    <row r="76" spans="1:5" ht="14.25">
      <c r="A76" s="42"/>
      <c r="B76" s="42" t="s">
        <v>11</v>
      </c>
      <c r="C76" s="25" t="s">
        <v>60</v>
      </c>
      <c r="D76" s="29">
        <v>12</v>
      </c>
    </row>
    <row r="78" spans="1:5" ht="15.75">
      <c r="A78" s="70" t="s">
        <v>77</v>
      </c>
      <c r="B78" s="70" t="s">
        <v>82</v>
      </c>
      <c r="C78" s="71" t="s">
        <v>34</v>
      </c>
      <c r="D78" s="73" t="s">
        <v>83</v>
      </c>
    </row>
    <row r="79" spans="1:5" ht="15">
      <c r="A79" s="17" t="s">
        <v>98</v>
      </c>
      <c r="B79" s="17" t="s">
        <v>99</v>
      </c>
      <c r="C79" s="41">
        <v>27.4</v>
      </c>
      <c r="D79" s="29">
        <v>2.0699999999999998</v>
      </c>
    </row>
    <row r="80" spans="1:5" ht="15">
      <c r="A80" s="17" t="s">
        <v>98</v>
      </c>
      <c r="B80" s="17" t="s">
        <v>100</v>
      </c>
      <c r="C80" s="41">
        <v>27.4</v>
      </c>
      <c r="D80" s="29">
        <v>2.0699999999999998</v>
      </c>
    </row>
    <row r="81" spans="1:8" ht="14.25">
      <c r="A81" s="42"/>
      <c r="B81" s="42" t="s">
        <v>101</v>
      </c>
      <c r="C81" s="25" t="s">
        <v>102</v>
      </c>
      <c r="D81" s="29">
        <v>200</v>
      </c>
    </row>
    <row r="82" spans="1:8" ht="14.25">
      <c r="A82" s="42"/>
      <c r="B82" s="42"/>
      <c r="C82" s="25"/>
      <c r="D82" s="29"/>
    </row>
    <row r="83" spans="1:8" ht="14.25">
      <c r="A83" s="42"/>
      <c r="B83" s="42"/>
      <c r="C83" s="25"/>
      <c r="D83" s="29"/>
    </row>
    <row r="84" spans="1:8" ht="14.25">
      <c r="A84" s="42"/>
      <c r="B84" s="42"/>
      <c r="C84" s="25"/>
      <c r="D84" s="29"/>
    </row>
    <row r="85" spans="1:8" ht="14.25">
      <c r="A85" s="42"/>
      <c r="B85" s="42"/>
      <c r="C85" s="25"/>
      <c r="D85" s="29"/>
    </row>
    <row r="86" spans="1:8" ht="14.25">
      <c r="A86" s="42"/>
      <c r="B86" s="42"/>
      <c r="C86" s="25"/>
      <c r="D86" s="29"/>
    </row>
    <row r="87" spans="1:8" ht="15">
      <c r="A87" s="9"/>
      <c r="B87" s="14" t="s">
        <v>97</v>
      </c>
      <c r="C87" s="19"/>
      <c r="D87" s="17"/>
      <c r="E87" s="54"/>
      <c r="F87" s="54"/>
      <c r="G87" s="55"/>
      <c r="H87" s="57" t="s">
        <v>96</v>
      </c>
    </row>
    <row r="88" spans="1:8" ht="15">
      <c r="A88" s="9" t="s">
        <v>9</v>
      </c>
      <c r="B88" s="75" t="s">
        <v>98</v>
      </c>
      <c r="C88" s="19"/>
      <c r="D88" s="17" t="s">
        <v>99</v>
      </c>
      <c r="E88" s="41">
        <f>F88*G88</f>
        <v>27.4</v>
      </c>
      <c r="F88" s="41">
        <v>13.7</v>
      </c>
      <c r="G88" s="51">
        <v>2</v>
      </c>
      <c r="H88" s="18">
        <v>2.0699999999999998</v>
      </c>
    </row>
    <row r="89" spans="1:8" ht="15">
      <c r="A89" s="9" t="s">
        <v>9</v>
      </c>
      <c r="B89" s="75" t="s">
        <v>98</v>
      </c>
      <c r="C89" s="19"/>
      <c r="D89" s="17" t="s">
        <v>100</v>
      </c>
      <c r="E89" s="41">
        <f>F89*G89</f>
        <v>27.4</v>
      </c>
      <c r="F89" s="41">
        <v>13.7</v>
      </c>
      <c r="G89" s="51">
        <v>2</v>
      </c>
      <c r="H89" s="18">
        <v>2.0699999999999998</v>
      </c>
    </row>
    <row r="90" spans="1:8" ht="15">
      <c r="A90" s="9" t="s">
        <v>9</v>
      </c>
      <c r="B90" s="75"/>
      <c r="C90" s="19"/>
      <c r="D90" s="17" t="s">
        <v>101</v>
      </c>
      <c r="E90" s="41"/>
      <c r="F90" s="79" t="s">
        <v>102</v>
      </c>
      <c r="G90" s="51"/>
      <c r="H90" s="18">
        <v>200</v>
      </c>
    </row>
    <row r="94" spans="1:8" ht="15">
      <c r="A94" s="75" t="s">
        <v>65</v>
      </c>
      <c r="B94" s="19"/>
      <c r="C94" s="17" t="s">
        <v>55</v>
      </c>
      <c r="D94" s="56">
        <v>54.8</v>
      </c>
      <c r="E94" s="41">
        <v>13.7</v>
      </c>
      <c r="F94" s="26">
        <v>4</v>
      </c>
      <c r="G94" s="18">
        <v>2.4</v>
      </c>
    </row>
    <row r="95" spans="1:8" ht="14.25">
      <c r="A95" s="42"/>
      <c r="B95" s="60"/>
      <c r="C95" s="42" t="s">
        <v>11</v>
      </c>
      <c r="D95" s="25"/>
      <c r="E95" s="25" t="s">
        <v>60</v>
      </c>
      <c r="F95" s="26"/>
      <c r="G95" s="29">
        <v>12</v>
      </c>
    </row>
    <row r="97" spans="1:7" ht="15">
      <c r="A97" s="14" t="s">
        <v>35</v>
      </c>
      <c r="B97" s="19"/>
      <c r="C97" s="17"/>
      <c r="D97" s="54"/>
      <c r="E97" s="54"/>
      <c r="F97" s="55"/>
      <c r="G97" s="11" t="s">
        <v>4</v>
      </c>
    </row>
    <row r="98" spans="1:7" ht="15">
      <c r="A98" s="75" t="s">
        <v>64</v>
      </c>
      <c r="B98" s="19"/>
      <c r="C98" s="17" t="s">
        <v>103</v>
      </c>
      <c r="D98" s="25">
        <f>E98*F98</f>
        <v>14</v>
      </c>
      <c r="E98" s="41">
        <v>14</v>
      </c>
      <c r="F98" s="26">
        <v>1</v>
      </c>
      <c r="G98" s="18">
        <v>1.65</v>
      </c>
    </row>
    <row r="99" spans="1:7" ht="15">
      <c r="A99" s="75" t="s">
        <v>58</v>
      </c>
      <c r="B99" s="19"/>
      <c r="C99" s="17" t="s">
        <v>63</v>
      </c>
      <c r="D99" s="56">
        <f>E99*F99</f>
        <v>13.7</v>
      </c>
      <c r="E99" s="41">
        <v>13.7</v>
      </c>
      <c r="F99" s="26">
        <v>1</v>
      </c>
      <c r="G99" s="18">
        <v>2.4</v>
      </c>
    </row>
    <row r="100" spans="1:7" ht="14.25">
      <c r="A100" s="42"/>
      <c r="B100" s="60"/>
      <c r="C100" s="42" t="s">
        <v>11</v>
      </c>
      <c r="D100" s="25"/>
      <c r="E100" s="25" t="s">
        <v>60</v>
      </c>
      <c r="F100" s="26"/>
      <c r="G100" s="29">
        <v>12</v>
      </c>
    </row>
    <row r="103" spans="1:7" ht="15.75">
      <c r="A103" s="70" t="s">
        <v>77</v>
      </c>
      <c r="B103" s="70" t="s">
        <v>82</v>
      </c>
      <c r="C103" s="71" t="s">
        <v>34</v>
      </c>
      <c r="D103" s="73" t="s">
        <v>83</v>
      </c>
    </row>
    <row r="104" spans="1:7" ht="15">
      <c r="A104" s="17" t="s">
        <v>65</v>
      </c>
      <c r="B104" s="17" t="s">
        <v>55</v>
      </c>
      <c r="C104" s="41" t="s">
        <v>109</v>
      </c>
      <c r="D104" s="29">
        <v>2.4</v>
      </c>
    </row>
    <row r="105" spans="1:7" ht="14.25">
      <c r="A105" s="42"/>
      <c r="B105" s="42" t="s">
        <v>11</v>
      </c>
      <c r="C105" s="25" t="s">
        <v>60</v>
      </c>
      <c r="D105" s="29">
        <v>12</v>
      </c>
    </row>
    <row r="108" spans="1:7" ht="15">
      <c r="A108" s="14" t="s">
        <v>35</v>
      </c>
      <c r="B108" s="19"/>
      <c r="C108" s="17"/>
      <c r="D108" s="54"/>
      <c r="E108" s="54"/>
      <c r="F108" s="55"/>
      <c r="G108" s="11" t="s">
        <v>4</v>
      </c>
    </row>
    <row r="109" spans="1:7" ht="15">
      <c r="A109" s="75" t="s">
        <v>65</v>
      </c>
      <c r="B109" s="19"/>
      <c r="C109" s="17" t="s">
        <v>55</v>
      </c>
      <c r="D109" s="56">
        <f>E109*F109</f>
        <v>109.6</v>
      </c>
      <c r="E109" s="41">
        <v>13.7</v>
      </c>
      <c r="F109" s="26">
        <v>8</v>
      </c>
      <c r="G109" s="18">
        <v>2.4</v>
      </c>
    </row>
    <row r="110" spans="1:7" ht="14.25">
      <c r="A110" s="42"/>
      <c r="B110" s="60"/>
      <c r="C110" s="42" t="s">
        <v>11</v>
      </c>
      <c r="D110" s="25"/>
      <c r="E110" s="25" t="s">
        <v>60</v>
      </c>
      <c r="F110" s="26"/>
      <c r="G110" s="29">
        <v>12</v>
      </c>
    </row>
    <row r="119" spans="1:9">
      <c r="A119" s="87" t="s">
        <v>124</v>
      </c>
      <c r="B119" s="632" t="s">
        <v>125</v>
      </c>
      <c r="C119" s="633" t="s">
        <v>126</v>
      </c>
      <c r="D119" s="634" t="s">
        <v>127</v>
      </c>
    </row>
    <row r="120" spans="1:9" ht="21">
      <c r="A120" s="635">
        <v>14552</v>
      </c>
      <c r="B120" s="636">
        <v>5</v>
      </c>
      <c r="C120" s="637">
        <v>30</v>
      </c>
      <c r="D120" s="88">
        <v>23.5</v>
      </c>
      <c r="E120" s="90" t="s">
        <v>128</v>
      </c>
      <c r="F120" s="90" t="s">
        <v>129</v>
      </c>
      <c r="G120" s="91" t="s">
        <v>130</v>
      </c>
      <c r="H120" s="90"/>
      <c r="I120" s="92">
        <v>23.5</v>
      </c>
    </row>
    <row r="121" spans="1:9" ht="21">
      <c r="A121" s="635">
        <v>14552</v>
      </c>
      <c r="B121" s="636">
        <v>7</v>
      </c>
      <c r="C121" s="637">
        <v>30</v>
      </c>
      <c r="D121" s="88">
        <v>24.5</v>
      </c>
      <c r="E121" s="90" t="s">
        <v>128</v>
      </c>
      <c r="F121" s="90" t="s">
        <v>131</v>
      </c>
      <c r="G121" s="91" t="s">
        <v>130</v>
      </c>
      <c r="H121" s="90"/>
      <c r="I121" s="92">
        <v>24.5</v>
      </c>
    </row>
    <row r="122" spans="1:9" ht="21">
      <c r="A122" s="635">
        <v>14552</v>
      </c>
      <c r="B122" s="636">
        <v>10</v>
      </c>
      <c r="C122" s="637">
        <v>30</v>
      </c>
      <c r="D122" s="89">
        <v>27</v>
      </c>
      <c r="E122" s="90" t="s">
        <v>128</v>
      </c>
      <c r="F122" s="90" t="s">
        <v>132</v>
      </c>
      <c r="G122" s="91" t="s">
        <v>130</v>
      </c>
      <c r="H122" s="90"/>
      <c r="I122" s="92">
        <v>27</v>
      </c>
    </row>
    <row r="123" spans="1:9" ht="21">
      <c r="A123" s="635">
        <v>14552</v>
      </c>
      <c r="B123" s="636">
        <v>12</v>
      </c>
      <c r="C123" s="637">
        <v>30</v>
      </c>
      <c r="D123" s="88">
        <v>29.5</v>
      </c>
      <c r="E123" s="90" t="s">
        <v>128</v>
      </c>
      <c r="F123" s="90" t="s">
        <v>133</v>
      </c>
      <c r="G123" s="91" t="s">
        <v>130</v>
      </c>
      <c r="H123" s="90"/>
      <c r="I123" s="92">
        <v>29.5</v>
      </c>
    </row>
    <row r="124" spans="1:9" ht="21">
      <c r="A124" s="635">
        <v>14552</v>
      </c>
      <c r="B124" s="636">
        <v>15</v>
      </c>
      <c r="C124" s="637">
        <v>30</v>
      </c>
      <c r="D124" s="89">
        <v>33</v>
      </c>
      <c r="E124" s="90" t="s">
        <v>128</v>
      </c>
      <c r="F124" s="90" t="s">
        <v>134</v>
      </c>
      <c r="G124" s="91" t="s">
        <v>130</v>
      </c>
      <c r="H124" s="90"/>
      <c r="I124" s="92">
        <v>33</v>
      </c>
    </row>
    <row r="125" spans="1:9" ht="21">
      <c r="A125" s="635">
        <v>14552</v>
      </c>
      <c r="B125" s="636">
        <v>18</v>
      </c>
      <c r="C125" s="637">
        <v>30</v>
      </c>
      <c r="D125" s="89">
        <v>40</v>
      </c>
      <c r="E125" s="90" t="s">
        <v>128</v>
      </c>
      <c r="F125" s="90" t="s">
        <v>135</v>
      </c>
      <c r="G125" s="91" t="s">
        <v>130</v>
      </c>
      <c r="H125" s="90"/>
      <c r="I125" s="92">
        <v>40</v>
      </c>
    </row>
    <row r="126" spans="1:9" ht="21">
      <c r="A126" s="635">
        <v>14552</v>
      </c>
      <c r="B126" s="636">
        <v>25</v>
      </c>
      <c r="C126" s="637">
        <v>30</v>
      </c>
      <c r="D126" s="89">
        <v>48</v>
      </c>
      <c r="E126" s="90" t="s">
        <v>128</v>
      </c>
      <c r="F126" s="90" t="s">
        <v>136</v>
      </c>
      <c r="G126" s="91" t="s">
        <v>130</v>
      </c>
      <c r="H126" s="90"/>
      <c r="I126" s="92">
        <v>48</v>
      </c>
    </row>
    <row r="127" spans="1:9" ht="21">
      <c r="A127" s="635">
        <v>14552</v>
      </c>
      <c r="B127" s="636">
        <v>30</v>
      </c>
      <c r="C127" s="637">
        <v>30</v>
      </c>
      <c r="D127" s="89">
        <v>63</v>
      </c>
      <c r="E127" s="90" t="s">
        <v>128</v>
      </c>
      <c r="F127" s="90" t="s">
        <v>137</v>
      </c>
      <c r="G127" s="91" t="s">
        <v>130</v>
      </c>
      <c r="H127" s="90"/>
      <c r="I127" s="92">
        <v>63</v>
      </c>
    </row>
    <row r="128" spans="1:9" ht="21">
      <c r="A128" s="635">
        <v>14552</v>
      </c>
      <c r="B128" s="636">
        <v>38</v>
      </c>
      <c r="C128" s="637">
        <v>30</v>
      </c>
      <c r="D128" s="88">
        <v>70.5</v>
      </c>
      <c r="E128" s="90" t="s">
        <v>128</v>
      </c>
      <c r="F128" s="90" t="s">
        <v>138</v>
      </c>
      <c r="G128" s="91" t="s">
        <v>130</v>
      </c>
      <c r="H128" s="90"/>
      <c r="I128" s="92">
        <v>70.5</v>
      </c>
    </row>
    <row r="129" spans="1:9" ht="21">
      <c r="A129" s="635">
        <v>14552</v>
      </c>
      <c r="B129" s="636">
        <v>50</v>
      </c>
      <c r="C129" s="637">
        <v>30</v>
      </c>
      <c r="D129" s="89">
        <v>101</v>
      </c>
      <c r="E129" s="90" t="s">
        <v>128</v>
      </c>
      <c r="F129" s="90" t="s">
        <v>139</v>
      </c>
      <c r="G129" s="91" t="s">
        <v>130</v>
      </c>
      <c r="H129" s="90"/>
      <c r="I129" s="92">
        <v>101</v>
      </c>
    </row>
    <row r="130" spans="1:9" ht="21">
      <c r="A130" s="635">
        <v>14552</v>
      </c>
      <c r="B130" s="636">
        <v>75</v>
      </c>
      <c r="C130" s="637">
        <v>30</v>
      </c>
      <c r="D130" s="89">
        <v>162</v>
      </c>
      <c r="E130" s="90" t="s">
        <v>128</v>
      </c>
      <c r="F130" s="90" t="s">
        <v>140</v>
      </c>
      <c r="G130" s="91" t="s">
        <v>130</v>
      </c>
      <c r="H130" s="90"/>
      <c r="I130" s="92">
        <v>162</v>
      </c>
    </row>
  </sheetData>
  <mergeCells count="2">
    <mergeCell ref="D31:F31"/>
    <mergeCell ref="D36:F36"/>
  </mergeCells>
  <phoneticPr fontId="3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B1:AH63"/>
  <sheetViews>
    <sheetView showGridLines="0" view="pageBreakPreview" zoomScaleNormal="100" zoomScaleSheetLayoutView="100" workbookViewId="0">
      <selection activeCell="W30" sqref="W30:X31"/>
    </sheetView>
  </sheetViews>
  <sheetFormatPr defaultColWidth="3.25" defaultRowHeight="12"/>
  <cols>
    <col min="1" max="1" width="3.25" style="215"/>
    <col min="2" max="2" width="6.25" style="222" customWidth="1"/>
    <col min="3" max="20" width="3.25" style="215"/>
    <col min="21" max="22" width="6.375" style="215" customWidth="1"/>
    <col min="23" max="28" width="4.875" style="215" customWidth="1"/>
    <col min="29" max="32" width="3.25" style="215"/>
    <col min="33" max="34" width="4.875" style="215" customWidth="1"/>
    <col min="35" max="37" width="3.25" style="215"/>
    <col min="38" max="38" width="3.75" style="215" bestFit="1" customWidth="1"/>
    <col min="39" max="16384" width="3.25" style="215"/>
  </cols>
  <sheetData>
    <row r="1" spans="3:34">
      <c r="C1" s="1153" t="s">
        <v>336</v>
      </c>
      <c r="D1" s="1154"/>
      <c r="E1" s="1154"/>
      <c r="F1" s="1155"/>
      <c r="G1" s="1152"/>
      <c r="H1" s="1152"/>
      <c r="I1" s="1152"/>
      <c r="J1" s="1152"/>
      <c r="K1" s="1152"/>
      <c r="L1" s="1152"/>
      <c r="M1" s="1152"/>
    </row>
    <row r="2" spans="3:34">
      <c r="C2" s="1153" t="s">
        <v>337</v>
      </c>
      <c r="D2" s="1154"/>
      <c r="E2" s="1154"/>
      <c r="F2" s="1155"/>
      <c r="G2" s="1152"/>
      <c r="H2" s="1152"/>
      <c r="I2" s="1152"/>
      <c r="J2" s="1152"/>
      <c r="K2" s="1152"/>
      <c r="L2" s="1152"/>
      <c r="M2" s="1152"/>
    </row>
    <row r="4" spans="3:34" ht="18.75" customHeight="1">
      <c r="C4" s="1079" t="s">
        <v>322</v>
      </c>
      <c r="D4" s="1080"/>
      <c r="E4" s="1080"/>
      <c r="F4" s="1080"/>
      <c r="G4" s="1080"/>
      <c r="H4" s="1080"/>
      <c r="I4" s="1080"/>
      <c r="J4" s="1080"/>
      <c r="K4" s="1080"/>
      <c r="L4" s="1080"/>
      <c r="M4" s="1080"/>
      <c r="N4" s="1080"/>
      <c r="O4" s="1080"/>
      <c r="P4" s="1080"/>
      <c r="Q4" s="1080"/>
      <c r="R4" s="1080"/>
      <c r="S4" s="1080"/>
      <c r="T4" s="1080"/>
      <c r="U4" s="1082" t="s">
        <v>290</v>
      </c>
      <c r="V4" s="1082"/>
      <c r="W4" s="1082"/>
      <c r="X4" s="1082"/>
      <c r="Y4" s="1082"/>
      <c r="Z4" s="1082"/>
      <c r="AA4" s="1082"/>
      <c r="AB4" s="1082"/>
      <c r="AC4" s="1082"/>
      <c r="AD4" s="1082"/>
      <c r="AE4" s="1082"/>
      <c r="AF4" s="1082"/>
      <c r="AG4" s="1082"/>
      <c r="AH4" s="1082"/>
    </row>
    <row r="5" spans="3:34" ht="18.75" customHeight="1">
      <c r="C5" s="1080"/>
      <c r="D5" s="1080"/>
      <c r="E5" s="1080"/>
      <c r="F5" s="1080"/>
      <c r="G5" s="1080"/>
      <c r="H5" s="1080"/>
      <c r="I5" s="1080"/>
      <c r="J5" s="1080"/>
      <c r="K5" s="1080"/>
      <c r="L5" s="1080"/>
      <c r="M5" s="1080"/>
      <c r="N5" s="1080"/>
      <c r="O5" s="1080"/>
      <c r="P5" s="1080"/>
      <c r="Q5" s="1080"/>
      <c r="R5" s="1080"/>
      <c r="S5" s="1080"/>
      <c r="T5" s="1080"/>
      <c r="U5" s="1082"/>
      <c r="V5" s="1082"/>
      <c r="W5" s="1082"/>
      <c r="X5" s="1082"/>
      <c r="Y5" s="1082"/>
      <c r="Z5" s="1082"/>
      <c r="AA5" s="1082"/>
      <c r="AB5" s="1082"/>
      <c r="AC5" s="1082"/>
      <c r="AD5" s="1082"/>
      <c r="AE5" s="1082"/>
      <c r="AF5" s="1082"/>
      <c r="AG5" s="1082"/>
      <c r="AH5" s="1082"/>
    </row>
    <row r="6" spans="3:34" ht="18.75">
      <c r="C6" s="1080"/>
      <c r="D6" s="1080"/>
      <c r="E6" s="1080"/>
      <c r="F6" s="1080"/>
      <c r="G6" s="1080"/>
      <c r="H6" s="1080"/>
      <c r="I6" s="1080"/>
      <c r="J6" s="1080"/>
      <c r="K6" s="1080"/>
      <c r="L6" s="1080"/>
      <c r="M6" s="1080"/>
      <c r="N6" s="1080"/>
      <c r="O6" s="1080"/>
      <c r="P6" s="1080"/>
      <c r="Q6" s="1080"/>
      <c r="R6" s="1080"/>
      <c r="S6" s="1080"/>
      <c r="T6" s="1080"/>
      <c r="U6" s="1083" t="s">
        <v>291</v>
      </c>
      <c r="V6" s="1083"/>
      <c r="W6" s="1083">
        <v>12345</v>
      </c>
      <c r="X6" s="1083"/>
      <c r="Y6" s="1083"/>
      <c r="Z6" s="1083"/>
      <c r="AA6" s="1083"/>
      <c r="AB6" s="1083"/>
      <c r="AC6" s="1083"/>
      <c r="AD6" s="1083"/>
      <c r="AE6" s="1083"/>
      <c r="AF6" s="1083"/>
      <c r="AG6" s="1083"/>
      <c r="AH6" s="1083"/>
    </row>
    <row r="7" spans="3:34" ht="18.75" customHeight="1">
      <c r="C7" s="1081"/>
      <c r="D7" s="1081"/>
      <c r="E7" s="1081"/>
      <c r="F7" s="1081"/>
      <c r="G7" s="1081"/>
      <c r="H7" s="1081"/>
      <c r="I7" s="1081"/>
      <c r="J7" s="1081"/>
      <c r="K7" s="1081"/>
      <c r="L7" s="1081"/>
      <c r="M7" s="1081"/>
      <c r="N7" s="1081"/>
      <c r="O7" s="1081"/>
      <c r="P7" s="1081"/>
      <c r="Q7" s="1081"/>
      <c r="R7" s="1081"/>
      <c r="S7" s="1081"/>
      <c r="T7" s="1081"/>
      <c r="U7" s="1084" t="s">
        <v>292</v>
      </c>
      <c r="V7" s="1084"/>
      <c r="W7" s="228"/>
      <c r="X7" s="1084" t="s">
        <v>323</v>
      </c>
      <c r="Y7" s="1084"/>
      <c r="Z7" s="228"/>
      <c r="AA7" s="228" t="s">
        <v>324</v>
      </c>
      <c r="AB7" s="224"/>
      <c r="AC7" s="224"/>
      <c r="AD7" s="1085" t="s">
        <v>293</v>
      </c>
      <c r="AE7" s="1085"/>
      <c r="AF7" s="1085"/>
      <c r="AG7" s="1085"/>
      <c r="AH7" s="1085"/>
    </row>
    <row r="8" spans="3:34" ht="18.75" customHeight="1">
      <c r="C8" s="1086" t="s">
        <v>294</v>
      </c>
      <c r="D8" s="1087"/>
      <c r="E8" s="1087"/>
      <c r="F8" s="1087"/>
      <c r="G8" s="1074"/>
      <c r="H8" s="1075"/>
      <c r="I8" s="1075"/>
      <c r="J8" s="1075"/>
      <c r="K8" s="1075"/>
      <c r="L8" s="1075"/>
      <c r="M8" s="1075"/>
      <c r="N8" s="1075"/>
      <c r="O8" s="1075"/>
      <c r="P8" s="1075"/>
      <c r="Q8" s="1075"/>
      <c r="R8" s="1075"/>
      <c r="S8" s="1075"/>
      <c r="T8" s="1076"/>
      <c r="U8" s="1071" t="s">
        <v>295</v>
      </c>
      <c r="V8" s="1072"/>
      <c r="W8" s="1072"/>
      <c r="X8" s="1072"/>
      <c r="Y8" s="1072"/>
      <c r="Z8" s="1072"/>
      <c r="AA8" s="1092" t="s">
        <v>296</v>
      </c>
      <c r="AB8" s="1072"/>
      <c r="AC8" s="1072"/>
      <c r="AD8" s="1072"/>
      <c r="AE8" s="1072"/>
      <c r="AF8" s="1072"/>
      <c r="AG8" s="1072"/>
      <c r="AH8" s="1073"/>
    </row>
    <row r="9" spans="3:34" ht="18.75" customHeight="1">
      <c r="C9" s="1088"/>
      <c r="D9" s="1089"/>
      <c r="E9" s="1089"/>
      <c r="F9" s="1089"/>
      <c r="G9" s="1060"/>
      <c r="H9" s="1061"/>
      <c r="I9" s="1061"/>
      <c r="J9" s="1061"/>
      <c r="K9" s="1061"/>
      <c r="L9" s="1061"/>
      <c r="M9" s="1061"/>
      <c r="N9" s="1061"/>
      <c r="O9" s="1061"/>
      <c r="P9" s="1061"/>
      <c r="Q9" s="1061"/>
      <c r="R9" s="1061"/>
      <c r="S9" s="1061"/>
      <c r="T9" s="1062"/>
      <c r="U9" s="1093" t="s">
        <v>326</v>
      </c>
      <c r="V9" s="1064"/>
      <c r="W9" s="1064"/>
      <c r="X9" s="1064"/>
      <c r="Y9" s="1064"/>
      <c r="Z9" s="1064"/>
      <c r="AA9" s="1063" t="s">
        <v>325</v>
      </c>
      <c r="AB9" s="1064"/>
      <c r="AC9" s="1064"/>
      <c r="AD9" s="1064"/>
      <c r="AE9" s="1064"/>
      <c r="AF9" s="1064"/>
      <c r="AG9" s="1064"/>
      <c r="AH9" s="1065"/>
    </row>
    <row r="10" spans="3:34" ht="18.75" customHeight="1">
      <c r="C10" s="1088"/>
      <c r="D10" s="1089"/>
      <c r="E10" s="1089"/>
      <c r="F10" s="1089"/>
      <c r="G10" s="1060"/>
      <c r="H10" s="1061"/>
      <c r="I10" s="1061"/>
      <c r="J10" s="1061"/>
      <c r="K10" s="1061"/>
      <c r="L10" s="1061"/>
      <c r="M10" s="1061"/>
      <c r="N10" s="1061"/>
      <c r="O10" s="1061"/>
      <c r="P10" s="1061"/>
      <c r="Q10" s="1061"/>
      <c r="R10" s="1061"/>
      <c r="S10" s="1061"/>
      <c r="T10" s="1062"/>
      <c r="U10" s="1053" t="s">
        <v>297</v>
      </c>
      <c r="V10" s="1054"/>
      <c r="W10" s="1054"/>
      <c r="X10" s="1054"/>
      <c r="Y10" s="1054"/>
      <c r="Z10" s="1054"/>
      <c r="AA10" s="1055" t="s">
        <v>298</v>
      </c>
      <c r="AB10" s="1054"/>
      <c r="AC10" s="1054"/>
      <c r="AD10" s="1054"/>
      <c r="AE10" s="1054"/>
      <c r="AF10" s="1054"/>
      <c r="AG10" s="1054"/>
      <c r="AH10" s="1056"/>
    </row>
    <row r="11" spans="3:34" ht="18.75" customHeight="1">
      <c r="C11" s="1088"/>
      <c r="D11" s="1089"/>
      <c r="E11" s="1089"/>
      <c r="F11" s="1089"/>
      <c r="G11" s="1060"/>
      <c r="H11" s="1061"/>
      <c r="I11" s="1061"/>
      <c r="J11" s="1061"/>
      <c r="K11" s="1061"/>
      <c r="L11" s="1061"/>
      <c r="M11" s="1061"/>
      <c r="N11" s="1061"/>
      <c r="O11" s="1061"/>
      <c r="P11" s="1061"/>
      <c r="Q11" s="1061"/>
      <c r="R11" s="1061"/>
      <c r="S11" s="1061"/>
      <c r="T11" s="1062"/>
      <c r="U11" s="1094" t="s">
        <v>326</v>
      </c>
      <c r="V11" s="1095"/>
      <c r="W11" s="1095"/>
      <c r="X11" s="1095"/>
      <c r="Y11" s="1095"/>
      <c r="Z11" s="1095"/>
      <c r="AA11" s="1096" t="s">
        <v>325</v>
      </c>
      <c r="AB11" s="1095"/>
      <c r="AC11" s="1095"/>
      <c r="AD11" s="1095"/>
      <c r="AE11" s="1095"/>
      <c r="AF11" s="1095"/>
      <c r="AG11" s="1095"/>
      <c r="AH11" s="1097"/>
    </row>
    <row r="12" spans="3:34" ht="18.75" customHeight="1">
      <c r="C12" s="1088"/>
      <c r="D12" s="1089"/>
      <c r="E12" s="1089"/>
      <c r="F12" s="1089"/>
      <c r="G12" s="1060"/>
      <c r="H12" s="1061"/>
      <c r="I12" s="1061"/>
      <c r="J12" s="1061"/>
      <c r="K12" s="1061"/>
      <c r="L12" s="1061"/>
      <c r="M12" s="1061"/>
      <c r="N12" s="1061"/>
      <c r="O12" s="1061"/>
      <c r="P12" s="1061"/>
      <c r="Q12" s="1061"/>
      <c r="R12" s="1061"/>
      <c r="S12" s="1061"/>
      <c r="T12" s="1062"/>
      <c r="U12" s="1071" t="s">
        <v>299</v>
      </c>
      <c r="V12" s="1072"/>
      <c r="W12" s="1072"/>
      <c r="X12" s="1072"/>
      <c r="Y12" s="1072"/>
      <c r="Z12" s="1072"/>
      <c r="AA12" s="1072"/>
      <c r="AB12" s="1072"/>
      <c r="AC12" s="1072"/>
      <c r="AD12" s="1072"/>
      <c r="AE12" s="1072"/>
      <c r="AF12" s="1072"/>
      <c r="AG12" s="1072"/>
      <c r="AH12" s="1073"/>
    </row>
    <row r="13" spans="3:34" ht="18.75" customHeight="1">
      <c r="C13" s="1090"/>
      <c r="D13" s="1091"/>
      <c r="E13" s="1091"/>
      <c r="F13" s="1091"/>
      <c r="G13" s="1068"/>
      <c r="H13" s="1069"/>
      <c r="I13" s="1069"/>
      <c r="J13" s="1069"/>
      <c r="K13" s="1069"/>
      <c r="L13" s="1069"/>
      <c r="M13" s="1069"/>
      <c r="N13" s="1069"/>
      <c r="O13" s="1069"/>
      <c r="P13" s="1069"/>
      <c r="Q13" s="1069"/>
      <c r="R13" s="1069"/>
      <c r="S13" s="1069"/>
      <c r="T13" s="1070"/>
      <c r="U13" s="1053" t="s">
        <v>300</v>
      </c>
      <c r="V13" s="1054"/>
      <c r="W13" s="1063" t="s">
        <v>334</v>
      </c>
      <c r="X13" s="1064"/>
      <c r="Y13" s="1064"/>
      <c r="Z13" s="1064"/>
      <c r="AA13" s="1064"/>
      <c r="AB13" s="1064"/>
      <c r="AC13" s="1064"/>
      <c r="AD13" s="1064"/>
      <c r="AE13" s="1064"/>
      <c r="AF13" s="1064"/>
      <c r="AG13" s="1064"/>
      <c r="AH13" s="1065"/>
    </row>
    <row r="14" spans="3:34" ht="18.75" customHeight="1">
      <c r="C14" s="1086" t="s">
        <v>301</v>
      </c>
      <c r="D14" s="1087"/>
      <c r="E14" s="1087"/>
      <c r="F14" s="1087"/>
      <c r="G14" s="1074"/>
      <c r="H14" s="1075"/>
      <c r="I14" s="1075"/>
      <c r="J14" s="1075"/>
      <c r="K14" s="1075"/>
      <c r="L14" s="1075"/>
      <c r="M14" s="1075"/>
      <c r="N14" s="1075"/>
      <c r="O14" s="1075"/>
      <c r="P14" s="1075"/>
      <c r="Q14" s="1075"/>
      <c r="R14" s="1075"/>
      <c r="S14" s="1075"/>
      <c r="T14" s="1076"/>
      <c r="U14" s="1053" t="s">
        <v>302</v>
      </c>
      <c r="V14" s="1054"/>
      <c r="W14" s="1063" t="s">
        <v>327</v>
      </c>
      <c r="X14" s="1064"/>
      <c r="Y14" s="1064"/>
      <c r="Z14" s="1064"/>
      <c r="AA14" s="1064"/>
      <c r="AB14" s="1064"/>
      <c r="AC14" s="1064"/>
      <c r="AD14" s="1064"/>
      <c r="AE14" s="1064"/>
      <c r="AF14" s="1064"/>
      <c r="AG14" s="1064"/>
      <c r="AH14" s="1065"/>
    </row>
    <row r="15" spans="3:34" ht="18.75" customHeight="1">
      <c r="C15" s="1088"/>
      <c r="D15" s="1089"/>
      <c r="E15" s="1089"/>
      <c r="F15" s="1089"/>
      <c r="G15" s="1060"/>
      <c r="H15" s="1061"/>
      <c r="I15" s="1061"/>
      <c r="J15" s="1061"/>
      <c r="K15" s="1061"/>
      <c r="L15" s="1061"/>
      <c r="M15" s="1061"/>
      <c r="N15" s="1061"/>
      <c r="O15" s="1061"/>
      <c r="P15" s="1061"/>
      <c r="Q15" s="1061"/>
      <c r="R15" s="1061"/>
      <c r="S15" s="1061"/>
      <c r="T15" s="1062"/>
      <c r="U15" s="1077" t="s">
        <v>332</v>
      </c>
      <c r="V15" s="1078"/>
      <c r="W15" s="1057" t="s">
        <v>333</v>
      </c>
      <c r="X15" s="1058"/>
      <c r="Y15" s="1058"/>
      <c r="Z15" s="1058"/>
      <c r="AA15" s="1058"/>
      <c r="AB15" s="1058"/>
      <c r="AC15" s="1058"/>
      <c r="AD15" s="1058"/>
      <c r="AE15" s="1058"/>
      <c r="AF15" s="1058"/>
      <c r="AG15" s="1058"/>
      <c r="AH15" s="1059"/>
    </row>
    <row r="16" spans="3:34" ht="18.75" customHeight="1">
      <c r="C16" s="1088"/>
      <c r="D16" s="1089"/>
      <c r="E16" s="1089"/>
      <c r="F16" s="1089"/>
      <c r="G16" s="1060"/>
      <c r="H16" s="1061"/>
      <c r="I16" s="1061"/>
      <c r="J16" s="1061"/>
      <c r="K16" s="1061"/>
      <c r="L16" s="1061"/>
      <c r="M16" s="1061"/>
      <c r="N16" s="1061"/>
      <c r="O16" s="1061"/>
      <c r="P16" s="1061"/>
      <c r="Q16" s="1061"/>
      <c r="R16" s="1061"/>
      <c r="S16" s="1061"/>
      <c r="T16" s="1062"/>
      <c r="U16" s="1053" t="s">
        <v>303</v>
      </c>
      <c r="V16" s="1054"/>
      <c r="W16" s="1063" t="s">
        <v>328</v>
      </c>
      <c r="X16" s="1064"/>
      <c r="Y16" s="1064"/>
      <c r="Z16" s="1064"/>
      <c r="AA16" s="1064"/>
      <c r="AB16" s="1064"/>
      <c r="AC16" s="1064"/>
      <c r="AD16" s="1064"/>
      <c r="AE16" s="1064"/>
      <c r="AF16" s="1064"/>
      <c r="AG16" s="1064"/>
      <c r="AH16" s="1065"/>
    </row>
    <row r="17" spans="2:34" ht="18.75" customHeight="1">
      <c r="C17" s="1088"/>
      <c r="D17" s="1089"/>
      <c r="E17" s="1089"/>
      <c r="F17" s="1089"/>
      <c r="G17" s="1060"/>
      <c r="H17" s="1061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2"/>
      <c r="U17" s="1098" t="s">
        <v>304</v>
      </c>
      <c r="V17" s="1099"/>
      <c r="W17" s="1068" t="s">
        <v>329</v>
      </c>
      <c r="X17" s="1069"/>
      <c r="Y17" s="1069"/>
      <c r="Z17" s="1069"/>
      <c r="AA17" s="1066" t="s">
        <v>330</v>
      </c>
      <c r="AB17" s="1067"/>
      <c r="AC17" s="1067"/>
      <c r="AD17" s="1068" t="s">
        <v>331</v>
      </c>
      <c r="AE17" s="1069"/>
      <c r="AF17" s="1069"/>
      <c r="AG17" s="1069"/>
      <c r="AH17" s="1070"/>
    </row>
    <row r="18" spans="2:34" ht="18.75" customHeight="1">
      <c r="C18" s="1088"/>
      <c r="D18" s="1089"/>
      <c r="E18" s="1089"/>
      <c r="F18" s="1089"/>
      <c r="G18" s="1060"/>
      <c r="H18" s="1061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2"/>
      <c r="U18" s="1071" t="s">
        <v>305</v>
      </c>
      <c r="V18" s="1072"/>
      <c r="W18" s="1072"/>
      <c r="X18" s="1072"/>
      <c r="Y18" s="1072"/>
      <c r="Z18" s="1072"/>
      <c r="AA18" s="1072"/>
      <c r="AB18" s="1072"/>
      <c r="AC18" s="1072"/>
      <c r="AD18" s="1072"/>
      <c r="AE18" s="1072"/>
      <c r="AF18" s="1072"/>
      <c r="AG18" s="1072"/>
      <c r="AH18" s="1073"/>
    </row>
    <row r="19" spans="2:34" ht="18.75" customHeight="1">
      <c r="C19" s="1088"/>
      <c r="D19" s="1089"/>
      <c r="E19" s="1089"/>
      <c r="F19" s="1089"/>
      <c r="G19" s="1110"/>
      <c r="H19" s="1111"/>
      <c r="I19" s="1111"/>
      <c r="J19" s="1111"/>
      <c r="K19" s="1111"/>
      <c r="L19" s="1069"/>
      <c r="M19" s="1069"/>
      <c r="N19" s="1069"/>
      <c r="O19" s="1069"/>
      <c r="P19" s="1069"/>
      <c r="Q19" s="1069"/>
      <c r="R19" s="1069"/>
      <c r="S19" s="1069"/>
      <c r="T19" s="1070"/>
      <c r="U19" s="244" t="s">
        <v>342</v>
      </c>
      <c r="V19" s="225"/>
      <c r="W19" s="227" t="s">
        <v>335</v>
      </c>
      <c r="X19" s="227"/>
      <c r="Y19" s="227"/>
      <c r="Z19" s="227"/>
      <c r="AA19" s="225"/>
      <c r="AB19" s="225"/>
      <c r="AC19" s="225"/>
      <c r="AD19" s="225"/>
      <c r="AE19" s="225"/>
      <c r="AF19" s="225"/>
      <c r="AG19" s="225"/>
      <c r="AH19" s="226"/>
    </row>
    <row r="20" spans="2:34" ht="18.75" customHeight="1">
      <c r="C20" s="1071" t="s">
        <v>306</v>
      </c>
      <c r="D20" s="1072"/>
      <c r="E20" s="1072"/>
      <c r="F20" s="1072"/>
      <c r="G20" s="1072"/>
      <c r="H20" s="1072"/>
      <c r="I20" s="1072"/>
      <c r="J20" s="1072"/>
      <c r="K20" s="1073"/>
      <c r="L20" s="216" t="s">
        <v>307</v>
      </c>
      <c r="M20" s="216"/>
      <c r="N20" s="216"/>
      <c r="O20" s="216"/>
      <c r="P20" s="216"/>
      <c r="Q20" s="216"/>
      <c r="R20" s="216"/>
      <c r="S20" s="216"/>
      <c r="T20" s="217"/>
      <c r="U20" s="1071" t="s">
        <v>308</v>
      </c>
      <c r="V20" s="1072"/>
      <c r="W20" s="1072"/>
      <c r="X20" s="1072"/>
      <c r="Y20" s="1072"/>
      <c r="Z20" s="218"/>
      <c r="AA20" s="219" t="s">
        <v>341</v>
      </c>
      <c r="AB20" s="216"/>
      <c r="AC20" s="216"/>
      <c r="AD20" s="216"/>
      <c r="AE20" s="216"/>
      <c r="AF20" s="216"/>
      <c r="AG20" s="216"/>
      <c r="AH20" s="217"/>
    </row>
    <row r="21" spans="2:34" ht="18.75" customHeight="1">
      <c r="C21" s="244" t="s">
        <v>342</v>
      </c>
      <c r="D21" s="225"/>
      <c r="E21" s="225"/>
      <c r="F21" s="225"/>
      <c r="G21" s="225"/>
      <c r="H21" s="225"/>
      <c r="I21" s="225"/>
      <c r="J21" s="225"/>
      <c r="K21" s="226"/>
      <c r="L21" s="1106"/>
      <c r="M21" s="1069"/>
      <c r="N21" s="1069"/>
      <c r="O21" s="1069"/>
      <c r="P21" s="1069"/>
      <c r="Q21" s="1069"/>
      <c r="R21" s="1069"/>
      <c r="S21" s="1069"/>
      <c r="T21" s="1070"/>
      <c r="U21" s="1107"/>
      <c r="V21" s="1108"/>
      <c r="W21" s="1108"/>
      <c r="X21" s="1108"/>
      <c r="Y21" s="1108"/>
      <c r="Z21" s="1109"/>
      <c r="AA21" s="231" t="s">
        <v>343</v>
      </c>
      <c r="AB21" s="227"/>
      <c r="AH21" s="232"/>
    </row>
    <row r="22" spans="2:34" ht="18.75" customHeight="1">
      <c r="C22" s="1071" t="s">
        <v>309</v>
      </c>
      <c r="D22" s="1072"/>
      <c r="E22" s="1072"/>
      <c r="F22" s="1072"/>
      <c r="G22" s="1072"/>
      <c r="H22" s="1072"/>
      <c r="I22" s="1072"/>
      <c r="J22" s="1072"/>
      <c r="K22" s="1073"/>
      <c r="L22" s="220" t="s">
        <v>310</v>
      </c>
      <c r="M22" s="220"/>
      <c r="N22" s="220"/>
      <c r="O22" s="220"/>
      <c r="P22" s="220"/>
      <c r="Q22" s="220"/>
      <c r="R22" s="220"/>
      <c r="S22" s="220"/>
      <c r="T22" s="221"/>
      <c r="U22" s="1071" t="s">
        <v>311</v>
      </c>
      <c r="V22" s="1072"/>
      <c r="W22" s="1072"/>
      <c r="X22" s="1072"/>
      <c r="Y22" s="1072"/>
      <c r="Z22" s="218"/>
      <c r="AA22" s="233"/>
      <c r="AB22" s="228"/>
      <c r="AC22" s="228"/>
      <c r="AD22" s="228"/>
      <c r="AE22" s="228"/>
      <c r="AF22" s="228"/>
      <c r="AG22" s="228"/>
      <c r="AH22" s="234"/>
    </row>
    <row r="23" spans="2:34" ht="18.75" customHeight="1" thickBot="1">
      <c r="C23" s="1100"/>
      <c r="D23" s="1101"/>
      <c r="E23" s="1101"/>
      <c r="F23" s="1101"/>
      <c r="G23" s="1101"/>
      <c r="H23" s="1101"/>
      <c r="I23" s="1101"/>
      <c r="J23" s="1101"/>
      <c r="K23" s="1102"/>
      <c r="L23" s="1100"/>
      <c r="M23" s="1101"/>
      <c r="N23" s="1101"/>
      <c r="O23" s="1101"/>
      <c r="P23" s="1101"/>
      <c r="Q23" s="1101"/>
      <c r="R23" s="1101"/>
      <c r="S23" s="1101"/>
      <c r="T23" s="1102"/>
      <c r="U23" s="1100"/>
      <c r="V23" s="1101"/>
      <c r="W23" s="1101"/>
      <c r="X23" s="1101"/>
      <c r="Y23" s="1101"/>
      <c r="Z23" s="1102"/>
      <c r="AA23" s="230" t="s">
        <v>312</v>
      </c>
      <c r="AB23" s="230"/>
      <c r="AC23" s="1159"/>
      <c r="AD23" s="1160"/>
      <c r="AE23" s="1160"/>
      <c r="AF23" s="1160"/>
      <c r="AG23" s="1160"/>
      <c r="AH23" s="1161"/>
    </row>
    <row r="24" spans="2:34" ht="18.75" customHeight="1" thickTop="1">
      <c r="C24" s="1121" t="s">
        <v>345</v>
      </c>
      <c r="D24" s="1115" t="s">
        <v>316</v>
      </c>
      <c r="E24" s="1116"/>
      <c r="F24" s="1116"/>
      <c r="G24" s="1117"/>
      <c r="H24" s="1127" t="s">
        <v>339</v>
      </c>
      <c r="I24" s="1128"/>
      <c r="J24" s="1128"/>
      <c r="K24" s="1128"/>
      <c r="L24" s="1128"/>
      <c r="M24" s="1128"/>
      <c r="N24" s="1128"/>
      <c r="O24" s="1128"/>
      <c r="P24" s="1128"/>
      <c r="Q24" s="1128"/>
      <c r="R24" s="1128"/>
      <c r="S24" s="1128"/>
      <c r="T24" s="1128"/>
      <c r="U24" s="1128"/>
      <c r="V24" s="1129"/>
      <c r="W24" s="1124" t="s">
        <v>313</v>
      </c>
      <c r="X24" s="1125"/>
      <c r="Y24" s="1125"/>
      <c r="Z24" s="1125"/>
      <c r="AA24" s="1125"/>
      <c r="AB24" s="1126"/>
      <c r="AC24" s="1115" t="s">
        <v>314</v>
      </c>
      <c r="AD24" s="1116"/>
      <c r="AE24" s="1117"/>
      <c r="AF24" s="1115" t="s">
        <v>315</v>
      </c>
      <c r="AG24" s="1116"/>
      <c r="AH24" s="1117"/>
    </row>
    <row r="25" spans="2:34" ht="18.75" customHeight="1" thickBot="1">
      <c r="C25" s="1122"/>
      <c r="D25" s="1118"/>
      <c r="E25" s="1119"/>
      <c r="F25" s="1119"/>
      <c r="G25" s="1120"/>
      <c r="H25" s="241" t="s">
        <v>32</v>
      </c>
      <c r="I25" s="229"/>
      <c r="J25" s="229"/>
      <c r="K25" s="242"/>
      <c r="L25" s="235" t="s">
        <v>33</v>
      </c>
      <c r="M25" s="229"/>
      <c r="N25" s="229"/>
      <c r="O25" s="229"/>
      <c r="P25" s="229"/>
      <c r="Q25" s="229"/>
      <c r="R25" s="229"/>
      <c r="S25" s="229"/>
      <c r="T25" s="229"/>
      <c r="U25" s="1164" t="s">
        <v>253</v>
      </c>
      <c r="V25" s="1165"/>
      <c r="W25" s="1175" t="s">
        <v>317</v>
      </c>
      <c r="X25" s="1174"/>
      <c r="Y25" s="1172" t="s">
        <v>318</v>
      </c>
      <c r="Z25" s="1174"/>
      <c r="AA25" s="1172" t="s">
        <v>319</v>
      </c>
      <c r="AB25" s="1173"/>
      <c r="AC25" s="1118"/>
      <c r="AD25" s="1119"/>
      <c r="AE25" s="1120"/>
      <c r="AF25" s="1118"/>
      <c r="AG25" s="1119"/>
      <c r="AH25" s="1120"/>
    </row>
    <row r="26" spans="2:34" ht="18.75" customHeight="1" thickTop="1">
      <c r="B26" s="1134">
        <v>2065</v>
      </c>
      <c r="C26" s="1123">
        <v>1</v>
      </c>
      <c r="D26" s="1112" t="str">
        <f>IFERROR(IF(VLOOKUP(B26,'NY BackOrder'!A:C,3,FALSE)="","",VLOOKUP(B26,'NY BackOrder'!A:C,3,FALSE)),"")</f>
        <v/>
      </c>
      <c r="E26" s="1113"/>
      <c r="F26" s="1113"/>
      <c r="G26" s="1114"/>
      <c r="H26" s="1103" t="str">
        <f>IF(IFERROR(IF(VLOOKUP(B26,'NY BackOrder'!A:E,5,FALSE)="",VLOOKUP(B26,'NY BackOrder'!A:G,7,FALSE),IF(VLOOKUP(B26,'NY BackOrder'!A:E,5,FALSE)=0,"",VLOOKUP(B26,'NY BackOrder'!A:E,5,FALSE))),"")=0,"",IFERROR(IF(VLOOKUP(B26,'NY BackOrder'!A:E,5,FALSE)="",VLOOKUP(B26,'NY BackOrder'!A:G,7,FALSE),IF(VLOOKUP(B26,'NY BackOrder'!A:E,5,FALSE)=0,"",VLOOKUP(B26,'NY BackOrder'!A:E,5,FALSE))),""))</f>
        <v/>
      </c>
      <c r="I26" s="1104"/>
      <c r="J26" s="1104"/>
      <c r="K26" s="1104"/>
      <c r="L26" s="1104"/>
      <c r="M26" s="1104"/>
      <c r="N26" s="1104"/>
      <c r="O26" s="1104"/>
      <c r="P26" s="1104"/>
      <c r="Q26" s="1104"/>
      <c r="R26" s="1104"/>
      <c r="S26" s="1104"/>
      <c r="T26" s="1104"/>
      <c r="U26" s="1104"/>
      <c r="V26" s="1105"/>
      <c r="W26" s="1183" t="str">
        <f>IFERROR(IF(VLOOKUP(B26,'NY BackOrder'!A:H,8,FALSE)=0,"",VLOOKUP(B26,'NY BackOrder'!A:H,8,FALSE)),"")</f>
        <v/>
      </c>
      <c r="X26" s="1184"/>
      <c r="Y26" s="1181" t="str">
        <f>IFERROR(IF(VLOOKUP(B26,'NY BackOrder'!A:I,9,FALSE)=0,"",VLOOKUP(B26,'NY BackOrder'!A:I,9,FALSE)),"")</f>
        <v/>
      </c>
      <c r="Z26" s="1182"/>
      <c r="AA26" s="1179" t="str">
        <f>IFERROR(IF(AND(H27="",ISNUMBER(VLOOKUP(B26,'NY BackOrder'!A:J,10,FALSE))),VLOOKUP(B26,'NY BackOrder'!A:J,10,FALSE)&amp;" set",IF(VLOOKUP(B26,'NY BackOrder'!A:J,10,FALSE)=0,"",VLOOKUP(B26,'NY BackOrder'!A:J,10,FALSE))),"")</f>
        <v/>
      </c>
      <c r="AB26" s="1180"/>
      <c r="AC26" s="1176" t="str">
        <f>IFERROR(IF(VLOOKUP(B26,'NY BackOrder'!A:K,11,FALSE)=0,"",VLOOKUP(B26,'NY BackOrder'!A:K,11,FALSE)),"")</f>
        <v/>
      </c>
      <c r="AD26" s="1177"/>
      <c r="AE26" s="1178"/>
      <c r="AF26" s="1176" t="str">
        <f t="array" ref="AF26">IFERROR(IF(AA26="","",_xlfn.CONCAT(IFERROR(MID(AA26,_xlfn.SEQUENCE(LEN(AA26)),1)*1,""))*AC26),"")</f>
        <v/>
      </c>
      <c r="AG26" s="1177"/>
      <c r="AH26" s="1178"/>
    </row>
    <row r="27" spans="2:34" ht="18.75" customHeight="1">
      <c r="B27" s="1134"/>
      <c r="C27" s="1036"/>
      <c r="D27" s="1037"/>
      <c r="E27" s="1038"/>
      <c r="F27" s="1038"/>
      <c r="G27" s="1039"/>
      <c r="H27" s="1043" t="str">
        <f>IFERROR(IF(VLOOKUP(B26,'NY BackOrder'!A:F,6,FALSE)="","",IF(VLOOKUP(B26,'NY BackOrder'!A:F,6,FALSE)=0,"",VLOOKUP(B26,'NY BackOrder'!A:F,6,FALSE))),"")</f>
        <v/>
      </c>
      <c r="I27" s="1044"/>
      <c r="J27" s="1044"/>
      <c r="K27" s="236" t="s">
        <v>338</v>
      </c>
      <c r="L27" s="1045" t="str">
        <f>IFERROR(IF(VLOOKUP(B26,'NY BackOrder'!A:E,5,FALSE)="","",IF(VLOOKUP(B26,'NY BackOrder'!A:G,7,FALSE)=0,"",VLOOKUP(B26,'NY BackOrder'!A:G,7,FALSE))),"")</f>
        <v/>
      </c>
      <c r="M27" s="1044"/>
      <c r="N27" s="1044"/>
      <c r="O27" s="1044"/>
      <c r="P27" s="1044"/>
      <c r="Q27" s="1044"/>
      <c r="R27" s="1044"/>
      <c r="S27" s="1044"/>
      <c r="T27" s="1046"/>
      <c r="U27" s="240" t="str">
        <f>IFERROR(IF(VLOOKUP(B26,'NY BackOrder'!A:M,13,FALSE)=0,"",(VLOOKUP(B26,'NY BackOrder'!A:M,13,FALSE))),"")</f>
        <v/>
      </c>
      <c r="V27" s="239"/>
      <c r="W27" s="1047"/>
      <c r="X27" s="1048"/>
      <c r="Y27" s="1049"/>
      <c r="Z27" s="1050"/>
      <c r="AA27" s="1051"/>
      <c r="AB27" s="1052"/>
      <c r="AC27" s="1040"/>
      <c r="AD27" s="1041"/>
      <c r="AE27" s="1042"/>
      <c r="AF27" s="1040"/>
      <c r="AG27" s="1041"/>
      <c r="AH27" s="1042"/>
    </row>
    <row r="28" spans="2:34" ht="18.75" customHeight="1">
      <c r="B28" s="1134">
        <v>2066</v>
      </c>
      <c r="C28" s="1036">
        <f>IF(B28="","",C26+1)</f>
        <v>2</v>
      </c>
      <c r="D28" s="1037" t="str">
        <f>IFERROR(IF(VLOOKUP(B28,'NY BackOrder'!A:C,3,FALSE)="","",VLOOKUP(B28,'NY BackOrder'!A:C,3,FALSE)),"")</f>
        <v/>
      </c>
      <c r="E28" s="1038"/>
      <c r="F28" s="1038"/>
      <c r="G28" s="1039"/>
      <c r="H28" s="1043" t="str">
        <f>IF(IFERROR(IF(VLOOKUP(B28,'NY BackOrder'!A:E,5,FALSE)="",VLOOKUP(B28,'NY BackOrder'!A:G,7,FALSE),IF(VLOOKUP(B28,'NY BackOrder'!A:E,5,FALSE)=0,"",VLOOKUP(B28,'NY BackOrder'!A:E,5,FALSE))),"")=0,"",IFERROR(IF(VLOOKUP(B28,'NY BackOrder'!A:E,5,FALSE)="",VLOOKUP(B28,'NY BackOrder'!A:G,7,FALSE),IF(VLOOKUP(B28,'NY BackOrder'!A:E,5,FALSE)=0,"",VLOOKUP(B28,'NY BackOrder'!A:E,5,FALSE))),""))</f>
        <v/>
      </c>
      <c r="I28" s="1044"/>
      <c r="J28" s="1044"/>
      <c r="K28" s="1044"/>
      <c r="L28" s="1044"/>
      <c r="M28" s="1044"/>
      <c r="N28" s="1044"/>
      <c r="O28" s="1044"/>
      <c r="P28" s="1044"/>
      <c r="Q28" s="1044"/>
      <c r="R28" s="1044"/>
      <c r="S28" s="1044"/>
      <c r="T28" s="1044"/>
      <c r="U28" s="1044"/>
      <c r="V28" s="1133"/>
      <c r="W28" s="1047" t="str">
        <f>IFERROR(IF(VLOOKUP(B28,'NY BackOrder'!A:H,8,FALSE)=0,"",VLOOKUP(B28,'NY BackOrder'!A:H,8,FALSE)),"")</f>
        <v/>
      </c>
      <c r="X28" s="1048"/>
      <c r="Y28" s="1049" t="str">
        <f>IFERROR(IF(VLOOKUP(B28,'NY BackOrder'!A:I,9,FALSE)=0,"",VLOOKUP(B28,'NY BackOrder'!A:I,9,FALSE)),"")</f>
        <v/>
      </c>
      <c r="Z28" s="1050"/>
      <c r="AA28" s="1051" t="str">
        <f>IFERROR(IF(AND(H29="",ISNUMBER(VLOOKUP(B28,'NY BackOrder'!A:J,10,FALSE))),VLOOKUP(B28,'NY BackOrder'!A:J,10,FALSE)&amp;" set",IF(VLOOKUP(B28,'NY BackOrder'!A:J,10,FALSE)=0,"",VLOOKUP(B28,'NY BackOrder'!A:J,10,FALSE))),"")</f>
        <v/>
      </c>
      <c r="AB28" s="1052"/>
      <c r="AC28" s="1040" t="str">
        <f>IFERROR(IF(VLOOKUP(B28,'NY BackOrder'!A:K,11,FALSE)=0,"",VLOOKUP(B28,'NY BackOrder'!A:K,11,FALSE)),"")</f>
        <v/>
      </c>
      <c r="AD28" s="1041"/>
      <c r="AE28" s="1042"/>
      <c r="AF28" s="1040" t="str">
        <f t="array" ref="AF28">IFERROR(IF(AA28="","",_xlfn.CONCAT(IFERROR(MID(AA28,_xlfn.SEQUENCE(LEN(AA28)),1)*1,""))*AC28),"")</f>
        <v/>
      </c>
      <c r="AG28" s="1041"/>
      <c r="AH28" s="1042"/>
    </row>
    <row r="29" spans="2:34" ht="18.75" customHeight="1">
      <c r="B29" s="1134"/>
      <c r="C29" s="1036"/>
      <c r="D29" s="1037"/>
      <c r="E29" s="1038"/>
      <c r="F29" s="1038"/>
      <c r="G29" s="1039"/>
      <c r="H29" s="1043" t="str">
        <f>IFERROR(IF(VLOOKUP(B28,'NY BackOrder'!A:F,6,FALSE)="","",IF(VLOOKUP(B28,'NY BackOrder'!A:F,6,FALSE)=0,"",VLOOKUP(B28,'NY BackOrder'!A:F,6,FALSE))),"")</f>
        <v/>
      </c>
      <c r="I29" s="1044"/>
      <c r="J29" s="1044"/>
      <c r="K29" s="236" t="s">
        <v>338</v>
      </c>
      <c r="L29" s="1045" t="str">
        <f>IFERROR(IF(VLOOKUP(B28,'NY BackOrder'!A:E,5,FALSE)="","",IF(VLOOKUP(B28,'NY BackOrder'!A:G,7,FALSE)=0,"",VLOOKUP(B28,'NY BackOrder'!A:G,7,FALSE))),"")</f>
        <v/>
      </c>
      <c r="M29" s="1044"/>
      <c r="N29" s="1044"/>
      <c r="O29" s="1044"/>
      <c r="P29" s="1044"/>
      <c r="Q29" s="1044"/>
      <c r="R29" s="1044"/>
      <c r="S29" s="1044"/>
      <c r="T29" s="1046"/>
      <c r="U29" s="240" t="str">
        <f>IFERROR(IF(VLOOKUP(B28,'NY BackOrder'!A:M,13,FALSE)=0,"",(VLOOKUP(B28,'NY BackOrder'!A:M,13,FALSE))),"")</f>
        <v/>
      </c>
      <c r="V29" s="239"/>
      <c r="W29" s="1047"/>
      <c r="X29" s="1048"/>
      <c r="Y29" s="1049"/>
      <c r="Z29" s="1050"/>
      <c r="AA29" s="1051"/>
      <c r="AB29" s="1052"/>
      <c r="AC29" s="1040"/>
      <c r="AD29" s="1041"/>
      <c r="AE29" s="1042"/>
      <c r="AF29" s="1040"/>
      <c r="AG29" s="1041"/>
      <c r="AH29" s="1042"/>
    </row>
    <row r="30" spans="2:34" ht="18.75" customHeight="1">
      <c r="B30" s="1134">
        <v>2067</v>
      </c>
      <c r="C30" s="1036">
        <f>IF(B30="","",C28+1)</f>
        <v>3</v>
      </c>
      <c r="D30" s="1037" t="str">
        <f>IFERROR(IF(VLOOKUP(B30,'NY BackOrder'!A:C,3,FALSE)="","",VLOOKUP(B30,'NY BackOrder'!A:C,3,FALSE)),"")</f>
        <v/>
      </c>
      <c r="E30" s="1038"/>
      <c r="F30" s="1038"/>
      <c r="G30" s="1039"/>
      <c r="H30" s="1043" t="str">
        <f>IF(IFERROR(IF(VLOOKUP(B30,'NY BackOrder'!A:E,5,FALSE)="",VLOOKUP(B30,'NY BackOrder'!A:G,7,FALSE),IF(VLOOKUP(B30,'NY BackOrder'!A:E,5,FALSE)=0,"",VLOOKUP(B30,'NY BackOrder'!A:E,5,FALSE))),"")=0,"",IFERROR(IF(VLOOKUP(B30,'NY BackOrder'!A:E,5,FALSE)="",VLOOKUP(B30,'NY BackOrder'!A:G,7,FALSE),IF(VLOOKUP(B30,'NY BackOrder'!A:E,5,FALSE)=0,"",VLOOKUP(B30,'NY BackOrder'!A:E,5,FALSE))),""))</f>
        <v/>
      </c>
      <c r="I30" s="1044"/>
      <c r="J30" s="1044"/>
      <c r="K30" s="1044"/>
      <c r="L30" s="1044"/>
      <c r="M30" s="1044"/>
      <c r="N30" s="1044"/>
      <c r="O30" s="1044"/>
      <c r="P30" s="1044"/>
      <c r="Q30" s="1044"/>
      <c r="R30" s="1044"/>
      <c r="S30" s="1044"/>
      <c r="T30" s="1044"/>
      <c r="U30" s="1044"/>
      <c r="V30" s="1133"/>
      <c r="W30" s="1047" t="str">
        <f>IFERROR(IF(VLOOKUP(B30,'NY BackOrder'!A:H,8,FALSE)=0,"",VLOOKUP(B30,'NY BackOrder'!A:H,8,FALSE)),"")</f>
        <v/>
      </c>
      <c r="X30" s="1048"/>
      <c r="Y30" s="1049" t="str">
        <f>IFERROR(IF(VLOOKUP(B30,'NY BackOrder'!A:I,9,FALSE)=0,"",VLOOKUP(B30,'NY BackOrder'!A:I,9,FALSE)),"")</f>
        <v/>
      </c>
      <c r="Z30" s="1050"/>
      <c r="AA30" s="1051" t="str">
        <f>IFERROR(IF(AND(H31="",ISNUMBER(VLOOKUP(B30,'NY BackOrder'!A:J,10,FALSE))),VLOOKUP(B30,'NY BackOrder'!A:J,10,FALSE)&amp;" set",IF(VLOOKUP(B30,'NY BackOrder'!A:J,10,FALSE)=0,"",VLOOKUP(B30,'NY BackOrder'!A:J,10,FALSE))),"")</f>
        <v/>
      </c>
      <c r="AB30" s="1052"/>
      <c r="AC30" s="1040" t="str">
        <f>IFERROR(IF(VLOOKUP(B30,'NY BackOrder'!A:K,11,FALSE)=0,"",VLOOKUP(B30,'NY BackOrder'!A:K,11,FALSE)),"")</f>
        <v/>
      </c>
      <c r="AD30" s="1041"/>
      <c r="AE30" s="1042"/>
      <c r="AF30" s="1040" t="str">
        <f t="array" ref="AF30">IFERROR(IF(AA30="","",_xlfn.CONCAT(IFERROR(MID(AA30,_xlfn.SEQUENCE(LEN(AA30)),1)*1,""))*AC30),"")</f>
        <v/>
      </c>
      <c r="AG30" s="1041"/>
      <c r="AH30" s="1042"/>
    </row>
    <row r="31" spans="2:34" ht="18.75" customHeight="1">
      <c r="B31" s="1134"/>
      <c r="C31" s="1036"/>
      <c r="D31" s="1037"/>
      <c r="E31" s="1038"/>
      <c r="F31" s="1038"/>
      <c r="G31" s="1039"/>
      <c r="H31" s="1043" t="str">
        <f>IFERROR(IF(VLOOKUP(B30,'NY BackOrder'!A:F,6,FALSE)="","",IF(VLOOKUP(B30,'NY BackOrder'!A:F,6,FALSE)=0,"",VLOOKUP(B30,'NY BackOrder'!A:F,6,FALSE))),"")</f>
        <v/>
      </c>
      <c r="I31" s="1044"/>
      <c r="J31" s="1044"/>
      <c r="K31" s="236" t="s">
        <v>338</v>
      </c>
      <c r="L31" s="1045" t="str">
        <f>IFERROR(IF(VLOOKUP(B30,'NY BackOrder'!A:E,5,FALSE)="","",IF(VLOOKUP(B30,'NY BackOrder'!A:G,7,FALSE)=0,"",VLOOKUP(B30,'NY BackOrder'!A:G,7,FALSE))),"")</f>
        <v/>
      </c>
      <c r="M31" s="1044"/>
      <c r="N31" s="1044"/>
      <c r="O31" s="1044"/>
      <c r="P31" s="1044"/>
      <c r="Q31" s="1044"/>
      <c r="R31" s="1044"/>
      <c r="S31" s="1044"/>
      <c r="T31" s="1046"/>
      <c r="U31" s="240" t="str">
        <f>IFERROR(IF(VLOOKUP(B30,'NY BackOrder'!A:M,13,FALSE)=0,"",(VLOOKUP(B30,'NY BackOrder'!A:M,13,FALSE))),"")</f>
        <v/>
      </c>
      <c r="V31" s="239"/>
      <c r="W31" s="1047"/>
      <c r="X31" s="1048"/>
      <c r="Y31" s="1049"/>
      <c r="Z31" s="1050"/>
      <c r="AA31" s="1051"/>
      <c r="AB31" s="1052"/>
      <c r="AC31" s="1040"/>
      <c r="AD31" s="1041"/>
      <c r="AE31" s="1042"/>
      <c r="AF31" s="1040"/>
      <c r="AG31" s="1041"/>
      <c r="AH31" s="1042"/>
    </row>
    <row r="32" spans="2:34" ht="18.75" customHeight="1">
      <c r="B32" s="1134"/>
      <c r="C32" s="1036" t="str">
        <f>IF(B32="","",C30+1)</f>
        <v/>
      </c>
      <c r="D32" s="1037" t="str">
        <f>IFERROR(IF(VLOOKUP(B32,'NY BackOrder'!A:C,3,FALSE)="","",VLOOKUP(B32,'NY BackOrder'!A:C,3,FALSE)),"")</f>
        <v/>
      </c>
      <c r="E32" s="1038"/>
      <c r="F32" s="1038"/>
      <c r="G32" s="1039"/>
      <c r="H32" s="1043" t="str">
        <f>IF(IFERROR(IF(VLOOKUP(B32,'NY BackOrder'!A:E,5,FALSE)="",VLOOKUP(B32,'NY BackOrder'!A:G,7,FALSE),IF(VLOOKUP(B32,'NY BackOrder'!A:E,5,FALSE)=0,"",VLOOKUP(B32,'NY BackOrder'!A:E,5,FALSE))),"")=0,"",IFERROR(IF(VLOOKUP(B32,'NY BackOrder'!A:E,5,FALSE)="",VLOOKUP(B32,'NY BackOrder'!A:G,7,FALSE),IF(VLOOKUP(B32,'NY BackOrder'!A:E,5,FALSE)=0,"",VLOOKUP(B32,'NY BackOrder'!A:E,5,FALSE))),""))</f>
        <v/>
      </c>
      <c r="I32" s="1044"/>
      <c r="J32" s="1044"/>
      <c r="K32" s="1044"/>
      <c r="L32" s="1044"/>
      <c r="M32" s="1044"/>
      <c r="N32" s="1044"/>
      <c r="O32" s="1044"/>
      <c r="P32" s="1044"/>
      <c r="Q32" s="1044"/>
      <c r="R32" s="1044"/>
      <c r="S32" s="1044"/>
      <c r="T32" s="1044"/>
      <c r="U32" s="1044"/>
      <c r="V32" s="1133"/>
      <c r="W32" s="1047" t="str">
        <f>IFERROR(IF(VLOOKUP(B32,'NY BackOrder'!A:H,8,FALSE)=0,"",VLOOKUP(B32,'NY BackOrder'!A:H,8,FALSE)),"")</f>
        <v/>
      </c>
      <c r="X32" s="1048"/>
      <c r="Y32" s="1049" t="str">
        <f>IFERROR(IF(VLOOKUP(B32,'NY BackOrder'!A:I,9,FALSE)=0,"",VLOOKUP(B32,'NY BackOrder'!A:I,9,FALSE)),"")</f>
        <v/>
      </c>
      <c r="Z32" s="1050"/>
      <c r="AA32" s="1051" t="str">
        <f>IFERROR(IF(AND(H33="",ISNUMBER(VLOOKUP(B32,'NY BackOrder'!A:J,10,FALSE))),VLOOKUP(B32,'NY BackOrder'!A:J,10,FALSE)&amp;" set",IF(VLOOKUP(B32,'NY BackOrder'!A:J,10,FALSE)=0,"",VLOOKUP(B32,'NY BackOrder'!A:J,10,FALSE))),"")</f>
        <v/>
      </c>
      <c r="AB32" s="1052"/>
      <c r="AC32" s="1040" t="str">
        <f>IFERROR(IF(VLOOKUP(B32,'NY BackOrder'!A:K,11,FALSE)=0,"",VLOOKUP(B32,'NY BackOrder'!A:K,11,FALSE)),"")</f>
        <v/>
      </c>
      <c r="AD32" s="1041"/>
      <c r="AE32" s="1042"/>
      <c r="AF32" s="1040" t="str">
        <f t="array" ref="AF32">IFERROR(IF(AA32="","",_xlfn.CONCAT(IFERROR(MID(AA32,_xlfn.SEQUENCE(LEN(AA32)),1)*1,""))*AC32),"")</f>
        <v/>
      </c>
      <c r="AG32" s="1041"/>
      <c r="AH32" s="1042"/>
    </row>
    <row r="33" spans="2:34" ht="18.75" customHeight="1">
      <c r="B33" s="1134"/>
      <c r="C33" s="1036"/>
      <c r="D33" s="1037"/>
      <c r="E33" s="1038"/>
      <c r="F33" s="1038"/>
      <c r="G33" s="1039"/>
      <c r="H33" s="1043" t="str">
        <f>IFERROR(IF(VLOOKUP(B32,'NY BackOrder'!A:F,6,FALSE)="","",IF(VLOOKUP(B32,'NY BackOrder'!A:F,6,FALSE)=0,"",VLOOKUP(B32,'NY BackOrder'!A:F,6,FALSE))),"")</f>
        <v/>
      </c>
      <c r="I33" s="1044"/>
      <c r="J33" s="1044"/>
      <c r="K33" s="236" t="s">
        <v>338</v>
      </c>
      <c r="L33" s="1045" t="str">
        <f>IFERROR(IF(VLOOKUP(B32,'NY BackOrder'!A:E,5,FALSE)="","",IF(VLOOKUP(B32,'NY BackOrder'!A:G,7,FALSE)=0,"",VLOOKUP(B32,'NY BackOrder'!A:G,7,FALSE))),"")</f>
        <v/>
      </c>
      <c r="M33" s="1044"/>
      <c r="N33" s="1044"/>
      <c r="O33" s="1044"/>
      <c r="P33" s="1044"/>
      <c r="Q33" s="1044"/>
      <c r="R33" s="1044"/>
      <c r="S33" s="1044"/>
      <c r="T33" s="1046"/>
      <c r="U33" s="240" t="str">
        <f>IFERROR(IF(VLOOKUP(B32,'NY BackOrder'!A:M,13,FALSE)=0,"",(VLOOKUP(B32,'NY BackOrder'!A:M,13,FALSE))),"")</f>
        <v/>
      </c>
      <c r="V33" s="239"/>
      <c r="W33" s="1047"/>
      <c r="X33" s="1048"/>
      <c r="Y33" s="1049"/>
      <c r="Z33" s="1050"/>
      <c r="AA33" s="1051"/>
      <c r="AB33" s="1052"/>
      <c r="AC33" s="1040"/>
      <c r="AD33" s="1041"/>
      <c r="AE33" s="1042"/>
      <c r="AF33" s="1040"/>
      <c r="AG33" s="1041"/>
      <c r="AH33" s="1042"/>
    </row>
    <row r="34" spans="2:34" ht="18.75" customHeight="1">
      <c r="B34" s="1134"/>
      <c r="C34" s="1036" t="str">
        <f>IF(B34="","",C32+1)</f>
        <v/>
      </c>
      <c r="D34" s="1037" t="str">
        <f>IFERROR(IF(VLOOKUP(B34,'NY BackOrder'!A:C,3,FALSE)="","",VLOOKUP(B34,'NY BackOrder'!A:C,3,FALSE)),"")</f>
        <v/>
      </c>
      <c r="E34" s="1038"/>
      <c r="F34" s="1038"/>
      <c r="G34" s="1039"/>
      <c r="H34" s="1043" t="str">
        <f>IF(IFERROR(IF(VLOOKUP(B34,'NY BackOrder'!A:E,5,FALSE)="",VLOOKUP(B34,'NY BackOrder'!A:G,7,FALSE),IF(VLOOKUP(B34,'NY BackOrder'!A:E,5,FALSE)=0,"",VLOOKUP(B34,'NY BackOrder'!A:E,5,FALSE))),"")=0,"",IFERROR(IF(VLOOKUP(B34,'NY BackOrder'!A:E,5,FALSE)="",VLOOKUP(B34,'NY BackOrder'!A:G,7,FALSE),IF(VLOOKUP(B34,'NY BackOrder'!A:E,5,FALSE)=0,"",VLOOKUP(B34,'NY BackOrder'!A:E,5,FALSE))),""))</f>
        <v/>
      </c>
      <c r="I34" s="1044"/>
      <c r="J34" s="1044"/>
      <c r="K34" s="1044"/>
      <c r="L34" s="1044"/>
      <c r="M34" s="1044"/>
      <c r="N34" s="1044"/>
      <c r="O34" s="1044"/>
      <c r="P34" s="1044"/>
      <c r="Q34" s="1044"/>
      <c r="R34" s="1044"/>
      <c r="S34" s="1044"/>
      <c r="T34" s="1044"/>
      <c r="U34" s="1044"/>
      <c r="V34" s="1133"/>
      <c r="W34" s="1047" t="str">
        <f>IFERROR(IF(VLOOKUP(B34,'NY BackOrder'!A:H,8,FALSE)=0,"",VLOOKUP(B34,'NY BackOrder'!A:H,8,FALSE)),"")</f>
        <v/>
      </c>
      <c r="X34" s="1048"/>
      <c r="Y34" s="1049" t="str">
        <f>IFERROR(IF(VLOOKUP(B34,'NY BackOrder'!A:I,9,FALSE)=0,"",VLOOKUP(B34,'NY BackOrder'!A:I,9,FALSE)),"")</f>
        <v/>
      </c>
      <c r="Z34" s="1050"/>
      <c r="AA34" s="1051" t="str">
        <f>IFERROR(IF(AND(H35="",ISNUMBER(VLOOKUP(B34,'NY BackOrder'!A:J,10,FALSE))),VLOOKUP(B34,'NY BackOrder'!A:J,10,FALSE)&amp;" set",IF(VLOOKUP(B34,'NY BackOrder'!A:J,10,FALSE)=0,"",VLOOKUP(B34,'NY BackOrder'!A:J,10,FALSE))),"")</f>
        <v/>
      </c>
      <c r="AB34" s="1052"/>
      <c r="AC34" s="1040" t="str">
        <f>IFERROR(IF(VLOOKUP(B34,'NY BackOrder'!A:K,11,FALSE)=0,"",VLOOKUP(B34,'NY BackOrder'!A:K,11,FALSE)),"")</f>
        <v/>
      </c>
      <c r="AD34" s="1041"/>
      <c r="AE34" s="1042"/>
      <c r="AF34" s="1040" t="str">
        <f t="array" ref="AF34">IFERROR(IF(AA34="","",_xlfn.CONCAT(IFERROR(MID(AA34,_xlfn.SEQUENCE(LEN(AA34)),1)*1,""))*AC34),"")</f>
        <v/>
      </c>
      <c r="AG34" s="1041"/>
      <c r="AH34" s="1042"/>
    </row>
    <row r="35" spans="2:34" ht="18.75" customHeight="1">
      <c r="B35" s="1134"/>
      <c r="C35" s="1036"/>
      <c r="D35" s="1037"/>
      <c r="E35" s="1038"/>
      <c r="F35" s="1038"/>
      <c r="G35" s="1039"/>
      <c r="H35" s="1043" t="str">
        <f>IFERROR(IF(VLOOKUP(B34,'NY BackOrder'!A:F,6,FALSE)="","",IF(VLOOKUP(B34,'NY BackOrder'!A:F,6,FALSE)=0,"",VLOOKUP(B34,'NY BackOrder'!A:F,6,FALSE))),"")</f>
        <v/>
      </c>
      <c r="I35" s="1044"/>
      <c r="J35" s="1044"/>
      <c r="K35" s="236" t="s">
        <v>338</v>
      </c>
      <c r="L35" s="1045" t="str">
        <f>IFERROR(IF(VLOOKUP(B34,'NY BackOrder'!A:E,5,FALSE)="","",IF(VLOOKUP(B34,'NY BackOrder'!A:G,7,FALSE)=0,"",VLOOKUP(B34,'NY BackOrder'!A:G,7,FALSE))),"")</f>
        <v/>
      </c>
      <c r="M35" s="1044"/>
      <c r="N35" s="1044"/>
      <c r="O35" s="1044"/>
      <c r="P35" s="1044"/>
      <c r="Q35" s="1044"/>
      <c r="R35" s="1044"/>
      <c r="S35" s="1044"/>
      <c r="T35" s="1046"/>
      <c r="U35" s="240" t="str">
        <f>IFERROR(IF(VLOOKUP(B34,'NY BackOrder'!A:M,13,FALSE)=0,"",(VLOOKUP(B34,'NY BackOrder'!A:M,13,FALSE))),"")</f>
        <v/>
      </c>
      <c r="V35" s="239"/>
      <c r="W35" s="1047"/>
      <c r="X35" s="1048"/>
      <c r="Y35" s="1049"/>
      <c r="Z35" s="1050"/>
      <c r="AA35" s="1051"/>
      <c r="AB35" s="1052"/>
      <c r="AC35" s="1040"/>
      <c r="AD35" s="1041"/>
      <c r="AE35" s="1042"/>
      <c r="AF35" s="1040"/>
      <c r="AG35" s="1041"/>
      <c r="AH35" s="1042"/>
    </row>
    <row r="36" spans="2:34" ht="18.75" customHeight="1">
      <c r="B36" s="1134"/>
      <c r="C36" s="1036" t="str">
        <f>IF(B36="","",C34+1)</f>
        <v/>
      </c>
      <c r="D36" s="1037" t="str">
        <f>IFERROR(IF(VLOOKUP(B36,'NY BackOrder'!A:C,3,FALSE)="","",VLOOKUP(B36,'NY BackOrder'!A:C,3,FALSE)),"")</f>
        <v/>
      </c>
      <c r="E36" s="1038"/>
      <c r="F36" s="1038"/>
      <c r="G36" s="1039"/>
      <c r="H36" s="1043" t="str">
        <f>IF(IFERROR(IF(VLOOKUP(B36,'NY BackOrder'!A:E,5,FALSE)="",VLOOKUP(B36,'NY BackOrder'!A:G,7,FALSE),IF(VLOOKUP(B36,'NY BackOrder'!A:E,5,FALSE)=0,"",VLOOKUP(B36,'NY BackOrder'!A:E,5,FALSE))),"")=0,"",IFERROR(IF(VLOOKUP(B36,'NY BackOrder'!A:E,5,FALSE)="",VLOOKUP(B36,'NY BackOrder'!A:G,7,FALSE),IF(VLOOKUP(B36,'NY BackOrder'!A:E,5,FALSE)=0,"",VLOOKUP(B36,'NY BackOrder'!A:E,5,FALSE))),""))</f>
        <v/>
      </c>
      <c r="I36" s="1044"/>
      <c r="J36" s="1044"/>
      <c r="K36" s="1044"/>
      <c r="L36" s="1044"/>
      <c r="M36" s="1044"/>
      <c r="N36" s="1044"/>
      <c r="O36" s="1044"/>
      <c r="P36" s="1044"/>
      <c r="Q36" s="1044"/>
      <c r="R36" s="1044"/>
      <c r="S36" s="1044"/>
      <c r="T36" s="1044"/>
      <c r="U36" s="1044"/>
      <c r="V36" s="1133"/>
      <c r="W36" s="1047" t="str">
        <f>IFERROR(IF(VLOOKUP(B36,'NY BackOrder'!A:H,8,FALSE)=0,"",VLOOKUP(B36,'NY BackOrder'!A:H,8,FALSE)),"")</f>
        <v/>
      </c>
      <c r="X36" s="1048"/>
      <c r="Y36" s="1049" t="str">
        <f>IFERROR(IF(VLOOKUP(B36,'NY BackOrder'!A:I,9,FALSE)=0,"",VLOOKUP(B36,'NY BackOrder'!A:I,9,FALSE)),"")</f>
        <v/>
      </c>
      <c r="Z36" s="1050"/>
      <c r="AA36" s="1051" t="str">
        <f>IFERROR(IF(AND(H37="",ISNUMBER(VLOOKUP(B36,'NY BackOrder'!A:J,10,FALSE))),VLOOKUP(B36,'NY BackOrder'!A:J,10,FALSE)&amp;" set",IF(VLOOKUP(B36,'NY BackOrder'!A:J,10,FALSE)=0,"",VLOOKUP(B36,'NY BackOrder'!A:J,10,FALSE))),"")</f>
        <v/>
      </c>
      <c r="AB36" s="1052"/>
      <c r="AC36" s="1040" t="str">
        <f>IFERROR(IF(VLOOKUP(B36,'NY BackOrder'!A:K,11,FALSE)=0,"",VLOOKUP(B36,'NY BackOrder'!A:K,11,FALSE)),"")</f>
        <v/>
      </c>
      <c r="AD36" s="1041"/>
      <c r="AE36" s="1042"/>
      <c r="AF36" s="1040" t="str">
        <f t="array" ref="AF36">IFERROR(IF(AA36="","",_xlfn.CONCAT(IFERROR(MID(AA36,_xlfn.SEQUENCE(LEN(AA36)),1)*1,""))*AC36),"")</f>
        <v/>
      </c>
      <c r="AG36" s="1041"/>
      <c r="AH36" s="1042"/>
    </row>
    <row r="37" spans="2:34" ht="18.75" customHeight="1">
      <c r="B37" s="1134"/>
      <c r="C37" s="1036"/>
      <c r="D37" s="1037"/>
      <c r="E37" s="1038"/>
      <c r="F37" s="1038"/>
      <c r="G37" s="1039"/>
      <c r="H37" s="1043" t="str">
        <f>IFERROR(IF(VLOOKUP(B36,'NY BackOrder'!A:F,6,FALSE)="","",IF(VLOOKUP(B36,'NY BackOrder'!A:F,6,FALSE)=0,"",VLOOKUP(B36,'NY BackOrder'!A:F,6,FALSE))),"")</f>
        <v/>
      </c>
      <c r="I37" s="1044"/>
      <c r="J37" s="1044"/>
      <c r="K37" s="236" t="s">
        <v>338</v>
      </c>
      <c r="L37" s="1045" t="str">
        <f>IFERROR(IF(VLOOKUP(B36,'NY BackOrder'!A:E,5,FALSE)="","",IF(VLOOKUP(B36,'NY BackOrder'!A:G,7,FALSE)=0,"",VLOOKUP(B36,'NY BackOrder'!A:G,7,FALSE))),"")</f>
        <v/>
      </c>
      <c r="M37" s="1044"/>
      <c r="N37" s="1044"/>
      <c r="O37" s="1044"/>
      <c r="P37" s="1044"/>
      <c r="Q37" s="1044"/>
      <c r="R37" s="1044"/>
      <c r="S37" s="1044"/>
      <c r="T37" s="1046"/>
      <c r="U37" s="240" t="str">
        <f>IFERROR(IF(VLOOKUP(B36,'NY BackOrder'!A:M,13,FALSE)=0,"",(VLOOKUP(B36,'NY BackOrder'!A:M,13,FALSE))),"")</f>
        <v/>
      </c>
      <c r="V37" s="239"/>
      <c r="W37" s="1047"/>
      <c r="X37" s="1048"/>
      <c r="Y37" s="1049"/>
      <c r="Z37" s="1050"/>
      <c r="AA37" s="1051"/>
      <c r="AB37" s="1052"/>
      <c r="AC37" s="1040"/>
      <c r="AD37" s="1041"/>
      <c r="AE37" s="1042"/>
      <c r="AF37" s="1040"/>
      <c r="AG37" s="1041"/>
      <c r="AH37" s="1042"/>
    </row>
    <row r="38" spans="2:34" ht="18.75" customHeight="1">
      <c r="B38" s="1134"/>
      <c r="C38" s="1036" t="str">
        <f>IF(B38="","",C36+1)</f>
        <v/>
      </c>
      <c r="D38" s="1037" t="str">
        <f>IFERROR(IF(VLOOKUP(B38,'NY BackOrder'!A:C,3,FALSE)="","",VLOOKUP(B38,'NY BackOrder'!A:C,3,FALSE)),"")</f>
        <v/>
      </c>
      <c r="E38" s="1038"/>
      <c r="F38" s="1038"/>
      <c r="G38" s="1039"/>
      <c r="H38" s="1043" t="str">
        <f>IF(IFERROR(IF(VLOOKUP(B38,'NY BackOrder'!A:E,5,FALSE)="",VLOOKUP(B38,'NY BackOrder'!A:G,7,FALSE),IF(VLOOKUP(B38,'NY BackOrder'!A:E,5,FALSE)=0,"",VLOOKUP(B38,'NY BackOrder'!A:E,5,FALSE))),"")=0,"",IFERROR(IF(VLOOKUP(B38,'NY BackOrder'!A:E,5,FALSE)="",VLOOKUP(B38,'NY BackOrder'!A:G,7,FALSE),IF(VLOOKUP(B38,'NY BackOrder'!A:E,5,FALSE)=0,"",VLOOKUP(B38,'NY BackOrder'!A:E,5,FALSE))),""))</f>
        <v/>
      </c>
      <c r="I38" s="1044"/>
      <c r="J38" s="1044"/>
      <c r="K38" s="1044"/>
      <c r="L38" s="1044"/>
      <c r="M38" s="1044"/>
      <c r="N38" s="1044"/>
      <c r="O38" s="1044"/>
      <c r="P38" s="1044"/>
      <c r="Q38" s="1044"/>
      <c r="R38" s="1044"/>
      <c r="S38" s="1044"/>
      <c r="T38" s="1044"/>
      <c r="U38" s="1044"/>
      <c r="V38" s="1133"/>
      <c r="W38" s="1047" t="str">
        <f>IFERROR(IF(VLOOKUP(B38,'NY BackOrder'!A:H,8,FALSE)=0,"",VLOOKUP(B38,'NY BackOrder'!A:H,8,FALSE)),"")</f>
        <v/>
      </c>
      <c r="X38" s="1048"/>
      <c r="Y38" s="1049" t="str">
        <f>IFERROR(IF(VLOOKUP(B38,'NY BackOrder'!A:I,9,FALSE)=0,"",VLOOKUP(B38,'NY BackOrder'!A:I,9,FALSE)),"")</f>
        <v/>
      </c>
      <c r="Z38" s="1050"/>
      <c r="AA38" s="1051" t="str">
        <f>IFERROR(IF(AND(H39="",ISNUMBER(VLOOKUP(B38,'NY BackOrder'!A:J,10,FALSE))),VLOOKUP(B38,'NY BackOrder'!A:J,10,FALSE)&amp;" set",IF(VLOOKUP(B38,'NY BackOrder'!A:J,10,FALSE)=0,"",VLOOKUP(B38,'NY BackOrder'!A:J,10,FALSE))),"")</f>
        <v/>
      </c>
      <c r="AB38" s="1052"/>
      <c r="AC38" s="1040" t="str">
        <f>IFERROR(IF(VLOOKUP(B38,'NY BackOrder'!A:K,11,FALSE)=0,"",VLOOKUP(B38,'NY BackOrder'!A:K,11,FALSE)),"")</f>
        <v/>
      </c>
      <c r="AD38" s="1041"/>
      <c r="AE38" s="1042"/>
      <c r="AF38" s="1040" t="str">
        <f t="array" ref="AF38">IFERROR(IF(AA38="","",_xlfn.CONCAT(IFERROR(MID(AA38,_xlfn.SEQUENCE(LEN(AA38)),1)*1,""))*AC38),"")</f>
        <v/>
      </c>
      <c r="AG38" s="1041"/>
      <c r="AH38" s="1042"/>
    </row>
    <row r="39" spans="2:34" ht="18.75" customHeight="1">
      <c r="B39" s="1134"/>
      <c r="C39" s="1036"/>
      <c r="D39" s="1037"/>
      <c r="E39" s="1038"/>
      <c r="F39" s="1038"/>
      <c r="G39" s="1039"/>
      <c r="H39" s="1043" t="str">
        <f>IFERROR(IF(VLOOKUP(B38,'NY BackOrder'!A:F,6,FALSE)="","",IF(VLOOKUP(B38,'NY BackOrder'!A:F,6,FALSE)=0,"",VLOOKUP(B38,'NY BackOrder'!A:F,6,FALSE))),"")</f>
        <v/>
      </c>
      <c r="I39" s="1044"/>
      <c r="J39" s="1044"/>
      <c r="K39" s="236" t="s">
        <v>338</v>
      </c>
      <c r="L39" s="1045" t="str">
        <f>IFERROR(IF(VLOOKUP(B38,'NY BackOrder'!A:E,5,FALSE)="","",IF(VLOOKUP(B38,'NY BackOrder'!A:G,7,FALSE)=0,"",VLOOKUP(B38,'NY BackOrder'!A:G,7,FALSE))),"")</f>
        <v/>
      </c>
      <c r="M39" s="1044"/>
      <c r="N39" s="1044"/>
      <c r="O39" s="1044"/>
      <c r="P39" s="1044"/>
      <c r="Q39" s="1044"/>
      <c r="R39" s="1044"/>
      <c r="S39" s="1044"/>
      <c r="T39" s="1046"/>
      <c r="U39" s="240" t="str">
        <f>IFERROR(IF(VLOOKUP(B38,'NY BackOrder'!A:M,13,FALSE)=0,"",(VLOOKUP(B38,'NY BackOrder'!A:M,13,FALSE))),"")</f>
        <v/>
      </c>
      <c r="V39" s="239"/>
      <c r="W39" s="1047"/>
      <c r="X39" s="1048"/>
      <c r="Y39" s="1049"/>
      <c r="Z39" s="1050"/>
      <c r="AA39" s="1051"/>
      <c r="AB39" s="1052"/>
      <c r="AC39" s="1040"/>
      <c r="AD39" s="1041"/>
      <c r="AE39" s="1042"/>
      <c r="AF39" s="1040"/>
      <c r="AG39" s="1041"/>
      <c r="AH39" s="1042"/>
    </row>
    <row r="40" spans="2:34" ht="18.75" customHeight="1">
      <c r="B40" s="1134"/>
      <c r="C40" s="1036" t="str">
        <f>IF(B40="","",C38+1)</f>
        <v/>
      </c>
      <c r="D40" s="1037" t="str">
        <f>IFERROR(IF(VLOOKUP(B40,'NY BackOrder'!A:C,3,FALSE)="","",VLOOKUP(B40,'NY BackOrder'!A:C,3,FALSE)),"")</f>
        <v/>
      </c>
      <c r="E40" s="1038"/>
      <c r="F40" s="1038"/>
      <c r="G40" s="1039"/>
      <c r="H40" s="1043" t="str">
        <f>IF(IFERROR(IF(VLOOKUP(B40,'NY BackOrder'!A:E,5,FALSE)="",VLOOKUP(B40,'NY BackOrder'!A:G,7,FALSE),IF(VLOOKUP(B40,'NY BackOrder'!A:E,5,FALSE)=0,"",VLOOKUP(B40,'NY BackOrder'!A:E,5,FALSE))),"")=0,"",IFERROR(IF(VLOOKUP(B40,'NY BackOrder'!A:E,5,FALSE)="",VLOOKUP(B40,'NY BackOrder'!A:G,7,FALSE),IF(VLOOKUP(B40,'NY BackOrder'!A:E,5,FALSE)=0,"",VLOOKUP(B40,'NY BackOrder'!A:E,5,FALSE))),""))</f>
        <v/>
      </c>
      <c r="I40" s="1044"/>
      <c r="J40" s="1044"/>
      <c r="K40" s="1044"/>
      <c r="L40" s="1044"/>
      <c r="M40" s="1044"/>
      <c r="N40" s="1044"/>
      <c r="O40" s="1044"/>
      <c r="P40" s="1044"/>
      <c r="Q40" s="1044"/>
      <c r="R40" s="1044"/>
      <c r="S40" s="1044"/>
      <c r="T40" s="1044"/>
      <c r="U40" s="1044"/>
      <c r="V40" s="1133"/>
      <c r="W40" s="1047" t="str">
        <f>IFERROR(IF(VLOOKUP(B40,'NY BackOrder'!A:H,8,FALSE)=0,"",VLOOKUP(B40,'NY BackOrder'!A:H,8,FALSE)),"")</f>
        <v/>
      </c>
      <c r="X40" s="1048"/>
      <c r="Y40" s="1049" t="str">
        <f>IFERROR(IF(VLOOKUP(B40,'NY BackOrder'!A:I,9,FALSE)=0,"",VLOOKUP(B40,'NY BackOrder'!A:I,9,FALSE)),"")</f>
        <v/>
      </c>
      <c r="Z40" s="1050"/>
      <c r="AA40" s="1051" t="str">
        <f>IFERROR(IF(AND(H41="",ISNUMBER(VLOOKUP(B40,'NY BackOrder'!A:J,10,FALSE))),VLOOKUP(B40,'NY BackOrder'!A:J,10,FALSE)&amp;" set",IF(VLOOKUP(B40,'NY BackOrder'!A:J,10,FALSE)=0,"",VLOOKUP(B40,'NY BackOrder'!A:J,10,FALSE))),"")</f>
        <v/>
      </c>
      <c r="AB40" s="1052"/>
      <c r="AC40" s="1040" t="str">
        <f>IFERROR(IF(VLOOKUP(B40,'NY BackOrder'!A:K,11,FALSE)=0,"",VLOOKUP(B40,'NY BackOrder'!A:K,11,FALSE)),"")</f>
        <v/>
      </c>
      <c r="AD40" s="1041"/>
      <c r="AE40" s="1042"/>
      <c r="AF40" s="1040" t="str">
        <f t="array" ref="AF40">IFERROR(IF(AA40="","",_xlfn.CONCAT(IFERROR(MID(AA40,_xlfn.SEQUENCE(LEN(AA40)),1)*1,""))*AC40),"")</f>
        <v/>
      </c>
      <c r="AG40" s="1041"/>
      <c r="AH40" s="1042"/>
    </row>
    <row r="41" spans="2:34" ht="18.75" customHeight="1">
      <c r="B41" s="1134"/>
      <c r="C41" s="1036"/>
      <c r="D41" s="1037"/>
      <c r="E41" s="1038"/>
      <c r="F41" s="1038"/>
      <c r="G41" s="1039"/>
      <c r="H41" s="1043" t="str">
        <f>IFERROR(IF(VLOOKUP(B40,'NY BackOrder'!A:F,6,FALSE)="","",IF(VLOOKUP(B40,'NY BackOrder'!A:F,6,FALSE)=0,"",VLOOKUP(B40,'NY BackOrder'!A:F,6,FALSE))),"")</f>
        <v/>
      </c>
      <c r="I41" s="1044"/>
      <c r="J41" s="1044"/>
      <c r="K41" s="236" t="s">
        <v>338</v>
      </c>
      <c r="L41" s="1045" t="str">
        <f>IFERROR(IF(VLOOKUP(B40,'NY BackOrder'!A:E,5,FALSE)="","",IF(VLOOKUP(B40,'NY BackOrder'!A:G,7,FALSE)=0,"",VLOOKUP(B40,'NY BackOrder'!A:G,7,FALSE))),"")</f>
        <v/>
      </c>
      <c r="M41" s="1044"/>
      <c r="N41" s="1044"/>
      <c r="O41" s="1044"/>
      <c r="P41" s="1044"/>
      <c r="Q41" s="1044"/>
      <c r="R41" s="1044"/>
      <c r="S41" s="1044"/>
      <c r="T41" s="1046"/>
      <c r="U41" s="240" t="str">
        <f>IFERROR(IF(VLOOKUP(B40,'NY BackOrder'!A:M,13,FALSE)=0,"",(VLOOKUP(B40,'NY BackOrder'!A:M,13,FALSE))),"")</f>
        <v/>
      </c>
      <c r="V41" s="239"/>
      <c r="W41" s="1047"/>
      <c r="X41" s="1048"/>
      <c r="Y41" s="1049"/>
      <c r="Z41" s="1050"/>
      <c r="AA41" s="1051"/>
      <c r="AB41" s="1052"/>
      <c r="AC41" s="1040"/>
      <c r="AD41" s="1041"/>
      <c r="AE41" s="1042"/>
      <c r="AF41" s="1040"/>
      <c r="AG41" s="1041"/>
      <c r="AH41" s="1042"/>
    </row>
    <row r="42" spans="2:34" ht="18.75" customHeight="1">
      <c r="B42" s="1134"/>
      <c r="C42" s="1036" t="str">
        <f>IF(B42="","",C40+1)</f>
        <v/>
      </c>
      <c r="D42" s="1037" t="str">
        <f>IFERROR(IF(VLOOKUP(B42,'NY BackOrder'!A:C,3,FALSE)="","",VLOOKUP(B42,'NY BackOrder'!A:C,3,FALSE)),"")</f>
        <v/>
      </c>
      <c r="E42" s="1038"/>
      <c r="F42" s="1038"/>
      <c r="G42" s="1039"/>
      <c r="H42" s="1043" t="str">
        <f>IF(IFERROR(IF(VLOOKUP(B42,'NY BackOrder'!A:E,5,FALSE)="",VLOOKUP(B42,'NY BackOrder'!A:G,7,FALSE),IF(VLOOKUP(B42,'NY BackOrder'!A:E,5,FALSE)=0,"",VLOOKUP(B42,'NY BackOrder'!A:E,5,FALSE))),"")=0,"",IFERROR(IF(VLOOKUP(B42,'NY BackOrder'!A:E,5,FALSE)="",VLOOKUP(B42,'NY BackOrder'!A:G,7,FALSE),IF(VLOOKUP(B42,'NY BackOrder'!A:E,5,FALSE)=0,"",VLOOKUP(B42,'NY BackOrder'!A:E,5,FALSE))),""))</f>
        <v/>
      </c>
      <c r="I42" s="1044"/>
      <c r="J42" s="1044"/>
      <c r="K42" s="1044"/>
      <c r="L42" s="1044"/>
      <c r="M42" s="1044"/>
      <c r="N42" s="1044"/>
      <c r="O42" s="1044"/>
      <c r="P42" s="1044"/>
      <c r="Q42" s="1044"/>
      <c r="R42" s="1044"/>
      <c r="S42" s="1044"/>
      <c r="T42" s="1044"/>
      <c r="U42" s="1044"/>
      <c r="V42" s="1133"/>
      <c r="W42" s="1047" t="str">
        <f>IFERROR(IF(VLOOKUP(B42,'NY BackOrder'!A:H,8,FALSE)=0,"",VLOOKUP(B42,'NY BackOrder'!A:H,8,FALSE)),"")</f>
        <v/>
      </c>
      <c r="X42" s="1048"/>
      <c r="Y42" s="1049" t="str">
        <f>IFERROR(IF(VLOOKUP(B42,'NY BackOrder'!A:I,9,FALSE)=0,"",VLOOKUP(B42,'NY BackOrder'!A:I,9,FALSE)),"")</f>
        <v/>
      </c>
      <c r="Z42" s="1050"/>
      <c r="AA42" s="1051" t="str">
        <f>IFERROR(IF(AND(H43="",ISNUMBER(VLOOKUP(B42,'NY BackOrder'!A:J,10,FALSE))),VLOOKUP(B42,'NY BackOrder'!A:J,10,FALSE)&amp;" set",IF(VLOOKUP(B42,'NY BackOrder'!A:J,10,FALSE)=0,"",VLOOKUP(B42,'NY BackOrder'!A:J,10,FALSE))),"")</f>
        <v/>
      </c>
      <c r="AB42" s="1052"/>
      <c r="AC42" s="1040" t="str">
        <f>IFERROR(IF(VLOOKUP(B42,'NY BackOrder'!A:K,11,FALSE)=0,"",VLOOKUP(B42,'NY BackOrder'!A:K,11,FALSE)),"")</f>
        <v/>
      </c>
      <c r="AD42" s="1041"/>
      <c r="AE42" s="1042"/>
      <c r="AF42" s="1040" t="str">
        <f t="array" ref="AF42">IFERROR(IF(AA42="","",_xlfn.CONCAT(IFERROR(MID(AA42,_xlfn.SEQUENCE(LEN(AA42)),1)*1,""))*AC42),"")</f>
        <v/>
      </c>
      <c r="AG42" s="1041"/>
      <c r="AH42" s="1042"/>
    </row>
    <row r="43" spans="2:34" ht="18.75" customHeight="1">
      <c r="B43" s="1134"/>
      <c r="C43" s="1036"/>
      <c r="D43" s="1037"/>
      <c r="E43" s="1038"/>
      <c r="F43" s="1038"/>
      <c r="G43" s="1039"/>
      <c r="H43" s="1043" t="str">
        <f>IFERROR(IF(VLOOKUP(B42,'NY BackOrder'!A:F,6,FALSE)="","",IF(VLOOKUP(B42,'NY BackOrder'!A:F,6,FALSE)=0,"",VLOOKUP(B42,'NY BackOrder'!A:F,6,FALSE))),"")</f>
        <v/>
      </c>
      <c r="I43" s="1044"/>
      <c r="J43" s="1044"/>
      <c r="K43" s="236" t="s">
        <v>338</v>
      </c>
      <c r="L43" s="1045" t="str">
        <f>IFERROR(IF(VLOOKUP(B42,'NY BackOrder'!A:E,5,FALSE)="","",IF(VLOOKUP(B42,'NY BackOrder'!A:G,7,FALSE)=0,"",VLOOKUP(B42,'NY BackOrder'!A:G,7,FALSE))),"")</f>
        <v/>
      </c>
      <c r="M43" s="1044"/>
      <c r="N43" s="1044"/>
      <c r="O43" s="1044"/>
      <c r="P43" s="1044"/>
      <c r="Q43" s="1044"/>
      <c r="R43" s="1044"/>
      <c r="S43" s="1044"/>
      <c r="T43" s="1046"/>
      <c r="U43" s="240" t="str">
        <f>IFERROR(IF(VLOOKUP(B42,'NY BackOrder'!A:M,13,FALSE)=0,"",(VLOOKUP(B42,'NY BackOrder'!A:M,13,FALSE))),"")</f>
        <v/>
      </c>
      <c r="V43" s="239"/>
      <c r="W43" s="1047"/>
      <c r="X43" s="1048"/>
      <c r="Y43" s="1049"/>
      <c r="Z43" s="1050"/>
      <c r="AA43" s="1051"/>
      <c r="AB43" s="1052"/>
      <c r="AC43" s="1040"/>
      <c r="AD43" s="1041"/>
      <c r="AE43" s="1042"/>
      <c r="AF43" s="1040"/>
      <c r="AG43" s="1041"/>
      <c r="AH43" s="1042"/>
    </row>
    <row r="44" spans="2:34" ht="18.75" customHeight="1">
      <c r="B44" s="1134"/>
      <c r="C44" s="1036" t="str">
        <f>IF(B44="","",C42+1)</f>
        <v/>
      </c>
      <c r="D44" s="1037" t="str">
        <f>IFERROR(IF(VLOOKUP(B44,'NY BackOrder'!A:C,3,FALSE)="","",VLOOKUP(B44,'NY BackOrder'!A:C,3,FALSE)),"")</f>
        <v/>
      </c>
      <c r="E44" s="1038"/>
      <c r="F44" s="1038"/>
      <c r="G44" s="1039"/>
      <c r="H44" s="1043" t="str">
        <f>IF(IFERROR(IF(VLOOKUP(B44,'NY BackOrder'!A:E,5,FALSE)="",VLOOKUP(B44,'NY BackOrder'!A:G,7,FALSE),IF(VLOOKUP(B44,'NY BackOrder'!A:E,5,FALSE)=0,"",VLOOKUP(B44,'NY BackOrder'!A:E,5,FALSE))),"")=0,"",IFERROR(IF(VLOOKUP(B44,'NY BackOrder'!A:E,5,FALSE)="",VLOOKUP(B44,'NY BackOrder'!A:G,7,FALSE),IF(VLOOKUP(B44,'NY BackOrder'!A:E,5,FALSE)=0,"",VLOOKUP(B44,'NY BackOrder'!A:E,5,FALSE))),""))</f>
        <v/>
      </c>
      <c r="I44" s="1044"/>
      <c r="J44" s="1044"/>
      <c r="K44" s="1044"/>
      <c r="L44" s="1044"/>
      <c r="M44" s="1044"/>
      <c r="N44" s="1044"/>
      <c r="O44" s="1044"/>
      <c r="P44" s="1044"/>
      <c r="Q44" s="1044"/>
      <c r="R44" s="1044"/>
      <c r="S44" s="1044"/>
      <c r="T44" s="1044"/>
      <c r="U44" s="1044"/>
      <c r="V44" s="1133"/>
      <c r="W44" s="1047" t="str">
        <f>IFERROR(IF(VLOOKUP(B44,'NY BackOrder'!A:H,8,FALSE)=0,"",VLOOKUP(B44,'NY BackOrder'!A:H,8,FALSE)),"")</f>
        <v/>
      </c>
      <c r="X44" s="1048"/>
      <c r="Y44" s="1049" t="str">
        <f>IFERROR(IF(VLOOKUP(B44,'NY BackOrder'!A:I,9,FALSE)=0,"",VLOOKUP(B44,'NY BackOrder'!A:I,9,FALSE)),"")</f>
        <v/>
      </c>
      <c r="Z44" s="1050"/>
      <c r="AA44" s="1051" t="str">
        <f>IFERROR(IF(AND(H45="",ISNUMBER(VLOOKUP(B44,'NY BackOrder'!A:J,10,FALSE))),VLOOKUP(B44,'NY BackOrder'!A:J,10,FALSE)&amp;" set",IF(VLOOKUP(B44,'NY BackOrder'!A:J,10,FALSE)=0,"",VLOOKUP(B44,'NY BackOrder'!A:J,10,FALSE))),"")</f>
        <v/>
      </c>
      <c r="AB44" s="1052"/>
      <c r="AC44" s="1040" t="str">
        <f>IFERROR(IF(VLOOKUP(B44,'NY BackOrder'!A:K,11,FALSE)=0,"",VLOOKUP(B44,'NY BackOrder'!A:K,11,FALSE)),"")</f>
        <v/>
      </c>
      <c r="AD44" s="1041"/>
      <c r="AE44" s="1042"/>
      <c r="AF44" s="1040" t="str">
        <f t="array" ref="AF44">IFERROR(IF(AA44="","",_xlfn.CONCAT(IFERROR(MID(AA44,_xlfn.SEQUENCE(LEN(AA44)),1)*1,""))*AC44),"")</f>
        <v/>
      </c>
      <c r="AG44" s="1041"/>
      <c r="AH44" s="1042"/>
    </row>
    <row r="45" spans="2:34" ht="18.75" customHeight="1">
      <c r="B45" s="1134"/>
      <c r="C45" s="1036"/>
      <c r="D45" s="1037"/>
      <c r="E45" s="1038"/>
      <c r="F45" s="1038"/>
      <c r="G45" s="1039"/>
      <c r="H45" s="1043" t="str">
        <f>IFERROR(IF(VLOOKUP(B44,'NY BackOrder'!A:F,6,FALSE)="","",IF(VLOOKUP(B44,'NY BackOrder'!A:F,6,FALSE)=0,"",VLOOKUP(B44,'NY BackOrder'!A:F,6,FALSE))),"")</f>
        <v/>
      </c>
      <c r="I45" s="1044"/>
      <c r="J45" s="1044"/>
      <c r="K45" s="236" t="s">
        <v>338</v>
      </c>
      <c r="L45" s="1045" t="str">
        <f>IFERROR(IF(VLOOKUP(B44,'NY BackOrder'!A:E,5,FALSE)="","",IF(VLOOKUP(B44,'NY BackOrder'!A:G,7,FALSE)=0,"",VLOOKUP(B44,'NY BackOrder'!A:G,7,FALSE))),"")</f>
        <v/>
      </c>
      <c r="M45" s="1044"/>
      <c r="N45" s="1044"/>
      <c r="O45" s="1044"/>
      <c r="P45" s="1044"/>
      <c r="Q45" s="1044"/>
      <c r="R45" s="1044"/>
      <c r="S45" s="1044"/>
      <c r="T45" s="1046"/>
      <c r="U45" s="240" t="str">
        <f>IFERROR(IF(VLOOKUP(B44,'NY BackOrder'!A:M,13,FALSE)=0,"",(VLOOKUP(B44,'NY BackOrder'!A:M,13,FALSE))),"")</f>
        <v/>
      </c>
      <c r="V45" s="239"/>
      <c r="W45" s="1047"/>
      <c r="X45" s="1048"/>
      <c r="Y45" s="1049"/>
      <c r="Z45" s="1050"/>
      <c r="AA45" s="1051"/>
      <c r="AB45" s="1052"/>
      <c r="AC45" s="1040"/>
      <c r="AD45" s="1041"/>
      <c r="AE45" s="1042"/>
      <c r="AF45" s="1040"/>
      <c r="AG45" s="1041"/>
      <c r="AH45" s="1042"/>
    </row>
    <row r="46" spans="2:34" ht="18.75" customHeight="1">
      <c r="B46" s="1134"/>
      <c r="C46" s="1036" t="str">
        <f>IF(B46="","",C44+1)</f>
        <v/>
      </c>
      <c r="D46" s="1037" t="str">
        <f>IFERROR(IF(VLOOKUP(B46,'NY BackOrder'!A:C,3,FALSE)="","",VLOOKUP(B46,'NY BackOrder'!A:C,3,FALSE)),"")</f>
        <v/>
      </c>
      <c r="E46" s="1038"/>
      <c r="F46" s="1038"/>
      <c r="G46" s="1039"/>
      <c r="H46" s="1043" t="str">
        <f>IF(IFERROR(IF(VLOOKUP(B46,'NY BackOrder'!A:E,5,FALSE)="",VLOOKUP(B46,'NY BackOrder'!A:G,7,FALSE),IF(VLOOKUP(B46,'NY BackOrder'!A:E,5,FALSE)=0,"",VLOOKUP(B46,'NY BackOrder'!A:E,5,FALSE))),"")=0,"",IFERROR(IF(VLOOKUP(B46,'NY BackOrder'!A:E,5,FALSE)="",VLOOKUP(B46,'NY BackOrder'!A:G,7,FALSE),IF(VLOOKUP(B46,'NY BackOrder'!A:E,5,FALSE)=0,"",VLOOKUP(B46,'NY BackOrder'!A:E,5,FALSE))),""))</f>
        <v/>
      </c>
      <c r="I46" s="1044"/>
      <c r="J46" s="1044"/>
      <c r="K46" s="1044"/>
      <c r="L46" s="1044"/>
      <c r="M46" s="1044"/>
      <c r="N46" s="1044"/>
      <c r="O46" s="1044"/>
      <c r="P46" s="1044"/>
      <c r="Q46" s="1044"/>
      <c r="R46" s="1044"/>
      <c r="S46" s="1044"/>
      <c r="T46" s="1044"/>
      <c r="U46" s="1044"/>
      <c r="V46" s="1133"/>
      <c r="W46" s="1047" t="str">
        <f>IFERROR(IF(VLOOKUP(B46,'NY BackOrder'!A:H,8,FALSE)=0,"",VLOOKUP(B46,'NY BackOrder'!A:H,8,FALSE)),"")</f>
        <v/>
      </c>
      <c r="X46" s="1048"/>
      <c r="Y46" s="1049" t="str">
        <f>IFERROR(IF(VLOOKUP(B46,'NY BackOrder'!A:I,9,FALSE)=0,"",VLOOKUP(B46,'NY BackOrder'!A:I,9,FALSE)),"")</f>
        <v/>
      </c>
      <c r="Z46" s="1050"/>
      <c r="AA46" s="1051" t="str">
        <f>IFERROR(IF(AND(H47="",ISNUMBER(VLOOKUP(B46,'NY BackOrder'!A:J,10,FALSE))),VLOOKUP(B46,'NY BackOrder'!A:J,10,FALSE)&amp;" set",IF(VLOOKUP(B46,'NY BackOrder'!A:J,10,FALSE)=0,"",VLOOKUP(B46,'NY BackOrder'!A:J,10,FALSE))),"")</f>
        <v/>
      </c>
      <c r="AB46" s="1052"/>
      <c r="AC46" s="1040" t="str">
        <f>IFERROR(IF(VLOOKUP(B46,'NY BackOrder'!A:K,11,FALSE)=0,"",VLOOKUP(B46,'NY BackOrder'!A:K,11,FALSE)),"")</f>
        <v/>
      </c>
      <c r="AD46" s="1041"/>
      <c r="AE46" s="1042"/>
      <c r="AF46" s="1040" t="str">
        <f t="array" ref="AF46">IFERROR(IF(AA46="","",_xlfn.CONCAT(IFERROR(MID(AA46,_xlfn.SEQUENCE(LEN(AA46)),1)*1,""))*AC46),"")</f>
        <v/>
      </c>
      <c r="AG46" s="1041"/>
      <c r="AH46" s="1042"/>
    </row>
    <row r="47" spans="2:34" ht="18.75" customHeight="1">
      <c r="B47" s="1134"/>
      <c r="C47" s="1036"/>
      <c r="D47" s="1037"/>
      <c r="E47" s="1038"/>
      <c r="F47" s="1038"/>
      <c r="G47" s="1039"/>
      <c r="H47" s="1043" t="str">
        <f>IFERROR(IF(VLOOKUP(B46,'NY BackOrder'!A:F,6,FALSE)="","",IF(VLOOKUP(B46,'NY BackOrder'!A:F,6,FALSE)=0,"",VLOOKUP(B46,'NY BackOrder'!A:F,6,FALSE))),"")</f>
        <v/>
      </c>
      <c r="I47" s="1044"/>
      <c r="J47" s="1044"/>
      <c r="K47" s="236" t="s">
        <v>338</v>
      </c>
      <c r="L47" s="1045" t="str">
        <f>IFERROR(IF(VLOOKUP(B46,'NY BackOrder'!A:E,5,FALSE)="","",IF(VLOOKUP(B46,'NY BackOrder'!A:G,7,FALSE)=0,"",VLOOKUP(B46,'NY BackOrder'!A:G,7,FALSE))),"")</f>
        <v/>
      </c>
      <c r="M47" s="1044"/>
      <c r="N47" s="1044"/>
      <c r="O47" s="1044"/>
      <c r="P47" s="1044"/>
      <c r="Q47" s="1044"/>
      <c r="R47" s="1044"/>
      <c r="S47" s="1044"/>
      <c r="T47" s="1046"/>
      <c r="U47" s="240" t="str">
        <f>IFERROR(IF(VLOOKUP(B46,'NY BackOrder'!A:M,13,FALSE)=0,"",(VLOOKUP(B46,'NY BackOrder'!A:M,13,FALSE))),"")</f>
        <v/>
      </c>
      <c r="V47" s="239"/>
      <c r="W47" s="1047"/>
      <c r="X47" s="1048"/>
      <c r="Y47" s="1049"/>
      <c r="Z47" s="1050"/>
      <c r="AA47" s="1051"/>
      <c r="AB47" s="1052"/>
      <c r="AC47" s="1040"/>
      <c r="AD47" s="1041"/>
      <c r="AE47" s="1042"/>
      <c r="AF47" s="1040"/>
      <c r="AG47" s="1041"/>
      <c r="AH47" s="1042"/>
    </row>
    <row r="48" spans="2:34" ht="18.75" customHeight="1">
      <c r="B48" s="1134"/>
      <c r="C48" s="1036" t="str">
        <f>IF(B48="","",C46+1)</f>
        <v/>
      </c>
      <c r="D48" s="1037" t="str">
        <f>IFERROR(IF(VLOOKUP(B48,'NY BackOrder'!A:C,3,FALSE)="","",VLOOKUP(B48,'NY BackOrder'!A:C,3,FALSE)),"")</f>
        <v/>
      </c>
      <c r="E48" s="1038"/>
      <c r="F48" s="1038"/>
      <c r="G48" s="1039"/>
      <c r="H48" s="1043" t="str">
        <f>IF(IFERROR(IF(VLOOKUP(B48,'NY BackOrder'!A:E,5,FALSE)="",VLOOKUP(B48,'NY BackOrder'!A:G,7,FALSE),IF(VLOOKUP(B48,'NY BackOrder'!A:E,5,FALSE)=0,"",VLOOKUP(B48,'NY BackOrder'!A:E,5,FALSE))),"")=0,"",IFERROR(IF(VLOOKUP(B48,'NY BackOrder'!A:E,5,FALSE)="",VLOOKUP(B48,'NY BackOrder'!A:G,7,FALSE),IF(VLOOKUP(B48,'NY BackOrder'!A:E,5,FALSE)=0,"",VLOOKUP(B48,'NY BackOrder'!A:E,5,FALSE))),""))</f>
        <v/>
      </c>
      <c r="I48" s="1044"/>
      <c r="J48" s="1044"/>
      <c r="K48" s="1044"/>
      <c r="L48" s="1044"/>
      <c r="M48" s="1044"/>
      <c r="N48" s="1044"/>
      <c r="O48" s="1044"/>
      <c r="P48" s="1044"/>
      <c r="Q48" s="1044"/>
      <c r="R48" s="1044"/>
      <c r="S48" s="1044"/>
      <c r="T48" s="1044"/>
      <c r="U48" s="1044"/>
      <c r="V48" s="1133"/>
      <c r="W48" s="1047" t="str">
        <f>IFERROR(IF(VLOOKUP(B48,'NY BackOrder'!A:H,8,FALSE)=0,"",VLOOKUP(B48,'NY BackOrder'!A:H,8,FALSE)),"")</f>
        <v/>
      </c>
      <c r="X48" s="1048"/>
      <c r="Y48" s="1049" t="str">
        <f>IFERROR(IF(VLOOKUP(B48,'NY BackOrder'!A:I,9,FALSE)=0,"",VLOOKUP(B48,'NY BackOrder'!A:I,9,FALSE)),"")</f>
        <v/>
      </c>
      <c r="Z48" s="1050"/>
      <c r="AA48" s="1051" t="str">
        <f>IFERROR(IF(AND(H49="",ISNUMBER(VLOOKUP(B48,'NY BackOrder'!A:J,10,FALSE))),VLOOKUP(B48,'NY BackOrder'!A:J,10,FALSE)&amp;" set",IF(VLOOKUP(B48,'NY BackOrder'!A:J,10,FALSE)=0,"",VLOOKUP(B48,'NY BackOrder'!A:J,10,FALSE))),"")</f>
        <v/>
      </c>
      <c r="AB48" s="1052"/>
      <c r="AC48" s="1040" t="str">
        <f>IFERROR(IF(VLOOKUP(B48,'NY BackOrder'!A:K,11,FALSE)=0,"",VLOOKUP(B48,'NY BackOrder'!A:K,11,FALSE)),"")</f>
        <v/>
      </c>
      <c r="AD48" s="1041"/>
      <c r="AE48" s="1042"/>
      <c r="AF48" s="1040" t="str">
        <f t="array" ref="AF48">IFERROR(IF(AA48="","",_xlfn.CONCAT(IFERROR(MID(AA48,_xlfn.SEQUENCE(LEN(AA48)),1)*1,""))*AC48),"")</f>
        <v/>
      </c>
      <c r="AG48" s="1041"/>
      <c r="AH48" s="1042"/>
    </row>
    <row r="49" spans="2:34" ht="18.75" customHeight="1">
      <c r="B49" s="1134"/>
      <c r="C49" s="1036"/>
      <c r="D49" s="1037"/>
      <c r="E49" s="1038"/>
      <c r="F49" s="1038"/>
      <c r="G49" s="1039"/>
      <c r="H49" s="1043" t="str">
        <f>IFERROR(IF(VLOOKUP(B48,'NY BackOrder'!A:F,6,FALSE)="","",IF(VLOOKUP(B48,'NY BackOrder'!A:F,6,FALSE)=0,"",VLOOKUP(B48,'NY BackOrder'!A:F,6,FALSE))),"")</f>
        <v/>
      </c>
      <c r="I49" s="1044"/>
      <c r="J49" s="1044"/>
      <c r="K49" s="236" t="s">
        <v>338</v>
      </c>
      <c r="L49" s="1045" t="str">
        <f>IFERROR(IF(VLOOKUP(B48,'NY BackOrder'!A:E,5,FALSE)="","",IF(VLOOKUP(B48,'NY BackOrder'!A:G,7,FALSE)=0,"",VLOOKUP(B48,'NY BackOrder'!A:G,7,FALSE))),"")</f>
        <v/>
      </c>
      <c r="M49" s="1044"/>
      <c r="N49" s="1044"/>
      <c r="O49" s="1044"/>
      <c r="P49" s="1044"/>
      <c r="Q49" s="1044"/>
      <c r="R49" s="1044"/>
      <c r="S49" s="1044"/>
      <c r="T49" s="1046"/>
      <c r="U49" s="240" t="str">
        <f>IFERROR(IF(VLOOKUP(B48,'NY BackOrder'!A:M,13,FALSE)=0,"",(VLOOKUP(B48,'NY BackOrder'!A:M,13,FALSE))),"")</f>
        <v/>
      </c>
      <c r="V49" s="239"/>
      <c r="W49" s="1047"/>
      <c r="X49" s="1048"/>
      <c r="Y49" s="1049"/>
      <c r="Z49" s="1050"/>
      <c r="AA49" s="1051"/>
      <c r="AB49" s="1052"/>
      <c r="AC49" s="1040"/>
      <c r="AD49" s="1041"/>
      <c r="AE49" s="1042"/>
      <c r="AF49" s="1040"/>
      <c r="AG49" s="1041"/>
      <c r="AH49" s="1042"/>
    </row>
    <row r="50" spans="2:34" ht="18.75" customHeight="1">
      <c r="B50" s="1134"/>
      <c r="C50" s="1036" t="str">
        <f>IF(B50="","",C48+1)</f>
        <v/>
      </c>
      <c r="D50" s="1037" t="str">
        <f>IFERROR(IF(VLOOKUP(B50,'NY BackOrder'!A:C,3,FALSE)="","",VLOOKUP(B50,'NY BackOrder'!A:C,3,FALSE)),"")</f>
        <v/>
      </c>
      <c r="E50" s="1038"/>
      <c r="F50" s="1038"/>
      <c r="G50" s="1039"/>
      <c r="H50" s="1043" t="str">
        <f>IF(IFERROR(IF(VLOOKUP(B50,'NY BackOrder'!A:E,5,FALSE)="",VLOOKUP(B50,'NY BackOrder'!A:G,7,FALSE),IF(VLOOKUP(B50,'NY BackOrder'!A:E,5,FALSE)=0,"",VLOOKUP(B50,'NY BackOrder'!A:E,5,FALSE))),"")=0,"",IFERROR(IF(VLOOKUP(B50,'NY BackOrder'!A:E,5,FALSE)="",VLOOKUP(B50,'NY BackOrder'!A:G,7,FALSE),IF(VLOOKUP(B50,'NY BackOrder'!A:E,5,FALSE)=0,"",VLOOKUP(B50,'NY BackOrder'!A:E,5,FALSE))),""))</f>
        <v/>
      </c>
      <c r="I50" s="1044"/>
      <c r="J50" s="1044"/>
      <c r="K50" s="1044"/>
      <c r="L50" s="1044"/>
      <c r="M50" s="1044"/>
      <c r="N50" s="1044"/>
      <c r="O50" s="1044"/>
      <c r="P50" s="1044"/>
      <c r="Q50" s="1044"/>
      <c r="R50" s="1044"/>
      <c r="S50" s="1044"/>
      <c r="T50" s="1044"/>
      <c r="U50" s="1044"/>
      <c r="V50" s="1133"/>
      <c r="W50" s="1047" t="str">
        <f>IFERROR(IF(VLOOKUP(B50,'NY BackOrder'!A:H,8,FALSE)=0,"",VLOOKUP(B50,'NY BackOrder'!A:H,8,FALSE)),"")</f>
        <v/>
      </c>
      <c r="X50" s="1048"/>
      <c r="Y50" s="1049" t="str">
        <f>IFERROR(IF(VLOOKUP(B50,'NY BackOrder'!A:I,9,FALSE)=0,"",VLOOKUP(B50,'NY BackOrder'!A:I,9,FALSE)),"")</f>
        <v/>
      </c>
      <c r="Z50" s="1050"/>
      <c r="AA50" s="1051" t="str">
        <f>IFERROR(IF(AND(H51="",ISNUMBER(VLOOKUP(B50,'NY BackOrder'!A:J,10,FALSE))),VLOOKUP(B50,'NY BackOrder'!A:J,10,FALSE)&amp;" set",IF(VLOOKUP(B50,'NY BackOrder'!A:J,10,FALSE)=0,"",VLOOKUP(B50,'NY BackOrder'!A:J,10,FALSE))),"")</f>
        <v/>
      </c>
      <c r="AB50" s="1052"/>
      <c r="AC50" s="1040" t="str">
        <f>IFERROR(IF(VLOOKUP(B50,'NY BackOrder'!A:K,11,FALSE)=0,"",VLOOKUP(B50,'NY BackOrder'!A:K,11,FALSE)),"")</f>
        <v/>
      </c>
      <c r="AD50" s="1041"/>
      <c r="AE50" s="1042"/>
      <c r="AF50" s="1040" t="str">
        <f t="array" ref="AF50">IFERROR(IF(AA50="","",_xlfn.CONCAT(IFERROR(MID(AA50,_xlfn.SEQUENCE(LEN(AA50)),1)*1,""))*AC50),"")</f>
        <v/>
      </c>
      <c r="AG50" s="1041"/>
      <c r="AH50" s="1042"/>
    </row>
    <row r="51" spans="2:34" ht="18.75" customHeight="1">
      <c r="B51" s="1134"/>
      <c r="C51" s="1036"/>
      <c r="D51" s="1037"/>
      <c r="E51" s="1038"/>
      <c r="F51" s="1038"/>
      <c r="G51" s="1039"/>
      <c r="H51" s="1043" t="str">
        <f>IFERROR(IF(VLOOKUP(B50,'NY BackOrder'!A:F,6,FALSE)="","",IF(VLOOKUP(B50,'NY BackOrder'!A:F,6,FALSE)=0,"",VLOOKUP(B50,'NY BackOrder'!A:F,6,FALSE))),"")</f>
        <v/>
      </c>
      <c r="I51" s="1044"/>
      <c r="J51" s="1044"/>
      <c r="K51" s="236" t="s">
        <v>338</v>
      </c>
      <c r="L51" s="1045" t="str">
        <f>IFERROR(IF(VLOOKUP(B50,'NY BackOrder'!A:E,5,FALSE)="","",IF(VLOOKUP(B50,'NY BackOrder'!A:G,7,FALSE)=0,"",VLOOKUP(B50,'NY BackOrder'!A:G,7,FALSE))),"")</f>
        <v/>
      </c>
      <c r="M51" s="1044"/>
      <c r="N51" s="1044"/>
      <c r="O51" s="1044"/>
      <c r="P51" s="1044"/>
      <c r="Q51" s="1044"/>
      <c r="R51" s="1044"/>
      <c r="S51" s="1044"/>
      <c r="T51" s="1046"/>
      <c r="U51" s="240" t="str">
        <f>IFERROR(IF(VLOOKUP(B50,'NY BackOrder'!A:M,13,FALSE)=0,"",(VLOOKUP(B50,'NY BackOrder'!A:M,13,FALSE))),"")</f>
        <v/>
      </c>
      <c r="V51" s="239"/>
      <c r="W51" s="1047"/>
      <c r="X51" s="1048"/>
      <c r="Y51" s="1049"/>
      <c r="Z51" s="1050"/>
      <c r="AA51" s="1051"/>
      <c r="AB51" s="1052"/>
      <c r="AC51" s="1040"/>
      <c r="AD51" s="1041"/>
      <c r="AE51" s="1042"/>
      <c r="AF51" s="1040"/>
      <c r="AG51" s="1041"/>
      <c r="AH51" s="1042"/>
    </row>
    <row r="52" spans="2:34" ht="18.75" customHeight="1">
      <c r="B52" s="1134"/>
      <c r="C52" s="1036" t="str">
        <f>IF(B52="","",C50+1)</f>
        <v/>
      </c>
      <c r="D52" s="1037" t="str">
        <f>IFERROR(IF(VLOOKUP(B52,'NY BackOrder'!A:C,3,FALSE)="","",VLOOKUP(B52,'NY BackOrder'!A:C,3,FALSE)),"")</f>
        <v/>
      </c>
      <c r="E52" s="1038"/>
      <c r="F52" s="1038"/>
      <c r="G52" s="1039"/>
      <c r="H52" s="1043" t="str">
        <f>IF(IFERROR(IF(VLOOKUP(B52,'NY BackOrder'!A:E,5,FALSE)="",VLOOKUP(B52,'NY BackOrder'!A:G,7,FALSE),IF(VLOOKUP(B52,'NY BackOrder'!A:E,5,FALSE)=0,"",VLOOKUP(B52,'NY BackOrder'!A:E,5,FALSE))),"")=0,"",IFERROR(IF(VLOOKUP(B52,'NY BackOrder'!A:E,5,FALSE)="",VLOOKUP(B52,'NY BackOrder'!A:G,7,FALSE),IF(VLOOKUP(B52,'NY BackOrder'!A:E,5,FALSE)=0,"",VLOOKUP(B52,'NY BackOrder'!A:E,5,FALSE))),""))</f>
        <v/>
      </c>
      <c r="I52" s="1044"/>
      <c r="J52" s="1044"/>
      <c r="K52" s="1044"/>
      <c r="L52" s="1044"/>
      <c r="M52" s="1044"/>
      <c r="N52" s="1044"/>
      <c r="O52" s="1044"/>
      <c r="P52" s="1044"/>
      <c r="Q52" s="1044"/>
      <c r="R52" s="1044"/>
      <c r="S52" s="1044"/>
      <c r="T52" s="1044"/>
      <c r="U52" s="1044"/>
      <c r="V52" s="1133"/>
      <c r="W52" s="1047" t="str">
        <f>IFERROR(IF(VLOOKUP(B52,'NY BackOrder'!A:H,8,FALSE)=0,"",VLOOKUP(B52,'NY BackOrder'!A:H,8,FALSE)),"")</f>
        <v/>
      </c>
      <c r="X52" s="1048"/>
      <c r="Y52" s="1049" t="str">
        <f>IFERROR(IF(VLOOKUP(B52,'NY BackOrder'!A:I,9,FALSE)=0,"",VLOOKUP(B52,'NY BackOrder'!A:I,9,FALSE)),"")</f>
        <v/>
      </c>
      <c r="Z52" s="1050"/>
      <c r="AA52" s="1051" t="str">
        <f>IFERROR(IF(AND(H53="",ISNUMBER(VLOOKUP(B52,'NY BackOrder'!A:J,10,FALSE))),VLOOKUP(B52,'NY BackOrder'!A:J,10,FALSE)&amp;" set",IF(VLOOKUP(B52,'NY BackOrder'!A:J,10,FALSE)=0,"",VLOOKUP(B52,'NY BackOrder'!A:J,10,FALSE))),"")</f>
        <v/>
      </c>
      <c r="AB52" s="1052"/>
      <c r="AC52" s="1040" t="str">
        <f>IFERROR(IF(VLOOKUP(B52,'NY BackOrder'!A:K,11,FALSE)=0,"",VLOOKUP(B52,'NY BackOrder'!A:K,11,FALSE)),"")</f>
        <v/>
      </c>
      <c r="AD52" s="1041"/>
      <c r="AE52" s="1042"/>
      <c r="AF52" s="1040" t="str">
        <f t="array" ref="AF52">IFERROR(IF(AA52="","",_xlfn.CONCAT(IFERROR(MID(AA52,_xlfn.SEQUENCE(LEN(AA52)),1)*1,""))*AC52),"")</f>
        <v/>
      </c>
      <c r="AG52" s="1041"/>
      <c r="AH52" s="1042"/>
    </row>
    <row r="53" spans="2:34" ht="18.75" customHeight="1">
      <c r="B53" s="1134"/>
      <c r="C53" s="1036"/>
      <c r="D53" s="1130"/>
      <c r="E53" s="1131"/>
      <c r="F53" s="1131"/>
      <c r="G53" s="1132"/>
      <c r="H53" s="1190" t="str">
        <f>IFERROR(IF(VLOOKUP(B52,'NY BackOrder'!A:F,6,FALSE)="","",IF(VLOOKUP(B52,'NY BackOrder'!A:F,6,FALSE)=0,"",VLOOKUP(B52,'NY BackOrder'!A:F,6,FALSE))),"")</f>
        <v/>
      </c>
      <c r="I53" s="1170"/>
      <c r="J53" s="1170"/>
      <c r="K53" s="237" t="s">
        <v>338</v>
      </c>
      <c r="L53" s="1169" t="str">
        <f>IFERROR(IF(VLOOKUP(B52,'NY BackOrder'!A:E,5,FALSE)="","",IF(VLOOKUP(B52,'NY BackOrder'!A:G,7,FALSE)=0,"",VLOOKUP(B52,'NY BackOrder'!A:G,7,FALSE))),"")</f>
        <v/>
      </c>
      <c r="M53" s="1170"/>
      <c r="N53" s="1170"/>
      <c r="O53" s="1170"/>
      <c r="P53" s="1170"/>
      <c r="Q53" s="1170"/>
      <c r="R53" s="1170"/>
      <c r="S53" s="1170"/>
      <c r="T53" s="1171"/>
      <c r="U53" s="225" t="str">
        <f>IFERROR(IF(VLOOKUP(B52,'NY BackOrder'!A:M,13,FALSE)=0,"",(VLOOKUP(B52,'NY BackOrder'!A:M,13,FALSE))),"")</f>
        <v/>
      </c>
      <c r="V53" s="226"/>
      <c r="W53" s="1188"/>
      <c r="X53" s="1189"/>
      <c r="Y53" s="1147"/>
      <c r="Z53" s="1148"/>
      <c r="AA53" s="1149"/>
      <c r="AB53" s="1150"/>
      <c r="AC53" s="1139"/>
      <c r="AD53" s="1140"/>
      <c r="AE53" s="1141"/>
      <c r="AF53" s="1139"/>
      <c r="AG53" s="1140"/>
      <c r="AH53" s="1141"/>
    </row>
    <row r="54" spans="2:34" ht="18.75" customHeight="1">
      <c r="C54" s="223"/>
      <c r="D54" s="223"/>
      <c r="E54" s="223"/>
      <c r="F54" s="223"/>
      <c r="G54" s="1142"/>
      <c r="H54" s="1142"/>
      <c r="I54" s="1143"/>
      <c r="J54" s="1143"/>
      <c r="K54" s="223"/>
      <c r="L54" s="223"/>
      <c r="M54" s="223"/>
      <c r="N54" s="223"/>
      <c r="O54" s="223"/>
      <c r="P54" s="223"/>
      <c r="Q54" s="223"/>
      <c r="R54" s="223"/>
      <c r="S54" s="223"/>
      <c r="T54" s="223"/>
      <c r="U54" s="223"/>
      <c r="V54" s="223"/>
      <c r="W54" s="1142"/>
      <c r="X54" s="1142"/>
      <c r="Y54" s="1142"/>
      <c r="Z54" s="1142"/>
      <c r="AA54" s="1143"/>
      <c r="AB54" s="1144"/>
      <c r="AC54" s="1145" t="s">
        <v>320</v>
      </c>
      <c r="AD54" s="1146"/>
      <c r="AE54" s="1146"/>
      <c r="AF54" s="1166">
        <f>SUM(AF26:AH53)</f>
        <v>0</v>
      </c>
      <c r="AG54" s="1167"/>
      <c r="AH54" s="1168"/>
    </row>
    <row r="55" spans="2:34" ht="18.75" customHeight="1" thickBot="1">
      <c r="C55" s="215" t="s">
        <v>344</v>
      </c>
      <c r="AC55" s="1162" t="s">
        <v>340</v>
      </c>
      <c r="AD55" s="1163"/>
      <c r="AE55" s="1163"/>
      <c r="AF55" s="1136"/>
      <c r="AG55" s="1137"/>
      <c r="AH55" s="1138"/>
    </row>
    <row r="56" spans="2:34" ht="18.75" customHeight="1" thickBot="1">
      <c r="C56" s="215" t="s">
        <v>346</v>
      </c>
      <c r="N56" s="215" t="s">
        <v>351</v>
      </c>
      <c r="AC56" s="1186" t="s">
        <v>321</v>
      </c>
      <c r="AD56" s="1187"/>
      <c r="AE56" s="1187"/>
      <c r="AF56" s="1156">
        <f>SUM(AF54:AH55)</f>
        <v>0</v>
      </c>
      <c r="AG56" s="1157"/>
      <c r="AH56" s="1158"/>
    </row>
    <row r="57" spans="2:34" ht="18.75" customHeight="1">
      <c r="C57" s="238" t="s">
        <v>347</v>
      </c>
      <c r="N57" s="1185" t="s">
        <v>352</v>
      </c>
      <c r="O57" s="1185"/>
      <c r="P57" s="1185"/>
      <c r="Q57" s="1185"/>
      <c r="R57" s="1185"/>
      <c r="S57" s="1185"/>
      <c r="T57" s="1185"/>
      <c r="U57" s="1185"/>
      <c r="V57" s="1185"/>
    </row>
    <row r="58" spans="2:34" ht="18.75" customHeight="1">
      <c r="C58" s="215" t="s">
        <v>348</v>
      </c>
      <c r="N58" s="1185" t="s">
        <v>353</v>
      </c>
      <c r="O58" s="1185"/>
      <c r="P58" s="1185"/>
      <c r="Q58" s="1134"/>
      <c r="R58" s="1134"/>
      <c r="S58" s="1134"/>
      <c r="T58" s="1134"/>
    </row>
    <row r="59" spans="2:34" ht="18.75" customHeight="1">
      <c r="C59" s="215" t="s">
        <v>349</v>
      </c>
      <c r="Y59" s="238" t="s">
        <v>354</v>
      </c>
      <c r="Z59" s="238"/>
      <c r="AA59" s="238"/>
      <c r="AB59" s="238"/>
      <c r="AC59" s="238"/>
      <c r="AD59" s="238"/>
      <c r="AE59" s="238"/>
      <c r="AF59" s="238"/>
      <c r="AG59" s="238"/>
      <c r="AH59" s="238"/>
    </row>
    <row r="60" spans="2:34" ht="18.75" customHeight="1">
      <c r="C60" s="215" t="s">
        <v>350</v>
      </c>
      <c r="Y60" s="1134"/>
      <c r="Z60" s="1134"/>
      <c r="AA60" s="1134"/>
      <c r="AB60" s="1134"/>
      <c r="AC60" s="1134"/>
      <c r="AD60" s="1134"/>
      <c r="AE60" s="1134"/>
      <c r="AF60" s="1134"/>
      <c r="AG60" s="1134"/>
      <c r="AH60" s="1134"/>
    </row>
    <row r="61" spans="2:34" ht="18.75" customHeight="1">
      <c r="Y61" s="1134"/>
      <c r="Z61" s="1134"/>
      <c r="AA61" s="1134"/>
      <c r="AB61" s="1134"/>
      <c r="AC61" s="1134"/>
      <c r="AD61" s="1134"/>
      <c r="AE61" s="1134"/>
      <c r="AF61" s="1134"/>
      <c r="AG61" s="1134"/>
      <c r="AH61" s="1134"/>
    </row>
    <row r="62" spans="2:34" ht="18.75" customHeight="1" thickBot="1">
      <c r="Y62" s="1135"/>
      <c r="Z62" s="1135"/>
      <c r="AA62" s="1135"/>
      <c r="AB62" s="1135"/>
      <c r="AC62" s="1135"/>
      <c r="AD62" s="1135"/>
      <c r="AE62" s="1135"/>
      <c r="AF62" s="1135"/>
      <c r="AG62" s="1135"/>
      <c r="AH62" s="1135"/>
    </row>
    <row r="63" spans="2:34" ht="18.75" customHeight="1">
      <c r="Y63" s="1151" t="s">
        <v>355</v>
      </c>
      <c r="Z63" s="1151"/>
      <c r="AA63" s="1151"/>
      <c r="AB63" s="1151"/>
      <c r="AC63" s="1151"/>
      <c r="AD63" s="1151"/>
      <c r="AE63" s="1151"/>
      <c r="AF63" s="1151"/>
      <c r="AG63" s="1151"/>
      <c r="AH63" s="1151"/>
    </row>
  </sheetData>
  <mergeCells count="238">
    <mergeCell ref="B52:B53"/>
    <mergeCell ref="W52:X53"/>
    <mergeCell ref="H53:J53"/>
    <mergeCell ref="B40:B41"/>
    <mergeCell ref="B48:B49"/>
    <mergeCell ref="W40:X41"/>
    <mergeCell ref="AF36:AH37"/>
    <mergeCell ref="AF34:AH35"/>
    <mergeCell ref="Y40:Z41"/>
    <mergeCell ref="H41:J41"/>
    <mergeCell ref="L41:T41"/>
    <mergeCell ref="B42:B43"/>
    <mergeCell ref="B44:B45"/>
    <mergeCell ref="B46:B47"/>
    <mergeCell ref="C48:C49"/>
    <mergeCell ref="C52:C53"/>
    <mergeCell ref="B50:B51"/>
    <mergeCell ref="C50:C51"/>
    <mergeCell ref="AC38:AE39"/>
    <mergeCell ref="N58:P58"/>
    <mergeCell ref="Q58:T58"/>
    <mergeCell ref="Y50:Z51"/>
    <mergeCell ref="H40:V40"/>
    <mergeCell ref="N57:P57"/>
    <mergeCell ref="Q57:V57"/>
    <mergeCell ref="G54:H54"/>
    <mergeCell ref="AF52:AH53"/>
    <mergeCell ref="AA40:AB41"/>
    <mergeCell ref="AC40:AE41"/>
    <mergeCell ref="AF40:AH41"/>
    <mergeCell ref="AC56:AE56"/>
    <mergeCell ref="D48:G49"/>
    <mergeCell ref="H48:V48"/>
    <mergeCell ref="H51:J51"/>
    <mergeCell ref="L51:T51"/>
    <mergeCell ref="H50:V50"/>
    <mergeCell ref="D50:G51"/>
    <mergeCell ref="W50:X51"/>
    <mergeCell ref="H46:V46"/>
    <mergeCell ref="W48:X49"/>
    <mergeCell ref="I54:J54"/>
    <mergeCell ref="B28:B29"/>
    <mergeCell ref="W28:X29"/>
    <mergeCell ref="AA28:AB29"/>
    <mergeCell ref="AC28:AE29"/>
    <mergeCell ref="AF28:AH29"/>
    <mergeCell ref="B26:B27"/>
    <mergeCell ref="H27:J27"/>
    <mergeCell ref="L27:T27"/>
    <mergeCell ref="AF30:AH31"/>
    <mergeCell ref="AF26:AH27"/>
    <mergeCell ref="AC26:AE27"/>
    <mergeCell ref="AA26:AB27"/>
    <mergeCell ref="Y26:Z27"/>
    <mergeCell ref="W26:X27"/>
    <mergeCell ref="W30:X31"/>
    <mergeCell ref="L31:T31"/>
    <mergeCell ref="Y30:Z31"/>
    <mergeCell ref="AA30:AB31"/>
    <mergeCell ref="AC30:AE31"/>
    <mergeCell ref="H31:J31"/>
    <mergeCell ref="H29:J29"/>
    <mergeCell ref="B30:B31"/>
    <mergeCell ref="H28:V28"/>
    <mergeCell ref="H30:V30"/>
    <mergeCell ref="B32:B33"/>
    <mergeCell ref="L33:T33"/>
    <mergeCell ref="L39:T39"/>
    <mergeCell ref="C44:C45"/>
    <mergeCell ref="D44:G45"/>
    <mergeCell ref="H44:V44"/>
    <mergeCell ref="H32:V32"/>
    <mergeCell ref="B34:B35"/>
    <mergeCell ref="H35:J35"/>
    <mergeCell ref="H33:J33"/>
    <mergeCell ref="B38:B39"/>
    <mergeCell ref="H39:J39"/>
    <mergeCell ref="B36:B37"/>
    <mergeCell ref="H38:V38"/>
    <mergeCell ref="H37:J37"/>
    <mergeCell ref="L37:T37"/>
    <mergeCell ref="Y63:AH63"/>
    <mergeCell ref="G2:M2"/>
    <mergeCell ref="G1:M1"/>
    <mergeCell ref="C1:F1"/>
    <mergeCell ref="C2:F2"/>
    <mergeCell ref="AF24:AH25"/>
    <mergeCell ref="AC24:AE25"/>
    <mergeCell ref="AF56:AH56"/>
    <mergeCell ref="AC23:AH23"/>
    <mergeCell ref="AC55:AE55"/>
    <mergeCell ref="U25:V25"/>
    <mergeCell ref="AF54:AH54"/>
    <mergeCell ref="L29:T29"/>
    <mergeCell ref="L53:T53"/>
    <mergeCell ref="L35:T35"/>
    <mergeCell ref="AA25:AB25"/>
    <mergeCell ref="Y25:Z25"/>
    <mergeCell ref="W25:X25"/>
    <mergeCell ref="H36:V36"/>
    <mergeCell ref="AA44:AB45"/>
    <mergeCell ref="Y32:Z33"/>
    <mergeCell ref="AA32:AB33"/>
    <mergeCell ref="AA34:AB35"/>
    <mergeCell ref="AC34:AE35"/>
    <mergeCell ref="Y60:AH62"/>
    <mergeCell ref="AC46:AE47"/>
    <mergeCell ref="AF46:AH47"/>
    <mergeCell ref="AC48:AE49"/>
    <mergeCell ref="AF48:AH49"/>
    <mergeCell ref="AF55:AH55"/>
    <mergeCell ref="AC52:AE53"/>
    <mergeCell ref="Y48:Z49"/>
    <mergeCell ref="AA48:AB49"/>
    <mergeCell ref="AA50:AB51"/>
    <mergeCell ref="AC50:AE51"/>
    <mergeCell ref="AF50:AH51"/>
    <mergeCell ref="W54:Z54"/>
    <mergeCell ref="AA54:AB54"/>
    <mergeCell ref="AC54:AE54"/>
    <mergeCell ref="Y52:Z53"/>
    <mergeCell ref="AA52:AB53"/>
    <mergeCell ref="C28:C29"/>
    <mergeCell ref="D52:G53"/>
    <mergeCell ref="H52:V52"/>
    <mergeCell ref="AC32:AE33"/>
    <mergeCell ref="AA36:AB37"/>
    <mergeCell ref="AC36:AE37"/>
    <mergeCell ref="W46:X47"/>
    <mergeCell ref="Y46:Z47"/>
    <mergeCell ref="AA46:AB47"/>
    <mergeCell ref="H47:J47"/>
    <mergeCell ref="L47:T47"/>
    <mergeCell ref="C46:C47"/>
    <mergeCell ref="D46:G47"/>
    <mergeCell ref="H49:J49"/>
    <mergeCell ref="L49:T49"/>
    <mergeCell ref="C34:C35"/>
    <mergeCell ref="C36:C37"/>
    <mergeCell ref="C38:C39"/>
    <mergeCell ref="C40:C41"/>
    <mergeCell ref="C42:C43"/>
    <mergeCell ref="H34:V34"/>
    <mergeCell ref="Y28:Z29"/>
    <mergeCell ref="AA42:AB43"/>
    <mergeCell ref="H42:V42"/>
    <mergeCell ref="C20:K20"/>
    <mergeCell ref="U20:Y20"/>
    <mergeCell ref="G17:T17"/>
    <mergeCell ref="U17:V17"/>
    <mergeCell ref="W17:Z17"/>
    <mergeCell ref="C22:K22"/>
    <mergeCell ref="U22:Y22"/>
    <mergeCell ref="C23:K23"/>
    <mergeCell ref="H26:V26"/>
    <mergeCell ref="U23:Z23"/>
    <mergeCell ref="L21:T21"/>
    <mergeCell ref="U21:Z21"/>
    <mergeCell ref="L23:T23"/>
    <mergeCell ref="C14:F19"/>
    <mergeCell ref="G19:T19"/>
    <mergeCell ref="D26:G27"/>
    <mergeCell ref="D24:G25"/>
    <mergeCell ref="C24:C25"/>
    <mergeCell ref="C26:C27"/>
    <mergeCell ref="W24:AB24"/>
    <mergeCell ref="H24:V24"/>
    <mergeCell ref="C4:T7"/>
    <mergeCell ref="U4:AH5"/>
    <mergeCell ref="U6:V6"/>
    <mergeCell ref="W6:AH6"/>
    <mergeCell ref="U7:V7"/>
    <mergeCell ref="X7:Y7"/>
    <mergeCell ref="AD7:AF7"/>
    <mergeCell ref="AG7:AH7"/>
    <mergeCell ref="U13:V13"/>
    <mergeCell ref="W13:AH13"/>
    <mergeCell ref="C8:F13"/>
    <mergeCell ref="G8:T8"/>
    <mergeCell ref="U8:Z8"/>
    <mergeCell ref="AA8:AH8"/>
    <mergeCell ref="G9:T9"/>
    <mergeCell ref="U9:Z9"/>
    <mergeCell ref="AA9:AH9"/>
    <mergeCell ref="G10:T10"/>
    <mergeCell ref="G11:T11"/>
    <mergeCell ref="U11:Z11"/>
    <mergeCell ref="AA11:AH11"/>
    <mergeCell ref="G12:T12"/>
    <mergeCell ref="U12:AH12"/>
    <mergeCell ref="G13:T13"/>
    <mergeCell ref="U10:Z10"/>
    <mergeCell ref="AA10:AH10"/>
    <mergeCell ref="W15:AH15"/>
    <mergeCell ref="G16:T16"/>
    <mergeCell ref="U16:V16"/>
    <mergeCell ref="W16:AH16"/>
    <mergeCell ref="AA17:AC17"/>
    <mergeCell ref="AD17:AH17"/>
    <mergeCell ref="G18:T18"/>
    <mergeCell ref="U18:AH18"/>
    <mergeCell ref="G14:T14"/>
    <mergeCell ref="U14:V14"/>
    <mergeCell ref="W14:AH14"/>
    <mergeCell ref="G15:T15"/>
    <mergeCell ref="U15:V15"/>
    <mergeCell ref="D28:G29"/>
    <mergeCell ref="D30:G31"/>
    <mergeCell ref="D32:G33"/>
    <mergeCell ref="D34:G35"/>
    <mergeCell ref="AC44:AE45"/>
    <mergeCell ref="AF44:AH45"/>
    <mergeCell ref="H45:J45"/>
    <mergeCell ref="L45:T45"/>
    <mergeCell ref="W44:X45"/>
    <mergeCell ref="Y44:Z45"/>
    <mergeCell ref="AF32:AH33"/>
    <mergeCell ref="AF38:AH39"/>
    <mergeCell ref="W34:X35"/>
    <mergeCell ref="Y34:Z35"/>
    <mergeCell ref="W32:X33"/>
    <mergeCell ref="W38:X39"/>
    <mergeCell ref="W36:X37"/>
    <mergeCell ref="Y36:Z37"/>
    <mergeCell ref="Y38:Z39"/>
    <mergeCell ref="AA38:AB39"/>
    <mergeCell ref="C30:C31"/>
    <mergeCell ref="C32:C33"/>
    <mergeCell ref="D36:G37"/>
    <mergeCell ref="D38:G39"/>
    <mergeCell ref="D40:G41"/>
    <mergeCell ref="D42:G43"/>
    <mergeCell ref="AC42:AE43"/>
    <mergeCell ref="AF42:AH43"/>
    <mergeCell ref="H43:J43"/>
    <mergeCell ref="L43:T43"/>
    <mergeCell ref="W42:X43"/>
    <mergeCell ref="Y42:Z43"/>
  </mergeCells>
  <phoneticPr fontId="3"/>
  <conditionalFormatting sqref="G21">
    <cfRule type="notContainsBlanks" dxfId="12" priority="13" stopIfTrue="1">
      <formula>LEN(TRIM(G21))&gt;0</formula>
    </cfRule>
    <cfRule type="expression" dxfId="11" priority="14" stopIfTrue="1">
      <formula>$C$21="Other"</formula>
    </cfRule>
    <cfRule type="expression" dxfId="10" priority="15" stopIfTrue="1">
      <formula>$C$21="AIR"</formula>
    </cfRule>
    <cfRule type="expression" dxfId="9" priority="17" stopIfTrue="1">
      <formula>$C$21="Vessel"</formula>
    </cfRule>
  </conditionalFormatting>
  <conditionalFormatting sqref="C21:F21">
    <cfRule type="expression" dxfId="8" priority="16" stopIfTrue="1">
      <formula>$C$21="(SELECT)"</formula>
    </cfRule>
  </conditionalFormatting>
  <conditionalFormatting sqref="L21:Z21">
    <cfRule type="containsBlanks" dxfId="7" priority="12" stopIfTrue="1">
      <formula>LEN(TRIM(L21))=0</formula>
    </cfRule>
  </conditionalFormatting>
  <conditionalFormatting sqref="U19:V19">
    <cfRule type="expression" dxfId="6" priority="11" stopIfTrue="1">
      <formula>$U$19="(SELECT)"</formula>
    </cfRule>
  </conditionalFormatting>
  <conditionalFormatting sqref="AG7:AH7">
    <cfRule type="containsBlanks" dxfId="5" priority="10" stopIfTrue="1">
      <formula>LEN(TRIM(AG7))=0</formula>
    </cfRule>
  </conditionalFormatting>
  <conditionalFormatting sqref="C23:Z23">
    <cfRule type="containsBlanks" dxfId="4" priority="9" stopIfTrue="1">
      <formula>LEN(TRIM(C23))=0</formula>
    </cfRule>
  </conditionalFormatting>
  <conditionalFormatting sqref="AC23:AH23">
    <cfRule type="containsBlanks" dxfId="3" priority="8" stopIfTrue="1">
      <formula>LEN(TRIM(AC23))=0</formula>
    </cfRule>
  </conditionalFormatting>
  <conditionalFormatting sqref="G8:T13">
    <cfRule type="expression" dxfId="2" priority="7" stopIfTrue="1">
      <formula>$G$8=""</formula>
    </cfRule>
  </conditionalFormatting>
  <conditionalFormatting sqref="G14:T19">
    <cfRule type="expression" dxfId="1" priority="6" stopIfTrue="1">
      <formula>$G$14=""</formula>
    </cfRule>
  </conditionalFormatting>
  <conditionalFormatting sqref="H27:T27 H26 H29:T29 H28 H31:T31 H30 H33:T33 H32 H35:T35 H34 H37:T37 H36 H39:T39 H38 H41:T41 H40 H43:T43 H42 H45:T45 H44 H47:T47 H46 H49:T49 H48 H51:T51 H50 H53:T53 H52">
    <cfRule type="expression" dxfId="0" priority="3" stopIfTrue="1">
      <formula>COUNTIF($AC26,"*per*")</formula>
    </cfRule>
  </conditionalFormatting>
  <dataValidations count="3">
    <dataValidation type="list" allowBlank="1" showInputMessage="1" showErrorMessage="1" sqref="U19:V19" xr:uid="{00000000-0002-0000-0800-000000000000}">
      <formula1>"(SELECT),Advanced Payment,NET 30days,NET 60days"</formula1>
    </dataValidation>
    <dataValidation type="list" allowBlank="1" showInputMessage="1" showErrorMessage="1" sqref="K27 K49 K29 K31 K33 K35 K37 K51 K43 K45 K39 K41 K47 K53" xr:uid="{00000000-0002-0000-0800-000001000000}">
      <formula1>"mm,cm,m,　"</formula1>
    </dataValidation>
    <dataValidation type="list" allowBlank="1" showInputMessage="1" showErrorMessage="1" sqref="C21:F21" xr:uid="{00000000-0002-0000-0800-000002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22</xdr:col>
                    <xdr:colOff>19050</xdr:colOff>
                    <xdr:row>5</xdr:row>
                    <xdr:rowOff>228600</xdr:rowOff>
                  </from>
                  <to>
                    <xdr:col>22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25</xdr:col>
                    <xdr:colOff>133350</xdr:colOff>
                    <xdr:row>5</xdr:row>
                    <xdr:rowOff>228600</xdr:rowOff>
                  </from>
                  <to>
                    <xdr:col>26</xdr:col>
                    <xdr:colOff>66675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NY BackOrder</vt:lpstr>
      <vt:lpstr>取引先マスタ</vt:lpstr>
      <vt:lpstr>仕入先マスタ</vt:lpstr>
      <vt:lpstr>Invoice(SF米国)</vt:lpstr>
      <vt:lpstr>Invoice(SF大阪)</vt:lpstr>
      <vt:lpstr>発注書</vt:lpstr>
      <vt:lpstr>顧客連絡用シート</vt:lpstr>
      <vt:lpstr>Sheet2</vt:lpstr>
      <vt:lpstr>Invoice(Sample)</vt:lpstr>
      <vt:lpstr>'Invoice(Sample)'!Print_Area</vt:lpstr>
      <vt:lpstr>'Invoice(SF大阪)'!Print_Area</vt:lpstr>
      <vt:lpstr>'Invoice(SF米国)'!Print_Area</vt:lpstr>
      <vt:lpstr>'NY BackOrder'!Print_Area</vt:lpstr>
      <vt:lpstr>発注書!Print_Area</vt:lpstr>
      <vt:lpstr>'Invoice(SF大阪)'!Print_Titles</vt:lpstr>
      <vt:lpstr>'Invoice(SF米国)'!Print_Titles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</dc:creator>
  <cp:lastModifiedBy>a.hamada</cp:lastModifiedBy>
  <cp:lastPrinted>2025-11-10T08:17:14Z</cp:lastPrinted>
  <dcterms:created xsi:type="dcterms:W3CDTF">2004-11-16T02:15:36Z</dcterms:created>
  <dcterms:modified xsi:type="dcterms:W3CDTF">2026-03-13T03:00:32Z</dcterms:modified>
</cp:coreProperties>
</file>